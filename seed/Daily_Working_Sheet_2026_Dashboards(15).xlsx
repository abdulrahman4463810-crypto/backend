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xl/webextensions/webextension6.xml" ContentType="application/vnd.ms-office.webextension+xml"/>
  <Override PartName="/xl/webextensions/webextension7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5b7e4509723d528/Office Data/Daily Working/Daily Working Sheet 2026/"/>
    </mc:Choice>
  </mc:AlternateContent>
  <xr:revisionPtr revIDLastSave="39" documentId="13_ncr:1_{871492E0-9544-478D-8F91-0FD7937CEA1B}" xr6:coauthVersionLast="47" xr6:coauthVersionMax="47" xr10:uidLastSave="{370FCCA2-EE7D-4314-BBF4-98E6F1D3D93B}"/>
  <bookViews>
    <workbookView xWindow="-120" yWindow="-120" windowWidth="15600" windowHeight="11040" firstSheet="4" activeTab="7" xr2:uid="{00000000-000D-0000-FFFF-FFFF00000000}"/>
  </bookViews>
  <sheets>
    <sheet name="Master Dashboard" sheetId="1" r:id="rId1"/>
    <sheet name="Machine Issuance Dashboard" sheetId="2" r:id="rId2"/>
    <sheet name="Inventory" sheetId="3" r:id="rId3"/>
    <sheet name="Non Inventory" sheetId="4" r:id="rId4"/>
    <sheet name="Services" sheetId="9" r:id="rId5"/>
    <sheet name="Patty Cash" sheetId="10" r:id="rId6"/>
    <sheet name="Daily Issuance" sheetId="5" r:id="rId7"/>
    <sheet name="Daily Inward" sheetId="6" r:id="rId8"/>
    <sheet name="List" sheetId="7" r:id="rId9"/>
    <sheet name="Lists" sheetId="8" state="hidden" r:id="rId10"/>
  </sheets>
  <definedNames>
    <definedName name="_xlnm._FilterDatabase" localSheetId="1" hidden="1">'Machine Issuance Dashboard'!$A$5:$AP$60</definedName>
    <definedName name="_xlnm._FilterDatabase" localSheetId="5" hidden="1">'Patty Cash'!$A$3:$J$1003</definedName>
    <definedName name="Category_List">Lists!$B$2:$B$4</definedName>
    <definedName name="Department_List">Lists!$E$2:$E$7</definedName>
    <definedName name="Equipment_List">Lists!$A$2:$A$53</definedName>
    <definedName name="Shift_List" localSheetId="1">Lists!$C$2:$C$3</definedName>
    <definedName name="Shift_List">Lists!$C$2:$C$3</definedName>
    <definedName name="UOM_List">Lists!$D$2:$D$17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N58" i="2" l="1"/>
  <c r="AM58" i="2"/>
  <c r="AL58" i="2"/>
  <c r="AK58" i="2"/>
  <c r="AI58" i="2"/>
  <c r="AH58" i="2"/>
  <c r="AG58" i="2"/>
  <c r="AF58" i="2"/>
  <c r="AD58" i="2"/>
  <c r="AC58" i="2"/>
  <c r="AB58" i="2"/>
  <c r="AA58" i="2"/>
  <c r="Y58" i="2"/>
  <c r="X58" i="2"/>
  <c r="W58" i="2"/>
  <c r="V58" i="2"/>
  <c r="T58" i="2"/>
  <c r="S58" i="2"/>
  <c r="R58" i="2"/>
  <c r="Q58" i="2"/>
  <c r="O58" i="2"/>
  <c r="N58" i="2"/>
  <c r="M58" i="2"/>
  <c r="L58" i="2"/>
  <c r="J58" i="2"/>
  <c r="G58" i="2"/>
  <c r="E58" i="2"/>
  <c r="D58" i="2"/>
  <c r="C58" i="2"/>
  <c r="B58" i="2"/>
  <c r="AO58" i="2" l="1"/>
  <c r="AJ58" i="2"/>
  <c r="AE58" i="2"/>
  <c r="Z58" i="2"/>
  <c r="U58" i="2"/>
  <c r="P58" i="2"/>
  <c r="F58" i="2"/>
  <c r="C79" i="1"/>
  <c r="C80" i="1"/>
  <c r="AN59" i="2"/>
  <c r="AM59" i="2"/>
  <c r="AL59" i="2"/>
  <c r="AK59" i="2"/>
  <c r="AI59" i="2"/>
  <c r="AH59" i="2"/>
  <c r="AG59" i="2"/>
  <c r="AF59" i="2"/>
  <c r="AD59" i="2"/>
  <c r="AC59" i="2"/>
  <c r="AB59" i="2"/>
  <c r="AA59" i="2"/>
  <c r="Y59" i="2"/>
  <c r="X59" i="2"/>
  <c r="W59" i="2"/>
  <c r="V59" i="2"/>
  <c r="T59" i="2"/>
  <c r="S59" i="2"/>
  <c r="R59" i="2"/>
  <c r="Q59" i="2"/>
  <c r="O59" i="2"/>
  <c r="N59" i="2"/>
  <c r="M59" i="2"/>
  <c r="L59" i="2"/>
  <c r="I59" i="2"/>
  <c r="H59" i="2"/>
  <c r="G59" i="2"/>
  <c r="D59" i="2"/>
  <c r="C59" i="2"/>
  <c r="B59" i="2"/>
  <c r="D174" i="6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6" i="5"/>
  <c r="D317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A4" i="6"/>
  <c r="AO59" i="2" l="1"/>
  <c r="AJ59" i="2"/>
  <c r="AE59" i="2"/>
  <c r="Z59" i="2"/>
  <c r="U59" i="2"/>
  <c r="P59" i="2"/>
  <c r="B55" i="10"/>
  <c r="A4" i="10" l="1"/>
  <c r="B4" i="10"/>
  <c r="B53" i="10"/>
  <c r="D282" i="5"/>
  <c r="F4" i="10" l="1"/>
  <c r="G4" i="10"/>
  <c r="D280" i="5"/>
  <c r="H4" i="10" l="1"/>
  <c r="J4" i="10" s="1"/>
  <c r="AO37" i="2"/>
  <c r="AJ37" i="2"/>
  <c r="AE37" i="2"/>
  <c r="Z37" i="2"/>
  <c r="U37" i="2"/>
  <c r="P37" i="2"/>
  <c r="F27" i="1"/>
  <c r="N272" i="5"/>
  <c r="O272" i="5" s="1"/>
  <c r="H152" i="6"/>
  <c r="A4" i="3"/>
  <c r="A5" i="3" s="1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4" i="4"/>
  <c r="A5" i="4" s="1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4" i="9"/>
  <c r="A5" i="9" s="1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9"/>
  <c r="A168" i="9"/>
  <c r="A169" i="9"/>
  <c r="A170" i="9"/>
  <c r="A171" i="9"/>
  <c r="A172" i="9"/>
  <c r="A173" i="9"/>
  <c r="A174" i="9"/>
  <c r="A175" i="9"/>
  <c r="A176" i="9"/>
  <c r="A177" i="9"/>
  <c r="A178" i="9"/>
  <c r="A179" i="9"/>
  <c r="A180" i="9"/>
  <c r="A181" i="9"/>
  <c r="A182" i="9"/>
  <c r="A183" i="9"/>
  <c r="A184" i="9"/>
  <c r="A185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37" i="9"/>
  <c r="A238" i="9"/>
  <c r="A239" i="9"/>
  <c r="A240" i="9"/>
  <c r="A241" i="9"/>
  <c r="A242" i="9"/>
  <c r="A243" i="9"/>
  <c r="A244" i="9"/>
  <c r="A245" i="9"/>
  <c r="A246" i="9"/>
  <c r="A247" i="9"/>
  <c r="A248" i="9"/>
  <c r="A249" i="9"/>
  <c r="A250" i="9"/>
  <c r="A251" i="9"/>
  <c r="A252" i="9"/>
  <c r="A253" i="9"/>
  <c r="A254" i="9"/>
  <c r="A255" i="9"/>
  <c r="A256" i="9"/>
  <c r="A257" i="9"/>
  <c r="A258" i="9"/>
  <c r="A259" i="9"/>
  <c r="A260" i="9"/>
  <c r="A261" i="9"/>
  <c r="A262" i="9"/>
  <c r="A263" i="9"/>
  <c r="A264" i="9"/>
  <c r="A265" i="9"/>
  <c r="A266" i="9"/>
  <c r="A267" i="9"/>
  <c r="A268" i="9"/>
  <c r="A269" i="9"/>
  <c r="A270" i="9"/>
  <c r="A271" i="9"/>
  <c r="A272" i="9"/>
  <c r="A273" i="9"/>
  <c r="A274" i="9"/>
  <c r="A275" i="9"/>
  <c r="A276" i="9"/>
  <c r="A277" i="9"/>
  <c r="A278" i="9"/>
  <c r="A279" i="9"/>
  <c r="A280" i="9"/>
  <c r="A281" i="9"/>
  <c r="A282" i="9"/>
  <c r="A283" i="9"/>
  <c r="A284" i="9"/>
  <c r="A285" i="9"/>
  <c r="A286" i="9"/>
  <c r="A287" i="9"/>
  <c r="A288" i="9"/>
  <c r="A289" i="9"/>
  <c r="A290" i="9"/>
  <c r="A291" i="9"/>
  <c r="A292" i="9"/>
  <c r="A293" i="9"/>
  <c r="A294" i="9"/>
  <c r="A295" i="9"/>
  <c r="A296" i="9"/>
  <c r="A297" i="9"/>
  <c r="A298" i="9"/>
  <c r="A299" i="9"/>
  <c r="A300" i="9"/>
  <c r="A301" i="9"/>
  <c r="A302" i="9"/>
  <c r="A303" i="9"/>
  <c r="A304" i="9"/>
  <c r="A305" i="9"/>
  <c r="A306" i="9"/>
  <c r="A307" i="9"/>
  <c r="A308" i="9"/>
  <c r="A309" i="9"/>
  <c r="A310" i="9"/>
  <c r="A311" i="9"/>
  <c r="A312" i="9"/>
  <c r="A313" i="9"/>
  <c r="A314" i="9"/>
  <c r="A315" i="9"/>
  <c r="A316" i="9"/>
  <c r="A317" i="9"/>
  <c r="A318" i="9"/>
  <c r="A319" i="9"/>
  <c r="A320" i="9"/>
  <c r="A321" i="9"/>
  <c r="A322" i="9"/>
  <c r="A323" i="9"/>
  <c r="A324" i="9"/>
  <c r="A325" i="9"/>
  <c r="A326" i="9"/>
  <c r="A327" i="9"/>
  <c r="A328" i="9"/>
  <c r="A329" i="9"/>
  <c r="A330" i="9"/>
  <c r="A331" i="9"/>
  <c r="A332" i="9"/>
  <c r="A333" i="9"/>
  <c r="A334" i="9"/>
  <c r="A335" i="9"/>
  <c r="A336" i="9"/>
  <c r="A337" i="9"/>
  <c r="A338" i="9"/>
  <c r="A339" i="9"/>
  <c r="A340" i="9"/>
  <c r="A341" i="9"/>
  <c r="A342" i="9"/>
  <c r="A343" i="9"/>
  <c r="A344" i="9"/>
  <c r="A345" i="9"/>
  <c r="A346" i="9"/>
  <c r="A347" i="9"/>
  <c r="A348" i="9"/>
  <c r="A349" i="9"/>
  <c r="A350" i="9"/>
  <c r="A351" i="9"/>
  <c r="A352" i="9"/>
  <c r="A353" i="9"/>
  <c r="A354" i="9"/>
  <c r="A355" i="9"/>
  <c r="A356" i="9"/>
  <c r="A357" i="9"/>
  <c r="A358" i="9"/>
  <c r="A359" i="9"/>
  <c r="A360" i="9"/>
  <c r="A361" i="9"/>
  <c r="A362" i="9"/>
  <c r="A363" i="9"/>
  <c r="A364" i="9"/>
  <c r="A365" i="9"/>
  <c r="A366" i="9"/>
  <c r="A367" i="9"/>
  <c r="A368" i="9"/>
  <c r="A369" i="9"/>
  <c r="A370" i="9"/>
  <c r="A371" i="9"/>
  <c r="A372" i="9"/>
  <c r="A373" i="9"/>
  <c r="A374" i="9"/>
  <c r="A375" i="9"/>
  <c r="A376" i="9"/>
  <c r="A377" i="9"/>
  <c r="A378" i="9"/>
  <c r="A379" i="9"/>
  <c r="A380" i="9"/>
  <c r="A381" i="9"/>
  <c r="A382" i="9"/>
  <c r="A383" i="9"/>
  <c r="A384" i="9"/>
  <c r="A385" i="9"/>
  <c r="A386" i="9"/>
  <c r="A387" i="9"/>
  <c r="A388" i="9"/>
  <c r="A389" i="9"/>
  <c r="A390" i="9"/>
  <c r="A391" i="9"/>
  <c r="A392" i="9"/>
  <c r="A393" i="9"/>
  <c r="A394" i="9"/>
  <c r="A395" i="9"/>
  <c r="A396" i="9"/>
  <c r="A397" i="9"/>
  <c r="A398" i="9"/>
  <c r="A399" i="9"/>
  <c r="A400" i="9"/>
  <c r="A401" i="9"/>
  <c r="A402" i="9"/>
  <c r="A403" i="9"/>
  <c r="A404" i="9"/>
  <c r="A405" i="9"/>
  <c r="A406" i="9"/>
  <c r="A407" i="9"/>
  <c r="A408" i="9"/>
  <c r="A409" i="9"/>
  <c r="A410" i="9"/>
  <c r="A411" i="9"/>
  <c r="A412" i="9"/>
  <c r="A413" i="9"/>
  <c r="A414" i="9"/>
  <c r="A415" i="9"/>
  <c r="A416" i="9"/>
  <c r="A417" i="9"/>
  <c r="A418" i="9"/>
  <c r="A419" i="9"/>
  <c r="A420" i="9"/>
  <c r="A421" i="9"/>
  <c r="A422" i="9"/>
  <c r="A423" i="9"/>
  <c r="A424" i="9"/>
  <c r="A425" i="9"/>
  <c r="A426" i="9"/>
  <c r="A427" i="9"/>
  <c r="A428" i="9"/>
  <c r="A429" i="9"/>
  <c r="A430" i="9"/>
  <c r="A431" i="9"/>
  <c r="A432" i="9"/>
  <c r="A433" i="9"/>
  <c r="A434" i="9"/>
  <c r="A435" i="9"/>
  <c r="A436" i="9"/>
  <c r="A437" i="9"/>
  <c r="A438" i="9"/>
  <c r="A439" i="9"/>
  <c r="A440" i="9"/>
  <c r="A441" i="9"/>
  <c r="A442" i="9"/>
  <c r="A443" i="9"/>
  <c r="A444" i="9"/>
  <c r="A445" i="9"/>
  <c r="A446" i="9"/>
  <c r="A447" i="9"/>
  <c r="A448" i="9"/>
  <c r="A449" i="9"/>
  <c r="A450" i="9"/>
  <c r="A451" i="9"/>
  <c r="A452" i="9"/>
  <c r="A453" i="9"/>
  <c r="A454" i="9"/>
  <c r="A455" i="9"/>
  <c r="A456" i="9"/>
  <c r="A457" i="9"/>
  <c r="A458" i="9"/>
  <c r="A459" i="9"/>
  <c r="A460" i="9"/>
  <c r="A461" i="9"/>
  <c r="A462" i="9"/>
  <c r="A463" i="9"/>
  <c r="A464" i="9"/>
  <c r="A465" i="9"/>
  <c r="A466" i="9"/>
  <c r="A467" i="9"/>
  <c r="A468" i="9"/>
  <c r="A469" i="9"/>
  <c r="A470" i="9"/>
  <c r="A471" i="9"/>
  <c r="A472" i="9"/>
  <c r="A473" i="9"/>
  <c r="A474" i="9"/>
  <c r="A475" i="9"/>
  <c r="A476" i="9"/>
  <c r="A477" i="9"/>
  <c r="A478" i="9"/>
  <c r="A479" i="9"/>
  <c r="A480" i="9"/>
  <c r="A481" i="9"/>
  <c r="A482" i="9"/>
  <c r="A483" i="9"/>
  <c r="A484" i="9"/>
  <c r="A485" i="9"/>
  <c r="A486" i="9"/>
  <c r="A487" i="9"/>
  <c r="A488" i="9"/>
  <c r="A489" i="9"/>
  <c r="A490" i="9"/>
  <c r="A491" i="9"/>
  <c r="A492" i="9"/>
  <c r="A493" i="9"/>
  <c r="A494" i="9"/>
  <c r="A495" i="9"/>
  <c r="A496" i="9"/>
  <c r="A497" i="9"/>
  <c r="A498" i="9"/>
  <c r="A499" i="9"/>
  <c r="A500" i="9"/>
  <c r="A501" i="9"/>
  <c r="A502" i="9"/>
  <c r="A503" i="9"/>
  <c r="A504" i="9"/>
  <c r="A505" i="9"/>
  <c r="A506" i="9"/>
  <c r="A507" i="9"/>
  <c r="A508" i="9"/>
  <c r="A509" i="9"/>
  <c r="A510" i="9"/>
  <c r="A511" i="9"/>
  <c r="A512" i="9"/>
  <c r="A513" i="9"/>
  <c r="A514" i="9"/>
  <c r="A515" i="9"/>
  <c r="A516" i="9"/>
  <c r="A517" i="9"/>
  <c r="A518" i="9"/>
  <c r="A519" i="9"/>
  <c r="A520" i="9"/>
  <c r="A521" i="9"/>
  <c r="A522" i="9"/>
  <c r="A523" i="9"/>
  <c r="A524" i="9"/>
  <c r="A525" i="9"/>
  <c r="A526" i="9"/>
  <c r="A527" i="9"/>
  <c r="A528" i="9"/>
  <c r="A529" i="9"/>
  <c r="A530" i="9"/>
  <c r="A531" i="9"/>
  <c r="A532" i="9"/>
  <c r="A533" i="9"/>
  <c r="A534" i="9"/>
  <c r="A535" i="9"/>
  <c r="A536" i="9"/>
  <c r="A537" i="9"/>
  <c r="A538" i="9"/>
  <c r="A539" i="9"/>
  <c r="A540" i="9"/>
  <c r="A541" i="9"/>
  <c r="A542" i="9"/>
  <c r="A543" i="9"/>
  <c r="A544" i="9"/>
  <c r="A545" i="9"/>
  <c r="A546" i="9"/>
  <c r="A547" i="9"/>
  <c r="A548" i="9"/>
  <c r="A549" i="9"/>
  <c r="A550" i="9"/>
  <c r="A551" i="9"/>
  <c r="A552" i="9"/>
  <c r="A553" i="9"/>
  <c r="A554" i="9"/>
  <c r="A555" i="9"/>
  <c r="A556" i="9"/>
  <c r="A557" i="9"/>
  <c r="A558" i="9"/>
  <c r="A559" i="9"/>
  <c r="A560" i="9"/>
  <c r="A561" i="9"/>
  <c r="A562" i="9"/>
  <c r="A563" i="9"/>
  <c r="A564" i="9"/>
  <c r="A565" i="9"/>
  <c r="A566" i="9"/>
  <c r="A567" i="9"/>
  <c r="A568" i="9"/>
  <c r="A569" i="9"/>
  <c r="A570" i="9"/>
  <c r="A571" i="9"/>
  <c r="A572" i="9"/>
  <c r="A573" i="9"/>
  <c r="A574" i="9"/>
  <c r="A575" i="9"/>
  <c r="A576" i="9"/>
  <c r="A577" i="9"/>
  <c r="A578" i="9"/>
  <c r="A579" i="9"/>
  <c r="A580" i="9"/>
  <c r="A581" i="9"/>
  <c r="A582" i="9"/>
  <c r="A583" i="9"/>
  <c r="A584" i="9"/>
  <c r="A585" i="9"/>
  <c r="A586" i="9"/>
  <c r="A587" i="9"/>
  <c r="A588" i="9"/>
  <c r="A589" i="9"/>
  <c r="A590" i="9"/>
  <c r="A591" i="9"/>
  <c r="A592" i="9"/>
  <c r="A593" i="9"/>
  <c r="A594" i="9"/>
  <c r="A595" i="9"/>
  <c r="A596" i="9"/>
  <c r="A597" i="9"/>
  <c r="A598" i="9"/>
  <c r="A599" i="9"/>
  <c r="A600" i="9"/>
  <c r="A601" i="9"/>
  <c r="A602" i="9"/>
  <c r="A603" i="9"/>
  <c r="A604" i="9"/>
  <c r="A605" i="9"/>
  <c r="A606" i="9"/>
  <c r="A607" i="9"/>
  <c r="A608" i="9"/>
  <c r="A609" i="9"/>
  <c r="A610" i="9"/>
  <c r="A611" i="9"/>
  <c r="A612" i="9"/>
  <c r="A613" i="9"/>
  <c r="A614" i="9"/>
  <c r="A615" i="9"/>
  <c r="A616" i="9"/>
  <c r="A617" i="9"/>
  <c r="A618" i="9"/>
  <c r="A619" i="9"/>
  <c r="A620" i="9"/>
  <c r="A621" i="9"/>
  <c r="A622" i="9"/>
  <c r="A623" i="9"/>
  <c r="A624" i="9"/>
  <c r="A625" i="9"/>
  <c r="A626" i="9"/>
  <c r="A627" i="9"/>
  <c r="A628" i="9"/>
  <c r="A629" i="9"/>
  <c r="A630" i="9"/>
  <c r="A631" i="9"/>
  <c r="A632" i="9"/>
  <c r="A633" i="9"/>
  <c r="A634" i="9"/>
  <c r="A635" i="9"/>
  <c r="A636" i="9"/>
  <c r="A637" i="9"/>
  <c r="A638" i="9"/>
  <c r="A639" i="9"/>
  <c r="A640" i="9"/>
  <c r="A641" i="9"/>
  <c r="A642" i="9"/>
  <c r="A643" i="9"/>
  <c r="A644" i="9"/>
  <c r="A645" i="9"/>
  <c r="A646" i="9"/>
  <c r="A647" i="9"/>
  <c r="A648" i="9"/>
  <c r="A649" i="9"/>
  <c r="A650" i="9"/>
  <c r="A651" i="9"/>
  <c r="A652" i="9"/>
  <c r="A653" i="9"/>
  <c r="A654" i="9"/>
  <c r="A655" i="9"/>
  <c r="A656" i="9"/>
  <c r="A657" i="9"/>
  <c r="A658" i="9"/>
  <c r="A659" i="9"/>
  <c r="A660" i="9"/>
  <c r="A661" i="9"/>
  <c r="A662" i="9"/>
  <c r="A663" i="9"/>
  <c r="A664" i="9"/>
  <c r="A665" i="9"/>
  <c r="A666" i="9"/>
  <c r="A667" i="9"/>
  <c r="A668" i="9"/>
  <c r="A669" i="9"/>
  <c r="A670" i="9"/>
  <c r="A671" i="9"/>
  <c r="A672" i="9"/>
  <c r="A673" i="9"/>
  <c r="A674" i="9"/>
  <c r="A675" i="9"/>
  <c r="A676" i="9"/>
  <c r="A677" i="9"/>
  <c r="A678" i="9"/>
  <c r="A679" i="9"/>
  <c r="A680" i="9"/>
  <c r="A681" i="9"/>
  <c r="A682" i="9"/>
  <c r="A683" i="9"/>
  <c r="A684" i="9"/>
  <c r="A685" i="9"/>
  <c r="A686" i="9"/>
  <c r="A687" i="9"/>
  <c r="A688" i="9"/>
  <c r="A689" i="9"/>
  <c r="A690" i="9"/>
  <c r="A691" i="9"/>
  <c r="A692" i="9"/>
  <c r="A693" i="9"/>
  <c r="A694" i="9"/>
  <c r="A695" i="9"/>
  <c r="A696" i="9"/>
  <c r="A697" i="9"/>
  <c r="A698" i="9"/>
  <c r="A699" i="9"/>
  <c r="A700" i="9"/>
  <c r="A701" i="9"/>
  <c r="A702" i="9"/>
  <c r="A703" i="9"/>
  <c r="A704" i="9"/>
  <c r="A705" i="9"/>
  <c r="A706" i="9"/>
  <c r="A707" i="9"/>
  <c r="A708" i="9"/>
  <c r="A709" i="9"/>
  <c r="A710" i="9"/>
  <c r="A711" i="9"/>
  <c r="A712" i="9"/>
  <c r="A713" i="9"/>
  <c r="A714" i="9"/>
  <c r="A715" i="9"/>
  <c r="A716" i="9"/>
  <c r="A717" i="9"/>
  <c r="A718" i="9"/>
  <c r="A719" i="9"/>
  <c r="A720" i="9"/>
  <c r="A721" i="9"/>
  <c r="A722" i="9"/>
  <c r="A723" i="9"/>
  <c r="A724" i="9"/>
  <c r="A725" i="9"/>
  <c r="A726" i="9"/>
  <c r="A727" i="9"/>
  <c r="A728" i="9"/>
  <c r="A729" i="9"/>
  <c r="A730" i="9"/>
  <c r="A731" i="9"/>
  <c r="A732" i="9"/>
  <c r="A733" i="9"/>
  <c r="A734" i="9"/>
  <c r="A735" i="9"/>
  <c r="A736" i="9"/>
  <c r="A737" i="9"/>
  <c r="A738" i="9"/>
  <c r="A739" i="9"/>
  <c r="A740" i="9"/>
  <c r="A741" i="9"/>
  <c r="A742" i="9"/>
  <c r="A743" i="9"/>
  <c r="A744" i="9"/>
  <c r="A745" i="9"/>
  <c r="A746" i="9"/>
  <c r="A747" i="9"/>
  <c r="A748" i="9"/>
  <c r="A749" i="9"/>
  <c r="A750" i="9"/>
  <c r="A751" i="9"/>
  <c r="A752" i="9"/>
  <c r="A753" i="9"/>
  <c r="A754" i="9"/>
  <c r="A755" i="9"/>
  <c r="A756" i="9"/>
  <c r="A757" i="9"/>
  <c r="A758" i="9"/>
  <c r="A759" i="9"/>
  <c r="A760" i="9"/>
  <c r="A761" i="9"/>
  <c r="A762" i="9"/>
  <c r="A763" i="9"/>
  <c r="A764" i="9"/>
  <c r="A765" i="9"/>
  <c r="A766" i="9"/>
  <c r="A767" i="9"/>
  <c r="A768" i="9"/>
  <c r="A769" i="9"/>
  <c r="A770" i="9"/>
  <c r="A771" i="9"/>
  <c r="A772" i="9"/>
  <c r="A773" i="9"/>
  <c r="A774" i="9"/>
  <c r="A775" i="9"/>
  <c r="A776" i="9"/>
  <c r="A777" i="9"/>
  <c r="A778" i="9"/>
  <c r="A779" i="9"/>
  <c r="A780" i="9"/>
  <c r="A781" i="9"/>
  <c r="A782" i="9"/>
  <c r="A783" i="9"/>
  <c r="A784" i="9"/>
  <c r="A785" i="9"/>
  <c r="A786" i="9"/>
  <c r="A787" i="9"/>
  <c r="A788" i="9"/>
  <c r="A789" i="9"/>
  <c r="A790" i="9"/>
  <c r="A791" i="9"/>
  <c r="A792" i="9"/>
  <c r="A793" i="9"/>
  <c r="A794" i="9"/>
  <c r="A795" i="9"/>
  <c r="A796" i="9"/>
  <c r="A797" i="9"/>
  <c r="A798" i="9"/>
  <c r="A799" i="9"/>
  <c r="A800" i="9"/>
  <c r="A801" i="9"/>
  <c r="A802" i="9"/>
  <c r="A803" i="9"/>
  <c r="A804" i="9"/>
  <c r="A805" i="9"/>
  <c r="A806" i="9"/>
  <c r="A807" i="9"/>
  <c r="A808" i="9"/>
  <c r="A809" i="9"/>
  <c r="A810" i="9"/>
  <c r="A811" i="9"/>
  <c r="A812" i="9"/>
  <c r="A813" i="9"/>
  <c r="A814" i="9"/>
  <c r="A815" i="9"/>
  <c r="A816" i="9"/>
  <c r="A817" i="9"/>
  <c r="A818" i="9"/>
  <c r="A819" i="9"/>
  <c r="A820" i="9"/>
  <c r="A821" i="9"/>
  <c r="A822" i="9"/>
  <c r="A823" i="9"/>
  <c r="A824" i="9"/>
  <c r="A825" i="9"/>
  <c r="A826" i="9"/>
  <c r="A827" i="9"/>
  <c r="A828" i="9"/>
  <c r="A829" i="9"/>
  <c r="A830" i="9"/>
  <c r="A831" i="9"/>
  <c r="A832" i="9"/>
  <c r="A833" i="9"/>
  <c r="A834" i="9"/>
  <c r="A835" i="9"/>
  <c r="A836" i="9"/>
  <c r="A837" i="9"/>
  <c r="A838" i="9"/>
  <c r="A839" i="9"/>
  <c r="A840" i="9"/>
  <c r="A841" i="9"/>
  <c r="A842" i="9"/>
  <c r="A843" i="9"/>
  <c r="A844" i="9"/>
  <c r="A845" i="9"/>
  <c r="A846" i="9"/>
  <c r="A847" i="9"/>
  <c r="A848" i="9"/>
  <c r="A849" i="9"/>
  <c r="A850" i="9"/>
  <c r="A851" i="9"/>
  <c r="A852" i="9"/>
  <c r="A853" i="9"/>
  <c r="A854" i="9"/>
  <c r="A855" i="9"/>
  <c r="A856" i="9"/>
  <c r="A857" i="9"/>
  <c r="A858" i="9"/>
  <c r="A859" i="9"/>
  <c r="A860" i="9"/>
  <c r="A861" i="9"/>
  <c r="A862" i="9"/>
  <c r="A863" i="9"/>
  <c r="A864" i="9"/>
  <c r="A865" i="9"/>
  <c r="A866" i="9"/>
  <c r="A867" i="9"/>
  <c r="A868" i="9"/>
  <c r="A869" i="9"/>
  <c r="A870" i="9"/>
  <c r="A871" i="9"/>
  <c r="A872" i="9"/>
  <c r="A873" i="9"/>
  <c r="A874" i="9"/>
  <c r="A875" i="9"/>
  <c r="A876" i="9"/>
  <c r="A877" i="9"/>
  <c r="A878" i="9"/>
  <c r="A879" i="9"/>
  <c r="A880" i="9"/>
  <c r="A881" i="9"/>
  <c r="A882" i="9"/>
  <c r="A883" i="9"/>
  <c r="A884" i="9"/>
  <c r="A885" i="9"/>
  <c r="A886" i="9"/>
  <c r="A887" i="9"/>
  <c r="A888" i="9"/>
  <c r="A889" i="9"/>
  <c r="A890" i="9"/>
  <c r="A891" i="9"/>
  <c r="A892" i="9"/>
  <c r="A893" i="9"/>
  <c r="A894" i="9"/>
  <c r="A895" i="9"/>
  <c r="A896" i="9"/>
  <c r="A897" i="9"/>
  <c r="A898" i="9"/>
  <c r="A899" i="9"/>
  <c r="A900" i="9"/>
  <c r="A901" i="9"/>
  <c r="A902" i="9"/>
  <c r="A903" i="9"/>
  <c r="A904" i="9"/>
  <c r="A905" i="9"/>
  <c r="A906" i="9"/>
  <c r="A907" i="9"/>
  <c r="A908" i="9"/>
  <c r="A909" i="9"/>
  <c r="A910" i="9"/>
  <c r="A911" i="9"/>
  <c r="A912" i="9"/>
  <c r="A913" i="9"/>
  <c r="A914" i="9"/>
  <c r="A915" i="9"/>
  <c r="A916" i="9"/>
  <c r="A917" i="9"/>
  <c r="A918" i="9"/>
  <c r="A919" i="9"/>
  <c r="A920" i="9"/>
  <c r="A921" i="9"/>
  <c r="A922" i="9"/>
  <c r="A923" i="9"/>
  <c r="A924" i="9"/>
  <c r="A925" i="9"/>
  <c r="A926" i="9"/>
  <c r="A927" i="9"/>
  <c r="A928" i="9"/>
  <c r="A929" i="9"/>
  <c r="A930" i="9"/>
  <c r="A931" i="9"/>
  <c r="A932" i="9"/>
  <c r="A933" i="9"/>
  <c r="A934" i="9"/>
  <c r="A935" i="9"/>
  <c r="A936" i="9"/>
  <c r="A937" i="9"/>
  <c r="A938" i="9"/>
  <c r="A939" i="9"/>
  <c r="A940" i="9"/>
  <c r="A941" i="9"/>
  <c r="A942" i="9"/>
  <c r="A943" i="9"/>
  <c r="A944" i="9"/>
  <c r="A945" i="9"/>
  <c r="A946" i="9"/>
  <c r="A947" i="9"/>
  <c r="A948" i="9"/>
  <c r="A949" i="9"/>
  <c r="A950" i="9"/>
  <c r="A951" i="9"/>
  <c r="A952" i="9"/>
  <c r="A953" i="9"/>
  <c r="A954" i="9"/>
  <c r="A955" i="9"/>
  <c r="A956" i="9"/>
  <c r="A957" i="9"/>
  <c r="A958" i="9"/>
  <c r="A959" i="9"/>
  <c r="A960" i="9"/>
  <c r="A961" i="9"/>
  <c r="A962" i="9"/>
  <c r="A963" i="9"/>
  <c r="A964" i="9"/>
  <c r="A965" i="9"/>
  <c r="A966" i="9"/>
  <c r="A967" i="9"/>
  <c r="A968" i="9"/>
  <c r="A969" i="9"/>
  <c r="A970" i="9"/>
  <c r="A971" i="9"/>
  <c r="A972" i="9"/>
  <c r="A973" i="9"/>
  <c r="A974" i="9"/>
  <c r="A975" i="9"/>
  <c r="A976" i="9"/>
  <c r="A977" i="9"/>
  <c r="A978" i="9"/>
  <c r="A979" i="9"/>
  <c r="A980" i="9"/>
  <c r="A981" i="9"/>
  <c r="A982" i="9"/>
  <c r="A983" i="9"/>
  <c r="A984" i="9"/>
  <c r="A985" i="9"/>
  <c r="A986" i="9"/>
  <c r="A987" i="9"/>
  <c r="A988" i="9"/>
  <c r="A989" i="9"/>
  <c r="A990" i="9"/>
  <c r="A991" i="9"/>
  <c r="A992" i="9"/>
  <c r="A993" i="9"/>
  <c r="A994" i="9"/>
  <c r="A995" i="9"/>
  <c r="A996" i="9"/>
  <c r="A997" i="9"/>
  <c r="A998" i="9"/>
  <c r="A999" i="9"/>
  <c r="A1000" i="9"/>
  <c r="A1001" i="9"/>
  <c r="A1002" i="9"/>
  <c r="A1003" i="9"/>
  <c r="A5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A604" i="10"/>
  <c r="A605" i="10"/>
  <c r="A606" i="10"/>
  <c r="A607" i="10"/>
  <c r="A608" i="10"/>
  <c r="A609" i="10"/>
  <c r="A610" i="10"/>
  <c r="A611" i="10"/>
  <c r="A612" i="10"/>
  <c r="A613" i="10"/>
  <c r="A614" i="10"/>
  <c r="A615" i="10"/>
  <c r="A616" i="10"/>
  <c r="A617" i="10"/>
  <c r="A618" i="10"/>
  <c r="A619" i="10"/>
  <c r="A620" i="10"/>
  <c r="A621" i="10"/>
  <c r="A622" i="10"/>
  <c r="A623" i="10"/>
  <c r="A624" i="10"/>
  <c r="A625" i="10"/>
  <c r="A626" i="10"/>
  <c r="A627" i="10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642" i="10"/>
  <c r="A643" i="10"/>
  <c r="A644" i="10"/>
  <c r="A645" i="10"/>
  <c r="A646" i="10"/>
  <c r="A647" i="10"/>
  <c r="A648" i="10"/>
  <c r="A649" i="10"/>
  <c r="A650" i="10"/>
  <c r="A651" i="10"/>
  <c r="A652" i="10"/>
  <c r="A653" i="10"/>
  <c r="A654" i="10"/>
  <c r="A655" i="10"/>
  <c r="A656" i="10"/>
  <c r="A657" i="10"/>
  <c r="A658" i="10"/>
  <c r="A659" i="10"/>
  <c r="A660" i="10"/>
  <c r="A661" i="10"/>
  <c r="A662" i="10"/>
  <c r="A663" i="10"/>
  <c r="A664" i="10"/>
  <c r="A665" i="10"/>
  <c r="A666" i="10"/>
  <c r="A667" i="10"/>
  <c r="A668" i="10"/>
  <c r="A669" i="10"/>
  <c r="A670" i="10"/>
  <c r="A671" i="10"/>
  <c r="A672" i="10"/>
  <c r="A673" i="10"/>
  <c r="A674" i="10"/>
  <c r="A675" i="10"/>
  <c r="A676" i="10"/>
  <c r="A677" i="10"/>
  <c r="A678" i="10"/>
  <c r="A679" i="10"/>
  <c r="A680" i="10"/>
  <c r="A681" i="10"/>
  <c r="A682" i="10"/>
  <c r="A683" i="10"/>
  <c r="A684" i="10"/>
  <c r="A685" i="10"/>
  <c r="A686" i="10"/>
  <c r="A687" i="10"/>
  <c r="A688" i="10"/>
  <c r="A689" i="10"/>
  <c r="A690" i="10"/>
  <c r="A691" i="10"/>
  <c r="A692" i="10"/>
  <c r="A693" i="10"/>
  <c r="A694" i="10"/>
  <c r="A695" i="10"/>
  <c r="A696" i="10"/>
  <c r="A697" i="10"/>
  <c r="A698" i="10"/>
  <c r="A699" i="10"/>
  <c r="A700" i="10"/>
  <c r="A701" i="10"/>
  <c r="A702" i="10"/>
  <c r="A703" i="10"/>
  <c r="A704" i="10"/>
  <c r="A705" i="10"/>
  <c r="A706" i="10"/>
  <c r="A707" i="10"/>
  <c r="A708" i="10"/>
  <c r="A709" i="10"/>
  <c r="A710" i="10"/>
  <c r="A711" i="10"/>
  <c r="A712" i="10"/>
  <c r="A713" i="10"/>
  <c r="A714" i="10"/>
  <c r="A715" i="10"/>
  <c r="A716" i="10"/>
  <c r="A717" i="10"/>
  <c r="A718" i="10"/>
  <c r="A719" i="10"/>
  <c r="A720" i="10"/>
  <c r="A721" i="10"/>
  <c r="A722" i="10"/>
  <c r="A723" i="10"/>
  <c r="A724" i="10"/>
  <c r="A725" i="10"/>
  <c r="A726" i="10"/>
  <c r="A727" i="10"/>
  <c r="A728" i="10"/>
  <c r="A729" i="10"/>
  <c r="A730" i="10"/>
  <c r="A731" i="10"/>
  <c r="A732" i="10"/>
  <c r="A733" i="10"/>
  <c r="A734" i="10"/>
  <c r="A735" i="10"/>
  <c r="A736" i="10"/>
  <c r="A737" i="10"/>
  <c r="A738" i="10"/>
  <c r="A739" i="10"/>
  <c r="A740" i="10"/>
  <c r="A741" i="10"/>
  <c r="A742" i="10"/>
  <c r="A743" i="10"/>
  <c r="A744" i="10"/>
  <c r="A745" i="10"/>
  <c r="A746" i="10"/>
  <c r="A747" i="10"/>
  <c r="A748" i="10"/>
  <c r="A749" i="10"/>
  <c r="A750" i="10"/>
  <c r="A751" i="10"/>
  <c r="A752" i="10"/>
  <c r="A753" i="10"/>
  <c r="A754" i="10"/>
  <c r="A755" i="10"/>
  <c r="A756" i="10"/>
  <c r="A757" i="10"/>
  <c r="A758" i="10"/>
  <c r="A759" i="10"/>
  <c r="A760" i="10"/>
  <c r="A761" i="10"/>
  <c r="A762" i="10"/>
  <c r="A763" i="10"/>
  <c r="A764" i="10"/>
  <c r="A765" i="10"/>
  <c r="A766" i="10"/>
  <c r="A767" i="10"/>
  <c r="A768" i="10"/>
  <c r="A769" i="10"/>
  <c r="A770" i="10"/>
  <c r="A771" i="10"/>
  <c r="A772" i="10"/>
  <c r="A773" i="10"/>
  <c r="A774" i="10"/>
  <c r="A775" i="10"/>
  <c r="A776" i="10"/>
  <c r="A777" i="10"/>
  <c r="A778" i="10"/>
  <c r="A779" i="10"/>
  <c r="A780" i="10"/>
  <c r="A781" i="10"/>
  <c r="A782" i="10"/>
  <c r="A783" i="10"/>
  <c r="A784" i="10"/>
  <c r="A785" i="10"/>
  <c r="A786" i="10"/>
  <c r="A787" i="10"/>
  <c r="A788" i="10"/>
  <c r="A789" i="10"/>
  <c r="A790" i="10"/>
  <c r="A791" i="10"/>
  <c r="A792" i="10"/>
  <c r="A793" i="10"/>
  <c r="A794" i="10"/>
  <c r="A795" i="10"/>
  <c r="A796" i="10"/>
  <c r="A797" i="10"/>
  <c r="A798" i="10"/>
  <c r="A799" i="10"/>
  <c r="A800" i="10"/>
  <c r="A801" i="10"/>
  <c r="A802" i="10"/>
  <c r="A803" i="10"/>
  <c r="A804" i="10"/>
  <c r="A805" i="10"/>
  <c r="A806" i="10"/>
  <c r="A807" i="10"/>
  <c r="A808" i="10"/>
  <c r="A809" i="10"/>
  <c r="A810" i="10"/>
  <c r="A811" i="10"/>
  <c r="A812" i="10"/>
  <c r="A813" i="10"/>
  <c r="A814" i="10"/>
  <c r="A815" i="10"/>
  <c r="A816" i="10"/>
  <c r="A817" i="10"/>
  <c r="A818" i="10"/>
  <c r="A819" i="10"/>
  <c r="A820" i="10"/>
  <c r="A821" i="10"/>
  <c r="A822" i="10"/>
  <c r="A823" i="10"/>
  <c r="A824" i="10"/>
  <c r="A825" i="10"/>
  <c r="A826" i="10"/>
  <c r="A827" i="10"/>
  <c r="A828" i="10"/>
  <c r="A829" i="10"/>
  <c r="A830" i="10"/>
  <c r="A831" i="10"/>
  <c r="A832" i="10"/>
  <c r="A833" i="10"/>
  <c r="A834" i="10"/>
  <c r="A835" i="10"/>
  <c r="A836" i="10"/>
  <c r="A837" i="10"/>
  <c r="A838" i="10"/>
  <c r="A839" i="10"/>
  <c r="A840" i="10"/>
  <c r="A841" i="10"/>
  <c r="A842" i="10"/>
  <c r="A843" i="10"/>
  <c r="A844" i="10"/>
  <c r="A845" i="10"/>
  <c r="A846" i="10"/>
  <c r="A847" i="10"/>
  <c r="A848" i="10"/>
  <c r="A849" i="10"/>
  <c r="A850" i="10"/>
  <c r="A851" i="10"/>
  <c r="A852" i="10"/>
  <c r="A853" i="10"/>
  <c r="A854" i="10"/>
  <c r="A855" i="10"/>
  <c r="A856" i="10"/>
  <c r="A857" i="10"/>
  <c r="A858" i="10"/>
  <c r="A859" i="10"/>
  <c r="A860" i="10"/>
  <c r="A861" i="10"/>
  <c r="A862" i="10"/>
  <c r="A863" i="10"/>
  <c r="A864" i="10"/>
  <c r="A865" i="10"/>
  <c r="A866" i="10"/>
  <c r="A867" i="10"/>
  <c r="A868" i="10"/>
  <c r="A869" i="10"/>
  <c r="A870" i="10"/>
  <c r="A871" i="10"/>
  <c r="A872" i="10"/>
  <c r="A873" i="10"/>
  <c r="A874" i="10"/>
  <c r="A875" i="10"/>
  <c r="A876" i="10"/>
  <c r="A877" i="10"/>
  <c r="A878" i="10"/>
  <c r="A879" i="10"/>
  <c r="A880" i="10"/>
  <c r="A881" i="10"/>
  <c r="A882" i="10"/>
  <c r="A883" i="10"/>
  <c r="A884" i="10"/>
  <c r="A885" i="10"/>
  <c r="A886" i="10"/>
  <c r="A887" i="10"/>
  <c r="A888" i="10"/>
  <c r="A889" i="10"/>
  <c r="A890" i="10"/>
  <c r="A891" i="10"/>
  <c r="A892" i="10"/>
  <c r="A893" i="10"/>
  <c r="A894" i="10"/>
  <c r="A895" i="10"/>
  <c r="A896" i="10"/>
  <c r="A897" i="10"/>
  <c r="A898" i="10"/>
  <c r="A899" i="10"/>
  <c r="A900" i="10"/>
  <c r="A901" i="10"/>
  <c r="A902" i="10"/>
  <c r="A903" i="10"/>
  <c r="A904" i="10"/>
  <c r="A905" i="10"/>
  <c r="A906" i="10"/>
  <c r="A907" i="10"/>
  <c r="A908" i="10"/>
  <c r="A909" i="10"/>
  <c r="A910" i="10"/>
  <c r="A911" i="10"/>
  <c r="A912" i="10"/>
  <c r="A913" i="10"/>
  <c r="A914" i="10"/>
  <c r="A915" i="10"/>
  <c r="A916" i="10"/>
  <c r="A917" i="10"/>
  <c r="A918" i="10"/>
  <c r="A919" i="10"/>
  <c r="A920" i="10"/>
  <c r="A921" i="10"/>
  <c r="A922" i="10"/>
  <c r="A923" i="10"/>
  <c r="A924" i="10"/>
  <c r="A925" i="10"/>
  <c r="A926" i="10"/>
  <c r="A927" i="10"/>
  <c r="A928" i="10"/>
  <c r="A929" i="10"/>
  <c r="A930" i="10"/>
  <c r="A931" i="10"/>
  <c r="A932" i="10"/>
  <c r="A933" i="10"/>
  <c r="A934" i="10"/>
  <c r="A935" i="10"/>
  <c r="A936" i="10"/>
  <c r="A937" i="10"/>
  <c r="A938" i="10"/>
  <c r="A939" i="10"/>
  <c r="A940" i="10"/>
  <c r="A941" i="10"/>
  <c r="A942" i="10"/>
  <c r="A943" i="10"/>
  <c r="A944" i="10"/>
  <c r="A945" i="10"/>
  <c r="A946" i="10"/>
  <c r="A947" i="10"/>
  <c r="A948" i="10"/>
  <c r="A949" i="10"/>
  <c r="A950" i="10"/>
  <c r="A951" i="10"/>
  <c r="A952" i="10"/>
  <c r="A953" i="10"/>
  <c r="A954" i="10"/>
  <c r="A955" i="10"/>
  <c r="A956" i="10"/>
  <c r="A957" i="10"/>
  <c r="A958" i="10"/>
  <c r="A959" i="10"/>
  <c r="A960" i="10"/>
  <c r="A961" i="10"/>
  <c r="A962" i="10"/>
  <c r="A963" i="10"/>
  <c r="A964" i="10"/>
  <c r="A965" i="10"/>
  <c r="A966" i="10"/>
  <c r="A967" i="10"/>
  <c r="A968" i="10"/>
  <c r="A969" i="10"/>
  <c r="A970" i="10"/>
  <c r="A971" i="10"/>
  <c r="A972" i="10"/>
  <c r="A973" i="10"/>
  <c r="A974" i="10"/>
  <c r="A975" i="10"/>
  <c r="A976" i="10"/>
  <c r="A977" i="10"/>
  <c r="A978" i="10"/>
  <c r="A979" i="10"/>
  <c r="A980" i="10"/>
  <c r="A981" i="10"/>
  <c r="A982" i="10"/>
  <c r="A983" i="10"/>
  <c r="A984" i="10"/>
  <c r="A985" i="10"/>
  <c r="A986" i="10"/>
  <c r="A987" i="10"/>
  <c r="A988" i="10"/>
  <c r="A989" i="10"/>
  <c r="A990" i="10"/>
  <c r="A991" i="10"/>
  <c r="A992" i="10"/>
  <c r="A993" i="10"/>
  <c r="A994" i="10"/>
  <c r="A995" i="10"/>
  <c r="A996" i="10"/>
  <c r="A997" i="10"/>
  <c r="A998" i="10"/>
  <c r="A999" i="10"/>
  <c r="A1000" i="10"/>
  <c r="A1001" i="10"/>
  <c r="A1002" i="10"/>
  <c r="A1003" i="10"/>
  <c r="O998" i="5"/>
  <c r="O997" i="5"/>
  <c r="O996" i="5"/>
  <c r="O995" i="5"/>
  <c r="O994" i="5"/>
  <c r="O993" i="5"/>
  <c r="O992" i="5"/>
  <c r="O991" i="5"/>
  <c r="O990" i="5"/>
  <c r="O989" i="5"/>
  <c r="O988" i="5"/>
  <c r="O987" i="5"/>
  <c r="O986" i="5"/>
  <c r="O985" i="5"/>
  <c r="O984" i="5"/>
  <c r="O983" i="5"/>
  <c r="O982" i="5"/>
  <c r="O981" i="5"/>
  <c r="O980" i="5"/>
  <c r="O979" i="5"/>
  <c r="O978" i="5"/>
  <c r="O977" i="5"/>
  <c r="O976" i="5"/>
  <c r="O975" i="5"/>
  <c r="O974" i="5"/>
  <c r="O973" i="5"/>
  <c r="O972" i="5"/>
  <c r="O971" i="5"/>
  <c r="O970" i="5"/>
  <c r="O969" i="5"/>
  <c r="O968" i="5"/>
  <c r="O967" i="5"/>
  <c r="O966" i="5"/>
  <c r="O965" i="5"/>
  <c r="O964" i="5"/>
  <c r="O963" i="5"/>
  <c r="O962" i="5"/>
  <c r="O961" i="5"/>
  <c r="O960" i="5"/>
  <c r="O959" i="5"/>
  <c r="O958" i="5"/>
  <c r="O957" i="5"/>
  <c r="O956" i="5"/>
  <c r="O955" i="5"/>
  <c r="O954" i="5"/>
  <c r="O953" i="5"/>
  <c r="O952" i="5"/>
  <c r="O951" i="5"/>
  <c r="O950" i="5"/>
  <c r="O949" i="5"/>
  <c r="O948" i="5"/>
  <c r="O947" i="5"/>
  <c r="O946" i="5"/>
  <c r="O945" i="5"/>
  <c r="O944" i="5"/>
  <c r="O943" i="5"/>
  <c r="O942" i="5"/>
  <c r="O941" i="5"/>
  <c r="O940" i="5"/>
  <c r="O939" i="5"/>
  <c r="O938" i="5"/>
  <c r="O937" i="5"/>
  <c r="O936" i="5"/>
  <c r="O935" i="5"/>
  <c r="O934" i="5"/>
  <c r="O933" i="5"/>
  <c r="O932" i="5"/>
  <c r="O931" i="5"/>
  <c r="O930" i="5"/>
  <c r="O929" i="5"/>
  <c r="O928" i="5"/>
  <c r="O927" i="5"/>
  <c r="O926" i="5"/>
  <c r="O925" i="5"/>
  <c r="O924" i="5"/>
  <c r="O923" i="5"/>
  <c r="O922" i="5"/>
  <c r="O921" i="5"/>
  <c r="O920" i="5"/>
  <c r="O919" i="5"/>
  <c r="O918" i="5"/>
  <c r="O917" i="5"/>
  <c r="O916" i="5"/>
  <c r="O915" i="5"/>
  <c r="O914" i="5"/>
  <c r="O913" i="5"/>
  <c r="O912" i="5"/>
  <c r="O911" i="5"/>
  <c r="O910" i="5"/>
  <c r="O909" i="5"/>
  <c r="O908" i="5"/>
  <c r="O907" i="5"/>
  <c r="O906" i="5"/>
  <c r="O905" i="5"/>
  <c r="O904" i="5"/>
  <c r="O903" i="5"/>
  <c r="O902" i="5"/>
  <c r="O901" i="5"/>
  <c r="O900" i="5"/>
  <c r="O899" i="5"/>
  <c r="O898" i="5"/>
  <c r="O897" i="5"/>
  <c r="O896" i="5"/>
  <c r="O895" i="5"/>
  <c r="O894" i="5"/>
  <c r="O893" i="5"/>
  <c r="O892" i="5"/>
  <c r="O891" i="5"/>
  <c r="O890" i="5"/>
  <c r="O889" i="5"/>
  <c r="O888" i="5"/>
  <c r="O887" i="5"/>
  <c r="O886" i="5"/>
  <c r="O885" i="5"/>
  <c r="O884" i="5"/>
  <c r="O883" i="5"/>
  <c r="O882" i="5"/>
  <c r="O881" i="5"/>
  <c r="O880" i="5"/>
  <c r="O879" i="5"/>
  <c r="O878" i="5"/>
  <c r="O877" i="5"/>
  <c r="O876" i="5"/>
  <c r="O875" i="5"/>
  <c r="O874" i="5"/>
  <c r="O873" i="5"/>
  <c r="O872" i="5"/>
  <c r="O871" i="5"/>
  <c r="O870" i="5"/>
  <c r="O869" i="5"/>
  <c r="O868" i="5"/>
  <c r="O867" i="5"/>
  <c r="O866" i="5"/>
  <c r="O865" i="5"/>
  <c r="O864" i="5"/>
  <c r="O863" i="5"/>
  <c r="O862" i="5"/>
  <c r="O861" i="5"/>
  <c r="O860" i="5"/>
  <c r="O859" i="5"/>
  <c r="O858" i="5"/>
  <c r="O857" i="5"/>
  <c r="O856" i="5"/>
  <c r="O855" i="5"/>
  <c r="O854" i="5"/>
  <c r="O853" i="5"/>
  <c r="O852" i="5"/>
  <c r="O851" i="5"/>
  <c r="O850" i="5"/>
  <c r="O849" i="5"/>
  <c r="O848" i="5"/>
  <c r="O847" i="5"/>
  <c r="O846" i="5"/>
  <c r="O845" i="5"/>
  <c r="O844" i="5"/>
  <c r="O843" i="5"/>
  <c r="O842" i="5"/>
  <c r="O841" i="5"/>
  <c r="O840" i="5"/>
  <c r="O839" i="5"/>
  <c r="O838" i="5"/>
  <c r="O837" i="5"/>
  <c r="O836" i="5"/>
  <c r="O835" i="5"/>
  <c r="O834" i="5"/>
  <c r="O833" i="5"/>
  <c r="O832" i="5"/>
  <c r="O831" i="5"/>
  <c r="O830" i="5"/>
  <c r="O829" i="5"/>
  <c r="O828" i="5"/>
  <c r="O827" i="5"/>
  <c r="O826" i="5"/>
  <c r="O825" i="5"/>
  <c r="O824" i="5"/>
  <c r="O823" i="5"/>
  <c r="O822" i="5"/>
  <c r="O821" i="5"/>
  <c r="O820" i="5"/>
  <c r="O819" i="5"/>
  <c r="O818" i="5"/>
  <c r="O817" i="5"/>
  <c r="O816" i="5"/>
  <c r="O815" i="5"/>
  <c r="O814" i="5"/>
  <c r="O813" i="5"/>
  <c r="O812" i="5"/>
  <c r="O811" i="5"/>
  <c r="O810" i="5"/>
  <c r="O809" i="5"/>
  <c r="O808" i="5"/>
  <c r="O807" i="5"/>
  <c r="O806" i="5"/>
  <c r="O805" i="5"/>
  <c r="O804" i="5"/>
  <c r="O803" i="5"/>
  <c r="O802" i="5"/>
  <c r="O801" i="5"/>
  <c r="O800" i="5"/>
  <c r="O799" i="5"/>
  <c r="O798" i="5"/>
  <c r="O797" i="5"/>
  <c r="O796" i="5"/>
  <c r="O795" i="5"/>
  <c r="O794" i="5"/>
  <c r="O793" i="5"/>
  <c r="O792" i="5"/>
  <c r="O791" i="5"/>
  <c r="O790" i="5"/>
  <c r="O789" i="5"/>
  <c r="O788" i="5"/>
  <c r="O787" i="5"/>
  <c r="O786" i="5"/>
  <c r="O785" i="5"/>
  <c r="O784" i="5"/>
  <c r="O783" i="5"/>
  <c r="O782" i="5"/>
  <c r="O781" i="5"/>
  <c r="O780" i="5"/>
  <c r="O779" i="5"/>
  <c r="O778" i="5"/>
  <c r="O777" i="5"/>
  <c r="O776" i="5"/>
  <c r="O775" i="5"/>
  <c r="O774" i="5"/>
  <c r="O773" i="5"/>
  <c r="O772" i="5"/>
  <c r="O771" i="5"/>
  <c r="O770" i="5"/>
  <c r="O769" i="5"/>
  <c r="O768" i="5"/>
  <c r="O767" i="5"/>
  <c r="O766" i="5"/>
  <c r="O765" i="5"/>
  <c r="O764" i="5"/>
  <c r="O763" i="5"/>
  <c r="O762" i="5"/>
  <c r="O761" i="5"/>
  <c r="O760" i="5"/>
  <c r="O759" i="5"/>
  <c r="O758" i="5"/>
  <c r="O757" i="5"/>
  <c r="O756" i="5"/>
  <c r="O755" i="5"/>
  <c r="O754" i="5"/>
  <c r="O753" i="5"/>
  <c r="O752" i="5"/>
  <c r="O751" i="5"/>
  <c r="O750" i="5"/>
  <c r="O749" i="5"/>
  <c r="O748" i="5"/>
  <c r="O747" i="5"/>
  <c r="O746" i="5"/>
  <c r="O745" i="5"/>
  <c r="O744" i="5"/>
  <c r="O743" i="5"/>
  <c r="O742" i="5"/>
  <c r="O741" i="5"/>
  <c r="O740" i="5"/>
  <c r="O739" i="5"/>
  <c r="O738" i="5"/>
  <c r="O737" i="5"/>
  <c r="O736" i="5"/>
  <c r="O735" i="5"/>
  <c r="O734" i="5"/>
  <c r="O733" i="5"/>
  <c r="O732" i="5"/>
  <c r="O731" i="5"/>
  <c r="O730" i="5"/>
  <c r="O729" i="5"/>
  <c r="O728" i="5"/>
  <c r="O727" i="5"/>
  <c r="O726" i="5"/>
  <c r="O725" i="5"/>
  <c r="O724" i="5"/>
  <c r="O723" i="5"/>
  <c r="O722" i="5"/>
  <c r="O721" i="5"/>
  <c r="O720" i="5"/>
  <c r="O719" i="5"/>
  <c r="O718" i="5"/>
  <c r="O717" i="5"/>
  <c r="O716" i="5"/>
  <c r="O715" i="5"/>
  <c r="O714" i="5"/>
  <c r="O713" i="5"/>
  <c r="O712" i="5"/>
  <c r="O711" i="5"/>
  <c r="O710" i="5"/>
  <c r="O709" i="5"/>
  <c r="O708" i="5"/>
  <c r="O707" i="5"/>
  <c r="O706" i="5"/>
  <c r="O705" i="5"/>
  <c r="O704" i="5"/>
  <c r="O703" i="5"/>
  <c r="O702" i="5"/>
  <c r="O701" i="5"/>
  <c r="O700" i="5"/>
  <c r="O699" i="5"/>
  <c r="O698" i="5"/>
  <c r="O697" i="5"/>
  <c r="O696" i="5"/>
  <c r="O695" i="5"/>
  <c r="O694" i="5"/>
  <c r="O693" i="5"/>
  <c r="O692" i="5"/>
  <c r="O691" i="5"/>
  <c r="O690" i="5"/>
  <c r="O689" i="5"/>
  <c r="O688" i="5"/>
  <c r="O687" i="5"/>
  <c r="O686" i="5"/>
  <c r="O685" i="5"/>
  <c r="O684" i="5"/>
  <c r="O683" i="5"/>
  <c r="O682" i="5"/>
  <c r="O681" i="5"/>
  <c r="O680" i="5"/>
  <c r="O679" i="5"/>
  <c r="O678" i="5"/>
  <c r="O677" i="5"/>
  <c r="O676" i="5"/>
  <c r="O675" i="5"/>
  <c r="O674" i="5"/>
  <c r="O673" i="5"/>
  <c r="O672" i="5"/>
  <c r="O671" i="5"/>
  <c r="O670" i="5"/>
  <c r="O669" i="5"/>
  <c r="O668" i="5"/>
  <c r="O667" i="5"/>
  <c r="O666" i="5"/>
  <c r="O665" i="5"/>
  <c r="O664" i="5"/>
  <c r="O663" i="5"/>
  <c r="O662" i="5"/>
  <c r="O661" i="5"/>
  <c r="O660" i="5"/>
  <c r="O659" i="5"/>
  <c r="O658" i="5"/>
  <c r="O657" i="5"/>
  <c r="O656" i="5"/>
  <c r="O655" i="5"/>
  <c r="O654" i="5"/>
  <c r="O653" i="5"/>
  <c r="O652" i="5"/>
  <c r="O651" i="5"/>
  <c r="O650" i="5"/>
  <c r="O649" i="5"/>
  <c r="O648" i="5"/>
  <c r="O647" i="5"/>
  <c r="O646" i="5"/>
  <c r="O645" i="5"/>
  <c r="O644" i="5"/>
  <c r="O643" i="5"/>
  <c r="O642" i="5"/>
  <c r="O641" i="5"/>
  <c r="O640" i="5"/>
  <c r="O639" i="5"/>
  <c r="O638" i="5"/>
  <c r="O637" i="5"/>
  <c r="O636" i="5"/>
  <c r="O635" i="5"/>
  <c r="O634" i="5"/>
  <c r="O633" i="5"/>
  <c r="O632" i="5"/>
  <c r="O631" i="5"/>
  <c r="O630" i="5"/>
  <c r="O629" i="5"/>
  <c r="O628" i="5"/>
  <c r="O627" i="5"/>
  <c r="O626" i="5"/>
  <c r="O625" i="5"/>
  <c r="O624" i="5"/>
  <c r="O623" i="5"/>
  <c r="O622" i="5"/>
  <c r="O621" i="5"/>
  <c r="O620" i="5"/>
  <c r="O619" i="5"/>
  <c r="O618" i="5"/>
  <c r="O617" i="5"/>
  <c r="O616" i="5"/>
  <c r="O615" i="5"/>
  <c r="O614" i="5"/>
  <c r="O613" i="5"/>
  <c r="O612" i="5"/>
  <c r="O611" i="5"/>
  <c r="O610" i="5"/>
  <c r="O609" i="5"/>
  <c r="O608" i="5"/>
  <c r="O607" i="5"/>
  <c r="O606" i="5"/>
  <c r="O605" i="5"/>
  <c r="O604" i="5"/>
  <c r="O603" i="5"/>
  <c r="O602" i="5"/>
  <c r="O601" i="5"/>
  <c r="O600" i="5"/>
  <c r="O599" i="5"/>
  <c r="O598" i="5"/>
  <c r="O597" i="5"/>
  <c r="O596" i="5"/>
  <c r="O595" i="5"/>
  <c r="O594" i="5"/>
  <c r="O593" i="5"/>
  <c r="O592" i="5"/>
  <c r="O591" i="5"/>
  <c r="O590" i="5"/>
  <c r="O589" i="5"/>
  <c r="O588" i="5"/>
  <c r="O587" i="5"/>
  <c r="O586" i="5"/>
  <c r="O585" i="5"/>
  <c r="O584" i="5"/>
  <c r="O583" i="5"/>
  <c r="O582" i="5"/>
  <c r="O581" i="5"/>
  <c r="O580" i="5"/>
  <c r="O579" i="5"/>
  <c r="O578" i="5"/>
  <c r="O577" i="5"/>
  <c r="O576" i="5"/>
  <c r="O575" i="5"/>
  <c r="O574" i="5"/>
  <c r="O573" i="5"/>
  <c r="O572" i="5"/>
  <c r="O571" i="5"/>
  <c r="O570" i="5"/>
  <c r="O569" i="5"/>
  <c r="O568" i="5"/>
  <c r="O567" i="5"/>
  <c r="O566" i="5"/>
  <c r="O565" i="5"/>
  <c r="O564" i="5"/>
  <c r="O563" i="5"/>
  <c r="O562" i="5"/>
  <c r="O561" i="5"/>
  <c r="O560" i="5"/>
  <c r="O559" i="5"/>
  <c r="O558" i="5"/>
  <c r="O557" i="5"/>
  <c r="O556" i="5"/>
  <c r="O555" i="5"/>
  <c r="O554" i="5"/>
  <c r="O553" i="5"/>
  <c r="O552" i="5"/>
  <c r="O551" i="5"/>
  <c r="O550" i="5"/>
  <c r="O549" i="5"/>
  <c r="O548" i="5"/>
  <c r="O547" i="5"/>
  <c r="O546" i="5"/>
  <c r="O545" i="5"/>
  <c r="O544" i="5"/>
  <c r="O543" i="5"/>
  <c r="O542" i="5"/>
  <c r="O541" i="5"/>
  <c r="O540" i="5"/>
  <c r="O539" i="5"/>
  <c r="O538" i="5"/>
  <c r="O537" i="5"/>
  <c r="O536" i="5"/>
  <c r="O535" i="5"/>
  <c r="O534" i="5"/>
  <c r="O533" i="5"/>
  <c r="O532" i="5"/>
  <c r="O531" i="5"/>
  <c r="O530" i="5"/>
  <c r="O529" i="5"/>
  <c r="O528" i="5"/>
  <c r="O527" i="5"/>
  <c r="O526" i="5"/>
  <c r="O525" i="5"/>
  <c r="O524" i="5"/>
  <c r="O523" i="5"/>
  <c r="O522" i="5"/>
  <c r="O521" i="5"/>
  <c r="O520" i="5"/>
  <c r="O519" i="5"/>
  <c r="O518" i="5"/>
  <c r="O517" i="5"/>
  <c r="O516" i="5"/>
  <c r="O515" i="5"/>
  <c r="O514" i="5"/>
  <c r="O513" i="5"/>
  <c r="O512" i="5"/>
  <c r="O511" i="5"/>
  <c r="O510" i="5"/>
  <c r="O509" i="5"/>
  <c r="O508" i="5"/>
  <c r="O507" i="5"/>
  <c r="O506" i="5"/>
  <c r="O505" i="5"/>
  <c r="O504" i="5"/>
  <c r="O503" i="5"/>
  <c r="O502" i="5"/>
  <c r="O501" i="5"/>
  <c r="O500" i="5"/>
  <c r="O499" i="5"/>
  <c r="O498" i="5"/>
  <c r="O497" i="5"/>
  <c r="O496" i="5"/>
  <c r="O495" i="5"/>
  <c r="O494" i="5"/>
  <c r="O493" i="5"/>
  <c r="O492" i="5"/>
  <c r="O491" i="5"/>
  <c r="O490" i="5"/>
  <c r="O489" i="5"/>
  <c r="O488" i="5"/>
  <c r="O487" i="5"/>
  <c r="O486" i="5"/>
  <c r="O485" i="5"/>
  <c r="O484" i="5"/>
  <c r="O483" i="5"/>
  <c r="O482" i="5"/>
  <c r="O481" i="5"/>
  <c r="O480" i="5"/>
  <c r="O479" i="5"/>
  <c r="O478" i="5"/>
  <c r="O477" i="5"/>
  <c r="O476" i="5"/>
  <c r="O475" i="5"/>
  <c r="O474" i="5"/>
  <c r="O473" i="5"/>
  <c r="O472" i="5"/>
  <c r="O471" i="5"/>
  <c r="O470" i="5"/>
  <c r="O469" i="5"/>
  <c r="O468" i="5"/>
  <c r="O467" i="5"/>
  <c r="O466" i="5"/>
  <c r="O465" i="5"/>
  <c r="O464" i="5"/>
  <c r="O463" i="5"/>
  <c r="O462" i="5"/>
  <c r="O461" i="5"/>
  <c r="O460" i="5"/>
  <c r="O459" i="5"/>
  <c r="O458" i="5"/>
  <c r="O457" i="5"/>
  <c r="O456" i="5"/>
  <c r="O455" i="5"/>
  <c r="O454" i="5"/>
  <c r="O453" i="5"/>
  <c r="O452" i="5"/>
  <c r="O451" i="5"/>
  <c r="O450" i="5"/>
  <c r="O449" i="5"/>
  <c r="O448" i="5"/>
  <c r="O447" i="5"/>
  <c r="O446" i="5"/>
  <c r="O445" i="5"/>
  <c r="O444" i="5"/>
  <c r="O443" i="5"/>
  <c r="O442" i="5"/>
  <c r="O441" i="5"/>
  <c r="O440" i="5"/>
  <c r="O439" i="5"/>
  <c r="O438" i="5"/>
  <c r="O437" i="5"/>
  <c r="O436" i="5"/>
  <c r="O435" i="5"/>
  <c r="O434" i="5"/>
  <c r="O433" i="5"/>
  <c r="O432" i="5"/>
  <c r="O431" i="5"/>
  <c r="O430" i="5"/>
  <c r="O429" i="5"/>
  <c r="O428" i="5"/>
  <c r="O427" i="5"/>
  <c r="O426" i="5"/>
  <c r="O425" i="5"/>
  <c r="O424" i="5"/>
  <c r="O423" i="5"/>
  <c r="O422" i="5"/>
  <c r="O421" i="5"/>
  <c r="O420" i="5"/>
  <c r="O419" i="5"/>
  <c r="O418" i="5"/>
  <c r="O417" i="5"/>
  <c r="O416" i="5"/>
  <c r="O415" i="5"/>
  <c r="O414" i="5"/>
  <c r="O413" i="5"/>
  <c r="O412" i="5"/>
  <c r="O411" i="5"/>
  <c r="O410" i="5"/>
  <c r="O409" i="5"/>
  <c r="O408" i="5"/>
  <c r="O407" i="5"/>
  <c r="O406" i="5"/>
  <c r="O405" i="5"/>
  <c r="O404" i="5"/>
  <c r="O403" i="5"/>
  <c r="O402" i="5"/>
  <c r="O401" i="5"/>
  <c r="O400" i="5"/>
  <c r="O399" i="5"/>
  <c r="O398" i="5"/>
  <c r="O397" i="5"/>
  <c r="O396" i="5"/>
  <c r="O395" i="5"/>
  <c r="O394" i="5"/>
  <c r="O393" i="5"/>
  <c r="O392" i="5"/>
  <c r="O391" i="5"/>
  <c r="O390" i="5"/>
  <c r="O389" i="5"/>
  <c r="O388" i="5"/>
  <c r="O387" i="5"/>
  <c r="O386" i="5"/>
  <c r="O385" i="5"/>
  <c r="O384" i="5"/>
  <c r="O383" i="5"/>
  <c r="O382" i="5"/>
  <c r="O381" i="5"/>
  <c r="O380" i="5"/>
  <c r="O379" i="5"/>
  <c r="O378" i="5"/>
  <c r="O377" i="5"/>
  <c r="O376" i="5"/>
  <c r="O375" i="5"/>
  <c r="O374" i="5"/>
  <c r="O373" i="5"/>
  <c r="O372" i="5"/>
  <c r="O371" i="5"/>
  <c r="N998" i="5"/>
  <c r="N997" i="5"/>
  <c r="N996" i="5"/>
  <c r="N995" i="5"/>
  <c r="N994" i="5"/>
  <c r="N993" i="5"/>
  <c r="N992" i="5"/>
  <c r="N991" i="5"/>
  <c r="N990" i="5"/>
  <c r="N989" i="5"/>
  <c r="N988" i="5"/>
  <c r="N987" i="5"/>
  <c r="N986" i="5"/>
  <c r="N985" i="5"/>
  <c r="N984" i="5"/>
  <c r="N983" i="5"/>
  <c r="N982" i="5"/>
  <c r="N981" i="5"/>
  <c r="N980" i="5"/>
  <c r="N979" i="5"/>
  <c r="N978" i="5"/>
  <c r="N977" i="5"/>
  <c r="N976" i="5"/>
  <c r="N975" i="5"/>
  <c r="N974" i="5"/>
  <c r="N973" i="5"/>
  <c r="N972" i="5"/>
  <c r="N971" i="5"/>
  <c r="N970" i="5"/>
  <c r="N969" i="5"/>
  <c r="N968" i="5"/>
  <c r="N967" i="5"/>
  <c r="N966" i="5"/>
  <c r="N965" i="5"/>
  <c r="N964" i="5"/>
  <c r="N963" i="5"/>
  <c r="N962" i="5"/>
  <c r="N961" i="5"/>
  <c r="N960" i="5"/>
  <c r="N959" i="5"/>
  <c r="N958" i="5"/>
  <c r="N957" i="5"/>
  <c r="N956" i="5"/>
  <c r="N955" i="5"/>
  <c r="N954" i="5"/>
  <c r="N953" i="5"/>
  <c r="N952" i="5"/>
  <c r="N951" i="5"/>
  <c r="N950" i="5"/>
  <c r="N949" i="5"/>
  <c r="N948" i="5"/>
  <c r="N947" i="5"/>
  <c r="N946" i="5"/>
  <c r="N945" i="5"/>
  <c r="N944" i="5"/>
  <c r="N943" i="5"/>
  <c r="N942" i="5"/>
  <c r="N941" i="5"/>
  <c r="N940" i="5"/>
  <c r="N939" i="5"/>
  <c r="N938" i="5"/>
  <c r="N937" i="5"/>
  <c r="N936" i="5"/>
  <c r="N935" i="5"/>
  <c r="N934" i="5"/>
  <c r="N933" i="5"/>
  <c r="N932" i="5"/>
  <c r="N931" i="5"/>
  <c r="N930" i="5"/>
  <c r="N929" i="5"/>
  <c r="N928" i="5"/>
  <c r="N927" i="5"/>
  <c r="N926" i="5"/>
  <c r="N925" i="5"/>
  <c r="N924" i="5"/>
  <c r="N923" i="5"/>
  <c r="N922" i="5"/>
  <c r="N921" i="5"/>
  <c r="N920" i="5"/>
  <c r="N919" i="5"/>
  <c r="N918" i="5"/>
  <c r="N917" i="5"/>
  <c r="N916" i="5"/>
  <c r="N915" i="5"/>
  <c r="N914" i="5"/>
  <c r="N913" i="5"/>
  <c r="N912" i="5"/>
  <c r="N911" i="5"/>
  <c r="N910" i="5"/>
  <c r="N909" i="5"/>
  <c r="N908" i="5"/>
  <c r="N907" i="5"/>
  <c r="N906" i="5"/>
  <c r="N905" i="5"/>
  <c r="N904" i="5"/>
  <c r="N903" i="5"/>
  <c r="N902" i="5"/>
  <c r="N901" i="5"/>
  <c r="N900" i="5"/>
  <c r="N899" i="5"/>
  <c r="N898" i="5"/>
  <c r="N897" i="5"/>
  <c r="N896" i="5"/>
  <c r="N895" i="5"/>
  <c r="N894" i="5"/>
  <c r="N893" i="5"/>
  <c r="N892" i="5"/>
  <c r="N891" i="5"/>
  <c r="N890" i="5"/>
  <c r="N889" i="5"/>
  <c r="N888" i="5"/>
  <c r="N887" i="5"/>
  <c r="N886" i="5"/>
  <c r="N885" i="5"/>
  <c r="N884" i="5"/>
  <c r="N883" i="5"/>
  <c r="N882" i="5"/>
  <c r="N881" i="5"/>
  <c r="N880" i="5"/>
  <c r="N879" i="5"/>
  <c r="N878" i="5"/>
  <c r="N877" i="5"/>
  <c r="N876" i="5"/>
  <c r="N875" i="5"/>
  <c r="N874" i="5"/>
  <c r="N873" i="5"/>
  <c r="N872" i="5"/>
  <c r="N871" i="5"/>
  <c r="N870" i="5"/>
  <c r="N869" i="5"/>
  <c r="N868" i="5"/>
  <c r="N867" i="5"/>
  <c r="N866" i="5"/>
  <c r="N865" i="5"/>
  <c r="N864" i="5"/>
  <c r="N863" i="5"/>
  <c r="N862" i="5"/>
  <c r="N861" i="5"/>
  <c r="N860" i="5"/>
  <c r="N859" i="5"/>
  <c r="N858" i="5"/>
  <c r="N857" i="5"/>
  <c r="N856" i="5"/>
  <c r="N855" i="5"/>
  <c r="N854" i="5"/>
  <c r="N853" i="5"/>
  <c r="N852" i="5"/>
  <c r="N851" i="5"/>
  <c r="N850" i="5"/>
  <c r="N849" i="5"/>
  <c r="N848" i="5"/>
  <c r="N847" i="5"/>
  <c r="N846" i="5"/>
  <c r="N845" i="5"/>
  <c r="N844" i="5"/>
  <c r="N843" i="5"/>
  <c r="N842" i="5"/>
  <c r="N841" i="5"/>
  <c r="N840" i="5"/>
  <c r="N839" i="5"/>
  <c r="N838" i="5"/>
  <c r="N837" i="5"/>
  <c r="N836" i="5"/>
  <c r="N835" i="5"/>
  <c r="N834" i="5"/>
  <c r="N833" i="5"/>
  <c r="N832" i="5"/>
  <c r="N831" i="5"/>
  <c r="N830" i="5"/>
  <c r="N829" i="5"/>
  <c r="N828" i="5"/>
  <c r="N827" i="5"/>
  <c r="N826" i="5"/>
  <c r="N825" i="5"/>
  <c r="N824" i="5"/>
  <c r="N823" i="5"/>
  <c r="N822" i="5"/>
  <c r="N821" i="5"/>
  <c r="N820" i="5"/>
  <c r="N819" i="5"/>
  <c r="N818" i="5"/>
  <c r="N817" i="5"/>
  <c r="N816" i="5"/>
  <c r="N815" i="5"/>
  <c r="N814" i="5"/>
  <c r="N813" i="5"/>
  <c r="N812" i="5"/>
  <c r="N811" i="5"/>
  <c r="N810" i="5"/>
  <c r="N809" i="5"/>
  <c r="N808" i="5"/>
  <c r="N807" i="5"/>
  <c r="N806" i="5"/>
  <c r="N805" i="5"/>
  <c r="N804" i="5"/>
  <c r="N803" i="5"/>
  <c r="N802" i="5"/>
  <c r="N801" i="5"/>
  <c r="N800" i="5"/>
  <c r="N799" i="5"/>
  <c r="N798" i="5"/>
  <c r="N797" i="5"/>
  <c r="N796" i="5"/>
  <c r="N795" i="5"/>
  <c r="N794" i="5"/>
  <c r="N793" i="5"/>
  <c r="N792" i="5"/>
  <c r="N791" i="5"/>
  <c r="N790" i="5"/>
  <c r="N789" i="5"/>
  <c r="N788" i="5"/>
  <c r="N787" i="5"/>
  <c r="N786" i="5"/>
  <c r="N785" i="5"/>
  <c r="N784" i="5"/>
  <c r="N783" i="5"/>
  <c r="N782" i="5"/>
  <c r="N781" i="5"/>
  <c r="N780" i="5"/>
  <c r="N779" i="5"/>
  <c r="N778" i="5"/>
  <c r="N777" i="5"/>
  <c r="N776" i="5"/>
  <c r="N775" i="5"/>
  <c r="N774" i="5"/>
  <c r="N773" i="5"/>
  <c r="N772" i="5"/>
  <c r="N771" i="5"/>
  <c r="N770" i="5"/>
  <c r="N769" i="5"/>
  <c r="N768" i="5"/>
  <c r="N767" i="5"/>
  <c r="N766" i="5"/>
  <c r="N765" i="5"/>
  <c r="N764" i="5"/>
  <c r="N763" i="5"/>
  <c r="N762" i="5"/>
  <c r="N761" i="5"/>
  <c r="N760" i="5"/>
  <c r="N759" i="5"/>
  <c r="N758" i="5"/>
  <c r="N757" i="5"/>
  <c r="N756" i="5"/>
  <c r="N755" i="5"/>
  <c r="N754" i="5"/>
  <c r="N753" i="5"/>
  <c r="N752" i="5"/>
  <c r="N751" i="5"/>
  <c r="N750" i="5"/>
  <c r="N749" i="5"/>
  <c r="N748" i="5"/>
  <c r="N747" i="5"/>
  <c r="N746" i="5"/>
  <c r="N745" i="5"/>
  <c r="N744" i="5"/>
  <c r="N743" i="5"/>
  <c r="N742" i="5"/>
  <c r="N741" i="5"/>
  <c r="N740" i="5"/>
  <c r="N739" i="5"/>
  <c r="N738" i="5"/>
  <c r="N737" i="5"/>
  <c r="N736" i="5"/>
  <c r="N735" i="5"/>
  <c r="N734" i="5"/>
  <c r="N733" i="5"/>
  <c r="N732" i="5"/>
  <c r="N731" i="5"/>
  <c r="N730" i="5"/>
  <c r="N729" i="5"/>
  <c r="N728" i="5"/>
  <c r="N727" i="5"/>
  <c r="N726" i="5"/>
  <c r="N725" i="5"/>
  <c r="N724" i="5"/>
  <c r="N723" i="5"/>
  <c r="N722" i="5"/>
  <c r="N721" i="5"/>
  <c r="N720" i="5"/>
  <c r="N719" i="5"/>
  <c r="N718" i="5"/>
  <c r="N717" i="5"/>
  <c r="N716" i="5"/>
  <c r="N715" i="5"/>
  <c r="N714" i="5"/>
  <c r="N713" i="5"/>
  <c r="N712" i="5"/>
  <c r="N711" i="5"/>
  <c r="N710" i="5"/>
  <c r="N709" i="5"/>
  <c r="N708" i="5"/>
  <c r="N707" i="5"/>
  <c r="N706" i="5"/>
  <c r="N705" i="5"/>
  <c r="N704" i="5"/>
  <c r="N703" i="5"/>
  <c r="N702" i="5"/>
  <c r="N701" i="5"/>
  <c r="N700" i="5"/>
  <c r="N699" i="5"/>
  <c r="N698" i="5"/>
  <c r="N697" i="5"/>
  <c r="N696" i="5"/>
  <c r="N695" i="5"/>
  <c r="N694" i="5"/>
  <c r="N693" i="5"/>
  <c r="N692" i="5"/>
  <c r="N691" i="5"/>
  <c r="N690" i="5"/>
  <c r="N689" i="5"/>
  <c r="N688" i="5"/>
  <c r="N687" i="5"/>
  <c r="N686" i="5"/>
  <c r="N685" i="5"/>
  <c r="N684" i="5"/>
  <c r="N683" i="5"/>
  <c r="N682" i="5"/>
  <c r="N681" i="5"/>
  <c r="N680" i="5"/>
  <c r="N679" i="5"/>
  <c r="N678" i="5"/>
  <c r="N677" i="5"/>
  <c r="N676" i="5"/>
  <c r="N675" i="5"/>
  <c r="N674" i="5"/>
  <c r="N673" i="5"/>
  <c r="N672" i="5"/>
  <c r="N671" i="5"/>
  <c r="N670" i="5"/>
  <c r="N669" i="5"/>
  <c r="N668" i="5"/>
  <c r="N667" i="5"/>
  <c r="N666" i="5"/>
  <c r="N665" i="5"/>
  <c r="N664" i="5"/>
  <c r="N663" i="5"/>
  <c r="N662" i="5"/>
  <c r="N661" i="5"/>
  <c r="N660" i="5"/>
  <c r="N659" i="5"/>
  <c r="N658" i="5"/>
  <c r="N657" i="5"/>
  <c r="N656" i="5"/>
  <c r="N655" i="5"/>
  <c r="N654" i="5"/>
  <c r="N653" i="5"/>
  <c r="N652" i="5"/>
  <c r="N651" i="5"/>
  <c r="N650" i="5"/>
  <c r="N649" i="5"/>
  <c r="N648" i="5"/>
  <c r="N647" i="5"/>
  <c r="N646" i="5"/>
  <c r="N645" i="5"/>
  <c r="N644" i="5"/>
  <c r="N643" i="5"/>
  <c r="N642" i="5"/>
  <c r="N641" i="5"/>
  <c r="N640" i="5"/>
  <c r="N639" i="5"/>
  <c r="N638" i="5"/>
  <c r="N637" i="5"/>
  <c r="N636" i="5"/>
  <c r="N635" i="5"/>
  <c r="N634" i="5"/>
  <c r="N633" i="5"/>
  <c r="N632" i="5"/>
  <c r="N631" i="5"/>
  <c r="N630" i="5"/>
  <c r="N629" i="5"/>
  <c r="N628" i="5"/>
  <c r="N627" i="5"/>
  <c r="N626" i="5"/>
  <c r="N625" i="5"/>
  <c r="N624" i="5"/>
  <c r="N623" i="5"/>
  <c r="N622" i="5"/>
  <c r="N621" i="5"/>
  <c r="N620" i="5"/>
  <c r="N619" i="5"/>
  <c r="N618" i="5"/>
  <c r="N617" i="5"/>
  <c r="N616" i="5"/>
  <c r="N615" i="5"/>
  <c r="N614" i="5"/>
  <c r="N613" i="5"/>
  <c r="N612" i="5"/>
  <c r="N611" i="5"/>
  <c r="N610" i="5"/>
  <c r="N609" i="5"/>
  <c r="N608" i="5"/>
  <c r="N607" i="5"/>
  <c r="N606" i="5"/>
  <c r="N605" i="5"/>
  <c r="N604" i="5"/>
  <c r="N603" i="5"/>
  <c r="N602" i="5"/>
  <c r="N601" i="5"/>
  <c r="N600" i="5"/>
  <c r="N599" i="5"/>
  <c r="N598" i="5"/>
  <c r="N597" i="5"/>
  <c r="N596" i="5"/>
  <c r="N595" i="5"/>
  <c r="N594" i="5"/>
  <c r="N593" i="5"/>
  <c r="N592" i="5"/>
  <c r="N591" i="5"/>
  <c r="N590" i="5"/>
  <c r="N589" i="5"/>
  <c r="N588" i="5"/>
  <c r="N587" i="5"/>
  <c r="N586" i="5"/>
  <c r="N585" i="5"/>
  <c r="N584" i="5"/>
  <c r="N583" i="5"/>
  <c r="N582" i="5"/>
  <c r="N581" i="5"/>
  <c r="N580" i="5"/>
  <c r="N579" i="5"/>
  <c r="N578" i="5"/>
  <c r="N577" i="5"/>
  <c r="N576" i="5"/>
  <c r="N575" i="5"/>
  <c r="N574" i="5"/>
  <c r="N573" i="5"/>
  <c r="N572" i="5"/>
  <c r="N571" i="5"/>
  <c r="N570" i="5"/>
  <c r="N569" i="5"/>
  <c r="N568" i="5"/>
  <c r="N567" i="5"/>
  <c r="N566" i="5"/>
  <c r="N565" i="5"/>
  <c r="N564" i="5"/>
  <c r="N563" i="5"/>
  <c r="N562" i="5"/>
  <c r="N561" i="5"/>
  <c r="N560" i="5"/>
  <c r="N559" i="5"/>
  <c r="N558" i="5"/>
  <c r="N557" i="5"/>
  <c r="N556" i="5"/>
  <c r="N555" i="5"/>
  <c r="N554" i="5"/>
  <c r="N553" i="5"/>
  <c r="N552" i="5"/>
  <c r="N551" i="5"/>
  <c r="N550" i="5"/>
  <c r="N549" i="5"/>
  <c r="N548" i="5"/>
  <c r="N547" i="5"/>
  <c r="N546" i="5"/>
  <c r="N545" i="5"/>
  <c r="N544" i="5"/>
  <c r="N543" i="5"/>
  <c r="N542" i="5"/>
  <c r="N541" i="5"/>
  <c r="N540" i="5"/>
  <c r="N539" i="5"/>
  <c r="N538" i="5"/>
  <c r="N537" i="5"/>
  <c r="N536" i="5"/>
  <c r="N535" i="5"/>
  <c r="N534" i="5"/>
  <c r="N533" i="5"/>
  <c r="N532" i="5"/>
  <c r="N531" i="5"/>
  <c r="N530" i="5"/>
  <c r="N529" i="5"/>
  <c r="N528" i="5"/>
  <c r="N527" i="5"/>
  <c r="N526" i="5"/>
  <c r="N525" i="5"/>
  <c r="N524" i="5"/>
  <c r="N523" i="5"/>
  <c r="N522" i="5"/>
  <c r="N521" i="5"/>
  <c r="N520" i="5"/>
  <c r="N519" i="5"/>
  <c r="N518" i="5"/>
  <c r="N517" i="5"/>
  <c r="N516" i="5"/>
  <c r="N515" i="5"/>
  <c r="N514" i="5"/>
  <c r="N513" i="5"/>
  <c r="N512" i="5"/>
  <c r="N511" i="5"/>
  <c r="N510" i="5"/>
  <c r="N509" i="5"/>
  <c r="N508" i="5"/>
  <c r="N507" i="5"/>
  <c r="N506" i="5"/>
  <c r="N505" i="5"/>
  <c r="N504" i="5"/>
  <c r="N503" i="5"/>
  <c r="N502" i="5"/>
  <c r="N501" i="5"/>
  <c r="N500" i="5"/>
  <c r="N499" i="5"/>
  <c r="N498" i="5"/>
  <c r="N497" i="5"/>
  <c r="N496" i="5"/>
  <c r="N495" i="5"/>
  <c r="N494" i="5"/>
  <c r="N493" i="5"/>
  <c r="N492" i="5"/>
  <c r="N491" i="5"/>
  <c r="N490" i="5"/>
  <c r="N489" i="5"/>
  <c r="N488" i="5"/>
  <c r="N487" i="5"/>
  <c r="N486" i="5"/>
  <c r="N485" i="5"/>
  <c r="N484" i="5"/>
  <c r="N483" i="5"/>
  <c r="N482" i="5"/>
  <c r="N481" i="5"/>
  <c r="N480" i="5"/>
  <c r="N479" i="5"/>
  <c r="N478" i="5"/>
  <c r="N477" i="5"/>
  <c r="N476" i="5"/>
  <c r="N475" i="5"/>
  <c r="N474" i="5"/>
  <c r="N473" i="5"/>
  <c r="N472" i="5"/>
  <c r="N471" i="5"/>
  <c r="N470" i="5"/>
  <c r="N469" i="5"/>
  <c r="N468" i="5"/>
  <c r="N467" i="5"/>
  <c r="N466" i="5"/>
  <c r="N465" i="5"/>
  <c r="N464" i="5"/>
  <c r="N463" i="5"/>
  <c r="N462" i="5"/>
  <c r="N461" i="5"/>
  <c r="N460" i="5"/>
  <c r="N459" i="5"/>
  <c r="N458" i="5"/>
  <c r="N457" i="5"/>
  <c r="N456" i="5"/>
  <c r="N455" i="5"/>
  <c r="N454" i="5"/>
  <c r="N453" i="5"/>
  <c r="N452" i="5"/>
  <c r="N451" i="5"/>
  <c r="N450" i="5"/>
  <c r="N449" i="5"/>
  <c r="N448" i="5"/>
  <c r="N447" i="5"/>
  <c r="N446" i="5"/>
  <c r="N445" i="5"/>
  <c r="N444" i="5"/>
  <c r="N443" i="5"/>
  <c r="N442" i="5"/>
  <c r="N441" i="5"/>
  <c r="N440" i="5"/>
  <c r="N439" i="5"/>
  <c r="N438" i="5"/>
  <c r="N437" i="5"/>
  <c r="N436" i="5"/>
  <c r="N435" i="5"/>
  <c r="N434" i="5"/>
  <c r="N433" i="5"/>
  <c r="N432" i="5"/>
  <c r="N431" i="5"/>
  <c r="N430" i="5"/>
  <c r="N429" i="5"/>
  <c r="N428" i="5"/>
  <c r="N427" i="5"/>
  <c r="N426" i="5"/>
  <c r="N425" i="5"/>
  <c r="N424" i="5"/>
  <c r="N423" i="5"/>
  <c r="N422" i="5"/>
  <c r="N421" i="5"/>
  <c r="N420" i="5"/>
  <c r="N419" i="5"/>
  <c r="N418" i="5"/>
  <c r="N417" i="5"/>
  <c r="N416" i="5"/>
  <c r="N415" i="5"/>
  <c r="N414" i="5"/>
  <c r="N413" i="5"/>
  <c r="N412" i="5"/>
  <c r="N411" i="5"/>
  <c r="N410" i="5"/>
  <c r="N409" i="5"/>
  <c r="N408" i="5"/>
  <c r="N407" i="5"/>
  <c r="N406" i="5"/>
  <c r="N405" i="5"/>
  <c r="N404" i="5"/>
  <c r="N403" i="5"/>
  <c r="N402" i="5"/>
  <c r="N401" i="5"/>
  <c r="N400" i="5"/>
  <c r="N399" i="5"/>
  <c r="N398" i="5"/>
  <c r="N397" i="5"/>
  <c r="N396" i="5"/>
  <c r="N395" i="5"/>
  <c r="N394" i="5"/>
  <c r="N393" i="5"/>
  <c r="N392" i="5"/>
  <c r="N391" i="5"/>
  <c r="N390" i="5"/>
  <c r="N389" i="5"/>
  <c r="N388" i="5"/>
  <c r="N387" i="5"/>
  <c r="N386" i="5"/>
  <c r="N385" i="5"/>
  <c r="N384" i="5"/>
  <c r="N383" i="5"/>
  <c r="N382" i="5"/>
  <c r="N381" i="5"/>
  <c r="N380" i="5"/>
  <c r="N379" i="5"/>
  <c r="N378" i="5"/>
  <c r="N377" i="5"/>
  <c r="N376" i="5"/>
  <c r="N375" i="5"/>
  <c r="N374" i="5"/>
  <c r="N373" i="5"/>
  <c r="N372" i="5"/>
  <c r="N371" i="5"/>
  <c r="N370" i="5"/>
  <c r="O370" i="5" s="1"/>
  <c r="N369" i="5"/>
  <c r="O369" i="5" s="1"/>
  <c r="N368" i="5"/>
  <c r="O368" i="5" s="1"/>
  <c r="N367" i="5"/>
  <c r="O367" i="5" s="1"/>
  <c r="N366" i="5"/>
  <c r="O366" i="5" s="1"/>
  <c r="N365" i="5"/>
  <c r="O365" i="5" s="1"/>
  <c r="N364" i="5"/>
  <c r="O364" i="5" s="1"/>
  <c r="N363" i="5"/>
  <c r="O363" i="5" s="1"/>
  <c r="N362" i="5"/>
  <c r="O362" i="5" s="1"/>
  <c r="N361" i="5"/>
  <c r="O361" i="5" s="1"/>
  <c r="N360" i="5"/>
  <c r="O360" i="5" s="1"/>
  <c r="N359" i="5"/>
  <c r="O359" i="5" s="1"/>
  <c r="N358" i="5"/>
  <c r="O358" i="5" s="1"/>
  <c r="N357" i="5"/>
  <c r="O357" i="5" s="1"/>
  <c r="N356" i="5"/>
  <c r="O356" i="5" s="1"/>
  <c r="N355" i="5"/>
  <c r="O355" i="5" s="1"/>
  <c r="N354" i="5"/>
  <c r="O354" i="5" s="1"/>
  <c r="N353" i="5"/>
  <c r="O353" i="5" s="1"/>
  <c r="N352" i="5"/>
  <c r="O352" i="5" s="1"/>
  <c r="N351" i="5"/>
  <c r="O351" i="5" s="1"/>
  <c r="N350" i="5"/>
  <c r="O350" i="5" s="1"/>
  <c r="N349" i="5"/>
  <c r="O349" i="5" s="1"/>
  <c r="N348" i="5"/>
  <c r="O348" i="5" s="1"/>
  <c r="N347" i="5"/>
  <c r="O347" i="5" s="1"/>
  <c r="N346" i="5"/>
  <c r="O346" i="5" s="1"/>
  <c r="I58" i="2" s="1"/>
  <c r="N345" i="5"/>
  <c r="O345" i="5" s="1"/>
  <c r="N344" i="5"/>
  <c r="O344" i="5" s="1"/>
  <c r="N343" i="5"/>
  <c r="O343" i="5" s="1"/>
  <c r="N342" i="5"/>
  <c r="O342" i="5" s="1"/>
  <c r="N337" i="5"/>
  <c r="O337" i="5" s="1"/>
  <c r="N336" i="5"/>
  <c r="O336" i="5" s="1"/>
  <c r="N335" i="5"/>
  <c r="O335" i="5" s="1"/>
  <c r="N334" i="5"/>
  <c r="O334" i="5" s="1"/>
  <c r="N333" i="5"/>
  <c r="O333" i="5" s="1"/>
  <c r="N332" i="5"/>
  <c r="O332" i="5" s="1"/>
  <c r="N331" i="5"/>
  <c r="O331" i="5" s="1"/>
  <c r="N330" i="5"/>
  <c r="O330" i="5" s="1"/>
  <c r="N329" i="5"/>
  <c r="O329" i="5" s="1"/>
  <c r="N328" i="5"/>
  <c r="O328" i="5" s="1"/>
  <c r="N327" i="5"/>
  <c r="O327" i="5" s="1"/>
  <c r="N326" i="5"/>
  <c r="O326" i="5" s="1"/>
  <c r="N325" i="5"/>
  <c r="O325" i="5" s="1"/>
  <c r="N324" i="5"/>
  <c r="O324" i="5" s="1"/>
  <c r="N323" i="5"/>
  <c r="O323" i="5" s="1"/>
  <c r="N322" i="5"/>
  <c r="O322" i="5" s="1"/>
  <c r="N321" i="5"/>
  <c r="O321" i="5" s="1"/>
  <c r="N320" i="5"/>
  <c r="O320" i="5" s="1"/>
  <c r="N317" i="5"/>
  <c r="O317" i="5" s="1"/>
  <c r="N316" i="5"/>
  <c r="O316" i="5" s="1"/>
  <c r="N314" i="5"/>
  <c r="O314" i="5" s="1"/>
  <c r="N313" i="5"/>
  <c r="O313" i="5" s="1"/>
  <c r="N312" i="5"/>
  <c r="O312" i="5" s="1"/>
  <c r="N311" i="5"/>
  <c r="O311" i="5" s="1"/>
  <c r="N310" i="5"/>
  <c r="O310" i="5" s="1"/>
  <c r="N309" i="5"/>
  <c r="O309" i="5" s="1"/>
  <c r="N308" i="5"/>
  <c r="O308" i="5" s="1"/>
  <c r="N307" i="5"/>
  <c r="O307" i="5" s="1"/>
  <c r="N306" i="5"/>
  <c r="O306" i="5" s="1"/>
  <c r="N305" i="5"/>
  <c r="O305" i="5" s="1"/>
  <c r="N304" i="5"/>
  <c r="O304" i="5" s="1"/>
  <c r="N303" i="5"/>
  <c r="O303" i="5" s="1"/>
  <c r="N302" i="5"/>
  <c r="O302" i="5" s="1"/>
  <c r="N301" i="5"/>
  <c r="O301" i="5" s="1"/>
  <c r="N300" i="5"/>
  <c r="O300" i="5" s="1"/>
  <c r="N299" i="5"/>
  <c r="O299" i="5" s="1"/>
  <c r="N298" i="5"/>
  <c r="O298" i="5" s="1"/>
  <c r="N297" i="5"/>
  <c r="O297" i="5" s="1"/>
  <c r="N296" i="5"/>
  <c r="O296" i="5" s="1"/>
  <c r="N295" i="5"/>
  <c r="O295" i="5" s="1"/>
  <c r="N294" i="5"/>
  <c r="O294" i="5" s="1"/>
  <c r="N291" i="5"/>
  <c r="O291" i="5" s="1"/>
  <c r="N290" i="5"/>
  <c r="O290" i="5" s="1"/>
  <c r="N289" i="5"/>
  <c r="O289" i="5" s="1"/>
  <c r="N288" i="5"/>
  <c r="O288" i="5" s="1"/>
  <c r="N287" i="5"/>
  <c r="O287" i="5" s="1"/>
  <c r="N286" i="5"/>
  <c r="O286" i="5" s="1"/>
  <c r="N285" i="5"/>
  <c r="O285" i="5" s="1"/>
  <c r="N284" i="5"/>
  <c r="O284" i="5" s="1"/>
  <c r="N283" i="5"/>
  <c r="O283" i="5" s="1"/>
  <c r="N282" i="5"/>
  <c r="O282" i="5" s="1"/>
  <c r="N281" i="5"/>
  <c r="O281" i="5" s="1"/>
  <c r="N280" i="5"/>
  <c r="O280" i="5" s="1"/>
  <c r="N279" i="5"/>
  <c r="O279" i="5" s="1"/>
  <c r="N278" i="5"/>
  <c r="O278" i="5" s="1"/>
  <c r="N277" i="5"/>
  <c r="O277" i="5" s="1"/>
  <c r="N276" i="5"/>
  <c r="O276" i="5" s="1"/>
  <c r="N275" i="5"/>
  <c r="O275" i="5" s="1"/>
  <c r="N274" i="5"/>
  <c r="O274" i="5" s="1"/>
  <c r="N273" i="5"/>
  <c r="O273" i="5" s="1"/>
  <c r="N271" i="5"/>
  <c r="O271" i="5" s="1"/>
  <c r="N270" i="5"/>
  <c r="O270" i="5" s="1"/>
  <c r="N266" i="5"/>
  <c r="O266" i="5" s="1"/>
  <c r="N265" i="5"/>
  <c r="O265" i="5" s="1"/>
  <c r="N264" i="5"/>
  <c r="O264" i="5" s="1"/>
  <c r="N263" i="5"/>
  <c r="O263" i="5" s="1"/>
  <c r="N261" i="5"/>
  <c r="O261" i="5" s="1"/>
  <c r="N260" i="5"/>
  <c r="O260" i="5" s="1"/>
  <c r="N259" i="5"/>
  <c r="O259" i="5" s="1"/>
  <c r="N258" i="5"/>
  <c r="O258" i="5" s="1"/>
  <c r="N257" i="5"/>
  <c r="O257" i="5" s="1"/>
  <c r="N256" i="5"/>
  <c r="O256" i="5" s="1"/>
  <c r="N255" i="5"/>
  <c r="O255" i="5" s="1"/>
  <c r="N254" i="5"/>
  <c r="O254" i="5" s="1"/>
  <c r="N253" i="5"/>
  <c r="O253" i="5" s="1"/>
  <c r="N252" i="5"/>
  <c r="O252" i="5" s="1"/>
  <c r="N251" i="5"/>
  <c r="O251" i="5" s="1"/>
  <c r="N250" i="5"/>
  <c r="O250" i="5" s="1"/>
  <c r="N248" i="5"/>
  <c r="O248" i="5" s="1"/>
  <c r="N247" i="5"/>
  <c r="O247" i="5" s="1"/>
  <c r="N246" i="5"/>
  <c r="O246" i="5" s="1"/>
  <c r="N245" i="5"/>
  <c r="O245" i="5" s="1"/>
  <c r="N244" i="5"/>
  <c r="O244" i="5" s="1"/>
  <c r="N243" i="5"/>
  <c r="O243" i="5" s="1"/>
  <c r="N242" i="5"/>
  <c r="O242" i="5" s="1"/>
  <c r="N241" i="5"/>
  <c r="O241" i="5" s="1"/>
  <c r="N240" i="5"/>
  <c r="O240" i="5" s="1"/>
  <c r="N239" i="5"/>
  <c r="O239" i="5" s="1"/>
  <c r="N234" i="5"/>
  <c r="O234" i="5" s="1"/>
  <c r="N233" i="5"/>
  <c r="O233" i="5" s="1"/>
  <c r="N232" i="5"/>
  <c r="O232" i="5" s="1"/>
  <c r="N231" i="5"/>
  <c r="O231" i="5" s="1"/>
  <c r="N230" i="5"/>
  <c r="O230" i="5" s="1"/>
  <c r="N229" i="5"/>
  <c r="O229" i="5" s="1"/>
  <c r="N228" i="5"/>
  <c r="O228" i="5" s="1"/>
  <c r="N227" i="5"/>
  <c r="O227" i="5" s="1"/>
  <c r="N226" i="5"/>
  <c r="O226" i="5" s="1"/>
  <c r="N225" i="5"/>
  <c r="O225" i="5" s="1"/>
  <c r="N224" i="5"/>
  <c r="O224" i="5" s="1"/>
  <c r="N223" i="5"/>
  <c r="O223" i="5" s="1"/>
  <c r="N222" i="5"/>
  <c r="O222" i="5" s="1"/>
  <c r="N221" i="5"/>
  <c r="O221" i="5" s="1"/>
  <c r="N220" i="5"/>
  <c r="O220" i="5" s="1"/>
  <c r="N179" i="5"/>
  <c r="O179" i="5" s="1"/>
  <c r="N178" i="5"/>
  <c r="O178" i="5" s="1"/>
  <c r="N177" i="5"/>
  <c r="O177" i="5" s="1"/>
  <c r="N176" i="5"/>
  <c r="O176" i="5" s="1"/>
  <c r="N175" i="5"/>
  <c r="O175" i="5" s="1"/>
  <c r="N174" i="5"/>
  <c r="O174" i="5" s="1"/>
  <c r="N173" i="5"/>
  <c r="O173" i="5" s="1"/>
  <c r="N172" i="5"/>
  <c r="O172" i="5" s="1"/>
  <c r="N171" i="5"/>
  <c r="O171" i="5" s="1"/>
  <c r="N170" i="5"/>
  <c r="O170" i="5" s="1"/>
  <c r="N169" i="5"/>
  <c r="O169" i="5" s="1"/>
  <c r="N168" i="5"/>
  <c r="O168" i="5" s="1"/>
  <c r="N167" i="5"/>
  <c r="O167" i="5" s="1"/>
  <c r="N166" i="5"/>
  <c r="O166" i="5" s="1"/>
  <c r="N165" i="5"/>
  <c r="O165" i="5" s="1"/>
  <c r="N164" i="5"/>
  <c r="O164" i="5" s="1"/>
  <c r="N163" i="5"/>
  <c r="O163" i="5" s="1"/>
  <c r="N162" i="5"/>
  <c r="O162" i="5" s="1"/>
  <c r="N161" i="5"/>
  <c r="O161" i="5" s="1"/>
  <c r="N160" i="5"/>
  <c r="O160" i="5" s="1"/>
  <c r="N159" i="5"/>
  <c r="O159" i="5" s="1"/>
  <c r="N158" i="5"/>
  <c r="O158" i="5" s="1"/>
  <c r="N157" i="5"/>
  <c r="O157" i="5" s="1"/>
  <c r="N156" i="5"/>
  <c r="O156" i="5" s="1"/>
  <c r="N155" i="5"/>
  <c r="O155" i="5" s="1"/>
  <c r="N154" i="5"/>
  <c r="O154" i="5" s="1"/>
  <c r="N153" i="5"/>
  <c r="O153" i="5" s="1"/>
  <c r="N152" i="5"/>
  <c r="O152" i="5" s="1"/>
  <c r="N151" i="5"/>
  <c r="O151" i="5" s="1"/>
  <c r="N150" i="5"/>
  <c r="O150" i="5" s="1"/>
  <c r="N149" i="5"/>
  <c r="O149" i="5" s="1"/>
  <c r="N148" i="5"/>
  <c r="O148" i="5" s="1"/>
  <c r="N147" i="5"/>
  <c r="O147" i="5" s="1"/>
  <c r="N146" i="5"/>
  <c r="O146" i="5" s="1"/>
  <c r="N145" i="5"/>
  <c r="O145" i="5" s="1"/>
  <c r="N144" i="5"/>
  <c r="O144" i="5" s="1"/>
  <c r="N143" i="5"/>
  <c r="O143" i="5" s="1"/>
  <c r="N142" i="5"/>
  <c r="O142" i="5" s="1"/>
  <c r="N141" i="5"/>
  <c r="O141" i="5" s="1"/>
  <c r="N140" i="5"/>
  <c r="O140" i="5" s="1"/>
  <c r="N139" i="5"/>
  <c r="O139" i="5" s="1"/>
  <c r="N138" i="5"/>
  <c r="O138" i="5" s="1"/>
  <c r="N137" i="5"/>
  <c r="O137" i="5" s="1"/>
  <c r="N136" i="5"/>
  <c r="O136" i="5" s="1"/>
  <c r="N135" i="5"/>
  <c r="O135" i="5" s="1"/>
  <c r="N134" i="5"/>
  <c r="O134" i="5" s="1"/>
  <c r="N133" i="5"/>
  <c r="O133" i="5" s="1"/>
  <c r="N132" i="5"/>
  <c r="O132" i="5" s="1"/>
  <c r="N131" i="5"/>
  <c r="O131" i="5" s="1"/>
  <c r="N130" i="5"/>
  <c r="O130" i="5" s="1"/>
  <c r="N129" i="5"/>
  <c r="O129" i="5" s="1"/>
  <c r="N128" i="5"/>
  <c r="O128" i="5" s="1"/>
  <c r="N127" i="5"/>
  <c r="O127" i="5" s="1"/>
  <c r="N126" i="5"/>
  <c r="O126" i="5" s="1"/>
  <c r="N125" i="5"/>
  <c r="O125" i="5" s="1"/>
  <c r="N124" i="5"/>
  <c r="O124" i="5" s="1"/>
  <c r="N123" i="5"/>
  <c r="O123" i="5" s="1"/>
  <c r="N122" i="5"/>
  <c r="O122" i="5" s="1"/>
  <c r="N121" i="5"/>
  <c r="O121" i="5" s="1"/>
  <c r="N120" i="5"/>
  <c r="O120" i="5" s="1"/>
  <c r="N119" i="5"/>
  <c r="O119" i="5" s="1"/>
  <c r="N118" i="5"/>
  <c r="O118" i="5" s="1"/>
  <c r="N117" i="5"/>
  <c r="O117" i="5" s="1"/>
  <c r="N116" i="5"/>
  <c r="O116" i="5" s="1"/>
  <c r="N115" i="5"/>
  <c r="O115" i="5" s="1"/>
  <c r="N114" i="5"/>
  <c r="O114" i="5" s="1"/>
  <c r="N113" i="5"/>
  <c r="O113" i="5" s="1"/>
  <c r="N112" i="5"/>
  <c r="O112" i="5" s="1"/>
  <c r="N111" i="5"/>
  <c r="O111" i="5" s="1"/>
  <c r="N110" i="5"/>
  <c r="O110" i="5" s="1"/>
  <c r="N109" i="5"/>
  <c r="O109" i="5" s="1"/>
  <c r="N108" i="5"/>
  <c r="O108" i="5" s="1"/>
  <c r="N107" i="5"/>
  <c r="O107" i="5" s="1"/>
  <c r="N106" i="5"/>
  <c r="O106" i="5" s="1"/>
  <c r="N105" i="5"/>
  <c r="O105" i="5" s="1"/>
  <c r="N104" i="5"/>
  <c r="O104" i="5" s="1"/>
  <c r="N103" i="5"/>
  <c r="O103" i="5" s="1"/>
  <c r="N102" i="5"/>
  <c r="O102" i="5" s="1"/>
  <c r="N101" i="5"/>
  <c r="O101" i="5" s="1"/>
  <c r="N100" i="5"/>
  <c r="O100" i="5" s="1"/>
  <c r="N99" i="5"/>
  <c r="O99" i="5" s="1"/>
  <c r="N98" i="5"/>
  <c r="O98" i="5" s="1"/>
  <c r="N97" i="5"/>
  <c r="O97" i="5" s="1"/>
  <c r="N96" i="5"/>
  <c r="O96" i="5" s="1"/>
  <c r="N95" i="5"/>
  <c r="O95" i="5" s="1"/>
  <c r="N94" i="5"/>
  <c r="O94" i="5" s="1"/>
  <c r="N93" i="5"/>
  <c r="O93" i="5" s="1"/>
  <c r="N92" i="5"/>
  <c r="O92" i="5" s="1"/>
  <c r="N91" i="5"/>
  <c r="O91" i="5" s="1"/>
  <c r="N90" i="5"/>
  <c r="O90" i="5" s="1"/>
  <c r="N89" i="5"/>
  <c r="O89" i="5" s="1"/>
  <c r="N88" i="5"/>
  <c r="O88" i="5" s="1"/>
  <c r="N87" i="5"/>
  <c r="O87" i="5" s="1"/>
  <c r="N86" i="5"/>
  <c r="O86" i="5" s="1"/>
  <c r="N85" i="5"/>
  <c r="O85" i="5" s="1"/>
  <c r="N84" i="5"/>
  <c r="O84" i="5" s="1"/>
  <c r="N83" i="5"/>
  <c r="O83" i="5" s="1"/>
  <c r="N82" i="5"/>
  <c r="O82" i="5" s="1"/>
  <c r="N81" i="5"/>
  <c r="O81" i="5" s="1"/>
  <c r="N80" i="5"/>
  <c r="O80" i="5" s="1"/>
  <c r="N79" i="5"/>
  <c r="O79" i="5" s="1"/>
  <c r="N78" i="5"/>
  <c r="O78" i="5" s="1"/>
  <c r="N77" i="5"/>
  <c r="O77" i="5" s="1"/>
  <c r="N76" i="5"/>
  <c r="O76" i="5" s="1"/>
  <c r="N75" i="5"/>
  <c r="O75" i="5" s="1"/>
  <c r="N74" i="5"/>
  <c r="O74" i="5" s="1"/>
  <c r="N73" i="5"/>
  <c r="O73" i="5" s="1"/>
  <c r="N72" i="5"/>
  <c r="O72" i="5" s="1"/>
  <c r="N71" i="5"/>
  <c r="O71" i="5" s="1"/>
  <c r="N70" i="5"/>
  <c r="O70" i="5" s="1"/>
  <c r="N69" i="5"/>
  <c r="O69" i="5" s="1"/>
  <c r="N68" i="5"/>
  <c r="O68" i="5" s="1"/>
  <c r="N67" i="5"/>
  <c r="O67" i="5" s="1"/>
  <c r="N66" i="5"/>
  <c r="O66" i="5" s="1"/>
  <c r="N65" i="5"/>
  <c r="O65" i="5" s="1"/>
  <c r="N64" i="5"/>
  <c r="O64" i="5" s="1"/>
  <c r="N63" i="5"/>
  <c r="O63" i="5" s="1"/>
  <c r="N62" i="5"/>
  <c r="O62" i="5" s="1"/>
  <c r="N61" i="5"/>
  <c r="O61" i="5" s="1"/>
  <c r="N60" i="5"/>
  <c r="O60" i="5" s="1"/>
  <c r="N59" i="5"/>
  <c r="O59" i="5" s="1"/>
  <c r="N58" i="5"/>
  <c r="O58" i="5" s="1"/>
  <c r="N57" i="5"/>
  <c r="O57" i="5" s="1"/>
  <c r="N56" i="5"/>
  <c r="O56" i="5" s="1"/>
  <c r="N55" i="5"/>
  <c r="O55" i="5" s="1"/>
  <c r="N54" i="5"/>
  <c r="O54" i="5" s="1"/>
  <c r="N53" i="5"/>
  <c r="O53" i="5" s="1"/>
  <c r="N52" i="5"/>
  <c r="O52" i="5" s="1"/>
  <c r="N51" i="5"/>
  <c r="O51" i="5" s="1"/>
  <c r="N50" i="5"/>
  <c r="O50" i="5" s="1"/>
  <c r="N49" i="5"/>
  <c r="O49" i="5" s="1"/>
  <c r="N48" i="5"/>
  <c r="O48" i="5" s="1"/>
  <c r="N47" i="5"/>
  <c r="O47" i="5" s="1"/>
  <c r="N46" i="5"/>
  <c r="O46" i="5" s="1"/>
  <c r="N45" i="5"/>
  <c r="O45" i="5" s="1"/>
  <c r="N44" i="5"/>
  <c r="O44" i="5" s="1"/>
  <c r="N43" i="5"/>
  <c r="O43" i="5" s="1"/>
  <c r="N42" i="5"/>
  <c r="O42" i="5" s="1"/>
  <c r="N41" i="5"/>
  <c r="O41" i="5" s="1"/>
  <c r="N40" i="5"/>
  <c r="O40" i="5" s="1"/>
  <c r="N39" i="5"/>
  <c r="O39" i="5" s="1"/>
  <c r="N38" i="5"/>
  <c r="O38" i="5" s="1"/>
  <c r="N37" i="5"/>
  <c r="O37" i="5" s="1"/>
  <c r="N36" i="5"/>
  <c r="O36" i="5" s="1"/>
  <c r="N35" i="5"/>
  <c r="O35" i="5" s="1"/>
  <c r="N34" i="5"/>
  <c r="O34" i="5" s="1"/>
  <c r="N33" i="5"/>
  <c r="O33" i="5" s="1"/>
  <c r="N32" i="5"/>
  <c r="O32" i="5" s="1"/>
  <c r="N31" i="5"/>
  <c r="O31" i="5" s="1"/>
  <c r="N30" i="5"/>
  <c r="O30" i="5" s="1"/>
  <c r="N29" i="5"/>
  <c r="O29" i="5" s="1"/>
  <c r="N28" i="5"/>
  <c r="O28" i="5" s="1"/>
  <c r="N27" i="5"/>
  <c r="O27" i="5" s="1"/>
  <c r="N26" i="5"/>
  <c r="O26" i="5" s="1"/>
  <c r="N25" i="5"/>
  <c r="O25" i="5" s="1"/>
  <c r="N24" i="5"/>
  <c r="O24" i="5" s="1"/>
  <c r="N23" i="5"/>
  <c r="O23" i="5" s="1"/>
  <c r="N22" i="5"/>
  <c r="O22" i="5" s="1"/>
  <c r="N21" i="5"/>
  <c r="O21" i="5" s="1"/>
  <c r="N20" i="5"/>
  <c r="O20" i="5" s="1"/>
  <c r="N19" i="5"/>
  <c r="O19" i="5" s="1"/>
  <c r="N18" i="5"/>
  <c r="O18" i="5" s="1"/>
  <c r="N17" i="5"/>
  <c r="O17" i="5" s="1"/>
  <c r="N16" i="5"/>
  <c r="O16" i="5" s="1"/>
  <c r="N15" i="5"/>
  <c r="O15" i="5" s="1"/>
  <c r="N14" i="5"/>
  <c r="O14" i="5" s="1"/>
  <c r="N13" i="5"/>
  <c r="O13" i="5" s="1"/>
  <c r="N12" i="5"/>
  <c r="O12" i="5" s="1"/>
  <c r="N11" i="5"/>
  <c r="O11" i="5" s="1"/>
  <c r="N10" i="5"/>
  <c r="O10" i="5" s="1"/>
  <c r="N9" i="5"/>
  <c r="O9" i="5" s="1"/>
  <c r="N8" i="5"/>
  <c r="O8" i="5" s="1"/>
  <c r="N7" i="5"/>
  <c r="O7" i="5" s="1"/>
  <c r="N6" i="5"/>
  <c r="O6" i="5" s="1"/>
  <c r="N5" i="5"/>
  <c r="O5" i="5" s="1"/>
  <c r="H998" i="5"/>
  <c r="H997" i="5"/>
  <c r="H996" i="5"/>
  <c r="H995" i="5"/>
  <c r="H994" i="5"/>
  <c r="H993" i="5"/>
  <c r="H992" i="5"/>
  <c r="H991" i="5"/>
  <c r="H990" i="5"/>
  <c r="H989" i="5"/>
  <c r="H988" i="5"/>
  <c r="H987" i="5"/>
  <c r="H986" i="5"/>
  <c r="H985" i="5"/>
  <c r="H984" i="5"/>
  <c r="H983" i="5"/>
  <c r="H982" i="5"/>
  <c r="H981" i="5"/>
  <c r="H980" i="5"/>
  <c r="H979" i="5"/>
  <c r="H978" i="5"/>
  <c r="H977" i="5"/>
  <c r="H976" i="5"/>
  <c r="H975" i="5"/>
  <c r="H974" i="5"/>
  <c r="H973" i="5"/>
  <c r="H972" i="5"/>
  <c r="H971" i="5"/>
  <c r="H970" i="5"/>
  <c r="H969" i="5"/>
  <c r="H968" i="5"/>
  <c r="H967" i="5"/>
  <c r="H966" i="5"/>
  <c r="H965" i="5"/>
  <c r="H964" i="5"/>
  <c r="H963" i="5"/>
  <c r="H962" i="5"/>
  <c r="H961" i="5"/>
  <c r="H960" i="5"/>
  <c r="H959" i="5"/>
  <c r="H958" i="5"/>
  <c r="H957" i="5"/>
  <c r="H956" i="5"/>
  <c r="H955" i="5"/>
  <c r="H954" i="5"/>
  <c r="H953" i="5"/>
  <c r="H952" i="5"/>
  <c r="H951" i="5"/>
  <c r="H950" i="5"/>
  <c r="H949" i="5"/>
  <c r="H948" i="5"/>
  <c r="H947" i="5"/>
  <c r="H946" i="5"/>
  <c r="H945" i="5"/>
  <c r="H944" i="5"/>
  <c r="H943" i="5"/>
  <c r="H942" i="5"/>
  <c r="H941" i="5"/>
  <c r="H940" i="5"/>
  <c r="H939" i="5"/>
  <c r="H938" i="5"/>
  <c r="H937" i="5"/>
  <c r="H936" i="5"/>
  <c r="H935" i="5"/>
  <c r="H934" i="5"/>
  <c r="H933" i="5"/>
  <c r="H932" i="5"/>
  <c r="H931" i="5"/>
  <c r="H930" i="5"/>
  <c r="H929" i="5"/>
  <c r="H928" i="5"/>
  <c r="H927" i="5"/>
  <c r="H926" i="5"/>
  <c r="H925" i="5"/>
  <c r="H924" i="5"/>
  <c r="H923" i="5"/>
  <c r="H922" i="5"/>
  <c r="H921" i="5"/>
  <c r="H920" i="5"/>
  <c r="H919" i="5"/>
  <c r="H918" i="5"/>
  <c r="H917" i="5"/>
  <c r="H916" i="5"/>
  <c r="H915" i="5"/>
  <c r="H914" i="5"/>
  <c r="H913" i="5"/>
  <c r="H912" i="5"/>
  <c r="H911" i="5"/>
  <c r="H910" i="5"/>
  <c r="H909" i="5"/>
  <c r="H908" i="5"/>
  <c r="H907" i="5"/>
  <c r="H906" i="5"/>
  <c r="H905" i="5"/>
  <c r="H904" i="5"/>
  <c r="H903" i="5"/>
  <c r="H902" i="5"/>
  <c r="H901" i="5"/>
  <c r="H900" i="5"/>
  <c r="H899" i="5"/>
  <c r="H898" i="5"/>
  <c r="H897" i="5"/>
  <c r="H896" i="5"/>
  <c r="H895" i="5"/>
  <c r="H894" i="5"/>
  <c r="H893" i="5"/>
  <c r="H892" i="5"/>
  <c r="H891" i="5"/>
  <c r="H890" i="5"/>
  <c r="H889" i="5"/>
  <c r="H888" i="5"/>
  <c r="H887" i="5"/>
  <c r="H886" i="5"/>
  <c r="H885" i="5"/>
  <c r="H884" i="5"/>
  <c r="H883" i="5"/>
  <c r="H882" i="5"/>
  <c r="H881" i="5"/>
  <c r="H880" i="5"/>
  <c r="H879" i="5"/>
  <c r="H878" i="5"/>
  <c r="H877" i="5"/>
  <c r="H876" i="5"/>
  <c r="H875" i="5"/>
  <c r="H874" i="5"/>
  <c r="H873" i="5"/>
  <c r="H872" i="5"/>
  <c r="H871" i="5"/>
  <c r="H870" i="5"/>
  <c r="H869" i="5"/>
  <c r="H868" i="5"/>
  <c r="H867" i="5"/>
  <c r="H866" i="5"/>
  <c r="H865" i="5"/>
  <c r="H864" i="5"/>
  <c r="H863" i="5"/>
  <c r="H862" i="5"/>
  <c r="H861" i="5"/>
  <c r="H860" i="5"/>
  <c r="H859" i="5"/>
  <c r="H858" i="5"/>
  <c r="H857" i="5"/>
  <c r="H856" i="5"/>
  <c r="H855" i="5"/>
  <c r="H854" i="5"/>
  <c r="H853" i="5"/>
  <c r="H852" i="5"/>
  <c r="H851" i="5"/>
  <c r="H850" i="5"/>
  <c r="H849" i="5"/>
  <c r="H848" i="5"/>
  <c r="H847" i="5"/>
  <c r="H846" i="5"/>
  <c r="H845" i="5"/>
  <c r="H844" i="5"/>
  <c r="H843" i="5"/>
  <c r="H842" i="5"/>
  <c r="H841" i="5"/>
  <c r="H840" i="5"/>
  <c r="H839" i="5"/>
  <c r="H838" i="5"/>
  <c r="H837" i="5"/>
  <c r="H836" i="5"/>
  <c r="H835" i="5"/>
  <c r="H834" i="5"/>
  <c r="H833" i="5"/>
  <c r="H832" i="5"/>
  <c r="H831" i="5"/>
  <c r="H830" i="5"/>
  <c r="H829" i="5"/>
  <c r="H828" i="5"/>
  <c r="H827" i="5"/>
  <c r="H826" i="5"/>
  <c r="H825" i="5"/>
  <c r="H824" i="5"/>
  <c r="H823" i="5"/>
  <c r="H822" i="5"/>
  <c r="H821" i="5"/>
  <c r="H820" i="5"/>
  <c r="H819" i="5"/>
  <c r="H818" i="5"/>
  <c r="H817" i="5"/>
  <c r="H816" i="5"/>
  <c r="H815" i="5"/>
  <c r="H814" i="5"/>
  <c r="H813" i="5"/>
  <c r="H812" i="5"/>
  <c r="H811" i="5"/>
  <c r="H810" i="5"/>
  <c r="H809" i="5"/>
  <c r="H808" i="5"/>
  <c r="H807" i="5"/>
  <c r="H806" i="5"/>
  <c r="H805" i="5"/>
  <c r="H804" i="5"/>
  <c r="H803" i="5"/>
  <c r="H802" i="5"/>
  <c r="H801" i="5"/>
  <c r="H800" i="5"/>
  <c r="H799" i="5"/>
  <c r="H798" i="5"/>
  <c r="H797" i="5"/>
  <c r="H796" i="5"/>
  <c r="H795" i="5"/>
  <c r="H794" i="5"/>
  <c r="H793" i="5"/>
  <c r="H792" i="5"/>
  <c r="H791" i="5"/>
  <c r="H790" i="5"/>
  <c r="H789" i="5"/>
  <c r="H788" i="5"/>
  <c r="H787" i="5"/>
  <c r="H786" i="5"/>
  <c r="H785" i="5"/>
  <c r="H784" i="5"/>
  <c r="H783" i="5"/>
  <c r="H782" i="5"/>
  <c r="H781" i="5"/>
  <c r="H780" i="5"/>
  <c r="H779" i="5"/>
  <c r="H778" i="5"/>
  <c r="H777" i="5"/>
  <c r="H776" i="5"/>
  <c r="H775" i="5"/>
  <c r="H774" i="5"/>
  <c r="H773" i="5"/>
  <c r="H772" i="5"/>
  <c r="H771" i="5"/>
  <c r="H770" i="5"/>
  <c r="H769" i="5"/>
  <c r="H768" i="5"/>
  <c r="H767" i="5"/>
  <c r="H766" i="5"/>
  <c r="H765" i="5"/>
  <c r="H764" i="5"/>
  <c r="H763" i="5"/>
  <c r="H762" i="5"/>
  <c r="H761" i="5"/>
  <c r="H760" i="5"/>
  <c r="H759" i="5"/>
  <c r="H758" i="5"/>
  <c r="H757" i="5"/>
  <c r="H756" i="5"/>
  <c r="H755" i="5"/>
  <c r="H754" i="5"/>
  <c r="H753" i="5"/>
  <c r="H752" i="5"/>
  <c r="H751" i="5"/>
  <c r="H750" i="5"/>
  <c r="H749" i="5"/>
  <c r="H748" i="5"/>
  <c r="H747" i="5"/>
  <c r="H746" i="5"/>
  <c r="H745" i="5"/>
  <c r="H744" i="5"/>
  <c r="H743" i="5"/>
  <c r="H742" i="5"/>
  <c r="H741" i="5"/>
  <c r="H740" i="5"/>
  <c r="H739" i="5"/>
  <c r="H738" i="5"/>
  <c r="H737" i="5"/>
  <c r="H736" i="5"/>
  <c r="H735" i="5"/>
  <c r="H734" i="5"/>
  <c r="H733" i="5"/>
  <c r="H732" i="5"/>
  <c r="H731" i="5"/>
  <c r="H730" i="5"/>
  <c r="H729" i="5"/>
  <c r="H728" i="5"/>
  <c r="H727" i="5"/>
  <c r="H726" i="5"/>
  <c r="H725" i="5"/>
  <c r="H724" i="5"/>
  <c r="H723" i="5"/>
  <c r="H722" i="5"/>
  <c r="H721" i="5"/>
  <c r="H720" i="5"/>
  <c r="H719" i="5"/>
  <c r="H718" i="5"/>
  <c r="H717" i="5"/>
  <c r="H716" i="5"/>
  <c r="H715" i="5"/>
  <c r="H714" i="5"/>
  <c r="H713" i="5"/>
  <c r="H712" i="5"/>
  <c r="H711" i="5"/>
  <c r="H710" i="5"/>
  <c r="H709" i="5"/>
  <c r="H708" i="5"/>
  <c r="H707" i="5"/>
  <c r="H706" i="5"/>
  <c r="H705" i="5"/>
  <c r="H704" i="5"/>
  <c r="H703" i="5"/>
  <c r="H702" i="5"/>
  <c r="H701" i="5"/>
  <c r="H700" i="5"/>
  <c r="H699" i="5"/>
  <c r="H698" i="5"/>
  <c r="H697" i="5"/>
  <c r="H696" i="5"/>
  <c r="H695" i="5"/>
  <c r="H694" i="5"/>
  <c r="H693" i="5"/>
  <c r="H692" i="5"/>
  <c r="H691" i="5"/>
  <c r="H690" i="5"/>
  <c r="H689" i="5"/>
  <c r="H688" i="5"/>
  <c r="H687" i="5"/>
  <c r="H686" i="5"/>
  <c r="H685" i="5"/>
  <c r="H684" i="5"/>
  <c r="H683" i="5"/>
  <c r="H682" i="5"/>
  <c r="H681" i="5"/>
  <c r="H680" i="5"/>
  <c r="H679" i="5"/>
  <c r="H678" i="5"/>
  <c r="H677" i="5"/>
  <c r="H676" i="5"/>
  <c r="H675" i="5"/>
  <c r="H674" i="5"/>
  <c r="H673" i="5"/>
  <c r="H672" i="5"/>
  <c r="H671" i="5"/>
  <c r="H670" i="5"/>
  <c r="H669" i="5"/>
  <c r="H668" i="5"/>
  <c r="H667" i="5"/>
  <c r="H666" i="5"/>
  <c r="H665" i="5"/>
  <c r="H664" i="5"/>
  <c r="H663" i="5"/>
  <c r="H662" i="5"/>
  <c r="H661" i="5"/>
  <c r="H660" i="5"/>
  <c r="H659" i="5"/>
  <c r="H658" i="5"/>
  <c r="H657" i="5"/>
  <c r="H656" i="5"/>
  <c r="H655" i="5"/>
  <c r="H654" i="5"/>
  <c r="H653" i="5"/>
  <c r="H652" i="5"/>
  <c r="H651" i="5"/>
  <c r="H650" i="5"/>
  <c r="H649" i="5"/>
  <c r="H648" i="5"/>
  <c r="H647" i="5"/>
  <c r="H646" i="5"/>
  <c r="H645" i="5"/>
  <c r="H644" i="5"/>
  <c r="H643" i="5"/>
  <c r="H642" i="5"/>
  <c r="H641" i="5"/>
  <c r="H640" i="5"/>
  <c r="H639" i="5"/>
  <c r="H638" i="5"/>
  <c r="H637" i="5"/>
  <c r="H636" i="5"/>
  <c r="H635" i="5"/>
  <c r="H634" i="5"/>
  <c r="H633" i="5"/>
  <c r="H632" i="5"/>
  <c r="H631" i="5"/>
  <c r="H630" i="5"/>
  <c r="H629" i="5"/>
  <c r="H628" i="5"/>
  <c r="H627" i="5"/>
  <c r="H626" i="5"/>
  <c r="H625" i="5"/>
  <c r="H624" i="5"/>
  <c r="H623" i="5"/>
  <c r="H622" i="5"/>
  <c r="H621" i="5"/>
  <c r="H620" i="5"/>
  <c r="H619" i="5"/>
  <c r="H618" i="5"/>
  <c r="H617" i="5"/>
  <c r="H616" i="5"/>
  <c r="H615" i="5"/>
  <c r="H614" i="5"/>
  <c r="H613" i="5"/>
  <c r="H612" i="5"/>
  <c r="H611" i="5"/>
  <c r="H610" i="5"/>
  <c r="H609" i="5"/>
  <c r="H608" i="5"/>
  <c r="H607" i="5"/>
  <c r="H606" i="5"/>
  <c r="H605" i="5"/>
  <c r="H604" i="5"/>
  <c r="H603" i="5"/>
  <c r="H602" i="5"/>
  <c r="H601" i="5"/>
  <c r="H600" i="5"/>
  <c r="H599" i="5"/>
  <c r="H598" i="5"/>
  <c r="H597" i="5"/>
  <c r="H596" i="5"/>
  <c r="H595" i="5"/>
  <c r="H594" i="5"/>
  <c r="H593" i="5"/>
  <c r="H592" i="5"/>
  <c r="H591" i="5"/>
  <c r="H590" i="5"/>
  <c r="H589" i="5"/>
  <c r="H588" i="5"/>
  <c r="H587" i="5"/>
  <c r="H586" i="5"/>
  <c r="H585" i="5"/>
  <c r="H584" i="5"/>
  <c r="H583" i="5"/>
  <c r="H582" i="5"/>
  <c r="H581" i="5"/>
  <c r="H580" i="5"/>
  <c r="H579" i="5"/>
  <c r="H578" i="5"/>
  <c r="H577" i="5"/>
  <c r="H576" i="5"/>
  <c r="H575" i="5"/>
  <c r="H574" i="5"/>
  <c r="H573" i="5"/>
  <c r="H572" i="5"/>
  <c r="H571" i="5"/>
  <c r="H570" i="5"/>
  <c r="H569" i="5"/>
  <c r="H568" i="5"/>
  <c r="H567" i="5"/>
  <c r="H566" i="5"/>
  <c r="H565" i="5"/>
  <c r="H564" i="5"/>
  <c r="H563" i="5"/>
  <c r="H562" i="5"/>
  <c r="H561" i="5"/>
  <c r="H560" i="5"/>
  <c r="H559" i="5"/>
  <c r="H558" i="5"/>
  <c r="H557" i="5"/>
  <c r="H556" i="5"/>
  <c r="H555" i="5"/>
  <c r="H554" i="5"/>
  <c r="H553" i="5"/>
  <c r="H552" i="5"/>
  <c r="H551" i="5"/>
  <c r="H550" i="5"/>
  <c r="H549" i="5"/>
  <c r="H548" i="5"/>
  <c r="H547" i="5"/>
  <c r="H546" i="5"/>
  <c r="H545" i="5"/>
  <c r="H544" i="5"/>
  <c r="H543" i="5"/>
  <c r="H542" i="5"/>
  <c r="H541" i="5"/>
  <c r="H540" i="5"/>
  <c r="H539" i="5"/>
  <c r="H538" i="5"/>
  <c r="H537" i="5"/>
  <c r="H536" i="5"/>
  <c r="H535" i="5"/>
  <c r="H534" i="5"/>
  <c r="H533" i="5"/>
  <c r="H532" i="5"/>
  <c r="H531" i="5"/>
  <c r="H530" i="5"/>
  <c r="H529" i="5"/>
  <c r="H528" i="5"/>
  <c r="H527" i="5"/>
  <c r="H526" i="5"/>
  <c r="H525" i="5"/>
  <c r="H524" i="5"/>
  <c r="H523" i="5"/>
  <c r="H522" i="5"/>
  <c r="H521" i="5"/>
  <c r="H520" i="5"/>
  <c r="H519" i="5"/>
  <c r="H518" i="5"/>
  <c r="H517" i="5"/>
  <c r="H516" i="5"/>
  <c r="H515" i="5"/>
  <c r="H514" i="5"/>
  <c r="H513" i="5"/>
  <c r="H512" i="5"/>
  <c r="H511" i="5"/>
  <c r="H510" i="5"/>
  <c r="H509" i="5"/>
  <c r="H508" i="5"/>
  <c r="H507" i="5"/>
  <c r="H506" i="5"/>
  <c r="H505" i="5"/>
  <c r="H504" i="5"/>
  <c r="H503" i="5"/>
  <c r="H502" i="5"/>
  <c r="H501" i="5"/>
  <c r="H500" i="5"/>
  <c r="H499" i="5"/>
  <c r="H498" i="5"/>
  <c r="H497" i="5"/>
  <c r="H496" i="5"/>
  <c r="H495" i="5"/>
  <c r="H494" i="5"/>
  <c r="H493" i="5"/>
  <c r="H492" i="5"/>
  <c r="H491" i="5"/>
  <c r="H490" i="5"/>
  <c r="H489" i="5"/>
  <c r="H488" i="5"/>
  <c r="H487" i="5"/>
  <c r="H486" i="5"/>
  <c r="H485" i="5"/>
  <c r="H484" i="5"/>
  <c r="H483" i="5"/>
  <c r="H482" i="5"/>
  <c r="H481" i="5"/>
  <c r="H480" i="5"/>
  <c r="H479" i="5"/>
  <c r="H478" i="5"/>
  <c r="H477" i="5"/>
  <c r="H476" i="5"/>
  <c r="H475" i="5"/>
  <c r="H474" i="5"/>
  <c r="H473" i="5"/>
  <c r="H472" i="5"/>
  <c r="H471" i="5"/>
  <c r="H470" i="5"/>
  <c r="H469" i="5"/>
  <c r="H468" i="5"/>
  <c r="H467" i="5"/>
  <c r="H466" i="5"/>
  <c r="H465" i="5"/>
  <c r="H464" i="5"/>
  <c r="H463" i="5"/>
  <c r="H462" i="5"/>
  <c r="H461" i="5"/>
  <c r="H460" i="5"/>
  <c r="H459" i="5"/>
  <c r="H458" i="5"/>
  <c r="H457" i="5"/>
  <c r="H456" i="5"/>
  <c r="H455" i="5"/>
  <c r="H454" i="5"/>
  <c r="H453" i="5"/>
  <c r="H452" i="5"/>
  <c r="H451" i="5"/>
  <c r="H450" i="5"/>
  <c r="H449" i="5"/>
  <c r="H448" i="5"/>
  <c r="H447" i="5"/>
  <c r="H446" i="5"/>
  <c r="H445" i="5"/>
  <c r="H444" i="5"/>
  <c r="H443" i="5"/>
  <c r="H442" i="5"/>
  <c r="H441" i="5"/>
  <c r="H440" i="5"/>
  <c r="H439" i="5"/>
  <c r="H438" i="5"/>
  <c r="H437" i="5"/>
  <c r="H436" i="5"/>
  <c r="H435" i="5"/>
  <c r="H434" i="5"/>
  <c r="H433" i="5"/>
  <c r="H432" i="5"/>
  <c r="H431" i="5"/>
  <c r="H430" i="5"/>
  <c r="H429" i="5"/>
  <c r="H428" i="5"/>
  <c r="H427" i="5"/>
  <c r="H426" i="5"/>
  <c r="H425" i="5"/>
  <c r="H424" i="5"/>
  <c r="H423" i="5"/>
  <c r="H422" i="5"/>
  <c r="H421" i="5"/>
  <c r="H420" i="5"/>
  <c r="H419" i="5"/>
  <c r="H418" i="5"/>
  <c r="H417" i="5"/>
  <c r="H416" i="5"/>
  <c r="H415" i="5"/>
  <c r="H414" i="5"/>
  <c r="H413" i="5"/>
  <c r="H412" i="5"/>
  <c r="H411" i="5"/>
  <c r="H410" i="5"/>
  <c r="H409" i="5"/>
  <c r="H408" i="5"/>
  <c r="H407" i="5"/>
  <c r="H406" i="5"/>
  <c r="H405" i="5"/>
  <c r="H404" i="5"/>
  <c r="H403" i="5"/>
  <c r="H402" i="5"/>
  <c r="H401" i="5"/>
  <c r="H400" i="5"/>
  <c r="H399" i="5"/>
  <c r="H398" i="5"/>
  <c r="H397" i="5"/>
  <c r="H396" i="5"/>
  <c r="H395" i="5"/>
  <c r="H394" i="5"/>
  <c r="H393" i="5"/>
  <c r="H392" i="5"/>
  <c r="H391" i="5"/>
  <c r="H390" i="5"/>
  <c r="H389" i="5"/>
  <c r="H388" i="5"/>
  <c r="H387" i="5"/>
  <c r="H386" i="5"/>
  <c r="H385" i="5"/>
  <c r="H384" i="5"/>
  <c r="H383" i="5"/>
  <c r="H382" i="5"/>
  <c r="H381" i="5"/>
  <c r="H380" i="5"/>
  <c r="H379" i="5"/>
  <c r="H378" i="5"/>
  <c r="H377" i="5"/>
  <c r="H376" i="5"/>
  <c r="H375" i="5"/>
  <c r="H374" i="5"/>
  <c r="H373" i="5"/>
  <c r="H372" i="5"/>
  <c r="H371" i="5"/>
  <c r="F998" i="5"/>
  <c r="F997" i="5"/>
  <c r="F996" i="5"/>
  <c r="F995" i="5"/>
  <c r="F994" i="5"/>
  <c r="F993" i="5"/>
  <c r="F992" i="5"/>
  <c r="F991" i="5"/>
  <c r="F990" i="5"/>
  <c r="F989" i="5"/>
  <c r="F988" i="5"/>
  <c r="F987" i="5"/>
  <c r="F986" i="5"/>
  <c r="F985" i="5"/>
  <c r="F984" i="5"/>
  <c r="F983" i="5"/>
  <c r="F982" i="5"/>
  <c r="F981" i="5"/>
  <c r="F980" i="5"/>
  <c r="F979" i="5"/>
  <c r="F978" i="5"/>
  <c r="F977" i="5"/>
  <c r="F976" i="5"/>
  <c r="F975" i="5"/>
  <c r="F974" i="5"/>
  <c r="F973" i="5"/>
  <c r="F972" i="5"/>
  <c r="F971" i="5"/>
  <c r="F970" i="5"/>
  <c r="F969" i="5"/>
  <c r="F968" i="5"/>
  <c r="F967" i="5"/>
  <c r="F966" i="5"/>
  <c r="F965" i="5"/>
  <c r="F964" i="5"/>
  <c r="F963" i="5"/>
  <c r="F962" i="5"/>
  <c r="F961" i="5"/>
  <c r="F960" i="5"/>
  <c r="F959" i="5"/>
  <c r="F958" i="5"/>
  <c r="F957" i="5"/>
  <c r="F956" i="5"/>
  <c r="F955" i="5"/>
  <c r="F954" i="5"/>
  <c r="F953" i="5"/>
  <c r="F952" i="5"/>
  <c r="F951" i="5"/>
  <c r="F950" i="5"/>
  <c r="F949" i="5"/>
  <c r="F948" i="5"/>
  <c r="F947" i="5"/>
  <c r="F946" i="5"/>
  <c r="F945" i="5"/>
  <c r="F944" i="5"/>
  <c r="F943" i="5"/>
  <c r="F942" i="5"/>
  <c r="F941" i="5"/>
  <c r="F940" i="5"/>
  <c r="F939" i="5"/>
  <c r="F938" i="5"/>
  <c r="F937" i="5"/>
  <c r="F936" i="5"/>
  <c r="F935" i="5"/>
  <c r="F934" i="5"/>
  <c r="F933" i="5"/>
  <c r="F932" i="5"/>
  <c r="F931" i="5"/>
  <c r="F930" i="5"/>
  <c r="F929" i="5"/>
  <c r="F928" i="5"/>
  <c r="F927" i="5"/>
  <c r="F926" i="5"/>
  <c r="F925" i="5"/>
  <c r="F924" i="5"/>
  <c r="F923" i="5"/>
  <c r="F922" i="5"/>
  <c r="F921" i="5"/>
  <c r="F920" i="5"/>
  <c r="F919" i="5"/>
  <c r="F918" i="5"/>
  <c r="F917" i="5"/>
  <c r="F916" i="5"/>
  <c r="F915" i="5"/>
  <c r="F914" i="5"/>
  <c r="F913" i="5"/>
  <c r="F912" i="5"/>
  <c r="F911" i="5"/>
  <c r="F910" i="5"/>
  <c r="F909" i="5"/>
  <c r="F908" i="5"/>
  <c r="F907" i="5"/>
  <c r="F906" i="5"/>
  <c r="F905" i="5"/>
  <c r="F904" i="5"/>
  <c r="F903" i="5"/>
  <c r="F902" i="5"/>
  <c r="F901" i="5"/>
  <c r="F900" i="5"/>
  <c r="F899" i="5"/>
  <c r="F898" i="5"/>
  <c r="F897" i="5"/>
  <c r="F896" i="5"/>
  <c r="F895" i="5"/>
  <c r="F894" i="5"/>
  <c r="F893" i="5"/>
  <c r="F892" i="5"/>
  <c r="F891" i="5"/>
  <c r="F890" i="5"/>
  <c r="F889" i="5"/>
  <c r="F888" i="5"/>
  <c r="F887" i="5"/>
  <c r="F886" i="5"/>
  <c r="F885" i="5"/>
  <c r="F884" i="5"/>
  <c r="F883" i="5"/>
  <c r="F882" i="5"/>
  <c r="F881" i="5"/>
  <c r="F880" i="5"/>
  <c r="F879" i="5"/>
  <c r="F878" i="5"/>
  <c r="F877" i="5"/>
  <c r="F876" i="5"/>
  <c r="F875" i="5"/>
  <c r="F874" i="5"/>
  <c r="F873" i="5"/>
  <c r="F872" i="5"/>
  <c r="F871" i="5"/>
  <c r="F870" i="5"/>
  <c r="F869" i="5"/>
  <c r="F868" i="5"/>
  <c r="F867" i="5"/>
  <c r="F866" i="5"/>
  <c r="F865" i="5"/>
  <c r="F864" i="5"/>
  <c r="F863" i="5"/>
  <c r="F862" i="5"/>
  <c r="F861" i="5"/>
  <c r="F860" i="5"/>
  <c r="F859" i="5"/>
  <c r="F858" i="5"/>
  <c r="F857" i="5"/>
  <c r="F856" i="5"/>
  <c r="F855" i="5"/>
  <c r="F854" i="5"/>
  <c r="F853" i="5"/>
  <c r="F852" i="5"/>
  <c r="F851" i="5"/>
  <c r="F850" i="5"/>
  <c r="F849" i="5"/>
  <c r="F848" i="5"/>
  <c r="F847" i="5"/>
  <c r="F846" i="5"/>
  <c r="F845" i="5"/>
  <c r="F844" i="5"/>
  <c r="F843" i="5"/>
  <c r="F842" i="5"/>
  <c r="F841" i="5"/>
  <c r="F840" i="5"/>
  <c r="F839" i="5"/>
  <c r="F838" i="5"/>
  <c r="F837" i="5"/>
  <c r="F836" i="5"/>
  <c r="F835" i="5"/>
  <c r="F834" i="5"/>
  <c r="F833" i="5"/>
  <c r="F832" i="5"/>
  <c r="F831" i="5"/>
  <c r="F830" i="5"/>
  <c r="F829" i="5"/>
  <c r="F828" i="5"/>
  <c r="F827" i="5"/>
  <c r="F826" i="5"/>
  <c r="F825" i="5"/>
  <c r="F824" i="5"/>
  <c r="F823" i="5"/>
  <c r="F822" i="5"/>
  <c r="F821" i="5"/>
  <c r="F820" i="5"/>
  <c r="F819" i="5"/>
  <c r="F818" i="5"/>
  <c r="F817" i="5"/>
  <c r="F816" i="5"/>
  <c r="F815" i="5"/>
  <c r="F814" i="5"/>
  <c r="F813" i="5"/>
  <c r="F812" i="5"/>
  <c r="F811" i="5"/>
  <c r="F810" i="5"/>
  <c r="F809" i="5"/>
  <c r="F808" i="5"/>
  <c r="F807" i="5"/>
  <c r="F806" i="5"/>
  <c r="F805" i="5"/>
  <c r="F804" i="5"/>
  <c r="F803" i="5"/>
  <c r="F802" i="5"/>
  <c r="F801" i="5"/>
  <c r="F800" i="5"/>
  <c r="F799" i="5"/>
  <c r="F798" i="5"/>
  <c r="F797" i="5"/>
  <c r="F796" i="5"/>
  <c r="F795" i="5"/>
  <c r="F794" i="5"/>
  <c r="F793" i="5"/>
  <c r="F792" i="5"/>
  <c r="F791" i="5"/>
  <c r="F790" i="5"/>
  <c r="F789" i="5"/>
  <c r="F788" i="5"/>
  <c r="F787" i="5"/>
  <c r="F786" i="5"/>
  <c r="F785" i="5"/>
  <c r="F784" i="5"/>
  <c r="F783" i="5"/>
  <c r="F782" i="5"/>
  <c r="F781" i="5"/>
  <c r="F780" i="5"/>
  <c r="F779" i="5"/>
  <c r="F778" i="5"/>
  <c r="F777" i="5"/>
  <c r="F776" i="5"/>
  <c r="F775" i="5"/>
  <c r="F774" i="5"/>
  <c r="F773" i="5"/>
  <c r="F772" i="5"/>
  <c r="F771" i="5"/>
  <c r="F770" i="5"/>
  <c r="F769" i="5"/>
  <c r="F768" i="5"/>
  <c r="F767" i="5"/>
  <c r="F766" i="5"/>
  <c r="F765" i="5"/>
  <c r="F764" i="5"/>
  <c r="F763" i="5"/>
  <c r="F762" i="5"/>
  <c r="F761" i="5"/>
  <c r="F760" i="5"/>
  <c r="F759" i="5"/>
  <c r="F758" i="5"/>
  <c r="F757" i="5"/>
  <c r="F756" i="5"/>
  <c r="F755" i="5"/>
  <c r="F754" i="5"/>
  <c r="F753" i="5"/>
  <c r="F752" i="5"/>
  <c r="F751" i="5"/>
  <c r="F750" i="5"/>
  <c r="F749" i="5"/>
  <c r="F748" i="5"/>
  <c r="F747" i="5"/>
  <c r="F746" i="5"/>
  <c r="F745" i="5"/>
  <c r="F744" i="5"/>
  <c r="F743" i="5"/>
  <c r="F742" i="5"/>
  <c r="F741" i="5"/>
  <c r="F740" i="5"/>
  <c r="F739" i="5"/>
  <c r="F738" i="5"/>
  <c r="F737" i="5"/>
  <c r="F736" i="5"/>
  <c r="F735" i="5"/>
  <c r="F734" i="5"/>
  <c r="F733" i="5"/>
  <c r="F732" i="5"/>
  <c r="F731" i="5"/>
  <c r="F730" i="5"/>
  <c r="F729" i="5"/>
  <c r="F728" i="5"/>
  <c r="F727" i="5"/>
  <c r="F726" i="5"/>
  <c r="F725" i="5"/>
  <c r="F724" i="5"/>
  <c r="F723" i="5"/>
  <c r="F722" i="5"/>
  <c r="F721" i="5"/>
  <c r="F720" i="5"/>
  <c r="F719" i="5"/>
  <c r="F718" i="5"/>
  <c r="F717" i="5"/>
  <c r="F716" i="5"/>
  <c r="F715" i="5"/>
  <c r="F714" i="5"/>
  <c r="F713" i="5"/>
  <c r="F712" i="5"/>
  <c r="F711" i="5"/>
  <c r="F710" i="5"/>
  <c r="F709" i="5"/>
  <c r="F708" i="5"/>
  <c r="F707" i="5"/>
  <c r="F706" i="5"/>
  <c r="F705" i="5"/>
  <c r="F704" i="5"/>
  <c r="F703" i="5"/>
  <c r="F702" i="5"/>
  <c r="F701" i="5"/>
  <c r="F700" i="5"/>
  <c r="F699" i="5"/>
  <c r="F698" i="5"/>
  <c r="F697" i="5"/>
  <c r="F696" i="5"/>
  <c r="F695" i="5"/>
  <c r="F694" i="5"/>
  <c r="F693" i="5"/>
  <c r="F692" i="5"/>
  <c r="F691" i="5"/>
  <c r="F690" i="5"/>
  <c r="F689" i="5"/>
  <c r="F688" i="5"/>
  <c r="F687" i="5"/>
  <c r="F686" i="5"/>
  <c r="F685" i="5"/>
  <c r="F684" i="5"/>
  <c r="F683" i="5"/>
  <c r="F682" i="5"/>
  <c r="F681" i="5"/>
  <c r="F680" i="5"/>
  <c r="F679" i="5"/>
  <c r="F678" i="5"/>
  <c r="F677" i="5"/>
  <c r="F676" i="5"/>
  <c r="F675" i="5"/>
  <c r="F674" i="5"/>
  <c r="F673" i="5"/>
  <c r="F672" i="5"/>
  <c r="F671" i="5"/>
  <c r="F670" i="5"/>
  <c r="F669" i="5"/>
  <c r="F668" i="5"/>
  <c r="F667" i="5"/>
  <c r="F666" i="5"/>
  <c r="F665" i="5"/>
  <c r="F664" i="5"/>
  <c r="F663" i="5"/>
  <c r="F662" i="5"/>
  <c r="F661" i="5"/>
  <c r="F660" i="5"/>
  <c r="F659" i="5"/>
  <c r="F658" i="5"/>
  <c r="F657" i="5"/>
  <c r="F656" i="5"/>
  <c r="F655" i="5"/>
  <c r="F654" i="5"/>
  <c r="F653" i="5"/>
  <c r="F652" i="5"/>
  <c r="F651" i="5"/>
  <c r="F650" i="5"/>
  <c r="F649" i="5"/>
  <c r="F648" i="5"/>
  <c r="F647" i="5"/>
  <c r="F646" i="5"/>
  <c r="F645" i="5"/>
  <c r="F644" i="5"/>
  <c r="F643" i="5"/>
  <c r="F642" i="5"/>
  <c r="F641" i="5"/>
  <c r="F640" i="5"/>
  <c r="F639" i="5"/>
  <c r="F638" i="5"/>
  <c r="F637" i="5"/>
  <c r="F636" i="5"/>
  <c r="F635" i="5"/>
  <c r="F634" i="5"/>
  <c r="F633" i="5"/>
  <c r="F632" i="5"/>
  <c r="F631" i="5"/>
  <c r="F630" i="5"/>
  <c r="F629" i="5"/>
  <c r="F628" i="5"/>
  <c r="F627" i="5"/>
  <c r="F626" i="5"/>
  <c r="F625" i="5"/>
  <c r="F624" i="5"/>
  <c r="F623" i="5"/>
  <c r="F622" i="5"/>
  <c r="F621" i="5"/>
  <c r="F620" i="5"/>
  <c r="F619" i="5"/>
  <c r="F618" i="5"/>
  <c r="F617" i="5"/>
  <c r="F616" i="5"/>
  <c r="F615" i="5"/>
  <c r="F614" i="5"/>
  <c r="F613" i="5"/>
  <c r="F612" i="5"/>
  <c r="F611" i="5"/>
  <c r="F610" i="5"/>
  <c r="F609" i="5"/>
  <c r="F608" i="5"/>
  <c r="F607" i="5"/>
  <c r="F606" i="5"/>
  <c r="F605" i="5"/>
  <c r="F604" i="5"/>
  <c r="F603" i="5"/>
  <c r="F602" i="5"/>
  <c r="F601" i="5"/>
  <c r="F600" i="5"/>
  <c r="F599" i="5"/>
  <c r="F598" i="5"/>
  <c r="F597" i="5"/>
  <c r="F596" i="5"/>
  <c r="F595" i="5"/>
  <c r="F594" i="5"/>
  <c r="F593" i="5"/>
  <c r="F592" i="5"/>
  <c r="F591" i="5"/>
  <c r="F590" i="5"/>
  <c r="F589" i="5"/>
  <c r="F588" i="5"/>
  <c r="F587" i="5"/>
  <c r="F586" i="5"/>
  <c r="F585" i="5"/>
  <c r="F584" i="5"/>
  <c r="F583" i="5"/>
  <c r="F582" i="5"/>
  <c r="F581" i="5"/>
  <c r="F580" i="5"/>
  <c r="F579" i="5"/>
  <c r="F578" i="5"/>
  <c r="F577" i="5"/>
  <c r="F576" i="5"/>
  <c r="F575" i="5"/>
  <c r="F574" i="5"/>
  <c r="F573" i="5"/>
  <c r="F572" i="5"/>
  <c r="F571" i="5"/>
  <c r="F570" i="5"/>
  <c r="F569" i="5"/>
  <c r="F568" i="5"/>
  <c r="F567" i="5"/>
  <c r="F566" i="5"/>
  <c r="F565" i="5"/>
  <c r="F564" i="5"/>
  <c r="F563" i="5"/>
  <c r="F562" i="5"/>
  <c r="F561" i="5"/>
  <c r="F560" i="5"/>
  <c r="F559" i="5"/>
  <c r="F558" i="5"/>
  <c r="F557" i="5"/>
  <c r="F556" i="5"/>
  <c r="F555" i="5"/>
  <c r="F554" i="5"/>
  <c r="F553" i="5"/>
  <c r="F552" i="5"/>
  <c r="F551" i="5"/>
  <c r="F550" i="5"/>
  <c r="F549" i="5"/>
  <c r="F548" i="5"/>
  <c r="F547" i="5"/>
  <c r="F546" i="5"/>
  <c r="F545" i="5"/>
  <c r="F544" i="5"/>
  <c r="F543" i="5"/>
  <c r="F542" i="5"/>
  <c r="F541" i="5"/>
  <c r="F540" i="5"/>
  <c r="F539" i="5"/>
  <c r="F538" i="5"/>
  <c r="F537" i="5"/>
  <c r="F536" i="5"/>
  <c r="F535" i="5"/>
  <c r="F534" i="5"/>
  <c r="F533" i="5"/>
  <c r="F532" i="5"/>
  <c r="F531" i="5"/>
  <c r="F530" i="5"/>
  <c r="F529" i="5"/>
  <c r="F528" i="5"/>
  <c r="F527" i="5"/>
  <c r="F526" i="5"/>
  <c r="F525" i="5"/>
  <c r="F524" i="5"/>
  <c r="F523" i="5"/>
  <c r="F522" i="5"/>
  <c r="F521" i="5"/>
  <c r="F520" i="5"/>
  <c r="F519" i="5"/>
  <c r="F518" i="5"/>
  <c r="F517" i="5"/>
  <c r="F516" i="5"/>
  <c r="F515" i="5"/>
  <c r="F514" i="5"/>
  <c r="F513" i="5"/>
  <c r="F512" i="5"/>
  <c r="F511" i="5"/>
  <c r="F510" i="5"/>
  <c r="F509" i="5"/>
  <c r="F508" i="5"/>
  <c r="F507" i="5"/>
  <c r="F506" i="5"/>
  <c r="F505" i="5"/>
  <c r="F504" i="5"/>
  <c r="F503" i="5"/>
  <c r="F502" i="5"/>
  <c r="F501" i="5"/>
  <c r="F500" i="5"/>
  <c r="F499" i="5"/>
  <c r="F498" i="5"/>
  <c r="F497" i="5"/>
  <c r="F496" i="5"/>
  <c r="F495" i="5"/>
  <c r="F494" i="5"/>
  <c r="F493" i="5"/>
  <c r="F492" i="5"/>
  <c r="F491" i="5"/>
  <c r="F490" i="5"/>
  <c r="F489" i="5"/>
  <c r="F488" i="5"/>
  <c r="F487" i="5"/>
  <c r="F486" i="5"/>
  <c r="F485" i="5"/>
  <c r="F484" i="5"/>
  <c r="F483" i="5"/>
  <c r="F482" i="5"/>
  <c r="F481" i="5"/>
  <c r="F480" i="5"/>
  <c r="F479" i="5"/>
  <c r="F478" i="5"/>
  <c r="F477" i="5"/>
  <c r="F476" i="5"/>
  <c r="F475" i="5"/>
  <c r="F474" i="5"/>
  <c r="F473" i="5"/>
  <c r="F472" i="5"/>
  <c r="F471" i="5"/>
  <c r="F470" i="5"/>
  <c r="F469" i="5"/>
  <c r="F468" i="5"/>
  <c r="F467" i="5"/>
  <c r="F466" i="5"/>
  <c r="F465" i="5"/>
  <c r="F464" i="5"/>
  <c r="F463" i="5"/>
  <c r="F462" i="5"/>
  <c r="F461" i="5"/>
  <c r="F460" i="5"/>
  <c r="F459" i="5"/>
  <c r="F458" i="5"/>
  <c r="F457" i="5"/>
  <c r="F456" i="5"/>
  <c r="F455" i="5"/>
  <c r="F454" i="5"/>
  <c r="F453" i="5"/>
  <c r="F452" i="5"/>
  <c r="F451" i="5"/>
  <c r="F450" i="5"/>
  <c r="F449" i="5"/>
  <c r="F448" i="5"/>
  <c r="F447" i="5"/>
  <c r="F446" i="5"/>
  <c r="F445" i="5"/>
  <c r="F444" i="5"/>
  <c r="F443" i="5"/>
  <c r="F442" i="5"/>
  <c r="F441" i="5"/>
  <c r="F440" i="5"/>
  <c r="F439" i="5"/>
  <c r="F438" i="5"/>
  <c r="F437" i="5"/>
  <c r="F436" i="5"/>
  <c r="F435" i="5"/>
  <c r="F434" i="5"/>
  <c r="F433" i="5"/>
  <c r="F432" i="5"/>
  <c r="F431" i="5"/>
  <c r="F430" i="5"/>
  <c r="F429" i="5"/>
  <c r="F428" i="5"/>
  <c r="F427" i="5"/>
  <c r="F426" i="5"/>
  <c r="F425" i="5"/>
  <c r="F424" i="5"/>
  <c r="F423" i="5"/>
  <c r="F422" i="5"/>
  <c r="F421" i="5"/>
  <c r="F420" i="5"/>
  <c r="F419" i="5"/>
  <c r="F418" i="5"/>
  <c r="F417" i="5"/>
  <c r="F416" i="5"/>
  <c r="F415" i="5"/>
  <c r="F414" i="5"/>
  <c r="F413" i="5"/>
  <c r="F412" i="5"/>
  <c r="F411" i="5"/>
  <c r="F410" i="5"/>
  <c r="F409" i="5"/>
  <c r="F408" i="5"/>
  <c r="F407" i="5"/>
  <c r="F406" i="5"/>
  <c r="F405" i="5"/>
  <c r="F404" i="5"/>
  <c r="F403" i="5"/>
  <c r="F402" i="5"/>
  <c r="F401" i="5"/>
  <c r="F400" i="5"/>
  <c r="F399" i="5"/>
  <c r="F398" i="5"/>
  <c r="F397" i="5"/>
  <c r="F396" i="5"/>
  <c r="F395" i="5"/>
  <c r="F394" i="5"/>
  <c r="F393" i="5"/>
  <c r="F392" i="5"/>
  <c r="F391" i="5"/>
  <c r="F390" i="5"/>
  <c r="F389" i="5"/>
  <c r="F388" i="5"/>
  <c r="F387" i="5"/>
  <c r="F386" i="5"/>
  <c r="F385" i="5"/>
  <c r="F384" i="5"/>
  <c r="F383" i="5"/>
  <c r="F382" i="5"/>
  <c r="F381" i="5"/>
  <c r="F380" i="5"/>
  <c r="F379" i="5"/>
  <c r="F378" i="5"/>
  <c r="F377" i="5"/>
  <c r="F376" i="5"/>
  <c r="F375" i="5"/>
  <c r="F374" i="5"/>
  <c r="F373" i="5"/>
  <c r="F372" i="5"/>
  <c r="F371" i="5"/>
  <c r="F370" i="5"/>
  <c r="F369" i="5"/>
  <c r="F368" i="5"/>
  <c r="F367" i="5"/>
  <c r="F366" i="5"/>
  <c r="F365" i="5"/>
  <c r="F364" i="5"/>
  <c r="F363" i="5"/>
  <c r="F362" i="5"/>
  <c r="F361" i="5"/>
  <c r="F360" i="5"/>
  <c r="F359" i="5"/>
  <c r="F358" i="5"/>
  <c r="F357" i="5"/>
  <c r="F356" i="5"/>
  <c r="F355" i="5"/>
  <c r="F354" i="5"/>
  <c r="F353" i="5"/>
  <c r="F352" i="5"/>
  <c r="F351" i="5"/>
  <c r="F350" i="5"/>
  <c r="F349" i="5"/>
  <c r="F348" i="5"/>
  <c r="F347" i="5"/>
  <c r="F346" i="5"/>
  <c r="F345" i="5"/>
  <c r="F344" i="5"/>
  <c r="F343" i="5"/>
  <c r="F342" i="5"/>
  <c r="F337" i="5"/>
  <c r="F336" i="5"/>
  <c r="F335" i="5"/>
  <c r="F334" i="5"/>
  <c r="F333" i="5"/>
  <c r="F332" i="5"/>
  <c r="F331" i="5"/>
  <c r="F330" i="5"/>
  <c r="F329" i="5"/>
  <c r="F328" i="5"/>
  <c r="F327" i="5"/>
  <c r="F326" i="5"/>
  <c r="F325" i="5"/>
  <c r="F324" i="5"/>
  <c r="F323" i="5"/>
  <c r="F322" i="5"/>
  <c r="F321" i="5"/>
  <c r="F320" i="5"/>
  <c r="F317" i="5"/>
  <c r="F316" i="5"/>
  <c r="F314" i="5"/>
  <c r="F313" i="5"/>
  <c r="F312" i="5"/>
  <c r="F311" i="5"/>
  <c r="F310" i="5"/>
  <c r="F309" i="5"/>
  <c r="F308" i="5"/>
  <c r="F307" i="5"/>
  <c r="F306" i="5"/>
  <c r="F305" i="5"/>
  <c r="F304" i="5"/>
  <c r="F303" i="5"/>
  <c r="F302" i="5"/>
  <c r="F301" i="5"/>
  <c r="F300" i="5"/>
  <c r="F299" i="5"/>
  <c r="F298" i="5"/>
  <c r="F297" i="5"/>
  <c r="F296" i="5"/>
  <c r="F295" i="5"/>
  <c r="F294" i="5"/>
  <c r="F291" i="5"/>
  <c r="F290" i="5"/>
  <c r="F289" i="5"/>
  <c r="F288" i="5"/>
  <c r="F287" i="5"/>
  <c r="F286" i="5"/>
  <c r="F285" i="5"/>
  <c r="F284" i="5"/>
  <c r="F283" i="5"/>
  <c r="F282" i="5"/>
  <c r="F281" i="5"/>
  <c r="F280" i="5"/>
  <c r="F279" i="5"/>
  <c r="F278" i="5"/>
  <c r="F277" i="5"/>
  <c r="F276" i="5"/>
  <c r="F275" i="5"/>
  <c r="F274" i="5"/>
  <c r="F273" i="5"/>
  <c r="F272" i="5"/>
  <c r="F271" i="5"/>
  <c r="F270" i="5"/>
  <c r="F266" i="5"/>
  <c r="F265" i="5"/>
  <c r="F264" i="5"/>
  <c r="F263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8" i="5"/>
  <c r="F247" i="5"/>
  <c r="F246" i="5"/>
  <c r="F245" i="5"/>
  <c r="F244" i="5"/>
  <c r="F243" i="5"/>
  <c r="F242" i="5"/>
  <c r="F241" i="5"/>
  <c r="F240" i="5"/>
  <c r="F239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D295" i="5"/>
  <c r="D294" i="5"/>
  <c r="D291" i="5"/>
  <c r="D290" i="5"/>
  <c r="D289" i="5"/>
  <c r="D288" i="5"/>
  <c r="D287" i="5"/>
  <c r="D286" i="5"/>
  <c r="D285" i="5"/>
  <c r="D284" i="5"/>
  <c r="D283" i="5"/>
  <c r="D281" i="5"/>
  <c r="D279" i="5"/>
  <c r="D278" i="5"/>
  <c r="D277" i="5"/>
  <c r="D276" i="5"/>
  <c r="D275" i="5"/>
  <c r="D274" i="5"/>
  <c r="D273" i="5"/>
  <c r="D272" i="5"/>
  <c r="D271" i="5"/>
  <c r="D270" i="5"/>
  <c r="D266" i="5"/>
  <c r="D265" i="5"/>
  <c r="D264" i="5"/>
  <c r="D263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8" i="5"/>
  <c r="D247" i="5"/>
  <c r="D246" i="5"/>
  <c r="D245" i="5"/>
  <c r="D244" i="5"/>
  <c r="D243" i="5"/>
  <c r="D242" i="5"/>
  <c r="D241" i="5"/>
  <c r="D240" i="5"/>
  <c r="D239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I994" i="6"/>
  <c r="I993" i="6"/>
  <c r="I992" i="6"/>
  <c r="I991" i="6"/>
  <c r="I990" i="6"/>
  <c r="I989" i="6"/>
  <c r="I988" i="6"/>
  <c r="I987" i="6"/>
  <c r="I986" i="6"/>
  <c r="I985" i="6"/>
  <c r="I984" i="6"/>
  <c r="I983" i="6"/>
  <c r="I982" i="6"/>
  <c r="I981" i="6"/>
  <c r="I980" i="6"/>
  <c r="I979" i="6"/>
  <c r="I978" i="6"/>
  <c r="I977" i="6"/>
  <c r="I976" i="6"/>
  <c r="I975" i="6"/>
  <c r="I974" i="6"/>
  <c r="I973" i="6"/>
  <c r="I972" i="6"/>
  <c r="I971" i="6"/>
  <c r="I970" i="6"/>
  <c r="I969" i="6"/>
  <c r="I968" i="6"/>
  <c r="I967" i="6"/>
  <c r="I966" i="6"/>
  <c r="I965" i="6"/>
  <c r="I964" i="6"/>
  <c r="I963" i="6"/>
  <c r="I962" i="6"/>
  <c r="I961" i="6"/>
  <c r="I960" i="6"/>
  <c r="I959" i="6"/>
  <c r="I958" i="6"/>
  <c r="I957" i="6"/>
  <c r="I956" i="6"/>
  <c r="I955" i="6"/>
  <c r="I954" i="6"/>
  <c r="I953" i="6"/>
  <c r="I952" i="6"/>
  <c r="I951" i="6"/>
  <c r="I950" i="6"/>
  <c r="I949" i="6"/>
  <c r="I948" i="6"/>
  <c r="I947" i="6"/>
  <c r="I946" i="6"/>
  <c r="I945" i="6"/>
  <c r="I944" i="6"/>
  <c r="I943" i="6"/>
  <c r="I942" i="6"/>
  <c r="I941" i="6"/>
  <c r="I940" i="6"/>
  <c r="I939" i="6"/>
  <c r="I938" i="6"/>
  <c r="I937" i="6"/>
  <c r="I936" i="6"/>
  <c r="I935" i="6"/>
  <c r="I934" i="6"/>
  <c r="I933" i="6"/>
  <c r="I932" i="6"/>
  <c r="I931" i="6"/>
  <c r="I930" i="6"/>
  <c r="I929" i="6"/>
  <c r="I928" i="6"/>
  <c r="I927" i="6"/>
  <c r="I926" i="6"/>
  <c r="I925" i="6"/>
  <c r="I924" i="6"/>
  <c r="I923" i="6"/>
  <c r="I922" i="6"/>
  <c r="I921" i="6"/>
  <c r="I920" i="6"/>
  <c r="I919" i="6"/>
  <c r="I918" i="6"/>
  <c r="I917" i="6"/>
  <c r="I916" i="6"/>
  <c r="I915" i="6"/>
  <c r="I914" i="6"/>
  <c r="I913" i="6"/>
  <c r="I912" i="6"/>
  <c r="I911" i="6"/>
  <c r="I910" i="6"/>
  <c r="I909" i="6"/>
  <c r="I908" i="6"/>
  <c r="I907" i="6"/>
  <c r="I906" i="6"/>
  <c r="I905" i="6"/>
  <c r="I904" i="6"/>
  <c r="I903" i="6"/>
  <c r="I902" i="6"/>
  <c r="I901" i="6"/>
  <c r="I900" i="6"/>
  <c r="I899" i="6"/>
  <c r="I898" i="6"/>
  <c r="I897" i="6"/>
  <c r="I896" i="6"/>
  <c r="I895" i="6"/>
  <c r="I894" i="6"/>
  <c r="I893" i="6"/>
  <c r="I892" i="6"/>
  <c r="I891" i="6"/>
  <c r="I890" i="6"/>
  <c r="I889" i="6"/>
  <c r="I888" i="6"/>
  <c r="I887" i="6"/>
  <c r="I886" i="6"/>
  <c r="I885" i="6"/>
  <c r="I884" i="6"/>
  <c r="I883" i="6"/>
  <c r="I882" i="6"/>
  <c r="I881" i="6"/>
  <c r="I880" i="6"/>
  <c r="I879" i="6"/>
  <c r="I878" i="6"/>
  <c r="I877" i="6"/>
  <c r="I876" i="6"/>
  <c r="I875" i="6"/>
  <c r="I874" i="6"/>
  <c r="I873" i="6"/>
  <c r="I872" i="6"/>
  <c r="I871" i="6"/>
  <c r="I870" i="6"/>
  <c r="I869" i="6"/>
  <c r="I868" i="6"/>
  <c r="I867" i="6"/>
  <c r="I866" i="6"/>
  <c r="I865" i="6"/>
  <c r="I864" i="6"/>
  <c r="I863" i="6"/>
  <c r="I862" i="6"/>
  <c r="I861" i="6"/>
  <c r="I860" i="6"/>
  <c r="I859" i="6"/>
  <c r="I858" i="6"/>
  <c r="I857" i="6"/>
  <c r="I856" i="6"/>
  <c r="I855" i="6"/>
  <c r="I854" i="6"/>
  <c r="I853" i="6"/>
  <c r="I852" i="6"/>
  <c r="I851" i="6"/>
  <c r="I850" i="6"/>
  <c r="I849" i="6"/>
  <c r="I848" i="6"/>
  <c r="I847" i="6"/>
  <c r="I846" i="6"/>
  <c r="I845" i="6"/>
  <c r="I844" i="6"/>
  <c r="I843" i="6"/>
  <c r="I842" i="6"/>
  <c r="I841" i="6"/>
  <c r="I840" i="6"/>
  <c r="I839" i="6"/>
  <c r="I838" i="6"/>
  <c r="I837" i="6"/>
  <c r="I836" i="6"/>
  <c r="I835" i="6"/>
  <c r="I834" i="6"/>
  <c r="I833" i="6"/>
  <c r="I832" i="6"/>
  <c r="I831" i="6"/>
  <c r="I830" i="6"/>
  <c r="I829" i="6"/>
  <c r="I828" i="6"/>
  <c r="I827" i="6"/>
  <c r="I826" i="6"/>
  <c r="I825" i="6"/>
  <c r="I824" i="6"/>
  <c r="I823" i="6"/>
  <c r="I822" i="6"/>
  <c r="I821" i="6"/>
  <c r="I820" i="6"/>
  <c r="I819" i="6"/>
  <c r="I818" i="6"/>
  <c r="I817" i="6"/>
  <c r="I816" i="6"/>
  <c r="I815" i="6"/>
  <c r="I814" i="6"/>
  <c r="I813" i="6"/>
  <c r="I812" i="6"/>
  <c r="I811" i="6"/>
  <c r="I810" i="6"/>
  <c r="I809" i="6"/>
  <c r="I808" i="6"/>
  <c r="I807" i="6"/>
  <c r="I806" i="6"/>
  <c r="I805" i="6"/>
  <c r="I804" i="6"/>
  <c r="I803" i="6"/>
  <c r="I802" i="6"/>
  <c r="I801" i="6"/>
  <c r="I800" i="6"/>
  <c r="I799" i="6"/>
  <c r="I798" i="6"/>
  <c r="I797" i="6"/>
  <c r="I796" i="6"/>
  <c r="I795" i="6"/>
  <c r="I794" i="6"/>
  <c r="I793" i="6"/>
  <c r="I792" i="6"/>
  <c r="I791" i="6"/>
  <c r="I790" i="6"/>
  <c r="I789" i="6"/>
  <c r="I788" i="6"/>
  <c r="I787" i="6"/>
  <c r="I786" i="6"/>
  <c r="I785" i="6"/>
  <c r="I784" i="6"/>
  <c r="I783" i="6"/>
  <c r="I782" i="6"/>
  <c r="I781" i="6"/>
  <c r="I780" i="6"/>
  <c r="I779" i="6"/>
  <c r="I778" i="6"/>
  <c r="I777" i="6"/>
  <c r="I776" i="6"/>
  <c r="I775" i="6"/>
  <c r="I774" i="6"/>
  <c r="I773" i="6"/>
  <c r="I772" i="6"/>
  <c r="I771" i="6"/>
  <c r="I770" i="6"/>
  <c r="I769" i="6"/>
  <c r="I768" i="6"/>
  <c r="I767" i="6"/>
  <c r="I766" i="6"/>
  <c r="I765" i="6"/>
  <c r="I764" i="6"/>
  <c r="I763" i="6"/>
  <c r="I762" i="6"/>
  <c r="I761" i="6"/>
  <c r="I760" i="6"/>
  <c r="I759" i="6"/>
  <c r="I758" i="6"/>
  <c r="I757" i="6"/>
  <c r="I756" i="6"/>
  <c r="I755" i="6"/>
  <c r="I754" i="6"/>
  <c r="I753" i="6"/>
  <c r="I752" i="6"/>
  <c r="I751" i="6"/>
  <c r="I750" i="6"/>
  <c r="I749" i="6"/>
  <c r="I748" i="6"/>
  <c r="I747" i="6"/>
  <c r="I746" i="6"/>
  <c r="I745" i="6"/>
  <c r="I744" i="6"/>
  <c r="I743" i="6"/>
  <c r="I742" i="6"/>
  <c r="I741" i="6"/>
  <c r="I740" i="6"/>
  <c r="I739" i="6"/>
  <c r="I738" i="6"/>
  <c r="I737" i="6"/>
  <c r="I736" i="6"/>
  <c r="I735" i="6"/>
  <c r="I734" i="6"/>
  <c r="I733" i="6"/>
  <c r="I732" i="6"/>
  <c r="I731" i="6"/>
  <c r="I730" i="6"/>
  <c r="I729" i="6"/>
  <c r="I728" i="6"/>
  <c r="I727" i="6"/>
  <c r="I726" i="6"/>
  <c r="I725" i="6"/>
  <c r="I724" i="6"/>
  <c r="I723" i="6"/>
  <c r="I722" i="6"/>
  <c r="I721" i="6"/>
  <c r="I720" i="6"/>
  <c r="I719" i="6"/>
  <c r="I718" i="6"/>
  <c r="I717" i="6"/>
  <c r="I716" i="6"/>
  <c r="I715" i="6"/>
  <c r="I714" i="6"/>
  <c r="I713" i="6"/>
  <c r="I712" i="6"/>
  <c r="I711" i="6"/>
  <c r="I710" i="6"/>
  <c r="I709" i="6"/>
  <c r="I708" i="6"/>
  <c r="I707" i="6"/>
  <c r="I706" i="6"/>
  <c r="I705" i="6"/>
  <c r="I704" i="6"/>
  <c r="I703" i="6"/>
  <c r="I702" i="6"/>
  <c r="I701" i="6"/>
  <c r="I700" i="6"/>
  <c r="I699" i="6"/>
  <c r="I698" i="6"/>
  <c r="I697" i="6"/>
  <c r="I696" i="6"/>
  <c r="I695" i="6"/>
  <c r="I694" i="6"/>
  <c r="I693" i="6"/>
  <c r="I692" i="6"/>
  <c r="I691" i="6"/>
  <c r="I690" i="6"/>
  <c r="I689" i="6"/>
  <c r="I688" i="6"/>
  <c r="I687" i="6"/>
  <c r="I686" i="6"/>
  <c r="I685" i="6"/>
  <c r="I684" i="6"/>
  <c r="I683" i="6"/>
  <c r="I682" i="6"/>
  <c r="I681" i="6"/>
  <c r="I680" i="6"/>
  <c r="I679" i="6"/>
  <c r="I678" i="6"/>
  <c r="I677" i="6"/>
  <c r="I676" i="6"/>
  <c r="I675" i="6"/>
  <c r="I674" i="6"/>
  <c r="I673" i="6"/>
  <c r="I672" i="6"/>
  <c r="I671" i="6"/>
  <c r="I670" i="6"/>
  <c r="I669" i="6"/>
  <c r="I668" i="6"/>
  <c r="I667" i="6"/>
  <c r="I666" i="6"/>
  <c r="I665" i="6"/>
  <c r="I664" i="6"/>
  <c r="I663" i="6"/>
  <c r="I662" i="6"/>
  <c r="I661" i="6"/>
  <c r="I660" i="6"/>
  <c r="I659" i="6"/>
  <c r="I658" i="6"/>
  <c r="I657" i="6"/>
  <c r="I656" i="6"/>
  <c r="I655" i="6"/>
  <c r="I654" i="6"/>
  <c r="I653" i="6"/>
  <c r="I652" i="6"/>
  <c r="I651" i="6"/>
  <c r="I650" i="6"/>
  <c r="I649" i="6"/>
  <c r="I648" i="6"/>
  <c r="I647" i="6"/>
  <c r="I646" i="6"/>
  <c r="I645" i="6"/>
  <c r="I644" i="6"/>
  <c r="I643" i="6"/>
  <c r="I642" i="6"/>
  <c r="I641" i="6"/>
  <c r="I640" i="6"/>
  <c r="I639" i="6"/>
  <c r="I638" i="6"/>
  <c r="I637" i="6"/>
  <c r="I636" i="6"/>
  <c r="I635" i="6"/>
  <c r="I634" i="6"/>
  <c r="I633" i="6"/>
  <c r="I632" i="6"/>
  <c r="I631" i="6"/>
  <c r="I630" i="6"/>
  <c r="I629" i="6"/>
  <c r="I628" i="6"/>
  <c r="I627" i="6"/>
  <c r="I626" i="6"/>
  <c r="I625" i="6"/>
  <c r="I624" i="6"/>
  <c r="I623" i="6"/>
  <c r="I622" i="6"/>
  <c r="I621" i="6"/>
  <c r="I620" i="6"/>
  <c r="I619" i="6"/>
  <c r="I618" i="6"/>
  <c r="I617" i="6"/>
  <c r="I616" i="6"/>
  <c r="I615" i="6"/>
  <c r="I614" i="6"/>
  <c r="I613" i="6"/>
  <c r="I612" i="6"/>
  <c r="I611" i="6"/>
  <c r="I610" i="6"/>
  <c r="I609" i="6"/>
  <c r="I608" i="6"/>
  <c r="I607" i="6"/>
  <c r="I606" i="6"/>
  <c r="I605" i="6"/>
  <c r="I604" i="6"/>
  <c r="I603" i="6"/>
  <c r="I602" i="6"/>
  <c r="I601" i="6"/>
  <c r="I600" i="6"/>
  <c r="I599" i="6"/>
  <c r="I598" i="6"/>
  <c r="I597" i="6"/>
  <c r="I596" i="6"/>
  <c r="I595" i="6"/>
  <c r="I594" i="6"/>
  <c r="I593" i="6"/>
  <c r="I592" i="6"/>
  <c r="I591" i="6"/>
  <c r="I590" i="6"/>
  <c r="I589" i="6"/>
  <c r="I588" i="6"/>
  <c r="I587" i="6"/>
  <c r="I586" i="6"/>
  <c r="I585" i="6"/>
  <c r="I584" i="6"/>
  <c r="I583" i="6"/>
  <c r="I582" i="6"/>
  <c r="I581" i="6"/>
  <c r="I580" i="6"/>
  <c r="I579" i="6"/>
  <c r="I578" i="6"/>
  <c r="I577" i="6"/>
  <c r="I576" i="6"/>
  <c r="I575" i="6"/>
  <c r="I574" i="6"/>
  <c r="I573" i="6"/>
  <c r="I572" i="6"/>
  <c r="I571" i="6"/>
  <c r="I570" i="6"/>
  <c r="I569" i="6"/>
  <c r="I568" i="6"/>
  <c r="I567" i="6"/>
  <c r="I566" i="6"/>
  <c r="I565" i="6"/>
  <c r="I564" i="6"/>
  <c r="I563" i="6"/>
  <c r="I562" i="6"/>
  <c r="I561" i="6"/>
  <c r="I560" i="6"/>
  <c r="I559" i="6"/>
  <c r="I558" i="6"/>
  <c r="I557" i="6"/>
  <c r="I556" i="6"/>
  <c r="I555" i="6"/>
  <c r="I554" i="6"/>
  <c r="I553" i="6"/>
  <c r="I552" i="6"/>
  <c r="I551" i="6"/>
  <c r="I550" i="6"/>
  <c r="I549" i="6"/>
  <c r="I548" i="6"/>
  <c r="I547" i="6"/>
  <c r="I546" i="6"/>
  <c r="I545" i="6"/>
  <c r="I544" i="6"/>
  <c r="I543" i="6"/>
  <c r="I542" i="6"/>
  <c r="I541" i="6"/>
  <c r="I540" i="6"/>
  <c r="I539" i="6"/>
  <c r="I538" i="6"/>
  <c r="I537" i="6"/>
  <c r="I536" i="6"/>
  <c r="I535" i="6"/>
  <c r="I534" i="6"/>
  <c r="I533" i="6"/>
  <c r="I532" i="6"/>
  <c r="I531" i="6"/>
  <c r="I530" i="6"/>
  <c r="I529" i="6"/>
  <c r="I528" i="6"/>
  <c r="I527" i="6"/>
  <c r="I526" i="6"/>
  <c r="I525" i="6"/>
  <c r="I524" i="6"/>
  <c r="I523" i="6"/>
  <c r="I522" i="6"/>
  <c r="I521" i="6"/>
  <c r="I520" i="6"/>
  <c r="I519" i="6"/>
  <c r="I518" i="6"/>
  <c r="I517" i="6"/>
  <c r="I516" i="6"/>
  <c r="I515" i="6"/>
  <c r="I514" i="6"/>
  <c r="I513" i="6"/>
  <c r="I512" i="6"/>
  <c r="I511" i="6"/>
  <c r="I510" i="6"/>
  <c r="I509" i="6"/>
  <c r="I508" i="6"/>
  <c r="I507" i="6"/>
  <c r="I506" i="6"/>
  <c r="I505" i="6"/>
  <c r="I504" i="6"/>
  <c r="I503" i="6"/>
  <c r="I502" i="6"/>
  <c r="I501" i="6"/>
  <c r="I500" i="6"/>
  <c r="I499" i="6"/>
  <c r="I498" i="6"/>
  <c r="I497" i="6"/>
  <c r="I496" i="6"/>
  <c r="I495" i="6"/>
  <c r="I494" i="6"/>
  <c r="I493" i="6"/>
  <c r="I492" i="6"/>
  <c r="I491" i="6"/>
  <c r="I490" i="6"/>
  <c r="I489" i="6"/>
  <c r="I488" i="6"/>
  <c r="I487" i="6"/>
  <c r="I486" i="6"/>
  <c r="I485" i="6"/>
  <c r="I484" i="6"/>
  <c r="I483" i="6"/>
  <c r="I482" i="6"/>
  <c r="I481" i="6"/>
  <c r="I480" i="6"/>
  <c r="I479" i="6"/>
  <c r="I478" i="6"/>
  <c r="I477" i="6"/>
  <c r="I476" i="6"/>
  <c r="I475" i="6"/>
  <c r="I474" i="6"/>
  <c r="I473" i="6"/>
  <c r="I472" i="6"/>
  <c r="I471" i="6"/>
  <c r="I470" i="6"/>
  <c r="I469" i="6"/>
  <c r="I468" i="6"/>
  <c r="I467" i="6"/>
  <c r="I466" i="6"/>
  <c r="I465" i="6"/>
  <c r="I464" i="6"/>
  <c r="I463" i="6"/>
  <c r="I462" i="6"/>
  <c r="I461" i="6"/>
  <c r="I460" i="6"/>
  <c r="I459" i="6"/>
  <c r="I458" i="6"/>
  <c r="I457" i="6"/>
  <c r="I456" i="6"/>
  <c r="I455" i="6"/>
  <c r="I454" i="6"/>
  <c r="I453" i="6"/>
  <c r="I452" i="6"/>
  <c r="I451" i="6"/>
  <c r="I450" i="6"/>
  <c r="I449" i="6"/>
  <c r="I448" i="6"/>
  <c r="I447" i="6"/>
  <c r="I446" i="6"/>
  <c r="I445" i="6"/>
  <c r="I444" i="6"/>
  <c r="I443" i="6"/>
  <c r="I442" i="6"/>
  <c r="I441" i="6"/>
  <c r="I440" i="6"/>
  <c r="I439" i="6"/>
  <c r="I438" i="6"/>
  <c r="I437" i="6"/>
  <c r="I436" i="6"/>
  <c r="I435" i="6"/>
  <c r="I434" i="6"/>
  <c r="I433" i="6"/>
  <c r="I432" i="6"/>
  <c r="I431" i="6"/>
  <c r="I430" i="6"/>
  <c r="I429" i="6"/>
  <c r="I428" i="6"/>
  <c r="I427" i="6"/>
  <c r="I426" i="6"/>
  <c r="I425" i="6"/>
  <c r="I424" i="6"/>
  <c r="I423" i="6"/>
  <c r="I422" i="6"/>
  <c r="I421" i="6"/>
  <c r="I420" i="6"/>
  <c r="I419" i="6"/>
  <c r="I418" i="6"/>
  <c r="I417" i="6"/>
  <c r="I416" i="6"/>
  <c r="I415" i="6"/>
  <c r="I414" i="6"/>
  <c r="I413" i="6"/>
  <c r="I412" i="6"/>
  <c r="I411" i="6"/>
  <c r="I410" i="6"/>
  <c r="I409" i="6"/>
  <c r="I408" i="6"/>
  <c r="I407" i="6"/>
  <c r="I406" i="6"/>
  <c r="I405" i="6"/>
  <c r="I404" i="6"/>
  <c r="I403" i="6"/>
  <c r="I402" i="6"/>
  <c r="I401" i="6"/>
  <c r="I400" i="6"/>
  <c r="I399" i="6"/>
  <c r="I398" i="6"/>
  <c r="I397" i="6"/>
  <c r="I396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5" i="6"/>
  <c r="I174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5" i="6"/>
  <c r="I154" i="6"/>
  <c r="I153" i="6"/>
  <c r="I152" i="6"/>
  <c r="H994" i="6"/>
  <c r="J994" i="6" s="1"/>
  <c r="H993" i="6"/>
  <c r="J993" i="6" s="1"/>
  <c r="H992" i="6"/>
  <c r="J992" i="6" s="1"/>
  <c r="H991" i="6"/>
  <c r="J991" i="6" s="1"/>
  <c r="H990" i="6"/>
  <c r="J990" i="6" s="1"/>
  <c r="H989" i="6"/>
  <c r="J989" i="6" s="1"/>
  <c r="H988" i="6"/>
  <c r="J988" i="6" s="1"/>
  <c r="H987" i="6"/>
  <c r="J987" i="6" s="1"/>
  <c r="H986" i="6"/>
  <c r="J986" i="6" s="1"/>
  <c r="H985" i="6"/>
  <c r="J985" i="6" s="1"/>
  <c r="H984" i="6"/>
  <c r="J984" i="6" s="1"/>
  <c r="H983" i="6"/>
  <c r="J983" i="6" s="1"/>
  <c r="H982" i="6"/>
  <c r="J982" i="6" s="1"/>
  <c r="H981" i="6"/>
  <c r="J981" i="6" s="1"/>
  <c r="H980" i="6"/>
  <c r="J980" i="6" s="1"/>
  <c r="H979" i="6"/>
  <c r="J979" i="6" s="1"/>
  <c r="H978" i="6"/>
  <c r="J978" i="6" s="1"/>
  <c r="H977" i="6"/>
  <c r="J977" i="6" s="1"/>
  <c r="H976" i="6"/>
  <c r="J976" i="6" s="1"/>
  <c r="H975" i="6"/>
  <c r="J975" i="6" s="1"/>
  <c r="H974" i="6"/>
  <c r="J974" i="6" s="1"/>
  <c r="H973" i="6"/>
  <c r="J973" i="6" s="1"/>
  <c r="H972" i="6"/>
  <c r="J972" i="6" s="1"/>
  <c r="H971" i="6"/>
  <c r="J971" i="6" s="1"/>
  <c r="H970" i="6"/>
  <c r="J970" i="6" s="1"/>
  <c r="H969" i="6"/>
  <c r="J969" i="6" s="1"/>
  <c r="H968" i="6"/>
  <c r="J968" i="6" s="1"/>
  <c r="H967" i="6"/>
  <c r="J967" i="6" s="1"/>
  <c r="H966" i="6"/>
  <c r="J966" i="6" s="1"/>
  <c r="H965" i="6"/>
  <c r="J965" i="6" s="1"/>
  <c r="H964" i="6"/>
  <c r="J964" i="6" s="1"/>
  <c r="H963" i="6"/>
  <c r="J963" i="6" s="1"/>
  <c r="H962" i="6"/>
  <c r="J962" i="6" s="1"/>
  <c r="H961" i="6"/>
  <c r="J961" i="6" s="1"/>
  <c r="H960" i="6"/>
  <c r="J960" i="6" s="1"/>
  <c r="H959" i="6"/>
  <c r="J959" i="6" s="1"/>
  <c r="H958" i="6"/>
  <c r="J958" i="6" s="1"/>
  <c r="H957" i="6"/>
  <c r="J957" i="6" s="1"/>
  <c r="H956" i="6"/>
  <c r="J956" i="6" s="1"/>
  <c r="H955" i="6"/>
  <c r="J955" i="6" s="1"/>
  <c r="H954" i="6"/>
  <c r="J954" i="6" s="1"/>
  <c r="H953" i="6"/>
  <c r="J953" i="6" s="1"/>
  <c r="H952" i="6"/>
  <c r="J952" i="6" s="1"/>
  <c r="H951" i="6"/>
  <c r="J951" i="6" s="1"/>
  <c r="H950" i="6"/>
  <c r="J950" i="6" s="1"/>
  <c r="H949" i="6"/>
  <c r="J949" i="6" s="1"/>
  <c r="H948" i="6"/>
  <c r="J948" i="6" s="1"/>
  <c r="H947" i="6"/>
  <c r="J947" i="6" s="1"/>
  <c r="H946" i="6"/>
  <c r="J946" i="6" s="1"/>
  <c r="H945" i="6"/>
  <c r="J945" i="6" s="1"/>
  <c r="H944" i="6"/>
  <c r="J944" i="6" s="1"/>
  <c r="H943" i="6"/>
  <c r="J943" i="6" s="1"/>
  <c r="H942" i="6"/>
  <c r="J942" i="6" s="1"/>
  <c r="H941" i="6"/>
  <c r="J941" i="6" s="1"/>
  <c r="H940" i="6"/>
  <c r="J940" i="6" s="1"/>
  <c r="H939" i="6"/>
  <c r="J939" i="6" s="1"/>
  <c r="H938" i="6"/>
  <c r="J938" i="6" s="1"/>
  <c r="H937" i="6"/>
  <c r="J937" i="6" s="1"/>
  <c r="H936" i="6"/>
  <c r="J936" i="6" s="1"/>
  <c r="H935" i="6"/>
  <c r="J935" i="6" s="1"/>
  <c r="H934" i="6"/>
  <c r="J934" i="6" s="1"/>
  <c r="H933" i="6"/>
  <c r="J933" i="6" s="1"/>
  <c r="H932" i="6"/>
  <c r="J932" i="6" s="1"/>
  <c r="H931" i="6"/>
  <c r="J931" i="6" s="1"/>
  <c r="H930" i="6"/>
  <c r="J930" i="6" s="1"/>
  <c r="H929" i="6"/>
  <c r="J929" i="6" s="1"/>
  <c r="H928" i="6"/>
  <c r="J928" i="6" s="1"/>
  <c r="H927" i="6"/>
  <c r="J927" i="6" s="1"/>
  <c r="H926" i="6"/>
  <c r="J926" i="6" s="1"/>
  <c r="H925" i="6"/>
  <c r="J925" i="6" s="1"/>
  <c r="H924" i="6"/>
  <c r="J924" i="6" s="1"/>
  <c r="H923" i="6"/>
  <c r="J923" i="6" s="1"/>
  <c r="H922" i="6"/>
  <c r="J922" i="6" s="1"/>
  <c r="H921" i="6"/>
  <c r="J921" i="6" s="1"/>
  <c r="H920" i="6"/>
  <c r="J920" i="6" s="1"/>
  <c r="H919" i="6"/>
  <c r="J919" i="6" s="1"/>
  <c r="H918" i="6"/>
  <c r="J918" i="6" s="1"/>
  <c r="H917" i="6"/>
  <c r="J917" i="6" s="1"/>
  <c r="H916" i="6"/>
  <c r="J916" i="6" s="1"/>
  <c r="H915" i="6"/>
  <c r="J915" i="6" s="1"/>
  <c r="H914" i="6"/>
  <c r="J914" i="6" s="1"/>
  <c r="H913" i="6"/>
  <c r="J913" i="6" s="1"/>
  <c r="H912" i="6"/>
  <c r="J912" i="6" s="1"/>
  <c r="H911" i="6"/>
  <c r="J911" i="6" s="1"/>
  <c r="H910" i="6"/>
  <c r="J910" i="6" s="1"/>
  <c r="H909" i="6"/>
  <c r="J909" i="6" s="1"/>
  <c r="H908" i="6"/>
  <c r="J908" i="6" s="1"/>
  <c r="H907" i="6"/>
  <c r="J907" i="6" s="1"/>
  <c r="H906" i="6"/>
  <c r="J906" i="6" s="1"/>
  <c r="H905" i="6"/>
  <c r="J905" i="6" s="1"/>
  <c r="H904" i="6"/>
  <c r="J904" i="6" s="1"/>
  <c r="H903" i="6"/>
  <c r="J903" i="6" s="1"/>
  <c r="H902" i="6"/>
  <c r="J902" i="6" s="1"/>
  <c r="H901" i="6"/>
  <c r="J901" i="6" s="1"/>
  <c r="H900" i="6"/>
  <c r="J900" i="6" s="1"/>
  <c r="H899" i="6"/>
  <c r="J899" i="6" s="1"/>
  <c r="H898" i="6"/>
  <c r="J898" i="6" s="1"/>
  <c r="H897" i="6"/>
  <c r="J897" i="6" s="1"/>
  <c r="H896" i="6"/>
  <c r="J896" i="6" s="1"/>
  <c r="H895" i="6"/>
  <c r="J895" i="6" s="1"/>
  <c r="H894" i="6"/>
  <c r="J894" i="6" s="1"/>
  <c r="H893" i="6"/>
  <c r="J893" i="6" s="1"/>
  <c r="H892" i="6"/>
  <c r="J892" i="6" s="1"/>
  <c r="H891" i="6"/>
  <c r="J891" i="6" s="1"/>
  <c r="H890" i="6"/>
  <c r="J890" i="6" s="1"/>
  <c r="H889" i="6"/>
  <c r="J889" i="6" s="1"/>
  <c r="H888" i="6"/>
  <c r="J888" i="6" s="1"/>
  <c r="H887" i="6"/>
  <c r="J887" i="6" s="1"/>
  <c r="H886" i="6"/>
  <c r="J886" i="6" s="1"/>
  <c r="H885" i="6"/>
  <c r="J885" i="6" s="1"/>
  <c r="H884" i="6"/>
  <c r="J884" i="6" s="1"/>
  <c r="H883" i="6"/>
  <c r="J883" i="6" s="1"/>
  <c r="H882" i="6"/>
  <c r="J882" i="6" s="1"/>
  <c r="H881" i="6"/>
  <c r="J881" i="6" s="1"/>
  <c r="H880" i="6"/>
  <c r="J880" i="6" s="1"/>
  <c r="H879" i="6"/>
  <c r="J879" i="6" s="1"/>
  <c r="H878" i="6"/>
  <c r="J878" i="6" s="1"/>
  <c r="H877" i="6"/>
  <c r="J877" i="6" s="1"/>
  <c r="H876" i="6"/>
  <c r="J876" i="6" s="1"/>
  <c r="H875" i="6"/>
  <c r="J875" i="6" s="1"/>
  <c r="H874" i="6"/>
  <c r="J874" i="6" s="1"/>
  <c r="H873" i="6"/>
  <c r="J873" i="6" s="1"/>
  <c r="H872" i="6"/>
  <c r="J872" i="6" s="1"/>
  <c r="H871" i="6"/>
  <c r="J871" i="6" s="1"/>
  <c r="H870" i="6"/>
  <c r="J870" i="6" s="1"/>
  <c r="H869" i="6"/>
  <c r="J869" i="6" s="1"/>
  <c r="H868" i="6"/>
  <c r="J868" i="6" s="1"/>
  <c r="H867" i="6"/>
  <c r="J867" i="6" s="1"/>
  <c r="H866" i="6"/>
  <c r="J866" i="6" s="1"/>
  <c r="H865" i="6"/>
  <c r="J865" i="6" s="1"/>
  <c r="H864" i="6"/>
  <c r="J864" i="6" s="1"/>
  <c r="H863" i="6"/>
  <c r="J863" i="6" s="1"/>
  <c r="H862" i="6"/>
  <c r="J862" i="6" s="1"/>
  <c r="H861" i="6"/>
  <c r="J861" i="6" s="1"/>
  <c r="H860" i="6"/>
  <c r="J860" i="6" s="1"/>
  <c r="H859" i="6"/>
  <c r="J859" i="6" s="1"/>
  <c r="H858" i="6"/>
  <c r="J858" i="6" s="1"/>
  <c r="H857" i="6"/>
  <c r="J857" i="6" s="1"/>
  <c r="H856" i="6"/>
  <c r="J856" i="6" s="1"/>
  <c r="H855" i="6"/>
  <c r="J855" i="6" s="1"/>
  <c r="H854" i="6"/>
  <c r="J854" i="6" s="1"/>
  <c r="H853" i="6"/>
  <c r="J853" i="6" s="1"/>
  <c r="H852" i="6"/>
  <c r="J852" i="6" s="1"/>
  <c r="H851" i="6"/>
  <c r="J851" i="6" s="1"/>
  <c r="H850" i="6"/>
  <c r="J850" i="6" s="1"/>
  <c r="H849" i="6"/>
  <c r="J849" i="6" s="1"/>
  <c r="H848" i="6"/>
  <c r="J848" i="6" s="1"/>
  <c r="H847" i="6"/>
  <c r="J847" i="6" s="1"/>
  <c r="H846" i="6"/>
  <c r="J846" i="6" s="1"/>
  <c r="H845" i="6"/>
  <c r="J845" i="6" s="1"/>
  <c r="H844" i="6"/>
  <c r="J844" i="6" s="1"/>
  <c r="H843" i="6"/>
  <c r="J843" i="6" s="1"/>
  <c r="H842" i="6"/>
  <c r="J842" i="6" s="1"/>
  <c r="H841" i="6"/>
  <c r="J841" i="6" s="1"/>
  <c r="H840" i="6"/>
  <c r="J840" i="6" s="1"/>
  <c r="H839" i="6"/>
  <c r="J839" i="6" s="1"/>
  <c r="H838" i="6"/>
  <c r="J838" i="6" s="1"/>
  <c r="H837" i="6"/>
  <c r="J837" i="6" s="1"/>
  <c r="H836" i="6"/>
  <c r="J836" i="6" s="1"/>
  <c r="H835" i="6"/>
  <c r="J835" i="6" s="1"/>
  <c r="H834" i="6"/>
  <c r="J834" i="6" s="1"/>
  <c r="H833" i="6"/>
  <c r="J833" i="6" s="1"/>
  <c r="H832" i="6"/>
  <c r="J832" i="6" s="1"/>
  <c r="H831" i="6"/>
  <c r="J831" i="6" s="1"/>
  <c r="H830" i="6"/>
  <c r="J830" i="6" s="1"/>
  <c r="H829" i="6"/>
  <c r="J829" i="6" s="1"/>
  <c r="H828" i="6"/>
  <c r="J828" i="6" s="1"/>
  <c r="H827" i="6"/>
  <c r="J827" i="6" s="1"/>
  <c r="H826" i="6"/>
  <c r="J826" i="6" s="1"/>
  <c r="H825" i="6"/>
  <c r="J825" i="6" s="1"/>
  <c r="H824" i="6"/>
  <c r="J824" i="6" s="1"/>
  <c r="H823" i="6"/>
  <c r="J823" i="6" s="1"/>
  <c r="H822" i="6"/>
  <c r="J822" i="6" s="1"/>
  <c r="H821" i="6"/>
  <c r="J821" i="6" s="1"/>
  <c r="H820" i="6"/>
  <c r="J820" i="6" s="1"/>
  <c r="H819" i="6"/>
  <c r="J819" i="6" s="1"/>
  <c r="H818" i="6"/>
  <c r="J818" i="6" s="1"/>
  <c r="H817" i="6"/>
  <c r="J817" i="6" s="1"/>
  <c r="H816" i="6"/>
  <c r="J816" i="6" s="1"/>
  <c r="H815" i="6"/>
  <c r="J815" i="6" s="1"/>
  <c r="H814" i="6"/>
  <c r="J814" i="6" s="1"/>
  <c r="H813" i="6"/>
  <c r="J813" i="6" s="1"/>
  <c r="H812" i="6"/>
  <c r="J812" i="6" s="1"/>
  <c r="H811" i="6"/>
  <c r="J811" i="6" s="1"/>
  <c r="H810" i="6"/>
  <c r="J810" i="6" s="1"/>
  <c r="H809" i="6"/>
  <c r="J809" i="6" s="1"/>
  <c r="H808" i="6"/>
  <c r="J808" i="6" s="1"/>
  <c r="H807" i="6"/>
  <c r="J807" i="6" s="1"/>
  <c r="H806" i="6"/>
  <c r="J806" i="6" s="1"/>
  <c r="H805" i="6"/>
  <c r="J805" i="6" s="1"/>
  <c r="H804" i="6"/>
  <c r="J804" i="6" s="1"/>
  <c r="H803" i="6"/>
  <c r="J803" i="6" s="1"/>
  <c r="H802" i="6"/>
  <c r="J802" i="6" s="1"/>
  <c r="H801" i="6"/>
  <c r="J801" i="6" s="1"/>
  <c r="H800" i="6"/>
  <c r="J800" i="6" s="1"/>
  <c r="H799" i="6"/>
  <c r="J799" i="6" s="1"/>
  <c r="H798" i="6"/>
  <c r="J798" i="6" s="1"/>
  <c r="H797" i="6"/>
  <c r="J797" i="6" s="1"/>
  <c r="H796" i="6"/>
  <c r="J796" i="6" s="1"/>
  <c r="H795" i="6"/>
  <c r="J795" i="6" s="1"/>
  <c r="H794" i="6"/>
  <c r="J794" i="6" s="1"/>
  <c r="H793" i="6"/>
  <c r="J793" i="6" s="1"/>
  <c r="H792" i="6"/>
  <c r="J792" i="6" s="1"/>
  <c r="H791" i="6"/>
  <c r="J791" i="6" s="1"/>
  <c r="H790" i="6"/>
  <c r="J790" i="6" s="1"/>
  <c r="H789" i="6"/>
  <c r="J789" i="6" s="1"/>
  <c r="H788" i="6"/>
  <c r="J788" i="6" s="1"/>
  <c r="H787" i="6"/>
  <c r="J787" i="6" s="1"/>
  <c r="H786" i="6"/>
  <c r="J786" i="6" s="1"/>
  <c r="H785" i="6"/>
  <c r="J785" i="6" s="1"/>
  <c r="H784" i="6"/>
  <c r="J784" i="6" s="1"/>
  <c r="H783" i="6"/>
  <c r="J783" i="6" s="1"/>
  <c r="H782" i="6"/>
  <c r="J782" i="6" s="1"/>
  <c r="H781" i="6"/>
  <c r="J781" i="6" s="1"/>
  <c r="H780" i="6"/>
  <c r="J780" i="6" s="1"/>
  <c r="H779" i="6"/>
  <c r="J779" i="6" s="1"/>
  <c r="H778" i="6"/>
  <c r="J778" i="6" s="1"/>
  <c r="H777" i="6"/>
  <c r="J777" i="6" s="1"/>
  <c r="H776" i="6"/>
  <c r="J776" i="6" s="1"/>
  <c r="H775" i="6"/>
  <c r="J775" i="6" s="1"/>
  <c r="H774" i="6"/>
  <c r="J774" i="6" s="1"/>
  <c r="H773" i="6"/>
  <c r="J773" i="6" s="1"/>
  <c r="H772" i="6"/>
  <c r="J772" i="6" s="1"/>
  <c r="H771" i="6"/>
  <c r="J771" i="6" s="1"/>
  <c r="H770" i="6"/>
  <c r="J770" i="6" s="1"/>
  <c r="H769" i="6"/>
  <c r="J769" i="6" s="1"/>
  <c r="H768" i="6"/>
  <c r="J768" i="6" s="1"/>
  <c r="H767" i="6"/>
  <c r="J767" i="6" s="1"/>
  <c r="H766" i="6"/>
  <c r="J766" i="6" s="1"/>
  <c r="H765" i="6"/>
  <c r="J765" i="6" s="1"/>
  <c r="H764" i="6"/>
  <c r="J764" i="6" s="1"/>
  <c r="H763" i="6"/>
  <c r="J763" i="6" s="1"/>
  <c r="H762" i="6"/>
  <c r="J762" i="6" s="1"/>
  <c r="H761" i="6"/>
  <c r="J761" i="6" s="1"/>
  <c r="H760" i="6"/>
  <c r="J760" i="6" s="1"/>
  <c r="H759" i="6"/>
  <c r="J759" i="6" s="1"/>
  <c r="H758" i="6"/>
  <c r="J758" i="6" s="1"/>
  <c r="H757" i="6"/>
  <c r="J757" i="6" s="1"/>
  <c r="H756" i="6"/>
  <c r="J756" i="6" s="1"/>
  <c r="H755" i="6"/>
  <c r="J755" i="6" s="1"/>
  <c r="H754" i="6"/>
  <c r="J754" i="6" s="1"/>
  <c r="H753" i="6"/>
  <c r="J753" i="6" s="1"/>
  <c r="H752" i="6"/>
  <c r="J752" i="6" s="1"/>
  <c r="H751" i="6"/>
  <c r="J751" i="6" s="1"/>
  <c r="H750" i="6"/>
  <c r="J750" i="6" s="1"/>
  <c r="H749" i="6"/>
  <c r="J749" i="6" s="1"/>
  <c r="H748" i="6"/>
  <c r="J748" i="6" s="1"/>
  <c r="H747" i="6"/>
  <c r="J747" i="6" s="1"/>
  <c r="H746" i="6"/>
  <c r="J746" i="6" s="1"/>
  <c r="H745" i="6"/>
  <c r="J745" i="6" s="1"/>
  <c r="H744" i="6"/>
  <c r="J744" i="6" s="1"/>
  <c r="H743" i="6"/>
  <c r="J743" i="6" s="1"/>
  <c r="H742" i="6"/>
  <c r="J742" i="6" s="1"/>
  <c r="H741" i="6"/>
  <c r="J741" i="6" s="1"/>
  <c r="H740" i="6"/>
  <c r="J740" i="6" s="1"/>
  <c r="H739" i="6"/>
  <c r="J739" i="6" s="1"/>
  <c r="H738" i="6"/>
  <c r="J738" i="6" s="1"/>
  <c r="H737" i="6"/>
  <c r="J737" i="6" s="1"/>
  <c r="H736" i="6"/>
  <c r="J736" i="6" s="1"/>
  <c r="H735" i="6"/>
  <c r="J735" i="6" s="1"/>
  <c r="H734" i="6"/>
  <c r="J734" i="6" s="1"/>
  <c r="H733" i="6"/>
  <c r="J733" i="6" s="1"/>
  <c r="H732" i="6"/>
  <c r="J732" i="6" s="1"/>
  <c r="H731" i="6"/>
  <c r="J731" i="6" s="1"/>
  <c r="H730" i="6"/>
  <c r="J730" i="6" s="1"/>
  <c r="H729" i="6"/>
  <c r="J729" i="6" s="1"/>
  <c r="H728" i="6"/>
  <c r="J728" i="6" s="1"/>
  <c r="H727" i="6"/>
  <c r="J727" i="6" s="1"/>
  <c r="H726" i="6"/>
  <c r="J726" i="6" s="1"/>
  <c r="H725" i="6"/>
  <c r="J725" i="6" s="1"/>
  <c r="H724" i="6"/>
  <c r="J724" i="6" s="1"/>
  <c r="H723" i="6"/>
  <c r="J723" i="6" s="1"/>
  <c r="H722" i="6"/>
  <c r="J722" i="6" s="1"/>
  <c r="H721" i="6"/>
  <c r="J721" i="6" s="1"/>
  <c r="H720" i="6"/>
  <c r="J720" i="6" s="1"/>
  <c r="H719" i="6"/>
  <c r="J719" i="6" s="1"/>
  <c r="H718" i="6"/>
  <c r="J718" i="6" s="1"/>
  <c r="H717" i="6"/>
  <c r="J717" i="6" s="1"/>
  <c r="H716" i="6"/>
  <c r="J716" i="6" s="1"/>
  <c r="H715" i="6"/>
  <c r="J715" i="6" s="1"/>
  <c r="H714" i="6"/>
  <c r="J714" i="6" s="1"/>
  <c r="H713" i="6"/>
  <c r="J713" i="6" s="1"/>
  <c r="H712" i="6"/>
  <c r="J712" i="6" s="1"/>
  <c r="H711" i="6"/>
  <c r="J711" i="6" s="1"/>
  <c r="H710" i="6"/>
  <c r="J710" i="6" s="1"/>
  <c r="H709" i="6"/>
  <c r="J709" i="6" s="1"/>
  <c r="H708" i="6"/>
  <c r="J708" i="6" s="1"/>
  <c r="H707" i="6"/>
  <c r="J707" i="6" s="1"/>
  <c r="H706" i="6"/>
  <c r="J706" i="6" s="1"/>
  <c r="H705" i="6"/>
  <c r="J705" i="6" s="1"/>
  <c r="H704" i="6"/>
  <c r="J704" i="6" s="1"/>
  <c r="H703" i="6"/>
  <c r="J703" i="6" s="1"/>
  <c r="H702" i="6"/>
  <c r="J702" i="6" s="1"/>
  <c r="H701" i="6"/>
  <c r="J701" i="6" s="1"/>
  <c r="H700" i="6"/>
  <c r="J700" i="6" s="1"/>
  <c r="H699" i="6"/>
  <c r="J699" i="6" s="1"/>
  <c r="H698" i="6"/>
  <c r="J698" i="6" s="1"/>
  <c r="H697" i="6"/>
  <c r="J697" i="6" s="1"/>
  <c r="H696" i="6"/>
  <c r="J696" i="6" s="1"/>
  <c r="H695" i="6"/>
  <c r="J695" i="6" s="1"/>
  <c r="H694" i="6"/>
  <c r="J694" i="6" s="1"/>
  <c r="H693" i="6"/>
  <c r="J693" i="6" s="1"/>
  <c r="H692" i="6"/>
  <c r="J692" i="6" s="1"/>
  <c r="H691" i="6"/>
  <c r="J691" i="6" s="1"/>
  <c r="H690" i="6"/>
  <c r="J690" i="6" s="1"/>
  <c r="H689" i="6"/>
  <c r="J689" i="6" s="1"/>
  <c r="H688" i="6"/>
  <c r="J688" i="6" s="1"/>
  <c r="H687" i="6"/>
  <c r="J687" i="6" s="1"/>
  <c r="H686" i="6"/>
  <c r="J686" i="6" s="1"/>
  <c r="H685" i="6"/>
  <c r="J685" i="6" s="1"/>
  <c r="H684" i="6"/>
  <c r="J684" i="6" s="1"/>
  <c r="H683" i="6"/>
  <c r="J683" i="6" s="1"/>
  <c r="H682" i="6"/>
  <c r="J682" i="6" s="1"/>
  <c r="H681" i="6"/>
  <c r="J681" i="6" s="1"/>
  <c r="H680" i="6"/>
  <c r="J680" i="6" s="1"/>
  <c r="H679" i="6"/>
  <c r="J679" i="6" s="1"/>
  <c r="H678" i="6"/>
  <c r="J678" i="6" s="1"/>
  <c r="H677" i="6"/>
  <c r="J677" i="6" s="1"/>
  <c r="H676" i="6"/>
  <c r="J676" i="6" s="1"/>
  <c r="H675" i="6"/>
  <c r="J675" i="6" s="1"/>
  <c r="H674" i="6"/>
  <c r="J674" i="6" s="1"/>
  <c r="H673" i="6"/>
  <c r="J673" i="6" s="1"/>
  <c r="H672" i="6"/>
  <c r="J672" i="6" s="1"/>
  <c r="H671" i="6"/>
  <c r="J671" i="6" s="1"/>
  <c r="H670" i="6"/>
  <c r="J670" i="6" s="1"/>
  <c r="H669" i="6"/>
  <c r="J669" i="6" s="1"/>
  <c r="H668" i="6"/>
  <c r="J668" i="6" s="1"/>
  <c r="H667" i="6"/>
  <c r="J667" i="6" s="1"/>
  <c r="H666" i="6"/>
  <c r="J666" i="6" s="1"/>
  <c r="H665" i="6"/>
  <c r="J665" i="6" s="1"/>
  <c r="H664" i="6"/>
  <c r="J664" i="6" s="1"/>
  <c r="H663" i="6"/>
  <c r="J663" i="6" s="1"/>
  <c r="H662" i="6"/>
  <c r="J662" i="6" s="1"/>
  <c r="H661" i="6"/>
  <c r="J661" i="6" s="1"/>
  <c r="H660" i="6"/>
  <c r="J660" i="6" s="1"/>
  <c r="H659" i="6"/>
  <c r="J659" i="6" s="1"/>
  <c r="H658" i="6"/>
  <c r="J658" i="6" s="1"/>
  <c r="H657" i="6"/>
  <c r="J657" i="6" s="1"/>
  <c r="H656" i="6"/>
  <c r="J656" i="6" s="1"/>
  <c r="H655" i="6"/>
  <c r="J655" i="6" s="1"/>
  <c r="H654" i="6"/>
  <c r="J654" i="6" s="1"/>
  <c r="H653" i="6"/>
  <c r="J653" i="6" s="1"/>
  <c r="H652" i="6"/>
  <c r="J652" i="6" s="1"/>
  <c r="H651" i="6"/>
  <c r="J651" i="6" s="1"/>
  <c r="H650" i="6"/>
  <c r="J650" i="6" s="1"/>
  <c r="H649" i="6"/>
  <c r="J649" i="6" s="1"/>
  <c r="H648" i="6"/>
  <c r="J648" i="6" s="1"/>
  <c r="H647" i="6"/>
  <c r="J647" i="6" s="1"/>
  <c r="H646" i="6"/>
  <c r="J646" i="6" s="1"/>
  <c r="H645" i="6"/>
  <c r="J645" i="6" s="1"/>
  <c r="H644" i="6"/>
  <c r="J644" i="6" s="1"/>
  <c r="H643" i="6"/>
  <c r="J643" i="6" s="1"/>
  <c r="H642" i="6"/>
  <c r="J642" i="6" s="1"/>
  <c r="H641" i="6"/>
  <c r="J641" i="6" s="1"/>
  <c r="H640" i="6"/>
  <c r="J640" i="6" s="1"/>
  <c r="H639" i="6"/>
  <c r="J639" i="6" s="1"/>
  <c r="H638" i="6"/>
  <c r="J638" i="6" s="1"/>
  <c r="H637" i="6"/>
  <c r="J637" i="6" s="1"/>
  <c r="H636" i="6"/>
  <c r="J636" i="6" s="1"/>
  <c r="H635" i="6"/>
  <c r="J635" i="6" s="1"/>
  <c r="H634" i="6"/>
  <c r="J634" i="6" s="1"/>
  <c r="H633" i="6"/>
  <c r="J633" i="6" s="1"/>
  <c r="H632" i="6"/>
  <c r="J632" i="6" s="1"/>
  <c r="H631" i="6"/>
  <c r="J631" i="6" s="1"/>
  <c r="H630" i="6"/>
  <c r="J630" i="6" s="1"/>
  <c r="H629" i="6"/>
  <c r="J629" i="6" s="1"/>
  <c r="H628" i="6"/>
  <c r="J628" i="6" s="1"/>
  <c r="H627" i="6"/>
  <c r="J627" i="6" s="1"/>
  <c r="H626" i="6"/>
  <c r="J626" i="6" s="1"/>
  <c r="H625" i="6"/>
  <c r="J625" i="6" s="1"/>
  <c r="H624" i="6"/>
  <c r="J624" i="6" s="1"/>
  <c r="H623" i="6"/>
  <c r="J623" i="6" s="1"/>
  <c r="H622" i="6"/>
  <c r="J622" i="6" s="1"/>
  <c r="H621" i="6"/>
  <c r="J621" i="6" s="1"/>
  <c r="H620" i="6"/>
  <c r="J620" i="6" s="1"/>
  <c r="H619" i="6"/>
  <c r="J619" i="6" s="1"/>
  <c r="H618" i="6"/>
  <c r="J618" i="6" s="1"/>
  <c r="H617" i="6"/>
  <c r="J617" i="6" s="1"/>
  <c r="H616" i="6"/>
  <c r="J616" i="6" s="1"/>
  <c r="H615" i="6"/>
  <c r="J615" i="6" s="1"/>
  <c r="H614" i="6"/>
  <c r="J614" i="6" s="1"/>
  <c r="H613" i="6"/>
  <c r="J613" i="6" s="1"/>
  <c r="H612" i="6"/>
  <c r="J612" i="6" s="1"/>
  <c r="H611" i="6"/>
  <c r="J611" i="6" s="1"/>
  <c r="H610" i="6"/>
  <c r="J610" i="6" s="1"/>
  <c r="H609" i="6"/>
  <c r="J609" i="6" s="1"/>
  <c r="H608" i="6"/>
  <c r="J608" i="6" s="1"/>
  <c r="H607" i="6"/>
  <c r="J607" i="6" s="1"/>
  <c r="H606" i="6"/>
  <c r="J606" i="6" s="1"/>
  <c r="H605" i="6"/>
  <c r="J605" i="6" s="1"/>
  <c r="H604" i="6"/>
  <c r="J604" i="6" s="1"/>
  <c r="H603" i="6"/>
  <c r="J603" i="6" s="1"/>
  <c r="H602" i="6"/>
  <c r="J602" i="6" s="1"/>
  <c r="H601" i="6"/>
  <c r="J601" i="6" s="1"/>
  <c r="H600" i="6"/>
  <c r="J600" i="6" s="1"/>
  <c r="H599" i="6"/>
  <c r="J599" i="6" s="1"/>
  <c r="H598" i="6"/>
  <c r="J598" i="6" s="1"/>
  <c r="H597" i="6"/>
  <c r="J597" i="6" s="1"/>
  <c r="H596" i="6"/>
  <c r="J596" i="6" s="1"/>
  <c r="H595" i="6"/>
  <c r="J595" i="6" s="1"/>
  <c r="H594" i="6"/>
  <c r="J594" i="6" s="1"/>
  <c r="H593" i="6"/>
  <c r="J593" i="6" s="1"/>
  <c r="H592" i="6"/>
  <c r="J592" i="6" s="1"/>
  <c r="H591" i="6"/>
  <c r="J591" i="6" s="1"/>
  <c r="H590" i="6"/>
  <c r="J590" i="6" s="1"/>
  <c r="H589" i="6"/>
  <c r="J589" i="6" s="1"/>
  <c r="H588" i="6"/>
  <c r="J588" i="6" s="1"/>
  <c r="H587" i="6"/>
  <c r="J587" i="6" s="1"/>
  <c r="H586" i="6"/>
  <c r="J586" i="6" s="1"/>
  <c r="H585" i="6"/>
  <c r="J585" i="6" s="1"/>
  <c r="H584" i="6"/>
  <c r="J584" i="6" s="1"/>
  <c r="H583" i="6"/>
  <c r="J583" i="6" s="1"/>
  <c r="H582" i="6"/>
  <c r="J582" i="6" s="1"/>
  <c r="H581" i="6"/>
  <c r="J581" i="6" s="1"/>
  <c r="H580" i="6"/>
  <c r="J580" i="6" s="1"/>
  <c r="H579" i="6"/>
  <c r="J579" i="6" s="1"/>
  <c r="H578" i="6"/>
  <c r="J578" i="6" s="1"/>
  <c r="H577" i="6"/>
  <c r="J577" i="6" s="1"/>
  <c r="H576" i="6"/>
  <c r="J576" i="6" s="1"/>
  <c r="H575" i="6"/>
  <c r="J575" i="6" s="1"/>
  <c r="H574" i="6"/>
  <c r="J574" i="6" s="1"/>
  <c r="H573" i="6"/>
  <c r="J573" i="6" s="1"/>
  <c r="H572" i="6"/>
  <c r="J572" i="6" s="1"/>
  <c r="H571" i="6"/>
  <c r="J571" i="6" s="1"/>
  <c r="H570" i="6"/>
  <c r="J570" i="6" s="1"/>
  <c r="H569" i="6"/>
  <c r="J569" i="6" s="1"/>
  <c r="H568" i="6"/>
  <c r="J568" i="6" s="1"/>
  <c r="H567" i="6"/>
  <c r="J567" i="6" s="1"/>
  <c r="H566" i="6"/>
  <c r="J566" i="6" s="1"/>
  <c r="H565" i="6"/>
  <c r="J565" i="6" s="1"/>
  <c r="H564" i="6"/>
  <c r="J564" i="6" s="1"/>
  <c r="H563" i="6"/>
  <c r="J563" i="6" s="1"/>
  <c r="H562" i="6"/>
  <c r="J562" i="6" s="1"/>
  <c r="H561" i="6"/>
  <c r="J561" i="6" s="1"/>
  <c r="H560" i="6"/>
  <c r="J560" i="6" s="1"/>
  <c r="H559" i="6"/>
  <c r="J559" i="6" s="1"/>
  <c r="H558" i="6"/>
  <c r="J558" i="6" s="1"/>
  <c r="H557" i="6"/>
  <c r="J557" i="6" s="1"/>
  <c r="H556" i="6"/>
  <c r="J556" i="6" s="1"/>
  <c r="H555" i="6"/>
  <c r="J555" i="6" s="1"/>
  <c r="H554" i="6"/>
  <c r="J554" i="6" s="1"/>
  <c r="H553" i="6"/>
  <c r="J553" i="6" s="1"/>
  <c r="H552" i="6"/>
  <c r="J552" i="6" s="1"/>
  <c r="H551" i="6"/>
  <c r="J551" i="6" s="1"/>
  <c r="H550" i="6"/>
  <c r="J550" i="6" s="1"/>
  <c r="H549" i="6"/>
  <c r="J549" i="6" s="1"/>
  <c r="H548" i="6"/>
  <c r="J548" i="6" s="1"/>
  <c r="H547" i="6"/>
  <c r="J547" i="6" s="1"/>
  <c r="H546" i="6"/>
  <c r="J546" i="6" s="1"/>
  <c r="H545" i="6"/>
  <c r="J545" i="6" s="1"/>
  <c r="H544" i="6"/>
  <c r="J544" i="6" s="1"/>
  <c r="H543" i="6"/>
  <c r="J543" i="6" s="1"/>
  <c r="H542" i="6"/>
  <c r="J542" i="6" s="1"/>
  <c r="H541" i="6"/>
  <c r="J541" i="6" s="1"/>
  <c r="H540" i="6"/>
  <c r="J540" i="6" s="1"/>
  <c r="H539" i="6"/>
  <c r="J539" i="6" s="1"/>
  <c r="H538" i="6"/>
  <c r="J538" i="6" s="1"/>
  <c r="H537" i="6"/>
  <c r="J537" i="6" s="1"/>
  <c r="H536" i="6"/>
  <c r="J536" i="6" s="1"/>
  <c r="H535" i="6"/>
  <c r="J535" i="6" s="1"/>
  <c r="H534" i="6"/>
  <c r="J534" i="6" s="1"/>
  <c r="H533" i="6"/>
  <c r="J533" i="6" s="1"/>
  <c r="H532" i="6"/>
  <c r="J532" i="6" s="1"/>
  <c r="H531" i="6"/>
  <c r="J531" i="6" s="1"/>
  <c r="H530" i="6"/>
  <c r="J530" i="6" s="1"/>
  <c r="H529" i="6"/>
  <c r="J529" i="6" s="1"/>
  <c r="H528" i="6"/>
  <c r="J528" i="6" s="1"/>
  <c r="H527" i="6"/>
  <c r="J527" i="6" s="1"/>
  <c r="H526" i="6"/>
  <c r="J526" i="6" s="1"/>
  <c r="H525" i="6"/>
  <c r="J525" i="6" s="1"/>
  <c r="H524" i="6"/>
  <c r="J524" i="6" s="1"/>
  <c r="H523" i="6"/>
  <c r="J523" i="6" s="1"/>
  <c r="H522" i="6"/>
  <c r="J522" i="6" s="1"/>
  <c r="H521" i="6"/>
  <c r="J521" i="6" s="1"/>
  <c r="H520" i="6"/>
  <c r="J520" i="6" s="1"/>
  <c r="H519" i="6"/>
  <c r="J519" i="6" s="1"/>
  <c r="H518" i="6"/>
  <c r="J518" i="6" s="1"/>
  <c r="H517" i="6"/>
  <c r="J517" i="6" s="1"/>
  <c r="H516" i="6"/>
  <c r="J516" i="6" s="1"/>
  <c r="H515" i="6"/>
  <c r="J515" i="6" s="1"/>
  <c r="H514" i="6"/>
  <c r="J514" i="6" s="1"/>
  <c r="H513" i="6"/>
  <c r="J513" i="6" s="1"/>
  <c r="H512" i="6"/>
  <c r="J512" i="6" s="1"/>
  <c r="H511" i="6"/>
  <c r="J511" i="6" s="1"/>
  <c r="H510" i="6"/>
  <c r="J510" i="6" s="1"/>
  <c r="H509" i="6"/>
  <c r="J509" i="6" s="1"/>
  <c r="H508" i="6"/>
  <c r="J508" i="6" s="1"/>
  <c r="H507" i="6"/>
  <c r="J507" i="6" s="1"/>
  <c r="H506" i="6"/>
  <c r="J506" i="6" s="1"/>
  <c r="H505" i="6"/>
  <c r="J505" i="6" s="1"/>
  <c r="H504" i="6"/>
  <c r="J504" i="6" s="1"/>
  <c r="H503" i="6"/>
  <c r="J503" i="6" s="1"/>
  <c r="H502" i="6"/>
  <c r="J502" i="6" s="1"/>
  <c r="H501" i="6"/>
  <c r="J501" i="6" s="1"/>
  <c r="H500" i="6"/>
  <c r="J500" i="6" s="1"/>
  <c r="H499" i="6"/>
  <c r="J499" i="6" s="1"/>
  <c r="H498" i="6"/>
  <c r="J498" i="6" s="1"/>
  <c r="H497" i="6"/>
  <c r="J497" i="6" s="1"/>
  <c r="H496" i="6"/>
  <c r="J496" i="6" s="1"/>
  <c r="H495" i="6"/>
  <c r="J495" i="6" s="1"/>
  <c r="H494" i="6"/>
  <c r="J494" i="6" s="1"/>
  <c r="H493" i="6"/>
  <c r="J493" i="6" s="1"/>
  <c r="H492" i="6"/>
  <c r="J492" i="6" s="1"/>
  <c r="H491" i="6"/>
  <c r="J491" i="6" s="1"/>
  <c r="H490" i="6"/>
  <c r="J490" i="6" s="1"/>
  <c r="H489" i="6"/>
  <c r="J489" i="6" s="1"/>
  <c r="H488" i="6"/>
  <c r="J488" i="6" s="1"/>
  <c r="H487" i="6"/>
  <c r="J487" i="6" s="1"/>
  <c r="H486" i="6"/>
  <c r="J486" i="6" s="1"/>
  <c r="H485" i="6"/>
  <c r="J485" i="6" s="1"/>
  <c r="H484" i="6"/>
  <c r="J484" i="6" s="1"/>
  <c r="H483" i="6"/>
  <c r="J483" i="6" s="1"/>
  <c r="H482" i="6"/>
  <c r="J482" i="6" s="1"/>
  <c r="H481" i="6"/>
  <c r="J481" i="6" s="1"/>
  <c r="H480" i="6"/>
  <c r="J480" i="6" s="1"/>
  <c r="H479" i="6"/>
  <c r="J479" i="6" s="1"/>
  <c r="H478" i="6"/>
  <c r="J478" i="6" s="1"/>
  <c r="H477" i="6"/>
  <c r="J477" i="6" s="1"/>
  <c r="H476" i="6"/>
  <c r="J476" i="6" s="1"/>
  <c r="H475" i="6"/>
  <c r="J475" i="6" s="1"/>
  <c r="H474" i="6"/>
  <c r="J474" i="6" s="1"/>
  <c r="H473" i="6"/>
  <c r="J473" i="6" s="1"/>
  <c r="H472" i="6"/>
  <c r="J472" i="6" s="1"/>
  <c r="H471" i="6"/>
  <c r="J471" i="6" s="1"/>
  <c r="H470" i="6"/>
  <c r="J470" i="6" s="1"/>
  <c r="H469" i="6"/>
  <c r="J469" i="6" s="1"/>
  <c r="H468" i="6"/>
  <c r="J468" i="6" s="1"/>
  <c r="H467" i="6"/>
  <c r="J467" i="6" s="1"/>
  <c r="H466" i="6"/>
  <c r="J466" i="6" s="1"/>
  <c r="H465" i="6"/>
  <c r="J465" i="6" s="1"/>
  <c r="H464" i="6"/>
  <c r="J464" i="6" s="1"/>
  <c r="H463" i="6"/>
  <c r="J463" i="6" s="1"/>
  <c r="H462" i="6"/>
  <c r="J462" i="6" s="1"/>
  <c r="H461" i="6"/>
  <c r="J461" i="6" s="1"/>
  <c r="H460" i="6"/>
  <c r="J460" i="6" s="1"/>
  <c r="H459" i="6"/>
  <c r="J459" i="6" s="1"/>
  <c r="H458" i="6"/>
  <c r="J458" i="6" s="1"/>
  <c r="H457" i="6"/>
  <c r="J457" i="6" s="1"/>
  <c r="H456" i="6"/>
  <c r="J456" i="6" s="1"/>
  <c r="H455" i="6"/>
  <c r="J455" i="6" s="1"/>
  <c r="H454" i="6"/>
  <c r="J454" i="6" s="1"/>
  <c r="H453" i="6"/>
  <c r="J453" i="6" s="1"/>
  <c r="H452" i="6"/>
  <c r="J452" i="6" s="1"/>
  <c r="H451" i="6"/>
  <c r="J451" i="6" s="1"/>
  <c r="H450" i="6"/>
  <c r="J450" i="6" s="1"/>
  <c r="H449" i="6"/>
  <c r="J449" i="6" s="1"/>
  <c r="H448" i="6"/>
  <c r="J448" i="6" s="1"/>
  <c r="H447" i="6"/>
  <c r="J447" i="6" s="1"/>
  <c r="H446" i="6"/>
  <c r="J446" i="6" s="1"/>
  <c r="H445" i="6"/>
  <c r="J445" i="6" s="1"/>
  <c r="H444" i="6"/>
  <c r="J444" i="6" s="1"/>
  <c r="H443" i="6"/>
  <c r="J443" i="6" s="1"/>
  <c r="H442" i="6"/>
  <c r="J442" i="6" s="1"/>
  <c r="H441" i="6"/>
  <c r="J441" i="6" s="1"/>
  <c r="H440" i="6"/>
  <c r="J440" i="6" s="1"/>
  <c r="H439" i="6"/>
  <c r="J439" i="6" s="1"/>
  <c r="H438" i="6"/>
  <c r="J438" i="6" s="1"/>
  <c r="H437" i="6"/>
  <c r="J437" i="6" s="1"/>
  <c r="H436" i="6"/>
  <c r="J436" i="6" s="1"/>
  <c r="H435" i="6"/>
  <c r="J435" i="6" s="1"/>
  <c r="H434" i="6"/>
  <c r="J434" i="6" s="1"/>
  <c r="H433" i="6"/>
  <c r="J433" i="6" s="1"/>
  <c r="H432" i="6"/>
  <c r="J432" i="6" s="1"/>
  <c r="H431" i="6"/>
  <c r="J431" i="6" s="1"/>
  <c r="H430" i="6"/>
  <c r="J430" i="6" s="1"/>
  <c r="H429" i="6"/>
  <c r="J429" i="6" s="1"/>
  <c r="H428" i="6"/>
  <c r="J428" i="6" s="1"/>
  <c r="H427" i="6"/>
  <c r="J427" i="6" s="1"/>
  <c r="H426" i="6"/>
  <c r="J426" i="6" s="1"/>
  <c r="H425" i="6"/>
  <c r="J425" i="6" s="1"/>
  <c r="H424" i="6"/>
  <c r="J424" i="6" s="1"/>
  <c r="H423" i="6"/>
  <c r="J423" i="6" s="1"/>
  <c r="H422" i="6"/>
  <c r="J422" i="6" s="1"/>
  <c r="H421" i="6"/>
  <c r="J421" i="6" s="1"/>
  <c r="H420" i="6"/>
  <c r="J420" i="6" s="1"/>
  <c r="H419" i="6"/>
  <c r="J419" i="6" s="1"/>
  <c r="H418" i="6"/>
  <c r="J418" i="6" s="1"/>
  <c r="H417" i="6"/>
  <c r="J417" i="6" s="1"/>
  <c r="H416" i="6"/>
  <c r="J416" i="6" s="1"/>
  <c r="H415" i="6"/>
  <c r="J415" i="6" s="1"/>
  <c r="H414" i="6"/>
  <c r="J414" i="6" s="1"/>
  <c r="H413" i="6"/>
  <c r="J413" i="6" s="1"/>
  <c r="H412" i="6"/>
  <c r="J412" i="6" s="1"/>
  <c r="H411" i="6"/>
  <c r="J411" i="6" s="1"/>
  <c r="H410" i="6"/>
  <c r="J410" i="6" s="1"/>
  <c r="H409" i="6"/>
  <c r="J409" i="6" s="1"/>
  <c r="H408" i="6"/>
  <c r="J408" i="6" s="1"/>
  <c r="H407" i="6"/>
  <c r="J407" i="6" s="1"/>
  <c r="H406" i="6"/>
  <c r="J406" i="6" s="1"/>
  <c r="H405" i="6"/>
  <c r="J405" i="6" s="1"/>
  <c r="H404" i="6"/>
  <c r="J404" i="6" s="1"/>
  <c r="H403" i="6"/>
  <c r="J403" i="6" s="1"/>
  <c r="H402" i="6"/>
  <c r="J402" i="6" s="1"/>
  <c r="H401" i="6"/>
  <c r="J401" i="6" s="1"/>
  <c r="H400" i="6"/>
  <c r="J400" i="6" s="1"/>
  <c r="H399" i="6"/>
  <c r="J399" i="6" s="1"/>
  <c r="H398" i="6"/>
  <c r="J398" i="6" s="1"/>
  <c r="H397" i="6"/>
  <c r="J397" i="6" s="1"/>
  <c r="H396" i="6"/>
  <c r="J396" i="6" s="1"/>
  <c r="H395" i="6"/>
  <c r="J395" i="6" s="1"/>
  <c r="H394" i="6"/>
  <c r="J394" i="6" s="1"/>
  <c r="H393" i="6"/>
  <c r="J393" i="6" s="1"/>
  <c r="H392" i="6"/>
  <c r="J392" i="6" s="1"/>
  <c r="H391" i="6"/>
  <c r="J391" i="6" s="1"/>
  <c r="H390" i="6"/>
  <c r="J390" i="6" s="1"/>
  <c r="H389" i="6"/>
  <c r="J389" i="6" s="1"/>
  <c r="H388" i="6"/>
  <c r="J388" i="6" s="1"/>
  <c r="H387" i="6"/>
  <c r="J387" i="6" s="1"/>
  <c r="H386" i="6"/>
  <c r="J386" i="6" s="1"/>
  <c r="H385" i="6"/>
  <c r="J385" i="6" s="1"/>
  <c r="H384" i="6"/>
  <c r="J384" i="6" s="1"/>
  <c r="H383" i="6"/>
  <c r="J383" i="6" s="1"/>
  <c r="H382" i="6"/>
  <c r="J382" i="6" s="1"/>
  <c r="H381" i="6"/>
  <c r="J381" i="6" s="1"/>
  <c r="H380" i="6"/>
  <c r="J380" i="6" s="1"/>
  <c r="H379" i="6"/>
  <c r="J379" i="6" s="1"/>
  <c r="H378" i="6"/>
  <c r="J378" i="6" s="1"/>
  <c r="H377" i="6"/>
  <c r="J377" i="6" s="1"/>
  <c r="H376" i="6"/>
  <c r="J376" i="6" s="1"/>
  <c r="H375" i="6"/>
  <c r="J375" i="6" s="1"/>
  <c r="H374" i="6"/>
  <c r="J374" i="6" s="1"/>
  <c r="H373" i="6"/>
  <c r="J373" i="6" s="1"/>
  <c r="H372" i="6"/>
  <c r="J372" i="6" s="1"/>
  <c r="H371" i="6"/>
  <c r="J371" i="6" s="1"/>
  <c r="H370" i="6"/>
  <c r="J370" i="6" s="1"/>
  <c r="H369" i="6"/>
  <c r="J369" i="6" s="1"/>
  <c r="H368" i="6"/>
  <c r="J368" i="6" s="1"/>
  <c r="H367" i="6"/>
  <c r="J367" i="6" s="1"/>
  <c r="H366" i="6"/>
  <c r="J366" i="6" s="1"/>
  <c r="H365" i="6"/>
  <c r="J365" i="6" s="1"/>
  <c r="H364" i="6"/>
  <c r="J364" i="6" s="1"/>
  <c r="H363" i="6"/>
  <c r="J363" i="6" s="1"/>
  <c r="H362" i="6"/>
  <c r="J362" i="6" s="1"/>
  <c r="H361" i="6"/>
  <c r="J361" i="6" s="1"/>
  <c r="H360" i="6"/>
  <c r="J360" i="6" s="1"/>
  <c r="H359" i="6"/>
  <c r="J359" i="6" s="1"/>
  <c r="H358" i="6"/>
  <c r="J358" i="6" s="1"/>
  <c r="H357" i="6"/>
  <c r="J357" i="6" s="1"/>
  <c r="H356" i="6"/>
  <c r="J356" i="6" s="1"/>
  <c r="H355" i="6"/>
  <c r="J355" i="6" s="1"/>
  <c r="H354" i="6"/>
  <c r="J354" i="6" s="1"/>
  <c r="H353" i="6"/>
  <c r="J353" i="6" s="1"/>
  <c r="H352" i="6"/>
  <c r="J352" i="6" s="1"/>
  <c r="H351" i="6"/>
  <c r="J351" i="6" s="1"/>
  <c r="H350" i="6"/>
  <c r="J350" i="6" s="1"/>
  <c r="H349" i="6"/>
  <c r="J349" i="6" s="1"/>
  <c r="H348" i="6"/>
  <c r="J348" i="6" s="1"/>
  <c r="H347" i="6"/>
  <c r="J347" i="6" s="1"/>
  <c r="H346" i="6"/>
  <c r="J346" i="6" s="1"/>
  <c r="H345" i="6"/>
  <c r="J345" i="6" s="1"/>
  <c r="H344" i="6"/>
  <c r="J344" i="6" s="1"/>
  <c r="H343" i="6"/>
  <c r="J343" i="6" s="1"/>
  <c r="H342" i="6"/>
  <c r="J342" i="6" s="1"/>
  <c r="H341" i="6"/>
  <c r="J341" i="6" s="1"/>
  <c r="H340" i="6"/>
  <c r="J340" i="6" s="1"/>
  <c r="H339" i="6"/>
  <c r="J339" i="6" s="1"/>
  <c r="H338" i="6"/>
  <c r="J338" i="6" s="1"/>
  <c r="H337" i="6"/>
  <c r="J337" i="6" s="1"/>
  <c r="H336" i="6"/>
  <c r="J336" i="6" s="1"/>
  <c r="H335" i="6"/>
  <c r="J335" i="6" s="1"/>
  <c r="H334" i="6"/>
  <c r="J334" i="6" s="1"/>
  <c r="H333" i="6"/>
  <c r="J333" i="6" s="1"/>
  <c r="H332" i="6"/>
  <c r="J332" i="6" s="1"/>
  <c r="H331" i="6"/>
  <c r="J331" i="6" s="1"/>
  <c r="H330" i="6"/>
  <c r="J330" i="6" s="1"/>
  <c r="H329" i="6"/>
  <c r="J329" i="6" s="1"/>
  <c r="H328" i="6"/>
  <c r="J328" i="6" s="1"/>
  <c r="H327" i="6"/>
  <c r="J327" i="6" s="1"/>
  <c r="H326" i="6"/>
  <c r="J326" i="6" s="1"/>
  <c r="H325" i="6"/>
  <c r="J325" i="6" s="1"/>
  <c r="H324" i="6"/>
  <c r="J324" i="6" s="1"/>
  <c r="H323" i="6"/>
  <c r="J323" i="6" s="1"/>
  <c r="H322" i="6"/>
  <c r="J322" i="6" s="1"/>
  <c r="H321" i="6"/>
  <c r="J321" i="6" s="1"/>
  <c r="H320" i="6"/>
  <c r="J320" i="6" s="1"/>
  <c r="H319" i="6"/>
  <c r="J319" i="6" s="1"/>
  <c r="H318" i="6"/>
  <c r="J318" i="6" s="1"/>
  <c r="H317" i="6"/>
  <c r="J317" i="6" s="1"/>
  <c r="H316" i="6"/>
  <c r="J316" i="6" s="1"/>
  <c r="H315" i="6"/>
  <c r="J315" i="6" s="1"/>
  <c r="H314" i="6"/>
  <c r="J314" i="6" s="1"/>
  <c r="H313" i="6"/>
  <c r="J313" i="6" s="1"/>
  <c r="H312" i="6"/>
  <c r="J312" i="6" s="1"/>
  <c r="H311" i="6"/>
  <c r="J311" i="6" s="1"/>
  <c r="H310" i="6"/>
  <c r="J310" i="6" s="1"/>
  <c r="H309" i="6"/>
  <c r="J309" i="6" s="1"/>
  <c r="H308" i="6"/>
  <c r="J308" i="6" s="1"/>
  <c r="H307" i="6"/>
  <c r="J307" i="6" s="1"/>
  <c r="H306" i="6"/>
  <c r="J306" i="6" s="1"/>
  <c r="H305" i="6"/>
  <c r="J305" i="6" s="1"/>
  <c r="H304" i="6"/>
  <c r="J304" i="6" s="1"/>
  <c r="H303" i="6"/>
  <c r="J303" i="6" s="1"/>
  <c r="H302" i="6"/>
  <c r="J302" i="6" s="1"/>
  <c r="H301" i="6"/>
  <c r="J301" i="6" s="1"/>
  <c r="H300" i="6"/>
  <c r="J300" i="6" s="1"/>
  <c r="H299" i="6"/>
  <c r="J299" i="6" s="1"/>
  <c r="H298" i="6"/>
  <c r="J298" i="6" s="1"/>
  <c r="H297" i="6"/>
  <c r="J297" i="6" s="1"/>
  <c r="H296" i="6"/>
  <c r="J296" i="6" s="1"/>
  <c r="H295" i="6"/>
  <c r="J295" i="6" s="1"/>
  <c r="H294" i="6"/>
  <c r="J294" i="6" s="1"/>
  <c r="H293" i="6"/>
  <c r="J293" i="6" s="1"/>
  <c r="H292" i="6"/>
  <c r="J292" i="6" s="1"/>
  <c r="H291" i="6"/>
  <c r="J291" i="6" s="1"/>
  <c r="H290" i="6"/>
  <c r="J290" i="6" s="1"/>
  <c r="H289" i="6"/>
  <c r="J289" i="6" s="1"/>
  <c r="H288" i="6"/>
  <c r="J288" i="6" s="1"/>
  <c r="H287" i="6"/>
  <c r="J287" i="6" s="1"/>
  <c r="H286" i="6"/>
  <c r="J286" i="6" s="1"/>
  <c r="H285" i="6"/>
  <c r="J285" i="6" s="1"/>
  <c r="H284" i="6"/>
  <c r="J284" i="6" s="1"/>
  <c r="H283" i="6"/>
  <c r="J283" i="6" s="1"/>
  <c r="H282" i="6"/>
  <c r="J282" i="6" s="1"/>
  <c r="H281" i="6"/>
  <c r="J281" i="6" s="1"/>
  <c r="H280" i="6"/>
  <c r="J280" i="6" s="1"/>
  <c r="H279" i="6"/>
  <c r="J279" i="6" s="1"/>
  <c r="H278" i="6"/>
  <c r="J278" i="6" s="1"/>
  <c r="H277" i="6"/>
  <c r="J277" i="6" s="1"/>
  <c r="H276" i="6"/>
  <c r="J276" i="6" s="1"/>
  <c r="H275" i="6"/>
  <c r="J275" i="6" s="1"/>
  <c r="H274" i="6"/>
  <c r="J274" i="6" s="1"/>
  <c r="H273" i="6"/>
  <c r="J273" i="6" s="1"/>
  <c r="H272" i="6"/>
  <c r="J272" i="6" s="1"/>
  <c r="H271" i="6"/>
  <c r="J271" i="6" s="1"/>
  <c r="H270" i="6"/>
  <c r="J270" i="6" s="1"/>
  <c r="H269" i="6"/>
  <c r="J269" i="6" s="1"/>
  <c r="H268" i="6"/>
  <c r="J268" i="6" s="1"/>
  <c r="H267" i="6"/>
  <c r="J267" i="6" s="1"/>
  <c r="H266" i="6"/>
  <c r="J266" i="6" s="1"/>
  <c r="H265" i="6"/>
  <c r="J265" i="6" s="1"/>
  <c r="H264" i="6"/>
  <c r="J264" i="6" s="1"/>
  <c r="H263" i="6"/>
  <c r="J263" i="6" s="1"/>
  <c r="H262" i="6"/>
  <c r="J262" i="6" s="1"/>
  <c r="H261" i="6"/>
  <c r="J261" i="6" s="1"/>
  <c r="H260" i="6"/>
  <c r="J260" i="6" s="1"/>
  <c r="H259" i="6"/>
  <c r="J259" i="6" s="1"/>
  <c r="H258" i="6"/>
  <c r="J258" i="6" s="1"/>
  <c r="H257" i="6"/>
  <c r="J257" i="6" s="1"/>
  <c r="H256" i="6"/>
  <c r="J256" i="6" s="1"/>
  <c r="H255" i="6"/>
  <c r="J255" i="6" s="1"/>
  <c r="H254" i="6"/>
  <c r="J254" i="6" s="1"/>
  <c r="H253" i="6"/>
  <c r="J253" i="6" s="1"/>
  <c r="H252" i="6"/>
  <c r="J252" i="6" s="1"/>
  <c r="H251" i="6"/>
  <c r="J251" i="6" s="1"/>
  <c r="H250" i="6"/>
  <c r="J250" i="6" s="1"/>
  <c r="H249" i="6"/>
  <c r="J249" i="6" s="1"/>
  <c r="H248" i="6"/>
  <c r="J248" i="6" s="1"/>
  <c r="H247" i="6"/>
  <c r="J247" i="6" s="1"/>
  <c r="H246" i="6"/>
  <c r="J246" i="6" s="1"/>
  <c r="H245" i="6"/>
  <c r="J245" i="6" s="1"/>
  <c r="H244" i="6"/>
  <c r="J244" i="6" s="1"/>
  <c r="H243" i="6"/>
  <c r="J243" i="6" s="1"/>
  <c r="H242" i="6"/>
  <c r="J242" i="6" s="1"/>
  <c r="H241" i="6"/>
  <c r="J241" i="6" s="1"/>
  <c r="H240" i="6"/>
  <c r="J240" i="6" s="1"/>
  <c r="H239" i="6"/>
  <c r="J239" i="6" s="1"/>
  <c r="H238" i="6"/>
  <c r="J238" i="6" s="1"/>
  <c r="H237" i="6"/>
  <c r="J237" i="6" s="1"/>
  <c r="H236" i="6"/>
  <c r="J236" i="6" s="1"/>
  <c r="H235" i="6"/>
  <c r="J235" i="6" s="1"/>
  <c r="H234" i="6"/>
  <c r="J234" i="6" s="1"/>
  <c r="H233" i="6"/>
  <c r="J233" i="6" s="1"/>
  <c r="H232" i="6"/>
  <c r="J232" i="6" s="1"/>
  <c r="H231" i="6"/>
  <c r="J231" i="6" s="1"/>
  <c r="H230" i="6"/>
  <c r="J230" i="6" s="1"/>
  <c r="H229" i="6"/>
  <c r="J229" i="6" s="1"/>
  <c r="H228" i="6"/>
  <c r="J228" i="6" s="1"/>
  <c r="H227" i="6"/>
  <c r="J227" i="6" s="1"/>
  <c r="H226" i="6"/>
  <c r="J226" i="6" s="1"/>
  <c r="H225" i="6"/>
  <c r="J225" i="6" s="1"/>
  <c r="H224" i="6"/>
  <c r="J224" i="6" s="1"/>
  <c r="H223" i="6"/>
  <c r="J223" i="6" s="1"/>
  <c r="H222" i="6"/>
  <c r="J222" i="6" s="1"/>
  <c r="H221" i="6"/>
  <c r="J221" i="6" s="1"/>
  <c r="H220" i="6"/>
  <c r="J220" i="6" s="1"/>
  <c r="H219" i="6"/>
  <c r="J219" i="6" s="1"/>
  <c r="H218" i="6"/>
  <c r="J218" i="6" s="1"/>
  <c r="H217" i="6"/>
  <c r="J217" i="6" s="1"/>
  <c r="H216" i="6"/>
  <c r="J216" i="6" s="1"/>
  <c r="H215" i="6"/>
  <c r="J215" i="6" s="1"/>
  <c r="H214" i="6"/>
  <c r="J214" i="6" s="1"/>
  <c r="H213" i="6"/>
  <c r="J213" i="6" s="1"/>
  <c r="H212" i="6"/>
  <c r="J212" i="6" s="1"/>
  <c r="H211" i="6"/>
  <c r="J211" i="6" s="1"/>
  <c r="H210" i="6"/>
  <c r="J210" i="6" s="1"/>
  <c r="H209" i="6"/>
  <c r="J209" i="6" s="1"/>
  <c r="H208" i="6"/>
  <c r="J208" i="6" s="1"/>
  <c r="H207" i="6"/>
  <c r="J207" i="6" s="1"/>
  <c r="H206" i="6"/>
  <c r="J206" i="6" s="1"/>
  <c r="H205" i="6"/>
  <c r="J205" i="6" s="1"/>
  <c r="H204" i="6"/>
  <c r="J204" i="6" s="1"/>
  <c r="H203" i="6"/>
  <c r="J203" i="6" s="1"/>
  <c r="H202" i="6"/>
  <c r="J202" i="6" s="1"/>
  <c r="H201" i="6"/>
  <c r="J201" i="6" s="1"/>
  <c r="H200" i="6"/>
  <c r="J200" i="6" s="1"/>
  <c r="H199" i="6"/>
  <c r="J199" i="6" s="1"/>
  <c r="H198" i="6"/>
  <c r="J198" i="6" s="1"/>
  <c r="H197" i="6"/>
  <c r="J197" i="6" s="1"/>
  <c r="H196" i="6"/>
  <c r="J196" i="6" s="1"/>
  <c r="H195" i="6"/>
  <c r="J195" i="6" s="1"/>
  <c r="H194" i="6"/>
  <c r="J194" i="6" s="1"/>
  <c r="H193" i="6"/>
  <c r="J193" i="6" s="1"/>
  <c r="H192" i="6"/>
  <c r="J192" i="6" s="1"/>
  <c r="H191" i="6"/>
  <c r="J191" i="6" s="1"/>
  <c r="H190" i="6"/>
  <c r="J190" i="6" s="1"/>
  <c r="H189" i="6"/>
  <c r="J189" i="6" s="1"/>
  <c r="H188" i="6"/>
  <c r="J188" i="6" s="1"/>
  <c r="H187" i="6"/>
  <c r="J187" i="6" s="1"/>
  <c r="H186" i="6"/>
  <c r="J186" i="6" s="1"/>
  <c r="H185" i="6"/>
  <c r="H184" i="6"/>
  <c r="H183" i="6"/>
  <c r="H182" i="6"/>
  <c r="H181" i="6"/>
  <c r="H180" i="6"/>
  <c r="H179" i="6"/>
  <c r="H178" i="6"/>
  <c r="H177" i="6"/>
  <c r="H176" i="6"/>
  <c r="H175" i="6"/>
  <c r="H174" i="6"/>
  <c r="H173" i="6"/>
  <c r="H172" i="6"/>
  <c r="H171" i="6"/>
  <c r="H170" i="6"/>
  <c r="H169" i="6"/>
  <c r="H168" i="6"/>
  <c r="H167" i="6"/>
  <c r="H166" i="6"/>
  <c r="H165" i="6"/>
  <c r="H164" i="6"/>
  <c r="H163" i="6"/>
  <c r="H162" i="6"/>
  <c r="H161" i="6"/>
  <c r="H160" i="6"/>
  <c r="H159" i="6"/>
  <c r="H158" i="6"/>
  <c r="H157" i="6"/>
  <c r="H156" i="6"/>
  <c r="H155" i="6"/>
  <c r="H154" i="6"/>
  <c r="H153" i="6"/>
  <c r="H151" i="6"/>
  <c r="F994" i="6"/>
  <c r="F993" i="6"/>
  <c r="F992" i="6"/>
  <c r="F991" i="6"/>
  <c r="F990" i="6"/>
  <c r="F989" i="6"/>
  <c r="F988" i="6"/>
  <c r="F987" i="6"/>
  <c r="F986" i="6"/>
  <c r="F985" i="6"/>
  <c r="F984" i="6"/>
  <c r="F983" i="6"/>
  <c r="F982" i="6"/>
  <c r="F981" i="6"/>
  <c r="F980" i="6"/>
  <c r="F979" i="6"/>
  <c r="F978" i="6"/>
  <c r="F977" i="6"/>
  <c r="F976" i="6"/>
  <c r="F975" i="6"/>
  <c r="F974" i="6"/>
  <c r="F973" i="6"/>
  <c r="F972" i="6"/>
  <c r="F971" i="6"/>
  <c r="F970" i="6"/>
  <c r="F969" i="6"/>
  <c r="F968" i="6"/>
  <c r="F967" i="6"/>
  <c r="F966" i="6"/>
  <c r="F965" i="6"/>
  <c r="F964" i="6"/>
  <c r="F963" i="6"/>
  <c r="F962" i="6"/>
  <c r="F961" i="6"/>
  <c r="F960" i="6"/>
  <c r="F959" i="6"/>
  <c r="F958" i="6"/>
  <c r="F957" i="6"/>
  <c r="F956" i="6"/>
  <c r="F955" i="6"/>
  <c r="F954" i="6"/>
  <c r="F953" i="6"/>
  <c r="F952" i="6"/>
  <c r="F951" i="6"/>
  <c r="F950" i="6"/>
  <c r="F949" i="6"/>
  <c r="F948" i="6"/>
  <c r="F947" i="6"/>
  <c r="F946" i="6"/>
  <c r="F945" i="6"/>
  <c r="F944" i="6"/>
  <c r="F943" i="6"/>
  <c r="F942" i="6"/>
  <c r="F941" i="6"/>
  <c r="F940" i="6"/>
  <c r="F939" i="6"/>
  <c r="F938" i="6"/>
  <c r="F937" i="6"/>
  <c r="F936" i="6"/>
  <c r="F935" i="6"/>
  <c r="F934" i="6"/>
  <c r="F933" i="6"/>
  <c r="F932" i="6"/>
  <c r="F931" i="6"/>
  <c r="F930" i="6"/>
  <c r="F929" i="6"/>
  <c r="F928" i="6"/>
  <c r="F927" i="6"/>
  <c r="F926" i="6"/>
  <c r="F925" i="6"/>
  <c r="F924" i="6"/>
  <c r="F923" i="6"/>
  <c r="F922" i="6"/>
  <c r="F921" i="6"/>
  <c r="F920" i="6"/>
  <c r="F919" i="6"/>
  <c r="F918" i="6"/>
  <c r="F917" i="6"/>
  <c r="F916" i="6"/>
  <c r="F915" i="6"/>
  <c r="F914" i="6"/>
  <c r="F913" i="6"/>
  <c r="F912" i="6"/>
  <c r="F911" i="6"/>
  <c r="F910" i="6"/>
  <c r="F909" i="6"/>
  <c r="F908" i="6"/>
  <c r="F907" i="6"/>
  <c r="F906" i="6"/>
  <c r="F905" i="6"/>
  <c r="F904" i="6"/>
  <c r="F903" i="6"/>
  <c r="F902" i="6"/>
  <c r="F901" i="6"/>
  <c r="F900" i="6"/>
  <c r="F899" i="6"/>
  <c r="F898" i="6"/>
  <c r="F897" i="6"/>
  <c r="F896" i="6"/>
  <c r="F895" i="6"/>
  <c r="F894" i="6"/>
  <c r="F893" i="6"/>
  <c r="F892" i="6"/>
  <c r="F891" i="6"/>
  <c r="F890" i="6"/>
  <c r="F889" i="6"/>
  <c r="F888" i="6"/>
  <c r="F887" i="6"/>
  <c r="F886" i="6"/>
  <c r="F885" i="6"/>
  <c r="F884" i="6"/>
  <c r="F883" i="6"/>
  <c r="F882" i="6"/>
  <c r="F881" i="6"/>
  <c r="F880" i="6"/>
  <c r="F879" i="6"/>
  <c r="F878" i="6"/>
  <c r="F877" i="6"/>
  <c r="F876" i="6"/>
  <c r="F875" i="6"/>
  <c r="F874" i="6"/>
  <c r="F873" i="6"/>
  <c r="F872" i="6"/>
  <c r="F871" i="6"/>
  <c r="F870" i="6"/>
  <c r="F869" i="6"/>
  <c r="F868" i="6"/>
  <c r="F867" i="6"/>
  <c r="F866" i="6"/>
  <c r="F865" i="6"/>
  <c r="F864" i="6"/>
  <c r="F863" i="6"/>
  <c r="F862" i="6"/>
  <c r="F861" i="6"/>
  <c r="F860" i="6"/>
  <c r="F859" i="6"/>
  <c r="F858" i="6"/>
  <c r="F857" i="6"/>
  <c r="F856" i="6"/>
  <c r="F855" i="6"/>
  <c r="F854" i="6"/>
  <c r="F853" i="6"/>
  <c r="F852" i="6"/>
  <c r="F851" i="6"/>
  <c r="F850" i="6"/>
  <c r="F849" i="6"/>
  <c r="F848" i="6"/>
  <c r="F847" i="6"/>
  <c r="F846" i="6"/>
  <c r="F845" i="6"/>
  <c r="F844" i="6"/>
  <c r="F843" i="6"/>
  <c r="F842" i="6"/>
  <c r="F841" i="6"/>
  <c r="F840" i="6"/>
  <c r="F839" i="6"/>
  <c r="F838" i="6"/>
  <c r="F837" i="6"/>
  <c r="F836" i="6"/>
  <c r="F835" i="6"/>
  <c r="F834" i="6"/>
  <c r="F833" i="6"/>
  <c r="F832" i="6"/>
  <c r="F831" i="6"/>
  <c r="F830" i="6"/>
  <c r="F829" i="6"/>
  <c r="F828" i="6"/>
  <c r="F827" i="6"/>
  <c r="F826" i="6"/>
  <c r="F825" i="6"/>
  <c r="F824" i="6"/>
  <c r="F823" i="6"/>
  <c r="F822" i="6"/>
  <c r="F821" i="6"/>
  <c r="F820" i="6"/>
  <c r="F819" i="6"/>
  <c r="F818" i="6"/>
  <c r="F817" i="6"/>
  <c r="F816" i="6"/>
  <c r="F815" i="6"/>
  <c r="F814" i="6"/>
  <c r="F813" i="6"/>
  <c r="F812" i="6"/>
  <c r="F811" i="6"/>
  <c r="F810" i="6"/>
  <c r="F809" i="6"/>
  <c r="F808" i="6"/>
  <c r="F807" i="6"/>
  <c r="F806" i="6"/>
  <c r="F805" i="6"/>
  <c r="F804" i="6"/>
  <c r="F803" i="6"/>
  <c r="F802" i="6"/>
  <c r="F801" i="6"/>
  <c r="F800" i="6"/>
  <c r="F799" i="6"/>
  <c r="F798" i="6"/>
  <c r="F797" i="6"/>
  <c r="F796" i="6"/>
  <c r="F795" i="6"/>
  <c r="F794" i="6"/>
  <c r="F793" i="6"/>
  <c r="F792" i="6"/>
  <c r="F791" i="6"/>
  <c r="F790" i="6"/>
  <c r="F789" i="6"/>
  <c r="F788" i="6"/>
  <c r="F787" i="6"/>
  <c r="F786" i="6"/>
  <c r="F785" i="6"/>
  <c r="F784" i="6"/>
  <c r="F783" i="6"/>
  <c r="F782" i="6"/>
  <c r="F781" i="6"/>
  <c r="F780" i="6"/>
  <c r="F779" i="6"/>
  <c r="F778" i="6"/>
  <c r="F777" i="6"/>
  <c r="F776" i="6"/>
  <c r="F775" i="6"/>
  <c r="F774" i="6"/>
  <c r="F773" i="6"/>
  <c r="F772" i="6"/>
  <c r="F771" i="6"/>
  <c r="F770" i="6"/>
  <c r="F769" i="6"/>
  <c r="F768" i="6"/>
  <c r="F767" i="6"/>
  <c r="F766" i="6"/>
  <c r="F765" i="6"/>
  <c r="F764" i="6"/>
  <c r="F763" i="6"/>
  <c r="F762" i="6"/>
  <c r="F761" i="6"/>
  <c r="F760" i="6"/>
  <c r="F759" i="6"/>
  <c r="F758" i="6"/>
  <c r="F757" i="6"/>
  <c r="F756" i="6"/>
  <c r="F755" i="6"/>
  <c r="F754" i="6"/>
  <c r="F753" i="6"/>
  <c r="F752" i="6"/>
  <c r="F751" i="6"/>
  <c r="F750" i="6"/>
  <c r="F749" i="6"/>
  <c r="F748" i="6"/>
  <c r="F747" i="6"/>
  <c r="F746" i="6"/>
  <c r="F745" i="6"/>
  <c r="F744" i="6"/>
  <c r="F743" i="6"/>
  <c r="F742" i="6"/>
  <c r="F741" i="6"/>
  <c r="F740" i="6"/>
  <c r="F739" i="6"/>
  <c r="F738" i="6"/>
  <c r="F737" i="6"/>
  <c r="F736" i="6"/>
  <c r="F735" i="6"/>
  <c r="F734" i="6"/>
  <c r="F733" i="6"/>
  <c r="F732" i="6"/>
  <c r="F731" i="6"/>
  <c r="F730" i="6"/>
  <c r="F729" i="6"/>
  <c r="F728" i="6"/>
  <c r="F727" i="6"/>
  <c r="F726" i="6"/>
  <c r="F725" i="6"/>
  <c r="F724" i="6"/>
  <c r="F723" i="6"/>
  <c r="F722" i="6"/>
  <c r="F721" i="6"/>
  <c r="F720" i="6"/>
  <c r="F719" i="6"/>
  <c r="F718" i="6"/>
  <c r="F717" i="6"/>
  <c r="F716" i="6"/>
  <c r="F715" i="6"/>
  <c r="F714" i="6"/>
  <c r="F713" i="6"/>
  <c r="F712" i="6"/>
  <c r="F711" i="6"/>
  <c r="F710" i="6"/>
  <c r="F709" i="6"/>
  <c r="F708" i="6"/>
  <c r="F707" i="6"/>
  <c r="F706" i="6"/>
  <c r="F705" i="6"/>
  <c r="F704" i="6"/>
  <c r="F703" i="6"/>
  <c r="F702" i="6"/>
  <c r="F701" i="6"/>
  <c r="F700" i="6"/>
  <c r="F699" i="6"/>
  <c r="F698" i="6"/>
  <c r="F697" i="6"/>
  <c r="F696" i="6"/>
  <c r="F695" i="6"/>
  <c r="F694" i="6"/>
  <c r="F693" i="6"/>
  <c r="F692" i="6"/>
  <c r="F691" i="6"/>
  <c r="F690" i="6"/>
  <c r="F689" i="6"/>
  <c r="F688" i="6"/>
  <c r="F687" i="6"/>
  <c r="F686" i="6"/>
  <c r="F685" i="6"/>
  <c r="F684" i="6"/>
  <c r="F683" i="6"/>
  <c r="F682" i="6"/>
  <c r="F681" i="6"/>
  <c r="F680" i="6"/>
  <c r="F679" i="6"/>
  <c r="F678" i="6"/>
  <c r="F677" i="6"/>
  <c r="F676" i="6"/>
  <c r="F675" i="6"/>
  <c r="F674" i="6"/>
  <c r="F673" i="6"/>
  <c r="F672" i="6"/>
  <c r="F671" i="6"/>
  <c r="F670" i="6"/>
  <c r="F669" i="6"/>
  <c r="F668" i="6"/>
  <c r="F667" i="6"/>
  <c r="F666" i="6"/>
  <c r="F665" i="6"/>
  <c r="F664" i="6"/>
  <c r="F663" i="6"/>
  <c r="F662" i="6"/>
  <c r="F661" i="6"/>
  <c r="F660" i="6"/>
  <c r="F659" i="6"/>
  <c r="F658" i="6"/>
  <c r="F657" i="6"/>
  <c r="F656" i="6"/>
  <c r="F655" i="6"/>
  <c r="F654" i="6"/>
  <c r="F653" i="6"/>
  <c r="F652" i="6"/>
  <c r="F651" i="6"/>
  <c r="F650" i="6"/>
  <c r="F649" i="6"/>
  <c r="F648" i="6"/>
  <c r="F647" i="6"/>
  <c r="F646" i="6"/>
  <c r="F645" i="6"/>
  <c r="F644" i="6"/>
  <c r="F643" i="6"/>
  <c r="F642" i="6"/>
  <c r="F641" i="6"/>
  <c r="F640" i="6"/>
  <c r="F639" i="6"/>
  <c r="F638" i="6"/>
  <c r="F637" i="6"/>
  <c r="F636" i="6"/>
  <c r="F635" i="6"/>
  <c r="F634" i="6"/>
  <c r="F633" i="6"/>
  <c r="F632" i="6"/>
  <c r="F631" i="6"/>
  <c r="F630" i="6"/>
  <c r="F629" i="6"/>
  <c r="F628" i="6"/>
  <c r="F627" i="6"/>
  <c r="F626" i="6"/>
  <c r="F625" i="6"/>
  <c r="F624" i="6"/>
  <c r="F623" i="6"/>
  <c r="F622" i="6"/>
  <c r="F621" i="6"/>
  <c r="F620" i="6"/>
  <c r="F619" i="6"/>
  <c r="F618" i="6"/>
  <c r="F617" i="6"/>
  <c r="F616" i="6"/>
  <c r="F615" i="6"/>
  <c r="F614" i="6"/>
  <c r="F613" i="6"/>
  <c r="F612" i="6"/>
  <c r="F611" i="6"/>
  <c r="F610" i="6"/>
  <c r="F609" i="6"/>
  <c r="F608" i="6"/>
  <c r="F607" i="6"/>
  <c r="F606" i="6"/>
  <c r="F605" i="6"/>
  <c r="F604" i="6"/>
  <c r="F603" i="6"/>
  <c r="F602" i="6"/>
  <c r="F601" i="6"/>
  <c r="F600" i="6"/>
  <c r="F599" i="6"/>
  <c r="F598" i="6"/>
  <c r="F597" i="6"/>
  <c r="F596" i="6"/>
  <c r="F595" i="6"/>
  <c r="F594" i="6"/>
  <c r="F593" i="6"/>
  <c r="F592" i="6"/>
  <c r="F591" i="6"/>
  <c r="F590" i="6"/>
  <c r="F589" i="6"/>
  <c r="F588" i="6"/>
  <c r="F587" i="6"/>
  <c r="F586" i="6"/>
  <c r="F585" i="6"/>
  <c r="F584" i="6"/>
  <c r="F583" i="6"/>
  <c r="F582" i="6"/>
  <c r="F581" i="6"/>
  <c r="F580" i="6"/>
  <c r="F579" i="6"/>
  <c r="F578" i="6"/>
  <c r="F577" i="6"/>
  <c r="F576" i="6"/>
  <c r="F575" i="6"/>
  <c r="F574" i="6"/>
  <c r="F573" i="6"/>
  <c r="F572" i="6"/>
  <c r="F571" i="6"/>
  <c r="F570" i="6"/>
  <c r="F569" i="6"/>
  <c r="F568" i="6"/>
  <c r="F567" i="6"/>
  <c r="F566" i="6"/>
  <c r="F565" i="6"/>
  <c r="F564" i="6"/>
  <c r="F563" i="6"/>
  <c r="F562" i="6"/>
  <c r="F561" i="6"/>
  <c r="F560" i="6"/>
  <c r="F559" i="6"/>
  <c r="F558" i="6"/>
  <c r="F557" i="6"/>
  <c r="F556" i="6"/>
  <c r="F555" i="6"/>
  <c r="F554" i="6"/>
  <c r="F553" i="6"/>
  <c r="F552" i="6"/>
  <c r="F551" i="6"/>
  <c r="F550" i="6"/>
  <c r="F549" i="6"/>
  <c r="F548" i="6"/>
  <c r="F547" i="6"/>
  <c r="F546" i="6"/>
  <c r="F545" i="6"/>
  <c r="F544" i="6"/>
  <c r="F543" i="6"/>
  <c r="F542" i="6"/>
  <c r="F541" i="6"/>
  <c r="F540" i="6"/>
  <c r="F539" i="6"/>
  <c r="F538" i="6"/>
  <c r="F537" i="6"/>
  <c r="F536" i="6"/>
  <c r="F535" i="6"/>
  <c r="F534" i="6"/>
  <c r="F533" i="6"/>
  <c r="F532" i="6"/>
  <c r="F531" i="6"/>
  <c r="F530" i="6"/>
  <c r="F529" i="6"/>
  <c r="F528" i="6"/>
  <c r="F527" i="6"/>
  <c r="F526" i="6"/>
  <c r="F525" i="6"/>
  <c r="F524" i="6"/>
  <c r="F523" i="6"/>
  <c r="F522" i="6"/>
  <c r="F521" i="6"/>
  <c r="F520" i="6"/>
  <c r="F519" i="6"/>
  <c r="F518" i="6"/>
  <c r="F517" i="6"/>
  <c r="F516" i="6"/>
  <c r="F515" i="6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5" i="6"/>
  <c r="F174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5" i="6"/>
  <c r="F154" i="6"/>
  <c r="F153" i="6"/>
  <c r="F152" i="6"/>
  <c r="D994" i="6"/>
  <c r="D993" i="6"/>
  <c r="D992" i="6"/>
  <c r="D991" i="6"/>
  <c r="D990" i="6"/>
  <c r="D989" i="6"/>
  <c r="D988" i="6"/>
  <c r="D987" i="6"/>
  <c r="D986" i="6"/>
  <c r="D985" i="6"/>
  <c r="D984" i="6"/>
  <c r="D983" i="6"/>
  <c r="D982" i="6"/>
  <c r="D981" i="6"/>
  <c r="D980" i="6"/>
  <c r="D979" i="6"/>
  <c r="D978" i="6"/>
  <c r="D977" i="6"/>
  <c r="D976" i="6"/>
  <c r="D975" i="6"/>
  <c r="D974" i="6"/>
  <c r="D973" i="6"/>
  <c r="D972" i="6"/>
  <c r="D971" i="6"/>
  <c r="D970" i="6"/>
  <c r="D969" i="6"/>
  <c r="D968" i="6"/>
  <c r="D967" i="6"/>
  <c r="D966" i="6"/>
  <c r="D965" i="6"/>
  <c r="D964" i="6"/>
  <c r="D963" i="6"/>
  <c r="D962" i="6"/>
  <c r="D961" i="6"/>
  <c r="D960" i="6"/>
  <c r="D959" i="6"/>
  <c r="D958" i="6"/>
  <c r="D957" i="6"/>
  <c r="D956" i="6"/>
  <c r="D955" i="6"/>
  <c r="D954" i="6"/>
  <c r="D953" i="6"/>
  <c r="D952" i="6"/>
  <c r="D951" i="6"/>
  <c r="D950" i="6"/>
  <c r="D949" i="6"/>
  <c r="D948" i="6"/>
  <c r="D947" i="6"/>
  <c r="D946" i="6"/>
  <c r="D945" i="6"/>
  <c r="D944" i="6"/>
  <c r="D943" i="6"/>
  <c r="D942" i="6"/>
  <c r="D941" i="6"/>
  <c r="D940" i="6"/>
  <c r="D939" i="6"/>
  <c r="D938" i="6"/>
  <c r="D937" i="6"/>
  <c r="D936" i="6"/>
  <c r="D935" i="6"/>
  <c r="D934" i="6"/>
  <c r="D933" i="6"/>
  <c r="D932" i="6"/>
  <c r="D931" i="6"/>
  <c r="D930" i="6"/>
  <c r="D929" i="6"/>
  <c r="D928" i="6"/>
  <c r="D927" i="6"/>
  <c r="D926" i="6"/>
  <c r="D925" i="6"/>
  <c r="D924" i="6"/>
  <c r="D923" i="6"/>
  <c r="D922" i="6"/>
  <c r="D921" i="6"/>
  <c r="D920" i="6"/>
  <c r="D919" i="6"/>
  <c r="D918" i="6"/>
  <c r="D917" i="6"/>
  <c r="D916" i="6"/>
  <c r="D915" i="6"/>
  <c r="D914" i="6"/>
  <c r="D913" i="6"/>
  <c r="D912" i="6"/>
  <c r="D911" i="6"/>
  <c r="D910" i="6"/>
  <c r="D909" i="6"/>
  <c r="D908" i="6"/>
  <c r="D907" i="6"/>
  <c r="D906" i="6"/>
  <c r="D905" i="6"/>
  <c r="D904" i="6"/>
  <c r="D903" i="6"/>
  <c r="D902" i="6"/>
  <c r="D901" i="6"/>
  <c r="D900" i="6"/>
  <c r="D899" i="6"/>
  <c r="D898" i="6"/>
  <c r="D897" i="6"/>
  <c r="D896" i="6"/>
  <c r="D895" i="6"/>
  <c r="D894" i="6"/>
  <c r="D893" i="6"/>
  <c r="D892" i="6"/>
  <c r="D891" i="6"/>
  <c r="D890" i="6"/>
  <c r="D889" i="6"/>
  <c r="D888" i="6"/>
  <c r="D887" i="6"/>
  <c r="D886" i="6"/>
  <c r="D885" i="6"/>
  <c r="D884" i="6"/>
  <c r="D883" i="6"/>
  <c r="D882" i="6"/>
  <c r="D881" i="6"/>
  <c r="D880" i="6"/>
  <c r="D879" i="6"/>
  <c r="D878" i="6"/>
  <c r="D877" i="6"/>
  <c r="D876" i="6"/>
  <c r="D875" i="6"/>
  <c r="D874" i="6"/>
  <c r="D873" i="6"/>
  <c r="D872" i="6"/>
  <c r="D871" i="6"/>
  <c r="D870" i="6"/>
  <c r="D869" i="6"/>
  <c r="D868" i="6"/>
  <c r="D867" i="6"/>
  <c r="D866" i="6"/>
  <c r="D865" i="6"/>
  <c r="D864" i="6"/>
  <c r="D863" i="6"/>
  <c r="D862" i="6"/>
  <c r="D861" i="6"/>
  <c r="D860" i="6"/>
  <c r="D859" i="6"/>
  <c r="D858" i="6"/>
  <c r="D857" i="6"/>
  <c r="D856" i="6"/>
  <c r="D855" i="6"/>
  <c r="D854" i="6"/>
  <c r="D853" i="6"/>
  <c r="D852" i="6"/>
  <c r="D851" i="6"/>
  <c r="D850" i="6"/>
  <c r="D849" i="6"/>
  <c r="D848" i="6"/>
  <c r="D847" i="6"/>
  <c r="D846" i="6"/>
  <c r="D845" i="6"/>
  <c r="D844" i="6"/>
  <c r="D843" i="6"/>
  <c r="D842" i="6"/>
  <c r="D841" i="6"/>
  <c r="D840" i="6"/>
  <c r="D839" i="6"/>
  <c r="D838" i="6"/>
  <c r="D837" i="6"/>
  <c r="D836" i="6"/>
  <c r="D835" i="6"/>
  <c r="D834" i="6"/>
  <c r="D833" i="6"/>
  <c r="D832" i="6"/>
  <c r="D831" i="6"/>
  <c r="D830" i="6"/>
  <c r="D829" i="6"/>
  <c r="D828" i="6"/>
  <c r="D827" i="6"/>
  <c r="D826" i="6"/>
  <c r="D825" i="6"/>
  <c r="D824" i="6"/>
  <c r="D823" i="6"/>
  <c r="D822" i="6"/>
  <c r="D821" i="6"/>
  <c r="D820" i="6"/>
  <c r="D819" i="6"/>
  <c r="D818" i="6"/>
  <c r="D817" i="6"/>
  <c r="D816" i="6"/>
  <c r="D815" i="6"/>
  <c r="D814" i="6"/>
  <c r="D813" i="6"/>
  <c r="D812" i="6"/>
  <c r="D811" i="6"/>
  <c r="D810" i="6"/>
  <c r="D809" i="6"/>
  <c r="D808" i="6"/>
  <c r="D807" i="6"/>
  <c r="D806" i="6"/>
  <c r="D805" i="6"/>
  <c r="D804" i="6"/>
  <c r="D803" i="6"/>
  <c r="D802" i="6"/>
  <c r="D801" i="6"/>
  <c r="D800" i="6"/>
  <c r="D799" i="6"/>
  <c r="D798" i="6"/>
  <c r="D797" i="6"/>
  <c r="D796" i="6"/>
  <c r="D795" i="6"/>
  <c r="D794" i="6"/>
  <c r="D793" i="6"/>
  <c r="D792" i="6"/>
  <c r="D791" i="6"/>
  <c r="D790" i="6"/>
  <c r="D789" i="6"/>
  <c r="D788" i="6"/>
  <c r="D787" i="6"/>
  <c r="D786" i="6"/>
  <c r="D785" i="6"/>
  <c r="D784" i="6"/>
  <c r="D783" i="6"/>
  <c r="D782" i="6"/>
  <c r="D781" i="6"/>
  <c r="D780" i="6"/>
  <c r="D779" i="6"/>
  <c r="D778" i="6"/>
  <c r="D777" i="6"/>
  <c r="D776" i="6"/>
  <c r="D775" i="6"/>
  <c r="D774" i="6"/>
  <c r="D773" i="6"/>
  <c r="D772" i="6"/>
  <c r="D771" i="6"/>
  <c r="D770" i="6"/>
  <c r="D769" i="6"/>
  <c r="D768" i="6"/>
  <c r="D767" i="6"/>
  <c r="D766" i="6"/>
  <c r="D765" i="6"/>
  <c r="D764" i="6"/>
  <c r="D763" i="6"/>
  <c r="D762" i="6"/>
  <c r="D761" i="6"/>
  <c r="D760" i="6"/>
  <c r="D759" i="6"/>
  <c r="D758" i="6"/>
  <c r="D757" i="6"/>
  <c r="D756" i="6"/>
  <c r="D755" i="6"/>
  <c r="D754" i="6"/>
  <c r="D753" i="6"/>
  <c r="D752" i="6"/>
  <c r="D751" i="6"/>
  <c r="D750" i="6"/>
  <c r="D749" i="6"/>
  <c r="D748" i="6"/>
  <c r="D747" i="6"/>
  <c r="D746" i="6"/>
  <c r="D745" i="6"/>
  <c r="D744" i="6"/>
  <c r="D743" i="6"/>
  <c r="D742" i="6"/>
  <c r="D741" i="6"/>
  <c r="D740" i="6"/>
  <c r="D739" i="6"/>
  <c r="D738" i="6"/>
  <c r="D737" i="6"/>
  <c r="D736" i="6"/>
  <c r="D735" i="6"/>
  <c r="D734" i="6"/>
  <c r="D733" i="6"/>
  <c r="D732" i="6"/>
  <c r="D731" i="6"/>
  <c r="D730" i="6"/>
  <c r="D729" i="6"/>
  <c r="D728" i="6"/>
  <c r="D727" i="6"/>
  <c r="D726" i="6"/>
  <c r="D725" i="6"/>
  <c r="D724" i="6"/>
  <c r="D723" i="6"/>
  <c r="D722" i="6"/>
  <c r="D721" i="6"/>
  <c r="D720" i="6"/>
  <c r="D719" i="6"/>
  <c r="D718" i="6"/>
  <c r="D717" i="6"/>
  <c r="D716" i="6"/>
  <c r="D715" i="6"/>
  <c r="D714" i="6"/>
  <c r="D713" i="6"/>
  <c r="D712" i="6"/>
  <c r="D711" i="6"/>
  <c r="D710" i="6"/>
  <c r="D709" i="6"/>
  <c r="D708" i="6"/>
  <c r="D707" i="6"/>
  <c r="D706" i="6"/>
  <c r="D705" i="6"/>
  <c r="D704" i="6"/>
  <c r="D703" i="6"/>
  <c r="D702" i="6"/>
  <c r="D701" i="6"/>
  <c r="D700" i="6"/>
  <c r="D699" i="6"/>
  <c r="D698" i="6"/>
  <c r="D697" i="6"/>
  <c r="D696" i="6"/>
  <c r="D695" i="6"/>
  <c r="D694" i="6"/>
  <c r="D693" i="6"/>
  <c r="D692" i="6"/>
  <c r="D691" i="6"/>
  <c r="D690" i="6"/>
  <c r="D689" i="6"/>
  <c r="D688" i="6"/>
  <c r="D687" i="6"/>
  <c r="D686" i="6"/>
  <c r="D685" i="6"/>
  <c r="D684" i="6"/>
  <c r="D683" i="6"/>
  <c r="D682" i="6"/>
  <c r="D681" i="6"/>
  <c r="D680" i="6"/>
  <c r="D679" i="6"/>
  <c r="D678" i="6"/>
  <c r="D677" i="6"/>
  <c r="D676" i="6"/>
  <c r="D675" i="6"/>
  <c r="D674" i="6"/>
  <c r="D673" i="6"/>
  <c r="D672" i="6"/>
  <c r="D671" i="6"/>
  <c r="D670" i="6"/>
  <c r="D669" i="6"/>
  <c r="D668" i="6"/>
  <c r="D667" i="6"/>
  <c r="D666" i="6"/>
  <c r="D665" i="6"/>
  <c r="D664" i="6"/>
  <c r="D663" i="6"/>
  <c r="D662" i="6"/>
  <c r="D661" i="6"/>
  <c r="D660" i="6"/>
  <c r="D659" i="6"/>
  <c r="D658" i="6"/>
  <c r="D657" i="6"/>
  <c r="D656" i="6"/>
  <c r="D655" i="6"/>
  <c r="D654" i="6"/>
  <c r="D653" i="6"/>
  <c r="D652" i="6"/>
  <c r="D651" i="6"/>
  <c r="D650" i="6"/>
  <c r="D649" i="6"/>
  <c r="D648" i="6"/>
  <c r="D647" i="6"/>
  <c r="D646" i="6"/>
  <c r="D645" i="6"/>
  <c r="D644" i="6"/>
  <c r="D643" i="6"/>
  <c r="D642" i="6"/>
  <c r="D641" i="6"/>
  <c r="D640" i="6"/>
  <c r="D639" i="6"/>
  <c r="D638" i="6"/>
  <c r="D637" i="6"/>
  <c r="D636" i="6"/>
  <c r="D635" i="6"/>
  <c r="D634" i="6"/>
  <c r="D633" i="6"/>
  <c r="D632" i="6"/>
  <c r="D631" i="6"/>
  <c r="D630" i="6"/>
  <c r="D629" i="6"/>
  <c r="D628" i="6"/>
  <c r="D627" i="6"/>
  <c r="D626" i="6"/>
  <c r="D625" i="6"/>
  <c r="D624" i="6"/>
  <c r="D623" i="6"/>
  <c r="D622" i="6"/>
  <c r="D621" i="6"/>
  <c r="D620" i="6"/>
  <c r="D619" i="6"/>
  <c r="D618" i="6"/>
  <c r="D617" i="6"/>
  <c r="D616" i="6"/>
  <c r="D615" i="6"/>
  <c r="D614" i="6"/>
  <c r="D613" i="6"/>
  <c r="D612" i="6"/>
  <c r="D611" i="6"/>
  <c r="D610" i="6"/>
  <c r="D609" i="6"/>
  <c r="D608" i="6"/>
  <c r="D607" i="6"/>
  <c r="D606" i="6"/>
  <c r="D605" i="6"/>
  <c r="D604" i="6"/>
  <c r="D603" i="6"/>
  <c r="D602" i="6"/>
  <c r="D601" i="6"/>
  <c r="D600" i="6"/>
  <c r="D599" i="6"/>
  <c r="D598" i="6"/>
  <c r="D597" i="6"/>
  <c r="D596" i="6"/>
  <c r="D595" i="6"/>
  <c r="D594" i="6"/>
  <c r="D593" i="6"/>
  <c r="D592" i="6"/>
  <c r="D591" i="6"/>
  <c r="D590" i="6"/>
  <c r="D589" i="6"/>
  <c r="D588" i="6"/>
  <c r="D587" i="6"/>
  <c r="D586" i="6"/>
  <c r="D585" i="6"/>
  <c r="D584" i="6"/>
  <c r="D583" i="6"/>
  <c r="D582" i="6"/>
  <c r="D581" i="6"/>
  <c r="D580" i="6"/>
  <c r="D579" i="6"/>
  <c r="D578" i="6"/>
  <c r="D577" i="6"/>
  <c r="D576" i="6"/>
  <c r="D575" i="6"/>
  <c r="D574" i="6"/>
  <c r="D573" i="6"/>
  <c r="D572" i="6"/>
  <c r="D571" i="6"/>
  <c r="D570" i="6"/>
  <c r="D569" i="6"/>
  <c r="D568" i="6"/>
  <c r="D567" i="6"/>
  <c r="D566" i="6"/>
  <c r="D565" i="6"/>
  <c r="D564" i="6"/>
  <c r="D563" i="6"/>
  <c r="D562" i="6"/>
  <c r="D561" i="6"/>
  <c r="D560" i="6"/>
  <c r="D559" i="6"/>
  <c r="D558" i="6"/>
  <c r="D557" i="6"/>
  <c r="D556" i="6"/>
  <c r="D555" i="6"/>
  <c r="D554" i="6"/>
  <c r="D553" i="6"/>
  <c r="D552" i="6"/>
  <c r="D551" i="6"/>
  <c r="D550" i="6"/>
  <c r="D549" i="6"/>
  <c r="D548" i="6"/>
  <c r="D547" i="6"/>
  <c r="D546" i="6"/>
  <c r="D545" i="6"/>
  <c r="D544" i="6"/>
  <c r="D543" i="6"/>
  <c r="D542" i="6"/>
  <c r="D541" i="6"/>
  <c r="D540" i="6"/>
  <c r="D539" i="6"/>
  <c r="D538" i="6"/>
  <c r="D537" i="6"/>
  <c r="D536" i="6"/>
  <c r="D535" i="6"/>
  <c r="D534" i="6"/>
  <c r="D533" i="6"/>
  <c r="D532" i="6"/>
  <c r="D531" i="6"/>
  <c r="D530" i="6"/>
  <c r="D529" i="6"/>
  <c r="D528" i="6"/>
  <c r="D527" i="6"/>
  <c r="D526" i="6"/>
  <c r="D525" i="6"/>
  <c r="D524" i="6"/>
  <c r="D523" i="6"/>
  <c r="D522" i="6"/>
  <c r="D521" i="6"/>
  <c r="D520" i="6"/>
  <c r="D519" i="6"/>
  <c r="D518" i="6"/>
  <c r="D517" i="6"/>
  <c r="D516" i="6"/>
  <c r="D515" i="6"/>
  <c r="D514" i="6"/>
  <c r="D513" i="6"/>
  <c r="D512" i="6"/>
  <c r="D511" i="6"/>
  <c r="D510" i="6"/>
  <c r="D509" i="6"/>
  <c r="D508" i="6"/>
  <c r="D507" i="6"/>
  <c r="D506" i="6"/>
  <c r="D505" i="6"/>
  <c r="D504" i="6"/>
  <c r="D503" i="6"/>
  <c r="D502" i="6"/>
  <c r="D501" i="6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5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5" i="6"/>
  <c r="D154" i="6"/>
  <c r="D153" i="6"/>
  <c r="D152" i="6"/>
  <c r="A994" i="6"/>
  <c r="A993" i="6"/>
  <c r="A992" i="6"/>
  <c r="A991" i="6"/>
  <c r="A990" i="6"/>
  <c r="A989" i="6"/>
  <c r="A988" i="6"/>
  <c r="A987" i="6"/>
  <c r="A986" i="6"/>
  <c r="A985" i="6"/>
  <c r="A984" i="6"/>
  <c r="A983" i="6"/>
  <c r="A982" i="6"/>
  <c r="A981" i="6"/>
  <c r="A980" i="6"/>
  <c r="A979" i="6"/>
  <c r="A978" i="6"/>
  <c r="A977" i="6"/>
  <c r="A976" i="6"/>
  <c r="A975" i="6"/>
  <c r="A974" i="6"/>
  <c r="A973" i="6"/>
  <c r="A972" i="6"/>
  <c r="A971" i="6"/>
  <c r="A970" i="6"/>
  <c r="A969" i="6"/>
  <c r="A968" i="6"/>
  <c r="A967" i="6"/>
  <c r="A966" i="6"/>
  <c r="A965" i="6"/>
  <c r="A964" i="6"/>
  <c r="A963" i="6"/>
  <c r="A962" i="6"/>
  <c r="A961" i="6"/>
  <c r="A960" i="6"/>
  <c r="A959" i="6"/>
  <c r="A958" i="6"/>
  <c r="A957" i="6"/>
  <c r="A956" i="6"/>
  <c r="A955" i="6"/>
  <c r="A954" i="6"/>
  <c r="A953" i="6"/>
  <c r="A952" i="6"/>
  <c r="A951" i="6"/>
  <c r="A950" i="6"/>
  <c r="A949" i="6"/>
  <c r="A948" i="6"/>
  <c r="A947" i="6"/>
  <c r="A946" i="6"/>
  <c r="A945" i="6"/>
  <c r="A944" i="6"/>
  <c r="A943" i="6"/>
  <c r="A942" i="6"/>
  <c r="A941" i="6"/>
  <c r="A940" i="6"/>
  <c r="A939" i="6"/>
  <c r="A938" i="6"/>
  <c r="A937" i="6"/>
  <c r="A936" i="6"/>
  <c r="A935" i="6"/>
  <c r="A934" i="6"/>
  <c r="A933" i="6"/>
  <c r="A932" i="6"/>
  <c r="A931" i="6"/>
  <c r="A930" i="6"/>
  <c r="A929" i="6"/>
  <c r="A928" i="6"/>
  <c r="A927" i="6"/>
  <c r="A926" i="6"/>
  <c r="A925" i="6"/>
  <c r="A924" i="6"/>
  <c r="A923" i="6"/>
  <c r="A922" i="6"/>
  <c r="A921" i="6"/>
  <c r="A920" i="6"/>
  <c r="A919" i="6"/>
  <c r="A918" i="6"/>
  <c r="A917" i="6"/>
  <c r="A916" i="6"/>
  <c r="A915" i="6"/>
  <c r="A914" i="6"/>
  <c r="A913" i="6"/>
  <c r="A912" i="6"/>
  <c r="A911" i="6"/>
  <c r="A910" i="6"/>
  <c r="A909" i="6"/>
  <c r="A908" i="6"/>
  <c r="A907" i="6"/>
  <c r="A906" i="6"/>
  <c r="A905" i="6"/>
  <c r="A904" i="6"/>
  <c r="A903" i="6"/>
  <c r="A902" i="6"/>
  <c r="A901" i="6"/>
  <c r="A900" i="6"/>
  <c r="A899" i="6"/>
  <c r="A898" i="6"/>
  <c r="A897" i="6"/>
  <c r="A896" i="6"/>
  <c r="A895" i="6"/>
  <c r="A894" i="6"/>
  <c r="A893" i="6"/>
  <c r="A892" i="6"/>
  <c r="A891" i="6"/>
  <c r="A890" i="6"/>
  <c r="A889" i="6"/>
  <c r="A888" i="6"/>
  <c r="A887" i="6"/>
  <c r="A886" i="6"/>
  <c r="A885" i="6"/>
  <c r="A884" i="6"/>
  <c r="A883" i="6"/>
  <c r="A882" i="6"/>
  <c r="A881" i="6"/>
  <c r="A880" i="6"/>
  <c r="A879" i="6"/>
  <c r="A878" i="6"/>
  <c r="A877" i="6"/>
  <c r="A876" i="6"/>
  <c r="A875" i="6"/>
  <c r="A874" i="6"/>
  <c r="A873" i="6"/>
  <c r="A872" i="6"/>
  <c r="A871" i="6"/>
  <c r="A870" i="6"/>
  <c r="A869" i="6"/>
  <c r="A868" i="6"/>
  <c r="A867" i="6"/>
  <c r="A866" i="6"/>
  <c r="A865" i="6"/>
  <c r="A864" i="6"/>
  <c r="A863" i="6"/>
  <c r="A862" i="6"/>
  <c r="A861" i="6"/>
  <c r="A860" i="6"/>
  <c r="A859" i="6"/>
  <c r="A858" i="6"/>
  <c r="A857" i="6"/>
  <c r="A856" i="6"/>
  <c r="A855" i="6"/>
  <c r="A854" i="6"/>
  <c r="A853" i="6"/>
  <c r="A852" i="6"/>
  <c r="A851" i="6"/>
  <c r="A850" i="6"/>
  <c r="A849" i="6"/>
  <c r="A848" i="6"/>
  <c r="A847" i="6"/>
  <c r="A846" i="6"/>
  <c r="A845" i="6"/>
  <c r="A844" i="6"/>
  <c r="A843" i="6"/>
  <c r="A842" i="6"/>
  <c r="A841" i="6"/>
  <c r="A840" i="6"/>
  <c r="A839" i="6"/>
  <c r="A838" i="6"/>
  <c r="A837" i="6"/>
  <c r="A836" i="6"/>
  <c r="A835" i="6"/>
  <c r="A834" i="6"/>
  <c r="A833" i="6"/>
  <c r="A832" i="6"/>
  <c r="A831" i="6"/>
  <c r="A830" i="6"/>
  <c r="A829" i="6"/>
  <c r="A828" i="6"/>
  <c r="A827" i="6"/>
  <c r="A826" i="6"/>
  <c r="A825" i="6"/>
  <c r="A824" i="6"/>
  <c r="A823" i="6"/>
  <c r="A822" i="6"/>
  <c r="A821" i="6"/>
  <c r="A820" i="6"/>
  <c r="A819" i="6"/>
  <c r="A818" i="6"/>
  <c r="A817" i="6"/>
  <c r="A816" i="6"/>
  <c r="A815" i="6"/>
  <c r="A814" i="6"/>
  <c r="A813" i="6"/>
  <c r="A812" i="6"/>
  <c r="A811" i="6"/>
  <c r="A810" i="6"/>
  <c r="A809" i="6"/>
  <c r="A808" i="6"/>
  <c r="A807" i="6"/>
  <c r="A806" i="6"/>
  <c r="A805" i="6"/>
  <c r="A804" i="6"/>
  <c r="A803" i="6"/>
  <c r="A802" i="6"/>
  <c r="A801" i="6"/>
  <c r="A800" i="6"/>
  <c r="A799" i="6"/>
  <c r="A798" i="6"/>
  <c r="A797" i="6"/>
  <c r="A796" i="6"/>
  <c r="A795" i="6"/>
  <c r="A794" i="6"/>
  <c r="A793" i="6"/>
  <c r="A792" i="6"/>
  <c r="A791" i="6"/>
  <c r="A790" i="6"/>
  <c r="A789" i="6"/>
  <c r="A788" i="6"/>
  <c r="A787" i="6"/>
  <c r="A786" i="6"/>
  <c r="A785" i="6"/>
  <c r="A784" i="6"/>
  <c r="A783" i="6"/>
  <c r="A782" i="6"/>
  <c r="A781" i="6"/>
  <c r="A780" i="6"/>
  <c r="A779" i="6"/>
  <c r="A778" i="6"/>
  <c r="A777" i="6"/>
  <c r="A776" i="6"/>
  <c r="A775" i="6"/>
  <c r="A774" i="6"/>
  <c r="A773" i="6"/>
  <c r="A772" i="6"/>
  <c r="A771" i="6"/>
  <c r="A770" i="6"/>
  <c r="A769" i="6"/>
  <c r="A768" i="6"/>
  <c r="A767" i="6"/>
  <c r="A766" i="6"/>
  <c r="A765" i="6"/>
  <c r="A764" i="6"/>
  <c r="A763" i="6"/>
  <c r="A762" i="6"/>
  <c r="A761" i="6"/>
  <c r="A760" i="6"/>
  <c r="A759" i="6"/>
  <c r="A758" i="6"/>
  <c r="A757" i="6"/>
  <c r="A756" i="6"/>
  <c r="A755" i="6"/>
  <c r="A754" i="6"/>
  <c r="A753" i="6"/>
  <c r="A752" i="6"/>
  <c r="A751" i="6"/>
  <c r="A750" i="6"/>
  <c r="A749" i="6"/>
  <c r="A748" i="6"/>
  <c r="A747" i="6"/>
  <c r="A746" i="6"/>
  <c r="A745" i="6"/>
  <c r="A744" i="6"/>
  <c r="A743" i="6"/>
  <c r="A742" i="6"/>
  <c r="A741" i="6"/>
  <c r="A740" i="6"/>
  <c r="A739" i="6"/>
  <c r="A738" i="6"/>
  <c r="A737" i="6"/>
  <c r="A736" i="6"/>
  <c r="A735" i="6"/>
  <c r="A734" i="6"/>
  <c r="A733" i="6"/>
  <c r="A732" i="6"/>
  <c r="A731" i="6"/>
  <c r="A730" i="6"/>
  <c r="A729" i="6"/>
  <c r="A728" i="6"/>
  <c r="A727" i="6"/>
  <c r="A726" i="6"/>
  <c r="A725" i="6"/>
  <c r="A724" i="6"/>
  <c r="A723" i="6"/>
  <c r="A722" i="6"/>
  <c r="A721" i="6"/>
  <c r="A720" i="6"/>
  <c r="A719" i="6"/>
  <c r="A718" i="6"/>
  <c r="A717" i="6"/>
  <c r="A716" i="6"/>
  <c r="A715" i="6"/>
  <c r="A714" i="6"/>
  <c r="A713" i="6"/>
  <c r="A712" i="6"/>
  <c r="A711" i="6"/>
  <c r="A710" i="6"/>
  <c r="A709" i="6"/>
  <c r="A708" i="6"/>
  <c r="A707" i="6"/>
  <c r="A706" i="6"/>
  <c r="A705" i="6"/>
  <c r="A704" i="6"/>
  <c r="A703" i="6"/>
  <c r="A702" i="6"/>
  <c r="A701" i="6"/>
  <c r="A700" i="6"/>
  <c r="A699" i="6"/>
  <c r="A698" i="6"/>
  <c r="A697" i="6"/>
  <c r="A696" i="6"/>
  <c r="A695" i="6"/>
  <c r="A694" i="6"/>
  <c r="A693" i="6"/>
  <c r="A692" i="6"/>
  <c r="A691" i="6"/>
  <c r="A690" i="6"/>
  <c r="A689" i="6"/>
  <c r="A688" i="6"/>
  <c r="A687" i="6"/>
  <c r="A686" i="6"/>
  <c r="A685" i="6"/>
  <c r="A684" i="6"/>
  <c r="A683" i="6"/>
  <c r="A682" i="6"/>
  <c r="A681" i="6"/>
  <c r="A680" i="6"/>
  <c r="A679" i="6"/>
  <c r="A678" i="6"/>
  <c r="A677" i="6"/>
  <c r="A676" i="6"/>
  <c r="A675" i="6"/>
  <c r="A674" i="6"/>
  <c r="A673" i="6"/>
  <c r="A672" i="6"/>
  <c r="A671" i="6"/>
  <c r="A670" i="6"/>
  <c r="A669" i="6"/>
  <c r="A668" i="6"/>
  <c r="A667" i="6"/>
  <c r="A666" i="6"/>
  <c r="A665" i="6"/>
  <c r="A664" i="6"/>
  <c r="A663" i="6"/>
  <c r="A662" i="6"/>
  <c r="A661" i="6"/>
  <c r="A660" i="6"/>
  <c r="A659" i="6"/>
  <c r="A658" i="6"/>
  <c r="A657" i="6"/>
  <c r="A656" i="6"/>
  <c r="A655" i="6"/>
  <c r="A654" i="6"/>
  <c r="A653" i="6"/>
  <c r="A652" i="6"/>
  <c r="A651" i="6"/>
  <c r="A650" i="6"/>
  <c r="A649" i="6"/>
  <c r="A648" i="6"/>
  <c r="A647" i="6"/>
  <c r="A646" i="6"/>
  <c r="A645" i="6"/>
  <c r="A644" i="6"/>
  <c r="A643" i="6"/>
  <c r="A642" i="6"/>
  <c r="A641" i="6"/>
  <c r="A640" i="6"/>
  <c r="A639" i="6"/>
  <c r="A638" i="6"/>
  <c r="A637" i="6"/>
  <c r="A636" i="6"/>
  <c r="A635" i="6"/>
  <c r="A634" i="6"/>
  <c r="A633" i="6"/>
  <c r="A632" i="6"/>
  <c r="A631" i="6"/>
  <c r="A630" i="6"/>
  <c r="A629" i="6"/>
  <c r="A628" i="6"/>
  <c r="A627" i="6"/>
  <c r="A626" i="6"/>
  <c r="A625" i="6"/>
  <c r="A624" i="6"/>
  <c r="A623" i="6"/>
  <c r="A622" i="6"/>
  <c r="A621" i="6"/>
  <c r="A620" i="6"/>
  <c r="A619" i="6"/>
  <c r="A618" i="6"/>
  <c r="A617" i="6"/>
  <c r="A616" i="6"/>
  <c r="A615" i="6"/>
  <c r="A614" i="6"/>
  <c r="A613" i="6"/>
  <c r="A612" i="6"/>
  <c r="A611" i="6"/>
  <c r="A610" i="6"/>
  <c r="A609" i="6"/>
  <c r="A608" i="6"/>
  <c r="A607" i="6"/>
  <c r="A606" i="6"/>
  <c r="A605" i="6"/>
  <c r="A604" i="6"/>
  <c r="A603" i="6"/>
  <c r="A602" i="6"/>
  <c r="A601" i="6"/>
  <c r="A600" i="6"/>
  <c r="A599" i="6"/>
  <c r="A598" i="6"/>
  <c r="A597" i="6"/>
  <c r="A596" i="6"/>
  <c r="A595" i="6"/>
  <c r="A594" i="6"/>
  <c r="A593" i="6"/>
  <c r="A592" i="6"/>
  <c r="A591" i="6"/>
  <c r="A590" i="6"/>
  <c r="A589" i="6"/>
  <c r="A588" i="6"/>
  <c r="A587" i="6"/>
  <c r="A586" i="6"/>
  <c r="A585" i="6"/>
  <c r="A584" i="6"/>
  <c r="A583" i="6"/>
  <c r="A582" i="6"/>
  <c r="A581" i="6"/>
  <c r="A580" i="6"/>
  <c r="A579" i="6"/>
  <c r="A578" i="6"/>
  <c r="A577" i="6"/>
  <c r="A576" i="6"/>
  <c r="A575" i="6"/>
  <c r="A574" i="6"/>
  <c r="A573" i="6"/>
  <c r="A572" i="6"/>
  <c r="A571" i="6"/>
  <c r="A570" i="6"/>
  <c r="A569" i="6"/>
  <c r="A568" i="6"/>
  <c r="A567" i="6"/>
  <c r="A566" i="6"/>
  <c r="A565" i="6"/>
  <c r="A564" i="6"/>
  <c r="A563" i="6"/>
  <c r="A562" i="6"/>
  <c r="A561" i="6"/>
  <c r="A560" i="6"/>
  <c r="A559" i="6"/>
  <c r="A558" i="6"/>
  <c r="A557" i="6"/>
  <c r="A556" i="6"/>
  <c r="A555" i="6"/>
  <c r="A554" i="6"/>
  <c r="A553" i="6"/>
  <c r="A552" i="6"/>
  <c r="A551" i="6"/>
  <c r="A550" i="6"/>
  <c r="A549" i="6"/>
  <c r="A548" i="6"/>
  <c r="A547" i="6"/>
  <c r="A546" i="6"/>
  <c r="A545" i="6"/>
  <c r="A544" i="6"/>
  <c r="A543" i="6"/>
  <c r="A542" i="6"/>
  <c r="A541" i="6"/>
  <c r="A540" i="6"/>
  <c r="A539" i="6"/>
  <c r="A538" i="6"/>
  <c r="A537" i="6"/>
  <c r="A536" i="6"/>
  <c r="A535" i="6"/>
  <c r="A534" i="6"/>
  <c r="A533" i="6"/>
  <c r="A532" i="6"/>
  <c r="A531" i="6"/>
  <c r="A530" i="6"/>
  <c r="A529" i="6"/>
  <c r="A528" i="6"/>
  <c r="A527" i="6"/>
  <c r="A526" i="6"/>
  <c r="A525" i="6"/>
  <c r="A524" i="6"/>
  <c r="A523" i="6"/>
  <c r="A522" i="6"/>
  <c r="A521" i="6"/>
  <c r="A520" i="6"/>
  <c r="A519" i="6"/>
  <c r="A518" i="6"/>
  <c r="A517" i="6"/>
  <c r="A516" i="6"/>
  <c r="A515" i="6"/>
  <c r="A514" i="6"/>
  <c r="A513" i="6"/>
  <c r="A512" i="6"/>
  <c r="A511" i="6"/>
  <c r="A510" i="6"/>
  <c r="A509" i="6"/>
  <c r="A508" i="6"/>
  <c r="A507" i="6"/>
  <c r="A506" i="6"/>
  <c r="A505" i="6"/>
  <c r="A504" i="6"/>
  <c r="A503" i="6"/>
  <c r="A502" i="6"/>
  <c r="A501" i="6"/>
  <c r="A500" i="6"/>
  <c r="A499" i="6"/>
  <c r="A498" i="6"/>
  <c r="A497" i="6"/>
  <c r="A496" i="6"/>
  <c r="A495" i="6"/>
  <c r="A494" i="6"/>
  <c r="A493" i="6"/>
  <c r="A492" i="6"/>
  <c r="A491" i="6"/>
  <c r="A490" i="6"/>
  <c r="A489" i="6"/>
  <c r="A488" i="6"/>
  <c r="A487" i="6"/>
  <c r="A486" i="6"/>
  <c r="A485" i="6"/>
  <c r="A484" i="6"/>
  <c r="A483" i="6"/>
  <c r="A482" i="6"/>
  <c r="A481" i="6"/>
  <c r="A480" i="6"/>
  <c r="A479" i="6"/>
  <c r="A478" i="6"/>
  <c r="A477" i="6"/>
  <c r="A476" i="6"/>
  <c r="A475" i="6"/>
  <c r="A474" i="6"/>
  <c r="A473" i="6"/>
  <c r="A472" i="6"/>
  <c r="A471" i="6"/>
  <c r="A470" i="6"/>
  <c r="A469" i="6"/>
  <c r="A468" i="6"/>
  <c r="A467" i="6"/>
  <c r="A466" i="6"/>
  <c r="A465" i="6"/>
  <c r="A464" i="6"/>
  <c r="A463" i="6"/>
  <c r="A462" i="6"/>
  <c r="A461" i="6"/>
  <c r="A460" i="6"/>
  <c r="A459" i="6"/>
  <c r="A458" i="6"/>
  <c r="A457" i="6"/>
  <c r="A456" i="6"/>
  <c r="A455" i="6"/>
  <c r="A454" i="6"/>
  <c r="A453" i="6"/>
  <c r="A452" i="6"/>
  <c r="A451" i="6"/>
  <c r="A450" i="6"/>
  <c r="A449" i="6"/>
  <c r="A448" i="6"/>
  <c r="A447" i="6"/>
  <c r="A446" i="6"/>
  <c r="A445" i="6"/>
  <c r="A444" i="6"/>
  <c r="A443" i="6"/>
  <c r="A442" i="6"/>
  <c r="A441" i="6"/>
  <c r="A440" i="6"/>
  <c r="A439" i="6"/>
  <c r="A438" i="6"/>
  <c r="A437" i="6"/>
  <c r="A436" i="6"/>
  <c r="A435" i="6"/>
  <c r="A434" i="6"/>
  <c r="A433" i="6"/>
  <c r="A432" i="6"/>
  <c r="A431" i="6"/>
  <c r="A430" i="6"/>
  <c r="A429" i="6"/>
  <c r="A428" i="6"/>
  <c r="A427" i="6"/>
  <c r="A426" i="6"/>
  <c r="A425" i="6"/>
  <c r="A424" i="6"/>
  <c r="A423" i="6"/>
  <c r="A422" i="6"/>
  <c r="A421" i="6"/>
  <c r="A420" i="6"/>
  <c r="A419" i="6"/>
  <c r="A418" i="6"/>
  <c r="A417" i="6"/>
  <c r="A416" i="6"/>
  <c r="A415" i="6"/>
  <c r="A414" i="6"/>
  <c r="A413" i="6"/>
  <c r="A412" i="6"/>
  <c r="A411" i="6"/>
  <c r="A410" i="6"/>
  <c r="A409" i="6"/>
  <c r="A408" i="6"/>
  <c r="A407" i="6"/>
  <c r="A406" i="6"/>
  <c r="A405" i="6"/>
  <c r="A404" i="6"/>
  <c r="A403" i="6"/>
  <c r="A402" i="6"/>
  <c r="A401" i="6"/>
  <c r="A400" i="6"/>
  <c r="A399" i="6"/>
  <c r="A398" i="6"/>
  <c r="A397" i="6"/>
  <c r="A396" i="6"/>
  <c r="A395" i="6"/>
  <c r="A394" i="6"/>
  <c r="A393" i="6"/>
  <c r="A392" i="6"/>
  <c r="A391" i="6"/>
  <c r="A390" i="6"/>
  <c r="A389" i="6"/>
  <c r="A388" i="6"/>
  <c r="A387" i="6"/>
  <c r="A386" i="6"/>
  <c r="A385" i="6"/>
  <c r="A384" i="6"/>
  <c r="A383" i="6"/>
  <c r="A382" i="6"/>
  <c r="A381" i="6"/>
  <c r="A380" i="6"/>
  <c r="A379" i="6"/>
  <c r="A378" i="6"/>
  <c r="A377" i="6"/>
  <c r="A376" i="6"/>
  <c r="A375" i="6"/>
  <c r="A374" i="6"/>
  <c r="A373" i="6"/>
  <c r="A372" i="6"/>
  <c r="A371" i="6"/>
  <c r="A370" i="6"/>
  <c r="A369" i="6"/>
  <c r="A368" i="6"/>
  <c r="A367" i="6"/>
  <c r="A366" i="6"/>
  <c r="A365" i="6"/>
  <c r="A364" i="6"/>
  <c r="A363" i="6"/>
  <c r="A362" i="6"/>
  <c r="A361" i="6"/>
  <c r="A360" i="6"/>
  <c r="A359" i="6"/>
  <c r="A358" i="6"/>
  <c r="A357" i="6"/>
  <c r="A356" i="6"/>
  <c r="A355" i="6"/>
  <c r="A354" i="6"/>
  <c r="A353" i="6"/>
  <c r="A352" i="6"/>
  <c r="A351" i="6"/>
  <c r="A350" i="6"/>
  <c r="A349" i="6"/>
  <c r="A348" i="6"/>
  <c r="A347" i="6"/>
  <c r="A346" i="6"/>
  <c r="A345" i="6"/>
  <c r="A344" i="6"/>
  <c r="A343" i="6"/>
  <c r="A342" i="6"/>
  <c r="A341" i="6"/>
  <c r="A340" i="6"/>
  <c r="A339" i="6"/>
  <c r="A338" i="6"/>
  <c r="A337" i="6"/>
  <c r="A336" i="6"/>
  <c r="A335" i="6"/>
  <c r="A334" i="6"/>
  <c r="A333" i="6"/>
  <c r="A332" i="6"/>
  <c r="A331" i="6"/>
  <c r="A330" i="6"/>
  <c r="A329" i="6"/>
  <c r="A328" i="6"/>
  <c r="A327" i="6"/>
  <c r="A326" i="6"/>
  <c r="A325" i="6"/>
  <c r="A324" i="6"/>
  <c r="A323" i="6"/>
  <c r="A322" i="6"/>
  <c r="A321" i="6"/>
  <c r="A320" i="6"/>
  <c r="A319" i="6"/>
  <c r="A318" i="6"/>
  <c r="A317" i="6"/>
  <c r="A316" i="6"/>
  <c r="A315" i="6"/>
  <c r="A314" i="6"/>
  <c r="A313" i="6"/>
  <c r="A312" i="6"/>
  <c r="A311" i="6"/>
  <c r="A310" i="6"/>
  <c r="A309" i="6"/>
  <c r="A308" i="6"/>
  <c r="A307" i="6"/>
  <c r="A306" i="6"/>
  <c r="A305" i="6"/>
  <c r="A304" i="6"/>
  <c r="A303" i="6"/>
  <c r="A302" i="6"/>
  <c r="A301" i="6"/>
  <c r="A300" i="6"/>
  <c r="A299" i="6"/>
  <c r="A298" i="6"/>
  <c r="A297" i="6"/>
  <c r="A296" i="6"/>
  <c r="A295" i="6"/>
  <c r="A294" i="6"/>
  <c r="A293" i="6"/>
  <c r="A292" i="6"/>
  <c r="A291" i="6"/>
  <c r="A290" i="6"/>
  <c r="A289" i="6"/>
  <c r="A288" i="6"/>
  <c r="A287" i="6"/>
  <c r="A286" i="6"/>
  <c r="A285" i="6"/>
  <c r="A284" i="6"/>
  <c r="A283" i="6"/>
  <c r="A282" i="6"/>
  <c r="A281" i="6"/>
  <c r="A280" i="6"/>
  <c r="A279" i="6"/>
  <c r="A278" i="6"/>
  <c r="A277" i="6"/>
  <c r="A276" i="6"/>
  <c r="A275" i="6"/>
  <c r="A274" i="6"/>
  <c r="A273" i="6"/>
  <c r="A272" i="6"/>
  <c r="A271" i="6"/>
  <c r="A270" i="6"/>
  <c r="A269" i="6"/>
  <c r="A268" i="6"/>
  <c r="A267" i="6"/>
  <c r="A266" i="6"/>
  <c r="A265" i="6"/>
  <c r="A264" i="6"/>
  <c r="A263" i="6"/>
  <c r="A262" i="6"/>
  <c r="A261" i="6"/>
  <c r="A260" i="6"/>
  <c r="A259" i="6"/>
  <c r="A258" i="6"/>
  <c r="A257" i="6"/>
  <c r="A256" i="6"/>
  <c r="A255" i="6"/>
  <c r="A254" i="6"/>
  <c r="A253" i="6"/>
  <c r="A252" i="6"/>
  <c r="A251" i="6"/>
  <c r="A250" i="6"/>
  <c r="A249" i="6"/>
  <c r="A248" i="6"/>
  <c r="A247" i="6"/>
  <c r="A246" i="6"/>
  <c r="A245" i="6"/>
  <c r="A244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5" i="6"/>
  <c r="A4" i="5"/>
  <c r="B1003" i="10"/>
  <c r="B1002" i="10"/>
  <c r="B1001" i="10"/>
  <c r="B1000" i="10"/>
  <c r="B999" i="10"/>
  <c r="B998" i="10"/>
  <c r="B997" i="10"/>
  <c r="B996" i="10"/>
  <c r="B995" i="10"/>
  <c r="B994" i="10"/>
  <c r="B993" i="10"/>
  <c r="B992" i="10"/>
  <c r="B991" i="10"/>
  <c r="B990" i="10"/>
  <c r="B989" i="10"/>
  <c r="B988" i="10"/>
  <c r="B987" i="10"/>
  <c r="B986" i="10"/>
  <c r="B985" i="10"/>
  <c r="B984" i="10"/>
  <c r="B983" i="10"/>
  <c r="B982" i="10"/>
  <c r="B981" i="10"/>
  <c r="B980" i="10"/>
  <c r="B979" i="10"/>
  <c r="B978" i="10"/>
  <c r="B977" i="10"/>
  <c r="B976" i="10"/>
  <c r="B975" i="10"/>
  <c r="B974" i="10"/>
  <c r="B973" i="10"/>
  <c r="B972" i="10"/>
  <c r="B971" i="10"/>
  <c r="B970" i="10"/>
  <c r="B969" i="10"/>
  <c r="B968" i="10"/>
  <c r="B967" i="10"/>
  <c r="B966" i="10"/>
  <c r="B965" i="10"/>
  <c r="B964" i="10"/>
  <c r="B963" i="10"/>
  <c r="B962" i="10"/>
  <c r="B961" i="10"/>
  <c r="B960" i="10"/>
  <c r="B959" i="10"/>
  <c r="B958" i="10"/>
  <c r="B957" i="10"/>
  <c r="B956" i="10"/>
  <c r="B955" i="10"/>
  <c r="B954" i="10"/>
  <c r="B953" i="10"/>
  <c r="B952" i="10"/>
  <c r="B951" i="10"/>
  <c r="B950" i="10"/>
  <c r="B949" i="10"/>
  <c r="B948" i="10"/>
  <c r="B947" i="10"/>
  <c r="B946" i="10"/>
  <c r="B945" i="10"/>
  <c r="B944" i="10"/>
  <c r="B943" i="10"/>
  <c r="B942" i="10"/>
  <c r="B941" i="10"/>
  <c r="B940" i="10"/>
  <c r="B939" i="10"/>
  <c r="B938" i="10"/>
  <c r="B937" i="10"/>
  <c r="B936" i="10"/>
  <c r="B935" i="10"/>
  <c r="B934" i="10"/>
  <c r="B933" i="10"/>
  <c r="B932" i="10"/>
  <c r="B931" i="10"/>
  <c r="B930" i="10"/>
  <c r="B929" i="10"/>
  <c r="B928" i="10"/>
  <c r="B927" i="10"/>
  <c r="B926" i="10"/>
  <c r="B925" i="10"/>
  <c r="B924" i="10"/>
  <c r="B923" i="10"/>
  <c r="B922" i="10"/>
  <c r="B921" i="10"/>
  <c r="B920" i="10"/>
  <c r="B919" i="10"/>
  <c r="B918" i="10"/>
  <c r="B917" i="10"/>
  <c r="B916" i="10"/>
  <c r="B915" i="10"/>
  <c r="B914" i="10"/>
  <c r="B913" i="10"/>
  <c r="B912" i="10"/>
  <c r="B911" i="10"/>
  <c r="B910" i="10"/>
  <c r="B909" i="10"/>
  <c r="B908" i="10"/>
  <c r="B907" i="10"/>
  <c r="B906" i="10"/>
  <c r="B905" i="10"/>
  <c r="B904" i="10"/>
  <c r="B903" i="10"/>
  <c r="B902" i="10"/>
  <c r="B901" i="10"/>
  <c r="B900" i="10"/>
  <c r="B899" i="10"/>
  <c r="B898" i="10"/>
  <c r="B897" i="10"/>
  <c r="B896" i="10"/>
  <c r="B895" i="10"/>
  <c r="B894" i="10"/>
  <c r="B893" i="10"/>
  <c r="B892" i="10"/>
  <c r="B891" i="10"/>
  <c r="B890" i="10"/>
  <c r="B889" i="10"/>
  <c r="B888" i="10"/>
  <c r="B887" i="10"/>
  <c r="B886" i="10"/>
  <c r="B885" i="10"/>
  <c r="B884" i="10"/>
  <c r="B883" i="10"/>
  <c r="B882" i="10"/>
  <c r="B881" i="10"/>
  <c r="B880" i="10"/>
  <c r="B879" i="10"/>
  <c r="B878" i="10"/>
  <c r="B877" i="10"/>
  <c r="B876" i="10"/>
  <c r="B875" i="10"/>
  <c r="B874" i="10"/>
  <c r="B873" i="10"/>
  <c r="B872" i="10"/>
  <c r="B871" i="10"/>
  <c r="B870" i="10"/>
  <c r="B869" i="10"/>
  <c r="B868" i="10"/>
  <c r="B867" i="10"/>
  <c r="B866" i="10"/>
  <c r="B865" i="10"/>
  <c r="B864" i="10"/>
  <c r="B863" i="10"/>
  <c r="B862" i="10"/>
  <c r="B861" i="10"/>
  <c r="B860" i="10"/>
  <c r="B859" i="10"/>
  <c r="B858" i="10"/>
  <c r="B857" i="10"/>
  <c r="B856" i="10"/>
  <c r="B855" i="10"/>
  <c r="B854" i="10"/>
  <c r="B853" i="10"/>
  <c r="B852" i="10"/>
  <c r="B851" i="10"/>
  <c r="B850" i="10"/>
  <c r="B849" i="10"/>
  <c r="B848" i="10"/>
  <c r="B847" i="10"/>
  <c r="B846" i="10"/>
  <c r="B845" i="10"/>
  <c r="B844" i="10"/>
  <c r="B843" i="10"/>
  <c r="B842" i="10"/>
  <c r="B841" i="10"/>
  <c r="B840" i="10"/>
  <c r="B839" i="10"/>
  <c r="B838" i="10"/>
  <c r="B837" i="10"/>
  <c r="B836" i="10"/>
  <c r="B835" i="10"/>
  <c r="B834" i="10"/>
  <c r="B833" i="10"/>
  <c r="B832" i="10"/>
  <c r="B831" i="10"/>
  <c r="B830" i="10"/>
  <c r="B829" i="10"/>
  <c r="B828" i="10"/>
  <c r="B827" i="10"/>
  <c r="B826" i="10"/>
  <c r="B825" i="10"/>
  <c r="B824" i="10"/>
  <c r="B823" i="10"/>
  <c r="B822" i="10"/>
  <c r="B821" i="10"/>
  <c r="B820" i="10"/>
  <c r="B819" i="10"/>
  <c r="B818" i="10"/>
  <c r="B817" i="10"/>
  <c r="B816" i="10"/>
  <c r="B815" i="10"/>
  <c r="B814" i="10"/>
  <c r="B813" i="10"/>
  <c r="B812" i="10"/>
  <c r="B811" i="10"/>
  <c r="B810" i="10"/>
  <c r="B809" i="10"/>
  <c r="B808" i="10"/>
  <c r="B807" i="10"/>
  <c r="B806" i="10"/>
  <c r="B805" i="10"/>
  <c r="B804" i="10"/>
  <c r="B803" i="10"/>
  <c r="B802" i="10"/>
  <c r="B801" i="10"/>
  <c r="B800" i="10"/>
  <c r="B799" i="10"/>
  <c r="B798" i="10"/>
  <c r="B797" i="10"/>
  <c r="B796" i="10"/>
  <c r="B795" i="10"/>
  <c r="B794" i="10"/>
  <c r="B793" i="10"/>
  <c r="B792" i="10"/>
  <c r="B791" i="10"/>
  <c r="B790" i="10"/>
  <c r="B789" i="10"/>
  <c r="B788" i="10"/>
  <c r="B787" i="10"/>
  <c r="B786" i="10"/>
  <c r="B785" i="10"/>
  <c r="B784" i="10"/>
  <c r="B783" i="10"/>
  <c r="B782" i="10"/>
  <c r="B781" i="10"/>
  <c r="B780" i="10"/>
  <c r="B779" i="10"/>
  <c r="B778" i="10"/>
  <c r="B777" i="10"/>
  <c r="B776" i="10"/>
  <c r="B775" i="10"/>
  <c r="B774" i="10"/>
  <c r="B773" i="10"/>
  <c r="B772" i="10"/>
  <c r="B771" i="10"/>
  <c r="B770" i="10"/>
  <c r="B769" i="10"/>
  <c r="B768" i="10"/>
  <c r="B767" i="10"/>
  <c r="B766" i="10"/>
  <c r="B765" i="10"/>
  <c r="B764" i="10"/>
  <c r="B763" i="10"/>
  <c r="B762" i="10"/>
  <c r="B761" i="10"/>
  <c r="B760" i="10"/>
  <c r="B759" i="10"/>
  <c r="B758" i="10"/>
  <c r="B757" i="10"/>
  <c r="B756" i="10"/>
  <c r="B755" i="10"/>
  <c r="B754" i="10"/>
  <c r="B753" i="10"/>
  <c r="B752" i="10"/>
  <c r="B751" i="10"/>
  <c r="B750" i="10"/>
  <c r="B749" i="10"/>
  <c r="B748" i="10"/>
  <c r="B747" i="10"/>
  <c r="B746" i="10"/>
  <c r="B745" i="10"/>
  <c r="B744" i="10"/>
  <c r="B743" i="10"/>
  <c r="B742" i="10"/>
  <c r="B741" i="10"/>
  <c r="B740" i="10"/>
  <c r="B739" i="10"/>
  <c r="B738" i="10"/>
  <c r="B737" i="10"/>
  <c r="B736" i="10"/>
  <c r="B735" i="10"/>
  <c r="B734" i="10"/>
  <c r="B733" i="10"/>
  <c r="B732" i="10"/>
  <c r="B731" i="10"/>
  <c r="B730" i="10"/>
  <c r="B729" i="10"/>
  <c r="B728" i="10"/>
  <c r="B727" i="10"/>
  <c r="B726" i="10"/>
  <c r="B725" i="10"/>
  <c r="B724" i="10"/>
  <c r="B723" i="10"/>
  <c r="B722" i="10"/>
  <c r="B721" i="10"/>
  <c r="B720" i="10"/>
  <c r="B719" i="10"/>
  <c r="B718" i="10"/>
  <c r="B717" i="10"/>
  <c r="B716" i="10"/>
  <c r="B715" i="10"/>
  <c r="B714" i="10"/>
  <c r="B713" i="10"/>
  <c r="B712" i="10"/>
  <c r="B711" i="10"/>
  <c r="B710" i="10"/>
  <c r="B709" i="10"/>
  <c r="B708" i="10"/>
  <c r="B707" i="10"/>
  <c r="B706" i="10"/>
  <c r="B705" i="10"/>
  <c r="B704" i="10"/>
  <c r="B703" i="10"/>
  <c r="B702" i="10"/>
  <c r="B701" i="10"/>
  <c r="B700" i="10"/>
  <c r="B699" i="10"/>
  <c r="B698" i="10"/>
  <c r="B697" i="10"/>
  <c r="B696" i="10"/>
  <c r="B695" i="10"/>
  <c r="B694" i="10"/>
  <c r="B693" i="10"/>
  <c r="B692" i="10"/>
  <c r="B691" i="10"/>
  <c r="B690" i="10"/>
  <c r="B689" i="10"/>
  <c r="B688" i="10"/>
  <c r="B687" i="10"/>
  <c r="B686" i="10"/>
  <c r="B685" i="10"/>
  <c r="B684" i="10"/>
  <c r="B683" i="10"/>
  <c r="B682" i="10"/>
  <c r="B681" i="10"/>
  <c r="B680" i="10"/>
  <c r="B679" i="10"/>
  <c r="B678" i="10"/>
  <c r="B677" i="10"/>
  <c r="B676" i="10"/>
  <c r="B675" i="10"/>
  <c r="B674" i="10"/>
  <c r="B673" i="10"/>
  <c r="B672" i="10"/>
  <c r="B671" i="10"/>
  <c r="B670" i="10"/>
  <c r="B669" i="10"/>
  <c r="B668" i="10"/>
  <c r="B667" i="10"/>
  <c r="B666" i="10"/>
  <c r="B665" i="10"/>
  <c r="B664" i="10"/>
  <c r="B663" i="10"/>
  <c r="B662" i="10"/>
  <c r="B661" i="10"/>
  <c r="B660" i="10"/>
  <c r="B659" i="10"/>
  <c r="B658" i="10"/>
  <c r="B657" i="10"/>
  <c r="B656" i="10"/>
  <c r="B655" i="10"/>
  <c r="B654" i="10"/>
  <c r="B653" i="10"/>
  <c r="B652" i="10"/>
  <c r="B651" i="10"/>
  <c r="B650" i="10"/>
  <c r="B649" i="10"/>
  <c r="B648" i="10"/>
  <c r="B647" i="10"/>
  <c r="B646" i="10"/>
  <c r="B645" i="10"/>
  <c r="B644" i="10"/>
  <c r="B643" i="10"/>
  <c r="B642" i="10"/>
  <c r="B641" i="10"/>
  <c r="B640" i="10"/>
  <c r="B639" i="10"/>
  <c r="B638" i="10"/>
  <c r="B637" i="10"/>
  <c r="B636" i="10"/>
  <c r="B635" i="10"/>
  <c r="B634" i="10"/>
  <c r="B633" i="10"/>
  <c r="B632" i="10"/>
  <c r="B631" i="10"/>
  <c r="B630" i="10"/>
  <c r="B629" i="10"/>
  <c r="B628" i="10"/>
  <c r="B627" i="10"/>
  <c r="B626" i="10"/>
  <c r="B625" i="10"/>
  <c r="B624" i="10"/>
  <c r="B623" i="10"/>
  <c r="B622" i="10"/>
  <c r="B621" i="10"/>
  <c r="B620" i="10"/>
  <c r="B619" i="10"/>
  <c r="B618" i="10"/>
  <c r="B617" i="10"/>
  <c r="B616" i="10"/>
  <c r="B615" i="10"/>
  <c r="B614" i="10"/>
  <c r="B613" i="10"/>
  <c r="B612" i="10"/>
  <c r="B611" i="10"/>
  <c r="B610" i="10"/>
  <c r="B609" i="10"/>
  <c r="B608" i="10"/>
  <c r="B607" i="10"/>
  <c r="B606" i="10"/>
  <c r="B605" i="10"/>
  <c r="B604" i="10"/>
  <c r="B603" i="10"/>
  <c r="B602" i="10"/>
  <c r="B601" i="10"/>
  <c r="B600" i="10"/>
  <c r="B599" i="10"/>
  <c r="B598" i="10"/>
  <c r="B597" i="10"/>
  <c r="B596" i="10"/>
  <c r="B595" i="10"/>
  <c r="B594" i="10"/>
  <c r="B593" i="10"/>
  <c r="B592" i="10"/>
  <c r="B591" i="10"/>
  <c r="B590" i="10"/>
  <c r="B589" i="10"/>
  <c r="B588" i="10"/>
  <c r="B587" i="10"/>
  <c r="B586" i="10"/>
  <c r="B585" i="10"/>
  <c r="B584" i="10"/>
  <c r="B583" i="10"/>
  <c r="B582" i="10"/>
  <c r="B581" i="10"/>
  <c r="B580" i="10"/>
  <c r="B579" i="10"/>
  <c r="B578" i="10"/>
  <c r="B577" i="10"/>
  <c r="B576" i="10"/>
  <c r="B575" i="10"/>
  <c r="B574" i="10"/>
  <c r="B573" i="10"/>
  <c r="B572" i="10"/>
  <c r="B571" i="10"/>
  <c r="B570" i="10"/>
  <c r="B569" i="10"/>
  <c r="B568" i="10"/>
  <c r="B567" i="10"/>
  <c r="B566" i="10"/>
  <c r="B565" i="10"/>
  <c r="B564" i="10"/>
  <c r="B563" i="10"/>
  <c r="B562" i="10"/>
  <c r="B561" i="10"/>
  <c r="B560" i="10"/>
  <c r="B559" i="10"/>
  <c r="B558" i="10"/>
  <c r="B557" i="10"/>
  <c r="B556" i="10"/>
  <c r="B555" i="10"/>
  <c r="B554" i="10"/>
  <c r="B553" i="10"/>
  <c r="B552" i="10"/>
  <c r="B551" i="10"/>
  <c r="B550" i="10"/>
  <c r="B549" i="10"/>
  <c r="B548" i="10"/>
  <c r="B547" i="10"/>
  <c r="B546" i="10"/>
  <c r="B545" i="10"/>
  <c r="B544" i="10"/>
  <c r="B543" i="10"/>
  <c r="B542" i="10"/>
  <c r="B541" i="10"/>
  <c r="B540" i="10"/>
  <c r="B539" i="10"/>
  <c r="B538" i="10"/>
  <c r="B537" i="10"/>
  <c r="B536" i="10"/>
  <c r="B535" i="10"/>
  <c r="B534" i="10"/>
  <c r="B533" i="10"/>
  <c r="B532" i="10"/>
  <c r="B531" i="10"/>
  <c r="B530" i="10"/>
  <c r="B529" i="10"/>
  <c r="B528" i="10"/>
  <c r="B527" i="10"/>
  <c r="B526" i="10"/>
  <c r="B525" i="10"/>
  <c r="B524" i="10"/>
  <c r="B523" i="10"/>
  <c r="B522" i="10"/>
  <c r="B521" i="10"/>
  <c r="B520" i="10"/>
  <c r="B519" i="10"/>
  <c r="B518" i="10"/>
  <c r="B517" i="10"/>
  <c r="B516" i="10"/>
  <c r="B515" i="10"/>
  <c r="B514" i="10"/>
  <c r="B513" i="10"/>
  <c r="B512" i="10"/>
  <c r="B511" i="10"/>
  <c r="B510" i="10"/>
  <c r="B509" i="10"/>
  <c r="B508" i="10"/>
  <c r="B507" i="10"/>
  <c r="B506" i="10"/>
  <c r="B505" i="10"/>
  <c r="B504" i="10"/>
  <c r="B503" i="10"/>
  <c r="B502" i="10"/>
  <c r="B501" i="10"/>
  <c r="B500" i="10"/>
  <c r="B499" i="10"/>
  <c r="B498" i="10"/>
  <c r="B497" i="10"/>
  <c r="B496" i="10"/>
  <c r="B495" i="10"/>
  <c r="B494" i="10"/>
  <c r="B493" i="10"/>
  <c r="B492" i="10"/>
  <c r="B491" i="10"/>
  <c r="B490" i="10"/>
  <c r="B489" i="10"/>
  <c r="B488" i="10"/>
  <c r="B487" i="10"/>
  <c r="B486" i="10"/>
  <c r="B485" i="10"/>
  <c r="B484" i="10"/>
  <c r="B483" i="10"/>
  <c r="B482" i="10"/>
  <c r="B481" i="10"/>
  <c r="B480" i="10"/>
  <c r="B479" i="10"/>
  <c r="B478" i="10"/>
  <c r="B477" i="10"/>
  <c r="B476" i="10"/>
  <c r="B475" i="10"/>
  <c r="B474" i="10"/>
  <c r="B473" i="10"/>
  <c r="B472" i="10"/>
  <c r="B471" i="10"/>
  <c r="B470" i="10"/>
  <c r="B469" i="10"/>
  <c r="B468" i="10"/>
  <c r="B467" i="10"/>
  <c r="B466" i="10"/>
  <c r="B465" i="10"/>
  <c r="B464" i="10"/>
  <c r="B463" i="10"/>
  <c r="B462" i="10"/>
  <c r="B461" i="10"/>
  <c r="B460" i="10"/>
  <c r="B459" i="10"/>
  <c r="B458" i="10"/>
  <c r="B457" i="10"/>
  <c r="B456" i="10"/>
  <c r="B455" i="10"/>
  <c r="B454" i="10"/>
  <c r="B453" i="10"/>
  <c r="B452" i="10"/>
  <c r="B451" i="10"/>
  <c r="B450" i="10"/>
  <c r="B449" i="10"/>
  <c r="B448" i="10"/>
  <c r="B447" i="10"/>
  <c r="B446" i="10"/>
  <c r="B445" i="10"/>
  <c r="B444" i="10"/>
  <c r="B443" i="10"/>
  <c r="B442" i="10"/>
  <c r="B441" i="10"/>
  <c r="B440" i="10"/>
  <c r="B439" i="10"/>
  <c r="B438" i="10"/>
  <c r="B437" i="10"/>
  <c r="B436" i="10"/>
  <c r="B435" i="10"/>
  <c r="B434" i="10"/>
  <c r="B433" i="10"/>
  <c r="B432" i="10"/>
  <c r="B431" i="10"/>
  <c r="B430" i="10"/>
  <c r="B429" i="10"/>
  <c r="B428" i="10"/>
  <c r="B427" i="10"/>
  <c r="B426" i="10"/>
  <c r="B425" i="10"/>
  <c r="B424" i="10"/>
  <c r="B423" i="10"/>
  <c r="B422" i="10"/>
  <c r="B421" i="10"/>
  <c r="B420" i="10"/>
  <c r="B419" i="10"/>
  <c r="B418" i="10"/>
  <c r="B417" i="10"/>
  <c r="B416" i="10"/>
  <c r="B415" i="10"/>
  <c r="B414" i="10"/>
  <c r="B413" i="10"/>
  <c r="B412" i="10"/>
  <c r="B411" i="10"/>
  <c r="B410" i="10"/>
  <c r="B409" i="10"/>
  <c r="B408" i="10"/>
  <c r="B407" i="10"/>
  <c r="B406" i="10"/>
  <c r="B405" i="10"/>
  <c r="B404" i="10"/>
  <c r="B403" i="10"/>
  <c r="B402" i="10"/>
  <c r="B401" i="10"/>
  <c r="B400" i="10"/>
  <c r="B399" i="10"/>
  <c r="B398" i="10"/>
  <c r="B397" i="10"/>
  <c r="B396" i="10"/>
  <c r="B395" i="10"/>
  <c r="B394" i="10"/>
  <c r="B393" i="10"/>
  <c r="B392" i="10"/>
  <c r="B391" i="10"/>
  <c r="B390" i="10"/>
  <c r="B389" i="10"/>
  <c r="B388" i="10"/>
  <c r="B387" i="10"/>
  <c r="B386" i="10"/>
  <c r="B385" i="10"/>
  <c r="B384" i="10"/>
  <c r="B383" i="10"/>
  <c r="B382" i="10"/>
  <c r="B381" i="10"/>
  <c r="B380" i="10"/>
  <c r="B379" i="10"/>
  <c r="B378" i="10"/>
  <c r="B377" i="10"/>
  <c r="B376" i="10"/>
  <c r="B375" i="10"/>
  <c r="B374" i="10"/>
  <c r="B373" i="10"/>
  <c r="B372" i="10"/>
  <c r="B371" i="10"/>
  <c r="B370" i="10"/>
  <c r="B369" i="10"/>
  <c r="B368" i="10"/>
  <c r="B367" i="10"/>
  <c r="B366" i="10"/>
  <c r="B365" i="10"/>
  <c r="B364" i="10"/>
  <c r="B363" i="10"/>
  <c r="B362" i="10"/>
  <c r="B361" i="10"/>
  <c r="B360" i="10"/>
  <c r="B359" i="10"/>
  <c r="B358" i="10"/>
  <c r="B357" i="10"/>
  <c r="B356" i="10"/>
  <c r="B355" i="10"/>
  <c r="B354" i="10"/>
  <c r="B353" i="10"/>
  <c r="B352" i="10"/>
  <c r="B351" i="10"/>
  <c r="B350" i="10"/>
  <c r="B349" i="10"/>
  <c r="B348" i="10"/>
  <c r="B347" i="10"/>
  <c r="B346" i="10"/>
  <c r="B345" i="10"/>
  <c r="B344" i="10"/>
  <c r="B343" i="10"/>
  <c r="B342" i="10"/>
  <c r="B341" i="10"/>
  <c r="B340" i="10"/>
  <c r="B339" i="10"/>
  <c r="B338" i="10"/>
  <c r="B337" i="10"/>
  <c r="B336" i="10"/>
  <c r="B335" i="10"/>
  <c r="B334" i="10"/>
  <c r="B333" i="10"/>
  <c r="B332" i="10"/>
  <c r="B331" i="10"/>
  <c r="B330" i="10"/>
  <c r="B329" i="10"/>
  <c r="B328" i="10"/>
  <c r="B327" i="10"/>
  <c r="B326" i="10"/>
  <c r="B325" i="10"/>
  <c r="B324" i="10"/>
  <c r="B323" i="10"/>
  <c r="B322" i="10"/>
  <c r="B321" i="10"/>
  <c r="B320" i="10"/>
  <c r="B319" i="10"/>
  <c r="B318" i="10"/>
  <c r="B317" i="10"/>
  <c r="B316" i="10"/>
  <c r="B315" i="10"/>
  <c r="B314" i="10"/>
  <c r="B313" i="10"/>
  <c r="B312" i="10"/>
  <c r="B311" i="10"/>
  <c r="B310" i="10"/>
  <c r="B309" i="10"/>
  <c r="B308" i="10"/>
  <c r="B307" i="10"/>
  <c r="B306" i="10"/>
  <c r="B305" i="10"/>
  <c r="B304" i="10"/>
  <c r="B303" i="10"/>
  <c r="B302" i="10"/>
  <c r="B301" i="10"/>
  <c r="B300" i="10"/>
  <c r="B299" i="10"/>
  <c r="B298" i="10"/>
  <c r="B297" i="10"/>
  <c r="B296" i="10"/>
  <c r="B295" i="10"/>
  <c r="B294" i="10"/>
  <c r="B293" i="10"/>
  <c r="B292" i="10"/>
  <c r="B291" i="10"/>
  <c r="B290" i="10"/>
  <c r="B289" i="10"/>
  <c r="B288" i="10"/>
  <c r="B287" i="10"/>
  <c r="B286" i="10"/>
  <c r="B285" i="10"/>
  <c r="B284" i="10"/>
  <c r="B283" i="10"/>
  <c r="B282" i="10"/>
  <c r="B281" i="10"/>
  <c r="B280" i="10"/>
  <c r="B279" i="10"/>
  <c r="B278" i="10"/>
  <c r="B277" i="10"/>
  <c r="B276" i="10"/>
  <c r="B275" i="10"/>
  <c r="B274" i="10"/>
  <c r="B273" i="10"/>
  <c r="B272" i="10"/>
  <c r="B271" i="10"/>
  <c r="B270" i="10"/>
  <c r="B269" i="10"/>
  <c r="B268" i="10"/>
  <c r="B267" i="10"/>
  <c r="B266" i="10"/>
  <c r="B265" i="10"/>
  <c r="B264" i="10"/>
  <c r="B263" i="10"/>
  <c r="B262" i="10"/>
  <c r="B261" i="10"/>
  <c r="B260" i="10"/>
  <c r="B259" i="10"/>
  <c r="B258" i="10"/>
  <c r="B257" i="10"/>
  <c r="B256" i="10"/>
  <c r="B255" i="10"/>
  <c r="B254" i="10"/>
  <c r="B253" i="10"/>
  <c r="B252" i="10"/>
  <c r="B251" i="10"/>
  <c r="B250" i="10"/>
  <c r="B249" i="10"/>
  <c r="B248" i="10"/>
  <c r="B247" i="10"/>
  <c r="B246" i="10"/>
  <c r="B245" i="10"/>
  <c r="B244" i="10"/>
  <c r="B243" i="10"/>
  <c r="B242" i="10"/>
  <c r="B241" i="10"/>
  <c r="B240" i="10"/>
  <c r="B239" i="10"/>
  <c r="B238" i="10"/>
  <c r="B237" i="10"/>
  <c r="B236" i="10"/>
  <c r="B235" i="10"/>
  <c r="B234" i="10"/>
  <c r="B233" i="10"/>
  <c r="B232" i="10"/>
  <c r="B231" i="10"/>
  <c r="B230" i="10"/>
  <c r="B229" i="10"/>
  <c r="B228" i="10"/>
  <c r="B227" i="10"/>
  <c r="B226" i="10"/>
  <c r="B225" i="10"/>
  <c r="B224" i="10"/>
  <c r="B223" i="10"/>
  <c r="B222" i="10"/>
  <c r="B221" i="10"/>
  <c r="B220" i="10"/>
  <c r="B219" i="10"/>
  <c r="B218" i="10"/>
  <c r="B217" i="10"/>
  <c r="B216" i="10"/>
  <c r="B215" i="10"/>
  <c r="B214" i="10"/>
  <c r="B213" i="10"/>
  <c r="B212" i="10"/>
  <c r="B211" i="10"/>
  <c r="B210" i="10"/>
  <c r="B209" i="10"/>
  <c r="B208" i="10"/>
  <c r="B207" i="10"/>
  <c r="B206" i="10"/>
  <c r="B205" i="10"/>
  <c r="B204" i="10"/>
  <c r="B203" i="10"/>
  <c r="B202" i="10"/>
  <c r="B201" i="10"/>
  <c r="B200" i="10"/>
  <c r="B199" i="10"/>
  <c r="B198" i="10"/>
  <c r="B197" i="10"/>
  <c r="B196" i="10"/>
  <c r="B195" i="10"/>
  <c r="B194" i="10"/>
  <c r="B193" i="10"/>
  <c r="B192" i="10"/>
  <c r="B191" i="10"/>
  <c r="B190" i="10"/>
  <c r="B189" i="10"/>
  <c r="B188" i="10"/>
  <c r="B187" i="10"/>
  <c r="B186" i="10"/>
  <c r="B185" i="10"/>
  <c r="B184" i="10"/>
  <c r="B183" i="10"/>
  <c r="B182" i="10"/>
  <c r="B181" i="10"/>
  <c r="B180" i="10"/>
  <c r="B179" i="10"/>
  <c r="B178" i="10"/>
  <c r="B177" i="10"/>
  <c r="B176" i="10"/>
  <c r="B175" i="10"/>
  <c r="B174" i="10"/>
  <c r="B173" i="10"/>
  <c r="B172" i="10"/>
  <c r="B171" i="10"/>
  <c r="B170" i="10"/>
  <c r="B169" i="10"/>
  <c r="B168" i="10"/>
  <c r="B167" i="10"/>
  <c r="B166" i="10"/>
  <c r="B165" i="10"/>
  <c r="B164" i="10"/>
  <c r="B163" i="10"/>
  <c r="B162" i="10"/>
  <c r="B161" i="10"/>
  <c r="B160" i="10"/>
  <c r="B159" i="10"/>
  <c r="B158" i="10"/>
  <c r="B157" i="10"/>
  <c r="B156" i="10"/>
  <c r="B155" i="10"/>
  <c r="B154" i="10"/>
  <c r="B153" i="10"/>
  <c r="B152" i="10"/>
  <c r="B151" i="10"/>
  <c r="B150" i="10"/>
  <c r="B149" i="10"/>
  <c r="B148" i="10"/>
  <c r="B147" i="10"/>
  <c r="B146" i="10"/>
  <c r="B145" i="10"/>
  <c r="B144" i="10"/>
  <c r="B143" i="10"/>
  <c r="B142" i="10"/>
  <c r="B141" i="10"/>
  <c r="B140" i="10"/>
  <c r="B139" i="10"/>
  <c r="B138" i="10"/>
  <c r="B137" i="10"/>
  <c r="B136" i="10"/>
  <c r="B135" i="10"/>
  <c r="B134" i="10"/>
  <c r="B133" i="10"/>
  <c r="B132" i="10"/>
  <c r="B131" i="10"/>
  <c r="B130" i="10"/>
  <c r="B129" i="10"/>
  <c r="B128" i="10"/>
  <c r="B127" i="10"/>
  <c r="B126" i="10"/>
  <c r="B125" i="10"/>
  <c r="B124" i="10"/>
  <c r="B123" i="10"/>
  <c r="B122" i="10"/>
  <c r="B121" i="10"/>
  <c r="B120" i="10"/>
  <c r="B119" i="10"/>
  <c r="B118" i="10"/>
  <c r="B117" i="10"/>
  <c r="B116" i="10"/>
  <c r="B115" i="10"/>
  <c r="B114" i="10"/>
  <c r="B113" i="10"/>
  <c r="B112" i="10"/>
  <c r="B111" i="10"/>
  <c r="B110" i="10"/>
  <c r="B109" i="10"/>
  <c r="B108" i="10"/>
  <c r="B107" i="10"/>
  <c r="B106" i="10"/>
  <c r="B105" i="10"/>
  <c r="B104" i="10"/>
  <c r="B103" i="10"/>
  <c r="B102" i="10"/>
  <c r="B101" i="10"/>
  <c r="B100" i="10"/>
  <c r="B99" i="10"/>
  <c r="B98" i="10"/>
  <c r="B97" i="10"/>
  <c r="B96" i="10"/>
  <c r="B95" i="10"/>
  <c r="B94" i="10"/>
  <c r="B93" i="10"/>
  <c r="B92" i="10"/>
  <c r="B91" i="10"/>
  <c r="B90" i="10"/>
  <c r="B89" i="10"/>
  <c r="B88" i="10"/>
  <c r="B87" i="10"/>
  <c r="B86" i="10"/>
  <c r="B85" i="10"/>
  <c r="B84" i="10"/>
  <c r="B83" i="10"/>
  <c r="B82" i="10"/>
  <c r="B81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4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G671" i="4"/>
  <c r="F671" i="4"/>
  <c r="H58" i="2" l="1"/>
  <c r="K58" i="2" s="1"/>
  <c r="AP58" i="2" s="1"/>
  <c r="J184" i="6"/>
  <c r="J185" i="6"/>
  <c r="J180" i="6"/>
  <c r="J181" i="6"/>
  <c r="J182" i="6"/>
  <c r="J183" i="6"/>
  <c r="F340" i="5"/>
  <c r="N341" i="5"/>
  <c r="O341" i="5" s="1"/>
  <c r="F339" i="5"/>
  <c r="D339" i="5"/>
  <c r="D340" i="5"/>
  <c r="D341" i="5"/>
  <c r="F341" i="5"/>
  <c r="N339" i="5"/>
  <c r="O339" i="5" s="1"/>
  <c r="N340" i="5"/>
  <c r="O340" i="5" s="1"/>
  <c r="N338" i="5"/>
  <c r="O338" i="5" s="1"/>
  <c r="F338" i="5"/>
  <c r="D338" i="5"/>
  <c r="F179" i="6"/>
  <c r="I178" i="6"/>
  <c r="J178" i="6" s="1"/>
  <c r="I179" i="6"/>
  <c r="J179" i="6" s="1"/>
  <c r="D177" i="6"/>
  <c r="D178" i="6"/>
  <c r="F177" i="6"/>
  <c r="I177" i="6"/>
  <c r="J177" i="6" s="1"/>
  <c r="D179" i="6"/>
  <c r="F178" i="6"/>
  <c r="D176" i="6"/>
  <c r="F176" i="6"/>
  <c r="I176" i="6"/>
  <c r="J176" i="6" s="1"/>
  <c r="F319" i="5"/>
  <c r="N319" i="5"/>
  <c r="O319" i="5" s="1"/>
  <c r="D319" i="5"/>
  <c r="F318" i="5"/>
  <c r="D318" i="5"/>
  <c r="N318" i="5"/>
  <c r="O318" i="5" s="1"/>
  <c r="D315" i="5"/>
  <c r="N315" i="5"/>
  <c r="O315" i="5" s="1"/>
  <c r="F315" i="5"/>
  <c r="J175" i="6"/>
  <c r="J174" i="6"/>
  <c r="I173" i="6"/>
  <c r="J173" i="6" s="1"/>
  <c r="F173" i="6"/>
  <c r="D173" i="6"/>
  <c r="D172" i="6"/>
  <c r="I172" i="6"/>
  <c r="J172" i="6" s="1"/>
  <c r="F172" i="6"/>
  <c r="J162" i="6"/>
  <c r="J166" i="6"/>
  <c r="J168" i="6"/>
  <c r="J163" i="6"/>
  <c r="J169" i="6"/>
  <c r="J161" i="6"/>
  <c r="J165" i="6"/>
  <c r="J171" i="6"/>
  <c r="J160" i="6"/>
  <c r="J164" i="6"/>
  <c r="J167" i="6"/>
  <c r="J170" i="6"/>
  <c r="J159" i="6"/>
  <c r="D158" i="6"/>
  <c r="F158" i="6"/>
  <c r="I158" i="6"/>
  <c r="J158" i="6" s="1"/>
  <c r="D293" i="5"/>
  <c r="F293" i="5"/>
  <c r="N293" i="5"/>
  <c r="O293" i="5" s="1"/>
  <c r="N292" i="5"/>
  <c r="O292" i="5" s="1"/>
  <c r="F292" i="5"/>
  <c r="D292" i="5"/>
  <c r="I157" i="6"/>
  <c r="J157" i="6" s="1"/>
  <c r="D157" i="6"/>
  <c r="F157" i="6"/>
  <c r="D103" i="6"/>
  <c r="F156" i="6"/>
  <c r="D156" i="6"/>
  <c r="I156" i="6"/>
  <c r="J156" i="6" s="1"/>
  <c r="J155" i="6"/>
  <c r="J154" i="6"/>
  <c r="J153" i="6"/>
  <c r="J152" i="6"/>
  <c r="N268" i="5"/>
  <c r="O268" i="5" s="1"/>
  <c r="D268" i="5"/>
  <c r="N269" i="5"/>
  <c r="O269" i="5" s="1"/>
  <c r="D269" i="5"/>
  <c r="F268" i="5"/>
  <c r="F269" i="5"/>
  <c r="N267" i="5"/>
  <c r="O267" i="5" s="1"/>
  <c r="D267" i="5"/>
  <c r="F267" i="5"/>
  <c r="D151" i="6"/>
  <c r="I151" i="6"/>
  <c r="J151" i="6" s="1"/>
  <c r="F151" i="6"/>
  <c r="A6" i="3"/>
  <c r="A6" i="4"/>
  <c r="A6" i="9"/>
  <c r="A7" i="9" s="1"/>
  <c r="A6" i="10"/>
  <c r="N236" i="5"/>
  <c r="O236" i="5" s="1"/>
  <c r="N181" i="5"/>
  <c r="O181" i="5" s="1"/>
  <c r="N185" i="5"/>
  <c r="O185" i="5" s="1"/>
  <c r="N189" i="5"/>
  <c r="O189" i="5" s="1"/>
  <c r="N193" i="5"/>
  <c r="O193" i="5" s="1"/>
  <c r="N197" i="5"/>
  <c r="O197" i="5" s="1"/>
  <c r="N201" i="5"/>
  <c r="O201" i="5" s="1"/>
  <c r="N205" i="5"/>
  <c r="O205" i="5" s="1"/>
  <c r="N209" i="5"/>
  <c r="O209" i="5" s="1"/>
  <c r="N213" i="5"/>
  <c r="O213" i="5" s="1"/>
  <c r="N217" i="5"/>
  <c r="O217" i="5" s="1"/>
  <c r="N237" i="5"/>
  <c r="O237" i="5" s="1"/>
  <c r="N249" i="5"/>
  <c r="O249" i="5" s="1"/>
  <c r="N182" i="5"/>
  <c r="O182" i="5" s="1"/>
  <c r="N186" i="5"/>
  <c r="O186" i="5" s="1"/>
  <c r="N190" i="5"/>
  <c r="O190" i="5" s="1"/>
  <c r="N194" i="5"/>
  <c r="O194" i="5" s="1"/>
  <c r="N198" i="5"/>
  <c r="O198" i="5" s="1"/>
  <c r="N202" i="5"/>
  <c r="O202" i="5" s="1"/>
  <c r="N206" i="5"/>
  <c r="O206" i="5" s="1"/>
  <c r="N210" i="5"/>
  <c r="O210" i="5" s="1"/>
  <c r="N214" i="5"/>
  <c r="O214" i="5" s="1"/>
  <c r="N218" i="5"/>
  <c r="O218" i="5" s="1"/>
  <c r="N238" i="5"/>
  <c r="O238" i="5" s="1"/>
  <c r="N262" i="5"/>
  <c r="O262" i="5" s="1"/>
  <c r="N183" i="5"/>
  <c r="O183" i="5" s="1"/>
  <c r="N187" i="5"/>
  <c r="O187" i="5" s="1"/>
  <c r="N191" i="5"/>
  <c r="O191" i="5" s="1"/>
  <c r="N195" i="5"/>
  <c r="O195" i="5" s="1"/>
  <c r="N199" i="5"/>
  <c r="O199" i="5" s="1"/>
  <c r="N203" i="5"/>
  <c r="O203" i="5" s="1"/>
  <c r="N207" i="5"/>
  <c r="O207" i="5" s="1"/>
  <c r="N211" i="5"/>
  <c r="O211" i="5" s="1"/>
  <c r="N215" i="5"/>
  <c r="O215" i="5" s="1"/>
  <c r="N219" i="5"/>
  <c r="O219" i="5" s="1"/>
  <c r="N235" i="5"/>
  <c r="O235" i="5" s="1"/>
  <c r="N180" i="5"/>
  <c r="O180" i="5" s="1"/>
  <c r="N184" i="5"/>
  <c r="O184" i="5" s="1"/>
  <c r="N188" i="5"/>
  <c r="O188" i="5" s="1"/>
  <c r="N192" i="5"/>
  <c r="O192" i="5" s="1"/>
  <c r="N196" i="5"/>
  <c r="O196" i="5" s="1"/>
  <c r="N200" i="5"/>
  <c r="O200" i="5" s="1"/>
  <c r="N204" i="5"/>
  <c r="O204" i="5" s="1"/>
  <c r="N208" i="5"/>
  <c r="O208" i="5" s="1"/>
  <c r="N212" i="5"/>
  <c r="O212" i="5" s="1"/>
  <c r="N216" i="5"/>
  <c r="O216" i="5" s="1"/>
  <c r="F235" i="5"/>
  <c r="F181" i="5"/>
  <c r="F185" i="5"/>
  <c r="F189" i="5"/>
  <c r="F193" i="5"/>
  <c r="F197" i="5"/>
  <c r="F201" i="5"/>
  <c r="F205" i="5"/>
  <c r="F209" i="5"/>
  <c r="F213" i="5"/>
  <c r="F217" i="5"/>
  <c r="F237" i="5"/>
  <c r="F249" i="5"/>
  <c r="F182" i="5"/>
  <c r="F186" i="5"/>
  <c r="F190" i="5"/>
  <c r="F194" i="5"/>
  <c r="F198" i="5"/>
  <c r="F202" i="5"/>
  <c r="F206" i="5"/>
  <c r="F210" i="5"/>
  <c r="F214" i="5"/>
  <c r="F218" i="5"/>
  <c r="F238" i="5"/>
  <c r="F262" i="5"/>
  <c r="F183" i="5"/>
  <c r="F187" i="5"/>
  <c r="F191" i="5"/>
  <c r="F195" i="5"/>
  <c r="F199" i="5"/>
  <c r="F203" i="5"/>
  <c r="F207" i="5"/>
  <c r="F211" i="5"/>
  <c r="F215" i="5"/>
  <c r="F219" i="5"/>
  <c r="D236" i="5"/>
  <c r="F180" i="5"/>
  <c r="F184" i="5"/>
  <c r="F188" i="5"/>
  <c r="F192" i="5"/>
  <c r="F196" i="5"/>
  <c r="F200" i="5"/>
  <c r="F204" i="5"/>
  <c r="F208" i="5"/>
  <c r="F212" i="5"/>
  <c r="F216" i="5"/>
  <c r="F236" i="5"/>
  <c r="D181" i="5"/>
  <c r="D185" i="5"/>
  <c r="D189" i="5"/>
  <c r="D193" i="5"/>
  <c r="D197" i="5"/>
  <c r="D201" i="5"/>
  <c r="D205" i="5"/>
  <c r="D209" i="5"/>
  <c r="D213" i="5"/>
  <c r="D217" i="5"/>
  <c r="D237" i="5"/>
  <c r="D249" i="5"/>
  <c r="D182" i="5"/>
  <c r="D186" i="5"/>
  <c r="D190" i="5"/>
  <c r="D194" i="5"/>
  <c r="D198" i="5"/>
  <c r="D202" i="5"/>
  <c r="D206" i="5"/>
  <c r="D210" i="5"/>
  <c r="D214" i="5"/>
  <c r="D218" i="5"/>
  <c r="D238" i="5"/>
  <c r="D262" i="5"/>
  <c r="D183" i="5"/>
  <c r="D187" i="5"/>
  <c r="D191" i="5"/>
  <c r="D195" i="5"/>
  <c r="D199" i="5"/>
  <c r="D203" i="5"/>
  <c r="D207" i="5"/>
  <c r="D211" i="5"/>
  <c r="D215" i="5"/>
  <c r="D219" i="5"/>
  <c r="D235" i="5"/>
  <c r="D180" i="5"/>
  <c r="D184" i="5"/>
  <c r="D188" i="5"/>
  <c r="D192" i="5"/>
  <c r="D196" i="5"/>
  <c r="D200" i="5"/>
  <c r="D204" i="5"/>
  <c r="D208" i="5"/>
  <c r="D212" i="5"/>
  <c r="D216" i="5"/>
  <c r="A5" i="5"/>
  <c r="A6" i="6"/>
  <c r="H671" i="4"/>
  <c r="J37" i="2"/>
  <c r="I37" i="2"/>
  <c r="H37" i="2"/>
  <c r="A8" i="9" l="1"/>
  <c r="E59" i="2"/>
  <c r="J59" i="2"/>
  <c r="K59" i="2" s="1"/>
  <c r="A7" i="10"/>
  <c r="A8" i="10" s="1"/>
  <c r="A9" i="10" s="1"/>
  <c r="A10" i="10" s="1"/>
  <c r="A7" i="6"/>
  <c r="A8" i="6" s="1"/>
  <c r="A7" i="3"/>
  <c r="A7" i="4"/>
  <c r="A8" i="4" s="1"/>
  <c r="J671" i="4"/>
  <c r="H251" i="5"/>
  <c r="A6" i="5"/>
  <c r="F38" i="10"/>
  <c r="F59" i="2" l="1"/>
  <c r="AP59" i="2" s="1"/>
  <c r="A9" i="6"/>
  <c r="A8" i="3"/>
  <c r="A9" i="4"/>
  <c r="A11" i="10"/>
  <c r="A7" i="5"/>
  <c r="F5" i="10"/>
  <c r="G5" i="10"/>
  <c r="F6" i="10"/>
  <c r="G6" i="10"/>
  <c r="F7" i="10"/>
  <c r="G7" i="10"/>
  <c r="F8" i="10"/>
  <c r="G8" i="10"/>
  <c r="F9" i="10"/>
  <c r="G9" i="10"/>
  <c r="A8" i="5" l="1"/>
  <c r="A10" i="6"/>
  <c r="A9" i="3"/>
  <c r="A10" i="4"/>
  <c r="A12" i="10"/>
  <c r="E37" i="2"/>
  <c r="D37" i="2"/>
  <c r="B37" i="2"/>
  <c r="A9" i="5" l="1"/>
  <c r="A11" i="6"/>
  <c r="A12" i="6" s="1"/>
  <c r="A10" i="3"/>
  <c r="A11" i="4"/>
  <c r="A12" i="4" s="1"/>
  <c r="A13" i="10"/>
  <c r="A10" i="5" l="1"/>
  <c r="A11" i="5" s="1"/>
  <c r="A13" i="6"/>
  <c r="A11" i="3"/>
  <c r="A13" i="4"/>
  <c r="A14" i="4" s="1"/>
  <c r="A14" i="10"/>
  <c r="B57" i="2"/>
  <c r="C57" i="2"/>
  <c r="D57" i="2"/>
  <c r="E57" i="2"/>
  <c r="G57" i="2"/>
  <c r="H57" i="2"/>
  <c r="I57" i="2"/>
  <c r="J57" i="2"/>
  <c r="L57" i="2"/>
  <c r="M57" i="2"/>
  <c r="N57" i="2"/>
  <c r="O57" i="2"/>
  <c r="Q57" i="2"/>
  <c r="R57" i="2"/>
  <c r="S57" i="2"/>
  <c r="T57" i="2"/>
  <c r="V57" i="2"/>
  <c r="W57" i="2"/>
  <c r="X57" i="2"/>
  <c r="Y57" i="2"/>
  <c r="AA57" i="2"/>
  <c r="AB57" i="2"/>
  <c r="AC57" i="2"/>
  <c r="AD57" i="2"/>
  <c r="AF57" i="2"/>
  <c r="AG57" i="2"/>
  <c r="AH57" i="2"/>
  <c r="AI57" i="2"/>
  <c r="AK57" i="2"/>
  <c r="AL57" i="2"/>
  <c r="AM57" i="2"/>
  <c r="AN57" i="2"/>
  <c r="AN28" i="2"/>
  <c r="AM28" i="2"/>
  <c r="AL28" i="2"/>
  <c r="AK28" i="2"/>
  <c r="AI28" i="2"/>
  <c r="AH28" i="2"/>
  <c r="AG28" i="2"/>
  <c r="AF28" i="2"/>
  <c r="AD28" i="2"/>
  <c r="AC28" i="2"/>
  <c r="AB28" i="2"/>
  <c r="AA28" i="2"/>
  <c r="Y28" i="2"/>
  <c r="X28" i="2"/>
  <c r="W28" i="2"/>
  <c r="V28" i="2"/>
  <c r="T28" i="2"/>
  <c r="S28" i="2"/>
  <c r="R28" i="2"/>
  <c r="Q28" i="2"/>
  <c r="O28" i="2"/>
  <c r="N28" i="2"/>
  <c r="M28" i="2"/>
  <c r="L28" i="2"/>
  <c r="J28" i="2"/>
  <c r="I28" i="2"/>
  <c r="H28" i="2"/>
  <c r="G28" i="2"/>
  <c r="E28" i="2"/>
  <c r="D28" i="2"/>
  <c r="A14" i="6" l="1"/>
  <c r="A15" i="6" s="1"/>
  <c r="A16" i="6" s="1"/>
  <c r="A12" i="5"/>
  <c r="A13" i="5" s="1"/>
  <c r="A14" i="5" s="1"/>
  <c r="A12" i="3"/>
  <c r="A15" i="4"/>
  <c r="A16" i="4" s="1"/>
  <c r="A15" i="10"/>
  <c r="A16" i="10" s="1"/>
  <c r="A17" i="10" s="1"/>
  <c r="A18" i="10" s="1"/>
  <c r="F57" i="2"/>
  <c r="K57" i="2"/>
  <c r="P57" i="2"/>
  <c r="U57" i="2"/>
  <c r="Z57" i="2"/>
  <c r="AE57" i="2"/>
  <c r="AJ57" i="2"/>
  <c r="AO28" i="2"/>
  <c r="AJ28" i="2"/>
  <c r="AE28" i="2"/>
  <c r="Z28" i="2"/>
  <c r="U28" i="2"/>
  <c r="P28" i="2"/>
  <c r="K28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2" i="2"/>
  <c r="E23" i="2"/>
  <c r="E25" i="2"/>
  <c r="E26" i="2"/>
  <c r="E27" i="2"/>
  <c r="E29" i="2"/>
  <c r="E30" i="2"/>
  <c r="E31" i="2"/>
  <c r="E32" i="2"/>
  <c r="E33" i="2"/>
  <c r="E34" i="2"/>
  <c r="E38" i="2"/>
  <c r="E41" i="2"/>
  <c r="E42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6" i="2"/>
  <c r="D27" i="2"/>
  <c r="D29" i="2"/>
  <c r="D30" i="2"/>
  <c r="D31" i="2"/>
  <c r="D32" i="2"/>
  <c r="D33" i="2"/>
  <c r="D34" i="2"/>
  <c r="D35" i="2"/>
  <c r="D36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C16" i="2"/>
  <c r="C18" i="2"/>
  <c r="C35" i="2"/>
  <c r="C38" i="2"/>
  <c r="C39" i="2"/>
  <c r="C44" i="2"/>
  <c r="C45" i="2"/>
  <c r="C46" i="2"/>
  <c r="C47" i="2"/>
  <c r="C48" i="2"/>
  <c r="C49" i="2"/>
  <c r="C50" i="2"/>
  <c r="C51" i="2"/>
  <c r="C52" i="2"/>
  <c r="C53" i="2"/>
  <c r="C55" i="2"/>
  <c r="C56" i="2"/>
  <c r="B9" i="2"/>
  <c r="B22" i="2"/>
  <c r="B27" i="2"/>
  <c r="B29" i="2"/>
  <c r="B35" i="2"/>
  <c r="B39" i="2"/>
  <c r="B43" i="2"/>
  <c r="B46" i="2"/>
  <c r="B51" i="2"/>
  <c r="B52" i="2"/>
  <c r="B53" i="2"/>
  <c r="B55" i="2"/>
  <c r="B56" i="2"/>
  <c r="E6" i="2"/>
  <c r="D6" i="2"/>
  <c r="A15" i="5" l="1"/>
  <c r="A13" i="3"/>
  <c r="A17" i="4"/>
  <c r="A18" i="4" s="1"/>
  <c r="A19" i="10"/>
  <c r="A20" i="10" s="1"/>
  <c r="A21" i="10" s="1"/>
  <c r="A22" i="10" s="1"/>
  <c r="A16" i="5"/>
  <c r="A17" i="6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F53" i="2"/>
  <c r="F46" i="2"/>
  <c r="F55" i="2"/>
  <c r="F51" i="2"/>
  <c r="F56" i="2"/>
  <c r="F52" i="2"/>
  <c r="K21" i="1"/>
  <c r="J21" i="1"/>
  <c r="I21" i="1"/>
  <c r="H21" i="1"/>
  <c r="K20" i="1"/>
  <c r="J20" i="1"/>
  <c r="I20" i="1"/>
  <c r="H20" i="1"/>
  <c r="K19" i="1"/>
  <c r="J19" i="1"/>
  <c r="I19" i="1"/>
  <c r="H19" i="1"/>
  <c r="K18" i="1"/>
  <c r="J18" i="1"/>
  <c r="I18" i="1"/>
  <c r="H18" i="1"/>
  <c r="K17" i="1"/>
  <c r="J17" i="1"/>
  <c r="I17" i="1"/>
  <c r="H17" i="1"/>
  <c r="K16" i="1"/>
  <c r="J16" i="1"/>
  <c r="I16" i="1"/>
  <c r="H16" i="1"/>
  <c r="J15" i="1"/>
  <c r="F21" i="1"/>
  <c r="E21" i="1"/>
  <c r="D21" i="1"/>
  <c r="C21" i="1"/>
  <c r="F20" i="1"/>
  <c r="E20" i="1"/>
  <c r="D20" i="1"/>
  <c r="C20" i="1"/>
  <c r="F19" i="1"/>
  <c r="E19" i="1"/>
  <c r="D19" i="1"/>
  <c r="C19" i="1"/>
  <c r="F18" i="1"/>
  <c r="E18" i="1"/>
  <c r="D18" i="1"/>
  <c r="C18" i="1"/>
  <c r="F17" i="1"/>
  <c r="E17" i="1"/>
  <c r="D17" i="1"/>
  <c r="C17" i="1"/>
  <c r="F16" i="1"/>
  <c r="E16" i="1"/>
  <c r="D16" i="1"/>
  <c r="C16" i="1"/>
  <c r="E15" i="1"/>
  <c r="C15" i="1"/>
  <c r="A14" i="3" l="1"/>
  <c r="A19" i="4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23" i="10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17" i="5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L21" i="1"/>
  <c r="L20" i="1"/>
  <c r="L19" i="1"/>
  <c r="L16" i="1"/>
  <c r="L17" i="1"/>
  <c r="L18" i="1"/>
  <c r="G16" i="1"/>
  <c r="G17" i="1"/>
  <c r="G18" i="1"/>
  <c r="G19" i="1"/>
  <c r="G20" i="1"/>
  <c r="G21" i="1"/>
  <c r="N4" i="5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1" i="2"/>
  <c r="J22" i="2"/>
  <c r="J23" i="2"/>
  <c r="J24" i="2"/>
  <c r="J26" i="2"/>
  <c r="J27" i="2"/>
  <c r="J29" i="2"/>
  <c r="J30" i="2"/>
  <c r="J31" i="2"/>
  <c r="J32" i="2"/>
  <c r="J33" i="2"/>
  <c r="J34" i="2"/>
  <c r="J35" i="2"/>
  <c r="J36" i="2"/>
  <c r="J38" i="2"/>
  <c r="J39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9" i="2"/>
  <c r="O30" i="2"/>
  <c r="O31" i="2"/>
  <c r="O32" i="2"/>
  <c r="O33" i="2"/>
  <c r="O34" i="2"/>
  <c r="O35" i="2"/>
  <c r="O36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9" i="2"/>
  <c r="T30" i="2"/>
  <c r="T31" i="2"/>
  <c r="T32" i="2"/>
  <c r="T33" i="2"/>
  <c r="T34" i="2"/>
  <c r="T35" i="2"/>
  <c r="T36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9" i="2"/>
  <c r="Y30" i="2"/>
  <c r="Y31" i="2"/>
  <c r="Y32" i="2"/>
  <c r="Y33" i="2"/>
  <c r="Y34" i="2"/>
  <c r="Y35" i="2"/>
  <c r="Y36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9" i="2"/>
  <c r="AD30" i="2"/>
  <c r="AD31" i="2"/>
  <c r="AD32" i="2"/>
  <c r="AD33" i="2"/>
  <c r="AD34" i="2"/>
  <c r="AD35" i="2"/>
  <c r="AD36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9" i="2"/>
  <c r="AI30" i="2"/>
  <c r="AI31" i="2"/>
  <c r="AI32" i="2"/>
  <c r="AI33" i="2"/>
  <c r="AI34" i="2"/>
  <c r="AI35" i="2"/>
  <c r="AI36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9" i="2"/>
  <c r="AN30" i="2"/>
  <c r="AN31" i="2"/>
  <c r="AN32" i="2"/>
  <c r="AN33" i="2"/>
  <c r="AN34" i="2"/>
  <c r="AN35" i="2"/>
  <c r="AN36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6" i="2"/>
  <c r="AI6" i="2"/>
  <c r="AD6" i="2"/>
  <c r="Y6" i="2"/>
  <c r="T6" i="2"/>
  <c r="O6" i="2"/>
  <c r="J6" i="2"/>
  <c r="A58" i="10" l="1"/>
  <c r="A59" i="10" s="1"/>
  <c r="A60" i="10" s="1"/>
  <c r="A61" i="10" s="1"/>
  <c r="AN60" i="2"/>
  <c r="AI60" i="2"/>
  <c r="AD60" i="2"/>
  <c r="Y60" i="2"/>
  <c r="T60" i="2"/>
  <c r="O60" i="2"/>
  <c r="A691" i="4"/>
  <c r="A692" i="4" s="1"/>
  <c r="A693" i="4" s="1"/>
  <c r="A694" i="4" s="1"/>
  <c r="A695" i="4" s="1"/>
  <c r="A696" i="4" s="1"/>
  <c r="A15" i="3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D4" i="5"/>
  <c r="F4" i="5"/>
  <c r="H104" i="10"/>
  <c r="J104" i="10" s="1"/>
  <c r="H105" i="10"/>
  <c r="J105" i="10" s="1"/>
  <c r="H106" i="10"/>
  <c r="J106" i="10" s="1"/>
  <c r="H107" i="10"/>
  <c r="J107" i="10" s="1"/>
  <c r="H108" i="10"/>
  <c r="J108" i="10" s="1"/>
  <c r="H109" i="10"/>
  <c r="J109" i="10" s="1"/>
  <c r="H110" i="10"/>
  <c r="J110" i="10" s="1"/>
  <c r="H111" i="10"/>
  <c r="J111" i="10" s="1"/>
  <c r="H112" i="10"/>
  <c r="J112" i="10" s="1"/>
  <c r="H113" i="10"/>
  <c r="J113" i="10" s="1"/>
  <c r="H114" i="10"/>
  <c r="J114" i="10" s="1"/>
  <c r="H115" i="10"/>
  <c r="J115" i="10" s="1"/>
  <c r="H116" i="10"/>
  <c r="J116" i="10" s="1"/>
  <c r="H117" i="10"/>
  <c r="J117" i="10" s="1"/>
  <c r="H118" i="10"/>
  <c r="J118" i="10" s="1"/>
  <c r="H119" i="10"/>
  <c r="J119" i="10" s="1"/>
  <c r="H120" i="10"/>
  <c r="J120" i="10" s="1"/>
  <c r="H121" i="10"/>
  <c r="J121" i="10" s="1"/>
  <c r="H122" i="10"/>
  <c r="J122" i="10" s="1"/>
  <c r="H123" i="10"/>
  <c r="J123" i="10" s="1"/>
  <c r="H124" i="10"/>
  <c r="J124" i="10" s="1"/>
  <c r="H125" i="10"/>
  <c r="J125" i="10" s="1"/>
  <c r="H126" i="10"/>
  <c r="J126" i="10" s="1"/>
  <c r="H127" i="10"/>
  <c r="J127" i="10" s="1"/>
  <c r="H128" i="10"/>
  <c r="J128" i="10" s="1"/>
  <c r="H129" i="10"/>
  <c r="J129" i="10" s="1"/>
  <c r="H130" i="10"/>
  <c r="J130" i="10" s="1"/>
  <c r="H131" i="10"/>
  <c r="J131" i="10" s="1"/>
  <c r="H132" i="10"/>
  <c r="J132" i="10" s="1"/>
  <c r="H133" i="10"/>
  <c r="J133" i="10" s="1"/>
  <c r="H134" i="10"/>
  <c r="J134" i="10" s="1"/>
  <c r="H135" i="10"/>
  <c r="J135" i="10" s="1"/>
  <c r="H136" i="10"/>
  <c r="J136" i="10" s="1"/>
  <c r="H137" i="10"/>
  <c r="J137" i="10" s="1"/>
  <c r="H138" i="10"/>
  <c r="J138" i="10" s="1"/>
  <c r="H139" i="10"/>
  <c r="J139" i="10" s="1"/>
  <c r="H140" i="10"/>
  <c r="J140" i="10" s="1"/>
  <c r="H141" i="10"/>
  <c r="J141" i="10" s="1"/>
  <c r="H142" i="10"/>
  <c r="J142" i="10" s="1"/>
  <c r="H143" i="10"/>
  <c r="J143" i="10" s="1"/>
  <c r="H144" i="10"/>
  <c r="J144" i="10" s="1"/>
  <c r="H145" i="10"/>
  <c r="J145" i="10" s="1"/>
  <c r="H146" i="10"/>
  <c r="J146" i="10" s="1"/>
  <c r="H147" i="10"/>
  <c r="J147" i="10" s="1"/>
  <c r="H148" i="10"/>
  <c r="J148" i="10" s="1"/>
  <c r="H149" i="10"/>
  <c r="J149" i="10" s="1"/>
  <c r="H150" i="10"/>
  <c r="J150" i="10" s="1"/>
  <c r="H151" i="10"/>
  <c r="J151" i="10" s="1"/>
  <c r="H152" i="10"/>
  <c r="J152" i="10" s="1"/>
  <c r="H153" i="10"/>
  <c r="J153" i="10" s="1"/>
  <c r="H154" i="10"/>
  <c r="J154" i="10" s="1"/>
  <c r="H155" i="10"/>
  <c r="J155" i="10" s="1"/>
  <c r="H156" i="10"/>
  <c r="J156" i="10" s="1"/>
  <c r="H157" i="10"/>
  <c r="J157" i="10" s="1"/>
  <c r="H158" i="10"/>
  <c r="J158" i="10" s="1"/>
  <c r="H159" i="10"/>
  <c r="J159" i="10" s="1"/>
  <c r="H160" i="10"/>
  <c r="J160" i="10" s="1"/>
  <c r="H161" i="10"/>
  <c r="J161" i="10" s="1"/>
  <c r="H162" i="10"/>
  <c r="J162" i="10" s="1"/>
  <c r="H163" i="10"/>
  <c r="J163" i="10" s="1"/>
  <c r="H164" i="10"/>
  <c r="J164" i="10" s="1"/>
  <c r="H165" i="10"/>
  <c r="J165" i="10" s="1"/>
  <c r="H166" i="10"/>
  <c r="J166" i="10" s="1"/>
  <c r="H167" i="10"/>
  <c r="J167" i="10" s="1"/>
  <c r="H168" i="10"/>
  <c r="J168" i="10" s="1"/>
  <c r="H169" i="10"/>
  <c r="J169" i="10" s="1"/>
  <c r="H170" i="10"/>
  <c r="J170" i="10" s="1"/>
  <c r="H171" i="10"/>
  <c r="J171" i="10" s="1"/>
  <c r="H172" i="10"/>
  <c r="J172" i="10" s="1"/>
  <c r="H173" i="10"/>
  <c r="J173" i="10" s="1"/>
  <c r="H174" i="10"/>
  <c r="J174" i="10" s="1"/>
  <c r="H175" i="10"/>
  <c r="J175" i="10" s="1"/>
  <c r="H176" i="10"/>
  <c r="J176" i="10" s="1"/>
  <c r="H177" i="10"/>
  <c r="J177" i="10" s="1"/>
  <c r="H178" i="10"/>
  <c r="J178" i="10" s="1"/>
  <c r="H179" i="10"/>
  <c r="J179" i="10" s="1"/>
  <c r="H180" i="10"/>
  <c r="J180" i="10" s="1"/>
  <c r="H181" i="10"/>
  <c r="J181" i="10" s="1"/>
  <c r="H182" i="10"/>
  <c r="J182" i="10" s="1"/>
  <c r="H183" i="10"/>
  <c r="J183" i="10" s="1"/>
  <c r="H184" i="10"/>
  <c r="J184" i="10" s="1"/>
  <c r="H185" i="10"/>
  <c r="J185" i="10" s="1"/>
  <c r="H186" i="10"/>
  <c r="J186" i="10" s="1"/>
  <c r="H187" i="10"/>
  <c r="J187" i="10" s="1"/>
  <c r="H188" i="10"/>
  <c r="J188" i="10" s="1"/>
  <c r="H189" i="10"/>
  <c r="J189" i="10" s="1"/>
  <c r="H190" i="10"/>
  <c r="J190" i="10" s="1"/>
  <c r="H191" i="10"/>
  <c r="J191" i="10" s="1"/>
  <c r="H192" i="10"/>
  <c r="J192" i="10" s="1"/>
  <c r="H193" i="10"/>
  <c r="J193" i="10" s="1"/>
  <c r="H194" i="10"/>
  <c r="J194" i="10" s="1"/>
  <c r="H195" i="10"/>
  <c r="J195" i="10" s="1"/>
  <c r="H196" i="10"/>
  <c r="J196" i="10" s="1"/>
  <c r="H197" i="10"/>
  <c r="J197" i="10" s="1"/>
  <c r="H198" i="10"/>
  <c r="J198" i="10" s="1"/>
  <c r="H199" i="10"/>
  <c r="J199" i="10" s="1"/>
  <c r="H200" i="10"/>
  <c r="J200" i="10" s="1"/>
  <c r="H201" i="10"/>
  <c r="J201" i="10" s="1"/>
  <c r="H202" i="10"/>
  <c r="J202" i="10" s="1"/>
  <c r="H203" i="10"/>
  <c r="J203" i="10" s="1"/>
  <c r="H204" i="10"/>
  <c r="J204" i="10" s="1"/>
  <c r="H205" i="10"/>
  <c r="J205" i="10" s="1"/>
  <c r="H206" i="10"/>
  <c r="J206" i="10" s="1"/>
  <c r="H207" i="10"/>
  <c r="J207" i="10" s="1"/>
  <c r="H208" i="10"/>
  <c r="J208" i="10" s="1"/>
  <c r="H209" i="10"/>
  <c r="J209" i="10" s="1"/>
  <c r="H210" i="10"/>
  <c r="J210" i="10" s="1"/>
  <c r="H211" i="10"/>
  <c r="J211" i="10" s="1"/>
  <c r="H212" i="10"/>
  <c r="J212" i="10" s="1"/>
  <c r="H213" i="10"/>
  <c r="J213" i="10" s="1"/>
  <c r="H214" i="10"/>
  <c r="J214" i="10" s="1"/>
  <c r="H215" i="10"/>
  <c r="J215" i="10" s="1"/>
  <c r="H216" i="10"/>
  <c r="J216" i="10" s="1"/>
  <c r="H217" i="10"/>
  <c r="J217" i="10" s="1"/>
  <c r="H218" i="10"/>
  <c r="J218" i="10" s="1"/>
  <c r="H219" i="10"/>
  <c r="J219" i="10" s="1"/>
  <c r="H220" i="10"/>
  <c r="J220" i="10" s="1"/>
  <c r="H221" i="10"/>
  <c r="J221" i="10" s="1"/>
  <c r="H222" i="10"/>
  <c r="J222" i="10" s="1"/>
  <c r="H223" i="10"/>
  <c r="J223" i="10" s="1"/>
  <c r="H224" i="10"/>
  <c r="J224" i="10" s="1"/>
  <c r="H225" i="10"/>
  <c r="J225" i="10" s="1"/>
  <c r="H226" i="10"/>
  <c r="J226" i="10" s="1"/>
  <c r="H227" i="10"/>
  <c r="J227" i="10" s="1"/>
  <c r="H228" i="10"/>
  <c r="J228" i="10" s="1"/>
  <c r="H229" i="10"/>
  <c r="J229" i="10" s="1"/>
  <c r="H230" i="10"/>
  <c r="J230" i="10" s="1"/>
  <c r="H231" i="10"/>
  <c r="J231" i="10" s="1"/>
  <c r="H232" i="10"/>
  <c r="J232" i="10" s="1"/>
  <c r="H233" i="10"/>
  <c r="J233" i="10" s="1"/>
  <c r="H234" i="10"/>
  <c r="J234" i="10" s="1"/>
  <c r="H235" i="10"/>
  <c r="J235" i="10" s="1"/>
  <c r="H236" i="10"/>
  <c r="J236" i="10" s="1"/>
  <c r="H237" i="10"/>
  <c r="J237" i="10" s="1"/>
  <c r="H238" i="10"/>
  <c r="J238" i="10" s="1"/>
  <c r="H239" i="10"/>
  <c r="J239" i="10" s="1"/>
  <c r="H240" i="10"/>
  <c r="J240" i="10" s="1"/>
  <c r="H241" i="10"/>
  <c r="J241" i="10" s="1"/>
  <c r="H242" i="10"/>
  <c r="J242" i="10" s="1"/>
  <c r="H243" i="10"/>
  <c r="J243" i="10" s="1"/>
  <c r="H244" i="10"/>
  <c r="J244" i="10" s="1"/>
  <c r="H245" i="10"/>
  <c r="J245" i="10" s="1"/>
  <c r="H246" i="10"/>
  <c r="J246" i="10" s="1"/>
  <c r="H247" i="10"/>
  <c r="J247" i="10" s="1"/>
  <c r="H248" i="10"/>
  <c r="J248" i="10" s="1"/>
  <c r="H249" i="10"/>
  <c r="J249" i="10" s="1"/>
  <c r="H250" i="10"/>
  <c r="J250" i="10" s="1"/>
  <c r="H251" i="10"/>
  <c r="J251" i="10" s="1"/>
  <c r="H252" i="10"/>
  <c r="J252" i="10" s="1"/>
  <c r="H253" i="10"/>
  <c r="J253" i="10" s="1"/>
  <c r="H254" i="10"/>
  <c r="J254" i="10" s="1"/>
  <c r="H255" i="10"/>
  <c r="J255" i="10" s="1"/>
  <c r="H256" i="10"/>
  <c r="J256" i="10" s="1"/>
  <c r="H257" i="10"/>
  <c r="J257" i="10" s="1"/>
  <c r="H258" i="10"/>
  <c r="J258" i="10" s="1"/>
  <c r="H259" i="10"/>
  <c r="J259" i="10" s="1"/>
  <c r="H260" i="10"/>
  <c r="J260" i="10" s="1"/>
  <c r="H261" i="10"/>
  <c r="J261" i="10" s="1"/>
  <c r="H262" i="10"/>
  <c r="J262" i="10" s="1"/>
  <c r="H263" i="10"/>
  <c r="J263" i="10" s="1"/>
  <c r="H264" i="10"/>
  <c r="J264" i="10" s="1"/>
  <c r="H265" i="10"/>
  <c r="J265" i="10" s="1"/>
  <c r="H266" i="10"/>
  <c r="J266" i="10" s="1"/>
  <c r="H267" i="10"/>
  <c r="J267" i="10" s="1"/>
  <c r="H268" i="10"/>
  <c r="J268" i="10" s="1"/>
  <c r="H269" i="10"/>
  <c r="J269" i="10" s="1"/>
  <c r="H270" i="10"/>
  <c r="J270" i="10" s="1"/>
  <c r="H271" i="10"/>
  <c r="J271" i="10" s="1"/>
  <c r="H272" i="10"/>
  <c r="J272" i="10" s="1"/>
  <c r="H273" i="10"/>
  <c r="J273" i="10" s="1"/>
  <c r="H274" i="10"/>
  <c r="J274" i="10" s="1"/>
  <c r="H275" i="10"/>
  <c r="J275" i="10" s="1"/>
  <c r="H276" i="10"/>
  <c r="J276" i="10" s="1"/>
  <c r="H277" i="10"/>
  <c r="J277" i="10" s="1"/>
  <c r="H278" i="10"/>
  <c r="J278" i="10" s="1"/>
  <c r="H279" i="10"/>
  <c r="J279" i="10" s="1"/>
  <c r="H280" i="10"/>
  <c r="J280" i="10" s="1"/>
  <c r="H281" i="10"/>
  <c r="J281" i="10" s="1"/>
  <c r="H282" i="10"/>
  <c r="J282" i="10" s="1"/>
  <c r="H283" i="10"/>
  <c r="J283" i="10" s="1"/>
  <c r="H284" i="10"/>
  <c r="J284" i="10" s="1"/>
  <c r="H285" i="10"/>
  <c r="J285" i="10" s="1"/>
  <c r="H286" i="10"/>
  <c r="J286" i="10" s="1"/>
  <c r="H287" i="10"/>
  <c r="J287" i="10" s="1"/>
  <c r="H288" i="10"/>
  <c r="J288" i="10" s="1"/>
  <c r="H289" i="10"/>
  <c r="J289" i="10" s="1"/>
  <c r="H290" i="10"/>
  <c r="J290" i="10" s="1"/>
  <c r="H291" i="10"/>
  <c r="J291" i="10" s="1"/>
  <c r="H292" i="10"/>
  <c r="J292" i="10" s="1"/>
  <c r="H293" i="10"/>
  <c r="J293" i="10" s="1"/>
  <c r="H294" i="10"/>
  <c r="J294" i="10" s="1"/>
  <c r="H295" i="10"/>
  <c r="J295" i="10" s="1"/>
  <c r="H296" i="10"/>
  <c r="J296" i="10" s="1"/>
  <c r="H297" i="10"/>
  <c r="J297" i="10" s="1"/>
  <c r="H298" i="10"/>
  <c r="J298" i="10" s="1"/>
  <c r="H299" i="10"/>
  <c r="J299" i="10" s="1"/>
  <c r="H300" i="10"/>
  <c r="J300" i="10" s="1"/>
  <c r="H301" i="10"/>
  <c r="J301" i="10" s="1"/>
  <c r="H302" i="10"/>
  <c r="J302" i="10" s="1"/>
  <c r="H303" i="10"/>
  <c r="J303" i="10" s="1"/>
  <c r="H304" i="10"/>
  <c r="J304" i="10" s="1"/>
  <c r="H305" i="10"/>
  <c r="J305" i="10" s="1"/>
  <c r="H306" i="10"/>
  <c r="J306" i="10" s="1"/>
  <c r="H307" i="10"/>
  <c r="J307" i="10" s="1"/>
  <c r="H308" i="10"/>
  <c r="J308" i="10" s="1"/>
  <c r="H309" i="10"/>
  <c r="J309" i="10" s="1"/>
  <c r="H310" i="10"/>
  <c r="J310" i="10" s="1"/>
  <c r="H311" i="10"/>
  <c r="J311" i="10" s="1"/>
  <c r="H312" i="10"/>
  <c r="J312" i="10" s="1"/>
  <c r="H313" i="10"/>
  <c r="J313" i="10" s="1"/>
  <c r="H314" i="10"/>
  <c r="J314" i="10" s="1"/>
  <c r="H315" i="10"/>
  <c r="J315" i="10" s="1"/>
  <c r="H316" i="10"/>
  <c r="J316" i="10" s="1"/>
  <c r="H317" i="10"/>
  <c r="J317" i="10" s="1"/>
  <c r="H318" i="10"/>
  <c r="J318" i="10" s="1"/>
  <c r="H319" i="10"/>
  <c r="J319" i="10" s="1"/>
  <c r="H320" i="10"/>
  <c r="J320" i="10" s="1"/>
  <c r="H321" i="10"/>
  <c r="J321" i="10" s="1"/>
  <c r="H322" i="10"/>
  <c r="J322" i="10" s="1"/>
  <c r="H323" i="10"/>
  <c r="J323" i="10" s="1"/>
  <c r="H324" i="10"/>
  <c r="J324" i="10" s="1"/>
  <c r="H325" i="10"/>
  <c r="J325" i="10" s="1"/>
  <c r="H326" i="10"/>
  <c r="J326" i="10" s="1"/>
  <c r="H327" i="10"/>
  <c r="J327" i="10" s="1"/>
  <c r="H328" i="10"/>
  <c r="J328" i="10" s="1"/>
  <c r="H329" i="10"/>
  <c r="J329" i="10" s="1"/>
  <c r="H330" i="10"/>
  <c r="J330" i="10" s="1"/>
  <c r="H331" i="10"/>
  <c r="J331" i="10" s="1"/>
  <c r="H332" i="10"/>
  <c r="J332" i="10" s="1"/>
  <c r="H333" i="10"/>
  <c r="J333" i="10" s="1"/>
  <c r="H334" i="10"/>
  <c r="J334" i="10" s="1"/>
  <c r="H335" i="10"/>
  <c r="J335" i="10" s="1"/>
  <c r="H336" i="10"/>
  <c r="J336" i="10" s="1"/>
  <c r="H337" i="10"/>
  <c r="J337" i="10" s="1"/>
  <c r="H338" i="10"/>
  <c r="J338" i="10" s="1"/>
  <c r="H339" i="10"/>
  <c r="J339" i="10" s="1"/>
  <c r="H340" i="10"/>
  <c r="J340" i="10" s="1"/>
  <c r="H341" i="10"/>
  <c r="J341" i="10" s="1"/>
  <c r="H342" i="10"/>
  <c r="J342" i="10" s="1"/>
  <c r="H343" i="10"/>
  <c r="J343" i="10" s="1"/>
  <c r="H344" i="10"/>
  <c r="J344" i="10" s="1"/>
  <c r="H345" i="10"/>
  <c r="J345" i="10" s="1"/>
  <c r="H346" i="10"/>
  <c r="J346" i="10" s="1"/>
  <c r="H347" i="10"/>
  <c r="J347" i="10" s="1"/>
  <c r="H348" i="10"/>
  <c r="J348" i="10" s="1"/>
  <c r="H349" i="10"/>
  <c r="J349" i="10" s="1"/>
  <c r="H350" i="10"/>
  <c r="J350" i="10" s="1"/>
  <c r="H351" i="10"/>
  <c r="J351" i="10" s="1"/>
  <c r="H352" i="10"/>
  <c r="J352" i="10" s="1"/>
  <c r="H353" i="10"/>
  <c r="J353" i="10" s="1"/>
  <c r="H354" i="10"/>
  <c r="J354" i="10" s="1"/>
  <c r="H355" i="10"/>
  <c r="J355" i="10" s="1"/>
  <c r="H356" i="10"/>
  <c r="J356" i="10" s="1"/>
  <c r="H357" i="10"/>
  <c r="J357" i="10" s="1"/>
  <c r="H358" i="10"/>
  <c r="J358" i="10" s="1"/>
  <c r="H359" i="10"/>
  <c r="J359" i="10" s="1"/>
  <c r="H360" i="10"/>
  <c r="J360" i="10" s="1"/>
  <c r="H361" i="10"/>
  <c r="J361" i="10" s="1"/>
  <c r="H362" i="10"/>
  <c r="J362" i="10" s="1"/>
  <c r="H363" i="10"/>
  <c r="J363" i="10" s="1"/>
  <c r="H364" i="10"/>
  <c r="J364" i="10" s="1"/>
  <c r="H365" i="10"/>
  <c r="J365" i="10" s="1"/>
  <c r="H366" i="10"/>
  <c r="J366" i="10" s="1"/>
  <c r="H367" i="10"/>
  <c r="J367" i="10" s="1"/>
  <c r="H368" i="10"/>
  <c r="J368" i="10" s="1"/>
  <c r="H369" i="10"/>
  <c r="J369" i="10" s="1"/>
  <c r="H370" i="10"/>
  <c r="J370" i="10" s="1"/>
  <c r="H371" i="10"/>
  <c r="J371" i="10" s="1"/>
  <c r="H372" i="10"/>
  <c r="J372" i="10" s="1"/>
  <c r="H373" i="10"/>
  <c r="J373" i="10" s="1"/>
  <c r="H374" i="10"/>
  <c r="J374" i="10" s="1"/>
  <c r="H375" i="10"/>
  <c r="J375" i="10" s="1"/>
  <c r="H376" i="10"/>
  <c r="J376" i="10" s="1"/>
  <c r="H377" i="10"/>
  <c r="J377" i="10" s="1"/>
  <c r="H378" i="10"/>
  <c r="J378" i="10" s="1"/>
  <c r="H379" i="10"/>
  <c r="J379" i="10" s="1"/>
  <c r="H380" i="10"/>
  <c r="J380" i="10" s="1"/>
  <c r="H381" i="10"/>
  <c r="J381" i="10" s="1"/>
  <c r="H382" i="10"/>
  <c r="J382" i="10" s="1"/>
  <c r="H383" i="10"/>
  <c r="J383" i="10" s="1"/>
  <c r="H384" i="10"/>
  <c r="J384" i="10" s="1"/>
  <c r="H385" i="10"/>
  <c r="J385" i="10" s="1"/>
  <c r="H386" i="10"/>
  <c r="J386" i="10" s="1"/>
  <c r="H387" i="10"/>
  <c r="J387" i="10" s="1"/>
  <c r="H388" i="10"/>
  <c r="J388" i="10" s="1"/>
  <c r="H389" i="10"/>
  <c r="J389" i="10" s="1"/>
  <c r="H390" i="10"/>
  <c r="J390" i="10" s="1"/>
  <c r="H391" i="10"/>
  <c r="J391" i="10" s="1"/>
  <c r="H392" i="10"/>
  <c r="J392" i="10" s="1"/>
  <c r="H393" i="10"/>
  <c r="J393" i="10" s="1"/>
  <c r="H394" i="10"/>
  <c r="J394" i="10" s="1"/>
  <c r="H395" i="10"/>
  <c r="J395" i="10" s="1"/>
  <c r="H396" i="10"/>
  <c r="J396" i="10" s="1"/>
  <c r="H397" i="10"/>
  <c r="J397" i="10" s="1"/>
  <c r="H398" i="10"/>
  <c r="J398" i="10" s="1"/>
  <c r="H399" i="10"/>
  <c r="J399" i="10" s="1"/>
  <c r="H400" i="10"/>
  <c r="J400" i="10" s="1"/>
  <c r="H401" i="10"/>
  <c r="J401" i="10" s="1"/>
  <c r="H402" i="10"/>
  <c r="J402" i="10" s="1"/>
  <c r="H403" i="10"/>
  <c r="J403" i="10" s="1"/>
  <c r="H404" i="10"/>
  <c r="J404" i="10" s="1"/>
  <c r="H405" i="10"/>
  <c r="J405" i="10" s="1"/>
  <c r="H406" i="10"/>
  <c r="J406" i="10" s="1"/>
  <c r="H407" i="10"/>
  <c r="J407" i="10" s="1"/>
  <c r="H408" i="10"/>
  <c r="J408" i="10" s="1"/>
  <c r="H409" i="10"/>
  <c r="J409" i="10" s="1"/>
  <c r="H410" i="10"/>
  <c r="J410" i="10" s="1"/>
  <c r="H411" i="10"/>
  <c r="J411" i="10" s="1"/>
  <c r="H412" i="10"/>
  <c r="J412" i="10" s="1"/>
  <c r="H413" i="10"/>
  <c r="J413" i="10" s="1"/>
  <c r="H414" i="10"/>
  <c r="J414" i="10" s="1"/>
  <c r="H415" i="10"/>
  <c r="J415" i="10" s="1"/>
  <c r="H416" i="10"/>
  <c r="J416" i="10" s="1"/>
  <c r="H417" i="10"/>
  <c r="J417" i="10" s="1"/>
  <c r="H418" i="10"/>
  <c r="J418" i="10" s="1"/>
  <c r="H419" i="10"/>
  <c r="J419" i="10" s="1"/>
  <c r="H420" i="10"/>
  <c r="J420" i="10" s="1"/>
  <c r="H421" i="10"/>
  <c r="J421" i="10" s="1"/>
  <c r="H422" i="10"/>
  <c r="J422" i="10" s="1"/>
  <c r="H423" i="10"/>
  <c r="J423" i="10" s="1"/>
  <c r="H424" i="10"/>
  <c r="J424" i="10" s="1"/>
  <c r="H425" i="10"/>
  <c r="J425" i="10" s="1"/>
  <c r="H426" i="10"/>
  <c r="J426" i="10" s="1"/>
  <c r="H427" i="10"/>
  <c r="J427" i="10" s="1"/>
  <c r="H428" i="10"/>
  <c r="J428" i="10" s="1"/>
  <c r="H429" i="10"/>
  <c r="J429" i="10" s="1"/>
  <c r="H430" i="10"/>
  <c r="J430" i="10" s="1"/>
  <c r="H431" i="10"/>
  <c r="J431" i="10" s="1"/>
  <c r="H432" i="10"/>
  <c r="J432" i="10" s="1"/>
  <c r="H433" i="10"/>
  <c r="J433" i="10" s="1"/>
  <c r="H434" i="10"/>
  <c r="J434" i="10" s="1"/>
  <c r="H435" i="10"/>
  <c r="J435" i="10" s="1"/>
  <c r="H436" i="10"/>
  <c r="J436" i="10" s="1"/>
  <c r="H437" i="10"/>
  <c r="J437" i="10" s="1"/>
  <c r="H438" i="10"/>
  <c r="J438" i="10" s="1"/>
  <c r="H439" i="10"/>
  <c r="J439" i="10" s="1"/>
  <c r="H440" i="10"/>
  <c r="J440" i="10" s="1"/>
  <c r="H441" i="10"/>
  <c r="J441" i="10" s="1"/>
  <c r="H442" i="10"/>
  <c r="J442" i="10" s="1"/>
  <c r="H443" i="10"/>
  <c r="J443" i="10" s="1"/>
  <c r="H444" i="10"/>
  <c r="J444" i="10" s="1"/>
  <c r="H445" i="10"/>
  <c r="J445" i="10" s="1"/>
  <c r="H446" i="10"/>
  <c r="J446" i="10" s="1"/>
  <c r="H447" i="10"/>
  <c r="J447" i="10" s="1"/>
  <c r="H448" i="10"/>
  <c r="J448" i="10" s="1"/>
  <c r="H449" i="10"/>
  <c r="J449" i="10" s="1"/>
  <c r="H450" i="10"/>
  <c r="J450" i="10" s="1"/>
  <c r="H451" i="10"/>
  <c r="J451" i="10" s="1"/>
  <c r="H452" i="10"/>
  <c r="J452" i="10" s="1"/>
  <c r="H453" i="10"/>
  <c r="J453" i="10" s="1"/>
  <c r="H454" i="10"/>
  <c r="J454" i="10" s="1"/>
  <c r="H455" i="10"/>
  <c r="J455" i="10" s="1"/>
  <c r="H456" i="10"/>
  <c r="J456" i="10" s="1"/>
  <c r="H457" i="10"/>
  <c r="J457" i="10" s="1"/>
  <c r="H458" i="10"/>
  <c r="J458" i="10" s="1"/>
  <c r="H459" i="10"/>
  <c r="J459" i="10" s="1"/>
  <c r="H460" i="10"/>
  <c r="J460" i="10" s="1"/>
  <c r="H461" i="10"/>
  <c r="J461" i="10" s="1"/>
  <c r="H462" i="10"/>
  <c r="J462" i="10" s="1"/>
  <c r="H463" i="10"/>
  <c r="J463" i="10" s="1"/>
  <c r="H464" i="10"/>
  <c r="J464" i="10" s="1"/>
  <c r="H465" i="10"/>
  <c r="J465" i="10" s="1"/>
  <c r="H466" i="10"/>
  <c r="J466" i="10" s="1"/>
  <c r="H467" i="10"/>
  <c r="J467" i="10" s="1"/>
  <c r="H468" i="10"/>
  <c r="J468" i="10" s="1"/>
  <c r="H469" i="10"/>
  <c r="J469" i="10" s="1"/>
  <c r="H470" i="10"/>
  <c r="J470" i="10" s="1"/>
  <c r="H471" i="10"/>
  <c r="J471" i="10" s="1"/>
  <c r="H472" i="10"/>
  <c r="J472" i="10" s="1"/>
  <c r="H473" i="10"/>
  <c r="J473" i="10" s="1"/>
  <c r="H474" i="10"/>
  <c r="J474" i="10" s="1"/>
  <c r="H475" i="10"/>
  <c r="J475" i="10" s="1"/>
  <c r="H476" i="10"/>
  <c r="J476" i="10" s="1"/>
  <c r="H477" i="10"/>
  <c r="J477" i="10" s="1"/>
  <c r="H478" i="10"/>
  <c r="J478" i="10" s="1"/>
  <c r="H479" i="10"/>
  <c r="J479" i="10" s="1"/>
  <c r="H480" i="10"/>
  <c r="J480" i="10" s="1"/>
  <c r="H481" i="10"/>
  <c r="J481" i="10" s="1"/>
  <c r="H482" i="10"/>
  <c r="J482" i="10" s="1"/>
  <c r="H483" i="10"/>
  <c r="J483" i="10" s="1"/>
  <c r="H484" i="10"/>
  <c r="J484" i="10" s="1"/>
  <c r="H485" i="10"/>
  <c r="J485" i="10" s="1"/>
  <c r="H486" i="10"/>
  <c r="J486" i="10" s="1"/>
  <c r="H487" i="10"/>
  <c r="J487" i="10" s="1"/>
  <c r="H488" i="10"/>
  <c r="J488" i="10" s="1"/>
  <c r="H489" i="10"/>
  <c r="J489" i="10" s="1"/>
  <c r="H490" i="10"/>
  <c r="J490" i="10" s="1"/>
  <c r="H491" i="10"/>
  <c r="J491" i="10" s="1"/>
  <c r="H492" i="10"/>
  <c r="J492" i="10" s="1"/>
  <c r="H493" i="10"/>
  <c r="J493" i="10" s="1"/>
  <c r="H494" i="10"/>
  <c r="J494" i="10" s="1"/>
  <c r="H495" i="10"/>
  <c r="J495" i="10" s="1"/>
  <c r="H496" i="10"/>
  <c r="J496" i="10" s="1"/>
  <c r="H497" i="10"/>
  <c r="J497" i="10" s="1"/>
  <c r="H498" i="10"/>
  <c r="J498" i="10" s="1"/>
  <c r="H499" i="10"/>
  <c r="J499" i="10" s="1"/>
  <c r="H500" i="10"/>
  <c r="J500" i="10" s="1"/>
  <c r="H501" i="10"/>
  <c r="J501" i="10" s="1"/>
  <c r="H502" i="10"/>
  <c r="J502" i="10" s="1"/>
  <c r="H503" i="10"/>
  <c r="J503" i="10" s="1"/>
  <c r="H504" i="10"/>
  <c r="J504" i="10" s="1"/>
  <c r="H505" i="10"/>
  <c r="J505" i="10" s="1"/>
  <c r="H506" i="10"/>
  <c r="J506" i="10" s="1"/>
  <c r="H507" i="10"/>
  <c r="J507" i="10" s="1"/>
  <c r="H508" i="10"/>
  <c r="J508" i="10" s="1"/>
  <c r="H509" i="10"/>
  <c r="J509" i="10" s="1"/>
  <c r="H510" i="10"/>
  <c r="J510" i="10" s="1"/>
  <c r="H511" i="10"/>
  <c r="J511" i="10" s="1"/>
  <c r="H512" i="10"/>
  <c r="J512" i="10" s="1"/>
  <c r="H513" i="10"/>
  <c r="J513" i="10" s="1"/>
  <c r="H514" i="10"/>
  <c r="J514" i="10" s="1"/>
  <c r="H515" i="10"/>
  <c r="J515" i="10" s="1"/>
  <c r="H516" i="10"/>
  <c r="J516" i="10" s="1"/>
  <c r="H517" i="10"/>
  <c r="J517" i="10" s="1"/>
  <c r="H518" i="10"/>
  <c r="J518" i="10" s="1"/>
  <c r="H519" i="10"/>
  <c r="J519" i="10" s="1"/>
  <c r="H520" i="10"/>
  <c r="J520" i="10" s="1"/>
  <c r="H521" i="10"/>
  <c r="J521" i="10" s="1"/>
  <c r="H522" i="10"/>
  <c r="J522" i="10" s="1"/>
  <c r="H523" i="10"/>
  <c r="J523" i="10" s="1"/>
  <c r="H524" i="10"/>
  <c r="J524" i="10" s="1"/>
  <c r="H525" i="10"/>
  <c r="J525" i="10" s="1"/>
  <c r="H526" i="10"/>
  <c r="J526" i="10" s="1"/>
  <c r="H527" i="10"/>
  <c r="J527" i="10" s="1"/>
  <c r="H528" i="10"/>
  <c r="J528" i="10" s="1"/>
  <c r="H529" i="10"/>
  <c r="J529" i="10" s="1"/>
  <c r="H530" i="10"/>
  <c r="J530" i="10" s="1"/>
  <c r="H531" i="10"/>
  <c r="J531" i="10" s="1"/>
  <c r="H532" i="10"/>
  <c r="J532" i="10" s="1"/>
  <c r="H533" i="10"/>
  <c r="J533" i="10" s="1"/>
  <c r="H534" i="10"/>
  <c r="J534" i="10" s="1"/>
  <c r="H535" i="10"/>
  <c r="J535" i="10" s="1"/>
  <c r="H536" i="10"/>
  <c r="J536" i="10" s="1"/>
  <c r="H537" i="10"/>
  <c r="J537" i="10" s="1"/>
  <c r="H538" i="10"/>
  <c r="J538" i="10" s="1"/>
  <c r="H539" i="10"/>
  <c r="J539" i="10" s="1"/>
  <c r="H540" i="10"/>
  <c r="J540" i="10" s="1"/>
  <c r="H541" i="10"/>
  <c r="J541" i="10" s="1"/>
  <c r="H542" i="10"/>
  <c r="J542" i="10" s="1"/>
  <c r="H543" i="10"/>
  <c r="J543" i="10" s="1"/>
  <c r="H544" i="10"/>
  <c r="J544" i="10" s="1"/>
  <c r="H545" i="10"/>
  <c r="J545" i="10" s="1"/>
  <c r="H546" i="10"/>
  <c r="J546" i="10" s="1"/>
  <c r="H547" i="10"/>
  <c r="J547" i="10" s="1"/>
  <c r="H548" i="10"/>
  <c r="J548" i="10" s="1"/>
  <c r="H549" i="10"/>
  <c r="J549" i="10" s="1"/>
  <c r="H550" i="10"/>
  <c r="J550" i="10" s="1"/>
  <c r="H551" i="10"/>
  <c r="J551" i="10" s="1"/>
  <c r="H552" i="10"/>
  <c r="J552" i="10" s="1"/>
  <c r="H553" i="10"/>
  <c r="J553" i="10" s="1"/>
  <c r="H554" i="10"/>
  <c r="J554" i="10" s="1"/>
  <c r="H555" i="10"/>
  <c r="J555" i="10" s="1"/>
  <c r="H556" i="10"/>
  <c r="J556" i="10" s="1"/>
  <c r="H557" i="10"/>
  <c r="J557" i="10" s="1"/>
  <c r="H558" i="10"/>
  <c r="J558" i="10" s="1"/>
  <c r="H559" i="10"/>
  <c r="J559" i="10" s="1"/>
  <c r="H560" i="10"/>
  <c r="J560" i="10" s="1"/>
  <c r="H561" i="10"/>
  <c r="J561" i="10" s="1"/>
  <c r="H562" i="10"/>
  <c r="J562" i="10" s="1"/>
  <c r="H563" i="10"/>
  <c r="J563" i="10" s="1"/>
  <c r="H564" i="10"/>
  <c r="J564" i="10" s="1"/>
  <c r="H565" i="10"/>
  <c r="J565" i="10" s="1"/>
  <c r="H566" i="10"/>
  <c r="J566" i="10" s="1"/>
  <c r="H567" i="10"/>
  <c r="J567" i="10" s="1"/>
  <c r="H568" i="10"/>
  <c r="J568" i="10" s="1"/>
  <c r="H569" i="10"/>
  <c r="J569" i="10" s="1"/>
  <c r="H570" i="10"/>
  <c r="J570" i="10" s="1"/>
  <c r="H571" i="10"/>
  <c r="J571" i="10" s="1"/>
  <c r="H572" i="10"/>
  <c r="J572" i="10" s="1"/>
  <c r="H573" i="10"/>
  <c r="J573" i="10" s="1"/>
  <c r="H574" i="10"/>
  <c r="J574" i="10" s="1"/>
  <c r="H575" i="10"/>
  <c r="J575" i="10" s="1"/>
  <c r="H576" i="10"/>
  <c r="J576" i="10" s="1"/>
  <c r="H577" i="10"/>
  <c r="J577" i="10" s="1"/>
  <c r="H578" i="10"/>
  <c r="J578" i="10" s="1"/>
  <c r="H579" i="10"/>
  <c r="J579" i="10" s="1"/>
  <c r="H580" i="10"/>
  <c r="J580" i="10" s="1"/>
  <c r="H581" i="10"/>
  <c r="J581" i="10" s="1"/>
  <c r="H582" i="10"/>
  <c r="J582" i="10" s="1"/>
  <c r="H583" i="10"/>
  <c r="J583" i="10" s="1"/>
  <c r="H584" i="10"/>
  <c r="J584" i="10" s="1"/>
  <c r="H585" i="10"/>
  <c r="J585" i="10" s="1"/>
  <c r="H586" i="10"/>
  <c r="J586" i="10" s="1"/>
  <c r="H587" i="10"/>
  <c r="J587" i="10" s="1"/>
  <c r="H588" i="10"/>
  <c r="J588" i="10" s="1"/>
  <c r="H589" i="10"/>
  <c r="J589" i="10" s="1"/>
  <c r="H590" i="10"/>
  <c r="J590" i="10" s="1"/>
  <c r="H591" i="10"/>
  <c r="J591" i="10" s="1"/>
  <c r="H592" i="10"/>
  <c r="J592" i="10" s="1"/>
  <c r="H593" i="10"/>
  <c r="J593" i="10" s="1"/>
  <c r="H594" i="10"/>
  <c r="J594" i="10" s="1"/>
  <c r="H595" i="10"/>
  <c r="J595" i="10" s="1"/>
  <c r="H596" i="10"/>
  <c r="J596" i="10" s="1"/>
  <c r="H597" i="10"/>
  <c r="J597" i="10" s="1"/>
  <c r="H598" i="10"/>
  <c r="J598" i="10" s="1"/>
  <c r="H599" i="10"/>
  <c r="J599" i="10" s="1"/>
  <c r="H600" i="10"/>
  <c r="J600" i="10" s="1"/>
  <c r="H601" i="10"/>
  <c r="J601" i="10" s="1"/>
  <c r="H602" i="10"/>
  <c r="J602" i="10" s="1"/>
  <c r="H603" i="10"/>
  <c r="J603" i="10" s="1"/>
  <c r="H604" i="10"/>
  <c r="J604" i="10" s="1"/>
  <c r="H605" i="10"/>
  <c r="J605" i="10" s="1"/>
  <c r="H606" i="10"/>
  <c r="J606" i="10" s="1"/>
  <c r="H607" i="10"/>
  <c r="J607" i="10" s="1"/>
  <c r="H608" i="10"/>
  <c r="J608" i="10" s="1"/>
  <c r="H609" i="10"/>
  <c r="J609" i="10" s="1"/>
  <c r="H610" i="10"/>
  <c r="J610" i="10" s="1"/>
  <c r="H611" i="10"/>
  <c r="J611" i="10" s="1"/>
  <c r="H612" i="10"/>
  <c r="J612" i="10" s="1"/>
  <c r="H613" i="10"/>
  <c r="J613" i="10" s="1"/>
  <c r="H614" i="10"/>
  <c r="J614" i="10" s="1"/>
  <c r="H615" i="10"/>
  <c r="J615" i="10" s="1"/>
  <c r="H616" i="10"/>
  <c r="J616" i="10" s="1"/>
  <c r="H617" i="10"/>
  <c r="J617" i="10" s="1"/>
  <c r="H618" i="10"/>
  <c r="J618" i="10" s="1"/>
  <c r="H619" i="10"/>
  <c r="J619" i="10" s="1"/>
  <c r="H620" i="10"/>
  <c r="J620" i="10" s="1"/>
  <c r="H621" i="10"/>
  <c r="J621" i="10" s="1"/>
  <c r="H622" i="10"/>
  <c r="J622" i="10" s="1"/>
  <c r="H623" i="10"/>
  <c r="J623" i="10" s="1"/>
  <c r="H624" i="10"/>
  <c r="J624" i="10" s="1"/>
  <c r="H625" i="10"/>
  <c r="J625" i="10" s="1"/>
  <c r="H626" i="10"/>
  <c r="J626" i="10" s="1"/>
  <c r="H627" i="10"/>
  <c r="J627" i="10" s="1"/>
  <c r="H628" i="10"/>
  <c r="J628" i="10" s="1"/>
  <c r="H629" i="10"/>
  <c r="J629" i="10" s="1"/>
  <c r="H630" i="10"/>
  <c r="J630" i="10" s="1"/>
  <c r="H631" i="10"/>
  <c r="J631" i="10" s="1"/>
  <c r="H632" i="10"/>
  <c r="J632" i="10" s="1"/>
  <c r="H633" i="10"/>
  <c r="J633" i="10" s="1"/>
  <c r="H634" i="10"/>
  <c r="J634" i="10" s="1"/>
  <c r="H635" i="10"/>
  <c r="J635" i="10" s="1"/>
  <c r="H636" i="10"/>
  <c r="J636" i="10" s="1"/>
  <c r="H637" i="10"/>
  <c r="J637" i="10" s="1"/>
  <c r="H638" i="10"/>
  <c r="J638" i="10" s="1"/>
  <c r="H639" i="10"/>
  <c r="J639" i="10" s="1"/>
  <c r="H640" i="10"/>
  <c r="J640" i="10" s="1"/>
  <c r="H641" i="10"/>
  <c r="J641" i="10" s="1"/>
  <c r="H642" i="10"/>
  <c r="J642" i="10" s="1"/>
  <c r="H643" i="10"/>
  <c r="J643" i="10" s="1"/>
  <c r="H644" i="10"/>
  <c r="J644" i="10" s="1"/>
  <c r="H645" i="10"/>
  <c r="J645" i="10" s="1"/>
  <c r="H646" i="10"/>
  <c r="J646" i="10" s="1"/>
  <c r="H647" i="10"/>
  <c r="J647" i="10" s="1"/>
  <c r="H648" i="10"/>
  <c r="J648" i="10" s="1"/>
  <c r="H649" i="10"/>
  <c r="J649" i="10" s="1"/>
  <c r="H650" i="10"/>
  <c r="J650" i="10" s="1"/>
  <c r="H651" i="10"/>
  <c r="J651" i="10" s="1"/>
  <c r="H652" i="10"/>
  <c r="J652" i="10" s="1"/>
  <c r="H653" i="10"/>
  <c r="J653" i="10" s="1"/>
  <c r="H654" i="10"/>
  <c r="J654" i="10" s="1"/>
  <c r="H655" i="10"/>
  <c r="J655" i="10" s="1"/>
  <c r="H656" i="10"/>
  <c r="J656" i="10" s="1"/>
  <c r="H657" i="10"/>
  <c r="J657" i="10" s="1"/>
  <c r="H658" i="10"/>
  <c r="J658" i="10" s="1"/>
  <c r="H659" i="10"/>
  <c r="J659" i="10" s="1"/>
  <c r="H660" i="10"/>
  <c r="J660" i="10" s="1"/>
  <c r="H661" i="10"/>
  <c r="J661" i="10" s="1"/>
  <c r="H662" i="10"/>
  <c r="J662" i="10" s="1"/>
  <c r="H663" i="10"/>
  <c r="J663" i="10" s="1"/>
  <c r="H664" i="10"/>
  <c r="J664" i="10" s="1"/>
  <c r="H665" i="10"/>
  <c r="J665" i="10" s="1"/>
  <c r="H666" i="10"/>
  <c r="J666" i="10" s="1"/>
  <c r="H667" i="10"/>
  <c r="J667" i="10" s="1"/>
  <c r="H668" i="10"/>
  <c r="J668" i="10" s="1"/>
  <c r="H669" i="10"/>
  <c r="J669" i="10" s="1"/>
  <c r="H670" i="10"/>
  <c r="J670" i="10" s="1"/>
  <c r="H671" i="10"/>
  <c r="J671" i="10" s="1"/>
  <c r="H672" i="10"/>
  <c r="J672" i="10" s="1"/>
  <c r="H673" i="10"/>
  <c r="J673" i="10" s="1"/>
  <c r="H674" i="10"/>
  <c r="J674" i="10" s="1"/>
  <c r="H675" i="10"/>
  <c r="J675" i="10" s="1"/>
  <c r="H676" i="10"/>
  <c r="J676" i="10" s="1"/>
  <c r="H677" i="10"/>
  <c r="J677" i="10" s="1"/>
  <c r="H678" i="10"/>
  <c r="J678" i="10" s="1"/>
  <c r="H679" i="10"/>
  <c r="J679" i="10" s="1"/>
  <c r="H680" i="10"/>
  <c r="J680" i="10" s="1"/>
  <c r="H681" i="10"/>
  <c r="J681" i="10" s="1"/>
  <c r="H682" i="10"/>
  <c r="J682" i="10" s="1"/>
  <c r="H683" i="10"/>
  <c r="J683" i="10" s="1"/>
  <c r="H684" i="10"/>
  <c r="J684" i="10" s="1"/>
  <c r="H685" i="10"/>
  <c r="J685" i="10" s="1"/>
  <c r="H686" i="10"/>
  <c r="J686" i="10" s="1"/>
  <c r="H687" i="10"/>
  <c r="J687" i="10" s="1"/>
  <c r="H688" i="10"/>
  <c r="J688" i="10" s="1"/>
  <c r="H689" i="10"/>
  <c r="J689" i="10" s="1"/>
  <c r="H690" i="10"/>
  <c r="J690" i="10" s="1"/>
  <c r="H691" i="10"/>
  <c r="J691" i="10" s="1"/>
  <c r="H692" i="10"/>
  <c r="J692" i="10" s="1"/>
  <c r="H693" i="10"/>
  <c r="J693" i="10" s="1"/>
  <c r="H694" i="10"/>
  <c r="J694" i="10" s="1"/>
  <c r="H695" i="10"/>
  <c r="J695" i="10" s="1"/>
  <c r="H696" i="10"/>
  <c r="J696" i="10" s="1"/>
  <c r="H697" i="10"/>
  <c r="J697" i="10" s="1"/>
  <c r="H698" i="10"/>
  <c r="J698" i="10" s="1"/>
  <c r="H699" i="10"/>
  <c r="J699" i="10" s="1"/>
  <c r="H700" i="10"/>
  <c r="J700" i="10" s="1"/>
  <c r="H701" i="10"/>
  <c r="J701" i="10" s="1"/>
  <c r="H702" i="10"/>
  <c r="J702" i="10" s="1"/>
  <c r="H703" i="10"/>
  <c r="J703" i="10" s="1"/>
  <c r="H704" i="10"/>
  <c r="J704" i="10" s="1"/>
  <c r="H705" i="10"/>
  <c r="J705" i="10" s="1"/>
  <c r="H706" i="10"/>
  <c r="J706" i="10" s="1"/>
  <c r="H707" i="10"/>
  <c r="J707" i="10" s="1"/>
  <c r="H708" i="10"/>
  <c r="J708" i="10" s="1"/>
  <c r="H709" i="10"/>
  <c r="J709" i="10" s="1"/>
  <c r="H710" i="10"/>
  <c r="J710" i="10" s="1"/>
  <c r="H711" i="10"/>
  <c r="J711" i="10" s="1"/>
  <c r="H712" i="10"/>
  <c r="J712" i="10" s="1"/>
  <c r="H713" i="10"/>
  <c r="J713" i="10" s="1"/>
  <c r="H714" i="10"/>
  <c r="J714" i="10" s="1"/>
  <c r="H715" i="10"/>
  <c r="J715" i="10" s="1"/>
  <c r="H716" i="10"/>
  <c r="J716" i="10" s="1"/>
  <c r="H717" i="10"/>
  <c r="J717" i="10" s="1"/>
  <c r="H718" i="10"/>
  <c r="J718" i="10" s="1"/>
  <c r="H719" i="10"/>
  <c r="J719" i="10" s="1"/>
  <c r="H720" i="10"/>
  <c r="J720" i="10" s="1"/>
  <c r="H721" i="10"/>
  <c r="J721" i="10" s="1"/>
  <c r="H722" i="10"/>
  <c r="J722" i="10" s="1"/>
  <c r="H723" i="10"/>
  <c r="J723" i="10" s="1"/>
  <c r="H724" i="10"/>
  <c r="J724" i="10" s="1"/>
  <c r="H725" i="10"/>
  <c r="J725" i="10" s="1"/>
  <c r="H726" i="10"/>
  <c r="J726" i="10" s="1"/>
  <c r="H727" i="10"/>
  <c r="J727" i="10" s="1"/>
  <c r="H728" i="10"/>
  <c r="J728" i="10" s="1"/>
  <c r="H729" i="10"/>
  <c r="J729" i="10" s="1"/>
  <c r="H730" i="10"/>
  <c r="J730" i="10" s="1"/>
  <c r="H731" i="10"/>
  <c r="J731" i="10" s="1"/>
  <c r="H732" i="10"/>
  <c r="J732" i="10" s="1"/>
  <c r="H733" i="10"/>
  <c r="J733" i="10" s="1"/>
  <c r="H734" i="10"/>
  <c r="J734" i="10" s="1"/>
  <c r="H735" i="10"/>
  <c r="J735" i="10" s="1"/>
  <c r="H736" i="10"/>
  <c r="J736" i="10" s="1"/>
  <c r="H737" i="10"/>
  <c r="J737" i="10" s="1"/>
  <c r="H738" i="10"/>
  <c r="J738" i="10" s="1"/>
  <c r="H739" i="10"/>
  <c r="J739" i="10" s="1"/>
  <c r="H740" i="10"/>
  <c r="J740" i="10" s="1"/>
  <c r="H741" i="10"/>
  <c r="J741" i="10" s="1"/>
  <c r="H742" i="10"/>
  <c r="J742" i="10" s="1"/>
  <c r="H743" i="10"/>
  <c r="J743" i="10" s="1"/>
  <c r="H744" i="10"/>
  <c r="J744" i="10" s="1"/>
  <c r="H745" i="10"/>
  <c r="J745" i="10" s="1"/>
  <c r="H746" i="10"/>
  <c r="J746" i="10" s="1"/>
  <c r="H747" i="10"/>
  <c r="J747" i="10" s="1"/>
  <c r="H748" i="10"/>
  <c r="J748" i="10" s="1"/>
  <c r="H749" i="10"/>
  <c r="J749" i="10" s="1"/>
  <c r="H750" i="10"/>
  <c r="J750" i="10" s="1"/>
  <c r="H751" i="10"/>
  <c r="J751" i="10" s="1"/>
  <c r="H752" i="10"/>
  <c r="J752" i="10" s="1"/>
  <c r="H753" i="10"/>
  <c r="J753" i="10" s="1"/>
  <c r="H754" i="10"/>
  <c r="J754" i="10" s="1"/>
  <c r="H755" i="10"/>
  <c r="J755" i="10" s="1"/>
  <c r="H756" i="10"/>
  <c r="J756" i="10" s="1"/>
  <c r="H757" i="10"/>
  <c r="J757" i="10" s="1"/>
  <c r="H758" i="10"/>
  <c r="J758" i="10" s="1"/>
  <c r="H759" i="10"/>
  <c r="J759" i="10" s="1"/>
  <c r="H760" i="10"/>
  <c r="J760" i="10" s="1"/>
  <c r="H761" i="10"/>
  <c r="J761" i="10" s="1"/>
  <c r="H762" i="10"/>
  <c r="J762" i="10" s="1"/>
  <c r="H763" i="10"/>
  <c r="J763" i="10" s="1"/>
  <c r="H764" i="10"/>
  <c r="J764" i="10" s="1"/>
  <c r="H765" i="10"/>
  <c r="J765" i="10" s="1"/>
  <c r="H766" i="10"/>
  <c r="J766" i="10" s="1"/>
  <c r="H767" i="10"/>
  <c r="J767" i="10" s="1"/>
  <c r="H768" i="10"/>
  <c r="J768" i="10" s="1"/>
  <c r="H769" i="10"/>
  <c r="J769" i="10" s="1"/>
  <c r="H770" i="10"/>
  <c r="J770" i="10" s="1"/>
  <c r="H771" i="10"/>
  <c r="J771" i="10" s="1"/>
  <c r="H772" i="10"/>
  <c r="J772" i="10" s="1"/>
  <c r="H773" i="10"/>
  <c r="J773" i="10" s="1"/>
  <c r="H774" i="10"/>
  <c r="J774" i="10" s="1"/>
  <c r="H775" i="10"/>
  <c r="J775" i="10" s="1"/>
  <c r="H776" i="10"/>
  <c r="J776" i="10" s="1"/>
  <c r="H777" i="10"/>
  <c r="J777" i="10" s="1"/>
  <c r="H778" i="10"/>
  <c r="J778" i="10" s="1"/>
  <c r="H779" i="10"/>
  <c r="J779" i="10" s="1"/>
  <c r="H780" i="10"/>
  <c r="J780" i="10" s="1"/>
  <c r="H781" i="10"/>
  <c r="J781" i="10" s="1"/>
  <c r="H782" i="10"/>
  <c r="J782" i="10" s="1"/>
  <c r="H783" i="10"/>
  <c r="J783" i="10" s="1"/>
  <c r="H784" i="10"/>
  <c r="J784" i="10" s="1"/>
  <c r="H785" i="10"/>
  <c r="J785" i="10" s="1"/>
  <c r="H786" i="10"/>
  <c r="J786" i="10" s="1"/>
  <c r="H787" i="10"/>
  <c r="J787" i="10" s="1"/>
  <c r="H788" i="10"/>
  <c r="J788" i="10" s="1"/>
  <c r="H789" i="10"/>
  <c r="J789" i="10" s="1"/>
  <c r="H790" i="10"/>
  <c r="J790" i="10" s="1"/>
  <c r="H791" i="10"/>
  <c r="J791" i="10" s="1"/>
  <c r="H792" i="10"/>
  <c r="J792" i="10" s="1"/>
  <c r="H793" i="10"/>
  <c r="J793" i="10" s="1"/>
  <c r="H794" i="10"/>
  <c r="J794" i="10" s="1"/>
  <c r="H795" i="10"/>
  <c r="J795" i="10" s="1"/>
  <c r="H796" i="10"/>
  <c r="J796" i="10" s="1"/>
  <c r="H797" i="10"/>
  <c r="J797" i="10" s="1"/>
  <c r="H798" i="10"/>
  <c r="J798" i="10" s="1"/>
  <c r="H799" i="10"/>
  <c r="J799" i="10" s="1"/>
  <c r="H800" i="10"/>
  <c r="J800" i="10" s="1"/>
  <c r="H801" i="10"/>
  <c r="J801" i="10" s="1"/>
  <c r="H802" i="10"/>
  <c r="J802" i="10" s="1"/>
  <c r="H803" i="10"/>
  <c r="J803" i="10" s="1"/>
  <c r="H804" i="10"/>
  <c r="J804" i="10" s="1"/>
  <c r="H805" i="10"/>
  <c r="J805" i="10" s="1"/>
  <c r="H806" i="10"/>
  <c r="J806" i="10" s="1"/>
  <c r="H807" i="10"/>
  <c r="J807" i="10" s="1"/>
  <c r="H808" i="10"/>
  <c r="J808" i="10" s="1"/>
  <c r="H809" i="10"/>
  <c r="J809" i="10" s="1"/>
  <c r="H810" i="10"/>
  <c r="J810" i="10" s="1"/>
  <c r="H811" i="10"/>
  <c r="J811" i="10" s="1"/>
  <c r="H812" i="10"/>
  <c r="J812" i="10" s="1"/>
  <c r="H813" i="10"/>
  <c r="J813" i="10" s="1"/>
  <c r="H814" i="10"/>
  <c r="J814" i="10" s="1"/>
  <c r="H815" i="10"/>
  <c r="J815" i="10" s="1"/>
  <c r="H816" i="10"/>
  <c r="J816" i="10" s="1"/>
  <c r="H817" i="10"/>
  <c r="J817" i="10" s="1"/>
  <c r="H818" i="10"/>
  <c r="J818" i="10" s="1"/>
  <c r="H819" i="10"/>
  <c r="J819" i="10" s="1"/>
  <c r="H820" i="10"/>
  <c r="J820" i="10" s="1"/>
  <c r="H821" i="10"/>
  <c r="J821" i="10" s="1"/>
  <c r="H822" i="10"/>
  <c r="J822" i="10" s="1"/>
  <c r="H823" i="10"/>
  <c r="J823" i="10" s="1"/>
  <c r="H824" i="10"/>
  <c r="J824" i="10" s="1"/>
  <c r="H825" i="10"/>
  <c r="J825" i="10" s="1"/>
  <c r="H826" i="10"/>
  <c r="J826" i="10" s="1"/>
  <c r="H827" i="10"/>
  <c r="J827" i="10" s="1"/>
  <c r="H828" i="10"/>
  <c r="J828" i="10" s="1"/>
  <c r="H829" i="10"/>
  <c r="J829" i="10" s="1"/>
  <c r="H830" i="10"/>
  <c r="J830" i="10" s="1"/>
  <c r="H831" i="10"/>
  <c r="J831" i="10" s="1"/>
  <c r="H832" i="10"/>
  <c r="J832" i="10" s="1"/>
  <c r="H833" i="10"/>
  <c r="J833" i="10" s="1"/>
  <c r="H834" i="10"/>
  <c r="J834" i="10" s="1"/>
  <c r="H835" i="10"/>
  <c r="J835" i="10" s="1"/>
  <c r="H836" i="10"/>
  <c r="J836" i="10" s="1"/>
  <c r="H837" i="10"/>
  <c r="J837" i="10" s="1"/>
  <c r="H838" i="10"/>
  <c r="J838" i="10" s="1"/>
  <c r="H839" i="10"/>
  <c r="J839" i="10" s="1"/>
  <c r="H840" i="10"/>
  <c r="J840" i="10" s="1"/>
  <c r="H841" i="10"/>
  <c r="J841" i="10" s="1"/>
  <c r="H842" i="10"/>
  <c r="J842" i="10" s="1"/>
  <c r="H843" i="10"/>
  <c r="J843" i="10" s="1"/>
  <c r="H844" i="10"/>
  <c r="J844" i="10" s="1"/>
  <c r="H845" i="10"/>
  <c r="J845" i="10" s="1"/>
  <c r="H846" i="10"/>
  <c r="J846" i="10" s="1"/>
  <c r="H847" i="10"/>
  <c r="J847" i="10" s="1"/>
  <c r="H848" i="10"/>
  <c r="J848" i="10" s="1"/>
  <c r="H849" i="10"/>
  <c r="J849" i="10" s="1"/>
  <c r="H850" i="10"/>
  <c r="J850" i="10" s="1"/>
  <c r="H851" i="10"/>
  <c r="J851" i="10" s="1"/>
  <c r="H852" i="10"/>
  <c r="J852" i="10" s="1"/>
  <c r="H853" i="10"/>
  <c r="J853" i="10" s="1"/>
  <c r="H854" i="10"/>
  <c r="J854" i="10" s="1"/>
  <c r="H855" i="10"/>
  <c r="J855" i="10" s="1"/>
  <c r="H856" i="10"/>
  <c r="J856" i="10" s="1"/>
  <c r="H857" i="10"/>
  <c r="J857" i="10" s="1"/>
  <c r="H858" i="10"/>
  <c r="J858" i="10" s="1"/>
  <c r="H859" i="10"/>
  <c r="J859" i="10" s="1"/>
  <c r="H860" i="10"/>
  <c r="J860" i="10" s="1"/>
  <c r="H861" i="10"/>
  <c r="J861" i="10" s="1"/>
  <c r="H862" i="10"/>
  <c r="J862" i="10" s="1"/>
  <c r="H863" i="10"/>
  <c r="J863" i="10" s="1"/>
  <c r="H864" i="10"/>
  <c r="J864" i="10" s="1"/>
  <c r="H865" i="10"/>
  <c r="J865" i="10" s="1"/>
  <c r="H866" i="10"/>
  <c r="J866" i="10" s="1"/>
  <c r="H867" i="10"/>
  <c r="J867" i="10" s="1"/>
  <c r="H868" i="10"/>
  <c r="J868" i="10" s="1"/>
  <c r="H869" i="10"/>
  <c r="J869" i="10" s="1"/>
  <c r="H870" i="10"/>
  <c r="J870" i="10" s="1"/>
  <c r="H871" i="10"/>
  <c r="J871" i="10" s="1"/>
  <c r="H872" i="10"/>
  <c r="J872" i="10" s="1"/>
  <c r="H873" i="10"/>
  <c r="J873" i="10" s="1"/>
  <c r="H874" i="10"/>
  <c r="J874" i="10" s="1"/>
  <c r="H875" i="10"/>
  <c r="J875" i="10" s="1"/>
  <c r="H876" i="10"/>
  <c r="J876" i="10" s="1"/>
  <c r="H877" i="10"/>
  <c r="J877" i="10" s="1"/>
  <c r="H878" i="10"/>
  <c r="J878" i="10" s="1"/>
  <c r="H879" i="10"/>
  <c r="J879" i="10" s="1"/>
  <c r="H880" i="10"/>
  <c r="J880" i="10" s="1"/>
  <c r="H881" i="10"/>
  <c r="J881" i="10" s="1"/>
  <c r="H882" i="10"/>
  <c r="J882" i="10" s="1"/>
  <c r="H883" i="10"/>
  <c r="J883" i="10" s="1"/>
  <c r="H884" i="10"/>
  <c r="J884" i="10" s="1"/>
  <c r="H885" i="10"/>
  <c r="J885" i="10" s="1"/>
  <c r="H886" i="10"/>
  <c r="J886" i="10" s="1"/>
  <c r="H887" i="10"/>
  <c r="J887" i="10" s="1"/>
  <c r="H888" i="10"/>
  <c r="J888" i="10" s="1"/>
  <c r="H889" i="10"/>
  <c r="J889" i="10" s="1"/>
  <c r="H890" i="10"/>
  <c r="J890" i="10" s="1"/>
  <c r="H891" i="10"/>
  <c r="J891" i="10" s="1"/>
  <c r="H892" i="10"/>
  <c r="J892" i="10" s="1"/>
  <c r="H893" i="10"/>
  <c r="J893" i="10" s="1"/>
  <c r="H894" i="10"/>
  <c r="J894" i="10" s="1"/>
  <c r="H895" i="10"/>
  <c r="J895" i="10" s="1"/>
  <c r="H896" i="10"/>
  <c r="J896" i="10" s="1"/>
  <c r="H897" i="10"/>
  <c r="J897" i="10" s="1"/>
  <c r="H898" i="10"/>
  <c r="J898" i="10" s="1"/>
  <c r="H899" i="10"/>
  <c r="J899" i="10" s="1"/>
  <c r="H900" i="10"/>
  <c r="J900" i="10" s="1"/>
  <c r="H901" i="10"/>
  <c r="J901" i="10" s="1"/>
  <c r="H902" i="10"/>
  <c r="J902" i="10" s="1"/>
  <c r="H903" i="10"/>
  <c r="J903" i="10" s="1"/>
  <c r="H904" i="10"/>
  <c r="J904" i="10" s="1"/>
  <c r="H905" i="10"/>
  <c r="J905" i="10" s="1"/>
  <c r="H906" i="10"/>
  <c r="J906" i="10" s="1"/>
  <c r="H907" i="10"/>
  <c r="J907" i="10" s="1"/>
  <c r="H908" i="10"/>
  <c r="J908" i="10" s="1"/>
  <c r="H909" i="10"/>
  <c r="J909" i="10" s="1"/>
  <c r="H910" i="10"/>
  <c r="J910" i="10" s="1"/>
  <c r="H911" i="10"/>
  <c r="J911" i="10" s="1"/>
  <c r="H912" i="10"/>
  <c r="J912" i="10" s="1"/>
  <c r="H913" i="10"/>
  <c r="J913" i="10" s="1"/>
  <c r="H914" i="10"/>
  <c r="J914" i="10" s="1"/>
  <c r="H915" i="10"/>
  <c r="J915" i="10" s="1"/>
  <c r="H916" i="10"/>
  <c r="J916" i="10" s="1"/>
  <c r="H917" i="10"/>
  <c r="J917" i="10" s="1"/>
  <c r="H918" i="10"/>
  <c r="J918" i="10" s="1"/>
  <c r="H919" i="10"/>
  <c r="J919" i="10" s="1"/>
  <c r="H920" i="10"/>
  <c r="J920" i="10" s="1"/>
  <c r="H921" i="10"/>
  <c r="J921" i="10" s="1"/>
  <c r="H922" i="10"/>
  <c r="J922" i="10" s="1"/>
  <c r="H923" i="10"/>
  <c r="J923" i="10" s="1"/>
  <c r="H924" i="10"/>
  <c r="J924" i="10" s="1"/>
  <c r="H925" i="10"/>
  <c r="J925" i="10" s="1"/>
  <c r="H926" i="10"/>
  <c r="J926" i="10" s="1"/>
  <c r="H927" i="10"/>
  <c r="J927" i="10" s="1"/>
  <c r="H928" i="10"/>
  <c r="J928" i="10" s="1"/>
  <c r="H929" i="10"/>
  <c r="J929" i="10" s="1"/>
  <c r="H930" i="10"/>
  <c r="J930" i="10" s="1"/>
  <c r="H931" i="10"/>
  <c r="J931" i="10" s="1"/>
  <c r="H932" i="10"/>
  <c r="J932" i="10" s="1"/>
  <c r="H933" i="10"/>
  <c r="J933" i="10" s="1"/>
  <c r="H934" i="10"/>
  <c r="J934" i="10" s="1"/>
  <c r="H935" i="10"/>
  <c r="J935" i="10" s="1"/>
  <c r="H936" i="10"/>
  <c r="J936" i="10" s="1"/>
  <c r="H937" i="10"/>
  <c r="J937" i="10" s="1"/>
  <c r="H938" i="10"/>
  <c r="J938" i="10" s="1"/>
  <c r="H939" i="10"/>
  <c r="J939" i="10" s="1"/>
  <c r="H940" i="10"/>
  <c r="J940" i="10" s="1"/>
  <c r="H941" i="10"/>
  <c r="J941" i="10" s="1"/>
  <c r="H942" i="10"/>
  <c r="J942" i="10" s="1"/>
  <c r="H943" i="10"/>
  <c r="J943" i="10" s="1"/>
  <c r="H944" i="10"/>
  <c r="J944" i="10" s="1"/>
  <c r="H945" i="10"/>
  <c r="J945" i="10" s="1"/>
  <c r="H946" i="10"/>
  <c r="J946" i="10" s="1"/>
  <c r="H947" i="10"/>
  <c r="J947" i="10" s="1"/>
  <c r="H948" i="10"/>
  <c r="J948" i="10" s="1"/>
  <c r="H949" i="10"/>
  <c r="J949" i="10" s="1"/>
  <c r="H950" i="10"/>
  <c r="J950" i="10" s="1"/>
  <c r="H951" i="10"/>
  <c r="J951" i="10" s="1"/>
  <c r="H952" i="10"/>
  <c r="J952" i="10" s="1"/>
  <c r="H953" i="10"/>
  <c r="J953" i="10" s="1"/>
  <c r="H954" i="10"/>
  <c r="J954" i="10" s="1"/>
  <c r="H955" i="10"/>
  <c r="J955" i="10" s="1"/>
  <c r="H956" i="10"/>
  <c r="J956" i="10" s="1"/>
  <c r="H957" i="10"/>
  <c r="J957" i="10" s="1"/>
  <c r="H958" i="10"/>
  <c r="J958" i="10" s="1"/>
  <c r="H959" i="10"/>
  <c r="J959" i="10" s="1"/>
  <c r="H960" i="10"/>
  <c r="J960" i="10" s="1"/>
  <c r="H961" i="10"/>
  <c r="J961" i="10" s="1"/>
  <c r="H962" i="10"/>
  <c r="J962" i="10" s="1"/>
  <c r="H963" i="10"/>
  <c r="J963" i="10" s="1"/>
  <c r="H964" i="10"/>
  <c r="J964" i="10" s="1"/>
  <c r="H965" i="10"/>
  <c r="J965" i="10" s="1"/>
  <c r="H966" i="10"/>
  <c r="J966" i="10" s="1"/>
  <c r="H967" i="10"/>
  <c r="J967" i="10" s="1"/>
  <c r="H968" i="10"/>
  <c r="J968" i="10" s="1"/>
  <c r="H969" i="10"/>
  <c r="J969" i="10" s="1"/>
  <c r="H970" i="10"/>
  <c r="J970" i="10" s="1"/>
  <c r="H971" i="10"/>
  <c r="J971" i="10" s="1"/>
  <c r="H972" i="10"/>
  <c r="J972" i="10" s="1"/>
  <c r="H973" i="10"/>
  <c r="J973" i="10" s="1"/>
  <c r="H974" i="10"/>
  <c r="J974" i="10" s="1"/>
  <c r="H975" i="10"/>
  <c r="J975" i="10" s="1"/>
  <c r="H976" i="10"/>
  <c r="J976" i="10" s="1"/>
  <c r="H977" i="10"/>
  <c r="J977" i="10" s="1"/>
  <c r="H978" i="10"/>
  <c r="J978" i="10" s="1"/>
  <c r="H979" i="10"/>
  <c r="J979" i="10" s="1"/>
  <c r="H980" i="10"/>
  <c r="J980" i="10" s="1"/>
  <c r="H981" i="10"/>
  <c r="J981" i="10" s="1"/>
  <c r="H982" i="10"/>
  <c r="J982" i="10" s="1"/>
  <c r="H983" i="10"/>
  <c r="J983" i="10" s="1"/>
  <c r="H984" i="10"/>
  <c r="J984" i="10" s="1"/>
  <c r="H985" i="10"/>
  <c r="J985" i="10" s="1"/>
  <c r="H986" i="10"/>
  <c r="J986" i="10" s="1"/>
  <c r="H987" i="10"/>
  <c r="J987" i="10" s="1"/>
  <c r="H988" i="10"/>
  <c r="J988" i="10" s="1"/>
  <c r="H989" i="10"/>
  <c r="J989" i="10" s="1"/>
  <c r="H990" i="10"/>
  <c r="J990" i="10" s="1"/>
  <c r="H991" i="10"/>
  <c r="J991" i="10" s="1"/>
  <c r="H992" i="10"/>
  <c r="J992" i="10" s="1"/>
  <c r="H993" i="10"/>
  <c r="J993" i="10" s="1"/>
  <c r="H994" i="10"/>
  <c r="J994" i="10" s="1"/>
  <c r="H995" i="10"/>
  <c r="J995" i="10" s="1"/>
  <c r="H996" i="10"/>
  <c r="J996" i="10" s="1"/>
  <c r="H997" i="10"/>
  <c r="J997" i="10" s="1"/>
  <c r="H998" i="10"/>
  <c r="J998" i="10" s="1"/>
  <c r="H999" i="10"/>
  <c r="J999" i="10" s="1"/>
  <c r="H1000" i="10"/>
  <c r="J1000" i="10" s="1"/>
  <c r="H1001" i="10"/>
  <c r="J1001" i="10" s="1"/>
  <c r="H1002" i="10"/>
  <c r="J1002" i="10" s="1"/>
  <c r="H1003" i="10"/>
  <c r="J1003" i="10" s="1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560" i="10"/>
  <c r="G561" i="10"/>
  <c r="G562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G579" i="10"/>
  <c r="G580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603" i="10"/>
  <c r="G604" i="10"/>
  <c r="G605" i="10"/>
  <c r="G606" i="10"/>
  <c r="G607" i="10"/>
  <c r="G608" i="10"/>
  <c r="G609" i="10"/>
  <c r="G610" i="10"/>
  <c r="G611" i="10"/>
  <c r="G612" i="10"/>
  <c r="G613" i="10"/>
  <c r="G614" i="10"/>
  <c r="G615" i="10"/>
  <c r="G616" i="10"/>
  <c r="G617" i="10"/>
  <c r="G618" i="10"/>
  <c r="G619" i="10"/>
  <c r="G620" i="10"/>
  <c r="G621" i="10"/>
  <c r="G622" i="10"/>
  <c r="G623" i="10"/>
  <c r="G624" i="10"/>
  <c r="G625" i="10"/>
  <c r="G626" i="10"/>
  <c r="G627" i="10"/>
  <c r="G628" i="10"/>
  <c r="G629" i="10"/>
  <c r="G630" i="10"/>
  <c r="G631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651" i="10"/>
  <c r="G652" i="10"/>
  <c r="G653" i="10"/>
  <c r="G654" i="10"/>
  <c r="G655" i="10"/>
  <c r="G656" i="10"/>
  <c r="G657" i="10"/>
  <c r="G658" i="10"/>
  <c r="G659" i="10"/>
  <c r="G660" i="10"/>
  <c r="G661" i="10"/>
  <c r="G662" i="10"/>
  <c r="G663" i="10"/>
  <c r="G664" i="10"/>
  <c r="G665" i="10"/>
  <c r="G666" i="10"/>
  <c r="G667" i="10"/>
  <c r="G668" i="10"/>
  <c r="G669" i="10"/>
  <c r="G670" i="10"/>
  <c r="G671" i="10"/>
  <c r="G672" i="10"/>
  <c r="G673" i="10"/>
  <c r="G674" i="10"/>
  <c r="G675" i="10"/>
  <c r="G676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G692" i="10"/>
  <c r="G693" i="10"/>
  <c r="G694" i="10"/>
  <c r="G695" i="10"/>
  <c r="G696" i="10"/>
  <c r="G697" i="10"/>
  <c r="G698" i="10"/>
  <c r="G699" i="10"/>
  <c r="G700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G720" i="10"/>
  <c r="G721" i="10"/>
  <c r="G722" i="10"/>
  <c r="G723" i="10"/>
  <c r="G724" i="10"/>
  <c r="G725" i="10"/>
  <c r="G726" i="10"/>
  <c r="G727" i="10"/>
  <c r="G728" i="10"/>
  <c r="G729" i="10"/>
  <c r="G730" i="10"/>
  <c r="G731" i="10"/>
  <c r="G732" i="10"/>
  <c r="G733" i="10"/>
  <c r="G734" i="10"/>
  <c r="G735" i="10"/>
  <c r="G736" i="10"/>
  <c r="G737" i="10"/>
  <c r="G738" i="10"/>
  <c r="G739" i="10"/>
  <c r="G740" i="10"/>
  <c r="G741" i="10"/>
  <c r="G742" i="10"/>
  <c r="G743" i="10"/>
  <c r="G744" i="10"/>
  <c r="G745" i="10"/>
  <c r="G746" i="10"/>
  <c r="G747" i="10"/>
  <c r="G748" i="10"/>
  <c r="G749" i="10"/>
  <c r="G750" i="10"/>
  <c r="G751" i="10"/>
  <c r="G752" i="10"/>
  <c r="G753" i="10"/>
  <c r="G754" i="10"/>
  <c r="G755" i="10"/>
  <c r="G756" i="10"/>
  <c r="G757" i="10"/>
  <c r="G758" i="10"/>
  <c r="G759" i="10"/>
  <c r="G760" i="10"/>
  <c r="G761" i="10"/>
  <c r="G762" i="10"/>
  <c r="G763" i="10"/>
  <c r="G764" i="10"/>
  <c r="G765" i="10"/>
  <c r="G766" i="10"/>
  <c r="G767" i="10"/>
  <c r="G768" i="10"/>
  <c r="G769" i="10"/>
  <c r="G770" i="10"/>
  <c r="G771" i="10"/>
  <c r="G772" i="10"/>
  <c r="G773" i="10"/>
  <c r="G774" i="10"/>
  <c r="G775" i="10"/>
  <c r="G776" i="10"/>
  <c r="G777" i="10"/>
  <c r="G778" i="10"/>
  <c r="G779" i="10"/>
  <c r="G780" i="10"/>
  <c r="G781" i="10"/>
  <c r="G782" i="10"/>
  <c r="G783" i="10"/>
  <c r="G784" i="10"/>
  <c r="G785" i="10"/>
  <c r="G786" i="10"/>
  <c r="G787" i="10"/>
  <c r="G788" i="10"/>
  <c r="G789" i="10"/>
  <c r="G790" i="10"/>
  <c r="G791" i="10"/>
  <c r="G792" i="10"/>
  <c r="G793" i="10"/>
  <c r="G794" i="10"/>
  <c r="G795" i="10"/>
  <c r="G796" i="10"/>
  <c r="G797" i="10"/>
  <c r="G798" i="10"/>
  <c r="G799" i="10"/>
  <c r="G800" i="10"/>
  <c r="G801" i="10"/>
  <c r="G802" i="10"/>
  <c r="G803" i="10"/>
  <c r="G804" i="10"/>
  <c r="G805" i="10"/>
  <c r="G806" i="10"/>
  <c r="G807" i="10"/>
  <c r="G808" i="10"/>
  <c r="G809" i="10"/>
  <c r="G810" i="10"/>
  <c r="G811" i="10"/>
  <c r="G812" i="10"/>
  <c r="G813" i="10"/>
  <c r="G814" i="10"/>
  <c r="G815" i="10"/>
  <c r="G816" i="10"/>
  <c r="G817" i="10"/>
  <c r="G818" i="10"/>
  <c r="G819" i="10"/>
  <c r="G820" i="10"/>
  <c r="G821" i="10"/>
  <c r="G822" i="10"/>
  <c r="G823" i="10"/>
  <c r="G824" i="10"/>
  <c r="G825" i="10"/>
  <c r="G826" i="10"/>
  <c r="G827" i="10"/>
  <c r="G828" i="10"/>
  <c r="G829" i="10"/>
  <c r="G830" i="10"/>
  <c r="G831" i="10"/>
  <c r="G832" i="10"/>
  <c r="G833" i="10"/>
  <c r="G834" i="10"/>
  <c r="G835" i="10"/>
  <c r="G836" i="10"/>
  <c r="G837" i="10"/>
  <c r="G838" i="10"/>
  <c r="G839" i="10"/>
  <c r="G840" i="10"/>
  <c r="G841" i="10"/>
  <c r="G842" i="10"/>
  <c r="G843" i="10"/>
  <c r="G844" i="10"/>
  <c r="G845" i="10"/>
  <c r="G846" i="10"/>
  <c r="G847" i="10"/>
  <c r="G848" i="10"/>
  <c r="G849" i="10"/>
  <c r="G850" i="10"/>
  <c r="G851" i="10"/>
  <c r="G852" i="10"/>
  <c r="G853" i="10"/>
  <c r="G854" i="10"/>
  <c r="G855" i="10"/>
  <c r="G856" i="10"/>
  <c r="G857" i="10"/>
  <c r="G858" i="10"/>
  <c r="G859" i="10"/>
  <c r="G860" i="10"/>
  <c r="G861" i="10"/>
  <c r="G862" i="10"/>
  <c r="G863" i="10"/>
  <c r="G864" i="10"/>
  <c r="G865" i="10"/>
  <c r="G866" i="10"/>
  <c r="G867" i="10"/>
  <c r="G868" i="10"/>
  <c r="G869" i="10"/>
  <c r="G870" i="10"/>
  <c r="G871" i="10"/>
  <c r="G872" i="10"/>
  <c r="G873" i="10"/>
  <c r="G874" i="10"/>
  <c r="G875" i="10"/>
  <c r="G876" i="10"/>
  <c r="G877" i="10"/>
  <c r="G878" i="10"/>
  <c r="G879" i="10"/>
  <c r="G880" i="10"/>
  <c r="G881" i="10"/>
  <c r="G882" i="10"/>
  <c r="G883" i="10"/>
  <c r="G884" i="10"/>
  <c r="G885" i="10"/>
  <c r="G886" i="10"/>
  <c r="G887" i="10"/>
  <c r="G888" i="10"/>
  <c r="G889" i="10"/>
  <c r="G890" i="10"/>
  <c r="G891" i="10"/>
  <c r="G892" i="10"/>
  <c r="G893" i="10"/>
  <c r="G894" i="10"/>
  <c r="G895" i="10"/>
  <c r="G896" i="10"/>
  <c r="G897" i="10"/>
  <c r="G898" i="10"/>
  <c r="G899" i="10"/>
  <c r="G900" i="10"/>
  <c r="G901" i="10"/>
  <c r="G902" i="10"/>
  <c r="G903" i="10"/>
  <c r="G904" i="10"/>
  <c r="G905" i="10"/>
  <c r="G906" i="10"/>
  <c r="G907" i="10"/>
  <c r="G908" i="10"/>
  <c r="G909" i="10"/>
  <c r="G910" i="10"/>
  <c r="G911" i="10"/>
  <c r="G912" i="10"/>
  <c r="G913" i="10"/>
  <c r="G914" i="10"/>
  <c r="G915" i="10"/>
  <c r="G916" i="10"/>
  <c r="G917" i="10"/>
  <c r="G918" i="10"/>
  <c r="G919" i="10"/>
  <c r="G920" i="10"/>
  <c r="G921" i="10"/>
  <c r="G922" i="10"/>
  <c r="G923" i="10"/>
  <c r="G924" i="10"/>
  <c r="G925" i="10"/>
  <c r="G926" i="10"/>
  <c r="G927" i="10"/>
  <c r="G928" i="10"/>
  <c r="G929" i="10"/>
  <c r="G930" i="10"/>
  <c r="G931" i="10"/>
  <c r="G932" i="10"/>
  <c r="G933" i="10"/>
  <c r="G934" i="10"/>
  <c r="G935" i="10"/>
  <c r="G936" i="10"/>
  <c r="G937" i="10"/>
  <c r="G938" i="10"/>
  <c r="G939" i="10"/>
  <c r="G940" i="10"/>
  <c r="G941" i="10"/>
  <c r="G942" i="10"/>
  <c r="G943" i="10"/>
  <c r="G944" i="10"/>
  <c r="G945" i="10"/>
  <c r="G946" i="10"/>
  <c r="G947" i="10"/>
  <c r="G948" i="10"/>
  <c r="G949" i="10"/>
  <c r="G950" i="10"/>
  <c r="G951" i="10"/>
  <c r="G952" i="10"/>
  <c r="G953" i="10"/>
  <c r="G954" i="10"/>
  <c r="G955" i="10"/>
  <c r="G956" i="10"/>
  <c r="G957" i="10"/>
  <c r="G958" i="10"/>
  <c r="G959" i="10"/>
  <c r="G960" i="10"/>
  <c r="G961" i="10"/>
  <c r="G962" i="10"/>
  <c r="G963" i="10"/>
  <c r="G964" i="10"/>
  <c r="G965" i="10"/>
  <c r="G966" i="10"/>
  <c r="G967" i="10"/>
  <c r="G968" i="10"/>
  <c r="G969" i="10"/>
  <c r="G970" i="10"/>
  <c r="G971" i="10"/>
  <c r="G972" i="10"/>
  <c r="G973" i="10"/>
  <c r="G974" i="10"/>
  <c r="G975" i="10"/>
  <c r="G976" i="10"/>
  <c r="G977" i="10"/>
  <c r="G978" i="10"/>
  <c r="G979" i="10"/>
  <c r="G980" i="10"/>
  <c r="G981" i="10"/>
  <c r="G982" i="10"/>
  <c r="G983" i="10"/>
  <c r="G984" i="10"/>
  <c r="G985" i="10"/>
  <c r="G986" i="10"/>
  <c r="G987" i="10"/>
  <c r="G988" i="10"/>
  <c r="G989" i="10"/>
  <c r="G990" i="10"/>
  <c r="G991" i="10"/>
  <c r="G992" i="10"/>
  <c r="G993" i="10"/>
  <c r="G994" i="10"/>
  <c r="G995" i="10"/>
  <c r="G996" i="10"/>
  <c r="G997" i="10"/>
  <c r="G998" i="10"/>
  <c r="G999" i="10"/>
  <c r="G1000" i="10"/>
  <c r="G1001" i="10"/>
  <c r="G1002" i="10"/>
  <c r="G1003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9" i="10"/>
  <c r="F40" i="10"/>
  <c r="F41" i="10"/>
  <c r="F42" i="10"/>
  <c r="F43" i="10"/>
  <c r="F44" i="10"/>
  <c r="F45" i="10"/>
  <c r="F46" i="10"/>
  <c r="F47" i="10"/>
  <c r="F48" i="10"/>
  <c r="F49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H77" i="10" s="1"/>
  <c r="J77" i="10" s="1"/>
  <c r="F78" i="10"/>
  <c r="F79" i="10"/>
  <c r="F80" i="10"/>
  <c r="F81" i="10"/>
  <c r="H81" i="10" s="1"/>
  <c r="J81" i="10" s="1"/>
  <c r="F82" i="10"/>
  <c r="F83" i="10"/>
  <c r="H83" i="10" s="1"/>
  <c r="J83" i="10" s="1"/>
  <c r="F84" i="10"/>
  <c r="F85" i="10"/>
  <c r="H85" i="10" s="1"/>
  <c r="J85" i="10" s="1"/>
  <c r="F86" i="10"/>
  <c r="F87" i="10"/>
  <c r="H87" i="10" s="1"/>
  <c r="J87" i="10" s="1"/>
  <c r="F88" i="10"/>
  <c r="F89" i="10"/>
  <c r="H89" i="10" s="1"/>
  <c r="J89" i="10" s="1"/>
  <c r="F90" i="10"/>
  <c r="F91" i="10"/>
  <c r="H91" i="10" s="1"/>
  <c r="J91" i="10" s="1"/>
  <c r="F92" i="10"/>
  <c r="F93" i="10"/>
  <c r="H93" i="10" s="1"/>
  <c r="J93" i="10" s="1"/>
  <c r="F94" i="10"/>
  <c r="F95" i="10"/>
  <c r="H95" i="10" s="1"/>
  <c r="J95" i="10" s="1"/>
  <c r="F96" i="10"/>
  <c r="F97" i="10"/>
  <c r="H97" i="10" s="1"/>
  <c r="J97" i="10" s="1"/>
  <c r="F98" i="10"/>
  <c r="F99" i="10"/>
  <c r="H99" i="10" s="1"/>
  <c r="J99" i="10" s="1"/>
  <c r="F100" i="10"/>
  <c r="F101" i="10"/>
  <c r="H101" i="10" s="1"/>
  <c r="J101" i="10" s="1"/>
  <c r="F102" i="10"/>
  <c r="H102" i="10" s="1"/>
  <c r="J102" i="10" s="1"/>
  <c r="F103" i="10"/>
  <c r="H103" i="10" s="1"/>
  <c r="J103" i="10" s="1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2" i="10"/>
  <c r="F843" i="10"/>
  <c r="F844" i="10"/>
  <c r="F845" i="10"/>
  <c r="F846" i="10"/>
  <c r="F847" i="10"/>
  <c r="F848" i="10"/>
  <c r="F849" i="10"/>
  <c r="F850" i="10"/>
  <c r="F851" i="10"/>
  <c r="F852" i="10"/>
  <c r="F853" i="10"/>
  <c r="F854" i="10"/>
  <c r="F855" i="10"/>
  <c r="F856" i="10"/>
  <c r="F857" i="10"/>
  <c r="F858" i="10"/>
  <c r="F859" i="10"/>
  <c r="F860" i="10"/>
  <c r="F861" i="10"/>
  <c r="F862" i="10"/>
  <c r="F863" i="10"/>
  <c r="F864" i="10"/>
  <c r="F865" i="10"/>
  <c r="F866" i="10"/>
  <c r="F867" i="10"/>
  <c r="F868" i="10"/>
  <c r="F869" i="10"/>
  <c r="F870" i="10"/>
  <c r="F871" i="10"/>
  <c r="F872" i="10"/>
  <c r="F873" i="10"/>
  <c r="F874" i="10"/>
  <c r="F875" i="10"/>
  <c r="F876" i="10"/>
  <c r="F877" i="10"/>
  <c r="F878" i="10"/>
  <c r="F879" i="10"/>
  <c r="F880" i="10"/>
  <c r="F881" i="10"/>
  <c r="F882" i="10"/>
  <c r="F883" i="10"/>
  <c r="F884" i="10"/>
  <c r="F885" i="10"/>
  <c r="F886" i="10"/>
  <c r="F887" i="10"/>
  <c r="F888" i="10"/>
  <c r="F889" i="10"/>
  <c r="F890" i="10"/>
  <c r="F891" i="10"/>
  <c r="F892" i="10"/>
  <c r="F893" i="10"/>
  <c r="F894" i="10"/>
  <c r="F895" i="10"/>
  <c r="F896" i="10"/>
  <c r="F897" i="10"/>
  <c r="F898" i="10"/>
  <c r="F899" i="10"/>
  <c r="F900" i="10"/>
  <c r="F901" i="10"/>
  <c r="F902" i="10"/>
  <c r="F903" i="10"/>
  <c r="F904" i="10"/>
  <c r="F905" i="10"/>
  <c r="F906" i="10"/>
  <c r="F907" i="10"/>
  <c r="F908" i="10"/>
  <c r="F909" i="10"/>
  <c r="F910" i="10"/>
  <c r="F911" i="10"/>
  <c r="F912" i="10"/>
  <c r="F913" i="10"/>
  <c r="F914" i="10"/>
  <c r="F915" i="10"/>
  <c r="F916" i="10"/>
  <c r="F917" i="10"/>
  <c r="F918" i="10"/>
  <c r="F919" i="10"/>
  <c r="F920" i="10"/>
  <c r="F921" i="10"/>
  <c r="F922" i="10"/>
  <c r="F923" i="10"/>
  <c r="F924" i="10"/>
  <c r="F925" i="10"/>
  <c r="F926" i="10"/>
  <c r="F927" i="10"/>
  <c r="F928" i="10"/>
  <c r="F929" i="10"/>
  <c r="F930" i="10"/>
  <c r="F931" i="10"/>
  <c r="F932" i="10"/>
  <c r="F933" i="10"/>
  <c r="F934" i="10"/>
  <c r="F935" i="10"/>
  <c r="F936" i="10"/>
  <c r="F937" i="10"/>
  <c r="F938" i="10"/>
  <c r="F939" i="10"/>
  <c r="F940" i="10"/>
  <c r="F941" i="10"/>
  <c r="F942" i="10"/>
  <c r="F943" i="10"/>
  <c r="F944" i="10"/>
  <c r="F945" i="10"/>
  <c r="F946" i="10"/>
  <c r="F947" i="10"/>
  <c r="F948" i="10"/>
  <c r="F949" i="10"/>
  <c r="F950" i="10"/>
  <c r="F951" i="10"/>
  <c r="F952" i="10"/>
  <c r="F953" i="10"/>
  <c r="F954" i="10"/>
  <c r="F955" i="10"/>
  <c r="F956" i="10"/>
  <c r="F957" i="10"/>
  <c r="F958" i="10"/>
  <c r="F959" i="10"/>
  <c r="F960" i="10"/>
  <c r="F961" i="10"/>
  <c r="F962" i="10"/>
  <c r="F963" i="10"/>
  <c r="F964" i="10"/>
  <c r="F965" i="10"/>
  <c r="F966" i="10"/>
  <c r="F967" i="10"/>
  <c r="F968" i="10"/>
  <c r="F969" i="10"/>
  <c r="F970" i="10"/>
  <c r="F971" i="10"/>
  <c r="F972" i="10"/>
  <c r="F973" i="10"/>
  <c r="F974" i="10"/>
  <c r="F975" i="10"/>
  <c r="F976" i="10"/>
  <c r="F977" i="10"/>
  <c r="F978" i="10"/>
  <c r="F979" i="10"/>
  <c r="F980" i="10"/>
  <c r="F981" i="10"/>
  <c r="F982" i="10"/>
  <c r="F983" i="10"/>
  <c r="F984" i="10"/>
  <c r="F985" i="10"/>
  <c r="F986" i="10"/>
  <c r="F987" i="10"/>
  <c r="F988" i="10"/>
  <c r="F989" i="10"/>
  <c r="F990" i="10"/>
  <c r="F991" i="10"/>
  <c r="F992" i="10"/>
  <c r="F993" i="10"/>
  <c r="F994" i="10"/>
  <c r="F995" i="10"/>
  <c r="F996" i="10"/>
  <c r="F997" i="10"/>
  <c r="F998" i="10"/>
  <c r="F999" i="10"/>
  <c r="F1000" i="10"/>
  <c r="F1001" i="10"/>
  <c r="F1002" i="10"/>
  <c r="F1003" i="10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5" i="6"/>
  <c r="I6" i="6"/>
  <c r="I7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4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5" i="6"/>
  <c r="F6" i="6"/>
  <c r="F7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4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5" i="6"/>
  <c r="D6" i="6"/>
  <c r="D7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4" i="6"/>
  <c r="H55" i="10" l="1"/>
  <c r="H100" i="10"/>
  <c r="J100" i="10" s="1"/>
  <c r="H96" i="10"/>
  <c r="J96" i="10" s="1"/>
  <c r="H98" i="10"/>
  <c r="J98" i="10" s="1"/>
  <c r="H94" i="10"/>
  <c r="J94" i="10" s="1"/>
  <c r="H90" i="10"/>
  <c r="J90" i="10" s="1"/>
  <c r="H86" i="10"/>
  <c r="J86" i="10" s="1"/>
  <c r="H82" i="10"/>
  <c r="J82" i="10" s="1"/>
  <c r="H92" i="10"/>
  <c r="J92" i="10" s="1"/>
  <c r="H88" i="10"/>
  <c r="J88" i="10" s="1"/>
  <c r="H84" i="10"/>
  <c r="J84" i="10" s="1"/>
  <c r="H80" i="10"/>
  <c r="J80" i="10" s="1"/>
  <c r="H79" i="10"/>
  <c r="J79" i="10" s="1"/>
  <c r="H75" i="10"/>
  <c r="J75" i="10" s="1"/>
  <c r="H78" i="10"/>
  <c r="J78" i="10" s="1"/>
  <c r="H76" i="10"/>
  <c r="J76" i="10" s="1"/>
  <c r="H72" i="10"/>
  <c r="J72" i="10" s="1"/>
  <c r="H68" i="10"/>
  <c r="J68" i="10" s="1"/>
  <c r="H64" i="10"/>
  <c r="J64" i="10" s="1"/>
  <c r="H74" i="10"/>
  <c r="J74" i="10" s="1"/>
  <c r="H70" i="10"/>
  <c r="J70" i="10" s="1"/>
  <c r="H66" i="10"/>
  <c r="J66" i="10" s="1"/>
  <c r="H62" i="10"/>
  <c r="J62" i="10" s="1"/>
  <c r="H73" i="10"/>
  <c r="J73" i="10" s="1"/>
  <c r="H71" i="10"/>
  <c r="J71" i="10" s="1"/>
  <c r="H67" i="10"/>
  <c r="J67" i="10" s="1"/>
  <c r="H69" i="10"/>
  <c r="J69" i="10" s="1"/>
  <c r="H65" i="10"/>
  <c r="J65" i="10" s="1"/>
  <c r="H61" i="10"/>
  <c r="H63" i="10"/>
  <c r="J63" i="10" s="1"/>
  <c r="H59" i="10"/>
  <c r="H60" i="10"/>
  <c r="H56" i="10"/>
  <c r="H52" i="10"/>
  <c r="H58" i="10"/>
  <c r="H54" i="10"/>
  <c r="H57" i="10"/>
  <c r="H53" i="10"/>
  <c r="H51" i="10"/>
  <c r="H50" i="10"/>
  <c r="H49" i="10"/>
  <c r="H48" i="10"/>
  <c r="H47" i="10"/>
  <c r="H45" i="10"/>
  <c r="H46" i="10"/>
  <c r="H44" i="10"/>
  <c r="H35" i="10"/>
  <c r="H43" i="10"/>
  <c r="H39" i="10"/>
  <c r="H42" i="10"/>
  <c r="H38" i="10"/>
  <c r="H34" i="10"/>
  <c r="H41" i="10"/>
  <c r="H37" i="10"/>
  <c r="H40" i="10"/>
  <c r="H36" i="10"/>
  <c r="H28" i="10"/>
  <c r="H24" i="10"/>
  <c r="H20" i="10"/>
  <c r="H16" i="10"/>
  <c r="H31" i="10"/>
  <c r="H27" i="10"/>
  <c r="H23" i="10"/>
  <c r="H19" i="10"/>
  <c r="H15" i="10"/>
  <c r="H33" i="10"/>
  <c r="H29" i="10"/>
  <c r="H25" i="10"/>
  <c r="H21" i="10"/>
  <c r="H17" i="10"/>
  <c r="H32" i="10"/>
  <c r="H30" i="10"/>
  <c r="H26" i="10"/>
  <c r="H22" i="10"/>
  <c r="H18" i="10"/>
  <c r="H12" i="10"/>
  <c r="H8" i="10"/>
  <c r="H14" i="10"/>
  <c r="H10" i="10"/>
  <c r="H6" i="10"/>
  <c r="H13" i="10"/>
  <c r="H9" i="10"/>
  <c r="H5" i="10"/>
  <c r="H11" i="10"/>
  <c r="H7" i="10"/>
  <c r="F4" i="4"/>
  <c r="J60" i="10" l="1"/>
  <c r="H341" i="5"/>
  <c r="J58" i="10"/>
  <c r="H339" i="5"/>
  <c r="J59" i="10"/>
  <c r="H340" i="5"/>
  <c r="J61" i="10"/>
  <c r="H338" i="5"/>
  <c r="J55" i="10"/>
  <c r="H319" i="5"/>
  <c r="J56" i="10"/>
  <c r="H318" i="5"/>
  <c r="J57" i="10"/>
  <c r="H315" i="5"/>
  <c r="H187" i="5"/>
  <c r="J54" i="10"/>
  <c r="H293" i="5"/>
  <c r="J53" i="10"/>
  <c r="H292" i="5"/>
  <c r="H183" i="5"/>
  <c r="H237" i="5"/>
  <c r="H238" i="5"/>
  <c r="H190" i="5"/>
  <c r="H198" i="5"/>
  <c r="H203" i="5"/>
  <c r="H213" i="5"/>
  <c r="H181" i="5"/>
  <c r="H186" i="5"/>
  <c r="H194" i="5"/>
  <c r="H205" i="5"/>
  <c r="H216" i="5"/>
  <c r="H200" i="5"/>
  <c r="H218" i="5"/>
  <c r="H235" i="5"/>
  <c r="H209" i="5"/>
  <c r="H191" i="5"/>
  <c r="H262" i="5"/>
  <c r="H249" i="5"/>
  <c r="H208" i="5"/>
  <c r="H206" i="5"/>
  <c r="H214" i="5"/>
  <c r="H185" i="5"/>
  <c r="H195" i="5"/>
  <c r="H210" i="5"/>
  <c r="H180" i="5"/>
  <c r="H217" i="5"/>
  <c r="H219" i="5"/>
  <c r="H199" i="5"/>
  <c r="H189" i="5"/>
  <c r="H202" i="5"/>
  <c r="H184" i="5"/>
  <c r="H182" i="5"/>
  <c r="H188" i="5"/>
  <c r="H201" i="5"/>
  <c r="H192" i="5"/>
  <c r="H212" i="5"/>
  <c r="H236" i="5"/>
  <c r="H196" i="5"/>
  <c r="H211" i="5"/>
  <c r="H193" i="5"/>
  <c r="H197" i="5"/>
  <c r="H207" i="5"/>
  <c r="H204" i="5"/>
  <c r="H215" i="5"/>
  <c r="J51" i="10"/>
  <c r="H268" i="5"/>
  <c r="J52" i="10"/>
  <c r="J50" i="10"/>
  <c r="H267" i="5"/>
  <c r="J49" i="10"/>
  <c r="J48" i="10"/>
  <c r="J46" i="10"/>
  <c r="J45" i="10"/>
  <c r="J47" i="10"/>
  <c r="J44" i="10"/>
  <c r="J14" i="10"/>
  <c r="J22" i="10"/>
  <c r="J17" i="10"/>
  <c r="J33" i="10"/>
  <c r="J27" i="10"/>
  <c r="J24" i="10"/>
  <c r="J37" i="10"/>
  <c r="J42" i="10"/>
  <c r="J13" i="10"/>
  <c r="J26" i="10"/>
  <c r="J21" i="10"/>
  <c r="J15" i="10"/>
  <c r="J31" i="10"/>
  <c r="J28" i="10"/>
  <c r="J41" i="10"/>
  <c r="J39" i="10"/>
  <c r="J11" i="10"/>
  <c r="J12" i="10"/>
  <c r="J30" i="10"/>
  <c r="J25" i="10"/>
  <c r="J19" i="10"/>
  <c r="J16" i="10"/>
  <c r="J36" i="10"/>
  <c r="J34" i="10"/>
  <c r="J43" i="10"/>
  <c r="J5" i="10"/>
  <c r="J10" i="10"/>
  <c r="J18" i="10"/>
  <c r="J32" i="10"/>
  <c r="J29" i="10"/>
  <c r="J23" i="10"/>
  <c r="J20" i="10"/>
  <c r="J40" i="10"/>
  <c r="J38" i="10"/>
  <c r="J35" i="10"/>
  <c r="J9" i="10"/>
  <c r="J8" i="10"/>
  <c r="J6" i="10"/>
  <c r="J7" i="10"/>
  <c r="H32" i="6" l="1"/>
  <c r="J32" i="6" l="1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9" i="2"/>
  <c r="AM30" i="2"/>
  <c r="AM31" i="2"/>
  <c r="AM32" i="2"/>
  <c r="AM33" i="2"/>
  <c r="AM34" i="2"/>
  <c r="AM35" i="2"/>
  <c r="AM36" i="2"/>
  <c r="AM38" i="2"/>
  <c r="AO38" i="2" s="1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O57" i="2" s="1"/>
  <c r="AP57" i="2" s="1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9" i="2"/>
  <c r="AH30" i="2"/>
  <c r="AH31" i="2"/>
  <c r="AH32" i="2"/>
  <c r="AH33" i="2"/>
  <c r="AH34" i="2"/>
  <c r="AH35" i="2"/>
  <c r="AH36" i="2"/>
  <c r="AH38" i="2"/>
  <c r="AJ38" i="2" s="1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9" i="2"/>
  <c r="AC30" i="2"/>
  <c r="AC31" i="2"/>
  <c r="AC32" i="2"/>
  <c r="AC33" i="2"/>
  <c r="AC34" i="2"/>
  <c r="AC35" i="2"/>
  <c r="AC36" i="2"/>
  <c r="AC38" i="2"/>
  <c r="AE38" i="2" s="1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9" i="2"/>
  <c r="X30" i="2"/>
  <c r="X31" i="2"/>
  <c r="X32" i="2"/>
  <c r="X33" i="2"/>
  <c r="X34" i="2"/>
  <c r="X35" i="2"/>
  <c r="X36" i="2"/>
  <c r="X38" i="2"/>
  <c r="Z38" i="2" s="1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9" i="2"/>
  <c r="S30" i="2"/>
  <c r="S31" i="2"/>
  <c r="S32" i="2"/>
  <c r="S33" i="2"/>
  <c r="S34" i="2"/>
  <c r="S35" i="2"/>
  <c r="S36" i="2"/>
  <c r="S38" i="2"/>
  <c r="U38" i="2" s="1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9" i="2"/>
  <c r="N30" i="2"/>
  <c r="N31" i="2"/>
  <c r="N32" i="2"/>
  <c r="N33" i="2"/>
  <c r="N34" i="2"/>
  <c r="N35" i="2"/>
  <c r="N36" i="2"/>
  <c r="N38" i="2"/>
  <c r="P38" i="2" s="1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9" i="2"/>
  <c r="I30" i="2"/>
  <c r="I31" i="2"/>
  <c r="I32" i="2"/>
  <c r="I33" i="2"/>
  <c r="I34" i="2"/>
  <c r="I35" i="2"/>
  <c r="I36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H38" i="2"/>
  <c r="G38" i="2"/>
  <c r="D38" i="2"/>
  <c r="AM6" i="2"/>
  <c r="AH6" i="2"/>
  <c r="AC6" i="2"/>
  <c r="X6" i="2"/>
  <c r="S6" i="2"/>
  <c r="N6" i="2"/>
  <c r="I6" i="2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502" i="9"/>
  <c r="F503" i="9"/>
  <c r="F504" i="9"/>
  <c r="F505" i="9"/>
  <c r="F506" i="9"/>
  <c r="F507" i="9"/>
  <c r="F508" i="9"/>
  <c r="F509" i="9"/>
  <c r="F510" i="9"/>
  <c r="F511" i="9"/>
  <c r="F512" i="9"/>
  <c r="F513" i="9"/>
  <c r="F514" i="9"/>
  <c r="F515" i="9"/>
  <c r="F516" i="9"/>
  <c r="F517" i="9"/>
  <c r="F518" i="9"/>
  <c r="F519" i="9"/>
  <c r="F520" i="9"/>
  <c r="F521" i="9"/>
  <c r="F522" i="9"/>
  <c r="F523" i="9"/>
  <c r="F524" i="9"/>
  <c r="F525" i="9"/>
  <c r="F526" i="9"/>
  <c r="F527" i="9"/>
  <c r="F528" i="9"/>
  <c r="F529" i="9"/>
  <c r="F530" i="9"/>
  <c r="F531" i="9"/>
  <c r="F532" i="9"/>
  <c r="F533" i="9"/>
  <c r="F534" i="9"/>
  <c r="F535" i="9"/>
  <c r="F536" i="9"/>
  <c r="F537" i="9"/>
  <c r="F538" i="9"/>
  <c r="F539" i="9"/>
  <c r="F540" i="9"/>
  <c r="F541" i="9"/>
  <c r="F542" i="9"/>
  <c r="F543" i="9"/>
  <c r="F544" i="9"/>
  <c r="F545" i="9"/>
  <c r="F546" i="9"/>
  <c r="F547" i="9"/>
  <c r="F548" i="9"/>
  <c r="F549" i="9"/>
  <c r="F550" i="9"/>
  <c r="F551" i="9"/>
  <c r="F552" i="9"/>
  <c r="F553" i="9"/>
  <c r="F554" i="9"/>
  <c r="F555" i="9"/>
  <c r="F556" i="9"/>
  <c r="F557" i="9"/>
  <c r="F558" i="9"/>
  <c r="F559" i="9"/>
  <c r="F560" i="9"/>
  <c r="F561" i="9"/>
  <c r="F562" i="9"/>
  <c r="F563" i="9"/>
  <c r="F564" i="9"/>
  <c r="F565" i="9"/>
  <c r="F566" i="9"/>
  <c r="F567" i="9"/>
  <c r="F568" i="9"/>
  <c r="F569" i="9"/>
  <c r="F570" i="9"/>
  <c r="F571" i="9"/>
  <c r="F572" i="9"/>
  <c r="F573" i="9"/>
  <c r="F574" i="9"/>
  <c r="F575" i="9"/>
  <c r="F576" i="9"/>
  <c r="F577" i="9"/>
  <c r="F578" i="9"/>
  <c r="F579" i="9"/>
  <c r="F580" i="9"/>
  <c r="F581" i="9"/>
  <c r="F582" i="9"/>
  <c r="F583" i="9"/>
  <c r="F584" i="9"/>
  <c r="F585" i="9"/>
  <c r="F586" i="9"/>
  <c r="F587" i="9"/>
  <c r="F588" i="9"/>
  <c r="F589" i="9"/>
  <c r="F590" i="9"/>
  <c r="F591" i="9"/>
  <c r="F592" i="9"/>
  <c r="F593" i="9"/>
  <c r="F594" i="9"/>
  <c r="F595" i="9"/>
  <c r="F596" i="9"/>
  <c r="F597" i="9"/>
  <c r="F598" i="9"/>
  <c r="F599" i="9"/>
  <c r="F600" i="9"/>
  <c r="F601" i="9"/>
  <c r="F602" i="9"/>
  <c r="F603" i="9"/>
  <c r="F604" i="9"/>
  <c r="F605" i="9"/>
  <c r="F606" i="9"/>
  <c r="F607" i="9"/>
  <c r="F608" i="9"/>
  <c r="F609" i="9"/>
  <c r="F610" i="9"/>
  <c r="F611" i="9"/>
  <c r="F612" i="9"/>
  <c r="F613" i="9"/>
  <c r="F614" i="9"/>
  <c r="F615" i="9"/>
  <c r="F616" i="9"/>
  <c r="F617" i="9"/>
  <c r="F618" i="9"/>
  <c r="F619" i="9"/>
  <c r="F620" i="9"/>
  <c r="F621" i="9"/>
  <c r="F622" i="9"/>
  <c r="F623" i="9"/>
  <c r="F624" i="9"/>
  <c r="F625" i="9"/>
  <c r="F626" i="9"/>
  <c r="F627" i="9"/>
  <c r="F628" i="9"/>
  <c r="F629" i="9"/>
  <c r="F630" i="9"/>
  <c r="F631" i="9"/>
  <c r="F632" i="9"/>
  <c r="F633" i="9"/>
  <c r="F634" i="9"/>
  <c r="F635" i="9"/>
  <c r="F636" i="9"/>
  <c r="F637" i="9"/>
  <c r="F638" i="9"/>
  <c r="F639" i="9"/>
  <c r="F640" i="9"/>
  <c r="F641" i="9"/>
  <c r="F642" i="9"/>
  <c r="F643" i="9"/>
  <c r="F644" i="9"/>
  <c r="F645" i="9"/>
  <c r="F646" i="9"/>
  <c r="F647" i="9"/>
  <c r="F648" i="9"/>
  <c r="F649" i="9"/>
  <c r="F650" i="9"/>
  <c r="F651" i="9"/>
  <c r="F652" i="9"/>
  <c r="F653" i="9"/>
  <c r="F654" i="9"/>
  <c r="F655" i="9"/>
  <c r="F656" i="9"/>
  <c r="F657" i="9"/>
  <c r="F658" i="9"/>
  <c r="F659" i="9"/>
  <c r="F660" i="9"/>
  <c r="F661" i="9"/>
  <c r="F662" i="9"/>
  <c r="F663" i="9"/>
  <c r="F664" i="9"/>
  <c r="F665" i="9"/>
  <c r="F666" i="9"/>
  <c r="F667" i="9"/>
  <c r="F668" i="9"/>
  <c r="F669" i="9"/>
  <c r="F670" i="9"/>
  <c r="F671" i="9"/>
  <c r="F672" i="9"/>
  <c r="F673" i="9"/>
  <c r="F674" i="9"/>
  <c r="F675" i="9"/>
  <c r="F676" i="9"/>
  <c r="F677" i="9"/>
  <c r="F678" i="9"/>
  <c r="F679" i="9"/>
  <c r="F680" i="9"/>
  <c r="F681" i="9"/>
  <c r="F682" i="9"/>
  <c r="F683" i="9"/>
  <c r="F684" i="9"/>
  <c r="F685" i="9"/>
  <c r="F686" i="9"/>
  <c r="F687" i="9"/>
  <c r="F688" i="9"/>
  <c r="F689" i="9"/>
  <c r="F690" i="9"/>
  <c r="F691" i="9"/>
  <c r="F692" i="9"/>
  <c r="F693" i="9"/>
  <c r="F694" i="9"/>
  <c r="F695" i="9"/>
  <c r="F696" i="9"/>
  <c r="F697" i="9"/>
  <c r="F698" i="9"/>
  <c r="F699" i="9"/>
  <c r="F700" i="9"/>
  <c r="F701" i="9"/>
  <c r="F702" i="9"/>
  <c r="F703" i="9"/>
  <c r="F704" i="9"/>
  <c r="F705" i="9"/>
  <c r="F706" i="9"/>
  <c r="F707" i="9"/>
  <c r="F708" i="9"/>
  <c r="F709" i="9"/>
  <c r="F710" i="9"/>
  <c r="F711" i="9"/>
  <c r="F712" i="9"/>
  <c r="F713" i="9"/>
  <c r="F714" i="9"/>
  <c r="F715" i="9"/>
  <c r="F716" i="9"/>
  <c r="F717" i="9"/>
  <c r="F718" i="9"/>
  <c r="F719" i="9"/>
  <c r="F720" i="9"/>
  <c r="F721" i="9"/>
  <c r="F722" i="9"/>
  <c r="F723" i="9"/>
  <c r="F724" i="9"/>
  <c r="F725" i="9"/>
  <c r="F726" i="9"/>
  <c r="F727" i="9"/>
  <c r="F728" i="9"/>
  <c r="F729" i="9"/>
  <c r="F730" i="9"/>
  <c r="F731" i="9"/>
  <c r="F732" i="9"/>
  <c r="F733" i="9"/>
  <c r="F734" i="9"/>
  <c r="F735" i="9"/>
  <c r="F736" i="9"/>
  <c r="F737" i="9"/>
  <c r="F738" i="9"/>
  <c r="F739" i="9"/>
  <c r="F740" i="9"/>
  <c r="F741" i="9"/>
  <c r="F742" i="9"/>
  <c r="F743" i="9"/>
  <c r="F744" i="9"/>
  <c r="F745" i="9"/>
  <c r="F746" i="9"/>
  <c r="F747" i="9"/>
  <c r="F748" i="9"/>
  <c r="F749" i="9"/>
  <c r="F750" i="9"/>
  <c r="F751" i="9"/>
  <c r="F752" i="9"/>
  <c r="F753" i="9"/>
  <c r="F754" i="9"/>
  <c r="F755" i="9"/>
  <c r="F756" i="9"/>
  <c r="F757" i="9"/>
  <c r="F758" i="9"/>
  <c r="F759" i="9"/>
  <c r="F760" i="9"/>
  <c r="F761" i="9"/>
  <c r="F762" i="9"/>
  <c r="F763" i="9"/>
  <c r="F764" i="9"/>
  <c r="F765" i="9"/>
  <c r="F766" i="9"/>
  <c r="F767" i="9"/>
  <c r="F768" i="9"/>
  <c r="F769" i="9"/>
  <c r="F770" i="9"/>
  <c r="F771" i="9"/>
  <c r="F772" i="9"/>
  <c r="F773" i="9"/>
  <c r="F774" i="9"/>
  <c r="F775" i="9"/>
  <c r="F776" i="9"/>
  <c r="F777" i="9"/>
  <c r="F778" i="9"/>
  <c r="F779" i="9"/>
  <c r="F780" i="9"/>
  <c r="F781" i="9"/>
  <c r="F782" i="9"/>
  <c r="F783" i="9"/>
  <c r="F784" i="9"/>
  <c r="F785" i="9"/>
  <c r="F786" i="9"/>
  <c r="F787" i="9"/>
  <c r="F788" i="9"/>
  <c r="F789" i="9"/>
  <c r="F790" i="9"/>
  <c r="F791" i="9"/>
  <c r="F792" i="9"/>
  <c r="F793" i="9"/>
  <c r="F794" i="9"/>
  <c r="F795" i="9"/>
  <c r="F796" i="9"/>
  <c r="F797" i="9"/>
  <c r="F798" i="9"/>
  <c r="F799" i="9"/>
  <c r="F800" i="9"/>
  <c r="F801" i="9"/>
  <c r="F802" i="9"/>
  <c r="F803" i="9"/>
  <c r="F804" i="9"/>
  <c r="F805" i="9"/>
  <c r="F806" i="9"/>
  <c r="F807" i="9"/>
  <c r="F808" i="9"/>
  <c r="F809" i="9"/>
  <c r="F810" i="9"/>
  <c r="F811" i="9"/>
  <c r="F812" i="9"/>
  <c r="F813" i="9"/>
  <c r="F814" i="9"/>
  <c r="F815" i="9"/>
  <c r="F816" i="9"/>
  <c r="F817" i="9"/>
  <c r="F818" i="9"/>
  <c r="F819" i="9"/>
  <c r="F820" i="9"/>
  <c r="F821" i="9"/>
  <c r="F822" i="9"/>
  <c r="F823" i="9"/>
  <c r="F824" i="9"/>
  <c r="F825" i="9"/>
  <c r="F826" i="9"/>
  <c r="F827" i="9"/>
  <c r="F828" i="9"/>
  <c r="F829" i="9"/>
  <c r="F830" i="9"/>
  <c r="F831" i="9"/>
  <c r="F832" i="9"/>
  <c r="F833" i="9"/>
  <c r="F834" i="9"/>
  <c r="F835" i="9"/>
  <c r="F836" i="9"/>
  <c r="F837" i="9"/>
  <c r="F838" i="9"/>
  <c r="F839" i="9"/>
  <c r="F840" i="9"/>
  <c r="F841" i="9"/>
  <c r="F842" i="9"/>
  <c r="F843" i="9"/>
  <c r="F844" i="9"/>
  <c r="F845" i="9"/>
  <c r="F846" i="9"/>
  <c r="F847" i="9"/>
  <c r="F848" i="9"/>
  <c r="F849" i="9"/>
  <c r="F850" i="9"/>
  <c r="F851" i="9"/>
  <c r="F852" i="9"/>
  <c r="F853" i="9"/>
  <c r="F854" i="9"/>
  <c r="F855" i="9"/>
  <c r="F856" i="9"/>
  <c r="F857" i="9"/>
  <c r="F858" i="9"/>
  <c r="F859" i="9"/>
  <c r="F860" i="9"/>
  <c r="F861" i="9"/>
  <c r="F862" i="9"/>
  <c r="F863" i="9"/>
  <c r="F864" i="9"/>
  <c r="F865" i="9"/>
  <c r="F866" i="9"/>
  <c r="F867" i="9"/>
  <c r="F868" i="9"/>
  <c r="F869" i="9"/>
  <c r="F870" i="9"/>
  <c r="F871" i="9"/>
  <c r="F872" i="9"/>
  <c r="F873" i="9"/>
  <c r="F874" i="9"/>
  <c r="F875" i="9"/>
  <c r="F876" i="9"/>
  <c r="F877" i="9"/>
  <c r="F878" i="9"/>
  <c r="F879" i="9"/>
  <c r="F880" i="9"/>
  <c r="F881" i="9"/>
  <c r="F882" i="9"/>
  <c r="F883" i="9"/>
  <c r="F884" i="9"/>
  <c r="F885" i="9"/>
  <c r="F886" i="9"/>
  <c r="F887" i="9"/>
  <c r="F888" i="9"/>
  <c r="F889" i="9"/>
  <c r="F890" i="9"/>
  <c r="F891" i="9"/>
  <c r="F892" i="9"/>
  <c r="F893" i="9"/>
  <c r="F894" i="9"/>
  <c r="F895" i="9"/>
  <c r="F896" i="9"/>
  <c r="F897" i="9"/>
  <c r="F898" i="9"/>
  <c r="F899" i="9"/>
  <c r="F900" i="9"/>
  <c r="F901" i="9"/>
  <c r="F902" i="9"/>
  <c r="F903" i="9"/>
  <c r="F904" i="9"/>
  <c r="F905" i="9"/>
  <c r="F906" i="9"/>
  <c r="F907" i="9"/>
  <c r="F908" i="9"/>
  <c r="F909" i="9"/>
  <c r="F910" i="9"/>
  <c r="F911" i="9"/>
  <c r="F912" i="9"/>
  <c r="F913" i="9"/>
  <c r="F914" i="9"/>
  <c r="F915" i="9"/>
  <c r="F916" i="9"/>
  <c r="F917" i="9"/>
  <c r="F918" i="9"/>
  <c r="F919" i="9"/>
  <c r="F920" i="9"/>
  <c r="F921" i="9"/>
  <c r="F922" i="9"/>
  <c r="F923" i="9"/>
  <c r="F924" i="9"/>
  <c r="F925" i="9"/>
  <c r="F926" i="9"/>
  <c r="F927" i="9"/>
  <c r="F928" i="9"/>
  <c r="F929" i="9"/>
  <c r="F930" i="9"/>
  <c r="F931" i="9"/>
  <c r="F932" i="9"/>
  <c r="F933" i="9"/>
  <c r="F934" i="9"/>
  <c r="F935" i="9"/>
  <c r="F936" i="9"/>
  <c r="F937" i="9"/>
  <c r="F938" i="9"/>
  <c r="F939" i="9"/>
  <c r="F940" i="9"/>
  <c r="F941" i="9"/>
  <c r="F942" i="9"/>
  <c r="F943" i="9"/>
  <c r="F944" i="9"/>
  <c r="F945" i="9"/>
  <c r="F946" i="9"/>
  <c r="F947" i="9"/>
  <c r="F948" i="9"/>
  <c r="F949" i="9"/>
  <c r="F950" i="9"/>
  <c r="F951" i="9"/>
  <c r="F952" i="9"/>
  <c r="F953" i="9"/>
  <c r="F954" i="9"/>
  <c r="F955" i="9"/>
  <c r="F956" i="9"/>
  <c r="F957" i="9"/>
  <c r="F958" i="9"/>
  <c r="F959" i="9"/>
  <c r="F960" i="9"/>
  <c r="F961" i="9"/>
  <c r="F962" i="9"/>
  <c r="F963" i="9"/>
  <c r="F964" i="9"/>
  <c r="F965" i="9"/>
  <c r="F966" i="9"/>
  <c r="F967" i="9"/>
  <c r="F968" i="9"/>
  <c r="F969" i="9"/>
  <c r="F970" i="9"/>
  <c r="F971" i="9"/>
  <c r="F972" i="9"/>
  <c r="F973" i="9"/>
  <c r="F974" i="9"/>
  <c r="F975" i="9"/>
  <c r="F976" i="9"/>
  <c r="F977" i="9"/>
  <c r="F978" i="9"/>
  <c r="F979" i="9"/>
  <c r="F980" i="9"/>
  <c r="F981" i="9"/>
  <c r="F982" i="9"/>
  <c r="F983" i="9"/>
  <c r="F984" i="9"/>
  <c r="F985" i="9"/>
  <c r="F986" i="9"/>
  <c r="F987" i="9"/>
  <c r="F988" i="9"/>
  <c r="F989" i="9"/>
  <c r="F990" i="9"/>
  <c r="F991" i="9"/>
  <c r="F992" i="9"/>
  <c r="F993" i="9"/>
  <c r="F994" i="9"/>
  <c r="F995" i="9"/>
  <c r="F996" i="9"/>
  <c r="F997" i="9"/>
  <c r="F998" i="9"/>
  <c r="F999" i="9"/>
  <c r="F1000" i="9"/>
  <c r="F1001" i="9"/>
  <c r="F1002" i="9"/>
  <c r="F1003" i="9"/>
  <c r="F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83" i="9"/>
  <c r="G684" i="9"/>
  <c r="G685" i="9"/>
  <c r="G686" i="9"/>
  <c r="G687" i="9"/>
  <c r="G688" i="9"/>
  <c r="G689" i="9"/>
  <c r="G690" i="9"/>
  <c r="G691" i="9"/>
  <c r="G692" i="9"/>
  <c r="G693" i="9"/>
  <c r="G694" i="9"/>
  <c r="G695" i="9"/>
  <c r="G696" i="9"/>
  <c r="G697" i="9"/>
  <c r="G698" i="9"/>
  <c r="G699" i="9"/>
  <c r="G700" i="9"/>
  <c r="G701" i="9"/>
  <c r="G702" i="9"/>
  <c r="G703" i="9"/>
  <c r="G704" i="9"/>
  <c r="G705" i="9"/>
  <c r="G706" i="9"/>
  <c r="G707" i="9"/>
  <c r="G708" i="9"/>
  <c r="G709" i="9"/>
  <c r="G710" i="9"/>
  <c r="G711" i="9"/>
  <c r="G712" i="9"/>
  <c r="G713" i="9"/>
  <c r="G714" i="9"/>
  <c r="G715" i="9"/>
  <c r="G716" i="9"/>
  <c r="G717" i="9"/>
  <c r="G718" i="9"/>
  <c r="G719" i="9"/>
  <c r="G720" i="9"/>
  <c r="G721" i="9"/>
  <c r="G722" i="9"/>
  <c r="G723" i="9"/>
  <c r="G724" i="9"/>
  <c r="G725" i="9"/>
  <c r="G726" i="9"/>
  <c r="G727" i="9"/>
  <c r="G728" i="9"/>
  <c r="G729" i="9"/>
  <c r="G730" i="9"/>
  <c r="G731" i="9"/>
  <c r="G732" i="9"/>
  <c r="G733" i="9"/>
  <c r="G734" i="9"/>
  <c r="G735" i="9"/>
  <c r="G736" i="9"/>
  <c r="G737" i="9"/>
  <c r="G738" i="9"/>
  <c r="G739" i="9"/>
  <c r="G740" i="9"/>
  <c r="G741" i="9"/>
  <c r="G742" i="9"/>
  <c r="G743" i="9"/>
  <c r="G744" i="9"/>
  <c r="G745" i="9"/>
  <c r="G746" i="9"/>
  <c r="G747" i="9"/>
  <c r="G748" i="9"/>
  <c r="G749" i="9"/>
  <c r="G750" i="9"/>
  <c r="G751" i="9"/>
  <c r="G752" i="9"/>
  <c r="G753" i="9"/>
  <c r="G754" i="9"/>
  <c r="G755" i="9"/>
  <c r="G756" i="9"/>
  <c r="G757" i="9"/>
  <c r="G758" i="9"/>
  <c r="G759" i="9"/>
  <c r="G760" i="9"/>
  <c r="G761" i="9"/>
  <c r="G762" i="9"/>
  <c r="G763" i="9"/>
  <c r="G764" i="9"/>
  <c r="G765" i="9"/>
  <c r="G766" i="9"/>
  <c r="G767" i="9"/>
  <c r="G768" i="9"/>
  <c r="G769" i="9"/>
  <c r="G770" i="9"/>
  <c r="G771" i="9"/>
  <c r="G772" i="9"/>
  <c r="G773" i="9"/>
  <c r="G774" i="9"/>
  <c r="G775" i="9"/>
  <c r="G776" i="9"/>
  <c r="G777" i="9"/>
  <c r="G778" i="9"/>
  <c r="G779" i="9"/>
  <c r="G780" i="9"/>
  <c r="G781" i="9"/>
  <c r="G782" i="9"/>
  <c r="G783" i="9"/>
  <c r="G784" i="9"/>
  <c r="G785" i="9"/>
  <c r="G786" i="9"/>
  <c r="G787" i="9"/>
  <c r="G788" i="9"/>
  <c r="G789" i="9"/>
  <c r="G790" i="9"/>
  <c r="G791" i="9"/>
  <c r="G792" i="9"/>
  <c r="G793" i="9"/>
  <c r="G794" i="9"/>
  <c r="G795" i="9"/>
  <c r="G796" i="9"/>
  <c r="G797" i="9"/>
  <c r="G798" i="9"/>
  <c r="G799" i="9"/>
  <c r="G800" i="9"/>
  <c r="G801" i="9"/>
  <c r="G802" i="9"/>
  <c r="G803" i="9"/>
  <c r="G804" i="9"/>
  <c r="G805" i="9"/>
  <c r="G806" i="9"/>
  <c r="G807" i="9"/>
  <c r="G808" i="9"/>
  <c r="G809" i="9"/>
  <c r="G810" i="9"/>
  <c r="G811" i="9"/>
  <c r="G812" i="9"/>
  <c r="G813" i="9"/>
  <c r="G814" i="9"/>
  <c r="G815" i="9"/>
  <c r="G816" i="9"/>
  <c r="G817" i="9"/>
  <c r="G818" i="9"/>
  <c r="G819" i="9"/>
  <c r="G820" i="9"/>
  <c r="G821" i="9"/>
  <c r="G822" i="9"/>
  <c r="G823" i="9"/>
  <c r="G824" i="9"/>
  <c r="G825" i="9"/>
  <c r="G826" i="9"/>
  <c r="G827" i="9"/>
  <c r="G828" i="9"/>
  <c r="G829" i="9"/>
  <c r="G830" i="9"/>
  <c r="G831" i="9"/>
  <c r="G832" i="9"/>
  <c r="G833" i="9"/>
  <c r="G834" i="9"/>
  <c r="G835" i="9"/>
  <c r="G836" i="9"/>
  <c r="G837" i="9"/>
  <c r="G838" i="9"/>
  <c r="G839" i="9"/>
  <c r="G840" i="9"/>
  <c r="G841" i="9"/>
  <c r="G842" i="9"/>
  <c r="G843" i="9"/>
  <c r="G844" i="9"/>
  <c r="G845" i="9"/>
  <c r="G846" i="9"/>
  <c r="G847" i="9"/>
  <c r="G848" i="9"/>
  <c r="G849" i="9"/>
  <c r="G850" i="9"/>
  <c r="G851" i="9"/>
  <c r="G852" i="9"/>
  <c r="G853" i="9"/>
  <c r="G854" i="9"/>
  <c r="G855" i="9"/>
  <c r="G856" i="9"/>
  <c r="G857" i="9"/>
  <c r="G858" i="9"/>
  <c r="G859" i="9"/>
  <c r="G860" i="9"/>
  <c r="G861" i="9"/>
  <c r="G862" i="9"/>
  <c r="G863" i="9"/>
  <c r="G864" i="9"/>
  <c r="G865" i="9"/>
  <c r="G866" i="9"/>
  <c r="G867" i="9"/>
  <c r="G868" i="9"/>
  <c r="G869" i="9"/>
  <c r="G870" i="9"/>
  <c r="G871" i="9"/>
  <c r="G872" i="9"/>
  <c r="G873" i="9"/>
  <c r="G874" i="9"/>
  <c r="G875" i="9"/>
  <c r="G876" i="9"/>
  <c r="G877" i="9"/>
  <c r="G878" i="9"/>
  <c r="G879" i="9"/>
  <c r="G880" i="9"/>
  <c r="G881" i="9"/>
  <c r="G882" i="9"/>
  <c r="G883" i="9"/>
  <c r="G884" i="9"/>
  <c r="G885" i="9"/>
  <c r="G886" i="9"/>
  <c r="G887" i="9"/>
  <c r="G888" i="9"/>
  <c r="G889" i="9"/>
  <c r="G890" i="9"/>
  <c r="G891" i="9"/>
  <c r="G892" i="9"/>
  <c r="G893" i="9"/>
  <c r="G894" i="9"/>
  <c r="G895" i="9"/>
  <c r="G896" i="9"/>
  <c r="G897" i="9"/>
  <c r="G898" i="9"/>
  <c r="G899" i="9"/>
  <c r="G900" i="9"/>
  <c r="G901" i="9"/>
  <c r="G902" i="9"/>
  <c r="G903" i="9"/>
  <c r="G904" i="9"/>
  <c r="G905" i="9"/>
  <c r="G906" i="9"/>
  <c r="G907" i="9"/>
  <c r="G908" i="9"/>
  <c r="G909" i="9"/>
  <c r="G910" i="9"/>
  <c r="G911" i="9"/>
  <c r="G912" i="9"/>
  <c r="G913" i="9"/>
  <c r="G914" i="9"/>
  <c r="G915" i="9"/>
  <c r="G916" i="9"/>
  <c r="G917" i="9"/>
  <c r="G918" i="9"/>
  <c r="G919" i="9"/>
  <c r="G920" i="9"/>
  <c r="G921" i="9"/>
  <c r="G922" i="9"/>
  <c r="G923" i="9"/>
  <c r="G924" i="9"/>
  <c r="G925" i="9"/>
  <c r="G926" i="9"/>
  <c r="G927" i="9"/>
  <c r="G928" i="9"/>
  <c r="G929" i="9"/>
  <c r="G930" i="9"/>
  <c r="G931" i="9"/>
  <c r="G932" i="9"/>
  <c r="G933" i="9"/>
  <c r="G934" i="9"/>
  <c r="G935" i="9"/>
  <c r="G936" i="9"/>
  <c r="G937" i="9"/>
  <c r="G938" i="9"/>
  <c r="G939" i="9"/>
  <c r="G940" i="9"/>
  <c r="G941" i="9"/>
  <c r="G942" i="9"/>
  <c r="G943" i="9"/>
  <c r="G944" i="9"/>
  <c r="G945" i="9"/>
  <c r="G946" i="9"/>
  <c r="G947" i="9"/>
  <c r="G948" i="9"/>
  <c r="G949" i="9"/>
  <c r="G950" i="9"/>
  <c r="G951" i="9"/>
  <c r="G952" i="9"/>
  <c r="G953" i="9"/>
  <c r="G954" i="9"/>
  <c r="G955" i="9"/>
  <c r="G956" i="9"/>
  <c r="G957" i="9"/>
  <c r="G958" i="9"/>
  <c r="G959" i="9"/>
  <c r="G960" i="9"/>
  <c r="G961" i="9"/>
  <c r="G962" i="9"/>
  <c r="G963" i="9"/>
  <c r="G964" i="9"/>
  <c r="G965" i="9"/>
  <c r="G966" i="9"/>
  <c r="G967" i="9"/>
  <c r="G968" i="9"/>
  <c r="G969" i="9"/>
  <c r="G970" i="9"/>
  <c r="G971" i="9"/>
  <c r="G972" i="9"/>
  <c r="G973" i="9"/>
  <c r="G974" i="9"/>
  <c r="G975" i="9"/>
  <c r="G976" i="9"/>
  <c r="G977" i="9"/>
  <c r="G978" i="9"/>
  <c r="G979" i="9"/>
  <c r="G980" i="9"/>
  <c r="G981" i="9"/>
  <c r="G982" i="9"/>
  <c r="G983" i="9"/>
  <c r="G984" i="9"/>
  <c r="G985" i="9"/>
  <c r="G986" i="9"/>
  <c r="G987" i="9"/>
  <c r="G988" i="9"/>
  <c r="G989" i="9"/>
  <c r="G990" i="9"/>
  <c r="G991" i="9"/>
  <c r="G992" i="9"/>
  <c r="G993" i="9"/>
  <c r="G994" i="9"/>
  <c r="G995" i="9"/>
  <c r="G996" i="9"/>
  <c r="G997" i="9"/>
  <c r="G998" i="9"/>
  <c r="G999" i="9"/>
  <c r="G1000" i="9"/>
  <c r="G1001" i="9"/>
  <c r="G1002" i="9"/>
  <c r="G1003" i="9"/>
  <c r="G4" i="9"/>
  <c r="AM60" i="2" l="1"/>
  <c r="AH60" i="2"/>
  <c r="AC60" i="2"/>
  <c r="X60" i="2"/>
  <c r="S60" i="2"/>
  <c r="N60" i="2"/>
  <c r="I60" i="2"/>
  <c r="K38" i="2"/>
  <c r="J1003" i="9"/>
  <c r="H1003" i="9"/>
  <c r="J1002" i="9"/>
  <c r="H1002" i="9"/>
  <c r="J1001" i="9"/>
  <c r="H1001" i="9"/>
  <c r="J1000" i="9"/>
  <c r="H1000" i="9"/>
  <c r="J999" i="9"/>
  <c r="H999" i="9"/>
  <c r="J998" i="9"/>
  <c r="H998" i="9"/>
  <c r="J997" i="9"/>
  <c r="H997" i="9"/>
  <c r="J996" i="9"/>
  <c r="H996" i="9"/>
  <c r="J995" i="9"/>
  <c r="H995" i="9"/>
  <c r="J994" i="9"/>
  <c r="H994" i="9"/>
  <c r="J993" i="9"/>
  <c r="H993" i="9"/>
  <c r="J992" i="9"/>
  <c r="H992" i="9"/>
  <c r="J991" i="9"/>
  <c r="H991" i="9"/>
  <c r="J990" i="9"/>
  <c r="H990" i="9"/>
  <c r="J989" i="9"/>
  <c r="H989" i="9"/>
  <c r="J988" i="9"/>
  <c r="H988" i="9"/>
  <c r="J987" i="9"/>
  <c r="H987" i="9"/>
  <c r="J986" i="9"/>
  <c r="H986" i="9"/>
  <c r="J985" i="9"/>
  <c r="H985" i="9"/>
  <c r="J984" i="9"/>
  <c r="H984" i="9"/>
  <c r="J983" i="9"/>
  <c r="H983" i="9"/>
  <c r="J982" i="9"/>
  <c r="H982" i="9"/>
  <c r="J981" i="9"/>
  <c r="H981" i="9"/>
  <c r="J980" i="9"/>
  <c r="H980" i="9"/>
  <c r="J979" i="9"/>
  <c r="H979" i="9"/>
  <c r="J978" i="9"/>
  <c r="H978" i="9"/>
  <c r="J977" i="9"/>
  <c r="H977" i="9"/>
  <c r="J976" i="9"/>
  <c r="H976" i="9"/>
  <c r="J975" i="9"/>
  <c r="H975" i="9"/>
  <c r="J974" i="9"/>
  <c r="H974" i="9"/>
  <c r="J973" i="9"/>
  <c r="H973" i="9"/>
  <c r="J972" i="9"/>
  <c r="H972" i="9"/>
  <c r="J971" i="9"/>
  <c r="H971" i="9"/>
  <c r="J970" i="9"/>
  <c r="H970" i="9"/>
  <c r="J969" i="9"/>
  <c r="H969" i="9"/>
  <c r="J968" i="9"/>
  <c r="H968" i="9"/>
  <c r="J967" i="9"/>
  <c r="H967" i="9"/>
  <c r="J966" i="9"/>
  <c r="H966" i="9"/>
  <c r="J965" i="9"/>
  <c r="H965" i="9"/>
  <c r="J964" i="9"/>
  <c r="H964" i="9"/>
  <c r="J963" i="9"/>
  <c r="H963" i="9"/>
  <c r="J962" i="9"/>
  <c r="H962" i="9"/>
  <c r="J961" i="9"/>
  <c r="H961" i="9"/>
  <c r="J960" i="9"/>
  <c r="H960" i="9"/>
  <c r="J959" i="9"/>
  <c r="H959" i="9"/>
  <c r="J958" i="9"/>
  <c r="H958" i="9"/>
  <c r="J957" i="9"/>
  <c r="H957" i="9"/>
  <c r="J956" i="9"/>
  <c r="H956" i="9"/>
  <c r="J955" i="9"/>
  <c r="H955" i="9"/>
  <c r="J954" i="9"/>
  <c r="H954" i="9"/>
  <c r="J953" i="9"/>
  <c r="H953" i="9"/>
  <c r="J952" i="9"/>
  <c r="H952" i="9"/>
  <c r="J951" i="9"/>
  <c r="H951" i="9"/>
  <c r="J950" i="9"/>
  <c r="H950" i="9"/>
  <c r="J949" i="9"/>
  <c r="H949" i="9"/>
  <c r="J948" i="9"/>
  <c r="H948" i="9"/>
  <c r="J947" i="9"/>
  <c r="H947" i="9"/>
  <c r="J946" i="9"/>
  <c r="H946" i="9"/>
  <c r="J945" i="9"/>
  <c r="H945" i="9"/>
  <c r="J944" i="9"/>
  <c r="H944" i="9"/>
  <c r="J943" i="9"/>
  <c r="H943" i="9"/>
  <c r="J942" i="9"/>
  <c r="H942" i="9"/>
  <c r="J941" i="9"/>
  <c r="H941" i="9"/>
  <c r="J940" i="9"/>
  <c r="H940" i="9"/>
  <c r="J939" i="9"/>
  <c r="H939" i="9"/>
  <c r="J938" i="9"/>
  <c r="H938" i="9"/>
  <c r="J937" i="9"/>
  <c r="H937" i="9"/>
  <c r="J936" i="9"/>
  <c r="H936" i="9"/>
  <c r="J935" i="9"/>
  <c r="H935" i="9"/>
  <c r="J934" i="9"/>
  <c r="H934" i="9"/>
  <c r="J933" i="9"/>
  <c r="H933" i="9"/>
  <c r="J932" i="9"/>
  <c r="H932" i="9"/>
  <c r="J931" i="9"/>
  <c r="H931" i="9"/>
  <c r="J930" i="9"/>
  <c r="H930" i="9"/>
  <c r="J929" i="9"/>
  <c r="H929" i="9"/>
  <c r="J928" i="9"/>
  <c r="H928" i="9"/>
  <c r="J927" i="9"/>
  <c r="H927" i="9"/>
  <c r="J926" i="9"/>
  <c r="H926" i="9"/>
  <c r="J925" i="9"/>
  <c r="H925" i="9"/>
  <c r="J924" i="9"/>
  <c r="H924" i="9"/>
  <c r="J923" i="9"/>
  <c r="H923" i="9"/>
  <c r="J922" i="9"/>
  <c r="H922" i="9"/>
  <c r="J921" i="9"/>
  <c r="H921" i="9"/>
  <c r="J920" i="9"/>
  <c r="H920" i="9"/>
  <c r="J919" i="9"/>
  <c r="H919" i="9"/>
  <c r="J918" i="9"/>
  <c r="H918" i="9"/>
  <c r="J917" i="9"/>
  <c r="H917" i="9"/>
  <c r="J916" i="9"/>
  <c r="H916" i="9"/>
  <c r="J915" i="9"/>
  <c r="H915" i="9"/>
  <c r="J914" i="9"/>
  <c r="H914" i="9"/>
  <c r="J913" i="9"/>
  <c r="H913" i="9"/>
  <c r="J912" i="9"/>
  <c r="H912" i="9"/>
  <c r="J911" i="9"/>
  <c r="H911" i="9"/>
  <c r="J910" i="9"/>
  <c r="H910" i="9"/>
  <c r="J909" i="9"/>
  <c r="H909" i="9"/>
  <c r="J908" i="9"/>
  <c r="H908" i="9"/>
  <c r="J907" i="9"/>
  <c r="H907" i="9"/>
  <c r="J906" i="9"/>
  <c r="H906" i="9"/>
  <c r="J905" i="9"/>
  <c r="H905" i="9"/>
  <c r="J904" i="9"/>
  <c r="H904" i="9"/>
  <c r="J903" i="9"/>
  <c r="H903" i="9"/>
  <c r="J902" i="9"/>
  <c r="H902" i="9"/>
  <c r="J901" i="9"/>
  <c r="H901" i="9"/>
  <c r="J900" i="9"/>
  <c r="H900" i="9"/>
  <c r="J899" i="9"/>
  <c r="H899" i="9"/>
  <c r="J898" i="9"/>
  <c r="H898" i="9"/>
  <c r="J897" i="9"/>
  <c r="H897" i="9"/>
  <c r="J896" i="9"/>
  <c r="H896" i="9"/>
  <c r="J895" i="9"/>
  <c r="H895" i="9"/>
  <c r="J894" i="9"/>
  <c r="H894" i="9"/>
  <c r="J893" i="9"/>
  <c r="H893" i="9"/>
  <c r="J892" i="9"/>
  <c r="H892" i="9"/>
  <c r="J891" i="9"/>
  <c r="H891" i="9"/>
  <c r="J890" i="9"/>
  <c r="H890" i="9"/>
  <c r="J889" i="9"/>
  <c r="H889" i="9"/>
  <c r="J888" i="9"/>
  <c r="H888" i="9"/>
  <c r="J887" i="9"/>
  <c r="H887" i="9"/>
  <c r="J886" i="9"/>
  <c r="H886" i="9"/>
  <c r="J885" i="9"/>
  <c r="H885" i="9"/>
  <c r="J884" i="9"/>
  <c r="H884" i="9"/>
  <c r="J883" i="9"/>
  <c r="H883" i="9"/>
  <c r="J882" i="9"/>
  <c r="H882" i="9"/>
  <c r="J881" i="9"/>
  <c r="H881" i="9"/>
  <c r="J880" i="9"/>
  <c r="H880" i="9"/>
  <c r="J879" i="9"/>
  <c r="H879" i="9"/>
  <c r="J878" i="9"/>
  <c r="H878" i="9"/>
  <c r="J877" i="9"/>
  <c r="H877" i="9"/>
  <c r="J876" i="9"/>
  <c r="H876" i="9"/>
  <c r="J875" i="9"/>
  <c r="H875" i="9"/>
  <c r="J874" i="9"/>
  <c r="H874" i="9"/>
  <c r="J873" i="9"/>
  <c r="H873" i="9"/>
  <c r="J872" i="9"/>
  <c r="H872" i="9"/>
  <c r="J871" i="9"/>
  <c r="H871" i="9"/>
  <c r="J870" i="9"/>
  <c r="H870" i="9"/>
  <c r="J869" i="9"/>
  <c r="H869" i="9"/>
  <c r="J868" i="9"/>
  <c r="H868" i="9"/>
  <c r="J867" i="9"/>
  <c r="H867" i="9"/>
  <c r="J866" i="9"/>
  <c r="H866" i="9"/>
  <c r="J865" i="9"/>
  <c r="H865" i="9"/>
  <c r="J864" i="9"/>
  <c r="H864" i="9"/>
  <c r="J863" i="9"/>
  <c r="H863" i="9"/>
  <c r="J862" i="9"/>
  <c r="H862" i="9"/>
  <c r="J861" i="9"/>
  <c r="H861" i="9"/>
  <c r="J860" i="9"/>
  <c r="H860" i="9"/>
  <c r="J859" i="9"/>
  <c r="H859" i="9"/>
  <c r="J858" i="9"/>
  <c r="H858" i="9"/>
  <c r="J857" i="9"/>
  <c r="H857" i="9"/>
  <c r="J856" i="9"/>
  <c r="H856" i="9"/>
  <c r="J855" i="9"/>
  <c r="H855" i="9"/>
  <c r="J854" i="9"/>
  <c r="H854" i="9"/>
  <c r="J853" i="9"/>
  <c r="H853" i="9"/>
  <c r="J852" i="9"/>
  <c r="H852" i="9"/>
  <c r="J851" i="9"/>
  <c r="H851" i="9"/>
  <c r="J850" i="9"/>
  <c r="H850" i="9"/>
  <c r="J849" i="9"/>
  <c r="H849" i="9"/>
  <c r="J848" i="9"/>
  <c r="H848" i="9"/>
  <c r="J847" i="9"/>
  <c r="H847" i="9"/>
  <c r="J846" i="9"/>
  <c r="H846" i="9"/>
  <c r="J845" i="9"/>
  <c r="H845" i="9"/>
  <c r="J844" i="9"/>
  <c r="H844" i="9"/>
  <c r="J843" i="9"/>
  <c r="H843" i="9"/>
  <c r="J842" i="9"/>
  <c r="H842" i="9"/>
  <c r="J841" i="9"/>
  <c r="H841" i="9"/>
  <c r="J840" i="9"/>
  <c r="H840" i="9"/>
  <c r="J839" i="9"/>
  <c r="H839" i="9"/>
  <c r="J838" i="9"/>
  <c r="H838" i="9"/>
  <c r="J837" i="9"/>
  <c r="H837" i="9"/>
  <c r="J836" i="9"/>
  <c r="H836" i="9"/>
  <c r="J835" i="9"/>
  <c r="H835" i="9"/>
  <c r="J834" i="9"/>
  <c r="H834" i="9"/>
  <c r="J833" i="9"/>
  <c r="H833" i="9"/>
  <c r="J832" i="9"/>
  <c r="H832" i="9"/>
  <c r="J831" i="9"/>
  <c r="H831" i="9"/>
  <c r="J830" i="9"/>
  <c r="H830" i="9"/>
  <c r="J829" i="9"/>
  <c r="H829" i="9"/>
  <c r="J828" i="9"/>
  <c r="H828" i="9"/>
  <c r="J827" i="9"/>
  <c r="H827" i="9"/>
  <c r="J826" i="9"/>
  <c r="H826" i="9"/>
  <c r="J825" i="9"/>
  <c r="H825" i="9"/>
  <c r="J824" i="9"/>
  <c r="H824" i="9"/>
  <c r="J823" i="9"/>
  <c r="H823" i="9"/>
  <c r="J822" i="9"/>
  <c r="H822" i="9"/>
  <c r="J821" i="9"/>
  <c r="H821" i="9"/>
  <c r="J820" i="9"/>
  <c r="H820" i="9"/>
  <c r="J819" i="9"/>
  <c r="H819" i="9"/>
  <c r="J818" i="9"/>
  <c r="H818" i="9"/>
  <c r="J817" i="9"/>
  <c r="H817" i="9"/>
  <c r="J816" i="9"/>
  <c r="H816" i="9"/>
  <c r="J815" i="9"/>
  <c r="H815" i="9"/>
  <c r="J814" i="9"/>
  <c r="H814" i="9"/>
  <c r="J813" i="9"/>
  <c r="H813" i="9"/>
  <c r="J812" i="9"/>
  <c r="H812" i="9"/>
  <c r="J811" i="9"/>
  <c r="H811" i="9"/>
  <c r="J810" i="9"/>
  <c r="H810" i="9"/>
  <c r="J809" i="9"/>
  <c r="H809" i="9"/>
  <c r="J808" i="9"/>
  <c r="H808" i="9"/>
  <c r="J807" i="9"/>
  <c r="H807" i="9"/>
  <c r="J806" i="9"/>
  <c r="H806" i="9"/>
  <c r="J805" i="9"/>
  <c r="H805" i="9"/>
  <c r="J804" i="9"/>
  <c r="H804" i="9"/>
  <c r="J803" i="9"/>
  <c r="H803" i="9"/>
  <c r="J802" i="9"/>
  <c r="H802" i="9"/>
  <c r="J801" i="9"/>
  <c r="H801" i="9"/>
  <c r="J800" i="9"/>
  <c r="H800" i="9"/>
  <c r="J799" i="9"/>
  <c r="H799" i="9"/>
  <c r="J798" i="9"/>
  <c r="H798" i="9"/>
  <c r="J797" i="9"/>
  <c r="H797" i="9"/>
  <c r="J796" i="9"/>
  <c r="H796" i="9"/>
  <c r="J795" i="9"/>
  <c r="H795" i="9"/>
  <c r="J794" i="9"/>
  <c r="H794" i="9"/>
  <c r="J793" i="9"/>
  <c r="H793" i="9"/>
  <c r="J792" i="9"/>
  <c r="H792" i="9"/>
  <c r="J791" i="9"/>
  <c r="H791" i="9"/>
  <c r="J790" i="9"/>
  <c r="H790" i="9"/>
  <c r="J789" i="9"/>
  <c r="H789" i="9"/>
  <c r="J788" i="9"/>
  <c r="H788" i="9"/>
  <c r="J787" i="9"/>
  <c r="H787" i="9"/>
  <c r="J786" i="9"/>
  <c r="H786" i="9"/>
  <c r="J785" i="9"/>
  <c r="H785" i="9"/>
  <c r="J784" i="9"/>
  <c r="H784" i="9"/>
  <c r="J783" i="9"/>
  <c r="H783" i="9"/>
  <c r="J782" i="9"/>
  <c r="H782" i="9"/>
  <c r="J781" i="9"/>
  <c r="H781" i="9"/>
  <c r="J780" i="9"/>
  <c r="H780" i="9"/>
  <c r="J779" i="9"/>
  <c r="H779" i="9"/>
  <c r="J778" i="9"/>
  <c r="H778" i="9"/>
  <c r="J777" i="9"/>
  <c r="H777" i="9"/>
  <c r="J776" i="9"/>
  <c r="H776" i="9"/>
  <c r="J775" i="9"/>
  <c r="H775" i="9"/>
  <c r="J774" i="9"/>
  <c r="H774" i="9"/>
  <c r="J773" i="9"/>
  <c r="H773" i="9"/>
  <c r="J772" i="9"/>
  <c r="H772" i="9"/>
  <c r="J771" i="9"/>
  <c r="H771" i="9"/>
  <c r="J770" i="9"/>
  <c r="H770" i="9"/>
  <c r="J769" i="9"/>
  <c r="H769" i="9"/>
  <c r="J768" i="9"/>
  <c r="H768" i="9"/>
  <c r="J767" i="9"/>
  <c r="H767" i="9"/>
  <c r="J766" i="9"/>
  <c r="H766" i="9"/>
  <c r="J765" i="9"/>
  <c r="H765" i="9"/>
  <c r="J764" i="9"/>
  <c r="H764" i="9"/>
  <c r="J763" i="9"/>
  <c r="H763" i="9"/>
  <c r="J762" i="9"/>
  <c r="H762" i="9"/>
  <c r="J761" i="9"/>
  <c r="H761" i="9"/>
  <c r="J760" i="9"/>
  <c r="H760" i="9"/>
  <c r="J759" i="9"/>
  <c r="H759" i="9"/>
  <c r="J758" i="9"/>
  <c r="H758" i="9"/>
  <c r="J757" i="9"/>
  <c r="H757" i="9"/>
  <c r="J756" i="9"/>
  <c r="H756" i="9"/>
  <c r="J755" i="9"/>
  <c r="H755" i="9"/>
  <c r="J754" i="9"/>
  <c r="H754" i="9"/>
  <c r="J753" i="9"/>
  <c r="H753" i="9"/>
  <c r="J752" i="9"/>
  <c r="H752" i="9"/>
  <c r="J751" i="9"/>
  <c r="H751" i="9"/>
  <c r="J750" i="9"/>
  <c r="H750" i="9"/>
  <c r="J749" i="9"/>
  <c r="H749" i="9"/>
  <c r="J748" i="9"/>
  <c r="H748" i="9"/>
  <c r="J747" i="9"/>
  <c r="H747" i="9"/>
  <c r="J746" i="9"/>
  <c r="H746" i="9"/>
  <c r="J745" i="9"/>
  <c r="H745" i="9"/>
  <c r="J744" i="9"/>
  <c r="H744" i="9"/>
  <c r="J743" i="9"/>
  <c r="H743" i="9"/>
  <c r="J742" i="9"/>
  <c r="H742" i="9"/>
  <c r="J741" i="9"/>
  <c r="H741" i="9"/>
  <c r="J740" i="9"/>
  <c r="H740" i="9"/>
  <c r="J739" i="9"/>
  <c r="H739" i="9"/>
  <c r="J738" i="9"/>
  <c r="H738" i="9"/>
  <c r="J737" i="9"/>
  <c r="H737" i="9"/>
  <c r="J736" i="9"/>
  <c r="H736" i="9"/>
  <c r="J735" i="9"/>
  <c r="H735" i="9"/>
  <c r="J734" i="9"/>
  <c r="H734" i="9"/>
  <c r="J733" i="9"/>
  <c r="H733" i="9"/>
  <c r="J732" i="9"/>
  <c r="H732" i="9"/>
  <c r="J731" i="9"/>
  <c r="H731" i="9"/>
  <c r="J730" i="9"/>
  <c r="H730" i="9"/>
  <c r="J729" i="9"/>
  <c r="H729" i="9"/>
  <c r="J728" i="9"/>
  <c r="H728" i="9"/>
  <c r="J727" i="9"/>
  <c r="H727" i="9"/>
  <c r="J726" i="9"/>
  <c r="H726" i="9"/>
  <c r="J725" i="9"/>
  <c r="H725" i="9"/>
  <c r="J724" i="9"/>
  <c r="H724" i="9"/>
  <c r="J723" i="9"/>
  <c r="H723" i="9"/>
  <c r="J722" i="9"/>
  <c r="H722" i="9"/>
  <c r="J721" i="9"/>
  <c r="H721" i="9"/>
  <c r="J720" i="9"/>
  <c r="H720" i="9"/>
  <c r="J719" i="9"/>
  <c r="H719" i="9"/>
  <c r="J718" i="9"/>
  <c r="H718" i="9"/>
  <c r="J717" i="9"/>
  <c r="H717" i="9"/>
  <c r="J716" i="9"/>
  <c r="H716" i="9"/>
  <c r="J715" i="9"/>
  <c r="H715" i="9"/>
  <c r="J714" i="9"/>
  <c r="H714" i="9"/>
  <c r="J713" i="9"/>
  <c r="H713" i="9"/>
  <c r="J712" i="9"/>
  <c r="H712" i="9"/>
  <c r="J711" i="9"/>
  <c r="H711" i="9"/>
  <c r="J710" i="9"/>
  <c r="H710" i="9"/>
  <c r="J709" i="9"/>
  <c r="H709" i="9"/>
  <c r="J708" i="9"/>
  <c r="H708" i="9"/>
  <c r="J707" i="9"/>
  <c r="H707" i="9"/>
  <c r="J706" i="9"/>
  <c r="H706" i="9"/>
  <c r="J705" i="9"/>
  <c r="H705" i="9"/>
  <c r="J704" i="9"/>
  <c r="H704" i="9"/>
  <c r="J703" i="9"/>
  <c r="H703" i="9"/>
  <c r="J702" i="9"/>
  <c r="H702" i="9"/>
  <c r="J701" i="9"/>
  <c r="H701" i="9"/>
  <c r="J700" i="9"/>
  <c r="H700" i="9"/>
  <c r="J699" i="9"/>
  <c r="H699" i="9"/>
  <c r="J698" i="9"/>
  <c r="H698" i="9"/>
  <c r="J697" i="9"/>
  <c r="H697" i="9"/>
  <c r="J696" i="9"/>
  <c r="H696" i="9"/>
  <c r="J695" i="9"/>
  <c r="H695" i="9"/>
  <c r="J694" i="9"/>
  <c r="H694" i="9"/>
  <c r="J693" i="9"/>
  <c r="H693" i="9"/>
  <c r="J692" i="9"/>
  <c r="H692" i="9"/>
  <c r="J691" i="9"/>
  <c r="H691" i="9"/>
  <c r="J690" i="9"/>
  <c r="H690" i="9"/>
  <c r="J689" i="9"/>
  <c r="H689" i="9"/>
  <c r="J688" i="9"/>
  <c r="H688" i="9"/>
  <c r="J687" i="9"/>
  <c r="H687" i="9"/>
  <c r="J686" i="9"/>
  <c r="H686" i="9"/>
  <c r="J685" i="9"/>
  <c r="H685" i="9"/>
  <c r="J684" i="9"/>
  <c r="H684" i="9"/>
  <c r="J683" i="9"/>
  <c r="H683" i="9"/>
  <c r="J682" i="9"/>
  <c r="H682" i="9"/>
  <c r="J681" i="9"/>
  <c r="H681" i="9"/>
  <c r="J680" i="9"/>
  <c r="H680" i="9"/>
  <c r="J679" i="9"/>
  <c r="H679" i="9"/>
  <c r="J678" i="9"/>
  <c r="H678" i="9"/>
  <c r="J677" i="9"/>
  <c r="H677" i="9"/>
  <c r="J676" i="9"/>
  <c r="H676" i="9"/>
  <c r="J675" i="9"/>
  <c r="H675" i="9"/>
  <c r="J674" i="9"/>
  <c r="H674" i="9"/>
  <c r="J673" i="9"/>
  <c r="H673" i="9"/>
  <c r="J672" i="9"/>
  <c r="H672" i="9"/>
  <c r="J671" i="9"/>
  <c r="H671" i="9"/>
  <c r="J670" i="9"/>
  <c r="H670" i="9"/>
  <c r="J669" i="9"/>
  <c r="H669" i="9"/>
  <c r="J668" i="9"/>
  <c r="H668" i="9"/>
  <c r="J667" i="9"/>
  <c r="H667" i="9"/>
  <c r="J666" i="9"/>
  <c r="H666" i="9"/>
  <c r="J665" i="9"/>
  <c r="H665" i="9"/>
  <c r="J664" i="9"/>
  <c r="H664" i="9"/>
  <c r="J663" i="9"/>
  <c r="H663" i="9"/>
  <c r="J662" i="9"/>
  <c r="H662" i="9"/>
  <c r="J661" i="9"/>
  <c r="H661" i="9"/>
  <c r="J660" i="9"/>
  <c r="H660" i="9"/>
  <c r="J659" i="9"/>
  <c r="H659" i="9"/>
  <c r="J658" i="9"/>
  <c r="H658" i="9"/>
  <c r="J657" i="9"/>
  <c r="H657" i="9"/>
  <c r="J656" i="9"/>
  <c r="H656" i="9"/>
  <c r="J655" i="9"/>
  <c r="H655" i="9"/>
  <c r="J654" i="9"/>
  <c r="H654" i="9"/>
  <c r="J653" i="9"/>
  <c r="H653" i="9"/>
  <c r="J652" i="9"/>
  <c r="H652" i="9"/>
  <c r="J651" i="9"/>
  <c r="H651" i="9"/>
  <c r="J650" i="9"/>
  <c r="H650" i="9"/>
  <c r="J649" i="9"/>
  <c r="H649" i="9"/>
  <c r="J648" i="9"/>
  <c r="H648" i="9"/>
  <c r="J647" i="9"/>
  <c r="H647" i="9"/>
  <c r="J646" i="9"/>
  <c r="H646" i="9"/>
  <c r="J645" i="9"/>
  <c r="H645" i="9"/>
  <c r="J644" i="9"/>
  <c r="H644" i="9"/>
  <c r="J643" i="9"/>
  <c r="H643" i="9"/>
  <c r="J642" i="9"/>
  <c r="H642" i="9"/>
  <c r="J641" i="9"/>
  <c r="H641" i="9"/>
  <c r="J640" i="9"/>
  <c r="H640" i="9"/>
  <c r="J639" i="9"/>
  <c r="H639" i="9"/>
  <c r="J638" i="9"/>
  <c r="H638" i="9"/>
  <c r="J637" i="9"/>
  <c r="H637" i="9"/>
  <c r="J636" i="9"/>
  <c r="H636" i="9"/>
  <c r="J635" i="9"/>
  <c r="H635" i="9"/>
  <c r="J634" i="9"/>
  <c r="H634" i="9"/>
  <c r="J633" i="9"/>
  <c r="H633" i="9"/>
  <c r="J632" i="9"/>
  <c r="H632" i="9"/>
  <c r="J631" i="9"/>
  <c r="H631" i="9"/>
  <c r="J630" i="9"/>
  <c r="H630" i="9"/>
  <c r="J629" i="9"/>
  <c r="H629" i="9"/>
  <c r="J628" i="9"/>
  <c r="H628" i="9"/>
  <c r="J627" i="9"/>
  <c r="H627" i="9"/>
  <c r="J626" i="9"/>
  <c r="H626" i="9"/>
  <c r="J625" i="9"/>
  <c r="H625" i="9"/>
  <c r="J624" i="9"/>
  <c r="H624" i="9"/>
  <c r="J623" i="9"/>
  <c r="H623" i="9"/>
  <c r="J622" i="9"/>
  <c r="H622" i="9"/>
  <c r="J621" i="9"/>
  <c r="H621" i="9"/>
  <c r="J620" i="9"/>
  <c r="H620" i="9"/>
  <c r="J619" i="9"/>
  <c r="H619" i="9"/>
  <c r="J618" i="9"/>
  <c r="H618" i="9"/>
  <c r="J617" i="9"/>
  <c r="H617" i="9"/>
  <c r="J616" i="9"/>
  <c r="H616" i="9"/>
  <c r="J615" i="9"/>
  <c r="H615" i="9"/>
  <c r="J614" i="9"/>
  <c r="H614" i="9"/>
  <c r="J613" i="9"/>
  <c r="H613" i="9"/>
  <c r="J612" i="9"/>
  <c r="H612" i="9"/>
  <c r="J611" i="9"/>
  <c r="H611" i="9"/>
  <c r="J610" i="9"/>
  <c r="H610" i="9"/>
  <c r="J609" i="9"/>
  <c r="H609" i="9"/>
  <c r="J608" i="9"/>
  <c r="H608" i="9"/>
  <c r="J607" i="9"/>
  <c r="H607" i="9"/>
  <c r="J606" i="9"/>
  <c r="H606" i="9"/>
  <c r="J605" i="9"/>
  <c r="H605" i="9"/>
  <c r="J604" i="9"/>
  <c r="H604" i="9"/>
  <c r="J603" i="9"/>
  <c r="H603" i="9"/>
  <c r="J602" i="9"/>
  <c r="H602" i="9"/>
  <c r="J601" i="9"/>
  <c r="H601" i="9"/>
  <c r="J600" i="9"/>
  <c r="H600" i="9"/>
  <c r="J599" i="9"/>
  <c r="H599" i="9"/>
  <c r="J598" i="9"/>
  <c r="H598" i="9"/>
  <c r="J597" i="9"/>
  <c r="H597" i="9"/>
  <c r="J596" i="9"/>
  <c r="H596" i="9"/>
  <c r="J595" i="9"/>
  <c r="H595" i="9"/>
  <c r="J594" i="9"/>
  <c r="H594" i="9"/>
  <c r="J593" i="9"/>
  <c r="H593" i="9"/>
  <c r="J592" i="9"/>
  <c r="H592" i="9"/>
  <c r="J591" i="9"/>
  <c r="H591" i="9"/>
  <c r="J590" i="9"/>
  <c r="H590" i="9"/>
  <c r="J589" i="9"/>
  <c r="H589" i="9"/>
  <c r="J588" i="9"/>
  <c r="H588" i="9"/>
  <c r="J587" i="9"/>
  <c r="H587" i="9"/>
  <c r="J586" i="9"/>
  <c r="H586" i="9"/>
  <c r="J585" i="9"/>
  <c r="H585" i="9"/>
  <c r="J584" i="9"/>
  <c r="H584" i="9"/>
  <c r="J583" i="9"/>
  <c r="H583" i="9"/>
  <c r="J582" i="9"/>
  <c r="H582" i="9"/>
  <c r="J581" i="9"/>
  <c r="H581" i="9"/>
  <c r="J580" i="9"/>
  <c r="H580" i="9"/>
  <c r="J579" i="9"/>
  <c r="H579" i="9"/>
  <c r="J578" i="9"/>
  <c r="H578" i="9"/>
  <c r="J577" i="9"/>
  <c r="H577" i="9"/>
  <c r="J576" i="9"/>
  <c r="H576" i="9"/>
  <c r="J575" i="9"/>
  <c r="H575" i="9"/>
  <c r="J574" i="9"/>
  <c r="H574" i="9"/>
  <c r="J573" i="9"/>
  <c r="H573" i="9"/>
  <c r="J572" i="9"/>
  <c r="H572" i="9"/>
  <c r="J571" i="9"/>
  <c r="H571" i="9"/>
  <c r="J570" i="9"/>
  <c r="H570" i="9"/>
  <c r="J569" i="9"/>
  <c r="H569" i="9"/>
  <c r="J568" i="9"/>
  <c r="H568" i="9"/>
  <c r="J567" i="9"/>
  <c r="H567" i="9"/>
  <c r="J566" i="9"/>
  <c r="H566" i="9"/>
  <c r="J565" i="9"/>
  <c r="H565" i="9"/>
  <c r="J564" i="9"/>
  <c r="H564" i="9"/>
  <c r="J563" i="9"/>
  <c r="H563" i="9"/>
  <c r="J562" i="9"/>
  <c r="H562" i="9"/>
  <c r="J561" i="9"/>
  <c r="H561" i="9"/>
  <c r="J560" i="9"/>
  <c r="H560" i="9"/>
  <c r="J559" i="9"/>
  <c r="H559" i="9"/>
  <c r="J558" i="9"/>
  <c r="H558" i="9"/>
  <c r="J557" i="9"/>
  <c r="H557" i="9"/>
  <c r="J556" i="9"/>
  <c r="H556" i="9"/>
  <c r="J555" i="9"/>
  <c r="H555" i="9"/>
  <c r="J554" i="9"/>
  <c r="H554" i="9"/>
  <c r="J553" i="9"/>
  <c r="H553" i="9"/>
  <c r="J552" i="9"/>
  <c r="H552" i="9"/>
  <c r="J551" i="9"/>
  <c r="H551" i="9"/>
  <c r="J550" i="9"/>
  <c r="H550" i="9"/>
  <c r="J549" i="9"/>
  <c r="H549" i="9"/>
  <c r="J548" i="9"/>
  <c r="H548" i="9"/>
  <c r="J547" i="9"/>
  <c r="H547" i="9"/>
  <c r="J546" i="9"/>
  <c r="H546" i="9"/>
  <c r="J545" i="9"/>
  <c r="H545" i="9"/>
  <c r="J544" i="9"/>
  <c r="H544" i="9"/>
  <c r="J543" i="9"/>
  <c r="H543" i="9"/>
  <c r="J542" i="9"/>
  <c r="H542" i="9"/>
  <c r="J541" i="9"/>
  <c r="H541" i="9"/>
  <c r="J540" i="9"/>
  <c r="H540" i="9"/>
  <c r="J539" i="9"/>
  <c r="H539" i="9"/>
  <c r="J538" i="9"/>
  <c r="H538" i="9"/>
  <c r="J537" i="9"/>
  <c r="H537" i="9"/>
  <c r="J536" i="9"/>
  <c r="H536" i="9"/>
  <c r="J535" i="9"/>
  <c r="H535" i="9"/>
  <c r="J534" i="9"/>
  <c r="H534" i="9"/>
  <c r="J533" i="9"/>
  <c r="H533" i="9"/>
  <c r="J532" i="9"/>
  <c r="H532" i="9"/>
  <c r="J531" i="9"/>
  <c r="H531" i="9"/>
  <c r="J530" i="9"/>
  <c r="H530" i="9"/>
  <c r="J529" i="9"/>
  <c r="H529" i="9"/>
  <c r="J528" i="9"/>
  <c r="H528" i="9"/>
  <c r="J527" i="9"/>
  <c r="H527" i="9"/>
  <c r="J526" i="9"/>
  <c r="H526" i="9"/>
  <c r="J525" i="9"/>
  <c r="H525" i="9"/>
  <c r="J524" i="9"/>
  <c r="H524" i="9"/>
  <c r="J523" i="9"/>
  <c r="H523" i="9"/>
  <c r="J522" i="9"/>
  <c r="H522" i="9"/>
  <c r="J521" i="9"/>
  <c r="H521" i="9"/>
  <c r="J520" i="9"/>
  <c r="H520" i="9"/>
  <c r="J519" i="9"/>
  <c r="H519" i="9"/>
  <c r="J518" i="9"/>
  <c r="H518" i="9"/>
  <c r="J517" i="9"/>
  <c r="H517" i="9"/>
  <c r="J516" i="9"/>
  <c r="H516" i="9"/>
  <c r="J515" i="9"/>
  <c r="H515" i="9"/>
  <c r="J514" i="9"/>
  <c r="H514" i="9"/>
  <c r="J513" i="9"/>
  <c r="H513" i="9"/>
  <c r="J512" i="9"/>
  <c r="H512" i="9"/>
  <c r="J511" i="9"/>
  <c r="H511" i="9"/>
  <c r="J510" i="9"/>
  <c r="H510" i="9"/>
  <c r="J509" i="9"/>
  <c r="H509" i="9"/>
  <c r="J508" i="9"/>
  <c r="H508" i="9"/>
  <c r="J507" i="9"/>
  <c r="H507" i="9"/>
  <c r="J506" i="9"/>
  <c r="H506" i="9"/>
  <c r="J505" i="9"/>
  <c r="H505" i="9"/>
  <c r="J504" i="9"/>
  <c r="H504" i="9"/>
  <c r="J503" i="9"/>
  <c r="H503" i="9"/>
  <c r="J502" i="9"/>
  <c r="H502" i="9"/>
  <c r="J501" i="9"/>
  <c r="H501" i="9"/>
  <c r="J500" i="9"/>
  <c r="H500" i="9"/>
  <c r="J499" i="9"/>
  <c r="H499" i="9"/>
  <c r="J498" i="9"/>
  <c r="H498" i="9"/>
  <c r="J497" i="9"/>
  <c r="H497" i="9"/>
  <c r="J496" i="9"/>
  <c r="H496" i="9"/>
  <c r="J495" i="9"/>
  <c r="H495" i="9"/>
  <c r="J494" i="9"/>
  <c r="H494" i="9"/>
  <c r="J493" i="9"/>
  <c r="H493" i="9"/>
  <c r="J492" i="9"/>
  <c r="H492" i="9"/>
  <c r="J491" i="9"/>
  <c r="H491" i="9"/>
  <c r="J490" i="9"/>
  <c r="H490" i="9"/>
  <c r="J489" i="9"/>
  <c r="H489" i="9"/>
  <c r="J488" i="9"/>
  <c r="H488" i="9"/>
  <c r="J487" i="9"/>
  <c r="H487" i="9"/>
  <c r="J486" i="9"/>
  <c r="H486" i="9"/>
  <c r="J485" i="9"/>
  <c r="H485" i="9"/>
  <c r="J484" i="9"/>
  <c r="H484" i="9"/>
  <c r="J483" i="9"/>
  <c r="H483" i="9"/>
  <c r="J482" i="9"/>
  <c r="H482" i="9"/>
  <c r="J481" i="9"/>
  <c r="H481" i="9"/>
  <c r="J480" i="9"/>
  <c r="H480" i="9"/>
  <c r="J479" i="9"/>
  <c r="H479" i="9"/>
  <c r="J478" i="9"/>
  <c r="H478" i="9"/>
  <c r="J477" i="9"/>
  <c r="H477" i="9"/>
  <c r="J476" i="9"/>
  <c r="H476" i="9"/>
  <c r="J475" i="9"/>
  <c r="H475" i="9"/>
  <c r="J474" i="9"/>
  <c r="H474" i="9"/>
  <c r="J473" i="9"/>
  <c r="H473" i="9"/>
  <c r="J472" i="9"/>
  <c r="H472" i="9"/>
  <c r="J471" i="9"/>
  <c r="H471" i="9"/>
  <c r="J470" i="9"/>
  <c r="H470" i="9"/>
  <c r="J469" i="9"/>
  <c r="H469" i="9"/>
  <c r="J468" i="9"/>
  <c r="H468" i="9"/>
  <c r="J467" i="9"/>
  <c r="H467" i="9"/>
  <c r="J466" i="9"/>
  <c r="H466" i="9"/>
  <c r="J465" i="9"/>
  <c r="H465" i="9"/>
  <c r="J464" i="9"/>
  <c r="H464" i="9"/>
  <c r="J463" i="9"/>
  <c r="H463" i="9"/>
  <c r="J462" i="9"/>
  <c r="H462" i="9"/>
  <c r="J461" i="9"/>
  <c r="H461" i="9"/>
  <c r="J460" i="9"/>
  <c r="H460" i="9"/>
  <c r="J459" i="9"/>
  <c r="H459" i="9"/>
  <c r="J458" i="9"/>
  <c r="H458" i="9"/>
  <c r="J457" i="9"/>
  <c r="H457" i="9"/>
  <c r="J456" i="9"/>
  <c r="H456" i="9"/>
  <c r="J455" i="9"/>
  <c r="H455" i="9"/>
  <c r="J454" i="9"/>
  <c r="H454" i="9"/>
  <c r="J453" i="9"/>
  <c r="H453" i="9"/>
  <c r="J452" i="9"/>
  <c r="H452" i="9"/>
  <c r="J451" i="9"/>
  <c r="H451" i="9"/>
  <c r="J450" i="9"/>
  <c r="H450" i="9"/>
  <c r="J449" i="9"/>
  <c r="H449" i="9"/>
  <c r="J448" i="9"/>
  <c r="H448" i="9"/>
  <c r="J447" i="9"/>
  <c r="H447" i="9"/>
  <c r="J446" i="9"/>
  <c r="H446" i="9"/>
  <c r="J445" i="9"/>
  <c r="H445" i="9"/>
  <c r="J444" i="9"/>
  <c r="H444" i="9"/>
  <c r="J443" i="9"/>
  <c r="H443" i="9"/>
  <c r="J442" i="9"/>
  <c r="H442" i="9"/>
  <c r="J441" i="9"/>
  <c r="H441" i="9"/>
  <c r="J440" i="9"/>
  <c r="H440" i="9"/>
  <c r="J439" i="9"/>
  <c r="H439" i="9"/>
  <c r="J438" i="9"/>
  <c r="H438" i="9"/>
  <c r="J437" i="9"/>
  <c r="H437" i="9"/>
  <c r="J436" i="9"/>
  <c r="H436" i="9"/>
  <c r="J435" i="9"/>
  <c r="H435" i="9"/>
  <c r="J434" i="9"/>
  <c r="H434" i="9"/>
  <c r="J433" i="9"/>
  <c r="H433" i="9"/>
  <c r="J432" i="9"/>
  <c r="H432" i="9"/>
  <c r="J431" i="9"/>
  <c r="H431" i="9"/>
  <c r="J430" i="9"/>
  <c r="H430" i="9"/>
  <c r="J429" i="9"/>
  <c r="H429" i="9"/>
  <c r="J428" i="9"/>
  <c r="H428" i="9"/>
  <c r="J427" i="9"/>
  <c r="H427" i="9"/>
  <c r="J426" i="9"/>
  <c r="H426" i="9"/>
  <c r="J425" i="9"/>
  <c r="H425" i="9"/>
  <c r="J424" i="9"/>
  <c r="H424" i="9"/>
  <c r="J423" i="9"/>
  <c r="H423" i="9"/>
  <c r="J422" i="9"/>
  <c r="H422" i="9"/>
  <c r="J421" i="9"/>
  <c r="H421" i="9"/>
  <c r="J420" i="9"/>
  <c r="H420" i="9"/>
  <c r="J419" i="9"/>
  <c r="H419" i="9"/>
  <c r="J418" i="9"/>
  <c r="H418" i="9"/>
  <c r="J417" i="9"/>
  <c r="H417" i="9"/>
  <c r="J416" i="9"/>
  <c r="H416" i="9"/>
  <c r="J415" i="9"/>
  <c r="H415" i="9"/>
  <c r="J414" i="9"/>
  <c r="H414" i="9"/>
  <c r="J413" i="9"/>
  <c r="H413" i="9"/>
  <c r="J412" i="9"/>
  <c r="H412" i="9"/>
  <c r="J411" i="9"/>
  <c r="H411" i="9"/>
  <c r="J410" i="9"/>
  <c r="H410" i="9"/>
  <c r="J409" i="9"/>
  <c r="H409" i="9"/>
  <c r="J408" i="9"/>
  <c r="H408" i="9"/>
  <c r="J407" i="9"/>
  <c r="H407" i="9"/>
  <c r="J406" i="9"/>
  <c r="H406" i="9"/>
  <c r="J405" i="9"/>
  <c r="H405" i="9"/>
  <c r="J404" i="9"/>
  <c r="H404" i="9"/>
  <c r="J403" i="9"/>
  <c r="H403" i="9"/>
  <c r="J402" i="9"/>
  <c r="H402" i="9"/>
  <c r="J401" i="9"/>
  <c r="H401" i="9"/>
  <c r="J400" i="9"/>
  <c r="H400" i="9"/>
  <c r="J399" i="9"/>
  <c r="H399" i="9"/>
  <c r="H397" i="9"/>
  <c r="H387" i="9"/>
  <c r="H379" i="9"/>
  <c r="J379" i="9" l="1"/>
  <c r="J387" i="9"/>
  <c r="J397" i="9"/>
  <c r="H308" i="9"/>
  <c r="H395" i="9"/>
  <c r="H364" i="9"/>
  <c r="H376" i="9"/>
  <c r="H272" i="9"/>
  <c r="H280" i="9"/>
  <c r="H282" i="9"/>
  <c r="H284" i="9"/>
  <c r="H286" i="9"/>
  <c r="H288" i="9"/>
  <c r="H292" i="9"/>
  <c r="H296" i="9"/>
  <c r="H298" i="9"/>
  <c r="H300" i="9"/>
  <c r="H302" i="9"/>
  <c r="H304" i="9"/>
  <c r="H277" i="9"/>
  <c r="H279" i="9"/>
  <c r="H293" i="9"/>
  <c r="H295" i="9"/>
  <c r="H276" i="9"/>
  <c r="H312" i="9"/>
  <c r="H318" i="9"/>
  <c r="H320" i="9"/>
  <c r="H324" i="9"/>
  <c r="H326" i="9"/>
  <c r="H328" i="9"/>
  <c r="H334" i="9"/>
  <c r="H336" i="9"/>
  <c r="H340" i="9"/>
  <c r="H342" i="9"/>
  <c r="H344" i="9"/>
  <c r="H350" i="9"/>
  <c r="H352" i="9"/>
  <c r="H356" i="9"/>
  <c r="H358" i="9"/>
  <c r="H360" i="9"/>
  <c r="H248" i="9"/>
  <c r="H256" i="9"/>
  <c r="H258" i="9"/>
  <c r="H260" i="9"/>
  <c r="H262" i="9"/>
  <c r="H264" i="9"/>
  <c r="H268" i="9"/>
  <c r="H270" i="9"/>
  <c r="H305" i="9"/>
  <c r="H307" i="9"/>
  <c r="H309" i="9"/>
  <c r="H349" i="9"/>
  <c r="H357" i="9"/>
  <c r="H257" i="9"/>
  <c r="H261" i="9"/>
  <c r="H265" i="9"/>
  <c r="H269" i="9"/>
  <c r="H273" i="9"/>
  <c r="H275" i="9"/>
  <c r="H382" i="9"/>
  <c r="H384" i="9"/>
  <c r="H388" i="9"/>
  <c r="H390" i="9"/>
  <c r="H392" i="9"/>
  <c r="H289" i="9"/>
  <c r="H291" i="9"/>
  <c r="H315" i="9"/>
  <c r="H323" i="9"/>
  <c r="H331" i="9"/>
  <c r="H339" i="9"/>
  <c r="H365" i="9"/>
  <c r="H373" i="9"/>
  <c r="H81" i="9"/>
  <c r="H316" i="9"/>
  <c r="H347" i="9"/>
  <c r="H355" i="9"/>
  <c r="H380" i="9"/>
  <c r="H6" i="9"/>
  <c r="H8" i="9"/>
  <c r="H10" i="9"/>
  <c r="H12" i="9"/>
  <c r="H14" i="9"/>
  <c r="H16" i="9"/>
  <c r="H18" i="9"/>
  <c r="H20" i="9"/>
  <c r="H22" i="9"/>
  <c r="H24" i="9"/>
  <c r="H26" i="9"/>
  <c r="H28" i="9"/>
  <c r="H30" i="9"/>
  <c r="H32" i="9"/>
  <c r="H34" i="9"/>
  <c r="H36" i="9"/>
  <c r="H38" i="9"/>
  <c r="H40" i="9"/>
  <c r="H42" i="9"/>
  <c r="H44" i="9"/>
  <c r="H46" i="9"/>
  <c r="H48" i="9"/>
  <c r="H50" i="9"/>
  <c r="H52" i="9"/>
  <c r="H54" i="9"/>
  <c r="H56" i="9"/>
  <c r="H58" i="9"/>
  <c r="H60" i="9"/>
  <c r="H62" i="9"/>
  <c r="H64" i="9"/>
  <c r="H66" i="9"/>
  <c r="H68" i="9"/>
  <c r="H70" i="9"/>
  <c r="H72" i="9"/>
  <c r="H74" i="9"/>
  <c r="H76" i="9"/>
  <c r="H78" i="9"/>
  <c r="H80" i="9"/>
  <c r="H82" i="9"/>
  <c r="H84" i="9"/>
  <c r="H86" i="9"/>
  <c r="H88" i="9"/>
  <c r="H249" i="9"/>
  <c r="H253" i="9"/>
  <c r="H266" i="9"/>
  <c r="H274" i="9"/>
  <c r="H281" i="9"/>
  <c r="H283" i="9"/>
  <c r="H290" i="9"/>
  <c r="H297" i="9"/>
  <c r="H299" i="9"/>
  <c r="H306" i="9"/>
  <c r="H311" i="9"/>
  <c r="H317" i="9"/>
  <c r="H325" i="9"/>
  <c r="H332" i="9"/>
  <c r="H363" i="9"/>
  <c r="H371" i="9"/>
  <c r="H381" i="9"/>
  <c r="H389" i="9"/>
  <c r="H394" i="9"/>
  <c r="H398" i="9"/>
  <c r="H250" i="9"/>
  <c r="H252" i="9"/>
  <c r="H254" i="9"/>
  <c r="H278" i="9"/>
  <c r="H285" i="9"/>
  <c r="H287" i="9"/>
  <c r="H294" i="9"/>
  <c r="H301" i="9"/>
  <c r="H303" i="9"/>
  <c r="H310" i="9"/>
  <c r="H333" i="9"/>
  <c r="H341" i="9"/>
  <c r="H348" i="9"/>
  <c r="H366" i="9"/>
  <c r="H368" i="9"/>
  <c r="H372" i="9"/>
  <c r="H374" i="9"/>
  <c r="H245" i="9"/>
  <c r="H247" i="9"/>
  <c r="H255" i="9"/>
  <c r="H263" i="9"/>
  <c r="H271" i="9"/>
  <c r="H313" i="9"/>
  <c r="H322" i="9"/>
  <c r="H327" i="9"/>
  <c r="H329" i="9"/>
  <c r="H338" i="9"/>
  <c r="H343" i="9"/>
  <c r="H345" i="9"/>
  <c r="H354" i="9"/>
  <c r="H359" i="9"/>
  <c r="H361" i="9"/>
  <c r="H370" i="9"/>
  <c r="H375" i="9"/>
  <c r="H377" i="9"/>
  <c r="H386" i="9"/>
  <c r="H391" i="9"/>
  <c r="H393" i="9"/>
  <c r="H396" i="9"/>
  <c r="H5" i="9"/>
  <c r="H7" i="9"/>
  <c r="H9" i="9"/>
  <c r="H11" i="9"/>
  <c r="H13" i="9"/>
  <c r="H15" i="9"/>
  <c r="H17" i="9"/>
  <c r="H19" i="9"/>
  <c r="H21" i="9"/>
  <c r="H23" i="9"/>
  <c r="H25" i="9"/>
  <c r="H27" i="9"/>
  <c r="H29" i="9"/>
  <c r="H31" i="9"/>
  <c r="H33" i="9"/>
  <c r="H35" i="9"/>
  <c r="H37" i="9"/>
  <c r="H39" i="9"/>
  <c r="H41" i="9"/>
  <c r="H43" i="9"/>
  <c r="H45" i="9"/>
  <c r="H47" i="9"/>
  <c r="H49" i="9"/>
  <c r="H51" i="9"/>
  <c r="H53" i="9"/>
  <c r="H55" i="9"/>
  <c r="H57" i="9"/>
  <c r="H59" i="9"/>
  <c r="H61" i="9"/>
  <c r="H63" i="9"/>
  <c r="H65" i="9"/>
  <c r="H67" i="9"/>
  <c r="H69" i="9"/>
  <c r="H71" i="9"/>
  <c r="H73" i="9"/>
  <c r="H75" i="9"/>
  <c r="H77" i="9"/>
  <c r="H79" i="9"/>
  <c r="H83" i="9"/>
  <c r="H246" i="9"/>
  <c r="H251" i="9"/>
  <c r="H259" i="9"/>
  <c r="H267" i="9"/>
  <c r="H314" i="9"/>
  <c r="H319" i="9"/>
  <c r="H321" i="9"/>
  <c r="H330" i="9"/>
  <c r="H335" i="9"/>
  <c r="H337" i="9"/>
  <c r="H346" i="9"/>
  <c r="H351" i="9"/>
  <c r="H353" i="9"/>
  <c r="H362" i="9"/>
  <c r="H367" i="9"/>
  <c r="H369" i="9"/>
  <c r="H378" i="9"/>
  <c r="H383" i="9"/>
  <c r="H385" i="9"/>
  <c r="H85" i="9"/>
  <c r="H89" i="9"/>
  <c r="H91" i="9"/>
  <c r="H93" i="9"/>
  <c r="H95" i="9"/>
  <c r="H97" i="9"/>
  <c r="H99" i="9"/>
  <c r="H101" i="9"/>
  <c r="H103" i="9"/>
  <c r="H105" i="9"/>
  <c r="H107" i="9"/>
  <c r="H109" i="9"/>
  <c r="H111" i="9"/>
  <c r="H113" i="9"/>
  <c r="H115" i="9"/>
  <c r="H117" i="9"/>
  <c r="H119" i="9"/>
  <c r="H121" i="9"/>
  <c r="H123" i="9"/>
  <c r="H125" i="9"/>
  <c r="H127" i="9"/>
  <c r="H129" i="9"/>
  <c r="H131" i="9"/>
  <c r="H133" i="9"/>
  <c r="H135" i="9"/>
  <c r="H137" i="9"/>
  <c r="H139" i="9"/>
  <c r="H141" i="9"/>
  <c r="H143" i="9"/>
  <c r="H145" i="9"/>
  <c r="H147" i="9"/>
  <c r="H149" i="9"/>
  <c r="H151" i="9"/>
  <c r="H153" i="9"/>
  <c r="H155" i="9"/>
  <c r="H157" i="9"/>
  <c r="H159" i="9"/>
  <c r="H161" i="9"/>
  <c r="H163" i="9"/>
  <c r="H165" i="9"/>
  <c r="H167" i="9"/>
  <c r="H169" i="9"/>
  <c r="H171" i="9"/>
  <c r="H173" i="9"/>
  <c r="H175" i="9"/>
  <c r="H177" i="9"/>
  <c r="H179" i="9"/>
  <c r="H181" i="9"/>
  <c r="H183" i="9"/>
  <c r="H185" i="9"/>
  <c r="H187" i="9"/>
  <c r="H189" i="9"/>
  <c r="H191" i="9"/>
  <c r="H193" i="9"/>
  <c r="H195" i="9"/>
  <c r="H197" i="9"/>
  <c r="H199" i="9"/>
  <c r="H201" i="9"/>
  <c r="H203" i="9"/>
  <c r="H205" i="9"/>
  <c r="H207" i="9"/>
  <c r="H209" i="9"/>
  <c r="H211" i="9"/>
  <c r="H213" i="9"/>
  <c r="H215" i="9"/>
  <c r="H217" i="9"/>
  <c r="H219" i="9"/>
  <c r="H221" i="9"/>
  <c r="H223" i="9"/>
  <c r="H225" i="9"/>
  <c r="H227" i="9"/>
  <c r="H229" i="9"/>
  <c r="H231" i="9"/>
  <c r="H233" i="9"/>
  <c r="H235" i="9"/>
  <c r="H237" i="9"/>
  <c r="H239" i="9"/>
  <c r="H241" i="9"/>
  <c r="H243" i="9"/>
  <c r="H87" i="9"/>
  <c r="H90" i="9"/>
  <c r="H92" i="9"/>
  <c r="H94" i="9"/>
  <c r="H96" i="9"/>
  <c r="H98" i="9"/>
  <c r="H100" i="9"/>
  <c r="H102" i="9"/>
  <c r="H104" i="9"/>
  <c r="H106" i="9"/>
  <c r="H108" i="9"/>
  <c r="H110" i="9"/>
  <c r="H112" i="9"/>
  <c r="H114" i="9"/>
  <c r="H116" i="9"/>
  <c r="H118" i="9"/>
  <c r="H120" i="9"/>
  <c r="H122" i="9"/>
  <c r="H124" i="9"/>
  <c r="H126" i="9"/>
  <c r="H128" i="9"/>
  <c r="H130" i="9"/>
  <c r="H132" i="9"/>
  <c r="H134" i="9"/>
  <c r="H136" i="9"/>
  <c r="H138" i="9"/>
  <c r="H140" i="9"/>
  <c r="H142" i="9"/>
  <c r="H144" i="9"/>
  <c r="H146" i="9"/>
  <c r="H148" i="9"/>
  <c r="H150" i="9"/>
  <c r="H152" i="9"/>
  <c r="H154" i="9"/>
  <c r="H156" i="9"/>
  <c r="H158" i="9"/>
  <c r="H160" i="9"/>
  <c r="H162" i="9"/>
  <c r="H164" i="9"/>
  <c r="H166" i="9"/>
  <c r="H168" i="9"/>
  <c r="H170" i="9"/>
  <c r="H172" i="9"/>
  <c r="H174" i="9"/>
  <c r="H176" i="9"/>
  <c r="H178" i="9"/>
  <c r="H180" i="9"/>
  <c r="H182" i="9"/>
  <c r="H184" i="9"/>
  <c r="H186" i="9"/>
  <c r="H188" i="9"/>
  <c r="H190" i="9"/>
  <c r="H192" i="9"/>
  <c r="H194" i="9"/>
  <c r="H196" i="9"/>
  <c r="H198" i="9"/>
  <c r="H200" i="9"/>
  <c r="H202" i="9"/>
  <c r="H204" i="9"/>
  <c r="H206" i="9"/>
  <c r="H208" i="9"/>
  <c r="H210" i="9"/>
  <c r="H212" i="9"/>
  <c r="H214" i="9"/>
  <c r="H216" i="9"/>
  <c r="H218" i="9"/>
  <c r="H220" i="9"/>
  <c r="H222" i="9"/>
  <c r="H224" i="9"/>
  <c r="H226" i="9"/>
  <c r="H228" i="9"/>
  <c r="H230" i="9"/>
  <c r="H232" i="9"/>
  <c r="H234" i="9"/>
  <c r="H236" i="9"/>
  <c r="H238" i="9"/>
  <c r="H240" i="9"/>
  <c r="H242" i="9"/>
  <c r="H244" i="9"/>
  <c r="AL39" i="2"/>
  <c r="AK39" i="2"/>
  <c r="AK36" i="2"/>
  <c r="AG39" i="2"/>
  <c r="AF39" i="2"/>
  <c r="AB39" i="2"/>
  <c r="AA39" i="2"/>
  <c r="W39" i="2"/>
  <c r="V39" i="2"/>
  <c r="R39" i="2"/>
  <c r="Q39" i="2"/>
  <c r="M39" i="2"/>
  <c r="L39" i="2"/>
  <c r="H39" i="2"/>
  <c r="G39" i="2"/>
  <c r="H346" i="5" l="1"/>
  <c r="H295" i="5"/>
  <c r="H154" i="5"/>
  <c r="H106" i="5"/>
  <c r="H274" i="5"/>
  <c r="AO39" i="2"/>
  <c r="AE39" i="2"/>
  <c r="AJ39" i="2"/>
  <c r="Z39" i="2"/>
  <c r="U39" i="2"/>
  <c r="P39" i="2"/>
  <c r="K39" i="2"/>
  <c r="J240" i="9"/>
  <c r="J232" i="9"/>
  <c r="J224" i="9"/>
  <c r="J216" i="9"/>
  <c r="J208" i="9"/>
  <c r="J200" i="9"/>
  <c r="J192" i="9"/>
  <c r="J184" i="9"/>
  <c r="J176" i="9"/>
  <c r="J168" i="9"/>
  <c r="J160" i="9"/>
  <c r="J152" i="9"/>
  <c r="J144" i="9"/>
  <c r="J136" i="9"/>
  <c r="J128" i="9"/>
  <c r="J120" i="9"/>
  <c r="J112" i="9"/>
  <c r="J104" i="9"/>
  <c r="J96" i="9"/>
  <c r="J87" i="9"/>
  <c r="J237" i="9"/>
  <c r="J229" i="9"/>
  <c r="J221" i="9"/>
  <c r="J213" i="9"/>
  <c r="J205" i="9"/>
  <c r="J197" i="9"/>
  <c r="J189" i="9"/>
  <c r="J181" i="9"/>
  <c r="J173" i="9"/>
  <c r="J165" i="9"/>
  <c r="J157" i="9"/>
  <c r="J149" i="9"/>
  <c r="J141" i="9"/>
  <c r="J133" i="9"/>
  <c r="J125" i="9"/>
  <c r="J117" i="9"/>
  <c r="J109" i="9"/>
  <c r="J101" i="9"/>
  <c r="J93" i="9"/>
  <c r="J385" i="9"/>
  <c r="J367" i="9"/>
  <c r="J346" i="9"/>
  <c r="J321" i="9"/>
  <c r="J259" i="9"/>
  <c r="J79" i="9"/>
  <c r="J71" i="9"/>
  <c r="J63" i="9"/>
  <c r="J55" i="9"/>
  <c r="J47" i="9"/>
  <c r="J39" i="9"/>
  <c r="J31" i="9"/>
  <c r="J23" i="9"/>
  <c r="J15" i="9"/>
  <c r="J7" i="9"/>
  <c r="J391" i="9"/>
  <c r="J370" i="9"/>
  <c r="J345" i="9"/>
  <c r="J327" i="9"/>
  <c r="J263" i="9"/>
  <c r="J374" i="9"/>
  <c r="J348" i="9"/>
  <c r="J303" i="9"/>
  <c r="J285" i="9"/>
  <c r="J250" i="9"/>
  <c r="J381" i="9"/>
  <c r="J325" i="9"/>
  <c r="J299" i="9"/>
  <c r="J281" i="9"/>
  <c r="J249" i="9"/>
  <c r="J82" i="9"/>
  <c r="J74" i="9"/>
  <c r="J66" i="9"/>
  <c r="J58" i="9"/>
  <c r="J50" i="9"/>
  <c r="J42" i="9"/>
  <c r="J34" i="9"/>
  <c r="J26" i="9"/>
  <c r="J18" i="9"/>
  <c r="J10" i="9"/>
  <c r="J380" i="9"/>
  <c r="J81" i="9"/>
  <c r="J331" i="9"/>
  <c r="J289" i="9"/>
  <c r="J384" i="9"/>
  <c r="J269" i="9"/>
  <c r="J357" i="9"/>
  <c r="J305" i="9"/>
  <c r="J262" i="9"/>
  <c r="J248" i="9"/>
  <c r="J352" i="9"/>
  <c r="J340" i="9"/>
  <c r="J326" i="9"/>
  <c r="J312" i="9"/>
  <c r="J279" i="9"/>
  <c r="J300" i="9"/>
  <c r="J288" i="9"/>
  <c r="J280" i="9"/>
  <c r="J395" i="9"/>
  <c r="J238" i="9"/>
  <c r="J230" i="9"/>
  <c r="J222" i="9"/>
  <c r="J214" i="9"/>
  <c r="J206" i="9"/>
  <c r="J198" i="9"/>
  <c r="J190" i="9"/>
  <c r="J182" i="9"/>
  <c r="J174" i="9"/>
  <c r="J166" i="9"/>
  <c r="J158" i="9"/>
  <c r="J150" i="9"/>
  <c r="J142" i="9"/>
  <c r="J134" i="9"/>
  <c r="J126" i="9"/>
  <c r="J118" i="9"/>
  <c r="J110" i="9"/>
  <c r="J102" i="9"/>
  <c r="J94" i="9"/>
  <c r="J243" i="9"/>
  <c r="J235" i="9"/>
  <c r="J227" i="9"/>
  <c r="J219" i="9"/>
  <c r="J211" i="9"/>
  <c r="J203" i="9"/>
  <c r="J195" i="9"/>
  <c r="J187" i="9"/>
  <c r="J179" i="9"/>
  <c r="J171" i="9"/>
  <c r="J163" i="9"/>
  <c r="J155" i="9"/>
  <c r="J147" i="9"/>
  <c r="J139" i="9"/>
  <c r="J131" i="9"/>
  <c r="J123" i="9"/>
  <c r="J115" i="9"/>
  <c r="J107" i="9"/>
  <c r="J99" i="9"/>
  <c r="J91" i="9"/>
  <c r="J383" i="9"/>
  <c r="J362" i="9"/>
  <c r="J337" i="9"/>
  <c r="J319" i="9"/>
  <c r="J251" i="9"/>
  <c r="J77" i="9"/>
  <c r="J69" i="9"/>
  <c r="J61" i="9"/>
  <c r="J53" i="9"/>
  <c r="J45" i="9"/>
  <c r="J37" i="9"/>
  <c r="J29" i="9"/>
  <c r="J21" i="9"/>
  <c r="J13" i="9"/>
  <c r="J5" i="9"/>
  <c r="J386" i="9"/>
  <c r="J361" i="9"/>
  <c r="J343" i="9"/>
  <c r="J322" i="9"/>
  <c r="J255" i="9"/>
  <c r="J372" i="9"/>
  <c r="J341" i="9"/>
  <c r="J301" i="9"/>
  <c r="J278" i="9"/>
  <c r="J398" i="9"/>
  <c r="J371" i="9"/>
  <c r="J317" i="9"/>
  <c r="J297" i="9"/>
  <c r="J274" i="9"/>
  <c r="J88" i="9"/>
  <c r="J80" i="9"/>
  <c r="J72" i="9"/>
  <c r="J64" i="9"/>
  <c r="J56" i="9"/>
  <c r="J48" i="9"/>
  <c r="J40" i="9"/>
  <c r="J32" i="9"/>
  <c r="J24" i="9"/>
  <c r="J16" i="9"/>
  <c r="J8" i="9"/>
  <c r="J355" i="9"/>
  <c r="J373" i="9"/>
  <c r="J323" i="9"/>
  <c r="J392" i="9"/>
  <c r="J382" i="9"/>
  <c r="J265" i="9"/>
  <c r="J349" i="9"/>
  <c r="J270" i="9"/>
  <c r="J260" i="9"/>
  <c r="J360" i="9"/>
  <c r="J350" i="9"/>
  <c r="J336" i="9"/>
  <c r="J324" i="9"/>
  <c r="J276" i="9"/>
  <c r="J277" i="9"/>
  <c r="J298" i="9"/>
  <c r="J286" i="9"/>
  <c r="J272" i="9"/>
  <c r="J308" i="9"/>
  <c r="J244" i="9"/>
  <c r="J236" i="9"/>
  <c r="J228" i="9"/>
  <c r="J220" i="9"/>
  <c r="J212" i="9"/>
  <c r="J204" i="9"/>
  <c r="J196" i="9"/>
  <c r="J188" i="9"/>
  <c r="J180" i="9"/>
  <c r="J172" i="9"/>
  <c r="J164" i="9"/>
  <c r="J156" i="9"/>
  <c r="J148" i="9"/>
  <c r="J140" i="9"/>
  <c r="J132" i="9"/>
  <c r="J124" i="9"/>
  <c r="J116" i="9"/>
  <c r="J108" i="9"/>
  <c r="J100" i="9"/>
  <c r="J92" i="9"/>
  <c r="J241" i="9"/>
  <c r="J233" i="9"/>
  <c r="J225" i="9"/>
  <c r="J217" i="9"/>
  <c r="J209" i="9"/>
  <c r="J201" i="9"/>
  <c r="J193" i="9"/>
  <c r="J185" i="9"/>
  <c r="J177" i="9"/>
  <c r="J169" i="9"/>
  <c r="J161" i="9"/>
  <c r="J153" i="9"/>
  <c r="J145" i="9"/>
  <c r="J137" i="9"/>
  <c r="J129" i="9"/>
  <c r="J121" i="9"/>
  <c r="J113" i="9"/>
  <c r="J105" i="9"/>
  <c r="J97" i="9"/>
  <c r="J89" i="9"/>
  <c r="J378" i="9"/>
  <c r="J353" i="9"/>
  <c r="J335" i="9"/>
  <c r="J314" i="9"/>
  <c r="J246" i="9"/>
  <c r="J75" i="9"/>
  <c r="J67" i="9"/>
  <c r="J59" i="9"/>
  <c r="J51" i="9"/>
  <c r="J43" i="9"/>
  <c r="J35" i="9"/>
  <c r="J27" i="9"/>
  <c r="J19" i="9"/>
  <c r="J11" i="9"/>
  <c r="J396" i="9"/>
  <c r="J377" i="9"/>
  <c r="J359" i="9"/>
  <c r="J338" i="9"/>
  <c r="J313" i="9"/>
  <c r="J247" i="9"/>
  <c r="J368" i="9"/>
  <c r="J333" i="9"/>
  <c r="J294" i="9"/>
  <c r="J254" i="9"/>
  <c r="J394" i="9"/>
  <c r="J363" i="9"/>
  <c r="J311" i="9"/>
  <c r="J290" i="9"/>
  <c r="J266" i="9"/>
  <c r="J86" i="9"/>
  <c r="J78" i="9"/>
  <c r="J70" i="9"/>
  <c r="J62" i="9"/>
  <c r="J54" i="9"/>
  <c r="J46" i="9"/>
  <c r="J38" i="9"/>
  <c r="J30" i="9"/>
  <c r="J22" i="9"/>
  <c r="J14" i="9"/>
  <c r="J6" i="9"/>
  <c r="J347" i="9"/>
  <c r="J365" i="9"/>
  <c r="J315" i="9"/>
  <c r="J390" i="9"/>
  <c r="J275" i="9"/>
  <c r="J261" i="9"/>
  <c r="J309" i="9"/>
  <c r="J268" i="9"/>
  <c r="J258" i="9"/>
  <c r="J358" i="9"/>
  <c r="J344" i="9"/>
  <c r="J334" i="9"/>
  <c r="J320" i="9"/>
  <c r="J295" i="9"/>
  <c r="J304" i="9"/>
  <c r="J296" i="9"/>
  <c r="J284" i="9"/>
  <c r="J376" i="9"/>
  <c r="J242" i="9"/>
  <c r="J234" i="9"/>
  <c r="J226" i="9"/>
  <c r="J218" i="9"/>
  <c r="J210" i="9"/>
  <c r="J202" i="9"/>
  <c r="J194" i="9"/>
  <c r="J186" i="9"/>
  <c r="J178" i="9"/>
  <c r="J170" i="9"/>
  <c r="J162" i="9"/>
  <c r="J154" i="9"/>
  <c r="J146" i="9"/>
  <c r="J138" i="9"/>
  <c r="J130" i="9"/>
  <c r="J122" i="9"/>
  <c r="J114" i="9"/>
  <c r="J106" i="9"/>
  <c r="J98" i="9"/>
  <c r="J90" i="9"/>
  <c r="J239" i="9"/>
  <c r="J231" i="9"/>
  <c r="J223" i="9"/>
  <c r="J215" i="9"/>
  <c r="J207" i="9"/>
  <c r="J199" i="9"/>
  <c r="J191" i="9"/>
  <c r="J183" i="9"/>
  <c r="J175" i="9"/>
  <c r="J167" i="9"/>
  <c r="J159" i="9"/>
  <c r="J151" i="9"/>
  <c r="J143" i="9"/>
  <c r="J135" i="9"/>
  <c r="J127" i="9"/>
  <c r="J119" i="9"/>
  <c r="J111" i="9"/>
  <c r="J103" i="9"/>
  <c r="J95" i="9"/>
  <c r="J85" i="9"/>
  <c r="J369" i="9"/>
  <c r="J351" i="9"/>
  <c r="J330" i="9"/>
  <c r="J267" i="9"/>
  <c r="J83" i="9"/>
  <c r="J73" i="9"/>
  <c r="J65" i="9"/>
  <c r="J57" i="9"/>
  <c r="J49" i="9"/>
  <c r="J41" i="9"/>
  <c r="J33" i="9"/>
  <c r="J25" i="9"/>
  <c r="J17" i="9"/>
  <c r="J9" i="9"/>
  <c r="J393" i="9"/>
  <c r="J375" i="9"/>
  <c r="J354" i="9"/>
  <c r="J329" i="9"/>
  <c r="J271" i="9"/>
  <c r="J245" i="9"/>
  <c r="J366" i="9"/>
  <c r="J310" i="9"/>
  <c r="J287" i="9"/>
  <c r="J252" i="9"/>
  <c r="J389" i="9"/>
  <c r="J332" i="9"/>
  <c r="J306" i="9"/>
  <c r="J283" i="9"/>
  <c r="J253" i="9"/>
  <c r="J84" i="9"/>
  <c r="J76" i="9"/>
  <c r="J68" i="9"/>
  <c r="J60" i="9"/>
  <c r="J52" i="9"/>
  <c r="J44" i="9"/>
  <c r="J36" i="9"/>
  <c r="J28" i="9"/>
  <c r="J20" i="9"/>
  <c r="J12" i="9"/>
  <c r="J316" i="9"/>
  <c r="J339" i="9"/>
  <c r="J291" i="9"/>
  <c r="J388" i="9"/>
  <c r="J273" i="9"/>
  <c r="J257" i="9"/>
  <c r="J307" i="9"/>
  <c r="J264" i="9"/>
  <c r="J256" i="9"/>
  <c r="J356" i="9"/>
  <c r="J342" i="9"/>
  <c r="J328" i="9"/>
  <c r="J318" i="9"/>
  <c r="J293" i="9"/>
  <c r="J302" i="9"/>
  <c r="J292" i="9"/>
  <c r="J282" i="9"/>
  <c r="J364" i="9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9" i="2"/>
  <c r="AL30" i="2"/>
  <c r="AL31" i="2"/>
  <c r="AL32" i="2"/>
  <c r="AL33" i="2"/>
  <c r="AL34" i="2"/>
  <c r="AL35" i="2"/>
  <c r="AL36" i="2"/>
  <c r="AO36" i="2" s="1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9" i="2"/>
  <c r="AK30" i="2"/>
  <c r="AK31" i="2"/>
  <c r="AK32" i="2"/>
  <c r="AK33" i="2"/>
  <c r="AK34" i="2"/>
  <c r="AK35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9" i="2"/>
  <c r="AG30" i="2"/>
  <c r="AG31" i="2"/>
  <c r="AG32" i="2"/>
  <c r="AG33" i="2"/>
  <c r="AG34" i="2"/>
  <c r="AG35" i="2"/>
  <c r="AG36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9" i="2"/>
  <c r="AF30" i="2"/>
  <c r="AF31" i="2"/>
  <c r="AF32" i="2"/>
  <c r="AF33" i="2"/>
  <c r="AF34" i="2"/>
  <c r="AF35" i="2"/>
  <c r="AF36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9" i="2"/>
  <c r="AB30" i="2"/>
  <c r="AB31" i="2"/>
  <c r="AB32" i="2"/>
  <c r="AB33" i="2"/>
  <c r="AB34" i="2"/>
  <c r="AB35" i="2"/>
  <c r="AB36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9" i="2"/>
  <c r="AA30" i="2"/>
  <c r="AA31" i="2"/>
  <c r="AA32" i="2"/>
  <c r="AA33" i="2"/>
  <c r="AA34" i="2"/>
  <c r="AA35" i="2"/>
  <c r="AA36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9" i="2"/>
  <c r="W30" i="2"/>
  <c r="W31" i="2"/>
  <c r="W32" i="2"/>
  <c r="W33" i="2"/>
  <c r="W34" i="2"/>
  <c r="W35" i="2"/>
  <c r="W36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9" i="2"/>
  <c r="V30" i="2"/>
  <c r="V31" i="2"/>
  <c r="V32" i="2"/>
  <c r="V33" i="2"/>
  <c r="V34" i="2"/>
  <c r="V35" i="2"/>
  <c r="V36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9" i="2"/>
  <c r="R30" i="2"/>
  <c r="R31" i="2"/>
  <c r="R32" i="2"/>
  <c r="R33" i="2"/>
  <c r="R34" i="2"/>
  <c r="R35" i="2"/>
  <c r="R36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9" i="2"/>
  <c r="Q30" i="2"/>
  <c r="Q31" i="2"/>
  <c r="Q32" i="2"/>
  <c r="Q33" i="2"/>
  <c r="Q34" i="2"/>
  <c r="Q35" i="2"/>
  <c r="Q36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9" i="2"/>
  <c r="M30" i="2"/>
  <c r="M31" i="2"/>
  <c r="M32" i="2"/>
  <c r="M33" i="2"/>
  <c r="M34" i="2"/>
  <c r="M35" i="2"/>
  <c r="M36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9" i="2"/>
  <c r="L30" i="2"/>
  <c r="L31" i="2"/>
  <c r="L32" i="2"/>
  <c r="L33" i="2"/>
  <c r="L34" i="2"/>
  <c r="L35" i="2"/>
  <c r="L36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H12" i="2"/>
  <c r="H13" i="2"/>
  <c r="H14" i="2"/>
  <c r="H15" i="2"/>
  <c r="H16" i="2"/>
  <c r="H18" i="2"/>
  <c r="H19" i="2"/>
  <c r="H20" i="2"/>
  <c r="H21" i="2"/>
  <c r="H22" i="2"/>
  <c r="H23" i="2"/>
  <c r="H25" i="2"/>
  <c r="H26" i="2"/>
  <c r="H27" i="2"/>
  <c r="H30" i="2"/>
  <c r="H31" i="2"/>
  <c r="H32" i="2"/>
  <c r="H33" i="2"/>
  <c r="H34" i="2"/>
  <c r="H35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5" i="2"/>
  <c r="H56" i="2"/>
  <c r="G8" i="2"/>
  <c r="G10" i="2"/>
  <c r="G12" i="2"/>
  <c r="G13" i="2"/>
  <c r="G17" i="2"/>
  <c r="G18" i="2"/>
  <c r="G19" i="2"/>
  <c r="G20" i="2"/>
  <c r="G21" i="2"/>
  <c r="G22" i="2"/>
  <c r="G23" i="2"/>
  <c r="G25" i="2"/>
  <c r="G29" i="2"/>
  <c r="G30" i="2"/>
  <c r="G31" i="2"/>
  <c r="G32" i="2"/>
  <c r="G33" i="2"/>
  <c r="G34" i="2"/>
  <c r="G35" i="2"/>
  <c r="G40" i="2"/>
  <c r="G41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AL6" i="2"/>
  <c r="AG6" i="2"/>
  <c r="AB6" i="2"/>
  <c r="W6" i="2"/>
  <c r="R6" i="2"/>
  <c r="M6" i="2"/>
  <c r="AK6" i="2"/>
  <c r="AF6" i="2"/>
  <c r="AA6" i="2"/>
  <c r="V6" i="2"/>
  <c r="Q6" i="2"/>
  <c r="L6" i="2"/>
  <c r="G6" i="2"/>
  <c r="AL60" i="2" l="1"/>
  <c r="AK60" i="2"/>
  <c r="AG60" i="2"/>
  <c r="AA60" i="2"/>
  <c r="V60" i="2"/>
  <c r="AF60" i="2"/>
  <c r="W60" i="2"/>
  <c r="AB60" i="2"/>
  <c r="AE60" i="2" s="1"/>
  <c r="R60" i="2"/>
  <c r="Q60" i="2"/>
  <c r="M60" i="2"/>
  <c r="L60" i="2"/>
  <c r="AO9" i="2"/>
  <c r="AE14" i="2"/>
  <c r="AE10" i="2"/>
  <c r="AJ56" i="2"/>
  <c r="AJ52" i="2"/>
  <c r="AJ48" i="2"/>
  <c r="AJ44" i="2"/>
  <c r="AJ40" i="2"/>
  <c r="AJ33" i="2"/>
  <c r="AJ29" i="2"/>
  <c r="AJ24" i="2"/>
  <c r="AJ20" i="2"/>
  <c r="AJ16" i="2"/>
  <c r="AJ12" i="2"/>
  <c r="AJ8" i="2"/>
  <c r="AO34" i="2"/>
  <c r="AO30" i="2"/>
  <c r="AO25" i="2"/>
  <c r="AO21" i="2"/>
  <c r="AO17" i="2"/>
  <c r="AO13" i="2"/>
  <c r="AO53" i="2"/>
  <c r="AO49" i="2"/>
  <c r="AO45" i="2"/>
  <c r="AO41" i="2"/>
  <c r="AJ43" i="2"/>
  <c r="AJ36" i="2"/>
  <c r="AJ32" i="2"/>
  <c r="AJ27" i="2"/>
  <c r="AJ23" i="2"/>
  <c r="AJ19" i="2"/>
  <c r="AJ15" i="2"/>
  <c r="AJ11" i="2"/>
  <c r="AJ7" i="2"/>
  <c r="AO33" i="2"/>
  <c r="AO29" i="2"/>
  <c r="AO24" i="2"/>
  <c r="AO20" i="2"/>
  <c r="AO16" i="2"/>
  <c r="AO12" i="2"/>
  <c r="AO8" i="2"/>
  <c r="AO56" i="2"/>
  <c r="AO52" i="2"/>
  <c r="AO48" i="2"/>
  <c r="AO44" i="2"/>
  <c r="AO40" i="2"/>
  <c r="AE42" i="2"/>
  <c r="AE35" i="2"/>
  <c r="AE31" i="2"/>
  <c r="AE26" i="2"/>
  <c r="AE22" i="2"/>
  <c r="AE18" i="2"/>
  <c r="AJ55" i="2"/>
  <c r="AJ51" i="2"/>
  <c r="AJ47" i="2"/>
  <c r="AO32" i="2"/>
  <c r="AO27" i="2"/>
  <c r="AO23" i="2"/>
  <c r="AO19" i="2"/>
  <c r="AO15" i="2"/>
  <c r="AO11" i="2"/>
  <c r="AO7" i="2"/>
  <c r="AO55" i="2"/>
  <c r="AO51" i="2"/>
  <c r="AO47" i="2"/>
  <c r="AO43" i="2"/>
  <c r="AO35" i="2"/>
  <c r="AO31" i="2"/>
  <c r="AO26" i="2"/>
  <c r="AO22" i="2"/>
  <c r="AO18" i="2"/>
  <c r="AO14" i="2"/>
  <c r="AO10" i="2"/>
  <c r="AE54" i="2"/>
  <c r="AE50" i="2"/>
  <c r="AE46" i="2"/>
  <c r="AO54" i="2"/>
  <c r="AO50" i="2"/>
  <c r="AO46" i="2"/>
  <c r="AO42" i="2"/>
  <c r="AO6" i="2"/>
  <c r="Z56" i="2"/>
  <c r="Z52" i="2"/>
  <c r="Z48" i="2"/>
  <c r="Z44" i="2"/>
  <c r="Z40" i="2"/>
  <c r="Z33" i="2"/>
  <c r="Z29" i="2"/>
  <c r="Z24" i="2"/>
  <c r="Z20" i="2"/>
  <c r="Z16" i="2"/>
  <c r="Z12" i="2"/>
  <c r="Z8" i="2"/>
  <c r="Z53" i="2"/>
  <c r="Z49" i="2"/>
  <c r="Z45" i="2"/>
  <c r="Z41" i="2"/>
  <c r="Z34" i="2"/>
  <c r="Z30" i="2"/>
  <c r="Z25" i="2"/>
  <c r="Z21" i="2"/>
  <c r="Z17" i="2"/>
  <c r="Z13" i="2"/>
  <c r="Z9" i="2"/>
  <c r="AE55" i="2"/>
  <c r="AE51" i="2"/>
  <c r="AE47" i="2"/>
  <c r="AE43" i="2"/>
  <c r="AE36" i="2"/>
  <c r="AE32" i="2"/>
  <c r="AE27" i="2"/>
  <c r="AE23" i="2"/>
  <c r="AE19" i="2"/>
  <c r="AE15" i="2"/>
  <c r="AE11" i="2"/>
  <c r="AE7" i="2"/>
  <c r="AJ53" i="2"/>
  <c r="AJ49" i="2"/>
  <c r="AJ45" i="2"/>
  <c r="AJ41" i="2"/>
  <c r="AJ34" i="2"/>
  <c r="AJ30" i="2"/>
  <c r="AJ25" i="2"/>
  <c r="AJ21" i="2"/>
  <c r="AJ17" i="2"/>
  <c r="AJ13" i="2"/>
  <c r="AJ9" i="2"/>
  <c r="AJ6" i="2"/>
  <c r="AJ54" i="2"/>
  <c r="AJ50" i="2"/>
  <c r="AJ46" i="2"/>
  <c r="AJ42" i="2"/>
  <c r="AJ35" i="2"/>
  <c r="AJ31" i="2"/>
  <c r="AJ26" i="2"/>
  <c r="AJ22" i="2"/>
  <c r="AJ18" i="2"/>
  <c r="AJ14" i="2"/>
  <c r="AJ10" i="2"/>
  <c r="AE56" i="2"/>
  <c r="AE52" i="2"/>
  <c r="AE48" i="2"/>
  <c r="AE44" i="2"/>
  <c r="AE40" i="2"/>
  <c r="AE33" i="2"/>
  <c r="AE29" i="2"/>
  <c r="AE24" i="2"/>
  <c r="AE20" i="2"/>
  <c r="AE16" i="2"/>
  <c r="AE12" i="2"/>
  <c r="AE8" i="2"/>
  <c r="AE53" i="2"/>
  <c r="AE49" i="2"/>
  <c r="AE45" i="2"/>
  <c r="AE41" i="2"/>
  <c r="AE34" i="2"/>
  <c r="AE30" i="2"/>
  <c r="AE25" i="2"/>
  <c r="AE21" i="2"/>
  <c r="AE17" i="2"/>
  <c r="AE13" i="2"/>
  <c r="AE9" i="2"/>
  <c r="Z54" i="2"/>
  <c r="Z50" i="2"/>
  <c r="Z46" i="2"/>
  <c r="Z42" i="2"/>
  <c r="Z35" i="2"/>
  <c r="Z31" i="2"/>
  <c r="Z26" i="2"/>
  <c r="Z22" i="2"/>
  <c r="Z18" i="2"/>
  <c r="Z14" i="2"/>
  <c r="Z10" i="2"/>
  <c r="AE6" i="2"/>
  <c r="K50" i="2"/>
  <c r="K46" i="2"/>
  <c r="K35" i="2"/>
  <c r="K31" i="2"/>
  <c r="K22" i="2"/>
  <c r="K18" i="2"/>
  <c r="U53" i="2"/>
  <c r="U49" i="2"/>
  <c r="U45" i="2"/>
  <c r="U41" i="2"/>
  <c r="U34" i="2"/>
  <c r="U30" i="2"/>
  <c r="U25" i="2"/>
  <c r="U21" i="2"/>
  <c r="U17" i="2"/>
  <c r="U13" i="2"/>
  <c r="U9" i="2"/>
  <c r="Z55" i="2"/>
  <c r="Z51" i="2"/>
  <c r="Z47" i="2"/>
  <c r="Z43" i="2"/>
  <c r="Z36" i="2"/>
  <c r="Z32" i="2"/>
  <c r="Z27" i="2"/>
  <c r="Z23" i="2"/>
  <c r="Z19" i="2"/>
  <c r="Z15" i="2"/>
  <c r="Z11" i="2"/>
  <c r="Z7" i="2"/>
  <c r="U6" i="2"/>
  <c r="Z6" i="2"/>
  <c r="U56" i="2"/>
  <c r="U52" i="2"/>
  <c r="U48" i="2"/>
  <c r="U44" i="2"/>
  <c r="U40" i="2"/>
  <c r="U33" i="2"/>
  <c r="U29" i="2"/>
  <c r="U24" i="2"/>
  <c r="U20" i="2"/>
  <c r="U16" i="2"/>
  <c r="U12" i="2"/>
  <c r="U8" i="2"/>
  <c r="U55" i="2"/>
  <c r="U51" i="2"/>
  <c r="U47" i="2"/>
  <c r="U43" i="2"/>
  <c r="U36" i="2"/>
  <c r="U32" i="2"/>
  <c r="U27" i="2"/>
  <c r="U23" i="2"/>
  <c r="U19" i="2"/>
  <c r="U15" i="2"/>
  <c r="U11" i="2"/>
  <c r="U7" i="2"/>
  <c r="P56" i="2"/>
  <c r="P52" i="2"/>
  <c r="P48" i="2"/>
  <c r="P44" i="2"/>
  <c r="P40" i="2"/>
  <c r="P33" i="2"/>
  <c r="P29" i="2"/>
  <c r="P24" i="2"/>
  <c r="P20" i="2"/>
  <c r="P16" i="2"/>
  <c r="P12" i="2"/>
  <c r="P8" i="2"/>
  <c r="U54" i="2"/>
  <c r="U50" i="2"/>
  <c r="U46" i="2"/>
  <c r="U42" i="2"/>
  <c r="U35" i="2"/>
  <c r="U31" i="2"/>
  <c r="U26" i="2"/>
  <c r="U22" i="2"/>
  <c r="U18" i="2"/>
  <c r="U14" i="2"/>
  <c r="U10" i="2"/>
  <c r="P55" i="2"/>
  <c r="P47" i="2"/>
  <c r="P36" i="2"/>
  <c r="P27" i="2"/>
  <c r="P19" i="2"/>
  <c r="P11" i="2"/>
  <c r="P51" i="2"/>
  <c r="P43" i="2"/>
  <c r="P32" i="2"/>
  <c r="P23" i="2"/>
  <c r="P15" i="2"/>
  <c r="P7" i="2"/>
  <c r="K53" i="2"/>
  <c r="K49" i="2"/>
  <c r="K45" i="2"/>
  <c r="K41" i="2"/>
  <c r="K34" i="2"/>
  <c r="K30" i="2"/>
  <c r="K21" i="2"/>
  <c r="K13" i="2"/>
  <c r="P54" i="2"/>
  <c r="P50" i="2"/>
  <c r="P46" i="2"/>
  <c r="P42" i="2"/>
  <c r="P35" i="2"/>
  <c r="P31" i="2"/>
  <c r="P26" i="2"/>
  <c r="P22" i="2"/>
  <c r="P18" i="2"/>
  <c r="P14" i="2"/>
  <c r="P10" i="2"/>
  <c r="P53" i="2"/>
  <c r="P49" i="2"/>
  <c r="P45" i="2"/>
  <c r="P41" i="2"/>
  <c r="P34" i="2"/>
  <c r="P30" i="2"/>
  <c r="P25" i="2"/>
  <c r="P21" i="2"/>
  <c r="P17" i="2"/>
  <c r="P13" i="2"/>
  <c r="P9" i="2"/>
  <c r="P6" i="2"/>
  <c r="K55" i="2"/>
  <c r="K51" i="2"/>
  <c r="K47" i="2"/>
  <c r="K43" i="2"/>
  <c r="K32" i="2"/>
  <c r="K23" i="2"/>
  <c r="K19" i="2"/>
  <c r="K56" i="2"/>
  <c r="K52" i="2"/>
  <c r="K48" i="2"/>
  <c r="K44" i="2"/>
  <c r="K33" i="2"/>
  <c r="K12" i="2"/>
  <c r="H150" i="6"/>
  <c r="J150" i="6" s="1"/>
  <c r="H149" i="6"/>
  <c r="J149" i="6" s="1"/>
  <c r="H148" i="6"/>
  <c r="J148" i="6" s="1"/>
  <c r="H147" i="6"/>
  <c r="J147" i="6" s="1"/>
  <c r="H146" i="6"/>
  <c r="H145" i="6"/>
  <c r="J145" i="6" s="1"/>
  <c r="H144" i="6"/>
  <c r="J144" i="6" s="1"/>
  <c r="H143" i="6"/>
  <c r="J143" i="6" s="1"/>
  <c r="H142" i="6"/>
  <c r="H141" i="6"/>
  <c r="J141" i="6" s="1"/>
  <c r="H140" i="6"/>
  <c r="J140" i="6" s="1"/>
  <c r="H139" i="6"/>
  <c r="J139" i="6" s="1"/>
  <c r="H138" i="6"/>
  <c r="H137" i="6"/>
  <c r="J137" i="6" s="1"/>
  <c r="H136" i="6"/>
  <c r="J136" i="6" s="1"/>
  <c r="H135" i="6"/>
  <c r="J135" i="6" s="1"/>
  <c r="H134" i="6"/>
  <c r="J134" i="6" s="1"/>
  <c r="H133" i="6"/>
  <c r="H132" i="6"/>
  <c r="J132" i="6" s="1"/>
  <c r="H131" i="6"/>
  <c r="J131" i="6" s="1"/>
  <c r="H130" i="6"/>
  <c r="H129" i="6"/>
  <c r="J129" i="6" s="1"/>
  <c r="H128" i="6"/>
  <c r="J128" i="6" s="1"/>
  <c r="H127" i="6"/>
  <c r="J127" i="6" s="1"/>
  <c r="H126" i="6"/>
  <c r="J126" i="6" s="1"/>
  <c r="H125" i="6"/>
  <c r="J125" i="6" s="1"/>
  <c r="H124" i="6"/>
  <c r="H123" i="6"/>
  <c r="J123" i="6" s="1"/>
  <c r="H122" i="6"/>
  <c r="J122" i="6" s="1"/>
  <c r="H121" i="6"/>
  <c r="H120" i="6"/>
  <c r="J120" i="6" s="1"/>
  <c r="H119" i="6"/>
  <c r="J119" i="6" s="1"/>
  <c r="H118" i="6"/>
  <c r="J118" i="6" s="1"/>
  <c r="H117" i="6"/>
  <c r="H116" i="6"/>
  <c r="J116" i="6" s="1"/>
  <c r="H115" i="6"/>
  <c r="J115" i="6" s="1"/>
  <c r="H114" i="6"/>
  <c r="J114" i="6" s="1"/>
  <c r="H113" i="6"/>
  <c r="J113" i="6" s="1"/>
  <c r="H112" i="6"/>
  <c r="J112" i="6" s="1"/>
  <c r="H111" i="6"/>
  <c r="J111" i="6" s="1"/>
  <c r="H110" i="6"/>
  <c r="J110" i="6" s="1"/>
  <c r="H109" i="6"/>
  <c r="J109" i="6" s="1"/>
  <c r="H108" i="6"/>
  <c r="J108" i="6" s="1"/>
  <c r="H107" i="6"/>
  <c r="J107" i="6" s="1"/>
  <c r="H106" i="6"/>
  <c r="H105" i="6"/>
  <c r="J105" i="6" s="1"/>
  <c r="H104" i="6"/>
  <c r="H103" i="6"/>
  <c r="J103" i="6" s="1"/>
  <c r="H102" i="6"/>
  <c r="J102" i="6" s="1"/>
  <c r="H101" i="6"/>
  <c r="J101" i="6" s="1"/>
  <c r="H100" i="6"/>
  <c r="J100" i="6" s="1"/>
  <c r="H99" i="6"/>
  <c r="J99" i="6" s="1"/>
  <c r="H98" i="6"/>
  <c r="J98" i="6" s="1"/>
  <c r="H97" i="6"/>
  <c r="J97" i="6" s="1"/>
  <c r="H96" i="6"/>
  <c r="J96" i="6" s="1"/>
  <c r="H95" i="6"/>
  <c r="J95" i="6" s="1"/>
  <c r="H94" i="6"/>
  <c r="J94" i="6" s="1"/>
  <c r="H93" i="6"/>
  <c r="J93" i="6" s="1"/>
  <c r="H92" i="6"/>
  <c r="J92" i="6" s="1"/>
  <c r="H91" i="6"/>
  <c r="J91" i="6" s="1"/>
  <c r="H90" i="6"/>
  <c r="J90" i="6" s="1"/>
  <c r="H89" i="6"/>
  <c r="J89" i="6" s="1"/>
  <c r="H88" i="6"/>
  <c r="J88" i="6" s="1"/>
  <c r="H87" i="6"/>
  <c r="J87" i="6" s="1"/>
  <c r="H86" i="6"/>
  <c r="J86" i="6" s="1"/>
  <c r="H85" i="6"/>
  <c r="J85" i="6" s="1"/>
  <c r="H84" i="6"/>
  <c r="J84" i="6" s="1"/>
  <c r="H83" i="6"/>
  <c r="J83" i="6" s="1"/>
  <c r="H82" i="6"/>
  <c r="J82" i="6" s="1"/>
  <c r="H81" i="6"/>
  <c r="J81" i="6" s="1"/>
  <c r="H80" i="6"/>
  <c r="J80" i="6" s="1"/>
  <c r="H79" i="6"/>
  <c r="J79" i="6" s="1"/>
  <c r="H78" i="6"/>
  <c r="J78" i="6" s="1"/>
  <c r="H77" i="6"/>
  <c r="J77" i="6" s="1"/>
  <c r="H76" i="6"/>
  <c r="J76" i="6" s="1"/>
  <c r="H75" i="6"/>
  <c r="J75" i="6" s="1"/>
  <c r="H74" i="6"/>
  <c r="J74" i="6" s="1"/>
  <c r="H73" i="6"/>
  <c r="J73" i="6" s="1"/>
  <c r="H72" i="6"/>
  <c r="J72" i="6" s="1"/>
  <c r="H71" i="6"/>
  <c r="J71" i="6" s="1"/>
  <c r="H70" i="6"/>
  <c r="J70" i="6" s="1"/>
  <c r="H69" i="6"/>
  <c r="J69" i="6" s="1"/>
  <c r="H68" i="6"/>
  <c r="J68" i="6" s="1"/>
  <c r="H67" i="6"/>
  <c r="J67" i="6" s="1"/>
  <c r="H66" i="6"/>
  <c r="J66" i="6" s="1"/>
  <c r="H65" i="6"/>
  <c r="J65" i="6" s="1"/>
  <c r="H64" i="6"/>
  <c r="J64" i="6" s="1"/>
  <c r="H63" i="6"/>
  <c r="J63" i="6" s="1"/>
  <c r="H62" i="6"/>
  <c r="J62" i="6" s="1"/>
  <c r="H61" i="6"/>
  <c r="J61" i="6" s="1"/>
  <c r="H60" i="6"/>
  <c r="J60" i="6" s="1"/>
  <c r="H59" i="6"/>
  <c r="J59" i="6" s="1"/>
  <c r="H58" i="6"/>
  <c r="J58" i="6" s="1"/>
  <c r="H57" i="6"/>
  <c r="J57" i="6" s="1"/>
  <c r="H56" i="6"/>
  <c r="J56" i="6" s="1"/>
  <c r="H55" i="6"/>
  <c r="J55" i="6" s="1"/>
  <c r="H54" i="6"/>
  <c r="J54" i="6" s="1"/>
  <c r="H53" i="6"/>
  <c r="J53" i="6" s="1"/>
  <c r="H52" i="6"/>
  <c r="J52" i="6" s="1"/>
  <c r="H51" i="6"/>
  <c r="J51" i="6" s="1"/>
  <c r="H50" i="6"/>
  <c r="J50" i="6" s="1"/>
  <c r="H49" i="6"/>
  <c r="J49" i="6" s="1"/>
  <c r="H48" i="6"/>
  <c r="J48" i="6" s="1"/>
  <c r="H47" i="6"/>
  <c r="J47" i="6" s="1"/>
  <c r="H46" i="6"/>
  <c r="J46" i="6" s="1"/>
  <c r="H45" i="6"/>
  <c r="J45" i="6" s="1"/>
  <c r="H44" i="6"/>
  <c r="J44" i="6" s="1"/>
  <c r="H43" i="6"/>
  <c r="J43" i="6" s="1"/>
  <c r="H42" i="6"/>
  <c r="J42" i="6" s="1"/>
  <c r="H41" i="6"/>
  <c r="J41" i="6" s="1"/>
  <c r="H40" i="6"/>
  <c r="J40" i="6" s="1"/>
  <c r="H39" i="6"/>
  <c r="J39" i="6" s="1"/>
  <c r="H38" i="6"/>
  <c r="J38" i="6" s="1"/>
  <c r="H37" i="6"/>
  <c r="J37" i="6" s="1"/>
  <c r="H36" i="6"/>
  <c r="J36" i="6" s="1"/>
  <c r="H35" i="6"/>
  <c r="J35" i="6" s="1"/>
  <c r="H34" i="6"/>
  <c r="J34" i="6" s="1"/>
  <c r="H33" i="6"/>
  <c r="J33" i="6" s="1"/>
  <c r="H31" i="6"/>
  <c r="H7" i="6"/>
  <c r="H6" i="6"/>
  <c r="H5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4" i="6"/>
  <c r="J40" i="2"/>
  <c r="G37" i="2"/>
  <c r="K37" i="2" s="1"/>
  <c r="G36" i="2"/>
  <c r="H17" i="2"/>
  <c r="K17" i="2" s="1"/>
  <c r="G15" i="2"/>
  <c r="K15" i="2" s="1"/>
  <c r="J20" i="2"/>
  <c r="H54" i="2"/>
  <c r="K54" i="2" s="1"/>
  <c r="H11" i="2"/>
  <c r="G26" i="2"/>
  <c r="K26" i="2" s="1"/>
  <c r="H29" i="2"/>
  <c r="K29" i="2" s="1"/>
  <c r="H24" i="2"/>
  <c r="G16" i="2"/>
  <c r="K16" i="2" s="1"/>
  <c r="H10" i="2"/>
  <c r="K10" i="2" s="1"/>
  <c r="H8" i="2"/>
  <c r="K8" i="2" s="1"/>
  <c r="H9" i="2"/>
  <c r="H6" i="2"/>
  <c r="G27" i="2"/>
  <c r="K27" i="2" s="1"/>
  <c r="G14" i="2"/>
  <c r="K14" i="2" s="1"/>
  <c r="G24" i="2"/>
  <c r="E35" i="2"/>
  <c r="F35" i="2" s="1"/>
  <c r="E21" i="2"/>
  <c r="E43" i="2"/>
  <c r="C12" i="2"/>
  <c r="C19" i="2"/>
  <c r="C13" i="2"/>
  <c r="B33" i="2"/>
  <c r="D25" i="2"/>
  <c r="C14" i="2"/>
  <c r="B18" i="2"/>
  <c r="F18" i="2" s="1"/>
  <c r="C27" i="2"/>
  <c r="F27" i="2" s="1"/>
  <c r="C43" i="2"/>
  <c r="C31" i="2"/>
  <c r="C54" i="2"/>
  <c r="C15" i="2"/>
  <c r="C30" i="2"/>
  <c r="C8" i="2"/>
  <c r="B45" i="2"/>
  <c r="F45" i="2" s="1"/>
  <c r="B50" i="2"/>
  <c r="F50" i="2" s="1"/>
  <c r="B38" i="2"/>
  <c r="F38" i="2" s="1"/>
  <c r="AP38" i="2" s="1"/>
  <c r="O4" i="5"/>
  <c r="J997" i="4"/>
  <c r="H997" i="4"/>
  <c r="G997" i="4"/>
  <c r="F997" i="4"/>
  <c r="J996" i="4"/>
  <c r="H996" i="4"/>
  <c r="G996" i="4"/>
  <c r="F996" i="4"/>
  <c r="J995" i="4"/>
  <c r="H995" i="4"/>
  <c r="G995" i="4"/>
  <c r="F995" i="4"/>
  <c r="J994" i="4"/>
  <c r="H994" i="4"/>
  <c r="G994" i="4"/>
  <c r="F994" i="4"/>
  <c r="J993" i="4"/>
  <c r="H993" i="4"/>
  <c r="G993" i="4"/>
  <c r="F993" i="4"/>
  <c r="J992" i="4"/>
  <c r="H992" i="4"/>
  <c r="G992" i="4"/>
  <c r="F992" i="4"/>
  <c r="J991" i="4"/>
  <c r="H991" i="4"/>
  <c r="G991" i="4"/>
  <c r="F991" i="4"/>
  <c r="J990" i="4"/>
  <c r="H990" i="4"/>
  <c r="G990" i="4"/>
  <c r="F990" i="4"/>
  <c r="J989" i="4"/>
  <c r="H989" i="4"/>
  <c r="G989" i="4"/>
  <c r="F989" i="4"/>
  <c r="J988" i="4"/>
  <c r="H988" i="4"/>
  <c r="G988" i="4"/>
  <c r="F988" i="4"/>
  <c r="J987" i="4"/>
  <c r="H987" i="4"/>
  <c r="G987" i="4"/>
  <c r="F987" i="4"/>
  <c r="J986" i="4"/>
  <c r="H986" i="4"/>
  <c r="G986" i="4"/>
  <c r="F986" i="4"/>
  <c r="J985" i="4"/>
  <c r="H985" i="4"/>
  <c r="G985" i="4"/>
  <c r="F985" i="4"/>
  <c r="J984" i="4"/>
  <c r="H984" i="4"/>
  <c r="G984" i="4"/>
  <c r="F984" i="4"/>
  <c r="J983" i="4"/>
  <c r="H983" i="4"/>
  <c r="G983" i="4"/>
  <c r="F983" i="4"/>
  <c r="J982" i="4"/>
  <c r="H982" i="4"/>
  <c r="G982" i="4"/>
  <c r="F982" i="4"/>
  <c r="J981" i="4"/>
  <c r="H981" i="4"/>
  <c r="G981" i="4"/>
  <c r="F981" i="4"/>
  <c r="J980" i="4"/>
  <c r="H980" i="4"/>
  <c r="G980" i="4"/>
  <c r="F980" i="4"/>
  <c r="J979" i="4"/>
  <c r="H979" i="4"/>
  <c r="G979" i="4"/>
  <c r="F979" i="4"/>
  <c r="J978" i="4"/>
  <c r="H978" i="4"/>
  <c r="G978" i="4"/>
  <c r="F978" i="4"/>
  <c r="J977" i="4"/>
  <c r="H977" i="4"/>
  <c r="G977" i="4"/>
  <c r="F977" i="4"/>
  <c r="J976" i="4"/>
  <c r="H976" i="4"/>
  <c r="G976" i="4"/>
  <c r="F976" i="4"/>
  <c r="J975" i="4"/>
  <c r="H975" i="4"/>
  <c r="G975" i="4"/>
  <c r="F975" i="4"/>
  <c r="J974" i="4"/>
  <c r="H974" i="4"/>
  <c r="G974" i="4"/>
  <c r="F974" i="4"/>
  <c r="J973" i="4"/>
  <c r="H973" i="4"/>
  <c r="G973" i="4"/>
  <c r="F973" i="4"/>
  <c r="J972" i="4"/>
  <c r="H972" i="4"/>
  <c r="G972" i="4"/>
  <c r="F972" i="4"/>
  <c r="J971" i="4"/>
  <c r="H971" i="4"/>
  <c r="G971" i="4"/>
  <c r="F971" i="4"/>
  <c r="J970" i="4"/>
  <c r="H970" i="4"/>
  <c r="G970" i="4"/>
  <c r="F970" i="4"/>
  <c r="J969" i="4"/>
  <c r="H969" i="4"/>
  <c r="G969" i="4"/>
  <c r="F969" i="4"/>
  <c r="J968" i="4"/>
  <c r="H968" i="4"/>
  <c r="G968" i="4"/>
  <c r="F968" i="4"/>
  <c r="J967" i="4"/>
  <c r="H967" i="4"/>
  <c r="G967" i="4"/>
  <c r="F967" i="4"/>
  <c r="J966" i="4"/>
  <c r="H966" i="4"/>
  <c r="G966" i="4"/>
  <c r="F966" i="4"/>
  <c r="J965" i="4"/>
  <c r="H965" i="4"/>
  <c r="G965" i="4"/>
  <c r="F965" i="4"/>
  <c r="J964" i="4"/>
  <c r="H964" i="4"/>
  <c r="G964" i="4"/>
  <c r="F964" i="4"/>
  <c r="J963" i="4"/>
  <c r="H963" i="4"/>
  <c r="G963" i="4"/>
  <c r="F963" i="4"/>
  <c r="J962" i="4"/>
  <c r="H962" i="4"/>
  <c r="G962" i="4"/>
  <c r="F962" i="4"/>
  <c r="J961" i="4"/>
  <c r="H961" i="4"/>
  <c r="G961" i="4"/>
  <c r="F961" i="4"/>
  <c r="J960" i="4"/>
  <c r="H960" i="4"/>
  <c r="G960" i="4"/>
  <c r="F960" i="4"/>
  <c r="J959" i="4"/>
  <c r="H959" i="4"/>
  <c r="G959" i="4"/>
  <c r="F959" i="4"/>
  <c r="J958" i="4"/>
  <c r="H958" i="4"/>
  <c r="G958" i="4"/>
  <c r="F958" i="4"/>
  <c r="J957" i="4"/>
  <c r="H957" i="4"/>
  <c r="G957" i="4"/>
  <c r="F957" i="4"/>
  <c r="J956" i="4"/>
  <c r="H956" i="4"/>
  <c r="G956" i="4"/>
  <c r="F956" i="4"/>
  <c r="J955" i="4"/>
  <c r="H955" i="4"/>
  <c r="G955" i="4"/>
  <c r="F955" i="4"/>
  <c r="J954" i="4"/>
  <c r="H954" i="4"/>
  <c r="G954" i="4"/>
  <c r="F954" i="4"/>
  <c r="J953" i="4"/>
  <c r="H953" i="4"/>
  <c r="G953" i="4"/>
  <c r="F953" i="4"/>
  <c r="J952" i="4"/>
  <c r="H952" i="4"/>
  <c r="G952" i="4"/>
  <c r="F952" i="4"/>
  <c r="J951" i="4"/>
  <c r="H951" i="4"/>
  <c r="G951" i="4"/>
  <c r="F951" i="4"/>
  <c r="J950" i="4"/>
  <c r="H950" i="4"/>
  <c r="G950" i="4"/>
  <c r="F950" i="4"/>
  <c r="J949" i="4"/>
  <c r="H949" i="4"/>
  <c r="G949" i="4"/>
  <c r="F949" i="4"/>
  <c r="J948" i="4"/>
  <c r="H948" i="4"/>
  <c r="G948" i="4"/>
  <c r="F948" i="4"/>
  <c r="J947" i="4"/>
  <c r="H947" i="4"/>
  <c r="G947" i="4"/>
  <c r="F947" i="4"/>
  <c r="J946" i="4"/>
  <c r="H946" i="4"/>
  <c r="G946" i="4"/>
  <c r="F946" i="4"/>
  <c r="J945" i="4"/>
  <c r="H945" i="4"/>
  <c r="G945" i="4"/>
  <c r="F945" i="4"/>
  <c r="J944" i="4"/>
  <c r="H944" i="4"/>
  <c r="G944" i="4"/>
  <c r="F944" i="4"/>
  <c r="J943" i="4"/>
  <c r="H943" i="4"/>
  <c r="G943" i="4"/>
  <c r="F943" i="4"/>
  <c r="J942" i="4"/>
  <c r="H942" i="4"/>
  <c r="G942" i="4"/>
  <c r="F942" i="4"/>
  <c r="J941" i="4"/>
  <c r="H941" i="4"/>
  <c r="G941" i="4"/>
  <c r="F941" i="4"/>
  <c r="J940" i="4"/>
  <c r="H940" i="4"/>
  <c r="G940" i="4"/>
  <c r="F940" i="4"/>
  <c r="J939" i="4"/>
  <c r="H939" i="4"/>
  <c r="G939" i="4"/>
  <c r="F939" i="4"/>
  <c r="J938" i="4"/>
  <c r="H938" i="4"/>
  <c r="G938" i="4"/>
  <c r="F938" i="4"/>
  <c r="J937" i="4"/>
  <c r="H937" i="4"/>
  <c r="G937" i="4"/>
  <c r="F937" i="4"/>
  <c r="J936" i="4"/>
  <c r="H936" i="4"/>
  <c r="G936" i="4"/>
  <c r="F936" i="4"/>
  <c r="J935" i="4"/>
  <c r="H935" i="4"/>
  <c r="G935" i="4"/>
  <c r="F935" i="4"/>
  <c r="J934" i="4"/>
  <c r="H934" i="4"/>
  <c r="G934" i="4"/>
  <c r="F934" i="4"/>
  <c r="J933" i="4"/>
  <c r="H933" i="4"/>
  <c r="G933" i="4"/>
  <c r="F933" i="4"/>
  <c r="J932" i="4"/>
  <c r="H932" i="4"/>
  <c r="G932" i="4"/>
  <c r="F932" i="4"/>
  <c r="J931" i="4"/>
  <c r="H931" i="4"/>
  <c r="G931" i="4"/>
  <c r="F931" i="4"/>
  <c r="J930" i="4"/>
  <c r="H930" i="4"/>
  <c r="G930" i="4"/>
  <c r="F930" i="4"/>
  <c r="J929" i="4"/>
  <c r="H929" i="4"/>
  <c r="G929" i="4"/>
  <c r="F929" i="4"/>
  <c r="J928" i="4"/>
  <c r="H928" i="4"/>
  <c r="G928" i="4"/>
  <c r="F928" i="4"/>
  <c r="J927" i="4"/>
  <c r="H927" i="4"/>
  <c r="G927" i="4"/>
  <c r="F927" i="4"/>
  <c r="J926" i="4"/>
  <c r="H926" i="4"/>
  <c r="G926" i="4"/>
  <c r="F926" i="4"/>
  <c r="J925" i="4"/>
  <c r="H925" i="4"/>
  <c r="G925" i="4"/>
  <c r="F925" i="4"/>
  <c r="J924" i="4"/>
  <c r="H924" i="4"/>
  <c r="G924" i="4"/>
  <c r="F924" i="4"/>
  <c r="J923" i="4"/>
  <c r="H923" i="4"/>
  <c r="G923" i="4"/>
  <c r="F923" i="4"/>
  <c r="J922" i="4"/>
  <c r="H922" i="4"/>
  <c r="G922" i="4"/>
  <c r="F922" i="4"/>
  <c r="J921" i="4"/>
  <c r="H921" i="4"/>
  <c r="G921" i="4"/>
  <c r="F921" i="4"/>
  <c r="J920" i="4"/>
  <c r="H920" i="4"/>
  <c r="G920" i="4"/>
  <c r="F920" i="4"/>
  <c r="J919" i="4"/>
  <c r="H919" i="4"/>
  <c r="G919" i="4"/>
  <c r="F919" i="4"/>
  <c r="J918" i="4"/>
  <c r="H918" i="4"/>
  <c r="G918" i="4"/>
  <c r="F918" i="4"/>
  <c r="J917" i="4"/>
  <c r="H917" i="4"/>
  <c r="G917" i="4"/>
  <c r="F917" i="4"/>
  <c r="J916" i="4"/>
  <c r="H916" i="4"/>
  <c r="G916" i="4"/>
  <c r="F916" i="4"/>
  <c r="J915" i="4"/>
  <c r="H915" i="4"/>
  <c r="G915" i="4"/>
  <c r="F915" i="4"/>
  <c r="J914" i="4"/>
  <c r="H914" i="4"/>
  <c r="G914" i="4"/>
  <c r="F914" i="4"/>
  <c r="J913" i="4"/>
  <c r="H913" i="4"/>
  <c r="G913" i="4"/>
  <c r="F913" i="4"/>
  <c r="J912" i="4"/>
  <c r="H912" i="4"/>
  <c r="G912" i="4"/>
  <c r="F912" i="4"/>
  <c r="J911" i="4"/>
  <c r="H911" i="4"/>
  <c r="G911" i="4"/>
  <c r="F911" i="4"/>
  <c r="J910" i="4"/>
  <c r="H910" i="4"/>
  <c r="G910" i="4"/>
  <c r="F910" i="4"/>
  <c r="J909" i="4"/>
  <c r="H909" i="4"/>
  <c r="G909" i="4"/>
  <c r="F909" i="4"/>
  <c r="J908" i="4"/>
  <c r="H908" i="4"/>
  <c r="G908" i="4"/>
  <c r="F908" i="4"/>
  <c r="J907" i="4"/>
  <c r="H907" i="4"/>
  <c r="G907" i="4"/>
  <c r="F907" i="4"/>
  <c r="J906" i="4"/>
  <c r="H906" i="4"/>
  <c r="G906" i="4"/>
  <c r="F906" i="4"/>
  <c r="J905" i="4"/>
  <c r="H905" i="4"/>
  <c r="G905" i="4"/>
  <c r="F905" i="4"/>
  <c r="J904" i="4"/>
  <c r="H904" i="4"/>
  <c r="G904" i="4"/>
  <c r="F904" i="4"/>
  <c r="J903" i="4"/>
  <c r="H903" i="4"/>
  <c r="G903" i="4"/>
  <c r="F903" i="4"/>
  <c r="J902" i="4"/>
  <c r="H902" i="4"/>
  <c r="G902" i="4"/>
  <c r="F902" i="4"/>
  <c r="J901" i="4"/>
  <c r="H901" i="4"/>
  <c r="G901" i="4"/>
  <c r="F901" i="4"/>
  <c r="J900" i="4"/>
  <c r="H900" i="4"/>
  <c r="G900" i="4"/>
  <c r="F900" i="4"/>
  <c r="J899" i="4"/>
  <c r="H899" i="4"/>
  <c r="G899" i="4"/>
  <c r="F899" i="4"/>
  <c r="J898" i="4"/>
  <c r="H898" i="4"/>
  <c r="G898" i="4"/>
  <c r="F898" i="4"/>
  <c r="J897" i="4"/>
  <c r="H897" i="4"/>
  <c r="G897" i="4"/>
  <c r="F897" i="4"/>
  <c r="J896" i="4"/>
  <c r="H896" i="4"/>
  <c r="G896" i="4"/>
  <c r="F896" i="4"/>
  <c r="J895" i="4"/>
  <c r="H895" i="4"/>
  <c r="G895" i="4"/>
  <c r="F895" i="4"/>
  <c r="J894" i="4"/>
  <c r="H894" i="4"/>
  <c r="G894" i="4"/>
  <c r="F894" i="4"/>
  <c r="J893" i="4"/>
  <c r="H893" i="4"/>
  <c r="G893" i="4"/>
  <c r="F893" i="4"/>
  <c r="J892" i="4"/>
  <c r="H892" i="4"/>
  <c r="G892" i="4"/>
  <c r="F892" i="4"/>
  <c r="J891" i="4"/>
  <c r="H891" i="4"/>
  <c r="G891" i="4"/>
  <c r="F891" i="4"/>
  <c r="J890" i="4"/>
  <c r="H890" i="4"/>
  <c r="G890" i="4"/>
  <c r="F890" i="4"/>
  <c r="J889" i="4"/>
  <c r="H889" i="4"/>
  <c r="G889" i="4"/>
  <c r="F889" i="4"/>
  <c r="J888" i="4"/>
  <c r="H888" i="4"/>
  <c r="G888" i="4"/>
  <c r="F888" i="4"/>
  <c r="J887" i="4"/>
  <c r="H887" i="4"/>
  <c r="G887" i="4"/>
  <c r="F887" i="4"/>
  <c r="J886" i="4"/>
  <c r="H886" i="4"/>
  <c r="G886" i="4"/>
  <c r="F886" i="4"/>
  <c r="J885" i="4"/>
  <c r="H885" i="4"/>
  <c r="G885" i="4"/>
  <c r="F885" i="4"/>
  <c r="J884" i="4"/>
  <c r="H884" i="4"/>
  <c r="G884" i="4"/>
  <c r="F884" i="4"/>
  <c r="J883" i="4"/>
  <c r="H883" i="4"/>
  <c r="G883" i="4"/>
  <c r="F883" i="4"/>
  <c r="J882" i="4"/>
  <c r="H882" i="4"/>
  <c r="G882" i="4"/>
  <c r="F882" i="4"/>
  <c r="J881" i="4"/>
  <c r="H881" i="4"/>
  <c r="G881" i="4"/>
  <c r="F881" i="4"/>
  <c r="J880" i="4"/>
  <c r="H880" i="4"/>
  <c r="G880" i="4"/>
  <c r="F880" i="4"/>
  <c r="J879" i="4"/>
  <c r="H879" i="4"/>
  <c r="G879" i="4"/>
  <c r="F879" i="4"/>
  <c r="J878" i="4"/>
  <c r="H878" i="4"/>
  <c r="G878" i="4"/>
  <c r="F878" i="4"/>
  <c r="J877" i="4"/>
  <c r="H877" i="4"/>
  <c r="G877" i="4"/>
  <c r="F877" i="4"/>
  <c r="J876" i="4"/>
  <c r="H876" i="4"/>
  <c r="G876" i="4"/>
  <c r="F876" i="4"/>
  <c r="J875" i="4"/>
  <c r="H875" i="4"/>
  <c r="G875" i="4"/>
  <c r="F875" i="4"/>
  <c r="J874" i="4"/>
  <c r="H874" i="4"/>
  <c r="G874" i="4"/>
  <c r="F874" i="4"/>
  <c r="J873" i="4"/>
  <c r="H873" i="4"/>
  <c r="G873" i="4"/>
  <c r="F873" i="4"/>
  <c r="J872" i="4"/>
  <c r="H872" i="4"/>
  <c r="G872" i="4"/>
  <c r="F872" i="4"/>
  <c r="J871" i="4"/>
  <c r="H871" i="4"/>
  <c r="G871" i="4"/>
  <c r="F871" i="4"/>
  <c r="J870" i="4"/>
  <c r="H870" i="4"/>
  <c r="G870" i="4"/>
  <c r="F870" i="4"/>
  <c r="J869" i="4"/>
  <c r="H869" i="4"/>
  <c r="G869" i="4"/>
  <c r="F869" i="4"/>
  <c r="J868" i="4"/>
  <c r="H868" i="4"/>
  <c r="G868" i="4"/>
  <c r="F868" i="4"/>
  <c r="J867" i="4"/>
  <c r="H867" i="4"/>
  <c r="G867" i="4"/>
  <c r="F867" i="4"/>
  <c r="J866" i="4"/>
  <c r="H866" i="4"/>
  <c r="G866" i="4"/>
  <c r="F866" i="4"/>
  <c r="J865" i="4"/>
  <c r="H865" i="4"/>
  <c r="G865" i="4"/>
  <c r="F865" i="4"/>
  <c r="J864" i="4"/>
  <c r="H864" i="4"/>
  <c r="G864" i="4"/>
  <c r="F864" i="4"/>
  <c r="J863" i="4"/>
  <c r="H863" i="4"/>
  <c r="G863" i="4"/>
  <c r="F863" i="4"/>
  <c r="J862" i="4"/>
  <c r="H862" i="4"/>
  <c r="G862" i="4"/>
  <c r="F862" i="4"/>
  <c r="J861" i="4"/>
  <c r="H861" i="4"/>
  <c r="G861" i="4"/>
  <c r="F861" i="4"/>
  <c r="J860" i="4"/>
  <c r="H860" i="4"/>
  <c r="G860" i="4"/>
  <c r="F860" i="4"/>
  <c r="J859" i="4"/>
  <c r="H859" i="4"/>
  <c r="G859" i="4"/>
  <c r="F859" i="4"/>
  <c r="J858" i="4"/>
  <c r="H858" i="4"/>
  <c r="G858" i="4"/>
  <c r="F858" i="4"/>
  <c r="J857" i="4"/>
  <c r="H857" i="4"/>
  <c r="G857" i="4"/>
  <c r="F857" i="4"/>
  <c r="J856" i="4"/>
  <c r="H856" i="4"/>
  <c r="G856" i="4"/>
  <c r="F856" i="4"/>
  <c r="J855" i="4"/>
  <c r="H855" i="4"/>
  <c r="G855" i="4"/>
  <c r="F855" i="4"/>
  <c r="J854" i="4"/>
  <c r="H854" i="4"/>
  <c r="G854" i="4"/>
  <c r="F854" i="4"/>
  <c r="J853" i="4"/>
  <c r="H853" i="4"/>
  <c r="G853" i="4"/>
  <c r="F853" i="4"/>
  <c r="J852" i="4"/>
  <c r="H852" i="4"/>
  <c r="G852" i="4"/>
  <c r="F852" i="4"/>
  <c r="J851" i="4"/>
  <c r="H851" i="4"/>
  <c r="G851" i="4"/>
  <c r="F851" i="4"/>
  <c r="J850" i="4"/>
  <c r="H850" i="4"/>
  <c r="G850" i="4"/>
  <c r="F850" i="4"/>
  <c r="J849" i="4"/>
  <c r="H849" i="4"/>
  <c r="G849" i="4"/>
  <c r="F849" i="4"/>
  <c r="J848" i="4"/>
  <c r="H848" i="4"/>
  <c r="G848" i="4"/>
  <c r="F848" i="4"/>
  <c r="J847" i="4"/>
  <c r="H847" i="4"/>
  <c r="G847" i="4"/>
  <c r="F847" i="4"/>
  <c r="J846" i="4"/>
  <c r="H846" i="4"/>
  <c r="G846" i="4"/>
  <c r="F846" i="4"/>
  <c r="J845" i="4"/>
  <c r="H845" i="4"/>
  <c r="G845" i="4"/>
  <c r="F845" i="4"/>
  <c r="J844" i="4"/>
  <c r="H844" i="4"/>
  <c r="G844" i="4"/>
  <c r="F844" i="4"/>
  <c r="J843" i="4"/>
  <c r="H843" i="4"/>
  <c r="G843" i="4"/>
  <c r="F843" i="4"/>
  <c r="J842" i="4"/>
  <c r="H842" i="4"/>
  <c r="G842" i="4"/>
  <c r="F842" i="4"/>
  <c r="J841" i="4"/>
  <c r="H841" i="4"/>
  <c r="G841" i="4"/>
  <c r="F841" i="4"/>
  <c r="J840" i="4"/>
  <c r="H840" i="4"/>
  <c r="G840" i="4"/>
  <c r="F840" i="4"/>
  <c r="J839" i="4"/>
  <c r="H839" i="4"/>
  <c r="G839" i="4"/>
  <c r="F839" i="4"/>
  <c r="J838" i="4"/>
  <c r="H838" i="4"/>
  <c r="G838" i="4"/>
  <c r="F838" i="4"/>
  <c r="J837" i="4"/>
  <c r="H837" i="4"/>
  <c r="G837" i="4"/>
  <c r="F837" i="4"/>
  <c r="J836" i="4"/>
  <c r="H836" i="4"/>
  <c r="G836" i="4"/>
  <c r="F836" i="4"/>
  <c r="J835" i="4"/>
  <c r="H835" i="4"/>
  <c r="G835" i="4"/>
  <c r="F835" i="4"/>
  <c r="J834" i="4"/>
  <c r="H834" i="4"/>
  <c r="G834" i="4"/>
  <c r="F834" i="4"/>
  <c r="J833" i="4"/>
  <c r="H833" i="4"/>
  <c r="G833" i="4"/>
  <c r="F833" i="4"/>
  <c r="J832" i="4"/>
  <c r="H832" i="4"/>
  <c r="G832" i="4"/>
  <c r="F832" i="4"/>
  <c r="J831" i="4"/>
  <c r="H831" i="4"/>
  <c r="G831" i="4"/>
  <c r="F831" i="4"/>
  <c r="J830" i="4"/>
  <c r="H830" i="4"/>
  <c r="G830" i="4"/>
  <c r="F830" i="4"/>
  <c r="J829" i="4"/>
  <c r="H829" i="4"/>
  <c r="G829" i="4"/>
  <c r="F829" i="4"/>
  <c r="J828" i="4"/>
  <c r="H828" i="4"/>
  <c r="G828" i="4"/>
  <c r="F828" i="4"/>
  <c r="J827" i="4"/>
  <c r="H827" i="4"/>
  <c r="G827" i="4"/>
  <c r="F827" i="4"/>
  <c r="J826" i="4"/>
  <c r="H826" i="4"/>
  <c r="G826" i="4"/>
  <c r="F826" i="4"/>
  <c r="J825" i="4"/>
  <c r="H825" i="4"/>
  <c r="G825" i="4"/>
  <c r="F825" i="4"/>
  <c r="J824" i="4"/>
  <c r="H824" i="4"/>
  <c r="G824" i="4"/>
  <c r="F824" i="4"/>
  <c r="J823" i="4"/>
  <c r="H823" i="4"/>
  <c r="G823" i="4"/>
  <c r="F823" i="4"/>
  <c r="J822" i="4"/>
  <c r="H822" i="4"/>
  <c r="G822" i="4"/>
  <c r="F822" i="4"/>
  <c r="J821" i="4"/>
  <c r="H821" i="4"/>
  <c r="G821" i="4"/>
  <c r="F821" i="4"/>
  <c r="J820" i="4"/>
  <c r="H820" i="4"/>
  <c r="G820" i="4"/>
  <c r="F820" i="4"/>
  <c r="J819" i="4"/>
  <c r="H819" i="4"/>
  <c r="G819" i="4"/>
  <c r="F819" i="4"/>
  <c r="J818" i="4"/>
  <c r="H818" i="4"/>
  <c r="G818" i="4"/>
  <c r="F818" i="4"/>
  <c r="J817" i="4"/>
  <c r="H817" i="4"/>
  <c r="G817" i="4"/>
  <c r="F817" i="4"/>
  <c r="J816" i="4"/>
  <c r="H816" i="4"/>
  <c r="G816" i="4"/>
  <c r="F816" i="4"/>
  <c r="J815" i="4"/>
  <c r="H815" i="4"/>
  <c r="G815" i="4"/>
  <c r="F815" i="4"/>
  <c r="J814" i="4"/>
  <c r="H814" i="4"/>
  <c r="G814" i="4"/>
  <c r="F814" i="4"/>
  <c r="J813" i="4"/>
  <c r="H813" i="4"/>
  <c r="G813" i="4"/>
  <c r="F813" i="4"/>
  <c r="J812" i="4"/>
  <c r="H812" i="4"/>
  <c r="G812" i="4"/>
  <c r="F812" i="4"/>
  <c r="J811" i="4"/>
  <c r="H811" i="4"/>
  <c r="G811" i="4"/>
  <c r="F811" i="4"/>
  <c r="J810" i="4"/>
  <c r="H810" i="4"/>
  <c r="G810" i="4"/>
  <c r="F810" i="4"/>
  <c r="J809" i="4"/>
  <c r="H809" i="4"/>
  <c r="G809" i="4"/>
  <c r="F809" i="4"/>
  <c r="J808" i="4"/>
  <c r="H808" i="4"/>
  <c r="G808" i="4"/>
  <c r="F808" i="4"/>
  <c r="J807" i="4"/>
  <c r="H807" i="4"/>
  <c r="G807" i="4"/>
  <c r="F807" i="4"/>
  <c r="J806" i="4"/>
  <c r="H806" i="4"/>
  <c r="G806" i="4"/>
  <c r="F806" i="4"/>
  <c r="J805" i="4"/>
  <c r="H805" i="4"/>
  <c r="G805" i="4"/>
  <c r="F805" i="4"/>
  <c r="J804" i="4"/>
  <c r="H804" i="4"/>
  <c r="G804" i="4"/>
  <c r="F804" i="4"/>
  <c r="J803" i="4"/>
  <c r="H803" i="4"/>
  <c r="G803" i="4"/>
  <c r="F803" i="4"/>
  <c r="J802" i="4"/>
  <c r="H802" i="4"/>
  <c r="G802" i="4"/>
  <c r="F802" i="4"/>
  <c r="J801" i="4"/>
  <c r="H801" i="4"/>
  <c r="G801" i="4"/>
  <c r="F801" i="4"/>
  <c r="J800" i="4"/>
  <c r="H800" i="4"/>
  <c r="G800" i="4"/>
  <c r="F800" i="4"/>
  <c r="J799" i="4"/>
  <c r="H799" i="4"/>
  <c r="G799" i="4"/>
  <c r="F799" i="4"/>
  <c r="J798" i="4"/>
  <c r="H798" i="4"/>
  <c r="G798" i="4"/>
  <c r="F798" i="4"/>
  <c r="J797" i="4"/>
  <c r="H797" i="4"/>
  <c r="G797" i="4"/>
  <c r="F797" i="4"/>
  <c r="J796" i="4"/>
  <c r="H796" i="4"/>
  <c r="G796" i="4"/>
  <c r="F796" i="4"/>
  <c r="J795" i="4"/>
  <c r="H795" i="4"/>
  <c r="G795" i="4"/>
  <c r="F795" i="4"/>
  <c r="J794" i="4"/>
  <c r="H794" i="4"/>
  <c r="G794" i="4"/>
  <c r="F794" i="4"/>
  <c r="J793" i="4"/>
  <c r="H793" i="4"/>
  <c r="G793" i="4"/>
  <c r="F793" i="4"/>
  <c r="J792" i="4"/>
  <c r="H792" i="4"/>
  <c r="G792" i="4"/>
  <c r="F792" i="4"/>
  <c r="J791" i="4"/>
  <c r="H791" i="4"/>
  <c r="G791" i="4"/>
  <c r="F791" i="4"/>
  <c r="J790" i="4"/>
  <c r="H790" i="4"/>
  <c r="G790" i="4"/>
  <c r="F790" i="4"/>
  <c r="J789" i="4"/>
  <c r="H789" i="4"/>
  <c r="G789" i="4"/>
  <c r="F789" i="4"/>
  <c r="J788" i="4"/>
  <c r="H788" i="4"/>
  <c r="G788" i="4"/>
  <c r="F788" i="4"/>
  <c r="J787" i="4"/>
  <c r="H787" i="4"/>
  <c r="G787" i="4"/>
  <c r="F787" i="4"/>
  <c r="J786" i="4"/>
  <c r="H786" i="4"/>
  <c r="G786" i="4"/>
  <c r="F786" i="4"/>
  <c r="J785" i="4"/>
  <c r="H785" i="4"/>
  <c r="G785" i="4"/>
  <c r="F785" i="4"/>
  <c r="J784" i="4"/>
  <c r="H784" i="4"/>
  <c r="G784" i="4"/>
  <c r="F784" i="4"/>
  <c r="J783" i="4"/>
  <c r="H783" i="4"/>
  <c r="G783" i="4"/>
  <c r="F783" i="4"/>
  <c r="J782" i="4"/>
  <c r="H782" i="4"/>
  <c r="G782" i="4"/>
  <c r="F782" i="4"/>
  <c r="J781" i="4"/>
  <c r="H781" i="4"/>
  <c r="G781" i="4"/>
  <c r="F781" i="4"/>
  <c r="J780" i="4"/>
  <c r="H780" i="4"/>
  <c r="G780" i="4"/>
  <c r="F780" i="4"/>
  <c r="J779" i="4"/>
  <c r="H779" i="4"/>
  <c r="G779" i="4"/>
  <c r="F779" i="4"/>
  <c r="J778" i="4"/>
  <c r="H778" i="4"/>
  <c r="G778" i="4"/>
  <c r="F778" i="4"/>
  <c r="J777" i="4"/>
  <c r="H777" i="4"/>
  <c r="G777" i="4"/>
  <c r="F777" i="4"/>
  <c r="J776" i="4"/>
  <c r="H776" i="4"/>
  <c r="G776" i="4"/>
  <c r="F776" i="4"/>
  <c r="J775" i="4"/>
  <c r="H775" i="4"/>
  <c r="G775" i="4"/>
  <c r="F775" i="4"/>
  <c r="J774" i="4"/>
  <c r="H774" i="4"/>
  <c r="G774" i="4"/>
  <c r="F774" i="4"/>
  <c r="J773" i="4"/>
  <c r="H773" i="4"/>
  <c r="G773" i="4"/>
  <c r="F773" i="4"/>
  <c r="J772" i="4"/>
  <c r="H772" i="4"/>
  <c r="G772" i="4"/>
  <c r="F772" i="4"/>
  <c r="J771" i="4"/>
  <c r="H771" i="4"/>
  <c r="G771" i="4"/>
  <c r="F771" i="4"/>
  <c r="J770" i="4"/>
  <c r="H770" i="4"/>
  <c r="G770" i="4"/>
  <c r="F770" i="4"/>
  <c r="J769" i="4"/>
  <c r="H769" i="4"/>
  <c r="G769" i="4"/>
  <c r="F769" i="4"/>
  <c r="J768" i="4"/>
  <c r="H768" i="4"/>
  <c r="G768" i="4"/>
  <c r="F768" i="4"/>
  <c r="J767" i="4"/>
  <c r="H767" i="4"/>
  <c r="G767" i="4"/>
  <c r="F767" i="4"/>
  <c r="J766" i="4"/>
  <c r="H766" i="4"/>
  <c r="G766" i="4"/>
  <c r="F766" i="4"/>
  <c r="J765" i="4"/>
  <c r="H765" i="4"/>
  <c r="G765" i="4"/>
  <c r="F765" i="4"/>
  <c r="J764" i="4"/>
  <c r="H764" i="4"/>
  <c r="G764" i="4"/>
  <c r="F764" i="4"/>
  <c r="J763" i="4"/>
  <c r="H763" i="4"/>
  <c r="G763" i="4"/>
  <c r="F763" i="4"/>
  <c r="J762" i="4"/>
  <c r="H762" i="4"/>
  <c r="G762" i="4"/>
  <c r="F762" i="4"/>
  <c r="J761" i="4"/>
  <c r="H761" i="4"/>
  <c r="G761" i="4"/>
  <c r="F761" i="4"/>
  <c r="J760" i="4"/>
  <c r="H760" i="4"/>
  <c r="G760" i="4"/>
  <c r="F760" i="4"/>
  <c r="J759" i="4"/>
  <c r="H759" i="4"/>
  <c r="G759" i="4"/>
  <c r="F759" i="4"/>
  <c r="J758" i="4"/>
  <c r="H758" i="4"/>
  <c r="G758" i="4"/>
  <c r="F758" i="4"/>
  <c r="J757" i="4"/>
  <c r="H757" i="4"/>
  <c r="G757" i="4"/>
  <c r="F757" i="4"/>
  <c r="J756" i="4"/>
  <c r="H756" i="4"/>
  <c r="G756" i="4"/>
  <c r="F756" i="4"/>
  <c r="J755" i="4"/>
  <c r="H755" i="4"/>
  <c r="G755" i="4"/>
  <c r="F755" i="4"/>
  <c r="J754" i="4"/>
  <c r="H754" i="4"/>
  <c r="G754" i="4"/>
  <c r="F754" i="4"/>
  <c r="J753" i="4"/>
  <c r="H753" i="4"/>
  <c r="G753" i="4"/>
  <c r="F753" i="4"/>
  <c r="J752" i="4"/>
  <c r="H752" i="4"/>
  <c r="G752" i="4"/>
  <c r="F752" i="4"/>
  <c r="J751" i="4"/>
  <c r="H751" i="4"/>
  <c r="G751" i="4"/>
  <c r="F751" i="4"/>
  <c r="J750" i="4"/>
  <c r="H750" i="4"/>
  <c r="G750" i="4"/>
  <c r="F750" i="4"/>
  <c r="J749" i="4"/>
  <c r="H749" i="4"/>
  <c r="G749" i="4"/>
  <c r="F749" i="4"/>
  <c r="J748" i="4"/>
  <c r="H748" i="4"/>
  <c r="G748" i="4"/>
  <c r="F748" i="4"/>
  <c r="J747" i="4"/>
  <c r="H747" i="4"/>
  <c r="G747" i="4"/>
  <c r="F747" i="4"/>
  <c r="J746" i="4"/>
  <c r="H746" i="4"/>
  <c r="G746" i="4"/>
  <c r="F746" i="4"/>
  <c r="J745" i="4"/>
  <c r="H745" i="4"/>
  <c r="G745" i="4"/>
  <c r="F745" i="4"/>
  <c r="J744" i="4"/>
  <c r="H744" i="4"/>
  <c r="G744" i="4"/>
  <c r="F744" i="4"/>
  <c r="J743" i="4"/>
  <c r="H743" i="4"/>
  <c r="G743" i="4"/>
  <c r="F743" i="4"/>
  <c r="J742" i="4"/>
  <c r="H742" i="4"/>
  <c r="G742" i="4"/>
  <c r="F742" i="4"/>
  <c r="J741" i="4"/>
  <c r="H741" i="4"/>
  <c r="G741" i="4"/>
  <c r="F741" i="4"/>
  <c r="J740" i="4"/>
  <c r="H740" i="4"/>
  <c r="G740" i="4"/>
  <c r="F740" i="4"/>
  <c r="J739" i="4"/>
  <c r="H739" i="4"/>
  <c r="G739" i="4"/>
  <c r="F739" i="4"/>
  <c r="J738" i="4"/>
  <c r="H738" i="4"/>
  <c r="G738" i="4"/>
  <c r="F738" i="4"/>
  <c r="J737" i="4"/>
  <c r="H737" i="4"/>
  <c r="G737" i="4"/>
  <c r="F737" i="4"/>
  <c r="J736" i="4"/>
  <c r="H736" i="4"/>
  <c r="G736" i="4"/>
  <c r="F736" i="4"/>
  <c r="J735" i="4"/>
  <c r="H735" i="4"/>
  <c r="G735" i="4"/>
  <c r="F735" i="4"/>
  <c r="J734" i="4"/>
  <c r="H734" i="4"/>
  <c r="G734" i="4"/>
  <c r="F734" i="4"/>
  <c r="J733" i="4"/>
  <c r="H733" i="4"/>
  <c r="G733" i="4"/>
  <c r="F733" i="4"/>
  <c r="J732" i="4"/>
  <c r="H732" i="4"/>
  <c r="G732" i="4"/>
  <c r="F732" i="4"/>
  <c r="J731" i="4"/>
  <c r="H731" i="4"/>
  <c r="G731" i="4"/>
  <c r="F731" i="4"/>
  <c r="J730" i="4"/>
  <c r="H730" i="4"/>
  <c r="G730" i="4"/>
  <c r="F730" i="4"/>
  <c r="J729" i="4"/>
  <c r="H729" i="4"/>
  <c r="G729" i="4"/>
  <c r="F729" i="4"/>
  <c r="J728" i="4"/>
  <c r="H728" i="4"/>
  <c r="G728" i="4"/>
  <c r="F728" i="4"/>
  <c r="J727" i="4"/>
  <c r="H727" i="4"/>
  <c r="G727" i="4"/>
  <c r="F727" i="4"/>
  <c r="J726" i="4"/>
  <c r="H726" i="4"/>
  <c r="G726" i="4"/>
  <c r="F726" i="4"/>
  <c r="J725" i="4"/>
  <c r="H725" i="4"/>
  <c r="G725" i="4"/>
  <c r="F725" i="4"/>
  <c r="J724" i="4"/>
  <c r="H724" i="4"/>
  <c r="G724" i="4"/>
  <c r="F724" i="4"/>
  <c r="J723" i="4"/>
  <c r="H723" i="4"/>
  <c r="G723" i="4"/>
  <c r="F723" i="4"/>
  <c r="J722" i="4"/>
  <c r="H722" i="4"/>
  <c r="G722" i="4"/>
  <c r="F722" i="4"/>
  <c r="J721" i="4"/>
  <c r="H721" i="4"/>
  <c r="G721" i="4"/>
  <c r="F721" i="4"/>
  <c r="J720" i="4"/>
  <c r="H720" i="4"/>
  <c r="G720" i="4"/>
  <c r="F720" i="4"/>
  <c r="J719" i="4"/>
  <c r="H719" i="4"/>
  <c r="G719" i="4"/>
  <c r="F719" i="4"/>
  <c r="J718" i="4"/>
  <c r="H718" i="4"/>
  <c r="G718" i="4"/>
  <c r="F718" i="4"/>
  <c r="J717" i="4"/>
  <c r="H717" i="4"/>
  <c r="G717" i="4"/>
  <c r="F717" i="4"/>
  <c r="J716" i="4"/>
  <c r="H716" i="4"/>
  <c r="G716" i="4"/>
  <c r="F716" i="4"/>
  <c r="J715" i="4"/>
  <c r="H715" i="4"/>
  <c r="G715" i="4"/>
  <c r="F715" i="4"/>
  <c r="J714" i="4"/>
  <c r="H714" i="4"/>
  <c r="G714" i="4"/>
  <c r="F714" i="4"/>
  <c r="J713" i="4"/>
  <c r="H713" i="4"/>
  <c r="G713" i="4"/>
  <c r="F713" i="4"/>
  <c r="J712" i="4"/>
  <c r="H712" i="4"/>
  <c r="G712" i="4"/>
  <c r="F712" i="4"/>
  <c r="J711" i="4"/>
  <c r="H711" i="4"/>
  <c r="G711" i="4"/>
  <c r="F711" i="4"/>
  <c r="J710" i="4"/>
  <c r="H710" i="4"/>
  <c r="G710" i="4"/>
  <c r="F710" i="4"/>
  <c r="J709" i="4"/>
  <c r="H709" i="4"/>
  <c r="G709" i="4"/>
  <c r="F709" i="4"/>
  <c r="J708" i="4"/>
  <c r="H708" i="4"/>
  <c r="G708" i="4"/>
  <c r="F708" i="4"/>
  <c r="J707" i="4"/>
  <c r="H707" i="4"/>
  <c r="G707" i="4"/>
  <c r="F707" i="4"/>
  <c r="J706" i="4"/>
  <c r="H706" i="4"/>
  <c r="G706" i="4"/>
  <c r="F706" i="4"/>
  <c r="J705" i="4"/>
  <c r="H705" i="4"/>
  <c r="G705" i="4"/>
  <c r="F705" i="4"/>
  <c r="J704" i="4"/>
  <c r="H704" i="4"/>
  <c r="G704" i="4"/>
  <c r="F704" i="4"/>
  <c r="J703" i="4"/>
  <c r="H703" i="4"/>
  <c r="G703" i="4"/>
  <c r="F703" i="4"/>
  <c r="J702" i="4"/>
  <c r="H702" i="4"/>
  <c r="G702" i="4"/>
  <c r="F702" i="4"/>
  <c r="J701" i="4"/>
  <c r="H701" i="4"/>
  <c r="G701" i="4"/>
  <c r="F701" i="4"/>
  <c r="J700" i="4"/>
  <c r="H700" i="4"/>
  <c r="G700" i="4"/>
  <c r="F700" i="4"/>
  <c r="J699" i="4"/>
  <c r="H699" i="4"/>
  <c r="G699" i="4"/>
  <c r="F699" i="4"/>
  <c r="J698" i="4"/>
  <c r="H698" i="4"/>
  <c r="G698" i="4"/>
  <c r="F698" i="4"/>
  <c r="J697" i="4"/>
  <c r="H697" i="4"/>
  <c r="G697" i="4"/>
  <c r="F697" i="4"/>
  <c r="G696" i="4"/>
  <c r="F696" i="4"/>
  <c r="G695" i="4"/>
  <c r="F695" i="4"/>
  <c r="G694" i="4"/>
  <c r="F694" i="4"/>
  <c r="G693" i="4"/>
  <c r="F693" i="4"/>
  <c r="G692" i="4"/>
  <c r="F692" i="4"/>
  <c r="G691" i="4"/>
  <c r="F691" i="4"/>
  <c r="G690" i="4"/>
  <c r="F690" i="4"/>
  <c r="G689" i="4"/>
  <c r="F689" i="4"/>
  <c r="G688" i="4"/>
  <c r="F688" i="4"/>
  <c r="G687" i="4"/>
  <c r="F687" i="4"/>
  <c r="G686" i="4"/>
  <c r="F686" i="4"/>
  <c r="G685" i="4"/>
  <c r="F685" i="4"/>
  <c r="G684" i="4"/>
  <c r="F684" i="4"/>
  <c r="G683" i="4"/>
  <c r="F683" i="4"/>
  <c r="G682" i="4"/>
  <c r="F682" i="4"/>
  <c r="G681" i="4"/>
  <c r="F681" i="4"/>
  <c r="G680" i="4"/>
  <c r="F680" i="4"/>
  <c r="G679" i="4"/>
  <c r="F679" i="4"/>
  <c r="G678" i="4"/>
  <c r="F678" i="4"/>
  <c r="G677" i="4"/>
  <c r="F677" i="4"/>
  <c r="G676" i="4"/>
  <c r="F676" i="4"/>
  <c r="G675" i="4"/>
  <c r="F675" i="4"/>
  <c r="G674" i="4"/>
  <c r="F674" i="4"/>
  <c r="G673" i="4"/>
  <c r="F673" i="4"/>
  <c r="G672" i="4"/>
  <c r="F672" i="4"/>
  <c r="G670" i="4"/>
  <c r="F670" i="4"/>
  <c r="G669" i="4"/>
  <c r="F669" i="4"/>
  <c r="G668" i="4"/>
  <c r="F668" i="4"/>
  <c r="G667" i="4"/>
  <c r="F667" i="4"/>
  <c r="G666" i="4"/>
  <c r="F666" i="4"/>
  <c r="G665" i="4"/>
  <c r="F665" i="4"/>
  <c r="G664" i="4"/>
  <c r="F664" i="4"/>
  <c r="G663" i="4"/>
  <c r="F663" i="4"/>
  <c r="G662" i="4"/>
  <c r="F662" i="4"/>
  <c r="G661" i="4"/>
  <c r="F661" i="4"/>
  <c r="G660" i="4"/>
  <c r="F660" i="4"/>
  <c r="G659" i="4"/>
  <c r="F659" i="4"/>
  <c r="G658" i="4"/>
  <c r="F658" i="4"/>
  <c r="G657" i="4"/>
  <c r="F657" i="4"/>
  <c r="G656" i="4"/>
  <c r="F656" i="4"/>
  <c r="G655" i="4"/>
  <c r="F655" i="4"/>
  <c r="G654" i="4"/>
  <c r="F654" i="4"/>
  <c r="G653" i="4"/>
  <c r="F653" i="4"/>
  <c r="G652" i="4"/>
  <c r="F652" i="4"/>
  <c r="G651" i="4"/>
  <c r="F651" i="4"/>
  <c r="G650" i="4"/>
  <c r="F650" i="4"/>
  <c r="G649" i="4"/>
  <c r="F649" i="4"/>
  <c r="G648" i="4"/>
  <c r="F648" i="4"/>
  <c r="G647" i="4"/>
  <c r="F647" i="4"/>
  <c r="G646" i="4"/>
  <c r="F646" i="4"/>
  <c r="G645" i="4"/>
  <c r="F645" i="4"/>
  <c r="G644" i="4"/>
  <c r="F644" i="4"/>
  <c r="G643" i="4"/>
  <c r="F643" i="4"/>
  <c r="G642" i="4"/>
  <c r="F642" i="4"/>
  <c r="G641" i="4"/>
  <c r="F641" i="4"/>
  <c r="G640" i="4"/>
  <c r="F640" i="4"/>
  <c r="G639" i="4"/>
  <c r="F639" i="4"/>
  <c r="G638" i="4"/>
  <c r="F638" i="4"/>
  <c r="G637" i="4"/>
  <c r="F637" i="4"/>
  <c r="G636" i="4"/>
  <c r="F636" i="4"/>
  <c r="G635" i="4"/>
  <c r="F635" i="4"/>
  <c r="G634" i="4"/>
  <c r="F634" i="4"/>
  <c r="G633" i="4"/>
  <c r="F633" i="4"/>
  <c r="G632" i="4"/>
  <c r="F632" i="4"/>
  <c r="G631" i="4"/>
  <c r="F631" i="4"/>
  <c r="G630" i="4"/>
  <c r="F630" i="4"/>
  <c r="G629" i="4"/>
  <c r="F629" i="4"/>
  <c r="G628" i="4"/>
  <c r="F628" i="4"/>
  <c r="G627" i="4"/>
  <c r="F627" i="4"/>
  <c r="G626" i="4"/>
  <c r="F626" i="4"/>
  <c r="G625" i="4"/>
  <c r="F625" i="4"/>
  <c r="G624" i="4"/>
  <c r="F624" i="4"/>
  <c r="G623" i="4"/>
  <c r="F623" i="4"/>
  <c r="G622" i="4"/>
  <c r="F622" i="4"/>
  <c r="G621" i="4"/>
  <c r="F621" i="4"/>
  <c r="G620" i="4"/>
  <c r="F620" i="4"/>
  <c r="G619" i="4"/>
  <c r="F619" i="4"/>
  <c r="G618" i="4"/>
  <c r="F618" i="4"/>
  <c r="G617" i="4"/>
  <c r="F617" i="4"/>
  <c r="G616" i="4"/>
  <c r="F616" i="4"/>
  <c r="G615" i="4"/>
  <c r="F615" i="4"/>
  <c r="G614" i="4"/>
  <c r="F614" i="4"/>
  <c r="G613" i="4"/>
  <c r="F613" i="4"/>
  <c r="G612" i="4"/>
  <c r="F612" i="4"/>
  <c r="G611" i="4"/>
  <c r="F611" i="4"/>
  <c r="G610" i="4"/>
  <c r="F610" i="4"/>
  <c r="G609" i="4"/>
  <c r="F609" i="4"/>
  <c r="G608" i="4"/>
  <c r="F608" i="4"/>
  <c r="G607" i="4"/>
  <c r="F607" i="4"/>
  <c r="G606" i="4"/>
  <c r="F606" i="4"/>
  <c r="G605" i="4"/>
  <c r="F605" i="4"/>
  <c r="G604" i="4"/>
  <c r="F604" i="4"/>
  <c r="G603" i="4"/>
  <c r="F603" i="4"/>
  <c r="G602" i="4"/>
  <c r="F602" i="4"/>
  <c r="G601" i="4"/>
  <c r="F601" i="4"/>
  <c r="G600" i="4"/>
  <c r="F600" i="4"/>
  <c r="G599" i="4"/>
  <c r="F599" i="4"/>
  <c r="G598" i="4"/>
  <c r="F598" i="4"/>
  <c r="G597" i="4"/>
  <c r="F597" i="4"/>
  <c r="G596" i="4"/>
  <c r="F596" i="4"/>
  <c r="G595" i="4"/>
  <c r="F595" i="4"/>
  <c r="G594" i="4"/>
  <c r="F594" i="4"/>
  <c r="G593" i="4"/>
  <c r="F593" i="4"/>
  <c r="G592" i="4"/>
  <c r="F592" i="4"/>
  <c r="G591" i="4"/>
  <c r="F591" i="4"/>
  <c r="G590" i="4"/>
  <c r="F590" i="4"/>
  <c r="G589" i="4"/>
  <c r="F589" i="4"/>
  <c r="G588" i="4"/>
  <c r="F588" i="4"/>
  <c r="G587" i="4"/>
  <c r="F587" i="4"/>
  <c r="G586" i="4"/>
  <c r="F586" i="4"/>
  <c r="G585" i="4"/>
  <c r="F585" i="4"/>
  <c r="G584" i="4"/>
  <c r="F584" i="4"/>
  <c r="G583" i="4"/>
  <c r="F583" i="4"/>
  <c r="G582" i="4"/>
  <c r="F582" i="4"/>
  <c r="G581" i="4"/>
  <c r="F581" i="4"/>
  <c r="G580" i="4"/>
  <c r="F580" i="4"/>
  <c r="G579" i="4"/>
  <c r="F579" i="4"/>
  <c r="G578" i="4"/>
  <c r="F578" i="4"/>
  <c r="G577" i="4"/>
  <c r="F577" i="4"/>
  <c r="G576" i="4"/>
  <c r="F576" i="4"/>
  <c r="G575" i="4"/>
  <c r="F575" i="4"/>
  <c r="G574" i="4"/>
  <c r="F574" i="4"/>
  <c r="G573" i="4"/>
  <c r="F573" i="4"/>
  <c r="G572" i="4"/>
  <c r="F572" i="4"/>
  <c r="G571" i="4"/>
  <c r="F571" i="4"/>
  <c r="G570" i="4"/>
  <c r="F570" i="4"/>
  <c r="G569" i="4"/>
  <c r="F569" i="4"/>
  <c r="G568" i="4"/>
  <c r="F568" i="4"/>
  <c r="G567" i="4"/>
  <c r="F567" i="4"/>
  <c r="G566" i="4"/>
  <c r="F566" i="4"/>
  <c r="G565" i="4"/>
  <c r="F565" i="4"/>
  <c r="G564" i="4"/>
  <c r="F564" i="4"/>
  <c r="G563" i="4"/>
  <c r="F563" i="4"/>
  <c r="G562" i="4"/>
  <c r="F562" i="4"/>
  <c r="G561" i="4"/>
  <c r="F561" i="4"/>
  <c r="G560" i="4"/>
  <c r="F560" i="4"/>
  <c r="G559" i="4"/>
  <c r="F559" i="4"/>
  <c r="G558" i="4"/>
  <c r="F558" i="4"/>
  <c r="G557" i="4"/>
  <c r="F557" i="4"/>
  <c r="G556" i="4"/>
  <c r="F556" i="4"/>
  <c r="G555" i="4"/>
  <c r="F555" i="4"/>
  <c r="G554" i="4"/>
  <c r="F554" i="4"/>
  <c r="G553" i="4"/>
  <c r="F553" i="4"/>
  <c r="G552" i="4"/>
  <c r="F552" i="4"/>
  <c r="G551" i="4"/>
  <c r="F551" i="4"/>
  <c r="G550" i="4"/>
  <c r="F550" i="4"/>
  <c r="G549" i="4"/>
  <c r="F549" i="4"/>
  <c r="G548" i="4"/>
  <c r="F548" i="4"/>
  <c r="G547" i="4"/>
  <c r="F547" i="4"/>
  <c r="G546" i="4"/>
  <c r="F546" i="4"/>
  <c r="G545" i="4"/>
  <c r="F545" i="4"/>
  <c r="G544" i="4"/>
  <c r="F544" i="4"/>
  <c r="G543" i="4"/>
  <c r="F543" i="4"/>
  <c r="G542" i="4"/>
  <c r="F542" i="4"/>
  <c r="G541" i="4"/>
  <c r="F541" i="4"/>
  <c r="G540" i="4"/>
  <c r="F540" i="4"/>
  <c r="G539" i="4"/>
  <c r="F539" i="4"/>
  <c r="G538" i="4"/>
  <c r="F538" i="4"/>
  <c r="G537" i="4"/>
  <c r="F537" i="4"/>
  <c r="G536" i="4"/>
  <c r="F536" i="4"/>
  <c r="G535" i="4"/>
  <c r="F535" i="4"/>
  <c r="G534" i="4"/>
  <c r="F534" i="4"/>
  <c r="G533" i="4"/>
  <c r="F533" i="4"/>
  <c r="G532" i="4"/>
  <c r="F532" i="4"/>
  <c r="G531" i="4"/>
  <c r="F531" i="4"/>
  <c r="G530" i="4"/>
  <c r="F530" i="4"/>
  <c r="G529" i="4"/>
  <c r="F529" i="4"/>
  <c r="G528" i="4"/>
  <c r="F528" i="4"/>
  <c r="G527" i="4"/>
  <c r="F527" i="4"/>
  <c r="G526" i="4"/>
  <c r="F526" i="4"/>
  <c r="G525" i="4"/>
  <c r="F525" i="4"/>
  <c r="G524" i="4"/>
  <c r="F524" i="4"/>
  <c r="G523" i="4"/>
  <c r="F523" i="4"/>
  <c r="G522" i="4"/>
  <c r="F522" i="4"/>
  <c r="G521" i="4"/>
  <c r="F521" i="4"/>
  <c r="G520" i="4"/>
  <c r="F520" i="4"/>
  <c r="G519" i="4"/>
  <c r="F519" i="4"/>
  <c r="G518" i="4"/>
  <c r="F518" i="4"/>
  <c r="G517" i="4"/>
  <c r="F517" i="4"/>
  <c r="G516" i="4"/>
  <c r="F516" i="4"/>
  <c r="G515" i="4"/>
  <c r="F515" i="4"/>
  <c r="G514" i="4"/>
  <c r="F514" i="4"/>
  <c r="G513" i="4"/>
  <c r="F513" i="4"/>
  <c r="G512" i="4"/>
  <c r="F512" i="4"/>
  <c r="G511" i="4"/>
  <c r="F511" i="4"/>
  <c r="G510" i="4"/>
  <c r="F510" i="4"/>
  <c r="G509" i="4"/>
  <c r="F509" i="4"/>
  <c r="G508" i="4"/>
  <c r="F508" i="4"/>
  <c r="G507" i="4"/>
  <c r="F507" i="4"/>
  <c r="G506" i="4"/>
  <c r="F506" i="4"/>
  <c r="G505" i="4"/>
  <c r="F505" i="4"/>
  <c r="G504" i="4"/>
  <c r="F504" i="4"/>
  <c r="G503" i="4"/>
  <c r="F503" i="4"/>
  <c r="G502" i="4"/>
  <c r="F502" i="4"/>
  <c r="G501" i="4"/>
  <c r="F501" i="4"/>
  <c r="G500" i="4"/>
  <c r="F500" i="4"/>
  <c r="G499" i="4"/>
  <c r="F499" i="4"/>
  <c r="G498" i="4"/>
  <c r="F498" i="4"/>
  <c r="G497" i="4"/>
  <c r="F497" i="4"/>
  <c r="G496" i="4"/>
  <c r="F496" i="4"/>
  <c r="G495" i="4"/>
  <c r="F495" i="4"/>
  <c r="G494" i="4"/>
  <c r="F494" i="4"/>
  <c r="G493" i="4"/>
  <c r="F493" i="4"/>
  <c r="G492" i="4"/>
  <c r="F492" i="4"/>
  <c r="G491" i="4"/>
  <c r="F491" i="4"/>
  <c r="G490" i="4"/>
  <c r="F490" i="4"/>
  <c r="G489" i="4"/>
  <c r="F489" i="4"/>
  <c r="G488" i="4"/>
  <c r="F488" i="4"/>
  <c r="G487" i="4"/>
  <c r="F487" i="4"/>
  <c r="G486" i="4"/>
  <c r="F486" i="4"/>
  <c r="G485" i="4"/>
  <c r="F485" i="4"/>
  <c r="G484" i="4"/>
  <c r="F484" i="4"/>
  <c r="G483" i="4"/>
  <c r="F483" i="4"/>
  <c r="G482" i="4"/>
  <c r="F482" i="4"/>
  <c r="G481" i="4"/>
  <c r="F481" i="4"/>
  <c r="G480" i="4"/>
  <c r="F480" i="4"/>
  <c r="G479" i="4"/>
  <c r="F479" i="4"/>
  <c r="G478" i="4"/>
  <c r="F478" i="4"/>
  <c r="G477" i="4"/>
  <c r="F477" i="4"/>
  <c r="G476" i="4"/>
  <c r="F476" i="4"/>
  <c r="G475" i="4"/>
  <c r="F475" i="4"/>
  <c r="G474" i="4"/>
  <c r="F474" i="4"/>
  <c r="G473" i="4"/>
  <c r="F473" i="4"/>
  <c r="G472" i="4"/>
  <c r="F472" i="4"/>
  <c r="G471" i="4"/>
  <c r="F471" i="4"/>
  <c r="G470" i="4"/>
  <c r="F470" i="4"/>
  <c r="G469" i="4"/>
  <c r="F469" i="4"/>
  <c r="G468" i="4"/>
  <c r="F468" i="4"/>
  <c r="G467" i="4"/>
  <c r="F467" i="4"/>
  <c r="G466" i="4"/>
  <c r="F466" i="4"/>
  <c r="G465" i="4"/>
  <c r="F465" i="4"/>
  <c r="G464" i="4"/>
  <c r="F464" i="4"/>
  <c r="G463" i="4"/>
  <c r="F463" i="4"/>
  <c r="G462" i="4"/>
  <c r="F462" i="4"/>
  <c r="G461" i="4"/>
  <c r="F461" i="4"/>
  <c r="G460" i="4"/>
  <c r="F460" i="4"/>
  <c r="G459" i="4"/>
  <c r="F459" i="4"/>
  <c r="G458" i="4"/>
  <c r="F458" i="4"/>
  <c r="G457" i="4"/>
  <c r="F457" i="4"/>
  <c r="G456" i="4"/>
  <c r="F456" i="4"/>
  <c r="G455" i="4"/>
  <c r="F455" i="4"/>
  <c r="G454" i="4"/>
  <c r="F454" i="4"/>
  <c r="G453" i="4"/>
  <c r="F453" i="4"/>
  <c r="G452" i="4"/>
  <c r="F452" i="4"/>
  <c r="G451" i="4"/>
  <c r="F451" i="4"/>
  <c r="G450" i="4"/>
  <c r="F450" i="4"/>
  <c r="G449" i="4"/>
  <c r="F449" i="4"/>
  <c r="G448" i="4"/>
  <c r="F448" i="4"/>
  <c r="G447" i="4"/>
  <c r="F447" i="4"/>
  <c r="G446" i="4"/>
  <c r="F446" i="4"/>
  <c r="G445" i="4"/>
  <c r="F445" i="4"/>
  <c r="G444" i="4"/>
  <c r="F444" i="4"/>
  <c r="G443" i="4"/>
  <c r="F443" i="4"/>
  <c r="G442" i="4"/>
  <c r="F442" i="4"/>
  <c r="G441" i="4"/>
  <c r="F441" i="4"/>
  <c r="G440" i="4"/>
  <c r="F440" i="4"/>
  <c r="G439" i="4"/>
  <c r="F439" i="4"/>
  <c r="G438" i="4"/>
  <c r="F438" i="4"/>
  <c r="G437" i="4"/>
  <c r="F437" i="4"/>
  <c r="G436" i="4"/>
  <c r="F436" i="4"/>
  <c r="G435" i="4"/>
  <c r="F435" i="4"/>
  <c r="G434" i="4"/>
  <c r="F434" i="4"/>
  <c r="G433" i="4"/>
  <c r="F433" i="4"/>
  <c r="G432" i="4"/>
  <c r="F432" i="4"/>
  <c r="G431" i="4"/>
  <c r="F431" i="4"/>
  <c r="G430" i="4"/>
  <c r="F430" i="4"/>
  <c r="G429" i="4"/>
  <c r="F429" i="4"/>
  <c r="G428" i="4"/>
  <c r="F428" i="4"/>
  <c r="G427" i="4"/>
  <c r="F427" i="4"/>
  <c r="G426" i="4"/>
  <c r="F426" i="4"/>
  <c r="G425" i="4"/>
  <c r="F425" i="4"/>
  <c r="G424" i="4"/>
  <c r="F424" i="4"/>
  <c r="G423" i="4"/>
  <c r="F423" i="4"/>
  <c r="G422" i="4"/>
  <c r="F422" i="4"/>
  <c r="G421" i="4"/>
  <c r="F421" i="4"/>
  <c r="G420" i="4"/>
  <c r="F420" i="4"/>
  <c r="G419" i="4"/>
  <c r="F419" i="4"/>
  <c r="G418" i="4"/>
  <c r="F418" i="4"/>
  <c r="G417" i="4"/>
  <c r="F417" i="4"/>
  <c r="G416" i="4"/>
  <c r="F416" i="4"/>
  <c r="G415" i="4"/>
  <c r="F415" i="4"/>
  <c r="G414" i="4"/>
  <c r="F414" i="4"/>
  <c r="G413" i="4"/>
  <c r="F413" i="4"/>
  <c r="G412" i="4"/>
  <c r="F412" i="4"/>
  <c r="G411" i="4"/>
  <c r="F411" i="4"/>
  <c r="G410" i="4"/>
  <c r="F410" i="4"/>
  <c r="G409" i="4"/>
  <c r="F409" i="4"/>
  <c r="G408" i="4"/>
  <c r="F408" i="4"/>
  <c r="G407" i="4"/>
  <c r="F407" i="4"/>
  <c r="G406" i="4"/>
  <c r="F406" i="4"/>
  <c r="G405" i="4"/>
  <c r="F405" i="4"/>
  <c r="G404" i="4"/>
  <c r="F404" i="4"/>
  <c r="G403" i="4"/>
  <c r="F403" i="4"/>
  <c r="G402" i="4"/>
  <c r="F402" i="4"/>
  <c r="G401" i="4"/>
  <c r="F401" i="4"/>
  <c r="G400" i="4"/>
  <c r="F400" i="4"/>
  <c r="G399" i="4"/>
  <c r="F399" i="4"/>
  <c r="G398" i="4"/>
  <c r="F398" i="4"/>
  <c r="G397" i="4"/>
  <c r="F397" i="4"/>
  <c r="G396" i="4"/>
  <c r="F396" i="4"/>
  <c r="G395" i="4"/>
  <c r="F395" i="4"/>
  <c r="G394" i="4"/>
  <c r="F394" i="4"/>
  <c r="G393" i="4"/>
  <c r="F393" i="4"/>
  <c r="G392" i="4"/>
  <c r="F392" i="4"/>
  <c r="G391" i="4"/>
  <c r="F391" i="4"/>
  <c r="G390" i="4"/>
  <c r="F390" i="4"/>
  <c r="G389" i="4"/>
  <c r="F389" i="4"/>
  <c r="G388" i="4"/>
  <c r="F388" i="4"/>
  <c r="G387" i="4"/>
  <c r="F387" i="4"/>
  <c r="G386" i="4"/>
  <c r="F386" i="4"/>
  <c r="G385" i="4"/>
  <c r="F385" i="4"/>
  <c r="G384" i="4"/>
  <c r="F384" i="4"/>
  <c r="G383" i="4"/>
  <c r="F383" i="4"/>
  <c r="G382" i="4"/>
  <c r="F382" i="4"/>
  <c r="G381" i="4"/>
  <c r="F381" i="4"/>
  <c r="G380" i="4"/>
  <c r="F380" i="4"/>
  <c r="G379" i="4"/>
  <c r="F379" i="4"/>
  <c r="G378" i="4"/>
  <c r="F378" i="4"/>
  <c r="G377" i="4"/>
  <c r="F377" i="4"/>
  <c r="G376" i="4"/>
  <c r="F376" i="4"/>
  <c r="G375" i="4"/>
  <c r="F375" i="4"/>
  <c r="G374" i="4"/>
  <c r="F374" i="4"/>
  <c r="G373" i="4"/>
  <c r="F373" i="4"/>
  <c r="G372" i="4"/>
  <c r="F372" i="4"/>
  <c r="G371" i="4"/>
  <c r="F371" i="4"/>
  <c r="G370" i="4"/>
  <c r="F370" i="4"/>
  <c r="G369" i="4"/>
  <c r="F369" i="4"/>
  <c r="G368" i="4"/>
  <c r="F368" i="4"/>
  <c r="G367" i="4"/>
  <c r="F367" i="4"/>
  <c r="G366" i="4"/>
  <c r="F366" i="4"/>
  <c r="G365" i="4"/>
  <c r="F365" i="4"/>
  <c r="G364" i="4"/>
  <c r="F364" i="4"/>
  <c r="G363" i="4"/>
  <c r="F363" i="4"/>
  <c r="G362" i="4"/>
  <c r="F362" i="4"/>
  <c r="G361" i="4"/>
  <c r="F361" i="4"/>
  <c r="G360" i="4"/>
  <c r="F360" i="4"/>
  <c r="G359" i="4"/>
  <c r="F359" i="4"/>
  <c r="G358" i="4"/>
  <c r="F358" i="4"/>
  <c r="G357" i="4"/>
  <c r="F357" i="4"/>
  <c r="G356" i="4"/>
  <c r="F356" i="4"/>
  <c r="G355" i="4"/>
  <c r="F355" i="4"/>
  <c r="G354" i="4"/>
  <c r="F354" i="4"/>
  <c r="G353" i="4"/>
  <c r="F353" i="4"/>
  <c r="G352" i="4"/>
  <c r="F352" i="4"/>
  <c r="G351" i="4"/>
  <c r="F351" i="4"/>
  <c r="G350" i="4"/>
  <c r="F350" i="4"/>
  <c r="G349" i="4"/>
  <c r="F349" i="4"/>
  <c r="G348" i="4"/>
  <c r="F348" i="4"/>
  <c r="G347" i="4"/>
  <c r="F347" i="4"/>
  <c r="G346" i="4"/>
  <c r="F346" i="4"/>
  <c r="G345" i="4"/>
  <c r="F345" i="4"/>
  <c r="G344" i="4"/>
  <c r="F344" i="4"/>
  <c r="G343" i="4"/>
  <c r="F343" i="4"/>
  <c r="G342" i="4"/>
  <c r="F342" i="4"/>
  <c r="G341" i="4"/>
  <c r="F341" i="4"/>
  <c r="G340" i="4"/>
  <c r="F340" i="4"/>
  <c r="G339" i="4"/>
  <c r="F339" i="4"/>
  <c r="G338" i="4"/>
  <c r="F338" i="4"/>
  <c r="G337" i="4"/>
  <c r="F337" i="4"/>
  <c r="G336" i="4"/>
  <c r="F336" i="4"/>
  <c r="G335" i="4"/>
  <c r="F335" i="4"/>
  <c r="G334" i="4"/>
  <c r="F334" i="4"/>
  <c r="G333" i="4"/>
  <c r="F333" i="4"/>
  <c r="G332" i="4"/>
  <c r="F332" i="4"/>
  <c r="G331" i="4"/>
  <c r="F331" i="4"/>
  <c r="G330" i="4"/>
  <c r="F330" i="4"/>
  <c r="G329" i="4"/>
  <c r="F329" i="4"/>
  <c r="G328" i="4"/>
  <c r="F328" i="4"/>
  <c r="G327" i="4"/>
  <c r="F327" i="4"/>
  <c r="G326" i="4"/>
  <c r="F326" i="4"/>
  <c r="G325" i="4"/>
  <c r="F325" i="4"/>
  <c r="G324" i="4"/>
  <c r="F324" i="4"/>
  <c r="G323" i="4"/>
  <c r="F323" i="4"/>
  <c r="G322" i="4"/>
  <c r="F322" i="4"/>
  <c r="G321" i="4"/>
  <c r="F321" i="4"/>
  <c r="G320" i="4"/>
  <c r="F320" i="4"/>
  <c r="G319" i="4"/>
  <c r="F319" i="4"/>
  <c r="G318" i="4"/>
  <c r="F318" i="4"/>
  <c r="G317" i="4"/>
  <c r="F317" i="4"/>
  <c r="G316" i="4"/>
  <c r="F316" i="4"/>
  <c r="G315" i="4"/>
  <c r="F315" i="4"/>
  <c r="G314" i="4"/>
  <c r="F314" i="4"/>
  <c r="G313" i="4"/>
  <c r="F313" i="4"/>
  <c r="G312" i="4"/>
  <c r="F312" i="4"/>
  <c r="G311" i="4"/>
  <c r="F311" i="4"/>
  <c r="G310" i="4"/>
  <c r="F310" i="4"/>
  <c r="G309" i="4"/>
  <c r="F309" i="4"/>
  <c r="G308" i="4"/>
  <c r="F308" i="4"/>
  <c r="G307" i="4"/>
  <c r="F307" i="4"/>
  <c r="G306" i="4"/>
  <c r="F306" i="4"/>
  <c r="G305" i="4"/>
  <c r="F305" i="4"/>
  <c r="G304" i="4"/>
  <c r="F304" i="4"/>
  <c r="G303" i="4"/>
  <c r="F303" i="4"/>
  <c r="G302" i="4"/>
  <c r="F302" i="4"/>
  <c r="G301" i="4"/>
  <c r="F301" i="4"/>
  <c r="G300" i="4"/>
  <c r="F300" i="4"/>
  <c r="G299" i="4"/>
  <c r="F299" i="4"/>
  <c r="G298" i="4"/>
  <c r="F298" i="4"/>
  <c r="G297" i="4"/>
  <c r="F297" i="4"/>
  <c r="G296" i="4"/>
  <c r="F296" i="4"/>
  <c r="G295" i="4"/>
  <c r="F295" i="4"/>
  <c r="G294" i="4"/>
  <c r="F294" i="4"/>
  <c r="G293" i="4"/>
  <c r="F293" i="4"/>
  <c r="G292" i="4"/>
  <c r="F292" i="4"/>
  <c r="G291" i="4"/>
  <c r="F291" i="4"/>
  <c r="G290" i="4"/>
  <c r="F290" i="4"/>
  <c r="G289" i="4"/>
  <c r="F289" i="4"/>
  <c r="G288" i="4"/>
  <c r="F288" i="4"/>
  <c r="G287" i="4"/>
  <c r="F287" i="4"/>
  <c r="G286" i="4"/>
  <c r="F286" i="4"/>
  <c r="G285" i="4"/>
  <c r="F285" i="4"/>
  <c r="G284" i="4"/>
  <c r="F284" i="4"/>
  <c r="G283" i="4"/>
  <c r="F283" i="4"/>
  <c r="G282" i="4"/>
  <c r="F282" i="4"/>
  <c r="G281" i="4"/>
  <c r="F281" i="4"/>
  <c r="G280" i="4"/>
  <c r="F280" i="4"/>
  <c r="G279" i="4"/>
  <c r="F279" i="4"/>
  <c r="G278" i="4"/>
  <c r="F278" i="4"/>
  <c r="G277" i="4"/>
  <c r="F277" i="4"/>
  <c r="G276" i="4"/>
  <c r="F276" i="4"/>
  <c r="G275" i="4"/>
  <c r="F275" i="4"/>
  <c r="G274" i="4"/>
  <c r="F274" i="4"/>
  <c r="G273" i="4"/>
  <c r="F273" i="4"/>
  <c r="G272" i="4"/>
  <c r="F272" i="4"/>
  <c r="G271" i="4"/>
  <c r="F271" i="4"/>
  <c r="G270" i="4"/>
  <c r="F270" i="4"/>
  <c r="G269" i="4"/>
  <c r="F269" i="4"/>
  <c r="G268" i="4"/>
  <c r="F268" i="4"/>
  <c r="G267" i="4"/>
  <c r="F267" i="4"/>
  <c r="G266" i="4"/>
  <c r="F266" i="4"/>
  <c r="G265" i="4"/>
  <c r="F265" i="4"/>
  <c r="G264" i="4"/>
  <c r="F264" i="4"/>
  <c r="G263" i="4"/>
  <c r="F263" i="4"/>
  <c r="G262" i="4"/>
  <c r="F262" i="4"/>
  <c r="G261" i="4"/>
  <c r="F261" i="4"/>
  <c r="G260" i="4"/>
  <c r="F260" i="4"/>
  <c r="G259" i="4"/>
  <c r="F259" i="4"/>
  <c r="G258" i="4"/>
  <c r="F258" i="4"/>
  <c r="G257" i="4"/>
  <c r="F257" i="4"/>
  <c r="G256" i="4"/>
  <c r="F256" i="4"/>
  <c r="G255" i="4"/>
  <c r="F255" i="4"/>
  <c r="G254" i="4"/>
  <c r="F254" i="4"/>
  <c r="G253" i="4"/>
  <c r="F253" i="4"/>
  <c r="G252" i="4"/>
  <c r="F252" i="4"/>
  <c r="G251" i="4"/>
  <c r="F251" i="4"/>
  <c r="G250" i="4"/>
  <c r="F250" i="4"/>
  <c r="G249" i="4"/>
  <c r="F249" i="4"/>
  <c r="G248" i="4"/>
  <c r="F248" i="4"/>
  <c r="G247" i="4"/>
  <c r="F247" i="4"/>
  <c r="G246" i="4"/>
  <c r="F246" i="4"/>
  <c r="G245" i="4"/>
  <c r="F245" i="4"/>
  <c r="G244" i="4"/>
  <c r="F244" i="4"/>
  <c r="G243" i="4"/>
  <c r="F243" i="4"/>
  <c r="G242" i="4"/>
  <c r="F242" i="4"/>
  <c r="G241" i="4"/>
  <c r="F241" i="4"/>
  <c r="G240" i="4"/>
  <c r="F240" i="4"/>
  <c r="G239" i="4"/>
  <c r="F239" i="4"/>
  <c r="G238" i="4"/>
  <c r="F238" i="4"/>
  <c r="G237" i="4"/>
  <c r="F237" i="4"/>
  <c r="G236" i="4"/>
  <c r="F236" i="4"/>
  <c r="G235" i="4"/>
  <c r="F235" i="4"/>
  <c r="G234" i="4"/>
  <c r="F234" i="4"/>
  <c r="G233" i="4"/>
  <c r="F233" i="4"/>
  <c r="G232" i="4"/>
  <c r="F232" i="4"/>
  <c r="G231" i="4"/>
  <c r="F231" i="4"/>
  <c r="G230" i="4"/>
  <c r="F230" i="4"/>
  <c r="G229" i="4"/>
  <c r="F229" i="4"/>
  <c r="G228" i="4"/>
  <c r="F228" i="4"/>
  <c r="G227" i="4"/>
  <c r="F227" i="4"/>
  <c r="G226" i="4"/>
  <c r="F226" i="4"/>
  <c r="G225" i="4"/>
  <c r="F225" i="4"/>
  <c r="G224" i="4"/>
  <c r="F224" i="4"/>
  <c r="G223" i="4"/>
  <c r="F223" i="4"/>
  <c r="G222" i="4"/>
  <c r="F222" i="4"/>
  <c r="G221" i="4"/>
  <c r="F221" i="4"/>
  <c r="G220" i="4"/>
  <c r="F220" i="4"/>
  <c r="G219" i="4"/>
  <c r="F219" i="4"/>
  <c r="G218" i="4"/>
  <c r="F218" i="4"/>
  <c r="G217" i="4"/>
  <c r="F217" i="4"/>
  <c r="G216" i="4"/>
  <c r="F216" i="4"/>
  <c r="G215" i="4"/>
  <c r="F215" i="4"/>
  <c r="G214" i="4"/>
  <c r="F214" i="4"/>
  <c r="G213" i="4"/>
  <c r="F213" i="4"/>
  <c r="G212" i="4"/>
  <c r="F212" i="4"/>
  <c r="G211" i="4"/>
  <c r="F211" i="4"/>
  <c r="G210" i="4"/>
  <c r="F210" i="4"/>
  <c r="G209" i="4"/>
  <c r="F209" i="4"/>
  <c r="G208" i="4"/>
  <c r="F208" i="4"/>
  <c r="G207" i="4"/>
  <c r="F207" i="4"/>
  <c r="G206" i="4"/>
  <c r="F206" i="4"/>
  <c r="G205" i="4"/>
  <c r="F205" i="4"/>
  <c r="G204" i="4"/>
  <c r="F204" i="4"/>
  <c r="G203" i="4"/>
  <c r="F203" i="4"/>
  <c r="G202" i="4"/>
  <c r="F202" i="4"/>
  <c r="G201" i="4"/>
  <c r="F201" i="4"/>
  <c r="G200" i="4"/>
  <c r="F200" i="4"/>
  <c r="G199" i="4"/>
  <c r="F199" i="4"/>
  <c r="G198" i="4"/>
  <c r="F198" i="4"/>
  <c r="G197" i="4"/>
  <c r="F197" i="4"/>
  <c r="G196" i="4"/>
  <c r="F196" i="4"/>
  <c r="G195" i="4"/>
  <c r="F195" i="4"/>
  <c r="G194" i="4"/>
  <c r="F194" i="4"/>
  <c r="G193" i="4"/>
  <c r="F193" i="4"/>
  <c r="G192" i="4"/>
  <c r="F192" i="4"/>
  <c r="G191" i="4"/>
  <c r="F191" i="4"/>
  <c r="G190" i="4"/>
  <c r="F190" i="4"/>
  <c r="G189" i="4"/>
  <c r="F189" i="4"/>
  <c r="G188" i="4"/>
  <c r="F188" i="4"/>
  <c r="G187" i="4"/>
  <c r="F187" i="4"/>
  <c r="G186" i="4"/>
  <c r="F186" i="4"/>
  <c r="G185" i="4"/>
  <c r="F185" i="4"/>
  <c r="G184" i="4"/>
  <c r="F184" i="4"/>
  <c r="G183" i="4"/>
  <c r="F183" i="4"/>
  <c r="G182" i="4"/>
  <c r="F182" i="4"/>
  <c r="G181" i="4"/>
  <c r="F181" i="4"/>
  <c r="G180" i="4"/>
  <c r="F180" i="4"/>
  <c r="G179" i="4"/>
  <c r="F179" i="4"/>
  <c r="G178" i="4"/>
  <c r="F178" i="4"/>
  <c r="G177" i="4"/>
  <c r="F177" i="4"/>
  <c r="G176" i="4"/>
  <c r="F176" i="4"/>
  <c r="G175" i="4"/>
  <c r="F175" i="4"/>
  <c r="G174" i="4"/>
  <c r="F174" i="4"/>
  <c r="G173" i="4"/>
  <c r="F173" i="4"/>
  <c r="G172" i="4"/>
  <c r="F172" i="4"/>
  <c r="G171" i="4"/>
  <c r="F171" i="4"/>
  <c r="G170" i="4"/>
  <c r="F170" i="4"/>
  <c r="G169" i="4"/>
  <c r="F169" i="4"/>
  <c r="G168" i="4"/>
  <c r="F168" i="4"/>
  <c r="G167" i="4"/>
  <c r="F167" i="4"/>
  <c r="G166" i="4"/>
  <c r="F166" i="4"/>
  <c r="G165" i="4"/>
  <c r="F165" i="4"/>
  <c r="G164" i="4"/>
  <c r="F164" i="4"/>
  <c r="G163" i="4"/>
  <c r="F163" i="4"/>
  <c r="G162" i="4"/>
  <c r="F162" i="4"/>
  <c r="G161" i="4"/>
  <c r="F161" i="4"/>
  <c r="G160" i="4"/>
  <c r="F160" i="4"/>
  <c r="G159" i="4"/>
  <c r="F159" i="4"/>
  <c r="G158" i="4"/>
  <c r="F158" i="4"/>
  <c r="G157" i="4"/>
  <c r="F157" i="4"/>
  <c r="G156" i="4"/>
  <c r="F156" i="4"/>
  <c r="G155" i="4"/>
  <c r="F155" i="4"/>
  <c r="G154" i="4"/>
  <c r="F154" i="4"/>
  <c r="G153" i="4"/>
  <c r="F153" i="4"/>
  <c r="G152" i="4"/>
  <c r="F152" i="4"/>
  <c r="G151" i="4"/>
  <c r="F151" i="4"/>
  <c r="G150" i="4"/>
  <c r="F150" i="4"/>
  <c r="G149" i="4"/>
  <c r="F149" i="4"/>
  <c r="G148" i="4"/>
  <c r="F148" i="4"/>
  <c r="G147" i="4"/>
  <c r="F147" i="4"/>
  <c r="G146" i="4"/>
  <c r="F146" i="4"/>
  <c r="G145" i="4"/>
  <c r="F145" i="4"/>
  <c r="G144" i="4"/>
  <c r="F144" i="4"/>
  <c r="G143" i="4"/>
  <c r="F143" i="4"/>
  <c r="G142" i="4"/>
  <c r="F142" i="4"/>
  <c r="G141" i="4"/>
  <c r="F141" i="4"/>
  <c r="G140" i="4"/>
  <c r="F140" i="4"/>
  <c r="G139" i="4"/>
  <c r="F139" i="4"/>
  <c r="G138" i="4"/>
  <c r="F138" i="4"/>
  <c r="G137" i="4"/>
  <c r="F137" i="4"/>
  <c r="G136" i="4"/>
  <c r="F136" i="4"/>
  <c r="G135" i="4"/>
  <c r="F135" i="4"/>
  <c r="G134" i="4"/>
  <c r="F134" i="4"/>
  <c r="G133" i="4"/>
  <c r="F133" i="4"/>
  <c r="G132" i="4"/>
  <c r="F132" i="4"/>
  <c r="G131" i="4"/>
  <c r="F131" i="4"/>
  <c r="G130" i="4"/>
  <c r="F130" i="4"/>
  <c r="G129" i="4"/>
  <c r="F129" i="4"/>
  <c r="G128" i="4"/>
  <c r="F128" i="4"/>
  <c r="G127" i="4"/>
  <c r="F127" i="4"/>
  <c r="G126" i="4"/>
  <c r="F126" i="4"/>
  <c r="G125" i="4"/>
  <c r="F125" i="4"/>
  <c r="G124" i="4"/>
  <c r="F124" i="4"/>
  <c r="G123" i="4"/>
  <c r="F123" i="4"/>
  <c r="G122" i="4"/>
  <c r="F122" i="4"/>
  <c r="G121" i="4"/>
  <c r="F121" i="4"/>
  <c r="G120" i="4"/>
  <c r="F120" i="4"/>
  <c r="G119" i="4"/>
  <c r="F119" i="4"/>
  <c r="G118" i="4"/>
  <c r="F118" i="4"/>
  <c r="G117" i="4"/>
  <c r="F117" i="4"/>
  <c r="G116" i="4"/>
  <c r="F116" i="4"/>
  <c r="G115" i="4"/>
  <c r="F115" i="4"/>
  <c r="G114" i="4"/>
  <c r="F114" i="4"/>
  <c r="G113" i="4"/>
  <c r="F113" i="4"/>
  <c r="G112" i="4"/>
  <c r="F112" i="4"/>
  <c r="G111" i="4"/>
  <c r="F111" i="4"/>
  <c r="G110" i="4"/>
  <c r="F110" i="4"/>
  <c r="G109" i="4"/>
  <c r="F109" i="4"/>
  <c r="G108" i="4"/>
  <c r="F108" i="4"/>
  <c r="G107" i="4"/>
  <c r="F107" i="4"/>
  <c r="G106" i="4"/>
  <c r="F106" i="4"/>
  <c r="G105" i="4"/>
  <c r="F105" i="4"/>
  <c r="G104" i="4"/>
  <c r="F104" i="4"/>
  <c r="G103" i="4"/>
  <c r="F103" i="4"/>
  <c r="G102" i="4"/>
  <c r="F102" i="4"/>
  <c r="G101" i="4"/>
  <c r="F101" i="4"/>
  <c r="G100" i="4"/>
  <c r="F100" i="4"/>
  <c r="G99" i="4"/>
  <c r="F99" i="4"/>
  <c r="G98" i="4"/>
  <c r="F98" i="4"/>
  <c r="G97" i="4"/>
  <c r="F97" i="4"/>
  <c r="G96" i="4"/>
  <c r="F96" i="4"/>
  <c r="G95" i="4"/>
  <c r="F95" i="4"/>
  <c r="G94" i="4"/>
  <c r="F94" i="4"/>
  <c r="G93" i="4"/>
  <c r="F93" i="4"/>
  <c r="G92" i="4"/>
  <c r="F92" i="4"/>
  <c r="G91" i="4"/>
  <c r="F91" i="4"/>
  <c r="G90" i="4"/>
  <c r="F90" i="4"/>
  <c r="G89" i="4"/>
  <c r="F89" i="4"/>
  <c r="G88" i="4"/>
  <c r="F88" i="4"/>
  <c r="G87" i="4"/>
  <c r="F87" i="4"/>
  <c r="G86" i="4"/>
  <c r="F86" i="4"/>
  <c r="G85" i="4"/>
  <c r="F85" i="4"/>
  <c r="G84" i="4"/>
  <c r="F84" i="4"/>
  <c r="G83" i="4"/>
  <c r="F83" i="4"/>
  <c r="G82" i="4"/>
  <c r="F82" i="4"/>
  <c r="G81" i="4"/>
  <c r="F81" i="4"/>
  <c r="G80" i="4"/>
  <c r="F80" i="4"/>
  <c r="G79" i="4"/>
  <c r="F79" i="4"/>
  <c r="G78" i="4"/>
  <c r="F78" i="4"/>
  <c r="G77" i="4"/>
  <c r="F77" i="4"/>
  <c r="G76" i="4"/>
  <c r="F76" i="4"/>
  <c r="G75" i="4"/>
  <c r="F75" i="4"/>
  <c r="G74" i="4"/>
  <c r="F74" i="4"/>
  <c r="G73" i="4"/>
  <c r="F73" i="4"/>
  <c r="G72" i="4"/>
  <c r="F72" i="4"/>
  <c r="G71" i="4"/>
  <c r="F71" i="4"/>
  <c r="G70" i="4"/>
  <c r="F70" i="4"/>
  <c r="G69" i="4"/>
  <c r="F69" i="4"/>
  <c r="G68" i="4"/>
  <c r="F68" i="4"/>
  <c r="G67" i="4"/>
  <c r="F67" i="4"/>
  <c r="G66" i="4"/>
  <c r="F66" i="4"/>
  <c r="G65" i="4"/>
  <c r="F65" i="4"/>
  <c r="G64" i="4"/>
  <c r="F64" i="4"/>
  <c r="G63" i="4"/>
  <c r="F63" i="4"/>
  <c r="G62" i="4"/>
  <c r="F62" i="4"/>
  <c r="G61" i="4"/>
  <c r="F61" i="4"/>
  <c r="G60" i="4"/>
  <c r="F60" i="4"/>
  <c r="G59" i="4"/>
  <c r="F59" i="4"/>
  <c r="G58" i="4"/>
  <c r="F58" i="4"/>
  <c r="G57" i="4"/>
  <c r="F57" i="4"/>
  <c r="G56" i="4"/>
  <c r="F56" i="4"/>
  <c r="G55" i="4"/>
  <c r="F55" i="4"/>
  <c r="G54" i="4"/>
  <c r="F54" i="4"/>
  <c r="G53" i="4"/>
  <c r="F53" i="4"/>
  <c r="G52" i="4"/>
  <c r="F52" i="4"/>
  <c r="G51" i="4"/>
  <c r="F51" i="4"/>
  <c r="G50" i="4"/>
  <c r="F50" i="4"/>
  <c r="G49" i="4"/>
  <c r="F49" i="4"/>
  <c r="G48" i="4"/>
  <c r="F48" i="4"/>
  <c r="G47" i="4"/>
  <c r="F47" i="4"/>
  <c r="G46" i="4"/>
  <c r="F46" i="4"/>
  <c r="G45" i="4"/>
  <c r="F45" i="4"/>
  <c r="G44" i="4"/>
  <c r="F44" i="4"/>
  <c r="G43" i="4"/>
  <c r="F43" i="4"/>
  <c r="G42" i="4"/>
  <c r="F42" i="4"/>
  <c r="G41" i="4"/>
  <c r="F41" i="4"/>
  <c r="G40" i="4"/>
  <c r="F40" i="4"/>
  <c r="G39" i="4"/>
  <c r="F39" i="4"/>
  <c r="G38" i="4"/>
  <c r="F38" i="4"/>
  <c r="G37" i="4"/>
  <c r="F37" i="4"/>
  <c r="G36" i="4"/>
  <c r="F36" i="4"/>
  <c r="G35" i="4"/>
  <c r="F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G15" i="4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G8" i="4"/>
  <c r="F8" i="4"/>
  <c r="G7" i="4"/>
  <c r="F7" i="4"/>
  <c r="G6" i="4"/>
  <c r="F6" i="4"/>
  <c r="G5" i="4"/>
  <c r="F5" i="4"/>
  <c r="G4" i="4"/>
  <c r="J1002" i="3"/>
  <c r="H1002" i="3"/>
  <c r="G1002" i="3"/>
  <c r="F1002" i="3"/>
  <c r="J1001" i="3"/>
  <c r="H1001" i="3"/>
  <c r="G1001" i="3"/>
  <c r="F1001" i="3"/>
  <c r="J1000" i="3"/>
  <c r="H1000" i="3"/>
  <c r="G1000" i="3"/>
  <c r="F1000" i="3"/>
  <c r="J999" i="3"/>
  <c r="H999" i="3"/>
  <c r="G999" i="3"/>
  <c r="F999" i="3"/>
  <c r="J998" i="3"/>
  <c r="H998" i="3"/>
  <c r="G998" i="3"/>
  <c r="F998" i="3"/>
  <c r="J997" i="3"/>
  <c r="H997" i="3"/>
  <c r="G997" i="3"/>
  <c r="F997" i="3"/>
  <c r="J996" i="3"/>
  <c r="H996" i="3"/>
  <c r="G996" i="3"/>
  <c r="F996" i="3"/>
  <c r="J995" i="3"/>
  <c r="H995" i="3"/>
  <c r="G995" i="3"/>
  <c r="F995" i="3"/>
  <c r="J994" i="3"/>
  <c r="H994" i="3"/>
  <c r="G994" i="3"/>
  <c r="F994" i="3"/>
  <c r="J993" i="3"/>
  <c r="H993" i="3"/>
  <c r="G993" i="3"/>
  <c r="F993" i="3"/>
  <c r="J992" i="3"/>
  <c r="H992" i="3"/>
  <c r="G992" i="3"/>
  <c r="F992" i="3"/>
  <c r="J991" i="3"/>
  <c r="H991" i="3"/>
  <c r="G991" i="3"/>
  <c r="F991" i="3"/>
  <c r="J990" i="3"/>
  <c r="H990" i="3"/>
  <c r="G990" i="3"/>
  <c r="F990" i="3"/>
  <c r="J989" i="3"/>
  <c r="H989" i="3"/>
  <c r="G989" i="3"/>
  <c r="F989" i="3"/>
  <c r="J988" i="3"/>
  <c r="H988" i="3"/>
  <c r="G988" i="3"/>
  <c r="F988" i="3"/>
  <c r="J987" i="3"/>
  <c r="H987" i="3"/>
  <c r="G987" i="3"/>
  <c r="F987" i="3"/>
  <c r="J986" i="3"/>
  <c r="H986" i="3"/>
  <c r="G986" i="3"/>
  <c r="F986" i="3"/>
  <c r="J985" i="3"/>
  <c r="H985" i="3"/>
  <c r="G985" i="3"/>
  <c r="F985" i="3"/>
  <c r="J984" i="3"/>
  <c r="H984" i="3"/>
  <c r="G984" i="3"/>
  <c r="F984" i="3"/>
  <c r="J983" i="3"/>
  <c r="H983" i="3"/>
  <c r="G983" i="3"/>
  <c r="F983" i="3"/>
  <c r="J982" i="3"/>
  <c r="H982" i="3"/>
  <c r="G982" i="3"/>
  <c r="F982" i="3"/>
  <c r="J981" i="3"/>
  <c r="H981" i="3"/>
  <c r="G981" i="3"/>
  <c r="F981" i="3"/>
  <c r="J980" i="3"/>
  <c r="H980" i="3"/>
  <c r="G980" i="3"/>
  <c r="F980" i="3"/>
  <c r="J979" i="3"/>
  <c r="H979" i="3"/>
  <c r="G979" i="3"/>
  <c r="F979" i="3"/>
  <c r="J978" i="3"/>
  <c r="H978" i="3"/>
  <c r="G978" i="3"/>
  <c r="F978" i="3"/>
  <c r="J977" i="3"/>
  <c r="H977" i="3"/>
  <c r="G977" i="3"/>
  <c r="F977" i="3"/>
  <c r="J976" i="3"/>
  <c r="H976" i="3"/>
  <c r="G976" i="3"/>
  <c r="F976" i="3"/>
  <c r="J975" i="3"/>
  <c r="H975" i="3"/>
  <c r="G975" i="3"/>
  <c r="F975" i="3"/>
  <c r="J974" i="3"/>
  <c r="H974" i="3"/>
  <c r="G974" i="3"/>
  <c r="F974" i="3"/>
  <c r="J973" i="3"/>
  <c r="H973" i="3"/>
  <c r="G973" i="3"/>
  <c r="F973" i="3"/>
  <c r="J972" i="3"/>
  <c r="H972" i="3"/>
  <c r="G972" i="3"/>
  <c r="F972" i="3"/>
  <c r="J971" i="3"/>
  <c r="H971" i="3"/>
  <c r="G971" i="3"/>
  <c r="F971" i="3"/>
  <c r="J970" i="3"/>
  <c r="H970" i="3"/>
  <c r="G970" i="3"/>
  <c r="F970" i="3"/>
  <c r="J969" i="3"/>
  <c r="H969" i="3"/>
  <c r="G969" i="3"/>
  <c r="F969" i="3"/>
  <c r="J968" i="3"/>
  <c r="H968" i="3"/>
  <c r="G968" i="3"/>
  <c r="F968" i="3"/>
  <c r="J967" i="3"/>
  <c r="H967" i="3"/>
  <c r="G967" i="3"/>
  <c r="F967" i="3"/>
  <c r="J966" i="3"/>
  <c r="H966" i="3"/>
  <c r="G966" i="3"/>
  <c r="F966" i="3"/>
  <c r="J965" i="3"/>
  <c r="H965" i="3"/>
  <c r="G965" i="3"/>
  <c r="F965" i="3"/>
  <c r="J964" i="3"/>
  <c r="H964" i="3"/>
  <c r="G964" i="3"/>
  <c r="F964" i="3"/>
  <c r="J963" i="3"/>
  <c r="H963" i="3"/>
  <c r="G963" i="3"/>
  <c r="F963" i="3"/>
  <c r="J962" i="3"/>
  <c r="H962" i="3"/>
  <c r="G962" i="3"/>
  <c r="F962" i="3"/>
  <c r="J961" i="3"/>
  <c r="H961" i="3"/>
  <c r="G961" i="3"/>
  <c r="F961" i="3"/>
  <c r="J960" i="3"/>
  <c r="H960" i="3"/>
  <c r="G960" i="3"/>
  <c r="F960" i="3"/>
  <c r="J959" i="3"/>
  <c r="H959" i="3"/>
  <c r="G959" i="3"/>
  <c r="F959" i="3"/>
  <c r="J958" i="3"/>
  <c r="H958" i="3"/>
  <c r="G958" i="3"/>
  <c r="F958" i="3"/>
  <c r="J957" i="3"/>
  <c r="H957" i="3"/>
  <c r="G957" i="3"/>
  <c r="F957" i="3"/>
  <c r="J956" i="3"/>
  <c r="H956" i="3"/>
  <c r="G956" i="3"/>
  <c r="F956" i="3"/>
  <c r="J955" i="3"/>
  <c r="H955" i="3"/>
  <c r="G955" i="3"/>
  <c r="F955" i="3"/>
  <c r="J954" i="3"/>
  <c r="H954" i="3"/>
  <c r="G954" i="3"/>
  <c r="F954" i="3"/>
  <c r="J953" i="3"/>
  <c r="H953" i="3"/>
  <c r="G953" i="3"/>
  <c r="F953" i="3"/>
  <c r="J952" i="3"/>
  <c r="H952" i="3"/>
  <c r="G952" i="3"/>
  <c r="F952" i="3"/>
  <c r="J951" i="3"/>
  <c r="H951" i="3"/>
  <c r="G951" i="3"/>
  <c r="F951" i="3"/>
  <c r="J950" i="3"/>
  <c r="H950" i="3"/>
  <c r="G950" i="3"/>
  <c r="F950" i="3"/>
  <c r="J949" i="3"/>
  <c r="H949" i="3"/>
  <c r="G949" i="3"/>
  <c r="F949" i="3"/>
  <c r="J948" i="3"/>
  <c r="H948" i="3"/>
  <c r="G948" i="3"/>
  <c r="F948" i="3"/>
  <c r="J947" i="3"/>
  <c r="H947" i="3"/>
  <c r="G947" i="3"/>
  <c r="F947" i="3"/>
  <c r="J946" i="3"/>
  <c r="H946" i="3"/>
  <c r="G946" i="3"/>
  <c r="F946" i="3"/>
  <c r="J945" i="3"/>
  <c r="H945" i="3"/>
  <c r="G945" i="3"/>
  <c r="F945" i="3"/>
  <c r="J944" i="3"/>
  <c r="H944" i="3"/>
  <c r="G944" i="3"/>
  <c r="F944" i="3"/>
  <c r="J943" i="3"/>
  <c r="H943" i="3"/>
  <c r="G943" i="3"/>
  <c r="F943" i="3"/>
  <c r="J942" i="3"/>
  <c r="H942" i="3"/>
  <c r="G942" i="3"/>
  <c r="F942" i="3"/>
  <c r="J941" i="3"/>
  <c r="H941" i="3"/>
  <c r="G941" i="3"/>
  <c r="F941" i="3"/>
  <c r="J940" i="3"/>
  <c r="H940" i="3"/>
  <c r="G940" i="3"/>
  <c r="F940" i="3"/>
  <c r="J939" i="3"/>
  <c r="H939" i="3"/>
  <c r="G939" i="3"/>
  <c r="F939" i="3"/>
  <c r="J938" i="3"/>
  <c r="H938" i="3"/>
  <c r="G938" i="3"/>
  <c r="F938" i="3"/>
  <c r="J937" i="3"/>
  <c r="H937" i="3"/>
  <c r="G937" i="3"/>
  <c r="F937" i="3"/>
  <c r="J936" i="3"/>
  <c r="H936" i="3"/>
  <c r="G936" i="3"/>
  <c r="F936" i="3"/>
  <c r="J935" i="3"/>
  <c r="H935" i="3"/>
  <c r="G935" i="3"/>
  <c r="F935" i="3"/>
  <c r="J934" i="3"/>
  <c r="H934" i="3"/>
  <c r="G934" i="3"/>
  <c r="F934" i="3"/>
  <c r="J933" i="3"/>
  <c r="H933" i="3"/>
  <c r="G933" i="3"/>
  <c r="F933" i="3"/>
  <c r="J932" i="3"/>
  <c r="H932" i="3"/>
  <c r="G932" i="3"/>
  <c r="F932" i="3"/>
  <c r="J931" i="3"/>
  <c r="H931" i="3"/>
  <c r="G931" i="3"/>
  <c r="F931" i="3"/>
  <c r="J930" i="3"/>
  <c r="H930" i="3"/>
  <c r="G930" i="3"/>
  <c r="F930" i="3"/>
  <c r="J929" i="3"/>
  <c r="H929" i="3"/>
  <c r="G929" i="3"/>
  <c r="F929" i="3"/>
  <c r="J928" i="3"/>
  <c r="H928" i="3"/>
  <c r="G928" i="3"/>
  <c r="F928" i="3"/>
  <c r="J927" i="3"/>
  <c r="H927" i="3"/>
  <c r="G927" i="3"/>
  <c r="F927" i="3"/>
  <c r="J926" i="3"/>
  <c r="H926" i="3"/>
  <c r="G926" i="3"/>
  <c r="F926" i="3"/>
  <c r="J925" i="3"/>
  <c r="H925" i="3"/>
  <c r="G925" i="3"/>
  <c r="F925" i="3"/>
  <c r="J924" i="3"/>
  <c r="H924" i="3"/>
  <c r="G924" i="3"/>
  <c r="F924" i="3"/>
  <c r="J923" i="3"/>
  <c r="H923" i="3"/>
  <c r="G923" i="3"/>
  <c r="F923" i="3"/>
  <c r="J922" i="3"/>
  <c r="H922" i="3"/>
  <c r="G922" i="3"/>
  <c r="F922" i="3"/>
  <c r="J921" i="3"/>
  <c r="H921" i="3"/>
  <c r="G921" i="3"/>
  <c r="F921" i="3"/>
  <c r="J920" i="3"/>
  <c r="H920" i="3"/>
  <c r="G920" i="3"/>
  <c r="F920" i="3"/>
  <c r="J919" i="3"/>
  <c r="H919" i="3"/>
  <c r="G919" i="3"/>
  <c r="F919" i="3"/>
  <c r="J918" i="3"/>
  <c r="H918" i="3"/>
  <c r="G918" i="3"/>
  <c r="F918" i="3"/>
  <c r="J917" i="3"/>
  <c r="H917" i="3"/>
  <c r="G917" i="3"/>
  <c r="F917" i="3"/>
  <c r="J916" i="3"/>
  <c r="H916" i="3"/>
  <c r="G916" i="3"/>
  <c r="F916" i="3"/>
  <c r="J915" i="3"/>
  <c r="H915" i="3"/>
  <c r="G915" i="3"/>
  <c r="F915" i="3"/>
  <c r="J914" i="3"/>
  <c r="H914" i="3"/>
  <c r="G914" i="3"/>
  <c r="F914" i="3"/>
  <c r="J913" i="3"/>
  <c r="H913" i="3"/>
  <c r="G913" i="3"/>
  <c r="F913" i="3"/>
  <c r="J912" i="3"/>
  <c r="H912" i="3"/>
  <c r="G912" i="3"/>
  <c r="F912" i="3"/>
  <c r="J911" i="3"/>
  <c r="H911" i="3"/>
  <c r="G911" i="3"/>
  <c r="F911" i="3"/>
  <c r="J910" i="3"/>
  <c r="H910" i="3"/>
  <c r="G910" i="3"/>
  <c r="F910" i="3"/>
  <c r="J909" i="3"/>
  <c r="H909" i="3"/>
  <c r="G909" i="3"/>
  <c r="F909" i="3"/>
  <c r="J908" i="3"/>
  <c r="H908" i="3"/>
  <c r="G908" i="3"/>
  <c r="F908" i="3"/>
  <c r="J907" i="3"/>
  <c r="H907" i="3"/>
  <c r="G907" i="3"/>
  <c r="F907" i="3"/>
  <c r="J906" i="3"/>
  <c r="H906" i="3"/>
  <c r="G906" i="3"/>
  <c r="F906" i="3"/>
  <c r="J905" i="3"/>
  <c r="H905" i="3"/>
  <c r="G905" i="3"/>
  <c r="F905" i="3"/>
  <c r="J904" i="3"/>
  <c r="H904" i="3"/>
  <c r="G904" i="3"/>
  <c r="F904" i="3"/>
  <c r="J903" i="3"/>
  <c r="H903" i="3"/>
  <c r="G903" i="3"/>
  <c r="F903" i="3"/>
  <c r="J902" i="3"/>
  <c r="H902" i="3"/>
  <c r="G902" i="3"/>
  <c r="F902" i="3"/>
  <c r="J901" i="3"/>
  <c r="H901" i="3"/>
  <c r="G901" i="3"/>
  <c r="F901" i="3"/>
  <c r="J900" i="3"/>
  <c r="H900" i="3"/>
  <c r="G900" i="3"/>
  <c r="F900" i="3"/>
  <c r="J899" i="3"/>
  <c r="H899" i="3"/>
  <c r="G899" i="3"/>
  <c r="F899" i="3"/>
  <c r="J898" i="3"/>
  <c r="H898" i="3"/>
  <c r="G898" i="3"/>
  <c r="F898" i="3"/>
  <c r="J897" i="3"/>
  <c r="H897" i="3"/>
  <c r="G897" i="3"/>
  <c r="F897" i="3"/>
  <c r="J896" i="3"/>
  <c r="H896" i="3"/>
  <c r="G896" i="3"/>
  <c r="F896" i="3"/>
  <c r="J895" i="3"/>
  <c r="H895" i="3"/>
  <c r="G895" i="3"/>
  <c r="F895" i="3"/>
  <c r="J894" i="3"/>
  <c r="H894" i="3"/>
  <c r="G894" i="3"/>
  <c r="F894" i="3"/>
  <c r="J893" i="3"/>
  <c r="H893" i="3"/>
  <c r="G893" i="3"/>
  <c r="F893" i="3"/>
  <c r="J892" i="3"/>
  <c r="H892" i="3"/>
  <c r="G892" i="3"/>
  <c r="F892" i="3"/>
  <c r="J891" i="3"/>
  <c r="H891" i="3"/>
  <c r="G891" i="3"/>
  <c r="F891" i="3"/>
  <c r="J890" i="3"/>
  <c r="H890" i="3"/>
  <c r="G890" i="3"/>
  <c r="F890" i="3"/>
  <c r="J889" i="3"/>
  <c r="H889" i="3"/>
  <c r="G889" i="3"/>
  <c r="F889" i="3"/>
  <c r="J888" i="3"/>
  <c r="H888" i="3"/>
  <c r="G888" i="3"/>
  <c r="F888" i="3"/>
  <c r="J887" i="3"/>
  <c r="H887" i="3"/>
  <c r="G887" i="3"/>
  <c r="F887" i="3"/>
  <c r="J886" i="3"/>
  <c r="H886" i="3"/>
  <c r="G886" i="3"/>
  <c r="F886" i="3"/>
  <c r="J885" i="3"/>
  <c r="H885" i="3"/>
  <c r="G885" i="3"/>
  <c r="F885" i="3"/>
  <c r="J884" i="3"/>
  <c r="H884" i="3"/>
  <c r="G884" i="3"/>
  <c r="F884" i="3"/>
  <c r="J883" i="3"/>
  <c r="H883" i="3"/>
  <c r="G883" i="3"/>
  <c r="F883" i="3"/>
  <c r="J882" i="3"/>
  <c r="H882" i="3"/>
  <c r="G882" i="3"/>
  <c r="F882" i="3"/>
  <c r="J881" i="3"/>
  <c r="H881" i="3"/>
  <c r="G881" i="3"/>
  <c r="F881" i="3"/>
  <c r="J880" i="3"/>
  <c r="H880" i="3"/>
  <c r="G880" i="3"/>
  <c r="F880" i="3"/>
  <c r="J879" i="3"/>
  <c r="H879" i="3"/>
  <c r="G879" i="3"/>
  <c r="F879" i="3"/>
  <c r="J878" i="3"/>
  <c r="H878" i="3"/>
  <c r="G878" i="3"/>
  <c r="F878" i="3"/>
  <c r="J877" i="3"/>
  <c r="H877" i="3"/>
  <c r="G877" i="3"/>
  <c r="F877" i="3"/>
  <c r="J876" i="3"/>
  <c r="H876" i="3"/>
  <c r="G876" i="3"/>
  <c r="F876" i="3"/>
  <c r="J875" i="3"/>
  <c r="H875" i="3"/>
  <c r="G875" i="3"/>
  <c r="F875" i="3"/>
  <c r="J874" i="3"/>
  <c r="H874" i="3"/>
  <c r="G874" i="3"/>
  <c r="F874" i="3"/>
  <c r="J873" i="3"/>
  <c r="H873" i="3"/>
  <c r="G873" i="3"/>
  <c r="F873" i="3"/>
  <c r="J872" i="3"/>
  <c r="H872" i="3"/>
  <c r="G872" i="3"/>
  <c r="F872" i="3"/>
  <c r="J871" i="3"/>
  <c r="H871" i="3"/>
  <c r="G871" i="3"/>
  <c r="F871" i="3"/>
  <c r="J870" i="3"/>
  <c r="H870" i="3"/>
  <c r="G870" i="3"/>
  <c r="F870" i="3"/>
  <c r="J869" i="3"/>
  <c r="H869" i="3"/>
  <c r="G869" i="3"/>
  <c r="F869" i="3"/>
  <c r="J868" i="3"/>
  <c r="H868" i="3"/>
  <c r="G868" i="3"/>
  <c r="F868" i="3"/>
  <c r="J867" i="3"/>
  <c r="H867" i="3"/>
  <c r="G867" i="3"/>
  <c r="F867" i="3"/>
  <c r="J866" i="3"/>
  <c r="H866" i="3"/>
  <c r="G866" i="3"/>
  <c r="F866" i="3"/>
  <c r="J865" i="3"/>
  <c r="H865" i="3"/>
  <c r="G865" i="3"/>
  <c r="F865" i="3"/>
  <c r="J864" i="3"/>
  <c r="H864" i="3"/>
  <c r="G864" i="3"/>
  <c r="F864" i="3"/>
  <c r="J863" i="3"/>
  <c r="H863" i="3"/>
  <c r="G863" i="3"/>
  <c r="F863" i="3"/>
  <c r="J862" i="3"/>
  <c r="H862" i="3"/>
  <c r="G862" i="3"/>
  <c r="F862" i="3"/>
  <c r="J861" i="3"/>
  <c r="H861" i="3"/>
  <c r="G861" i="3"/>
  <c r="F861" i="3"/>
  <c r="J860" i="3"/>
  <c r="H860" i="3"/>
  <c r="G860" i="3"/>
  <c r="F860" i="3"/>
  <c r="J859" i="3"/>
  <c r="H859" i="3"/>
  <c r="G859" i="3"/>
  <c r="F859" i="3"/>
  <c r="J858" i="3"/>
  <c r="H858" i="3"/>
  <c r="G858" i="3"/>
  <c r="F858" i="3"/>
  <c r="J857" i="3"/>
  <c r="H857" i="3"/>
  <c r="G857" i="3"/>
  <c r="F857" i="3"/>
  <c r="J856" i="3"/>
  <c r="H856" i="3"/>
  <c r="G856" i="3"/>
  <c r="F856" i="3"/>
  <c r="J855" i="3"/>
  <c r="H855" i="3"/>
  <c r="G855" i="3"/>
  <c r="F855" i="3"/>
  <c r="J854" i="3"/>
  <c r="H854" i="3"/>
  <c r="G854" i="3"/>
  <c r="F854" i="3"/>
  <c r="J853" i="3"/>
  <c r="H853" i="3"/>
  <c r="G853" i="3"/>
  <c r="F853" i="3"/>
  <c r="J852" i="3"/>
  <c r="H852" i="3"/>
  <c r="G852" i="3"/>
  <c r="F852" i="3"/>
  <c r="J851" i="3"/>
  <c r="H851" i="3"/>
  <c r="G851" i="3"/>
  <c r="F851" i="3"/>
  <c r="J850" i="3"/>
  <c r="H850" i="3"/>
  <c r="G850" i="3"/>
  <c r="F850" i="3"/>
  <c r="J849" i="3"/>
  <c r="H849" i="3"/>
  <c r="G849" i="3"/>
  <c r="F849" i="3"/>
  <c r="J848" i="3"/>
  <c r="H848" i="3"/>
  <c r="G848" i="3"/>
  <c r="F848" i="3"/>
  <c r="J847" i="3"/>
  <c r="H847" i="3"/>
  <c r="G847" i="3"/>
  <c r="F847" i="3"/>
  <c r="J846" i="3"/>
  <c r="H846" i="3"/>
  <c r="G846" i="3"/>
  <c r="F846" i="3"/>
  <c r="J845" i="3"/>
  <c r="H845" i="3"/>
  <c r="G845" i="3"/>
  <c r="F845" i="3"/>
  <c r="J844" i="3"/>
  <c r="H844" i="3"/>
  <c r="G844" i="3"/>
  <c r="F844" i="3"/>
  <c r="J843" i="3"/>
  <c r="H843" i="3"/>
  <c r="G843" i="3"/>
  <c r="F843" i="3"/>
  <c r="J842" i="3"/>
  <c r="H842" i="3"/>
  <c r="G842" i="3"/>
  <c r="F842" i="3"/>
  <c r="J841" i="3"/>
  <c r="H841" i="3"/>
  <c r="G841" i="3"/>
  <c r="F841" i="3"/>
  <c r="J840" i="3"/>
  <c r="H840" i="3"/>
  <c r="G840" i="3"/>
  <c r="F840" i="3"/>
  <c r="J839" i="3"/>
  <c r="H839" i="3"/>
  <c r="G839" i="3"/>
  <c r="F839" i="3"/>
  <c r="J838" i="3"/>
  <c r="H838" i="3"/>
  <c r="G838" i="3"/>
  <c r="F838" i="3"/>
  <c r="J837" i="3"/>
  <c r="H837" i="3"/>
  <c r="G837" i="3"/>
  <c r="F837" i="3"/>
  <c r="J836" i="3"/>
  <c r="H836" i="3"/>
  <c r="G836" i="3"/>
  <c r="F836" i="3"/>
  <c r="J835" i="3"/>
  <c r="H835" i="3"/>
  <c r="G835" i="3"/>
  <c r="F835" i="3"/>
  <c r="J834" i="3"/>
  <c r="H834" i="3"/>
  <c r="G834" i="3"/>
  <c r="F834" i="3"/>
  <c r="J833" i="3"/>
  <c r="H833" i="3"/>
  <c r="G833" i="3"/>
  <c r="F833" i="3"/>
  <c r="J832" i="3"/>
  <c r="H832" i="3"/>
  <c r="G832" i="3"/>
  <c r="F832" i="3"/>
  <c r="J831" i="3"/>
  <c r="H831" i="3"/>
  <c r="G831" i="3"/>
  <c r="F831" i="3"/>
  <c r="J830" i="3"/>
  <c r="H830" i="3"/>
  <c r="G830" i="3"/>
  <c r="F830" i="3"/>
  <c r="J829" i="3"/>
  <c r="H829" i="3"/>
  <c r="G829" i="3"/>
  <c r="F829" i="3"/>
  <c r="J828" i="3"/>
  <c r="H828" i="3"/>
  <c r="G828" i="3"/>
  <c r="F828" i="3"/>
  <c r="J827" i="3"/>
  <c r="H827" i="3"/>
  <c r="G827" i="3"/>
  <c r="F827" i="3"/>
  <c r="J826" i="3"/>
  <c r="H826" i="3"/>
  <c r="G826" i="3"/>
  <c r="F826" i="3"/>
  <c r="J825" i="3"/>
  <c r="H825" i="3"/>
  <c r="G825" i="3"/>
  <c r="F825" i="3"/>
  <c r="J824" i="3"/>
  <c r="H824" i="3"/>
  <c r="G824" i="3"/>
  <c r="F824" i="3"/>
  <c r="J823" i="3"/>
  <c r="H823" i="3"/>
  <c r="G823" i="3"/>
  <c r="F823" i="3"/>
  <c r="J822" i="3"/>
  <c r="H822" i="3"/>
  <c r="G822" i="3"/>
  <c r="F822" i="3"/>
  <c r="J821" i="3"/>
  <c r="H821" i="3"/>
  <c r="G821" i="3"/>
  <c r="F821" i="3"/>
  <c r="J820" i="3"/>
  <c r="H820" i="3"/>
  <c r="G820" i="3"/>
  <c r="F820" i="3"/>
  <c r="J819" i="3"/>
  <c r="H819" i="3"/>
  <c r="G819" i="3"/>
  <c r="F819" i="3"/>
  <c r="J818" i="3"/>
  <c r="H818" i="3"/>
  <c r="G818" i="3"/>
  <c r="F818" i="3"/>
  <c r="J817" i="3"/>
  <c r="H817" i="3"/>
  <c r="G817" i="3"/>
  <c r="F817" i="3"/>
  <c r="J816" i="3"/>
  <c r="H816" i="3"/>
  <c r="G816" i="3"/>
  <c r="F816" i="3"/>
  <c r="J815" i="3"/>
  <c r="H815" i="3"/>
  <c r="G815" i="3"/>
  <c r="F815" i="3"/>
  <c r="J814" i="3"/>
  <c r="H814" i="3"/>
  <c r="G814" i="3"/>
  <c r="F814" i="3"/>
  <c r="J813" i="3"/>
  <c r="H813" i="3"/>
  <c r="G813" i="3"/>
  <c r="F813" i="3"/>
  <c r="J812" i="3"/>
  <c r="H812" i="3"/>
  <c r="G812" i="3"/>
  <c r="F812" i="3"/>
  <c r="J811" i="3"/>
  <c r="H811" i="3"/>
  <c r="G811" i="3"/>
  <c r="F811" i="3"/>
  <c r="J810" i="3"/>
  <c r="H810" i="3"/>
  <c r="G810" i="3"/>
  <c r="F810" i="3"/>
  <c r="J809" i="3"/>
  <c r="H809" i="3"/>
  <c r="G809" i="3"/>
  <c r="F809" i="3"/>
  <c r="J808" i="3"/>
  <c r="H808" i="3"/>
  <c r="G808" i="3"/>
  <c r="F808" i="3"/>
  <c r="J807" i="3"/>
  <c r="H807" i="3"/>
  <c r="G807" i="3"/>
  <c r="F807" i="3"/>
  <c r="J806" i="3"/>
  <c r="H806" i="3"/>
  <c r="G806" i="3"/>
  <c r="F806" i="3"/>
  <c r="J805" i="3"/>
  <c r="H805" i="3"/>
  <c r="G805" i="3"/>
  <c r="F805" i="3"/>
  <c r="J804" i="3"/>
  <c r="H804" i="3"/>
  <c r="G804" i="3"/>
  <c r="F804" i="3"/>
  <c r="J803" i="3"/>
  <c r="H803" i="3"/>
  <c r="G803" i="3"/>
  <c r="F803" i="3"/>
  <c r="J802" i="3"/>
  <c r="H802" i="3"/>
  <c r="G802" i="3"/>
  <c r="F802" i="3"/>
  <c r="J801" i="3"/>
  <c r="H801" i="3"/>
  <c r="G801" i="3"/>
  <c r="F801" i="3"/>
  <c r="J800" i="3"/>
  <c r="H800" i="3"/>
  <c r="G800" i="3"/>
  <c r="F800" i="3"/>
  <c r="J799" i="3"/>
  <c r="H799" i="3"/>
  <c r="G799" i="3"/>
  <c r="F799" i="3"/>
  <c r="J798" i="3"/>
  <c r="H798" i="3"/>
  <c r="G798" i="3"/>
  <c r="F798" i="3"/>
  <c r="J797" i="3"/>
  <c r="H797" i="3"/>
  <c r="G797" i="3"/>
  <c r="F797" i="3"/>
  <c r="J796" i="3"/>
  <c r="H796" i="3"/>
  <c r="G796" i="3"/>
  <c r="F796" i="3"/>
  <c r="J795" i="3"/>
  <c r="H795" i="3"/>
  <c r="G795" i="3"/>
  <c r="F795" i="3"/>
  <c r="J794" i="3"/>
  <c r="H794" i="3"/>
  <c r="G794" i="3"/>
  <c r="F794" i="3"/>
  <c r="J793" i="3"/>
  <c r="H793" i="3"/>
  <c r="G793" i="3"/>
  <c r="F793" i="3"/>
  <c r="J792" i="3"/>
  <c r="H792" i="3"/>
  <c r="G792" i="3"/>
  <c r="F792" i="3"/>
  <c r="J791" i="3"/>
  <c r="H791" i="3"/>
  <c r="G791" i="3"/>
  <c r="F791" i="3"/>
  <c r="J790" i="3"/>
  <c r="H790" i="3"/>
  <c r="G790" i="3"/>
  <c r="F790" i="3"/>
  <c r="J789" i="3"/>
  <c r="H789" i="3"/>
  <c r="G789" i="3"/>
  <c r="F789" i="3"/>
  <c r="J788" i="3"/>
  <c r="H788" i="3"/>
  <c r="G788" i="3"/>
  <c r="F788" i="3"/>
  <c r="J787" i="3"/>
  <c r="H787" i="3"/>
  <c r="G787" i="3"/>
  <c r="F787" i="3"/>
  <c r="J786" i="3"/>
  <c r="H786" i="3"/>
  <c r="G786" i="3"/>
  <c r="F786" i="3"/>
  <c r="J785" i="3"/>
  <c r="H785" i="3"/>
  <c r="G785" i="3"/>
  <c r="F785" i="3"/>
  <c r="J784" i="3"/>
  <c r="H784" i="3"/>
  <c r="G784" i="3"/>
  <c r="F784" i="3"/>
  <c r="J783" i="3"/>
  <c r="H783" i="3"/>
  <c r="G783" i="3"/>
  <c r="F783" i="3"/>
  <c r="J782" i="3"/>
  <c r="H782" i="3"/>
  <c r="G782" i="3"/>
  <c r="F782" i="3"/>
  <c r="J781" i="3"/>
  <c r="H781" i="3"/>
  <c r="G781" i="3"/>
  <c r="F781" i="3"/>
  <c r="J780" i="3"/>
  <c r="H780" i="3"/>
  <c r="G780" i="3"/>
  <c r="F780" i="3"/>
  <c r="J779" i="3"/>
  <c r="H779" i="3"/>
  <c r="G779" i="3"/>
  <c r="F779" i="3"/>
  <c r="J778" i="3"/>
  <c r="H778" i="3"/>
  <c r="G778" i="3"/>
  <c r="F778" i="3"/>
  <c r="J777" i="3"/>
  <c r="H777" i="3"/>
  <c r="G777" i="3"/>
  <c r="F777" i="3"/>
  <c r="J776" i="3"/>
  <c r="H776" i="3"/>
  <c r="G776" i="3"/>
  <c r="F776" i="3"/>
  <c r="J775" i="3"/>
  <c r="H775" i="3"/>
  <c r="G775" i="3"/>
  <c r="F775" i="3"/>
  <c r="J774" i="3"/>
  <c r="H774" i="3"/>
  <c r="G774" i="3"/>
  <c r="F774" i="3"/>
  <c r="J773" i="3"/>
  <c r="H773" i="3"/>
  <c r="G773" i="3"/>
  <c r="F773" i="3"/>
  <c r="J772" i="3"/>
  <c r="H772" i="3"/>
  <c r="G772" i="3"/>
  <c r="F772" i="3"/>
  <c r="J771" i="3"/>
  <c r="H771" i="3"/>
  <c r="G771" i="3"/>
  <c r="F771" i="3"/>
  <c r="J770" i="3"/>
  <c r="H770" i="3"/>
  <c r="G770" i="3"/>
  <c r="F770" i="3"/>
  <c r="J769" i="3"/>
  <c r="H769" i="3"/>
  <c r="G769" i="3"/>
  <c r="F769" i="3"/>
  <c r="J768" i="3"/>
  <c r="H768" i="3"/>
  <c r="G768" i="3"/>
  <c r="F768" i="3"/>
  <c r="J767" i="3"/>
  <c r="H767" i="3"/>
  <c r="G767" i="3"/>
  <c r="F767" i="3"/>
  <c r="J766" i="3"/>
  <c r="H766" i="3"/>
  <c r="G766" i="3"/>
  <c r="F766" i="3"/>
  <c r="J765" i="3"/>
  <c r="H765" i="3"/>
  <c r="G765" i="3"/>
  <c r="F765" i="3"/>
  <c r="J764" i="3"/>
  <c r="H764" i="3"/>
  <c r="G764" i="3"/>
  <c r="F764" i="3"/>
  <c r="J763" i="3"/>
  <c r="H763" i="3"/>
  <c r="G763" i="3"/>
  <c r="F763" i="3"/>
  <c r="J762" i="3"/>
  <c r="H762" i="3"/>
  <c r="G762" i="3"/>
  <c r="F762" i="3"/>
  <c r="J761" i="3"/>
  <c r="H761" i="3"/>
  <c r="G761" i="3"/>
  <c r="F761" i="3"/>
  <c r="J760" i="3"/>
  <c r="H760" i="3"/>
  <c r="G760" i="3"/>
  <c r="F760" i="3"/>
  <c r="J759" i="3"/>
  <c r="H759" i="3"/>
  <c r="G759" i="3"/>
  <c r="F759" i="3"/>
  <c r="J758" i="3"/>
  <c r="H758" i="3"/>
  <c r="G758" i="3"/>
  <c r="F758" i="3"/>
  <c r="J757" i="3"/>
  <c r="H757" i="3"/>
  <c r="G757" i="3"/>
  <c r="F757" i="3"/>
  <c r="J756" i="3"/>
  <c r="H756" i="3"/>
  <c r="G756" i="3"/>
  <c r="F756" i="3"/>
  <c r="J755" i="3"/>
  <c r="H755" i="3"/>
  <c r="G755" i="3"/>
  <c r="F755" i="3"/>
  <c r="J754" i="3"/>
  <c r="H754" i="3"/>
  <c r="G754" i="3"/>
  <c r="F754" i="3"/>
  <c r="J753" i="3"/>
  <c r="H753" i="3"/>
  <c r="G753" i="3"/>
  <c r="F753" i="3"/>
  <c r="J752" i="3"/>
  <c r="H752" i="3"/>
  <c r="G752" i="3"/>
  <c r="F752" i="3"/>
  <c r="J751" i="3"/>
  <c r="H751" i="3"/>
  <c r="G751" i="3"/>
  <c r="F751" i="3"/>
  <c r="J750" i="3"/>
  <c r="H750" i="3"/>
  <c r="G750" i="3"/>
  <c r="F750" i="3"/>
  <c r="J749" i="3"/>
  <c r="H749" i="3"/>
  <c r="G749" i="3"/>
  <c r="F749" i="3"/>
  <c r="J748" i="3"/>
  <c r="H748" i="3"/>
  <c r="G748" i="3"/>
  <c r="F748" i="3"/>
  <c r="J747" i="3"/>
  <c r="H747" i="3"/>
  <c r="G747" i="3"/>
  <c r="F747" i="3"/>
  <c r="J746" i="3"/>
  <c r="H746" i="3"/>
  <c r="G746" i="3"/>
  <c r="F746" i="3"/>
  <c r="J745" i="3"/>
  <c r="H745" i="3"/>
  <c r="G745" i="3"/>
  <c r="F745" i="3"/>
  <c r="J744" i="3"/>
  <c r="H744" i="3"/>
  <c r="G744" i="3"/>
  <c r="F744" i="3"/>
  <c r="J743" i="3"/>
  <c r="H743" i="3"/>
  <c r="G743" i="3"/>
  <c r="F743" i="3"/>
  <c r="J742" i="3"/>
  <c r="H742" i="3"/>
  <c r="G742" i="3"/>
  <c r="F742" i="3"/>
  <c r="J741" i="3"/>
  <c r="H741" i="3"/>
  <c r="G741" i="3"/>
  <c r="F741" i="3"/>
  <c r="J740" i="3"/>
  <c r="H740" i="3"/>
  <c r="G740" i="3"/>
  <c r="F740" i="3"/>
  <c r="J739" i="3"/>
  <c r="H739" i="3"/>
  <c r="G739" i="3"/>
  <c r="F739" i="3"/>
  <c r="J738" i="3"/>
  <c r="H738" i="3"/>
  <c r="G738" i="3"/>
  <c r="F738" i="3"/>
  <c r="J737" i="3"/>
  <c r="H737" i="3"/>
  <c r="G737" i="3"/>
  <c r="F737" i="3"/>
  <c r="J736" i="3"/>
  <c r="H736" i="3"/>
  <c r="G736" i="3"/>
  <c r="F736" i="3"/>
  <c r="J735" i="3"/>
  <c r="H735" i="3"/>
  <c r="G735" i="3"/>
  <c r="F735" i="3"/>
  <c r="J734" i="3"/>
  <c r="H734" i="3"/>
  <c r="G734" i="3"/>
  <c r="F734" i="3"/>
  <c r="J733" i="3"/>
  <c r="H733" i="3"/>
  <c r="G733" i="3"/>
  <c r="F733" i="3"/>
  <c r="J732" i="3"/>
  <c r="H732" i="3"/>
  <c r="G732" i="3"/>
  <c r="F732" i="3"/>
  <c r="J731" i="3"/>
  <c r="H731" i="3"/>
  <c r="G731" i="3"/>
  <c r="F731" i="3"/>
  <c r="J730" i="3"/>
  <c r="H730" i="3"/>
  <c r="G730" i="3"/>
  <c r="F730" i="3"/>
  <c r="J729" i="3"/>
  <c r="H729" i="3"/>
  <c r="G729" i="3"/>
  <c r="F729" i="3"/>
  <c r="J728" i="3"/>
  <c r="H728" i="3"/>
  <c r="G728" i="3"/>
  <c r="F728" i="3"/>
  <c r="J727" i="3"/>
  <c r="H727" i="3"/>
  <c r="G727" i="3"/>
  <c r="F727" i="3"/>
  <c r="J726" i="3"/>
  <c r="H726" i="3"/>
  <c r="G726" i="3"/>
  <c r="F726" i="3"/>
  <c r="J725" i="3"/>
  <c r="H725" i="3"/>
  <c r="G725" i="3"/>
  <c r="F725" i="3"/>
  <c r="J724" i="3"/>
  <c r="H724" i="3"/>
  <c r="G724" i="3"/>
  <c r="F724" i="3"/>
  <c r="J723" i="3"/>
  <c r="H723" i="3"/>
  <c r="G723" i="3"/>
  <c r="F723" i="3"/>
  <c r="J722" i="3"/>
  <c r="H722" i="3"/>
  <c r="G722" i="3"/>
  <c r="F722" i="3"/>
  <c r="J721" i="3"/>
  <c r="H721" i="3"/>
  <c r="G721" i="3"/>
  <c r="F721" i="3"/>
  <c r="J720" i="3"/>
  <c r="H720" i="3"/>
  <c r="G720" i="3"/>
  <c r="F720" i="3"/>
  <c r="J719" i="3"/>
  <c r="H719" i="3"/>
  <c r="G719" i="3"/>
  <c r="F719" i="3"/>
  <c r="J718" i="3"/>
  <c r="H718" i="3"/>
  <c r="G718" i="3"/>
  <c r="F718" i="3"/>
  <c r="J717" i="3"/>
  <c r="H717" i="3"/>
  <c r="G717" i="3"/>
  <c r="F717" i="3"/>
  <c r="J716" i="3"/>
  <c r="H716" i="3"/>
  <c r="G716" i="3"/>
  <c r="F716" i="3"/>
  <c r="J715" i="3"/>
  <c r="H715" i="3"/>
  <c r="G715" i="3"/>
  <c r="F715" i="3"/>
  <c r="J714" i="3"/>
  <c r="H714" i="3"/>
  <c r="G714" i="3"/>
  <c r="F714" i="3"/>
  <c r="J713" i="3"/>
  <c r="H713" i="3"/>
  <c r="G713" i="3"/>
  <c r="F713" i="3"/>
  <c r="J712" i="3"/>
  <c r="H712" i="3"/>
  <c r="G712" i="3"/>
  <c r="F712" i="3"/>
  <c r="J711" i="3"/>
  <c r="H711" i="3"/>
  <c r="G711" i="3"/>
  <c r="F711" i="3"/>
  <c r="J710" i="3"/>
  <c r="H710" i="3"/>
  <c r="G710" i="3"/>
  <c r="F710" i="3"/>
  <c r="J709" i="3"/>
  <c r="H709" i="3"/>
  <c r="G709" i="3"/>
  <c r="F709" i="3"/>
  <c r="J708" i="3"/>
  <c r="H708" i="3"/>
  <c r="G708" i="3"/>
  <c r="F708" i="3"/>
  <c r="J707" i="3"/>
  <c r="H707" i="3"/>
  <c r="G707" i="3"/>
  <c r="F707" i="3"/>
  <c r="J706" i="3"/>
  <c r="H706" i="3"/>
  <c r="G706" i="3"/>
  <c r="F706" i="3"/>
  <c r="J705" i="3"/>
  <c r="H705" i="3"/>
  <c r="G705" i="3"/>
  <c r="F705" i="3"/>
  <c r="J704" i="3"/>
  <c r="H704" i="3"/>
  <c r="G704" i="3"/>
  <c r="F704" i="3"/>
  <c r="J703" i="3"/>
  <c r="H703" i="3"/>
  <c r="G703" i="3"/>
  <c r="F703" i="3"/>
  <c r="J702" i="3"/>
  <c r="H702" i="3"/>
  <c r="G702" i="3"/>
  <c r="F702" i="3"/>
  <c r="J701" i="3"/>
  <c r="H701" i="3"/>
  <c r="G701" i="3"/>
  <c r="F701" i="3"/>
  <c r="J700" i="3"/>
  <c r="H700" i="3"/>
  <c r="G700" i="3"/>
  <c r="F700" i="3"/>
  <c r="J699" i="3"/>
  <c r="H699" i="3"/>
  <c r="G699" i="3"/>
  <c r="F699" i="3"/>
  <c r="J698" i="3"/>
  <c r="H698" i="3"/>
  <c r="G698" i="3"/>
  <c r="F698" i="3"/>
  <c r="J697" i="3"/>
  <c r="H697" i="3"/>
  <c r="G697" i="3"/>
  <c r="F697" i="3"/>
  <c r="J696" i="3"/>
  <c r="H696" i="3"/>
  <c r="G696" i="3"/>
  <c r="F696" i="3"/>
  <c r="J695" i="3"/>
  <c r="H695" i="3"/>
  <c r="G695" i="3"/>
  <c r="F695" i="3"/>
  <c r="J694" i="3"/>
  <c r="H694" i="3"/>
  <c r="G694" i="3"/>
  <c r="F694" i="3"/>
  <c r="J693" i="3"/>
  <c r="H693" i="3"/>
  <c r="G693" i="3"/>
  <c r="F693" i="3"/>
  <c r="J692" i="3"/>
  <c r="H692" i="3"/>
  <c r="G692" i="3"/>
  <c r="F692" i="3"/>
  <c r="J691" i="3"/>
  <c r="H691" i="3"/>
  <c r="G691" i="3"/>
  <c r="F691" i="3"/>
  <c r="J690" i="3"/>
  <c r="H690" i="3"/>
  <c r="G690" i="3"/>
  <c r="F690" i="3"/>
  <c r="J689" i="3"/>
  <c r="H689" i="3"/>
  <c r="G689" i="3"/>
  <c r="F689" i="3"/>
  <c r="J688" i="3"/>
  <c r="H688" i="3"/>
  <c r="G688" i="3"/>
  <c r="F688" i="3"/>
  <c r="J687" i="3"/>
  <c r="H687" i="3"/>
  <c r="G687" i="3"/>
  <c r="F687" i="3"/>
  <c r="J686" i="3"/>
  <c r="H686" i="3"/>
  <c r="G686" i="3"/>
  <c r="F686" i="3"/>
  <c r="J685" i="3"/>
  <c r="H685" i="3"/>
  <c r="G685" i="3"/>
  <c r="F685" i="3"/>
  <c r="J684" i="3"/>
  <c r="H684" i="3"/>
  <c r="G684" i="3"/>
  <c r="F684" i="3"/>
  <c r="J683" i="3"/>
  <c r="H683" i="3"/>
  <c r="G683" i="3"/>
  <c r="F683" i="3"/>
  <c r="J682" i="3"/>
  <c r="H682" i="3"/>
  <c r="G682" i="3"/>
  <c r="F682" i="3"/>
  <c r="J681" i="3"/>
  <c r="H681" i="3"/>
  <c r="G681" i="3"/>
  <c r="F681" i="3"/>
  <c r="J680" i="3"/>
  <c r="H680" i="3"/>
  <c r="G680" i="3"/>
  <c r="F680" i="3"/>
  <c r="J679" i="3"/>
  <c r="H679" i="3"/>
  <c r="G679" i="3"/>
  <c r="F679" i="3"/>
  <c r="J678" i="3"/>
  <c r="H678" i="3"/>
  <c r="G678" i="3"/>
  <c r="F678" i="3"/>
  <c r="J677" i="3"/>
  <c r="H677" i="3"/>
  <c r="G677" i="3"/>
  <c r="F677" i="3"/>
  <c r="J676" i="3"/>
  <c r="H676" i="3"/>
  <c r="G676" i="3"/>
  <c r="F676" i="3"/>
  <c r="J675" i="3"/>
  <c r="H675" i="3"/>
  <c r="G675" i="3"/>
  <c r="F675" i="3"/>
  <c r="J674" i="3"/>
  <c r="H674" i="3"/>
  <c r="G674" i="3"/>
  <c r="F674" i="3"/>
  <c r="J673" i="3"/>
  <c r="H673" i="3"/>
  <c r="G673" i="3"/>
  <c r="F673" i="3"/>
  <c r="J672" i="3"/>
  <c r="H672" i="3"/>
  <c r="G672" i="3"/>
  <c r="F672" i="3"/>
  <c r="J671" i="3"/>
  <c r="H671" i="3"/>
  <c r="G671" i="3"/>
  <c r="F671" i="3"/>
  <c r="J670" i="3"/>
  <c r="H670" i="3"/>
  <c r="G670" i="3"/>
  <c r="F670" i="3"/>
  <c r="J669" i="3"/>
  <c r="H669" i="3"/>
  <c r="G669" i="3"/>
  <c r="F669" i="3"/>
  <c r="J668" i="3"/>
  <c r="H668" i="3"/>
  <c r="G668" i="3"/>
  <c r="F668" i="3"/>
  <c r="J667" i="3"/>
  <c r="H667" i="3"/>
  <c r="G667" i="3"/>
  <c r="F667" i="3"/>
  <c r="J666" i="3"/>
  <c r="H666" i="3"/>
  <c r="G666" i="3"/>
  <c r="F666" i="3"/>
  <c r="J665" i="3"/>
  <c r="H665" i="3"/>
  <c r="G665" i="3"/>
  <c r="F665" i="3"/>
  <c r="J664" i="3"/>
  <c r="H664" i="3"/>
  <c r="G664" i="3"/>
  <c r="F664" i="3"/>
  <c r="J663" i="3"/>
  <c r="H663" i="3"/>
  <c r="G663" i="3"/>
  <c r="F663" i="3"/>
  <c r="J662" i="3"/>
  <c r="H662" i="3"/>
  <c r="G662" i="3"/>
  <c r="F662" i="3"/>
  <c r="J661" i="3"/>
  <c r="H661" i="3"/>
  <c r="G661" i="3"/>
  <c r="F661" i="3"/>
  <c r="J660" i="3"/>
  <c r="H660" i="3"/>
  <c r="G660" i="3"/>
  <c r="F660" i="3"/>
  <c r="J659" i="3"/>
  <c r="H659" i="3"/>
  <c r="G659" i="3"/>
  <c r="F659" i="3"/>
  <c r="J658" i="3"/>
  <c r="H658" i="3"/>
  <c r="G658" i="3"/>
  <c r="F658" i="3"/>
  <c r="J657" i="3"/>
  <c r="H657" i="3"/>
  <c r="G657" i="3"/>
  <c r="F657" i="3"/>
  <c r="J656" i="3"/>
  <c r="H656" i="3"/>
  <c r="G656" i="3"/>
  <c r="F656" i="3"/>
  <c r="J655" i="3"/>
  <c r="H655" i="3"/>
  <c r="G655" i="3"/>
  <c r="F655" i="3"/>
  <c r="J654" i="3"/>
  <c r="H654" i="3"/>
  <c r="G654" i="3"/>
  <c r="F654" i="3"/>
  <c r="J653" i="3"/>
  <c r="H653" i="3"/>
  <c r="G653" i="3"/>
  <c r="F653" i="3"/>
  <c r="J652" i="3"/>
  <c r="H652" i="3"/>
  <c r="G652" i="3"/>
  <c r="F652" i="3"/>
  <c r="J651" i="3"/>
  <c r="H651" i="3"/>
  <c r="G651" i="3"/>
  <c r="F651" i="3"/>
  <c r="J650" i="3"/>
  <c r="H650" i="3"/>
  <c r="G650" i="3"/>
  <c r="F650" i="3"/>
  <c r="J649" i="3"/>
  <c r="H649" i="3"/>
  <c r="G649" i="3"/>
  <c r="F649" i="3"/>
  <c r="J648" i="3"/>
  <c r="H648" i="3"/>
  <c r="G648" i="3"/>
  <c r="F648" i="3"/>
  <c r="J647" i="3"/>
  <c r="H647" i="3"/>
  <c r="G647" i="3"/>
  <c r="F647" i="3"/>
  <c r="J646" i="3"/>
  <c r="H646" i="3"/>
  <c r="G646" i="3"/>
  <c r="F646" i="3"/>
  <c r="J645" i="3"/>
  <c r="H645" i="3"/>
  <c r="G645" i="3"/>
  <c r="F645" i="3"/>
  <c r="J644" i="3"/>
  <c r="H644" i="3"/>
  <c r="G644" i="3"/>
  <c r="F644" i="3"/>
  <c r="J643" i="3"/>
  <c r="H643" i="3"/>
  <c r="G643" i="3"/>
  <c r="F643" i="3"/>
  <c r="J642" i="3"/>
  <c r="H642" i="3"/>
  <c r="G642" i="3"/>
  <c r="F642" i="3"/>
  <c r="J641" i="3"/>
  <c r="H641" i="3"/>
  <c r="G641" i="3"/>
  <c r="F641" i="3"/>
  <c r="J640" i="3"/>
  <c r="H640" i="3"/>
  <c r="G640" i="3"/>
  <c r="F640" i="3"/>
  <c r="J639" i="3"/>
  <c r="H639" i="3"/>
  <c r="G639" i="3"/>
  <c r="F639" i="3"/>
  <c r="J638" i="3"/>
  <c r="H638" i="3"/>
  <c r="G638" i="3"/>
  <c r="F638" i="3"/>
  <c r="J637" i="3"/>
  <c r="H637" i="3"/>
  <c r="G637" i="3"/>
  <c r="F637" i="3"/>
  <c r="J636" i="3"/>
  <c r="H636" i="3"/>
  <c r="G636" i="3"/>
  <c r="F636" i="3"/>
  <c r="J635" i="3"/>
  <c r="H635" i="3"/>
  <c r="G635" i="3"/>
  <c r="F635" i="3"/>
  <c r="J634" i="3"/>
  <c r="H634" i="3"/>
  <c r="G634" i="3"/>
  <c r="F634" i="3"/>
  <c r="J633" i="3"/>
  <c r="H633" i="3"/>
  <c r="G633" i="3"/>
  <c r="F633" i="3"/>
  <c r="J632" i="3"/>
  <c r="H632" i="3"/>
  <c r="G632" i="3"/>
  <c r="F632" i="3"/>
  <c r="J631" i="3"/>
  <c r="H631" i="3"/>
  <c r="G631" i="3"/>
  <c r="F631" i="3"/>
  <c r="J630" i="3"/>
  <c r="H630" i="3"/>
  <c r="G630" i="3"/>
  <c r="F630" i="3"/>
  <c r="J629" i="3"/>
  <c r="H629" i="3"/>
  <c r="G629" i="3"/>
  <c r="F629" i="3"/>
  <c r="J628" i="3"/>
  <c r="H628" i="3"/>
  <c r="G628" i="3"/>
  <c r="F628" i="3"/>
  <c r="J627" i="3"/>
  <c r="H627" i="3"/>
  <c r="G627" i="3"/>
  <c r="F627" i="3"/>
  <c r="J626" i="3"/>
  <c r="H626" i="3"/>
  <c r="G626" i="3"/>
  <c r="F626" i="3"/>
  <c r="J625" i="3"/>
  <c r="H625" i="3"/>
  <c r="G625" i="3"/>
  <c r="F625" i="3"/>
  <c r="J624" i="3"/>
  <c r="H624" i="3"/>
  <c r="G624" i="3"/>
  <c r="F624" i="3"/>
  <c r="J623" i="3"/>
  <c r="H623" i="3"/>
  <c r="G623" i="3"/>
  <c r="F623" i="3"/>
  <c r="J622" i="3"/>
  <c r="H622" i="3"/>
  <c r="G622" i="3"/>
  <c r="F622" i="3"/>
  <c r="J621" i="3"/>
  <c r="H621" i="3"/>
  <c r="G621" i="3"/>
  <c r="F621" i="3"/>
  <c r="J620" i="3"/>
  <c r="H620" i="3"/>
  <c r="G620" i="3"/>
  <c r="F620" i="3"/>
  <c r="J619" i="3"/>
  <c r="H619" i="3"/>
  <c r="G619" i="3"/>
  <c r="F619" i="3"/>
  <c r="J618" i="3"/>
  <c r="H618" i="3"/>
  <c r="G618" i="3"/>
  <c r="F618" i="3"/>
  <c r="J617" i="3"/>
  <c r="H617" i="3"/>
  <c r="G617" i="3"/>
  <c r="F617" i="3"/>
  <c r="J616" i="3"/>
  <c r="H616" i="3"/>
  <c r="G616" i="3"/>
  <c r="F616" i="3"/>
  <c r="J615" i="3"/>
  <c r="H615" i="3"/>
  <c r="G615" i="3"/>
  <c r="F615" i="3"/>
  <c r="J614" i="3"/>
  <c r="H614" i="3"/>
  <c r="G614" i="3"/>
  <c r="F614" i="3"/>
  <c r="J613" i="3"/>
  <c r="H613" i="3"/>
  <c r="G613" i="3"/>
  <c r="F613" i="3"/>
  <c r="J612" i="3"/>
  <c r="H612" i="3"/>
  <c r="G612" i="3"/>
  <c r="F612" i="3"/>
  <c r="J611" i="3"/>
  <c r="H611" i="3"/>
  <c r="G611" i="3"/>
  <c r="F611" i="3"/>
  <c r="J610" i="3"/>
  <c r="H610" i="3"/>
  <c r="G610" i="3"/>
  <c r="F610" i="3"/>
  <c r="J609" i="3"/>
  <c r="H609" i="3"/>
  <c r="G609" i="3"/>
  <c r="F609" i="3"/>
  <c r="J608" i="3"/>
  <c r="H608" i="3"/>
  <c r="G608" i="3"/>
  <c r="F608" i="3"/>
  <c r="J607" i="3"/>
  <c r="H607" i="3"/>
  <c r="G607" i="3"/>
  <c r="F607" i="3"/>
  <c r="J606" i="3"/>
  <c r="H606" i="3"/>
  <c r="G606" i="3"/>
  <c r="F606" i="3"/>
  <c r="J605" i="3"/>
  <c r="H605" i="3"/>
  <c r="G605" i="3"/>
  <c r="F605" i="3"/>
  <c r="J604" i="3"/>
  <c r="H604" i="3"/>
  <c r="G604" i="3"/>
  <c r="F604" i="3"/>
  <c r="J603" i="3"/>
  <c r="H603" i="3"/>
  <c r="G603" i="3"/>
  <c r="F603" i="3"/>
  <c r="J602" i="3"/>
  <c r="H602" i="3"/>
  <c r="G602" i="3"/>
  <c r="F602" i="3"/>
  <c r="J601" i="3"/>
  <c r="H601" i="3"/>
  <c r="G601" i="3"/>
  <c r="F601" i="3"/>
  <c r="J600" i="3"/>
  <c r="H600" i="3"/>
  <c r="G600" i="3"/>
  <c r="F600" i="3"/>
  <c r="J599" i="3"/>
  <c r="H599" i="3"/>
  <c r="G599" i="3"/>
  <c r="F599" i="3"/>
  <c r="J598" i="3"/>
  <c r="H598" i="3"/>
  <c r="G598" i="3"/>
  <c r="F598" i="3"/>
  <c r="J597" i="3"/>
  <c r="H597" i="3"/>
  <c r="G597" i="3"/>
  <c r="F597" i="3"/>
  <c r="J596" i="3"/>
  <c r="H596" i="3"/>
  <c r="G596" i="3"/>
  <c r="F596" i="3"/>
  <c r="J595" i="3"/>
  <c r="H595" i="3"/>
  <c r="G595" i="3"/>
  <c r="F595" i="3"/>
  <c r="J594" i="3"/>
  <c r="H594" i="3"/>
  <c r="G594" i="3"/>
  <c r="F594" i="3"/>
  <c r="J593" i="3"/>
  <c r="H593" i="3"/>
  <c r="G593" i="3"/>
  <c r="F593" i="3"/>
  <c r="J592" i="3"/>
  <c r="H592" i="3"/>
  <c r="G592" i="3"/>
  <c r="F592" i="3"/>
  <c r="J591" i="3"/>
  <c r="H591" i="3"/>
  <c r="G591" i="3"/>
  <c r="F591" i="3"/>
  <c r="J590" i="3"/>
  <c r="H590" i="3"/>
  <c r="G590" i="3"/>
  <c r="F590" i="3"/>
  <c r="J589" i="3"/>
  <c r="H589" i="3"/>
  <c r="G589" i="3"/>
  <c r="F589" i="3"/>
  <c r="J588" i="3"/>
  <c r="H588" i="3"/>
  <c r="G588" i="3"/>
  <c r="F588" i="3"/>
  <c r="J587" i="3"/>
  <c r="H587" i="3"/>
  <c r="G587" i="3"/>
  <c r="F587" i="3"/>
  <c r="J586" i="3"/>
  <c r="H586" i="3"/>
  <c r="G586" i="3"/>
  <c r="F586" i="3"/>
  <c r="J585" i="3"/>
  <c r="H585" i="3"/>
  <c r="G585" i="3"/>
  <c r="F585" i="3"/>
  <c r="J584" i="3"/>
  <c r="H584" i="3"/>
  <c r="G584" i="3"/>
  <c r="F584" i="3"/>
  <c r="J583" i="3"/>
  <c r="H583" i="3"/>
  <c r="G583" i="3"/>
  <c r="F583" i="3"/>
  <c r="J582" i="3"/>
  <c r="H582" i="3"/>
  <c r="G582" i="3"/>
  <c r="F582" i="3"/>
  <c r="J581" i="3"/>
  <c r="H581" i="3"/>
  <c r="G581" i="3"/>
  <c r="F581" i="3"/>
  <c r="J580" i="3"/>
  <c r="H580" i="3"/>
  <c r="G580" i="3"/>
  <c r="F580" i="3"/>
  <c r="J579" i="3"/>
  <c r="H579" i="3"/>
  <c r="G579" i="3"/>
  <c r="F579" i="3"/>
  <c r="J578" i="3"/>
  <c r="H578" i="3"/>
  <c r="G578" i="3"/>
  <c r="F578" i="3"/>
  <c r="J577" i="3"/>
  <c r="H577" i="3"/>
  <c r="G577" i="3"/>
  <c r="F577" i="3"/>
  <c r="J576" i="3"/>
  <c r="H576" i="3"/>
  <c r="G576" i="3"/>
  <c r="F576" i="3"/>
  <c r="J575" i="3"/>
  <c r="H575" i="3"/>
  <c r="G575" i="3"/>
  <c r="F575" i="3"/>
  <c r="J574" i="3"/>
  <c r="H574" i="3"/>
  <c r="G574" i="3"/>
  <c r="F574" i="3"/>
  <c r="J573" i="3"/>
  <c r="H573" i="3"/>
  <c r="G573" i="3"/>
  <c r="F573" i="3"/>
  <c r="J572" i="3"/>
  <c r="H572" i="3"/>
  <c r="G572" i="3"/>
  <c r="F572" i="3"/>
  <c r="J571" i="3"/>
  <c r="H571" i="3"/>
  <c r="G571" i="3"/>
  <c r="F571" i="3"/>
  <c r="J570" i="3"/>
  <c r="H570" i="3"/>
  <c r="G570" i="3"/>
  <c r="F570" i="3"/>
  <c r="J569" i="3"/>
  <c r="H569" i="3"/>
  <c r="G569" i="3"/>
  <c r="F569" i="3"/>
  <c r="J568" i="3"/>
  <c r="H568" i="3"/>
  <c r="G568" i="3"/>
  <c r="F568" i="3"/>
  <c r="J567" i="3"/>
  <c r="H567" i="3"/>
  <c r="G567" i="3"/>
  <c r="F567" i="3"/>
  <c r="J566" i="3"/>
  <c r="H566" i="3"/>
  <c r="G566" i="3"/>
  <c r="F566" i="3"/>
  <c r="J565" i="3"/>
  <c r="H565" i="3"/>
  <c r="G565" i="3"/>
  <c r="F565" i="3"/>
  <c r="J564" i="3"/>
  <c r="H564" i="3"/>
  <c r="G564" i="3"/>
  <c r="F564" i="3"/>
  <c r="J563" i="3"/>
  <c r="H563" i="3"/>
  <c r="G563" i="3"/>
  <c r="F563" i="3"/>
  <c r="J562" i="3"/>
  <c r="H562" i="3"/>
  <c r="G562" i="3"/>
  <c r="F562" i="3"/>
  <c r="J561" i="3"/>
  <c r="H561" i="3"/>
  <c r="G561" i="3"/>
  <c r="F561" i="3"/>
  <c r="J560" i="3"/>
  <c r="H560" i="3"/>
  <c r="G560" i="3"/>
  <c r="F560" i="3"/>
  <c r="J559" i="3"/>
  <c r="H559" i="3"/>
  <c r="G559" i="3"/>
  <c r="F559" i="3"/>
  <c r="J558" i="3"/>
  <c r="H558" i="3"/>
  <c r="G558" i="3"/>
  <c r="F558" i="3"/>
  <c r="J557" i="3"/>
  <c r="H557" i="3"/>
  <c r="G557" i="3"/>
  <c r="F557" i="3"/>
  <c r="J556" i="3"/>
  <c r="H556" i="3"/>
  <c r="G556" i="3"/>
  <c r="F556" i="3"/>
  <c r="J555" i="3"/>
  <c r="H555" i="3"/>
  <c r="G555" i="3"/>
  <c r="F555" i="3"/>
  <c r="J554" i="3"/>
  <c r="H554" i="3"/>
  <c r="G554" i="3"/>
  <c r="F554" i="3"/>
  <c r="J553" i="3"/>
  <c r="H553" i="3"/>
  <c r="G553" i="3"/>
  <c r="F553" i="3"/>
  <c r="J552" i="3"/>
  <c r="H552" i="3"/>
  <c r="G552" i="3"/>
  <c r="F552" i="3"/>
  <c r="J551" i="3"/>
  <c r="H551" i="3"/>
  <c r="G551" i="3"/>
  <c r="F551" i="3"/>
  <c r="J550" i="3"/>
  <c r="H550" i="3"/>
  <c r="G550" i="3"/>
  <c r="F550" i="3"/>
  <c r="J549" i="3"/>
  <c r="H549" i="3"/>
  <c r="G549" i="3"/>
  <c r="F549" i="3"/>
  <c r="J548" i="3"/>
  <c r="H548" i="3"/>
  <c r="G548" i="3"/>
  <c r="F548" i="3"/>
  <c r="J547" i="3"/>
  <c r="H547" i="3"/>
  <c r="G547" i="3"/>
  <c r="F547" i="3"/>
  <c r="J546" i="3"/>
  <c r="H546" i="3"/>
  <c r="G546" i="3"/>
  <c r="F546" i="3"/>
  <c r="J545" i="3"/>
  <c r="H545" i="3"/>
  <c r="G545" i="3"/>
  <c r="F545" i="3"/>
  <c r="J544" i="3"/>
  <c r="H544" i="3"/>
  <c r="G544" i="3"/>
  <c r="F544" i="3"/>
  <c r="J543" i="3"/>
  <c r="H543" i="3"/>
  <c r="G543" i="3"/>
  <c r="F543" i="3"/>
  <c r="J542" i="3"/>
  <c r="H542" i="3"/>
  <c r="G542" i="3"/>
  <c r="F542" i="3"/>
  <c r="J541" i="3"/>
  <c r="H541" i="3"/>
  <c r="G541" i="3"/>
  <c r="F541" i="3"/>
  <c r="J540" i="3"/>
  <c r="H540" i="3"/>
  <c r="G540" i="3"/>
  <c r="F540" i="3"/>
  <c r="J539" i="3"/>
  <c r="H539" i="3"/>
  <c r="G539" i="3"/>
  <c r="F539" i="3"/>
  <c r="J538" i="3"/>
  <c r="H538" i="3"/>
  <c r="G538" i="3"/>
  <c r="F538" i="3"/>
  <c r="J537" i="3"/>
  <c r="H537" i="3"/>
  <c r="G537" i="3"/>
  <c r="F537" i="3"/>
  <c r="J536" i="3"/>
  <c r="H536" i="3"/>
  <c r="G536" i="3"/>
  <c r="F536" i="3"/>
  <c r="J535" i="3"/>
  <c r="H535" i="3"/>
  <c r="G535" i="3"/>
  <c r="F535" i="3"/>
  <c r="J534" i="3"/>
  <c r="H534" i="3"/>
  <c r="G534" i="3"/>
  <c r="F534" i="3"/>
  <c r="J533" i="3"/>
  <c r="H533" i="3"/>
  <c r="G533" i="3"/>
  <c r="F533" i="3"/>
  <c r="J532" i="3"/>
  <c r="H532" i="3"/>
  <c r="G532" i="3"/>
  <c r="F532" i="3"/>
  <c r="J531" i="3"/>
  <c r="H531" i="3"/>
  <c r="G531" i="3"/>
  <c r="F531" i="3"/>
  <c r="J530" i="3"/>
  <c r="H530" i="3"/>
  <c r="G530" i="3"/>
  <c r="F530" i="3"/>
  <c r="J529" i="3"/>
  <c r="H529" i="3"/>
  <c r="G529" i="3"/>
  <c r="F529" i="3"/>
  <c r="J528" i="3"/>
  <c r="H528" i="3"/>
  <c r="G528" i="3"/>
  <c r="F528" i="3"/>
  <c r="J527" i="3"/>
  <c r="H527" i="3"/>
  <c r="G527" i="3"/>
  <c r="F527" i="3"/>
  <c r="J526" i="3"/>
  <c r="H526" i="3"/>
  <c r="G526" i="3"/>
  <c r="F526" i="3"/>
  <c r="J525" i="3"/>
  <c r="H525" i="3"/>
  <c r="G525" i="3"/>
  <c r="F525" i="3"/>
  <c r="J524" i="3"/>
  <c r="H524" i="3"/>
  <c r="G524" i="3"/>
  <c r="F524" i="3"/>
  <c r="J523" i="3"/>
  <c r="H523" i="3"/>
  <c r="G523" i="3"/>
  <c r="F523" i="3"/>
  <c r="J522" i="3"/>
  <c r="H522" i="3"/>
  <c r="G522" i="3"/>
  <c r="F522" i="3"/>
  <c r="J521" i="3"/>
  <c r="H521" i="3"/>
  <c r="G521" i="3"/>
  <c r="F521" i="3"/>
  <c r="J520" i="3"/>
  <c r="H520" i="3"/>
  <c r="G520" i="3"/>
  <c r="F520" i="3"/>
  <c r="J519" i="3"/>
  <c r="H519" i="3"/>
  <c r="G519" i="3"/>
  <c r="F519" i="3"/>
  <c r="J518" i="3"/>
  <c r="H518" i="3"/>
  <c r="G518" i="3"/>
  <c r="F518" i="3"/>
  <c r="J517" i="3"/>
  <c r="H517" i="3"/>
  <c r="G517" i="3"/>
  <c r="F517" i="3"/>
  <c r="J516" i="3"/>
  <c r="H516" i="3"/>
  <c r="G516" i="3"/>
  <c r="F516" i="3"/>
  <c r="J515" i="3"/>
  <c r="H515" i="3"/>
  <c r="G515" i="3"/>
  <c r="F515" i="3"/>
  <c r="J514" i="3"/>
  <c r="H514" i="3"/>
  <c r="G514" i="3"/>
  <c r="F514" i="3"/>
  <c r="J513" i="3"/>
  <c r="H513" i="3"/>
  <c r="G513" i="3"/>
  <c r="F513" i="3"/>
  <c r="J512" i="3"/>
  <c r="H512" i="3"/>
  <c r="G512" i="3"/>
  <c r="F512" i="3"/>
  <c r="J511" i="3"/>
  <c r="H511" i="3"/>
  <c r="G511" i="3"/>
  <c r="F511" i="3"/>
  <c r="J510" i="3"/>
  <c r="H510" i="3"/>
  <c r="G510" i="3"/>
  <c r="F510" i="3"/>
  <c r="J509" i="3"/>
  <c r="H509" i="3"/>
  <c r="G509" i="3"/>
  <c r="F509" i="3"/>
  <c r="J508" i="3"/>
  <c r="H508" i="3"/>
  <c r="G508" i="3"/>
  <c r="F508" i="3"/>
  <c r="J507" i="3"/>
  <c r="H507" i="3"/>
  <c r="G507" i="3"/>
  <c r="F507" i="3"/>
  <c r="J506" i="3"/>
  <c r="H506" i="3"/>
  <c r="G506" i="3"/>
  <c r="F506" i="3"/>
  <c r="J505" i="3"/>
  <c r="H505" i="3"/>
  <c r="G505" i="3"/>
  <c r="F505" i="3"/>
  <c r="J504" i="3"/>
  <c r="H504" i="3"/>
  <c r="G504" i="3"/>
  <c r="F504" i="3"/>
  <c r="J503" i="3"/>
  <c r="H503" i="3"/>
  <c r="G503" i="3"/>
  <c r="F503" i="3"/>
  <c r="J502" i="3"/>
  <c r="H502" i="3"/>
  <c r="G502" i="3"/>
  <c r="F502" i="3"/>
  <c r="J501" i="3"/>
  <c r="H501" i="3"/>
  <c r="G501" i="3"/>
  <c r="F501" i="3"/>
  <c r="J500" i="3"/>
  <c r="H500" i="3"/>
  <c r="G500" i="3"/>
  <c r="F500" i="3"/>
  <c r="J499" i="3"/>
  <c r="H499" i="3"/>
  <c r="G499" i="3"/>
  <c r="F499" i="3"/>
  <c r="J498" i="3"/>
  <c r="H498" i="3"/>
  <c r="G498" i="3"/>
  <c r="F498" i="3"/>
  <c r="J497" i="3"/>
  <c r="H497" i="3"/>
  <c r="G497" i="3"/>
  <c r="F497" i="3"/>
  <c r="J496" i="3"/>
  <c r="H496" i="3"/>
  <c r="G496" i="3"/>
  <c r="F496" i="3"/>
  <c r="J495" i="3"/>
  <c r="H495" i="3"/>
  <c r="G495" i="3"/>
  <c r="F495" i="3"/>
  <c r="J494" i="3"/>
  <c r="H494" i="3"/>
  <c r="G494" i="3"/>
  <c r="F494" i="3"/>
  <c r="J493" i="3"/>
  <c r="H493" i="3"/>
  <c r="G493" i="3"/>
  <c r="F493" i="3"/>
  <c r="J492" i="3"/>
  <c r="H492" i="3"/>
  <c r="G492" i="3"/>
  <c r="F492" i="3"/>
  <c r="J491" i="3"/>
  <c r="H491" i="3"/>
  <c r="G491" i="3"/>
  <c r="F491" i="3"/>
  <c r="J490" i="3"/>
  <c r="H490" i="3"/>
  <c r="G490" i="3"/>
  <c r="F490" i="3"/>
  <c r="J489" i="3"/>
  <c r="H489" i="3"/>
  <c r="G489" i="3"/>
  <c r="F489" i="3"/>
  <c r="J488" i="3"/>
  <c r="H488" i="3"/>
  <c r="G488" i="3"/>
  <c r="F488" i="3"/>
  <c r="J487" i="3"/>
  <c r="H487" i="3"/>
  <c r="G487" i="3"/>
  <c r="F487" i="3"/>
  <c r="J486" i="3"/>
  <c r="H486" i="3"/>
  <c r="G486" i="3"/>
  <c r="F486" i="3"/>
  <c r="J485" i="3"/>
  <c r="H485" i="3"/>
  <c r="G485" i="3"/>
  <c r="F485" i="3"/>
  <c r="J484" i="3"/>
  <c r="H484" i="3"/>
  <c r="G484" i="3"/>
  <c r="F484" i="3"/>
  <c r="J483" i="3"/>
  <c r="H483" i="3"/>
  <c r="G483" i="3"/>
  <c r="F483" i="3"/>
  <c r="J482" i="3"/>
  <c r="H482" i="3"/>
  <c r="G482" i="3"/>
  <c r="F482" i="3"/>
  <c r="J481" i="3"/>
  <c r="H481" i="3"/>
  <c r="G481" i="3"/>
  <c r="F481" i="3"/>
  <c r="J480" i="3"/>
  <c r="H480" i="3"/>
  <c r="G480" i="3"/>
  <c r="F480" i="3"/>
  <c r="J479" i="3"/>
  <c r="H479" i="3"/>
  <c r="G479" i="3"/>
  <c r="F479" i="3"/>
  <c r="J478" i="3"/>
  <c r="H478" i="3"/>
  <c r="G478" i="3"/>
  <c r="F478" i="3"/>
  <c r="J477" i="3"/>
  <c r="H477" i="3"/>
  <c r="G477" i="3"/>
  <c r="F477" i="3"/>
  <c r="J476" i="3"/>
  <c r="H476" i="3"/>
  <c r="G476" i="3"/>
  <c r="F476" i="3"/>
  <c r="J475" i="3"/>
  <c r="H475" i="3"/>
  <c r="G475" i="3"/>
  <c r="F475" i="3"/>
  <c r="J474" i="3"/>
  <c r="H474" i="3"/>
  <c r="G474" i="3"/>
  <c r="F474" i="3"/>
  <c r="J473" i="3"/>
  <c r="H473" i="3"/>
  <c r="G473" i="3"/>
  <c r="F473" i="3"/>
  <c r="J472" i="3"/>
  <c r="H472" i="3"/>
  <c r="G472" i="3"/>
  <c r="F472" i="3"/>
  <c r="J471" i="3"/>
  <c r="H471" i="3"/>
  <c r="G471" i="3"/>
  <c r="F471" i="3"/>
  <c r="J470" i="3"/>
  <c r="H470" i="3"/>
  <c r="G470" i="3"/>
  <c r="F470" i="3"/>
  <c r="J469" i="3"/>
  <c r="H469" i="3"/>
  <c r="G469" i="3"/>
  <c r="F469" i="3"/>
  <c r="J468" i="3"/>
  <c r="H468" i="3"/>
  <c r="G468" i="3"/>
  <c r="F468" i="3"/>
  <c r="J467" i="3"/>
  <c r="H467" i="3"/>
  <c r="G467" i="3"/>
  <c r="F467" i="3"/>
  <c r="J466" i="3"/>
  <c r="H466" i="3"/>
  <c r="G466" i="3"/>
  <c r="F466" i="3"/>
  <c r="J465" i="3"/>
  <c r="H465" i="3"/>
  <c r="G465" i="3"/>
  <c r="F465" i="3"/>
  <c r="J464" i="3"/>
  <c r="H464" i="3"/>
  <c r="G464" i="3"/>
  <c r="F464" i="3"/>
  <c r="J463" i="3"/>
  <c r="H463" i="3"/>
  <c r="G463" i="3"/>
  <c r="F463" i="3"/>
  <c r="J462" i="3"/>
  <c r="H462" i="3"/>
  <c r="G462" i="3"/>
  <c r="F462" i="3"/>
  <c r="J461" i="3"/>
  <c r="H461" i="3"/>
  <c r="G461" i="3"/>
  <c r="F461" i="3"/>
  <c r="J460" i="3"/>
  <c r="H460" i="3"/>
  <c r="G460" i="3"/>
  <c r="F460" i="3"/>
  <c r="J459" i="3"/>
  <c r="H459" i="3"/>
  <c r="G459" i="3"/>
  <c r="F459" i="3"/>
  <c r="J458" i="3"/>
  <c r="H458" i="3"/>
  <c r="G458" i="3"/>
  <c r="F458" i="3"/>
  <c r="J457" i="3"/>
  <c r="H457" i="3"/>
  <c r="G457" i="3"/>
  <c r="F457" i="3"/>
  <c r="J456" i="3"/>
  <c r="H456" i="3"/>
  <c r="G456" i="3"/>
  <c r="F456" i="3"/>
  <c r="J455" i="3"/>
  <c r="H455" i="3"/>
  <c r="G455" i="3"/>
  <c r="F455" i="3"/>
  <c r="J454" i="3"/>
  <c r="H454" i="3"/>
  <c r="G454" i="3"/>
  <c r="F454" i="3"/>
  <c r="J453" i="3"/>
  <c r="H453" i="3"/>
  <c r="G453" i="3"/>
  <c r="F453" i="3"/>
  <c r="J452" i="3"/>
  <c r="H452" i="3"/>
  <c r="G452" i="3"/>
  <c r="F452" i="3"/>
  <c r="J451" i="3"/>
  <c r="H451" i="3"/>
  <c r="G451" i="3"/>
  <c r="F451" i="3"/>
  <c r="J450" i="3"/>
  <c r="H450" i="3"/>
  <c r="G450" i="3"/>
  <c r="F450" i="3"/>
  <c r="J449" i="3"/>
  <c r="H449" i="3"/>
  <c r="G449" i="3"/>
  <c r="F449" i="3"/>
  <c r="J448" i="3"/>
  <c r="H448" i="3"/>
  <c r="G448" i="3"/>
  <c r="F448" i="3"/>
  <c r="J447" i="3"/>
  <c r="H447" i="3"/>
  <c r="G447" i="3"/>
  <c r="F447" i="3"/>
  <c r="J446" i="3"/>
  <c r="H446" i="3"/>
  <c r="G446" i="3"/>
  <c r="F446" i="3"/>
  <c r="J445" i="3"/>
  <c r="H445" i="3"/>
  <c r="G445" i="3"/>
  <c r="F445" i="3"/>
  <c r="J444" i="3"/>
  <c r="H444" i="3"/>
  <c r="G444" i="3"/>
  <c r="F444" i="3"/>
  <c r="J443" i="3"/>
  <c r="H443" i="3"/>
  <c r="G443" i="3"/>
  <c r="F443" i="3"/>
  <c r="J442" i="3"/>
  <c r="H442" i="3"/>
  <c r="G442" i="3"/>
  <c r="F442" i="3"/>
  <c r="J441" i="3"/>
  <c r="H441" i="3"/>
  <c r="G441" i="3"/>
  <c r="F441" i="3"/>
  <c r="J440" i="3"/>
  <c r="H440" i="3"/>
  <c r="G440" i="3"/>
  <c r="F440" i="3"/>
  <c r="J439" i="3"/>
  <c r="H439" i="3"/>
  <c r="G439" i="3"/>
  <c r="F439" i="3"/>
  <c r="J438" i="3"/>
  <c r="H438" i="3"/>
  <c r="G438" i="3"/>
  <c r="F438" i="3"/>
  <c r="J437" i="3"/>
  <c r="H437" i="3"/>
  <c r="G437" i="3"/>
  <c r="F437" i="3"/>
  <c r="J436" i="3"/>
  <c r="H436" i="3"/>
  <c r="G436" i="3"/>
  <c r="F436" i="3"/>
  <c r="J435" i="3"/>
  <c r="H435" i="3"/>
  <c r="G435" i="3"/>
  <c r="F435" i="3"/>
  <c r="J434" i="3"/>
  <c r="H434" i="3"/>
  <c r="G434" i="3"/>
  <c r="F434" i="3"/>
  <c r="J433" i="3"/>
  <c r="H433" i="3"/>
  <c r="G433" i="3"/>
  <c r="F433" i="3"/>
  <c r="J432" i="3"/>
  <c r="H432" i="3"/>
  <c r="G432" i="3"/>
  <c r="F432" i="3"/>
  <c r="J431" i="3"/>
  <c r="H431" i="3"/>
  <c r="G431" i="3"/>
  <c r="F431" i="3"/>
  <c r="J430" i="3"/>
  <c r="H430" i="3"/>
  <c r="G430" i="3"/>
  <c r="F430" i="3"/>
  <c r="J429" i="3"/>
  <c r="H429" i="3"/>
  <c r="G429" i="3"/>
  <c r="F429" i="3"/>
  <c r="J428" i="3"/>
  <c r="H428" i="3"/>
  <c r="G428" i="3"/>
  <c r="F428" i="3"/>
  <c r="J427" i="3"/>
  <c r="H427" i="3"/>
  <c r="G427" i="3"/>
  <c r="F427" i="3"/>
  <c r="J426" i="3"/>
  <c r="H426" i="3"/>
  <c r="G426" i="3"/>
  <c r="F426" i="3"/>
  <c r="J425" i="3"/>
  <c r="H425" i="3"/>
  <c r="G425" i="3"/>
  <c r="F425" i="3"/>
  <c r="J424" i="3"/>
  <c r="H424" i="3"/>
  <c r="G424" i="3"/>
  <c r="F424" i="3"/>
  <c r="J423" i="3"/>
  <c r="H423" i="3"/>
  <c r="G423" i="3"/>
  <c r="F423" i="3"/>
  <c r="J422" i="3"/>
  <c r="H422" i="3"/>
  <c r="G422" i="3"/>
  <c r="F422" i="3"/>
  <c r="J421" i="3"/>
  <c r="H421" i="3"/>
  <c r="G421" i="3"/>
  <c r="F421" i="3"/>
  <c r="J420" i="3"/>
  <c r="H420" i="3"/>
  <c r="G420" i="3"/>
  <c r="F420" i="3"/>
  <c r="J419" i="3"/>
  <c r="H419" i="3"/>
  <c r="G419" i="3"/>
  <c r="F419" i="3"/>
  <c r="J418" i="3"/>
  <c r="H418" i="3"/>
  <c r="G418" i="3"/>
  <c r="F418" i="3"/>
  <c r="J417" i="3"/>
  <c r="H417" i="3"/>
  <c r="G417" i="3"/>
  <c r="F417" i="3"/>
  <c r="J416" i="3"/>
  <c r="H416" i="3"/>
  <c r="G416" i="3"/>
  <c r="F416" i="3"/>
  <c r="J415" i="3"/>
  <c r="H415" i="3"/>
  <c r="G415" i="3"/>
  <c r="F415" i="3"/>
  <c r="J414" i="3"/>
  <c r="H414" i="3"/>
  <c r="G414" i="3"/>
  <c r="F414" i="3"/>
  <c r="J413" i="3"/>
  <c r="H413" i="3"/>
  <c r="G413" i="3"/>
  <c r="F413" i="3"/>
  <c r="J412" i="3"/>
  <c r="H412" i="3"/>
  <c r="G412" i="3"/>
  <c r="F412" i="3"/>
  <c r="J411" i="3"/>
  <c r="H411" i="3"/>
  <c r="G411" i="3"/>
  <c r="F411" i="3"/>
  <c r="J410" i="3"/>
  <c r="H410" i="3"/>
  <c r="G410" i="3"/>
  <c r="F410" i="3"/>
  <c r="J409" i="3"/>
  <c r="H409" i="3"/>
  <c r="G409" i="3"/>
  <c r="F409" i="3"/>
  <c r="J408" i="3"/>
  <c r="H408" i="3"/>
  <c r="G408" i="3"/>
  <c r="F408" i="3"/>
  <c r="J407" i="3"/>
  <c r="H407" i="3"/>
  <c r="G407" i="3"/>
  <c r="F407" i="3"/>
  <c r="J406" i="3"/>
  <c r="H406" i="3"/>
  <c r="G406" i="3"/>
  <c r="F406" i="3"/>
  <c r="J405" i="3"/>
  <c r="H405" i="3"/>
  <c r="G405" i="3"/>
  <c r="F405" i="3"/>
  <c r="J404" i="3"/>
  <c r="H404" i="3"/>
  <c r="G404" i="3"/>
  <c r="F404" i="3"/>
  <c r="J403" i="3"/>
  <c r="H403" i="3"/>
  <c r="G403" i="3"/>
  <c r="F403" i="3"/>
  <c r="G402" i="3"/>
  <c r="F402" i="3"/>
  <c r="G401" i="3"/>
  <c r="F401" i="3"/>
  <c r="G400" i="3"/>
  <c r="F400" i="3"/>
  <c r="G399" i="3"/>
  <c r="F399" i="3"/>
  <c r="G398" i="3"/>
  <c r="F398" i="3"/>
  <c r="G397" i="3"/>
  <c r="F397" i="3"/>
  <c r="G396" i="3"/>
  <c r="F396" i="3"/>
  <c r="G395" i="3"/>
  <c r="F395" i="3"/>
  <c r="G394" i="3"/>
  <c r="F394" i="3"/>
  <c r="G393" i="3"/>
  <c r="F393" i="3"/>
  <c r="G392" i="3"/>
  <c r="F392" i="3"/>
  <c r="G391" i="3"/>
  <c r="F391" i="3"/>
  <c r="G390" i="3"/>
  <c r="F390" i="3"/>
  <c r="G389" i="3"/>
  <c r="F389" i="3"/>
  <c r="G388" i="3"/>
  <c r="F388" i="3"/>
  <c r="G387" i="3"/>
  <c r="F387" i="3"/>
  <c r="G386" i="3"/>
  <c r="F386" i="3"/>
  <c r="G385" i="3"/>
  <c r="F385" i="3"/>
  <c r="G384" i="3"/>
  <c r="F384" i="3"/>
  <c r="G383" i="3"/>
  <c r="F383" i="3"/>
  <c r="G382" i="3"/>
  <c r="F382" i="3"/>
  <c r="G381" i="3"/>
  <c r="F381" i="3"/>
  <c r="G380" i="3"/>
  <c r="F380" i="3"/>
  <c r="G379" i="3"/>
  <c r="F379" i="3"/>
  <c r="G378" i="3"/>
  <c r="F378" i="3"/>
  <c r="G377" i="3"/>
  <c r="F377" i="3"/>
  <c r="G376" i="3"/>
  <c r="F376" i="3"/>
  <c r="G375" i="3"/>
  <c r="F375" i="3"/>
  <c r="G374" i="3"/>
  <c r="F374" i="3"/>
  <c r="G373" i="3"/>
  <c r="F373" i="3"/>
  <c r="G372" i="3"/>
  <c r="F372" i="3"/>
  <c r="G371" i="3"/>
  <c r="F371" i="3"/>
  <c r="G370" i="3"/>
  <c r="F370" i="3"/>
  <c r="G369" i="3"/>
  <c r="F369" i="3"/>
  <c r="G368" i="3"/>
  <c r="F368" i="3"/>
  <c r="G367" i="3"/>
  <c r="F367" i="3"/>
  <c r="G366" i="3"/>
  <c r="F366" i="3"/>
  <c r="G365" i="3"/>
  <c r="F365" i="3"/>
  <c r="G364" i="3"/>
  <c r="F364" i="3"/>
  <c r="G363" i="3"/>
  <c r="F363" i="3"/>
  <c r="G362" i="3"/>
  <c r="F362" i="3"/>
  <c r="G361" i="3"/>
  <c r="F361" i="3"/>
  <c r="G360" i="3"/>
  <c r="F360" i="3"/>
  <c r="G359" i="3"/>
  <c r="F359" i="3"/>
  <c r="G358" i="3"/>
  <c r="F358" i="3"/>
  <c r="G357" i="3"/>
  <c r="F357" i="3"/>
  <c r="G356" i="3"/>
  <c r="F356" i="3"/>
  <c r="G355" i="3"/>
  <c r="F355" i="3"/>
  <c r="G354" i="3"/>
  <c r="F354" i="3"/>
  <c r="G353" i="3"/>
  <c r="F353" i="3"/>
  <c r="G352" i="3"/>
  <c r="F352" i="3"/>
  <c r="G351" i="3"/>
  <c r="F351" i="3"/>
  <c r="G350" i="3"/>
  <c r="F350" i="3"/>
  <c r="G349" i="3"/>
  <c r="F349" i="3"/>
  <c r="G348" i="3"/>
  <c r="F348" i="3"/>
  <c r="G347" i="3"/>
  <c r="F347" i="3"/>
  <c r="G346" i="3"/>
  <c r="F346" i="3"/>
  <c r="G345" i="3"/>
  <c r="F345" i="3"/>
  <c r="G344" i="3"/>
  <c r="F344" i="3"/>
  <c r="G343" i="3"/>
  <c r="F343" i="3"/>
  <c r="G342" i="3"/>
  <c r="F342" i="3"/>
  <c r="G341" i="3"/>
  <c r="F341" i="3"/>
  <c r="G340" i="3"/>
  <c r="F340" i="3"/>
  <c r="G339" i="3"/>
  <c r="F339" i="3"/>
  <c r="G338" i="3"/>
  <c r="F338" i="3"/>
  <c r="G337" i="3"/>
  <c r="F337" i="3"/>
  <c r="G336" i="3"/>
  <c r="F336" i="3"/>
  <c r="G335" i="3"/>
  <c r="F335" i="3"/>
  <c r="G334" i="3"/>
  <c r="F334" i="3"/>
  <c r="G333" i="3"/>
  <c r="F333" i="3"/>
  <c r="G332" i="3"/>
  <c r="F332" i="3"/>
  <c r="G331" i="3"/>
  <c r="F331" i="3"/>
  <c r="G330" i="3"/>
  <c r="F330" i="3"/>
  <c r="G329" i="3"/>
  <c r="F329" i="3"/>
  <c r="G328" i="3"/>
  <c r="F328" i="3"/>
  <c r="G327" i="3"/>
  <c r="F327" i="3"/>
  <c r="G326" i="3"/>
  <c r="F326" i="3"/>
  <c r="G325" i="3"/>
  <c r="F325" i="3"/>
  <c r="G324" i="3"/>
  <c r="F324" i="3"/>
  <c r="G323" i="3"/>
  <c r="F323" i="3"/>
  <c r="G322" i="3"/>
  <c r="F322" i="3"/>
  <c r="G321" i="3"/>
  <c r="F321" i="3"/>
  <c r="G320" i="3"/>
  <c r="F320" i="3"/>
  <c r="G319" i="3"/>
  <c r="F319" i="3"/>
  <c r="G318" i="3"/>
  <c r="F318" i="3"/>
  <c r="G317" i="3"/>
  <c r="F317" i="3"/>
  <c r="G316" i="3"/>
  <c r="F316" i="3"/>
  <c r="G315" i="3"/>
  <c r="F315" i="3"/>
  <c r="G314" i="3"/>
  <c r="F314" i="3"/>
  <c r="G313" i="3"/>
  <c r="F313" i="3"/>
  <c r="G312" i="3"/>
  <c r="F312" i="3"/>
  <c r="G311" i="3"/>
  <c r="F311" i="3"/>
  <c r="G310" i="3"/>
  <c r="F310" i="3"/>
  <c r="G309" i="3"/>
  <c r="F309" i="3"/>
  <c r="G308" i="3"/>
  <c r="F308" i="3"/>
  <c r="G307" i="3"/>
  <c r="F307" i="3"/>
  <c r="G306" i="3"/>
  <c r="F306" i="3"/>
  <c r="G305" i="3"/>
  <c r="F305" i="3"/>
  <c r="G304" i="3"/>
  <c r="F304" i="3"/>
  <c r="G303" i="3"/>
  <c r="F303" i="3"/>
  <c r="G302" i="3"/>
  <c r="F302" i="3"/>
  <c r="G301" i="3"/>
  <c r="F301" i="3"/>
  <c r="G300" i="3"/>
  <c r="F300" i="3"/>
  <c r="G299" i="3"/>
  <c r="F299" i="3"/>
  <c r="G298" i="3"/>
  <c r="F298" i="3"/>
  <c r="G297" i="3"/>
  <c r="F297" i="3"/>
  <c r="G296" i="3"/>
  <c r="F296" i="3"/>
  <c r="G295" i="3"/>
  <c r="F295" i="3"/>
  <c r="G294" i="3"/>
  <c r="F294" i="3"/>
  <c r="G293" i="3"/>
  <c r="F293" i="3"/>
  <c r="G292" i="3"/>
  <c r="F292" i="3"/>
  <c r="G291" i="3"/>
  <c r="F291" i="3"/>
  <c r="G290" i="3"/>
  <c r="F290" i="3"/>
  <c r="G289" i="3"/>
  <c r="F289" i="3"/>
  <c r="G288" i="3"/>
  <c r="F288" i="3"/>
  <c r="G287" i="3"/>
  <c r="F287" i="3"/>
  <c r="G286" i="3"/>
  <c r="F286" i="3"/>
  <c r="G285" i="3"/>
  <c r="F285" i="3"/>
  <c r="G284" i="3"/>
  <c r="F284" i="3"/>
  <c r="G283" i="3"/>
  <c r="F283" i="3"/>
  <c r="G282" i="3"/>
  <c r="F282" i="3"/>
  <c r="G281" i="3"/>
  <c r="F281" i="3"/>
  <c r="G280" i="3"/>
  <c r="F280" i="3"/>
  <c r="G279" i="3"/>
  <c r="F279" i="3"/>
  <c r="G278" i="3"/>
  <c r="F278" i="3"/>
  <c r="G277" i="3"/>
  <c r="F277" i="3"/>
  <c r="G276" i="3"/>
  <c r="F276" i="3"/>
  <c r="G275" i="3"/>
  <c r="F275" i="3"/>
  <c r="G274" i="3"/>
  <c r="F274" i="3"/>
  <c r="G273" i="3"/>
  <c r="F273" i="3"/>
  <c r="G272" i="3"/>
  <c r="F272" i="3"/>
  <c r="G271" i="3"/>
  <c r="F271" i="3"/>
  <c r="G270" i="3"/>
  <c r="F270" i="3"/>
  <c r="G269" i="3"/>
  <c r="F269" i="3"/>
  <c r="G268" i="3"/>
  <c r="F268" i="3"/>
  <c r="G267" i="3"/>
  <c r="F267" i="3"/>
  <c r="G266" i="3"/>
  <c r="F266" i="3"/>
  <c r="G265" i="3"/>
  <c r="F265" i="3"/>
  <c r="G264" i="3"/>
  <c r="F264" i="3"/>
  <c r="G263" i="3"/>
  <c r="F263" i="3"/>
  <c r="G262" i="3"/>
  <c r="F262" i="3"/>
  <c r="G261" i="3"/>
  <c r="F261" i="3"/>
  <c r="G260" i="3"/>
  <c r="F260" i="3"/>
  <c r="G259" i="3"/>
  <c r="F259" i="3"/>
  <c r="G258" i="3"/>
  <c r="F258" i="3"/>
  <c r="G257" i="3"/>
  <c r="F257" i="3"/>
  <c r="G256" i="3"/>
  <c r="F256" i="3"/>
  <c r="G255" i="3"/>
  <c r="F255" i="3"/>
  <c r="G254" i="3"/>
  <c r="F254" i="3"/>
  <c r="G253" i="3"/>
  <c r="F253" i="3"/>
  <c r="G252" i="3"/>
  <c r="F252" i="3"/>
  <c r="G251" i="3"/>
  <c r="F251" i="3"/>
  <c r="G250" i="3"/>
  <c r="F250" i="3"/>
  <c r="G249" i="3"/>
  <c r="F249" i="3"/>
  <c r="G248" i="3"/>
  <c r="F248" i="3"/>
  <c r="G247" i="3"/>
  <c r="F247" i="3"/>
  <c r="G246" i="3"/>
  <c r="F246" i="3"/>
  <c r="G245" i="3"/>
  <c r="F245" i="3"/>
  <c r="G244" i="3"/>
  <c r="F244" i="3"/>
  <c r="G243" i="3"/>
  <c r="F243" i="3"/>
  <c r="G242" i="3"/>
  <c r="F242" i="3"/>
  <c r="G241" i="3"/>
  <c r="F241" i="3"/>
  <c r="G240" i="3"/>
  <c r="F240" i="3"/>
  <c r="G239" i="3"/>
  <c r="F239" i="3"/>
  <c r="G238" i="3"/>
  <c r="F238" i="3"/>
  <c r="G237" i="3"/>
  <c r="F237" i="3"/>
  <c r="G236" i="3"/>
  <c r="F236" i="3"/>
  <c r="G235" i="3"/>
  <c r="F235" i="3"/>
  <c r="G234" i="3"/>
  <c r="F234" i="3"/>
  <c r="G233" i="3"/>
  <c r="F233" i="3"/>
  <c r="G232" i="3"/>
  <c r="F232" i="3"/>
  <c r="G231" i="3"/>
  <c r="F231" i="3"/>
  <c r="G230" i="3"/>
  <c r="F230" i="3"/>
  <c r="G229" i="3"/>
  <c r="F229" i="3"/>
  <c r="G228" i="3"/>
  <c r="F228" i="3"/>
  <c r="G227" i="3"/>
  <c r="F227" i="3"/>
  <c r="G226" i="3"/>
  <c r="F226" i="3"/>
  <c r="G225" i="3"/>
  <c r="F225" i="3"/>
  <c r="G224" i="3"/>
  <c r="F224" i="3"/>
  <c r="G223" i="3"/>
  <c r="F223" i="3"/>
  <c r="G222" i="3"/>
  <c r="F222" i="3"/>
  <c r="G221" i="3"/>
  <c r="F221" i="3"/>
  <c r="G220" i="3"/>
  <c r="F220" i="3"/>
  <c r="G219" i="3"/>
  <c r="F219" i="3"/>
  <c r="G218" i="3"/>
  <c r="F218" i="3"/>
  <c r="G217" i="3"/>
  <c r="F217" i="3"/>
  <c r="G216" i="3"/>
  <c r="F216" i="3"/>
  <c r="G215" i="3"/>
  <c r="F215" i="3"/>
  <c r="G214" i="3"/>
  <c r="F214" i="3"/>
  <c r="G213" i="3"/>
  <c r="F213" i="3"/>
  <c r="G212" i="3"/>
  <c r="F212" i="3"/>
  <c r="G211" i="3"/>
  <c r="F211" i="3"/>
  <c r="G210" i="3"/>
  <c r="F210" i="3"/>
  <c r="G209" i="3"/>
  <c r="F209" i="3"/>
  <c r="G208" i="3"/>
  <c r="F208" i="3"/>
  <c r="G207" i="3"/>
  <c r="F207" i="3"/>
  <c r="G206" i="3"/>
  <c r="F206" i="3"/>
  <c r="G205" i="3"/>
  <c r="F205" i="3"/>
  <c r="G204" i="3"/>
  <c r="F204" i="3"/>
  <c r="G203" i="3"/>
  <c r="F203" i="3"/>
  <c r="G202" i="3"/>
  <c r="F202" i="3"/>
  <c r="G201" i="3"/>
  <c r="F201" i="3"/>
  <c r="G200" i="3"/>
  <c r="F200" i="3"/>
  <c r="G199" i="3"/>
  <c r="F199" i="3"/>
  <c r="G198" i="3"/>
  <c r="F198" i="3"/>
  <c r="G197" i="3"/>
  <c r="F197" i="3"/>
  <c r="G196" i="3"/>
  <c r="F196" i="3"/>
  <c r="G195" i="3"/>
  <c r="F195" i="3"/>
  <c r="G194" i="3"/>
  <c r="F194" i="3"/>
  <c r="G193" i="3"/>
  <c r="F193" i="3"/>
  <c r="G192" i="3"/>
  <c r="F192" i="3"/>
  <c r="G191" i="3"/>
  <c r="F191" i="3"/>
  <c r="G190" i="3"/>
  <c r="F190" i="3"/>
  <c r="G189" i="3"/>
  <c r="F189" i="3"/>
  <c r="G188" i="3"/>
  <c r="F188" i="3"/>
  <c r="G187" i="3"/>
  <c r="F187" i="3"/>
  <c r="G186" i="3"/>
  <c r="F186" i="3"/>
  <c r="G185" i="3"/>
  <c r="F185" i="3"/>
  <c r="G184" i="3"/>
  <c r="F184" i="3"/>
  <c r="G183" i="3"/>
  <c r="F183" i="3"/>
  <c r="G182" i="3"/>
  <c r="F182" i="3"/>
  <c r="G181" i="3"/>
  <c r="F181" i="3"/>
  <c r="G180" i="3"/>
  <c r="F180" i="3"/>
  <c r="G179" i="3"/>
  <c r="F179" i="3"/>
  <c r="G178" i="3"/>
  <c r="F178" i="3"/>
  <c r="G177" i="3"/>
  <c r="F177" i="3"/>
  <c r="G176" i="3"/>
  <c r="F176" i="3"/>
  <c r="G175" i="3"/>
  <c r="F175" i="3"/>
  <c r="G174" i="3"/>
  <c r="F174" i="3"/>
  <c r="G173" i="3"/>
  <c r="F173" i="3"/>
  <c r="G172" i="3"/>
  <c r="F172" i="3"/>
  <c r="G171" i="3"/>
  <c r="F171" i="3"/>
  <c r="G170" i="3"/>
  <c r="F170" i="3"/>
  <c r="G169" i="3"/>
  <c r="F169" i="3"/>
  <c r="G168" i="3"/>
  <c r="F168" i="3"/>
  <c r="G167" i="3"/>
  <c r="F167" i="3"/>
  <c r="G166" i="3"/>
  <c r="F166" i="3"/>
  <c r="G165" i="3"/>
  <c r="F165" i="3"/>
  <c r="G164" i="3"/>
  <c r="F164" i="3"/>
  <c r="G163" i="3"/>
  <c r="F163" i="3"/>
  <c r="G162" i="3"/>
  <c r="F162" i="3"/>
  <c r="G161" i="3"/>
  <c r="F161" i="3"/>
  <c r="G160" i="3"/>
  <c r="F160" i="3"/>
  <c r="G159" i="3"/>
  <c r="F159" i="3"/>
  <c r="G158" i="3"/>
  <c r="F158" i="3"/>
  <c r="G157" i="3"/>
  <c r="F157" i="3"/>
  <c r="G156" i="3"/>
  <c r="F156" i="3"/>
  <c r="G155" i="3"/>
  <c r="F155" i="3"/>
  <c r="G154" i="3"/>
  <c r="F154" i="3"/>
  <c r="G153" i="3"/>
  <c r="F153" i="3"/>
  <c r="G152" i="3"/>
  <c r="F152" i="3"/>
  <c r="G151" i="3"/>
  <c r="F151" i="3"/>
  <c r="G150" i="3"/>
  <c r="F150" i="3"/>
  <c r="G149" i="3"/>
  <c r="F149" i="3"/>
  <c r="G148" i="3"/>
  <c r="F148" i="3"/>
  <c r="G147" i="3"/>
  <c r="F147" i="3"/>
  <c r="G146" i="3"/>
  <c r="F146" i="3"/>
  <c r="G145" i="3"/>
  <c r="F145" i="3"/>
  <c r="G144" i="3"/>
  <c r="F144" i="3"/>
  <c r="G143" i="3"/>
  <c r="F143" i="3"/>
  <c r="G142" i="3"/>
  <c r="F142" i="3"/>
  <c r="G141" i="3"/>
  <c r="F141" i="3"/>
  <c r="G140" i="3"/>
  <c r="F140" i="3"/>
  <c r="G139" i="3"/>
  <c r="F139" i="3"/>
  <c r="G138" i="3"/>
  <c r="F138" i="3"/>
  <c r="G137" i="3"/>
  <c r="F137" i="3"/>
  <c r="G136" i="3"/>
  <c r="F136" i="3"/>
  <c r="G135" i="3"/>
  <c r="F135" i="3"/>
  <c r="G134" i="3"/>
  <c r="F134" i="3"/>
  <c r="G133" i="3"/>
  <c r="F133" i="3"/>
  <c r="G132" i="3"/>
  <c r="F132" i="3"/>
  <c r="G131" i="3"/>
  <c r="F131" i="3"/>
  <c r="G130" i="3"/>
  <c r="F130" i="3"/>
  <c r="G129" i="3"/>
  <c r="F129" i="3"/>
  <c r="G128" i="3"/>
  <c r="F128" i="3"/>
  <c r="G127" i="3"/>
  <c r="F127" i="3"/>
  <c r="G126" i="3"/>
  <c r="F126" i="3"/>
  <c r="G125" i="3"/>
  <c r="F125" i="3"/>
  <c r="G124" i="3"/>
  <c r="F124" i="3"/>
  <c r="G123" i="3"/>
  <c r="F123" i="3"/>
  <c r="G122" i="3"/>
  <c r="F122" i="3"/>
  <c r="G121" i="3"/>
  <c r="F121" i="3"/>
  <c r="G120" i="3"/>
  <c r="F120" i="3"/>
  <c r="G119" i="3"/>
  <c r="F119" i="3"/>
  <c r="G118" i="3"/>
  <c r="F118" i="3"/>
  <c r="G117" i="3"/>
  <c r="F117" i="3"/>
  <c r="G116" i="3"/>
  <c r="F116" i="3"/>
  <c r="G115" i="3"/>
  <c r="F115" i="3"/>
  <c r="G114" i="3"/>
  <c r="F114" i="3"/>
  <c r="G113" i="3"/>
  <c r="F113" i="3"/>
  <c r="G112" i="3"/>
  <c r="F112" i="3"/>
  <c r="G111" i="3"/>
  <c r="F111" i="3"/>
  <c r="G110" i="3"/>
  <c r="F110" i="3"/>
  <c r="G109" i="3"/>
  <c r="F109" i="3"/>
  <c r="G108" i="3"/>
  <c r="F108" i="3"/>
  <c r="G107" i="3"/>
  <c r="F107" i="3"/>
  <c r="G106" i="3"/>
  <c r="F106" i="3"/>
  <c r="G105" i="3"/>
  <c r="F105" i="3"/>
  <c r="G104" i="3"/>
  <c r="F104" i="3"/>
  <c r="G103" i="3"/>
  <c r="F103" i="3"/>
  <c r="G102" i="3"/>
  <c r="F102" i="3"/>
  <c r="G101" i="3"/>
  <c r="F101" i="3"/>
  <c r="G100" i="3"/>
  <c r="F100" i="3"/>
  <c r="G99" i="3"/>
  <c r="F99" i="3"/>
  <c r="G98" i="3"/>
  <c r="F98" i="3"/>
  <c r="G97" i="3"/>
  <c r="F97" i="3"/>
  <c r="G96" i="3"/>
  <c r="F96" i="3"/>
  <c r="G95" i="3"/>
  <c r="F95" i="3"/>
  <c r="G94" i="3"/>
  <c r="F94" i="3"/>
  <c r="G93" i="3"/>
  <c r="F93" i="3"/>
  <c r="G92" i="3"/>
  <c r="F92" i="3"/>
  <c r="G91" i="3"/>
  <c r="F91" i="3"/>
  <c r="G90" i="3"/>
  <c r="F90" i="3"/>
  <c r="G89" i="3"/>
  <c r="F89" i="3"/>
  <c r="G88" i="3"/>
  <c r="F88" i="3"/>
  <c r="G87" i="3"/>
  <c r="F87" i="3"/>
  <c r="G86" i="3"/>
  <c r="F86" i="3"/>
  <c r="G85" i="3"/>
  <c r="F85" i="3"/>
  <c r="G84" i="3"/>
  <c r="F84" i="3"/>
  <c r="G83" i="3"/>
  <c r="F83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65" i="3"/>
  <c r="F65" i="3"/>
  <c r="G64" i="3"/>
  <c r="F64" i="3"/>
  <c r="G63" i="3"/>
  <c r="F63" i="3"/>
  <c r="G62" i="3"/>
  <c r="F62" i="3"/>
  <c r="G61" i="3"/>
  <c r="F61" i="3"/>
  <c r="G60" i="3"/>
  <c r="F60" i="3"/>
  <c r="G59" i="3"/>
  <c r="F59" i="3"/>
  <c r="G58" i="3"/>
  <c r="F58" i="3"/>
  <c r="G57" i="3"/>
  <c r="F57" i="3"/>
  <c r="G56" i="3"/>
  <c r="F56" i="3"/>
  <c r="G55" i="3"/>
  <c r="F55" i="3"/>
  <c r="G54" i="3"/>
  <c r="F54" i="3"/>
  <c r="G53" i="3"/>
  <c r="F53" i="3"/>
  <c r="G52" i="3"/>
  <c r="F52" i="3"/>
  <c r="G51" i="3"/>
  <c r="F51" i="3"/>
  <c r="G50" i="3"/>
  <c r="F50" i="3"/>
  <c r="G49" i="3"/>
  <c r="F49" i="3"/>
  <c r="G48" i="3"/>
  <c r="F48" i="3"/>
  <c r="G47" i="3"/>
  <c r="F47" i="3"/>
  <c r="G46" i="3"/>
  <c r="F46" i="3"/>
  <c r="G45" i="3"/>
  <c r="F45" i="3"/>
  <c r="G44" i="3"/>
  <c r="F44" i="3"/>
  <c r="G43" i="3"/>
  <c r="F43" i="3"/>
  <c r="G42" i="3"/>
  <c r="F42" i="3"/>
  <c r="G41" i="3"/>
  <c r="F41" i="3"/>
  <c r="G40" i="3"/>
  <c r="F40" i="3"/>
  <c r="G39" i="3"/>
  <c r="F39" i="3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30" i="3"/>
  <c r="F30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G22" i="3"/>
  <c r="F22" i="3"/>
  <c r="G21" i="3"/>
  <c r="F21" i="3"/>
  <c r="G20" i="3"/>
  <c r="F20" i="3"/>
  <c r="G19" i="3"/>
  <c r="F19" i="3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  <c r="G4" i="3"/>
  <c r="F4" i="3"/>
  <c r="H402" i="3" l="1"/>
  <c r="B70" i="2"/>
  <c r="H696" i="4"/>
  <c r="H693" i="4"/>
  <c r="H695" i="4"/>
  <c r="H694" i="4"/>
  <c r="AO60" i="2"/>
  <c r="AJ60" i="2"/>
  <c r="E62" i="1"/>
  <c r="E63" i="1"/>
  <c r="E65" i="1"/>
  <c r="E64" i="1"/>
  <c r="C63" i="1"/>
  <c r="D63" i="1" s="1"/>
  <c r="E60" i="1"/>
  <c r="E61" i="1"/>
  <c r="Z60" i="2"/>
  <c r="U60" i="2"/>
  <c r="P60" i="2"/>
  <c r="H691" i="4"/>
  <c r="H692" i="4"/>
  <c r="H401" i="3"/>
  <c r="H678" i="4"/>
  <c r="H680" i="4"/>
  <c r="H682" i="4"/>
  <c r="H684" i="4"/>
  <c r="J684" i="4" s="1"/>
  <c r="H686" i="4"/>
  <c r="J686" i="4" s="1"/>
  <c r="H688" i="4"/>
  <c r="H690" i="4"/>
  <c r="J690" i="4" s="1"/>
  <c r="H677" i="4"/>
  <c r="H679" i="4"/>
  <c r="H681" i="4"/>
  <c r="H683" i="4"/>
  <c r="H685" i="4"/>
  <c r="H687" i="4"/>
  <c r="H689" i="4"/>
  <c r="H676" i="4"/>
  <c r="H675" i="4"/>
  <c r="K20" i="2"/>
  <c r="K6" i="2"/>
  <c r="C38" i="1"/>
  <c r="C37" i="1"/>
  <c r="C36" i="1"/>
  <c r="C35" i="1"/>
  <c r="C34" i="1"/>
  <c r="L34" i="1" s="1"/>
  <c r="C33" i="1"/>
  <c r="H674" i="4"/>
  <c r="K24" i="2"/>
  <c r="D8" i="1"/>
  <c r="G7" i="2"/>
  <c r="H673" i="4"/>
  <c r="H36" i="2"/>
  <c r="K36" i="2" s="1"/>
  <c r="H672" i="4"/>
  <c r="H670" i="4"/>
  <c r="H669" i="4"/>
  <c r="H7" i="2"/>
  <c r="J25" i="2"/>
  <c r="J60" i="2" s="1"/>
  <c r="K15" i="1"/>
  <c r="F15" i="1"/>
  <c r="H668" i="4"/>
  <c r="G11" i="2"/>
  <c r="K11" i="2" s="1"/>
  <c r="I15" i="1"/>
  <c r="H40" i="2"/>
  <c r="K40" i="2" s="1"/>
  <c r="F43" i="2"/>
  <c r="E20" i="2"/>
  <c r="E24" i="2"/>
  <c r="E39" i="2"/>
  <c r="D15" i="1"/>
  <c r="H665" i="4"/>
  <c r="H662" i="4"/>
  <c r="H663" i="4"/>
  <c r="H666" i="4"/>
  <c r="H667" i="4"/>
  <c r="H664" i="4"/>
  <c r="H15" i="1"/>
  <c r="G42" i="2"/>
  <c r="K42" i="2" s="1"/>
  <c r="C9" i="2"/>
  <c r="F9" i="2" s="1"/>
  <c r="C11" i="2"/>
  <c r="C7" i="2"/>
  <c r="C17" i="2"/>
  <c r="H661" i="4"/>
  <c r="H660" i="4"/>
  <c r="H400" i="3"/>
  <c r="H659" i="4"/>
  <c r="J659" i="4" s="1"/>
  <c r="H658" i="4"/>
  <c r="J658" i="4" s="1"/>
  <c r="H657" i="4"/>
  <c r="J657" i="4" s="1"/>
  <c r="H656" i="4"/>
  <c r="J656" i="4" s="1"/>
  <c r="H655" i="4"/>
  <c r="J655" i="4" s="1"/>
  <c r="H399" i="3"/>
  <c r="J399" i="3" s="1"/>
  <c r="C10" i="2"/>
  <c r="H653" i="4"/>
  <c r="J653" i="4" s="1"/>
  <c r="H654" i="4"/>
  <c r="H651" i="4"/>
  <c r="J651" i="4" s="1"/>
  <c r="H652" i="4"/>
  <c r="J652" i="4" s="1"/>
  <c r="H650" i="4"/>
  <c r="C37" i="2"/>
  <c r="F37" i="2" s="1"/>
  <c r="AP37" i="2" s="1"/>
  <c r="H649" i="4"/>
  <c r="J649" i="4" s="1"/>
  <c r="H648" i="4"/>
  <c r="J648" i="4" s="1"/>
  <c r="H647" i="4"/>
  <c r="C28" i="2"/>
  <c r="B28" i="2"/>
  <c r="B54" i="2"/>
  <c r="F54" i="2" s="1"/>
  <c r="H646" i="4"/>
  <c r="J14" i="1"/>
  <c r="J22" i="1" s="1"/>
  <c r="G79" i="1" s="1"/>
  <c r="D39" i="2"/>
  <c r="D60" i="2" s="1"/>
  <c r="H645" i="4"/>
  <c r="H644" i="4"/>
  <c r="J644" i="4" s="1"/>
  <c r="H643" i="4"/>
  <c r="J643" i="4" s="1"/>
  <c r="H641" i="4"/>
  <c r="H642" i="4"/>
  <c r="J642" i="4" s="1"/>
  <c r="H640" i="4"/>
  <c r="J640" i="4" s="1"/>
  <c r="H638" i="4"/>
  <c r="H629" i="4"/>
  <c r="H633" i="4"/>
  <c r="H636" i="4"/>
  <c r="H630" i="4"/>
  <c r="H634" i="4"/>
  <c r="H639" i="4"/>
  <c r="H631" i="4"/>
  <c r="H632" i="4"/>
  <c r="H635" i="4"/>
  <c r="H637" i="4"/>
  <c r="H628" i="4"/>
  <c r="J628" i="4" s="1"/>
  <c r="F14" i="1"/>
  <c r="H627" i="4"/>
  <c r="H14" i="1"/>
  <c r="E14" i="1"/>
  <c r="E22" i="1" s="1"/>
  <c r="E79" i="1" s="1"/>
  <c r="B15" i="2"/>
  <c r="F15" i="2" s="1"/>
  <c r="B34" i="2"/>
  <c r="B6" i="2"/>
  <c r="C42" i="2"/>
  <c r="C34" i="2"/>
  <c r="B31" i="2"/>
  <c r="F31" i="2" s="1"/>
  <c r="B32" i="2"/>
  <c r="E36" i="2"/>
  <c r="E40" i="2"/>
  <c r="C40" i="2"/>
  <c r="B36" i="2"/>
  <c r="B40" i="2"/>
  <c r="B25" i="2"/>
  <c r="B26" i="2"/>
  <c r="B41" i="2"/>
  <c r="B42" i="2"/>
  <c r="C22" i="2"/>
  <c r="F22" i="2" s="1"/>
  <c r="C25" i="2"/>
  <c r="C26" i="2"/>
  <c r="B21" i="2"/>
  <c r="C24" i="2"/>
  <c r="H626" i="4"/>
  <c r="C36" i="2"/>
  <c r="C33" i="2"/>
  <c r="F33" i="2" s="1"/>
  <c r="B17" i="2"/>
  <c r="B23" i="2"/>
  <c r="B24" i="2"/>
  <c r="C6" i="2"/>
  <c r="B13" i="2"/>
  <c r="F13" i="2" s="1"/>
  <c r="C23" i="2"/>
  <c r="C21" i="2"/>
  <c r="C41" i="2"/>
  <c r="C29" i="2"/>
  <c r="F29" i="2" s="1"/>
  <c r="C20" i="2"/>
  <c r="C32" i="2"/>
  <c r="B16" i="2"/>
  <c r="F16" i="2" s="1"/>
  <c r="B20" i="2"/>
  <c r="B14" i="2"/>
  <c r="F14" i="2" s="1"/>
  <c r="B47" i="2"/>
  <c r="F47" i="2" s="1"/>
  <c r="B48" i="2"/>
  <c r="F48" i="2" s="1"/>
  <c r="B44" i="2"/>
  <c r="F44" i="2" s="1"/>
  <c r="B19" i="2"/>
  <c r="F19" i="2" s="1"/>
  <c r="B10" i="2"/>
  <c r="B49" i="2"/>
  <c r="F49" i="2" s="1"/>
  <c r="B8" i="2"/>
  <c r="F8" i="2" s="1"/>
  <c r="B12" i="2"/>
  <c r="F12" i="2" s="1"/>
  <c r="B30" i="2"/>
  <c r="F30" i="2" s="1"/>
  <c r="B11" i="2"/>
  <c r="B7" i="2"/>
  <c r="I14" i="1"/>
  <c r="K14" i="1"/>
  <c r="H625" i="4"/>
  <c r="J625" i="4" s="1"/>
  <c r="H624" i="4"/>
  <c r="J31" i="6"/>
  <c r="H398" i="3"/>
  <c r="G9" i="2"/>
  <c r="K9" i="2" s="1"/>
  <c r="H360" i="3"/>
  <c r="J360" i="3" s="1"/>
  <c r="H587" i="4"/>
  <c r="J587" i="4" s="1"/>
  <c r="H545" i="4"/>
  <c r="J545" i="4" s="1"/>
  <c r="H553" i="4"/>
  <c r="J553" i="4" s="1"/>
  <c r="J9" i="6"/>
  <c r="J10" i="6"/>
  <c r="H602" i="4"/>
  <c r="H313" i="3"/>
  <c r="J313" i="3" s="1"/>
  <c r="H325" i="3"/>
  <c r="J325" i="3" s="1"/>
  <c r="H364" i="3"/>
  <c r="J364" i="3" s="1"/>
  <c r="H377" i="3"/>
  <c r="J377" i="3" s="1"/>
  <c r="H300" i="3"/>
  <c r="J300" i="3" s="1"/>
  <c r="H312" i="3"/>
  <c r="J312" i="3" s="1"/>
  <c r="H487" i="4"/>
  <c r="J487" i="4" s="1"/>
  <c r="H491" i="4"/>
  <c r="J491" i="4" s="1"/>
  <c r="H511" i="4"/>
  <c r="H518" i="4"/>
  <c r="J518" i="4" s="1"/>
  <c r="H550" i="4"/>
  <c r="J550" i="4" s="1"/>
  <c r="H591" i="4"/>
  <c r="J591" i="4" s="1"/>
  <c r="H603" i="4"/>
  <c r="J603" i="4" s="1"/>
  <c r="H26" i="3"/>
  <c r="J26" i="3" s="1"/>
  <c r="H28" i="3"/>
  <c r="J28" i="3" s="1"/>
  <c r="H30" i="3"/>
  <c r="J30" i="3" s="1"/>
  <c r="H32" i="3"/>
  <c r="J32" i="3" s="1"/>
  <c r="H34" i="3"/>
  <c r="J34" i="3" s="1"/>
  <c r="H36" i="3"/>
  <c r="H38" i="3"/>
  <c r="J38" i="3" s="1"/>
  <c r="H40" i="3"/>
  <c r="J40" i="3" s="1"/>
  <c r="H42" i="3"/>
  <c r="J42" i="3" s="1"/>
  <c r="H44" i="3"/>
  <c r="J44" i="3" s="1"/>
  <c r="H46" i="3"/>
  <c r="J46" i="3" s="1"/>
  <c r="H48" i="3"/>
  <c r="H50" i="3"/>
  <c r="J50" i="3" s="1"/>
  <c r="H52" i="3"/>
  <c r="J52" i="3" s="1"/>
  <c r="H54" i="3"/>
  <c r="J54" i="3" s="1"/>
  <c r="H56" i="3"/>
  <c r="J56" i="3" s="1"/>
  <c r="H58" i="3"/>
  <c r="J58" i="3" s="1"/>
  <c r="H60" i="3"/>
  <c r="J60" i="3" s="1"/>
  <c r="H62" i="3"/>
  <c r="J62" i="3" s="1"/>
  <c r="H64" i="3"/>
  <c r="J64" i="3" s="1"/>
  <c r="H66" i="3"/>
  <c r="J66" i="3" s="1"/>
  <c r="H68" i="3"/>
  <c r="J68" i="3" s="1"/>
  <c r="H70" i="3"/>
  <c r="J70" i="3" s="1"/>
  <c r="H72" i="3"/>
  <c r="J72" i="3" s="1"/>
  <c r="H74" i="3"/>
  <c r="J74" i="3" s="1"/>
  <c r="H76" i="3"/>
  <c r="J76" i="3" s="1"/>
  <c r="H78" i="3"/>
  <c r="J78" i="3" s="1"/>
  <c r="H80" i="3"/>
  <c r="J80" i="3" s="1"/>
  <c r="H82" i="3"/>
  <c r="J82" i="3" s="1"/>
  <c r="H84" i="3"/>
  <c r="J84" i="3" s="1"/>
  <c r="H86" i="3"/>
  <c r="H88" i="3"/>
  <c r="J88" i="3" s="1"/>
  <c r="H90" i="3"/>
  <c r="J90" i="3" s="1"/>
  <c r="H92" i="3"/>
  <c r="J92" i="3" s="1"/>
  <c r="H94" i="3"/>
  <c r="J94" i="3" s="1"/>
  <c r="H96" i="3"/>
  <c r="J96" i="3" s="1"/>
  <c r="H98" i="3"/>
  <c r="J98" i="3" s="1"/>
  <c r="H100" i="3"/>
  <c r="J100" i="3" s="1"/>
  <c r="H102" i="3"/>
  <c r="J102" i="3" s="1"/>
  <c r="H104" i="3"/>
  <c r="J104" i="3" s="1"/>
  <c r="H106" i="3"/>
  <c r="J106" i="3" s="1"/>
  <c r="H108" i="3"/>
  <c r="J108" i="3" s="1"/>
  <c r="H110" i="3"/>
  <c r="H376" i="3"/>
  <c r="J376" i="3" s="1"/>
  <c r="H386" i="3"/>
  <c r="H388" i="3"/>
  <c r="J388" i="3" s="1"/>
  <c r="H390" i="3"/>
  <c r="J390" i="3" s="1"/>
  <c r="H392" i="3"/>
  <c r="H395" i="3"/>
  <c r="H500" i="4"/>
  <c r="J500" i="4" s="1"/>
  <c r="H502" i="4"/>
  <c r="J502" i="4" s="1"/>
  <c r="H506" i="4"/>
  <c r="J506" i="4" s="1"/>
  <c r="H508" i="4"/>
  <c r="J508" i="4" s="1"/>
  <c r="H510" i="4"/>
  <c r="J510" i="4" s="1"/>
  <c r="H525" i="4"/>
  <c r="J525" i="4" s="1"/>
  <c r="H531" i="4"/>
  <c r="J531" i="4" s="1"/>
  <c r="H533" i="4"/>
  <c r="J533" i="4" s="1"/>
  <c r="H537" i="4"/>
  <c r="J537" i="4" s="1"/>
  <c r="H539" i="4"/>
  <c r="J539" i="4" s="1"/>
  <c r="H541" i="4"/>
  <c r="H394" i="3"/>
  <c r="J394" i="3" s="1"/>
  <c r="H112" i="3"/>
  <c r="J112" i="3" s="1"/>
  <c r="H114" i="3"/>
  <c r="H116" i="3"/>
  <c r="J116" i="3" s="1"/>
  <c r="H118" i="3"/>
  <c r="H120" i="3"/>
  <c r="J120" i="3" s="1"/>
  <c r="H122" i="3"/>
  <c r="J122" i="3" s="1"/>
  <c r="H124" i="3"/>
  <c r="J124" i="3" s="1"/>
  <c r="H126" i="3"/>
  <c r="H128" i="3"/>
  <c r="J128" i="3" s="1"/>
  <c r="H130" i="3"/>
  <c r="J130" i="3" s="1"/>
  <c r="H132" i="3"/>
  <c r="J132" i="3" s="1"/>
  <c r="H134" i="3"/>
  <c r="J134" i="3" s="1"/>
  <c r="H136" i="3"/>
  <c r="J136" i="3" s="1"/>
  <c r="H138" i="3"/>
  <c r="J138" i="3" s="1"/>
  <c r="H140" i="3"/>
  <c r="J140" i="3" s="1"/>
  <c r="H142" i="3"/>
  <c r="J142" i="3" s="1"/>
  <c r="H144" i="3"/>
  <c r="J144" i="3" s="1"/>
  <c r="H146" i="3"/>
  <c r="J146" i="3" s="1"/>
  <c r="H148" i="3"/>
  <c r="H150" i="3"/>
  <c r="J150" i="3" s="1"/>
  <c r="H152" i="3"/>
  <c r="J152" i="3" s="1"/>
  <c r="H154" i="3"/>
  <c r="J154" i="3" s="1"/>
  <c r="H156" i="3"/>
  <c r="H158" i="3"/>
  <c r="J158" i="3" s="1"/>
  <c r="H160" i="3"/>
  <c r="J160" i="3" s="1"/>
  <c r="H162" i="3"/>
  <c r="J162" i="3" s="1"/>
  <c r="H164" i="3"/>
  <c r="J164" i="3" s="1"/>
  <c r="H166" i="3"/>
  <c r="J166" i="3" s="1"/>
  <c r="H168" i="3"/>
  <c r="J168" i="3" s="1"/>
  <c r="H170" i="3"/>
  <c r="J170" i="3" s="1"/>
  <c r="H172" i="3"/>
  <c r="J172" i="3" s="1"/>
  <c r="H174" i="3"/>
  <c r="J174" i="3" s="1"/>
  <c r="H176" i="3"/>
  <c r="J176" i="3" s="1"/>
  <c r="H178" i="3"/>
  <c r="J178" i="3" s="1"/>
  <c r="H180" i="3"/>
  <c r="J180" i="3" s="1"/>
  <c r="H182" i="3"/>
  <c r="J182" i="3" s="1"/>
  <c r="H184" i="3"/>
  <c r="J184" i="3" s="1"/>
  <c r="H186" i="3"/>
  <c r="J186" i="3" s="1"/>
  <c r="H188" i="3"/>
  <c r="J188" i="3" s="1"/>
  <c r="H190" i="3"/>
  <c r="J190" i="3" s="1"/>
  <c r="H270" i="3"/>
  <c r="J270" i="3" s="1"/>
  <c r="H272" i="3"/>
  <c r="J272" i="3" s="1"/>
  <c r="H274" i="3"/>
  <c r="J274" i="3" s="1"/>
  <c r="H276" i="3"/>
  <c r="J276" i="3" s="1"/>
  <c r="H280" i="3"/>
  <c r="J280" i="3" s="1"/>
  <c r="H286" i="3"/>
  <c r="J286" i="3" s="1"/>
  <c r="H288" i="3"/>
  <c r="J288" i="3" s="1"/>
  <c r="H290" i="3"/>
  <c r="J290" i="3" s="1"/>
  <c r="H292" i="3"/>
  <c r="J292" i="3" s="1"/>
  <c r="H296" i="3"/>
  <c r="J296" i="3" s="1"/>
  <c r="H328" i="3"/>
  <c r="J328" i="3" s="1"/>
  <c r="H334" i="3"/>
  <c r="J334" i="3" s="1"/>
  <c r="H336" i="3"/>
  <c r="J336" i="3" s="1"/>
  <c r="H338" i="3"/>
  <c r="J338" i="3" s="1"/>
  <c r="H340" i="3"/>
  <c r="J340" i="3" s="1"/>
  <c r="H344" i="3"/>
  <c r="J344" i="3" s="1"/>
  <c r="H350" i="3"/>
  <c r="J350" i="3" s="1"/>
  <c r="H352" i="3"/>
  <c r="J352" i="3" s="1"/>
  <c r="H354" i="3"/>
  <c r="J354" i="3" s="1"/>
  <c r="H356" i="3"/>
  <c r="H367" i="4"/>
  <c r="J367" i="4" s="1"/>
  <c r="H371" i="4"/>
  <c r="J371" i="4" s="1"/>
  <c r="H379" i="4"/>
  <c r="H399" i="4"/>
  <c r="J399" i="4" s="1"/>
  <c r="H403" i="4"/>
  <c r="J403" i="4" s="1"/>
  <c r="H411" i="4"/>
  <c r="J411" i="4" s="1"/>
  <c r="H431" i="4"/>
  <c r="J431" i="4" s="1"/>
  <c r="H435" i="4"/>
  <c r="J435" i="4" s="1"/>
  <c r="H443" i="4"/>
  <c r="J443" i="4" s="1"/>
  <c r="J17" i="6"/>
  <c r="J26" i="6"/>
  <c r="H335" i="3"/>
  <c r="J335" i="3" s="1"/>
  <c r="H339" i="3"/>
  <c r="J339" i="3" s="1"/>
  <c r="H351" i="3"/>
  <c r="J351" i="3" s="1"/>
  <c r="H355" i="3"/>
  <c r="J355" i="3" s="1"/>
  <c r="H361" i="3"/>
  <c r="J361" i="3" s="1"/>
  <c r="H373" i="3"/>
  <c r="H380" i="3"/>
  <c r="J380" i="3" s="1"/>
  <c r="H200" i="4"/>
  <c r="J200" i="4" s="1"/>
  <c r="H202" i="4"/>
  <c r="J202" i="4" s="1"/>
  <c r="H204" i="4"/>
  <c r="J204" i="4" s="1"/>
  <c r="H206" i="4"/>
  <c r="J206" i="4" s="1"/>
  <c r="H264" i="4"/>
  <c r="J264" i="4" s="1"/>
  <c r="H266" i="4"/>
  <c r="J266" i="4" s="1"/>
  <c r="H268" i="4"/>
  <c r="J268" i="4" s="1"/>
  <c r="H270" i="4"/>
  <c r="J270" i="4" s="1"/>
  <c r="H276" i="4"/>
  <c r="J276" i="4" s="1"/>
  <c r="H278" i="4"/>
  <c r="J278" i="4" s="1"/>
  <c r="H284" i="4"/>
  <c r="J284" i="4" s="1"/>
  <c r="H286" i="4"/>
  <c r="J286" i="4" s="1"/>
  <c r="H328" i="4"/>
  <c r="J328" i="4" s="1"/>
  <c r="H330" i="4"/>
  <c r="J330" i="4" s="1"/>
  <c r="H332" i="4"/>
  <c r="J332" i="4" s="1"/>
  <c r="H334" i="4"/>
  <c r="J334" i="4" s="1"/>
  <c r="H340" i="4"/>
  <c r="J340" i="4" s="1"/>
  <c r="H342" i="4"/>
  <c r="J342" i="4" s="1"/>
  <c r="H348" i="4"/>
  <c r="J348" i="4" s="1"/>
  <c r="H350" i="4"/>
  <c r="J350" i="4" s="1"/>
  <c r="H463" i="4"/>
  <c r="J463" i="4" s="1"/>
  <c r="H467" i="4"/>
  <c r="H475" i="4"/>
  <c r="H484" i="4"/>
  <c r="J484" i="4" s="1"/>
  <c r="H494" i="4"/>
  <c r="J494" i="4" s="1"/>
  <c r="H513" i="4"/>
  <c r="J513" i="4" s="1"/>
  <c r="H563" i="4"/>
  <c r="J563" i="4" s="1"/>
  <c r="H564" i="4"/>
  <c r="J564" i="4" s="1"/>
  <c r="H566" i="4"/>
  <c r="J566" i="4" s="1"/>
  <c r="H568" i="4"/>
  <c r="J568" i="4" s="1"/>
  <c r="H576" i="4"/>
  <c r="J576" i="4" s="1"/>
  <c r="H578" i="4"/>
  <c r="J578" i="4" s="1"/>
  <c r="H580" i="4"/>
  <c r="H582" i="4"/>
  <c r="J582" i="4" s="1"/>
  <c r="H584" i="4"/>
  <c r="J584" i="4" s="1"/>
  <c r="H604" i="4"/>
  <c r="J604" i="4" s="1"/>
  <c r="H606" i="4"/>
  <c r="J606" i="4" s="1"/>
  <c r="H608" i="4"/>
  <c r="J608" i="4" s="1"/>
  <c r="H610" i="4"/>
  <c r="J610" i="4" s="1"/>
  <c r="H372" i="4"/>
  <c r="J372" i="4" s="1"/>
  <c r="H374" i="4"/>
  <c r="J374" i="4" s="1"/>
  <c r="H376" i="4"/>
  <c r="J376" i="4" s="1"/>
  <c r="H378" i="4"/>
  <c r="J378" i="4" s="1"/>
  <c r="H380" i="4"/>
  <c r="J380" i="4" s="1"/>
  <c r="H382" i="4"/>
  <c r="J382" i="4" s="1"/>
  <c r="H404" i="4"/>
  <c r="J404" i="4" s="1"/>
  <c r="H406" i="4"/>
  <c r="J406" i="4" s="1"/>
  <c r="H408" i="4"/>
  <c r="H410" i="4"/>
  <c r="J410" i="4" s="1"/>
  <c r="H412" i="4"/>
  <c r="J412" i="4" s="1"/>
  <c r="H414" i="4"/>
  <c r="J414" i="4" s="1"/>
  <c r="H436" i="4"/>
  <c r="J436" i="4" s="1"/>
  <c r="H438" i="4"/>
  <c r="J438" i="4" s="1"/>
  <c r="H440" i="4"/>
  <c r="J440" i="4" s="1"/>
  <c r="H442" i="4"/>
  <c r="J442" i="4" s="1"/>
  <c r="H444" i="4"/>
  <c r="J444" i="4" s="1"/>
  <c r="H446" i="4"/>
  <c r="J446" i="4" s="1"/>
  <c r="H530" i="4"/>
  <c r="J530" i="4" s="1"/>
  <c r="H532" i="4"/>
  <c r="J532" i="4" s="1"/>
  <c r="H538" i="4"/>
  <c r="J538" i="4" s="1"/>
  <c r="H615" i="4"/>
  <c r="J615" i="4" s="1"/>
  <c r="H619" i="4"/>
  <c r="J619" i="4" s="1"/>
  <c r="H623" i="4"/>
  <c r="H193" i="3"/>
  <c r="J193" i="3" s="1"/>
  <c r="H271" i="3"/>
  <c r="J271" i="3" s="1"/>
  <c r="H275" i="3"/>
  <c r="J275" i="3" s="1"/>
  <c r="H291" i="3"/>
  <c r="J291" i="3" s="1"/>
  <c r="H297" i="3"/>
  <c r="J297" i="3" s="1"/>
  <c r="H309" i="3"/>
  <c r="J309" i="3" s="1"/>
  <c r="H316" i="3"/>
  <c r="J316" i="3" s="1"/>
  <c r="H389" i="3"/>
  <c r="J389" i="3" s="1"/>
  <c r="H393" i="3"/>
  <c r="H396" i="3"/>
  <c r="J396" i="3" s="1"/>
  <c r="H468" i="4"/>
  <c r="H470" i="4"/>
  <c r="J470" i="4" s="1"/>
  <c r="H472" i="4"/>
  <c r="J472" i="4" s="1"/>
  <c r="H474" i="4"/>
  <c r="J474" i="4" s="1"/>
  <c r="H476" i="4"/>
  <c r="J476" i="4" s="1"/>
  <c r="H478" i="4"/>
  <c r="J478" i="4" s="1"/>
  <c r="H607" i="4"/>
  <c r="J607" i="4" s="1"/>
  <c r="H609" i="4"/>
  <c r="J609" i="4" s="1"/>
  <c r="H611" i="4"/>
  <c r="J611" i="4" s="1"/>
  <c r="J18" i="6"/>
  <c r="J21" i="6"/>
  <c r="J22" i="6"/>
  <c r="J25" i="6"/>
  <c r="H281" i="3"/>
  <c r="J281" i="3" s="1"/>
  <c r="H293" i="3"/>
  <c r="J293" i="3" s="1"/>
  <c r="H318" i="3"/>
  <c r="J318" i="3" s="1"/>
  <c r="H320" i="3"/>
  <c r="J320" i="3" s="1"/>
  <c r="H322" i="3"/>
  <c r="J322" i="3" s="1"/>
  <c r="H324" i="3"/>
  <c r="H345" i="3"/>
  <c r="J345" i="3" s="1"/>
  <c r="H357" i="3"/>
  <c r="J357" i="3" s="1"/>
  <c r="H384" i="3"/>
  <c r="J384" i="3" s="1"/>
  <c r="H391" i="3"/>
  <c r="H397" i="3"/>
  <c r="J397" i="3" s="1"/>
  <c r="H184" i="4"/>
  <c r="J184" i="4" s="1"/>
  <c r="H186" i="4"/>
  <c r="J186" i="4" s="1"/>
  <c r="H188" i="4"/>
  <c r="J188" i="4" s="1"/>
  <c r="H190" i="4"/>
  <c r="J190" i="4" s="1"/>
  <c r="H248" i="4"/>
  <c r="J248" i="4" s="1"/>
  <c r="H250" i="4"/>
  <c r="J250" i="4" s="1"/>
  <c r="H252" i="4"/>
  <c r="J252" i="4" s="1"/>
  <c r="H254" i="4"/>
  <c r="J254" i="4" s="1"/>
  <c r="H268" i="3"/>
  <c r="J268" i="3" s="1"/>
  <c r="H303" i="3"/>
  <c r="J303" i="3" s="1"/>
  <c r="H307" i="3"/>
  <c r="J307" i="3" s="1"/>
  <c r="H332" i="3"/>
  <c r="J332" i="3" s="1"/>
  <c r="H367" i="3"/>
  <c r="J367" i="3" s="1"/>
  <c r="H371" i="3"/>
  <c r="J371" i="3" s="1"/>
  <c r="H171" i="4"/>
  <c r="J171" i="4" s="1"/>
  <c r="H216" i="4"/>
  <c r="J216" i="4" s="1"/>
  <c r="H218" i="4"/>
  <c r="J218" i="4" s="1"/>
  <c r="H220" i="4"/>
  <c r="J220" i="4" s="1"/>
  <c r="H222" i="4"/>
  <c r="J222" i="4" s="1"/>
  <c r="H292" i="4"/>
  <c r="J292" i="4" s="1"/>
  <c r="H294" i="4"/>
  <c r="J294" i="4" s="1"/>
  <c r="H296" i="4"/>
  <c r="J296" i="4" s="1"/>
  <c r="H298" i="4"/>
  <c r="J298" i="4" s="1"/>
  <c r="H300" i="4"/>
  <c r="J300" i="4" s="1"/>
  <c r="H302" i="4"/>
  <c r="H195" i="3"/>
  <c r="J195" i="3" s="1"/>
  <c r="H197" i="3"/>
  <c r="J197" i="3" s="1"/>
  <c r="H199" i="3"/>
  <c r="J199" i="3" s="1"/>
  <c r="H201" i="3"/>
  <c r="J201" i="3" s="1"/>
  <c r="H203" i="3"/>
  <c r="H205" i="3"/>
  <c r="J205" i="3" s="1"/>
  <c r="H207" i="3"/>
  <c r="J207" i="3" s="1"/>
  <c r="H209" i="3"/>
  <c r="H211" i="3"/>
  <c r="J211" i="3" s="1"/>
  <c r="H213" i="3"/>
  <c r="J213" i="3" s="1"/>
  <c r="H215" i="3"/>
  <c r="J215" i="3" s="1"/>
  <c r="H217" i="3"/>
  <c r="J217" i="3" s="1"/>
  <c r="H219" i="3"/>
  <c r="J219" i="3" s="1"/>
  <c r="H221" i="3"/>
  <c r="J221" i="3" s="1"/>
  <c r="H223" i="3"/>
  <c r="J223" i="3" s="1"/>
  <c r="H225" i="3"/>
  <c r="J225" i="3" s="1"/>
  <c r="H227" i="3"/>
  <c r="H229" i="3"/>
  <c r="J229" i="3" s="1"/>
  <c r="H231" i="3"/>
  <c r="J231" i="3" s="1"/>
  <c r="H233" i="3"/>
  <c r="J233" i="3" s="1"/>
  <c r="H235" i="3"/>
  <c r="J235" i="3" s="1"/>
  <c r="H237" i="3"/>
  <c r="J237" i="3" s="1"/>
  <c r="H239" i="3"/>
  <c r="J239" i="3" s="1"/>
  <c r="H241" i="3"/>
  <c r="J241" i="3" s="1"/>
  <c r="H243" i="3"/>
  <c r="H245" i="3"/>
  <c r="J245" i="3" s="1"/>
  <c r="H247" i="3"/>
  <c r="J247" i="3" s="1"/>
  <c r="H249" i="3"/>
  <c r="J249" i="3" s="1"/>
  <c r="H251" i="3"/>
  <c r="J251" i="3" s="1"/>
  <c r="H253" i="3"/>
  <c r="J253" i="3" s="1"/>
  <c r="H255" i="3"/>
  <c r="J255" i="3" s="1"/>
  <c r="H257" i="3"/>
  <c r="J257" i="3" s="1"/>
  <c r="H259" i="3"/>
  <c r="J259" i="3" s="1"/>
  <c r="H261" i="3"/>
  <c r="J261" i="3" s="1"/>
  <c r="H263" i="3"/>
  <c r="J263" i="3" s="1"/>
  <c r="H265" i="3"/>
  <c r="J265" i="3" s="1"/>
  <c r="H267" i="3"/>
  <c r="J267" i="3" s="1"/>
  <c r="H277" i="3"/>
  <c r="J277" i="3" s="1"/>
  <c r="H284" i="3"/>
  <c r="J284" i="3" s="1"/>
  <c r="H302" i="3"/>
  <c r="J302" i="3" s="1"/>
  <c r="H304" i="3"/>
  <c r="H306" i="3"/>
  <c r="J306" i="3" s="1"/>
  <c r="H308" i="3"/>
  <c r="J308" i="3" s="1"/>
  <c r="H319" i="3"/>
  <c r="H323" i="3"/>
  <c r="J323" i="3" s="1"/>
  <c r="H329" i="3"/>
  <c r="J329" i="3" s="1"/>
  <c r="H341" i="3"/>
  <c r="J341" i="3" s="1"/>
  <c r="H348" i="3"/>
  <c r="J348" i="3" s="1"/>
  <c r="H366" i="3"/>
  <c r="J366" i="3" s="1"/>
  <c r="H368" i="3"/>
  <c r="J368" i="3" s="1"/>
  <c r="H370" i="3"/>
  <c r="J370" i="3" s="1"/>
  <c r="H372" i="3"/>
  <c r="J372" i="3" s="1"/>
  <c r="H385" i="3"/>
  <c r="J385" i="3" s="1"/>
  <c r="H387" i="3"/>
  <c r="J387" i="3" s="1"/>
  <c r="H6" i="4"/>
  <c r="J6" i="4" s="1"/>
  <c r="H10" i="4"/>
  <c r="J10" i="4" s="1"/>
  <c r="H14" i="4"/>
  <c r="J14" i="4" s="1"/>
  <c r="H170" i="4"/>
  <c r="J170" i="4" s="1"/>
  <c r="H174" i="4"/>
  <c r="J174" i="4" s="1"/>
  <c r="H232" i="4"/>
  <c r="J232" i="4" s="1"/>
  <c r="H234" i="4"/>
  <c r="J234" i="4" s="1"/>
  <c r="H236" i="4"/>
  <c r="J236" i="4" s="1"/>
  <c r="H238" i="4"/>
  <c r="J238" i="4" s="1"/>
  <c r="H308" i="4"/>
  <c r="J308" i="4" s="1"/>
  <c r="H310" i="4"/>
  <c r="J310" i="4" s="1"/>
  <c r="H312" i="4"/>
  <c r="J312" i="4" s="1"/>
  <c r="H314" i="4"/>
  <c r="J314" i="4" s="1"/>
  <c r="H316" i="4"/>
  <c r="J316" i="4" s="1"/>
  <c r="H318" i="4"/>
  <c r="J318" i="4" s="1"/>
  <c r="H363" i="4"/>
  <c r="J363" i="4" s="1"/>
  <c r="H388" i="4"/>
  <c r="J388" i="4" s="1"/>
  <c r="H390" i="4"/>
  <c r="J390" i="4" s="1"/>
  <c r="H392" i="4"/>
  <c r="J392" i="4" s="1"/>
  <c r="H394" i="4"/>
  <c r="J394" i="4" s="1"/>
  <c r="H396" i="4"/>
  <c r="H398" i="4"/>
  <c r="J398" i="4" s="1"/>
  <c r="H415" i="4"/>
  <c r="H419" i="4"/>
  <c r="J419" i="4" s="1"/>
  <c r="H427" i="4"/>
  <c r="J427" i="4" s="1"/>
  <c r="H452" i="4"/>
  <c r="J452" i="4" s="1"/>
  <c r="H454" i="4"/>
  <c r="J454" i="4" s="1"/>
  <c r="H456" i="4"/>
  <c r="H458" i="4"/>
  <c r="J458" i="4" s="1"/>
  <c r="H460" i="4"/>
  <c r="H462" i="4"/>
  <c r="J462" i="4" s="1"/>
  <c r="H479" i="4"/>
  <c r="J479" i="4" s="1"/>
  <c r="H485" i="4"/>
  <c r="J485" i="4" s="1"/>
  <c r="H493" i="4"/>
  <c r="J493" i="4" s="1"/>
  <c r="H498" i="4"/>
  <c r="J498" i="4" s="1"/>
  <c r="H515" i="4"/>
  <c r="J515" i="4" s="1"/>
  <c r="H517" i="4"/>
  <c r="H521" i="4"/>
  <c r="J521" i="4" s="1"/>
  <c r="H523" i="4"/>
  <c r="J523" i="4" s="1"/>
  <c r="H546" i="4"/>
  <c r="J546" i="4" s="1"/>
  <c r="H548" i="4"/>
  <c r="J548" i="4" s="1"/>
  <c r="H552" i="4"/>
  <c r="J552" i="4" s="1"/>
  <c r="H561" i="4"/>
  <c r="J561" i="4" s="1"/>
  <c r="H592" i="4"/>
  <c r="H594" i="4"/>
  <c r="J594" i="4" s="1"/>
  <c r="H596" i="4"/>
  <c r="J596" i="4" s="1"/>
  <c r="H356" i="4"/>
  <c r="J356" i="4" s="1"/>
  <c r="H358" i="4"/>
  <c r="J358" i="4" s="1"/>
  <c r="H360" i="4"/>
  <c r="J360" i="4" s="1"/>
  <c r="H362" i="4"/>
  <c r="H364" i="4"/>
  <c r="J364" i="4" s="1"/>
  <c r="H366" i="4"/>
  <c r="J366" i="4" s="1"/>
  <c r="H383" i="4"/>
  <c r="H387" i="4"/>
  <c r="J387" i="4" s="1"/>
  <c r="H395" i="4"/>
  <c r="H420" i="4"/>
  <c r="J420" i="4" s="1"/>
  <c r="H422" i="4"/>
  <c r="H424" i="4"/>
  <c r="J424" i="4" s="1"/>
  <c r="H426" i="4"/>
  <c r="H428" i="4"/>
  <c r="H430" i="4"/>
  <c r="J430" i="4" s="1"/>
  <c r="H447" i="4"/>
  <c r="J447" i="4" s="1"/>
  <c r="H451" i="4"/>
  <c r="J451" i="4" s="1"/>
  <c r="H459" i="4"/>
  <c r="J459" i="4" s="1"/>
  <c r="H486" i="4"/>
  <c r="J486" i="4" s="1"/>
  <c r="H488" i="4"/>
  <c r="J488" i="4" s="1"/>
  <c r="H490" i="4"/>
  <c r="J490" i="4" s="1"/>
  <c r="H492" i="4"/>
  <c r="J492" i="4" s="1"/>
  <c r="H503" i="4"/>
  <c r="J503" i="4" s="1"/>
  <c r="H522" i="4"/>
  <c r="J522" i="4" s="1"/>
  <c r="H529" i="4"/>
  <c r="J529" i="4" s="1"/>
  <c r="H547" i="4"/>
  <c r="J547" i="4" s="1"/>
  <c r="H549" i="4"/>
  <c r="H551" i="4"/>
  <c r="J551" i="4" s="1"/>
  <c r="H556" i="4"/>
  <c r="H560" i="4"/>
  <c r="J560" i="4" s="1"/>
  <c r="H571" i="4"/>
  <c r="H575" i="4"/>
  <c r="J575" i="4" s="1"/>
  <c r="H601" i="4"/>
  <c r="J13" i="6"/>
  <c r="J14" i="6"/>
  <c r="J30" i="6"/>
  <c r="J5" i="6"/>
  <c r="J6" i="6"/>
  <c r="J7" i="6"/>
  <c r="H27" i="3"/>
  <c r="J27" i="3" s="1"/>
  <c r="H279" i="3"/>
  <c r="J279" i="3" s="1"/>
  <c r="H295" i="3"/>
  <c r="J295" i="3" s="1"/>
  <c r="H311" i="3"/>
  <c r="J311" i="3" s="1"/>
  <c r="H327" i="3"/>
  <c r="H343" i="3"/>
  <c r="J343" i="3" s="1"/>
  <c r="H359" i="3"/>
  <c r="J359" i="3" s="1"/>
  <c r="H375" i="3"/>
  <c r="J375" i="3" s="1"/>
  <c r="H382" i="3"/>
  <c r="J382" i="3" s="1"/>
  <c r="H18" i="4"/>
  <c r="J18" i="4" s="1"/>
  <c r="H22" i="4"/>
  <c r="J22" i="4" s="1"/>
  <c r="H26" i="4"/>
  <c r="J26" i="4" s="1"/>
  <c r="H30" i="4"/>
  <c r="J30" i="4" s="1"/>
  <c r="H34" i="4"/>
  <c r="H38" i="4"/>
  <c r="J38" i="4" s="1"/>
  <c r="H42" i="4"/>
  <c r="J42" i="4" s="1"/>
  <c r="H46" i="4"/>
  <c r="J46" i="4" s="1"/>
  <c r="H50" i="4"/>
  <c r="J50" i="4" s="1"/>
  <c r="H54" i="4"/>
  <c r="J54" i="4" s="1"/>
  <c r="H58" i="4"/>
  <c r="J58" i="4" s="1"/>
  <c r="H62" i="4"/>
  <c r="J62" i="4" s="1"/>
  <c r="H66" i="4"/>
  <c r="J66" i="4" s="1"/>
  <c r="H70" i="4"/>
  <c r="J70" i="4" s="1"/>
  <c r="H74" i="4"/>
  <c r="J74" i="4" s="1"/>
  <c r="H78" i="4"/>
  <c r="J78" i="4" s="1"/>
  <c r="H82" i="4"/>
  <c r="J82" i="4" s="1"/>
  <c r="H86" i="4"/>
  <c r="J86" i="4" s="1"/>
  <c r="H90" i="4"/>
  <c r="J90" i="4" s="1"/>
  <c r="H94" i="4"/>
  <c r="H98" i="4"/>
  <c r="J98" i="4" s="1"/>
  <c r="H102" i="4"/>
  <c r="H106" i="4"/>
  <c r="J106" i="4" s="1"/>
  <c r="H110" i="4"/>
  <c r="H114" i="4"/>
  <c r="H118" i="4"/>
  <c r="J118" i="4" s="1"/>
  <c r="H122" i="4"/>
  <c r="J122" i="4" s="1"/>
  <c r="H126" i="4"/>
  <c r="J126" i="4" s="1"/>
  <c r="H130" i="4"/>
  <c r="J130" i="4" s="1"/>
  <c r="H134" i="4"/>
  <c r="J134" i="4" s="1"/>
  <c r="H138" i="4"/>
  <c r="J138" i="4" s="1"/>
  <c r="H142" i="4"/>
  <c r="J142" i="4" s="1"/>
  <c r="H146" i="4"/>
  <c r="J146" i="4" s="1"/>
  <c r="H150" i="4"/>
  <c r="J150" i="4" s="1"/>
  <c r="H154" i="4"/>
  <c r="J154" i="4" s="1"/>
  <c r="H158" i="4"/>
  <c r="H162" i="4"/>
  <c r="J162" i="4" s="1"/>
  <c r="H166" i="4"/>
  <c r="J166" i="4" s="1"/>
  <c r="H192" i="3"/>
  <c r="J192" i="3" s="1"/>
  <c r="H194" i="3"/>
  <c r="J194" i="3" s="1"/>
  <c r="H196" i="3"/>
  <c r="J196" i="3" s="1"/>
  <c r="H198" i="3"/>
  <c r="J198" i="3" s="1"/>
  <c r="H200" i="3"/>
  <c r="J200" i="3" s="1"/>
  <c r="H202" i="3"/>
  <c r="J202" i="3" s="1"/>
  <c r="H204" i="3"/>
  <c r="J204" i="3" s="1"/>
  <c r="H206" i="3"/>
  <c r="J206" i="3" s="1"/>
  <c r="H208" i="3"/>
  <c r="J208" i="3" s="1"/>
  <c r="H210" i="3"/>
  <c r="J210" i="3" s="1"/>
  <c r="H212" i="3"/>
  <c r="H214" i="3"/>
  <c r="H216" i="3"/>
  <c r="J216" i="3" s="1"/>
  <c r="H218" i="3"/>
  <c r="J218" i="3" s="1"/>
  <c r="H220" i="3"/>
  <c r="J220" i="3" s="1"/>
  <c r="H222" i="3"/>
  <c r="J222" i="3" s="1"/>
  <c r="H224" i="3"/>
  <c r="J224" i="3" s="1"/>
  <c r="H226" i="3"/>
  <c r="J226" i="3" s="1"/>
  <c r="H228" i="3"/>
  <c r="J228" i="3" s="1"/>
  <c r="H230" i="3"/>
  <c r="H232" i="3"/>
  <c r="J232" i="3" s="1"/>
  <c r="H234" i="3"/>
  <c r="J234" i="3" s="1"/>
  <c r="H236" i="3"/>
  <c r="H238" i="3"/>
  <c r="J238" i="3" s="1"/>
  <c r="H240" i="3"/>
  <c r="H242" i="3"/>
  <c r="J242" i="3" s="1"/>
  <c r="H244" i="3"/>
  <c r="J244" i="3" s="1"/>
  <c r="H246" i="3"/>
  <c r="J246" i="3" s="1"/>
  <c r="H248" i="3"/>
  <c r="J248" i="3" s="1"/>
  <c r="H250" i="3"/>
  <c r="J250" i="3" s="1"/>
  <c r="H252" i="3"/>
  <c r="J252" i="3" s="1"/>
  <c r="H254" i="3"/>
  <c r="J254" i="3" s="1"/>
  <c r="H256" i="3"/>
  <c r="J256" i="3" s="1"/>
  <c r="H258" i="3"/>
  <c r="J258" i="3" s="1"/>
  <c r="H260" i="3"/>
  <c r="J260" i="3" s="1"/>
  <c r="H262" i="3"/>
  <c r="J262" i="3" s="1"/>
  <c r="H264" i="3"/>
  <c r="J264" i="3" s="1"/>
  <c r="H266" i="3"/>
  <c r="J266" i="3" s="1"/>
  <c r="H269" i="3"/>
  <c r="J269" i="3" s="1"/>
  <c r="H278" i="3"/>
  <c r="J278" i="3" s="1"/>
  <c r="H283" i="3"/>
  <c r="J283" i="3" s="1"/>
  <c r="H285" i="3"/>
  <c r="J285" i="3" s="1"/>
  <c r="H287" i="3"/>
  <c r="J287" i="3" s="1"/>
  <c r="H294" i="3"/>
  <c r="J294" i="3" s="1"/>
  <c r="H299" i="3"/>
  <c r="J299" i="3" s="1"/>
  <c r="H301" i="3"/>
  <c r="J301" i="3" s="1"/>
  <c r="H310" i="3"/>
  <c r="J310" i="3" s="1"/>
  <c r="H315" i="3"/>
  <c r="J315" i="3" s="1"/>
  <c r="H317" i="3"/>
  <c r="J317" i="3" s="1"/>
  <c r="H326" i="3"/>
  <c r="J326" i="3" s="1"/>
  <c r="H331" i="3"/>
  <c r="J331" i="3" s="1"/>
  <c r="H333" i="3"/>
  <c r="J333" i="3" s="1"/>
  <c r="H342" i="3"/>
  <c r="J342" i="3" s="1"/>
  <c r="H347" i="3"/>
  <c r="J347" i="3" s="1"/>
  <c r="H349" i="3"/>
  <c r="J349" i="3" s="1"/>
  <c r="H358" i="3"/>
  <c r="J358" i="3" s="1"/>
  <c r="H363" i="3"/>
  <c r="J363" i="3" s="1"/>
  <c r="H365" i="3"/>
  <c r="J365" i="3" s="1"/>
  <c r="H374" i="3"/>
  <c r="J374" i="3" s="1"/>
  <c r="H379" i="3"/>
  <c r="J379" i="3" s="1"/>
  <c r="H381" i="3"/>
  <c r="J381" i="3" s="1"/>
  <c r="H172" i="4"/>
  <c r="J172" i="4" s="1"/>
  <c r="H176" i="4"/>
  <c r="J176" i="4" s="1"/>
  <c r="H178" i="4"/>
  <c r="J178" i="4" s="1"/>
  <c r="H192" i="4"/>
  <c r="J192" i="4" s="1"/>
  <c r="H194" i="4"/>
  <c r="J194" i="4" s="1"/>
  <c r="H208" i="4"/>
  <c r="J208" i="4" s="1"/>
  <c r="H210" i="4"/>
  <c r="J210" i="4" s="1"/>
  <c r="H224" i="4"/>
  <c r="J224" i="4" s="1"/>
  <c r="H226" i="4"/>
  <c r="J226" i="4" s="1"/>
  <c r="H240" i="4"/>
  <c r="J240" i="4" s="1"/>
  <c r="H242" i="4"/>
  <c r="J242" i="4" s="1"/>
  <c r="H256" i="4"/>
  <c r="J256" i="4" s="1"/>
  <c r="H29" i="3"/>
  <c r="J29" i="3" s="1"/>
  <c r="H31" i="3"/>
  <c r="J31" i="3" s="1"/>
  <c r="H33" i="3"/>
  <c r="H35" i="3"/>
  <c r="J35" i="3" s="1"/>
  <c r="H37" i="3"/>
  <c r="J37" i="3" s="1"/>
  <c r="H39" i="3"/>
  <c r="H41" i="3"/>
  <c r="J41" i="3" s="1"/>
  <c r="H43" i="3"/>
  <c r="H45" i="3"/>
  <c r="J45" i="3" s="1"/>
  <c r="H47" i="3"/>
  <c r="H49" i="3"/>
  <c r="J49" i="3" s="1"/>
  <c r="H51" i="3"/>
  <c r="H53" i="3"/>
  <c r="H55" i="3"/>
  <c r="J55" i="3" s="1"/>
  <c r="H57" i="3"/>
  <c r="J57" i="3" s="1"/>
  <c r="H59" i="3"/>
  <c r="J59" i="3" s="1"/>
  <c r="H61" i="3"/>
  <c r="H63" i="3"/>
  <c r="J63" i="3" s="1"/>
  <c r="H65" i="3"/>
  <c r="H67" i="3"/>
  <c r="J67" i="3" s="1"/>
  <c r="H69" i="3"/>
  <c r="J69" i="3" s="1"/>
  <c r="H71" i="3"/>
  <c r="H73" i="3"/>
  <c r="H75" i="3"/>
  <c r="J75" i="3" s="1"/>
  <c r="H77" i="3"/>
  <c r="J77" i="3" s="1"/>
  <c r="H79" i="3"/>
  <c r="J79" i="3" s="1"/>
  <c r="H81" i="3"/>
  <c r="J81" i="3" s="1"/>
  <c r="H83" i="3"/>
  <c r="J83" i="3" s="1"/>
  <c r="H85" i="3"/>
  <c r="J85" i="3" s="1"/>
  <c r="H87" i="3"/>
  <c r="J87" i="3" s="1"/>
  <c r="H89" i="3"/>
  <c r="H91" i="3"/>
  <c r="J91" i="3" s="1"/>
  <c r="H93" i="3"/>
  <c r="J93" i="3" s="1"/>
  <c r="H95" i="3"/>
  <c r="H97" i="3"/>
  <c r="J97" i="3" s="1"/>
  <c r="H99" i="3"/>
  <c r="J99" i="3" s="1"/>
  <c r="H101" i="3"/>
  <c r="J101" i="3" s="1"/>
  <c r="H103" i="3"/>
  <c r="J103" i="3" s="1"/>
  <c r="H105" i="3"/>
  <c r="J105" i="3" s="1"/>
  <c r="H107" i="3"/>
  <c r="H109" i="3"/>
  <c r="J109" i="3" s="1"/>
  <c r="H111" i="3"/>
  <c r="H113" i="3"/>
  <c r="J113" i="3" s="1"/>
  <c r="H115" i="3"/>
  <c r="J115" i="3" s="1"/>
  <c r="H117" i="3"/>
  <c r="J117" i="3" s="1"/>
  <c r="H119" i="3"/>
  <c r="J119" i="3" s="1"/>
  <c r="H121" i="3"/>
  <c r="H123" i="3"/>
  <c r="J123" i="3" s="1"/>
  <c r="H125" i="3"/>
  <c r="J125" i="3" s="1"/>
  <c r="H127" i="3"/>
  <c r="J127" i="3" s="1"/>
  <c r="H129" i="3"/>
  <c r="J129" i="3" s="1"/>
  <c r="H131" i="3"/>
  <c r="J131" i="3" s="1"/>
  <c r="H133" i="3"/>
  <c r="H135" i="3"/>
  <c r="H137" i="3"/>
  <c r="J137" i="3" s="1"/>
  <c r="H139" i="3"/>
  <c r="J139" i="3" s="1"/>
  <c r="H141" i="3"/>
  <c r="J141" i="3" s="1"/>
  <c r="H143" i="3"/>
  <c r="J143" i="3" s="1"/>
  <c r="H145" i="3"/>
  <c r="J145" i="3" s="1"/>
  <c r="H147" i="3"/>
  <c r="J147" i="3" s="1"/>
  <c r="H149" i="3"/>
  <c r="J149" i="3" s="1"/>
  <c r="H151" i="3"/>
  <c r="H153" i="3"/>
  <c r="J153" i="3" s="1"/>
  <c r="H155" i="3"/>
  <c r="J155" i="3" s="1"/>
  <c r="H157" i="3"/>
  <c r="J157" i="3" s="1"/>
  <c r="H159" i="3"/>
  <c r="J159" i="3" s="1"/>
  <c r="H161" i="3"/>
  <c r="J161" i="3" s="1"/>
  <c r="H163" i="3"/>
  <c r="J163" i="3" s="1"/>
  <c r="H165" i="3"/>
  <c r="J165" i="3" s="1"/>
  <c r="H167" i="3"/>
  <c r="H169" i="3"/>
  <c r="J169" i="3" s="1"/>
  <c r="H171" i="3"/>
  <c r="J171" i="3" s="1"/>
  <c r="H173" i="3"/>
  <c r="J173" i="3" s="1"/>
  <c r="H175" i="3"/>
  <c r="J175" i="3" s="1"/>
  <c r="H177" i="3"/>
  <c r="J177" i="3" s="1"/>
  <c r="H179" i="3"/>
  <c r="J179" i="3" s="1"/>
  <c r="H181" i="3"/>
  <c r="J181" i="3" s="1"/>
  <c r="H183" i="3"/>
  <c r="J183" i="3" s="1"/>
  <c r="H185" i="3"/>
  <c r="J185" i="3" s="1"/>
  <c r="H187" i="3"/>
  <c r="J187" i="3" s="1"/>
  <c r="H189" i="3"/>
  <c r="H191" i="3"/>
  <c r="J191" i="3" s="1"/>
  <c r="H273" i="3"/>
  <c r="J273" i="3" s="1"/>
  <c r="H282" i="3"/>
  <c r="J282" i="3" s="1"/>
  <c r="H289" i="3"/>
  <c r="J289" i="3" s="1"/>
  <c r="H298" i="3"/>
  <c r="J298" i="3" s="1"/>
  <c r="H305" i="3"/>
  <c r="J305" i="3" s="1"/>
  <c r="H314" i="3"/>
  <c r="J314" i="3" s="1"/>
  <c r="H321" i="3"/>
  <c r="J321" i="3" s="1"/>
  <c r="H330" i="3"/>
  <c r="J330" i="3" s="1"/>
  <c r="H337" i="3"/>
  <c r="J337" i="3" s="1"/>
  <c r="H346" i="3"/>
  <c r="J346" i="3" s="1"/>
  <c r="H353" i="3"/>
  <c r="J353" i="3" s="1"/>
  <c r="H362" i="3"/>
  <c r="J362" i="3" s="1"/>
  <c r="H369" i="3"/>
  <c r="J369" i="3" s="1"/>
  <c r="H378" i="3"/>
  <c r="J378" i="3" s="1"/>
  <c r="H383" i="3"/>
  <c r="J383" i="3" s="1"/>
  <c r="H7" i="4"/>
  <c r="J7" i="4" s="1"/>
  <c r="H11" i="4"/>
  <c r="J11" i="4" s="1"/>
  <c r="H15" i="4"/>
  <c r="J15" i="4" s="1"/>
  <c r="H19" i="4"/>
  <c r="J19" i="4" s="1"/>
  <c r="H23" i="4"/>
  <c r="J23" i="4" s="1"/>
  <c r="H27" i="4"/>
  <c r="J27" i="4" s="1"/>
  <c r="H31" i="4"/>
  <c r="J31" i="4" s="1"/>
  <c r="H35" i="4"/>
  <c r="J35" i="4" s="1"/>
  <c r="H39" i="4"/>
  <c r="J39" i="4" s="1"/>
  <c r="H43" i="4"/>
  <c r="J43" i="4" s="1"/>
  <c r="H47" i="4"/>
  <c r="J47" i="4" s="1"/>
  <c r="H51" i="4"/>
  <c r="J51" i="4" s="1"/>
  <c r="H55" i="4"/>
  <c r="H59" i="4"/>
  <c r="J59" i="4" s="1"/>
  <c r="H63" i="4"/>
  <c r="J63" i="4" s="1"/>
  <c r="H67" i="4"/>
  <c r="J67" i="4" s="1"/>
  <c r="H71" i="4"/>
  <c r="J71" i="4" s="1"/>
  <c r="H75" i="4"/>
  <c r="J75" i="4" s="1"/>
  <c r="H79" i="4"/>
  <c r="J79" i="4" s="1"/>
  <c r="H83" i="4"/>
  <c r="H87" i="4"/>
  <c r="J87" i="4" s="1"/>
  <c r="H91" i="4"/>
  <c r="J91" i="4" s="1"/>
  <c r="H95" i="4"/>
  <c r="J95" i="4" s="1"/>
  <c r="H99" i="4"/>
  <c r="J99" i="4" s="1"/>
  <c r="H103" i="4"/>
  <c r="J103" i="4" s="1"/>
  <c r="H107" i="4"/>
  <c r="H111" i="4"/>
  <c r="H115" i="4"/>
  <c r="J115" i="4" s="1"/>
  <c r="H119" i="4"/>
  <c r="J119" i="4" s="1"/>
  <c r="H123" i="4"/>
  <c r="J123" i="4" s="1"/>
  <c r="H127" i="4"/>
  <c r="J127" i="4" s="1"/>
  <c r="H131" i="4"/>
  <c r="J131" i="4" s="1"/>
  <c r="H135" i="4"/>
  <c r="J135" i="4" s="1"/>
  <c r="H139" i="4"/>
  <c r="J139" i="4" s="1"/>
  <c r="H143" i="4"/>
  <c r="J143" i="4" s="1"/>
  <c r="H147" i="4"/>
  <c r="J147" i="4" s="1"/>
  <c r="H151" i="4"/>
  <c r="J151" i="4" s="1"/>
  <c r="H155" i="4"/>
  <c r="J155" i="4" s="1"/>
  <c r="H159" i="4"/>
  <c r="J159" i="4" s="1"/>
  <c r="H163" i="4"/>
  <c r="J163" i="4" s="1"/>
  <c r="H167" i="4"/>
  <c r="J167" i="4" s="1"/>
  <c r="H180" i="4"/>
  <c r="J180" i="4" s="1"/>
  <c r="H182" i="4"/>
  <c r="J182" i="4" s="1"/>
  <c r="H196" i="4"/>
  <c r="J196" i="4" s="1"/>
  <c r="H198" i="4"/>
  <c r="J198" i="4" s="1"/>
  <c r="H212" i="4"/>
  <c r="H214" i="4"/>
  <c r="J214" i="4" s="1"/>
  <c r="H228" i="4"/>
  <c r="J228" i="4" s="1"/>
  <c r="H230" i="4"/>
  <c r="J230" i="4" s="1"/>
  <c r="H244" i="4"/>
  <c r="J244" i="4" s="1"/>
  <c r="H246" i="4"/>
  <c r="J246" i="4" s="1"/>
  <c r="H260" i="4"/>
  <c r="J260" i="4" s="1"/>
  <c r="H262" i="4"/>
  <c r="J262" i="4" s="1"/>
  <c r="H280" i="4"/>
  <c r="J280" i="4" s="1"/>
  <c r="H282" i="4"/>
  <c r="J282" i="4" s="1"/>
  <c r="H324" i="4"/>
  <c r="J324" i="4" s="1"/>
  <c r="H326" i="4"/>
  <c r="J326" i="4" s="1"/>
  <c r="H344" i="4"/>
  <c r="J344" i="4" s="1"/>
  <c r="H346" i="4"/>
  <c r="J346" i="4" s="1"/>
  <c r="H504" i="4"/>
  <c r="J504" i="4" s="1"/>
  <c r="H507" i="4"/>
  <c r="J507" i="4" s="1"/>
  <c r="H519" i="4"/>
  <c r="J519" i="4" s="1"/>
  <c r="H526" i="4"/>
  <c r="J526" i="4" s="1"/>
  <c r="H535" i="4"/>
  <c r="J535" i="4" s="1"/>
  <c r="H542" i="4"/>
  <c r="J542" i="4" s="1"/>
  <c r="H570" i="4"/>
  <c r="J570" i="4" s="1"/>
  <c r="H572" i="4"/>
  <c r="J572" i="4" s="1"/>
  <c r="H574" i="4"/>
  <c r="J574" i="4" s="1"/>
  <c r="H579" i="4"/>
  <c r="J579" i="4" s="1"/>
  <c r="H583" i="4"/>
  <c r="J583" i="4" s="1"/>
  <c r="H600" i="4"/>
  <c r="H605" i="4"/>
  <c r="J605" i="4" s="1"/>
  <c r="H612" i="4"/>
  <c r="H613" i="4"/>
  <c r="H616" i="4"/>
  <c r="J616" i="4" s="1"/>
  <c r="H617" i="4"/>
  <c r="J617" i="4" s="1"/>
  <c r="H620" i="4"/>
  <c r="J620" i="4" s="1"/>
  <c r="H621" i="4"/>
  <c r="H483" i="4"/>
  <c r="J483" i="4" s="1"/>
  <c r="H495" i="4"/>
  <c r="J495" i="4" s="1"/>
  <c r="H258" i="4"/>
  <c r="J258" i="4" s="1"/>
  <c r="H272" i="4"/>
  <c r="J272" i="4" s="1"/>
  <c r="H274" i="4"/>
  <c r="J274" i="4" s="1"/>
  <c r="H288" i="4"/>
  <c r="J288" i="4" s="1"/>
  <c r="H290" i="4"/>
  <c r="J290" i="4" s="1"/>
  <c r="H304" i="4"/>
  <c r="J304" i="4" s="1"/>
  <c r="H306" i="4"/>
  <c r="J306" i="4" s="1"/>
  <c r="H320" i="4"/>
  <c r="J320" i="4" s="1"/>
  <c r="H322" i="4"/>
  <c r="J322" i="4" s="1"/>
  <c r="H336" i="4"/>
  <c r="J336" i="4" s="1"/>
  <c r="H338" i="4"/>
  <c r="J338" i="4" s="1"/>
  <c r="H352" i="4"/>
  <c r="J352" i="4" s="1"/>
  <c r="H354" i="4"/>
  <c r="J354" i="4" s="1"/>
  <c r="H368" i="4"/>
  <c r="J368" i="4" s="1"/>
  <c r="H370" i="4"/>
  <c r="J370" i="4" s="1"/>
  <c r="H375" i="4"/>
  <c r="J375" i="4" s="1"/>
  <c r="H384" i="4"/>
  <c r="J384" i="4" s="1"/>
  <c r="H386" i="4"/>
  <c r="J386" i="4" s="1"/>
  <c r="H391" i="4"/>
  <c r="J391" i="4" s="1"/>
  <c r="H400" i="4"/>
  <c r="J400" i="4" s="1"/>
  <c r="H402" i="4"/>
  <c r="J402" i="4" s="1"/>
  <c r="H407" i="4"/>
  <c r="J407" i="4" s="1"/>
  <c r="H416" i="4"/>
  <c r="J416" i="4" s="1"/>
  <c r="H418" i="4"/>
  <c r="J418" i="4" s="1"/>
  <c r="H423" i="4"/>
  <c r="H432" i="4"/>
  <c r="J432" i="4" s="1"/>
  <c r="H434" i="4"/>
  <c r="J434" i="4" s="1"/>
  <c r="H439" i="4"/>
  <c r="J439" i="4" s="1"/>
  <c r="H448" i="4"/>
  <c r="J448" i="4" s="1"/>
  <c r="H450" i="4"/>
  <c r="J450" i="4" s="1"/>
  <c r="H455" i="4"/>
  <c r="J455" i="4" s="1"/>
  <c r="H464" i="4"/>
  <c r="J464" i="4" s="1"/>
  <c r="H466" i="4"/>
  <c r="H471" i="4"/>
  <c r="J471" i="4" s="1"/>
  <c r="H482" i="4"/>
  <c r="J482" i="4" s="1"/>
  <c r="H496" i="4"/>
  <c r="J496" i="4" s="1"/>
  <c r="H499" i="4"/>
  <c r="J499" i="4" s="1"/>
  <c r="H505" i="4"/>
  <c r="J505" i="4" s="1"/>
  <c r="H512" i="4"/>
  <c r="H514" i="4"/>
  <c r="H520" i="4"/>
  <c r="J520" i="4" s="1"/>
  <c r="H527" i="4"/>
  <c r="J527" i="4" s="1"/>
  <c r="H534" i="4"/>
  <c r="J534" i="4" s="1"/>
  <c r="H536" i="4"/>
  <c r="J536" i="4" s="1"/>
  <c r="H543" i="4"/>
  <c r="J543" i="4" s="1"/>
  <c r="H555" i="4"/>
  <c r="J555" i="4" s="1"/>
  <c r="H557" i="4"/>
  <c r="J557" i="4" s="1"/>
  <c r="H559" i="4"/>
  <c r="J559" i="4" s="1"/>
  <c r="H567" i="4"/>
  <c r="H586" i="4"/>
  <c r="J586" i="4" s="1"/>
  <c r="H588" i="4"/>
  <c r="J588" i="4" s="1"/>
  <c r="H590" i="4"/>
  <c r="J590" i="4" s="1"/>
  <c r="H595" i="4"/>
  <c r="J595" i="4" s="1"/>
  <c r="H597" i="4"/>
  <c r="J597" i="4" s="1"/>
  <c r="H599" i="4"/>
  <c r="H614" i="4"/>
  <c r="J614" i="4" s="1"/>
  <c r="H618" i="4"/>
  <c r="J618" i="4" s="1"/>
  <c r="H622" i="4"/>
  <c r="H598" i="4"/>
  <c r="J598" i="4" s="1"/>
  <c r="J4" i="6"/>
  <c r="J8" i="6"/>
  <c r="J15" i="6"/>
  <c r="J16" i="6"/>
  <c r="J23" i="6"/>
  <c r="J24" i="6"/>
  <c r="J11" i="6"/>
  <c r="J12" i="6"/>
  <c r="J19" i="6"/>
  <c r="J20" i="6"/>
  <c r="J27" i="6"/>
  <c r="J28" i="6"/>
  <c r="J29" i="6"/>
  <c r="H4" i="3"/>
  <c r="H6" i="3"/>
  <c r="J6" i="3" s="1"/>
  <c r="H8" i="3"/>
  <c r="H10" i="3"/>
  <c r="H12" i="3"/>
  <c r="H14" i="3"/>
  <c r="J14" i="3" s="1"/>
  <c r="H17" i="3"/>
  <c r="J17" i="3" s="1"/>
  <c r="H19" i="3"/>
  <c r="J19" i="3" s="1"/>
  <c r="H21" i="3"/>
  <c r="J21" i="3" s="1"/>
  <c r="H23" i="3"/>
  <c r="H25" i="3"/>
  <c r="H5" i="3"/>
  <c r="J5" i="3" s="1"/>
  <c r="H7" i="3"/>
  <c r="J7" i="3" s="1"/>
  <c r="H9" i="3"/>
  <c r="J9" i="3" s="1"/>
  <c r="H11" i="3"/>
  <c r="J11" i="3" s="1"/>
  <c r="H13" i="3"/>
  <c r="J13" i="3" s="1"/>
  <c r="H15" i="3"/>
  <c r="H16" i="3"/>
  <c r="J16" i="3" s="1"/>
  <c r="H18" i="3"/>
  <c r="J18" i="3" s="1"/>
  <c r="H20" i="3"/>
  <c r="H22" i="3"/>
  <c r="J22" i="3" s="1"/>
  <c r="H24" i="3"/>
  <c r="J24" i="3" s="1"/>
  <c r="H5" i="4"/>
  <c r="J5" i="4" s="1"/>
  <c r="H9" i="4"/>
  <c r="J9" i="4" s="1"/>
  <c r="H13" i="4"/>
  <c r="J13" i="4" s="1"/>
  <c r="H17" i="4"/>
  <c r="J17" i="4" s="1"/>
  <c r="H21" i="4"/>
  <c r="H25" i="4"/>
  <c r="H29" i="4"/>
  <c r="H33" i="4"/>
  <c r="J33" i="4" s="1"/>
  <c r="H37" i="4"/>
  <c r="H41" i="4"/>
  <c r="J41" i="4" s="1"/>
  <c r="H45" i="4"/>
  <c r="J45" i="4" s="1"/>
  <c r="H49" i="4"/>
  <c r="J49" i="4" s="1"/>
  <c r="H53" i="4"/>
  <c r="J53" i="4" s="1"/>
  <c r="H57" i="4"/>
  <c r="J57" i="4" s="1"/>
  <c r="H61" i="4"/>
  <c r="J61" i="4" s="1"/>
  <c r="H65" i="4"/>
  <c r="H69" i="4"/>
  <c r="J69" i="4" s="1"/>
  <c r="H73" i="4"/>
  <c r="J73" i="4" s="1"/>
  <c r="H77" i="4"/>
  <c r="J77" i="4" s="1"/>
  <c r="H81" i="4"/>
  <c r="J81" i="4" s="1"/>
  <c r="H85" i="4"/>
  <c r="J85" i="4" s="1"/>
  <c r="H89" i="4"/>
  <c r="J89" i="4" s="1"/>
  <c r="H93" i="4"/>
  <c r="J93" i="4" s="1"/>
  <c r="H97" i="4"/>
  <c r="J97" i="4" s="1"/>
  <c r="H101" i="4"/>
  <c r="J101" i="4" s="1"/>
  <c r="H105" i="4"/>
  <c r="J105" i="4" s="1"/>
  <c r="H109" i="4"/>
  <c r="H113" i="4"/>
  <c r="H117" i="4"/>
  <c r="J117" i="4" s="1"/>
  <c r="H121" i="4"/>
  <c r="J121" i="4" s="1"/>
  <c r="H125" i="4"/>
  <c r="J125" i="4" s="1"/>
  <c r="H129" i="4"/>
  <c r="J129" i="4" s="1"/>
  <c r="H133" i="4"/>
  <c r="J133" i="4" s="1"/>
  <c r="H137" i="4"/>
  <c r="J137" i="4" s="1"/>
  <c r="H141" i="4"/>
  <c r="J141" i="4" s="1"/>
  <c r="H145" i="4"/>
  <c r="J145" i="4" s="1"/>
  <c r="H149" i="4"/>
  <c r="J149" i="4" s="1"/>
  <c r="H153" i="4"/>
  <c r="J153" i="4" s="1"/>
  <c r="H157" i="4"/>
  <c r="J157" i="4" s="1"/>
  <c r="H161" i="4"/>
  <c r="J161" i="4" s="1"/>
  <c r="H165" i="4"/>
  <c r="J165" i="4" s="1"/>
  <c r="H169" i="4"/>
  <c r="J169" i="4" s="1"/>
  <c r="H4" i="4"/>
  <c r="H8" i="4"/>
  <c r="J8" i="4" s="1"/>
  <c r="H12" i="4"/>
  <c r="J12" i="4" s="1"/>
  <c r="H16" i="4"/>
  <c r="J16" i="4" s="1"/>
  <c r="H20" i="4"/>
  <c r="J20" i="4" s="1"/>
  <c r="H24" i="4"/>
  <c r="H28" i="4"/>
  <c r="J28" i="4" s="1"/>
  <c r="H32" i="4"/>
  <c r="J32" i="4" s="1"/>
  <c r="H36" i="4"/>
  <c r="J36" i="4" s="1"/>
  <c r="H40" i="4"/>
  <c r="J40" i="4" s="1"/>
  <c r="H44" i="4"/>
  <c r="J44" i="4" s="1"/>
  <c r="H48" i="4"/>
  <c r="J48" i="4" s="1"/>
  <c r="H52" i="4"/>
  <c r="J52" i="4" s="1"/>
  <c r="H56" i="4"/>
  <c r="J56" i="4" s="1"/>
  <c r="H60" i="4"/>
  <c r="J60" i="4" s="1"/>
  <c r="H64" i="4"/>
  <c r="H68" i="4"/>
  <c r="J68" i="4" s="1"/>
  <c r="H72" i="4"/>
  <c r="J72" i="4" s="1"/>
  <c r="H76" i="4"/>
  <c r="J76" i="4" s="1"/>
  <c r="H80" i="4"/>
  <c r="J80" i="4" s="1"/>
  <c r="H84" i="4"/>
  <c r="J84" i="4" s="1"/>
  <c r="H88" i="4"/>
  <c r="J88" i="4" s="1"/>
  <c r="H92" i="4"/>
  <c r="J92" i="4" s="1"/>
  <c r="H96" i="4"/>
  <c r="J96" i="4" s="1"/>
  <c r="H100" i="4"/>
  <c r="J100" i="4" s="1"/>
  <c r="H104" i="4"/>
  <c r="J104" i="4" s="1"/>
  <c r="H108" i="4"/>
  <c r="J108" i="4" s="1"/>
  <c r="H112" i="4"/>
  <c r="J112" i="4" s="1"/>
  <c r="H116" i="4"/>
  <c r="J116" i="4" s="1"/>
  <c r="H120" i="4"/>
  <c r="J120" i="4" s="1"/>
  <c r="H124" i="4"/>
  <c r="J124" i="4" s="1"/>
  <c r="H128" i="4"/>
  <c r="J128" i="4" s="1"/>
  <c r="H132" i="4"/>
  <c r="J132" i="4" s="1"/>
  <c r="H136" i="4"/>
  <c r="J136" i="4" s="1"/>
  <c r="H140" i="4"/>
  <c r="J140" i="4" s="1"/>
  <c r="H144" i="4"/>
  <c r="J144" i="4" s="1"/>
  <c r="H148" i="4"/>
  <c r="J148" i="4" s="1"/>
  <c r="H152" i="4"/>
  <c r="J152" i="4" s="1"/>
  <c r="H156" i="4"/>
  <c r="J156" i="4" s="1"/>
  <c r="H160" i="4"/>
  <c r="J160" i="4" s="1"/>
  <c r="H164" i="4"/>
  <c r="J164" i="4" s="1"/>
  <c r="H168" i="4"/>
  <c r="J168" i="4" s="1"/>
  <c r="H509" i="4"/>
  <c r="H524" i="4"/>
  <c r="J524" i="4" s="1"/>
  <c r="H540" i="4"/>
  <c r="J540" i="4" s="1"/>
  <c r="H173" i="4"/>
  <c r="J173" i="4" s="1"/>
  <c r="H177" i="4"/>
  <c r="J177" i="4" s="1"/>
  <c r="H181" i="4"/>
  <c r="J181" i="4" s="1"/>
  <c r="H185" i="4"/>
  <c r="J185" i="4" s="1"/>
  <c r="H189" i="4"/>
  <c r="J189" i="4" s="1"/>
  <c r="H193" i="4"/>
  <c r="J193" i="4" s="1"/>
  <c r="H197" i="4"/>
  <c r="J197" i="4" s="1"/>
  <c r="H201" i="4"/>
  <c r="J201" i="4" s="1"/>
  <c r="H205" i="4"/>
  <c r="J205" i="4" s="1"/>
  <c r="H209" i="4"/>
  <c r="J209" i="4" s="1"/>
  <c r="H213" i="4"/>
  <c r="J213" i="4" s="1"/>
  <c r="H217" i="4"/>
  <c r="J217" i="4" s="1"/>
  <c r="H221" i="4"/>
  <c r="H225" i="4"/>
  <c r="J225" i="4" s="1"/>
  <c r="H229" i="4"/>
  <c r="J229" i="4" s="1"/>
  <c r="H233" i="4"/>
  <c r="J233" i="4" s="1"/>
  <c r="H237" i="4"/>
  <c r="J237" i="4" s="1"/>
  <c r="H241" i="4"/>
  <c r="J241" i="4" s="1"/>
  <c r="H245" i="4"/>
  <c r="J245" i="4" s="1"/>
  <c r="H249" i="4"/>
  <c r="J249" i="4" s="1"/>
  <c r="H253" i="4"/>
  <c r="J253" i="4" s="1"/>
  <c r="H257" i="4"/>
  <c r="J257" i="4" s="1"/>
  <c r="H261" i="4"/>
  <c r="J261" i="4" s="1"/>
  <c r="H265" i="4"/>
  <c r="H269" i="4"/>
  <c r="J269" i="4" s="1"/>
  <c r="H273" i="4"/>
  <c r="J273" i="4" s="1"/>
  <c r="H277" i="4"/>
  <c r="J277" i="4" s="1"/>
  <c r="H281" i="4"/>
  <c r="J281" i="4" s="1"/>
  <c r="H285" i="4"/>
  <c r="J285" i="4" s="1"/>
  <c r="H289" i="4"/>
  <c r="J289" i="4" s="1"/>
  <c r="H293" i="4"/>
  <c r="J293" i="4" s="1"/>
  <c r="H297" i="4"/>
  <c r="J297" i="4" s="1"/>
  <c r="H301" i="4"/>
  <c r="J301" i="4" s="1"/>
  <c r="H305" i="4"/>
  <c r="J305" i="4" s="1"/>
  <c r="H309" i="4"/>
  <c r="J309" i="4" s="1"/>
  <c r="H313" i="4"/>
  <c r="J313" i="4" s="1"/>
  <c r="H317" i="4"/>
  <c r="J317" i="4" s="1"/>
  <c r="H321" i="4"/>
  <c r="J321" i="4" s="1"/>
  <c r="H325" i="4"/>
  <c r="J325" i="4" s="1"/>
  <c r="H329" i="4"/>
  <c r="J329" i="4" s="1"/>
  <c r="H333" i="4"/>
  <c r="J333" i="4" s="1"/>
  <c r="H337" i="4"/>
  <c r="J337" i="4" s="1"/>
  <c r="H341" i="4"/>
  <c r="J341" i="4" s="1"/>
  <c r="H345" i="4"/>
  <c r="J345" i="4" s="1"/>
  <c r="H349" i="4"/>
  <c r="J349" i="4" s="1"/>
  <c r="H353" i="4"/>
  <c r="J353" i="4" s="1"/>
  <c r="H357" i="4"/>
  <c r="J357" i="4" s="1"/>
  <c r="H361" i="4"/>
  <c r="J361" i="4" s="1"/>
  <c r="H365" i="4"/>
  <c r="J365" i="4" s="1"/>
  <c r="H369" i="4"/>
  <c r="J369" i="4" s="1"/>
  <c r="H373" i="4"/>
  <c r="J373" i="4" s="1"/>
  <c r="H377" i="4"/>
  <c r="J377" i="4" s="1"/>
  <c r="H381" i="4"/>
  <c r="J381" i="4" s="1"/>
  <c r="H385" i="4"/>
  <c r="J385" i="4" s="1"/>
  <c r="H389" i="4"/>
  <c r="J389" i="4" s="1"/>
  <c r="H393" i="4"/>
  <c r="J393" i="4" s="1"/>
  <c r="H397" i="4"/>
  <c r="J397" i="4" s="1"/>
  <c r="H401" i="4"/>
  <c r="J401" i="4" s="1"/>
  <c r="H405" i="4"/>
  <c r="J405" i="4" s="1"/>
  <c r="H409" i="4"/>
  <c r="J409" i="4" s="1"/>
  <c r="H413" i="4"/>
  <c r="J413" i="4" s="1"/>
  <c r="H417" i="4"/>
  <c r="J417" i="4" s="1"/>
  <c r="H421" i="4"/>
  <c r="J421" i="4" s="1"/>
  <c r="H425" i="4"/>
  <c r="J425" i="4" s="1"/>
  <c r="H429" i="4"/>
  <c r="J429" i="4" s="1"/>
  <c r="H433" i="4"/>
  <c r="J433" i="4" s="1"/>
  <c r="H437" i="4"/>
  <c r="J437" i="4" s="1"/>
  <c r="H441" i="4"/>
  <c r="J441" i="4" s="1"/>
  <c r="H445" i="4"/>
  <c r="H449" i="4"/>
  <c r="J449" i="4" s="1"/>
  <c r="H453" i="4"/>
  <c r="H457" i="4"/>
  <c r="J457" i="4" s="1"/>
  <c r="H461" i="4"/>
  <c r="J461" i="4" s="1"/>
  <c r="H465" i="4"/>
  <c r="J465" i="4" s="1"/>
  <c r="H469" i="4"/>
  <c r="J469" i="4" s="1"/>
  <c r="H473" i="4"/>
  <c r="J473" i="4" s="1"/>
  <c r="H477" i="4"/>
  <c r="J477" i="4" s="1"/>
  <c r="H481" i="4"/>
  <c r="J481" i="4" s="1"/>
  <c r="H489" i="4"/>
  <c r="H497" i="4"/>
  <c r="H528" i="4"/>
  <c r="J528" i="4" s="1"/>
  <c r="H544" i="4"/>
  <c r="J544" i="4" s="1"/>
  <c r="H480" i="4"/>
  <c r="J480" i="4" s="1"/>
  <c r="H501" i="4"/>
  <c r="J501" i="4" s="1"/>
  <c r="H516" i="4"/>
  <c r="J516" i="4" s="1"/>
  <c r="H175" i="4"/>
  <c r="J175" i="4" s="1"/>
  <c r="H179" i="4"/>
  <c r="J179" i="4" s="1"/>
  <c r="H183" i="4"/>
  <c r="J183" i="4" s="1"/>
  <c r="H187" i="4"/>
  <c r="J187" i="4" s="1"/>
  <c r="H191" i="4"/>
  <c r="J191" i="4" s="1"/>
  <c r="H195" i="4"/>
  <c r="J195" i="4" s="1"/>
  <c r="H199" i="4"/>
  <c r="J199" i="4" s="1"/>
  <c r="H203" i="4"/>
  <c r="J203" i="4" s="1"/>
  <c r="H207" i="4"/>
  <c r="J207" i="4" s="1"/>
  <c r="H211" i="4"/>
  <c r="J211" i="4" s="1"/>
  <c r="H215" i="4"/>
  <c r="J215" i="4" s="1"/>
  <c r="H219" i="4"/>
  <c r="J219" i="4" s="1"/>
  <c r="H223" i="4"/>
  <c r="J223" i="4" s="1"/>
  <c r="H227" i="4"/>
  <c r="J227" i="4" s="1"/>
  <c r="H231" i="4"/>
  <c r="J231" i="4" s="1"/>
  <c r="H235" i="4"/>
  <c r="J235" i="4" s="1"/>
  <c r="H239" i="4"/>
  <c r="J239" i="4" s="1"/>
  <c r="H243" i="4"/>
  <c r="J243" i="4" s="1"/>
  <c r="H247" i="4"/>
  <c r="J247" i="4" s="1"/>
  <c r="H251" i="4"/>
  <c r="J251" i="4" s="1"/>
  <c r="H255" i="4"/>
  <c r="J255" i="4" s="1"/>
  <c r="H259" i="4"/>
  <c r="H263" i="4"/>
  <c r="J263" i="4" s="1"/>
  <c r="H267" i="4"/>
  <c r="J267" i="4" s="1"/>
  <c r="H271" i="4"/>
  <c r="J271" i="4" s="1"/>
  <c r="H275" i="4"/>
  <c r="J275" i="4" s="1"/>
  <c r="H279" i="4"/>
  <c r="J279" i="4" s="1"/>
  <c r="H283" i="4"/>
  <c r="J283" i="4" s="1"/>
  <c r="H287" i="4"/>
  <c r="J287" i="4" s="1"/>
  <c r="H291" i="4"/>
  <c r="H295" i="4"/>
  <c r="J295" i="4" s="1"/>
  <c r="H299" i="4"/>
  <c r="J299" i="4" s="1"/>
  <c r="H303" i="4"/>
  <c r="J303" i="4" s="1"/>
  <c r="H307" i="4"/>
  <c r="J307" i="4" s="1"/>
  <c r="H311" i="4"/>
  <c r="J311" i="4" s="1"/>
  <c r="H315" i="4"/>
  <c r="J315" i="4" s="1"/>
  <c r="H319" i="4"/>
  <c r="J319" i="4" s="1"/>
  <c r="H323" i="4"/>
  <c r="J323" i="4" s="1"/>
  <c r="H327" i="4"/>
  <c r="H331" i="4"/>
  <c r="J331" i="4" s="1"/>
  <c r="H335" i="4"/>
  <c r="J335" i="4" s="1"/>
  <c r="H339" i="4"/>
  <c r="J339" i="4" s="1"/>
  <c r="H343" i="4"/>
  <c r="J343" i="4" s="1"/>
  <c r="H347" i="4"/>
  <c r="J347" i="4" s="1"/>
  <c r="H351" i="4"/>
  <c r="J351" i="4" s="1"/>
  <c r="H355" i="4"/>
  <c r="J355" i="4" s="1"/>
  <c r="H359" i="4"/>
  <c r="J359" i="4" s="1"/>
  <c r="H558" i="4"/>
  <c r="J558" i="4" s="1"/>
  <c r="H565" i="4"/>
  <c r="J565" i="4" s="1"/>
  <c r="H573" i="4"/>
  <c r="J573" i="4" s="1"/>
  <c r="H581" i="4"/>
  <c r="J581" i="4" s="1"/>
  <c r="H589" i="4"/>
  <c r="J589" i="4" s="1"/>
  <c r="H554" i="4"/>
  <c r="J554" i="4" s="1"/>
  <c r="H562" i="4"/>
  <c r="J562" i="4" s="1"/>
  <c r="H569" i="4"/>
  <c r="H577" i="4"/>
  <c r="J577" i="4" s="1"/>
  <c r="H585" i="4"/>
  <c r="J585" i="4" s="1"/>
  <c r="H593" i="4"/>
  <c r="J593" i="4" s="1"/>
  <c r="H32" i="5" l="1"/>
  <c r="H7" i="5"/>
  <c r="H240" i="5"/>
  <c r="H259" i="5"/>
  <c r="H126" i="5"/>
  <c r="H44" i="5"/>
  <c r="J466" i="4"/>
  <c r="H18" i="5"/>
  <c r="H337" i="5"/>
  <c r="H91" i="5"/>
  <c r="H31" i="5"/>
  <c r="H76" i="5"/>
  <c r="H244" i="5"/>
  <c r="H221" i="5"/>
  <c r="H69" i="5"/>
  <c r="H59" i="5"/>
  <c r="H355" i="5"/>
  <c r="H261" i="5"/>
  <c r="H51" i="5"/>
  <c r="H62" i="5"/>
  <c r="J641" i="4"/>
  <c r="H252" i="5"/>
  <c r="H311" i="5"/>
  <c r="J693" i="4"/>
  <c r="H28" i="5"/>
  <c r="H120" i="5"/>
  <c r="H86" i="5"/>
  <c r="H248" i="5"/>
  <c r="H93" i="5"/>
  <c r="H118" i="5"/>
  <c r="H257" i="5"/>
  <c r="H116" i="5"/>
  <c r="H79" i="5"/>
  <c r="H60" i="5"/>
  <c r="H56" i="5"/>
  <c r="J468" i="4"/>
  <c r="J467" i="4"/>
  <c r="H115" i="5"/>
  <c r="H119" i="5"/>
  <c r="H81" i="5"/>
  <c r="H104" i="5"/>
  <c r="H327" i="5"/>
  <c r="J696" i="4"/>
  <c r="H95" i="5"/>
  <c r="H129" i="5"/>
  <c r="H225" i="5"/>
  <c r="H87" i="5"/>
  <c r="H172" i="5"/>
  <c r="H82" i="5"/>
  <c r="H159" i="5"/>
  <c r="H6" i="5"/>
  <c r="H29" i="5"/>
  <c r="H157" i="5"/>
  <c r="H64" i="5"/>
  <c r="H167" i="5"/>
  <c r="H5" i="5"/>
  <c r="H283" i="5"/>
  <c r="H171" i="5"/>
  <c r="H17" i="5"/>
  <c r="H103" i="5"/>
  <c r="H132" i="5"/>
  <c r="H253" i="5"/>
  <c r="H254" i="5"/>
  <c r="H330" i="5"/>
  <c r="J694" i="4"/>
  <c r="H353" i="5"/>
  <c r="H228" i="5"/>
  <c r="H33" i="5"/>
  <c r="H336" i="5"/>
  <c r="J622" i="4"/>
  <c r="H130" i="5"/>
  <c r="H21" i="5"/>
  <c r="H15" i="5"/>
  <c r="H260" i="5"/>
  <c r="H275" i="5"/>
  <c r="H166" i="5"/>
  <c r="H20" i="5"/>
  <c r="H222" i="5"/>
  <c r="H291" i="5"/>
  <c r="H149" i="5"/>
  <c r="H11" i="5"/>
  <c r="H89" i="5"/>
  <c r="H153" i="5"/>
  <c r="H137" i="5"/>
  <c r="H247" i="5"/>
  <c r="H250" i="5"/>
  <c r="J675" i="4"/>
  <c r="J401" i="3"/>
  <c r="J695" i="4"/>
  <c r="J402" i="3"/>
  <c r="H369" i="5"/>
  <c r="B67" i="2"/>
  <c r="B68" i="2"/>
  <c r="B69" i="2"/>
  <c r="B71" i="2"/>
  <c r="B72" i="2"/>
  <c r="H334" i="5"/>
  <c r="H370" i="5"/>
  <c r="H366" i="5"/>
  <c r="H362" i="5"/>
  <c r="H358" i="5"/>
  <c r="H365" i="5"/>
  <c r="H361" i="5"/>
  <c r="H368" i="5"/>
  <c r="H364" i="5"/>
  <c r="H360" i="5"/>
  <c r="H367" i="5"/>
  <c r="H363" i="5"/>
  <c r="H359" i="5"/>
  <c r="H294" i="5"/>
  <c r="H357" i="5"/>
  <c r="J398" i="3"/>
  <c r="H356" i="5"/>
  <c r="J53" i="3"/>
  <c r="H354" i="5"/>
  <c r="J663" i="4"/>
  <c r="H348" i="5"/>
  <c r="J664" i="4"/>
  <c r="H349" i="5"/>
  <c r="J667" i="4"/>
  <c r="H352" i="5"/>
  <c r="J665" i="4"/>
  <c r="H350" i="5"/>
  <c r="J666" i="4"/>
  <c r="H351" i="5"/>
  <c r="J662" i="4"/>
  <c r="H347" i="5"/>
  <c r="H344" i="5"/>
  <c r="H345" i="5"/>
  <c r="H343" i="5"/>
  <c r="H342" i="5"/>
  <c r="I79" i="1"/>
  <c r="J79" i="1"/>
  <c r="K79" i="1" s="1"/>
  <c r="L79" i="1" s="1"/>
  <c r="H289" i="5"/>
  <c r="H335" i="5"/>
  <c r="H263" i="5"/>
  <c r="H333" i="5"/>
  <c r="H323" i="5"/>
  <c r="H332" i="5"/>
  <c r="H328" i="5"/>
  <c r="H331" i="5"/>
  <c r="H325" i="5"/>
  <c r="H329" i="5"/>
  <c r="J679" i="4"/>
  <c r="H326" i="5"/>
  <c r="C65" i="1"/>
  <c r="D65" i="1" s="1"/>
  <c r="J678" i="4"/>
  <c r="H324" i="5"/>
  <c r="H313" i="5"/>
  <c r="H322" i="5"/>
  <c r="H266" i="5"/>
  <c r="H321" i="5"/>
  <c r="H297" i="5"/>
  <c r="H320" i="5"/>
  <c r="C64" i="1"/>
  <c r="D64" i="1" s="1"/>
  <c r="C62" i="1"/>
  <c r="D62" i="1" s="1"/>
  <c r="C61" i="1"/>
  <c r="D61" i="1" s="1"/>
  <c r="C60" i="1"/>
  <c r="D60" i="1" s="1"/>
  <c r="F17" i="2"/>
  <c r="AP17" i="2" s="1"/>
  <c r="H60" i="2"/>
  <c r="G60" i="2"/>
  <c r="E60" i="2"/>
  <c r="C60" i="2"/>
  <c r="B60" i="2"/>
  <c r="J691" i="4"/>
  <c r="H317" i="5"/>
  <c r="J692" i="4"/>
  <c r="H316" i="5"/>
  <c r="H308" i="5"/>
  <c r="H298" i="5"/>
  <c r="H314" i="5"/>
  <c r="J687" i="4"/>
  <c r="H312" i="5"/>
  <c r="J682" i="4"/>
  <c r="H310" i="5"/>
  <c r="H309" i="5"/>
  <c r="H307" i="5"/>
  <c r="H306" i="5"/>
  <c r="H304" i="5"/>
  <c r="H302" i="5"/>
  <c r="H301" i="5"/>
  <c r="H300" i="5"/>
  <c r="H299" i="5"/>
  <c r="H296" i="5"/>
  <c r="J688" i="4"/>
  <c r="J680" i="4"/>
  <c r="J689" i="4"/>
  <c r="J681" i="4"/>
  <c r="J683" i="4"/>
  <c r="J685" i="4"/>
  <c r="H305" i="5"/>
  <c r="J677" i="4"/>
  <c r="H303" i="5"/>
  <c r="J10" i="3"/>
  <c r="H290" i="5"/>
  <c r="H285" i="5"/>
  <c r="H288" i="5"/>
  <c r="J304" i="3"/>
  <c r="H287" i="5"/>
  <c r="J676" i="4"/>
  <c r="H286" i="5"/>
  <c r="J214" i="3"/>
  <c r="H284" i="5"/>
  <c r="H220" i="5"/>
  <c r="H282" i="5"/>
  <c r="J400" i="3"/>
  <c r="H281" i="5"/>
  <c r="J118" i="3"/>
  <c r="H280" i="5"/>
  <c r="J392" i="3"/>
  <c r="H279" i="5"/>
  <c r="H278" i="5"/>
  <c r="J55" i="4"/>
  <c r="H277" i="5"/>
  <c r="H127" i="5"/>
  <c r="H276" i="5"/>
  <c r="J240" i="3"/>
  <c r="H269" i="5"/>
  <c r="J38" i="1"/>
  <c r="K38" i="1" s="1"/>
  <c r="L38" i="1"/>
  <c r="I38" i="1"/>
  <c r="F38" i="1" a="1"/>
  <c r="F38" i="1" s="1"/>
  <c r="G38" i="1" a="1"/>
  <c r="G38" i="1" s="1"/>
  <c r="D38" i="1"/>
  <c r="E38" i="1"/>
  <c r="J37" i="1"/>
  <c r="K37" i="1" s="1"/>
  <c r="L37" i="1"/>
  <c r="I37" i="1"/>
  <c r="F37" i="1" a="1"/>
  <c r="F37" i="1" s="1"/>
  <c r="G37" i="1" a="1"/>
  <c r="G37" i="1" s="1"/>
  <c r="D37" i="1"/>
  <c r="E37" i="1"/>
  <c r="J36" i="1"/>
  <c r="K36" i="1" s="1"/>
  <c r="L36" i="1"/>
  <c r="I36" i="1"/>
  <c r="F36" i="1" a="1"/>
  <c r="F36" i="1" s="1"/>
  <c r="G36" i="1" a="1"/>
  <c r="G36" i="1" s="1"/>
  <c r="D36" i="1"/>
  <c r="E36" i="1"/>
  <c r="J35" i="1"/>
  <c r="K35" i="1" s="1"/>
  <c r="L35" i="1"/>
  <c r="I35" i="1"/>
  <c r="F35" i="1" a="1"/>
  <c r="F35" i="1" s="1"/>
  <c r="G35" i="1" a="1"/>
  <c r="G35" i="1" s="1"/>
  <c r="D35" i="1"/>
  <c r="E35" i="1"/>
  <c r="I34" i="1"/>
  <c r="J34" i="1"/>
  <c r="K34" i="1" s="1"/>
  <c r="F34" i="1" a="1"/>
  <c r="F34" i="1" s="1"/>
  <c r="G34" i="1" a="1"/>
  <c r="G34" i="1" s="1"/>
  <c r="D34" i="1"/>
  <c r="E34" i="1"/>
  <c r="J33" i="1"/>
  <c r="K33" i="1" s="1"/>
  <c r="L33" i="1"/>
  <c r="D33" i="1"/>
  <c r="I33" i="1"/>
  <c r="E33" i="1"/>
  <c r="F33" i="1" a="1"/>
  <c r="F33" i="1" s="1"/>
  <c r="G33" i="1" a="1"/>
  <c r="G33" i="1" s="1"/>
  <c r="J327" i="4"/>
  <c r="H272" i="5"/>
  <c r="J114" i="4"/>
  <c r="H271" i="5"/>
  <c r="J674" i="4"/>
  <c r="H270" i="5"/>
  <c r="J668" i="4"/>
  <c r="H265" i="5"/>
  <c r="J475" i="4"/>
  <c r="H264" i="5"/>
  <c r="F10" i="2"/>
  <c r="AP10" i="2" s="1"/>
  <c r="H16" i="5"/>
  <c r="H57" i="5"/>
  <c r="H139" i="5"/>
  <c r="H40" i="5"/>
  <c r="H170" i="5"/>
  <c r="H73" i="5"/>
  <c r="H47" i="5"/>
  <c r="H97" i="5"/>
  <c r="H34" i="5"/>
  <c r="H155" i="5"/>
  <c r="H19" i="5"/>
  <c r="J111" i="4"/>
  <c r="H148" i="5"/>
  <c r="H36" i="5"/>
  <c r="H158" i="5"/>
  <c r="H37" i="5"/>
  <c r="H8" i="5"/>
  <c r="H41" i="5"/>
  <c r="H224" i="5"/>
  <c r="H226" i="5"/>
  <c r="H30" i="5"/>
  <c r="H150" i="5"/>
  <c r="H14" i="5"/>
  <c r="H72" i="5"/>
  <c r="H74" i="5"/>
  <c r="H50" i="5"/>
  <c r="H49" i="5"/>
  <c r="J379" i="4"/>
  <c r="H107" i="5"/>
  <c r="H55" i="5"/>
  <c r="H229" i="5"/>
  <c r="H113" i="5"/>
  <c r="H227" i="5"/>
  <c r="H242" i="5"/>
  <c r="H122" i="5"/>
  <c r="H114" i="5"/>
  <c r="J646" i="4"/>
  <c r="H108" i="5"/>
  <c r="J647" i="4"/>
  <c r="H125" i="5"/>
  <c r="H43" i="5"/>
  <c r="H90" i="5"/>
  <c r="H27" i="5"/>
  <c r="H38" i="5"/>
  <c r="H156" i="5"/>
  <c r="H99" i="5"/>
  <c r="H98" i="5"/>
  <c r="H65" i="5"/>
  <c r="H66" i="5"/>
  <c r="H128" i="5"/>
  <c r="H67" i="5"/>
  <c r="H239" i="5"/>
  <c r="H22" i="5"/>
  <c r="H45" i="5"/>
  <c r="H111" i="5"/>
  <c r="H46" i="5"/>
  <c r="H152" i="5"/>
  <c r="H223" i="5"/>
  <c r="H135" i="5"/>
  <c r="H165" i="5"/>
  <c r="H71" i="5"/>
  <c r="H39" i="5"/>
  <c r="H96" i="5"/>
  <c r="H84" i="5"/>
  <c r="H112" i="5"/>
  <c r="H23" i="5"/>
  <c r="J645" i="4"/>
  <c r="H105" i="5"/>
  <c r="H68" i="5"/>
  <c r="H121" i="5"/>
  <c r="H42" i="5"/>
  <c r="J64" i="4"/>
  <c r="H168" i="5"/>
  <c r="H142" i="5"/>
  <c r="H133" i="5"/>
  <c r="H134" i="5"/>
  <c r="H124" i="5"/>
  <c r="H24" i="5"/>
  <c r="H131" i="5"/>
  <c r="H138" i="5"/>
  <c r="H26" i="5"/>
  <c r="H54" i="5"/>
  <c r="H10" i="5"/>
  <c r="H255" i="5"/>
  <c r="H53" i="5"/>
  <c r="H9" i="5"/>
  <c r="H77" i="5"/>
  <c r="H75" i="5"/>
  <c r="H151" i="5"/>
  <c r="H63" i="5"/>
  <c r="H48" i="5"/>
  <c r="H85" i="5"/>
  <c r="H61" i="5"/>
  <c r="H58" i="5"/>
  <c r="H241" i="5"/>
  <c r="H140" i="5"/>
  <c r="H169" i="5"/>
  <c r="H83" i="5"/>
  <c r="H141" i="5"/>
  <c r="H256" i="5"/>
  <c r="H100" i="5"/>
  <c r="H117" i="5"/>
  <c r="H101" i="5"/>
  <c r="H123" i="5"/>
  <c r="H102" i="5"/>
  <c r="H161" i="5"/>
  <c r="H232" i="5"/>
  <c r="H176" i="5"/>
  <c r="H164" i="5"/>
  <c r="H231" i="5"/>
  <c r="H179" i="5"/>
  <c r="H175" i="5"/>
  <c r="H163" i="5"/>
  <c r="H258" i="5"/>
  <c r="H246" i="5"/>
  <c r="H234" i="5"/>
  <c r="H230" i="5"/>
  <c r="H178" i="5"/>
  <c r="H174" i="5"/>
  <c r="H162" i="5"/>
  <c r="H245" i="5"/>
  <c r="H233" i="5"/>
  <c r="H177" i="5"/>
  <c r="H94" i="5"/>
  <c r="H78" i="5"/>
  <c r="H92" i="5"/>
  <c r="H88" i="5"/>
  <c r="H13" i="5"/>
  <c r="H25" i="5"/>
  <c r="J61" i="3"/>
  <c r="H109" i="5"/>
  <c r="H160" i="5"/>
  <c r="H52" i="5"/>
  <c r="H143" i="5"/>
  <c r="H35" i="5"/>
  <c r="H136" i="5"/>
  <c r="H243" i="5"/>
  <c r="H173" i="5"/>
  <c r="J391" i="3"/>
  <c r="H110" i="5"/>
  <c r="H80" i="5"/>
  <c r="H70" i="5"/>
  <c r="H144" i="5"/>
  <c r="H145" i="5"/>
  <c r="H147" i="5"/>
  <c r="H146" i="5"/>
  <c r="K7" i="2"/>
  <c r="J227" i="3"/>
  <c r="J33" i="3"/>
  <c r="J29" i="4"/>
  <c r="J327" i="3"/>
  <c r="J673" i="4"/>
  <c r="J669" i="4"/>
  <c r="J672" i="4"/>
  <c r="J670" i="4"/>
  <c r="J25" i="4"/>
  <c r="J660" i="4"/>
  <c r="J212" i="3"/>
  <c r="J109" i="4"/>
  <c r="K22" i="1"/>
  <c r="G80" i="1" s="1"/>
  <c r="K25" i="2"/>
  <c r="F22" i="1"/>
  <c r="G15" i="1"/>
  <c r="L15" i="1"/>
  <c r="J221" i="4"/>
  <c r="J21" i="4"/>
  <c r="J456" i="4"/>
  <c r="J556" i="4"/>
  <c r="J47" i="3"/>
  <c r="B8" i="1"/>
  <c r="F7" i="2"/>
  <c r="H22" i="1"/>
  <c r="G77" i="1" s="1"/>
  <c r="F11" i="2"/>
  <c r="AP11" i="2" s="1"/>
  <c r="J541" i="4"/>
  <c r="J102" i="4"/>
  <c r="J661" i="4"/>
  <c r="J396" i="4"/>
  <c r="H4" i="5"/>
  <c r="J549" i="4"/>
  <c r="J114" i="3"/>
  <c r="J324" i="3"/>
  <c r="J654" i="4"/>
  <c r="J395" i="4"/>
  <c r="J86" i="3"/>
  <c r="J94" i="4"/>
  <c r="J230" i="3"/>
  <c r="J423" i="4"/>
  <c r="J650" i="4"/>
  <c r="J107" i="4"/>
  <c r="J37" i="4"/>
  <c r="J512" i="4"/>
  <c r="J20" i="3"/>
  <c r="J15" i="3"/>
  <c r="F28" i="2"/>
  <c r="AP28" i="2" s="1"/>
  <c r="J489" i="4"/>
  <c r="J126" i="3"/>
  <c r="J189" i="3"/>
  <c r="J626" i="4"/>
  <c r="J362" i="4"/>
  <c r="J356" i="3"/>
  <c r="J148" i="3"/>
  <c r="F39" i="2"/>
  <c r="AP39" i="2" s="1"/>
  <c r="F42" i="2"/>
  <c r="AP42" i="2" s="1"/>
  <c r="J631" i="4"/>
  <c r="J636" i="4"/>
  <c r="J637" i="4"/>
  <c r="J639" i="4"/>
  <c r="J633" i="4"/>
  <c r="J635" i="4"/>
  <c r="J634" i="4"/>
  <c r="J632" i="4"/>
  <c r="J630" i="4"/>
  <c r="J638" i="4"/>
  <c r="J629" i="4"/>
  <c r="J511" i="4"/>
  <c r="J627" i="4"/>
  <c r="D14" i="1"/>
  <c r="D22" i="1" s="1"/>
  <c r="E78" i="1" s="1"/>
  <c r="C14" i="1"/>
  <c r="F34" i="2"/>
  <c r="AP34" i="2" s="1"/>
  <c r="F21" i="2"/>
  <c r="AP21" i="2" s="1"/>
  <c r="F6" i="2"/>
  <c r="F24" i="2"/>
  <c r="AP24" i="2" s="1"/>
  <c r="F32" i="2"/>
  <c r="AP32" i="2" s="1"/>
  <c r="F36" i="2"/>
  <c r="AP36" i="2" s="1"/>
  <c r="F41" i="2"/>
  <c r="AP41" i="2" s="1"/>
  <c r="F25" i="2"/>
  <c r="F40" i="2"/>
  <c r="AP40" i="2" s="1"/>
  <c r="F26" i="2"/>
  <c r="AP26" i="2" s="1"/>
  <c r="J621" i="4"/>
  <c r="J509" i="4"/>
  <c r="J83" i="4"/>
  <c r="F20" i="2"/>
  <c r="AP20" i="2" s="1"/>
  <c r="F23" i="2"/>
  <c r="AP23" i="2" s="1"/>
  <c r="L14" i="1"/>
  <c r="J592" i="4"/>
  <c r="J71" i="3"/>
  <c r="J408" i="4"/>
  <c r="J8" i="3"/>
  <c r="J624" i="4"/>
  <c r="J599" i="4"/>
  <c r="AP14" i="2"/>
  <c r="AP54" i="2"/>
  <c r="AP35" i="2"/>
  <c r="AP31" i="2"/>
  <c r="AP50" i="2"/>
  <c r="AP53" i="2"/>
  <c r="AP43" i="2"/>
  <c r="AP19" i="2"/>
  <c r="AP45" i="2"/>
  <c r="AP48" i="2"/>
  <c r="AP44" i="2"/>
  <c r="AP18" i="2"/>
  <c r="AP49" i="2"/>
  <c r="AP51" i="2"/>
  <c r="AP16" i="2"/>
  <c r="AP12" i="2"/>
  <c r="AP52" i="2"/>
  <c r="AP29" i="2"/>
  <c r="AP56" i="2"/>
  <c r="AP22" i="2"/>
  <c r="AP30" i="2"/>
  <c r="AP27" i="2"/>
  <c r="AP8" i="2"/>
  <c r="AP33" i="2"/>
  <c r="AP9" i="2"/>
  <c r="AP15" i="2"/>
  <c r="AP46" i="2"/>
  <c r="AP13" i="2"/>
  <c r="J612" i="4"/>
  <c r="J151" i="3"/>
  <c r="J39" i="3"/>
  <c r="J236" i="3"/>
  <c r="J393" i="3"/>
  <c r="J571" i="4"/>
  <c r="J422" i="4"/>
  <c r="J203" i="3"/>
  <c r="J623" i="4"/>
  <c r="J600" i="4"/>
  <c r="J43" i="3"/>
  <c r="J209" i="3"/>
  <c r="J302" i="4"/>
  <c r="J121" i="3"/>
  <c r="J73" i="3"/>
  <c r="J601" i="4"/>
  <c r="J453" i="4"/>
  <c r="J110" i="3"/>
  <c r="J517" i="4"/>
  <c r="J386" i="3"/>
  <c r="J156" i="3"/>
  <c r="J48" i="3"/>
  <c r="I22" i="1"/>
  <c r="G78" i="1" s="1"/>
  <c r="J395" i="3"/>
  <c r="J602" i="4"/>
  <c r="J36" i="3"/>
  <c r="J110" i="4"/>
  <c r="J514" i="4"/>
  <c r="J460" i="4"/>
  <c r="J158" i="4"/>
  <c r="J567" i="4"/>
  <c r="J133" i="3"/>
  <c r="J580" i="4"/>
  <c r="J51" i="3"/>
  <c r="J415" i="4"/>
  <c r="J243" i="3"/>
  <c r="J383" i="4"/>
  <c r="J107" i="3"/>
  <c r="J426" i="4"/>
  <c r="J167" i="3"/>
  <c r="J89" i="3"/>
  <c r="J34" i="4"/>
  <c r="J373" i="3"/>
  <c r="J111" i="3"/>
  <c r="J135" i="3"/>
  <c r="J95" i="3"/>
  <c r="J428" i="4"/>
  <c r="J212" i="4"/>
  <c r="J65" i="3"/>
  <c r="J319" i="3"/>
  <c r="J613" i="4"/>
  <c r="J291" i="4"/>
  <c r="J259" i="4"/>
  <c r="J265" i="4"/>
  <c r="J24" i="4"/>
  <c r="J113" i="4"/>
  <c r="J65" i="4"/>
  <c r="J12" i="3"/>
  <c r="J4" i="3"/>
  <c r="J445" i="4"/>
  <c r="J4" i="4"/>
  <c r="J25" i="3"/>
  <c r="J569" i="4"/>
  <c r="J497" i="4"/>
  <c r="J23" i="3"/>
  <c r="I8" i="1" l="1"/>
  <c r="J8" i="1" s="1"/>
  <c r="K8" i="1" s="1"/>
  <c r="E90" i="1"/>
  <c r="F90" i="1" s="1"/>
  <c r="L90" i="1" s="1"/>
  <c r="E80" i="1"/>
  <c r="I80" i="1" s="1"/>
  <c r="E89" i="1"/>
  <c r="F89" i="1" s="1"/>
  <c r="L89" i="1" s="1"/>
  <c r="J78" i="1"/>
  <c r="K78" i="1" s="1"/>
  <c r="L78" i="1" s="1"/>
  <c r="I78" i="1"/>
  <c r="J80" i="1"/>
  <c r="K80" i="1" s="1"/>
  <c r="L80" i="1" s="1"/>
  <c r="E59" i="1"/>
  <c r="E58" i="1"/>
  <c r="K60" i="2"/>
  <c r="F60" i="2"/>
  <c r="F64" i="1"/>
  <c r="F63" i="1"/>
  <c r="F62" i="1"/>
  <c r="F60" i="1"/>
  <c r="C32" i="1"/>
  <c r="L32" i="1" s="1"/>
  <c r="C31" i="1"/>
  <c r="L31" i="1" s="1"/>
  <c r="AP6" i="2"/>
  <c r="L22" i="1"/>
  <c r="AP7" i="2"/>
  <c r="AP25" i="2"/>
  <c r="G14" i="1"/>
  <c r="G22" i="1" s="1"/>
  <c r="F79" i="1" s="1"/>
  <c r="B5" i="1"/>
  <c r="D5" i="1"/>
  <c r="C78" i="1" s="1"/>
  <c r="AP47" i="2"/>
  <c r="AP55" i="2"/>
  <c r="C22" i="1"/>
  <c r="E77" i="1" s="1"/>
  <c r="J77" i="1" s="1"/>
  <c r="B27" i="1" l="1"/>
  <c r="I5" i="1"/>
  <c r="J5" i="1" s="1"/>
  <c r="K5" i="1" s="1"/>
  <c r="K77" i="1"/>
  <c r="L77" i="1" s="1"/>
  <c r="I6" i="1" a="1"/>
  <c r="I6" i="1" s="1"/>
  <c r="H77" i="1"/>
  <c r="E85" i="1"/>
  <c r="F85" i="1" s="1"/>
  <c r="L85" i="1" s="1"/>
  <c r="C77" i="1"/>
  <c r="F80" i="1"/>
  <c r="F72" i="1"/>
  <c r="H79" i="1"/>
  <c r="H80" i="1"/>
  <c r="F78" i="1"/>
  <c r="H78" i="1"/>
  <c r="I77" i="1"/>
  <c r="F77" i="1"/>
  <c r="D72" i="1"/>
  <c r="D73" i="1" s="1"/>
  <c r="H72" i="1"/>
  <c r="H73" i="1" s="1"/>
  <c r="C59" i="1"/>
  <c r="D59" i="1" s="1"/>
  <c r="B66" i="2"/>
  <c r="C58" i="1"/>
  <c r="D58" i="1" s="1"/>
  <c r="B65" i="2"/>
  <c r="AP60" i="2"/>
  <c r="J62" i="1"/>
  <c r="I62" i="1"/>
  <c r="J61" i="1"/>
  <c r="I61" i="1"/>
  <c r="J60" i="1"/>
  <c r="I60" i="1"/>
  <c r="J59" i="1"/>
  <c r="I59" i="1"/>
  <c r="J58" i="1"/>
  <c r="I58" i="1"/>
  <c r="K52" i="1"/>
  <c r="E88" i="1" s="1"/>
  <c r="F88" i="1" s="1"/>
  <c r="L88" i="1" s="1"/>
  <c r="I52" i="1"/>
  <c r="E52" i="1"/>
  <c r="I47" i="1" a="1"/>
  <c r="I47" i="1" s="1"/>
  <c r="K47" i="1" s="1"/>
  <c r="I46" i="1" a="1"/>
  <c r="I46" i="1" s="1"/>
  <c r="K46" i="1" s="1"/>
  <c r="I45" i="1" a="1"/>
  <c r="I45" i="1" s="1"/>
  <c r="K45" i="1" s="1"/>
  <c r="I44" i="1" a="1"/>
  <c r="I44" i="1" s="1"/>
  <c r="K44" i="1" s="1"/>
  <c r="I43" i="1" a="1"/>
  <c r="I43" i="1" s="1"/>
  <c r="K43" i="1" s="1"/>
  <c r="D47" i="1"/>
  <c r="C47" i="1"/>
  <c r="F47" i="1" s="1" a="1"/>
  <c r="F47" i="1" s="1"/>
  <c r="D46" i="1"/>
  <c r="C46" i="1"/>
  <c r="F46" i="1" s="1" a="1"/>
  <c r="F46" i="1" s="1"/>
  <c r="D45" i="1"/>
  <c r="C45" i="1"/>
  <c r="F45" i="1" s="1" a="1"/>
  <c r="F45" i="1" s="1"/>
  <c r="D44" i="1"/>
  <c r="C44" i="1"/>
  <c r="F44" i="1" s="1" a="1"/>
  <c r="F44" i="1" s="1"/>
  <c r="D43" i="1"/>
  <c r="C43" i="1"/>
  <c r="F43" i="1" s="1" a="1"/>
  <c r="F43" i="1" s="1"/>
  <c r="F32" i="1" a="1"/>
  <c r="F32" i="1" s="1"/>
  <c r="G32" i="1" a="1"/>
  <c r="G32" i="1" s="1"/>
  <c r="D32" i="1"/>
  <c r="E32" i="1"/>
  <c r="F31" i="1" a="1"/>
  <c r="F31" i="1" s="1"/>
  <c r="G31" i="1" a="1"/>
  <c r="G31" i="1" s="1"/>
  <c r="D31" i="1"/>
  <c r="E31" i="1"/>
  <c r="D27" i="1"/>
  <c r="C27" i="1"/>
  <c r="E27" i="1" a="1"/>
  <c r="E27" i="1" s="1"/>
  <c r="F5" i="1"/>
  <c r="D78" i="1" s="1"/>
  <c r="H4" i="9"/>
  <c r="J6" i="1" l="1"/>
  <c r="K6" i="1"/>
  <c r="E87" i="1"/>
  <c r="F87" i="1" s="1"/>
  <c r="L87" i="1" s="1"/>
  <c r="B72" i="1"/>
  <c r="B73" i="1" s="1"/>
  <c r="D80" i="1"/>
  <c r="D79" i="1"/>
  <c r="D77" i="1"/>
  <c r="F73" i="1"/>
  <c r="F59" i="1"/>
  <c r="F58" i="1"/>
  <c r="I32" i="1"/>
  <c r="J32" i="1" s="1"/>
  <c r="K32" i="1" s="1"/>
  <c r="F65" i="1"/>
  <c r="F61" i="1"/>
  <c r="C52" i="1"/>
  <c r="K59" i="1" s="1"/>
  <c r="H12" i="5"/>
  <c r="H273" i="5"/>
  <c r="J47" i="1"/>
  <c r="L47" i="1" s="1"/>
  <c r="J46" i="1"/>
  <c r="L46" i="1" s="1"/>
  <c r="J45" i="1"/>
  <c r="L45" i="1" s="1"/>
  <c r="J44" i="1"/>
  <c r="L44" i="1" s="1"/>
  <c r="J43" i="1"/>
  <c r="L43" i="1" s="1"/>
  <c r="E47" i="1"/>
  <c r="G47" i="1" s="1"/>
  <c r="E46" i="1"/>
  <c r="G46" i="1" s="1"/>
  <c r="E45" i="1"/>
  <c r="G45" i="1" s="1"/>
  <c r="E44" i="1"/>
  <c r="G44" i="1" s="1"/>
  <c r="E43" i="1"/>
  <c r="G43" i="1" s="1"/>
  <c r="I31" i="1"/>
  <c r="E86" i="1" s="1"/>
  <c r="F86" i="1" s="1"/>
  <c r="L86" i="1" s="1"/>
  <c r="B73" i="2"/>
  <c r="J4" i="9"/>
  <c r="J31" i="1" l="1"/>
  <c r="G27" i="1" s="1"/>
  <c r="K60" i="1"/>
  <c r="L60" i="1" s="1"/>
  <c r="K58" i="1"/>
  <c r="L58" i="1" s="1"/>
  <c r="K61" i="1"/>
  <c r="L61" i="1" s="1"/>
  <c r="K62" i="1"/>
  <c r="L62" i="1" s="1"/>
  <c r="L59" i="1"/>
  <c r="J72" i="1" l="1"/>
  <c r="J73" i="1" s="1"/>
  <c r="I7" i="1"/>
  <c r="J7" i="1" s="1"/>
  <c r="K7" i="1" s="1"/>
  <c r="K3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<sst xmlns="http://schemas.openxmlformats.org/spreadsheetml/2006/main" count="6246" uniqueCount="1771">
  <si>
    <t>INVENTORY &amp; NON INVENTORY  DASHBOARD</t>
  </si>
  <si>
    <t>LOTTE KOLSON PVT LTD</t>
  </si>
  <si>
    <t>Total Inward Value (PKR)</t>
  </si>
  <si>
    <t>Total Issuance Value (PKR)</t>
  </si>
  <si>
    <t>Total Stock Value (PKR)</t>
  </si>
  <si>
    <t>Category</t>
  </si>
  <si>
    <t>Inventory</t>
  </si>
  <si>
    <t>Non Inventory</t>
  </si>
  <si>
    <t>MONTH WISE PRICE SUMMARY (MAY 2026 - DEC 2026)</t>
  </si>
  <si>
    <t>Inward &amp; Issuance Price Value by Inventory / Non Inventory</t>
  </si>
  <si>
    <t>INWARD PRICE VALUE (PKR)</t>
  </si>
  <si>
    <t>ISSUANCE PRICE VALUE (PKR)</t>
  </si>
  <si>
    <t>Month</t>
  </si>
  <si>
    <t>Inventory Inward</t>
  </si>
  <si>
    <t>Non Inventory Inward</t>
  </si>
  <si>
    <t>Total Inward</t>
  </si>
  <si>
    <t>Inventory Issuance</t>
  </si>
  <si>
    <t>Non Inventory Issuance</t>
  </si>
  <si>
    <t>Total Issuance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</si>
  <si>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</si>
  <si>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</si>
  <si>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</si>
  <si>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</si>
  <si>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</si>
  <si>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</si>
  <si>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</si>
  <si>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</si>
  <si>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GRAND TOTAL</t>
  </si>
  <si>
    <t>Machine Wise Issuance Dashboard</t>
  </si>
  <si>
    <t>Machine Name</t>
  </si>
  <si>
    <t>May-2026</t>
  </si>
  <si>
    <t>Jun-2026</t>
  </si>
  <si>
    <t>Jul-2026</t>
  </si>
  <si>
    <t>Aug-2026</t>
  </si>
  <si>
    <t>Sep-2026</t>
  </si>
  <si>
    <t>Oct-2026</t>
  </si>
  <si>
    <t>Nov-2026</t>
  </si>
  <si>
    <t>Dec-2026</t>
  </si>
  <si>
    <t>Year Total</t>
  </si>
  <si>
    <t>Month Total</t>
  </si>
  <si>
    <t>Ishida No: 01</t>
  </si>
  <si>
    <t>Ishida No: 02</t>
  </si>
  <si>
    <t>Ishida No: 03</t>
  </si>
  <si>
    <t>Ishida No: 04</t>
  </si>
  <si>
    <t>Ishida No: 05</t>
  </si>
  <si>
    <t>Ishida No: 06</t>
  </si>
  <si>
    <t>Ishida No: 07</t>
  </si>
  <si>
    <t>Ishida No: 08</t>
  </si>
  <si>
    <t>Ishida No: 09</t>
  </si>
  <si>
    <t>Ishida No: 10</t>
  </si>
  <si>
    <t>Ishida No: 11</t>
  </si>
  <si>
    <t>Ishida No: 12</t>
  </si>
  <si>
    <t>Ishida No: 13</t>
  </si>
  <si>
    <t>Ishida No: 14</t>
  </si>
  <si>
    <t>Auto Fryer</t>
  </si>
  <si>
    <t>Batch Fryer No: 01</t>
  </si>
  <si>
    <t>Batch Fryer No: 02</t>
  </si>
  <si>
    <t>Tecalit No: 01</t>
  </si>
  <si>
    <t>Tecalit No: 02</t>
  </si>
  <si>
    <t>Korea No: 01</t>
  </si>
  <si>
    <t>Korea No: 02</t>
  </si>
  <si>
    <t>Korea No: 04</t>
  </si>
  <si>
    <t>Auto Taping Machine</t>
  </si>
  <si>
    <t>Taping Machine No: 01</t>
  </si>
  <si>
    <t>Taping Machine No: 02</t>
  </si>
  <si>
    <t>Air Compressor No: 01</t>
  </si>
  <si>
    <t>Air Compressor No: 02</t>
  </si>
  <si>
    <t>General Use</t>
  </si>
  <si>
    <t>Workshop</t>
  </si>
  <si>
    <t>Laesse Plant</t>
  </si>
  <si>
    <t>Seasioning Pin Mall</t>
  </si>
  <si>
    <t>Sama No: 01</t>
  </si>
  <si>
    <t>Sama No: 02</t>
  </si>
  <si>
    <t>Sama No: 03</t>
  </si>
  <si>
    <t>Sama No: 04</t>
  </si>
  <si>
    <t>Sama No: 05</t>
  </si>
  <si>
    <t>Sama No: 06</t>
  </si>
  <si>
    <t>Sama No: 07</t>
  </si>
  <si>
    <t>Sama No: 08</t>
  </si>
  <si>
    <t>Sama No: 09</t>
  </si>
  <si>
    <t>Sama No: 10</t>
  </si>
  <si>
    <t>Sama No: 11</t>
  </si>
  <si>
    <t>Sama No: 12</t>
  </si>
  <si>
    <t>Sama No: 13</t>
  </si>
  <si>
    <t>Sama No: 14</t>
  </si>
  <si>
    <t>Sama No: 15</t>
  </si>
  <si>
    <t>Grand Total</t>
  </si>
  <si>
    <t>Monthly Total Summary</t>
  </si>
  <si>
    <t>Total</t>
  </si>
  <si>
    <t>INVENTORY MASTER STOCK</t>
  </si>
  <si>
    <t>Sr No</t>
  </si>
  <si>
    <t>Item Code</t>
  </si>
  <si>
    <t>Item Description</t>
  </si>
  <si>
    <t>UOM</t>
  </si>
  <si>
    <t>Opening Qty</t>
  </si>
  <si>
    <t>Inward Qty</t>
  </si>
  <si>
    <t>Issued Qty</t>
  </si>
  <si>
    <t>Balance Qty</t>
  </si>
  <si>
    <t>Unit Price</t>
  </si>
  <si>
    <t>Total Value</t>
  </si>
  <si>
    <t>Location</t>
  </si>
  <si>
    <t>Relay 14 Pin 220V Flat Type 94.74 (Finder/Omron)</t>
  </si>
  <si>
    <t>PCS</t>
  </si>
  <si>
    <t>Rack No: 01 B</t>
  </si>
  <si>
    <t>Knife Comb Type Size : L=66MM , W=30MM , T=3MM (Material Funner Steel)CTN Sealer M/C</t>
  </si>
  <si>
    <t>FOTEK SENSOR CDR-30X M18</t>
  </si>
  <si>
    <t>Rack No: 01 C</t>
  </si>
  <si>
    <t>TEMPRATUR CONTROLLER TZ4L-14R, 96 x 96mm (Autonics)</t>
  </si>
  <si>
    <t>Comb Type Knife Size L-180mm, W-65mm, T-2mm (Material Funner Steel) Sama Packing Machine</t>
  </si>
  <si>
    <t>Rack No: 02 B</t>
  </si>
  <si>
    <t>BEARING UC-207</t>
  </si>
  <si>
    <t>BALL BEARING TYPE : 6205 2ZR</t>
  </si>
  <si>
    <t>NOS</t>
  </si>
  <si>
    <t>BALL BEARINGS - TYPE: 6308 2ZR</t>
  </si>
  <si>
    <t>Ball Bearing 6004 2ZR C3</t>
  </si>
  <si>
    <t>BALL BEARINGS - TYPE: 6304 2RSR/C3</t>
  </si>
  <si>
    <t>BEARING 6009 2 RSR</t>
  </si>
  <si>
    <t>Ball Bearing 6206 2ZR C3</t>
  </si>
  <si>
    <t>Ball Bearing 6006 2ZR C3</t>
  </si>
  <si>
    <t>Ball Bearing 6005 2ZR C3</t>
  </si>
  <si>
    <t>Bearing 1211 K (EK TN9)</t>
  </si>
  <si>
    <t>Ball Bearing 6902 2zr /C3</t>
  </si>
  <si>
    <t>Ball Bearing 6207 2ZR C3</t>
  </si>
  <si>
    <t>Ball Bearing Type 6306 2ZR C3</t>
  </si>
  <si>
    <t>Ball Bearing Type 6309 2zr/c3</t>
  </si>
  <si>
    <t>Ball Bearing Type 6305 2ZR/C3</t>
  </si>
  <si>
    <t>Ball Bearing 6301 2zr/c3</t>
  </si>
  <si>
    <t>BALL BEARING TYPE 6204 2ZR C3</t>
  </si>
  <si>
    <t>6000 SRSI QC [6000 2RSR]</t>
  </si>
  <si>
    <t>BALL BEARING 6002 2ZR/C3</t>
  </si>
  <si>
    <t>Ball Bearing  6208 2ZR C3</t>
  </si>
  <si>
    <t>Ball Bearing Type 6209 2ZR C3</t>
  </si>
  <si>
    <t>Deep groove ball bearing 6207 2ZR C3</t>
  </si>
  <si>
    <t>Ball Bearing 6303 2ZR/C3</t>
  </si>
  <si>
    <t>6304 ZZ/2AUI [6304 2ZR]</t>
  </si>
  <si>
    <t>Ball Bearing 6307 2ZR C3</t>
  </si>
  <si>
    <t>Tapered Roller Bearing 4 T 32209</t>
  </si>
  <si>
    <t>BEARING 56204</t>
  </si>
  <si>
    <t>Ball Bearing UC 206 [56206]</t>
  </si>
  <si>
    <t>Ball Bearing 6302 2ZRR/C3</t>
  </si>
  <si>
    <t>BALL BEARING 6211 2Z/ C 3</t>
  </si>
  <si>
    <t>Ball Bearing Type 6201 2ZR C3</t>
  </si>
  <si>
    <t>6806 2RS</t>
  </si>
  <si>
    <t>30205 EZ</t>
  </si>
  <si>
    <t>BEARING 6910 ZZ</t>
  </si>
  <si>
    <t>Ball Bearing 6203 2ZR C3</t>
  </si>
  <si>
    <t>BALL BEARING 6301 2RSR/C3</t>
  </si>
  <si>
    <t>BALL BEARING 6003 2RSR/C3</t>
  </si>
  <si>
    <t>Ball Bearing 6300 2ZR/C3</t>
  </si>
  <si>
    <t>Ball Bearing 6202 RSR C3</t>
  </si>
  <si>
    <t>BEARING 6007 2RSR/C3</t>
  </si>
  <si>
    <t>BALL BEARING 6310 2ZR</t>
  </si>
  <si>
    <t>BALL BEARING TYPE 6904 2 RSR</t>
  </si>
  <si>
    <t>Ball Bearing  6900 RSR C3</t>
  </si>
  <si>
    <t>BALL BEARING TYPE 609</t>
  </si>
  <si>
    <t>Relay 8 Pin 220 Valt Round Pin (Finder/Omron)</t>
  </si>
  <si>
    <t>Circuit Breaker 30 Amp 3 Pole (Terasaki)</t>
  </si>
  <si>
    <t>CIR. BREAKER 1P 10 AMP</t>
  </si>
  <si>
    <t>Industrial Fuse NH00 GL-63 Amp, AC/DC, Model 3NA3822</t>
  </si>
  <si>
    <t>Relay Base 11 Pin Round Type (Finder / Omron)</t>
  </si>
  <si>
    <t>RELAY BASE 8 FLAT PIN</t>
  </si>
  <si>
    <t>Relay 11 Pin 220 Valt Round Pin (Finder / Omron)</t>
  </si>
  <si>
    <t>RELAY 8 PIN 24 VDC</t>
  </si>
  <si>
    <t>PUSH BUTTON RED NORMAL</t>
  </si>
  <si>
    <t>Indication Light With Transfarmer 230 Volt (Green)</t>
  </si>
  <si>
    <t>Indication Light With Transfarmer 230 Volt (Yellow)</t>
  </si>
  <si>
    <t>Indication Light With Transfarmer 230 Volt (Red)</t>
  </si>
  <si>
    <t>Relay 8 Pin 220V Flat Type 94.82 (Finder/Omron)</t>
  </si>
  <si>
    <t>IND. POWER PLUG FM 16 A 5-PIN</t>
  </si>
  <si>
    <t>IND. POWER PLUG FM 16 A 3-PIN</t>
  </si>
  <si>
    <t>INDICATION LIGHT RED</t>
  </si>
  <si>
    <t>INDICATION LIGHT GREEN</t>
  </si>
  <si>
    <t>Circuit Breaker 32 Amp 3 Pole (Hager)</t>
  </si>
  <si>
    <t>CIR. BREAKER 16 A 1 POLE</t>
  </si>
  <si>
    <t>CIR. BREAKER 2 A 1 POLE</t>
  </si>
  <si>
    <t>EMERGENCY PUSH BUTTON</t>
  </si>
  <si>
    <t>Motor Circuit Breaker 4-6.3AMP GV2 ME10(Telemecanique)</t>
  </si>
  <si>
    <t>CIR.BRACKER 6A 1POLE</t>
  </si>
  <si>
    <t>BALL BEARING TYPE 6311 ZZ</t>
  </si>
  <si>
    <t>UV FLAME DETECTOR QRA2</t>
  </si>
  <si>
    <t>BURNER CONTROLER LFL 1.322, INPUT 220VAC</t>
  </si>
  <si>
    <t>Gas Stepping Motor P/N  (651101)</t>
  </si>
  <si>
    <t>Air Stepping Motor P/N (651103)</t>
  </si>
  <si>
    <t>Ionization Electrode P/N 23210014207</t>
  </si>
  <si>
    <t>IGNATION ELECTRODE P/N 23220014217</t>
  </si>
  <si>
    <t>IGNATION TRANSFORMER W-2G01</t>
  </si>
  <si>
    <t>Ignation And Ionization Cable Set P/N 23231011032</t>
  </si>
  <si>
    <t>TIMING BELT S5M 091-8500-04 (500-S5M W-15MM) Ishida Packing Machine</t>
  </si>
  <si>
    <t>PROX.SWITCH MAGNETIC TRIA 012-8505-07 (E2E-X1C1) OMRON</t>
  </si>
  <si>
    <t>PU Conveyor Belt Size 2540mm x 620mm x 1.5mm (Ishida Machine)</t>
  </si>
  <si>
    <t>Film Pull Belt RCT4118D02 Size (1.5" X 25.5") 35A Lt. Blue Natural Rubber Cover P/N#000062101509</t>
  </si>
  <si>
    <t>"T" Type Comb Knife Size : L=252mm , W=110mm , T=2.5mm (Material Funner Steel) Ishida Packing Machine</t>
  </si>
  <si>
    <t>RELAY 24V DC FLATE 8 PIN</t>
  </si>
  <si>
    <t>RELAY 24V DC 5 PIN FLATE</t>
  </si>
  <si>
    <t>BEARING U 002 (For Yamato Packing Machine)</t>
  </si>
  <si>
    <t>Burner Programer UK 202 "F"</t>
  </si>
  <si>
    <t>Ignition Transformer code 15093001 220 volt (Brahma Italy) Double Spark</t>
  </si>
  <si>
    <t>Relay 14 Pin 24VDC Flat Type 55.34 (Finder/Omron)</t>
  </si>
  <si>
    <t>POWER SUPPLY 24 V DC 10AMP</t>
  </si>
  <si>
    <t>Solid State Relay Model SSR-40 DA-H, Rated 40A, Input A-32VDC (Fotek)</t>
  </si>
  <si>
    <t>Bearing Spherical Roller 22212 E/C3</t>
  </si>
  <si>
    <t>Ball Bearing 6802 Zz</t>
  </si>
  <si>
    <t>Circuit Bracker 16A 3Pole (Hager)</t>
  </si>
  <si>
    <t>Angle Gear Drive Type WG 20N/1-C, Version ZM-IN (For Weishaupt Burner)</t>
  </si>
  <si>
    <t>NEEDLE ROLLER BEARING TLA 1010 Z</t>
  </si>
  <si>
    <t>E.O.C.R 5-70 AMP (SCHNEIDER)</t>
  </si>
  <si>
    <t>Ball Bearing 6905 2ZR /C3</t>
  </si>
  <si>
    <t>Rocker Switch Red KCD-7</t>
  </si>
  <si>
    <t>Taping Machine Belt With Center Guide Size L-75" X W-2" (CTN.Sealer Machine)</t>
  </si>
  <si>
    <t>Temperature Controller TZ4H-14R</t>
  </si>
  <si>
    <t>Digital Tempreture Controller TZ4ST-14R, 48 X 48MM</t>
  </si>
  <si>
    <t>UC 205 (56205) MM</t>
  </si>
  <si>
    <t>Ball Bearing 6800 ZR</t>
  </si>
  <si>
    <t>Ball Bearing 6009 2ZR</t>
  </si>
  <si>
    <t>Bearing 2207 2RSR</t>
  </si>
  <si>
    <t>E.O.C.R 0.5-6.5 Amp</t>
  </si>
  <si>
    <t>BALL BEARING 32008 ZR</t>
  </si>
  <si>
    <t>Analog Input Module  A1 8 6ES7331-7KF02-0AB0 SM 331</t>
  </si>
  <si>
    <t>Ball Bearing Type 6212 2ZR/ C3</t>
  </si>
  <si>
    <t>Self Aligning Ball Bearing 2205 2RSR</t>
  </si>
  <si>
    <t>Ball Bearing 688 2ZR /C3</t>
  </si>
  <si>
    <t>Liner Bearing KH 2030/P/PP (INA)</t>
  </si>
  <si>
    <t>Linear Bushing Bearing LM203242</t>
  </si>
  <si>
    <t>Air Pressure Switch Dungs LGW 50 A2P 500mbar ac 50-60hz 10amp 250-(0) For Line 1 Weishaupt Burnner</t>
  </si>
  <si>
    <t>Ball Bearing 6001 2ZR C3</t>
  </si>
  <si>
    <t>Ball Bearing 6210 2ZR C3</t>
  </si>
  <si>
    <t>Cylindrical Roller Bearing NU 2206 TVP2</t>
  </si>
  <si>
    <t>Bearing LM 25UU</t>
  </si>
  <si>
    <t>Megnetic Contactor 220 Valt Model # AX40-30-10-80 ABB(Terasaki Model # TC-40B)</t>
  </si>
  <si>
    <t>Ball Bearing 6904 2ZR</t>
  </si>
  <si>
    <t>Relay 8 Pin 12VDC Valt Round Pin (Finder/Omron)</t>
  </si>
  <si>
    <t>Relay 14 Pin 12VDC Valt Flat Pin (Finder/Omron)</t>
  </si>
  <si>
    <t>Ball Bearing 608 2ZR/C3</t>
  </si>
  <si>
    <t>Jaws Heater 220Valt, 400Watt, Size L=250mm, W=30mm (Pam Pacific Packing Machine)</t>
  </si>
  <si>
    <t>Fiber Optic Sensor (Fotek) Model# FPR-51</t>
  </si>
  <si>
    <t>PWB.P-5527-1 P/N # 075-8932-01</t>
  </si>
  <si>
    <t>Timing Belt S5M P/N #091-8500-04, B250DBS5M-975, Width 25mm</t>
  </si>
  <si>
    <t>Bearing U006 2RSR</t>
  </si>
  <si>
    <t>Bearing Block FL 006</t>
  </si>
  <si>
    <t>Ball Bearing 6902 2RSR/C3</t>
  </si>
  <si>
    <t>Motor Circuit Breaker 0.6-1 AMP</t>
  </si>
  <si>
    <t>Motor Circuit Breaker 6.3-10 AMP</t>
  </si>
  <si>
    <t>Motor Circuit Breaker 10-16 AMP</t>
  </si>
  <si>
    <t>Motor Circuit Breaker 1-1.6 AMP</t>
  </si>
  <si>
    <t>Ball Bearing UC-208-24</t>
  </si>
  <si>
    <t>Ball Bearing 6807 2ZR/C3</t>
  </si>
  <si>
    <t>Bearing KH -2030</t>
  </si>
  <si>
    <t>Solenoid Valve Size 1/4", 5 Way 24 VDC, Model: 4v210-08</t>
  </si>
  <si>
    <t>Solenoid Valve Size 3/8", 5 Way 220 Valt, Model: 4V310-10</t>
  </si>
  <si>
    <t>Heater 220 Valt, 450 Watt Size L-262mm, Dia-8mm (Ishida Packing Machine)</t>
  </si>
  <si>
    <t>Ball Bearing 6012 2RSR/C3</t>
  </si>
  <si>
    <t>Ball bEARING 61904 2RSR/C3</t>
  </si>
  <si>
    <t>Photoelectric sensor Model: FS- N18 (Keyence)</t>
  </si>
  <si>
    <t>cylindrical Roller bearing NU-211 E</t>
  </si>
  <si>
    <t>Rod End Bearing POS-10R</t>
  </si>
  <si>
    <t>Circuit Breaker 6 Amp 2 Pole (Hager)</t>
  </si>
  <si>
    <t>Circuit Breaker 10 Amp 2 Pole (Hager)</t>
  </si>
  <si>
    <t>Film Pulling Belt Size Dia=318mm W=40mm T=7mm Material NBR (Korea Interpack Packing Machine)</t>
  </si>
  <si>
    <t>Bearing Radial Deep Grove P/N#0306365-09</t>
  </si>
  <si>
    <t>Air Cylinder P/N#109637302</t>
  </si>
  <si>
    <t>Pneuamtic Cylinder P/N#094936203</t>
  </si>
  <si>
    <t>Bearing NART 20 UUR</t>
  </si>
  <si>
    <t>Capacitor 12 Uf MKP</t>
  </si>
  <si>
    <t>Multifunction Assembly W-MF 507 C01</t>
  </si>
  <si>
    <t>Gas Pressure Switch GW50 A5/1 (UB 50 A4)</t>
  </si>
  <si>
    <t>Tapered Roller Bearing 33215</t>
  </si>
  <si>
    <t>Filter Regulator Valve Size LFR 3/8-Mini</t>
  </si>
  <si>
    <t>Ball Bearing R8-2RSR</t>
  </si>
  <si>
    <t>Thermocouple K Type Size 3mm X 50mm</t>
  </si>
  <si>
    <t>Bearing 33206 Q</t>
  </si>
  <si>
    <t>Thrust Bearing 29422 E1</t>
  </si>
  <si>
    <t>Thrust Ball Bearing 51113</t>
  </si>
  <si>
    <t>Ball Bearing 62306-2RSR/C3</t>
  </si>
  <si>
    <t>Pneumatic Air Cylinder Size 50 x 25mm Male Rod End (SMC) P/N# CDQ2A50-25DMZ</t>
  </si>
  <si>
    <t>Oil Seal Size 38 x 52 x 8mm</t>
  </si>
  <si>
    <t>Oil Seal Size 100 x 120 x 12mm</t>
  </si>
  <si>
    <t>Oil Seal Size 25 x 35 x 5mm</t>
  </si>
  <si>
    <t>Bearing Type 220-EC</t>
  </si>
  <si>
    <t>Bearing Z007</t>
  </si>
  <si>
    <t>V-Belt SPA 2220 L1A86 1/2 (Lalesse Plant )</t>
  </si>
  <si>
    <t>Bearing RASE-25</t>
  </si>
  <si>
    <t>Double Teeth "T" Type Comb Knife Size : L=230mm , W=65mm , T=2.5mm (Material Funner Steel)Korea Interpack M/C</t>
  </si>
  <si>
    <t>Cutting Knife Size L=320mm, W=66mm, T=0.8mm (Material Funner)(New Tecalit Plant)</t>
  </si>
  <si>
    <t>Bearing UC-209-28MM</t>
  </si>
  <si>
    <t>Sensor Ultrasonic Hyde Park SM956A-1324004-20Ma P/N# 20545288</t>
  </si>
  <si>
    <t>Pneumatic Cylinder 3 Way Action 4 Hole 32mm Model: CDQ2B32-20+40DC-M9B3-XC11</t>
  </si>
  <si>
    <t>Digital Temperature Controller Omron P/N# E5CC-CX3D5M-004</t>
  </si>
  <si>
    <t>Photoelectric Sensor Omron E3ZG-T16A-D</t>
  </si>
  <si>
    <t>Solid State Relay Model# G3PE-215B (Omron)</t>
  </si>
  <si>
    <t>Photo Cell Card 102</t>
  </si>
  <si>
    <t>Needle Roller Bearing RNA-NA 5902</t>
  </si>
  <si>
    <t>Needle Roller Bearing NA-6902</t>
  </si>
  <si>
    <t>Relay 14 Pin 24VAC Flat Type 94.74 (Finder/Omron)</t>
  </si>
  <si>
    <t>Cartige Heater 220 Valt, 500 Watt, Size 10mm x 300mm (Ishida Packing Machine)</t>
  </si>
  <si>
    <t>Tapper Roller Bearing Type 33213</t>
  </si>
  <si>
    <t>Conversion Kit Analog Module W-FM EM3/3, P/N#23011000300</t>
  </si>
  <si>
    <t>Thermocouple Size 4mm, 40mm (Korea Interpack Machine )</t>
  </si>
  <si>
    <t>Panasonic Servo Drive Model# MBDHT2510E, 400Watt (Pam Pacific Machine)</t>
  </si>
  <si>
    <t>Timing Belt 240-L, 19mm (Korea Interpack Machine)</t>
  </si>
  <si>
    <t>Filter Kit 88 CIJ P/N#31-5050-01 (Bestcode Inkjet Prinetr)</t>
  </si>
  <si>
    <t>Digital Temperature Controller Omron P/N# E5CC-QX2ASM-802</t>
  </si>
  <si>
    <t>Cartridge Heater Horizontal  220 Valt, 750 Watt Size 10mm x 215mm (Sama Machine Clipsal)</t>
  </si>
  <si>
    <t>Output Module OMRON PLC (For Snack Feeding Conveyor)</t>
  </si>
  <si>
    <t>Input Module OMRON PLC (For Snack Feeding Conveyor)</t>
  </si>
  <si>
    <t>Color Mark Sensor Type BZJ-211 (Sama Machine)</t>
  </si>
  <si>
    <t>Inductive Sensor P/N# PSN17-8DN (Autonics)</t>
  </si>
  <si>
    <t>V-Belt K-28 (Flavour Sachet Sama Machine)</t>
  </si>
  <si>
    <t>V-Belt SPC-2800 (Tecalit Plant Screw &amp; Mixer)</t>
  </si>
  <si>
    <t>V-Belt SPB-2500 (Tecalit Plant Screw &amp; Mixer)</t>
  </si>
  <si>
    <t>On Off Valve HE-1/2-D-MIDI (With Filter Requ;ator, ON-OFF Valve, With Slincer) Make Festo</t>
  </si>
  <si>
    <t>Nylatron Bearing Housing Bush Size 60 x 55mm (Korea Interpack Modular Conveyor) DRG#LK. U-2-001-19</t>
  </si>
  <si>
    <t>Circuit Breaker 63 Amp, 3 Pole (Terasaki)</t>
  </si>
  <si>
    <t>Siemens Module P/N# 6ES7321-1BL00-0AA0</t>
  </si>
  <si>
    <t>Fotek Sensor PL-05N, 10-30 VDC</t>
  </si>
  <si>
    <t>Comb Type Knife Size L-225mm, W-17mm, T-3mm (Material Funner Steel)Sama Packing Machine</t>
  </si>
  <si>
    <t>Cartridge Heater Vertical &amp; Horizontal 220 Valt, 800 Watt Size 10mm x 180mm(Sama Machine)Buraq</t>
  </si>
  <si>
    <t>Sealer Spring (Sama Packing Machine)</t>
  </si>
  <si>
    <t>Magnetic Contactor Schneider LC1D50, 220 Valt with Auxiliary</t>
  </si>
  <si>
    <t>Magnetic Contactor Schneider LC1D80, 220 Valt with Auxiliary</t>
  </si>
  <si>
    <t>Industrial Fuse NH00 GL-125 Amp, AC/DC, Model 3NA3832</t>
  </si>
  <si>
    <t>Bearing Unit :LM Guide P/N#000052303003</t>
  </si>
  <si>
    <t>Bearing Radial Deep Grove P/N#000000365002</t>
  </si>
  <si>
    <t>Bearing Radial Deep Grove P/N#000000364306</t>
  </si>
  <si>
    <t>Bearing Radial Deep Grove P/N#000000365905</t>
  </si>
  <si>
    <t>Bearing Radial Deep Grove P/N#000004147800</t>
  </si>
  <si>
    <t>Bearing Radial Deep Grove P/N#000000365407</t>
  </si>
  <si>
    <t>Bearing Radial Deep Grove P/N#000003174403</t>
  </si>
  <si>
    <t>Bearing Unit Linear P/N#000111372601</t>
  </si>
  <si>
    <t>Water Filter Cartridge Size 20", 1 Micron</t>
  </si>
  <si>
    <t>Ball Bearing 22211E/C3</t>
  </si>
  <si>
    <t>Single Acting Solonide Valve 2000A 20,0 PTFE RG,G 3/4" Pmed, 11Bar, Pilot-3.9 to 10 Bar</t>
  </si>
  <si>
    <t>Film Puling Belt Size Dia=292mm W=38mm T=6mm (Material NBR)For Ishida Packing Machine</t>
  </si>
  <si>
    <t>S.S Feeding Screw Size 2100 x 32 x 20mm, Shaft Size 106mm x 32mm (Material S.S 316)</t>
  </si>
  <si>
    <t>Bearing SMK 25WUU, Length 110mm, Dia 38mm (Ishida Packing Machine)</t>
  </si>
  <si>
    <t>Cartridge Heater 220 Valt, 700 Watt Size L-320mm, Dia-8mm (Ishida Packing Machine)</t>
  </si>
  <si>
    <t>Timing Belt Size L-322 Width 25mm (Tecalit Plant)</t>
  </si>
  <si>
    <t>Timing Belt Size L-345 Width 25mm (Tecalit Plant)</t>
  </si>
  <si>
    <t>Modular Conveyor Belt Size762mm,Flight Heigth100mm,Side Guide Height 100mm,Flight Gap 200mm indent80mm</t>
  </si>
  <si>
    <t>FT</t>
  </si>
  <si>
    <t>Photoelectric Sensor Omron E3ZG-T61A-L</t>
  </si>
  <si>
    <t>Selector Switch CR-253-3 (Schneider/ Omron)</t>
  </si>
  <si>
    <t>Insert Tube Size L-250mm, Dia-14mm, T-1mm (Tecalit Plant)</t>
  </si>
  <si>
    <t>Horizontal Jaws Pin Size Length 65mm, Dia 15mm, Material S.S (Ishida Machine)</t>
  </si>
  <si>
    <t>S.S Round Filter Mesh Dia 500mm, T-0.5mm Mesh#20 (Tecalit Plant Line 1)</t>
  </si>
  <si>
    <t>S.S Round Filter Mesh Dia 700mm, T-0.5mm, Mesh#20 (Tecalit Plant Line 2)</t>
  </si>
  <si>
    <t>Thermocouple K-Type 3 X 120 MM For Ishida Machine</t>
  </si>
  <si>
    <t>Linear Bearing L-29MM, I/D-10MM, O/D-18.3MM With Group (Ishida Machine Cutter Assembly)</t>
  </si>
  <si>
    <t>Inverter A1000 Model# CIMR-AC4A0139AAA (Yaskawa)</t>
  </si>
  <si>
    <t>Filter For Inverter A-1000</t>
  </si>
  <si>
    <t>Compact Air Cylinder Model # CDQ2A40-15DZ Female Rod End (SMC) Korea Interpack Machine</t>
  </si>
  <si>
    <t>S.S Flexible Shielded Pipe With Both Side Flange Dia 2-1/2", L=35" Flange OD 185 PCD 145 (Tecalit Plant)</t>
  </si>
  <si>
    <t>S.S Flexible Shielded Pipe With Both Side Flange Dia 2-1/2", L=33" Flange OD 185 PCD 145 (Tecalit Plant)</t>
  </si>
  <si>
    <t>Spring for Ishida Conveyor L-55mm D-10mm T-1mm (Ishida Machine)</t>
  </si>
  <si>
    <t>40</t>
  </si>
  <si>
    <t>Timing Belt 1120-S8M W-25MM (Ishida Packing Machine)</t>
  </si>
  <si>
    <t>1790</t>
  </si>
  <si>
    <t>Penne Shape Insert In Bronze Teflon Shape P/N# A808921-NJHOU Pos#10 (For Buhler &amp; Tecalit Plant Slanty)</t>
  </si>
  <si>
    <t>Solenoid Valve 2 Way Size 1/4", 24VDC (Sama Packing Machine)</t>
  </si>
  <si>
    <t>1050</t>
  </si>
  <si>
    <t>Communication Card P/N# DMU P-5562 D-4 (Ishida Packing Machine ASTRO-S-HS)</t>
  </si>
  <si>
    <t xml:space="preserve">   236,235</t>
  </si>
  <si>
    <t>High Tempreture Mechnical Seal Size 40mm</t>
  </si>
  <si>
    <t>6500</t>
  </si>
  <si>
    <t>Tapper Roller Bearing 30307 J2/Q</t>
  </si>
  <si>
    <t>Thrust Ball Bearing 51406</t>
  </si>
  <si>
    <t>S.S Round Filter Mesh Dia 700mm, T-1mm, Mesh#8 (Tecalit Plant Line 2)</t>
  </si>
  <si>
    <t>Photo Electric Sensor Model BR-20GH Make : Sanil</t>
  </si>
  <si>
    <t>22500</t>
  </si>
  <si>
    <t>Motor Stater Relay Model : ELR H3-I-SC- 24DC/500AC-9 (Phoenix) Refurbished</t>
  </si>
  <si>
    <t>Air Pressure Switch LGW10-A2 P/N#681370</t>
  </si>
  <si>
    <t>42800</t>
  </si>
  <si>
    <t>V-Belt SPZ-1112 (Tecalit Plant)</t>
  </si>
  <si>
    <t>220</t>
  </si>
  <si>
    <t>Timing Belt XPA-1100</t>
  </si>
  <si>
    <t>345</t>
  </si>
  <si>
    <t>Timing Belt B-2590</t>
  </si>
  <si>
    <t>610</t>
  </si>
  <si>
    <t>Timing Belt 8MGT-720-12 (H&amp;C Seasoner)</t>
  </si>
  <si>
    <t>800</t>
  </si>
  <si>
    <t>Power Supply P/N# CJ1W-PA202 (Omron)</t>
  </si>
  <si>
    <t>18000</t>
  </si>
  <si>
    <t>Analog Output Module P/N# CJ1W-DAO8V (Omron)</t>
  </si>
  <si>
    <t>44400</t>
  </si>
  <si>
    <t>Solenoid Valve Model VNP 208-24DCX (Make MECAIR/Alternate)</t>
  </si>
  <si>
    <t>Solenoid Coil 24vdc Type SB3 (Make MECAIR/Alternate)</t>
  </si>
  <si>
    <t>Solenoid Coil Model#IP-65,JB-14,115V,14Watt (Parker/Alternate)</t>
  </si>
  <si>
    <t>4500</t>
  </si>
  <si>
    <t>LFR Unit ModelLFR-D-5M-MIDI-A,K543 (Make Festo)</t>
  </si>
  <si>
    <t>18500</t>
  </si>
  <si>
    <t>Relay 5 Pin 250Volt, 6Amp P/N#857-155 (Wago /Alternate)</t>
  </si>
  <si>
    <t>750</t>
  </si>
  <si>
    <t>Pressure Switch P33XB-9200, 0.5/6 Mbar Pmax 300 mbar 5(20)A 250V 15/60 IP54 JOHNSON CONTROL</t>
  </si>
  <si>
    <t>13500</t>
  </si>
  <si>
    <t>Capacitive Sensor Model # IFM Ki0024, KIE2015-FBOA/NI (Tecalit Plant)</t>
  </si>
  <si>
    <t>Display LCD TFT P/N#000146350001</t>
  </si>
  <si>
    <t>92320</t>
  </si>
  <si>
    <t>Bracket Touch Panel P/N#000145713408</t>
  </si>
  <si>
    <t>4924</t>
  </si>
  <si>
    <t>Temperature Sensor PIXSYS Electronics 4-20mA PT100 B-6x200-MGO-1/2"F-DIN/B-TR420</t>
  </si>
  <si>
    <t>Humidity Probe E+E Elektronik 4-20mA, 15-35 VDC/15-28 VAC,EE23- xCx HC1000-200 Spare part FE09</t>
  </si>
  <si>
    <t>Electronics gauge PG2451</t>
  </si>
  <si>
    <t>Flow Meter SM-6000</t>
  </si>
  <si>
    <t>Wago Variable PS Epsitron-Power 787-1668 1/P DC 24V/70A,0/P DC24V/8x2-10A</t>
  </si>
  <si>
    <t>EMC Filter BLOCK FB-40250A 18KA 250 A 480 V</t>
  </si>
  <si>
    <t>FL Switch PHONIX SFNB8T6</t>
  </si>
  <si>
    <t>PIZATO Relay Type CSAR-08 V 024V</t>
  </si>
  <si>
    <t>Two Ways Pneumatic Valve DN15-PN16, Head Dia 200, Prex, 6-18 Psi</t>
  </si>
  <si>
    <t>Round Heater Size 168mm x 70mm, 220 Valt, 2KW (Lalesse Plant Extruder)</t>
  </si>
  <si>
    <t>Mechnical Seal Size 22mm</t>
  </si>
  <si>
    <t>Mechnical Seal Size 24mm</t>
  </si>
  <si>
    <t>Bearing UC-214 (56214)</t>
  </si>
  <si>
    <t>13000</t>
  </si>
  <si>
    <t>Timing Belt 150S5M525 Width 15mm (Ishida Packing Machine)</t>
  </si>
  <si>
    <t>450</t>
  </si>
  <si>
    <t>Timing Belt 150S5M1295 Width 15mm (Ishida Packing Machine)</t>
  </si>
  <si>
    <t>2000</t>
  </si>
  <si>
    <t>Relay 8 Pin 24VDC Flat Type Model # G2R-2-SN  (Finder/Omron)</t>
  </si>
  <si>
    <t>Power Supply HDR-60-24 60 Watt Make Meanwell</t>
  </si>
  <si>
    <t>6000</t>
  </si>
  <si>
    <t>Needle Roller Bearing HK-2016</t>
  </si>
  <si>
    <t>898</t>
  </si>
  <si>
    <t>Proximity Sensor Model D-A93, 24VAC (SMC)</t>
  </si>
  <si>
    <t>Carbon Steel Bracket Size 19mm x 38mm x 160mm (Ishida Machine Jaws Assembly)</t>
  </si>
  <si>
    <t>3000</t>
  </si>
  <si>
    <t>Pressure switch Model# HS-210 Z236,Range 0.1Mpa-1,  1Kgf/cm2-10 (For RO Plant)</t>
  </si>
  <si>
    <t>3500</t>
  </si>
  <si>
    <t>Relay 14 Pin 110V Flat Type 94.74 (Finder/Omron)</t>
  </si>
  <si>
    <t>Strip Motor Sensor P/N # M77U EE-SX671A (For Ishida Mchine)</t>
  </si>
  <si>
    <t>Pneumatic Valve Model # SF4101-12 Pressure 1.5-10bar (YPC Korea)For Korea interpack</t>
  </si>
  <si>
    <t>5950</t>
  </si>
  <si>
    <t>Manifold Block Model # PHS520-M5 PT1/4 For Korea interpack</t>
  </si>
  <si>
    <t>7500</t>
  </si>
  <si>
    <t>Priximity Sensor P/N # E2E-C05S01-WC-C1 Make Omron NPN,NO(ishida Packing Machine)</t>
  </si>
  <si>
    <t>3850</t>
  </si>
  <si>
    <t>PU Conveyor Belt Size 9540 x 300mm x 2mm With Both Side V Guide Size 10x6mm (Tecalit Plant Silo)</t>
  </si>
  <si>
    <t>33300</t>
  </si>
  <si>
    <t>PWB Card P-5547: B-1 P/N#10006463101 With Software  P/N# 000700001201, P/N # 100060674500 (Ishida Machine)</t>
  </si>
  <si>
    <t>Flame Sensing Electrode Size 4¿¿ X  14mm</t>
  </si>
  <si>
    <t>Ignition Electrode size 4¿¿ X 14mm</t>
  </si>
  <si>
    <t>2500</t>
  </si>
  <si>
    <t>Diffuser Plate For Baltur Burner</t>
  </si>
  <si>
    <t>5000</t>
  </si>
  <si>
    <t>Solenoid Valve Size 2" Coil Valt 220 Valt Model # 032u7151(Danfoss)</t>
  </si>
  <si>
    <t>Ignition Electrode Total Length 18", Procelen Size 14mm x 5"</t>
  </si>
  <si>
    <t>Thermometer probe P# 100013684 (For Air Compressor GD)</t>
  </si>
  <si>
    <t>26000</t>
  </si>
  <si>
    <t>Base Card P/N # A054J968 (For Gen Set 1250KVA)</t>
  </si>
  <si>
    <t>660942</t>
  </si>
  <si>
    <t>Relay 5 pin Flat Type P/N# V23134-A53-C643 +1215 (For Gen Set 1250KVA)</t>
  </si>
  <si>
    <t>4533</t>
  </si>
  <si>
    <t>Temperature and Humidity Controller TDK0302LA-R485 (AHU Panel)</t>
  </si>
  <si>
    <t>8500</t>
  </si>
  <si>
    <t>Soft Starter, 3 kW ,600 V, 3 Phase, IP20 P/N # 1SFA896104R7000 (ABB)</t>
  </si>
  <si>
    <t>38000</t>
  </si>
  <si>
    <t>Ball Bearing 6805 2ZR/C3</t>
  </si>
  <si>
    <t>Inverter V 1000 With Option Board Model # CIMR-VC4A0005BAA, 2.2KW, With Programming (Yaskawa)</t>
  </si>
  <si>
    <t>Inverter V 1000 With Option Board Model # CIMR-VC4A0009BAA, 4KW, With Programming (Yaskawa)</t>
  </si>
  <si>
    <t>TOUCH PANEL:ANALOG P/N # 100024008800</t>
  </si>
  <si>
    <t>Teflon Chain Sprocket O/D-93mm,I/D-35mm, No Of Teeth 24, T-38mm (Slanty Auto Fryer)</t>
  </si>
  <si>
    <t>3250</t>
  </si>
  <si>
    <t>Solenoid Valve 2 Way Size 1/2" Coil Voltage 24vdc, Water Type (Brand SNS)</t>
  </si>
  <si>
    <t>S.S Rod Size L=230mm Thread size 16mm (For Sama Packing Machine)</t>
  </si>
  <si>
    <t>Carbon Steel Gear Size O/D 32mm, Teeth=19Nos I/D 10mm (For Korea Interpack Machine)</t>
  </si>
  <si>
    <t>Cylindrical Roller Bearing NJ307EC</t>
  </si>
  <si>
    <t>S.S Spring Size 117mm x 25mm x 20mm (Ishida Linear Conveyor)</t>
  </si>
  <si>
    <t>Round Heater Size L=610mm W=70mm 220V 2500W (Lalesse plant Extruder)</t>
  </si>
  <si>
    <t>3800</t>
  </si>
  <si>
    <t>Gas Pressure Regulator,Connection DN-25,PI 500-1000 MBAR, PA16-60 MBAR(Madas)</t>
  </si>
  <si>
    <t>Load Cell  : TLC-6L Part # 000-052-3018-17 (For Ishida Machine)</t>
  </si>
  <si>
    <t>Load Cell : DLC-80L : Part #  000-002-9835-10 (For Ishida Machine)</t>
  </si>
  <si>
    <t>87746</t>
  </si>
  <si>
    <t>PNEUMATIC AIR CYLINDER Model: SC 50X250 Make: RIH</t>
  </si>
  <si>
    <t>12500</t>
  </si>
  <si>
    <t>Power Supply Delta  DRL-24V120W1AS 24VDC 5A (Slanty Auto Fryer)</t>
  </si>
  <si>
    <t>11550</t>
  </si>
  <si>
    <t>AC Servo Motor P/N # MSMD042G1S 3 Phase 106V 2.6A 0.4KW 3000RPM (Panasonic)</t>
  </si>
  <si>
    <t>51500</t>
  </si>
  <si>
    <t>Inductive Sensor P/N # IG5456 (Brand IFM)</t>
  </si>
  <si>
    <t>17000</t>
  </si>
  <si>
    <t>TOUCH PANEL:ANALOG P4798 P/N # 000144790308</t>
  </si>
  <si>
    <t>30864</t>
  </si>
  <si>
    <t>`U¿ Type Finned Tubular Heater Air Heating Element L=110¿¿ 4500W, 415 Volt,5000Kw  for HVAC</t>
  </si>
  <si>
    <t>Two Ways Cast Iron Valve Model # VFS220, Connection Size DN-20,Nominal pressure: PN16 (Tecalit Plant)</t>
  </si>
  <si>
    <t>Aluminum Bracket Size 45mm X 20mm X 12mm (For Korea Interpack Packing Machine)</t>
  </si>
  <si>
    <t>WORM GEAR REDUCER NMRV 40 1:30 RATIO BORE DIA 18mm KEY 6mm 0.37KW (Slanty Auto Fryer)</t>
  </si>
  <si>
    <t>Pressure Die 5mm Hole For Lalesse Plant Extruder</t>
  </si>
  <si>
    <t>8000</t>
  </si>
  <si>
    <t>Panasonic Servo Drive P/N# MCDHT3520 A5 (Refurbished)</t>
  </si>
  <si>
    <t>75000</t>
  </si>
  <si>
    <t>Universal Joint Size 52mm x 20mm x 20mm (3 Pieces In 1 Set) Material Nylatron (Ishida Linear Conveyor)</t>
  </si>
  <si>
    <t>PWB Card :P-5423:E-1 P/N # 100032364800</t>
  </si>
  <si>
    <t>47984</t>
  </si>
  <si>
    <t>SENSOR P/N # 000147376517</t>
  </si>
  <si>
    <t>9939</t>
  </si>
  <si>
    <t>Collor P/N # 000069298902 (Ishida Machine U-7)</t>
  </si>
  <si>
    <t>34</t>
  </si>
  <si>
    <t>COVER:SHAFT:OUTSIDE P/N # 0575048-12 (Ishida Machine U-7)</t>
  </si>
  <si>
    <t>1337</t>
  </si>
  <si>
    <t>IGNITION SWITCH (Part # 0172734)</t>
  </si>
  <si>
    <t>2136</t>
  </si>
  <si>
    <t>PART TILLER HEAD (Part # 4492821)</t>
  </si>
  <si>
    <t>2515</t>
  </si>
  <si>
    <t>PRESSURE SPRING (Part # 0009210865)</t>
  </si>
  <si>
    <t>1782</t>
  </si>
  <si>
    <t>Core, Drier 48-DM(POE OIL) Part#3204904015 (For Tecalit Chiller)</t>
  </si>
  <si>
    <t>5300</t>
  </si>
  <si>
    <t>S.S Stud Size Dia 25mm, Length 125mm With Nut &amp; Washer</t>
  </si>
  <si>
    <t>1450</t>
  </si>
  <si>
    <t>Phase Sequence Failure Relay Model # FKV-14 (Brand Tense) Slanty Dehumidification System</t>
  </si>
  <si>
    <t>Cutting Knife Size L=260mm, W=63mm, T=1mm (Tecalit Plant)</t>
  </si>
  <si>
    <t>550</t>
  </si>
  <si>
    <t>Tempreture Prob CAREL NTC 060 WH-IP68-50 T105 (Tecalit [Plant Chiller)</t>
  </si>
  <si>
    <t>850</t>
  </si>
  <si>
    <t>Silicon Seal SS Ply Moulded (For Ishida Packing Machine Weigher)</t>
  </si>
  <si>
    <t>Spur Gear O/D-142MM, I/D-25MM, T-15MM, No Of Teeth 132 (Sama Packing Machine Damping)</t>
  </si>
  <si>
    <t>Pneumatic Pilot Valve G1/4 P/N : 224.53.31.11.11 (Brand Pneumax) Tecalit Plant &amp; Buhler Plant</t>
  </si>
  <si>
    <t>23000</t>
  </si>
  <si>
    <t>SAFETY RELAY MODEL: MSR127TP (MAKE: ALLEN BRADLEY) SLANTY AUTO FRYER</t>
  </si>
  <si>
    <t>22000</t>
  </si>
  <si>
    <t>Immersion Heater 9Kw Threaded Size 2" (Steam Generator)</t>
  </si>
  <si>
    <t>11500</t>
  </si>
  <si>
    <t>POWER SUPPLY AS For Ishida Packing Machine P/N 100041173900</t>
  </si>
  <si>
    <t>Sealing Jaws Assemblt Fron Side (Ishida Packing Machine)</t>
  </si>
  <si>
    <t>Timing Belt 8RPP-1080-32MM (For Lalese Plant)</t>
  </si>
  <si>
    <t>5500</t>
  </si>
  <si>
    <t>Single Round Rail Linear Guide P/N # WLIN-01-20(Ishida Linear Conveyor)</t>
  </si>
  <si>
    <t>4150</t>
  </si>
  <si>
    <t>Single Round Rail Linear Guide P/N # WR01-20-270mm (Without Hole)(Ishida Linear Conveyor)</t>
  </si>
  <si>
    <t>7100</t>
  </si>
  <si>
    <t>Minor Kit (A) ESM30-45 P/N # GF3045-2 (Unit 7 Air Compressor VS45-13A)</t>
  </si>
  <si>
    <t>Separator Kit (B) VS 30-45 P/N # GS3045-3-VS(Unit 7 Air Compressor VS45-13A)</t>
  </si>
  <si>
    <t>Polyester Needle Felt Filter Bags Size Dia 127mm x Length 2540mm (For Tecalit 1 Cyclone)</t>
  </si>
  <si>
    <t>2400</t>
  </si>
  <si>
    <t>Bearing ET-CRI-0678 LLCS70/L260 (NTN) Electric Stacker</t>
  </si>
  <si>
    <t>Horizontal jaws link material Carbon Steel Size L 175mm w 33mm T 42 mm (Korea Inter Pack Machine )</t>
  </si>
  <si>
    <t>Power Supply Switching P/N # 000112127405</t>
  </si>
  <si>
    <t>Ball Bearing 6403 2ZR/C3</t>
  </si>
  <si>
    <t>1850</t>
  </si>
  <si>
    <t>Needle Roller Bearing 28BWD003ACA51</t>
  </si>
  <si>
    <t>5890</t>
  </si>
  <si>
    <t>Vibretor Motor MVE 400/15</t>
  </si>
  <si>
    <t>WAGO 787-844 Power Supply input 400VAC Output 24VDC 40A (Refurbished)</t>
  </si>
  <si>
    <t>Magnetic Contactor 220V (Allen Bradley)</t>
  </si>
  <si>
    <t>Angular Contact Ball Bearing 7013 TP4SUL</t>
  </si>
  <si>
    <t>9500</t>
  </si>
  <si>
    <t>Needle Roller Bearing HK-2020</t>
  </si>
  <si>
    <t>925</t>
  </si>
  <si>
    <t>TOUCH PANEL:ANALOG P/N 100046214900</t>
  </si>
  <si>
    <t>PWB:P-5643:C-2 P/N 100048174900</t>
  </si>
  <si>
    <t>PWB:P-5424:K-1 P/N # 100058078100</t>
  </si>
  <si>
    <t>PWB:P-5424:K-2 P/N # 100058078201</t>
  </si>
  <si>
    <t>PWB:P-5549:C-1 P/N # 100058952100</t>
  </si>
  <si>
    <t>Horizontal Sealing Jaws 41mm X 30mm X 250mm Ishida Packing Machine</t>
  </si>
  <si>
    <t>SIMATIC CPU S7-300 P/N # IP 6ES7 315 - 2EH14-0AB0 (Siemens)</t>
  </si>
  <si>
    <t>Taper Roller Bearing 32212</t>
  </si>
  <si>
    <t>Pneumatic Air Cylinder Model# Cdm2b32-20</t>
  </si>
  <si>
    <t>SIMATIC S7-300 DIGITAL OUTPUT P/N # 6ES7 322-1BL00-0AA0.</t>
  </si>
  <si>
    <t>Bearing Hmk 1819 (Ta 1819) P/N# 0942072-07</t>
  </si>
  <si>
    <t>AC Servo Driver 1.5KW P/N # MDDHT5540014 (Ishida Packing Machine)</t>
  </si>
  <si>
    <t>Pneumatic Air Cylinder Size 63 x 50</t>
  </si>
  <si>
    <t>PT-100 Sensor Transmeter PT100 4-20amp 150C</t>
  </si>
  <si>
    <t>Extruder Ring for Pasta Size I/D=495mm,
O/D=517mm,Thickness 25.4mm, S.S-304 (Tecalit
Plant Line 1)</t>
  </si>
  <si>
    <t>Push BUTTON Green NORMAL</t>
  </si>
  <si>
    <t>Rod End Beaering Phs 6 R</t>
  </si>
  <si>
    <t>Digital Frequency Controller M# SWH-10C (Ishida
Packing Machine)</t>
  </si>
  <si>
    <t>Rack No: 01 A</t>
  </si>
  <si>
    <t>Magnet Strength : 9000 Gauss Make : Korea Interpack</t>
  </si>
  <si>
    <t>Magnetic Contactor 24 Vdc, Model # 3rt26
(Siemens)</t>
  </si>
  <si>
    <t>Srew For Extruder Power 1.1 KW Size 600 X 2100mm Caoacity 100-300 Kg/h</t>
  </si>
  <si>
    <t>Barrel Water Body CG470mm ( For Lalesse Plant Extruder )</t>
  </si>
  <si>
    <t>NON INVENTORY MASTER STOCK</t>
  </si>
  <si>
    <t>Gas Pressure Regulator,Connection DN-12,Pressure Reding 40-110 m bar(Madas)</t>
  </si>
  <si>
    <t>Push Button Box 2 Way</t>
  </si>
  <si>
    <t>Fiber Sheet</t>
  </si>
  <si>
    <t>SOLDING WIRE</t>
  </si>
  <si>
    <t>Indication Light Red</t>
  </si>
  <si>
    <t>AIR PRESSER GUN</t>
  </si>
  <si>
    <t>S.S Bush For Pam Pacific Packing Machine Bucket</t>
  </si>
  <si>
    <t>Union G.I Threaded Size 2"</t>
  </si>
  <si>
    <t>Dead Plug G.I  Threaded ,Nominal  Size  1-1/2"</t>
  </si>
  <si>
    <t>Tee Equal G .I threaded 2"</t>
  </si>
  <si>
    <t>Tee equal G.I threaded 1"</t>
  </si>
  <si>
    <t>socket G I  threaded,3/4"</t>
  </si>
  <si>
    <t>Socket G.I Threaded 1".</t>
  </si>
  <si>
    <t>Socket G.I Threaded 1-1/2"</t>
  </si>
  <si>
    <t>Jubli Clip Size 4"</t>
  </si>
  <si>
    <t>S.S Socket Threaded Size 1"</t>
  </si>
  <si>
    <t>Jubli Clip Size 3"</t>
  </si>
  <si>
    <t>Cable Elec. Single Core,7/29 Copper conductor   PVC insulated.voltage rating 300 volts.(color RED)</t>
  </si>
  <si>
    <t>COL</t>
  </si>
  <si>
    <t>Oil Paint S.E (Off White)</t>
  </si>
  <si>
    <t>Grinding Disc 5" x 5mm x</t>
  </si>
  <si>
    <t>INSULATED SCREW DRIVER SET</t>
  </si>
  <si>
    <t>Ball Valve, S.S Full Bore Threaded, Size 2"</t>
  </si>
  <si>
    <t>Barrel Nipple G.I 1-1/2"</t>
  </si>
  <si>
    <t>GAS PRESSURE GUAGE SIZE: 4" DIAL, DOWN CON.400M BAR</t>
  </si>
  <si>
    <t>RUBBER COUPLING</t>
  </si>
  <si>
    <t>Cable Elec. Single Core,3/29 Copper conductor   PVC insulated.voltage rating 300 volts.</t>
  </si>
  <si>
    <t>SELECTOR SWITCH 63AMP</t>
  </si>
  <si>
    <t>PVC Connector Strip 30 AMP</t>
  </si>
  <si>
    <t>PVC Connector 60 Amp</t>
  </si>
  <si>
    <t>PVC Connector 100 Amp</t>
  </si>
  <si>
    <t>SELECTOR SWITCH 32 AMP ON/OFF</t>
  </si>
  <si>
    <t>THERMOCUPLE WIRE K TYPE</t>
  </si>
  <si>
    <t>MTR</t>
  </si>
  <si>
    <t>Pneumatic Air Connector Size 1/4" x 8mm</t>
  </si>
  <si>
    <t>DIGITAL VERNIER CALIPER</t>
  </si>
  <si>
    <t>Wheel ( Rear )tire For Hand  Pallet Truck  load capacity 3000kg. (Material Nylon Imported)</t>
  </si>
  <si>
    <t>Elbow UPVC unthreaded/  Plain. 1/2' to SCH-40 ASTM Standard.</t>
  </si>
  <si>
    <t>Elbow G.I threaded size  1/2"</t>
  </si>
  <si>
    <t>Barrel Nipple  G.I. threaded Size 1/2 "</t>
  </si>
  <si>
    <t>S.S Barrel Nipple Threaded Size 1"</t>
  </si>
  <si>
    <t>Tee Equal G .I threaded 1/2 "</t>
  </si>
  <si>
    <t>Socket UPVC unthreaded/Plain 1/2"  to ASTM Standard.SCH-40</t>
  </si>
  <si>
    <t>Bolt Hex. head . Carbon Steel , galvanised ,  M16x65 mm With Nut ,plain washer and spring washer.</t>
  </si>
  <si>
    <t>KGS</t>
  </si>
  <si>
    <t>M.S FLANGE 1"</t>
  </si>
  <si>
    <t>M.S ELBOW 1/2"</t>
  </si>
  <si>
    <t>Reducing Tee G.I threaded 1-1/2" x 1"</t>
  </si>
  <si>
    <t>S.S ELBOW 1"</t>
  </si>
  <si>
    <t>S.S ELBOW 2"</t>
  </si>
  <si>
    <t>Union G.I threaded 1-1/4"</t>
  </si>
  <si>
    <t>Union G..I threaded 1"</t>
  </si>
  <si>
    <t>Union G.I threaded 1/2"</t>
  </si>
  <si>
    <t>AIR FILTER 1613-9001-00</t>
  </si>
  <si>
    <t>EXHAUST FAN Size 10" (GFC) Metal Body</t>
  </si>
  <si>
    <t>Ball Valve , S.S , Full Bore Threaded, Size 1-1/2"</t>
  </si>
  <si>
    <t>Cable Ties Size 10"</t>
  </si>
  <si>
    <t>PAK</t>
  </si>
  <si>
    <t>PVC Connector Strip 15 Amp</t>
  </si>
  <si>
    <t>I.C</t>
  </si>
  <si>
    <t>Transistor</t>
  </si>
  <si>
    <t>Gear Box</t>
  </si>
  <si>
    <t>Samad Bond Larg</t>
  </si>
  <si>
    <t>Cutting Disc 125 mmX1.0 mmx22.3, Grade 74A30TIIBF1367 to EN 12413,12200 rpm.</t>
  </si>
  <si>
    <t>S.S Welding Rod 12 NO</t>
  </si>
  <si>
    <t>WIRE BRUSH</t>
  </si>
  <si>
    <t>Bearing Puller Size 6"</t>
  </si>
  <si>
    <t>Over Load Relay 18-25 Amp</t>
  </si>
  <si>
    <t>Dead Plug G.I  Threaded ,Nominal  Size  1-1/4"</t>
  </si>
  <si>
    <t>Gas Refrigerant R-22 Cylinder 13.6 Kg.(China)</t>
  </si>
  <si>
    <t>CAPACITOR 25 UF</t>
  </si>
  <si>
    <t>COPPER ROD</t>
  </si>
  <si>
    <t>PRESSURE SWITCH 220V SINGLE PHASE</t>
  </si>
  <si>
    <t>Tube Light Holder</t>
  </si>
  <si>
    <t>Holder For Starter</t>
  </si>
  <si>
    <t>V-belt A-60</t>
  </si>
  <si>
    <t>Cable Lugs (closed Ring Type) Copper, Tin plated, Size 35mm²</t>
  </si>
  <si>
    <t>Air Blower 220 volt RPM 13000 watt 650</t>
  </si>
  <si>
    <t>M.S ELBOW 2" SCH. 40</t>
  </si>
  <si>
    <t>M.S ELBOW 1" SCH. 40</t>
  </si>
  <si>
    <t>M.S TEE 1" SCH. 40</t>
  </si>
  <si>
    <t>NON RETURN VALVE 1"</t>
  </si>
  <si>
    <t>V-BELT A-23</t>
  </si>
  <si>
    <t>Diode</t>
  </si>
  <si>
    <t>Pneumatic Pipe Size 6mm</t>
  </si>
  <si>
    <t>ENERGY SAVER   23  Watt  220 Volt  Spiral Shape White Light Screw Type E27</t>
  </si>
  <si>
    <t>Choke For Tube Light Phillips 220 Volt 36 Watt</t>
  </si>
  <si>
    <t>Reducing Bush G.I  threaded 1" X 1-1/4"</t>
  </si>
  <si>
    <t>Power Plug With Box (Sonic)</t>
  </si>
  <si>
    <t>Tube Light Rod (TLD-865) 36 Watt 4' White (Philps)</t>
  </si>
  <si>
    <t>Resistor</t>
  </si>
  <si>
    <t>V-BELT B-84</t>
  </si>
  <si>
    <t>Charging Pin Valve (For Gas Filling)</t>
  </si>
  <si>
    <t>PNEUMATIC EQUAL TEE SIZE 6MM</t>
  </si>
  <si>
    <t>Reducing Bush G.I threaded 1/2" x 1-1/4"</t>
  </si>
  <si>
    <t>Starter S-10 (Philps)</t>
  </si>
  <si>
    <t>TWO PIN PLUG LARGE</t>
  </si>
  <si>
    <t>Blub Hoder</t>
  </si>
  <si>
    <t>Pipe Nipple G..I threaded size  2" length 5"</t>
  </si>
  <si>
    <t>G.I. PIPE NIPPLE 3/4" X 4"</t>
  </si>
  <si>
    <t>Thinner</t>
  </si>
  <si>
    <t>LTR</t>
  </si>
  <si>
    <t>Insect Killer Rod 15"</t>
  </si>
  <si>
    <t>Choke  For Search Light  220 V 400 watt . Phillips.</t>
  </si>
  <si>
    <t>Switch Clipsal Piano Type Five  Gang</t>
  </si>
  <si>
    <t>Capacitor 132-182 MFD</t>
  </si>
  <si>
    <t>welding glass</t>
  </si>
  <si>
    <t>Light Plug</t>
  </si>
  <si>
    <t>Plastic Rawal Plug</t>
  </si>
  <si>
    <t>Capacitor 3.5 UF 400 VAC (Fuji)</t>
  </si>
  <si>
    <t>Welding Electrode ( carbon steel) No 10 (3.2 mm) AWS 6013</t>
  </si>
  <si>
    <t>Welding Electrode ( for carbon steel) No 12 (2.6  mm) AWS 6013 (7018)</t>
  </si>
  <si>
    <t>Cable Lugs (closed Ring Type) Copper, Tin plated, Size 16mm²</t>
  </si>
  <si>
    <t>Tape Insulation PVC  Black Width 3/4" x10yds Nitto/Osaka</t>
  </si>
  <si>
    <t>Tape Insulation PVC  Blue Width 3/4" x10yds Nitto/Osaka</t>
  </si>
  <si>
    <t>Cable lugs ( "o" Type).Insulated , Copper,Tin plated,    Size  4 mm²</t>
  </si>
  <si>
    <t>Cable lugs ( "o" Type).Insulated , Copper,Tin plated,    Size  2.5 mm²</t>
  </si>
  <si>
    <t>Tape Insulating  PVC  Red  ,width 3/4 " 10 yds Nitto/Osaka</t>
  </si>
  <si>
    <t>Allen Key Bolt  M.S Black Finish, Size M5x12 mm ( Socket Head Cap Screw )</t>
  </si>
  <si>
    <t>Allen  key Bolt Size ,M8x20mm ( Socket Head Cap Screw)  M.S Black Finish</t>
  </si>
  <si>
    <t>Allen key bolt Size M5x12mm ( Counter sunk head  cap screw) M.S Black finish Size M5x12mm</t>
  </si>
  <si>
    <t>Allen key bolt Size M5x20mm ( Counter sunk head  cap screw) M.S Black finish Size M5x20mm</t>
  </si>
  <si>
    <t>Hack Saw Blade single side,  HSS. 300 mm x 12 mm  , 18 Teeth per inch</t>
  </si>
  <si>
    <t>Bolt Hex. head. M.S , galvanised , Size M6x20 mm With  Nut ,plain washer and spring washer.</t>
  </si>
  <si>
    <t>Bolt Hex. head. M.S , galvanised , Size M6x40 mm With  Nut ,plain washer and spring washer.</t>
  </si>
  <si>
    <t>Bolt Hex. head. M.S , galvanised , Size M8x20 mm With  Nut ,plain washer and spring washer.</t>
  </si>
  <si>
    <t>Bolt Hex. head. M.S , galvanised , Size M8x40mm With  Nut ,plain washer and spring washer.</t>
  </si>
  <si>
    <t>Cable termination Colour Code Sleeve  300 mm ²</t>
  </si>
  <si>
    <t>V- belt  A -58</t>
  </si>
  <si>
    <t>V-BELT A-41</t>
  </si>
  <si>
    <t>Pipe UPVC, Size 3" Schedule 40 to ASTM Standard D1785</t>
  </si>
  <si>
    <t>V-belt A-35</t>
  </si>
  <si>
    <t>V-BELT A-22</t>
  </si>
  <si>
    <t>Roller Chain Pultan Japan 06B-1 3/8"</t>
  </si>
  <si>
    <t>Mechnical Oil Seal 18mm</t>
  </si>
  <si>
    <t>Mechnical Oil Seal 17mm</t>
  </si>
  <si>
    <t>Mechnical Oil Seal 16mm</t>
  </si>
  <si>
    <t>Allen Key Bolt  M.S Black Finish, Size M3x12 mm ( Socket Head Cap Screw )</t>
  </si>
  <si>
    <t>Bolt Hex. head . Carbon Steel , galvanised ,  M10x25 mm With   Nut ,plain washer and spring washer</t>
  </si>
  <si>
    <t>Bolt Hex head  galvanised ,  M10x30 mm With Nut ,plain washer and spring washer.</t>
  </si>
  <si>
    <t>Bolt Hex head . Carbon Steel , galvanised , M12x40 mm With  Nut ,plain washer and spring washer.</t>
  </si>
  <si>
    <t>Portable Bag Closer Machine NP 7A</t>
  </si>
  <si>
    <t>Carbon Strip Size 4mm x 44mm x 62mm For Pam Pacific Machine Vacum Pump</t>
  </si>
  <si>
    <t>Oil Paint (Yellow) Road Marking</t>
  </si>
  <si>
    <t>Inner Lock Size 8mm</t>
  </si>
  <si>
    <t>Spec Oil Filter P/N : 2202-9295-50</t>
  </si>
  <si>
    <t>Foundation Bolt Size 18mm x 35mm x 8mm (For Pam Pacific Packing Machine)</t>
  </si>
  <si>
    <t>Inner Lock Size 11mm</t>
  </si>
  <si>
    <t>Inner Lock Size 13mm</t>
  </si>
  <si>
    <t>Inner Lock Size 14mm</t>
  </si>
  <si>
    <t>Inner Lock Size 15mm</t>
  </si>
  <si>
    <t>Oil Seal Size 35 x 52 x 7mm</t>
  </si>
  <si>
    <t>Flair Nut 3/8"</t>
  </si>
  <si>
    <t>Ball Valve UPVC Threaded  Full Bore Plain Socket end Size 1/2"</t>
  </si>
  <si>
    <t>Ball Valve UPVC Threaded  Full Bore Plain Socket end Size 3/4"</t>
  </si>
  <si>
    <t>Red Oxide Primer S.E Paints (3.64 Ltr) Nippon</t>
  </si>
  <si>
    <t>Paint Synthetic Enamel Red.( ICI/Berger) 3.64 Ltr</t>
  </si>
  <si>
    <t>Non Return Valve Brass Size 2"</t>
  </si>
  <si>
    <t>Universal Joint For PFM Packing Machine Shaft</t>
  </si>
  <si>
    <t>Horn &amp; Sieren Light 24 VDC</t>
  </si>
  <si>
    <t>pneumatic rivet gun size:1/4" dia</t>
  </si>
  <si>
    <t>milling cutter for stainless s D.20</t>
  </si>
  <si>
    <t>milling cutter for stainless s D.28</t>
  </si>
  <si>
    <t>milling cutter for stainless s D.30</t>
  </si>
  <si>
    <t>milling cutter for stainless s D.37</t>
  </si>
  <si>
    <t>milling cutter for stainless s D.45</t>
  </si>
  <si>
    <t>milling cutter for stainless s D.50</t>
  </si>
  <si>
    <t>S.S 304 Strainer Threaded Size 1"</t>
  </si>
  <si>
    <t>G.I Pipe Nipple Size 1/4" x Length 4"</t>
  </si>
  <si>
    <t>PVC Gland Size 40mm</t>
  </si>
  <si>
    <t>E.O.C.R 0.5-6.5AMP (Model EOCR SS-6AMP)</t>
  </si>
  <si>
    <t>Wire Seleave Size 14MM</t>
  </si>
  <si>
    <t>Steel Belt Lacing 25 NO (Brand Tiger Prowess)</t>
  </si>
  <si>
    <t>Spring Size 30 x 10 x 8.5mm For Taping Machine</t>
  </si>
  <si>
    <t>Tiger Packing Machine Knife Comb Type Size : L=188MM , W=15MM , T=4MM</t>
  </si>
  <si>
    <t>V-BELT B-104</t>
  </si>
  <si>
    <t>Circuit Breaker 2A 2 Pole</t>
  </si>
  <si>
    <t>Brass Gland Size 16mm</t>
  </si>
  <si>
    <t>Tee Equal UPVC ,plain unthreaded,Size 1" Schedule 80 ASTM D- 2467</t>
  </si>
  <si>
    <t>Reducer Tee G.I Size 1-1/2" x 1/2"</t>
  </si>
  <si>
    <t>Socket UPVC , Plain unthreaded, Size 3/4" Schedule 80 ASTM D 2467</t>
  </si>
  <si>
    <t>Valve Socket UPVC,,Size 3/4" Schedule 80 Astm D2467</t>
  </si>
  <si>
    <t>Union UPVC, plain unthreaded  Size 3/4 " ,  Schedule 80 ASTM. D-2467</t>
  </si>
  <si>
    <t>Elbow UPVCPlain unthreaded,  Size 3/4"  Schedule 80</t>
  </si>
  <si>
    <t>S.S Line Strainer Size 3/4"</t>
  </si>
  <si>
    <t>Blind Rivit Size 4mm x 3/8"</t>
  </si>
  <si>
    <t>Socket UPVC Sch-80 Size 3/4" One Side Threaded &amp; One Side Plain</t>
  </si>
  <si>
    <t>Socket UPVC Sch-80 Size 1" One Side Threaded &amp; One Side Plain</t>
  </si>
  <si>
    <t>S.S Tee Threaded Size 1",Sch-40</t>
  </si>
  <si>
    <t>Capacitor Electronics Components</t>
  </si>
  <si>
    <t>V-BELT B-74</t>
  </si>
  <si>
    <t>Terminal Connector 20AMP</t>
  </si>
  <si>
    <t>Industrial Socket and Plug 32A 3 Pin</t>
  </si>
  <si>
    <t>V-BELT B-69</t>
  </si>
  <si>
    <t>PVC Gland Size 21mm</t>
  </si>
  <si>
    <t>Solder Sucker (goot)</t>
  </si>
  <si>
    <t>M.S Elbow Size 4" Sch-40</t>
  </si>
  <si>
    <t>Dryer Filter</t>
  </si>
  <si>
    <t>S.S Reducer Size 2" x 1"</t>
  </si>
  <si>
    <t>Gasket Size 2" x 3mm</t>
  </si>
  <si>
    <t>Conveyor Belt Side Guard (Unit 7 Slanty Conveyor)</t>
  </si>
  <si>
    <t>Rubber Below Size 2" Dia</t>
  </si>
  <si>
    <t>Equal Flow Control Valve Size 6mm</t>
  </si>
  <si>
    <t>M.S Dead Plug Size 2"</t>
  </si>
  <si>
    <t>Pipe Nipple M.S Size 2" x 6"</t>
  </si>
  <si>
    <t>Curb Screw Size 1/2" x 3mm</t>
  </si>
  <si>
    <t>Curb Screw Size 1/4" x 4mm</t>
  </si>
  <si>
    <t>Valve -Gas Controller W/Pilot HW-VS820A</t>
  </si>
  <si>
    <t>Regulator -FPOL X 1/2"-Two Stage, 9"-13"</t>
  </si>
  <si>
    <t>23585</t>
  </si>
  <si>
    <t>Ball valve , S.S full bore,  Size 1/4" threaded ends, Kitz/Velan.</t>
  </si>
  <si>
    <t>PRV Valve Size 1"</t>
  </si>
  <si>
    <t>Feroll Lugs Size 6 mm</t>
  </si>
  <si>
    <t>Pneumatic Reducer Socket Size 8mm x 6mm</t>
  </si>
  <si>
    <t>Pneumatic Reducer Socket Size 10mm x 8mm</t>
  </si>
  <si>
    <t>Fuse 15 amp 250 volt A.C Size : 10 x 38mm  ( Wire in Glass Type).</t>
  </si>
  <si>
    <t>UJ1030 Operator 0.8-30 psi/EXP</t>
  </si>
  <si>
    <t>Solenoid/LPG Side 8210G003 3/4" Exp.</t>
  </si>
  <si>
    <t>Thermoswitch Fenwel KF-120 F</t>
  </si>
  <si>
    <t>Oil Aeon 3000 20L P/N# 03389142</t>
  </si>
  <si>
    <t>Temprature Guage 3/4¿ back connection (0-150 C)</t>
  </si>
  <si>
    <t>Bearing Block FC-207</t>
  </si>
  <si>
    <t>Grease Gun Nozzle</t>
  </si>
  <si>
    <t>Grease Gun Pipe</t>
  </si>
  <si>
    <t>Roller Chain 08B-2</t>
  </si>
  <si>
    <t>Oil Seal 18 X 26 X 7MM</t>
  </si>
  <si>
    <t>Gear Oil S2, 220</t>
  </si>
  <si>
    <t>Gate Valve Size 2" Flange Type</t>
  </si>
  <si>
    <t>S.S Ball Valve Flange Type Size 2"</t>
  </si>
  <si>
    <t>Pressure Gauge 0-10 Bar Size 6", Bottom Connection</t>
  </si>
  <si>
    <t>Soldring Pest</t>
  </si>
  <si>
    <t>Pressure Gauge 0 to 250 mbar 4" Dial 1/2"  NPT  Bottom Connection.</t>
  </si>
  <si>
    <t>Ignition Rod Holder</t>
  </si>
  <si>
    <t>Rail Connector Size 25mm</t>
  </si>
  <si>
    <t>Rail Connector Size 35mm</t>
  </si>
  <si>
    <t>Rail Connector Stopper</t>
  </si>
  <si>
    <t>Pressure Switch pumptrol 30-50 psi ( For water pump)</t>
  </si>
  <si>
    <t>Helical Gear Motor 3HP Ratio 1: 10</t>
  </si>
  <si>
    <t>Hollow Shaft Gear Motor 1/2 HP, Ratio 1:40</t>
  </si>
  <si>
    <t>Pressure Gauge 0 to 250 Bar 4" Dial 1/2"  NPT  Bottom Connection.</t>
  </si>
  <si>
    <t>Motor Circuit Breaker 7-15 Amp</t>
  </si>
  <si>
    <t>M.S Rod For Korea Interpack Machine</t>
  </si>
  <si>
    <t>Oil Seal Size 45 x 65 x 10mm</t>
  </si>
  <si>
    <t>Hollow Shaft Gear Motor 1/2" HP, Ratio 1:60</t>
  </si>
  <si>
    <t>3 PHASE EMERSION HEATER ELEMENT 440VAC 45KW L-4'</t>
  </si>
  <si>
    <t>Namda Size 20mm</t>
  </si>
  <si>
    <t>SQF</t>
  </si>
  <si>
    <t>S.S Roller Chain 35-1</t>
  </si>
  <si>
    <t>Elbow UPVC, Size 2" Schedule 80 to ASTM Standard D1785</t>
  </si>
  <si>
    <t>Union UPVC, plain unthreaded  Size 2 " Schedule 80 ASTM. D-2467</t>
  </si>
  <si>
    <t>Tee UPVC, Size 2" Schedule 80 to ASTM Standard D1785</t>
  </si>
  <si>
    <t>Socket UPVC , Plain unthreaded, Size 2" Schedule 80 ASTM D 2467</t>
  </si>
  <si>
    <t>Galvanised Nut Size 6mm</t>
  </si>
  <si>
    <t>Oil Seal Size 25 x 40 x 7mm</t>
  </si>
  <si>
    <t>Fuel Filter P/N# fh23916</t>
  </si>
  <si>
    <t>S.S Non Return Valve Size 1"</t>
  </si>
  <si>
    <t>Heat Gun</t>
  </si>
  <si>
    <t>Pressure Gauge Size 0-100 Mbar, Size 4", Bottom Connection</t>
  </si>
  <si>
    <t>Gas Filter Size 1"</t>
  </si>
  <si>
    <t>Servo Motor 220 Valt (Batch Fryer Burner)</t>
  </si>
  <si>
    <t>Pneumatic Male Connector Size 1/2" x 8mm</t>
  </si>
  <si>
    <t>PCB Card Jack Male Female</t>
  </si>
  <si>
    <t>Level Switch (Panasonic) Model 21F-G</t>
  </si>
  <si>
    <t>S.S Chain Sprocket Size Dia 74mm, Inner Dia 22mm (Auto Fryer)</t>
  </si>
  <si>
    <t>PVC Saddle Size 1"</t>
  </si>
  <si>
    <t>Dead Plug G.I  Threaded ,Nominal  Size 2"</t>
  </si>
  <si>
    <t>Pneumatic Male Coonector Size 1/2" x 10mm</t>
  </si>
  <si>
    <t>LED False Ceiling Light 3 Watt Size 3"</t>
  </si>
  <si>
    <t>Folder Film Width 270 mm Material S.S (For SAMA Packing Machine)</t>
  </si>
  <si>
    <t>V-BELT C-62</t>
  </si>
  <si>
    <t>V-BELT A-85</t>
  </si>
  <si>
    <t>Brasso Metal Polish 200ml</t>
  </si>
  <si>
    <t>Capacitor 16UF (Fuji)</t>
  </si>
  <si>
    <t>Oil Seal Size 40 x 62  x8mm</t>
  </si>
  <si>
    <t>Timing Gear Sama Packing Machine</t>
  </si>
  <si>
    <t>Vertical Cam (Sama Packing Machine)</t>
  </si>
  <si>
    <t>Tube Holding Bracket Left &amp; Right (Sama Packing Machine)</t>
  </si>
  <si>
    <t>Horizontal Pressute Plate Bolt (Sama Packing Machine)</t>
  </si>
  <si>
    <t>Hand Sealing Machine Size 22"</t>
  </si>
  <si>
    <t>Mercury Sprinkler Shower</t>
  </si>
  <si>
    <t>Manual Sprinkler Shower</t>
  </si>
  <si>
    <t>M.S Pin Size 60mm x 13mm  x 10mm (Unit 7 Taping Machine)</t>
  </si>
  <si>
    <t>Holding Bush Fiber Size 75mm x 30mm x 23mm (Unit 7 Taping Machine)</t>
  </si>
  <si>
    <t>Teflon Roller Size 55mm x 34mm x 10mm (Unit 7 Taping Machine)</t>
  </si>
  <si>
    <t>Teflon Roller Size 90mm x 25mm x 10mm (Unit 7 Taping Machine)</t>
  </si>
  <si>
    <t>Teflon Bush Size 33mm x 10mm (Unit 7 Taping Machine)</t>
  </si>
  <si>
    <t>S.S Pressure Gauge 0 to 300 Mbar 3" dial 3/8" NPT Bottom Connection.</t>
  </si>
  <si>
    <t>M.S Tee Size 1/2"</t>
  </si>
  <si>
    <t>Double Roller Chain 80-II</t>
  </si>
  <si>
    <t>Brass Nozzle Size 72mm x 10mm x 12mm For Sama Packing Machine Jaws</t>
  </si>
  <si>
    <t>S.S Spring For Sama Packing Machine Jaws</t>
  </si>
  <si>
    <t>S.S Needle Valve Size 1"</t>
  </si>
  <si>
    <t>Film Puling Shaft (Ishida Packing Machine)</t>
  </si>
  <si>
    <t>S.S Stopper Pin (Ishida Packing Machine)</t>
  </si>
  <si>
    <t>S.S Spring (Ishida Packing Machine)</t>
  </si>
  <si>
    <t>S.S Gate Valve Size 1"</t>
  </si>
  <si>
    <t>Fire Retardant PU Foam Spray</t>
  </si>
  <si>
    <t>Panel Fan 220 Valt Size 9"</t>
  </si>
  <si>
    <t>Pneumatic Elbow 6mm X Threaded Size 6mm</t>
  </si>
  <si>
    <t>Barrel Nipple  M.S. threaded Size 2"</t>
  </si>
  <si>
    <t>Oil Seperator For GD 45-KW Compressor (Part # 100007587) Local Parts</t>
  </si>
  <si>
    <t>Spiral Cable Wire Wrapping Tube</t>
  </si>
  <si>
    <t>V-Belt SPA-1682</t>
  </si>
  <si>
    <t>Vertical Cylinder Plate Size 110 x 20 x 6mm Bolt Size 8mm,Bush Dia 12mm (Ishida Machine)</t>
  </si>
  <si>
    <t>Pneumatic Elbow Size 3/8" x 10mm</t>
  </si>
  <si>
    <t>Mechnical Seal Size 12mm</t>
  </si>
  <si>
    <t>Meta Clean  300ml Metal Cleaner</t>
  </si>
  <si>
    <t>Brass Gland Size 25mm</t>
  </si>
  <si>
    <t>Brass Gland Size 35mm</t>
  </si>
  <si>
    <t>S.S Outer Lock Size 18mm</t>
  </si>
  <si>
    <t>CLEANER (A) (HIGH PH) For RO Plant</t>
  </si>
  <si>
    <t>RO CLEANER (C) (High performance)</t>
  </si>
  <si>
    <t>M.S Mesh # 1 (For Crasher Machine)</t>
  </si>
  <si>
    <t>Canvas Tarpauline 36" X 40"</t>
  </si>
  <si>
    <t>Oil Seal Size 105 x 160 x 12mm</t>
  </si>
  <si>
    <t>High Speed Panel Fan Size 6" 220 valt</t>
  </si>
  <si>
    <t>V-Belt B-132</t>
  </si>
  <si>
    <t>Free Runner Dia 130mm, Width 30mm, Inner Dia 52mm (Material Teflon)</t>
  </si>
  <si>
    <t>Load Wheel  Local (Part# TVH/3458456) (For Still Brand Electric Stacker)</t>
  </si>
  <si>
    <t>Support Wheel Local (Part# TVH 3458458) (For Still Brand Electric Stacker)</t>
  </si>
  <si>
    <t>Traction Wheel Local (Part # TVh 16454747) (For Still Brand Electric Stacker)</t>
  </si>
  <si>
    <t>NRV (ZS 1135780) For Air Compressor GD-45</t>
  </si>
  <si>
    <t>Threaded Elbow Joint (A 93581640) For Air Compressor GD-45</t>
  </si>
  <si>
    <t>Insert Socket (A 93614110) For Air Compressor GD-45</t>
  </si>
  <si>
    <t>SMD Light 20 Watt Size 195mm x 95mm x 60mm</t>
  </si>
  <si>
    <t>External Oil Filter P/N # 00PPG000012800C.</t>
  </si>
  <si>
    <t>S.S WIRE 316 SIZE 1.6MM (5 KG PKT )</t>
  </si>
  <si>
    <t>LED Tube Light Rod Size 4', 14Watt Model # TB 14W/865Aluminum White (Philips)</t>
  </si>
  <si>
    <t>Multiple Minerals for Drinking water (500gm per 1000 Liters of water) each packet contain 1100-gm</t>
  </si>
  <si>
    <t>Insulation paper 10 # grade Germanay (For Motor Rewinding)</t>
  </si>
  <si>
    <t>Remax Paper 10 # (For Motor Rewinding)</t>
  </si>
  <si>
    <t>Panel Cooling Fan Grill Cover Panel Size 6"</t>
  </si>
  <si>
    <t>Panel Lock For Sama Packing Machine Panel Door</t>
  </si>
  <si>
    <t>Gas Safety Valve Size 3/4"</t>
  </si>
  <si>
    <t>Gas Safety Valve Size 1/2"</t>
  </si>
  <si>
    <t>S.S Break Size L=29" W=48mm  T=3mm with Leather for Batch Fryer</t>
  </si>
  <si>
    <t>Coil Cleaner Chemical (G-ECO CLEAN KRYON) 5LTR Can</t>
  </si>
  <si>
    <t>CAN</t>
  </si>
  <si>
    <t>Folder Film Width 280mm Material S.S (For Sama Packing Machine)</t>
  </si>
  <si>
    <t>Folder Film Width 280mm Material S.S (For Cardinal Machine)</t>
  </si>
  <si>
    <t>Air Filter ZS1063356 for Air Compressor GD</t>
  </si>
  <si>
    <t>Jointing Sheet  for Gaskets Size 60" x 80"  Thickness 3mm  Tempreture 300 Degree Klinger/TBA</t>
  </si>
  <si>
    <t>Electronics VFD Control Card (With Software) P/N # 32GB500372EE</t>
  </si>
  <si>
    <t>Auxiliary Borad P/N # 32GB500442EE</t>
  </si>
  <si>
    <t>Vanne EVR p/n # 00PPG000562804A</t>
  </si>
  <si>
    <t>Switch P/N # 00PPG000453300C</t>
  </si>
  <si>
    <t>Pressure Switch P/N # 00PPG000469901B</t>
  </si>
  <si>
    <t>Pressure Transducer P/N # PPG00012000A</t>
  </si>
  <si>
    <t>RELAY 1OF 12A - 24VAC / RSB1A120B7</t>
  </si>
  <si>
    <t>Ball Valve UPVC Threaded  Full Bore Plain Socket end Size 2"</t>
  </si>
  <si>
    <t>Pneumatic Elbow Reducer Size 6mm x 4mm</t>
  </si>
  <si>
    <t>Steering Handle Pallets Truck (Part # 50015470119)</t>
  </si>
  <si>
    <t>Cover (Part # 4479033)</t>
  </si>
  <si>
    <t>Forming Tube Film Width 200 Mm Material S.S 304 (For Korea Interpack M/C Packing Machine)</t>
  </si>
  <si>
    <t>Allen key Bolt  M.S Black Finish Size ,M6x90mm ( Socket Head Cap Screw)</t>
  </si>
  <si>
    <t>Search Light Warm White 400 Watt (Philips)</t>
  </si>
  <si>
    <t>Hammer Drill Machine 800W/3J, 26mm (Brand HOTECHE)</t>
  </si>
  <si>
    <t>Horizontal Sealer Pressure Cam For Sama Packing Machine</t>
  </si>
  <si>
    <t>Adjustable Pressure Relif Valve Size 2"</t>
  </si>
  <si>
    <t>Oil Filter Size 4.5" x 9" With Nut (Tecalit Plant Line 1)</t>
  </si>
  <si>
    <t>Oil Saprator WD-1374</t>
  </si>
  <si>
    <t>Pneumatic Air Connector Size 1/2" x 12mm</t>
  </si>
  <si>
    <t>Carbon Steel Cam Size 270mm x 20mm x 67mm (Sama Packing Machine)</t>
  </si>
  <si>
    <t>Carbon Steel Cam Size 125mm x 15mm x 115mm x 48mm (Sama Packing Machine)</t>
  </si>
  <si>
    <t>Push Button Box 3 &amp; 4 Way</t>
  </si>
  <si>
    <t>S.S Allen key Bolt ( Socket Head Cap Screw) Size , 4mm x 20mm</t>
  </si>
  <si>
    <t>S.S Shaft size 148mm X 20mm, Thread size 20mm X 56mm for ishida machine Tracking</t>
  </si>
  <si>
    <t>Conveyor Belt V-Guide Size 8mm</t>
  </si>
  <si>
    <t>Conveyor Belt V-Guide Size 6mm</t>
  </si>
  <si>
    <t>Wire Seleave Size 7MM</t>
  </si>
  <si>
    <t>Grinding Dresser</t>
  </si>
  <si>
    <t>Cable Elec. 2 Core,40/76 Copper conductor PVC insulated.</t>
  </si>
  <si>
    <t>Load Wheel Assy. (AMB150-312000-000)(Hangcha Electric Stacker)</t>
  </si>
  <si>
    <t>Battery Terminal</t>
  </si>
  <si>
    <t>Extruder Ring for Pasta Size I/D=495mm, O/D=517mm,Thickness 25.4mm, S.S-304 (Tecalit Plant Line 1)</t>
  </si>
  <si>
    <t>Magnet Strength : 9000 Gauss Make : Korea</t>
  </si>
  <si>
    <t>S.S Threaded Rod Size 30mm X 1000mm</t>
  </si>
  <si>
    <t>S.S Threaded Rod Size 24mm X 1000mm</t>
  </si>
  <si>
    <t>S.S Nut Size 30mm</t>
  </si>
  <si>
    <t>S.S Nut Size 24mm</t>
  </si>
  <si>
    <t>Mini Tower DELL VOSTRO 3910 CI5 12400 TRAY, 16GB 512GB SSD, DOS KB-MOUSE</t>
  </si>
  <si>
    <t>Union G.I Threaded  size  3/4 "</t>
  </si>
  <si>
    <t>Union S.S Threaded Size 1-1/2"</t>
  </si>
  <si>
    <t>Elbow G.I threaded  Size  1"</t>
  </si>
  <si>
    <t>OMELA 460 GEAR OIL</t>
  </si>
  <si>
    <t>Shell Omala Gear Oil S2 GX 320</t>
  </si>
  <si>
    <t>Hydraulic Oil 46</t>
  </si>
  <si>
    <t>SENCING WIRE &amp; IGNITION WIRE</t>
  </si>
  <si>
    <t>TEFLON ROD</t>
  </si>
  <si>
    <t>Bolt Hex. head. M.S , galvanised , Size M5x12 mm With  Nut ,plain washer and spring washer.</t>
  </si>
  <si>
    <t>Bolt Hex. head. M.S , galvanised , Size M5x25 mm With  Nut ,plain washer and spring washer.</t>
  </si>
  <si>
    <t>V-belt A-46</t>
  </si>
  <si>
    <t>V-belt A-86</t>
  </si>
  <si>
    <t>Flair Nut 1/4</t>
  </si>
  <si>
    <t>Flair Nut 1/2</t>
  </si>
  <si>
    <t>Flair Nut 5/8</t>
  </si>
  <si>
    <t>3 Pin Plug For Universal</t>
  </si>
  <si>
    <t>V-BELT B-50</t>
  </si>
  <si>
    <t>Starter S-2 (Philps)</t>
  </si>
  <si>
    <t>Curb Screw Size 1/2" x 4mm</t>
  </si>
  <si>
    <t>Curb Screw Size 1/2" x 6mm</t>
  </si>
  <si>
    <t>Tube Light Patti Fitting 2' Complet</t>
  </si>
  <si>
    <t>Carbon Strip Size 4mm x 35mm x 85mm For Ishida Machine Vacum Pump</t>
  </si>
  <si>
    <t>Rawal Bolt 6mm</t>
  </si>
  <si>
    <t>Rawal Bolt 8mm (Rawal Brand)</t>
  </si>
  <si>
    <t>Rawal Bolt 10mm</t>
  </si>
  <si>
    <t>Air Filter (103mm x 73mm x 34mm) For Yamato Packing Machine</t>
  </si>
  <si>
    <t>Pneumatic Plastic Filter (Silincer) Size 1/8"</t>
  </si>
  <si>
    <t>Motor Starting Capacitor 138-182 MFD, 220/275 VAC, 50/60HZ</t>
  </si>
  <si>
    <t>Oil Paint Green</t>
  </si>
  <si>
    <t>Cable Ties Size 12"</t>
  </si>
  <si>
    <t>Steel Belt Lacing 20 NO (Brand Tiger Prowess)</t>
  </si>
  <si>
    <t>Steel Belt Lacing 15 NO (Brand Tiger Prowess)</t>
  </si>
  <si>
    <t>Cable Lugs (closed Ring Type) Copper,Tin plated, Size 70 mm²</t>
  </si>
  <si>
    <t>Cable Lugs (closed Ring Type) Copper,Tin plated, Size 50 mm²</t>
  </si>
  <si>
    <t>Outer Lock Size 16mm</t>
  </si>
  <si>
    <t>Outer Lock Size 17mm</t>
  </si>
  <si>
    <t>Outer Lock Size 20mm</t>
  </si>
  <si>
    <t>Welding Holder</t>
  </si>
  <si>
    <t>Pipe Nipple M.S threaded size 1-1/2" length 6"</t>
  </si>
  <si>
    <t>Pipe Nipple M.S threaded size 1" length 6"</t>
  </si>
  <si>
    <t>Dead Plug Size 1/4"</t>
  </si>
  <si>
    <t>Pneumatic Speed Control Valve Size 3/8" x 8mm</t>
  </si>
  <si>
    <t>Pneumatic Speed Control Valve Size 1/4" x 10mm</t>
  </si>
  <si>
    <t>Pneumatic Pipe Size 8mm</t>
  </si>
  <si>
    <t>Pneumatic Pipe Size 10mm</t>
  </si>
  <si>
    <t>Pneumatic Pipe Size 12mm</t>
  </si>
  <si>
    <t>Oil Seal Size 60 x 90 x 10 (For Buhler Plant)</t>
  </si>
  <si>
    <t>Pneumatic Speed Control Valve Size 1/4" x 6mm</t>
  </si>
  <si>
    <t>Pneumatic Socket Size 8mm</t>
  </si>
  <si>
    <t>Pneumatic Socket Size 10mm</t>
  </si>
  <si>
    <t>Pneumatic Brass Filter (Silincer) Size 1/4"</t>
  </si>
  <si>
    <t>Insta Killer Tube Light 2'</t>
  </si>
  <si>
    <t>Warnish  Hitachi WA236M (For Motor Rewaind)</t>
  </si>
  <si>
    <t>Search Light Bulb 400 Watt</t>
  </si>
  <si>
    <t>CAPACITOR 4.5 UF</t>
  </si>
  <si>
    <t>Chain Lock 40-1</t>
  </si>
  <si>
    <t>Cutting Disc Size 355mm x 3mm x 25.4mm Grade A30R-BF Max R.P.M 4400,80M/S</t>
  </si>
  <si>
    <t>V-BELT A-26</t>
  </si>
  <si>
    <t>V-BELT A-29</t>
  </si>
  <si>
    <t>V-BELT A-39</t>
  </si>
  <si>
    <t>V-BELT A-66</t>
  </si>
  <si>
    <t>V-BELT B-51</t>
  </si>
  <si>
    <t>V-BELT B-53</t>
  </si>
  <si>
    <t>V-BELT B-54</t>
  </si>
  <si>
    <t>V-BELT B-55</t>
  </si>
  <si>
    <t>Tango Flood Light Philps 400 Watt Warm White</t>
  </si>
  <si>
    <t>V-BELT B-52</t>
  </si>
  <si>
    <t>Capacitor 1.5 UF 400 VAC (Fuji)</t>
  </si>
  <si>
    <t>Mechnical Oil Seal 32mm</t>
  </si>
  <si>
    <t>Socket G I  threaded,1-1/4"</t>
  </si>
  <si>
    <t>Tee Equal G .I threaded 1-1/2"</t>
  </si>
  <si>
    <t>Pneumatic Equal Elbow Metal Size 8 x 8mm</t>
  </si>
  <si>
    <t>Cable Lugs (closed Ring Type) Copper,Tin plated, Size 95mm²</t>
  </si>
  <si>
    <t>Ball Valve , S.S , Full Bore Threaded, Size 1/2 "</t>
  </si>
  <si>
    <t>Rawal Bolt 16mm</t>
  </si>
  <si>
    <t>Hole Cutter Saw Blade Dia 30mm.</t>
  </si>
  <si>
    <t>Distemper White Color (14.56 ltr)</t>
  </si>
  <si>
    <t>Allen key Bolt  M.S Black Finish Size  M6x15 mm ( Socket Head Cap Screw)</t>
  </si>
  <si>
    <t>Emergancy Push Button With Box</t>
  </si>
  <si>
    <t>S.S Single Roller Chain 40R-1 With Attachment (Pulton Japan) Each Length 4.08ft</t>
  </si>
  <si>
    <t>Tube Light Rod Cool Daylight 2' TL-D 18W/54-765</t>
  </si>
  <si>
    <t>Pannel Lock</t>
  </si>
  <si>
    <t>Allen key Bolt ( Socket Head Cap Screw) S.S Size , 6mm x 15mm</t>
  </si>
  <si>
    <t>Allen key Bolt ( Socket Head Cap Screw) S.S Size , 6mm x 20mm</t>
  </si>
  <si>
    <t>Allen key Bolt ( Socket Head Cap Screw) S.S Size , 6mm x 40mm</t>
  </si>
  <si>
    <t>Allen key Bolt ( Socket Head Cap Screw) S.S Size , 8mm x 15mm</t>
  </si>
  <si>
    <t>Allen key Bolt ( Socket Head Cap Screw) S.S Size , 8mm x 25mm</t>
  </si>
  <si>
    <t>Wire Seleave Size 1MM</t>
  </si>
  <si>
    <t>Wire Seleave Size 3MM</t>
  </si>
  <si>
    <t>Wire Seleave Size 5MM</t>
  </si>
  <si>
    <t>Wire Seleave Size 8MM</t>
  </si>
  <si>
    <t>Wire Seleave Size 10MM</t>
  </si>
  <si>
    <t>Cable Lugs (closed Ring Type) Copper,Tin plated, Size 300mm²</t>
  </si>
  <si>
    <t>Water Hardness Test Kit (Ammonia Buffer, Black-T, EDTA)</t>
  </si>
  <si>
    <t>SET</t>
  </si>
  <si>
    <t>Barrel Nipple G.I Size 2"</t>
  </si>
  <si>
    <t>Open Close Lever Size 24mm S.S Pin For Ishida Packing Machine Scale</t>
  </si>
  <si>
    <t>Gas Refrigerant R-410  Cylinder 11.3 kg</t>
  </si>
  <si>
    <t>Fuse 4 amp 250 volt A.C Size : 10 x 38mm  ( Wire in Glass Type).</t>
  </si>
  <si>
    <t>Allen key Bolt ( Socket Head Cap Screw) S.S Size , 4mm x 12mm</t>
  </si>
  <si>
    <t>S.S Allen key Bolt ( Socket Head Cap Screw) Size , 4mm x 15mm</t>
  </si>
  <si>
    <t>S.S Curb Screw Size 8mm x 10mm</t>
  </si>
  <si>
    <t>S.S Bolt Hex. head Size 10mm x 25mm With Nut ,plain washer and spring washer</t>
  </si>
  <si>
    <t>Cable lugs ( "i" Type).Insulated , Copper,Tin plated,Size  1.5 mm²</t>
  </si>
  <si>
    <t>Cable lugs ( "i" Type).Insulated , Copper,Tin plated,Size 1 mm²</t>
  </si>
  <si>
    <t>S.S Allen key Bolt ( Socket Head Cap Screw) Size , 10mm x 15mm</t>
  </si>
  <si>
    <t>S.S Allen key bolt ( Counter sunk head  cap screw) Size 3 x 15mm</t>
  </si>
  <si>
    <t>Socket S.S Size 1-1/2"</t>
  </si>
  <si>
    <t>PVC Connector Strip 10 Amp</t>
  </si>
  <si>
    <t>S.S Jublie Clip Size 8"</t>
  </si>
  <si>
    <t>Paint S..E blue  Color 3.64 lit</t>
  </si>
  <si>
    <t>Pneumatic Socket Size 6mm</t>
  </si>
  <si>
    <t>M.S Reducer Size 1" x 1/2", Sch 40</t>
  </si>
  <si>
    <t>Air Filter Size 69mm x 64mm x 39mm (For Pam Pacific Packing Machine)</t>
  </si>
  <si>
    <t>Pressure Gauge 0 to 600 M Bar 4" dial 1/2" NPT Bottom Connection.</t>
  </si>
  <si>
    <t>Contact Cleaner Dry  200ml</t>
  </si>
  <si>
    <t>Hammer 1 Kg</t>
  </si>
  <si>
    <t>Mechnical Oil Seal Size 20mm</t>
  </si>
  <si>
    <t>Pnumatic Equal Tee Size 10mm</t>
  </si>
  <si>
    <t>Cable Ties Size 14"</t>
  </si>
  <si>
    <t>Electronics Choke For Tube Light Phillips 220 Volt 36 Watt</t>
  </si>
  <si>
    <t>Loctite Pacer ANL-42 Threadlocking compound</t>
  </si>
  <si>
    <t>Solenoid Coil 220V</t>
  </si>
  <si>
    <t>Capacitor 20 UF</t>
  </si>
  <si>
    <t>V-BELT B-72</t>
  </si>
  <si>
    <t>Allen key bolt Size M6x15mm ( Counter sunk head  cap screw) M.S Black finish</t>
  </si>
  <si>
    <t>Galvanised Nut Size 8mm</t>
  </si>
  <si>
    <t>Galvanised Nut Size 10mm</t>
  </si>
  <si>
    <t>Pneumatic Elbow Size 1/8" X 8mm</t>
  </si>
  <si>
    <t>M.S Union Size 2" Sch-40</t>
  </si>
  <si>
    <t>Circuit Breaker 10 amp 3 Pole</t>
  </si>
  <si>
    <t>Bearing Block FL-205</t>
  </si>
  <si>
    <t>Bearing Block FL-204</t>
  </si>
  <si>
    <t>Pneumatic Air Connector Size 1/4" x 10mm</t>
  </si>
  <si>
    <t>Pneumatic Air Connector Size 1/8" x 6mm</t>
  </si>
  <si>
    <t>Hydrolic Hose Pipe Size Dia 1/2" Length 3' (For Old N.P Plant)</t>
  </si>
  <si>
    <t>Cutting Knife Size L=246mm, W=66mm, T=0.8mm (Tecalit Plant)</t>
  </si>
  <si>
    <t>Rack No: 4 A</t>
  </si>
  <si>
    <t>S.S Tee Size 2", Sch-40</t>
  </si>
  <si>
    <t>Ball Valve , S.S , Full Bore Threaded, Size 1-1/4"</t>
  </si>
  <si>
    <t>Cutting Disc Size 9" x 2mm</t>
  </si>
  <si>
    <t>Open Close Lever Size 27mm S.S Pin For Ishida Packing Machine Scale</t>
  </si>
  <si>
    <t>Hopper Spring With Two Side Teflon Bracket (Ishida Packing Machine)</t>
  </si>
  <si>
    <t>Bearing Bush For Ishida Packing Machine Scale</t>
  </si>
  <si>
    <t>PVC Electric Pipe Size 1"</t>
  </si>
  <si>
    <t>Bearing Puller Size 4"</t>
  </si>
  <si>
    <t>Bearing Block FL-207</t>
  </si>
  <si>
    <t>Shielded Sensor Cable</t>
  </si>
  <si>
    <t>Oil RIF NDURANNC P/N# 1630-0918-00</t>
  </si>
  <si>
    <t>Sensor Of Oil Level</t>
  </si>
  <si>
    <t>Union S.S Threaded Size 2"</t>
  </si>
  <si>
    <t>Pneumatic Connector Size 12mm x 1/2"</t>
  </si>
  <si>
    <t>Gas Filter Size 2"</t>
  </si>
  <si>
    <t>Pneumatic Reducer Socket Size 10mm x 12mm</t>
  </si>
  <si>
    <t>Aluminum Round Bar Dia 15mm</t>
  </si>
  <si>
    <t>Aluminum Round Bar Dia 20mm</t>
  </si>
  <si>
    <t>Aluminum Round Bar Dia 25mm</t>
  </si>
  <si>
    <t>Cast Iron Round Bar Dia 25mm</t>
  </si>
  <si>
    <t>M.S Round Shaft Size Dia 10mm</t>
  </si>
  <si>
    <t>M.S Round Shaft Size Dia 15mm</t>
  </si>
  <si>
    <t>M.S Round Shaft Size Dia 25mm</t>
  </si>
  <si>
    <t>M.S Round Shaft Size Dia 30mm</t>
  </si>
  <si>
    <t>Teflon Round Bar Size Dia 20mm</t>
  </si>
  <si>
    <t>Teflon Round Bar Size Dia 25mm</t>
  </si>
  <si>
    <t>Log Books</t>
  </si>
  <si>
    <t>Fuse 10 amp 250 volt A.C Size : 10 x 38mm  ( Wire in Glass Type).</t>
  </si>
  <si>
    <t>S.S Cable Tray Net Type Size 2" x 2"</t>
  </si>
  <si>
    <t>Timing Belt 280-XL-9mm (Seoju Fryer)</t>
  </si>
  <si>
    <t>Aluminum Jaws Assembly Ishida Packing Machine</t>
  </si>
  <si>
    <t>Chemical Sona Urea for wast water treatment</t>
  </si>
  <si>
    <t>Flexible Pipe Size 6" Wire Type</t>
  </si>
  <si>
    <t>DAP Chemical For  Waste Water Treatmnet Plant</t>
  </si>
  <si>
    <t>Bronze Nut Size T- 20mm, O/D-45mm, I/D- with Threed 19mm (Ishida Machine Tracking Motor)</t>
  </si>
  <si>
    <t>Flexible Pipe Size 4"</t>
  </si>
  <si>
    <t>Square Silicone Gaskit Size 10mm x 18mm (For Tecalit Plant Mixer)</t>
  </si>
  <si>
    <t>Timing Belt Adjustement Plate (Seasoning Unit)</t>
  </si>
  <si>
    <t>Energy Analyzer Power Meter PM2130 LED, VAF, P &amp; E RS485 SCHNEIDER</t>
  </si>
  <si>
    <t>Allen key Bolt ( Socket Head Cap Screw) S.S Size , 6mm x 25mm</t>
  </si>
  <si>
    <t>Cable Ties Size 18"</t>
  </si>
  <si>
    <t>Buffing Disc 125mm x 16mm x 7mm Max.63 M/S 13.0RPM (Flexovit)</t>
  </si>
  <si>
    <t>Limit Switch WL CA 12 (OMRON)</t>
  </si>
  <si>
    <t>Fire Clay Refractory Castable</t>
  </si>
  <si>
    <t>BAG</t>
  </si>
  <si>
    <t>S.S SHEET 8' x 4'  Gauge 18</t>
  </si>
  <si>
    <t>PVC FLEXIBLE PIPE 3/4"</t>
  </si>
  <si>
    <t>Acrylic Sheet 4' X 8' X 5mm</t>
  </si>
  <si>
    <t>S.S Pipe Size 3/4" -304 Sch 10</t>
  </si>
  <si>
    <t>Oil Paint S.E (White)  (3.64 Ltr)</t>
  </si>
  <si>
    <t>Heat proof backed tape Width: 1m Brand: TYGAFLOR</t>
  </si>
  <si>
    <t>S.S Pipe Size 4" Sch-10</t>
  </si>
  <si>
    <t>S.S Pipe Size 1" -304 Sch-10</t>
  </si>
  <si>
    <t>Pipe UPVC, Size 1" Schedule 80 to ASTM Standard D1785</t>
  </si>
  <si>
    <t>Pipe UPVC, Size 2" Schedule 80 to ASTM Standard D1785</t>
  </si>
  <si>
    <t>Sodium Hypochlorite Chemical NAOCL</t>
  </si>
  <si>
    <t>Chemical Dispersol 2054b</t>
  </si>
  <si>
    <t>1" PVC Pipe with complete accessories</t>
  </si>
  <si>
    <t>S.S Pipe Size 3/4" Sch-40</t>
  </si>
  <si>
    <t>V Belt Size C-98</t>
  </si>
  <si>
    <t>Fiber Glass Insulation 50MM Density 48KG/M3</t>
  </si>
  <si>
    <t>FERTILIZER SAND</t>
  </si>
  <si>
    <t>Mechnical Seal Size 40mm</t>
  </si>
  <si>
    <t>Mechnical Seal Size 20mm</t>
  </si>
  <si>
    <t>Gear Motor Type MFG 24D 0.4KW Ratio 1:30</t>
  </si>
  <si>
    <t>Hand Rivit Gun</t>
  </si>
  <si>
    <t>Grease Gun with Nozel</t>
  </si>
  <si>
    <t>Grease Multipurpose Gadus S2 V2202</t>
  </si>
  <si>
    <t>V-belt A-43</t>
  </si>
  <si>
    <t>Conveyor Belt Size 12375x254x3mm, Shifter Dis
8", Height 20mm(Lalesse Plant)</t>
  </si>
  <si>
    <t>Aluminum Insulation Tubing Dia 1-1/2"</t>
  </si>
  <si>
    <t>Tape Insulation PVC Yellow Width 3/4" x10yds
Nitto/Osaka</t>
  </si>
  <si>
    <t>Tape Insulation PVC GreenWidth 3/4" x10yds
Nitto/Osaka</t>
  </si>
  <si>
    <t>Brush For Paint Size 3"</t>
  </si>
  <si>
    <t>Paint Synthetic Enamel Yellow.( ICI/Berger) 3.64
Ltr</t>
  </si>
  <si>
    <t>Oil Paint Black (3064Ltr)</t>
  </si>
  <si>
    <t>Brush For Paint Size 5"</t>
  </si>
  <si>
    <t>Mixing Oil For S.E Paints</t>
  </si>
  <si>
    <t>Thread Roll</t>
  </si>
  <si>
    <t>Paint S..E  Gray  Color 3.64 lit</t>
  </si>
  <si>
    <t>Hydrochloric Acid (Hcl)</t>
  </si>
  <si>
    <t>Gas Refrigerant R-32 Cylinder 9.5 Kg</t>
  </si>
  <si>
    <t>Rack No: 3 A</t>
  </si>
  <si>
    <t>Auto Drain Valve Size 1/2"</t>
  </si>
  <si>
    <t>Industrial Socket and Plug 32A 5 Pin</t>
  </si>
  <si>
    <t>Industrial Socket and Plug 16A 3 Pin</t>
  </si>
  <si>
    <t>Cable Flexible, Copper Conductor, 4 core 1 mm², 300/500 volt rating.</t>
  </si>
  <si>
    <t>Cable Flexible PVC/PVC, copper conductor, 4 core 6 mm² 300/500 volt rating</t>
  </si>
  <si>
    <t>Cable Flexible, Copper Conductor, 3 core 1.5 mm², 300/500 volt rating.</t>
  </si>
  <si>
    <t>Cable Flexible, PVC/PVC Copper Conductor, 4 core 2.5 mm², 300/500 volt rating.</t>
  </si>
  <si>
    <t>Cable Flexible Shielded, Copper Conductor, 4 core 1.5 mm², 300/500 volt rating.</t>
  </si>
  <si>
    <t>HIGH TEMPRETURE SILICON SEALANT TUBE</t>
  </si>
  <si>
    <t>SILICON SEALANT TUBE</t>
  </si>
  <si>
    <t>Teflon Tape ( Thread Sealing Tape)</t>
  </si>
  <si>
    <t>DAILY ISSUANCE REGISTER</t>
  </si>
  <si>
    <t>Sr</t>
  </si>
  <si>
    <t>Date</t>
  </si>
  <si>
    <t>Qty Issued</t>
  </si>
  <si>
    <t>Equipment Name</t>
  </si>
  <si>
    <t>Sub Equipment Name</t>
  </si>
  <si>
    <t>Issued To</t>
  </si>
  <si>
    <t>Shift</t>
  </si>
  <si>
    <t xml:space="preserve">Department </t>
  </si>
  <si>
    <t>Taping M/C Belt</t>
  </si>
  <si>
    <t>Faheem Shah</t>
  </si>
  <si>
    <t>Day</t>
  </si>
  <si>
    <t>Mechanical</t>
  </si>
  <si>
    <t>Oprators</t>
  </si>
  <si>
    <t xml:space="preserve">Received Usman Not Mention Machine Part </t>
  </si>
  <si>
    <t>Usman</t>
  </si>
  <si>
    <t xml:space="preserve">Air Pipe </t>
  </si>
  <si>
    <t xml:space="preserve">Air Nozzle </t>
  </si>
  <si>
    <t>Pull Down Shaft</t>
  </si>
  <si>
    <t>Ashraf</t>
  </si>
  <si>
    <t>Night</t>
  </si>
  <si>
    <t xml:space="preserve">Film Roll </t>
  </si>
  <si>
    <t>Sajid</t>
  </si>
  <si>
    <t>Electrical</t>
  </si>
  <si>
    <t xml:space="preserve">Linar </t>
  </si>
  <si>
    <t xml:space="preserve">Shakir </t>
  </si>
  <si>
    <t>AsadUllah</t>
  </si>
  <si>
    <t>Afzal</t>
  </si>
  <si>
    <t>Boiler Room</t>
  </si>
  <si>
    <t>Line No: 01</t>
  </si>
  <si>
    <t>Shoaib</t>
  </si>
  <si>
    <t>Boiler Room Pump</t>
  </si>
  <si>
    <t>AC Room</t>
  </si>
  <si>
    <t>Hamza</t>
  </si>
  <si>
    <t>DB Water Pump</t>
  </si>
  <si>
    <t>Horizental Jaws Assembly</t>
  </si>
  <si>
    <t>Naveed</t>
  </si>
  <si>
    <t xml:space="preserve">With Jaws </t>
  </si>
  <si>
    <t>General</t>
  </si>
  <si>
    <t>Akif</t>
  </si>
  <si>
    <t>Horizental Jaws</t>
  </si>
  <si>
    <t>Film &amp; Timing Belt Pully</t>
  </si>
  <si>
    <t>With Film Pulling Belt</t>
  </si>
  <si>
    <t>With Belt</t>
  </si>
  <si>
    <t>Vertical Jaws</t>
  </si>
  <si>
    <t>Rewinder</t>
  </si>
  <si>
    <t xml:space="preserve">Working On Hopper </t>
  </si>
  <si>
    <t xml:space="preserve">With Timing Belt </t>
  </si>
  <si>
    <t>Iftakhar</t>
  </si>
  <si>
    <t xml:space="preserve">Vertical Assembly </t>
  </si>
  <si>
    <t>Batch Fryer</t>
  </si>
  <si>
    <t>Printing Room</t>
  </si>
  <si>
    <t>For Electrical Use</t>
  </si>
  <si>
    <t>For Production Use</t>
  </si>
  <si>
    <t>Zulfaqar</t>
  </si>
  <si>
    <t>For Mechanical Use</t>
  </si>
  <si>
    <t>Die Wash Pump</t>
  </si>
  <si>
    <t>Mechanical Use</t>
  </si>
  <si>
    <t>Film Pulling Shaft</t>
  </si>
  <si>
    <t>Incline Conveyor</t>
  </si>
  <si>
    <t xml:space="preserve">Tecalit Plant </t>
  </si>
  <si>
    <t>Shifter Conveyor</t>
  </si>
  <si>
    <t>Exhaust Fan</t>
  </si>
  <si>
    <t xml:space="preserve">Gear Box </t>
  </si>
  <si>
    <t>Line Filter</t>
  </si>
  <si>
    <t>Wahaj</t>
  </si>
  <si>
    <t>Jaws Link</t>
  </si>
  <si>
    <t>Assembly</t>
  </si>
  <si>
    <t>Dancing Rod</t>
  </si>
  <si>
    <t>Modular Conveyor</t>
  </si>
  <si>
    <t>Hand Pallet</t>
  </si>
  <si>
    <t xml:space="preserve">Lifter Wheel </t>
  </si>
  <si>
    <t xml:space="preserve">Pannel Box </t>
  </si>
  <si>
    <t>DAILY INWARD REGISTER</t>
  </si>
  <si>
    <t>Delivery Date</t>
  </si>
  <si>
    <t>Qty Received</t>
  </si>
  <si>
    <t>Open Qty</t>
  </si>
  <si>
    <t>Vendor/Supplier</t>
  </si>
  <si>
    <t>Department</t>
  </si>
  <si>
    <t>Received By</t>
  </si>
  <si>
    <t>GRN Status with Date</t>
  </si>
  <si>
    <t>Shah Engineering Works</t>
  </si>
  <si>
    <t>Abdul Rahman</t>
  </si>
  <si>
    <t>Replacement</t>
  </si>
  <si>
    <t>GRN Done (7-May-26)</t>
  </si>
  <si>
    <t>Hakmi Trader</t>
  </si>
  <si>
    <t>Javeed</t>
  </si>
  <si>
    <t>SABOOR BEARINGS</t>
  </si>
  <si>
    <t>GRN Done (13-May-26)</t>
  </si>
  <si>
    <t xml:space="preserve">Frooq Electric Compeny </t>
  </si>
  <si>
    <t>Pending</t>
  </si>
  <si>
    <t>Suriya Enterprise</t>
  </si>
  <si>
    <t>MK Engineering Solution</t>
  </si>
  <si>
    <t>Drop Down List</t>
  </si>
  <si>
    <t>Units</t>
  </si>
  <si>
    <t xml:space="preserve">General </t>
  </si>
  <si>
    <t>Services</t>
  </si>
  <si>
    <t>EACH</t>
  </si>
  <si>
    <t>PR</t>
  </si>
  <si>
    <t>BOX</t>
  </si>
  <si>
    <t>Qasir</t>
  </si>
  <si>
    <t>KG</t>
  </si>
  <si>
    <t>ROLL</t>
  </si>
  <si>
    <t>CTN</t>
  </si>
  <si>
    <t>IN</t>
  </si>
  <si>
    <t>GR</t>
  </si>
  <si>
    <t>DR</t>
  </si>
  <si>
    <t xml:space="preserve">DB Water Chiller </t>
  </si>
  <si>
    <t>Admin</t>
  </si>
  <si>
    <t>Engineering</t>
  </si>
  <si>
    <t>General Services</t>
  </si>
  <si>
    <t>Store</t>
  </si>
  <si>
    <t>Quality</t>
  </si>
  <si>
    <t>Production</t>
  </si>
  <si>
    <t>Air</t>
  </si>
  <si>
    <t>Ishida No: 15</t>
  </si>
  <si>
    <t>Korea No: 03</t>
  </si>
  <si>
    <t>Auto Taping Machine No: 01</t>
  </si>
  <si>
    <t>Auto Taping Machine No: 02</t>
  </si>
  <si>
    <t>HVAC General Use</t>
  </si>
  <si>
    <t>Chakki</t>
  </si>
  <si>
    <t xml:space="preserve"> Water Cooled Chiller </t>
  </si>
  <si>
    <t>Air Compressor No: 01 (New)</t>
  </si>
  <si>
    <t>Air Compressor No: 02 (Old)</t>
  </si>
  <si>
    <t>Control Pannel</t>
  </si>
  <si>
    <t>WWTP</t>
  </si>
  <si>
    <t>EA</t>
  </si>
  <si>
    <t>LFT</t>
  </si>
  <si>
    <t>Female hygiene Room</t>
  </si>
  <si>
    <t>Mesh Conveyor</t>
  </si>
  <si>
    <t>Pakistan Industrial Links</t>
  </si>
  <si>
    <t>Pu Conveyor Belt Size 5537mm X 304mm X
2mm (Slanty Batch Fryer)</t>
  </si>
  <si>
    <t>For Blower</t>
  </si>
  <si>
    <t>SERVICES 2026</t>
  </si>
  <si>
    <t>Services Description</t>
  </si>
  <si>
    <t>Services Code</t>
  </si>
  <si>
    <t>LPG Plant</t>
  </si>
  <si>
    <t xml:space="preserve">Serv. Monthly Contract For Sng Plant Operation </t>
  </si>
  <si>
    <t>Spadic Generation Engineers &amp; Contractors</t>
  </si>
  <si>
    <t>Zeeshan</t>
  </si>
  <si>
    <t>GRN Done</t>
  </si>
  <si>
    <t>SNG Plant Contract</t>
  </si>
  <si>
    <t>Conveyor</t>
  </si>
  <si>
    <t>Patty Cash</t>
  </si>
  <si>
    <t>Patty Cash 2026</t>
  </si>
  <si>
    <t>Patty Cash Code</t>
  </si>
  <si>
    <t>Patty Cash Item Description</t>
  </si>
  <si>
    <t>PTC001</t>
  </si>
  <si>
    <t>Patty Csh</t>
  </si>
  <si>
    <t>Ali Asger Enterprise</t>
  </si>
  <si>
    <t>PattyCash</t>
  </si>
  <si>
    <t>Inventory Stock Value (PKR)</t>
  </si>
  <si>
    <t>Non Inventory Stock Value (PKR)</t>
  </si>
  <si>
    <t>Drayer Motor</t>
  </si>
  <si>
    <t>Seasoning Unit</t>
  </si>
  <si>
    <t>Unit Flavour motor</t>
  </si>
  <si>
    <t>W.D 40 Spray</t>
  </si>
  <si>
    <t xml:space="preserve">Elfy </t>
  </si>
  <si>
    <t>Fasil</t>
  </si>
  <si>
    <t>PTC002</t>
  </si>
  <si>
    <t>PTC003</t>
  </si>
  <si>
    <t>PTC004</t>
  </si>
  <si>
    <t>PTC005</t>
  </si>
  <si>
    <t>PTC006</t>
  </si>
  <si>
    <t>PTC007</t>
  </si>
  <si>
    <t>PTC008</t>
  </si>
  <si>
    <t>PTC009</t>
  </si>
  <si>
    <t>PTC010</t>
  </si>
  <si>
    <t>PTC011</t>
  </si>
  <si>
    <t>Welding Gloves</t>
  </si>
  <si>
    <t>Makkah Welding House</t>
  </si>
  <si>
    <t>For Welding Purpose</t>
  </si>
  <si>
    <t>Solenoid Valve With Complete Set Ds 3130 For
Linear Conveyor</t>
  </si>
  <si>
    <t>GRN Pending</t>
  </si>
  <si>
    <t>S.S Drill Bit Size 3mm</t>
  </si>
  <si>
    <t>S.S Drill Bit Size 4mm</t>
  </si>
  <si>
    <t>S.S Drill Bit Size 6mm</t>
  </si>
  <si>
    <t>S.S Drill Bit Size 5mm</t>
  </si>
  <si>
    <t>S.S Drill Bit Size 2mm</t>
  </si>
  <si>
    <t>S.S Drill Bit Size 8mm</t>
  </si>
  <si>
    <t>Hand Tap Carbon Steel, Thread Size M3x0.5(
Set Of Three)</t>
  </si>
  <si>
    <t>Hand Tap Carbon Steel , Thread Size ,
M4x0.70( Set Of Three)</t>
  </si>
  <si>
    <t>Hand Tap Carbon Steel,Thread Size M5x0.80(
Set Of Three)</t>
  </si>
  <si>
    <t>Hand Tap Carbon Steel Thread Size
M6x1.0(Set Of Three)</t>
  </si>
  <si>
    <t>Hand Tapcarbon Steel, Thread Size M8x1.25(
Set Of Three)</t>
  </si>
  <si>
    <t>Remax Paper 7 # (For Motor Rewinding)</t>
  </si>
  <si>
    <t>White Polyester Woven Tape Size 1" For Electrical Motor Rewinding</t>
  </si>
  <si>
    <t>White Polyester Woven Tape Size 1/2" For
Electrical Motor Rewinding</t>
  </si>
  <si>
    <t>Heat Pooof Seleave Size 2.5mm</t>
  </si>
  <si>
    <t>Heat Pooof Seleave Size 1.5mm</t>
  </si>
  <si>
    <t>ROL</t>
  </si>
  <si>
    <t>High Pressure Washer 1800 Watt 140 Bar Brand
(Hyundai Hpw140) -Im</t>
  </si>
  <si>
    <t>Al Kareem Brothers</t>
  </si>
  <si>
    <t>For AC Services</t>
  </si>
  <si>
    <t>Serv. Waste Water Treatment Plant Annual
Operation &amp; Maintenance Contract</t>
  </si>
  <si>
    <t>JOB</t>
  </si>
  <si>
    <t>WWTP Plant</t>
  </si>
  <si>
    <t>Applied Products Sevices Pvt. Ltd</t>
  </si>
  <si>
    <t>Zubair</t>
  </si>
  <si>
    <t>Maintinence Service</t>
  </si>
  <si>
    <t>Safety Shoes S3 Standard</t>
  </si>
  <si>
    <t>PAIR</t>
  </si>
  <si>
    <t>Furqan</t>
  </si>
  <si>
    <t>For Belt Fitting</t>
  </si>
  <si>
    <t>Sealer</t>
  </si>
  <si>
    <t>Led Ceiling Light 48 Watt Size 2' X 2'</t>
  </si>
  <si>
    <t xml:space="preserve">FM Office </t>
  </si>
  <si>
    <t>Linear Conveyor</t>
  </si>
  <si>
    <t>Oil Paint (Smoke Gry) 3.64 Ltr (Relince)</t>
  </si>
  <si>
    <t>Oil Paint S.E (Silver) (3.64 Ltr)</t>
  </si>
  <si>
    <t>GRN Done 20-May-26</t>
  </si>
  <si>
    <t>RO Plant</t>
  </si>
  <si>
    <t>Contact Cleaner Dry 200ml</t>
  </si>
  <si>
    <t>Air Connector</t>
  </si>
  <si>
    <t>GRN Done 21-May-26</t>
  </si>
  <si>
    <t>Color Mark Sensor Pl-05n, 10-30 Vdc ( Fotek
Orignal)</t>
  </si>
  <si>
    <t>Earth Cable 1.5mm Single Core</t>
  </si>
  <si>
    <t>Earth Cable 2.5mm Single Core</t>
  </si>
  <si>
    <t>Earth Cable 4mm, Single Core Green</t>
  </si>
  <si>
    <t>Panel Fan 220 Valt Size 4"</t>
  </si>
  <si>
    <t>Cable Elec. Single Core,7/36 Copper Conductor
Pvc Insulated.Voltage Rating 300 Volts.(Color
Red)</t>
  </si>
  <si>
    <t>Welding Face Shield</t>
  </si>
  <si>
    <t>Bulb Holder</t>
  </si>
  <si>
    <t>Welding Glass Black</t>
  </si>
  <si>
    <t>For Paper Control</t>
  </si>
  <si>
    <t xml:space="preserve">Strip Motor Sensor </t>
  </si>
  <si>
    <t>Pasta Consultant Service on side Tecalit Short
Cut Pasta Line</t>
  </si>
  <si>
    <t>Serv. Misc. Services Pasta Consultant Service on side Tecalit Short
Cut Pasta Line</t>
  </si>
  <si>
    <t>Tecalit No:02</t>
  </si>
  <si>
    <t>DMQ Engineering (SMC-Private) Limited</t>
  </si>
  <si>
    <t>Kashif Shb</t>
  </si>
  <si>
    <t xml:space="preserve">Kashif Shb </t>
  </si>
  <si>
    <t xml:space="preserve">Rafy Shb </t>
  </si>
  <si>
    <t>Tahir Shb</t>
  </si>
  <si>
    <t>Waqas Engineering Works</t>
  </si>
  <si>
    <t>T.R Traders</t>
  </si>
  <si>
    <t>Vibretor Motor Sama Packing Machine</t>
  </si>
  <si>
    <t>Rack No: 02 C</t>
  </si>
  <si>
    <t>Engineering Repair &amp; Maintenance Services (Pvt.)Ltd.</t>
  </si>
  <si>
    <t>Chiller Pump</t>
  </si>
  <si>
    <t>Folder Tape</t>
  </si>
  <si>
    <t xml:space="preserve">For Folder </t>
  </si>
  <si>
    <t>PTC012</t>
  </si>
  <si>
    <t>PTC013</t>
  </si>
  <si>
    <t>PTC014</t>
  </si>
  <si>
    <t>PTC015</t>
  </si>
  <si>
    <t>PTC016</t>
  </si>
  <si>
    <t>PTC017</t>
  </si>
  <si>
    <t>PTC018</t>
  </si>
  <si>
    <t>PTC019</t>
  </si>
  <si>
    <t>PTC020</t>
  </si>
  <si>
    <t>PTC021</t>
  </si>
  <si>
    <t>PTC022</t>
  </si>
  <si>
    <t>PTC023</t>
  </si>
  <si>
    <t>PTC024</t>
  </si>
  <si>
    <t>PTC025</t>
  </si>
  <si>
    <t>PTC026</t>
  </si>
  <si>
    <t>PTC027</t>
  </si>
  <si>
    <t>PTC028</t>
  </si>
  <si>
    <t>PTC029</t>
  </si>
  <si>
    <t>PTC030</t>
  </si>
  <si>
    <t>Lube Filter Lf3325</t>
  </si>
  <si>
    <t>Lube Filter P/N# Lf777</t>
  </si>
  <si>
    <t>Fuel Filter P/N # Fs19870 Replaced (Fs1006)</t>
  </si>
  <si>
    <t>Water Filter P/N # Wf2076</t>
  </si>
  <si>
    <t>Air Filter P/N # Af25278</t>
  </si>
  <si>
    <t>Premium Blue Oil 7800 Api Ci-4sl (208 L
Drum)(Cummins Diesel Generator Model # Kta-
50)</t>
  </si>
  <si>
    <t>Orient Energy System Pvt Ltd</t>
  </si>
  <si>
    <t>Conveyance</t>
  </si>
  <si>
    <t>S.S Hex Nut,Bolt,Washir 12X75mm (8pcs)</t>
  </si>
  <si>
    <t>Oxygen Gas Cylinder Refill (1pc)</t>
  </si>
  <si>
    <t>Brass Welding Rod (5pcs)</t>
  </si>
  <si>
    <t>CTC for air Conditioner (3pcs)</t>
  </si>
  <si>
    <t>Air Conditioner Filter (1pc)</t>
  </si>
  <si>
    <t>Soldring Wire 50gms (1pc)</t>
  </si>
  <si>
    <t>Soldring Iron Bit 60watt (2pcs)</t>
  </si>
  <si>
    <t>Epoxy Resin Set (1set)</t>
  </si>
  <si>
    <t>MS Hex nut bolts 18X100mm (2pcs)</t>
  </si>
  <si>
    <t>Air Conditioner Capillary 0.80 (1pc)</t>
  </si>
  <si>
    <t>V-Belt B-35 (2pcs)</t>
  </si>
  <si>
    <t>Pin Grinder Stone (3pcs)</t>
  </si>
  <si>
    <t>S.S Nut 20mm (6pcs)</t>
  </si>
  <si>
    <t>S.S Bush Size 3/8'' X 1/2'' (1pc)</t>
  </si>
  <si>
    <t>Drill Bit Size 4mm (5pcs)</t>
  </si>
  <si>
    <t>Air Conditioner Service bag (1pc)</t>
  </si>
  <si>
    <t>G.I Union size 1''</t>
  </si>
  <si>
    <t>G.I Pipe Niple size 1'' X 12''</t>
  </si>
  <si>
    <t>Measurement Tape 5meter (1pc)</t>
  </si>
  <si>
    <t>Allen Key L Type 3mm</t>
  </si>
  <si>
    <t>Welding Gloves (1pair)</t>
  </si>
  <si>
    <t>Allen Key L Type 3/16'' (1pc)</t>
  </si>
  <si>
    <t>Oil Seal 35-62-8 (2pcs)</t>
  </si>
  <si>
    <t>Electric Tester (1pc)</t>
  </si>
  <si>
    <t>Piano Socket (4pcs)</t>
  </si>
  <si>
    <t>Mechanical Seal 30mm G.2 (1pc)</t>
  </si>
  <si>
    <t>Hydrulic seal 18X26X5 (4pcs)</t>
  </si>
  <si>
    <t>Hydrulic seal 31.5X41.5 (4pcs)</t>
  </si>
  <si>
    <t>PTC031</t>
  </si>
  <si>
    <t>PTC032</t>
  </si>
  <si>
    <t>PTC033</t>
  </si>
  <si>
    <t>PTC034</t>
  </si>
  <si>
    <t>PTC035</t>
  </si>
  <si>
    <t>PTC036</t>
  </si>
  <si>
    <t>PTC037</t>
  </si>
  <si>
    <t>PTC038</t>
  </si>
  <si>
    <t>PTC039</t>
  </si>
  <si>
    <t>PTC040</t>
  </si>
  <si>
    <t>For Pin Mill</t>
  </si>
  <si>
    <t>Fuel For Markeet Visit (going to Raiwind for Purchase Nut bolts)</t>
  </si>
  <si>
    <t>For Water Coolers repairing work</t>
  </si>
  <si>
    <t>Fuel For Markeet Visit (going to Raiwind for Cylinder Refilling)</t>
  </si>
  <si>
    <t>For Electronic Repairing Works</t>
  </si>
  <si>
    <t xml:space="preserve">For Linear Conveyor Transformer Rewinding also for Motors Rewinding </t>
  </si>
  <si>
    <t>For WWTP Air Conditioner Repairing</t>
  </si>
  <si>
    <t>For Ishida Linear Conveyors</t>
  </si>
  <si>
    <t>Fuel For Markeet Visit (going to Raiwind for Purchase ac prats and nut bolts)</t>
  </si>
  <si>
    <t>For WWTP Motor</t>
  </si>
  <si>
    <t xml:space="preserve">For General Use </t>
  </si>
  <si>
    <t>Fuel For Markeet Visit (going to Raiwind for Purchase belt, nut)</t>
  </si>
  <si>
    <t>For Tecalit Plant Die Wash</t>
  </si>
  <si>
    <t>Fuel For Markeet Visit (going to Raiwind for Tecalit PC Repair &amp; 2 times team going to warehouse for AC Repairing)</t>
  </si>
  <si>
    <t>For Air Conditinors Service</t>
  </si>
  <si>
    <t xml:space="preserve">For Tecalit Plant 1 </t>
  </si>
  <si>
    <t>For General Use of Mechanical works</t>
  </si>
  <si>
    <t>Fuel For Markeet Visit (going to Raiwind for Purchase Union,pipe nipple)</t>
  </si>
  <si>
    <t>Fuel For Markeet Visit (going to Raiwind for Purchase gloves and ijtma chowk for gear box received from vendor)</t>
  </si>
  <si>
    <t>For Auto Fryer Gear Box</t>
  </si>
  <si>
    <t>For Electrical Works</t>
  </si>
  <si>
    <t>Fuel for Markeet Visit (Going to Raiwind for purchase Oil Seal)</t>
  </si>
  <si>
    <t>For DB Chiller Pump</t>
  </si>
  <si>
    <t xml:space="preserve">For Hand Pallet </t>
  </si>
  <si>
    <t>Fuel for Markeet Visit (Going to Raiwind for purchase Seals)</t>
  </si>
  <si>
    <t xml:space="preserve">Pak Bearing and mill Store </t>
  </si>
  <si>
    <t xml:space="preserve">United Petrolium </t>
  </si>
  <si>
    <t>Raiwind Gas Agency</t>
  </si>
  <si>
    <t xml:space="preserve">Vital Filling Station </t>
  </si>
  <si>
    <t>Mehar Compressor Spare Parts</t>
  </si>
  <si>
    <t>Fiaz Electrial Store</t>
  </si>
  <si>
    <t>Bhai Bhai Electric Store</t>
  </si>
  <si>
    <t>Mughal Traders</t>
  </si>
  <si>
    <t>Eueo Pump</t>
  </si>
  <si>
    <t>Ghulam Hussain Industrial Spare Parts</t>
  </si>
  <si>
    <t>All Industrial Electric Store</t>
  </si>
  <si>
    <t>TM Traders</t>
  </si>
  <si>
    <t xml:space="preserve">Raiwind Filling Station </t>
  </si>
  <si>
    <t>Approval Done</t>
  </si>
  <si>
    <t>Silo Motor</t>
  </si>
  <si>
    <t>Vertical Sealer</t>
  </si>
  <si>
    <t>For Folder Use</t>
  </si>
  <si>
    <t>RO Plant Membrance 4040 (4" X 40") (Make
Vontron China)</t>
  </si>
  <si>
    <t>APEX AQUA PRODCUTS</t>
  </si>
  <si>
    <t>PTC041</t>
  </si>
  <si>
    <t>PTC042</t>
  </si>
  <si>
    <t>PTC043</t>
  </si>
  <si>
    <t xml:space="preserve">Masterd Oil </t>
  </si>
  <si>
    <t xml:space="preserve">Chalk </t>
  </si>
  <si>
    <t>PTC044</t>
  </si>
  <si>
    <t xml:space="preserve"> Batteries Water</t>
  </si>
  <si>
    <t>Horizental Sealer</t>
  </si>
  <si>
    <t>For General Use</t>
  </si>
  <si>
    <t>Imran</t>
  </si>
  <si>
    <t>PTC045</t>
  </si>
  <si>
    <t xml:space="preserve">Spring for Hand Pallet </t>
  </si>
  <si>
    <t>Fix &amp; Ring Spanner Size 20mm</t>
  </si>
  <si>
    <t>Combination Spanner Size 36mm</t>
  </si>
  <si>
    <t>Combination Spanner Size 24mm</t>
  </si>
  <si>
    <t>Combination Spanner Size 30mm</t>
  </si>
  <si>
    <t>Allen Key Size 2.5mm</t>
  </si>
  <si>
    <t>Timing Belt Shaft</t>
  </si>
  <si>
    <t>For Folder use</t>
  </si>
  <si>
    <t>Cooling Tower Pump</t>
  </si>
  <si>
    <t>Water Cooler</t>
  </si>
  <si>
    <t>Ahmad</t>
  </si>
  <si>
    <t>PTC046</t>
  </si>
  <si>
    <t xml:space="preserve">Rawal Bolts </t>
  </si>
  <si>
    <t>Ghosia Engineering Works</t>
  </si>
  <si>
    <t>WareHouse AC</t>
  </si>
  <si>
    <t>PTC047</t>
  </si>
  <si>
    <t>Absormax Hygiene PVT LTD</t>
  </si>
  <si>
    <t>Dead Plug Size 1/2"</t>
  </si>
  <si>
    <t>Dead Plug Size 3/4"</t>
  </si>
  <si>
    <t>PTC048</t>
  </si>
  <si>
    <t xml:space="preserve">M.Akram Trader </t>
  </si>
  <si>
    <t>Ball Valve , S.S , Full Bore Threaded, Size 1 "</t>
  </si>
  <si>
    <t>Inventory + Non Inventory issuance value by Equipment/Machine Issuance from May 2026 to Dec 2026</t>
  </si>
  <si>
    <t>Status</t>
  </si>
  <si>
    <t>Top Share</t>
  </si>
  <si>
    <t>Rank</t>
  </si>
  <si>
    <t>Share</t>
  </si>
  <si>
    <t>Machine</t>
  </si>
  <si>
    <t>May</t>
  </si>
  <si>
    <t>Action</t>
  </si>
  <si>
    <t>MONTHLY MACHINE HIGH / LOW AUTO SYSTEM</t>
  </si>
  <si>
    <t>Total Machine Work</t>
  </si>
  <si>
    <t>Active Months</t>
  </si>
  <si>
    <t>Highest Month</t>
  </si>
  <si>
    <t>Lowest Active Month</t>
  </si>
  <si>
    <t>Machines Tracked</t>
  </si>
  <si>
    <t>Months Needing Focus</t>
  </si>
  <si>
    <t>How to read</t>
  </si>
  <si>
    <t>High machine</t>
  </si>
  <si>
    <t>Month mein sab se zyada work/spend</t>
  </si>
  <si>
    <t>Red flag</t>
  </si>
  <si>
    <t>Check reason / maintenance</t>
  </si>
  <si>
    <t>Low active machine</t>
  </si>
  <si>
    <t>Zero ko ignore karke lowest active</t>
  </si>
  <si>
    <t>Amber</t>
  </si>
  <si>
    <t>Verify usage / idle issue</t>
  </si>
  <si>
    <t>No Data</t>
  </si>
  <si>
    <t>Month mein machine work nahi mila</t>
  </si>
  <si>
    <t>Gray</t>
  </si>
  <si>
    <t>Source update required</t>
  </si>
  <si>
    <t>Total Work</t>
  </si>
  <si>
    <t>Most Work Machine</t>
  </si>
  <si>
    <t>Most Amount</t>
  </si>
  <si>
    <t>Least Active Machine</t>
  </si>
  <si>
    <t>Least Amount</t>
  </si>
  <si>
    <t>Focus Level</t>
  </si>
  <si>
    <t>Quick Action</t>
  </si>
  <si>
    <t>Data Check</t>
  </si>
  <si>
    <t>Jun</t>
  </si>
  <si>
    <t>Jul</t>
  </si>
  <si>
    <t>Aug</t>
  </si>
  <si>
    <t>Sep</t>
  </si>
  <si>
    <t>Oct</t>
  </si>
  <si>
    <t>Nov</t>
  </si>
  <si>
    <t>Dec</t>
  </si>
  <si>
    <t>TOP 5 MACHINES - FULL YEAR</t>
  </si>
  <si>
    <t>Major Month</t>
  </si>
  <si>
    <t>LOW / IDLE WATCHLIST</t>
  </si>
  <si>
    <t>Sealing Jaws</t>
  </si>
  <si>
    <t>S.S Screen Mesh 6 No. Model # 50 (For Grinding
Chakki)</t>
  </si>
  <si>
    <t>Iftakhar Engineering Works</t>
  </si>
  <si>
    <t>Silo Conveyor</t>
  </si>
  <si>
    <t>Megnet Rod Size Dia 25.4mm, Length 270mm
(Ishida Packing Machine Linear Conveyor)</t>
  </si>
  <si>
    <t>Active Machines</t>
  </si>
  <si>
    <t>Idle Machines</t>
  </si>
  <si>
    <t>MACHINE CONTROL CENTER</t>
  </si>
  <si>
    <t>Total Machine Spend</t>
  </si>
  <si>
    <t>Top Machine</t>
  </si>
  <si>
    <t>MONTHLY TREND</t>
  </si>
  <si>
    <t>Total Spend</t>
  </si>
  <si>
    <t>Top Amount</t>
  </si>
  <si>
    <t>Signal</t>
  </si>
  <si>
    <t>TOP 5 MACHINES</t>
  </si>
  <si>
    <t>Spend</t>
  </si>
  <si>
    <t>Filter Cloth for chakki</t>
  </si>
  <si>
    <t>Pump</t>
  </si>
  <si>
    <t xml:space="preserve">Magic Varnish </t>
  </si>
  <si>
    <t>Battery Terminals</t>
  </si>
  <si>
    <t>PTC049</t>
  </si>
  <si>
    <t>PTC050</t>
  </si>
  <si>
    <t>Rana Khalil Motor Rewinding Shop</t>
  </si>
  <si>
    <t xml:space="preserve">Nadeem Electric Repairing &amp; Cooling Center </t>
  </si>
  <si>
    <t>PTC051</t>
  </si>
  <si>
    <t>PSO PUMP Rawind</t>
  </si>
  <si>
    <t>For folder use</t>
  </si>
  <si>
    <t>GRN Done (9-June-26)</t>
  </si>
  <si>
    <t>GRN Done 25-May-26</t>
  </si>
  <si>
    <t>Serv. Gear Box Repairing Charges
Gear box of Tecalit Silo repairing complete (new brass gear installed, new bearing &amp; new worm repairing with new oil seals)</t>
  </si>
  <si>
    <t>Silo gearbox</t>
  </si>
  <si>
    <t xml:space="preserve">Tecalit No:01 Silo </t>
  </si>
  <si>
    <t>SCREW DRIVER 10" (-)</t>
  </si>
  <si>
    <t>Cutter Plier 8"</t>
  </si>
  <si>
    <t>Screw Driver Size 6" -</t>
  </si>
  <si>
    <t>Screw Driver Size 6" +</t>
  </si>
  <si>
    <t>SCREW DRIVER 10" (+)</t>
  </si>
  <si>
    <t>Lock Plier 90° Outer Medium 7"</t>
  </si>
  <si>
    <t>Lock Plier 90° Inner Medium 7"</t>
  </si>
  <si>
    <t>Tester (China)</t>
  </si>
  <si>
    <t>Allen Key T Handle Size 4mm Big</t>
  </si>
  <si>
    <t>Nose Plier 8"</t>
  </si>
  <si>
    <t>Combination Plier 8"</t>
  </si>
  <si>
    <t>Allen Key Set Star Type</t>
  </si>
  <si>
    <t>Allen Key Set Inch Size Range 1/16" to 3/8" inch</t>
  </si>
  <si>
    <t>Asad</t>
  </si>
  <si>
    <t>Horizontal Jaw Plate S.S L-150mm W-39mm T-
5mm (4 Pcs 1 Set)(For Ishida Machine)</t>
  </si>
  <si>
    <t>Rack No: 03 B</t>
  </si>
  <si>
    <t>Laquar Spray</t>
  </si>
  <si>
    <t>PTC052</t>
  </si>
  <si>
    <t>China Mill Store Raiwind</t>
  </si>
  <si>
    <t>PTC053</t>
  </si>
  <si>
    <t>Copper Wire No: 21.5</t>
  </si>
  <si>
    <t>Mechanical Seal 20mm</t>
  </si>
  <si>
    <t>Hot Water Pump</t>
  </si>
  <si>
    <t xml:space="preserve">Elevator Conveyor Motor </t>
  </si>
  <si>
    <t>For AC Pipes</t>
  </si>
  <si>
    <t>Fuel Charges</t>
  </si>
  <si>
    <t>Pam Oil Pump</t>
  </si>
  <si>
    <t>Net Movement</t>
  </si>
  <si>
    <t>Recommended Action</t>
  </si>
  <si>
    <t>Inventory Mix</t>
  </si>
  <si>
    <t>Machine Concentration</t>
  </si>
  <si>
    <t>OPERATIONS COMMAND CENTER</t>
  </si>
  <si>
    <t>Total Stock Value</t>
  </si>
  <si>
    <t>Machine Focus</t>
  </si>
  <si>
    <t>CATEGORY PERFORMANCE SUMMARY</t>
  </si>
  <si>
    <t>Stock Value</t>
  </si>
  <si>
    <t>Stock Mix</t>
  </si>
  <si>
    <t>Inward Value</t>
  </si>
  <si>
    <t>Inward Mix</t>
  </si>
  <si>
    <t>Issuance Value</t>
  </si>
  <si>
    <t>Issuance Mix</t>
  </si>
  <si>
    <t>Net Flow</t>
  </si>
  <si>
    <t>Pressure</t>
  </si>
  <si>
    <t>MANAGEMENT ALERT BOARD</t>
  </si>
  <si>
    <t>Priority</t>
  </si>
  <si>
    <t>Alert Area</t>
  </si>
  <si>
    <t>Trigger</t>
  </si>
  <si>
    <t>Current Reading</t>
  </si>
  <si>
    <t>Risk Level</t>
  </si>
  <si>
    <t>Owner Action</t>
  </si>
  <si>
    <t>Review Frequency</t>
  </si>
  <si>
    <t>Data Source</t>
  </si>
  <si>
    <t>Impact</t>
  </si>
  <si>
    <t>Decision Needed</t>
  </si>
  <si>
    <t>Issuance vs Inward</t>
  </si>
  <si>
    <t>Low / Idle Machines</t>
  </si>
  <si>
    <t>Petty Cash Control</t>
  </si>
  <si>
    <t>Future Months Data</t>
  </si>
  <si>
    <t>Issuance higher than inward</t>
  </si>
  <si>
    <t>Top machine share above 40%</t>
  </si>
  <si>
    <t>Inventory stock share movement</t>
  </si>
  <si>
    <t>Idle / low use machines exist</t>
  </si>
  <si>
    <t>Cash spend requires discipline</t>
  </si>
  <si>
    <t>Jul-Dec data availability</t>
  </si>
  <si>
    <t>Control issuance approvals</t>
  </si>
  <si>
    <t>Check top machine reason</t>
  </si>
  <si>
    <t>Monitor stock balance</t>
  </si>
  <si>
    <t>Verify idle machine list</t>
  </si>
  <si>
    <t>Review supporting vouchers</t>
  </si>
  <si>
    <t>Update source monthly data</t>
  </si>
  <si>
    <t>Weekly</t>
  </si>
  <si>
    <t>Monthly</t>
  </si>
  <si>
    <t>Monthly Summary</t>
  </si>
  <si>
    <t>Machine Dashboard</t>
  </si>
  <si>
    <t>Stock Cards</t>
  </si>
  <si>
    <t>Machine Watchlist</t>
  </si>
  <si>
    <t>Petty Cash</t>
  </si>
  <si>
    <t>Monthly Trend</t>
  </si>
  <si>
    <t>Working capital</t>
  </si>
  <si>
    <t>Maintenance / utilization</t>
  </si>
  <si>
    <t>Stock planning</t>
  </si>
  <si>
    <t>Asset utilization</t>
  </si>
  <si>
    <t>Spend governance</t>
  </si>
  <si>
    <t>Reporting completeness</t>
  </si>
  <si>
    <t>Approve control limit</t>
  </si>
  <si>
    <t>Investigate variance</t>
  </si>
  <si>
    <t>Set target mix</t>
  </si>
  <si>
    <t>Keep / repair / retire</t>
  </si>
  <si>
    <t>Set approval threshold</t>
  </si>
  <si>
    <t>Close reporting gap</t>
  </si>
  <si>
    <t>Note: This command center is live-linked to stock, inward, issuance, and machine dashboard totals. Update source sheets to refresh all signals automatically.</t>
  </si>
  <si>
    <t>QUICK DECISION BOARD</t>
  </si>
  <si>
    <t>Current</t>
  </si>
  <si>
    <t>Next Action</t>
  </si>
  <si>
    <t>Owner</t>
  </si>
  <si>
    <t>Issuance Gap</t>
  </si>
  <si>
    <t>Top Pressure Category</t>
  </si>
  <si>
    <t>Data Readiness</t>
  </si>
  <si>
    <t>Store / Finance</t>
  </si>
  <si>
    <t>Procurement</t>
  </si>
  <si>
    <t>Maintenance</t>
  </si>
  <si>
    <t>Reporting</t>
  </si>
  <si>
    <t xml:space="preserve">S.S Welding Rods </t>
  </si>
  <si>
    <t>Tester</t>
  </si>
  <si>
    <t>Screw Size 1.1/2</t>
  </si>
  <si>
    <t>PTC054</t>
  </si>
  <si>
    <t>PTC055</t>
  </si>
  <si>
    <t>PTC056</t>
  </si>
  <si>
    <t>PTC057</t>
  </si>
  <si>
    <t>For Market Visit</t>
  </si>
  <si>
    <t xml:space="preserve">For Electrical Purpuse </t>
  </si>
  <si>
    <t>LT ROOM/GENERATOR</t>
  </si>
  <si>
    <t>Serv. Misc. Services GENSET 135KVA INSPECTION &amp; SERVICE
CHAGES</t>
  </si>
  <si>
    <t>LT Room/Generator</t>
  </si>
  <si>
    <t>Oil Filter Ft-Re59754 (135kv Diesel Generator)</t>
  </si>
  <si>
    <t>Fuel Filter Ft-Re60021 (135kv Diesel Generator)</t>
  </si>
  <si>
    <t>Air Filter P/N# C-105004 (135kv Diesel Generator)</t>
  </si>
  <si>
    <t>Generator Engine Oil 15w40</t>
  </si>
  <si>
    <t>Greaves Pakistan PVT.LTD</t>
  </si>
  <si>
    <t>Generator Work</t>
  </si>
  <si>
    <t xml:space="preserve"> management view for stock value, inward flow, issuance pressure, category mix, and action priorities</t>
  </si>
  <si>
    <t>Dryer Pump</t>
  </si>
  <si>
    <t>Water Pump</t>
  </si>
  <si>
    <t xml:space="preserve">For Folder Use </t>
  </si>
  <si>
    <t>Pneumatic air cylinder DSNU-32-150-PV-P-A-51K8 193992
FN33 Pmax = 10 bar / 145 psi (Festo)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</si>
</sst>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-409]d\-mmm\-yy;@"/>
    <numFmt numFmtId="165" formatCode="\ @"/>
    <numFmt numFmtId="166" formatCode="0.00_);\(0.00\)"/>
    <numFmt numFmtId="167" formatCode="\₨\ #,##0"/>
    <numFmt numFmtId="168" formatCode="0.0%"/>
    <numFmt numFmtId="169" formatCode="\₨#,##0"/>
    <numFmt numFmtId="170" formatCode="dd\-mmm\-yy"/>
    <numFmt numFmtId="171" formatCode="mmm\-yyyy"/>
    <numFmt numFmtId="172" formatCode="\₨\ #,##0;[Red]\(\₨\ #,##0\)"/>
  </numFmts>
  <fonts count="104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theme="1"/>
      <name val="Calibri"/>
      <family val="2"/>
    </font>
    <font>
      <b/>
      <sz val="12"/>
      <color theme="0"/>
      <name val="Calibri"/>
      <family val="2"/>
    </font>
    <font>
      <sz val="11"/>
      <color theme="1"/>
      <name val="Calibri"/>
      <family val="3"/>
      <charset val="129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</font>
    <font>
      <b/>
      <sz val="12"/>
      <color rgb="FFFFFFFF"/>
      <name val="Calibri"/>
      <family val="2"/>
    </font>
    <font>
      <sz val="11"/>
      <color rgb="FF1F2937"/>
      <name val="Calibri"/>
      <family val="2"/>
    </font>
    <font>
      <b/>
      <sz val="11"/>
      <color rgb="FF1F2937"/>
      <name val="Calibri"/>
      <family val="2"/>
    </font>
    <font>
      <b/>
      <sz val="18"/>
      <color rgb="FFFFFFFF"/>
      <name val="Calibri"/>
      <family val="2"/>
    </font>
    <font>
      <b/>
      <sz val="16"/>
      <color rgb="FFFFFFFF"/>
      <name val="Calibri"/>
      <family val="2"/>
      <charset val="1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2"/>
      <name val="Calibri"/>
      <family val="2"/>
    </font>
    <font>
      <b/>
      <sz val="12"/>
      <color rgb="FFFF0000"/>
      <name val="Calibri"/>
      <family val="2"/>
      <charset val="1"/>
    </font>
    <font>
      <b/>
      <sz val="10"/>
      <color theme="0"/>
      <name val="Calibri"/>
      <family val="2"/>
    </font>
    <font>
      <b/>
      <sz val="10"/>
      <name val="Calibri"/>
      <family val="2"/>
    </font>
    <font>
      <b/>
      <sz val="10"/>
      <color rgb="FF7030A0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222222"/>
      <name val="Calibri"/>
      <family val="2"/>
    </font>
    <font>
      <sz val="10"/>
      <color rgb="FF222222"/>
      <name val="Calibri"/>
      <family val="2"/>
    </font>
    <font>
      <b/>
      <sz val="16"/>
      <color rgb="FFFFFFFF"/>
      <name val="Calibri"/>
      <family val="2"/>
    </font>
    <font>
      <b/>
      <sz val="10"/>
      <color rgb="FF1F4E78"/>
      <name val="Calibri"/>
      <family val="2"/>
    </font>
    <font>
      <b/>
      <sz val="12"/>
      <color rgb="FF1F4E78"/>
      <name val="Calibri"/>
      <family val="2"/>
    </font>
    <font>
      <b/>
      <sz val="14"/>
      <color rgb="FFFFFFFF"/>
      <name val="Calibri"/>
      <family val="2"/>
    </font>
    <font>
      <b/>
      <sz val="12"/>
      <color rgb="FF222222"/>
      <name val="Calibri"/>
      <family val="2"/>
    </font>
    <font>
      <b/>
      <sz val="12"/>
      <color theme="1"/>
      <name val="Calibri"/>
      <family val="2"/>
    </font>
    <font>
      <b/>
      <sz val="11"/>
      <color rgb="FF222222"/>
      <name val="Calibri"/>
      <family val="2"/>
    </font>
    <font>
      <sz val="11"/>
      <color rgb="FF222222"/>
      <name val="Calibri"/>
      <family val="2"/>
    </font>
    <font>
      <sz val="12"/>
      <color rgb="FF222222"/>
      <name val="Calibri"/>
      <family val="2"/>
    </font>
    <font>
      <sz val="11"/>
      <color rgb="FF1F4E78"/>
      <name val="Calibri"/>
      <family val="2"/>
    </font>
    <font>
      <sz val="12"/>
      <color rgb="FF1F4E78"/>
      <name val="Calibri"/>
      <family val="2"/>
    </font>
    <font>
      <b/>
      <sz val="11"/>
      <color rgb="FF1F4E78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sz val="11"/>
      <name val="Calibri"/>
      <family val="2"/>
    </font>
    <font>
      <b/>
      <sz val="17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theme="0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1F4E78"/>
      <name val="Calibri"/>
      <family val="2"/>
    </font>
    <font>
      <b/>
      <sz val="9"/>
      <color rgb="FF222222"/>
      <name val="Calibri"/>
      <family val="2"/>
    </font>
    <font>
      <sz val="9"/>
      <color rgb="FF222222"/>
      <name val="Calibri"/>
      <family val="2"/>
    </font>
    <font>
      <b/>
      <sz val="9"/>
      <color rgb="FF006100"/>
      <name val="Calibri"/>
      <family val="2"/>
    </font>
    <font>
      <sz val="8"/>
      <color theme="1"/>
      <name val="Calibri"/>
      <family val="2"/>
      <charset val="1"/>
    </font>
    <font>
      <sz val="8"/>
      <name val="Calibri"/>
      <family val="2"/>
      <charset val="1"/>
    </font>
    <font>
      <b/>
      <sz val="8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b/>
      <sz val="18"/>
      <color theme="1"/>
      <name val="Calibri"/>
      <family val="2"/>
    </font>
    <font>
      <sz val="8"/>
      <color theme="1"/>
      <name val="Calibri"/>
      <family val="2"/>
    </font>
    <font>
      <b/>
      <sz val="18"/>
      <color rgb="FFFFFFFF"/>
      <name val="Aptos"/>
    </font>
    <font>
      <b/>
      <sz val="11"/>
      <color rgb="FFFFFFFF"/>
      <name val="Aptos"/>
    </font>
    <font>
      <b/>
      <sz val="10"/>
      <color rgb="FFFFFFFF"/>
      <name val="Aptos"/>
    </font>
    <font>
      <b/>
      <sz val="10"/>
      <color theme="1"/>
      <name val="Aptos"/>
    </font>
    <font>
      <b/>
      <sz val="13"/>
      <color rgb="FFFFFFFF"/>
      <name val="Aptos"/>
    </font>
    <font>
      <sz val="10"/>
      <color rgb="FF17324D"/>
      <name val="Aptos"/>
    </font>
    <font>
      <b/>
      <sz val="15"/>
      <color rgb="FF063B73"/>
      <name val="Aptos"/>
    </font>
    <font>
      <b/>
      <sz val="15"/>
      <color rgb="FF0F5132"/>
      <name val="Aptos"/>
    </font>
    <font>
      <b/>
      <sz val="15"/>
      <color rgb="FF664D03"/>
      <name val="Aptos"/>
    </font>
    <font>
      <b/>
      <sz val="15"/>
      <color rgb="FF084298"/>
      <name val="Aptos"/>
    </font>
    <font>
      <b/>
      <sz val="15"/>
      <color rgb="FF842029"/>
      <name val="Aptos"/>
    </font>
    <font>
      <b/>
      <sz val="10"/>
      <color rgb="FF073763"/>
      <name val="Aptos"/>
    </font>
    <font>
      <b/>
      <i/>
      <sz val="10"/>
      <color rgb="FF073763"/>
      <name val="Aptos"/>
    </font>
    <font>
      <b/>
      <sz val="12"/>
      <color rgb="FFC00000"/>
      <name val="Aptos"/>
    </font>
    <font>
      <b/>
      <sz val="14"/>
      <color rgb="FFC00000"/>
      <name val="Aptos"/>
    </font>
    <font>
      <b/>
      <sz val="14"/>
      <color rgb="FF842029"/>
      <name val="Aptos"/>
    </font>
    <font>
      <b/>
      <sz val="12"/>
      <color rgb="FF084298"/>
      <name val="Aptos"/>
    </font>
    <font>
      <b/>
      <sz val="12"/>
      <color rgb="FF063B73"/>
      <name val="Aptos"/>
    </font>
    <font>
      <b/>
      <sz val="12"/>
      <color rgb="FF0F5132"/>
      <name val="Aptos"/>
    </font>
    <font>
      <b/>
      <sz val="12"/>
      <color rgb="FF664D03"/>
      <name val="Aptos"/>
    </font>
    <font>
      <b/>
      <sz val="10"/>
      <name val="Aptos"/>
    </font>
    <font>
      <b/>
      <sz val="10"/>
      <color rgb="FF17324D"/>
      <name val="Aptos"/>
    </font>
    <font>
      <sz val="10"/>
      <color rgb="FF1F2937"/>
      <name val="Calibri"/>
      <family val="2"/>
    </font>
    <font>
      <i/>
      <sz val="10"/>
      <color rgb="FF31566D"/>
      <name val="Calibri"/>
      <family val="2"/>
    </font>
    <font>
      <b/>
      <sz val="10"/>
      <color rgb="FF1F2937"/>
      <name val="Calibri"/>
      <family val="2"/>
    </font>
    <font>
      <sz val="10"/>
      <name val="Calibri"/>
      <family val="2"/>
    </font>
    <font>
      <b/>
      <sz val="11"/>
      <color theme="0"/>
      <name val="Calibri"/>
      <family val="2"/>
    </font>
    <font>
      <b/>
      <sz val="14"/>
      <color theme="0"/>
      <name val="Calibri"/>
      <family val="2"/>
    </font>
    <font>
      <b/>
      <sz val="16"/>
      <color theme="0"/>
      <name val="Calibri"/>
      <family val="2"/>
    </font>
    <font>
      <b/>
      <sz val="10"/>
      <color rgb="FF991B1B"/>
      <name val="Calibri"/>
      <family val="2"/>
    </font>
    <font>
      <b/>
      <sz val="10"/>
      <color rgb="FF166534"/>
      <name val="Calibri"/>
      <family val="2"/>
    </font>
    <font>
      <b/>
      <sz val="10"/>
      <color rgb="FF111827"/>
      <name val="Calibri"/>
      <family val="2"/>
    </font>
    <font>
      <b/>
      <sz val="12"/>
      <color rgb="FF0F172A"/>
      <name val="Calibri"/>
      <family val="2"/>
    </font>
    <font>
      <b/>
      <sz val="10"/>
      <color rgb="FF064E3B"/>
      <name val="Calibri"/>
      <family val="2"/>
    </font>
    <font>
      <b/>
      <sz val="10"/>
      <color rgb="FF6B7280"/>
      <name val="Calibri"/>
      <family val="2"/>
    </font>
    <font>
      <sz val="12"/>
      <color rgb="FFFF0000"/>
      <name val="Calibri"/>
      <family val="2"/>
    </font>
    <font>
      <b/>
      <sz val="12"/>
      <color theme="3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b/>
      <sz val="10"/>
      <color rgb="FFC00000"/>
      <name val="Calibri"/>
      <family val="2"/>
    </font>
    <font>
      <b/>
      <sz val="10"/>
      <color rgb="FFC00000"/>
      <name val="Calibri"/>
      <family val="2"/>
      <charset val="1"/>
    </font>
    <font>
      <b/>
      <sz val="10"/>
      <color rgb="FF1F4E78"/>
      <name val="Calibri"/>
      <family val="2"/>
      <charset val="1"/>
    </font>
    <font>
      <b/>
      <sz val="13"/>
      <color rgb="FF222222"/>
      <name val="Calibri"/>
      <family val="2"/>
    </font>
    <font>
      <i/>
      <sz val="11"/>
      <color rgb="FF222222"/>
      <name val="Calibri"/>
      <family val="2"/>
    </font>
    <font>
      <b/>
      <sz val="11"/>
      <color rgb="FF1D2330"/>
      <name val="Calibri"/>
      <family val="2"/>
    </font>
    <font>
      <b/>
      <sz val="10"/>
      <color rgb="FF1F2937"/>
      <name val="Calibri"/>
      <family val="2"/>
      <charset val="1"/>
    </font>
    <font>
      <b/>
      <sz val="10"/>
      <color rgb="FF7F6000"/>
      <name val="Calibri"/>
      <family val="2"/>
      <charset val="1"/>
    </font>
    <font>
      <sz val="10"/>
      <color theme="1"/>
      <name val="Calibri"/>
      <family val="2"/>
      <charset val="1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</fonts>
  <fills count="69">
    <fill>
      <patternFill patternType="none"/>
    </fill>
    <fill>
      <patternFill patternType="gray125"/>
    </fill>
    <fill>
      <patternFill patternType="solid">
        <fgColor rgb="FF1F4E78"/>
        <bgColor rgb="FF17375E"/>
      </patternFill>
    </fill>
    <fill>
      <patternFill patternType="solid">
        <fgColor rgb="FFE2F0D9"/>
        <bgColor rgb="FFEBF1DE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F4FB"/>
        <bgColor indexed="64"/>
      </patternFill>
    </fill>
    <fill>
      <patternFill patternType="solid">
        <fgColor rgb="FFF8FBFF"/>
        <bgColor indexed="64"/>
      </patternFill>
    </fill>
    <fill>
      <patternFill patternType="solid">
        <fgColor rgb="FF172B4D"/>
        <bgColor indexed="64"/>
      </patternFill>
    </fill>
    <fill>
      <patternFill patternType="solid">
        <fgColor rgb="FFEAF3FF"/>
        <bgColor indexed="64"/>
      </patternFill>
    </fill>
    <fill>
      <patternFill patternType="solid">
        <fgColor rgb="FFDDEBFF"/>
        <bgColor indexed="64"/>
      </patternFill>
    </fill>
    <fill>
      <patternFill patternType="solid">
        <fgColor rgb="FFF6FAFF"/>
        <bgColor indexed="64"/>
      </patternFill>
    </fill>
    <fill>
      <patternFill patternType="solid">
        <fgColor rgb="FF0B4F9C"/>
        <bgColor indexed="64"/>
      </patternFill>
    </fill>
    <fill>
      <patternFill patternType="solid">
        <fgColor rgb="FF073763"/>
        <bgColor indexed="64"/>
      </patternFill>
    </fill>
    <fill>
      <patternFill patternType="solid">
        <fgColor rgb="FFDFF2E1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CFE2FF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ADCF8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7324D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D5D7B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2F8FB"/>
        <bgColor indexed="64"/>
      </patternFill>
    </fill>
    <fill>
      <patternFill patternType="solid">
        <fgColor rgb="FFF8FBF2"/>
        <bgColor indexed="64"/>
      </patternFill>
    </fill>
    <fill>
      <patternFill patternType="solid">
        <fgColor rgb="FFF7F3FF"/>
        <bgColor indexed="64"/>
      </patternFill>
    </fill>
    <fill>
      <patternFill patternType="solid">
        <fgColor rgb="FFFFF8E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1E3A5F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FFF1F2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AF6FB"/>
        <bgColor indexed="64"/>
      </patternFill>
    </fill>
    <fill>
      <patternFill patternType="solid">
        <fgColor rgb="FFF2EDFF"/>
        <bgColor indexed="64"/>
      </patternFill>
    </fill>
    <fill>
      <patternFill patternType="solid">
        <fgColor rgb="FFEAFBF0"/>
        <bgColor indexed="64"/>
      </patternFill>
    </fill>
    <fill>
      <patternFill patternType="solid">
        <fgColor rgb="FFFFF3D6"/>
        <bgColor indexed="64"/>
      </patternFill>
    </fill>
    <fill>
      <patternFill patternType="solid">
        <fgColor rgb="FFFFE8EA"/>
        <bgColor indexed="64"/>
      </patternFill>
    </fill>
    <fill>
      <patternFill patternType="solid">
        <fgColor rgb="FFE7F0FF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1D4ED8"/>
        <bgColor indexed="64"/>
      </patternFill>
    </fill>
    <fill>
      <patternFill patternType="solid">
        <fgColor rgb="FF111827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1D2330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EAF0F8"/>
        <bgColor indexed="64"/>
      </patternFill>
    </fill>
  </fills>
  <borders count="1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1F4E78"/>
      </left>
      <right style="thin">
        <color rgb="FF1F4E78"/>
      </right>
      <top style="thin">
        <color rgb="FF1F4E78"/>
      </top>
      <bottom/>
      <diagonal/>
    </border>
    <border>
      <left style="thin">
        <color rgb="FF1F4E78"/>
      </left>
      <right style="thin">
        <color rgb="FF1F4E78"/>
      </right>
      <top style="thick">
        <color rgb="FF1F4E78"/>
      </top>
      <bottom style="thin">
        <color rgb="FF1F4E78"/>
      </bottom>
      <diagonal/>
    </border>
    <border>
      <left style="thick">
        <color rgb="FF1F4E78"/>
      </left>
      <right style="thin">
        <color rgb="FF1F4E78"/>
      </right>
      <top style="thick">
        <color rgb="FF1F4E78"/>
      </top>
      <bottom style="thin">
        <color rgb="FF1F4E78"/>
      </bottom>
      <diagonal/>
    </border>
    <border>
      <left style="thin">
        <color rgb="FF1F4E78"/>
      </left>
      <right style="thick">
        <color rgb="FF1F4E78"/>
      </right>
      <top style="thick">
        <color rgb="FF1F4E78"/>
      </top>
      <bottom style="thin">
        <color rgb="FF1F4E78"/>
      </bottom>
      <diagonal/>
    </border>
    <border>
      <left style="thin">
        <color rgb="FF1F4E78"/>
      </left>
      <right style="thick">
        <color rgb="FF1F4E78"/>
      </right>
      <top style="thin">
        <color rgb="FF1F4E78"/>
      </top>
      <bottom/>
      <diagonal/>
    </border>
    <border>
      <left/>
      <right style="thick">
        <color rgb="FF1F4E78"/>
      </right>
      <top/>
      <bottom/>
      <diagonal/>
    </border>
    <border>
      <left style="thin">
        <color rgb="FF9EADCC"/>
      </left>
      <right style="thin">
        <color rgb="FF9EADCC"/>
      </right>
      <top style="thin">
        <color rgb="FF9EADCC"/>
      </top>
      <bottom style="thin">
        <color rgb="FF9EADCC"/>
      </bottom>
      <diagonal/>
    </border>
    <border>
      <left/>
      <right style="thin">
        <color rgb="FF9EADCC"/>
      </right>
      <top style="thin">
        <color rgb="FF9EADCC"/>
      </top>
      <bottom style="thin">
        <color rgb="FF9EADCC"/>
      </bottom>
      <diagonal/>
    </border>
    <border>
      <left style="thin">
        <color rgb="FF9EADCC"/>
      </left>
      <right style="thin">
        <color rgb="FF9EADCC"/>
      </right>
      <top/>
      <bottom style="thin">
        <color rgb="FF9EADCC"/>
      </bottom>
      <diagonal/>
    </border>
    <border>
      <left style="thin">
        <color rgb="FF9EADCC"/>
      </left>
      <right style="thin">
        <color rgb="FF9EADCC"/>
      </right>
      <top style="thin">
        <color rgb="FF9EADCC"/>
      </top>
      <bottom/>
      <diagonal/>
    </border>
    <border>
      <left style="thin">
        <color rgb="FF2F5597"/>
      </left>
      <right style="thin">
        <color rgb="FF2F5597"/>
      </right>
      <top style="thick">
        <color rgb="FF2F5597"/>
      </top>
      <bottom style="thin">
        <color rgb="FF2F5597"/>
      </bottom>
      <diagonal/>
    </border>
    <border>
      <left style="thick">
        <color rgb="FF2F5597"/>
      </left>
      <right style="thin">
        <color rgb="FF2F5597"/>
      </right>
      <top style="thick">
        <color rgb="FF2F5597"/>
      </top>
      <bottom style="thin">
        <color rgb="FF2F5597"/>
      </bottom>
      <diagonal/>
    </border>
    <border>
      <left style="thin">
        <color rgb="FF2F5597"/>
      </left>
      <right style="thick">
        <color rgb="FF2F5597"/>
      </right>
      <top style="thick">
        <color rgb="FF2F5597"/>
      </top>
      <bottom style="thin">
        <color rgb="FF2F5597"/>
      </bottom>
      <diagonal/>
    </border>
    <border>
      <left style="thick">
        <color rgb="FF2F5597"/>
      </left>
      <right style="thin">
        <color rgb="FF2F5597"/>
      </right>
      <top style="thin">
        <color rgb="FF2F5597"/>
      </top>
      <bottom/>
      <diagonal/>
    </border>
    <border>
      <left style="thin">
        <color rgb="FF2F5597"/>
      </left>
      <right style="thin">
        <color rgb="FF2F5597"/>
      </right>
      <top style="thin">
        <color rgb="FF2F5597"/>
      </top>
      <bottom/>
      <diagonal/>
    </border>
    <border>
      <left style="thin">
        <color rgb="FF2F5597"/>
      </left>
      <right style="thick">
        <color rgb="FF2F5597"/>
      </right>
      <top style="thin">
        <color rgb="FF2F5597"/>
      </top>
      <bottom/>
      <diagonal/>
    </border>
    <border>
      <left style="thin">
        <color rgb="FF5B9BD5"/>
      </left>
      <right style="thin">
        <color rgb="FF5B9BD5"/>
      </right>
      <top style="thin">
        <color rgb="FF5B9BD5"/>
      </top>
      <bottom style="thin">
        <color rgb="FF5B9BD5"/>
      </bottom>
      <diagonal/>
    </border>
    <border>
      <left style="thin">
        <color rgb="FF5B9BD5"/>
      </left>
      <right/>
      <top style="thin">
        <color rgb="FF5B9BD5"/>
      </top>
      <bottom style="thin">
        <color rgb="FF5B9BD5"/>
      </bottom>
      <diagonal/>
    </border>
    <border>
      <left style="thin">
        <color rgb="FF5B9BD5"/>
      </left>
      <right style="thin">
        <color rgb="FF5B9BD5"/>
      </right>
      <top/>
      <bottom style="thin">
        <color rgb="FF5B9BD5"/>
      </bottom>
      <diagonal/>
    </border>
    <border>
      <left style="thin">
        <color rgb="FF5B9BD5"/>
      </left>
      <right style="thin">
        <color rgb="FF5B9BD5"/>
      </right>
      <top style="thick">
        <color rgb="FF2F5597"/>
      </top>
      <bottom style="thick">
        <color rgb="FF2F5597"/>
      </bottom>
      <diagonal/>
    </border>
    <border>
      <left style="thin">
        <color rgb="FF5B9BD5"/>
      </left>
      <right style="thick">
        <color rgb="FF2F5597"/>
      </right>
      <top style="thick">
        <color rgb="FF2F5597"/>
      </top>
      <bottom style="thick">
        <color rgb="FF2F5597"/>
      </bottom>
      <diagonal/>
    </border>
    <border>
      <left style="thick">
        <color rgb="FF2F5597"/>
      </left>
      <right style="thin">
        <color rgb="FF5B9BD5"/>
      </right>
      <top style="thick">
        <color rgb="FF2F5597"/>
      </top>
      <bottom/>
      <diagonal/>
    </border>
    <border>
      <left style="thin">
        <color rgb="FF5B9BD5"/>
      </left>
      <right style="thin">
        <color rgb="FF5B9BD5"/>
      </right>
      <top style="thick">
        <color rgb="FF2F5597"/>
      </top>
      <bottom/>
      <diagonal/>
    </border>
    <border>
      <left style="thin">
        <color rgb="FF5B9BD5"/>
      </left>
      <right style="thick">
        <color rgb="FF2F5597"/>
      </right>
      <top style="thick">
        <color rgb="FF2F5597"/>
      </top>
      <bottom/>
      <diagonal/>
    </border>
    <border>
      <left style="thin">
        <color rgb="FF5B9BD5"/>
      </left>
      <right/>
      <top style="thin">
        <color rgb="FF5B9BD5"/>
      </top>
      <bottom/>
      <diagonal/>
    </border>
    <border>
      <left/>
      <right style="thin">
        <color rgb="FF9EADCC"/>
      </right>
      <top/>
      <bottom/>
      <diagonal/>
    </border>
    <border>
      <left/>
      <right/>
      <top style="thick">
        <color rgb="FF1F4E78"/>
      </top>
      <bottom/>
      <diagonal/>
    </border>
    <border>
      <left/>
      <right style="thick">
        <color rgb="FF1F4E78"/>
      </right>
      <top style="thick">
        <color rgb="FF1F4E78"/>
      </top>
      <bottom/>
      <diagonal/>
    </border>
    <border>
      <left style="thin">
        <color rgb="FF9EADCC"/>
      </left>
      <right style="thin">
        <color rgb="FF9EADCC"/>
      </right>
      <top style="thick">
        <color rgb="FF1F4E78"/>
      </top>
      <bottom style="thick">
        <color rgb="FF1F4E78"/>
      </bottom>
      <diagonal/>
    </border>
    <border>
      <left style="thin">
        <color rgb="FF9EADCC"/>
      </left>
      <right style="thick">
        <color rgb="FF1F4E78"/>
      </right>
      <top style="thick">
        <color rgb="FF1F4E78"/>
      </top>
      <bottom style="thick">
        <color rgb="FF1F4E78"/>
      </bottom>
      <diagonal/>
    </border>
    <border>
      <left style="thin">
        <color rgb="FF9EADCC"/>
      </left>
      <right style="thin">
        <color rgb="FF9EADCC"/>
      </right>
      <top/>
      <bottom/>
      <diagonal/>
    </border>
    <border>
      <left/>
      <right style="thin">
        <color rgb="FF9EADCC"/>
      </right>
      <top style="thick">
        <color rgb="FF1F4E78"/>
      </top>
      <bottom style="thick">
        <color rgb="FF1F4E78"/>
      </bottom>
      <diagonal/>
    </border>
    <border>
      <left/>
      <right style="thin">
        <color rgb="FF9EADCC"/>
      </right>
      <top/>
      <bottom style="thin">
        <color rgb="FF9EADCC"/>
      </bottom>
      <diagonal/>
    </border>
    <border>
      <left/>
      <right style="thin">
        <color rgb="FF9EADCC"/>
      </right>
      <top style="thin">
        <color rgb="FF9EADCC"/>
      </top>
      <bottom/>
      <diagonal/>
    </border>
    <border>
      <left style="thick">
        <color rgb="FF001F3F"/>
      </left>
      <right style="thick">
        <color rgb="FF001F3F"/>
      </right>
      <top style="thick">
        <color rgb="FF001F3F"/>
      </top>
      <bottom style="thick">
        <color rgb="FF001F3F"/>
      </bottom>
      <diagonal/>
    </border>
    <border>
      <left style="medium">
        <color rgb="FFDC3545"/>
      </left>
      <right style="medium">
        <color rgb="FFDC3545"/>
      </right>
      <top style="medium">
        <color rgb="FFDC3545"/>
      </top>
      <bottom style="medium">
        <color rgb="FFDC3545"/>
      </bottom>
      <diagonal/>
    </border>
    <border>
      <left style="medium">
        <color rgb="FF073763"/>
      </left>
      <right style="medium">
        <color rgb="FF073763"/>
      </right>
      <top style="medium">
        <color rgb="FF073763"/>
      </top>
      <bottom style="medium">
        <color rgb="FF073763"/>
      </bottom>
      <diagonal/>
    </border>
    <border>
      <left style="medium">
        <color rgb="FF4B1D70"/>
      </left>
      <right style="medium">
        <color rgb="FF4B1D70"/>
      </right>
      <top style="medium">
        <color rgb="FF4B1D70"/>
      </top>
      <bottom style="medium">
        <color rgb="FF4B1D70"/>
      </bottom>
      <diagonal/>
    </border>
    <border>
      <left style="thin">
        <color rgb="FFB7D7FF"/>
      </left>
      <right style="thin">
        <color rgb="FFB7D7FF"/>
      </right>
      <top/>
      <bottom style="thin">
        <color rgb="FFB7D7FF"/>
      </bottom>
      <diagonal/>
    </border>
    <border>
      <left style="thick">
        <color rgb="FF001F3F"/>
      </left>
      <right style="thick">
        <color rgb="FF001F3F"/>
      </right>
      <top style="thick">
        <color rgb="FF001F3F"/>
      </top>
      <bottom/>
      <diagonal/>
    </border>
    <border>
      <left style="medium">
        <color rgb="FF1F4E79"/>
      </left>
      <right/>
      <top style="medium">
        <color rgb="FF1F4E79"/>
      </top>
      <bottom style="medium">
        <color rgb="FF1F4E79"/>
      </bottom>
      <diagonal/>
    </border>
    <border>
      <left style="medium">
        <color rgb="FF198754"/>
      </left>
      <right style="medium">
        <color rgb="FF198754"/>
      </right>
      <top style="medium">
        <color rgb="FF198754"/>
      </top>
      <bottom style="medium">
        <color rgb="FF198754"/>
      </bottom>
      <diagonal/>
    </border>
    <border>
      <left style="medium">
        <color rgb="FF198754"/>
      </left>
      <right/>
      <top style="medium">
        <color rgb="FF198754"/>
      </top>
      <bottom style="medium">
        <color rgb="FF198754"/>
      </bottom>
      <diagonal/>
    </border>
    <border>
      <left style="medium">
        <color rgb="FFFFC107"/>
      </left>
      <right style="medium">
        <color rgb="FFFFC107"/>
      </right>
      <top style="medium">
        <color rgb="FFFFC107"/>
      </top>
      <bottom style="medium">
        <color rgb="FFFFC107"/>
      </bottom>
      <diagonal/>
    </border>
    <border>
      <left style="thin">
        <color rgb="FFB7D7FF"/>
      </left>
      <right style="thin">
        <color rgb="FFB7D7FF"/>
      </right>
      <top/>
      <bottom/>
      <diagonal/>
    </border>
    <border>
      <left style="medium">
        <color rgb="FF0D6EFD"/>
      </left>
      <right/>
      <top style="medium">
        <color rgb="FF0D6EFD"/>
      </top>
      <bottom style="medium">
        <color rgb="FF0D6EFD"/>
      </bottom>
      <diagonal/>
    </border>
    <border>
      <left style="thin">
        <color rgb="FF5B9BD5"/>
      </left>
      <right style="thin">
        <color rgb="FF5B9BD5"/>
      </right>
      <top style="thin">
        <color rgb="FF5B9BD5"/>
      </top>
      <bottom/>
      <diagonal/>
    </border>
    <border>
      <left style="medium">
        <color rgb="FF073763"/>
      </left>
      <right/>
      <top style="medium">
        <color rgb="FF073763"/>
      </top>
      <bottom style="medium">
        <color rgb="FF073763"/>
      </bottom>
      <diagonal/>
    </border>
    <border>
      <left style="medium">
        <color rgb="FF073763"/>
      </left>
      <right style="medium">
        <color rgb="FF073763"/>
      </right>
      <top style="medium">
        <color rgb="FF073763"/>
      </top>
      <bottom/>
      <diagonal/>
    </border>
    <border>
      <left style="thin">
        <color rgb="FF70AD47"/>
      </left>
      <right/>
      <top style="thin">
        <color rgb="FF70AD47"/>
      </top>
      <bottom style="thin">
        <color rgb="FF70AD47"/>
      </bottom>
      <diagonal/>
    </border>
    <border>
      <left style="thin">
        <color rgb="FFFFC000"/>
      </left>
      <right/>
      <top style="thin">
        <color rgb="FFFFC000"/>
      </top>
      <bottom style="thin">
        <color rgb="FFFFC000"/>
      </bottom>
      <diagonal/>
    </border>
    <border>
      <left style="thin">
        <color rgb="FFF4B183"/>
      </left>
      <right/>
      <top style="thin">
        <color rgb="FFF4B183"/>
      </top>
      <bottom style="thin">
        <color rgb="FFF4B183"/>
      </bottom>
      <diagonal/>
    </border>
    <border>
      <left style="medium">
        <color rgb="FF073763"/>
      </left>
      <right/>
      <top style="medium">
        <color rgb="FF073763"/>
      </top>
      <bottom/>
      <diagonal/>
    </border>
    <border>
      <left style="medium">
        <color rgb="FF4B1D70"/>
      </left>
      <right style="medium">
        <color rgb="FF4B1D70"/>
      </right>
      <top style="medium">
        <color rgb="FF4B1D70"/>
      </top>
      <bottom/>
      <diagonal/>
    </border>
    <border>
      <left style="thin">
        <color rgb="FF8E7CC3"/>
      </left>
      <right/>
      <top style="thin">
        <color rgb="FF8E7CC3"/>
      </top>
      <bottom style="thin">
        <color rgb="FF8E7CC3"/>
      </bottom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 style="thin">
        <color rgb="FF6AA84F"/>
      </left>
      <right/>
      <top style="thin">
        <color rgb="FF6AA84F"/>
      </top>
      <bottom style="thin">
        <color rgb="FF6AA84F"/>
      </bottom>
      <diagonal/>
    </border>
    <border>
      <left style="thin">
        <color rgb="FFE69138"/>
      </left>
      <right/>
      <top style="thin">
        <color rgb="FFE69138"/>
      </top>
      <bottom style="thin">
        <color rgb="FFE69138"/>
      </bottom>
      <diagonal/>
    </border>
    <border>
      <left style="thin">
        <color rgb="FF70AD47"/>
      </left>
      <right/>
      <top style="thin">
        <color rgb="FF70AD47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 style="thin">
        <color rgb="FFF4B183"/>
      </left>
      <right/>
      <top style="thin">
        <color rgb="FFF4B183"/>
      </top>
      <bottom/>
      <diagonal/>
    </border>
    <border>
      <left style="medium">
        <color rgb="FF1F4E79"/>
      </left>
      <right/>
      <top style="medium">
        <color rgb="FF1F4E79"/>
      </top>
      <bottom/>
      <diagonal/>
    </border>
    <border>
      <left style="thin">
        <color rgb="FF8E7CC3"/>
      </left>
      <right/>
      <top style="thin">
        <color rgb="FF8E7CC3"/>
      </top>
      <bottom/>
      <diagonal/>
    </border>
    <border>
      <left style="thin">
        <color rgb="FFC00000"/>
      </left>
      <right/>
      <top style="thin">
        <color rgb="FFC00000"/>
      </top>
      <bottom/>
      <diagonal/>
    </border>
    <border>
      <left style="thin">
        <color rgb="FF6AA84F"/>
      </left>
      <right/>
      <top style="thin">
        <color rgb="FF6AA84F"/>
      </top>
      <bottom/>
      <diagonal/>
    </border>
    <border>
      <left style="thin">
        <color rgb="FFE69138"/>
      </left>
      <right/>
      <top style="thin">
        <color rgb="FFE69138"/>
      </top>
      <bottom/>
      <diagonal/>
    </border>
    <border>
      <left style="thick">
        <color rgb="FF001F3F"/>
      </left>
      <right style="thick">
        <color rgb="FF001F3F"/>
      </right>
      <top style="thick">
        <color rgb="FF0B4F9C"/>
      </top>
      <bottom/>
      <diagonal/>
    </border>
    <border>
      <left style="thick">
        <color rgb="FF0B4F9C"/>
      </left>
      <right style="thick">
        <color rgb="FF001F3F"/>
      </right>
      <top style="thick">
        <color rgb="FF0B4F9C"/>
      </top>
      <bottom/>
      <diagonal/>
    </border>
    <border>
      <left style="thick">
        <color rgb="FF0B4F9C"/>
      </left>
      <right style="thick">
        <color rgb="FF001F3F"/>
      </right>
      <top style="thick">
        <color rgb="FF001F3F"/>
      </top>
      <bottom/>
      <diagonal/>
    </border>
    <border>
      <left style="thick">
        <color rgb="FF0B4F9C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ck">
        <color rgb="FF0B4F9C"/>
      </left>
      <right style="thin">
        <color rgb="FFB7D7FF"/>
      </right>
      <top/>
      <bottom/>
      <diagonal/>
    </border>
    <border>
      <left style="thick">
        <color rgb="FF0B4F9C"/>
      </left>
      <right style="medium">
        <color rgb="FF0D6EFD"/>
      </right>
      <top style="medium">
        <color rgb="FF0D6EFD"/>
      </top>
      <bottom style="medium">
        <color rgb="FF0D6EFD"/>
      </bottom>
      <diagonal/>
    </border>
    <border>
      <left style="thick">
        <color rgb="FF0B4F9C"/>
      </left>
      <right style="thin">
        <color rgb="FFB7D7FF"/>
      </right>
      <top/>
      <bottom style="thin">
        <color rgb="FFB7D7FF"/>
      </bottom>
      <diagonal/>
    </border>
    <border>
      <left style="thick">
        <color rgb="FF0B4F9C"/>
      </left>
      <right style="thin">
        <color rgb="FF5B9BD5"/>
      </right>
      <top style="thin">
        <color rgb="FF5B9BD5"/>
      </top>
      <bottom/>
      <diagonal/>
    </border>
    <border>
      <left style="thick">
        <color rgb="FF0B4F9C"/>
      </left>
      <right style="medium">
        <color rgb="FF073763"/>
      </right>
      <top style="medium">
        <color rgb="FF073763"/>
      </top>
      <bottom style="medium">
        <color rgb="FF073763"/>
      </bottom>
      <diagonal/>
    </border>
    <border>
      <left style="thick">
        <color rgb="FF0B4F9C"/>
      </left>
      <right style="medium">
        <color rgb="FF073763"/>
      </right>
      <top style="medium">
        <color rgb="FF073763"/>
      </top>
      <bottom/>
      <diagonal/>
    </border>
    <border>
      <left style="thick">
        <color rgb="FF0B4F9C"/>
      </left>
      <right/>
      <top style="thin">
        <color rgb="FF5B9BD5"/>
      </top>
      <bottom style="thin">
        <color rgb="FF5B9BD5"/>
      </bottom>
      <diagonal/>
    </border>
    <border>
      <left style="thick">
        <color rgb="FF0B4F9C"/>
      </left>
      <right/>
      <top style="thin">
        <color rgb="FF5B9BD5"/>
      </top>
      <bottom/>
      <diagonal/>
    </border>
    <border>
      <left style="thick">
        <color rgb="FF0B4F9C"/>
      </left>
      <right style="thick">
        <color rgb="FF001F3F"/>
      </right>
      <top style="thick">
        <color rgb="FF001F3F"/>
      </top>
      <bottom style="thick">
        <color rgb="FF001F3F"/>
      </bottom>
      <diagonal/>
    </border>
    <border>
      <left style="thick">
        <color rgb="FF001F3F"/>
      </left>
      <right style="thick">
        <color rgb="FF0B4F9C"/>
      </right>
      <top style="thick">
        <color rgb="FF0B4F9C"/>
      </top>
      <bottom/>
      <diagonal/>
    </border>
    <border>
      <left style="thick">
        <color rgb="FF001F3F"/>
      </left>
      <right style="thick">
        <color rgb="FF0B4F9C"/>
      </right>
      <top style="thick">
        <color rgb="FF001F3F"/>
      </top>
      <bottom style="thick">
        <color rgb="FF001F3F"/>
      </bottom>
      <diagonal/>
    </border>
    <border>
      <left style="thin">
        <color rgb="FFB7D7FF"/>
      </left>
      <right style="thick">
        <color rgb="FF0B4F9C"/>
      </right>
      <top/>
      <bottom style="thin">
        <color rgb="FFB7D7FF"/>
      </bottom>
      <diagonal/>
    </border>
    <border>
      <left style="thick">
        <color rgb="FF001F3F"/>
      </left>
      <right style="thick">
        <color rgb="FF0B4F9C"/>
      </right>
      <top style="thick">
        <color rgb="FF001F3F"/>
      </top>
      <bottom/>
      <diagonal/>
    </border>
    <border>
      <left style="thin">
        <color rgb="FF5B9BD5"/>
      </left>
      <right style="thick">
        <color rgb="FF0B4F9C"/>
      </right>
      <top style="thin">
        <color rgb="FF5B9BD5"/>
      </top>
      <bottom/>
      <diagonal/>
    </border>
    <border>
      <left style="medium">
        <color rgb="FF4B1D70"/>
      </left>
      <right style="thick">
        <color rgb="FF0B4F9C"/>
      </right>
      <top style="medium">
        <color rgb="FF4B1D70"/>
      </top>
      <bottom style="medium">
        <color rgb="FF4B1D70"/>
      </bottom>
      <diagonal/>
    </border>
    <border>
      <left style="medium">
        <color rgb="FF4B1D70"/>
      </left>
      <right style="thick">
        <color rgb="FF0B4F9C"/>
      </right>
      <top style="medium">
        <color rgb="FF4B1D70"/>
      </top>
      <bottom/>
      <diagonal/>
    </border>
    <border>
      <left style="medium">
        <color rgb="FF7030A0"/>
      </left>
      <right style="thick">
        <color rgb="FF0B4F9C"/>
      </right>
      <top style="medium">
        <color rgb="FF7030A0"/>
      </top>
      <bottom style="medium">
        <color rgb="FF7030A0"/>
      </bottom>
      <diagonal/>
    </border>
    <border>
      <left style="medium">
        <color rgb="FF7030A0"/>
      </left>
      <right style="thick">
        <color rgb="FF0B4F9C"/>
      </right>
      <top style="medium">
        <color rgb="FF7030A0"/>
      </top>
      <bottom/>
      <diagonal/>
    </border>
    <border>
      <left style="medium">
        <color rgb="FFDC3545"/>
      </left>
      <right/>
      <top style="medium">
        <color rgb="FFDC3545"/>
      </top>
      <bottom style="medium">
        <color rgb="FFDC3545"/>
      </bottom>
      <diagonal/>
    </border>
    <border>
      <left/>
      <right/>
      <top style="medium">
        <color rgb="FFDC3545"/>
      </top>
      <bottom style="medium">
        <color rgb="FFDC3545"/>
      </bottom>
      <diagonal/>
    </border>
    <border>
      <left/>
      <right style="thin">
        <color rgb="FFB7D7FF"/>
      </right>
      <top style="medium">
        <color rgb="FFDC3545"/>
      </top>
      <bottom style="medium">
        <color rgb="FFDC3545"/>
      </bottom>
      <diagonal/>
    </border>
    <border>
      <left style="thick">
        <color rgb="FF0B4F9C"/>
      </left>
      <right/>
      <top/>
      <bottom/>
      <diagonal/>
    </border>
    <border>
      <left/>
      <right style="thick">
        <color rgb="FF0B4F9C"/>
      </right>
      <top/>
      <bottom/>
      <diagonal/>
    </border>
    <border>
      <left style="thick">
        <color rgb="FF0B4F9C"/>
      </left>
      <right style="thick">
        <color rgb="FF001F3F"/>
      </right>
      <top style="thick">
        <color rgb="FF001F3F"/>
      </top>
      <bottom style="thick">
        <color rgb="FF0B4F9C"/>
      </bottom>
      <diagonal/>
    </border>
    <border>
      <left style="thick">
        <color rgb="FF001F3F"/>
      </left>
      <right style="thick">
        <color rgb="FF001F3F"/>
      </right>
      <top style="thick">
        <color rgb="FF001F3F"/>
      </top>
      <bottom style="thick">
        <color rgb="FF0B4F9C"/>
      </bottom>
      <diagonal/>
    </border>
    <border>
      <left style="thick">
        <color rgb="FF001F3F"/>
      </left>
      <right style="thick">
        <color rgb="FF0B4F9C"/>
      </right>
      <top style="thick">
        <color rgb="FF001F3F"/>
      </top>
      <bottom style="thick">
        <color rgb="FF0B4F9C"/>
      </bottom>
      <diagonal/>
    </border>
    <border>
      <left style="thin">
        <color rgb="FFB7D7FF"/>
      </left>
      <right style="thick">
        <color rgb="FF0B4F9C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ck">
        <color rgb="FF2F5597"/>
      </left>
      <right/>
      <top style="thick">
        <color rgb="FF2F5597"/>
      </top>
      <bottom style="thick">
        <color rgb="FF2F5597"/>
      </bottom>
      <diagonal/>
    </border>
    <border>
      <left style="thin">
        <color rgb="FF5B9BD5"/>
      </left>
      <right/>
      <top/>
      <bottom style="thin">
        <color rgb="FF5B9BD5"/>
      </bottom>
      <diagonal/>
    </border>
    <border>
      <left/>
      <right style="thin">
        <color rgb="FF5B9BD5"/>
      </right>
      <top style="thick">
        <color rgb="FF2F5597"/>
      </top>
      <bottom style="thick">
        <color rgb="FF2F5597"/>
      </bottom>
      <diagonal/>
    </border>
    <border>
      <left/>
      <right style="thin">
        <color rgb="FF5B9BD5"/>
      </right>
      <top/>
      <bottom style="thin">
        <color rgb="FF5B9BD5"/>
      </bottom>
      <diagonal/>
    </border>
    <border>
      <left/>
      <right style="thin">
        <color rgb="FF5B9BD5"/>
      </right>
      <top style="thin">
        <color rgb="FF5B9BD5"/>
      </top>
      <bottom style="thin">
        <color rgb="FF5B9BD5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ck">
        <color rgb="FF1F4E78"/>
      </left>
      <right style="thin">
        <color rgb="FF1F4E78"/>
      </right>
      <top style="thin">
        <color rgb="FF1F4E78"/>
      </top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ck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1D4ED8"/>
      </left>
      <right style="thick">
        <color rgb="FF1D4ED8"/>
      </right>
      <top style="thin">
        <color rgb="FF1D4ED8"/>
      </top>
      <bottom style="thin">
        <color rgb="FF1D4ED8"/>
      </bottom>
      <diagonal/>
    </border>
    <border>
      <left style="thick">
        <color rgb="FF1D4ED8"/>
      </left>
      <right style="thin">
        <color rgb="FF1D4ED8"/>
      </right>
      <top style="thin">
        <color rgb="FF1D4ED8"/>
      </top>
      <bottom style="thick">
        <color rgb="FF1D4ED8"/>
      </bottom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ck">
        <color rgb="FF1D4ED8"/>
      </bottom>
      <diagonal/>
    </border>
    <border>
      <left style="thin">
        <color rgb="FF1D4ED8"/>
      </left>
      <right style="thick">
        <color rgb="FF1D4ED8"/>
      </right>
      <top style="thin">
        <color rgb="FF1D4ED8"/>
      </top>
      <bottom style="thick">
        <color rgb="FF1D4ED8"/>
      </bottom>
      <diagonal/>
    </border>
    <border>
      <left/>
      <right/>
      <top style="thin">
        <color rgb="FF111827"/>
      </top>
      <bottom/>
      <diagonal/>
    </border>
    <border>
      <left/>
      <right/>
      <top/>
      <bottom style="thin">
        <color rgb="FF111827"/>
      </bottom>
      <diagonal/>
    </border>
    <border>
      <left style="thin">
        <color rgb="FF111827"/>
      </left>
      <right/>
      <top style="thin">
        <color rgb="FF111827"/>
      </top>
      <bottom/>
      <diagonal/>
    </border>
    <border>
      <left style="thin">
        <color rgb="FF111827"/>
      </left>
      <right/>
      <top/>
      <bottom style="thin">
        <color rgb="FF111827"/>
      </bottom>
      <diagonal/>
    </border>
    <border>
      <left/>
      <right style="thin">
        <color rgb="FF111827"/>
      </right>
      <top style="thin">
        <color rgb="FF111827"/>
      </top>
      <bottom/>
      <diagonal/>
    </border>
    <border>
      <left/>
      <right style="thin">
        <color rgb="FF111827"/>
      </right>
      <top/>
      <bottom style="thin">
        <color rgb="FF111827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7F3D0"/>
      </left>
      <right/>
      <top style="thin">
        <color rgb="FFA7F3D0"/>
      </top>
      <bottom style="thin">
        <color rgb="FFA7F3D0"/>
      </bottom>
      <diagonal/>
    </border>
    <border>
      <left/>
      <right/>
      <top style="thin">
        <color rgb="FFA7F3D0"/>
      </top>
      <bottom style="thin">
        <color rgb="FFA7F3D0"/>
      </bottom>
      <diagonal/>
    </border>
    <border>
      <left/>
      <right style="thin">
        <color rgb="FFA7F3D0"/>
      </right>
      <top style="thin">
        <color rgb="FFA7F3D0"/>
      </top>
      <bottom style="thin">
        <color rgb="FFA7F3D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thick">
        <color rgb="FF1D4ED8"/>
      </left>
      <right style="thin">
        <color rgb="FF1D4ED8"/>
      </right>
      <top style="thick">
        <color rgb="FF1D4ED8"/>
      </top>
      <bottom style="thin">
        <color rgb="FF1D4ED8"/>
      </bottom>
      <diagonal/>
    </border>
    <border>
      <left style="thin">
        <color rgb="FF1D4ED8"/>
      </left>
      <right style="thin">
        <color rgb="FF1D4ED8"/>
      </right>
      <top style="thick">
        <color rgb="FF1D4ED8"/>
      </top>
      <bottom style="thin">
        <color rgb="FF1D4ED8"/>
      </bottom>
      <diagonal/>
    </border>
    <border>
      <left style="thin">
        <color rgb="FF1D4ED8"/>
      </left>
      <right style="thick">
        <color rgb="FF1D4ED8"/>
      </right>
      <top style="thick">
        <color rgb="FF1D4ED8"/>
      </top>
      <bottom style="thin">
        <color rgb="FF1D4ED8"/>
      </bottom>
      <diagonal/>
    </border>
    <border>
      <left style="thin">
        <color rgb="FFB7D7FF"/>
      </left>
      <right/>
      <top/>
      <bottom/>
      <diagonal/>
    </border>
    <border>
      <left style="medium">
        <color rgb="FFFFC107"/>
      </left>
      <right/>
      <top style="medium">
        <color rgb="FFFFC107"/>
      </top>
      <bottom style="medium">
        <color rgb="FFFFC107"/>
      </bottom>
      <diagonal/>
    </border>
    <border>
      <left style="thin">
        <color rgb="FFB7D7FF"/>
      </left>
      <right/>
      <top style="medium">
        <color rgb="FFDC3545"/>
      </top>
      <bottom style="medium">
        <color rgb="FFDC3545"/>
      </bottom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/>
      <diagonal/>
    </border>
    <border>
      <left style="thin">
        <color rgb="FF1D4ED8"/>
      </left>
      <right/>
      <top style="thin">
        <color rgb="FF1D4ED8"/>
      </top>
      <bottom/>
      <diagonal/>
    </border>
  </borders>
  <cellStyleXfs count="2">
    <xf numFmtId="0" fontId="0" fillId="0" borderId="0"/>
    <xf numFmtId="0" fontId="5" fillId="0" borderId="0"/>
  </cellStyleXfs>
  <cellXfs count="50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29" fillId="0" borderId="0" xfId="0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7" fillId="0" borderId="0" xfId="0" applyFont="1"/>
    <xf numFmtId="0" fontId="38" fillId="0" borderId="0" xfId="0" applyFont="1" applyAlignment="1">
      <alignment horizontal="left" vertical="center"/>
    </xf>
    <xf numFmtId="39" fontId="28" fillId="12" borderId="21" xfId="0" applyNumberFormat="1" applyFont="1" applyFill="1" applyBorder="1" applyAlignment="1">
      <alignment horizontal="center" vertical="center"/>
    </xf>
    <xf numFmtId="39" fontId="28" fillId="12" borderId="19" xfId="0" applyNumberFormat="1" applyFont="1" applyFill="1" applyBorder="1" applyAlignment="1">
      <alignment horizontal="center" vertical="center"/>
    </xf>
    <xf numFmtId="4" fontId="26" fillId="10" borderId="21" xfId="0" applyNumberFormat="1" applyFont="1" applyFill="1" applyBorder="1" applyAlignment="1">
      <alignment horizontal="center" vertical="center"/>
    </xf>
    <xf numFmtId="4" fontId="28" fillId="12" borderId="21" xfId="0" applyNumberFormat="1" applyFont="1" applyFill="1" applyBorder="1" applyAlignment="1">
      <alignment horizontal="center" vertical="center"/>
    </xf>
    <xf numFmtId="4" fontId="26" fillId="10" borderId="19" xfId="0" applyNumberFormat="1" applyFont="1" applyFill="1" applyBorder="1" applyAlignment="1">
      <alignment horizontal="center" vertical="center"/>
    </xf>
    <xf numFmtId="4" fontId="28" fillId="12" borderId="19" xfId="0" applyNumberFormat="1" applyFont="1" applyFill="1" applyBorder="1" applyAlignment="1">
      <alignment horizontal="center" vertical="center"/>
    </xf>
    <xf numFmtId="4" fontId="23" fillId="12" borderId="21" xfId="0" applyNumberFormat="1" applyFont="1" applyFill="1" applyBorder="1" applyAlignment="1">
      <alignment horizontal="center" vertical="center"/>
    </xf>
    <xf numFmtId="4" fontId="23" fillId="12" borderId="19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4" fontId="25" fillId="10" borderId="21" xfId="0" applyNumberFormat="1" applyFont="1" applyFill="1" applyBorder="1" applyAlignment="1">
      <alignment horizontal="center" vertical="center"/>
    </xf>
    <xf numFmtId="4" fontId="25" fillId="10" borderId="1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3" fontId="22" fillId="12" borderId="21" xfId="0" applyNumberFormat="1" applyFont="1" applyFill="1" applyBorder="1" applyAlignment="1">
      <alignment horizontal="center" vertical="center"/>
    </xf>
    <xf numFmtId="3" fontId="22" fillId="12" borderId="19" xfId="0" applyNumberFormat="1" applyFont="1" applyFill="1" applyBorder="1" applyAlignment="1">
      <alignment horizontal="center" vertical="center"/>
    </xf>
    <xf numFmtId="3" fontId="30" fillId="12" borderId="21" xfId="0" applyNumberFormat="1" applyFont="1" applyFill="1" applyBorder="1" applyAlignment="1">
      <alignment horizontal="center" vertical="center"/>
    </xf>
    <xf numFmtId="3" fontId="30" fillId="12" borderId="19" xfId="0" applyNumberFormat="1" applyFont="1" applyFill="1" applyBorder="1" applyAlignment="1">
      <alignment horizontal="center" vertical="center"/>
    </xf>
    <xf numFmtId="0" fontId="34" fillId="10" borderId="21" xfId="0" applyFont="1" applyFill="1" applyBorder="1" applyAlignment="1">
      <alignment horizontal="center" vertical="center" wrapText="1"/>
    </xf>
    <xf numFmtId="0" fontId="34" fillId="10" borderId="19" xfId="0" applyFont="1" applyFill="1" applyBorder="1" applyAlignment="1">
      <alignment horizontal="center" vertical="center" wrapText="1"/>
    </xf>
    <xf numFmtId="0" fontId="33" fillId="10" borderId="21" xfId="0" applyFont="1" applyFill="1" applyBorder="1" applyAlignment="1">
      <alignment horizontal="center" vertical="center" wrapText="1"/>
    </xf>
    <xf numFmtId="0" fontId="33" fillId="10" borderId="19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3" fontId="28" fillId="12" borderId="21" xfId="0" applyNumberFormat="1" applyFont="1" applyFill="1" applyBorder="1" applyAlignment="1">
      <alignment horizontal="center" vertical="center"/>
    </xf>
    <xf numFmtId="3" fontId="28" fillId="12" borderId="19" xfId="0" applyNumberFormat="1" applyFont="1" applyFill="1" applyBorder="1" applyAlignment="1">
      <alignment horizontal="center" vertical="center"/>
    </xf>
    <xf numFmtId="0" fontId="46" fillId="6" borderId="0" xfId="0" applyFont="1" applyFill="1" applyAlignment="1">
      <alignment horizontal="center" vertical="center"/>
    </xf>
    <xf numFmtId="0" fontId="45" fillId="6" borderId="0" xfId="0" applyFont="1" applyFill="1" applyAlignment="1">
      <alignment horizontal="center" vertical="center"/>
    </xf>
    <xf numFmtId="17" fontId="44" fillId="5" borderId="33" xfId="0" applyNumberFormat="1" applyFont="1" applyFill="1" applyBorder="1" applyAlignment="1">
      <alignment horizontal="center" vertical="center"/>
    </xf>
    <xf numFmtId="0" fontId="40" fillId="9" borderId="19" xfId="0" applyFont="1" applyFill="1" applyBorder="1" applyAlignment="1">
      <alignment horizontal="center" vertical="center"/>
    </xf>
    <xf numFmtId="3" fontId="45" fillId="12" borderId="19" xfId="0" applyNumberFormat="1" applyFont="1" applyFill="1" applyBorder="1" applyAlignment="1">
      <alignment horizontal="center" vertical="center"/>
    </xf>
    <xf numFmtId="0" fontId="47" fillId="7" borderId="19" xfId="0" applyFont="1" applyFill="1" applyBorder="1" applyAlignment="1">
      <alignment horizontal="center" vertical="center"/>
    </xf>
    <xf numFmtId="3" fontId="47" fillId="7" borderId="19" xfId="0" applyNumberFormat="1" applyFont="1" applyFill="1" applyBorder="1" applyAlignment="1">
      <alignment horizontal="center" vertical="center"/>
    </xf>
    <xf numFmtId="0" fontId="48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11" fillId="13" borderId="29" xfId="0" applyFont="1" applyFill="1" applyBorder="1" applyAlignment="1">
      <alignment horizontal="center" vertical="center"/>
    </xf>
    <xf numFmtId="0" fontId="35" fillId="5" borderId="29" xfId="0" applyFont="1" applyFill="1" applyBorder="1" applyAlignment="1">
      <alignment horizontal="center" vertical="center"/>
    </xf>
    <xf numFmtId="3" fontId="46" fillId="6" borderId="11" xfId="0" applyNumberFormat="1" applyFont="1" applyFill="1" applyBorder="1" applyAlignment="1">
      <alignment horizontal="center" vertical="center"/>
    </xf>
    <xf numFmtId="3" fontId="47" fillId="7" borderId="11" xfId="0" applyNumberFormat="1" applyFont="1" applyFill="1" applyBorder="1" applyAlignment="1">
      <alignment horizontal="center" vertical="center"/>
    </xf>
    <xf numFmtId="3" fontId="46" fillId="6" borderId="9" xfId="0" applyNumberFormat="1" applyFont="1" applyFill="1" applyBorder="1" applyAlignment="1">
      <alignment horizontal="center" vertical="center"/>
    </xf>
    <xf numFmtId="3" fontId="47" fillId="7" borderId="9" xfId="0" applyNumberFormat="1" applyFont="1" applyFill="1" applyBorder="1" applyAlignment="1">
      <alignment horizontal="center" vertical="center"/>
    </xf>
    <xf numFmtId="3" fontId="46" fillId="6" borderId="12" xfId="0" applyNumberFormat="1" applyFont="1" applyFill="1" applyBorder="1" applyAlignment="1">
      <alignment horizontal="center" vertical="center"/>
    </xf>
    <xf numFmtId="3" fontId="47" fillId="7" borderId="12" xfId="0" applyNumberFormat="1" applyFont="1" applyFill="1" applyBorder="1" applyAlignment="1">
      <alignment horizontal="center" vertical="center"/>
    </xf>
    <xf numFmtId="0" fontId="21" fillId="9" borderId="31" xfId="0" applyFont="1" applyFill="1" applyBorder="1" applyAlignment="1">
      <alignment horizontal="center" vertical="center" wrapText="1"/>
    </xf>
    <xf numFmtId="3" fontId="46" fillId="12" borderId="11" xfId="0" applyNumberFormat="1" applyFont="1" applyFill="1" applyBorder="1" applyAlignment="1">
      <alignment horizontal="center" vertical="center"/>
    </xf>
    <xf numFmtId="3" fontId="46" fillId="12" borderId="9" xfId="0" applyNumberFormat="1" applyFont="1" applyFill="1" applyBorder="1" applyAlignment="1">
      <alignment horizontal="center" vertical="center"/>
    </xf>
    <xf numFmtId="3" fontId="46" fillId="12" borderId="12" xfId="0" applyNumberFormat="1" applyFont="1" applyFill="1" applyBorder="1" applyAlignment="1">
      <alignment horizontal="center" vertical="center"/>
    </xf>
    <xf numFmtId="0" fontId="52" fillId="13" borderId="30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3" fontId="43" fillId="10" borderId="11" xfId="0" applyNumberFormat="1" applyFont="1" applyFill="1" applyBorder="1" applyAlignment="1">
      <alignment horizontal="center" vertical="center"/>
    </xf>
    <xf numFmtId="3" fontId="43" fillId="10" borderId="9" xfId="0" applyNumberFormat="1" applyFont="1" applyFill="1" applyBorder="1" applyAlignment="1">
      <alignment horizontal="center" vertical="center"/>
    </xf>
    <xf numFmtId="3" fontId="43" fillId="10" borderId="12" xfId="0" applyNumberFormat="1" applyFont="1" applyFill="1" applyBorder="1" applyAlignment="1">
      <alignment horizontal="center" vertical="center"/>
    </xf>
    <xf numFmtId="0" fontId="42" fillId="6" borderId="0" xfId="0" applyFont="1" applyFill="1" applyAlignment="1">
      <alignment horizontal="center" vertical="center"/>
    </xf>
    <xf numFmtId="0" fontId="53" fillId="0" borderId="0" xfId="0" applyFont="1" applyAlignment="1">
      <alignment horizontal="center" vertical="center"/>
    </xf>
    <xf numFmtId="17" fontId="44" fillId="5" borderId="28" xfId="0" applyNumberFormat="1" applyFont="1" applyFill="1" applyBorder="1" applyAlignment="1">
      <alignment horizontal="center" vertical="center"/>
    </xf>
    <xf numFmtId="0" fontId="21" fillId="9" borderId="34" xfId="0" applyFont="1" applyFill="1" applyBorder="1" applyAlignment="1">
      <alignment horizontal="center" vertical="center" wrapText="1"/>
    </xf>
    <xf numFmtId="3" fontId="46" fillId="12" borderId="35" xfId="0" applyNumberFormat="1" applyFont="1" applyFill="1" applyBorder="1" applyAlignment="1">
      <alignment horizontal="center" vertical="center"/>
    </xf>
    <xf numFmtId="3" fontId="46" fillId="12" borderId="10" xfId="0" applyNumberFormat="1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0" fontId="35" fillId="5" borderId="2" xfId="0" applyFont="1" applyFill="1" applyBorder="1" applyAlignment="1">
      <alignment horizontal="center" vertical="center"/>
    </xf>
    <xf numFmtId="17" fontId="44" fillId="5" borderId="2" xfId="0" applyNumberFormat="1" applyFont="1" applyFill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 wrapText="1"/>
    </xf>
    <xf numFmtId="0" fontId="25" fillId="11" borderId="2" xfId="0" applyFont="1" applyFill="1" applyBorder="1" applyAlignment="1">
      <alignment horizontal="center" vertical="center"/>
    </xf>
    <xf numFmtId="3" fontId="13" fillId="6" borderId="2" xfId="0" applyNumberFormat="1" applyFont="1" applyFill="1" applyBorder="1" applyAlignment="1">
      <alignment horizontal="center" vertical="center"/>
    </xf>
    <xf numFmtId="3" fontId="47" fillId="7" borderId="2" xfId="0" applyNumberFormat="1" applyFont="1" applyFill="1" applyBorder="1" applyAlignment="1">
      <alignment horizontal="center" vertical="center"/>
    </xf>
    <xf numFmtId="3" fontId="46" fillId="12" borderId="2" xfId="0" applyNumberFormat="1" applyFont="1" applyFill="1" applyBorder="1" applyAlignment="1">
      <alignment horizontal="center" vertical="center"/>
    </xf>
    <xf numFmtId="3" fontId="45" fillId="6" borderId="2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0" fontId="25" fillId="11" borderId="3" xfId="0" applyFont="1" applyFill="1" applyBorder="1" applyAlignment="1">
      <alignment horizontal="center" vertical="center"/>
    </xf>
    <xf numFmtId="3" fontId="13" fillId="6" borderId="3" xfId="0" applyNumberFormat="1" applyFont="1" applyFill="1" applyBorder="1" applyAlignment="1">
      <alignment horizontal="center" vertical="center"/>
    </xf>
    <xf numFmtId="3" fontId="47" fillId="7" borderId="3" xfId="0" applyNumberFormat="1" applyFont="1" applyFill="1" applyBorder="1" applyAlignment="1">
      <alignment horizontal="center" vertical="center"/>
    </xf>
    <xf numFmtId="3" fontId="46" fillId="12" borderId="3" xfId="0" applyNumberFormat="1" applyFont="1" applyFill="1" applyBorder="1" applyAlignment="1">
      <alignment horizontal="center" vertical="center"/>
    </xf>
    <xf numFmtId="3" fontId="45" fillId="6" borderId="3" xfId="0" applyNumberFormat="1" applyFont="1" applyFill="1" applyBorder="1" applyAlignment="1">
      <alignment horizontal="center" vertical="center"/>
    </xf>
    <xf numFmtId="3" fontId="46" fillId="6" borderId="3" xfId="0" applyNumberFormat="1" applyFont="1" applyFill="1" applyBorder="1" applyAlignment="1">
      <alignment horizontal="center" vertical="center"/>
    </xf>
    <xf numFmtId="3" fontId="46" fillId="12" borderId="36" xfId="0" applyNumberFormat="1" applyFont="1" applyFill="1" applyBorder="1" applyAlignment="1">
      <alignment horizontal="center" vertical="center"/>
    </xf>
    <xf numFmtId="3" fontId="43" fillId="10" borderId="2" xfId="0" applyNumberFormat="1" applyFont="1" applyFill="1" applyBorder="1" applyAlignment="1">
      <alignment horizontal="center" vertical="center"/>
    </xf>
    <xf numFmtId="0" fontId="40" fillId="13" borderId="2" xfId="0" applyFont="1" applyFill="1" applyBorder="1" applyAlignment="1">
      <alignment horizontal="center" vertical="center"/>
    </xf>
    <xf numFmtId="3" fontId="40" fillId="13" borderId="2" xfId="0" applyNumberFormat="1" applyFont="1" applyFill="1" applyBorder="1" applyAlignment="1">
      <alignment horizontal="center" vertical="center"/>
    </xf>
    <xf numFmtId="3" fontId="41" fillId="13" borderId="2" xfId="0" applyNumberFormat="1" applyFont="1" applyFill="1" applyBorder="1" applyAlignment="1">
      <alignment horizontal="center" vertical="center"/>
    </xf>
    <xf numFmtId="0" fontId="59" fillId="16" borderId="41" xfId="0" applyFont="1" applyFill="1" applyBorder="1" applyAlignment="1">
      <alignment horizontal="center" vertical="center"/>
    </xf>
    <xf numFmtId="0" fontId="56" fillId="23" borderId="51" xfId="0" applyFont="1" applyFill="1" applyBorder="1" applyAlignment="1">
      <alignment horizontal="center" vertical="center"/>
    </xf>
    <xf numFmtId="0" fontId="56" fillId="23" borderId="55" xfId="0" applyFont="1" applyFill="1" applyBorder="1" applyAlignment="1">
      <alignment horizontal="center" vertical="center"/>
    </xf>
    <xf numFmtId="0" fontId="56" fillId="24" borderId="56" xfId="0" applyFont="1" applyFill="1" applyBorder="1" applyAlignment="1">
      <alignment horizontal="center" vertical="center"/>
    </xf>
    <xf numFmtId="167" fontId="55" fillId="17" borderId="37" xfId="0" applyNumberFormat="1" applyFont="1" applyFill="1" applyBorder="1" applyAlignment="1">
      <alignment horizontal="center" vertical="center"/>
    </xf>
    <xf numFmtId="0" fontId="59" fillId="16" borderId="75" xfId="0" applyFont="1" applyFill="1" applyBorder="1" applyAlignment="1">
      <alignment horizontal="center" vertical="center"/>
    </xf>
    <xf numFmtId="0" fontId="56" fillId="23" borderId="78" xfId="0" applyFont="1" applyFill="1" applyBorder="1" applyAlignment="1">
      <alignment horizontal="center" vertical="center"/>
    </xf>
    <xf numFmtId="0" fontId="65" fillId="14" borderId="79" xfId="0" applyNumberFormat="1" applyFont="1" applyFill="1" applyBorder="1" applyAlignment="1">
      <alignment horizontal="center" vertical="center"/>
    </xf>
    <xf numFmtId="0" fontId="65" fillId="14" borderId="80" xfId="0" applyNumberFormat="1" applyFont="1" applyFill="1" applyBorder="1" applyAlignment="1">
      <alignment horizontal="center" vertical="center"/>
    </xf>
    <xf numFmtId="167" fontId="55" fillId="17" borderId="81" xfId="0" applyNumberFormat="1" applyFont="1" applyFill="1" applyBorder="1" applyAlignment="1">
      <alignment horizontal="center" vertical="center"/>
    </xf>
    <xf numFmtId="0" fontId="59" fillId="16" borderId="84" xfId="0" applyFont="1" applyFill="1" applyBorder="1" applyAlignment="1">
      <alignment horizontal="center" vertical="center"/>
    </xf>
    <xf numFmtId="0" fontId="56" fillId="24" borderId="88" xfId="0" applyFont="1" applyFill="1" applyBorder="1" applyAlignment="1">
      <alignment horizontal="center" vertical="center"/>
    </xf>
    <xf numFmtId="167" fontId="55" fillId="17" borderId="83" xfId="0" applyNumberFormat="1" applyFont="1" applyFill="1" applyBorder="1" applyAlignment="1">
      <alignment horizontal="center" vertical="center"/>
    </xf>
    <xf numFmtId="167" fontId="57" fillId="30" borderId="89" xfId="0" applyNumberFormat="1" applyFont="1" applyFill="1" applyBorder="1" applyAlignment="1">
      <alignment horizontal="center" vertical="center"/>
    </xf>
    <xf numFmtId="167" fontId="57" fillId="30" borderId="90" xfId="0" applyNumberFormat="1" applyFont="1" applyFill="1" applyBorder="1" applyAlignment="1">
      <alignment horizontal="center" vertical="center"/>
    </xf>
    <xf numFmtId="167" fontId="74" fillId="25" borderId="43" xfId="0" applyNumberFormat="1" applyFont="1" applyFill="1" applyBorder="1" applyAlignment="1">
      <alignment horizontal="center" vertical="center"/>
    </xf>
    <xf numFmtId="167" fontId="74" fillId="25" borderId="64" xfId="0" applyNumberFormat="1" applyFont="1" applyFill="1" applyBorder="1" applyAlignment="1">
      <alignment horizontal="center" vertical="center"/>
    </xf>
    <xf numFmtId="167" fontId="75" fillId="15" borderId="20" xfId="0" applyNumberFormat="1" applyFont="1" applyFill="1" applyBorder="1" applyAlignment="1">
      <alignment horizontal="center" vertical="center"/>
    </xf>
    <xf numFmtId="167" fontId="75" fillId="7" borderId="52" xfId="0" applyNumberFormat="1" applyFont="1" applyFill="1" applyBorder="1" applyAlignment="1">
      <alignment horizontal="center" vertical="center"/>
    </xf>
    <xf numFmtId="167" fontId="75" fillId="10" borderId="53" xfId="0" applyNumberFormat="1" applyFont="1" applyFill="1" applyBorder="1" applyAlignment="1">
      <alignment horizontal="center" vertical="center"/>
    </xf>
    <xf numFmtId="167" fontId="75" fillId="8" borderId="54" xfId="0" applyNumberFormat="1" applyFont="1" applyFill="1" applyBorder="1" applyAlignment="1">
      <alignment horizontal="center" vertical="center"/>
    </xf>
    <xf numFmtId="167" fontId="75" fillId="15" borderId="27" xfId="0" applyNumberFormat="1" applyFont="1" applyFill="1" applyBorder="1" applyAlignment="1">
      <alignment horizontal="center" vertical="center"/>
    </xf>
    <xf numFmtId="167" fontId="75" fillId="7" borderId="61" xfId="0" applyNumberFormat="1" applyFont="1" applyFill="1" applyBorder="1" applyAlignment="1">
      <alignment horizontal="center" vertical="center"/>
    </xf>
    <xf numFmtId="167" fontId="75" fillId="10" borderId="62" xfId="0" applyNumberFormat="1" applyFont="1" applyFill="1" applyBorder="1" applyAlignment="1">
      <alignment horizontal="center" vertical="center"/>
    </xf>
    <xf numFmtId="167" fontId="75" fillId="8" borderId="63" xfId="0" applyNumberFormat="1" applyFont="1" applyFill="1" applyBorder="1" applyAlignment="1">
      <alignment horizontal="center" vertical="center"/>
    </xf>
    <xf numFmtId="167" fontId="75" fillId="26" borderId="57" xfId="0" applyNumberFormat="1" applyFont="1" applyFill="1" applyBorder="1" applyAlignment="1">
      <alignment horizontal="center" vertical="center"/>
    </xf>
    <xf numFmtId="167" fontId="75" fillId="27" borderId="58" xfId="0" applyNumberFormat="1" applyFont="1" applyFill="1" applyBorder="1" applyAlignment="1">
      <alignment horizontal="center" vertical="center"/>
    </xf>
    <xf numFmtId="167" fontId="75" fillId="28" borderId="59" xfId="0" applyNumberFormat="1" applyFont="1" applyFill="1" applyBorder="1" applyAlignment="1">
      <alignment horizontal="center" vertical="center"/>
    </xf>
    <xf numFmtId="167" fontId="75" fillId="29" borderId="60" xfId="0" applyNumberFormat="1" applyFont="1" applyFill="1" applyBorder="1" applyAlignment="1">
      <alignment horizontal="center" vertical="center"/>
    </xf>
    <xf numFmtId="167" fontId="75" fillId="26" borderId="65" xfId="0" applyNumberFormat="1" applyFont="1" applyFill="1" applyBorder="1" applyAlignment="1">
      <alignment horizontal="center" vertical="center"/>
    </xf>
    <xf numFmtId="167" fontId="75" fillId="27" borderId="66" xfId="0" applyNumberFormat="1" applyFont="1" applyFill="1" applyBorder="1" applyAlignment="1">
      <alignment horizontal="center" vertical="center"/>
    </xf>
    <xf numFmtId="167" fontId="75" fillId="28" borderId="67" xfId="0" applyNumberFormat="1" applyFont="1" applyFill="1" applyBorder="1" applyAlignment="1">
      <alignment horizontal="center" vertical="center"/>
    </xf>
    <xf numFmtId="167" fontId="75" fillId="29" borderId="68" xfId="0" applyNumberFormat="1" applyFont="1" applyFill="1" applyBorder="1" applyAlignment="1">
      <alignment horizontal="center" vertical="center"/>
    </xf>
    <xf numFmtId="0" fontId="59" fillId="16" borderId="73" xfId="0" applyFont="1" applyFill="1" applyBorder="1" applyAlignment="1">
      <alignment horizontal="center"/>
    </xf>
    <xf numFmtId="0" fontId="59" fillId="16" borderId="47" xfId="0" applyFont="1" applyFill="1" applyBorder="1" applyAlignment="1">
      <alignment horizontal="center"/>
    </xf>
    <xf numFmtId="0" fontId="59" fillId="16" borderId="99" xfId="0" applyFont="1" applyFill="1" applyBorder="1" applyAlignment="1">
      <alignment horizontal="center"/>
    </xf>
    <xf numFmtId="0" fontId="76" fillId="6" borderId="0" xfId="0" applyFont="1" applyFill="1"/>
    <xf numFmtId="0" fontId="76" fillId="6" borderId="0" xfId="0" applyFont="1" applyFill="1" applyAlignment="1">
      <alignment horizontal="center"/>
    </xf>
    <xf numFmtId="0" fontId="76" fillId="6" borderId="0" xfId="0" applyFont="1" applyFill="1" applyAlignment="1">
      <alignment vertical="center"/>
    </xf>
    <xf numFmtId="0" fontId="76" fillId="6" borderId="0" xfId="0" applyFont="1" applyFill="1" applyAlignment="1">
      <alignment horizontal="center" vertical="center"/>
    </xf>
    <xf numFmtId="0" fontId="21" fillId="37" borderId="100" xfId="0" applyFont="1" applyFill="1" applyBorder="1" applyAlignment="1">
      <alignment horizontal="center" vertical="center"/>
    </xf>
    <xf numFmtId="0" fontId="76" fillId="6" borderId="100" xfId="0" applyFont="1" applyFill="1" applyBorder="1" applyAlignment="1">
      <alignment horizontal="center" vertical="center"/>
    </xf>
    <xf numFmtId="169" fontId="76" fillId="6" borderId="100" xfId="0" applyNumberFormat="1" applyFont="1" applyFill="1" applyBorder="1" applyAlignment="1">
      <alignment horizontal="center" vertical="center"/>
    </xf>
    <xf numFmtId="0" fontId="79" fillId="6" borderId="100" xfId="0" applyFont="1" applyFill="1" applyBorder="1" applyAlignment="1">
      <alignment horizontal="center" vertical="center"/>
    </xf>
    <xf numFmtId="169" fontId="79" fillId="6" borderId="100" xfId="0" applyNumberFormat="1" applyFont="1" applyFill="1" applyBorder="1" applyAlignment="1">
      <alignment horizontal="center" vertical="center"/>
    </xf>
    <xf numFmtId="168" fontId="79" fillId="6" borderId="100" xfId="0" applyNumberFormat="1" applyFont="1" applyFill="1" applyBorder="1" applyAlignment="1">
      <alignment horizontal="center" vertical="center"/>
    </xf>
    <xf numFmtId="0" fontId="79" fillId="38" borderId="100" xfId="0" applyFont="1" applyFill="1" applyBorder="1" applyAlignment="1">
      <alignment horizontal="center" vertical="center"/>
    </xf>
    <xf numFmtId="1" fontId="76" fillId="6" borderId="100" xfId="0" applyNumberFormat="1" applyFont="1" applyFill="1" applyBorder="1" applyAlignment="1">
      <alignment horizontal="center" vertical="center"/>
    </xf>
    <xf numFmtId="0" fontId="78" fillId="39" borderId="100" xfId="0" applyFont="1" applyFill="1" applyBorder="1" applyAlignment="1">
      <alignment horizontal="center" vertical="center"/>
    </xf>
    <xf numFmtId="0" fontId="78" fillId="5" borderId="1" xfId="0" applyFont="1" applyFill="1" applyBorder="1" applyAlignment="1">
      <alignment horizontal="center" vertical="center"/>
    </xf>
    <xf numFmtId="169" fontId="10" fillId="35" borderId="1" xfId="0" applyNumberFormat="1" applyFont="1" applyFill="1" applyBorder="1" applyAlignment="1">
      <alignment horizontal="center" vertical="center"/>
    </xf>
    <xf numFmtId="0" fontId="10" fillId="35" borderId="1" xfId="0" applyFont="1" applyFill="1" applyBorder="1" applyAlignment="1">
      <alignment horizontal="center" vertical="center"/>
    </xf>
    <xf numFmtId="0" fontId="21" fillId="37" borderId="1" xfId="0" applyFont="1" applyFill="1" applyBorder="1" applyAlignment="1">
      <alignment horizontal="center" vertical="center"/>
    </xf>
    <xf numFmtId="0" fontId="78" fillId="6" borderId="1" xfId="0" applyFont="1" applyFill="1" applyBorder="1" applyAlignment="1">
      <alignment horizontal="center" vertical="center"/>
    </xf>
    <xf numFmtId="169" fontId="76" fillId="6" borderId="1" xfId="0" applyNumberFormat="1" applyFont="1" applyFill="1" applyBorder="1" applyAlignment="1">
      <alignment horizontal="center" vertical="center"/>
    </xf>
    <xf numFmtId="0" fontId="76" fillId="6" borderId="1" xfId="0" applyFont="1" applyFill="1" applyBorder="1" applyAlignment="1">
      <alignment horizontal="center" vertical="center"/>
    </xf>
    <xf numFmtId="168" fontId="76" fillId="6" borderId="1" xfId="0" applyNumberFormat="1" applyFont="1" applyFill="1" applyBorder="1" applyAlignment="1">
      <alignment horizontal="center" vertical="center"/>
    </xf>
    <xf numFmtId="0" fontId="78" fillId="38" borderId="1" xfId="0" applyFont="1" applyFill="1" applyBorder="1" applyAlignment="1">
      <alignment horizontal="center" vertical="center"/>
    </xf>
    <xf numFmtId="0" fontId="76" fillId="38" borderId="1" xfId="0" applyFont="1" applyFill="1" applyBorder="1" applyAlignment="1">
      <alignment horizontal="center" vertical="center"/>
    </xf>
    <xf numFmtId="0" fontId="76" fillId="39" borderId="1" xfId="0" applyFont="1" applyFill="1" applyBorder="1" applyAlignment="1">
      <alignment horizontal="center" vertical="center"/>
    </xf>
    <xf numFmtId="0" fontId="78" fillId="36" borderId="1" xfId="0" applyFont="1" applyFill="1" applyBorder="1" applyAlignment="1">
      <alignment horizontal="center" vertical="center"/>
    </xf>
    <xf numFmtId="0" fontId="76" fillId="36" borderId="1" xfId="0" applyFont="1" applyFill="1" applyBorder="1" applyAlignment="1">
      <alignment horizontal="center" vertical="center"/>
    </xf>
    <xf numFmtId="1" fontId="32" fillId="3" borderId="102" xfId="0" applyNumberFormat="1" applyFont="1" applyFill="1" applyBorder="1" applyAlignment="1">
      <alignment horizontal="center" vertical="center"/>
    </xf>
    <xf numFmtId="1" fontId="32" fillId="3" borderId="20" xfId="0" applyNumberFormat="1" applyFont="1" applyFill="1" applyBorder="1" applyAlignment="1">
      <alignment horizontal="center" vertical="center"/>
    </xf>
    <xf numFmtId="3" fontId="30" fillId="12" borderId="104" xfId="0" applyNumberFormat="1" applyFont="1" applyFill="1" applyBorder="1" applyAlignment="1">
      <alignment horizontal="center" vertical="center"/>
    </xf>
    <xf numFmtId="3" fontId="30" fillId="12" borderId="105" xfId="0" applyNumberFormat="1" applyFont="1" applyFill="1" applyBorder="1" applyAlignment="1">
      <alignment horizontal="center" vertical="center"/>
    </xf>
    <xf numFmtId="0" fontId="4" fillId="44" borderId="101" xfId="0" applyFont="1" applyFill="1" applyBorder="1" applyAlignment="1">
      <alignment horizontal="center" vertical="center" wrapText="1"/>
    </xf>
    <xf numFmtId="0" fontId="4" fillId="44" borderId="22" xfId="0" applyFont="1" applyFill="1" applyBorder="1" applyAlignment="1">
      <alignment horizontal="center" vertical="center" wrapText="1"/>
    </xf>
    <xf numFmtId="0" fontId="4" fillId="44" borderId="23" xfId="0" applyFont="1" applyFill="1" applyBorder="1" applyAlignment="1">
      <alignment horizontal="center" vertical="center" wrapText="1"/>
    </xf>
    <xf numFmtId="0" fontId="7" fillId="40" borderId="106" xfId="0" applyFont="1" applyFill="1" applyBorder="1" applyAlignment="1">
      <alignment horizontal="center" vertical="center"/>
    </xf>
    <xf numFmtId="0" fontId="7" fillId="41" borderId="106" xfId="0" applyFont="1" applyFill="1" applyBorder="1" applyAlignment="1">
      <alignment horizontal="left" vertical="center"/>
    </xf>
    <xf numFmtId="3" fontId="26" fillId="43" borderId="106" xfId="0" applyNumberFormat="1" applyFont="1" applyFill="1" applyBorder="1" applyAlignment="1">
      <alignment horizontal="center" vertical="center"/>
    </xf>
    <xf numFmtId="0" fontId="7" fillId="40" borderId="107" xfId="0" applyFont="1" applyFill="1" applyBorder="1" applyAlignment="1">
      <alignment horizontal="center" vertical="center"/>
    </xf>
    <xf numFmtId="0" fontId="7" fillId="41" borderId="107" xfId="0" applyFont="1" applyFill="1" applyBorder="1" applyAlignment="1">
      <alignment horizontal="left" vertical="center"/>
    </xf>
    <xf numFmtId="3" fontId="26" fillId="43" borderId="107" xfId="0" applyNumberFormat="1" applyFont="1" applyFill="1" applyBorder="1" applyAlignment="1">
      <alignment horizontal="center" vertical="center"/>
    </xf>
    <xf numFmtId="0" fontId="4" fillId="44" borderId="108" xfId="0" applyFont="1" applyFill="1" applyBorder="1" applyAlignment="1">
      <alignment horizontal="center" vertical="center" wrapText="1"/>
    </xf>
    <xf numFmtId="0" fontId="81" fillId="44" borderId="108" xfId="0" applyFont="1" applyFill="1" applyBorder="1" applyAlignment="1">
      <alignment horizontal="center" vertical="center" wrapText="1"/>
    </xf>
    <xf numFmtId="0" fontId="4" fillId="44" borderId="103" xfId="0" applyFont="1" applyFill="1" applyBorder="1" applyAlignment="1">
      <alignment horizontal="center" vertical="center" wrapText="1"/>
    </xf>
    <xf numFmtId="4" fontId="29" fillId="10" borderId="21" xfId="0" applyNumberFormat="1" applyFont="1" applyFill="1" applyBorder="1" applyAlignment="1">
      <alignment horizontal="center" vertical="center"/>
    </xf>
    <xf numFmtId="4" fontId="29" fillId="12" borderId="21" xfId="0" applyNumberFormat="1" applyFont="1" applyFill="1" applyBorder="1" applyAlignment="1">
      <alignment horizontal="center" vertical="center"/>
    </xf>
    <xf numFmtId="4" fontId="29" fillId="10" borderId="19" xfId="0" applyNumberFormat="1" applyFont="1" applyFill="1" applyBorder="1" applyAlignment="1">
      <alignment horizontal="center" vertical="center"/>
    </xf>
    <xf numFmtId="4" fontId="29" fillId="12" borderId="19" xfId="0" applyNumberFormat="1" applyFont="1" applyFill="1" applyBorder="1" applyAlignment="1">
      <alignment horizontal="center" vertical="center"/>
    </xf>
    <xf numFmtId="0" fontId="4" fillId="44" borderId="108" xfId="0" applyFont="1" applyFill="1" applyBorder="1" applyAlignment="1">
      <alignment horizontal="right" vertical="center" wrapText="1"/>
    </xf>
    <xf numFmtId="3" fontId="4" fillId="44" borderId="22" xfId="0" applyNumberFormat="1" applyFont="1" applyFill="1" applyBorder="1" applyAlignment="1">
      <alignment horizontal="center" vertical="center" wrapText="1"/>
    </xf>
    <xf numFmtId="0" fontId="4" fillId="44" borderId="108" xfId="0" applyFont="1" applyFill="1" applyBorder="1" applyAlignment="1">
      <alignment horizontal="center" vertical="center"/>
    </xf>
    <xf numFmtId="0" fontId="81" fillId="44" borderId="108" xfId="0" applyFont="1" applyFill="1" applyBorder="1" applyAlignment="1">
      <alignment horizontal="center" vertical="center"/>
    </xf>
    <xf numFmtId="1" fontId="32" fillId="6" borderId="102" xfId="0" applyNumberFormat="1" applyFont="1" applyFill="1" applyBorder="1" applyAlignment="1">
      <alignment horizontal="center" vertical="center"/>
    </xf>
    <xf numFmtId="1" fontId="32" fillId="6" borderId="20" xfId="0" applyNumberFormat="1" applyFont="1" applyFill="1" applyBorder="1" applyAlignment="1">
      <alignment horizontal="center" vertical="center"/>
    </xf>
    <xf numFmtId="39" fontId="28" fillId="12" borderId="104" xfId="0" applyNumberFormat="1" applyFont="1" applyFill="1" applyBorder="1" applyAlignment="1">
      <alignment horizontal="center" vertical="center"/>
    </xf>
    <xf numFmtId="39" fontId="28" fillId="12" borderId="105" xfId="0" applyNumberFormat="1" applyFont="1" applyFill="1" applyBorder="1" applyAlignment="1">
      <alignment horizontal="center" vertical="center"/>
    </xf>
    <xf numFmtId="0" fontId="32" fillId="40" borderId="106" xfId="0" applyFont="1" applyFill="1" applyBorder="1" applyAlignment="1">
      <alignment horizontal="center" vertical="center"/>
    </xf>
    <xf numFmtId="165" fontId="6" fillId="41" borderId="106" xfId="1" applyNumberFormat="1" applyFont="1" applyFill="1" applyBorder="1" applyAlignment="1">
      <alignment horizontal="left" vertical="center"/>
    </xf>
    <xf numFmtId="0" fontId="26" fillId="42" borderId="106" xfId="0" applyFont="1" applyFill="1" applyBorder="1" applyAlignment="1">
      <alignment horizontal="center" vertical="center"/>
    </xf>
    <xf numFmtId="39" fontId="34" fillId="43" borderId="106" xfId="0" applyNumberFormat="1" applyFont="1" applyFill="1" applyBorder="1" applyAlignment="1">
      <alignment horizontal="right" vertical="center"/>
    </xf>
    <xf numFmtId="0" fontId="37" fillId="41" borderId="106" xfId="0" applyFont="1" applyFill="1" applyBorder="1" applyAlignment="1">
      <alignment horizontal="left" vertical="center"/>
    </xf>
    <xf numFmtId="0" fontId="32" fillId="40" borderId="107" xfId="0" applyFont="1" applyFill="1" applyBorder="1" applyAlignment="1">
      <alignment horizontal="center" vertical="center"/>
    </xf>
    <xf numFmtId="165" fontId="6" fillId="41" borderId="107" xfId="1" applyNumberFormat="1" applyFont="1" applyFill="1" applyBorder="1" applyAlignment="1">
      <alignment horizontal="left" vertical="center"/>
    </xf>
    <xf numFmtId="0" fontId="26" fillId="42" borderId="107" xfId="0" applyFont="1" applyFill="1" applyBorder="1" applyAlignment="1">
      <alignment horizontal="center" vertical="center"/>
    </xf>
    <xf numFmtId="39" fontId="34" fillId="43" borderId="107" xfId="0" applyNumberFormat="1" applyFont="1" applyFill="1" applyBorder="1" applyAlignment="1">
      <alignment horizontal="right" vertical="center"/>
    </xf>
    <xf numFmtId="0" fontId="31" fillId="36" borderId="112" xfId="0" applyFont="1" applyFill="1" applyBorder="1" applyAlignment="1">
      <alignment horizontal="center" vertical="center"/>
    </xf>
    <xf numFmtId="15" fontId="30" fillId="40" borderId="106" xfId="0" applyNumberFormat="1" applyFont="1" applyFill="1" applyBorder="1" applyAlignment="1">
      <alignment horizontal="center" vertical="center"/>
    </xf>
    <xf numFmtId="0" fontId="31" fillId="40" borderId="106" xfId="0" applyFont="1" applyFill="1" applyBorder="1" applyAlignment="1">
      <alignment horizontal="center" vertical="center"/>
    </xf>
    <xf numFmtId="0" fontId="32" fillId="41" borderId="106" xfId="0" applyFont="1" applyFill="1" applyBorder="1" applyAlignment="1">
      <alignment horizontal="left" vertical="center"/>
    </xf>
    <xf numFmtId="0" fontId="31" fillId="42" borderId="106" xfId="0" applyFont="1" applyFill="1" applyBorder="1" applyAlignment="1">
      <alignment horizontal="center" vertical="center"/>
    </xf>
    <xf numFmtId="166" fontId="30" fillId="43" borderId="106" xfId="0" applyNumberFormat="1" applyFont="1" applyFill="1" applyBorder="1" applyAlignment="1">
      <alignment horizontal="center" vertical="center"/>
    </xf>
    <xf numFmtId="3" fontId="30" fillId="43" borderId="106" xfId="0" applyNumberFormat="1" applyFont="1" applyFill="1" applyBorder="1" applyAlignment="1">
      <alignment horizontal="center" vertical="center"/>
    </xf>
    <xf numFmtId="0" fontId="31" fillId="41" borderId="106" xfId="0" applyFont="1" applyFill="1" applyBorder="1" applyAlignment="1">
      <alignment horizontal="center" vertical="center" wrapText="1"/>
    </xf>
    <xf numFmtId="0" fontId="32" fillId="41" borderId="106" xfId="0" applyFont="1" applyFill="1" applyBorder="1" applyAlignment="1">
      <alignment horizontal="center" vertical="center"/>
    </xf>
    <xf numFmtId="0" fontId="32" fillId="40" borderId="106" xfId="0" applyFont="1" applyFill="1" applyBorder="1" applyAlignment="1">
      <alignment horizontal="center" vertical="center" wrapText="1"/>
    </xf>
    <xf numFmtId="4" fontId="32" fillId="43" borderId="106" xfId="0" applyNumberFormat="1" applyFont="1" applyFill="1" applyBorder="1" applyAlignment="1">
      <alignment horizontal="center" vertical="center"/>
    </xf>
    <xf numFmtId="4" fontId="28" fillId="43" borderId="113" xfId="0" applyNumberFormat="1" applyFont="1" applyFill="1" applyBorder="1" applyAlignment="1">
      <alignment horizontal="center" vertical="center"/>
    </xf>
    <xf numFmtId="0" fontId="31" fillId="42" borderId="106" xfId="0" applyNumberFormat="1" applyFont="1" applyFill="1" applyBorder="1" applyAlignment="1">
      <alignment horizontal="center" vertical="center"/>
    </xf>
    <xf numFmtId="0" fontId="31" fillId="36" borderId="114" xfId="0" applyFont="1" applyFill="1" applyBorder="1" applyAlignment="1">
      <alignment horizontal="center" vertical="center"/>
    </xf>
    <xf numFmtId="15" fontId="30" fillId="40" borderId="115" xfId="0" applyNumberFormat="1" applyFont="1" applyFill="1" applyBorder="1" applyAlignment="1">
      <alignment horizontal="center" vertical="center"/>
    </xf>
    <xf numFmtId="0" fontId="31" fillId="40" borderId="115" xfId="0" applyFont="1" applyFill="1" applyBorder="1" applyAlignment="1">
      <alignment horizontal="center" vertical="center"/>
    </xf>
    <xf numFmtId="0" fontId="31" fillId="42" borderId="115" xfId="0" applyNumberFormat="1" applyFont="1" applyFill="1" applyBorder="1" applyAlignment="1">
      <alignment horizontal="center" vertical="center"/>
    </xf>
    <xf numFmtId="166" fontId="30" fillId="43" borderId="115" xfId="0" applyNumberFormat="1" applyFont="1" applyFill="1" applyBorder="1" applyAlignment="1">
      <alignment horizontal="center" vertical="center"/>
    </xf>
    <xf numFmtId="3" fontId="30" fillId="43" borderId="115" xfId="0" applyNumberFormat="1" applyFont="1" applyFill="1" applyBorder="1" applyAlignment="1">
      <alignment horizontal="center" vertical="center"/>
    </xf>
    <xf numFmtId="0" fontId="31" fillId="41" borderId="115" xfId="0" applyFont="1" applyFill="1" applyBorder="1" applyAlignment="1">
      <alignment horizontal="center" vertical="center" wrapText="1"/>
    </xf>
    <xf numFmtId="0" fontId="32" fillId="41" borderId="115" xfId="0" applyFont="1" applyFill="1" applyBorder="1" applyAlignment="1">
      <alignment horizontal="center" vertical="center"/>
    </xf>
    <xf numFmtId="0" fontId="32" fillId="40" borderId="115" xfId="0" applyFont="1" applyFill="1" applyBorder="1" applyAlignment="1">
      <alignment horizontal="center" vertical="center" wrapText="1"/>
    </xf>
    <xf numFmtId="0" fontId="32" fillId="40" borderId="115" xfId="0" applyFont="1" applyFill="1" applyBorder="1" applyAlignment="1">
      <alignment horizontal="center" vertical="center"/>
    </xf>
    <xf numFmtId="4" fontId="32" fillId="43" borderId="115" xfId="0" applyNumberFormat="1" applyFont="1" applyFill="1" applyBorder="1" applyAlignment="1">
      <alignment horizontal="center" vertical="center"/>
    </xf>
    <xf numFmtId="4" fontId="28" fillId="43" borderId="109" xfId="0" applyNumberFormat="1" applyFont="1" applyFill="1" applyBorder="1" applyAlignment="1">
      <alignment horizontal="center" vertical="center"/>
    </xf>
    <xf numFmtId="0" fontId="31" fillId="36" borderId="110" xfId="0" applyFont="1" applyFill="1" applyBorder="1" applyAlignment="1">
      <alignment horizontal="center" vertical="center"/>
    </xf>
    <xf numFmtId="15" fontId="30" fillId="40" borderId="107" xfId="0" applyNumberFormat="1" applyFont="1" applyFill="1" applyBorder="1" applyAlignment="1">
      <alignment horizontal="center" vertical="center"/>
    </xf>
    <xf numFmtId="0" fontId="31" fillId="40" borderId="107" xfId="0" applyFont="1" applyFill="1" applyBorder="1" applyAlignment="1">
      <alignment horizontal="center" vertical="center"/>
    </xf>
    <xf numFmtId="0" fontId="32" fillId="41" borderId="107" xfId="0" applyFont="1" applyFill="1" applyBorder="1" applyAlignment="1">
      <alignment horizontal="left" vertical="center"/>
    </xf>
    <xf numFmtId="0" fontId="31" fillId="42" borderId="107" xfId="0" applyFont="1" applyFill="1" applyBorder="1" applyAlignment="1">
      <alignment horizontal="center" vertical="center"/>
    </xf>
    <xf numFmtId="166" fontId="30" fillId="43" borderId="107" xfId="0" applyNumberFormat="1" applyFont="1" applyFill="1" applyBorder="1" applyAlignment="1">
      <alignment horizontal="center" vertical="center"/>
    </xf>
    <xf numFmtId="3" fontId="30" fillId="43" borderId="107" xfId="0" applyNumberFormat="1" applyFont="1" applyFill="1" applyBorder="1" applyAlignment="1">
      <alignment horizontal="center" vertical="center"/>
    </xf>
    <xf numFmtId="0" fontId="31" fillId="41" borderId="107" xfId="0" applyFont="1" applyFill="1" applyBorder="1" applyAlignment="1">
      <alignment horizontal="center" vertical="center" wrapText="1"/>
    </xf>
    <xf numFmtId="0" fontId="32" fillId="41" borderId="107" xfId="0" applyFont="1" applyFill="1" applyBorder="1" applyAlignment="1">
      <alignment horizontal="center" vertical="center"/>
    </xf>
    <xf numFmtId="0" fontId="32" fillId="40" borderId="107" xfId="0" applyFont="1" applyFill="1" applyBorder="1" applyAlignment="1">
      <alignment horizontal="center" vertical="center" wrapText="1"/>
    </xf>
    <xf numFmtId="4" fontId="32" fillId="43" borderId="107" xfId="0" applyNumberFormat="1" applyFont="1" applyFill="1" applyBorder="1" applyAlignment="1">
      <alignment horizontal="center" vertical="center"/>
    </xf>
    <xf numFmtId="4" fontId="28" fillId="43" borderId="111" xfId="0" applyNumberFormat="1" applyFont="1" applyFill="1" applyBorder="1" applyAlignment="1">
      <alignment horizontal="center" vertical="center"/>
    </xf>
    <xf numFmtId="164" fontId="81" fillId="44" borderId="108" xfId="0" applyNumberFormat="1" applyFont="1" applyFill="1" applyBorder="1" applyAlignment="1">
      <alignment horizontal="center" vertical="center" wrapText="1"/>
    </xf>
    <xf numFmtId="3" fontId="81" fillId="44" borderId="108" xfId="0" applyNumberFormat="1" applyFont="1" applyFill="1" applyBorder="1" applyAlignment="1">
      <alignment horizontal="center" vertical="center" wrapText="1"/>
    </xf>
    <xf numFmtId="0" fontId="35" fillId="42" borderId="107" xfId="0" applyFont="1" applyFill="1" applyBorder="1" applyAlignment="1">
      <alignment horizontal="center" vertical="center"/>
    </xf>
    <xf numFmtId="0" fontId="35" fillId="42" borderId="106" xfId="0" applyFont="1" applyFill="1" applyBorder="1" applyAlignment="1">
      <alignment horizontal="center" vertical="center"/>
    </xf>
    <xf numFmtId="0" fontId="35" fillId="42" borderId="115" xfId="0" applyFont="1" applyFill="1" applyBorder="1" applyAlignment="1">
      <alignment horizontal="center" vertical="center"/>
    </xf>
    <xf numFmtId="166" fontId="81" fillId="44" borderId="108" xfId="0" applyNumberFormat="1" applyFont="1" applyFill="1" applyBorder="1" applyAlignment="1">
      <alignment horizontal="center" vertical="center" wrapText="1"/>
    </xf>
    <xf numFmtId="0" fontId="14" fillId="41" borderId="106" xfId="0" applyFont="1" applyFill="1" applyBorder="1" applyAlignment="1">
      <alignment horizontal="left" vertical="center"/>
    </xf>
    <xf numFmtId="0" fontId="17" fillId="42" borderId="106" xfId="0" applyFont="1" applyFill="1" applyBorder="1" applyAlignment="1">
      <alignment horizontal="center" vertical="center"/>
    </xf>
    <xf numFmtId="3" fontId="3" fillId="43" borderId="106" xfId="0" applyNumberFormat="1" applyFont="1" applyFill="1" applyBorder="1" applyAlignment="1">
      <alignment horizontal="center" vertical="center"/>
    </xf>
    <xf numFmtId="4" fontId="3" fillId="43" borderId="106" xfId="0" applyNumberFormat="1" applyFont="1" applyFill="1" applyBorder="1" applyAlignment="1">
      <alignment horizontal="center" vertical="center"/>
    </xf>
    <xf numFmtId="0" fontId="14" fillId="40" borderId="106" xfId="0" applyFont="1" applyFill="1" applyBorder="1" applyAlignment="1">
      <alignment horizontal="center" vertical="center"/>
    </xf>
    <xf numFmtId="0" fontId="18" fillId="42" borderId="106" xfId="0" applyFont="1" applyFill="1" applyBorder="1" applyAlignment="1">
      <alignment horizontal="center" vertical="center"/>
    </xf>
    <xf numFmtId="0" fontId="19" fillId="42" borderId="106" xfId="0" applyFont="1" applyFill="1" applyBorder="1" applyAlignment="1">
      <alignment horizontal="center" vertical="center"/>
    </xf>
    <xf numFmtId="0" fontId="3" fillId="40" borderId="106" xfId="0" applyFont="1" applyFill="1" applyBorder="1" applyAlignment="1">
      <alignment horizontal="center" vertical="center"/>
    </xf>
    <xf numFmtId="0" fontId="0" fillId="41" borderId="106" xfId="0" applyFont="1" applyFill="1" applyBorder="1" applyAlignment="1">
      <alignment horizontal="left" vertical="center"/>
    </xf>
    <xf numFmtId="0" fontId="15" fillId="42" borderId="106" xfId="0" applyFont="1" applyFill="1" applyBorder="1" applyAlignment="1">
      <alignment horizontal="center" vertical="center"/>
    </xf>
    <xf numFmtId="0" fontId="1" fillId="43" borderId="106" xfId="0" applyFont="1" applyFill="1" applyBorder="1" applyAlignment="1">
      <alignment horizontal="center" vertical="center"/>
    </xf>
    <xf numFmtId="0" fontId="0" fillId="40" borderId="106" xfId="0" applyFont="1" applyFill="1" applyBorder="1" applyAlignment="1">
      <alignment horizontal="center" vertical="center"/>
    </xf>
    <xf numFmtId="0" fontId="80" fillId="44" borderId="108" xfId="0" applyFont="1" applyFill="1" applyBorder="1" applyAlignment="1">
      <alignment horizontal="center" vertical="center" wrapText="1"/>
    </xf>
    <xf numFmtId="170" fontId="3" fillId="40" borderId="106" xfId="0" applyNumberFormat="1" applyFont="1" applyFill="1" applyBorder="1" applyAlignment="1">
      <alignment horizontal="center" vertical="center"/>
    </xf>
    <xf numFmtId="0" fontId="14" fillId="42" borderId="106" xfId="0" applyFont="1" applyFill="1" applyBorder="1" applyAlignment="1">
      <alignment horizontal="center" vertical="center"/>
    </xf>
    <xf numFmtId="0" fontId="76" fillId="36" borderId="0" xfId="0" applyFont="1" applyFill="1" applyAlignment="1">
      <alignment vertical="center"/>
    </xf>
    <xf numFmtId="0" fontId="80" fillId="44" borderId="117" xfId="0" applyNumberFormat="1" applyFont="1" applyFill="1" applyBorder="1" applyAlignment="1">
      <alignment horizontal="center" vertical="center"/>
    </xf>
    <xf numFmtId="0" fontId="9" fillId="42" borderId="117" xfId="0" applyNumberFormat="1" applyFont="1" applyFill="1" applyBorder="1" applyAlignment="1">
      <alignment horizontal="center" vertical="center"/>
    </xf>
    <xf numFmtId="0" fontId="9" fillId="48" borderId="117" xfId="0" applyNumberFormat="1" applyFont="1" applyFill="1" applyBorder="1" applyAlignment="1">
      <alignment horizontal="center" vertical="center"/>
    </xf>
    <xf numFmtId="0" fontId="9" fillId="43" borderId="117" xfId="0" applyNumberFormat="1" applyFont="1" applyFill="1" applyBorder="1" applyAlignment="1">
      <alignment horizontal="center" vertical="center"/>
    </xf>
    <xf numFmtId="0" fontId="9" fillId="49" borderId="117" xfId="0" applyNumberFormat="1" applyFont="1" applyFill="1" applyBorder="1" applyAlignment="1">
      <alignment horizontal="center" vertical="center"/>
    </xf>
    <xf numFmtId="0" fontId="9" fillId="52" borderId="117" xfId="0" applyNumberFormat="1" applyFont="1" applyFill="1" applyBorder="1" applyAlignment="1">
      <alignment horizontal="center" vertical="center"/>
    </xf>
    <xf numFmtId="0" fontId="9" fillId="53" borderId="117" xfId="0" applyNumberFormat="1" applyFont="1" applyFill="1" applyBorder="1" applyAlignment="1">
      <alignment horizontal="center" vertical="center"/>
    </xf>
    <xf numFmtId="0" fontId="9" fillId="54" borderId="117" xfId="0" applyNumberFormat="1" applyFont="1" applyFill="1" applyBorder="1" applyAlignment="1">
      <alignment horizontal="center" vertical="center"/>
    </xf>
    <xf numFmtId="0" fontId="9" fillId="55" borderId="117" xfId="0" applyNumberFormat="1" applyFont="1" applyFill="1" applyBorder="1" applyAlignment="1">
      <alignment horizontal="center" vertical="center"/>
    </xf>
    <xf numFmtId="0" fontId="10" fillId="42" borderId="117" xfId="0" applyNumberFormat="1" applyFont="1" applyFill="1" applyBorder="1" applyAlignment="1">
      <alignment horizontal="center" vertical="center"/>
    </xf>
    <xf numFmtId="0" fontId="10" fillId="52" borderId="117" xfId="0" applyNumberFormat="1" applyFont="1" applyFill="1" applyBorder="1" applyAlignment="1">
      <alignment horizontal="center" vertical="center"/>
    </xf>
    <xf numFmtId="0" fontId="10" fillId="49" borderId="117" xfId="0" applyNumberFormat="1" applyFont="1" applyFill="1" applyBorder="1" applyAlignment="1">
      <alignment horizontal="center" vertical="center"/>
    </xf>
    <xf numFmtId="0" fontId="10" fillId="55" borderId="117" xfId="0" applyNumberFormat="1" applyFont="1" applyFill="1" applyBorder="1" applyAlignment="1">
      <alignment horizontal="center" vertical="center"/>
    </xf>
    <xf numFmtId="0" fontId="25" fillId="42" borderId="107" xfId="0" applyFont="1" applyFill="1" applyBorder="1" applyAlignment="1">
      <alignment horizontal="center" vertical="center"/>
    </xf>
    <xf numFmtId="0" fontId="25" fillId="42" borderId="106" xfId="0" applyFont="1" applyFill="1" applyBorder="1" applyAlignment="1">
      <alignment horizontal="center" vertical="center"/>
    </xf>
    <xf numFmtId="3" fontId="29" fillId="43" borderId="107" xfId="0" applyNumberFormat="1" applyFont="1" applyFill="1" applyBorder="1" applyAlignment="1">
      <alignment horizontal="center" vertical="center"/>
    </xf>
    <xf numFmtId="3" fontId="29" fillId="43" borderId="106" xfId="0" applyNumberFormat="1" applyFont="1" applyFill="1" applyBorder="1" applyAlignment="1">
      <alignment horizontal="center" vertical="center"/>
    </xf>
    <xf numFmtId="3" fontId="28" fillId="12" borderId="104" xfId="0" applyNumberFormat="1" applyFont="1" applyFill="1" applyBorder="1" applyAlignment="1">
      <alignment horizontal="center" vertical="center"/>
    </xf>
    <xf numFmtId="3" fontId="28" fillId="12" borderId="105" xfId="0" applyNumberFormat="1" applyFont="1" applyFill="1" applyBorder="1" applyAlignment="1">
      <alignment horizontal="center" vertical="center"/>
    </xf>
    <xf numFmtId="0" fontId="13" fillId="42" borderId="107" xfId="0" applyFont="1" applyFill="1" applyBorder="1" applyAlignment="1">
      <alignment horizontal="center" vertical="center"/>
    </xf>
    <xf numFmtId="0" fontId="13" fillId="42" borderId="106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0" fillId="44" borderId="118" xfId="0" applyNumberFormat="1" applyFont="1" applyFill="1" applyBorder="1" applyAlignment="1">
      <alignment horizontal="center" vertical="center"/>
    </xf>
    <xf numFmtId="0" fontId="80" fillId="44" borderId="119" xfId="0" applyNumberFormat="1" applyFont="1" applyFill="1" applyBorder="1" applyAlignment="1">
      <alignment horizontal="center" vertical="center"/>
    </xf>
    <xf numFmtId="0" fontId="10" fillId="40" borderId="118" xfId="0" applyNumberFormat="1" applyFont="1" applyFill="1" applyBorder="1" applyAlignment="1">
      <alignment horizontal="center" vertical="center"/>
    </xf>
    <xf numFmtId="0" fontId="9" fillId="50" borderId="119" xfId="0" applyNumberFormat="1" applyFont="1" applyFill="1" applyBorder="1" applyAlignment="1">
      <alignment horizontal="center" vertical="center"/>
    </xf>
    <xf numFmtId="0" fontId="10" fillId="51" borderId="118" xfId="0" applyNumberFormat="1" applyFont="1" applyFill="1" applyBorder="1" applyAlignment="1">
      <alignment horizontal="center" vertical="center"/>
    </xf>
    <xf numFmtId="0" fontId="9" fillId="56" borderId="119" xfId="0" applyNumberFormat="1" applyFont="1" applyFill="1" applyBorder="1" applyAlignment="1">
      <alignment horizontal="center" vertical="center"/>
    </xf>
    <xf numFmtId="0" fontId="10" fillId="38" borderId="120" xfId="0" applyNumberFormat="1" applyFont="1" applyFill="1" applyBorder="1" applyAlignment="1">
      <alignment horizontal="center" vertical="center"/>
    </xf>
    <xf numFmtId="0" fontId="10" fillId="38" borderId="121" xfId="0" applyNumberFormat="1" applyFont="1" applyFill="1" applyBorder="1" applyAlignment="1">
      <alignment horizontal="center" vertical="center"/>
    </xf>
    <xf numFmtId="0" fontId="10" fillId="38" borderId="122" xfId="0" applyNumberFormat="1" applyFont="1" applyFill="1" applyBorder="1" applyAlignment="1">
      <alignment horizontal="center" vertical="center"/>
    </xf>
    <xf numFmtId="169" fontId="76" fillId="6" borderId="0" xfId="0" applyNumberFormat="1" applyFont="1" applyFill="1" applyBorder="1" applyAlignment="1">
      <alignment horizontal="center" vertical="center"/>
    </xf>
    <xf numFmtId="0" fontId="17" fillId="32" borderId="0" xfId="0" applyFont="1" applyFill="1" applyBorder="1" applyAlignment="1">
      <alignment horizontal="center" vertical="center"/>
    </xf>
    <xf numFmtId="39" fontId="89" fillId="43" borderId="106" xfId="0" applyNumberFormat="1" applyFont="1" applyFill="1" applyBorder="1" applyAlignment="1">
      <alignment horizontal="right" vertical="center"/>
    </xf>
    <xf numFmtId="39" fontId="36" fillId="12" borderId="19" xfId="0" applyNumberFormat="1" applyFont="1" applyFill="1" applyBorder="1" applyAlignment="1">
      <alignment horizontal="center" vertical="center"/>
    </xf>
    <xf numFmtId="0" fontId="89" fillId="0" borderId="0" xfId="0" applyFont="1"/>
    <xf numFmtId="1" fontId="37" fillId="6" borderId="20" xfId="0" applyNumberFormat="1" applyFont="1" applyFill="1" applyBorder="1" applyAlignment="1">
      <alignment horizontal="center" vertical="center"/>
    </xf>
    <xf numFmtId="0" fontId="37" fillId="40" borderId="106" xfId="0" applyFont="1" applyFill="1" applyBorder="1" applyAlignment="1">
      <alignment horizontal="center" vertical="center"/>
    </xf>
    <xf numFmtId="0" fontId="90" fillId="42" borderId="106" xfId="0" applyFont="1" applyFill="1" applyBorder="1" applyAlignment="1">
      <alignment horizontal="center" vertical="center"/>
    </xf>
    <xf numFmtId="39" fontId="29" fillId="12" borderId="105" xfId="0" applyNumberFormat="1" applyFont="1" applyFill="1" applyBorder="1" applyAlignment="1">
      <alignment horizontal="center" vertical="center"/>
    </xf>
    <xf numFmtId="39" fontId="29" fillId="12" borderId="19" xfId="0" applyNumberFormat="1" applyFont="1" applyFill="1" applyBorder="1" applyAlignment="1">
      <alignment horizontal="center" vertical="center"/>
    </xf>
    <xf numFmtId="4" fontId="90" fillId="10" borderId="19" xfId="0" applyNumberFormat="1" applyFont="1" applyFill="1" applyBorder="1" applyAlignment="1">
      <alignment horizontal="center" vertical="center"/>
    </xf>
    <xf numFmtId="0" fontId="80" fillId="59" borderId="1" xfId="0" applyNumberFormat="1" applyFont="1" applyFill="1" applyBorder="1" applyAlignment="1">
      <alignment horizontal="center" vertical="center"/>
    </xf>
    <xf numFmtId="0" fontId="21" fillId="63" borderId="1" xfId="0" applyNumberFormat="1" applyFont="1" applyFill="1" applyBorder="1" applyAlignment="1">
      <alignment horizontal="center" vertical="center"/>
    </xf>
    <xf numFmtId="0" fontId="86" fillId="50" borderId="1" xfId="0" applyNumberFormat="1" applyFont="1" applyFill="1" applyBorder="1" applyAlignment="1">
      <alignment horizontal="center" vertical="center"/>
    </xf>
    <xf numFmtId="0" fontId="85" fillId="61" borderId="1" xfId="0" applyNumberFormat="1" applyFont="1" applyFill="1" applyBorder="1" applyAlignment="1">
      <alignment horizontal="center" vertical="center"/>
    </xf>
    <xf numFmtId="167" fontId="86" fillId="50" borderId="1" xfId="0" applyNumberFormat="1" applyFont="1" applyFill="1" applyBorder="1" applyAlignment="1">
      <alignment horizontal="center" vertical="center"/>
    </xf>
    <xf numFmtId="0" fontId="4" fillId="32" borderId="0" xfId="0" applyNumberFormat="1" applyFont="1" applyFill="1" applyBorder="1" applyAlignment="1">
      <alignment horizontal="center" vertical="center" wrapText="1"/>
    </xf>
    <xf numFmtId="168" fontId="4" fillId="32" borderId="0" xfId="0" applyNumberFormat="1" applyFont="1" applyFill="1" applyBorder="1" applyAlignment="1">
      <alignment horizontal="center" vertical="center"/>
    </xf>
    <xf numFmtId="0" fontId="76" fillId="6" borderId="1" xfId="0" applyNumberFormat="1" applyFont="1" applyFill="1" applyBorder="1" applyAlignment="1">
      <alignment horizontal="center" vertical="center"/>
    </xf>
    <xf numFmtId="167" fontId="76" fillId="6" borderId="1" xfId="0" applyNumberFormat="1" applyFont="1" applyFill="1" applyBorder="1" applyAlignment="1">
      <alignment horizontal="center" vertical="center"/>
    </xf>
    <xf numFmtId="0" fontId="83" fillId="57" borderId="1" xfId="0" applyNumberFormat="1" applyFont="1" applyFill="1" applyBorder="1" applyAlignment="1">
      <alignment horizontal="center" vertical="center"/>
    </xf>
    <xf numFmtId="0" fontId="88" fillId="64" borderId="1" xfId="0" applyNumberFormat="1" applyFont="1" applyFill="1" applyBorder="1" applyAlignment="1">
      <alignment horizontal="center" vertical="center"/>
    </xf>
    <xf numFmtId="0" fontId="84" fillId="58" borderId="1" xfId="0" applyNumberFormat="1" applyFont="1" applyFill="1" applyBorder="1" applyAlignment="1">
      <alignment horizontal="center" vertical="center"/>
    </xf>
    <xf numFmtId="0" fontId="14" fillId="36" borderId="135" xfId="0" applyFont="1" applyFill="1" applyBorder="1" applyAlignment="1">
      <alignment horizontal="center" vertical="center"/>
    </xf>
    <xf numFmtId="170" fontId="3" fillId="40" borderId="136" xfId="0" applyNumberFormat="1" applyFont="1" applyFill="1" applyBorder="1" applyAlignment="1">
      <alignment horizontal="center" vertical="center"/>
    </xf>
    <xf numFmtId="0" fontId="14" fillId="40" borderId="136" xfId="0" applyFont="1" applyFill="1" applyBorder="1" applyAlignment="1">
      <alignment horizontal="center" vertical="center"/>
    </xf>
    <xf numFmtId="0" fontId="14" fillId="41" borderId="136" xfId="0" applyFont="1" applyFill="1" applyBorder="1" applyAlignment="1">
      <alignment horizontal="left" vertical="center"/>
    </xf>
    <xf numFmtId="0" fontId="17" fillId="42" borderId="136" xfId="0" applyFont="1" applyFill="1" applyBorder="1" applyAlignment="1">
      <alignment horizontal="center" vertical="center"/>
    </xf>
    <xf numFmtId="0" fontId="14" fillId="42" borderId="136" xfId="0" applyFont="1" applyFill="1" applyBorder="1" applyAlignment="1">
      <alignment horizontal="center" vertical="center"/>
    </xf>
    <xf numFmtId="4" fontId="3" fillId="43" borderId="136" xfId="0" applyNumberFormat="1" applyFont="1" applyFill="1" applyBorder="1" applyAlignment="1">
      <alignment horizontal="center" vertical="center"/>
    </xf>
    <xf numFmtId="0" fontId="14" fillId="40" borderId="137" xfId="0" applyFont="1" applyFill="1" applyBorder="1" applyAlignment="1">
      <alignment horizontal="center" vertical="center"/>
    </xf>
    <xf numFmtId="0" fontId="14" fillId="36" borderId="138" xfId="0" applyFont="1" applyFill="1" applyBorder="1" applyAlignment="1">
      <alignment horizontal="center" vertical="center"/>
    </xf>
    <xf numFmtId="0" fontId="14" fillId="40" borderId="139" xfId="0" applyFont="1" applyFill="1" applyBorder="1" applyAlignment="1">
      <alignment horizontal="center" vertical="center"/>
    </xf>
    <xf numFmtId="15" fontId="14" fillId="40" borderId="139" xfId="0" applyNumberFormat="1" applyFont="1" applyFill="1" applyBorder="1" applyAlignment="1">
      <alignment horizontal="center" vertical="center"/>
    </xf>
    <xf numFmtId="0" fontId="3" fillId="40" borderId="139" xfId="0" applyFont="1" applyFill="1" applyBorder="1" applyAlignment="1">
      <alignment horizontal="center" vertical="center"/>
    </xf>
    <xf numFmtId="0" fontId="0" fillId="40" borderId="139" xfId="0" applyFont="1" applyFill="1" applyBorder="1" applyAlignment="1">
      <alignment horizontal="center" vertical="center"/>
    </xf>
    <xf numFmtId="0" fontId="29" fillId="44" borderId="108" xfId="0" applyFont="1" applyFill="1" applyBorder="1" applyAlignment="1">
      <alignment horizontal="center" vertical="center" wrapText="1"/>
    </xf>
    <xf numFmtId="0" fontId="29" fillId="44" borderId="108" xfId="0" applyFont="1" applyFill="1" applyBorder="1" applyAlignment="1">
      <alignment horizontal="center" vertical="center"/>
    </xf>
    <xf numFmtId="0" fontId="29" fillId="44" borderId="103" xfId="0" applyFont="1" applyFill="1" applyBorder="1" applyAlignment="1">
      <alignment horizontal="center" vertical="center" wrapText="1"/>
    </xf>
    <xf numFmtId="0" fontId="29" fillId="44" borderId="22" xfId="0" applyFont="1" applyFill="1" applyBorder="1" applyAlignment="1">
      <alignment horizontal="center" vertical="center" wrapText="1"/>
    </xf>
    <xf numFmtId="0" fontId="14" fillId="41" borderId="107" xfId="0" applyFont="1" applyFill="1" applyBorder="1" applyAlignment="1">
      <alignment horizontal="left" vertical="center"/>
    </xf>
    <xf numFmtId="0" fontId="14" fillId="42" borderId="107" xfId="0" applyFont="1" applyFill="1" applyBorder="1" applyAlignment="1">
      <alignment horizontal="center" vertical="center"/>
    </xf>
    <xf numFmtId="3" fontId="3" fillId="12" borderId="104" xfId="0" applyNumberFormat="1" applyFont="1" applyFill="1" applyBorder="1" applyAlignment="1">
      <alignment horizontal="center" vertical="center"/>
    </xf>
    <xf numFmtId="3" fontId="3" fillId="12" borderId="21" xfId="0" applyNumberFormat="1" applyFont="1" applyFill="1" applyBorder="1" applyAlignment="1">
      <alignment horizontal="center" vertical="center"/>
    </xf>
    <xf numFmtId="3" fontId="3" fillId="12" borderId="105" xfId="0" applyNumberFormat="1" applyFont="1" applyFill="1" applyBorder="1" applyAlignment="1">
      <alignment horizontal="center" vertical="center"/>
    </xf>
    <xf numFmtId="3" fontId="3" fillId="12" borderId="19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3" fillId="44" borderId="101" xfId="0" applyFont="1" applyFill="1" applyBorder="1" applyAlignment="1">
      <alignment horizontal="center" vertical="center" wrapText="1"/>
    </xf>
    <xf numFmtId="0" fontId="3" fillId="44" borderId="108" xfId="0" applyFont="1" applyFill="1" applyBorder="1" applyAlignment="1">
      <alignment horizontal="center" vertical="center" wrapText="1"/>
    </xf>
    <xf numFmtId="0" fontId="14" fillId="40" borderId="107" xfId="0" applyFont="1" applyFill="1" applyBorder="1" applyAlignment="1">
      <alignment horizontal="center" vertical="center"/>
    </xf>
    <xf numFmtId="3" fontId="3" fillId="43" borderId="107" xfId="0" applyNumberFormat="1" applyFont="1" applyFill="1" applyBorder="1" applyAlignment="1">
      <alignment horizontal="center" vertical="center"/>
    </xf>
    <xf numFmtId="1" fontId="3" fillId="3" borderId="102" xfId="0" applyNumberFormat="1" applyFont="1" applyFill="1" applyBorder="1" applyAlignment="1">
      <alignment horizontal="center" vertical="center"/>
    </xf>
    <xf numFmtId="1" fontId="3" fillId="3" borderId="20" xfId="0" applyNumberFormat="1" applyFont="1" applyFill="1" applyBorder="1" applyAlignment="1">
      <alignment horizontal="center" vertical="center"/>
    </xf>
    <xf numFmtId="0" fontId="91" fillId="41" borderId="106" xfId="0" applyNumberFormat="1" applyFont="1" applyFill="1" applyBorder="1" applyAlignment="1">
      <alignment horizontal="left" vertical="center"/>
    </xf>
    <xf numFmtId="0" fontId="92" fillId="65" borderId="0" xfId="0" applyFont="1" applyFill="1" applyAlignment="1">
      <alignment horizontal="center" vertical="center"/>
    </xf>
    <xf numFmtId="0" fontId="93" fillId="11" borderId="2" xfId="0" applyFont="1" applyFill="1" applyBorder="1" applyAlignment="1">
      <alignment horizontal="center" vertical="center"/>
    </xf>
    <xf numFmtId="171" fontId="91" fillId="6" borderId="19" xfId="0" applyNumberFormat="1" applyFont="1" applyFill="1" applyBorder="1" applyAlignment="1">
      <alignment horizontal="center" vertical="center"/>
    </xf>
    <xf numFmtId="0" fontId="82" fillId="44" borderId="108" xfId="0" applyFont="1" applyFill="1" applyBorder="1" applyAlignment="1">
      <alignment horizontal="center"/>
    </xf>
    <xf numFmtId="0" fontId="14" fillId="0" borderId="0" xfId="0" applyFont="1" applyAlignment="1">
      <alignment vertical="center"/>
    </xf>
    <xf numFmtId="0" fontId="20" fillId="67" borderId="147" xfId="0" applyFont="1" applyFill="1" applyBorder="1" applyAlignment="1">
      <alignment horizontal="center" vertical="center"/>
    </xf>
    <xf numFmtId="0" fontId="20" fillId="67" borderId="146" xfId="0" applyFont="1" applyFill="1" applyBorder="1" applyAlignment="1">
      <alignment horizontal="center" vertical="center"/>
    </xf>
    <xf numFmtId="167" fontId="96" fillId="12" borderId="147" xfId="0" applyNumberFormat="1" applyFont="1" applyFill="1" applyBorder="1" applyAlignment="1">
      <alignment horizontal="center" vertical="center"/>
    </xf>
    <xf numFmtId="0" fontId="96" fillId="12" borderId="146" xfId="0" applyFont="1" applyFill="1" applyBorder="1" applyAlignment="1">
      <alignment horizontal="center" vertical="center"/>
    </xf>
    <xf numFmtId="172" fontId="96" fillId="12" borderId="147" xfId="0" applyNumberFormat="1" applyFont="1" applyFill="1" applyBorder="1" applyAlignment="1">
      <alignment horizontal="center" vertical="center"/>
    </xf>
    <xf numFmtId="1" fontId="96" fillId="12" borderId="147" xfId="0" applyNumberFormat="1" applyFont="1" applyFill="1" applyBorder="1" applyAlignment="1">
      <alignment horizontal="center" vertical="center"/>
    </xf>
    <xf numFmtId="0" fontId="31" fillId="12" borderId="147" xfId="0" applyFont="1" applyFill="1" applyBorder="1" applyAlignment="1">
      <alignment vertical="center"/>
    </xf>
    <xf numFmtId="0" fontId="97" fillId="12" borderId="147" xfId="0" applyFont="1" applyFill="1" applyBorder="1" applyAlignment="1">
      <alignment horizontal="center" vertical="center"/>
    </xf>
    <xf numFmtId="0" fontId="97" fillId="12" borderId="146" xfId="0" applyFont="1" applyFill="1" applyBorder="1" applyAlignment="1">
      <alignment horizontal="center" vertical="center"/>
    </xf>
    <xf numFmtId="0" fontId="95" fillId="36" borderId="1" xfId="0" applyFont="1" applyFill="1" applyBorder="1" applyAlignment="1">
      <alignment vertical="center"/>
    </xf>
    <xf numFmtId="172" fontId="99" fillId="36" borderId="1" xfId="0" applyNumberFormat="1" applyFont="1" applyFill="1" applyBorder="1" applyAlignment="1">
      <alignment horizontal="center" vertical="center"/>
    </xf>
    <xf numFmtId="0" fontId="94" fillId="8" borderId="1" xfId="0" applyFont="1" applyFill="1" applyBorder="1" applyAlignment="1">
      <alignment horizontal="center" vertical="center"/>
    </xf>
    <xf numFmtId="0" fontId="99" fillId="36" borderId="1" xfId="0" applyFont="1" applyFill="1" applyBorder="1" applyAlignment="1">
      <alignment horizontal="center" vertical="center"/>
    </xf>
    <xf numFmtId="1" fontId="99" fillId="36" borderId="1" xfId="0" applyNumberFormat="1" applyFont="1" applyFill="1" applyBorder="1" applyAlignment="1">
      <alignment horizontal="center" vertical="center"/>
    </xf>
    <xf numFmtId="0" fontId="100" fillId="10" borderId="1" xfId="0" applyFont="1" applyFill="1" applyBorder="1" applyAlignment="1">
      <alignment horizontal="center" vertical="center"/>
    </xf>
    <xf numFmtId="0" fontId="2" fillId="60" borderId="1" xfId="0" applyFont="1" applyFill="1" applyBorder="1" applyAlignment="1">
      <alignment horizontal="center" vertical="center"/>
    </xf>
    <xf numFmtId="0" fontId="101" fillId="36" borderId="1" xfId="0" applyFont="1" applyFill="1" applyBorder="1" applyAlignment="1">
      <alignment horizontal="center" vertical="center"/>
    </xf>
    <xf numFmtId="166" fontId="4" fillId="44" borderId="108" xfId="0" applyNumberFormat="1" applyFont="1" applyFill="1" applyBorder="1" applyAlignment="1">
      <alignment horizontal="center" vertical="center" wrapText="1"/>
    </xf>
    <xf numFmtId="166" fontId="3" fillId="43" borderId="136" xfId="0" applyNumberFormat="1" applyFont="1" applyFill="1" applyBorder="1" applyAlignment="1">
      <alignment horizontal="center" vertical="center"/>
    </xf>
    <xf numFmtId="166" fontId="3" fillId="43" borderId="106" xfId="0" applyNumberFormat="1" applyFont="1" applyFill="1" applyBorder="1" applyAlignment="1">
      <alignment horizontal="center" vertical="center"/>
    </xf>
    <xf numFmtId="166" fontId="1" fillId="43" borderId="106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0" fillId="0" borderId="148" xfId="0" applyBorder="1" applyAlignment="1">
      <alignment horizontal="center" vertical="center"/>
    </xf>
    <xf numFmtId="0" fontId="0" fillId="0" borderId="149" xfId="0" applyBorder="1" applyAlignment="1">
      <alignment horizontal="center" vertical="center"/>
    </xf>
    <xf numFmtId="0" fontId="0" fillId="0" borderId="150" xfId="0" applyBorder="1" applyAlignment="1">
      <alignment vertical="center"/>
    </xf>
    <xf numFmtId="0" fontId="98" fillId="5" borderId="1" xfId="0" applyFont="1" applyFill="1" applyBorder="1" applyAlignment="1">
      <alignment horizontal="center" vertical="center"/>
    </xf>
    <xf numFmtId="0" fontId="93" fillId="8" borderId="1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167" fontId="23" fillId="6" borderId="1" xfId="0" applyNumberFormat="1" applyFont="1" applyFill="1" applyBorder="1" applyAlignment="1">
      <alignment horizontal="center" vertical="center"/>
    </xf>
    <xf numFmtId="168" fontId="23" fillId="6" borderId="1" xfId="0" applyNumberFormat="1" applyFont="1" applyFill="1" applyBorder="1" applyAlignment="1">
      <alignment horizontal="center" vertical="center"/>
    </xf>
    <xf numFmtId="172" fontId="23" fillId="6" borderId="1" xfId="0" applyNumberFormat="1" applyFont="1" applyFill="1" applyBorder="1" applyAlignment="1">
      <alignment horizontal="center" vertical="center"/>
    </xf>
    <xf numFmtId="1" fontId="23" fillId="6" borderId="1" xfId="0" applyNumberFormat="1" applyFont="1" applyFill="1" applyBorder="1" applyAlignment="1">
      <alignment horizontal="center" vertical="center"/>
    </xf>
    <xf numFmtId="0" fontId="102" fillId="10" borderId="1" xfId="0" applyFont="1" applyFill="1" applyBorder="1" applyAlignment="1">
      <alignment horizontal="left" vertical="center"/>
    </xf>
    <xf numFmtId="0" fontId="24" fillId="66" borderId="0" xfId="0" applyFont="1" applyFill="1" applyAlignment="1">
      <alignment horizontal="center" vertical="center"/>
    </xf>
    <xf numFmtId="0" fontId="103" fillId="68" borderId="0" xfId="0" applyFont="1" applyFill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54" fillId="18" borderId="70" xfId="0" applyFont="1" applyFill="1" applyBorder="1" applyAlignment="1">
      <alignment horizontal="center" vertical="center"/>
    </xf>
    <xf numFmtId="0" fontId="54" fillId="18" borderId="69" xfId="0" applyFont="1" applyFill="1" applyBorder="1" applyAlignment="1">
      <alignment horizontal="center" vertical="center"/>
    </xf>
    <xf numFmtId="0" fontId="54" fillId="18" borderId="82" xfId="0" applyFont="1" applyFill="1" applyBorder="1" applyAlignment="1">
      <alignment horizontal="center" vertical="center"/>
    </xf>
    <xf numFmtId="0" fontId="68" fillId="31" borderId="96" xfId="0" applyFont="1" applyFill="1" applyBorder="1" applyAlignment="1">
      <alignment horizontal="center" vertical="center"/>
    </xf>
    <xf numFmtId="0" fontId="68" fillId="31" borderId="97" xfId="0" applyFont="1" applyFill="1" applyBorder="1" applyAlignment="1">
      <alignment horizontal="center" vertical="center"/>
    </xf>
    <xf numFmtId="0" fontId="68" fillId="31" borderId="98" xfId="0" applyFont="1" applyFill="1" applyBorder="1" applyAlignment="1">
      <alignment horizontal="center" vertical="center"/>
    </xf>
    <xf numFmtId="0" fontId="67" fillId="32" borderId="94" xfId="0" applyFont="1" applyFill="1" applyBorder="1" applyAlignment="1">
      <alignment horizontal="center" vertical="center"/>
    </xf>
    <xf numFmtId="0" fontId="67" fillId="32" borderId="0" xfId="0" applyFont="1" applyFill="1" applyBorder="1" applyAlignment="1">
      <alignment horizontal="center" vertical="center"/>
    </xf>
    <xf numFmtId="0" fontId="67" fillId="32" borderId="95" xfId="0" applyFont="1" applyFill="1" applyBorder="1" applyAlignment="1">
      <alignment horizontal="center" vertical="center"/>
    </xf>
    <xf numFmtId="0" fontId="27" fillId="33" borderId="0" xfId="0" applyFont="1" applyFill="1" applyAlignment="1">
      <alignment horizontal="center" vertical="center"/>
    </xf>
    <xf numFmtId="0" fontId="77" fillId="34" borderId="0" xfId="0" applyFont="1" applyFill="1" applyAlignment="1">
      <alignment horizontal="left" vertical="center" wrapText="1"/>
    </xf>
    <xf numFmtId="167" fontId="73" fillId="20" borderId="46" xfId="0" applyNumberFormat="1" applyFont="1" applyFill="1" applyBorder="1" applyAlignment="1">
      <alignment horizontal="center" vertical="center"/>
    </xf>
    <xf numFmtId="167" fontId="73" fillId="20" borderId="144" xfId="0" applyNumberFormat="1" applyFont="1" applyFill="1" applyBorder="1" applyAlignment="1">
      <alignment horizontal="center" vertical="center"/>
    </xf>
    <xf numFmtId="0" fontId="66" fillId="14" borderId="76" xfId="0" applyFont="1" applyFill="1" applyBorder="1" applyAlignment="1">
      <alignment horizontal="center" vertical="center"/>
    </xf>
    <xf numFmtId="0" fontId="66" fillId="14" borderId="49" xfId="0" applyFont="1" applyFill="1" applyBorder="1" applyAlignment="1">
      <alignment horizontal="center" vertical="center"/>
    </xf>
    <xf numFmtId="0" fontId="66" fillId="14" borderId="86" xfId="0" applyFont="1" applyFill="1" applyBorder="1" applyAlignment="1">
      <alignment horizontal="center" vertical="center"/>
    </xf>
    <xf numFmtId="167" fontId="72" fillId="19" borderId="44" xfId="0" applyNumberFormat="1" applyFont="1" applyFill="1" applyBorder="1" applyAlignment="1">
      <alignment horizontal="center" vertical="center"/>
    </xf>
    <xf numFmtId="167" fontId="72" fillId="19" borderId="45" xfId="0" applyNumberFormat="1" applyFont="1" applyFill="1" applyBorder="1" applyAlignment="1">
      <alignment horizontal="center" vertical="center"/>
    </xf>
    <xf numFmtId="167" fontId="61" fillId="19" borderId="44" xfId="0" applyNumberFormat="1" applyFont="1" applyFill="1" applyBorder="1" applyAlignment="1">
      <alignment horizontal="center" vertical="center"/>
    </xf>
    <xf numFmtId="167" fontId="61" fillId="19" borderId="45" xfId="0" applyNumberFormat="1" applyFont="1" applyFill="1" applyBorder="1" applyAlignment="1">
      <alignment horizontal="center" vertical="center"/>
    </xf>
    <xf numFmtId="167" fontId="71" fillId="5" borderId="72" xfId="0" applyNumberFormat="1" applyFont="1" applyFill="1" applyBorder="1" applyAlignment="1">
      <alignment horizontal="center" vertical="center"/>
    </xf>
    <xf numFmtId="167" fontId="71" fillId="5" borderId="43" xfId="0" applyNumberFormat="1" applyFont="1" applyFill="1" applyBorder="1" applyAlignment="1">
      <alignment horizontal="center" vertical="center"/>
    </xf>
    <xf numFmtId="167" fontId="60" fillId="5" borderId="72" xfId="0" applyNumberFormat="1" applyFont="1" applyFill="1" applyBorder="1" applyAlignment="1">
      <alignment horizontal="center" vertical="center"/>
    </xf>
    <xf numFmtId="167" fontId="60" fillId="5" borderId="43" xfId="0" applyNumberFormat="1" applyFont="1" applyFill="1" applyBorder="1" applyAlignment="1">
      <alignment horizontal="center" vertical="center"/>
    </xf>
    <xf numFmtId="167" fontId="64" fillId="22" borderId="38" xfId="0" applyNumberFormat="1" applyFont="1" applyFill="1" applyBorder="1" applyAlignment="1">
      <alignment horizontal="center" vertical="center"/>
    </xf>
    <xf numFmtId="4" fontId="59" fillId="16" borderId="93" xfId="0" applyNumberFormat="1" applyFont="1" applyFill="1" applyBorder="1" applyAlignment="1">
      <alignment horizontal="center" vertical="center"/>
    </xf>
    <xf numFmtId="4" fontId="59" fillId="16" borderId="145" xfId="0" applyNumberFormat="1" applyFont="1" applyFill="1" applyBorder="1" applyAlignment="1">
      <alignment horizontal="center" vertical="center"/>
    </xf>
    <xf numFmtId="0" fontId="56" fillId="24" borderId="40" xfId="0" applyFont="1" applyFill="1" applyBorder="1" applyAlignment="1">
      <alignment horizontal="center" vertical="center"/>
    </xf>
    <xf numFmtId="0" fontId="56" fillId="24" borderId="87" xfId="0" applyFont="1" applyFill="1" applyBorder="1" applyAlignment="1">
      <alignment horizontal="center" vertical="center"/>
    </xf>
    <xf numFmtId="0" fontId="80" fillId="59" borderId="129" xfId="0" applyNumberFormat="1" applyFont="1" applyFill="1" applyBorder="1" applyAlignment="1">
      <alignment horizontal="center" vertical="center"/>
    </xf>
    <xf numFmtId="0" fontId="80" fillId="59" borderId="130" xfId="0" applyNumberFormat="1" applyFont="1" applyFill="1" applyBorder="1" applyAlignment="1">
      <alignment horizontal="center" vertical="center"/>
    </xf>
    <xf numFmtId="0" fontId="80" fillId="59" borderId="131" xfId="0" applyNumberFormat="1" applyFont="1" applyFill="1" applyBorder="1" applyAlignment="1">
      <alignment horizontal="center" vertical="center"/>
    </xf>
    <xf numFmtId="167" fontId="62" fillId="20" borderId="46" xfId="0" applyNumberFormat="1" applyFont="1" applyFill="1" applyBorder="1" applyAlignment="1">
      <alignment horizontal="center" vertical="center"/>
    </xf>
    <xf numFmtId="167" fontId="62" fillId="20" borderId="144" xfId="0" applyNumberFormat="1" applyFont="1" applyFill="1" applyBorder="1" applyAlignment="1">
      <alignment horizontal="center" vertical="center"/>
    </xf>
    <xf numFmtId="0" fontId="58" fillId="18" borderId="71" xfId="0" applyFont="1" applyFill="1" applyBorder="1" applyAlignment="1">
      <alignment horizontal="center" vertical="center"/>
    </xf>
    <xf numFmtId="0" fontId="58" fillId="18" borderId="42" xfId="0" applyFont="1" applyFill="1" applyBorder="1" applyAlignment="1">
      <alignment horizontal="center" vertical="center"/>
    </xf>
    <xf numFmtId="0" fontId="58" fillId="18" borderId="85" xfId="0" applyFont="1" applyFill="1" applyBorder="1" applyAlignment="1">
      <alignment horizontal="center" vertical="center"/>
    </xf>
    <xf numFmtId="0" fontId="56" fillId="23" borderId="77" xfId="0" applyFont="1" applyFill="1" applyBorder="1" applyAlignment="1">
      <alignment horizontal="center" vertical="center"/>
    </xf>
    <xf numFmtId="0" fontId="56" fillId="23" borderId="39" xfId="0" applyFont="1" applyFill="1" applyBorder="1" applyAlignment="1">
      <alignment horizontal="center" vertical="center"/>
    </xf>
    <xf numFmtId="0" fontId="56" fillId="23" borderId="50" xfId="0" applyFont="1" applyFill="1" applyBorder="1" applyAlignment="1">
      <alignment horizontal="center" vertical="center"/>
    </xf>
    <xf numFmtId="167" fontId="63" fillId="21" borderId="74" xfId="0" applyNumberFormat="1" applyFont="1" applyFill="1" applyBorder="1" applyAlignment="1">
      <alignment horizontal="center" vertical="center"/>
    </xf>
    <xf numFmtId="167" fontId="63" fillId="21" borderId="48" xfId="0" applyNumberFormat="1" applyFont="1" applyFill="1" applyBorder="1" applyAlignment="1">
      <alignment horizontal="center" vertical="center"/>
    </xf>
    <xf numFmtId="167" fontId="70" fillId="21" borderId="74" xfId="0" applyNumberFormat="1" applyFont="1" applyFill="1" applyBorder="1" applyAlignment="1">
      <alignment horizontal="center" vertical="center" wrapText="1"/>
    </xf>
    <xf numFmtId="167" fontId="70" fillId="21" borderId="48" xfId="0" applyNumberFormat="1" applyFont="1" applyFill="1" applyBorder="1" applyAlignment="1">
      <alignment horizontal="center" vertical="center" wrapText="1"/>
    </xf>
    <xf numFmtId="167" fontId="69" fillId="22" borderId="91" xfId="0" applyNumberFormat="1" applyFont="1" applyFill="1" applyBorder="1" applyAlignment="1">
      <alignment horizontal="center" vertical="center" wrapText="1"/>
    </xf>
    <xf numFmtId="167" fontId="69" fillId="22" borderId="92" xfId="0" applyNumberFormat="1" applyFont="1" applyFill="1" applyBorder="1" applyAlignment="1">
      <alignment horizontal="center" vertical="center" wrapText="1"/>
    </xf>
    <xf numFmtId="0" fontId="59" fillId="16" borderId="73" xfId="0" applyFont="1" applyFill="1" applyBorder="1" applyAlignment="1">
      <alignment horizontal="center" vertical="center"/>
    </xf>
    <xf numFmtId="0" fontId="59" fillId="16" borderId="47" xfId="0" applyFont="1" applyFill="1" applyBorder="1" applyAlignment="1">
      <alignment horizontal="center" vertical="center"/>
    </xf>
    <xf numFmtId="0" fontId="59" fillId="16" borderId="143" xfId="0" applyFont="1" applyFill="1" applyBorder="1" applyAlignment="1">
      <alignment horizontal="center" vertical="center"/>
    </xf>
    <xf numFmtId="0" fontId="21" fillId="33" borderId="1" xfId="0" applyFont="1" applyFill="1" applyBorder="1" applyAlignment="1">
      <alignment horizontal="center" vertical="center"/>
    </xf>
    <xf numFmtId="0" fontId="21" fillId="33" borderId="100" xfId="0" applyFont="1" applyFill="1" applyBorder="1" applyAlignment="1">
      <alignment horizontal="center" vertical="center"/>
    </xf>
    <xf numFmtId="0" fontId="8" fillId="63" borderId="1" xfId="0" applyNumberFormat="1" applyFont="1" applyFill="1" applyBorder="1" applyAlignment="1">
      <alignment horizontal="center" vertical="center"/>
    </xf>
    <xf numFmtId="0" fontId="27" fillId="60" borderId="125" xfId="0" applyNumberFormat="1" applyFont="1" applyFill="1" applyBorder="1" applyAlignment="1">
      <alignment horizontal="center" vertical="center"/>
    </xf>
    <xf numFmtId="0" fontId="27" fillId="60" borderId="123" xfId="0" applyNumberFormat="1" applyFont="1" applyFill="1" applyBorder="1" applyAlignment="1">
      <alignment horizontal="center" vertical="center"/>
    </xf>
    <xf numFmtId="0" fontId="27" fillId="60" borderId="127" xfId="0" applyNumberFormat="1" applyFont="1" applyFill="1" applyBorder="1" applyAlignment="1">
      <alignment horizontal="center" vertical="center"/>
    </xf>
    <xf numFmtId="0" fontId="27" fillId="60" borderId="126" xfId="0" applyNumberFormat="1" applyFont="1" applyFill="1" applyBorder="1" applyAlignment="1">
      <alignment horizontal="center" vertical="center"/>
    </xf>
    <xf numFmtId="0" fontId="27" fillId="60" borderId="124" xfId="0" applyNumberFormat="1" applyFont="1" applyFill="1" applyBorder="1" applyAlignment="1">
      <alignment horizontal="center" vertical="center"/>
    </xf>
    <xf numFmtId="0" fontId="27" fillId="60" borderId="128" xfId="0" applyNumberFormat="1" applyFont="1" applyFill="1" applyBorder="1" applyAlignment="1">
      <alignment horizontal="center" vertical="center"/>
    </xf>
    <xf numFmtId="0" fontId="87" fillId="62" borderId="132" xfId="0" applyNumberFormat="1" applyFont="1" applyFill="1" applyBorder="1" applyAlignment="1">
      <alignment horizontal="center"/>
    </xf>
    <xf numFmtId="0" fontId="87" fillId="62" borderId="133" xfId="0" applyNumberFormat="1" applyFont="1" applyFill="1" applyBorder="1" applyAlignment="1">
      <alignment horizontal="center"/>
    </xf>
    <xf numFmtId="0" fontId="87" fillId="62" borderId="134" xfId="0" applyNumberFormat="1" applyFont="1" applyFill="1" applyBorder="1" applyAlignment="1">
      <alignment horizontal="center"/>
    </xf>
    <xf numFmtId="0" fontId="43" fillId="10" borderId="32" xfId="0" applyFont="1" applyFill="1" applyBorder="1" applyAlignment="1">
      <alignment horizontal="center" vertical="center"/>
    </xf>
    <xf numFmtId="0" fontId="43" fillId="10" borderId="33" xfId="0" applyFont="1" applyFill="1" applyBorder="1" applyAlignment="1">
      <alignment horizontal="center" vertical="center"/>
    </xf>
    <xf numFmtId="0" fontId="43" fillId="10" borderId="32" xfId="0" applyFont="1" applyFill="1" applyBorder="1" applyAlignment="1">
      <alignment horizontal="center" vertical="center" wrapText="1"/>
    </xf>
    <xf numFmtId="0" fontId="20" fillId="4" borderId="31" xfId="0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0" fontId="35" fillId="5" borderId="2" xfId="0" applyFont="1" applyFill="1" applyBorder="1" applyAlignment="1">
      <alignment horizontal="center" vertical="center"/>
    </xf>
    <xf numFmtId="0" fontId="8" fillId="13" borderId="19" xfId="0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center" vertical="center"/>
    </xf>
    <xf numFmtId="0" fontId="40" fillId="4" borderId="2" xfId="0" applyFont="1" applyFill="1" applyBorder="1" applyAlignment="1">
      <alignment horizontal="center" vertical="center"/>
    </xf>
    <xf numFmtId="0" fontId="44" fillId="5" borderId="2" xfId="0" applyFont="1" applyFill="1" applyBorder="1" applyAlignment="1">
      <alignment horizontal="center" vertical="center"/>
    </xf>
    <xf numFmtId="0" fontId="40" fillId="9" borderId="2" xfId="0" applyFont="1" applyFill="1" applyBorder="1" applyAlignment="1">
      <alignment horizontal="center" vertical="center" wrapText="1"/>
    </xf>
    <xf numFmtId="0" fontId="20" fillId="4" borderId="34" xfId="0" applyFont="1" applyFill="1" applyBorder="1" applyAlignment="1">
      <alignment horizontal="center" vertical="center"/>
    </xf>
    <xf numFmtId="0" fontId="36" fillId="45" borderId="24" xfId="0" applyFont="1" applyFill="1" applyBorder="1" applyAlignment="1">
      <alignment horizontal="center" vertical="center"/>
    </xf>
    <xf numFmtId="0" fontId="36" fillId="45" borderId="25" xfId="0" applyFont="1" applyFill="1" applyBorder="1" applyAlignment="1">
      <alignment horizontal="center" vertical="center"/>
    </xf>
    <xf numFmtId="0" fontId="36" fillId="45" borderId="26" xfId="0" applyFont="1" applyFill="1" applyBorder="1" applyAlignment="1">
      <alignment horizontal="center" vertical="center"/>
    </xf>
    <xf numFmtId="0" fontId="39" fillId="4" borderId="24" xfId="0" applyFont="1" applyFill="1" applyBorder="1" applyAlignment="1">
      <alignment horizontal="center" vertical="center"/>
    </xf>
    <xf numFmtId="0" fontId="39" fillId="4" borderId="25" xfId="0" applyFont="1" applyFill="1" applyBorder="1" applyAlignment="1">
      <alignment horizontal="center" vertical="center"/>
    </xf>
    <xf numFmtId="0" fontId="39" fillId="4" borderId="26" xfId="0" applyFont="1" applyFill="1" applyBorder="1" applyAlignment="1">
      <alignment horizontal="center" vertical="center"/>
    </xf>
    <xf numFmtId="0" fontId="36" fillId="5" borderId="24" xfId="0" applyFont="1" applyFill="1" applyBorder="1" applyAlignment="1">
      <alignment horizontal="center" vertical="center"/>
    </xf>
    <xf numFmtId="0" fontId="36" fillId="5" borderId="25" xfId="0" applyFont="1" applyFill="1" applyBorder="1" applyAlignment="1">
      <alignment horizontal="center" vertical="center"/>
    </xf>
    <xf numFmtId="0" fontId="36" fillId="5" borderId="26" xfId="0" applyFont="1" applyFill="1" applyBorder="1" applyAlignment="1">
      <alignment horizontal="center" vertical="center"/>
    </xf>
    <xf numFmtId="0" fontId="26" fillId="5" borderId="24" xfId="0" applyFont="1" applyFill="1" applyBorder="1" applyAlignment="1">
      <alignment horizontal="center" vertical="center"/>
    </xf>
    <xf numFmtId="0" fontId="26" fillId="5" borderId="25" xfId="0" applyFont="1" applyFill="1" applyBorder="1" applyAlignment="1">
      <alignment horizontal="center" vertical="center"/>
    </xf>
    <xf numFmtId="0" fontId="26" fillId="5" borderId="26" xfId="0" applyFont="1" applyFill="1" applyBorder="1" applyAlignment="1">
      <alignment horizontal="center" vertical="center"/>
    </xf>
    <xf numFmtId="0" fontId="24" fillId="4" borderId="24" xfId="0" applyFont="1" applyFill="1" applyBorder="1" applyAlignment="1">
      <alignment horizontal="center" vertical="center"/>
    </xf>
    <xf numFmtId="0" fontId="24" fillId="4" borderId="25" xfId="0" applyFont="1" applyFill="1" applyBorder="1" applyAlignment="1">
      <alignment horizontal="center" vertical="center"/>
    </xf>
    <xf numFmtId="0" fontId="24" fillId="4" borderId="26" xfId="0" applyFont="1" applyFill="1" applyBorder="1" applyAlignment="1">
      <alignment horizontal="center" vertical="center"/>
    </xf>
    <xf numFmtId="0" fontId="24" fillId="4" borderId="14" xfId="0" applyFont="1" applyFill="1" applyBorder="1" applyAlignment="1">
      <alignment horizontal="center" vertical="center"/>
    </xf>
    <xf numFmtId="0" fontId="24" fillId="4" borderId="13" xfId="0" applyFont="1" applyFill="1" applyBorder="1" applyAlignment="1">
      <alignment horizontal="center" vertical="center"/>
    </xf>
    <xf numFmtId="0" fontId="24" fillId="4" borderId="15" xfId="0" applyFont="1" applyFill="1" applyBorder="1" applyAlignment="1">
      <alignment horizontal="center" vertical="center"/>
    </xf>
    <xf numFmtId="0" fontId="36" fillId="5" borderId="16" xfId="0" applyFont="1" applyFill="1" applyBorder="1" applyAlignment="1">
      <alignment horizontal="center" vertical="center"/>
    </xf>
    <xf numFmtId="0" fontId="36" fillId="5" borderId="17" xfId="0" applyFont="1" applyFill="1" applyBorder="1" applyAlignment="1">
      <alignment horizontal="center" vertical="center"/>
    </xf>
    <xf numFmtId="0" fontId="36" fillId="5" borderId="18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6" fillId="46" borderId="116" xfId="0" applyFont="1" applyFill="1" applyBorder="1" applyAlignment="1">
      <alignment horizontal="center" vertical="center"/>
    </xf>
    <xf numFmtId="0" fontId="16" fillId="46" borderId="3" xfId="0" applyFont="1" applyFill="1" applyBorder="1" applyAlignment="1">
      <alignment horizontal="center" vertical="center"/>
    </xf>
    <xf numFmtId="0" fontId="16" fillId="46" borderId="7" xfId="0" applyFont="1" applyFill="1" applyBorder="1" applyAlignment="1">
      <alignment horizontal="center" vertical="center"/>
    </xf>
    <xf numFmtId="0" fontId="27" fillId="4" borderId="118" xfId="0" applyNumberFormat="1" applyFont="1" applyFill="1" applyBorder="1" applyAlignment="1">
      <alignment horizontal="center" vertical="center"/>
    </xf>
    <xf numFmtId="0" fontId="27" fillId="4" borderId="117" xfId="0" applyNumberFormat="1" applyFont="1" applyFill="1" applyBorder="1" applyAlignment="1">
      <alignment horizontal="center" vertical="center"/>
    </xf>
    <xf numFmtId="0" fontId="27" fillId="4" borderId="119" xfId="0" applyNumberFormat="1" applyFont="1" applyFill="1" applyBorder="1" applyAlignment="1">
      <alignment horizontal="center" vertical="center"/>
    </xf>
    <xf numFmtId="0" fontId="24" fillId="47" borderId="140" xfId="0" applyNumberFormat="1" applyFont="1" applyFill="1" applyBorder="1" applyAlignment="1">
      <alignment horizontal="center" vertical="center"/>
    </xf>
    <xf numFmtId="0" fontId="24" fillId="47" borderId="141" xfId="0" applyNumberFormat="1" applyFont="1" applyFill="1" applyBorder="1" applyAlignment="1">
      <alignment horizontal="center" vertical="center"/>
    </xf>
    <xf numFmtId="0" fontId="24" fillId="47" borderId="142" xfId="0" applyNumberFormat="1" applyFont="1" applyFill="1" applyBorder="1" applyAlignment="1">
      <alignment horizontal="center" vertical="center"/>
    </xf>
    <xf numFmtId="0" fontId="78" fillId="6" borderId="118" xfId="0" applyNumberFormat="1" applyFont="1" applyFill="1" applyBorder="1" applyAlignment="1">
      <alignment horizontal="center" vertical="center"/>
    </xf>
    <xf numFmtId="0" fontId="78" fillId="6" borderId="117" xfId="0" applyNumberFormat="1" applyFont="1" applyFill="1" applyBorder="1" applyAlignment="1">
      <alignment horizontal="center" vertical="center"/>
    </xf>
    <xf numFmtId="0" fontId="78" fillId="6" borderId="119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122">
    <dxf>
      <alignment vertical="center" wrapText="0"/>
      <border diagonalUp="0" diagonalDown="0">
        <left style="thin">
          <color rgb="FF1D4ED8"/>
        </left>
        <right/>
        <top style="thin">
          <color rgb="FF1D4ED8"/>
        </top>
        <bottom style="thin">
          <color rgb="FF1D4ED8"/>
        </bottom>
        <vertical style="thin">
          <color rgb="FF1D4ED8"/>
        </vertical>
        <horizontal style="thin">
          <color rgb="FF1D4ED8"/>
        </horizontal>
      </border>
    </dxf>
    <dxf>
      <alignment vertical="center" wrapText="0"/>
      <border diagonalUp="0" diagonalDown="0">
        <left style="thin">
          <color rgb="FF1D4ED8"/>
        </left>
        <right style="thin">
          <color rgb="FF1D4ED8"/>
        </right>
        <top style="thin">
          <color rgb="FF1D4ED8"/>
        </top>
        <bottom style="thin">
          <color rgb="FF1D4ED8"/>
        </bottom>
        <vertical style="thin">
          <color rgb="FF1D4ED8"/>
        </vertical>
        <horizontal style="thin">
          <color rgb="FF1D4ED8"/>
        </horizontal>
      </border>
    </dxf>
    <dxf>
      <alignment vertical="center" wrapText="0"/>
      <border diagonalUp="0" diagonalDown="0">
        <left style="thin">
          <color rgb="FF1D4ED8"/>
        </left>
        <right style="thin">
          <color rgb="FF1D4ED8"/>
        </right>
        <top style="thin">
          <color rgb="FF1D4ED8"/>
        </top>
        <bottom style="thin">
          <color rgb="FF1D4ED8"/>
        </bottom>
        <vertical style="thin">
          <color rgb="FF1D4ED8"/>
        </vertical>
        <horizontal style="thin">
          <color rgb="FF1D4ED8"/>
        </horizontal>
      </border>
    </dxf>
    <dxf>
      <alignment vertical="center" wrapText="0"/>
      <border diagonalUp="0" diagonalDown="0">
        <left style="thin">
          <color rgb="FF1D4ED8"/>
        </left>
        <right style="thin">
          <color rgb="FF1D4ED8"/>
        </right>
        <top style="thin">
          <color rgb="FF1D4ED8"/>
        </top>
        <bottom style="thin">
          <color rgb="FF1D4ED8"/>
        </bottom>
        <vertical style="thin">
          <color rgb="FF1D4ED8"/>
        </vertical>
        <horizontal style="thin">
          <color rgb="FF1D4ED8"/>
        </horizontal>
      </border>
    </dxf>
    <dxf>
      <alignment vertical="center" wrapText="0"/>
      <border diagonalUp="0" diagonalDown="0">
        <left style="thin">
          <color rgb="FF1D4ED8"/>
        </left>
        <right style="thin">
          <color rgb="FF1D4ED8"/>
        </right>
        <top style="thin">
          <color rgb="FF1D4ED8"/>
        </top>
        <bottom style="thin">
          <color rgb="FF1D4ED8"/>
        </bottom>
        <vertical style="thin">
          <color rgb="FF1D4ED8"/>
        </vertical>
        <horizontal style="thin">
          <color rgb="FF1D4ED8"/>
        </horizontal>
      </border>
    </dxf>
    <dxf>
      <alignment vertical="center" wrapText="0"/>
      <border diagonalUp="0" diagonalDown="0">
        <left/>
        <right style="thin">
          <color rgb="FF1D4ED8"/>
        </right>
        <top style="thin">
          <color rgb="FF1D4ED8"/>
        </top>
        <bottom style="thin">
          <color rgb="FF1D4ED8"/>
        </bottom>
        <vertical style="thin">
          <color rgb="FF1D4ED8"/>
        </vertical>
        <horizontal style="thin">
          <color rgb="FF1D4ED8"/>
        </horizontal>
      </border>
    </dxf>
    <dxf>
      <border>
        <top style="medium">
          <color rgb="FFE6E6E6"/>
        </top>
      </border>
    </dxf>
    <dxf>
      <border diagonalUp="0" diagonalDown="0">
        <left style="medium">
          <color rgb="FFD9D9D9"/>
        </left>
        <right style="medium">
          <color rgb="FFD9D9D9"/>
        </right>
        <top style="medium">
          <color rgb="FFBFBFBF"/>
        </top>
        <bottom style="medium">
          <color rgb="FFBFBFBF"/>
        </bottom>
      </border>
    </dxf>
    <dxf>
      <alignment vertical="center" wrapText="0"/>
    </dxf>
    <dxf>
      <border>
        <bottom style="medium">
          <color rgb="FFE6E6E6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/>
      <border diagonalUp="0" diagonalDown="0">
        <left style="thin">
          <color rgb="FF1D4ED8"/>
        </left>
        <right style="thin">
          <color rgb="FF1D4ED8"/>
        </right>
        <top/>
        <bottom/>
        <vertical style="thin">
          <color rgb="FF1D4ED8"/>
        </vertical>
        <horizontal style="thin">
          <color rgb="FF1D4ED8"/>
        </horizontal>
      </border>
    </dxf>
    <dxf>
      <font>
        <sz val="11"/>
        <name val="Calibri"/>
      </font>
      <fill>
        <patternFill patternType="solid">
          <fgColor indexed="64"/>
          <bgColor rgb="FFF2F8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70C0"/>
        </left>
        <right style="medium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font>
        <sz val="11"/>
        <name val="Calibri"/>
      </font>
      <fill>
        <patternFill patternType="solid">
          <fgColor indexed="64"/>
          <bgColor rgb="FFF2F8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font>
        <sz val="11"/>
        <name val="Calibri"/>
      </font>
      <fill>
        <patternFill patternType="solid">
          <fgColor indexed="64"/>
          <bgColor rgb="FFF2F8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font>
        <sz val="11"/>
        <name val="Calibri"/>
      </font>
      <fill>
        <patternFill patternType="solid">
          <fgColor indexed="64"/>
          <bgColor rgb="FFF2F8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font>
        <b/>
        <sz val="11"/>
        <name val="Calibri"/>
      </font>
      <numFmt numFmtId="4" formatCode="#,##0.00"/>
      <fill>
        <patternFill patternType="solid">
          <fgColor indexed="64"/>
          <bgColor rgb="FFFFF8E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font>
        <b/>
        <sz val="11"/>
        <name val="Calibri"/>
      </font>
      <numFmt numFmtId="4" formatCode="#,##0.00"/>
      <fill>
        <patternFill patternType="solid">
          <fgColor indexed="64"/>
          <bgColor rgb="FFFFF8E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font>
        <b/>
        <sz val="11"/>
        <name val="Calibri"/>
      </font>
      <numFmt numFmtId="166" formatCode="0.00_);\(0.00\)"/>
      <fill>
        <patternFill patternType="solid">
          <fgColor indexed="64"/>
          <bgColor rgb="FFFFF8E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font>
        <b/>
        <sz val="11"/>
        <name val="Calibri"/>
      </font>
      <numFmt numFmtId="166" formatCode="0.00_);\(0.00\)"/>
      <fill>
        <patternFill patternType="solid">
          <fgColor indexed="64"/>
          <bgColor rgb="FFFFF8E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0" formatCode="General"/>
      <fill>
        <patternFill patternType="solid">
          <fgColor indexed="64"/>
          <bgColor rgb="FFF7F3FF"/>
        </patternFill>
      </fill>
      <alignment horizontal="center" vertical="center" wrapText="0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7F3FF"/>
        </patternFill>
      </fill>
      <alignment horizontal="center" vertical="center" wrapText="0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font>
        <sz val="11"/>
        <name val="Calibri"/>
      </font>
      <numFmt numFmtId="0" formatCode="General"/>
      <fill>
        <patternFill patternType="solid">
          <fgColor indexed="64"/>
          <bgColor rgb="FFF8FBF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indexed="64"/>
          <bgColor rgb="FFF2F8FB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70" formatCode="dd\-mmm\-yy"/>
      <fill>
        <patternFill patternType="solid">
          <fgColor indexed="64"/>
          <bgColor rgb="FFF2F8FB"/>
        </patternFill>
      </fill>
      <alignment horizontal="center" vertical="center" wrapText="0"/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indexed="64"/>
          <bgColor rgb="FFF8FAFC"/>
        </patternFill>
      </fill>
      <alignment horizontal="center" vertical="center" wrapText="0"/>
      <border diagonalUp="0" diagonalDown="0" outline="0">
        <left style="medium">
          <color rgb="FF0070C0"/>
        </left>
        <right/>
        <top style="thin">
          <color rgb="FF0070C0"/>
        </top>
        <bottom style="thin">
          <color rgb="FF0070C0"/>
        </bottom>
      </border>
    </dxf>
    <dxf>
      <border>
        <top style="thin">
          <color rgb="FFD9E2F3"/>
        </top>
      </border>
    </dxf>
    <dxf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</border>
    </dxf>
    <dxf>
      <font>
        <sz val="10"/>
        <name val="Calibri"/>
      </font>
      <alignment vertical="center" wrapText="0"/>
    </dxf>
    <dxf>
      <border>
        <bottom style="medium">
          <color rgb="FF0070C0"/>
        </bottom>
      </border>
    </dxf>
    <dxf>
      <font>
        <b/>
        <strike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70C0"/>
        </left>
        <right style="medium">
          <color rgb="FF0070C0"/>
        </right>
        <top/>
        <bottom/>
      </border>
    </dxf>
    <dxf>
      <font>
        <color rgb="FFF50A31"/>
      </font>
      <fill>
        <patternFill patternType="solid">
          <fgColor indexed="64"/>
          <bgColor rgb="FFF0DDD7"/>
        </patternFill>
      </fill>
    </dxf>
    <dxf>
      <font>
        <color rgb="FF7E12E3"/>
      </font>
      <fill>
        <patternFill patternType="solid">
          <fgColor indexed="64"/>
          <bgColor rgb="FFE0F0DF"/>
        </patternFill>
      </fill>
    </dxf>
    <dxf>
      <font>
        <color rgb="FF130929"/>
      </font>
      <fill>
        <patternFill patternType="solid">
          <fgColor indexed="64"/>
          <bgColor rgb="FFC4B1F0"/>
        </patternFill>
      </fill>
    </dxf>
    <dxf>
      <font>
        <color rgb="FF0000FF"/>
      </font>
      <fill>
        <patternFill patternType="solid">
          <fgColor indexed="64"/>
          <bgColor rgb="FFDCEAF2"/>
        </patternFill>
      </fill>
    </dxf>
    <dxf>
      <font>
        <color rgb="FF008000"/>
      </font>
      <fill>
        <patternFill patternType="solid">
          <fgColor indexed="64"/>
          <bgColor rgb="FFD9EEE8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 val="0"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strike val="0"/>
        <outline val="0"/>
        <shadow val="0"/>
        <u val="none"/>
        <vertAlign val="baseline"/>
        <sz val="12"/>
        <color rgb="FF222222"/>
        <name val="Calibri"/>
        <family val="2"/>
        <scheme val="none"/>
      </font>
      <numFmt numFmtId="4" formatCode="#,##0.00"/>
      <fill>
        <patternFill patternType="solid">
          <fgColor indexed="64"/>
          <bgColor rgb="FFFFF8E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70C0"/>
        </left>
        <right/>
        <top style="thin">
          <color rgb="FF0070C0"/>
        </top>
        <bottom style="thin">
          <color rgb="FF0070C0"/>
        </bottom>
      </border>
    </dxf>
    <dxf>
      <font>
        <b val="0"/>
        <strike val="0"/>
        <outline val="0"/>
        <shadow val="0"/>
        <u val="none"/>
        <vertAlign val="baseline"/>
        <sz val="12"/>
        <color rgb="FF222222"/>
        <name val="Calibri"/>
        <family val="2"/>
        <scheme val="none"/>
      </font>
      <numFmt numFmtId="4" formatCode="#,##0.00"/>
      <fill>
        <patternFill patternType="solid">
          <fgColor indexed="64"/>
          <bgColor rgb="FFFFF8E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 val="0"/>
        <strike val="0"/>
        <outline val="0"/>
        <shadow val="0"/>
        <u val="none"/>
        <vertAlign val="baseline"/>
        <sz val="12"/>
        <color rgb="FF222222"/>
        <name val="Calibri"/>
        <family val="2"/>
        <scheme val="none"/>
      </font>
      <fill>
        <patternFill patternType="solid">
          <fgColor indexed="64"/>
          <bgColor rgb="FFF2F8FB"/>
        </patternFill>
      </fill>
      <alignment horizontal="center" vertical="center" wrapText="1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font>
        <b val="0"/>
        <strike val="0"/>
        <outline val="0"/>
        <shadow val="0"/>
        <u val="none"/>
        <vertAlign val="baseline"/>
        <sz val="12"/>
        <color rgb="FF222222"/>
        <name val="Calibri"/>
        <family val="2"/>
        <scheme val="none"/>
      </font>
      <fill>
        <patternFill patternType="solid">
          <fgColor indexed="64"/>
          <bgColor rgb="FFF2F8FB"/>
        </patternFill>
      </fill>
      <alignment horizontal="center" vertical="center" wrapText="0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font>
        <b val="0"/>
        <strike val="0"/>
        <outline val="0"/>
        <shadow val="0"/>
        <u val="none"/>
        <vertAlign val="baseline"/>
        <sz val="12"/>
        <color rgb="FF222222"/>
        <name val="Calibri"/>
        <family val="2"/>
        <scheme val="none"/>
      </font>
      <fill>
        <patternFill patternType="solid">
          <fgColor indexed="64"/>
          <bgColor rgb="FFF2F8FB"/>
        </patternFill>
      </fill>
      <alignment horizontal="center" vertical="center" wrapText="1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font>
        <b val="0"/>
        <strike val="0"/>
        <outline val="0"/>
        <shadow val="0"/>
        <u val="none"/>
        <vertAlign val="baseline"/>
        <sz val="12"/>
        <color rgb="FF222222"/>
        <name val="Calibri"/>
        <family val="2"/>
        <scheme val="none"/>
      </font>
      <fill>
        <patternFill patternType="solid">
          <fgColor indexed="64"/>
          <bgColor rgb="FFF8FBF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 val="0"/>
        <strike val="0"/>
        <outline val="0"/>
        <shadow val="0"/>
        <u val="none"/>
        <vertAlign val="baseline"/>
        <sz val="11"/>
        <color rgb="FF222222"/>
        <name val="Calibri"/>
        <family val="2"/>
        <scheme val="none"/>
      </font>
      <fill>
        <patternFill patternType="solid">
          <fgColor indexed="64"/>
          <bgColor rgb="FFF8FB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/>
        <strike val="0"/>
        <outline val="0"/>
        <shadow val="0"/>
        <u val="none"/>
        <vertAlign val="baseline"/>
        <sz val="11"/>
        <color rgb="FF222222"/>
        <name val="Calibri"/>
        <family val="2"/>
        <scheme val="none"/>
      </font>
      <numFmt numFmtId="3" formatCode="#,##0"/>
      <fill>
        <patternFill patternType="solid">
          <fgColor indexed="64"/>
          <bgColor rgb="FFFFF8E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/>
        <strike val="0"/>
        <outline val="0"/>
        <shadow val="0"/>
        <u val="none"/>
        <vertAlign val="baseline"/>
        <sz val="11"/>
        <color rgb="FF222222"/>
        <name val="Calibri"/>
        <family val="2"/>
        <scheme val="none"/>
      </font>
      <numFmt numFmtId="166" formatCode="0.00_);\(0.00\)"/>
      <fill>
        <patternFill patternType="solid">
          <fgColor indexed="64"/>
          <bgColor rgb="FFFFF8E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 val="0"/>
        <strike val="0"/>
        <outline val="0"/>
        <shadow val="0"/>
        <u val="none"/>
        <vertAlign val="baseline"/>
        <sz val="11"/>
        <color rgb="FF222222"/>
        <name val="Calibri"/>
        <family val="2"/>
        <scheme val="none"/>
      </font>
      <numFmt numFmtId="0" formatCode="General"/>
      <fill>
        <patternFill patternType="solid">
          <fgColor indexed="64"/>
          <bgColor rgb="FFF7F3FF"/>
        </patternFill>
      </fill>
      <alignment horizontal="center" vertical="center" wrapText="0"/>
      <border diagonalUp="0" diagonalDown="0" outline="0">
        <left/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"/>
        <family val="2"/>
        <scheme val="none"/>
      </font>
      <fill>
        <patternFill patternType="solid">
          <fgColor indexed="64"/>
          <bgColor rgb="FFF7F3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 val="0"/>
        <strike val="0"/>
        <outline val="0"/>
        <shadow val="0"/>
        <u val="none"/>
        <vertAlign val="baseline"/>
        <sz val="12"/>
        <color rgb="FF222222"/>
        <name val="Calibri"/>
        <family val="2"/>
        <scheme val="none"/>
      </font>
      <numFmt numFmtId="0" formatCode="General"/>
      <fill>
        <patternFill patternType="solid">
          <fgColor indexed="64"/>
          <bgColor rgb="FFF8FBF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70C0"/>
        </left>
        <right/>
        <top style="thin">
          <color rgb="FF0070C0"/>
        </top>
        <bottom style="thin">
          <color rgb="FF0070C0"/>
        </bottom>
      </border>
    </dxf>
    <dxf>
      <font>
        <b val="0"/>
        <strike val="0"/>
        <outline val="0"/>
        <shadow val="0"/>
        <u val="none"/>
        <vertAlign val="baseline"/>
        <sz val="11"/>
        <color rgb="FF222222"/>
        <name val="Calibri"/>
        <family val="2"/>
        <scheme val="none"/>
      </font>
      <fill>
        <patternFill patternType="solid">
          <fgColor indexed="64"/>
          <bgColor rgb="FFF2F8FB"/>
        </patternFill>
      </fill>
      <alignment horizontal="center" vertical="center" wrapText="0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font>
        <b/>
        <strike val="0"/>
        <outline val="0"/>
        <shadow val="0"/>
        <u val="none"/>
        <vertAlign val="baseline"/>
        <sz val="11"/>
        <color rgb="FF222222"/>
        <name val="Calibri"/>
        <family val="2"/>
        <scheme val="none"/>
      </font>
      <numFmt numFmtId="20" formatCode="d\-mmm\-yy"/>
      <fill>
        <patternFill patternType="solid">
          <fgColor indexed="64"/>
          <bgColor rgb="FFF2F8FB"/>
        </patternFill>
      </fill>
      <alignment horizontal="center" vertical="center" wrapText="0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font>
        <b val="0"/>
        <strike val="0"/>
        <outline val="0"/>
        <shadow val="0"/>
        <u val="none"/>
        <vertAlign val="baseline"/>
        <sz val="11"/>
        <color rgb="FF222222"/>
        <name val="Calibri"/>
        <family val="2"/>
        <scheme val="none"/>
      </font>
      <fill>
        <patternFill patternType="solid">
          <fgColor indexed="64"/>
          <bgColor rgb="FFF8FAFC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border>
        <top style="thin">
          <color rgb="FF0070C0"/>
        </top>
      </border>
    </dxf>
    <dxf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 val="0"/>
        <sz val="10"/>
        <color rgb="FF222222"/>
        <name val="Calibri"/>
      </font>
      <fill>
        <patternFill patternType="solid">
          <fgColor indexed="64"/>
          <bgColor rgb="FFFFFFFF"/>
        </patternFill>
      </fill>
      <alignment vertical="center" wrapText="0"/>
    </dxf>
    <dxf>
      <border>
        <bottom style="medium">
          <color rgb="FF0070C0"/>
        </bottom>
      </border>
    </dxf>
    <dxf>
      <font>
        <b/>
        <strike val="0"/>
        <outline val="0"/>
        <shadow val="0"/>
        <u val="none"/>
        <vertAlign val="baseline"/>
        <sz val="14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wrapText="1"/>
      <border diagonalUp="0" diagonalDown="0" outline="0">
        <left style="medium">
          <color rgb="FF0070C0"/>
        </left>
        <right style="medium">
          <color rgb="FF0070C0"/>
        </right>
        <top/>
        <bottom/>
      </border>
    </dxf>
    <dxf>
      <font>
        <b/>
        <i val="0"/>
        <color rgb="FF00B050"/>
      </font>
      <fill>
        <patternFill patternType="solid">
          <fgColor indexed="64"/>
          <bgColor rgb="FFE2F0D9"/>
        </patternFill>
      </fill>
    </dxf>
    <dxf>
      <font>
        <b/>
        <i val="0"/>
        <color rgb="FFFF0000"/>
      </font>
      <fill>
        <patternFill patternType="solid">
          <fgColor indexed="64"/>
          <bgColor rgb="FFFCE4D6"/>
        </patternFill>
      </fill>
    </dxf>
    <dxf>
      <font>
        <color rgb="FFF50A31"/>
      </font>
      <fill>
        <patternFill patternType="solid">
          <fgColor indexed="64"/>
          <bgColor rgb="FFF0DDD7"/>
        </patternFill>
      </fill>
    </dxf>
    <dxf>
      <font>
        <color rgb="FF7E12E3"/>
      </font>
      <fill>
        <patternFill patternType="solid">
          <fgColor indexed="64"/>
          <bgColor rgb="FFE0F0DF"/>
        </patternFill>
      </fill>
    </dxf>
    <dxf>
      <font>
        <color rgb="FF130929"/>
      </font>
      <fill>
        <patternFill patternType="solid">
          <fgColor indexed="64"/>
          <bgColor rgb="FFC4B1F0"/>
        </patternFill>
      </fill>
    </dxf>
    <dxf>
      <font>
        <color rgb="FF0000FF"/>
      </font>
      <fill>
        <patternFill patternType="solid">
          <fgColor indexed="64"/>
          <bgColor rgb="FFDCEAF2"/>
        </patternFill>
      </fill>
    </dxf>
    <dxf>
      <font>
        <color rgb="FF008000"/>
      </font>
      <fill>
        <patternFill patternType="solid">
          <fgColor indexed="64"/>
          <bgColor rgb="FFD9EEE8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 val="0"/>
        <strike val="0"/>
        <outline val="0"/>
        <shadow val="0"/>
        <u val="none"/>
        <vertAlign val="baseline"/>
        <sz val="11"/>
        <color rgb="FF1F4E78"/>
        <name val="Calibri"/>
        <family val="2"/>
        <scheme val="none"/>
      </font>
      <fill>
        <patternFill patternType="solid">
          <fgColor indexed="64"/>
          <bgColor rgb="FFFFF2CC"/>
        </patternFill>
      </fill>
      <alignment horizontal="center" vertical="center" wrapText="1"/>
      <border diagonalUp="0" diagonalDown="0" outline="0">
        <left style="thin">
          <color rgb="FF5B9BD5"/>
        </left>
        <right/>
        <top style="thin">
          <color rgb="FF5B9BD5"/>
        </top>
        <bottom style="thin">
          <color rgb="FF5B9BD5"/>
        </bottom>
      </border>
    </dxf>
    <dxf>
      <font>
        <b val="0"/>
        <sz val="10"/>
        <color rgb="FF222222"/>
        <name val="Calibri"/>
      </font>
      <numFmt numFmtId="4" formatCode="#,##0.00"/>
      <fill>
        <patternFill patternType="solid">
          <fgColor indexed="64"/>
          <bgColor rgb="FFF8FBFF"/>
        </patternFill>
      </fill>
      <alignment horizontal="center" vertical="center" textRotation="0" indent="0" justifyLastLine="0" shrinkToFit="0" readingOrder="0"/>
      <border diagonalUp="0" diagonalDown="0" outline="0">
        <left/>
        <right style="thin">
          <color rgb="FF5B9BD5"/>
        </right>
        <top style="thin">
          <color rgb="FF5B9BD5"/>
        </top>
        <bottom style="thin">
          <color rgb="FF5B9BD5"/>
        </bottom>
      </border>
    </dxf>
    <dxf>
      <font>
        <b/>
        <sz val="10"/>
        <color rgb="FF1F4E78"/>
        <name val="Calibri"/>
      </font>
      <numFmt numFmtId="4" formatCode="#,##0.00"/>
      <fill>
        <patternFill patternType="solid">
          <fgColor indexed="64"/>
          <bgColor rgb="FFFFF2CC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</border>
    </dxf>
    <dxf>
      <font>
        <b/>
        <sz val="10"/>
        <color rgb="FF222222"/>
        <name val="Calibri"/>
      </font>
      <numFmt numFmtId="3" formatCode="#,##0"/>
      <fill>
        <patternFill patternType="solid">
          <fgColor indexed="64"/>
          <bgColor rgb="FFF8FBFF"/>
        </patternFill>
      </fill>
      <alignment horizontal="center" vertical="center" textRotation="0" indent="0" justifyLastLine="0" shrinkToFit="0" readingOrder="0"/>
      <border diagonalUp="0" diagonalDown="0" outline="0">
        <left/>
        <right/>
        <top style="thin">
          <color rgb="FF5B9BD5"/>
        </top>
        <bottom style="thin">
          <color rgb="FF5B9BD5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F8FBFF"/>
        </patternFill>
      </fill>
      <alignment horizontal="center" vertical="center" textRotation="0" indent="0" justifyLastLine="0" shrinkToFit="0" readingOrder="0"/>
      <border diagonalUp="0" diagonalDown="0" outline="0">
        <left/>
        <right style="thin">
          <color rgb="FF5B9BD5"/>
        </right>
        <top style="thin">
          <color rgb="FF5B9BD5"/>
        </top>
        <bottom style="thin">
          <color rgb="FF5B9BD5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F8FBFF"/>
        </patternFill>
      </fill>
      <alignment horizontal="center" vertical="center" textRotation="0" indent="0" justifyLastLine="0" shrinkToFit="0" readingOrder="0"/>
      <border diagonalUp="0" diagonalDown="0" outline="0">
        <left/>
        <right/>
        <top style="thin">
          <color rgb="FF5B9BD5"/>
        </top>
        <bottom style="thin">
          <color rgb="FF5B9BD5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FFF8E8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7F3FF"/>
        </patternFill>
      </fill>
      <alignment horizontal="center" vertical="center"/>
      <border diagonalUp="0" diagonalDown="0" outline="0">
        <left style="thin">
          <color rgb="FF0070C0"/>
        </left>
        <right/>
        <top style="thin">
          <color rgb="FF0070C0"/>
        </top>
        <bottom style="thin">
          <color rgb="FF0070C0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8FBF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F8FB"/>
        </patternFill>
      </fill>
      <alignment horizontal="center" vertical="center"/>
      <border diagonalUp="0" diagonalDown="0" outline="0">
        <left/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center"/>
      <border diagonalUp="0" diagonalDown="0" outline="0">
        <left/>
        <right style="thin">
          <color rgb="FF5B9BD5"/>
        </right>
        <top style="thin">
          <color rgb="FF5B9BD5"/>
        </top>
        <bottom style="thin">
          <color rgb="FF5B9BD5"/>
        </bottom>
      </border>
    </dxf>
    <dxf>
      <font>
        <b val="0"/>
        <sz val="10"/>
        <color rgb="FF222222"/>
        <name val="Calibri"/>
      </font>
      <alignment vertical="center"/>
    </dxf>
    <dxf>
      <border>
        <bottom style="thick">
          <color rgb="FF2F5597"/>
        </bottom>
      </border>
    </dxf>
    <dxf>
      <font>
        <b/>
        <strike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5B9BD5"/>
        </left>
        <right style="thin">
          <color rgb="FF5B9BD5"/>
        </right>
        <top/>
        <bottom/>
      </border>
    </dxf>
    <dxf>
      <font>
        <b/>
        <i val="0"/>
        <color rgb="FF00B050"/>
      </font>
      <fill>
        <patternFill patternType="solid">
          <fgColor indexed="64"/>
          <bgColor rgb="FFE2F0D9"/>
        </patternFill>
      </fill>
    </dxf>
    <dxf>
      <font>
        <b/>
        <i val="0"/>
        <color rgb="FFFF0000"/>
      </font>
      <fill>
        <patternFill patternType="solid">
          <fgColor indexed="64"/>
          <bgColor rgb="FFFCE4D6"/>
        </patternFill>
      </fill>
    </dxf>
    <dxf>
      <font>
        <b val="0"/>
        <strike val="0"/>
        <outline val="0"/>
        <shadow val="0"/>
        <u val="none"/>
        <vertAlign val="baseline"/>
        <sz val="12"/>
        <color rgb="FF1F4E78"/>
        <name val="Calibri"/>
        <family val="2"/>
        <scheme val="none"/>
      </font>
      <fill>
        <patternFill patternType="solid">
          <fgColor indexed="64"/>
          <bgColor rgb="FFFFF2CC"/>
        </patternFill>
      </fill>
      <alignment horizontal="center" vertical="center" wrapText="1"/>
      <border diagonalUp="0" diagonalDown="0" outline="0">
        <left/>
        <right/>
        <top style="thin">
          <color rgb="FF5B9BD5"/>
        </top>
        <bottom style="thin">
          <color rgb="FF5B9BD5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4" formatCode="#,##0.00"/>
      <fill>
        <patternFill patternType="solid">
          <fgColor indexed="64"/>
          <bgColor rgb="FFF8FBFF"/>
        </patternFill>
      </fill>
      <alignment horizontal="center" vertical="center" textRotation="0" indent="0" justifyLastLine="0" shrinkToFit="0" readingOrder="0"/>
      <border diagonalUp="0" diagonalDown="0" outline="0">
        <left/>
        <right style="thin">
          <color rgb="FF5B9BD5"/>
        </right>
        <top style="thin">
          <color rgb="FF5B9BD5"/>
        </top>
        <bottom style="thin">
          <color rgb="FF5B9BD5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4" formatCode="#,##0.00"/>
      <fill>
        <patternFill patternType="solid">
          <fgColor indexed="64"/>
          <bgColor rgb="FFFFF2CC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rgb="FF5B9BD5"/>
        </left>
        <right/>
        <top style="thin">
          <color rgb="FF5B9BD5"/>
        </top>
        <bottom style="thin">
          <color rgb="FF5B9BD5"/>
        </bottom>
      </border>
    </dxf>
    <dxf>
      <font>
        <b/>
        <strike val="0"/>
        <outline val="0"/>
        <shadow val="0"/>
        <u val="none"/>
        <vertAlign val="baseline"/>
        <sz val="12"/>
        <color rgb="FF222222"/>
        <name val="Calibri"/>
        <family val="2"/>
        <scheme val="none"/>
      </font>
      <numFmt numFmtId="3" formatCode="#,##0"/>
      <fill>
        <patternFill patternType="solid">
          <fgColor indexed="64"/>
          <bgColor rgb="FFF8FBFF"/>
        </patternFill>
      </fill>
      <alignment horizontal="center" vertical="center" textRotation="0" indent="0" justifyLastLine="0" shrinkToFit="0" readingOrder="0"/>
      <border diagonalUp="0" diagonalDown="0" outline="0">
        <left/>
        <right/>
        <top style="thin">
          <color rgb="FF5B9BD5"/>
        </top>
        <bottom style="thin">
          <color rgb="FF5B9BD5"/>
        </bottom>
      </border>
    </dxf>
    <dxf>
      <font>
        <b/>
        <strike val="0"/>
        <outline val="0"/>
        <shadow val="0"/>
        <u val="none"/>
        <vertAlign val="baseline"/>
        <sz val="12"/>
        <color rgb="FF222222"/>
        <name val="Calibri"/>
        <family val="2"/>
        <scheme val="none"/>
      </font>
      <numFmt numFmtId="3" formatCode="#,##0"/>
      <fill>
        <patternFill patternType="solid">
          <fgColor indexed="64"/>
          <bgColor rgb="FFF8FBFF"/>
        </patternFill>
      </fill>
      <alignment horizontal="center" vertical="center" textRotation="0" indent="0" justifyLastLine="0" shrinkToFit="0" readingOrder="0"/>
      <border diagonalUp="0" diagonalDown="0" outline="0">
        <left/>
        <right style="thin">
          <color rgb="FF5B9BD5"/>
        </right>
        <top style="thin">
          <color rgb="FF5B9BD5"/>
        </top>
        <bottom style="thin">
          <color rgb="FF5B9BD5"/>
        </bottom>
      </border>
    </dxf>
    <dxf>
      <font>
        <b/>
        <strike val="0"/>
        <outline val="0"/>
        <shadow val="0"/>
        <u val="none"/>
        <vertAlign val="baseline"/>
        <sz val="12"/>
        <color rgb="FF222222"/>
        <name val="Calibri"/>
        <family val="2"/>
        <scheme val="none"/>
      </font>
      <numFmt numFmtId="3" formatCode="#,##0"/>
      <fill>
        <patternFill patternType="solid">
          <fgColor indexed="64"/>
          <bgColor rgb="FFF8FBFF"/>
        </patternFill>
      </fill>
      <alignment horizontal="center" vertical="center" textRotation="0" indent="0" justifyLastLine="0" shrinkToFit="0" readingOrder="0"/>
      <border diagonalUp="0" diagonalDown="0" outline="0">
        <left/>
        <right/>
        <top style="thin">
          <color rgb="FF5B9BD5"/>
        </top>
        <bottom style="thin">
          <color rgb="FF5B9BD5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FFF8E8"/>
        </patternFill>
      </fill>
      <alignment horizontal="center" vertical="center" textRotation="0" indent="0" justifyLastLine="0" shrinkToFit="0" readingOrder="0"/>
      <border diagonalUp="0" diagonalDown="0" outline="0">
        <left/>
        <right/>
        <top style="thin">
          <color rgb="FF0070C0"/>
        </top>
        <bottom style="thin">
          <color rgb="FF0070C0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7F3FF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rgb="FF0070C0"/>
        </left>
        <right/>
        <top style="thin">
          <color rgb="FF0070C0"/>
        </top>
        <bottom style="thin">
          <color rgb="FF0070C0"/>
        </bottom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rgb="FFF8FBF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70C0"/>
        </left>
        <right/>
        <top style="thin">
          <color rgb="FF0070C0"/>
        </top>
        <bottom style="thin">
          <color rgb="FF0070C0"/>
        </bottom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rgb="FFF2F8FB"/>
        </patternFill>
      </fill>
      <alignment horizontal="center" vertical="center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font>
        <b val="0"/>
        <strike val="0"/>
        <outline val="0"/>
        <shadow val="0"/>
        <u val="none"/>
        <vertAlign val="baseline"/>
        <sz val="12"/>
        <color rgb="FF222222"/>
        <name val="Calibri"/>
        <family val="2"/>
        <scheme val="none"/>
      </font>
      <numFmt numFmtId="1" formatCode="0"/>
      <alignment horizontal="center" vertical="center"/>
      <border diagonalUp="0" diagonalDown="0">
        <left/>
        <right style="thin">
          <color rgb="FF5B9BD5"/>
        </right>
        <top style="thin">
          <color rgb="FF5B9BD5"/>
        </top>
        <bottom style="thin">
          <color rgb="FF5B9BD5"/>
        </bottom>
      </border>
    </dxf>
    <dxf>
      <font>
        <b val="0"/>
        <strike val="0"/>
        <outline val="0"/>
        <shadow val="0"/>
        <u val="none"/>
        <vertAlign val="baseline"/>
        <sz val="12"/>
        <color rgb="FF222222"/>
        <name val="Calibri"/>
        <family val="2"/>
        <scheme val="none"/>
      </font>
      <alignment vertical="center"/>
    </dxf>
    <dxf>
      <border>
        <bottom style="thick">
          <color rgb="FF2F5597"/>
        </bottom>
      </border>
    </dxf>
    <dxf>
      <font>
        <b/>
        <strike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5B9BD5"/>
        </left>
        <right style="thin">
          <color rgb="FF5B9BD5"/>
        </right>
        <top/>
        <bottom/>
      </border>
    </dxf>
    <dxf>
      <font>
        <b/>
        <i val="0"/>
        <color rgb="FF00B050"/>
      </font>
      <fill>
        <patternFill patternType="solid">
          <fgColor indexed="64"/>
          <bgColor rgb="FFE2F0D9"/>
        </patternFill>
      </fill>
    </dxf>
    <dxf>
      <font>
        <b/>
        <i val="0"/>
        <color rgb="FFFF0000"/>
      </font>
      <fill>
        <patternFill patternType="solid">
          <fgColor indexed="64"/>
          <bgColor rgb="FFFCE4D6"/>
        </patternFill>
      </fill>
    </dxf>
    <dxf>
      <font>
        <b val="0"/>
        <strike val="0"/>
        <outline val="0"/>
        <shadow val="0"/>
        <u val="none"/>
        <vertAlign val="baseline"/>
        <sz val="12"/>
        <color rgb="FF1F4E78"/>
        <name val="Calibri"/>
        <family val="2"/>
        <scheme val="none"/>
      </font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rgb="FF5B9BD5"/>
        </top>
        <bottom style="thin">
          <color rgb="FF5B9BD5"/>
        </bottom>
      </border>
    </dxf>
    <dxf>
      <font>
        <b/>
        <strike val="0"/>
        <outline val="0"/>
        <shadow val="0"/>
        <u val="none"/>
        <vertAlign val="baseline"/>
        <sz val="12"/>
        <color rgb="FF222222"/>
        <name val="Calibri"/>
        <family val="2"/>
        <scheme val="none"/>
      </font>
      <numFmt numFmtId="4" formatCode="#,##0.00"/>
      <fill>
        <patternFill patternType="solid">
          <fgColor indexed="64"/>
          <bgColor rgb="FFF8FBFF"/>
        </patternFill>
      </fill>
      <alignment horizontal="center" vertical="center" textRotation="0" indent="0" justifyLastLine="0" shrinkToFit="0" readingOrder="0"/>
      <border diagonalUp="0" diagonalDown="0" outline="0">
        <left/>
        <right style="thin">
          <color rgb="FF5B9BD5"/>
        </right>
        <top style="thin">
          <color rgb="FF5B9BD5"/>
        </top>
        <bottom style="thin">
          <color rgb="FF5B9BD5"/>
        </bottom>
      </border>
    </dxf>
    <dxf>
      <font>
        <b/>
        <strike val="0"/>
        <outline val="0"/>
        <shadow val="0"/>
        <u val="none"/>
        <vertAlign val="baseline"/>
        <sz val="12"/>
        <color rgb="FF1F4E78"/>
        <name val="Calibri"/>
        <family val="2"/>
        <scheme val="none"/>
      </font>
      <numFmt numFmtId="4" formatCode="#,##0.00"/>
      <fill>
        <patternFill patternType="solid">
          <fgColor indexed="64"/>
          <bgColor rgb="FFFFF2CC"/>
        </patternFill>
      </fill>
      <alignment horizontal="center" vertical="center" textRotation="0" indent="0" justifyLastLine="0" shrinkToFit="0" readingOrder="0"/>
      <border diagonalUp="0" diagonalDown="0" outline="0">
        <left/>
        <right/>
        <top style="thin">
          <color rgb="FF5B9BD5"/>
        </top>
        <bottom style="thin">
          <color rgb="FF5B9BD5"/>
        </bottom>
      </border>
    </dxf>
    <dxf>
      <font>
        <b/>
        <strike val="0"/>
        <outline val="0"/>
        <shadow val="0"/>
        <u val="none"/>
        <vertAlign val="baseline"/>
        <sz val="11"/>
        <color rgb="FF222222"/>
        <name val="Calibri"/>
        <family val="2"/>
        <scheme val="none"/>
      </font>
      <numFmt numFmtId="3" formatCode="#,##0"/>
      <fill>
        <patternFill patternType="solid">
          <fgColor indexed="64"/>
          <bgColor rgb="FFF8FBFF"/>
        </patternFill>
      </fill>
      <alignment horizontal="center" vertical="center" textRotation="0" indent="0" justifyLastLine="0" shrinkToFit="0" readingOrder="0"/>
      <border diagonalUp="0" diagonalDown="0" outline="0">
        <left/>
        <right/>
        <top style="thin">
          <color rgb="FF5B9BD5"/>
        </top>
        <bottom style="thin">
          <color rgb="FF5B9BD5"/>
        </bottom>
      </border>
    </dxf>
    <dxf>
      <font>
        <b/>
        <strike val="0"/>
        <outline val="0"/>
        <shadow val="0"/>
        <u val="none"/>
        <vertAlign val="baseline"/>
        <sz val="11"/>
        <color rgb="FF222222"/>
        <name val="Calibri"/>
        <family val="2"/>
        <scheme val="none"/>
      </font>
      <numFmt numFmtId="3" formatCode="#,##0"/>
      <fill>
        <patternFill patternType="solid">
          <fgColor indexed="64"/>
          <bgColor rgb="FFF8FBFF"/>
        </patternFill>
      </fill>
      <alignment horizontal="center" vertical="center" textRotation="0" indent="0" justifyLastLine="0" shrinkToFit="0" readingOrder="0"/>
      <border diagonalUp="0" diagonalDown="0" outline="0">
        <left/>
        <right/>
        <top style="thin">
          <color rgb="FF5B9BD5"/>
        </top>
        <bottom style="thin">
          <color rgb="FF5B9BD5"/>
        </bottom>
      </border>
    </dxf>
    <dxf>
      <font>
        <b/>
        <strike val="0"/>
        <outline val="0"/>
        <shadow val="0"/>
        <u val="none"/>
        <vertAlign val="baseline"/>
        <sz val="11"/>
        <color rgb="FF222222"/>
        <name val="Calibri"/>
        <family val="2"/>
        <scheme val="none"/>
      </font>
      <numFmt numFmtId="3" formatCode="#,##0"/>
      <fill>
        <patternFill patternType="solid">
          <fgColor indexed="64"/>
          <bgColor rgb="FFF8FBFF"/>
        </patternFill>
      </fill>
      <alignment horizontal="center" vertical="center" textRotation="0" indent="0" justifyLastLine="0" shrinkToFit="0" readingOrder="0"/>
      <border diagonalUp="0" diagonalDown="0" outline="0">
        <left/>
        <right/>
        <top style="thin">
          <color rgb="FF5B9BD5"/>
        </top>
        <bottom style="thin">
          <color rgb="FF5B9BD5"/>
        </bottom>
      </border>
    </dxf>
    <dxf>
      <font>
        <b/>
        <strike val="0"/>
        <outline val="0"/>
        <shadow val="0"/>
        <u val="none"/>
        <vertAlign val="baseline"/>
        <sz val="12"/>
        <color rgb="FF1F4E78"/>
        <name val="Calibri"/>
        <family val="2"/>
        <scheme val="none"/>
      </font>
      <numFmt numFmtId="3" formatCode="#,##0"/>
      <fill>
        <patternFill patternType="solid">
          <fgColor indexed="64"/>
          <bgColor rgb="FFFFF8E8"/>
        </patternFill>
      </fill>
      <alignment horizontal="center" vertical="center" textRotation="0" indent="0" justifyLastLine="0" shrinkToFit="0" readingOrder="0"/>
      <border diagonalUp="0" diagonalDown="0" outline="0">
        <left/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/>
        <sz val="10"/>
        <color rgb="FF1F4E78"/>
        <name val="Calibri"/>
      </font>
      <fill>
        <patternFill patternType="solid">
          <fgColor indexed="64"/>
          <bgColor rgb="FFF7F3FF"/>
        </patternFill>
      </fill>
      <alignment horizontal="center" vertical="center"/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rgb="FFF8FBF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70C0"/>
        </left>
        <right/>
        <top style="thin">
          <color rgb="FF0070C0"/>
        </top>
        <bottom style="thin">
          <color rgb="FF0070C0"/>
        </bottom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rgb="FFF2F8FB"/>
        </patternFill>
      </fill>
      <alignment horizontal="center" vertical="center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 style="thin">
          <color rgb="FF0070C0"/>
        </vertical>
        <horizontal style="thin">
          <color rgb="FF0070C0"/>
        </horizontal>
      </border>
    </dxf>
    <dxf>
      <font>
        <b val="0"/>
        <strike val="0"/>
        <outline val="0"/>
        <shadow val="0"/>
        <u val="none"/>
        <vertAlign val="baseline"/>
        <sz val="12"/>
        <color rgb="FF222222"/>
        <name val="Calibri"/>
        <family val="2"/>
        <scheme val="none"/>
      </font>
      <numFmt numFmtId="1" formatCode="0"/>
      <alignment horizontal="center" vertical="center"/>
      <border diagonalUp="0" diagonalDown="0">
        <left/>
        <right style="thin">
          <color rgb="FF5B9BD5"/>
        </right>
        <top style="thin">
          <color rgb="FF5B9BD5"/>
        </top>
        <bottom style="thin">
          <color rgb="FF5B9BD5"/>
        </bottom>
      </border>
    </dxf>
    <dxf>
      <font>
        <b val="0"/>
        <sz val="10"/>
        <color rgb="FF222222"/>
        <name val="Calibri"/>
      </font>
      <alignment vertical="center"/>
    </dxf>
    <dxf>
      <border>
        <bottom style="thick">
          <color rgb="FF2F5597"/>
        </bottom>
      </border>
    </dxf>
    <dxf>
      <font>
        <b/>
        <strike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5B9BD5"/>
        </left>
        <right style="thin">
          <color rgb="FF5B9BD5"/>
        </right>
        <top/>
        <bottom/>
      </border>
    </dxf>
    <dxf>
      <font>
        <b/>
        <i val="0"/>
        <color rgb="FF00B050"/>
      </font>
      <fill>
        <patternFill patternType="solid">
          <fgColor indexed="64"/>
          <bgColor rgb="FFE2F0D9"/>
        </patternFill>
      </fill>
    </dxf>
    <dxf>
      <font>
        <b/>
        <i val="0"/>
        <color rgb="FFFF0000"/>
      </font>
      <fill>
        <patternFill patternType="solid">
          <fgColor indexed="64"/>
          <bgColor rgb="FFFCE4D6"/>
        </patternFill>
      </fill>
    </dxf>
    <dxf>
      <font>
        <color rgb="FF991B1B"/>
      </font>
      <fill>
        <patternFill patternType="solid">
          <fgColor indexed="64"/>
          <bgColor rgb="FFFEE2E2"/>
        </patternFill>
      </fill>
    </dxf>
    <dxf>
      <font>
        <color rgb="FF166534"/>
      </font>
      <fill>
        <patternFill patternType="solid">
          <fgColor indexed="64"/>
          <bgColor rgb="FFDCFCE7"/>
        </patternFill>
      </fill>
    </dxf>
    <dxf>
      <font>
        <color rgb="FF92400E"/>
      </font>
      <fill>
        <patternFill patternType="solid">
          <fgColor indexed="64"/>
          <bgColor rgb="FFFEF3C7"/>
        </patternFill>
      </fill>
    </dxf>
    <dxf>
      <font>
        <color rgb="FF374151"/>
      </font>
      <fill>
        <patternFill patternType="solid">
          <fgColor indexed="64"/>
          <bgColor rgb="FFE5E7EB"/>
        </patternFill>
      </fill>
    </dxf>
    <dxf>
      <font>
        <color rgb="FF166534"/>
      </font>
      <fill>
        <patternFill patternType="solid">
          <fgColor indexed="64"/>
          <bgColor rgb="FFDCFCE7"/>
        </patternFill>
      </fill>
    </dxf>
    <dxf>
      <font>
        <color rgb="FF92400E"/>
      </font>
      <fill>
        <patternFill patternType="solid">
          <fgColor indexed="64"/>
          <bgColor rgb="FFFEF3C7"/>
        </patternFill>
      </fill>
    </dxf>
    <dxf>
      <font>
        <color rgb="FF991B1B"/>
      </font>
      <fill>
        <patternFill patternType="solid">
          <fgColor indexed="64"/>
          <bgColor rgb="FFFEE2E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EECE1"/>
      <rgbColor rgb="FFFF00FF"/>
      <rgbColor rgb="FF00FFFF"/>
      <rgbColor rgb="FF9C0006"/>
      <rgbColor rgb="FF008000"/>
      <rgbColor rgb="FF002060"/>
      <rgbColor rgb="FF808000"/>
      <rgbColor rgb="FF800080"/>
      <rgbColor rgb="FF4F81BD"/>
      <rgbColor rgb="FFB7B7B7"/>
      <rgbColor rgb="FF878787"/>
      <rgbColor rgb="FF93A9CE"/>
      <rgbColor rgb="FFAB4744"/>
      <rgbColor rgb="FFFFF2CC"/>
      <rgbColor rgb="FFDBEEF4"/>
      <rgbColor rgb="FF660066"/>
      <rgbColor rgb="FFD99694"/>
      <rgbColor rgb="FF0070C0"/>
      <rgbColor rgb="FFC6D9F1"/>
      <rgbColor rgb="FF000080"/>
      <rgbColor rgb="FFFF00FF"/>
      <rgbColor rgb="FFDCE6F2"/>
      <rgbColor rgb="FF00FFFF"/>
      <rgbColor rgb="FF800080"/>
      <rgbColor rgb="FF800000"/>
      <rgbColor rgb="FF008080"/>
      <rgbColor rgb="FF0000FF"/>
      <rgbColor rgb="FF00CCFF"/>
      <rgbColor rgb="FFDDEBF7"/>
      <rgbColor rgb="FFE2F0D9"/>
      <rgbColor rgb="FFEBF1DE"/>
      <rgbColor rgb="FFD9D9D9"/>
      <rgbColor rgb="FFD09493"/>
      <rgbColor rgb="FFDDD9C3"/>
      <rgbColor rgb="FFF4B183"/>
      <rgbColor rgb="FF4672A8"/>
      <rgbColor rgb="FF4299B0"/>
      <rgbColor rgb="FF70AD47"/>
      <rgbColor rgb="FFFCE4D6"/>
      <rgbColor rgb="FFDC853E"/>
      <rgbColor rgb="FFFF6600"/>
      <rgbColor rgb="FF725990"/>
      <rgbColor rgb="FF8AA64F"/>
      <rgbColor rgb="FF17375E"/>
      <rgbColor rgb="FF31859C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Monthly Issuance Value (PKR)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'Machine Issuance Dashboard'!$B$64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1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35C-49B8-B2AD-0B9C92E89597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35C-49B8-B2AD-0B9C92E89597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235C-49B8-B2AD-0B9C92E89597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235C-49B8-B2AD-0B9C92E89597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235C-49B8-B2AD-0B9C92E89597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235C-49B8-B2AD-0B9C92E89597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235C-49B8-B2AD-0B9C92E89597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2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235C-49B8-B2AD-0B9C92E89597}"/>
              </c:ext>
            </c:extLst>
          </c:dPt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5C-49B8-B2AD-0B9C92E89597}"/>
                </c:ext>
              </c:extLst>
            </c:dLbl>
            <c:dLbl>
              <c:idx val="1"/>
              <c:layout>
                <c:manualLayout>
                  <c:x val="-3.5256002976055367E-17"/>
                  <c:y val="6.965050421328913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35C-49B8-B2AD-0B9C92E895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'Machine Issuance Dashboard'!$A$65:$A$72</c:f>
              <c:numCache>
                <c:formatCode>mmm\-yyyy</c:formatCode>
                <c:ptCount val="8"/>
                <c:pt idx="0">
                  <c:v>46143</c:v>
                </c:pt>
                <c:pt idx="1">
                  <c:v>46174</c:v>
                </c:pt>
                <c:pt idx="2">
                  <c:v>46204</c:v>
                </c:pt>
                <c:pt idx="3">
                  <c:v>46235</c:v>
                </c:pt>
                <c:pt idx="4">
                  <c:v>46266</c:v>
                </c:pt>
                <c:pt idx="5">
                  <c:v>46296</c:v>
                </c:pt>
                <c:pt idx="6">
                  <c:v>46327</c:v>
                </c:pt>
                <c:pt idx="7">
                  <c:v>46357</c:v>
                </c:pt>
              </c:numCache>
            </c:numRef>
          </c:cat>
          <c:val>
            <c:numRef>
              <c:f>'Machine Issuance Dashboard'!$B$65:$B$72</c:f>
              <c:numCache>
                <c:formatCode>#,##0</c:formatCode>
                <c:ptCount val="8"/>
                <c:pt idx="0">
                  <c:v>2870884.9594999999</c:v>
                </c:pt>
                <c:pt idx="1">
                  <c:v>2829682.4589280002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35C-49B8-B2AD-0B9C92E8959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446510"/>
        <c:axId val="94479650"/>
      </c:barChart>
      <c:dateAx>
        <c:axId val="164465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>
                    <a:solidFill>
                      <a:schemeClr val="tx1"/>
                    </a:solidFill>
                  </a:rPr>
                  <a:t>Month</a:t>
                </a:r>
              </a:p>
            </c:rich>
          </c:tx>
          <c:layout>
            <c:manualLayout>
              <c:xMode val="edge"/>
              <c:yMode val="edge"/>
              <c:x val="0.47782002534854245"/>
              <c:y val="0.83775132759567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yy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79650"/>
        <c:crosses val="autoZero"/>
        <c:auto val="1"/>
        <c:lblOffset val="100"/>
        <c:baseTimeUnit val="months"/>
      </c:dateAx>
      <c:valAx>
        <c:axId val="9447965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 b="1">
                    <a:solidFill>
                      <a:schemeClr val="tx1"/>
                    </a:solidFill>
                  </a:rPr>
                  <a:t>Total Value</a:t>
                </a:r>
              </a:p>
            </c:rich>
          </c:tx>
          <c:layout>
            <c:manualLayout>
              <c:xMode val="edge"/>
              <c:yMode val="edge"/>
              <c:x val="2.0278833967046894E-2"/>
              <c:y val="0.359450650064090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crossAx val="164465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5348442661397369E-2"/>
          <c:y val="0.91133675151071236"/>
          <c:w val="0.9"/>
          <c:h val="6.5407434535799308E-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rgbClr val="22222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>
          <a:solidFill>
            <a:srgbClr val="222222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320675</xdr:colOff>
      <xdr:row>61</xdr:row>
      <xdr:rowOff>88900</xdr:rowOff>
    </xdr:from>
    <xdr:to>
      <xdr:col>9</xdr:col>
      <xdr:colOff>619125</xdr:colOff>
      <xdr:row>75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oryTable" displayName="InventoryTable" ref="A3:K1002" totalsRowShown="0" headerRowDxfId="112" dataDxfId="110" headerRowBorderDxfId="111">
  <autoFilter ref="A3:K1002" xr:uid="{00000000-0009-0000-0100-000001000000}"/>
  <tableColumns count="11">
    <tableColumn id="1" xr3:uid="{00000000-0010-0000-0000-000001000000}" name="Sr No" dataDxfId="109">
      <calculatedColumnFormula>IF($B4="","",MAX($A$3:A3)+1)</calculatedColumnFormula>
    </tableColumn>
    <tableColumn id="2" xr3:uid="{00000000-0010-0000-0000-000002000000}" name="Item Code" dataDxfId="108"/>
    <tableColumn id="3" xr3:uid="{00000000-0010-0000-0000-000003000000}" name="Item Description" dataDxfId="107"/>
    <tableColumn id="4" xr3:uid="{00000000-0010-0000-0000-000004000000}" name="UOM" dataDxfId="106"/>
    <tableColumn id="5" xr3:uid="{00000000-0010-0000-0000-000005000000}" name="Opening Qty" dataDxfId="105"/>
    <tableColumn id="6" xr3:uid="{00000000-0010-0000-0000-000006000000}" name="Inward Qty" dataDxfId="104"/>
    <tableColumn id="7" xr3:uid="{00000000-0010-0000-0000-000007000000}" name="Issued Qty" dataDxfId="103"/>
    <tableColumn id="8" xr3:uid="{00000000-0010-0000-0000-000008000000}" name="Balance Qty" dataDxfId="102"/>
    <tableColumn id="9" xr3:uid="{00000000-0010-0000-0000-000009000000}" name="Unit Price" dataDxfId="101"/>
    <tableColumn id="10" xr3:uid="{00000000-0010-0000-0000-00000A000000}" name="Total Value" dataDxfId="100"/>
    <tableColumn id="11" xr3:uid="{00000000-0010-0000-0000-00000B000000}" name="Location" dataDxfId="9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NonInventoryTable" displayName="NonInventoryTable" ref="A3:K997" totalsRowShown="0" headerRowDxfId="96" dataDxfId="94" headerRowBorderDxfId="95">
  <autoFilter ref="A3:K997" xr:uid="{00000000-0009-0000-0100-000002000000}"/>
  <tableColumns count="11">
    <tableColumn id="1" xr3:uid="{00000000-0010-0000-0100-000001000000}" name="Sr No" dataDxfId="93">
      <calculatedColumnFormula>IF($B4="","",MAX($A$3:A3)+1)</calculatedColumnFormula>
    </tableColumn>
    <tableColumn id="2" xr3:uid="{00000000-0010-0000-0100-000002000000}" name="Item Code" dataDxfId="92"/>
    <tableColumn id="3" xr3:uid="{00000000-0010-0000-0100-000003000000}" name="Item Description" dataDxfId="91"/>
    <tableColumn id="4" xr3:uid="{00000000-0010-0000-0100-000004000000}" name="UOM" dataDxfId="90"/>
    <tableColumn id="5" xr3:uid="{00000000-0010-0000-0100-000005000000}" name="Opening Qty" dataDxfId="89"/>
    <tableColumn id="6" xr3:uid="{00000000-0010-0000-0100-000006000000}" name="Inward Qty" dataDxfId="88"/>
    <tableColumn id="7" xr3:uid="{00000000-0010-0000-0100-000007000000}" name="Issued Qty" dataDxfId="87"/>
    <tableColumn id="8" xr3:uid="{00000000-0010-0000-0100-000008000000}" name="Balance Qty" dataDxfId="86"/>
    <tableColumn id="9" xr3:uid="{00000000-0010-0000-0100-000009000000}" name="Unit Price" dataDxfId="85"/>
    <tableColumn id="10" xr3:uid="{00000000-0010-0000-0100-00000A000000}" name="Total Value" dataDxfId="84"/>
    <tableColumn id="11" xr3:uid="{00000000-0010-0000-0100-00000B000000}" name="Location" dataDxfId="8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InventoryTable6" displayName="InventoryTable6" ref="A3:K1003" totalsRowShown="0" headerRowDxfId="80" dataDxfId="78" headerRowBorderDxfId="79">
  <autoFilter ref="A3:K1003" xr:uid="{00000000-0009-0000-0100-000005000000}"/>
  <tableColumns count="11">
    <tableColumn id="1" xr3:uid="{00000000-0010-0000-0200-000001000000}" name="Sr No" dataDxfId="77">
      <calculatedColumnFormula>IF($B4="","",MAX($A$3:A3)+1)</calculatedColumnFormula>
    </tableColumn>
    <tableColumn id="2" xr3:uid="{00000000-0010-0000-0200-000002000000}" name="Services Code" dataDxfId="76"/>
    <tableColumn id="3" xr3:uid="{00000000-0010-0000-0200-000003000000}" name="Services Description" dataDxfId="75"/>
    <tableColumn id="4" xr3:uid="{00000000-0010-0000-0200-000004000000}" name="UOM" dataDxfId="74"/>
    <tableColumn id="5" xr3:uid="{00000000-0010-0000-0200-000005000000}" name="Opening Qty" dataDxfId="73"/>
    <tableColumn id="6" xr3:uid="{00000000-0010-0000-0200-000006000000}" name="Inward Qty" dataDxfId="72">
      <calculatedColumnFormula>IF($B4="","",SUM(SUMIFS('Daily Inward'!$G:$G,'Daily Inward'!$C:$C,$B4,'Daily Inward'!$E:$E,{"Inventory","Services"})))</calculatedColumnFormula>
    </tableColumn>
    <tableColumn id="7" xr3:uid="{00000000-0010-0000-0200-000007000000}" name="Issued Qty" dataDxfId="71">
      <calculatedColumnFormula>IF($B4="","",SUM(SUMIFS('Daily Issuance'!$G:$G,'Daily Issuance'!$C:$C,$B4,'Daily Issuance'!$E:$E,{"Inventory","Services"})))</calculatedColumnFormula>
    </tableColumn>
    <tableColumn id="8" xr3:uid="{00000000-0010-0000-0200-000008000000}" name="Balance Qty" dataDxfId="70">
      <calculatedColumnFormula>IF($B4="","",N(E4)+N(F4)-N(G4))</calculatedColumnFormula>
    </tableColumn>
    <tableColumn id="9" xr3:uid="{00000000-0010-0000-0200-000009000000}" name="Unit Price" dataDxfId="69"/>
    <tableColumn id="10" xr3:uid="{00000000-0010-0000-0200-00000A000000}" name="Total Value" dataDxfId="68">
      <calculatedColumnFormula>IF($B4="","",H4*I4)</calculatedColumnFormula>
    </tableColumn>
    <tableColumn id="11" xr3:uid="{00000000-0010-0000-0200-00000B000000}" name="Location" dataDxfId="6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IssuanceTable" displayName="IssuanceTable" ref="A3:O998" totalsRowShown="0" headerRowDxfId="57" dataDxfId="55" headerRowBorderDxfId="56" tableBorderDxfId="54" totalsRowBorderDxfId="53">
  <autoFilter ref="A3:O998" xr:uid="{00000000-0009-0000-0100-000003000000}"/>
  <tableColumns count="15">
    <tableColumn id="1" xr3:uid="{00000000-0010-0000-0300-000001000000}" name="Sr" dataDxfId="52">
      <calculatedColumnFormula>IF(AND($B4="",$C4=""),"",MAX($A$3:A3)+1)</calculatedColumnFormula>
    </tableColumn>
    <tableColumn id="2" xr3:uid="{00000000-0010-0000-0300-000002000000}" name="Date" dataDxfId="51"/>
    <tableColumn id="3" xr3:uid="{00000000-0010-0000-0300-000003000000}" name="Item Code" dataDxfId="50"/>
    <tableColumn id="4" xr3:uid="{00000000-0010-0000-0300-000004000000}" name="Item Description" dataDxfId="49">
      <calculatedColumnFormula>IFERROR(IF($E4="Inventory",VLOOKUP($C4,Inventory!$B:$I,2,FALSE()),IF($E4="Non Inventory",VLOOKUP($C4,'Non Inventory'!$B:$I,2,FALSE()),IF($E4="Services",VLOOKUP($C4,Services!$B:$I,2,FALSE()),IF($E4="Patty Cash",VLOOKUP($C4,'Patty Cash'!$B:$J,2,FALSE()),"")))),"")</calculatedColumnFormula>
    </tableColumn>
    <tableColumn id="5" xr3:uid="{00000000-0010-0000-0300-000005000000}" name="Category" dataDxfId="48"/>
    <tableColumn id="6" xr3:uid="{00000000-0010-0000-0300-000006000000}" name="UOM" dataDxfId="47">
      <calculatedColumnFormula>IFERROR(IF($E4="Inventory",VLOOKUP($C4,Inventory!$B:$I,3,FALSE()),IF($E4="Non Inventory",VLOOKUP($C4,'Non Inventory'!$B:$I,3,FALSE()),IF($E4="Services",VLOOKUP($C4,Services!$B:$I,3,FALSE()),IF($E4="Patty Cash",VLOOKUP($C4,'Patty Cash'!$B:$J,3,FALSE()),"")))),"")</calculatedColumnFormula>
    </tableColumn>
    <tableColumn id="7" xr3:uid="{00000000-0010-0000-0300-000007000000}" name="Qty Issued" dataDxfId="46"/>
    <tableColumn id="8" xr3:uid="{00000000-0010-0000-0300-000008000000}" name="Balance Qty" dataDxfId="45">
      <calculatedColumnFormula>IF($E4="","",IF($E4="Inventory",IFERROR(VLOOKUP($C4,Inventory!$B:$H,7,FALSE()),0),IF($E4="Non Inventory",IFERROR(VLOOKUP($C4,'Non Inventory'!$B:$H,7,FALSE()),0),IF($E4="Services",IFERROR(VLOOKUP($C4,Services!$B:$H,7,FALSE()),0),IF($E4="Patty Cash",IFERROR(VLOOKUP($C4,'Patty Cash'!$B:$H,7,FALSE()),0),0)))))</calculatedColumnFormula>
    </tableColumn>
    <tableColumn id="9" xr3:uid="{00000000-0010-0000-0300-000009000000}" name="Equipment Name" dataDxfId="44"/>
    <tableColumn id="10" xr3:uid="{00000000-0010-0000-0300-00000A000000}" name="Sub Equipment Name" dataDxfId="43"/>
    <tableColumn id="11" xr3:uid="{00000000-0010-0000-0300-00000B000000}" name="Issued To" dataDxfId="42"/>
    <tableColumn id="12" xr3:uid="{00000000-0010-0000-0300-00000C000000}" name="Shift" dataDxfId="41"/>
    <tableColumn id="13" xr3:uid="{00000000-0010-0000-0300-00000D000000}" name="Department " dataDxfId="40"/>
    <tableColumn id="14" xr3:uid="{00000000-0010-0000-0300-00000E000000}" name="Unit Price" dataDxfId="39">
      <calculatedColumnFormula>IFERROR(IF($E4="Inventory",VLOOKUP($C4,Inventory!$B:$I,8,FALSE()),IF($E4="Non Inventory",VLOOKUP($C4,'Non Inventory'!$B:$I,8,FALSE()),IF($E4="Services",VLOOKUP($C4,Services!$B:$I,8,FALSE()),IF($E4="Patty Cash",VLOOKUP($C4,'Patty Cash'!$B:$J,8,FALSE()),0)))),0)</calculatedColumnFormula>
    </tableColumn>
    <tableColumn id="15" xr3:uid="{00000000-0010-0000-0300-00000F000000}" name="Total" dataDxfId="38">
      <calculatedColumnFormula>IF($G4="","",G4*N4)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InwardTable" displayName="InwardTable" ref="A3:N994" totalsRowShown="0" headerRowDxfId="29" dataDxfId="27" headerRowBorderDxfId="28" tableBorderDxfId="26" totalsRowBorderDxfId="25">
  <autoFilter ref="A3:N994" xr:uid="{00000000-0009-0000-0100-000004000000}"/>
  <tableColumns count="14">
    <tableColumn id="1" xr3:uid="{00000000-0010-0000-0400-000001000000}" name="Sr" dataDxfId="24">
      <calculatedColumnFormula>IF(AND($B4="",$C4=""),"",MAX($A$3:A3)+1)</calculatedColumnFormula>
    </tableColumn>
    <tableColumn id="2" xr3:uid="{00000000-0010-0000-0400-000002000000}" name="Delivery Date" dataDxfId="23"/>
    <tableColumn id="3" xr3:uid="{00000000-0010-0000-0400-000003000000}" name="Item Code" dataDxfId="22"/>
    <tableColumn id="4" xr3:uid="{00000000-0010-0000-0400-000004000000}" name="Item Description" dataDxfId="21">
      <calculatedColumnFormula>IFERROR(IF($E4="Inventory",VLOOKUP($C4,Inventory!$B:$I,2,FALSE()),IF($E4="Non Inventory",VLOOKUP($C4,'Non Inventory'!$B:$I,2,FALSE()),IF($E4="Services",VLOOKUP($C4,Services!$B:$I,2,FALSE()),IF($E4="Patty Cash",VLOOKUP($C4,'Patty Cash'!$B:$J,2,FALSE()),"")))),"")</calculatedColumnFormula>
    </tableColumn>
    <tableColumn id="5" xr3:uid="{00000000-0010-0000-0400-000005000000}" name="Category" dataDxfId="20"/>
    <tableColumn id="6" xr3:uid="{00000000-0010-0000-0400-000006000000}" name="UOM" dataDxfId="19">
      <calculatedColumnFormula>IFERROR(IF($E4="Inventory",VLOOKUP($C4,Inventory!$B:$I,3,FALSE()),IF($E4="Non Inventory",VLOOKUP($C4,'Non Inventory'!$B:$I,3,FALSE()),IF($E4="Services",VLOOKUP($C4,Services!$B:$I,3,FALSE()),IF($E4="Patty Cash",VLOOKUP($C4,'Patty Cash'!$B:$J,3,FALSE()),"")))),"")</calculatedColumnFormula>
    </tableColumn>
    <tableColumn id="7" xr3:uid="{00000000-0010-0000-0400-000007000000}" name="Qty Received" dataDxfId="18"/>
    <tableColumn id="8" xr3:uid="{00000000-0010-0000-0400-000008000000}" name="Open Qty" dataDxfId="17"/>
    <tableColumn id="9" xr3:uid="{00000000-0010-0000-0400-000009000000}" name="Unit Price" dataDxfId="16">
      <calculatedColumnFormula>IFERROR(IF($E4="Inventory",VLOOKUP($C4,Inventory!$B:$I,8,FALSE()),IF($E4="Non Inventory",VLOOKUP($C4,'Non Inventory'!$B:$I,8,FALSE()),IF($E4="Services",VLOOKUP($C4,Services!$B:$I,8,FALSE()),IF($E4="Patty Cash",VLOOKUP($C4,'Patty Cash'!$B:$J,8,FALSE()),0)))),0)</calculatedColumnFormula>
    </tableColumn>
    <tableColumn id="10" xr3:uid="{00000000-0010-0000-0400-00000A000000}" name="Total" dataDxfId="15"/>
    <tableColumn id="11" xr3:uid="{00000000-0010-0000-0400-00000B000000}" name="Vendor/Supplier" dataDxfId="14"/>
    <tableColumn id="12" xr3:uid="{00000000-0010-0000-0400-00000C000000}" name="Department" dataDxfId="13"/>
    <tableColumn id="13" xr3:uid="{00000000-0010-0000-0400-00000D000000}" name="Received By" dataDxfId="12"/>
    <tableColumn id="14" xr3:uid="{00000000-0010-0000-0400-00000E000000}" name="GRN Status with Date" dataDxfId="11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CCD65EB-FC48-47CD-BD3B-6C7CA0F52013}" name="ListStyledTable" displayName="ListStyledTable" ref="B4:G59" totalsRowShown="0" headerRowDxfId="10" dataDxfId="8" headerRowBorderDxfId="9" tableBorderDxfId="7" totalsRowBorderDxfId="6">
  <autoFilter ref="B4:G59" xr:uid="{7CCD65EB-FC48-47CD-BD3B-6C7CA0F52013}"/>
  <tableColumns count="6">
    <tableColumn id="1" xr3:uid="{7868759D-DCB3-4DCB-A970-0953204ABAFC}" name="Equipment Name" dataDxfId="5"/>
    <tableColumn id="2" xr3:uid="{E5007AD0-AC00-4ADE-838C-729EA55F8512}" name="Category" dataDxfId="4"/>
    <tableColumn id="3" xr3:uid="{21C2B9EA-0764-46FE-A6FF-58BAD2E20F7A}" name="Shift" dataDxfId="3"/>
    <tableColumn id="4" xr3:uid="{4E7C79EF-EABB-4BD5-A247-F4586B824C2C}" name="Units" dataDxfId="2"/>
    <tableColumn id="5" xr3:uid="{38DFABCD-869C-46D8-A0A8-999B92536E75}" name="Department" dataDxfId="1"/>
    <tableColumn id="6" xr3:uid="{095B4290-DAB1-47F4-9009-03ED1459A6B7}" name="Issued 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7" Type="http://schemas.microsoft.com/office/2011/relationships/webextension" Target="webextension7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6" Type="http://schemas.microsoft.com/office/2011/relationships/webextension" Target="webextension6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  <wetp:taskpane dockstate="right" visibility="0" width="350" row="2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">
    <wetp:webextensionref xmlns:r="http://schemas.openxmlformats.org/officeDocument/2006/relationships" r:id="rId5"/>
  </wetp:taskpane>
  <wetp:taskpane dockstate="right" visibility="0" width="350" row="1">
    <wetp:webextensionref xmlns:r="http://schemas.openxmlformats.org/officeDocument/2006/relationships" r:id="rId6"/>
  </wetp:taskpane>
  <wetp:taskpane dockstate="right" visibility="0" width="350" row="1">
    <wetp:webextensionref xmlns:r="http://schemas.openxmlformats.org/officeDocument/2006/relationships" r:id="rId7"/>
  </wetp:taskpane>
</wetp:taskpanes>
</file>

<file path=xl/webextensions/webextension1.xml><?xml version="1.0" encoding="utf-8"?>
<we:webextension xmlns:we="http://schemas.microsoft.com/office/webextensions/webextension/2010/11" id="{01E9EA32-8A3B-4A54-A5F6-F11A67C50D16}">
  <we:reference id="wa200010215" version="1.0.0.0" store="en-US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9F6E8C1D-AF48-4811-8C6F-74D53EEB7DC7}">
  <we:reference id="wa200005171" version="1.0.0.0" store="en-US" storeType="OMEX"/>
  <we:alternateReferences>
    <we:reference id="wa200005171" version="1.0.0.0" store="WA2000051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_xldudf_GPT_GPTINTERACT</we:customFunctionIds>
        <we:customFunctionIds>_xldudf_GPT_GPTPROMPT</we:customFunctionIds>
        <we:customFunctionIds>_xldudf_GPT_GPTPREDICT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66904AD6-C4D1-40AD-A7F5-4CE97308D289}">
  <we:reference id="wa200007427" version="1.0.0.7" store="en-US" storeType="OMEX"/>
  <we:alternateReferences>
    <we:reference id="wa200007427" version="1.0.0.7" store="WA20000742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_xldudf_LOCAL_AI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2D759A5-9F64-4F4B-8C95-CCFEBC75DEBD}">
  <we:reference id="wa200009379" version="1.0.0.16" store="en-US" storeType="OMEX"/>
  <we:alternateReferences>
    <we:reference id="wa200009379" version="1.0.0.16" store="WA200009379" storeType="OMEX"/>
  </we:alternateReferences>
  <we:properties>
    <we:property name="excelence_wb_id" value="&quot;a7c2bddd-a3ac-4148-a428-812edcd2c76e&quot;"/>
  </we:properties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72C21373-9ADB-4D3A-A41D-D2969D9D7B57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2m8S2QHI5btxHIn21dirU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6.xml><?xml version="1.0" encoding="utf-8"?>
<we:webextension xmlns:we="http://schemas.microsoft.com/office/webextensions/webextension/2010/11" id="{6271CF3B-52B3-4DC2-A72B-BD972D97CF07}">
  <we:reference id="wa200005271" version="3.0.0.4" store="en-US" storeType="OMEX"/>
  <we:alternateReferences>
    <we:reference id="wa200005271" version="3.0.0.4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ebextensions/webextension7.xml><?xml version="1.0" encoding="utf-8"?>
<we:webextension xmlns:we="http://schemas.microsoft.com/office/webextensions/webextension/2010/11" id="{D6A6C27F-F0AF-45BC-84E0-75564AAAA591}">
  <we:reference id="wa200008734" version="1.0.0.4" store="en-US" storeType="OMEX"/>
  <we:alternateReferences>
    <we:reference id="wa200008734" version="1.0.0.4" store="WA200008734" storeType="OMEX"/>
  </we:alternateReferences>
  <we:properties>
    <we:property name="elkar-uid" value="&quot;8d51a32b-117e-4d58-88f8-bfb5246f349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L96"/>
  <sheetViews>
    <sheetView showGridLines="0" topLeftCell="B1" zoomScaleNormal="100" workbookViewId="0">
      <selection activeCell="B10" sqref="B10:L10"/>
    </sheetView>
  </sheetViews>
  <sheetFormatPr defaultColWidth="8.7109375" defaultRowHeight="15"/>
  <cols>
    <col min="2" max="2" width="19" style="1" customWidth="1"/>
    <col min="3" max="3" width="30.28515625" style="3" customWidth="1"/>
    <col min="4" max="4" width="26.85546875" style="3" bestFit="1" customWidth="1"/>
    <col min="5" max="5" width="18" style="3" bestFit="1" customWidth="1"/>
    <col min="6" max="6" width="17.7109375" style="3" bestFit="1" customWidth="1"/>
    <col min="7" max="7" width="23.5703125" style="1" bestFit="1" customWidth="1"/>
    <col min="8" max="8" width="22.7109375" style="1" bestFit="1" customWidth="1"/>
    <col min="9" max="9" width="22.42578125" style="1" bestFit="1" customWidth="1"/>
    <col min="10" max="10" width="31.28515625" style="1" bestFit="1" customWidth="1"/>
    <col min="11" max="11" width="26.42578125" style="1" bestFit="1" customWidth="1"/>
    <col min="12" max="12" width="23.5703125" style="1" bestFit="1" customWidth="1"/>
  </cols>
  <sheetData>
    <row r="1" spans="2:12" ht="31.5" customHeight="1" thickTop="1" thickBot="1">
      <c r="B1" s="392" t="s">
        <v>0</v>
      </c>
      <c r="C1" s="393"/>
      <c r="D1" s="393"/>
      <c r="E1" s="393"/>
      <c r="F1" s="393"/>
      <c r="G1" s="393"/>
      <c r="H1" s="393"/>
      <c r="I1" s="393"/>
      <c r="J1" s="393"/>
      <c r="K1" s="393"/>
      <c r="L1" s="394"/>
    </row>
    <row r="2" spans="2:12" ht="19.5" thickTop="1" thickBot="1">
      <c r="B2" s="395" t="s">
        <v>1</v>
      </c>
      <c r="C2" s="396"/>
      <c r="D2" s="396"/>
      <c r="E2" s="396"/>
      <c r="F2" s="396"/>
      <c r="G2" s="396"/>
      <c r="H2" s="396"/>
      <c r="I2" s="396"/>
      <c r="J2" s="396"/>
      <c r="K2" s="396"/>
      <c r="L2" s="397"/>
    </row>
    <row r="3" spans="2:12" s="3" customFormat="1" ht="13.5" customHeight="1" thickTop="1" thickBot="1">
      <c r="B3" s="398"/>
      <c r="C3" s="399"/>
      <c r="D3" s="399"/>
      <c r="E3" s="399"/>
      <c r="F3" s="399"/>
      <c r="G3" s="399"/>
      <c r="H3" s="399"/>
      <c r="I3" s="399"/>
      <c r="J3" s="399"/>
      <c r="K3" s="399"/>
      <c r="L3" s="400"/>
    </row>
    <row r="4" spans="2:12" ht="24.75" customHeight="1" thickBot="1">
      <c r="B4" s="412" t="s">
        <v>1335</v>
      </c>
      <c r="C4" s="413"/>
      <c r="D4" s="408" t="s">
        <v>1336</v>
      </c>
      <c r="E4" s="409"/>
      <c r="F4" s="403" t="s">
        <v>4</v>
      </c>
      <c r="G4" s="404"/>
      <c r="H4" s="370" t="s">
        <v>1737</v>
      </c>
      <c r="I4" s="370" t="s">
        <v>1738</v>
      </c>
      <c r="J4" s="370" t="s">
        <v>1627</v>
      </c>
      <c r="K4" s="370" t="s">
        <v>1739</v>
      </c>
      <c r="L4" s="370" t="s">
        <v>1740</v>
      </c>
    </row>
    <row r="5" spans="2:12" ht="23.1" customHeight="1" thickBot="1">
      <c r="B5" s="414">
        <f>SUM(Inventory!J4:J1002)</f>
        <v>14080023</v>
      </c>
      <c r="C5" s="415"/>
      <c r="D5" s="410">
        <f>SUM('Non Inventory'!J4:J997)</f>
        <v>8997266.4000000004</v>
      </c>
      <c r="E5" s="411"/>
      <c r="F5" s="424">
        <f>SUM(B5:E5)</f>
        <v>23077289.399999999</v>
      </c>
      <c r="G5" s="425"/>
      <c r="H5" s="364" t="s">
        <v>1741</v>
      </c>
      <c r="I5" s="365">
        <f>$L$22-$G$22</f>
        <v>1672430.4000000004</v>
      </c>
      <c r="J5" s="366" t="str">
        <f>IF(I5&gt;0,"Immediate",IF(I5=0,"Balanced","OK"))</f>
        <v>Immediate</v>
      </c>
      <c r="K5" s="371" t="str">
        <f>IF(J5="Immediate","Control outward issuance","Maintain normal flow")</f>
        <v>Control outward issuance</v>
      </c>
      <c r="L5" s="371" t="s">
        <v>1744</v>
      </c>
    </row>
    <row r="6" spans="2:12" ht="23.1" customHeight="1" thickBot="1">
      <c r="B6" s="438"/>
      <c r="C6" s="439"/>
      <c r="D6" s="439"/>
      <c r="E6" s="439"/>
      <c r="F6" s="439"/>
      <c r="G6" s="440"/>
      <c r="H6" s="364" t="s">
        <v>1742</v>
      </c>
      <c r="I6" s="367" t="str" cm="1">
        <f t="array" ref="I6">INDEX($B$77:$B$80,MATCH(MAX(ABS($J$77:$J$80)),ABS($J$77:$J$80),0))</f>
        <v>Inventory</v>
      </c>
      <c r="J6" s="366" t="str">
        <f>INDEX($K$77:$K$80,MATCH(I6,$B$77:$B$80,0))</f>
        <v>High Pressure</v>
      </c>
      <c r="K6" s="371" t="str">
        <f>INDEX($L$77:$L$80,MATCH(I6,$B$77:$B$80,0))</f>
        <v>Review issuance control</v>
      </c>
      <c r="L6" s="371" t="s">
        <v>1745</v>
      </c>
    </row>
    <row r="7" spans="2:12" ht="18.75" thickBot="1">
      <c r="B7" s="434" t="s">
        <v>2</v>
      </c>
      <c r="C7" s="435"/>
      <c r="D7" s="436" t="s">
        <v>3</v>
      </c>
      <c r="E7" s="437"/>
      <c r="F7" s="437"/>
      <c r="G7" s="437"/>
      <c r="H7" s="364" t="s">
        <v>1679</v>
      </c>
      <c r="I7" s="368">
        <f>COUNTIF($J$31:$J$38,"Focus")</f>
        <v>2</v>
      </c>
      <c r="J7" s="366" t="str">
        <f>IF(I7&gt;=2,"Priority",IF(I7=1,"Watch","OK"))</f>
        <v>Priority</v>
      </c>
      <c r="K7" s="371" t="str">
        <f>IF(J7="Priority","Review focus machines","Monitor machine trend")</f>
        <v>Review focus machines</v>
      </c>
      <c r="L7" s="371" t="s">
        <v>1746</v>
      </c>
    </row>
    <row r="8" spans="2:12" ht="23.1" customHeight="1" thickBot="1">
      <c r="B8" s="432">
        <f>SUM('Daily Inward'!J4:J994)</f>
        <v>4028137.0184280011</v>
      </c>
      <c r="C8" s="433"/>
      <c r="D8" s="416">
        <f>SUM('Daily Issuance'!O4:O998)</f>
        <v>5700567.4184280019</v>
      </c>
      <c r="E8" s="416"/>
      <c r="F8" s="417"/>
      <c r="G8" s="418"/>
      <c r="H8" s="364" t="s">
        <v>1743</v>
      </c>
      <c r="I8" s="368">
        <f>COUNTIF($L$33:$L$38,"No Data")</f>
        <v>6</v>
      </c>
      <c r="J8" s="369" t="str">
        <f>IF(I8&gt;=3,"Update Required",IF(I8=0,"Complete","Watch"))</f>
        <v>Update Required</v>
      </c>
      <c r="K8" s="371" t="str">
        <f>IF(J8="Update Required","Update future month data","Keep monthly refresh")</f>
        <v>Update future month data</v>
      </c>
      <c r="L8" s="371" t="s">
        <v>1747</v>
      </c>
    </row>
    <row r="9" spans="2:12" ht="15.75" thickBot="1">
      <c r="B9" s="112"/>
      <c r="C9" s="107"/>
      <c r="D9" s="107"/>
      <c r="E9" s="107"/>
      <c r="F9" s="107"/>
      <c r="G9" s="107"/>
      <c r="H9" s="107"/>
      <c r="I9" s="107"/>
      <c r="J9" s="107"/>
      <c r="K9" s="107"/>
      <c r="L9" s="117"/>
    </row>
    <row r="10" spans="2:12" ht="23.1" customHeight="1" thickTop="1">
      <c r="B10" s="426" t="s">
        <v>8</v>
      </c>
      <c r="C10" s="427"/>
      <c r="D10" s="427"/>
      <c r="E10" s="427"/>
      <c r="F10" s="427"/>
      <c r="G10" s="427"/>
      <c r="H10" s="427"/>
      <c r="I10" s="427"/>
      <c r="J10" s="427"/>
      <c r="K10" s="427"/>
      <c r="L10" s="428"/>
    </row>
    <row r="11" spans="2:12" ht="23.1" customHeight="1" thickBot="1">
      <c r="B11" s="405" t="s">
        <v>9</v>
      </c>
      <c r="C11" s="406"/>
      <c r="D11" s="406"/>
      <c r="E11" s="406"/>
      <c r="F11" s="406"/>
      <c r="G11" s="406"/>
      <c r="H11" s="406"/>
      <c r="I11" s="406"/>
      <c r="J11" s="406"/>
      <c r="K11" s="406"/>
      <c r="L11" s="407"/>
    </row>
    <row r="12" spans="2:12" ht="23.1" customHeight="1" thickBot="1">
      <c r="B12" s="429" t="s">
        <v>10</v>
      </c>
      <c r="C12" s="430"/>
      <c r="D12" s="430"/>
      <c r="E12" s="430"/>
      <c r="F12" s="430"/>
      <c r="G12" s="431"/>
      <c r="H12" s="419" t="s">
        <v>11</v>
      </c>
      <c r="I12" s="419"/>
      <c r="J12" s="419"/>
      <c r="K12" s="419"/>
      <c r="L12" s="420"/>
    </row>
    <row r="13" spans="2:12" ht="23.1" customHeight="1" thickBot="1">
      <c r="B13" s="113" t="s">
        <v>12</v>
      </c>
      <c r="C13" s="108" t="s">
        <v>13</v>
      </c>
      <c r="D13" s="108" t="s">
        <v>14</v>
      </c>
      <c r="E13" s="108" t="s">
        <v>1280</v>
      </c>
      <c r="F13" s="108" t="s">
        <v>1334</v>
      </c>
      <c r="G13" s="109" t="s">
        <v>15</v>
      </c>
      <c r="H13" s="110" t="s">
        <v>16</v>
      </c>
      <c r="I13" s="110" t="s">
        <v>17</v>
      </c>
      <c r="J13" s="110" t="s">
        <v>1280</v>
      </c>
      <c r="K13" s="110" t="s">
        <v>1327</v>
      </c>
      <c r="L13" s="118" t="s">
        <v>18</v>
      </c>
    </row>
    <row r="14" spans="2:12" ht="23.1" customHeight="1" thickBot="1">
      <c r="B14" s="114" t="s">
        <v>19</v>
      </c>
      <c r="C14" s="124">
        <f>SUMIFS('Daily Inward'!$J$4:$J$991,'Daily Inward'!$E$4:$E$991,"Inventory",'Daily Inward'!$B$4:$B$991,"&gt;="&amp;DATE(2026,5,1),'Daily Inward'!$B$4:$B$991,"&lt;"&amp;EDATE(DATE(2026,5,1),1))</f>
        <v>1086500</v>
      </c>
      <c r="D14" s="125">
        <f>SUMIFS('Daily Inward'!$J$4:$J$1048576,'Daily Inward'!$E$4:$E$1048576,"Non Inventory",'Daily Inward'!$B$4:$B$1048576,"&gt;="&amp;DATE(2026,5,1),'Daily Inward'!$B$4:$B$1048576,"&lt;"&amp;EDATE(DATE(2026,5,1),1))</f>
        <v>1018303</v>
      </c>
      <c r="E14" s="126">
        <f>SUMIFS('Daily Inward'!$J:$J,'Daily Inward'!$E:$E,"Services",'Daily Inward'!$B:$B,"&gt;="&amp;DATE(2026,5,1),'Daily Inward'!$B:$B,"&lt;"&amp;EDATE(DATE(2026,5,1),1))</f>
        <v>785200</v>
      </c>
      <c r="F14" s="127">
        <f>SUMIFS('Daily Inward'!$J:$J,'Daily Inward'!$E:$E,"Patty Cash",'Daily Inward'!$B:$B,"&gt;="&amp;DATE(2026,5,1),'Daily Inward'!$B:$B,"&lt;"&amp;EDATE(DATE(2026,5,1),1))</f>
        <v>14496.559500000001</v>
      </c>
      <c r="G14" s="122">
        <f>SUM(C14:F14)</f>
        <v>2904499.5595</v>
      </c>
      <c r="H14" s="132">
        <f>SUMIFS('Daily Issuance'!$O:$O,'Daily Issuance'!$E:$E,"Inventory",'Daily Issuance'!$B:$B,"&gt;="&amp;DATE(2026,5,1),'Daily Issuance'!$B:$B,"&lt;"&amp;EDATE(DATE(2026,5,1),1))</f>
        <v>1717496</v>
      </c>
      <c r="I14" s="133">
        <f>SUMIFS('Daily Issuance'!$O:$O,'Daily Issuance'!$E:$E,"Non Inventory",'Daily Issuance'!$B:$B,"&gt;="&amp;DATE(2026,5,1),'Daily Issuance'!$B:$B,"&lt;"&amp;EDATE(DATE(2026,5,1),1))</f>
        <v>352080</v>
      </c>
      <c r="J14" s="134">
        <f>SUMIFS('Daily Issuance'!$O:$O,'Daily Issuance'!$E:$E,"Services",'Daily Issuance'!$B:$B,"&gt;="&amp;DATE(2026,5,1),'Daily Issuance'!$B:$B,"&lt;"&amp;EDATE(DATE(2026,5,1),1))</f>
        <v>785200</v>
      </c>
      <c r="K14" s="135">
        <f>SUMIFS('Daily Issuance'!$O:$O,'Daily Issuance'!$E:$E,"Patty Cash",'Daily Issuance'!$B:$B,"&gt;="&amp;DATE(2026,5,1),'Daily Issuance'!$B:$B,"&lt;"&amp;EDATE(DATE(2026,5,1),1))</f>
        <v>16108.959500000003</v>
      </c>
      <c r="L14" s="120">
        <f>SUM(H14:K14)</f>
        <v>2870884.9594999999</v>
      </c>
    </row>
    <row r="15" spans="2:12" ht="23.1" customHeight="1" thickBot="1">
      <c r="B15" s="114" t="s">
        <v>20</v>
      </c>
      <c r="C15" s="124">
        <f>SUMIFS('Daily Inward'!$J:$J,'Daily Inward'!$E:$E,"Inventory",'Daily Inward'!$B:$B,"&gt;="&amp;DATE(2026,6,1),'Daily Inward'!$B:$B,"&lt;"&amp;EDATE(DATE(2026,6,1),1))</f>
        <v>0</v>
      </c>
      <c r="D15" s="125">
        <f>SUMIFS('Daily Inward'!$J:$J,'Daily Inward'!$E:$E,"Non Inventory",'Daily Inward'!$B:$B,"&gt;="&amp;DATE(2026,6,1),'Daily Inward'!$B:$B,"&lt;"&amp;EDATE(DATE(2026,6,1),1))</f>
        <v>716382.81</v>
      </c>
      <c r="E15" s="126">
        <f>SUMIFS('Daily Inward'!$J:$J,'Daily Inward'!$E:$E,"Services",'Daily Inward'!$B:$B,"&gt;="&amp;DATE(2026,6,1),'Daily Inward'!$B:$B,"&lt;"&amp;EDATE(DATE(2026,6,1),1))</f>
        <v>398000</v>
      </c>
      <c r="F15" s="127">
        <f>SUMIFS('Daily Inward'!$J:$J,'Daily Inward'!$E:$E,"Patty Cash",'Daily Inward'!$B:$B,"&gt;="&amp;DATE(2026,6,1),'Daily Inward'!$B:$B,"&lt;"&amp;EDATE(DATE(2026,6,1),1))</f>
        <v>9254.6489280000005</v>
      </c>
      <c r="G15" s="122">
        <f t="shared" ref="G15:G21" si="0">SUM(C15:F15)</f>
        <v>1123637.4589279999</v>
      </c>
      <c r="H15" s="132">
        <f>SUMIFS('Daily Issuance'!$O:$O,'Daily Issuance'!$E:$E,"Inventory",'Daily Issuance'!$B:$B,"&gt;="&amp;DATE(2026,6,1),'Daily Issuance'!$B:$B,"&lt;"&amp;EDATE(DATE(2026,6,1),1))</f>
        <v>1621118</v>
      </c>
      <c r="I15" s="133">
        <f>SUMIFS('Daily Issuance'!$O:$O,'Daily Issuance'!$E:$E,"Non Inventory",'Daily Issuance'!$B:$B,"&gt;="&amp;DATE(2026,6,1),'Daily Issuance'!$B:$B,"&lt;"&amp;EDATE(DATE(2026,6,1),1))</f>
        <v>801531.81</v>
      </c>
      <c r="J15" s="134">
        <f>SUMIFS('Daily Issuance'!$O:$O,'Daily Issuance'!$E:$E,"Services",'Daily Issuance'!$B:$B,"&gt;="&amp;DATE(2026,6,1),'Daily Issuance'!$B:$B,"&lt;"&amp;EDATE(DATE(2026,6,1),1))</f>
        <v>398000</v>
      </c>
      <c r="K15" s="135">
        <f>SUMIFS('Daily Issuance'!$O:$O,'Daily Issuance'!$E:$E,"Patty Cash",'Daily Issuance'!$B:$B,"&gt;="&amp;DATE(2026,6,1),'Daily Issuance'!$B:$B,"&lt;"&amp;EDATE(DATE(2026,6,1),1))</f>
        <v>9032.6489280000023</v>
      </c>
      <c r="L15" s="120">
        <f t="shared" ref="L15:L21" si="1">SUM(H15:K15)</f>
        <v>2829682.4589280002</v>
      </c>
    </row>
    <row r="16" spans="2:12" ht="23.1" customHeight="1" thickBot="1">
      <c r="B16" s="114" t="s">
        <v>21</v>
      </c>
      <c r="C16" s="124">
        <f>SUMIFS('Daily Inward'!$J:$J,'Daily Inward'!$E:$E,"Inventory",'Daily Inward'!$B:$B,"&gt;="&amp;DATE(2026,7,1),'Daily Inward'!$B:$B,"&lt;"&amp;EDATE(DATE(2026,7,1),1))</f>
        <v>0</v>
      </c>
      <c r="D16" s="125">
        <f>SUMIFS('Daily Inward'!$J:$J,'Daily Inward'!$E:$E,"Non Inventory",'Daily Inward'!$B:$B,"&gt;="&amp;DATE(2026,7,1),'Daily Inward'!$B:$B,"&lt;"&amp;EDATE(DATE(2026,7,1),1))</f>
        <v>0</v>
      </c>
      <c r="E16" s="126">
        <f>SUMIFS('Daily Inward'!$J:$J,'Daily Inward'!$E:$E,"Services",'Daily Inward'!$B:$B,"&gt;="&amp;DATE(2026,7,1),'Daily Inward'!$B:$B,"&lt;"&amp;EDATE(DATE(2026,7,1),1))</f>
        <v>0</v>
      </c>
      <c r="F16" s="127">
        <f>SUMIFS('Daily Inward'!$J:$J,'Daily Inward'!$E:$E,"Patty Cash",'Daily Inward'!$B:$B,"&gt;="&amp;DATE(2026,7,1),'Daily Inward'!$B:$B,"&lt;"&amp;EDATE(DATE(2026,7,1),1))</f>
        <v>0</v>
      </c>
      <c r="G16" s="122">
        <f t="shared" si="0"/>
        <v>0</v>
      </c>
      <c r="H16" s="132">
        <f>SUMIFS('Daily Issuance'!$O:$O,'Daily Issuance'!$E:$E,"Inventory",'Daily Issuance'!$B:$B,"&gt;="&amp;DATE(2026,7,1),'Daily Issuance'!$B:$B,"&lt;"&amp;EDATE(DATE(2026,7,1),1))</f>
        <v>0</v>
      </c>
      <c r="I16" s="133">
        <f>SUMIFS('Daily Issuance'!$O:$O,'Daily Issuance'!$E:$E,"Non Inventory",'Daily Issuance'!$B:$B,"&gt;="&amp;DATE(2026,7,1),'Daily Issuance'!$B:$B,"&lt;"&amp;EDATE(DATE(2026,7,1),1))</f>
        <v>0</v>
      </c>
      <c r="J16" s="134">
        <f>SUMIFS('Daily Issuance'!$O:$O,'Daily Issuance'!$E:$E,"Services",'Daily Issuance'!$B:$B,"&gt;="&amp;DATE(2026,7,1),'Daily Issuance'!$B:$B,"&lt;"&amp;EDATE(DATE(2026,7,1),1))</f>
        <v>0</v>
      </c>
      <c r="K16" s="135">
        <f>SUMIFS('Daily Issuance'!$O:$O,'Daily Issuance'!$E:$E,"Patty Cash",'Daily Issuance'!$B:$B,"&gt;="&amp;DATE(2026,7,1),'Daily Issuance'!$B:$B,"&lt;"&amp;EDATE(DATE(2026,7,1),1))</f>
        <v>0</v>
      </c>
      <c r="L16" s="120">
        <f t="shared" si="1"/>
        <v>0</v>
      </c>
    </row>
    <row r="17" spans="2:12" ht="23.1" customHeight="1" thickBot="1">
      <c r="B17" s="114" t="s">
        <v>22</v>
      </c>
      <c r="C17" s="124">
        <f>SUMIFS('Daily Inward'!$J:$J,'Daily Inward'!$E:$E,"Inventory",'Daily Inward'!$B:$B,"&gt;="&amp;DATE(2026,8,1),'Daily Inward'!$B:$B,"&lt;"&amp;EDATE(DATE(2026,8,1),1))</f>
        <v>0</v>
      </c>
      <c r="D17" s="125">
        <f>SUMIFS('Daily Inward'!$J:$J,'Daily Inward'!$E:$E,"Non Inventory",'Daily Inward'!$B:$B,"&gt;="&amp;DATE(2026,8,1),'Daily Inward'!$B:$B,"&lt;"&amp;EDATE(DATE(2026,8,1),1))</f>
        <v>0</v>
      </c>
      <c r="E17" s="126">
        <f>SUMIFS('Daily Inward'!$J:$J,'Daily Inward'!$E:$E,"Services",'Daily Inward'!$B:$B,"&gt;="&amp;DATE(2026,8,1),'Daily Inward'!$B:$B,"&lt;"&amp;EDATE(DATE(2026,8,1),1))</f>
        <v>0</v>
      </c>
      <c r="F17" s="127">
        <f>SUMIFS('Daily Inward'!$J:$J,'Daily Inward'!$E:$E,"Patty Cash",'Daily Inward'!$B:$B,"&gt;="&amp;DATE(2026,8,1),'Daily Inward'!$B:$B,"&lt;"&amp;EDATE(DATE(2026,8,1),1))</f>
        <v>0</v>
      </c>
      <c r="G17" s="122">
        <f t="shared" si="0"/>
        <v>0</v>
      </c>
      <c r="H17" s="132">
        <f>SUMIFS('Daily Issuance'!$O:$O,'Daily Issuance'!$E:$E,"Inventory",'Daily Issuance'!$B:$B,"&gt;="&amp;DATE(2026,8,1),'Daily Issuance'!$B:$B,"&lt;"&amp;EDATE(DATE(2026,8,1),1))</f>
        <v>0</v>
      </c>
      <c r="I17" s="133">
        <f>SUMIFS('Daily Issuance'!$O:$O,'Daily Issuance'!$E:$E,"Non Inventory",'Daily Issuance'!$B:$B,"&gt;="&amp;DATE(2026,8,1),'Daily Issuance'!$B:$B,"&lt;"&amp;EDATE(DATE(2026,8,1),1))</f>
        <v>0</v>
      </c>
      <c r="J17" s="134">
        <f>SUMIFS('Daily Issuance'!$O:$O,'Daily Issuance'!$E:$E,"Services",'Daily Issuance'!$B:$B,"&gt;="&amp;DATE(2026,8,1),'Daily Issuance'!$B:$B,"&lt;"&amp;EDATE(DATE(2026,8,1),1))</f>
        <v>0</v>
      </c>
      <c r="K17" s="135">
        <f>SUMIFS('Daily Issuance'!$O:$O,'Daily Issuance'!$E:$E,"Patty Cash",'Daily Issuance'!$B:$B,"&gt;="&amp;DATE(2026,8,1),'Daily Issuance'!$B:$B,"&lt;"&amp;EDATE(DATE(2026,8,1),1))</f>
        <v>0</v>
      </c>
      <c r="L17" s="120">
        <f t="shared" si="1"/>
        <v>0</v>
      </c>
    </row>
    <row r="18" spans="2:12" ht="23.1" customHeight="1" thickBot="1">
      <c r="B18" s="114" t="s">
        <v>23</v>
      </c>
      <c r="C18" s="124">
        <f>SUMIFS('Daily Inward'!$J:$J,'Daily Inward'!$E:$E,"Inventory",'Daily Inward'!$B:$B,"&gt;="&amp;DATE(2026,9,1),'Daily Inward'!$B:$B,"&lt;"&amp;EDATE(DATE(2026,9,1),1))</f>
        <v>0</v>
      </c>
      <c r="D18" s="125">
        <f>SUMIFS('Daily Inward'!$J:$J,'Daily Inward'!$E:$E,"Non Inventory",'Daily Inward'!$B:$B,"&gt;="&amp;DATE(2026,9,1),'Daily Inward'!$B:$B,"&lt;"&amp;EDATE(DATE(2026,9,1),1))</f>
        <v>0</v>
      </c>
      <c r="E18" s="126">
        <f>SUMIFS('Daily Inward'!$J:$J,'Daily Inward'!$E:$E,"Services",'Daily Inward'!$B:$B,"&gt;="&amp;DATE(2026,9,1),'Daily Inward'!$B:$B,"&lt;"&amp;EDATE(DATE(2026,9,1),1))</f>
        <v>0</v>
      </c>
      <c r="F18" s="127">
        <f>SUMIFS('Daily Inward'!$J:$J,'Daily Inward'!$E:$E,"Patty Cash",'Daily Inward'!$B:$B,"&gt;="&amp;DATE(2026,9,1),'Daily Inward'!$B:$B,"&lt;"&amp;EDATE(DATE(2026,9,1),1))</f>
        <v>0</v>
      </c>
      <c r="G18" s="122">
        <f t="shared" si="0"/>
        <v>0</v>
      </c>
      <c r="H18" s="132">
        <f>SUMIFS('Daily Issuance'!$O:$O,'Daily Issuance'!$E:$E,"Inventory",'Daily Issuance'!$B:$B,"&gt;="&amp;DATE(2026,9,1),'Daily Issuance'!$B:$B,"&lt;"&amp;EDATE(DATE(2026,9,1),1))</f>
        <v>0</v>
      </c>
      <c r="I18" s="133">
        <f>SUMIFS('Daily Issuance'!$O:$O,'Daily Issuance'!$E:$E,"Non Inventory",'Daily Issuance'!$B:$B,"&gt;="&amp;DATE(2026,9,1),'Daily Issuance'!$B:$B,"&lt;"&amp;EDATE(DATE(2026,9,1),1))</f>
        <v>0</v>
      </c>
      <c r="J18" s="134">
        <f>SUMIFS('Daily Issuance'!$O:$O,'Daily Issuance'!$E:$E,"Services",'Daily Issuance'!$B:$B,"&gt;="&amp;DATE(2026,9,1),'Daily Issuance'!$B:$B,"&lt;"&amp;EDATE(DATE(2026,9,1),1))</f>
        <v>0</v>
      </c>
      <c r="K18" s="135">
        <f>SUMIFS('Daily Issuance'!$O:$O,'Daily Issuance'!$E:$E,"Patty Cash",'Daily Issuance'!$B:$B,"&gt;="&amp;DATE(2026,9,1),'Daily Issuance'!$B:$B,"&lt;"&amp;EDATE(DATE(2026,9,1),1))</f>
        <v>0</v>
      </c>
      <c r="L18" s="120">
        <f t="shared" si="1"/>
        <v>0</v>
      </c>
    </row>
    <row r="19" spans="2:12" ht="23.1" customHeight="1" thickBot="1">
      <c r="B19" s="114" t="s">
        <v>24</v>
      </c>
      <c r="C19" s="124">
        <f>SUMIFS('Daily Inward'!$J:$J,'Daily Inward'!$E:$E,"Inventory",'Daily Inward'!$B:$B,"&gt;="&amp;DATE(2026,10,1),'Daily Inward'!$B:$B,"&lt;"&amp;EDATE(DATE(2026,10,1),1))</f>
        <v>0</v>
      </c>
      <c r="D19" s="125">
        <f>SUMIFS('Daily Inward'!$J:$J,'Daily Inward'!$E:$E,"Non Inventory",'Daily Inward'!$B:$B,"&gt;="&amp;DATE(2026,10,1),'Daily Inward'!$B:$B,"&lt;"&amp;EDATE(DATE(2026,10,1),1))</f>
        <v>0</v>
      </c>
      <c r="E19" s="126">
        <f>SUMIFS('Daily Inward'!$J:$J,'Daily Inward'!$E:$E,"Services",'Daily Inward'!$B:$B,"&gt;="&amp;DATE(2026,10,1),'Daily Inward'!$B:$B,"&lt;"&amp;EDATE(DATE(2026,10,1),1))</f>
        <v>0</v>
      </c>
      <c r="F19" s="127">
        <f>SUMIFS('Daily Inward'!$J:$J,'Daily Inward'!$E:$E,"Patty Cash",'Daily Inward'!$B:$B,"&gt;="&amp;DATE(2026,10,1),'Daily Inward'!$B:$B,"&lt;"&amp;EDATE(DATE(2026,10,1),1))</f>
        <v>0</v>
      </c>
      <c r="G19" s="122">
        <f t="shared" si="0"/>
        <v>0</v>
      </c>
      <c r="H19" s="132">
        <f>SUMIFS('Daily Issuance'!$O:$O,'Daily Issuance'!$E:$E,"Inventory",'Daily Issuance'!$B:$B,"&gt;="&amp;DATE(2026,10,1),'Daily Issuance'!$B:$B,"&lt;"&amp;EDATE(DATE(2026,10,1),1))</f>
        <v>0</v>
      </c>
      <c r="I19" s="133">
        <f>SUMIFS('Daily Issuance'!$O:$O,'Daily Issuance'!$E:$E,"Non Inventory",'Daily Issuance'!$B:$B,"&gt;="&amp;DATE(2026,10,1),'Daily Issuance'!$B:$B,"&lt;"&amp;EDATE(DATE(2026,10,1),1))</f>
        <v>0</v>
      </c>
      <c r="J19" s="134">
        <f>SUMIFS('Daily Issuance'!$O:$O,'Daily Issuance'!$E:$E,"Services",'Daily Issuance'!$B:$B,"&gt;="&amp;DATE(2026,10,1),'Daily Issuance'!$B:$B,"&lt;"&amp;EDATE(DATE(2026,10,1),1))</f>
        <v>0</v>
      </c>
      <c r="K19" s="135">
        <f>SUMIFS('Daily Issuance'!$O:$O,'Daily Issuance'!$E:$E,"Patty Cash",'Daily Issuance'!$B:$B,"&gt;="&amp;DATE(2026,10,1),'Daily Issuance'!$B:$B,"&lt;"&amp;EDATE(DATE(2026,10,1),1))</f>
        <v>0</v>
      </c>
      <c r="L19" s="120">
        <f t="shared" si="1"/>
        <v>0</v>
      </c>
    </row>
    <row r="20" spans="2:12" ht="23.1" customHeight="1" thickBot="1">
      <c r="B20" s="114" t="s">
        <v>25</v>
      </c>
      <c r="C20" s="124">
        <f>SUMIFS('Daily Inward'!$J:$J,'Daily Inward'!$E:$E,"Inventory",'Daily Inward'!$B:$B,"&gt;="&amp;DATE(2026,11,1),'Daily Inward'!$B:$B,"&lt;"&amp;EDATE(DATE(2026,11,1),1))</f>
        <v>0</v>
      </c>
      <c r="D20" s="125">
        <f>SUMIFS('Daily Inward'!$J:$J,'Daily Inward'!$E:$E,"Non Inventory",'Daily Inward'!$B:$B,"&gt;="&amp;DATE(2026,11,1),'Daily Inward'!$B:$B,"&lt;"&amp;EDATE(DATE(2026,11,1),1))</f>
        <v>0</v>
      </c>
      <c r="E20" s="126">
        <f>SUMIFS('Daily Inward'!$J:$J,'Daily Inward'!$E:$E,"Services",'Daily Inward'!$B:$B,"&gt;="&amp;DATE(2026,11,1),'Daily Inward'!$B:$B,"&lt;"&amp;EDATE(DATE(2026,11,1),1))</f>
        <v>0</v>
      </c>
      <c r="F20" s="127">
        <f>SUMIFS('Daily Inward'!$J:$J,'Daily Inward'!$E:$E,"Patty Cash",'Daily Inward'!$B:$B,"&gt;="&amp;DATE(2026,11,1),'Daily Inward'!$B:$B,"&lt;"&amp;EDATE(DATE(2026,11,1),1))</f>
        <v>0</v>
      </c>
      <c r="G20" s="122">
        <f t="shared" si="0"/>
        <v>0</v>
      </c>
      <c r="H20" s="132">
        <f>SUMIFS('Daily Issuance'!$O:$O,'Daily Issuance'!$E:$E,"Inventory",'Daily Issuance'!$B:$B,"&gt;="&amp;DATE(2026,11,1),'Daily Issuance'!$B:$B,"&lt;"&amp;EDATE(DATE(2026,11,1),1))</f>
        <v>0</v>
      </c>
      <c r="I20" s="133">
        <f>SUMIFS('Daily Issuance'!$O:$O,'Daily Issuance'!$E:$E,"Non Inventory",'Daily Issuance'!$B:$B,"&gt;="&amp;DATE(2026,11,1),'Daily Issuance'!$B:$B,"&lt;"&amp;EDATE(DATE(2026,11,1),1))</f>
        <v>0</v>
      </c>
      <c r="J20" s="134">
        <f>SUMIFS('Daily Issuance'!$O:$O,'Daily Issuance'!$E:$E,"Services",'Daily Issuance'!$B:$B,"&gt;="&amp;DATE(2026,11,1),'Daily Issuance'!$B:$B,"&lt;"&amp;EDATE(DATE(2026,11,1),1))</f>
        <v>0</v>
      </c>
      <c r="K20" s="135">
        <f>SUMIFS('Daily Issuance'!$O:$O,'Daily Issuance'!$E:$E,"Patty Cash",'Daily Issuance'!$B:$B,"&gt;="&amp;DATE(2026,11,1),'Daily Issuance'!$B:$B,"&lt;"&amp;EDATE(DATE(2026,11,1),1))</f>
        <v>0</v>
      </c>
      <c r="L20" s="120">
        <f t="shared" si="1"/>
        <v>0</v>
      </c>
    </row>
    <row r="21" spans="2:12" ht="23.1" customHeight="1" thickBot="1">
      <c r="B21" s="115" t="s">
        <v>26</v>
      </c>
      <c r="C21" s="128">
        <f>SUMIFS('Daily Inward'!$J:$J,'Daily Inward'!$E:$E,"Inventory",'Daily Inward'!$B:$B,"&gt;="&amp;DATE(2026,12,1),'Daily Inward'!$B:$B,"&lt;"&amp;EDATE(DATE(2026,12,1),1))</f>
        <v>0</v>
      </c>
      <c r="D21" s="129">
        <f>SUMIFS('Daily Inward'!$J:$J,'Daily Inward'!$E:$E,"Non Inventory",'Daily Inward'!$B:$B,"&gt;="&amp;DATE(2026,12,1),'Daily Inward'!$B:$B,"&lt;"&amp;EDATE(DATE(2026,12,1),1))</f>
        <v>0</v>
      </c>
      <c r="E21" s="130">
        <f>SUMIFS('Daily Inward'!$J:$J,'Daily Inward'!$E:$E,"Services",'Daily Inward'!$B:$B,"&gt;="&amp;DATE(2026,12,1),'Daily Inward'!$B:$B,"&lt;"&amp;EDATE(DATE(2026,12,1),1))</f>
        <v>0</v>
      </c>
      <c r="F21" s="131">
        <f>SUMIFS('Daily Inward'!$J:$J,'Daily Inward'!$E:$E,"Patty Cash",'Daily Inward'!$B:$B,"&gt;="&amp;DATE(2026,12,1),'Daily Inward'!$B:$B,"&lt;"&amp;EDATE(DATE(2026,12,1),1))</f>
        <v>0</v>
      </c>
      <c r="G21" s="123">
        <f t="shared" si="0"/>
        <v>0</v>
      </c>
      <c r="H21" s="136">
        <f>SUMIFS('Daily Issuance'!$O:$O,'Daily Issuance'!$E:$E,"Inventory",'Daily Issuance'!$B:$B,"&gt;="&amp;DATE(2026,12,1),'Daily Issuance'!$B:$B,"&lt;"&amp;EDATE(DATE(2026,12,1),1))</f>
        <v>0</v>
      </c>
      <c r="I21" s="137">
        <f>SUMIFS('Daily Issuance'!$O:$O,'Daily Issuance'!$E:$E,"Non Inventory",'Daily Issuance'!$B:$B,"&gt;="&amp;DATE(2026,12,1),'Daily Issuance'!$B:$B,"&lt;"&amp;EDATE(DATE(2026,12,1),1))</f>
        <v>0</v>
      </c>
      <c r="J21" s="138">
        <f>SUMIFS('Daily Issuance'!$O:$O,'Daily Issuance'!$E:$E,"Services",'Daily Issuance'!$B:$B,"&gt;="&amp;DATE(2026,12,1),'Daily Issuance'!$B:$B,"&lt;"&amp;EDATE(DATE(2026,12,1),1))</f>
        <v>0</v>
      </c>
      <c r="K21" s="139">
        <f>SUMIFS('Daily Issuance'!$O:$O,'Daily Issuance'!$E:$E,"Patty Cash",'Daily Issuance'!$B:$B,"&gt;="&amp;DATE(2026,12,1),'Daily Issuance'!$B:$B,"&lt;"&amp;EDATE(DATE(2026,12,1),1))</f>
        <v>0</v>
      </c>
      <c r="L21" s="121">
        <f t="shared" si="1"/>
        <v>0</v>
      </c>
    </row>
    <row r="22" spans="2:12" ht="23.1" customHeight="1" thickTop="1" thickBot="1">
      <c r="B22" s="116" t="s">
        <v>27</v>
      </c>
      <c r="C22" s="111">
        <f t="shared" ref="C22:L22" si="2">SUM(C14:C21)</f>
        <v>1086500</v>
      </c>
      <c r="D22" s="111">
        <f t="shared" si="2"/>
        <v>1734685.81</v>
      </c>
      <c r="E22" s="111">
        <f t="shared" si="2"/>
        <v>1183200</v>
      </c>
      <c r="F22" s="111">
        <f t="shared" si="2"/>
        <v>23751.208428000002</v>
      </c>
      <c r="G22" s="111">
        <f t="shared" si="2"/>
        <v>4028137.0184279997</v>
      </c>
      <c r="H22" s="111">
        <f t="shared" si="2"/>
        <v>3338614</v>
      </c>
      <c r="I22" s="111">
        <f t="shared" si="2"/>
        <v>1153611.81</v>
      </c>
      <c r="J22" s="111">
        <f t="shared" si="2"/>
        <v>1183200</v>
      </c>
      <c r="K22" s="111">
        <f t="shared" si="2"/>
        <v>25141.608428000007</v>
      </c>
      <c r="L22" s="119">
        <f t="shared" si="2"/>
        <v>5700567.4184280001</v>
      </c>
    </row>
    <row r="23" spans="2:12" ht="15.75" thickTop="1">
      <c r="B23" s="140"/>
      <c r="C23" s="141"/>
      <c r="D23" s="141"/>
      <c r="E23" s="141"/>
      <c r="F23" s="141"/>
      <c r="G23" s="141"/>
      <c r="H23" s="141"/>
      <c r="I23" s="141"/>
      <c r="J23" s="141"/>
      <c r="K23" s="141"/>
      <c r="L23" s="142"/>
    </row>
    <row r="24" spans="2:12" ht="18.75">
      <c r="B24" s="401" t="s">
        <v>1576</v>
      </c>
      <c r="C24" s="401"/>
      <c r="D24" s="401"/>
      <c r="E24" s="401"/>
      <c r="F24" s="401"/>
      <c r="G24" s="401"/>
      <c r="H24" s="401"/>
      <c r="I24" s="401"/>
      <c r="J24" s="401"/>
      <c r="K24" s="401"/>
      <c r="L24" s="401"/>
    </row>
    <row r="25" spans="2:12">
      <c r="B25" s="402"/>
      <c r="C25" s="402"/>
      <c r="D25" s="402"/>
      <c r="E25" s="402"/>
      <c r="F25" s="402"/>
      <c r="G25" s="402"/>
      <c r="H25" s="402"/>
      <c r="I25" s="402"/>
      <c r="J25" s="402"/>
      <c r="K25" s="402"/>
      <c r="L25" s="402"/>
    </row>
    <row r="26" spans="2:12" ht="23.1" customHeight="1">
      <c r="B26" s="156" t="s">
        <v>1577</v>
      </c>
      <c r="C26" s="156" t="s">
        <v>1578</v>
      </c>
      <c r="D26" s="156" t="s">
        <v>1579</v>
      </c>
      <c r="E26" s="156" t="s">
        <v>1580</v>
      </c>
      <c r="F26" s="156" t="s">
        <v>1581</v>
      </c>
      <c r="G26" s="156" t="s">
        <v>1582</v>
      </c>
      <c r="H26" s="146"/>
      <c r="I26" s="441" t="s">
        <v>1583</v>
      </c>
      <c r="J26" s="441"/>
      <c r="K26" s="441"/>
      <c r="L26" s="441"/>
    </row>
    <row r="27" spans="2:12" ht="23.1" customHeight="1">
      <c r="B27" s="157">
        <f>SUM('Machine Issuance Dashboard'!$AP$6:$AP$58)</f>
        <v>5691603.8100000005</v>
      </c>
      <c r="C27" s="158">
        <f>COUNTIF(C31:C38,"&gt;0")</f>
        <v>2</v>
      </c>
      <c r="D27" s="158" t="str">
        <f>INDEX(B31:B38,MATCH(MAX(C31:C38),C31:C38,0))</f>
        <v>May</v>
      </c>
      <c r="E27" s="158" t="str" cm="1">
        <f t="array" ref="E27">IFERROR(INDEX(B31:B38,MATCH(MIN(_xlfn._xlws.FILTER(C31:C38,C31:C38&gt;0)),C31:C38,0)),"No Data")</f>
        <v>Jun</v>
      </c>
      <c r="F27" s="158">
        <f>COUNTA('Machine Issuance Dashboard'!$A$6:$A$57)</f>
        <v>52</v>
      </c>
      <c r="G27" s="158">
        <f>COUNTIF(J31:J38,"Focus")</f>
        <v>2</v>
      </c>
      <c r="H27" s="146"/>
      <c r="I27" s="167" t="s">
        <v>1584</v>
      </c>
      <c r="J27" s="168" t="s">
        <v>1585</v>
      </c>
      <c r="K27" s="168" t="s">
        <v>1586</v>
      </c>
      <c r="L27" s="168" t="s">
        <v>1587</v>
      </c>
    </row>
    <row r="28" spans="2:12" ht="23.1" customHeight="1">
      <c r="B28" s="146"/>
      <c r="C28" s="145"/>
      <c r="D28" s="145"/>
      <c r="E28" s="145"/>
      <c r="F28" s="145"/>
      <c r="G28" s="146"/>
      <c r="H28" s="146"/>
      <c r="I28" s="167" t="s">
        <v>1588</v>
      </c>
      <c r="J28" s="168" t="s">
        <v>1589</v>
      </c>
      <c r="K28" s="168" t="s">
        <v>1590</v>
      </c>
      <c r="L28" s="168" t="s">
        <v>1591</v>
      </c>
    </row>
    <row r="29" spans="2:12" ht="23.1" customHeight="1">
      <c r="B29" s="146"/>
      <c r="C29" s="145"/>
      <c r="D29" s="145"/>
      <c r="E29" s="145"/>
      <c r="F29" s="145"/>
      <c r="G29" s="146"/>
      <c r="H29" s="146"/>
      <c r="I29" s="167" t="s">
        <v>1592</v>
      </c>
      <c r="J29" s="168" t="s">
        <v>1593</v>
      </c>
      <c r="K29" s="168" t="s">
        <v>1594</v>
      </c>
      <c r="L29" s="168" t="s">
        <v>1595</v>
      </c>
    </row>
    <row r="30" spans="2:12" ht="23.1" customHeight="1">
      <c r="B30" s="159" t="s">
        <v>12</v>
      </c>
      <c r="C30" s="159" t="s">
        <v>1596</v>
      </c>
      <c r="D30" s="159" t="s">
        <v>1597</v>
      </c>
      <c r="E30" s="159" t="s">
        <v>1598</v>
      </c>
      <c r="F30" s="159" t="s">
        <v>1599</v>
      </c>
      <c r="G30" s="159" t="s">
        <v>1600</v>
      </c>
      <c r="H30" s="297"/>
      <c r="I30" s="159" t="s">
        <v>1570</v>
      </c>
      <c r="J30" s="159" t="s">
        <v>1601</v>
      </c>
      <c r="K30" s="159" t="s">
        <v>1602</v>
      </c>
      <c r="L30" s="159" t="s">
        <v>1603</v>
      </c>
    </row>
    <row r="31" spans="2:12" ht="23.1" customHeight="1">
      <c r="B31" s="160" t="s">
        <v>1574</v>
      </c>
      <c r="C31" s="161">
        <f>SUM('Machine Issuance Dashboard'!$F$6:$F$57)</f>
        <v>2863371</v>
      </c>
      <c r="D31" s="162" t="str">
        <f>IF(C31=0,"No Data",INDEX('Machine Issuance Dashboard'!$A$6:$A$57,MATCH(MAX('Machine Issuance Dashboard'!$F$6:$F$57),'Machine Issuance Dashboard'!$F$6:$F$57,0)))</f>
        <v>Auto Fryer</v>
      </c>
      <c r="E31" s="161">
        <f>IF(C31=0,0,MAX('Machine Issuance Dashboard'!$F$6:$F$57))</f>
        <v>1232577</v>
      </c>
      <c r="F31" s="161" t="str" cm="1">
        <f t="array" ref="F31">IF(C31=0,"No Data",IFERROR(INDEX('Machine Issuance Dashboard'!$A$6:$A$57,MATCH(MIN(_xlfn._xlws.FILTER('Machine Issuance Dashboard'!$F$6:$F$57,'Machine Issuance Dashboard'!$F$6:$F$57&gt;0)),'Machine Issuance Dashboard'!$F$6:$F$57,0)),"No Active"))</f>
        <v xml:space="preserve">DB Water Chiller </v>
      </c>
      <c r="G31" s="161" cm="1">
        <f t="array" ref="G31">IF(C31=0,0,IFERROR(MIN(_xlfn._xlws.FILTER('Machine Issuance Dashboard'!$F$6:$F$57,'Machine Issuance Dashboard'!$F$6:$F$57&gt;0)),0))</f>
        <v>183</v>
      </c>
      <c r="H31" s="296"/>
      <c r="I31" s="163">
        <f t="shared" ref="I31:I38" si="3">IF(C31=0,0,E31/C31)</f>
        <v>0.43046360391301025</v>
      </c>
      <c r="J31" s="164" t="str">
        <f t="shared" ref="J31:J38" si="4">IF(C31=0,"No Data",IF(I31&gt;=40%,"Focus",IF(I31&gt;=25%,"Watch","Normal")))</f>
        <v>Focus</v>
      </c>
      <c r="K31" s="165" t="str">
        <f t="shared" ref="K31:K38" si="5">IF(J31="Focus","Check top machine immediately",IF(J31="Watch","Monitor monthly",IF(J31="Normal","OK","Update source")))</f>
        <v>Check top machine immediately</v>
      </c>
      <c r="L31" s="166" t="str">
        <f t="shared" ref="L31:L38" si="6">IF(C31=0,"No Data","OK")</f>
        <v>OK</v>
      </c>
    </row>
    <row r="32" spans="2:12" ht="23.1" customHeight="1">
      <c r="B32" s="160" t="s">
        <v>1604</v>
      </c>
      <c r="C32" s="161">
        <f>SUM('Machine Issuance Dashboard'!$K$6:$K$57)</f>
        <v>2303222</v>
      </c>
      <c r="D32" s="162" t="str">
        <f>IF(C32=0,"No Data",INDEX('Machine Issuance Dashboard'!$A$6:$A$57,MATCH(MAX('Machine Issuance Dashboard'!$K$6:$K$57),'Machine Issuance Dashboard'!$K$6:$K$57,0)))</f>
        <v>Ishida No: 02</v>
      </c>
      <c r="E32" s="161">
        <f>IF(C32=0,0,MAX('Machine Issuance Dashboard'!$K$6:$K$57))</f>
        <v>1007768</v>
      </c>
      <c r="F32" s="161" t="str" cm="1">
        <f t="array" ref="F32">IF(C32=0,"No Data",IFERROR(INDEX('Machine Issuance Dashboard'!$A$6:$A$57,MATCH(MIN(_xlfn._xlws.FILTER('Machine Issuance Dashboard'!$K$6:$K$57,'Machine Issuance Dashboard'!$K$6:$K$57&gt;0)),'Machine Issuance Dashboard'!$K$6:$K$57,0)),"No Active"))</f>
        <v>Hand Pallet</v>
      </c>
      <c r="G32" s="161" cm="1">
        <f t="array" ref="G32">IF(C32=0,0,IFERROR(MIN(_xlfn._xlws.FILTER('Machine Issuance Dashboard'!$K$6:$K$57,'Machine Issuance Dashboard'!$K$6:$K$57&gt;0)),0))</f>
        <v>45</v>
      </c>
      <c r="H32" s="296"/>
      <c r="I32" s="163">
        <f t="shared" si="3"/>
        <v>0.43754705364919233</v>
      </c>
      <c r="J32" s="164" t="str">
        <f t="shared" si="4"/>
        <v>Focus</v>
      </c>
      <c r="K32" s="165" t="str">
        <f t="shared" si="5"/>
        <v>Check top machine immediately</v>
      </c>
      <c r="L32" s="166" t="str">
        <f t="shared" si="6"/>
        <v>OK</v>
      </c>
    </row>
    <row r="33" spans="2:12" ht="23.1" customHeight="1">
      <c r="B33" s="160" t="s">
        <v>1605</v>
      </c>
      <c r="C33" s="161">
        <f>SUM('Machine Issuance Dashboard'!$P$6:$P$57)</f>
        <v>0</v>
      </c>
      <c r="D33" s="162" t="str">
        <f>IF(C33=0,"No Data",INDEX('Machine Issuance Dashboard'!$A$6:$A$57,MATCH(MAX('Machine Issuance Dashboard'!$P$6:$P$57),'Machine Issuance Dashboard'!$P$6:$P$57,0)))</f>
        <v>No Data</v>
      </c>
      <c r="E33" s="161">
        <f>IF(C33=0,0,MAX('Machine Issuance Dashboard'!$P$6:$P$57))</f>
        <v>0</v>
      </c>
      <c r="F33" s="161" t="str" cm="1">
        <f t="array" ref="F33">IF(C33=0,"No Data",IFERROR(INDEX('Machine Issuance Dashboard'!$A$6:$A$57,MATCH(MIN(_xlfn._xlws.FILTER('Machine Issuance Dashboard'!$P$6:$P$57,'Machine Issuance Dashboard'!$P$6:$P$57&gt;0)),'Machine Issuance Dashboard'!$P$6:$P$57,0)),"No Active"))</f>
        <v>No Data</v>
      </c>
      <c r="G33" s="161" cm="1">
        <f t="array" ref="G33">IF(C33=0,0,IFERROR(MIN(_xlfn._xlws.FILTER('Machine Issuance Dashboard'!$P$6:$P$57,'Machine Issuance Dashboard'!$P$6:$P$57&gt;0)),0))</f>
        <v>0</v>
      </c>
      <c r="H33" s="296"/>
      <c r="I33" s="163">
        <f t="shared" si="3"/>
        <v>0</v>
      </c>
      <c r="J33" s="164" t="str">
        <f t="shared" si="4"/>
        <v>No Data</v>
      </c>
      <c r="K33" s="165" t="str">
        <f t="shared" si="5"/>
        <v>Update source</v>
      </c>
      <c r="L33" s="166" t="str">
        <f t="shared" si="6"/>
        <v>No Data</v>
      </c>
    </row>
    <row r="34" spans="2:12" ht="23.1" customHeight="1">
      <c r="B34" s="160" t="s">
        <v>1606</v>
      </c>
      <c r="C34" s="161">
        <f>SUM('Machine Issuance Dashboard'!$U$6:$U$57)</f>
        <v>0</v>
      </c>
      <c r="D34" s="162" t="str">
        <f>IF(C34=0,"No Data",INDEX('Machine Issuance Dashboard'!$A$6:$A$57,MATCH(MAX('Machine Issuance Dashboard'!$U$6:$U$57),'Machine Issuance Dashboard'!$U$6:$U$57,0)))</f>
        <v>No Data</v>
      </c>
      <c r="E34" s="161">
        <f>IF(C34=0,0,MAX('Machine Issuance Dashboard'!$U$6:$U$57))</f>
        <v>0</v>
      </c>
      <c r="F34" s="161" t="str" cm="1">
        <f t="array" ref="F34">IF(C34=0,"No Data",IFERROR(INDEX('Machine Issuance Dashboard'!$A$6:$A$57,MATCH(MIN(_xlfn._xlws.FILTER('Machine Issuance Dashboard'!$U$6:$U$57,'Machine Issuance Dashboard'!$U$6:$U$57&gt;0)),'Machine Issuance Dashboard'!$U$6:$U$57,0)),"No Active"))</f>
        <v>No Data</v>
      </c>
      <c r="G34" s="161" cm="1">
        <f t="array" ref="G34">IF(C34=0,0,IFERROR(MIN(_xlfn._xlws.FILTER('Machine Issuance Dashboard'!$U$6:$U$57,'Machine Issuance Dashboard'!$U$6:$U$57&gt;0)),0))</f>
        <v>0</v>
      </c>
      <c r="H34" s="296"/>
      <c r="I34" s="163">
        <f t="shared" si="3"/>
        <v>0</v>
      </c>
      <c r="J34" s="164" t="str">
        <f t="shared" si="4"/>
        <v>No Data</v>
      </c>
      <c r="K34" s="165" t="str">
        <f t="shared" si="5"/>
        <v>Update source</v>
      </c>
      <c r="L34" s="166" t="str">
        <f t="shared" si="6"/>
        <v>No Data</v>
      </c>
    </row>
    <row r="35" spans="2:12" ht="23.1" customHeight="1">
      <c r="B35" s="160" t="s">
        <v>1607</v>
      </c>
      <c r="C35" s="161">
        <f>SUM('Machine Issuance Dashboard'!$Z$6:$Z$57)</f>
        <v>0</v>
      </c>
      <c r="D35" s="162" t="str">
        <f>IF(C35=0,"No Data",INDEX('Machine Issuance Dashboard'!$A$6:$A$57,MATCH(MAX('Machine Issuance Dashboard'!$Z$6:$Z$57),'Machine Issuance Dashboard'!$Z$6:$Z$57,0)))</f>
        <v>No Data</v>
      </c>
      <c r="E35" s="161">
        <f>IF(C35=0,0,MAX('Machine Issuance Dashboard'!$Z$6:$Z$57))</f>
        <v>0</v>
      </c>
      <c r="F35" s="161" t="str" cm="1">
        <f t="array" ref="F35">IF(C35=0,"No Data",IFERROR(INDEX('Machine Issuance Dashboard'!$A$6:$A$57,MATCH(MIN(_xlfn._xlws.FILTER('Machine Issuance Dashboard'!$Z$6:$Z$57,'Machine Issuance Dashboard'!$Z$6:$Z$57&gt;0)),'Machine Issuance Dashboard'!$Z$6:$Z$57,0)),"No Active"))</f>
        <v>No Data</v>
      </c>
      <c r="G35" s="161" cm="1">
        <f t="array" ref="G35">IF(C35=0,0,IFERROR(MIN(_xlfn._xlws.FILTER('Machine Issuance Dashboard'!$Z$6:$Z$57,'Machine Issuance Dashboard'!$Z$6:$Z$57&gt;0)),0))</f>
        <v>0</v>
      </c>
      <c r="H35" s="296"/>
      <c r="I35" s="163">
        <f t="shared" si="3"/>
        <v>0</v>
      </c>
      <c r="J35" s="164" t="str">
        <f t="shared" si="4"/>
        <v>No Data</v>
      </c>
      <c r="K35" s="165" t="str">
        <f t="shared" si="5"/>
        <v>Update source</v>
      </c>
      <c r="L35" s="166" t="str">
        <f t="shared" si="6"/>
        <v>No Data</v>
      </c>
    </row>
    <row r="36" spans="2:12" ht="23.1" customHeight="1">
      <c r="B36" s="160" t="s">
        <v>1608</v>
      </c>
      <c r="C36" s="161">
        <f>SUM('Machine Issuance Dashboard'!$AE$6:$AE$57)</f>
        <v>0</v>
      </c>
      <c r="D36" s="162" t="str">
        <f>IF(C36=0,"No Data",INDEX('Machine Issuance Dashboard'!$A$6:$A$57,MATCH(MAX('Machine Issuance Dashboard'!$AE$6:$AE$57),'Machine Issuance Dashboard'!$AE$6:$AE$57,0)))</f>
        <v>No Data</v>
      </c>
      <c r="E36" s="161">
        <f>IF(C36=0,0,MAX('Machine Issuance Dashboard'!$AE$6:$AE$57))</f>
        <v>0</v>
      </c>
      <c r="F36" s="161" t="str" cm="1">
        <f t="array" ref="F36">IF(C36=0,"No Data",IFERROR(INDEX('Machine Issuance Dashboard'!$A$6:$A$57,MATCH(MIN(_xlfn._xlws.FILTER('Machine Issuance Dashboard'!$AE$6:$AE$57,'Machine Issuance Dashboard'!$AE$6:$AE$57&gt;0)),'Machine Issuance Dashboard'!$AE$6:$AE$57,0)),"No Active"))</f>
        <v>No Data</v>
      </c>
      <c r="G36" s="161" cm="1">
        <f t="array" ref="G36">IF(C36=0,0,IFERROR(MIN(_xlfn._xlws.FILTER('Machine Issuance Dashboard'!$AE$6:$AE$57,'Machine Issuance Dashboard'!$AE$6:$AE$57&gt;0)),0))</f>
        <v>0</v>
      </c>
      <c r="H36" s="296"/>
      <c r="I36" s="163">
        <f t="shared" si="3"/>
        <v>0</v>
      </c>
      <c r="J36" s="164" t="str">
        <f t="shared" si="4"/>
        <v>No Data</v>
      </c>
      <c r="K36" s="165" t="str">
        <f t="shared" si="5"/>
        <v>Update source</v>
      </c>
      <c r="L36" s="166" t="str">
        <f t="shared" si="6"/>
        <v>No Data</v>
      </c>
    </row>
    <row r="37" spans="2:12" ht="23.1" customHeight="1">
      <c r="B37" s="160" t="s">
        <v>1609</v>
      </c>
      <c r="C37" s="161">
        <f>SUM('Machine Issuance Dashboard'!$AJ$6:$AJ$57)</f>
        <v>0</v>
      </c>
      <c r="D37" s="162" t="str">
        <f>IF(C37=0,"No Data",INDEX('Machine Issuance Dashboard'!$A$6:$A$57,MATCH(MAX('Machine Issuance Dashboard'!$AJ$6:$AJ$57),'Machine Issuance Dashboard'!$AJ$6:$AJ$57,0)))</f>
        <v>No Data</v>
      </c>
      <c r="E37" s="161">
        <f>IF(C37=0,0,MAX('Machine Issuance Dashboard'!$AJ$6:$AJ$57))</f>
        <v>0</v>
      </c>
      <c r="F37" s="161" t="str" cm="1">
        <f t="array" ref="F37">IF(C37=0,"No Data",IFERROR(INDEX('Machine Issuance Dashboard'!$A$6:$A$57,MATCH(MIN(_xlfn._xlws.FILTER('Machine Issuance Dashboard'!$AJ$6:$AJ$57,'Machine Issuance Dashboard'!$AJ$6:$AJ$57&gt;0)),'Machine Issuance Dashboard'!$AJ$6:$AJ$57,0)),"No Active"))</f>
        <v>No Data</v>
      </c>
      <c r="G37" s="161" cm="1">
        <f t="array" ref="G37">IF(C37=0,0,IFERROR(MIN(_xlfn._xlws.FILTER('Machine Issuance Dashboard'!$AJ$6:$AJ$57,'Machine Issuance Dashboard'!$AJ$6:$AJ$57&gt;0)),0))</f>
        <v>0</v>
      </c>
      <c r="H37" s="296"/>
      <c r="I37" s="163">
        <f t="shared" si="3"/>
        <v>0</v>
      </c>
      <c r="J37" s="164" t="str">
        <f t="shared" si="4"/>
        <v>No Data</v>
      </c>
      <c r="K37" s="165" t="str">
        <f t="shared" si="5"/>
        <v>Update source</v>
      </c>
      <c r="L37" s="166" t="str">
        <f t="shared" si="6"/>
        <v>No Data</v>
      </c>
    </row>
    <row r="38" spans="2:12" ht="23.1" customHeight="1">
      <c r="B38" s="160" t="s">
        <v>1610</v>
      </c>
      <c r="C38" s="161">
        <f>SUM('Machine Issuance Dashboard'!$AO$6:$AO$57)</f>
        <v>0</v>
      </c>
      <c r="D38" s="162" t="str">
        <f>IF(C38=0,"No Data",INDEX('Machine Issuance Dashboard'!$A$6:$A$57,MATCH(MAX('Machine Issuance Dashboard'!$AO$6:$AO$57),'Machine Issuance Dashboard'!$AO$6:$AO$57,0)))</f>
        <v>No Data</v>
      </c>
      <c r="E38" s="161">
        <f>IF(C38=0,0,MAX('Machine Issuance Dashboard'!$AO$6:$AO$57))</f>
        <v>0</v>
      </c>
      <c r="F38" s="161" t="str" cm="1">
        <f t="array" ref="F38">IF(C38=0,"No Data",IFERROR(INDEX('Machine Issuance Dashboard'!$A$6:$A$57,MATCH(MIN(_xlfn._xlws.FILTER('Machine Issuance Dashboard'!$AO$6:$AO$57,'Machine Issuance Dashboard'!$AO$6:$AO$57&gt;0)),'Machine Issuance Dashboard'!$AO$6:$AO$57,0)),"No Active"))</f>
        <v>No Data</v>
      </c>
      <c r="G38" s="161" cm="1">
        <f t="array" ref="G38">IF(C38=0,0,IFERROR(MIN(_xlfn._xlws.FILTER('Machine Issuance Dashboard'!$AO$6:$AO$57,'Machine Issuance Dashboard'!$AO$6:$AO$57&gt;0)),0))</f>
        <v>0</v>
      </c>
      <c r="H38" s="296"/>
      <c r="I38" s="163">
        <f t="shared" si="3"/>
        <v>0</v>
      </c>
      <c r="J38" s="164" t="str">
        <f t="shared" si="4"/>
        <v>No Data</v>
      </c>
      <c r="K38" s="165" t="str">
        <f t="shared" si="5"/>
        <v>Update source</v>
      </c>
      <c r="L38" s="166" t="str">
        <f t="shared" si="6"/>
        <v>No Data</v>
      </c>
    </row>
    <row r="39" spans="2:12">
      <c r="B39" s="146"/>
      <c r="C39" s="145"/>
      <c r="D39" s="145"/>
      <c r="E39" s="145"/>
      <c r="F39" s="145"/>
      <c r="G39" s="146"/>
      <c r="H39" s="146"/>
      <c r="I39" s="146"/>
      <c r="J39" s="146"/>
      <c r="K39" s="146"/>
      <c r="L39" s="146"/>
    </row>
    <row r="40" spans="2:12">
      <c r="B40" s="146"/>
      <c r="C40" s="145"/>
      <c r="D40" s="145"/>
      <c r="E40" s="145"/>
      <c r="F40" s="145"/>
      <c r="G40" s="146"/>
      <c r="H40" s="146"/>
      <c r="I40" s="146"/>
      <c r="J40" s="146"/>
      <c r="K40" s="146"/>
      <c r="L40" s="146"/>
    </row>
    <row r="41" spans="2:12" ht="23.1" customHeight="1">
      <c r="B41" s="442" t="s">
        <v>1611</v>
      </c>
      <c r="C41" s="442"/>
      <c r="D41" s="442"/>
      <c r="E41" s="442"/>
      <c r="F41" s="442"/>
      <c r="G41" s="442"/>
      <c r="H41" s="146"/>
      <c r="I41" s="442" t="s">
        <v>1613</v>
      </c>
      <c r="J41" s="442"/>
      <c r="K41" s="442"/>
      <c r="L41" s="442"/>
    </row>
    <row r="42" spans="2:12" ht="23.1" customHeight="1">
      <c r="B42" s="147" t="s">
        <v>1571</v>
      </c>
      <c r="C42" s="147" t="s">
        <v>1573</v>
      </c>
      <c r="D42" s="147" t="s">
        <v>38</v>
      </c>
      <c r="E42" s="147" t="s">
        <v>1572</v>
      </c>
      <c r="F42" s="147" t="s">
        <v>1612</v>
      </c>
      <c r="G42" s="147" t="s">
        <v>1575</v>
      </c>
      <c r="H42" s="146"/>
      <c r="I42" s="147" t="s">
        <v>1573</v>
      </c>
      <c r="J42" s="147" t="s">
        <v>38</v>
      </c>
      <c r="K42" s="147" t="s">
        <v>1578</v>
      </c>
      <c r="L42" s="147" t="s">
        <v>1569</v>
      </c>
    </row>
    <row r="43" spans="2:12" ht="23.1" customHeight="1">
      <c r="B43" s="150">
        <v>1</v>
      </c>
      <c r="C43" s="150" t="str">
        <f>INDEX('Machine Issuance Dashboard'!$A$6:$A$57,MATCH(LARGE('Machine Issuance Dashboard'!$AP$6:$AP$57,B43),'Machine Issuance Dashboard'!$AP$6:$AP$57,0))</f>
        <v>Auto Fryer</v>
      </c>
      <c r="D43" s="151">
        <f>LARGE('Machine Issuance Dashboard'!$AP$6:$AP$57,B43)</f>
        <v>1232577</v>
      </c>
      <c r="E43" s="152">
        <f>D43/$B$27</f>
        <v>0.21656057609533436</v>
      </c>
      <c r="F43" s="150" t="str" cm="1">
        <f t="array" ref="F43">_xlfn.LET(_xlpm.mach,C43,_xlpm.rowNo,MATCH(_xlpm.mach,'Machine Issuance Dashboard'!$A$6:$A$57,0),_xlpm.vals,CHOOSE({1,2,3,4,5,6,7,8},INDEX('Machine Issuance Dashboard'!$F$6:$F$57,_xlpm.rowNo),INDEX('Machine Issuance Dashboard'!$K$6:$K$57,_xlpm.rowNo),INDEX('Machine Issuance Dashboard'!$P$6:$P$57,_xlpm.rowNo),INDEX('Machine Issuance Dashboard'!$U$6:$U$57,_xlpm.rowNo),INDEX('Machine Issuance Dashboard'!$Z$6:$Z$57,_xlpm.rowNo),INDEX('Machine Issuance Dashboard'!$AE$6:$AE$57,_xlpm.rowNo),INDEX('Machine Issuance Dashboard'!$AJ$6:$AJ$57,_xlpm.rowNo),INDEX('Machine Issuance Dashboard'!$AO$6:$AO$57,_xlpm.rowNo)),INDEX({"May","Jun","Jul","Aug","Sep","Oct","Nov","Dec"},MATCH(MAX(_xlpm.vals),_xlpm.vals,0)))</f>
        <v>May</v>
      </c>
      <c r="G43" s="153" t="str">
        <f>IF(E43&gt;=20%,"Priority check",IF(E43&gt;=10%,"Watch","Normal"))</f>
        <v>Priority check</v>
      </c>
      <c r="H43" s="146"/>
      <c r="I43" s="148" t="str" cm="1">
        <f t="array" ref="I43">IFERROR(INDEX(_xlfn._xlws.FILTER('Machine Issuance Dashboard'!$A$6:$A$57,'Machine Issuance Dashboard'!$AP$6:$AP$57&gt;0),MATCH(SMALL(_xlfn._xlws.FILTER('Machine Issuance Dashboard'!$AP$6:$AP$57,'Machine Issuance Dashboard'!$AP$6:$AP$57&gt;0),1),_xlfn._xlws.FILTER('Machine Issuance Dashboard'!$AP$6:$AP$57,'Machine Issuance Dashboard'!$AP$6:$AP$57&gt;0),0)),"No Data")</f>
        <v>Batch Fryer No: 02</v>
      </c>
      <c r="J43" s="149">
        <f>IFERROR(INDEX('Machine Issuance Dashboard'!$AP$6:$AP$57,MATCH(I43,'Machine Issuance Dashboard'!$A$6:$A$57,0)),0)</f>
        <v>230</v>
      </c>
      <c r="K43" s="154">
        <f>IF(I43="No Data",0,--(INDEX('Machine Issuance Dashboard'!$F$6:$F$57,MATCH(I43,'Machine Issuance Dashboard'!$A$6:$A$57,0))&gt;0)+--(INDEX('Machine Issuance Dashboard'!$K$6:$K$57,MATCH(I43,'Machine Issuance Dashboard'!$A$6:$A$57,0))&gt;0)+--(INDEX('Machine Issuance Dashboard'!$P$6:$P$57,MATCH(I43,'Machine Issuance Dashboard'!$A$6:$A$57,0))&gt;0)+--(INDEX('Machine Issuance Dashboard'!$U$6:$U$57,MATCH(I43,'Machine Issuance Dashboard'!$A$6:$A$57,0))&gt;0)+--(INDEX('Machine Issuance Dashboard'!$Z$6:$Z$57,MATCH(I43,'Machine Issuance Dashboard'!$A$6:$A$57,0))&gt;0)+--(INDEX('Machine Issuance Dashboard'!$AE$6:$AE$57,MATCH(I43,'Machine Issuance Dashboard'!$A$6:$A$57,0))&gt;0)+--(INDEX('Machine Issuance Dashboard'!$AJ$6:$AJ$57,MATCH(I43,'Machine Issuance Dashboard'!$A$6:$A$57,0))&gt;0)+--(INDEX('Machine Issuance Dashboard'!$AO$6:$AO$57,MATCH(I43,'Machine Issuance Dashboard'!$A$6:$A$57,0))&gt;0))</f>
        <v>1</v>
      </c>
      <c r="L43" s="155" t="str">
        <f>IF(J43=0,"Idle",IF(K43&lt;=1,"Low Use","Active"))</f>
        <v>Low Use</v>
      </c>
    </row>
    <row r="44" spans="2:12" ht="23.1" customHeight="1">
      <c r="B44" s="150">
        <v>2</v>
      </c>
      <c r="C44" s="150" t="str">
        <f>INDEX('Machine Issuance Dashboard'!$A$6:$A$57,MATCH(LARGE('Machine Issuance Dashboard'!$AP$6:$AP$57,B44),'Machine Issuance Dashboard'!$AP$6:$AP$57,0))</f>
        <v>Ishida No: 02</v>
      </c>
      <c r="D44" s="151">
        <f>LARGE('Machine Issuance Dashboard'!$AP$6:$AP$57,B44)</f>
        <v>1017774</v>
      </c>
      <c r="E44" s="152">
        <f>D44/$B$27</f>
        <v>0.17882024715279679</v>
      </c>
      <c r="F44" s="150" t="str" cm="1">
        <f t="array" ref="F44">_xlfn.LET(_xlpm.mach,C44,_xlpm.rowNo,MATCH(_xlpm.mach,'Machine Issuance Dashboard'!$A$6:$A$57,0),_xlpm.vals,CHOOSE({1,2,3,4,5,6,7,8},INDEX('Machine Issuance Dashboard'!$F$6:$F$57,_xlpm.rowNo),INDEX('Machine Issuance Dashboard'!$K$6:$K$57,_xlpm.rowNo),INDEX('Machine Issuance Dashboard'!$P$6:$P$57,_xlpm.rowNo),INDEX('Machine Issuance Dashboard'!$U$6:$U$57,_xlpm.rowNo),INDEX('Machine Issuance Dashboard'!$Z$6:$Z$57,_xlpm.rowNo),INDEX('Machine Issuance Dashboard'!$AE$6:$AE$57,_xlpm.rowNo),INDEX('Machine Issuance Dashboard'!$AJ$6:$AJ$57,_xlpm.rowNo),INDEX('Machine Issuance Dashboard'!$AO$6:$AO$57,_xlpm.rowNo)),INDEX({"May","Jun","Jul","Aug","Sep","Oct","Nov","Dec"},MATCH(MAX(_xlpm.vals),_xlpm.vals,0)))</f>
        <v>Jun</v>
      </c>
      <c r="G44" s="153" t="str">
        <f>IF(E44&gt;=20%,"Priority check",IF(E44&gt;=10%,"Watch","Normal"))</f>
        <v>Watch</v>
      </c>
      <c r="H44" s="146"/>
      <c r="I44" s="148" t="str" cm="1">
        <f t="array" ref="I44">IFERROR(INDEX(_xlfn._xlws.FILTER('Machine Issuance Dashboard'!$A$6:$A$57,'Machine Issuance Dashboard'!$AP$6:$AP$57&gt;0),MATCH(SMALL(_xlfn._xlws.FILTER('Machine Issuance Dashboard'!$AP$6:$AP$57,'Machine Issuance Dashboard'!$AP$6:$AP$57&gt;0),2),_xlfn._xlws.FILTER('Machine Issuance Dashboard'!$AP$6:$AP$57,'Machine Issuance Dashboard'!$AP$6:$AP$57&gt;0),0)),"No Data")</f>
        <v>Korea No: 04</v>
      </c>
      <c r="J44" s="149">
        <f>IFERROR(INDEX('Machine Issuance Dashboard'!$AP$6:$AP$57,MATCH(I44,'Machine Issuance Dashboard'!$A$6:$A$57,0)),0)</f>
        <v>450</v>
      </c>
      <c r="K44" s="154">
        <f>IF(I44="No Data",0,--(INDEX('Machine Issuance Dashboard'!$F$6:$F$57,MATCH(I44,'Machine Issuance Dashboard'!$A$6:$A$57,0))&gt;0)+--(INDEX('Machine Issuance Dashboard'!$K$6:$K$57,MATCH(I44,'Machine Issuance Dashboard'!$A$6:$A$57,0))&gt;0)+--(INDEX('Machine Issuance Dashboard'!$P$6:$P$57,MATCH(I44,'Machine Issuance Dashboard'!$A$6:$A$57,0))&gt;0)+--(INDEX('Machine Issuance Dashboard'!$U$6:$U$57,MATCH(I44,'Machine Issuance Dashboard'!$A$6:$A$57,0))&gt;0)+--(INDEX('Machine Issuance Dashboard'!$Z$6:$Z$57,MATCH(I44,'Machine Issuance Dashboard'!$A$6:$A$57,0))&gt;0)+--(INDEX('Machine Issuance Dashboard'!$AE$6:$AE$57,MATCH(I44,'Machine Issuance Dashboard'!$A$6:$A$57,0))&gt;0)+--(INDEX('Machine Issuance Dashboard'!$AJ$6:$AJ$57,MATCH(I44,'Machine Issuance Dashboard'!$A$6:$A$57,0))&gt;0)+--(INDEX('Machine Issuance Dashboard'!$AO$6:$AO$57,MATCH(I44,'Machine Issuance Dashboard'!$A$6:$A$57,0))&gt;0))</f>
        <v>2</v>
      </c>
      <c r="L44" s="155" t="str">
        <f>IF(J44=0,"Idle",IF(K44&lt;=1,"Low Use","Active"))</f>
        <v>Active</v>
      </c>
    </row>
    <row r="45" spans="2:12" ht="23.1" customHeight="1">
      <c r="B45" s="150">
        <v>3</v>
      </c>
      <c r="C45" s="150" t="str">
        <f>INDEX('Machine Issuance Dashboard'!$A$6:$A$57,MATCH(LARGE('Machine Issuance Dashboard'!$AP$6:$AP$57,B45),'Machine Issuance Dashboard'!$AP$6:$AP$57,0))</f>
        <v>Ishida No: 14</v>
      </c>
      <c r="D45" s="151">
        <f>LARGE('Machine Issuance Dashboard'!$AP$6:$AP$57,B45)</f>
        <v>501227</v>
      </c>
      <c r="E45" s="152">
        <f>D45/$B$27</f>
        <v>8.8064281480618373E-2</v>
      </c>
      <c r="F45" s="150" t="str" cm="1">
        <f t="array" ref="F45">_xlfn.LET(_xlpm.mach,C45,_xlpm.rowNo,MATCH(_xlpm.mach,'Machine Issuance Dashboard'!$A$6:$A$57,0),_xlpm.vals,CHOOSE({1,2,3,4,5,6,7,8},INDEX('Machine Issuance Dashboard'!$F$6:$F$57,_xlpm.rowNo),INDEX('Machine Issuance Dashboard'!$K$6:$K$57,_xlpm.rowNo),INDEX('Machine Issuance Dashboard'!$P$6:$P$57,_xlpm.rowNo),INDEX('Machine Issuance Dashboard'!$U$6:$U$57,_xlpm.rowNo),INDEX('Machine Issuance Dashboard'!$Z$6:$Z$57,_xlpm.rowNo),INDEX('Machine Issuance Dashboard'!$AE$6:$AE$57,_xlpm.rowNo),INDEX('Machine Issuance Dashboard'!$AJ$6:$AJ$57,_xlpm.rowNo),INDEX('Machine Issuance Dashboard'!$AO$6:$AO$57,_xlpm.rowNo)),INDEX({"May","Jun","Jul","Aug","Sep","Oct","Nov","Dec"},MATCH(MAX(_xlpm.vals),_xlpm.vals,0)))</f>
        <v>Jun</v>
      </c>
      <c r="G45" s="153" t="str">
        <f>IF(E45&gt;=20%,"Priority check",IF(E45&gt;=10%,"Watch","Normal"))</f>
        <v>Normal</v>
      </c>
      <c r="H45" s="146"/>
      <c r="I45" s="148" t="str" cm="1">
        <f t="array" ref="I45">IFERROR(INDEX(_xlfn._xlws.FILTER('Machine Issuance Dashboard'!$A$6:$A$57,'Machine Issuance Dashboard'!$AP$6:$AP$57&gt;0),MATCH(SMALL(_xlfn._xlws.FILTER('Machine Issuance Dashboard'!$AP$6:$AP$57,'Machine Issuance Dashboard'!$AP$6:$AP$57&gt;0),3),_xlfn._xlws.FILTER('Machine Issuance Dashboard'!$AP$6:$AP$57,'Machine Issuance Dashboard'!$AP$6:$AP$57&gt;0),0)),"No Data")</f>
        <v>Sama No: 04</v>
      </c>
      <c r="J45" s="149">
        <f>IFERROR(INDEX('Machine Issuance Dashboard'!$AP$6:$AP$57,MATCH(I45,'Machine Issuance Dashboard'!$A$6:$A$57,0)),0)</f>
        <v>900</v>
      </c>
      <c r="K45" s="154">
        <f>IF(I45="No Data",0,--(INDEX('Machine Issuance Dashboard'!$F$6:$F$57,MATCH(I45,'Machine Issuance Dashboard'!$A$6:$A$57,0))&gt;0)+--(INDEX('Machine Issuance Dashboard'!$K$6:$K$57,MATCH(I45,'Machine Issuance Dashboard'!$A$6:$A$57,0))&gt;0)+--(INDEX('Machine Issuance Dashboard'!$P$6:$P$57,MATCH(I45,'Machine Issuance Dashboard'!$A$6:$A$57,0))&gt;0)+--(INDEX('Machine Issuance Dashboard'!$U$6:$U$57,MATCH(I45,'Machine Issuance Dashboard'!$A$6:$A$57,0))&gt;0)+--(INDEX('Machine Issuance Dashboard'!$Z$6:$Z$57,MATCH(I45,'Machine Issuance Dashboard'!$A$6:$A$57,0))&gt;0)+--(INDEX('Machine Issuance Dashboard'!$AE$6:$AE$57,MATCH(I45,'Machine Issuance Dashboard'!$A$6:$A$57,0))&gt;0)+--(INDEX('Machine Issuance Dashboard'!$AJ$6:$AJ$57,MATCH(I45,'Machine Issuance Dashboard'!$A$6:$A$57,0))&gt;0)+--(INDEX('Machine Issuance Dashboard'!$AO$6:$AO$57,MATCH(I45,'Machine Issuance Dashboard'!$A$6:$A$57,0))&gt;0))</f>
        <v>1</v>
      </c>
      <c r="L45" s="155" t="str">
        <f>IF(J45=0,"Idle",IF(K45&lt;=1,"Low Use","Active"))</f>
        <v>Low Use</v>
      </c>
    </row>
    <row r="46" spans="2:12" ht="23.1" customHeight="1">
      <c r="B46" s="150">
        <v>4</v>
      </c>
      <c r="C46" s="150" t="str">
        <f>INDEX('Machine Issuance Dashboard'!$A$6:$A$57,MATCH(LARGE('Machine Issuance Dashboard'!$AP$6:$AP$57,B46),'Machine Issuance Dashboard'!$AP$6:$AP$57,0))</f>
        <v>LPG Plant</v>
      </c>
      <c r="D46" s="151">
        <f>LARGE('Machine Issuance Dashboard'!$AP$6:$AP$57,B46)</f>
        <v>440000</v>
      </c>
      <c r="E46" s="152">
        <f>D46/$B$27</f>
        <v>7.7306856676659638E-2</v>
      </c>
      <c r="F46" s="150" t="str" cm="1">
        <f t="array" ref="F46">_xlfn.LET(_xlpm.mach,C46,_xlpm.rowNo,MATCH(_xlpm.mach,'Machine Issuance Dashboard'!$A$6:$A$57,0),_xlpm.vals,CHOOSE({1,2,3,4,5,6,7,8},INDEX('Machine Issuance Dashboard'!$F$6:$F$57,_xlpm.rowNo),INDEX('Machine Issuance Dashboard'!$K$6:$K$57,_xlpm.rowNo),INDEX('Machine Issuance Dashboard'!$P$6:$P$57,_xlpm.rowNo),INDEX('Machine Issuance Dashboard'!$U$6:$U$57,_xlpm.rowNo),INDEX('Machine Issuance Dashboard'!$Z$6:$Z$57,_xlpm.rowNo),INDEX('Machine Issuance Dashboard'!$AE$6:$AE$57,_xlpm.rowNo),INDEX('Machine Issuance Dashboard'!$AJ$6:$AJ$57,_xlpm.rowNo),INDEX('Machine Issuance Dashboard'!$AO$6:$AO$57,_xlpm.rowNo)),INDEX({"May","Jun","Jul","Aug","Sep","Oct","Nov","Dec"},MATCH(MAX(_xlpm.vals),_xlpm.vals,0)))</f>
        <v>May</v>
      </c>
      <c r="G46" s="153" t="str">
        <f>IF(E46&gt;=20%,"Priority check",IF(E46&gt;=10%,"Watch","Normal"))</f>
        <v>Normal</v>
      </c>
      <c r="H46" s="146"/>
      <c r="I46" s="148" t="str" cm="1">
        <f t="array" ref="I46">IFERROR(INDEX(_xlfn._xlws.FILTER('Machine Issuance Dashboard'!$A$6:$A$57,'Machine Issuance Dashboard'!$AP$6:$AP$57&gt;0),MATCH(SMALL(_xlfn._xlws.FILTER('Machine Issuance Dashboard'!$AP$6:$AP$57,'Machine Issuance Dashboard'!$AP$6:$AP$57&gt;0),4),_xlfn._xlws.FILTER('Machine Issuance Dashboard'!$AP$6:$AP$57,'Machine Issuance Dashboard'!$AP$6:$AP$57&gt;0),0)),"No Data")</f>
        <v>Workshop</v>
      </c>
      <c r="J46" s="149">
        <f>IFERROR(INDEX('Machine Issuance Dashboard'!$AP$6:$AP$57,MATCH(I46,'Machine Issuance Dashboard'!$A$6:$A$57,0)),0)</f>
        <v>1010</v>
      </c>
      <c r="K46" s="154">
        <f>IF(I46="No Data",0,--(INDEX('Machine Issuance Dashboard'!$F$6:$F$57,MATCH(I46,'Machine Issuance Dashboard'!$A$6:$A$57,0))&gt;0)+--(INDEX('Machine Issuance Dashboard'!$K$6:$K$57,MATCH(I46,'Machine Issuance Dashboard'!$A$6:$A$57,0))&gt;0)+--(INDEX('Machine Issuance Dashboard'!$P$6:$P$57,MATCH(I46,'Machine Issuance Dashboard'!$A$6:$A$57,0))&gt;0)+--(INDEX('Machine Issuance Dashboard'!$U$6:$U$57,MATCH(I46,'Machine Issuance Dashboard'!$A$6:$A$57,0))&gt;0)+--(INDEX('Machine Issuance Dashboard'!$Z$6:$Z$57,MATCH(I46,'Machine Issuance Dashboard'!$A$6:$A$57,0))&gt;0)+--(INDEX('Machine Issuance Dashboard'!$AE$6:$AE$57,MATCH(I46,'Machine Issuance Dashboard'!$A$6:$A$57,0))&gt;0)+--(INDEX('Machine Issuance Dashboard'!$AJ$6:$AJ$57,MATCH(I46,'Machine Issuance Dashboard'!$A$6:$A$57,0))&gt;0)+--(INDEX('Machine Issuance Dashboard'!$AO$6:$AO$57,MATCH(I46,'Machine Issuance Dashboard'!$A$6:$A$57,0))&gt;0))</f>
        <v>1</v>
      </c>
      <c r="L46" s="155" t="str">
        <f>IF(J46=0,"Idle",IF(K46&lt;=1,"Low Use","Active"))</f>
        <v>Low Use</v>
      </c>
    </row>
    <row r="47" spans="2:12" ht="23.1" customHeight="1">
      <c r="B47" s="150">
        <v>5</v>
      </c>
      <c r="C47" s="150" t="str">
        <f>INDEX('Machine Issuance Dashboard'!$A$6:$A$57,MATCH(LARGE('Machine Issuance Dashboard'!$AP$6:$AP$57,B47),'Machine Issuance Dashboard'!$AP$6:$AP$57,0))</f>
        <v>Tecalit No: 02</v>
      </c>
      <c r="D47" s="151">
        <f>LARGE('Machine Issuance Dashboard'!$AP$6:$AP$57,B47)</f>
        <v>435242</v>
      </c>
      <c r="E47" s="152">
        <f>D47/$B$27</f>
        <v>7.6470888440142493E-2</v>
      </c>
      <c r="F47" s="150" t="str" cm="1">
        <f t="array" ref="F47">_xlfn.LET(_xlpm.mach,C47,_xlpm.rowNo,MATCH(_xlpm.mach,'Machine Issuance Dashboard'!$A$6:$A$57,0),_xlpm.vals,CHOOSE({1,2,3,4,5,6,7,8},INDEX('Machine Issuance Dashboard'!$F$6:$F$57,_xlpm.rowNo),INDEX('Machine Issuance Dashboard'!$K$6:$K$57,_xlpm.rowNo),INDEX('Machine Issuance Dashboard'!$P$6:$P$57,_xlpm.rowNo),INDEX('Machine Issuance Dashboard'!$U$6:$U$57,_xlpm.rowNo),INDEX('Machine Issuance Dashboard'!$Z$6:$Z$57,_xlpm.rowNo),INDEX('Machine Issuance Dashboard'!$AE$6:$AE$57,_xlpm.rowNo),INDEX('Machine Issuance Dashboard'!$AJ$6:$AJ$57,_xlpm.rowNo),INDEX('Machine Issuance Dashboard'!$AO$6:$AO$57,_xlpm.rowNo)),INDEX({"May","Jun","Jul","Aug","Sep","Oct","Nov","Dec"},MATCH(MAX(_xlpm.vals),_xlpm.vals,0)))</f>
        <v>May</v>
      </c>
      <c r="G47" s="153" t="str">
        <f>IF(E47&gt;=20%,"Priority check",IF(E47&gt;=10%,"Watch","Normal"))</f>
        <v>Normal</v>
      </c>
      <c r="H47" s="146"/>
      <c r="I47" s="148" t="str" cm="1">
        <f t="array" ref="I47">IFERROR(INDEX(_xlfn._xlws.FILTER('Machine Issuance Dashboard'!$A$6:$A$57,'Machine Issuance Dashboard'!$AP$6:$AP$57&gt;0),MATCH(SMALL(_xlfn._xlws.FILTER('Machine Issuance Dashboard'!$AP$6:$AP$57,'Machine Issuance Dashboard'!$AP$6:$AP$57&gt;0),5),_xlfn._xlws.FILTER('Machine Issuance Dashboard'!$AP$6:$AP$57,'Machine Issuance Dashboard'!$AP$6:$AP$57&gt;0),0)),"No Data")</f>
        <v>Hand Pallet</v>
      </c>
      <c r="J47" s="149">
        <f>IFERROR(INDEX('Machine Issuance Dashboard'!$AP$6:$AP$57,MATCH(I47,'Machine Issuance Dashboard'!$A$6:$A$57,0)),0)</f>
        <v>1805</v>
      </c>
      <c r="K47" s="154">
        <f>IF(I47="No Data",0,--(INDEX('Machine Issuance Dashboard'!$F$6:$F$57,MATCH(I47,'Machine Issuance Dashboard'!$A$6:$A$57,0))&gt;0)+--(INDEX('Machine Issuance Dashboard'!$K$6:$K$57,MATCH(I47,'Machine Issuance Dashboard'!$A$6:$A$57,0))&gt;0)+--(INDEX('Machine Issuance Dashboard'!$P$6:$P$57,MATCH(I47,'Machine Issuance Dashboard'!$A$6:$A$57,0))&gt;0)+--(INDEX('Machine Issuance Dashboard'!$U$6:$U$57,MATCH(I47,'Machine Issuance Dashboard'!$A$6:$A$57,0))&gt;0)+--(INDEX('Machine Issuance Dashboard'!$Z$6:$Z$57,MATCH(I47,'Machine Issuance Dashboard'!$A$6:$A$57,0))&gt;0)+--(INDEX('Machine Issuance Dashboard'!$AE$6:$AE$57,MATCH(I47,'Machine Issuance Dashboard'!$A$6:$A$57,0))&gt;0)+--(INDEX('Machine Issuance Dashboard'!$AJ$6:$AJ$57,MATCH(I47,'Machine Issuance Dashboard'!$A$6:$A$57,0))&gt;0)+--(INDEX('Machine Issuance Dashboard'!$AO$6:$AO$57,MATCH(I47,'Machine Issuance Dashboard'!$A$6:$A$57,0))&gt;0))</f>
        <v>2</v>
      </c>
      <c r="L47" s="155" t="str">
        <f>IF(J47=0,"Idle",IF(K47&lt;=1,"Low Use","Active"))</f>
        <v>Active</v>
      </c>
    </row>
    <row r="48" spans="2:12">
      <c r="B48" s="144"/>
      <c r="C48" s="144"/>
      <c r="D48" s="143"/>
      <c r="E48" s="143"/>
      <c r="F48" s="143"/>
      <c r="G48" s="144"/>
      <c r="H48" s="144"/>
      <c r="I48" s="144"/>
      <c r="J48" s="144"/>
      <c r="K48" s="144"/>
      <c r="L48" s="144"/>
    </row>
    <row r="49" spans="2:12" ht="18.75" customHeight="1">
      <c r="B49" s="444" t="s">
        <v>1621</v>
      </c>
      <c r="C49" s="445"/>
      <c r="D49" s="445"/>
      <c r="E49" s="445"/>
      <c r="F49" s="445"/>
      <c r="G49" s="445"/>
      <c r="H49" s="445"/>
      <c r="I49" s="445"/>
      <c r="J49" s="445"/>
      <c r="K49" s="445"/>
      <c r="L49" s="446"/>
    </row>
    <row r="50" spans="2:12" ht="18.75" customHeight="1">
      <c r="B50" s="447"/>
      <c r="C50" s="448"/>
      <c r="D50" s="448"/>
      <c r="E50" s="448"/>
      <c r="F50" s="448"/>
      <c r="G50" s="448"/>
      <c r="H50" s="448"/>
      <c r="I50" s="448"/>
      <c r="J50" s="448"/>
      <c r="K50" s="448"/>
      <c r="L50" s="449"/>
    </row>
    <row r="51" spans="2:12">
      <c r="B51"/>
      <c r="C51" s="1"/>
      <c r="D51"/>
      <c r="E51"/>
      <c r="F51"/>
      <c r="G51"/>
      <c r="H51"/>
      <c r="I51"/>
      <c r="J51"/>
      <c r="K51"/>
      <c r="L51"/>
    </row>
    <row r="52" spans="2:12" ht="28.5" customHeight="1">
      <c r="B52" s="310" t="s">
        <v>1622</v>
      </c>
      <c r="C52" s="311">
        <f>'Machine Issuance Dashboard'!$AP$60</f>
        <v>5700567.4184280001</v>
      </c>
      <c r="D52" s="309" t="s">
        <v>1623</v>
      </c>
      <c r="E52" s="309" t="str">
        <f>INDEX('Machine Issuance Dashboard'!$A$6:$A$57,MATCH(MAX('Machine Issuance Dashboard'!$AP$6:$AP$57),'Machine Issuance Dashboard'!$AP$6:$AP$57,0))</f>
        <v>Auto Fryer</v>
      </c>
      <c r="F52" s="312"/>
      <c r="G52" s="313"/>
      <c r="H52" s="309" t="s">
        <v>1619</v>
      </c>
      <c r="I52" s="309">
        <f>COUNTIF('Machine Issuance Dashboard'!$AP$6:$AP$57,"&gt;0")</f>
        <v>44</v>
      </c>
      <c r="J52" s="309" t="s">
        <v>1620</v>
      </c>
      <c r="K52" s="309">
        <f>COUNTIF('Machine Issuance Dashboard'!$AP$6:$AP$57,0)</f>
        <v>8</v>
      </c>
      <c r="L52"/>
    </row>
    <row r="53" spans="2:12">
      <c r="B53"/>
      <c r="C53" s="1"/>
      <c r="D53"/>
      <c r="E53"/>
      <c r="F53"/>
      <c r="G53"/>
      <c r="H53"/>
      <c r="I53"/>
      <c r="J53"/>
      <c r="K53"/>
      <c r="L53"/>
    </row>
    <row r="54" spans="2:12">
      <c r="B54" s="450"/>
      <c r="C54" s="451"/>
      <c r="D54" s="451"/>
      <c r="E54" s="451"/>
      <c r="F54" s="451"/>
      <c r="G54" s="451"/>
      <c r="H54" s="451"/>
      <c r="I54" s="451"/>
      <c r="J54" s="451"/>
      <c r="K54" s="451"/>
      <c r="L54" s="452"/>
    </row>
    <row r="55" spans="2:12" ht="10.5" customHeight="1">
      <c r="B55"/>
      <c r="C55"/>
      <c r="D55"/>
      <c r="E55"/>
      <c r="F55"/>
      <c r="G55"/>
      <c r="H55"/>
      <c r="I55"/>
      <c r="J55"/>
      <c r="K55"/>
      <c r="L55"/>
    </row>
    <row r="56" spans="2:12" ht="23.1" customHeight="1">
      <c r="B56" s="421" t="s">
        <v>1624</v>
      </c>
      <c r="C56" s="422"/>
      <c r="D56" s="422"/>
      <c r="E56" s="422"/>
      <c r="F56" s="423"/>
      <c r="G56"/>
      <c r="H56" s="443" t="s">
        <v>1628</v>
      </c>
      <c r="I56" s="443"/>
      <c r="J56" s="443"/>
      <c r="K56" s="443"/>
      <c r="L56" s="443"/>
    </row>
    <row r="57" spans="2:12" ht="23.1" customHeight="1">
      <c r="B57" s="307" t="s">
        <v>12</v>
      </c>
      <c r="C57" s="307" t="s">
        <v>1625</v>
      </c>
      <c r="D57" s="307" t="s">
        <v>1623</v>
      </c>
      <c r="E57" s="307" t="s">
        <v>1626</v>
      </c>
      <c r="F57" s="307" t="s">
        <v>1627</v>
      </c>
      <c r="G57"/>
      <c r="H57" s="308" t="s">
        <v>1571</v>
      </c>
      <c r="I57" s="308" t="s">
        <v>1573</v>
      </c>
      <c r="J57" s="308" t="s">
        <v>1629</v>
      </c>
      <c r="K57" s="308" t="s">
        <v>1572</v>
      </c>
      <c r="L57" s="308" t="s">
        <v>1575</v>
      </c>
    </row>
    <row r="58" spans="2:12" ht="23.1" customHeight="1">
      <c r="B58" s="314" t="s">
        <v>1574</v>
      </c>
      <c r="C58" s="315">
        <f>'Machine Issuance Dashboard'!$F$60</f>
        <v>2870884.9594999999</v>
      </c>
      <c r="D58" s="314" t="str">
        <f>IF(C58=0,"No Data",INDEX('Machine Issuance Dashboard'!$A$6:$A$59,MATCH(MAX('Machine Issuance Dashboard'!$F$6:$F$59),'Machine Issuance Dashboard'!$F$6:$F$59,0)))</f>
        <v>Auto Fryer</v>
      </c>
      <c r="E58" s="315">
        <f>MAX('Machine Issuance Dashboard'!$F$6:$F$59)</f>
        <v>1232577</v>
      </c>
      <c r="F58" s="316" t="str">
        <f t="shared" ref="F58:F65" si="7">IF(C58=0,"No Data",IF(E58/C58&gt;=40%,"Focus",IF(E58/C58&gt;=25%,"Watch","OK")))</f>
        <v>Focus</v>
      </c>
      <c r="G58"/>
      <c r="H58" s="314">
        <v>1</v>
      </c>
      <c r="I58" s="314" t="str">
        <f>INDEX('Machine Issuance Dashboard'!$A$6:$A$57,MATCH(LARGE('Machine Issuance Dashboard'!$AP$6:$AP$57,H58),'Machine Issuance Dashboard'!$AP$6:$AP$57,0))</f>
        <v>Auto Fryer</v>
      </c>
      <c r="J58" s="315">
        <f>LARGE('Machine Issuance Dashboard'!$AP$6:$AP$57,H58)</f>
        <v>1232577</v>
      </c>
      <c r="K58" s="163">
        <f>J58/$C$52</f>
        <v>0.21622005486953752</v>
      </c>
      <c r="L58" s="316" t="str">
        <f>IF(K58&gt;=20%,"Priority",IF(K58&gt;=10%,"Watch","OK"))</f>
        <v>Priority</v>
      </c>
    </row>
    <row r="59" spans="2:12" ht="23.1" customHeight="1">
      <c r="B59" s="314" t="s">
        <v>1604</v>
      </c>
      <c r="C59" s="315">
        <f>'Machine Issuance Dashboard'!$K$60</f>
        <v>2829682.4589280002</v>
      </c>
      <c r="D59" s="314" t="str">
        <f>IF(C59=0,"No Data",INDEX('Machine Issuance Dashboard'!$A$6:$A$59,MATCH(MAX('Machine Issuance Dashboard'!$K$6:$K$59),'Machine Issuance Dashboard'!$K$6:$K$59,0)))</f>
        <v>Ishida No: 02</v>
      </c>
      <c r="E59" s="315">
        <f>MAX('Machine Issuance Dashboard'!$K$6:$K$59)</f>
        <v>1007768</v>
      </c>
      <c r="F59" s="316" t="str">
        <f t="shared" si="7"/>
        <v>Watch</v>
      </c>
      <c r="G59"/>
      <c r="H59" s="314">
        <v>2</v>
      </c>
      <c r="I59" s="314" t="str">
        <f>INDEX('Machine Issuance Dashboard'!$A$6:$A$57,MATCH(LARGE('Machine Issuance Dashboard'!$AP$6:$AP$57,H59),'Machine Issuance Dashboard'!$AP$6:$AP$57,0))</f>
        <v>Ishida No: 02</v>
      </c>
      <c r="J59" s="315">
        <f>LARGE('Machine Issuance Dashboard'!$AP$6:$AP$57,H59)</f>
        <v>1017774</v>
      </c>
      <c r="K59" s="163">
        <f>J59/$C$52</f>
        <v>0.17853906906001707</v>
      </c>
      <c r="L59" s="316" t="str">
        <f>IF(K59&gt;=20%,"Priority",IF(K59&gt;=10%,"Watch","OK"))</f>
        <v>Watch</v>
      </c>
    </row>
    <row r="60" spans="2:12" ht="23.1" customHeight="1">
      <c r="B60" s="314" t="s">
        <v>1605</v>
      </c>
      <c r="C60" s="315">
        <f>'Machine Issuance Dashboard'!$P$60</f>
        <v>0</v>
      </c>
      <c r="D60" s="314" t="str">
        <f>IF(C60=0,"No Data",INDEX('Machine Issuance Dashboard'!$A$6:$A$59,MATCH(MAX('Machine Issuance Dashboard'!$P$6:$P$59),'Machine Issuance Dashboard'!$P$6:$P$59,0)))</f>
        <v>No Data</v>
      </c>
      <c r="E60" s="315">
        <f>MAX('Machine Issuance Dashboard'!$P$6:$P$59)</f>
        <v>0</v>
      </c>
      <c r="F60" s="317" t="str">
        <f t="shared" si="7"/>
        <v>No Data</v>
      </c>
      <c r="G60"/>
      <c r="H60" s="314">
        <v>3</v>
      </c>
      <c r="I60" s="314" t="str">
        <f>INDEX('Machine Issuance Dashboard'!$A$6:$A$57,MATCH(LARGE('Machine Issuance Dashboard'!$AP$6:$AP$57,H60),'Machine Issuance Dashboard'!$AP$6:$AP$57,0))</f>
        <v>Ishida No: 14</v>
      </c>
      <c r="J60" s="315">
        <f>LARGE('Machine Issuance Dashboard'!$AP$6:$AP$57,H60)</f>
        <v>501227</v>
      </c>
      <c r="K60" s="163">
        <f>J60/$C$52</f>
        <v>8.7925808644890885E-2</v>
      </c>
      <c r="L60" s="318" t="str">
        <f>IF(K60&gt;=20%,"Priority",IF(K60&gt;=10%,"Watch","OK"))</f>
        <v>OK</v>
      </c>
    </row>
    <row r="61" spans="2:12" ht="23.1" customHeight="1">
      <c r="B61" s="314" t="s">
        <v>1606</v>
      </c>
      <c r="C61" s="315">
        <f>'Machine Issuance Dashboard'!$U$60</f>
        <v>0</v>
      </c>
      <c r="D61" s="314" t="str">
        <f>IF(C61=0,"No Data",INDEX('Machine Issuance Dashboard'!$A$6:$A$59,MATCH(MAX('Machine Issuance Dashboard'!$U$6:$U$59),'Machine Issuance Dashboard'!$U$6:$U$59,0)))</f>
        <v>No Data</v>
      </c>
      <c r="E61" s="315">
        <f>MAX('Machine Issuance Dashboard'!$U$6:$U$59)</f>
        <v>0</v>
      </c>
      <c r="F61" s="317" t="str">
        <f t="shared" si="7"/>
        <v>No Data</v>
      </c>
      <c r="G61"/>
      <c r="H61" s="314">
        <v>4</v>
      </c>
      <c r="I61" s="314" t="str">
        <f>INDEX('Machine Issuance Dashboard'!$A$6:$A$57,MATCH(LARGE('Machine Issuance Dashboard'!$AP$6:$AP$57,H61),'Machine Issuance Dashboard'!$AP$6:$AP$57,0))</f>
        <v>LPG Plant</v>
      </c>
      <c r="J61" s="315">
        <f>LARGE('Machine Issuance Dashboard'!$AP$6:$AP$57,H61)</f>
        <v>440000</v>
      </c>
      <c r="K61" s="163">
        <f>J61/$C$52</f>
        <v>7.7185298884042547E-2</v>
      </c>
      <c r="L61" s="318" t="str">
        <f>IF(K61&gt;=20%,"Priority",IF(K61&gt;=10%,"Watch","OK"))</f>
        <v>OK</v>
      </c>
    </row>
    <row r="62" spans="2:12" ht="23.1" customHeight="1">
      <c r="B62" s="314" t="s">
        <v>1607</v>
      </c>
      <c r="C62" s="315">
        <f>'Machine Issuance Dashboard'!$Z$60</f>
        <v>0</v>
      </c>
      <c r="D62" s="314" t="str">
        <f>IF(C62=0,"No Data",INDEX('Machine Issuance Dashboard'!$A$6:$A$59,MATCH(MAX('Machine Issuance Dashboard'!$Z$6:$Z$59),'Machine Issuance Dashboard'!$Z$6:$Z$59,0)))</f>
        <v>No Data</v>
      </c>
      <c r="E62" s="315">
        <f>MAX('Machine Issuance Dashboard'!$Z$6:$Z$59)</f>
        <v>0</v>
      </c>
      <c r="F62" s="317" t="str">
        <f t="shared" si="7"/>
        <v>No Data</v>
      </c>
      <c r="G62"/>
      <c r="H62" s="314">
        <v>5</v>
      </c>
      <c r="I62" s="314" t="str">
        <f>INDEX('Machine Issuance Dashboard'!$A$6:$A$57,MATCH(LARGE('Machine Issuance Dashboard'!$AP$6:$AP$57,H62),'Machine Issuance Dashboard'!$AP$6:$AP$57,0))</f>
        <v>Tecalit No: 02</v>
      </c>
      <c r="J62" s="315">
        <f>LARGE('Machine Issuance Dashboard'!$AP$6:$AP$57,H62)</f>
        <v>435242</v>
      </c>
      <c r="K62" s="163">
        <f>J62/$C$52</f>
        <v>7.6350645129291919E-2</v>
      </c>
      <c r="L62" s="318" t="str">
        <f>IF(K62&gt;=20%,"Priority",IF(K62&gt;=10%,"Watch","OK"))</f>
        <v>OK</v>
      </c>
    </row>
    <row r="63" spans="2:12" ht="23.1" customHeight="1">
      <c r="B63" s="314" t="s">
        <v>1608</v>
      </c>
      <c r="C63" s="315">
        <f>'Machine Issuance Dashboard'!$AE$60</f>
        <v>0</v>
      </c>
      <c r="D63" s="314" t="str">
        <f>IF(C63=0,"No Data",INDEX('Machine Issuance Dashboard'!$A$6:$A$59,MATCH(MAX('Machine Issuance Dashboard'!$AE$6:$AE$59),'Machine Issuance Dashboard'!$AE$6:$AE$59,0)))</f>
        <v>No Data</v>
      </c>
      <c r="E63" s="315">
        <f>MAX('Machine Issuance Dashboard'!$AE$6:$AE$59)</f>
        <v>0</v>
      </c>
      <c r="F63" s="317" t="str">
        <f t="shared" si="7"/>
        <v>No Data</v>
      </c>
      <c r="G63"/>
      <c r="H63"/>
      <c r="I63"/>
      <c r="J63"/>
      <c r="K63"/>
      <c r="L63"/>
    </row>
    <row r="64" spans="2:12" ht="23.1" customHeight="1">
      <c r="B64" s="314" t="s">
        <v>1609</v>
      </c>
      <c r="C64" s="315">
        <f>'Machine Issuance Dashboard'!$AJ$60</f>
        <v>0</v>
      </c>
      <c r="D64" s="314" t="str">
        <f>IF(C64=0,"No Data",INDEX('Machine Issuance Dashboard'!$A$6:$A$59,MATCH(MAX('Machine Issuance Dashboard'!$AJ$6:$AJ$59),'Machine Issuance Dashboard'!$AJ$6:$AJ$59,0)))</f>
        <v>No Data</v>
      </c>
      <c r="E64" s="315">
        <f>MAX('Machine Issuance Dashboard'!$AJ$6:$AJ$59)</f>
        <v>0</v>
      </c>
      <c r="F64" s="317" t="str">
        <f t="shared" si="7"/>
        <v>No Data</v>
      </c>
      <c r="G64"/>
      <c r="H64"/>
      <c r="I64"/>
      <c r="J64"/>
      <c r="K64"/>
      <c r="L64"/>
    </row>
    <row r="65" spans="2:12" ht="23.1" customHeight="1">
      <c r="B65" s="314" t="s">
        <v>1610</v>
      </c>
      <c r="C65" s="315">
        <f>'Machine Issuance Dashboard'!$AO$60</f>
        <v>0</v>
      </c>
      <c r="D65" s="314" t="str">
        <f>IF(C65=0,"No Data",INDEX('Machine Issuance Dashboard'!$A$6:$A$59,MATCH(MAX('Machine Issuance Dashboard'!$AO$6:$AO$59),'Machine Issuance Dashboard'!$AO$6:$AO$59,0)))</f>
        <v>No Data</v>
      </c>
      <c r="E65" s="315">
        <f>MAX('Machine Issuance Dashboard'!$AO$6:$AO$59)</f>
        <v>0</v>
      </c>
      <c r="F65" s="317" t="str">
        <f t="shared" si="7"/>
        <v>No Data</v>
      </c>
      <c r="G65"/>
      <c r="H65"/>
      <c r="I65"/>
      <c r="J65"/>
      <c r="K65"/>
      <c r="L65"/>
    </row>
    <row r="66" spans="2:12">
      <c r="B66"/>
      <c r="C66"/>
      <c r="D66"/>
      <c r="E66"/>
      <c r="F66"/>
      <c r="G66"/>
      <c r="H66"/>
      <c r="I66"/>
      <c r="J66"/>
      <c r="K66"/>
      <c r="L66"/>
    </row>
    <row r="67" spans="2:12">
      <c r="B67"/>
      <c r="C67"/>
      <c r="D67"/>
      <c r="E67"/>
      <c r="F67"/>
      <c r="G67"/>
      <c r="H67"/>
      <c r="I67"/>
      <c r="J67"/>
      <c r="K67"/>
      <c r="L67"/>
    </row>
    <row r="68" spans="2:12" ht="23.1" customHeight="1">
      <c r="B68" s="389" t="s">
        <v>1677</v>
      </c>
      <c r="C68" s="389"/>
      <c r="D68" s="389"/>
      <c r="E68" s="389"/>
      <c r="F68" s="389"/>
      <c r="G68" s="389"/>
      <c r="H68" s="389"/>
      <c r="I68" s="389"/>
      <c r="J68" s="389"/>
      <c r="K68" s="389"/>
      <c r="L68" s="389"/>
    </row>
    <row r="69" spans="2:12" ht="23.1" customHeight="1">
      <c r="B69" s="390" t="s">
        <v>1766</v>
      </c>
      <c r="C69" s="390"/>
      <c r="D69" s="390"/>
      <c r="E69" s="390"/>
      <c r="F69" s="390"/>
      <c r="G69" s="390"/>
      <c r="H69" s="390"/>
      <c r="I69" s="390"/>
      <c r="J69" s="390"/>
      <c r="K69" s="390"/>
      <c r="L69" s="390"/>
    </row>
    <row r="70" spans="2:12" ht="23.1" customHeight="1"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</row>
    <row r="71" spans="2:12" ht="23.1" customHeight="1">
      <c r="B71" s="355" t="s">
        <v>1678</v>
      </c>
      <c r="C71" s="356"/>
      <c r="D71" s="355" t="s">
        <v>15</v>
      </c>
      <c r="E71" s="356"/>
      <c r="F71" s="355" t="s">
        <v>18</v>
      </c>
      <c r="G71" s="356"/>
      <c r="H71" s="355" t="s">
        <v>1673</v>
      </c>
      <c r="I71" s="356"/>
      <c r="J71" s="355" t="s">
        <v>1679</v>
      </c>
      <c r="K71" s="355"/>
      <c r="L71" s="355"/>
    </row>
    <row r="72" spans="2:12" ht="23.1" customHeight="1">
      <c r="B72" s="357">
        <f>$F$5</f>
        <v>23077289.399999999</v>
      </c>
      <c r="C72" s="358"/>
      <c r="D72" s="357">
        <f>$G$22</f>
        <v>4028137.0184279997</v>
      </c>
      <c r="E72" s="358"/>
      <c r="F72" s="357">
        <f>$L$22</f>
        <v>5700567.4184280001</v>
      </c>
      <c r="G72" s="358"/>
      <c r="H72" s="359">
        <f>$G$22-$L$22</f>
        <v>-1672430.4000000004</v>
      </c>
      <c r="I72" s="358"/>
      <c r="J72" s="360">
        <f>COUNTIF($J$31:$J$38,"Focus")</f>
        <v>2</v>
      </c>
      <c r="K72" s="361"/>
      <c r="L72" s="361"/>
    </row>
    <row r="73" spans="2:12" ht="23.1" customHeight="1">
      <c r="B73" s="362" t="str">
        <f>IF(B72&gt;=20000000,"Strong Base",IF(B72&gt;=10000000,"Stable Base","Low Base"))</f>
        <v>Strong Base</v>
      </c>
      <c r="C73" s="363"/>
      <c r="D73" s="362" t="str">
        <f>IF(D72&gt;0,"Active Inflow","No Inflow")</f>
        <v>Active Inflow</v>
      </c>
      <c r="E73" s="363"/>
      <c r="F73" s="362" t="str">
        <f>IF(F72&gt;D72,"High Outflow",IF(F72=D72,"Balanced","Controlled"))</f>
        <v>High Outflow</v>
      </c>
      <c r="G73" s="363"/>
      <c r="H73" s="362" t="str">
        <f>IF(H72&lt;0,"Outflow Higher",IF(H72=0,"Balanced","Inflow Higher"))</f>
        <v>Outflow Higher</v>
      </c>
      <c r="I73" s="363"/>
      <c r="J73" s="362" t="str">
        <f>IF(J72&gt;=2,"Priority Review",IF(J72=1,"Watch","Normal"))</f>
        <v>Priority Review</v>
      </c>
      <c r="K73" s="361"/>
      <c r="L73" s="361"/>
    </row>
    <row r="74" spans="2:12" ht="23.1" customHeight="1"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</row>
    <row r="75" spans="2:12" ht="23.1" customHeight="1">
      <c r="B75" s="391" t="s">
        <v>1680</v>
      </c>
      <c r="C75" s="391"/>
      <c r="D75" s="391"/>
      <c r="E75" s="391"/>
      <c r="F75" s="391"/>
      <c r="G75" s="391"/>
      <c r="H75" s="391"/>
      <c r="I75" s="391"/>
      <c r="J75" s="391"/>
      <c r="K75" s="391"/>
      <c r="L75" s="391"/>
    </row>
    <row r="76" spans="2:12" ht="23.1" customHeight="1">
      <c r="B76" s="380" t="s">
        <v>5</v>
      </c>
      <c r="C76" s="380" t="s">
        <v>1681</v>
      </c>
      <c r="D76" s="380" t="s">
        <v>1682</v>
      </c>
      <c r="E76" s="380" t="s">
        <v>1683</v>
      </c>
      <c r="F76" s="380" t="s">
        <v>1684</v>
      </c>
      <c r="G76" s="380" t="s">
        <v>1685</v>
      </c>
      <c r="H76" s="380" t="s">
        <v>1686</v>
      </c>
      <c r="I76" s="380" t="s">
        <v>1687</v>
      </c>
      <c r="J76" s="380" t="s">
        <v>1688</v>
      </c>
      <c r="K76" s="380" t="s">
        <v>1569</v>
      </c>
      <c r="L76" s="380" t="s">
        <v>1674</v>
      </c>
    </row>
    <row r="77" spans="2:12" ht="23.1" customHeight="1">
      <c r="B77" s="383" t="s">
        <v>6</v>
      </c>
      <c r="C77" s="384">
        <f>$B$5</f>
        <v>14080023</v>
      </c>
      <c r="D77" s="385">
        <f>IFERROR(C77/$F$5,0)</f>
        <v>0.61012464488138718</v>
      </c>
      <c r="E77" s="384">
        <f>C$22</f>
        <v>1086500</v>
      </c>
      <c r="F77" s="385">
        <f>IFERROR(E77/$G$22,0)</f>
        <v>0.26972766691635824</v>
      </c>
      <c r="G77" s="384">
        <f>H$22</f>
        <v>3338614</v>
      </c>
      <c r="H77" s="385">
        <f>IFERROR(G77/$L$22,0)</f>
        <v>0.58566345329192915</v>
      </c>
      <c r="I77" s="386">
        <f>E77-G77</f>
        <v>-2252114</v>
      </c>
      <c r="J77" s="385">
        <f>IFERROR(G77/E77-1,0)</f>
        <v>2.0728154624942476</v>
      </c>
      <c r="K77" s="381" t="str">
        <f>IF(J77&gt;0.15,"High Pressure",IF(J77&lt;-0.15,"Low Pressure","Balanced"))</f>
        <v>High Pressure</v>
      </c>
      <c r="L77" s="383" t="str">
        <f>IF(K77="High Pressure","Review issuance control",IF(K77="Low Pressure","Check inward plan","Maintain current control"))</f>
        <v>Review issuance control</v>
      </c>
    </row>
    <row r="78" spans="2:12" ht="23.1" customHeight="1">
      <c r="B78" s="383" t="s">
        <v>7</v>
      </c>
      <c r="C78" s="384">
        <f>$D$5</f>
        <v>8997266.4000000004</v>
      </c>
      <c r="D78" s="385">
        <f>IFERROR(C78/$F$5,0)</f>
        <v>0.38987535511861288</v>
      </c>
      <c r="E78" s="384">
        <f>D$22</f>
        <v>1734685.81</v>
      </c>
      <c r="F78" s="385">
        <f>IFERROR(E78/$G$22,0)</f>
        <v>0.4306422055814203</v>
      </c>
      <c r="G78" s="384">
        <f>I$22</f>
        <v>1153611.81</v>
      </c>
      <c r="H78" s="385">
        <f>IFERROR(G78/$L$22,0)</f>
        <v>0.20236789170684388</v>
      </c>
      <c r="I78" s="386">
        <f>E78-G78</f>
        <v>581074</v>
      </c>
      <c r="J78" s="385">
        <f>IFERROR(G78/E78-1,0)</f>
        <v>-0.33497362845205958</v>
      </c>
      <c r="K78" s="382" t="str">
        <f>IF(J78&gt;0.15,"High Pressure",IF(J78&lt;-0.15,"Low Pressure","Balanced"))</f>
        <v>Low Pressure</v>
      </c>
      <c r="L78" s="383" t="str">
        <f>IF(K78="High Pressure","Review usage / approvals",IF(K78="Low Pressure","Check buying need","Maintain current control"))</f>
        <v>Check buying need</v>
      </c>
    </row>
    <row r="79" spans="2:12" ht="23.1" customHeight="1">
      <c r="B79" s="383" t="s">
        <v>1280</v>
      </c>
      <c r="C79" s="384">
        <f>0</f>
        <v>0</v>
      </c>
      <c r="D79" s="385">
        <f>IFERROR(C79/$F$5,0)</f>
        <v>0</v>
      </c>
      <c r="E79" s="384">
        <f>E$22</f>
        <v>1183200</v>
      </c>
      <c r="F79" s="385">
        <f>IFERROR(E79/$G$22,0)</f>
        <v>0.29373380165249435</v>
      </c>
      <c r="G79" s="384">
        <f>J$22</f>
        <v>1183200</v>
      </c>
      <c r="H79" s="385">
        <f>IFERROR(G79/$L$22,0)</f>
        <v>0.2075582855445435</v>
      </c>
      <c r="I79" s="386">
        <f>E79-G79</f>
        <v>0</v>
      </c>
      <c r="J79" s="385">
        <f>IFERROR(G79/E79-1,0)</f>
        <v>0</v>
      </c>
      <c r="K79" s="382" t="str">
        <f>IF(J79&gt;0.15,"High Pressure",IF(J79&lt;-0.15,"Low Pressure","Balanced"))</f>
        <v>Balanced</v>
      </c>
      <c r="L79" s="383" t="str">
        <f>IF(K79="High Pressure","Validate service billing",IF(K79="Low Pressure","Confirm pending service work","Maintain current control"))</f>
        <v>Maintain current control</v>
      </c>
    </row>
    <row r="80" spans="2:12" ht="23.1" customHeight="1">
      <c r="B80" s="383" t="s">
        <v>1327</v>
      </c>
      <c r="C80" s="384">
        <f>0</f>
        <v>0</v>
      </c>
      <c r="D80" s="385">
        <f>IFERROR(C80/$F$5,0)</f>
        <v>0</v>
      </c>
      <c r="E80" s="384">
        <f>F$22</f>
        <v>23751.208428000002</v>
      </c>
      <c r="F80" s="385">
        <f>IFERROR(E80/$G$22,0)</f>
        <v>5.8963258497271845E-3</v>
      </c>
      <c r="G80" s="384">
        <f>K$22</f>
        <v>25141.608428000007</v>
      </c>
      <c r="H80" s="385">
        <f>IFERROR(G80/$L$22,0)</f>
        <v>4.4103694566835078E-3</v>
      </c>
      <c r="I80" s="386">
        <f>E80-G80</f>
        <v>-1390.4000000000051</v>
      </c>
      <c r="J80" s="385">
        <f>IFERROR(G80/E80-1,0)</f>
        <v>5.8540179301398432E-2</v>
      </c>
      <c r="K80" s="381" t="str">
        <f>IF(J80&gt;0.15,"High Pressure",IF(J80&lt;-0.15,"Low Pressure","Balanced"))</f>
        <v>Balanced</v>
      </c>
      <c r="L80" s="383" t="str">
        <f>IF(K80="High Pressure","Audit petty cash spend",IF(K80="Low Pressure","Check pending claims","Maintain discipline"))</f>
        <v>Maintain discipline</v>
      </c>
    </row>
    <row r="81" spans="2:12">
      <c r="B81" s="354"/>
      <c r="C81" s="354"/>
      <c r="D81" s="354"/>
      <c r="E81" s="354"/>
      <c r="F81" s="354"/>
      <c r="G81" s="354"/>
      <c r="H81" s="354"/>
      <c r="I81" s="354"/>
      <c r="J81" s="354"/>
      <c r="K81" s="354"/>
      <c r="L81" s="354"/>
    </row>
    <row r="82" spans="2:12">
      <c r="B82" s="354"/>
      <c r="C82" s="354"/>
      <c r="D82" s="354"/>
      <c r="E82" s="354"/>
      <c r="F82" s="354"/>
      <c r="G82" s="354"/>
      <c r="H82" s="354"/>
      <c r="I82" s="354"/>
      <c r="J82" s="354"/>
      <c r="K82" s="354"/>
      <c r="L82" s="354"/>
    </row>
    <row r="83" spans="2:12" ht="23.1" customHeight="1">
      <c r="B83" s="391" t="s">
        <v>1689</v>
      </c>
      <c r="C83" s="391"/>
      <c r="D83" s="391"/>
      <c r="E83" s="391"/>
      <c r="F83" s="391"/>
      <c r="G83" s="391"/>
      <c r="H83" s="391"/>
      <c r="I83" s="391"/>
      <c r="J83" s="391"/>
      <c r="K83" s="391"/>
      <c r="L83" s="391"/>
    </row>
    <row r="84" spans="2:12" ht="23.1" customHeight="1">
      <c r="B84" s="380" t="s">
        <v>1690</v>
      </c>
      <c r="C84" s="380" t="s">
        <v>1691</v>
      </c>
      <c r="D84" s="380" t="s">
        <v>1692</v>
      </c>
      <c r="E84" s="380" t="s">
        <v>1693</v>
      </c>
      <c r="F84" s="380" t="s">
        <v>1694</v>
      </c>
      <c r="G84" s="380" t="s">
        <v>1695</v>
      </c>
      <c r="H84" s="380" t="s">
        <v>1696</v>
      </c>
      <c r="I84" s="380" t="s">
        <v>1697</v>
      </c>
      <c r="J84" s="380" t="s">
        <v>1698</v>
      </c>
      <c r="K84" s="380" t="s">
        <v>1699</v>
      </c>
      <c r="L84" s="380" t="s">
        <v>1569</v>
      </c>
    </row>
    <row r="85" spans="2:12" ht="23.1" customHeight="1">
      <c r="B85" s="383">
        <v>1</v>
      </c>
      <c r="C85" s="383" t="s">
        <v>1700</v>
      </c>
      <c r="D85" s="383" t="s">
        <v>1704</v>
      </c>
      <c r="E85" s="386">
        <f>$L$22-$G$22</f>
        <v>1672430.4000000004</v>
      </c>
      <c r="F85" s="381" t="str">
        <f>IF(E85&gt;0,"High",IF(E85=0,"Medium","Low"))</f>
        <v>High</v>
      </c>
      <c r="G85" s="383" t="s">
        <v>1710</v>
      </c>
      <c r="H85" s="383" t="s">
        <v>1716</v>
      </c>
      <c r="I85" s="383" t="s">
        <v>1718</v>
      </c>
      <c r="J85" s="383" t="s">
        <v>1724</v>
      </c>
      <c r="K85" s="383" t="s">
        <v>1730</v>
      </c>
      <c r="L85" s="381" t="str">
        <f t="shared" ref="L85:L90" si="8">IF(F85="High","Immediate",IF(F85="Medium","Watch","OK"))</f>
        <v>Immediate</v>
      </c>
    </row>
    <row r="86" spans="2:12" ht="23.1" customHeight="1">
      <c r="B86" s="383">
        <v>2</v>
      </c>
      <c r="C86" s="383" t="s">
        <v>1676</v>
      </c>
      <c r="D86" s="383" t="s">
        <v>1705</v>
      </c>
      <c r="E86" s="385">
        <f>MAX($I$31:$I$38)</f>
        <v>0.43754705364919233</v>
      </c>
      <c r="F86" s="381" t="str">
        <f>IF(E86&gt;=40%,"High",IF(E86&gt;=25%,"Medium","Low"))</f>
        <v>High</v>
      </c>
      <c r="G86" s="383" t="s">
        <v>1711</v>
      </c>
      <c r="H86" s="383" t="s">
        <v>1716</v>
      </c>
      <c r="I86" s="383" t="s">
        <v>1719</v>
      </c>
      <c r="J86" s="383" t="s">
        <v>1725</v>
      </c>
      <c r="K86" s="383" t="s">
        <v>1731</v>
      </c>
      <c r="L86" s="381" t="str">
        <f t="shared" si="8"/>
        <v>Immediate</v>
      </c>
    </row>
    <row r="87" spans="2:12" ht="23.1" customHeight="1">
      <c r="B87" s="383">
        <v>3</v>
      </c>
      <c r="C87" s="383" t="s">
        <v>1675</v>
      </c>
      <c r="D87" s="383" t="s">
        <v>1706</v>
      </c>
      <c r="E87" s="385">
        <f>$B$5/$F$5</f>
        <v>0.61012464488138718</v>
      </c>
      <c r="F87" s="382" t="str">
        <f>IF(E87&gt;=70%,"Medium",IF(E87&lt;=35%,"Medium","Low"))</f>
        <v>Low</v>
      </c>
      <c r="G87" s="383" t="s">
        <v>1712</v>
      </c>
      <c r="H87" s="383" t="s">
        <v>1717</v>
      </c>
      <c r="I87" s="383" t="s">
        <v>1720</v>
      </c>
      <c r="J87" s="383" t="s">
        <v>1726</v>
      </c>
      <c r="K87" s="383" t="s">
        <v>1732</v>
      </c>
      <c r="L87" s="382" t="str">
        <f t="shared" si="8"/>
        <v>OK</v>
      </c>
    </row>
    <row r="88" spans="2:12" ht="23.1" customHeight="1">
      <c r="B88" s="383">
        <v>4</v>
      </c>
      <c r="C88" s="383" t="s">
        <v>1701</v>
      </c>
      <c r="D88" s="383" t="s">
        <v>1707</v>
      </c>
      <c r="E88" s="387">
        <f>$K$52</f>
        <v>8</v>
      </c>
      <c r="F88" s="382" t="str">
        <f>IF(E88&gt;=5,"Medium","Low")</f>
        <v>Medium</v>
      </c>
      <c r="G88" s="383" t="s">
        <v>1713</v>
      </c>
      <c r="H88" s="383" t="s">
        <v>1717</v>
      </c>
      <c r="I88" s="383" t="s">
        <v>1721</v>
      </c>
      <c r="J88" s="383" t="s">
        <v>1727</v>
      </c>
      <c r="K88" s="383" t="s">
        <v>1733</v>
      </c>
      <c r="L88" s="382" t="str">
        <f t="shared" si="8"/>
        <v>Watch</v>
      </c>
    </row>
    <row r="89" spans="2:12" ht="23.1" customHeight="1">
      <c r="B89" s="383">
        <v>5</v>
      </c>
      <c r="C89" s="383" t="s">
        <v>1702</v>
      </c>
      <c r="D89" s="383" t="s">
        <v>1708</v>
      </c>
      <c r="E89" s="384">
        <f>SUM($F$22,$K$22)</f>
        <v>48892.816856000005</v>
      </c>
      <c r="F89" s="382" t="str">
        <f>IF(E89&gt;50000,"Medium","Low")</f>
        <v>Low</v>
      </c>
      <c r="G89" s="383" t="s">
        <v>1714</v>
      </c>
      <c r="H89" s="383" t="s">
        <v>1716</v>
      </c>
      <c r="I89" s="383" t="s">
        <v>1722</v>
      </c>
      <c r="J89" s="383" t="s">
        <v>1728</v>
      </c>
      <c r="K89" s="383" t="s">
        <v>1734</v>
      </c>
      <c r="L89" s="382" t="str">
        <f t="shared" si="8"/>
        <v>OK</v>
      </c>
    </row>
    <row r="90" spans="2:12" ht="23.1" customHeight="1">
      <c r="B90" s="383">
        <v>6</v>
      </c>
      <c r="C90" s="383" t="s">
        <v>1703</v>
      </c>
      <c r="D90" s="383" t="s">
        <v>1709</v>
      </c>
      <c r="E90" s="387">
        <f>COUNTIF($L$33:$L$38,"No Data")</f>
        <v>6</v>
      </c>
      <c r="F90" s="382" t="str">
        <f>IF(E90&gt;=3,"Medium",IF(E90=0,"Low","Watch"))</f>
        <v>Medium</v>
      </c>
      <c r="G90" s="383" t="s">
        <v>1715</v>
      </c>
      <c r="H90" s="383" t="s">
        <v>1717</v>
      </c>
      <c r="I90" s="383" t="s">
        <v>1723</v>
      </c>
      <c r="J90" s="383" t="s">
        <v>1729</v>
      </c>
      <c r="K90" s="383" t="s">
        <v>1735</v>
      </c>
      <c r="L90" s="382" t="str">
        <f t="shared" si="8"/>
        <v>Watch</v>
      </c>
    </row>
    <row r="91" spans="2:12">
      <c r="B91" s="354"/>
      <c r="C91" s="354"/>
      <c r="D91" s="354"/>
      <c r="E91" s="354"/>
      <c r="F91" s="354"/>
      <c r="G91" s="354"/>
      <c r="H91" s="354"/>
      <c r="I91" s="354"/>
      <c r="J91" s="354"/>
      <c r="K91" s="354"/>
      <c r="L91" s="354"/>
    </row>
    <row r="92" spans="2:12">
      <c r="B92" s="354"/>
      <c r="C92" s="354"/>
      <c r="D92" s="354"/>
      <c r="E92" s="354"/>
      <c r="F92" s="354"/>
      <c r="G92" s="354"/>
      <c r="H92" s="354"/>
      <c r="I92" s="354"/>
      <c r="J92" s="354"/>
      <c r="K92" s="354"/>
      <c r="L92" s="354"/>
    </row>
    <row r="93" spans="2:12" ht="33" customHeight="1">
      <c r="B93" s="388" t="s">
        <v>1736</v>
      </c>
      <c r="C93" s="388"/>
      <c r="D93" s="388"/>
      <c r="E93" s="388"/>
      <c r="F93" s="388"/>
      <c r="G93" s="388"/>
      <c r="H93" s="388"/>
      <c r="I93" s="388"/>
      <c r="J93" s="388"/>
      <c r="K93" s="388"/>
      <c r="L93" s="388"/>
    </row>
    <row r="94" spans="2:12">
      <c r="B94" s="354"/>
      <c r="C94" s="354"/>
      <c r="D94" s="354"/>
      <c r="E94" s="354"/>
      <c r="F94" s="354"/>
      <c r="G94" s="354"/>
      <c r="H94" s="354"/>
      <c r="I94" s="354"/>
      <c r="J94" s="354"/>
      <c r="K94" s="354"/>
      <c r="L94" s="354"/>
    </row>
    <row r="95" spans="2:12">
      <c r="K95"/>
      <c r="L95"/>
    </row>
    <row r="96" spans="2:12">
      <c r="K96"/>
      <c r="L96"/>
    </row>
  </sheetData>
  <mergeCells count="32">
    <mergeCell ref="B56:F56"/>
    <mergeCell ref="F5:G5"/>
    <mergeCell ref="B10:L10"/>
    <mergeCell ref="B12:G12"/>
    <mergeCell ref="B8:C8"/>
    <mergeCell ref="B7:C7"/>
    <mergeCell ref="D7:G7"/>
    <mergeCell ref="B6:G6"/>
    <mergeCell ref="I26:L26"/>
    <mergeCell ref="B41:G41"/>
    <mergeCell ref="I41:L41"/>
    <mergeCell ref="H56:L56"/>
    <mergeCell ref="B49:L50"/>
    <mergeCell ref="B54:L54"/>
    <mergeCell ref="B1:L1"/>
    <mergeCell ref="B2:L2"/>
    <mergeCell ref="B3:L3"/>
    <mergeCell ref="B24:L24"/>
    <mergeCell ref="B25:L25"/>
    <mergeCell ref="F4:G4"/>
    <mergeCell ref="B11:L11"/>
    <mergeCell ref="D4:E4"/>
    <mergeCell ref="D5:E5"/>
    <mergeCell ref="B4:C4"/>
    <mergeCell ref="B5:C5"/>
    <mergeCell ref="D8:G8"/>
    <mergeCell ref="H12:L12"/>
    <mergeCell ref="B93:L93"/>
    <mergeCell ref="B68:L68"/>
    <mergeCell ref="B69:L69"/>
    <mergeCell ref="B75:L75"/>
    <mergeCell ref="B83:L83"/>
  </mergeCells>
  <conditionalFormatting sqref="J31:J38">
    <cfRule type="containsText" dxfId="121" priority="1" operator="containsText" text="Focus">
      <formula>NOT(ISERROR(SEARCH("Focus",J31)))</formula>
    </cfRule>
  </conditionalFormatting>
  <conditionalFormatting sqref="J31:J38">
    <cfRule type="containsText" dxfId="120" priority="2" operator="containsText" text="Watch">
      <formula>NOT(ISERROR(SEARCH("Watch",J31)))</formula>
    </cfRule>
  </conditionalFormatting>
  <conditionalFormatting sqref="J31:J38">
    <cfRule type="containsText" dxfId="119" priority="3" operator="containsText" text="Normal">
      <formula>NOT(ISERROR(SEARCH("Normal",J31)))</formula>
    </cfRule>
  </conditionalFormatting>
  <conditionalFormatting sqref="J31:J38">
    <cfRule type="containsText" dxfId="118" priority="4" operator="containsText" text="No Data">
      <formula>NOT(ISERROR(SEARCH("No Data",J31)))</formula>
    </cfRule>
  </conditionalFormatting>
  <conditionalFormatting sqref="C31:C38">
    <cfRule type="dataBar" priority="5">
      <dataBar>
        <cfvo type="min"/>
        <cfvo type="max"/>
        <color rgb="FF60A5FA"/>
      </dataBar>
      <extLst>
        <ext xmlns:x14="http://schemas.microsoft.com/office/spreadsheetml/2009/9/main" uri="{B025F937-C7B1-47D3-B67F-A62EFF666E3E}">
          <x14:id>{06E3BA49-05FA-475E-BD2F-AEF582CD2BBE}</x14:id>
        </ext>
      </extLst>
    </cfRule>
  </conditionalFormatting>
  <conditionalFormatting sqref="I31:I38">
    <cfRule type="dataBar" priority="6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{1DE8331A-45D2-4DE8-947F-4D839DFB928A}</x14:id>
        </ext>
      </extLst>
    </cfRule>
  </conditionalFormatting>
  <conditionalFormatting sqref="L43:L47">
    <cfRule type="containsText" dxfId="117" priority="7" operator="containsText" text="Low Use">
      <formula>NOT(ISERROR(SEARCH("Low Use",L43)))</formula>
    </cfRule>
  </conditionalFormatting>
  <conditionalFormatting sqref="L43:L47">
    <cfRule type="containsText" dxfId="116" priority="8" operator="containsText" text="Active">
      <formula>NOT(ISERROR(SEARCH("Active",L43)))</formula>
    </cfRule>
  </conditionalFormatting>
  <conditionalFormatting sqref="L43:L47">
    <cfRule type="containsText" dxfId="115" priority="9" operator="containsText" text="Idle">
      <formula>NOT(ISERROR(SEARCH("Idle",L43)))</formula>
    </cfRule>
  </conditionalFormatting>
  <pageMargins left="0.7" right="0.7" top="0.75" bottom="0.75" header="0.511811023622047" footer="0.511811023622047"/>
  <pageSetup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E3BA49-05FA-475E-BD2F-AEF582CD2BBE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C31:C38</xm:sqref>
        </x14:conditionalFormatting>
        <x14:conditionalFormatting xmlns:xm="http://schemas.microsoft.com/office/excel/2006/main">
          <x14:cfRule type="dataBar" id="{1DE8331A-45D2-4DE8-947F-4D839DFB928A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I31:I38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1F4E78"/>
  </sheetPr>
  <dimension ref="A1:AP73"/>
  <sheetViews>
    <sheetView showGridLines="0" zoomScaleNormal="100" workbookViewId="0">
      <pane xSplit="1" ySplit="5" topLeftCell="B72" activePane="bottomRight" state="frozen"/>
      <selection pane="topRight" activeCell="B1" sqref="B1"/>
      <selection pane="bottomLeft" activeCell="A6" sqref="A6"/>
      <selection pane="bottomRight" activeCell="C80" sqref="C80"/>
    </sheetView>
  </sheetViews>
  <sheetFormatPr defaultColWidth="8.7109375" defaultRowHeight="15" customHeight="1"/>
  <cols>
    <col min="1" max="1" width="24.5703125" style="62" bestFit="1" customWidth="1"/>
    <col min="2" max="5" width="13.28515625" style="59" customWidth="1"/>
    <col min="6" max="6" width="14.85546875" style="59" customWidth="1"/>
    <col min="7" max="10" width="13.28515625" style="59" customWidth="1"/>
    <col min="11" max="11" width="14.85546875" style="60" customWidth="1"/>
    <col min="12" max="12" width="13.28515625" style="61" customWidth="1"/>
    <col min="13" max="15" width="13.28515625" style="59" customWidth="1"/>
    <col min="16" max="16" width="14.85546875" style="59" customWidth="1"/>
    <col min="17" max="20" width="13.28515625" style="59" customWidth="1"/>
    <col min="21" max="21" width="14.85546875" style="59" customWidth="1"/>
    <col min="22" max="25" width="13.28515625" style="59" customWidth="1"/>
    <col min="26" max="26" width="14.85546875" style="59" customWidth="1"/>
    <col min="27" max="30" width="13.28515625" style="59" customWidth="1"/>
    <col min="31" max="31" width="14.85546875" style="59" customWidth="1"/>
    <col min="32" max="35" width="13.28515625" style="59" customWidth="1"/>
    <col min="36" max="36" width="14.85546875" style="59" customWidth="1"/>
    <col min="37" max="40" width="13.28515625" style="59" customWidth="1"/>
    <col min="41" max="41" width="14.85546875" style="59" customWidth="1"/>
    <col min="42" max="42" width="17.140625" style="81" customWidth="1"/>
  </cols>
  <sheetData>
    <row r="1" spans="1:42" ht="32.1" customHeight="1" thickTop="1" thickBot="1">
      <c r="A1" s="457" t="s">
        <v>28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86"/>
      <c r="N1" s="86"/>
      <c r="O1" s="86"/>
      <c r="P1" s="86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75"/>
    </row>
    <row r="2" spans="1:42" ht="24" customHeight="1" thickTop="1" thickBot="1">
      <c r="A2" s="458" t="s">
        <v>1568</v>
      </c>
      <c r="B2" s="458"/>
      <c r="C2" s="458"/>
      <c r="D2" s="458"/>
      <c r="E2" s="458"/>
      <c r="F2" s="458"/>
      <c r="G2" s="458"/>
      <c r="H2" s="458"/>
      <c r="I2" s="458"/>
      <c r="J2" s="458"/>
      <c r="K2" s="458"/>
      <c r="L2" s="458"/>
      <c r="M2" s="87"/>
      <c r="N2" s="87"/>
      <c r="O2" s="87"/>
      <c r="P2" s="87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76"/>
    </row>
    <row r="3" spans="1:42" ht="26.1" customHeight="1" thickTop="1" thickBot="1">
      <c r="A3" s="461" t="s">
        <v>29</v>
      </c>
      <c r="B3" s="460" t="s">
        <v>30</v>
      </c>
      <c r="C3" s="460"/>
      <c r="D3" s="460"/>
      <c r="E3" s="460"/>
      <c r="F3" s="460"/>
      <c r="G3" s="460" t="s">
        <v>31</v>
      </c>
      <c r="H3" s="460"/>
      <c r="I3" s="460"/>
      <c r="J3" s="460"/>
      <c r="K3" s="460"/>
      <c r="L3" s="460" t="s">
        <v>32</v>
      </c>
      <c r="M3" s="460"/>
      <c r="N3" s="460"/>
      <c r="O3" s="460"/>
      <c r="P3" s="460"/>
      <c r="Q3" s="464" t="s">
        <v>33</v>
      </c>
      <c r="R3" s="456"/>
      <c r="S3" s="456"/>
      <c r="T3" s="456"/>
      <c r="U3" s="456"/>
      <c r="V3" s="456" t="s">
        <v>34</v>
      </c>
      <c r="W3" s="456"/>
      <c r="X3" s="456"/>
      <c r="Y3" s="456"/>
      <c r="Z3" s="456"/>
      <c r="AA3" s="456" t="s">
        <v>35</v>
      </c>
      <c r="AB3" s="456"/>
      <c r="AC3" s="456"/>
      <c r="AD3" s="456"/>
      <c r="AE3" s="456"/>
      <c r="AF3" s="456" t="s">
        <v>36</v>
      </c>
      <c r="AG3" s="456"/>
      <c r="AH3" s="456"/>
      <c r="AI3" s="456"/>
      <c r="AJ3" s="456"/>
      <c r="AK3" s="456" t="s">
        <v>37</v>
      </c>
      <c r="AL3" s="456"/>
      <c r="AM3" s="456"/>
      <c r="AN3" s="456"/>
      <c r="AO3" s="456"/>
      <c r="AP3" s="453" t="s">
        <v>38</v>
      </c>
    </row>
    <row r="4" spans="1:42" ht="21.95" customHeight="1" thickTop="1" thickBot="1">
      <c r="A4" s="462"/>
      <c r="B4" s="88">
        <v>46143</v>
      </c>
      <c r="C4" s="88">
        <v>46143</v>
      </c>
      <c r="D4" s="88">
        <v>46143</v>
      </c>
      <c r="E4" s="88">
        <v>46143</v>
      </c>
      <c r="F4" s="88">
        <v>46143</v>
      </c>
      <c r="G4" s="88">
        <v>46174</v>
      </c>
      <c r="H4" s="88">
        <v>46174</v>
      </c>
      <c r="I4" s="88">
        <v>46174</v>
      </c>
      <c r="J4" s="88">
        <v>46174</v>
      </c>
      <c r="K4" s="88">
        <v>46174</v>
      </c>
      <c r="L4" s="88">
        <v>46204</v>
      </c>
      <c r="M4" s="88">
        <v>46204</v>
      </c>
      <c r="N4" s="88">
        <v>46204</v>
      </c>
      <c r="O4" s="88">
        <v>46204</v>
      </c>
      <c r="P4" s="88">
        <v>46204</v>
      </c>
      <c r="Q4" s="82">
        <v>46235</v>
      </c>
      <c r="R4" s="54">
        <v>46235</v>
      </c>
      <c r="S4" s="54">
        <v>46235</v>
      </c>
      <c r="T4" s="54">
        <v>46235</v>
      </c>
      <c r="U4" s="54">
        <v>46235</v>
      </c>
      <c r="V4" s="54">
        <v>46266</v>
      </c>
      <c r="W4" s="54">
        <v>46266</v>
      </c>
      <c r="X4" s="54">
        <v>46266</v>
      </c>
      <c r="Y4" s="54">
        <v>46266</v>
      </c>
      <c r="Z4" s="54">
        <v>46266</v>
      </c>
      <c r="AA4" s="54">
        <v>46296</v>
      </c>
      <c r="AB4" s="54">
        <v>46296</v>
      </c>
      <c r="AC4" s="54">
        <v>46296</v>
      </c>
      <c r="AD4" s="54">
        <v>46296</v>
      </c>
      <c r="AE4" s="54">
        <v>46296</v>
      </c>
      <c r="AF4" s="54">
        <v>46327</v>
      </c>
      <c r="AG4" s="54">
        <v>46327</v>
      </c>
      <c r="AH4" s="54">
        <v>46327</v>
      </c>
      <c r="AI4" s="54">
        <v>46327</v>
      </c>
      <c r="AJ4" s="54">
        <v>46327</v>
      </c>
      <c r="AK4" s="54">
        <v>46357</v>
      </c>
      <c r="AL4" s="54">
        <v>46357</v>
      </c>
      <c r="AM4" s="54">
        <v>46357</v>
      </c>
      <c r="AN4" s="54">
        <v>46357</v>
      </c>
      <c r="AO4" s="54">
        <v>46357</v>
      </c>
      <c r="AP4" s="454"/>
    </row>
    <row r="5" spans="1:42" ht="32.1" customHeight="1" thickTop="1" thickBot="1">
      <c r="A5" s="463"/>
      <c r="B5" s="89" t="s">
        <v>6</v>
      </c>
      <c r="C5" s="89" t="s">
        <v>7</v>
      </c>
      <c r="D5" s="89" t="s">
        <v>1280</v>
      </c>
      <c r="E5" s="89" t="s">
        <v>1327</v>
      </c>
      <c r="F5" s="89" t="s">
        <v>39</v>
      </c>
      <c r="G5" s="89" t="s">
        <v>6</v>
      </c>
      <c r="H5" s="89" t="s">
        <v>7</v>
      </c>
      <c r="I5" s="89" t="s">
        <v>1280</v>
      </c>
      <c r="J5" s="89" t="s">
        <v>1332</v>
      </c>
      <c r="K5" s="89" t="s">
        <v>39</v>
      </c>
      <c r="L5" s="89" t="s">
        <v>6</v>
      </c>
      <c r="M5" s="89" t="s">
        <v>7</v>
      </c>
      <c r="N5" s="89" t="s">
        <v>1280</v>
      </c>
      <c r="O5" s="89" t="s">
        <v>1327</v>
      </c>
      <c r="P5" s="89" t="s">
        <v>39</v>
      </c>
      <c r="Q5" s="83" t="s">
        <v>6</v>
      </c>
      <c r="R5" s="71" t="s">
        <v>7</v>
      </c>
      <c r="S5" s="71" t="s">
        <v>1280</v>
      </c>
      <c r="T5" s="71" t="s">
        <v>1327</v>
      </c>
      <c r="U5" s="71" t="s">
        <v>39</v>
      </c>
      <c r="V5" s="71" t="s">
        <v>6</v>
      </c>
      <c r="W5" s="71" t="s">
        <v>7</v>
      </c>
      <c r="X5" s="71" t="s">
        <v>1280</v>
      </c>
      <c r="Y5" s="71" t="s">
        <v>1327</v>
      </c>
      <c r="Z5" s="71" t="s">
        <v>39</v>
      </c>
      <c r="AA5" s="71" t="s">
        <v>6</v>
      </c>
      <c r="AB5" s="71" t="s">
        <v>7</v>
      </c>
      <c r="AC5" s="71" t="s">
        <v>1280</v>
      </c>
      <c r="AD5" s="71" t="s">
        <v>1327</v>
      </c>
      <c r="AE5" s="71" t="s">
        <v>39</v>
      </c>
      <c r="AF5" s="71" t="s">
        <v>6</v>
      </c>
      <c r="AG5" s="71" t="s">
        <v>7</v>
      </c>
      <c r="AH5" s="71" t="s">
        <v>1280</v>
      </c>
      <c r="AI5" s="71" t="s">
        <v>1327</v>
      </c>
      <c r="AJ5" s="71" t="s">
        <v>39</v>
      </c>
      <c r="AK5" s="71" t="s">
        <v>6</v>
      </c>
      <c r="AL5" s="71" t="s">
        <v>7</v>
      </c>
      <c r="AM5" s="71" t="s">
        <v>1280</v>
      </c>
      <c r="AN5" s="71" t="s">
        <v>1327</v>
      </c>
      <c r="AO5" s="71" t="s">
        <v>39</v>
      </c>
      <c r="AP5" s="455"/>
    </row>
    <row r="6" spans="1:42" ht="21" customHeight="1" thickTop="1">
      <c r="A6" s="90" t="s">
        <v>40</v>
      </c>
      <c r="B6" s="91">
        <f>IFERROR(SUMIFS('Daily Issuance'!$O:$O,'Daily Issuance'!$I:$I,$A6,'Daily Issuance'!$E:$E,"Inventory",'Daily Issuance'!$B:$B,"&gt;="&amp;DATE(2026,5,1),'Daily Issuance'!$B:$B,"&lt;"&amp;DATE(2026,6,1)),0)</f>
        <v>167000</v>
      </c>
      <c r="C6" s="91">
        <f>IFERROR(SUMIFS('Daily Issuance'!$O:$O,'Daily Issuance'!$I:$I,$A6,'Daily Issuance'!$E:$E,"Non Inventory",'Daily Issuance'!$B:$B,"&gt;="&amp;DATE(2026,5,1),'Daily Issuance'!$B:$B,"&lt;"&amp;DATE(2026,6,1)),0)</f>
        <v>672</v>
      </c>
      <c r="D6" s="91">
        <f>IFERROR(SUMIFS('Daily Issuance'!$O:$O,'Daily Issuance'!$I:$I,$A6,'Daily Issuance'!$E:$E,"Services",'Daily Issuance'!$B:$B,"&gt;="&amp;DATE(2026,5,1),'Daily Issuance'!$B:$B,"&lt;"&amp;DATE(2026,6,1)),0)</f>
        <v>0</v>
      </c>
      <c r="E6" s="91">
        <f>IFERROR(SUMIFS('Daily Issuance'!$O:$O,'Daily Issuance'!$I:$I,$A6,'Daily Issuance'!$E:$E,"Patty Cash",'Daily Issuance'!$B:$B,"&gt;="&amp;DATE(2026,5,1),'Daily Issuance'!$B:$B,"&lt;"&amp;DATE(2026,6,1)),0)</f>
        <v>0</v>
      </c>
      <c r="F6" s="92">
        <f>SUM(B6:E6)</f>
        <v>167672</v>
      </c>
      <c r="G6" s="93">
        <f>IFERROR(SUMIFS('Daily Issuance'!$O$4:$O$991,'Daily Issuance'!$I$4:$I$991,$A6,'Daily Issuance'!$E$4:$E$991,"Inventory",'Daily Issuance'!$B$4:$B$991,"&gt;="&amp;DATE(2026,6,1),'Daily Issuance'!$B$4:$B$991,"&lt;"&amp;DATE(2026,7,1)),0)</f>
        <v>16450</v>
      </c>
      <c r="H6" s="93">
        <f>IFERROR(SUMIFS('Daily Issuance'!$O$4:$O$991,'Daily Issuance'!$I$4:$I$991,$A6,'Daily Issuance'!$E$4:$E$991,"Non Inventory",'Daily Issuance'!$B$4:$B$991,"&gt;="&amp;DATE(2026,6,1),'Daily Issuance'!$B$4:$B$991,"&lt;"&amp;DATE(2026,7,1)),0)</f>
        <v>512</v>
      </c>
      <c r="I6" s="93">
        <f>IFERROR(SUMIFS('Daily Issuance'!$O$4:$O$991,'Daily Issuance'!$I$4:$I$991,$A6,'Daily Issuance'!$E$4:$E$991,"Services",'Daily Issuance'!$B$4:$B$991,"&gt;="&amp;DATE(2026,6,1),'Daily Issuance'!$B$4:$B$991,"&lt;"&amp;DATE(2026,7,1)),0)</f>
        <v>0</v>
      </c>
      <c r="J6" s="93">
        <f>IFERROR(SUMIFS('Daily Issuance'!$O:$O,'Daily Issuance'!$I:$I,$A6,'Daily Issuance'!$E:$E,"Patty Cash",'Daily Issuance'!$B:$B,"&gt;="&amp;DATE(2026,6,1),'Daily Issuance'!$B:$B,"&lt;"&amp;DATE(2026,7,1)),0)</f>
        <v>0</v>
      </c>
      <c r="K6" s="92">
        <f>SUM(G6:J6)</f>
        <v>16962</v>
      </c>
      <c r="L6" s="94">
        <f>IFERROR(SUMIFS('Daily Issuance'!$O$4:$O$991,'Daily Issuance'!$I$4:$I$991,$A6,'Daily Issuance'!$E$4:$E$991,"Inventory",'Daily Issuance'!$B$4:$B$991,"&gt;="&amp;DATE(2026,7,1),'Daily Issuance'!$B$4:$B$991,"&lt;"&amp;DATE(2026,8,1)),0)</f>
        <v>0</v>
      </c>
      <c r="M6" s="95">
        <f>IFERROR(SUMIFS('Daily Issuance'!$O$4:$O$991,'Daily Issuance'!$I$4:$I$991,$A6,'Daily Issuance'!$E$4:$E$991,"Non Inventory",'Daily Issuance'!$B$4:$B$991,"&gt;="&amp;DATE(2026,7,1),'Daily Issuance'!$B$4:$B$991,"&lt;"&amp;DATE(2026,8,1)),0)</f>
        <v>0</v>
      </c>
      <c r="N6" s="95">
        <f>IFERROR(SUMIFS('Daily Issuance'!$O$4:$O$991,'Daily Issuance'!$I$4:$I$991,$A6,'Daily Issuance'!$E$4:$E$991,"Services",'Daily Issuance'!$B$4:$B$991,"&gt;="&amp;DATE(2026,7,1),'Daily Issuance'!$B$4:$B$991,"&lt;"&amp;DATE(2026,8,1)),0)</f>
        <v>0</v>
      </c>
      <c r="O6" s="95">
        <f>IFERROR(SUMIFS('Daily Issuance'!$O:$O,'Daily Issuance'!$I:$I,$A6,'Daily Issuance'!$E:$E,"Patty Cash",'Daily Issuance'!$B:$B,"&gt;="&amp;DATE(2026,7,1),'Daily Issuance'!$B:$B,"&lt;"&amp;DATE(2026,8,1)),0)</f>
        <v>0</v>
      </c>
      <c r="P6" s="92">
        <f>SUM(L6:O6)</f>
        <v>0</v>
      </c>
      <c r="Q6" s="84">
        <f>IFERROR(SUMIFS('Daily Issuance'!$O$4:$O$991,'Daily Issuance'!$I$4:$I$991,$A6,'Daily Issuance'!$E$4:$E$991,"Inventory",'Daily Issuance'!$B$4:$B$991,"&gt;="&amp;DATE(2026,8,1),'Daily Issuance'!$B$4:$B$991,"&lt;"&amp;DATE(2026,9,1)),0)</f>
        <v>0</v>
      </c>
      <c r="R6" s="72">
        <f>IFERROR(SUMIFS('Daily Issuance'!$O$4:$O$991,'Daily Issuance'!$I$4:$I$991,$A6,'Daily Issuance'!$E$4:$E$991,"Non Inventory",'Daily Issuance'!$B$4:$B$991,"&gt;="&amp;DATE(2026,8,1),'Daily Issuance'!$B$4:$B$991,"&lt;"&amp;DATE(2026,9,1)),0)</f>
        <v>0</v>
      </c>
      <c r="S6" s="72">
        <f>IFERROR(SUMIFS('Daily Issuance'!$O$4:$O$991,'Daily Issuance'!$I$4:$I$991,$A6,'Daily Issuance'!$E$4:$E$991,"Services",'Daily Issuance'!$B$4:$B$991,"&gt;="&amp;DATE(2026,8,1),'Daily Issuance'!$B$4:$B$991,"&lt;"&amp;DATE(2026,9,1)),0)</f>
        <v>0</v>
      </c>
      <c r="T6" s="72">
        <f>IFERROR(SUMIFS('Daily Issuance'!$O:$O,'Daily Issuance'!$I:$I,$A6,'Daily Issuance'!$E:$E,"Patty Cash",'Daily Issuance'!$B:$B,"&gt;="&amp;DATE(2026,8,1),'Daily Issuance'!$B:$B,"&lt;"&amp;DATE(2026,9,1)),0)</f>
        <v>0</v>
      </c>
      <c r="U6" s="66">
        <f>SUM(Q6:T6)</f>
        <v>0</v>
      </c>
      <c r="V6" s="65">
        <f>IFERROR(SUMIFS('Daily Issuance'!$O$4:$O$991,'Daily Issuance'!$I$4:$I$991,$A6,'Daily Issuance'!$E$4:$E$991,"Inventory",'Daily Issuance'!$B$4:$B$991,"&gt;="&amp;DATE(2026,9,1),'Daily Issuance'!$B$4:$B$991,"&lt;"&amp;DATE(2026,10,1)),0)</f>
        <v>0</v>
      </c>
      <c r="W6" s="65">
        <f>IFERROR(SUMIFS('Daily Issuance'!$O$4:$O$991,'Daily Issuance'!$I$4:$I$991,$A6,'Daily Issuance'!$E$4:$E$991,"Non Inventory",'Daily Issuance'!$B$4:$B$991,"&gt;="&amp;DATE(2026,9,1),'Daily Issuance'!$B$4:$B$991,"&lt;"&amp;DATE(2026,10,1)),0)</f>
        <v>0</v>
      </c>
      <c r="X6" s="65">
        <f>IFERROR(SUMIFS('Daily Issuance'!$O$4:$O$991,'Daily Issuance'!$I$4:$I$991,$A6,'Daily Issuance'!$E$4:$E$991,"Services",'Daily Issuance'!$B$4:$B$991,"&gt;="&amp;DATE(2026,9,1),'Daily Issuance'!$B$4:$B$991,"&lt;"&amp;DATE(2026,10,1)),0)</f>
        <v>0</v>
      </c>
      <c r="Y6" s="65">
        <f>IFERROR(SUMIFS('Daily Issuance'!$O:$O,'Daily Issuance'!$I:$I,$A6,'Daily Issuance'!$E:$E,"Patty Cash",'Daily Issuance'!$B:$B,"&gt;="&amp;DATE(2026,9,1),'Daily Issuance'!$B:$B,"&lt;"&amp;DATE(2026,10,1)),0)</f>
        <v>0</v>
      </c>
      <c r="Z6" s="66">
        <f>SUM(V6:Y6)</f>
        <v>0</v>
      </c>
      <c r="AA6" s="72">
        <f>IFERROR(SUMIFS('Daily Issuance'!$O$4:$O$991,'Daily Issuance'!$I$4:$I$991,$A6,'Daily Issuance'!$E$4:$E$991,"Inventory",'Daily Issuance'!$B$4:$B$991,"&gt;="&amp;DATE(2026,10,1),'Daily Issuance'!$B$4:$B$991,"&lt;"&amp;DATE(2026,11,1)),0)</f>
        <v>0</v>
      </c>
      <c r="AB6" s="72">
        <f>IFERROR(SUMIFS('Daily Issuance'!$O$4:$O$991,'Daily Issuance'!$I$4:$I$991,$A6,'Daily Issuance'!$E$4:$E$991,"Non Inventory",'Daily Issuance'!$B$4:$B$991,"&gt;="&amp;DATE(2026,10,1),'Daily Issuance'!$B$4:$B$991,"&lt;"&amp;DATE(2026,11,1)),0)</f>
        <v>0</v>
      </c>
      <c r="AC6" s="72">
        <f>IFERROR(SUMIFS('Daily Issuance'!$O$4:$O$991,'Daily Issuance'!$I$4:$I$991,$A6,'Daily Issuance'!$E$4:$E$991,"Services",'Daily Issuance'!$B$4:$B$991,"&gt;="&amp;DATE(2026,10,1),'Daily Issuance'!$B$4:$B$991,"&lt;"&amp;DATE(2026,11,1)),0)</f>
        <v>0</v>
      </c>
      <c r="AD6" s="72">
        <f>IFERROR(SUMIFS('Daily Issuance'!$O:$O,'Daily Issuance'!$I:$I,$A6,'Daily Issuance'!$E:$E,"Patty Cash",'Daily Issuance'!$B:$B,"&gt;="&amp;DATE(2026,10,1),'Daily Issuance'!$B:$B,"&lt;"&amp;DATE(2026,11,1)),0)</f>
        <v>0</v>
      </c>
      <c r="AE6" s="66">
        <f>SUM(AA6:AD6)</f>
        <v>0</v>
      </c>
      <c r="AF6" s="65">
        <f>IFERROR(SUMIFS('Daily Issuance'!$O$4:$O$991,'Daily Issuance'!$I$4:$I$991,$A6,'Daily Issuance'!$E$4:$E$991,"Inventory",'Daily Issuance'!$B$4:$B$991,"&gt;="&amp;DATE(2026,11,1),'Daily Issuance'!$B$4:$B$991,"&lt;"&amp;DATE(2026,12,1)),0)</f>
        <v>0</v>
      </c>
      <c r="AG6" s="65">
        <f>IFERROR(SUMIFS('Daily Issuance'!$O$4:$O$991,'Daily Issuance'!$I$4:$I$991,$A6,'Daily Issuance'!$E$4:$E$991,"Non Inventory",'Daily Issuance'!$B$4:$B$991,"&gt;="&amp;DATE(2026,11,1),'Daily Issuance'!$B$4:$B$991,"&lt;"&amp;DATE(2026,12,1)),0)</f>
        <v>0</v>
      </c>
      <c r="AH6" s="65">
        <f>IFERROR(SUMIFS('Daily Issuance'!$O$4:$O$991,'Daily Issuance'!$I$4:$I$991,$A6,'Daily Issuance'!$E$4:$E$991,"Services",'Daily Issuance'!$B$4:$B$991,"&gt;="&amp;DATE(2026,11,1),'Daily Issuance'!$B$4:$B$991,"&lt;"&amp;DATE(2026,12,1)),0)</f>
        <v>0</v>
      </c>
      <c r="AI6" s="65">
        <f>IFERROR(SUMIFS('Daily Issuance'!$O:$O,'Daily Issuance'!$I:$I,$A6,'Daily Issuance'!$E:$E,"Patty Cash",'Daily Issuance'!$B:$B,"&gt;="&amp;DATE(2026,11,1),'Daily Issuance'!$B:$B,"&lt;"&amp;DATE(2026,12,1)),0)</f>
        <v>0</v>
      </c>
      <c r="AJ6" s="66">
        <f>SUM(AF6:AI6)</f>
        <v>0</v>
      </c>
      <c r="AK6" s="72">
        <f>IFERROR(SUMIFS('Daily Issuance'!$O$4:$O$991,'Daily Issuance'!$I$4:$I$991,$A6,'Daily Issuance'!$E$4:$E$991,"Inventory",'Daily Issuance'!$B$4:$B$991,"&gt;="&amp;DATE(2026,12,1),'Daily Issuance'!$B$4:$B$991,"&lt;"&amp;DATE(2027,1,1)),0)</f>
        <v>0</v>
      </c>
      <c r="AL6" s="72">
        <f>IFERROR(SUMIFS('Daily Issuance'!$O$4:$O$991,'Daily Issuance'!$I$4:$I$991,$A6,'Daily Issuance'!$E$4:$E$991,"Non Inventory",'Daily Issuance'!$B$4:$B$991,"&gt;="&amp;DATE(2026,12,1),'Daily Issuance'!$B$4:$B$991,"&lt;"&amp;DATE(2027,1,1)),0)</f>
        <v>0</v>
      </c>
      <c r="AM6" s="72">
        <f>IFERROR(SUMIFS('Daily Issuance'!$O$4:$O$991,'Daily Issuance'!$I$4:$I$991,$A6,'Daily Issuance'!$E$4:$E$991,"Services",'Daily Issuance'!$B$4:$B$991,"&gt;="&amp;DATE(2026,12,1),'Daily Issuance'!$B$4:$B$991,"&lt;"&amp;DATE(2027,1,1)),0)</f>
        <v>0</v>
      </c>
      <c r="AN6" s="72">
        <f>IFERROR(SUMIFS('Daily Issuance'!$O:$O,'Daily Issuance'!$I:$I,$A6,'Daily Issuance'!$E:$E,"Patty Cash",'Daily Issuance'!$B:$B,"&gt;="&amp;DATE(2026,12,1),'Daily Issuance'!$B:$B,"&lt;"&amp;DATE(2027,1,1)),0)</f>
        <v>0</v>
      </c>
      <c r="AO6" s="66">
        <f>SUM(AK6:AN6)</f>
        <v>0</v>
      </c>
      <c r="AP6" s="77">
        <f t="shared" ref="AP6:AP39" si="0">SUM(F6,K6,P6,U6,Z6,AE6,AJ6,AO6)</f>
        <v>184634</v>
      </c>
    </row>
    <row r="7" spans="1:42" ht="21" customHeight="1">
      <c r="A7" s="90" t="s">
        <v>41</v>
      </c>
      <c r="B7" s="91">
        <f>IFERROR(SUMIFS('Daily Issuance'!$O:$O,'Daily Issuance'!$I:$I,$A7,'Daily Issuance'!$E:$E,"Inventory",'Daily Issuance'!$B:$B,"&gt;="&amp;DATE(2026,5,1),'Daily Issuance'!$B:$B,"&lt;"&amp;DATE(2026,6,1)),0)</f>
        <v>8550</v>
      </c>
      <c r="C7" s="91">
        <f>IFERROR(SUMIFS('Daily Issuance'!$O:$O,'Daily Issuance'!$I:$I,$A7,'Daily Issuance'!$E:$E,"Non Inventory",'Daily Issuance'!$B:$B,"&gt;="&amp;DATE(2026,5,1),'Daily Issuance'!$B:$B,"&lt;"&amp;DATE(2026,6,1)),0)</f>
        <v>1456</v>
      </c>
      <c r="D7" s="91">
        <f>IFERROR(SUMIFS('Daily Issuance'!$O:$O,'Daily Issuance'!$I:$I,$A7,'Daily Issuance'!$E:$E,"Services",'Daily Issuance'!$B:$B,"&gt;="&amp;DATE(2026,5,1),'Daily Issuance'!$B:$B,"&lt;"&amp;DATE(2026,6,1)),0)</f>
        <v>0</v>
      </c>
      <c r="E7" s="91">
        <f>IFERROR(SUMIFS('Daily Issuance'!$O:$O,'Daily Issuance'!$I:$I,$A7,'Daily Issuance'!$E:$E,"Patty Cash",'Daily Issuance'!$B:$B,"&gt;="&amp;DATE(2026,5,1),'Daily Issuance'!$B:$B,"&lt;"&amp;DATE(2026,6,1)),0)</f>
        <v>0</v>
      </c>
      <c r="F7" s="92">
        <f t="shared" ref="F7:F58" si="1">SUM(B7:E7)</f>
        <v>10006</v>
      </c>
      <c r="G7" s="93">
        <f>IFERROR(SUMIFS('Daily Issuance'!$O$4:$O$991,'Daily Issuance'!$I$4:$I$991,$A7,'Daily Issuance'!$E$4:$E$991,"Inventory",'Daily Issuance'!$B$4:$B$991,"&gt;="&amp;DATE(2026,6,1),'Daily Issuance'!$B$4:$B$991,"&lt;"&amp;DATE(2026,7,1)),0)</f>
        <v>1007000</v>
      </c>
      <c r="H7" s="93">
        <f>IFERROR(SUMIFS('Daily Issuance'!$O$4:$O$991,'Daily Issuance'!$I$4:$I$991,$A7,'Daily Issuance'!$E$4:$E$991,"Non Inventory",'Daily Issuance'!$B$4:$B$991,"&gt;="&amp;DATE(2026,6,1),'Daily Issuance'!$B$4:$B$991,"&lt;"&amp;DATE(2026,7,1)),0)</f>
        <v>768</v>
      </c>
      <c r="I7" s="93">
        <f>IFERROR(SUMIFS('Daily Issuance'!$O$4:$O$991,'Daily Issuance'!$I$4:$I$991,$A7,'Daily Issuance'!$E$4:$E$991,"Services",'Daily Issuance'!$B$4:$B$991,"&gt;="&amp;DATE(2026,6,1),'Daily Issuance'!$B$4:$B$991,"&lt;"&amp;DATE(2026,7,1)),0)</f>
        <v>0</v>
      </c>
      <c r="J7" s="93">
        <f>IFERROR(SUMIFS('Daily Issuance'!$O:$O,'Daily Issuance'!$I:$I,$A7,'Daily Issuance'!$E:$E,"Patty Cash",'Daily Issuance'!$B:$B,"&gt;="&amp;DATE(2026,6,1),'Daily Issuance'!$B:$B,"&lt;"&amp;DATE(2026,7,1)),0)</f>
        <v>0</v>
      </c>
      <c r="K7" s="92">
        <f t="shared" ref="K7:K58" si="2">SUM(G7:J7)</f>
        <v>1007768</v>
      </c>
      <c r="L7" s="94">
        <f>IFERROR(SUMIFS('Daily Issuance'!$O$4:$O$991,'Daily Issuance'!$I$4:$I$991,$A7,'Daily Issuance'!$E$4:$E$991,"Inventory",'Daily Issuance'!$B$4:$B$991,"&gt;="&amp;DATE(2026,7,1),'Daily Issuance'!$B$4:$B$991,"&lt;"&amp;DATE(2026,8,1)),0)</f>
        <v>0</v>
      </c>
      <c r="M7" s="95">
        <f>IFERROR(SUMIFS('Daily Issuance'!$O$4:$O$991,'Daily Issuance'!$I$4:$I$991,$A7,'Daily Issuance'!$E$4:$E$991,"Non Inventory",'Daily Issuance'!$B$4:$B$991,"&gt;="&amp;DATE(2026,7,1),'Daily Issuance'!$B$4:$B$991,"&lt;"&amp;DATE(2026,8,1)),0)</f>
        <v>0</v>
      </c>
      <c r="N7" s="95">
        <f>IFERROR(SUMIFS('Daily Issuance'!$O$4:$O$991,'Daily Issuance'!$I$4:$I$991,$A7,'Daily Issuance'!$E$4:$E$991,"Services",'Daily Issuance'!$B$4:$B$991,"&gt;="&amp;DATE(2026,7,1),'Daily Issuance'!$B$4:$B$991,"&lt;"&amp;DATE(2026,8,1)),0)</f>
        <v>0</v>
      </c>
      <c r="O7" s="95">
        <f>IFERROR(SUMIFS('Daily Issuance'!$O:$O,'Daily Issuance'!$I:$I,$A7,'Daily Issuance'!$E:$E,"Patty Cash",'Daily Issuance'!$B:$B,"&gt;="&amp;DATE(2026,7,1),'Daily Issuance'!$B:$B,"&lt;"&amp;DATE(2026,8,1)),0)</f>
        <v>0</v>
      </c>
      <c r="P7" s="92">
        <f t="shared" ref="P7:P58" si="3">SUM(L7:O7)</f>
        <v>0</v>
      </c>
      <c r="Q7" s="85">
        <f>IFERROR(SUMIFS('Daily Issuance'!$O$4:$O$991,'Daily Issuance'!$I$4:$I$991,$A7,'Daily Issuance'!$E$4:$E$991,"Inventory",'Daily Issuance'!$B$4:$B$991,"&gt;="&amp;DATE(2026,8,1),'Daily Issuance'!$B$4:$B$991,"&lt;"&amp;DATE(2026,9,1)),0)</f>
        <v>0</v>
      </c>
      <c r="R7" s="73">
        <f>IFERROR(SUMIFS('Daily Issuance'!$O$4:$O$991,'Daily Issuance'!$I$4:$I$991,$A7,'Daily Issuance'!$E$4:$E$991,"Non Inventory",'Daily Issuance'!$B$4:$B$991,"&gt;="&amp;DATE(2026,8,1),'Daily Issuance'!$B$4:$B$991,"&lt;"&amp;DATE(2026,9,1)),0)</f>
        <v>0</v>
      </c>
      <c r="S7" s="73">
        <f>IFERROR(SUMIFS('Daily Issuance'!$O$4:$O$991,'Daily Issuance'!$I$4:$I$991,$A7,'Daily Issuance'!$E$4:$E$991,"Services",'Daily Issuance'!$B$4:$B$991,"&gt;="&amp;DATE(2026,8,1),'Daily Issuance'!$B$4:$B$991,"&lt;"&amp;DATE(2026,9,1)),0)</f>
        <v>0</v>
      </c>
      <c r="T7" s="73">
        <f>IFERROR(SUMIFS('Daily Issuance'!$O:$O,'Daily Issuance'!$I:$I,$A7,'Daily Issuance'!$E:$E,"Patty Cash",'Daily Issuance'!$B:$B,"&gt;="&amp;DATE(2026,8,1),'Daily Issuance'!$B:$B,"&lt;"&amp;DATE(2026,9,1)),0)</f>
        <v>0</v>
      </c>
      <c r="U7" s="68">
        <f t="shared" ref="U7:U58" si="4">SUM(Q7:T7)</f>
        <v>0</v>
      </c>
      <c r="V7" s="67">
        <f>IFERROR(SUMIFS('Daily Issuance'!$O$4:$O$991,'Daily Issuance'!$I$4:$I$991,$A7,'Daily Issuance'!$E$4:$E$991,"Inventory",'Daily Issuance'!$B$4:$B$991,"&gt;="&amp;DATE(2026,9,1),'Daily Issuance'!$B$4:$B$991,"&lt;"&amp;DATE(2026,10,1)),0)</f>
        <v>0</v>
      </c>
      <c r="W7" s="67">
        <f>IFERROR(SUMIFS('Daily Issuance'!$O$4:$O$991,'Daily Issuance'!$I$4:$I$991,$A7,'Daily Issuance'!$E$4:$E$991,"Non Inventory",'Daily Issuance'!$B$4:$B$991,"&gt;="&amp;DATE(2026,9,1),'Daily Issuance'!$B$4:$B$991,"&lt;"&amp;DATE(2026,10,1)),0)</f>
        <v>0</v>
      </c>
      <c r="X7" s="67">
        <f>IFERROR(SUMIFS('Daily Issuance'!$O$4:$O$991,'Daily Issuance'!$I$4:$I$991,$A7,'Daily Issuance'!$E$4:$E$991,"Services",'Daily Issuance'!$B$4:$B$991,"&gt;="&amp;DATE(2026,9,1),'Daily Issuance'!$B$4:$B$991,"&lt;"&amp;DATE(2026,10,1)),0)</f>
        <v>0</v>
      </c>
      <c r="Y7" s="67">
        <f>IFERROR(SUMIFS('Daily Issuance'!$O:$O,'Daily Issuance'!$I:$I,$A7,'Daily Issuance'!$E:$E,"Patty Cash",'Daily Issuance'!$B:$B,"&gt;="&amp;DATE(2026,9,1),'Daily Issuance'!$B:$B,"&lt;"&amp;DATE(2026,10,1)),0)</f>
        <v>0</v>
      </c>
      <c r="Z7" s="68">
        <f t="shared" ref="Z7:Z58" si="5">SUM(V7:Y7)</f>
        <v>0</v>
      </c>
      <c r="AA7" s="73">
        <f>IFERROR(SUMIFS('Daily Issuance'!$O$4:$O$991,'Daily Issuance'!$I$4:$I$991,$A7,'Daily Issuance'!$E$4:$E$991,"Inventory",'Daily Issuance'!$B$4:$B$991,"&gt;="&amp;DATE(2026,10,1),'Daily Issuance'!$B$4:$B$991,"&lt;"&amp;DATE(2026,11,1)),0)</f>
        <v>0</v>
      </c>
      <c r="AB7" s="73">
        <f>IFERROR(SUMIFS('Daily Issuance'!$O$4:$O$991,'Daily Issuance'!$I$4:$I$991,$A7,'Daily Issuance'!$E$4:$E$991,"Non Inventory",'Daily Issuance'!$B$4:$B$991,"&gt;="&amp;DATE(2026,10,1),'Daily Issuance'!$B$4:$B$991,"&lt;"&amp;DATE(2026,11,1)),0)</f>
        <v>0</v>
      </c>
      <c r="AC7" s="73">
        <f>IFERROR(SUMIFS('Daily Issuance'!$O$4:$O$991,'Daily Issuance'!$I$4:$I$991,$A7,'Daily Issuance'!$E$4:$E$991,"Services",'Daily Issuance'!$B$4:$B$991,"&gt;="&amp;DATE(2026,10,1),'Daily Issuance'!$B$4:$B$991,"&lt;"&amp;DATE(2026,11,1)),0)</f>
        <v>0</v>
      </c>
      <c r="AD7" s="73">
        <f>IFERROR(SUMIFS('Daily Issuance'!$O:$O,'Daily Issuance'!$I:$I,$A7,'Daily Issuance'!$E:$E,"Patty Cash",'Daily Issuance'!$B:$B,"&gt;="&amp;DATE(2026,10,1),'Daily Issuance'!$B:$B,"&lt;"&amp;DATE(2026,11,1)),0)</f>
        <v>0</v>
      </c>
      <c r="AE7" s="68">
        <f t="shared" ref="AE7:AE58" si="6">SUM(AA7:AD7)</f>
        <v>0</v>
      </c>
      <c r="AF7" s="67">
        <f>IFERROR(SUMIFS('Daily Issuance'!$O$4:$O$991,'Daily Issuance'!$I$4:$I$991,$A7,'Daily Issuance'!$E$4:$E$991,"Inventory",'Daily Issuance'!$B$4:$B$991,"&gt;="&amp;DATE(2026,11,1),'Daily Issuance'!$B$4:$B$991,"&lt;"&amp;DATE(2026,12,1)),0)</f>
        <v>0</v>
      </c>
      <c r="AG7" s="67">
        <f>IFERROR(SUMIFS('Daily Issuance'!$O$4:$O$991,'Daily Issuance'!$I$4:$I$991,$A7,'Daily Issuance'!$E$4:$E$991,"Non Inventory",'Daily Issuance'!$B$4:$B$991,"&gt;="&amp;DATE(2026,11,1),'Daily Issuance'!$B$4:$B$991,"&lt;"&amp;DATE(2026,12,1)),0)</f>
        <v>0</v>
      </c>
      <c r="AH7" s="67">
        <f>IFERROR(SUMIFS('Daily Issuance'!$O$4:$O$991,'Daily Issuance'!$I$4:$I$991,$A7,'Daily Issuance'!$E$4:$E$991,"Services",'Daily Issuance'!$B$4:$B$991,"&gt;="&amp;DATE(2026,11,1),'Daily Issuance'!$B$4:$B$991,"&lt;"&amp;DATE(2026,12,1)),0)</f>
        <v>0</v>
      </c>
      <c r="AI7" s="67">
        <f>IFERROR(SUMIFS('Daily Issuance'!$O:$O,'Daily Issuance'!$I:$I,$A7,'Daily Issuance'!$E:$E,"Patty Cash",'Daily Issuance'!$B:$B,"&gt;="&amp;DATE(2026,11,1),'Daily Issuance'!$B:$B,"&lt;"&amp;DATE(2026,12,1)),0)</f>
        <v>0</v>
      </c>
      <c r="AJ7" s="68">
        <f t="shared" ref="AJ7:AJ58" si="7">SUM(AF7:AI7)</f>
        <v>0</v>
      </c>
      <c r="AK7" s="73">
        <f>IFERROR(SUMIFS('Daily Issuance'!$O$4:$O$991,'Daily Issuance'!$I$4:$I$991,$A7,'Daily Issuance'!$E$4:$E$991,"Inventory",'Daily Issuance'!$B$4:$B$991,"&gt;="&amp;DATE(2026,12,1),'Daily Issuance'!$B$4:$B$991,"&lt;"&amp;DATE(2027,1,1)),0)</f>
        <v>0</v>
      </c>
      <c r="AL7" s="73">
        <f>IFERROR(SUMIFS('Daily Issuance'!$O$4:$O$991,'Daily Issuance'!$I$4:$I$991,$A7,'Daily Issuance'!$E$4:$E$991,"Non Inventory",'Daily Issuance'!$B$4:$B$991,"&gt;="&amp;DATE(2026,12,1),'Daily Issuance'!$B$4:$B$991,"&lt;"&amp;DATE(2027,1,1)),0)</f>
        <v>0</v>
      </c>
      <c r="AM7" s="73">
        <f>IFERROR(SUMIFS('Daily Issuance'!$O$4:$O$991,'Daily Issuance'!$I$4:$I$991,$A7,'Daily Issuance'!$E$4:$E$991,"Services",'Daily Issuance'!$B$4:$B$991,"&gt;="&amp;DATE(2026,12,1),'Daily Issuance'!$B$4:$B$991,"&lt;"&amp;DATE(2027,1,1)),0)</f>
        <v>0</v>
      </c>
      <c r="AN7" s="73">
        <f>IFERROR(SUMIFS('Daily Issuance'!$O:$O,'Daily Issuance'!$I:$I,$A7,'Daily Issuance'!$E:$E,"Patty Cash",'Daily Issuance'!$B:$B,"&gt;="&amp;DATE(2026,12,1),'Daily Issuance'!$B:$B,"&lt;"&amp;DATE(2027,1,1)),0)</f>
        <v>0</v>
      </c>
      <c r="AO7" s="68">
        <f t="shared" ref="AO7:AO58" si="8">SUM(AK7:AN7)</f>
        <v>0</v>
      </c>
      <c r="AP7" s="78">
        <f t="shared" si="0"/>
        <v>1017774</v>
      </c>
    </row>
    <row r="8" spans="1:42" ht="21" customHeight="1">
      <c r="A8" s="90" t="s">
        <v>42</v>
      </c>
      <c r="B8" s="91">
        <f>IFERROR(SUMIFS('Daily Issuance'!$O:$O,'Daily Issuance'!$I:$I,$A8,'Daily Issuance'!$E:$E,"Inventory",'Daily Issuance'!$B:$B,"&gt;="&amp;DATE(2026,5,1),'Daily Issuance'!$B:$B,"&lt;"&amp;DATE(2026,6,1)),0)</f>
        <v>16852</v>
      </c>
      <c r="C8" s="91">
        <f>IFERROR(SUMIFS('Daily Issuance'!$O:$O,'Daily Issuance'!$I:$I,$A8,'Daily Issuance'!$E:$E,"Non Inventory",'Daily Issuance'!$B:$B,"&gt;="&amp;DATE(2026,5,1),'Daily Issuance'!$B:$B,"&lt;"&amp;DATE(2026,6,1)),0)</f>
        <v>6000</v>
      </c>
      <c r="D8" s="91">
        <f>IFERROR(SUMIFS('Daily Issuance'!$O:$O,'Daily Issuance'!$I:$I,$A8,'Daily Issuance'!$E:$E,"Services",'Daily Issuance'!$B:$B,"&gt;="&amp;DATE(2026,5,1),'Daily Issuance'!$B:$B,"&lt;"&amp;DATE(2026,6,1)),0)</f>
        <v>0</v>
      </c>
      <c r="E8" s="91">
        <f>IFERROR(SUMIFS('Daily Issuance'!$O:$O,'Daily Issuance'!$I:$I,$A8,'Daily Issuance'!$E:$E,"Patty Cash",'Daily Issuance'!$B:$B,"&gt;="&amp;DATE(2026,5,1),'Daily Issuance'!$B:$B,"&lt;"&amp;DATE(2026,6,1)),0)</f>
        <v>0</v>
      </c>
      <c r="F8" s="92">
        <f t="shared" si="1"/>
        <v>22852</v>
      </c>
      <c r="G8" s="93">
        <f>IFERROR(SUMIFS('Daily Issuance'!$O$4:$O$991,'Daily Issuance'!$I$4:$I$991,$A8,'Daily Issuance'!$E$4:$E$991,"Inventory",'Daily Issuance'!$B$4:$B$991,"&gt;="&amp;DATE(2026,6,1),'Daily Issuance'!$B$4:$B$991,"&lt;"&amp;DATE(2026,7,1)),0)</f>
        <v>1650</v>
      </c>
      <c r="H8" s="93">
        <f>IFERROR(SUMIFS('Daily Issuance'!$O$4:$O$991,'Daily Issuance'!$I$4:$I$991,$A8,'Daily Issuance'!$E$4:$E$991,"Non Inventory",'Daily Issuance'!$B$4:$B$991,"&gt;="&amp;DATE(2026,6,1),'Daily Issuance'!$B$4:$B$991,"&lt;"&amp;DATE(2026,7,1)),0)</f>
        <v>512</v>
      </c>
      <c r="I8" s="93">
        <f>IFERROR(SUMIFS('Daily Issuance'!$O$4:$O$991,'Daily Issuance'!$I$4:$I$991,$A8,'Daily Issuance'!$E$4:$E$991,"Services",'Daily Issuance'!$B$4:$B$991,"&gt;="&amp;DATE(2026,6,1),'Daily Issuance'!$B$4:$B$991,"&lt;"&amp;DATE(2026,7,1)),0)</f>
        <v>0</v>
      </c>
      <c r="J8" s="93">
        <f>IFERROR(SUMIFS('Daily Issuance'!$O:$O,'Daily Issuance'!$I:$I,$A8,'Daily Issuance'!$E:$E,"Patty Cash",'Daily Issuance'!$B:$B,"&gt;="&amp;DATE(2026,6,1),'Daily Issuance'!$B:$B,"&lt;"&amp;DATE(2026,7,1)),0)</f>
        <v>0</v>
      </c>
      <c r="K8" s="92">
        <f t="shared" si="2"/>
        <v>2162</v>
      </c>
      <c r="L8" s="94">
        <f>IFERROR(SUMIFS('Daily Issuance'!$O$4:$O$991,'Daily Issuance'!$I$4:$I$991,$A8,'Daily Issuance'!$E$4:$E$991,"Inventory",'Daily Issuance'!$B$4:$B$991,"&gt;="&amp;DATE(2026,7,1),'Daily Issuance'!$B$4:$B$991,"&lt;"&amp;DATE(2026,8,1)),0)</f>
        <v>0</v>
      </c>
      <c r="M8" s="95">
        <f>IFERROR(SUMIFS('Daily Issuance'!$O$4:$O$991,'Daily Issuance'!$I$4:$I$991,$A8,'Daily Issuance'!$E$4:$E$991,"Non Inventory",'Daily Issuance'!$B$4:$B$991,"&gt;="&amp;DATE(2026,7,1),'Daily Issuance'!$B$4:$B$991,"&lt;"&amp;DATE(2026,8,1)),0)</f>
        <v>0</v>
      </c>
      <c r="N8" s="95">
        <f>IFERROR(SUMIFS('Daily Issuance'!$O$4:$O$991,'Daily Issuance'!$I$4:$I$991,$A8,'Daily Issuance'!$E$4:$E$991,"Services",'Daily Issuance'!$B$4:$B$991,"&gt;="&amp;DATE(2026,7,1),'Daily Issuance'!$B$4:$B$991,"&lt;"&amp;DATE(2026,8,1)),0)</f>
        <v>0</v>
      </c>
      <c r="O8" s="95">
        <f>IFERROR(SUMIFS('Daily Issuance'!$O:$O,'Daily Issuance'!$I:$I,$A8,'Daily Issuance'!$E:$E,"Patty Cash",'Daily Issuance'!$B:$B,"&gt;="&amp;DATE(2026,7,1),'Daily Issuance'!$B:$B,"&lt;"&amp;DATE(2026,8,1)),0)</f>
        <v>0</v>
      </c>
      <c r="P8" s="92">
        <f t="shared" si="3"/>
        <v>0</v>
      </c>
      <c r="Q8" s="85">
        <f>IFERROR(SUMIFS('Daily Issuance'!$O$4:$O$991,'Daily Issuance'!$I$4:$I$991,$A8,'Daily Issuance'!$E$4:$E$991,"Inventory",'Daily Issuance'!$B$4:$B$991,"&gt;="&amp;DATE(2026,8,1),'Daily Issuance'!$B$4:$B$991,"&lt;"&amp;DATE(2026,9,1)),0)</f>
        <v>0</v>
      </c>
      <c r="R8" s="73">
        <f>IFERROR(SUMIFS('Daily Issuance'!$O$4:$O$991,'Daily Issuance'!$I$4:$I$991,$A8,'Daily Issuance'!$E$4:$E$991,"Non Inventory",'Daily Issuance'!$B$4:$B$991,"&gt;="&amp;DATE(2026,8,1),'Daily Issuance'!$B$4:$B$991,"&lt;"&amp;DATE(2026,9,1)),0)</f>
        <v>0</v>
      </c>
      <c r="S8" s="73">
        <f>IFERROR(SUMIFS('Daily Issuance'!$O$4:$O$991,'Daily Issuance'!$I$4:$I$991,$A8,'Daily Issuance'!$E$4:$E$991,"Services",'Daily Issuance'!$B$4:$B$991,"&gt;="&amp;DATE(2026,8,1),'Daily Issuance'!$B$4:$B$991,"&lt;"&amp;DATE(2026,9,1)),0)</f>
        <v>0</v>
      </c>
      <c r="T8" s="73">
        <f>IFERROR(SUMIFS('Daily Issuance'!$O:$O,'Daily Issuance'!$I:$I,$A8,'Daily Issuance'!$E:$E,"Patty Cash",'Daily Issuance'!$B:$B,"&gt;="&amp;DATE(2026,8,1),'Daily Issuance'!$B:$B,"&lt;"&amp;DATE(2026,9,1)),0)</f>
        <v>0</v>
      </c>
      <c r="U8" s="68">
        <f t="shared" si="4"/>
        <v>0</v>
      </c>
      <c r="V8" s="67">
        <f>IFERROR(SUMIFS('Daily Issuance'!$O$4:$O$991,'Daily Issuance'!$I$4:$I$991,$A8,'Daily Issuance'!$E$4:$E$991,"Inventory",'Daily Issuance'!$B$4:$B$991,"&gt;="&amp;DATE(2026,9,1),'Daily Issuance'!$B$4:$B$991,"&lt;"&amp;DATE(2026,10,1)),0)</f>
        <v>0</v>
      </c>
      <c r="W8" s="67">
        <f>IFERROR(SUMIFS('Daily Issuance'!$O$4:$O$991,'Daily Issuance'!$I$4:$I$991,$A8,'Daily Issuance'!$E$4:$E$991,"Non Inventory",'Daily Issuance'!$B$4:$B$991,"&gt;="&amp;DATE(2026,9,1),'Daily Issuance'!$B$4:$B$991,"&lt;"&amp;DATE(2026,10,1)),0)</f>
        <v>0</v>
      </c>
      <c r="X8" s="67">
        <f>IFERROR(SUMIFS('Daily Issuance'!$O$4:$O$991,'Daily Issuance'!$I$4:$I$991,$A8,'Daily Issuance'!$E$4:$E$991,"Services",'Daily Issuance'!$B$4:$B$991,"&gt;="&amp;DATE(2026,9,1),'Daily Issuance'!$B$4:$B$991,"&lt;"&amp;DATE(2026,10,1)),0)</f>
        <v>0</v>
      </c>
      <c r="Y8" s="67">
        <f>IFERROR(SUMIFS('Daily Issuance'!$O:$O,'Daily Issuance'!$I:$I,$A8,'Daily Issuance'!$E:$E,"Patty Cash",'Daily Issuance'!$B:$B,"&gt;="&amp;DATE(2026,9,1),'Daily Issuance'!$B:$B,"&lt;"&amp;DATE(2026,10,1)),0)</f>
        <v>0</v>
      </c>
      <c r="Z8" s="68">
        <f t="shared" si="5"/>
        <v>0</v>
      </c>
      <c r="AA8" s="73">
        <f>IFERROR(SUMIFS('Daily Issuance'!$O$4:$O$991,'Daily Issuance'!$I$4:$I$991,$A8,'Daily Issuance'!$E$4:$E$991,"Inventory",'Daily Issuance'!$B$4:$B$991,"&gt;="&amp;DATE(2026,10,1),'Daily Issuance'!$B$4:$B$991,"&lt;"&amp;DATE(2026,11,1)),0)</f>
        <v>0</v>
      </c>
      <c r="AB8" s="73">
        <f>IFERROR(SUMIFS('Daily Issuance'!$O$4:$O$991,'Daily Issuance'!$I$4:$I$991,$A8,'Daily Issuance'!$E$4:$E$991,"Non Inventory",'Daily Issuance'!$B$4:$B$991,"&gt;="&amp;DATE(2026,10,1),'Daily Issuance'!$B$4:$B$991,"&lt;"&amp;DATE(2026,11,1)),0)</f>
        <v>0</v>
      </c>
      <c r="AC8" s="73">
        <f>IFERROR(SUMIFS('Daily Issuance'!$O$4:$O$991,'Daily Issuance'!$I$4:$I$991,$A8,'Daily Issuance'!$E$4:$E$991,"Services",'Daily Issuance'!$B$4:$B$991,"&gt;="&amp;DATE(2026,10,1),'Daily Issuance'!$B$4:$B$991,"&lt;"&amp;DATE(2026,11,1)),0)</f>
        <v>0</v>
      </c>
      <c r="AD8" s="73">
        <f>IFERROR(SUMIFS('Daily Issuance'!$O:$O,'Daily Issuance'!$I:$I,$A8,'Daily Issuance'!$E:$E,"Patty Cash",'Daily Issuance'!$B:$B,"&gt;="&amp;DATE(2026,10,1),'Daily Issuance'!$B:$B,"&lt;"&amp;DATE(2026,11,1)),0)</f>
        <v>0</v>
      </c>
      <c r="AE8" s="68">
        <f t="shared" si="6"/>
        <v>0</v>
      </c>
      <c r="AF8" s="67">
        <f>IFERROR(SUMIFS('Daily Issuance'!$O$4:$O$991,'Daily Issuance'!$I$4:$I$991,$A8,'Daily Issuance'!$E$4:$E$991,"Inventory",'Daily Issuance'!$B$4:$B$991,"&gt;="&amp;DATE(2026,11,1),'Daily Issuance'!$B$4:$B$991,"&lt;"&amp;DATE(2026,12,1)),0)</f>
        <v>0</v>
      </c>
      <c r="AG8" s="67">
        <f>IFERROR(SUMIFS('Daily Issuance'!$O$4:$O$991,'Daily Issuance'!$I$4:$I$991,$A8,'Daily Issuance'!$E$4:$E$991,"Non Inventory",'Daily Issuance'!$B$4:$B$991,"&gt;="&amp;DATE(2026,11,1),'Daily Issuance'!$B$4:$B$991,"&lt;"&amp;DATE(2026,12,1)),0)</f>
        <v>0</v>
      </c>
      <c r="AH8" s="67">
        <f>IFERROR(SUMIFS('Daily Issuance'!$O$4:$O$991,'Daily Issuance'!$I$4:$I$991,$A8,'Daily Issuance'!$E$4:$E$991,"Services",'Daily Issuance'!$B$4:$B$991,"&gt;="&amp;DATE(2026,11,1),'Daily Issuance'!$B$4:$B$991,"&lt;"&amp;DATE(2026,12,1)),0)</f>
        <v>0</v>
      </c>
      <c r="AI8" s="67">
        <f>IFERROR(SUMIFS('Daily Issuance'!$O:$O,'Daily Issuance'!$I:$I,$A8,'Daily Issuance'!$E:$E,"Patty Cash",'Daily Issuance'!$B:$B,"&gt;="&amp;DATE(2026,11,1),'Daily Issuance'!$B:$B,"&lt;"&amp;DATE(2026,12,1)),0)</f>
        <v>0</v>
      </c>
      <c r="AJ8" s="68">
        <f t="shared" si="7"/>
        <v>0</v>
      </c>
      <c r="AK8" s="73">
        <f>IFERROR(SUMIFS('Daily Issuance'!$O$4:$O$991,'Daily Issuance'!$I$4:$I$991,$A8,'Daily Issuance'!$E$4:$E$991,"Inventory",'Daily Issuance'!$B$4:$B$991,"&gt;="&amp;DATE(2026,12,1),'Daily Issuance'!$B$4:$B$991,"&lt;"&amp;DATE(2027,1,1)),0)</f>
        <v>0</v>
      </c>
      <c r="AL8" s="73">
        <f>IFERROR(SUMIFS('Daily Issuance'!$O$4:$O$991,'Daily Issuance'!$I$4:$I$991,$A8,'Daily Issuance'!$E$4:$E$991,"Non Inventory",'Daily Issuance'!$B$4:$B$991,"&gt;="&amp;DATE(2026,12,1),'Daily Issuance'!$B$4:$B$991,"&lt;"&amp;DATE(2027,1,1)),0)</f>
        <v>0</v>
      </c>
      <c r="AM8" s="73">
        <f>IFERROR(SUMIFS('Daily Issuance'!$O$4:$O$991,'Daily Issuance'!$I$4:$I$991,$A8,'Daily Issuance'!$E$4:$E$991,"Services",'Daily Issuance'!$B$4:$B$991,"&gt;="&amp;DATE(2026,12,1),'Daily Issuance'!$B$4:$B$991,"&lt;"&amp;DATE(2027,1,1)),0)</f>
        <v>0</v>
      </c>
      <c r="AN8" s="73">
        <f>IFERROR(SUMIFS('Daily Issuance'!$O:$O,'Daily Issuance'!$I:$I,$A8,'Daily Issuance'!$E:$E,"Patty Cash",'Daily Issuance'!$B:$B,"&gt;="&amp;DATE(2026,12,1),'Daily Issuance'!$B:$B,"&lt;"&amp;DATE(2027,1,1)),0)</f>
        <v>0</v>
      </c>
      <c r="AO8" s="68">
        <f t="shared" si="8"/>
        <v>0</v>
      </c>
      <c r="AP8" s="78">
        <f t="shared" si="0"/>
        <v>25014</v>
      </c>
    </row>
    <row r="9" spans="1:42" ht="21" customHeight="1">
      <c r="A9" s="90" t="s">
        <v>43</v>
      </c>
      <c r="B9" s="91">
        <f>IFERROR(SUMIFS('Daily Issuance'!$O:$O,'Daily Issuance'!$I:$I,$A9,'Daily Issuance'!$E:$E,"Inventory",'Daily Issuance'!$B:$B,"&gt;="&amp;DATE(2026,5,1),'Daily Issuance'!$B:$B,"&lt;"&amp;DATE(2026,6,1)),0)</f>
        <v>0</v>
      </c>
      <c r="C9" s="91">
        <f>IFERROR(SUMIFS('Daily Issuance'!$O:$O,'Daily Issuance'!$I:$I,$A9,'Daily Issuance'!$E:$E,"Non Inventory",'Daily Issuance'!$B:$B,"&gt;="&amp;DATE(2026,5,1),'Daily Issuance'!$B:$B,"&lt;"&amp;DATE(2026,6,1)),0)</f>
        <v>256</v>
      </c>
      <c r="D9" s="91">
        <f>IFERROR(SUMIFS('Daily Issuance'!$O:$O,'Daily Issuance'!$I:$I,$A9,'Daily Issuance'!$E:$E,"Services",'Daily Issuance'!$B:$B,"&gt;="&amp;DATE(2026,5,1),'Daily Issuance'!$B:$B,"&lt;"&amp;DATE(2026,6,1)),0)</f>
        <v>0</v>
      </c>
      <c r="E9" s="91">
        <f>IFERROR(SUMIFS('Daily Issuance'!$O:$O,'Daily Issuance'!$I:$I,$A9,'Daily Issuance'!$E:$E,"Patty Cash",'Daily Issuance'!$B:$B,"&gt;="&amp;DATE(2026,5,1),'Daily Issuance'!$B:$B,"&lt;"&amp;DATE(2026,6,1)),0)</f>
        <v>0</v>
      </c>
      <c r="F9" s="92">
        <f t="shared" si="1"/>
        <v>256</v>
      </c>
      <c r="G9" s="93">
        <f>IFERROR(SUMIFS('Daily Issuance'!$O$4:$O$991,'Daily Issuance'!$I$4:$I$991,$A9,'Daily Issuance'!$E$4:$E$991,"Inventory",'Daily Issuance'!$B$4:$B$991,"&gt;="&amp;DATE(2026,6,1),'Daily Issuance'!$B$4:$B$991,"&lt;"&amp;DATE(2026,7,1)),0)</f>
        <v>5000</v>
      </c>
      <c r="H9" s="93">
        <f>IFERROR(SUMIFS('Daily Issuance'!$O$4:$O$991,'Daily Issuance'!$I$4:$I$991,$A9,'Daily Issuance'!$E$4:$E$991,"Non Inventory",'Daily Issuance'!$B$4:$B$991,"&gt;="&amp;DATE(2026,6,1),'Daily Issuance'!$B$4:$B$991,"&lt;"&amp;DATE(2026,7,1)),0)</f>
        <v>512</v>
      </c>
      <c r="I9" s="93">
        <f>IFERROR(SUMIFS('Daily Issuance'!$O$4:$O$991,'Daily Issuance'!$I$4:$I$991,$A9,'Daily Issuance'!$E$4:$E$991,"Services",'Daily Issuance'!$B$4:$B$991,"&gt;="&amp;DATE(2026,6,1),'Daily Issuance'!$B$4:$B$991,"&lt;"&amp;DATE(2026,7,1)),0)</f>
        <v>0</v>
      </c>
      <c r="J9" s="93">
        <f>IFERROR(SUMIFS('Daily Issuance'!$O:$O,'Daily Issuance'!$I:$I,$A9,'Daily Issuance'!$E:$E,"Patty Cash",'Daily Issuance'!$B:$B,"&gt;="&amp;DATE(2026,6,1),'Daily Issuance'!$B:$B,"&lt;"&amp;DATE(2026,7,1)),0)</f>
        <v>0</v>
      </c>
      <c r="K9" s="92">
        <f t="shared" si="2"/>
        <v>5512</v>
      </c>
      <c r="L9" s="94">
        <f>IFERROR(SUMIFS('Daily Issuance'!$O$4:$O$991,'Daily Issuance'!$I$4:$I$991,$A9,'Daily Issuance'!$E$4:$E$991,"Inventory",'Daily Issuance'!$B$4:$B$991,"&gt;="&amp;DATE(2026,7,1),'Daily Issuance'!$B$4:$B$991,"&lt;"&amp;DATE(2026,8,1)),0)</f>
        <v>0</v>
      </c>
      <c r="M9" s="95">
        <f>IFERROR(SUMIFS('Daily Issuance'!$O$4:$O$991,'Daily Issuance'!$I$4:$I$991,$A9,'Daily Issuance'!$E$4:$E$991,"Non Inventory",'Daily Issuance'!$B$4:$B$991,"&gt;="&amp;DATE(2026,7,1),'Daily Issuance'!$B$4:$B$991,"&lt;"&amp;DATE(2026,8,1)),0)</f>
        <v>0</v>
      </c>
      <c r="N9" s="95">
        <f>IFERROR(SUMIFS('Daily Issuance'!$O$4:$O$991,'Daily Issuance'!$I$4:$I$991,$A9,'Daily Issuance'!$E$4:$E$991,"Services",'Daily Issuance'!$B$4:$B$991,"&gt;="&amp;DATE(2026,7,1),'Daily Issuance'!$B$4:$B$991,"&lt;"&amp;DATE(2026,8,1)),0)</f>
        <v>0</v>
      </c>
      <c r="O9" s="95">
        <f>IFERROR(SUMIFS('Daily Issuance'!$O:$O,'Daily Issuance'!$I:$I,$A9,'Daily Issuance'!$E:$E,"Patty Cash",'Daily Issuance'!$B:$B,"&gt;="&amp;DATE(2026,7,1),'Daily Issuance'!$B:$B,"&lt;"&amp;DATE(2026,8,1)),0)</f>
        <v>0</v>
      </c>
      <c r="P9" s="92">
        <f t="shared" si="3"/>
        <v>0</v>
      </c>
      <c r="Q9" s="85">
        <f>IFERROR(SUMIFS('Daily Issuance'!$O$4:$O$991,'Daily Issuance'!$I$4:$I$991,$A9,'Daily Issuance'!$E$4:$E$991,"Inventory",'Daily Issuance'!$B$4:$B$991,"&gt;="&amp;DATE(2026,8,1),'Daily Issuance'!$B$4:$B$991,"&lt;"&amp;DATE(2026,9,1)),0)</f>
        <v>0</v>
      </c>
      <c r="R9" s="73">
        <f>IFERROR(SUMIFS('Daily Issuance'!$O$4:$O$991,'Daily Issuance'!$I$4:$I$991,$A9,'Daily Issuance'!$E$4:$E$991,"Non Inventory",'Daily Issuance'!$B$4:$B$991,"&gt;="&amp;DATE(2026,8,1),'Daily Issuance'!$B$4:$B$991,"&lt;"&amp;DATE(2026,9,1)),0)</f>
        <v>0</v>
      </c>
      <c r="S9" s="73">
        <f>IFERROR(SUMIFS('Daily Issuance'!$O$4:$O$991,'Daily Issuance'!$I$4:$I$991,$A9,'Daily Issuance'!$E$4:$E$991,"Services",'Daily Issuance'!$B$4:$B$991,"&gt;="&amp;DATE(2026,8,1),'Daily Issuance'!$B$4:$B$991,"&lt;"&amp;DATE(2026,9,1)),0)</f>
        <v>0</v>
      </c>
      <c r="T9" s="73">
        <f>IFERROR(SUMIFS('Daily Issuance'!$O:$O,'Daily Issuance'!$I:$I,$A9,'Daily Issuance'!$E:$E,"Patty Cash",'Daily Issuance'!$B:$B,"&gt;="&amp;DATE(2026,8,1),'Daily Issuance'!$B:$B,"&lt;"&amp;DATE(2026,9,1)),0)</f>
        <v>0</v>
      </c>
      <c r="U9" s="68">
        <f t="shared" si="4"/>
        <v>0</v>
      </c>
      <c r="V9" s="67">
        <f>IFERROR(SUMIFS('Daily Issuance'!$O$4:$O$991,'Daily Issuance'!$I$4:$I$991,$A9,'Daily Issuance'!$E$4:$E$991,"Inventory",'Daily Issuance'!$B$4:$B$991,"&gt;="&amp;DATE(2026,9,1),'Daily Issuance'!$B$4:$B$991,"&lt;"&amp;DATE(2026,10,1)),0)</f>
        <v>0</v>
      </c>
      <c r="W9" s="67">
        <f>IFERROR(SUMIFS('Daily Issuance'!$O$4:$O$991,'Daily Issuance'!$I$4:$I$991,$A9,'Daily Issuance'!$E$4:$E$991,"Non Inventory",'Daily Issuance'!$B$4:$B$991,"&gt;="&amp;DATE(2026,9,1),'Daily Issuance'!$B$4:$B$991,"&lt;"&amp;DATE(2026,10,1)),0)</f>
        <v>0</v>
      </c>
      <c r="X9" s="67">
        <f>IFERROR(SUMIFS('Daily Issuance'!$O$4:$O$991,'Daily Issuance'!$I$4:$I$991,$A9,'Daily Issuance'!$E$4:$E$991,"Services",'Daily Issuance'!$B$4:$B$991,"&gt;="&amp;DATE(2026,9,1),'Daily Issuance'!$B$4:$B$991,"&lt;"&amp;DATE(2026,10,1)),0)</f>
        <v>0</v>
      </c>
      <c r="Y9" s="67">
        <f>IFERROR(SUMIFS('Daily Issuance'!$O:$O,'Daily Issuance'!$I:$I,$A9,'Daily Issuance'!$E:$E,"Patty Cash",'Daily Issuance'!$B:$B,"&gt;="&amp;DATE(2026,9,1),'Daily Issuance'!$B:$B,"&lt;"&amp;DATE(2026,10,1)),0)</f>
        <v>0</v>
      </c>
      <c r="Z9" s="68">
        <f t="shared" si="5"/>
        <v>0</v>
      </c>
      <c r="AA9" s="73">
        <f>IFERROR(SUMIFS('Daily Issuance'!$O$4:$O$991,'Daily Issuance'!$I$4:$I$991,$A9,'Daily Issuance'!$E$4:$E$991,"Inventory",'Daily Issuance'!$B$4:$B$991,"&gt;="&amp;DATE(2026,10,1),'Daily Issuance'!$B$4:$B$991,"&lt;"&amp;DATE(2026,11,1)),0)</f>
        <v>0</v>
      </c>
      <c r="AB9" s="73">
        <f>IFERROR(SUMIFS('Daily Issuance'!$O$4:$O$991,'Daily Issuance'!$I$4:$I$991,$A9,'Daily Issuance'!$E$4:$E$991,"Non Inventory",'Daily Issuance'!$B$4:$B$991,"&gt;="&amp;DATE(2026,10,1),'Daily Issuance'!$B$4:$B$991,"&lt;"&amp;DATE(2026,11,1)),0)</f>
        <v>0</v>
      </c>
      <c r="AC9" s="73">
        <f>IFERROR(SUMIFS('Daily Issuance'!$O$4:$O$991,'Daily Issuance'!$I$4:$I$991,$A9,'Daily Issuance'!$E$4:$E$991,"Services",'Daily Issuance'!$B$4:$B$991,"&gt;="&amp;DATE(2026,10,1),'Daily Issuance'!$B$4:$B$991,"&lt;"&amp;DATE(2026,11,1)),0)</f>
        <v>0</v>
      </c>
      <c r="AD9" s="73">
        <f>IFERROR(SUMIFS('Daily Issuance'!$O:$O,'Daily Issuance'!$I:$I,$A9,'Daily Issuance'!$E:$E,"Patty Cash",'Daily Issuance'!$B:$B,"&gt;="&amp;DATE(2026,10,1),'Daily Issuance'!$B:$B,"&lt;"&amp;DATE(2026,11,1)),0)</f>
        <v>0</v>
      </c>
      <c r="AE9" s="68">
        <f t="shared" si="6"/>
        <v>0</v>
      </c>
      <c r="AF9" s="67">
        <f>IFERROR(SUMIFS('Daily Issuance'!$O$4:$O$991,'Daily Issuance'!$I$4:$I$991,$A9,'Daily Issuance'!$E$4:$E$991,"Inventory",'Daily Issuance'!$B$4:$B$991,"&gt;="&amp;DATE(2026,11,1),'Daily Issuance'!$B$4:$B$991,"&lt;"&amp;DATE(2026,12,1)),0)</f>
        <v>0</v>
      </c>
      <c r="AG9" s="67">
        <f>IFERROR(SUMIFS('Daily Issuance'!$O$4:$O$991,'Daily Issuance'!$I$4:$I$991,$A9,'Daily Issuance'!$E$4:$E$991,"Non Inventory",'Daily Issuance'!$B$4:$B$991,"&gt;="&amp;DATE(2026,11,1),'Daily Issuance'!$B$4:$B$991,"&lt;"&amp;DATE(2026,12,1)),0)</f>
        <v>0</v>
      </c>
      <c r="AH9" s="67">
        <f>IFERROR(SUMIFS('Daily Issuance'!$O$4:$O$991,'Daily Issuance'!$I$4:$I$991,$A9,'Daily Issuance'!$E$4:$E$991,"Services",'Daily Issuance'!$B$4:$B$991,"&gt;="&amp;DATE(2026,11,1),'Daily Issuance'!$B$4:$B$991,"&lt;"&amp;DATE(2026,12,1)),0)</f>
        <v>0</v>
      </c>
      <c r="AI9" s="67">
        <f>IFERROR(SUMIFS('Daily Issuance'!$O:$O,'Daily Issuance'!$I:$I,$A9,'Daily Issuance'!$E:$E,"Patty Cash",'Daily Issuance'!$B:$B,"&gt;="&amp;DATE(2026,11,1),'Daily Issuance'!$B:$B,"&lt;"&amp;DATE(2026,12,1)),0)</f>
        <v>0</v>
      </c>
      <c r="AJ9" s="68">
        <f t="shared" si="7"/>
        <v>0</v>
      </c>
      <c r="AK9" s="73">
        <f>IFERROR(SUMIFS('Daily Issuance'!$O$4:$O$991,'Daily Issuance'!$I$4:$I$991,$A9,'Daily Issuance'!$E$4:$E$991,"Inventory",'Daily Issuance'!$B$4:$B$991,"&gt;="&amp;DATE(2026,12,1),'Daily Issuance'!$B$4:$B$991,"&lt;"&amp;DATE(2027,1,1)),0)</f>
        <v>0</v>
      </c>
      <c r="AL9" s="73">
        <f>IFERROR(SUMIFS('Daily Issuance'!$O$4:$O$991,'Daily Issuance'!$I$4:$I$991,$A9,'Daily Issuance'!$E$4:$E$991,"Non Inventory",'Daily Issuance'!$B$4:$B$991,"&gt;="&amp;DATE(2026,12,1),'Daily Issuance'!$B$4:$B$991,"&lt;"&amp;DATE(2027,1,1)),0)</f>
        <v>0</v>
      </c>
      <c r="AM9" s="73">
        <f>IFERROR(SUMIFS('Daily Issuance'!$O$4:$O$991,'Daily Issuance'!$I$4:$I$991,$A9,'Daily Issuance'!$E$4:$E$991,"Services",'Daily Issuance'!$B$4:$B$991,"&gt;="&amp;DATE(2026,12,1),'Daily Issuance'!$B$4:$B$991,"&lt;"&amp;DATE(2027,1,1)),0)</f>
        <v>0</v>
      </c>
      <c r="AN9" s="73">
        <f>IFERROR(SUMIFS('Daily Issuance'!$O:$O,'Daily Issuance'!$I:$I,$A9,'Daily Issuance'!$E:$E,"Patty Cash",'Daily Issuance'!$B:$B,"&gt;="&amp;DATE(2026,12,1),'Daily Issuance'!$B:$B,"&lt;"&amp;DATE(2027,1,1)),0)</f>
        <v>0</v>
      </c>
      <c r="AO9" s="68">
        <f t="shared" si="8"/>
        <v>0</v>
      </c>
      <c r="AP9" s="78">
        <f t="shared" si="0"/>
        <v>5768</v>
      </c>
    </row>
    <row r="10" spans="1:42" ht="21" customHeight="1">
      <c r="A10" s="90" t="s">
        <v>44</v>
      </c>
      <c r="B10" s="91">
        <f>IFERROR(SUMIFS('Daily Issuance'!$O:$O,'Daily Issuance'!$I:$I,$A10,'Daily Issuance'!$E:$E,"Inventory",'Daily Issuance'!$B:$B,"&gt;="&amp;DATE(2026,5,1),'Daily Issuance'!$B:$B,"&lt;"&amp;DATE(2026,6,1)),0)</f>
        <v>15650</v>
      </c>
      <c r="C10" s="91">
        <f>IFERROR(SUMIFS('Daily Issuance'!$O:$O,'Daily Issuance'!$I:$I,$A10,'Daily Issuance'!$E:$E,"Non Inventory",'Daily Issuance'!$B:$B,"&gt;="&amp;DATE(2026,5,1),'Daily Issuance'!$B:$B,"&lt;"&amp;DATE(2026,6,1)),0)</f>
        <v>1650</v>
      </c>
      <c r="D10" s="91">
        <f>IFERROR(SUMIFS('Daily Issuance'!$O:$O,'Daily Issuance'!$I:$I,$A10,'Daily Issuance'!$E:$E,"Services",'Daily Issuance'!$B:$B,"&gt;="&amp;DATE(2026,5,1),'Daily Issuance'!$B:$B,"&lt;"&amp;DATE(2026,6,1)),0)</f>
        <v>0</v>
      </c>
      <c r="E10" s="91">
        <f>IFERROR(SUMIFS('Daily Issuance'!$O:$O,'Daily Issuance'!$I:$I,$A10,'Daily Issuance'!$E:$E,"Patty Cash",'Daily Issuance'!$B:$B,"&gt;="&amp;DATE(2026,5,1),'Daily Issuance'!$B:$B,"&lt;"&amp;DATE(2026,6,1)),0)</f>
        <v>0</v>
      </c>
      <c r="F10" s="92">
        <f t="shared" si="1"/>
        <v>17300</v>
      </c>
      <c r="G10" s="93">
        <f>IFERROR(SUMIFS('Daily Issuance'!$O$4:$O$991,'Daily Issuance'!$I$4:$I$991,$A10,'Daily Issuance'!$E$4:$E$991,"Inventory",'Daily Issuance'!$B$4:$B$991,"&gt;="&amp;DATE(2026,6,1),'Daily Issuance'!$B$4:$B$991,"&lt;"&amp;DATE(2026,7,1)),0)</f>
        <v>470</v>
      </c>
      <c r="H10" s="93">
        <f>IFERROR(SUMIFS('Daily Issuance'!$O$4:$O$991,'Daily Issuance'!$I$4:$I$991,$A10,'Daily Issuance'!$E$4:$E$991,"Non Inventory",'Daily Issuance'!$B$4:$B$991,"&gt;="&amp;DATE(2026,6,1),'Daily Issuance'!$B$4:$B$991,"&lt;"&amp;DATE(2026,7,1)),0)</f>
        <v>512</v>
      </c>
      <c r="I10" s="93">
        <f>IFERROR(SUMIFS('Daily Issuance'!$O$4:$O$991,'Daily Issuance'!$I$4:$I$991,$A10,'Daily Issuance'!$E$4:$E$991,"Services",'Daily Issuance'!$B$4:$B$991,"&gt;="&amp;DATE(2026,6,1),'Daily Issuance'!$B$4:$B$991,"&lt;"&amp;DATE(2026,7,1)),0)</f>
        <v>0</v>
      </c>
      <c r="J10" s="93">
        <f>IFERROR(SUMIFS('Daily Issuance'!$O:$O,'Daily Issuance'!$I:$I,$A10,'Daily Issuance'!$E:$E,"Patty Cash",'Daily Issuance'!$B:$B,"&gt;="&amp;DATE(2026,6,1),'Daily Issuance'!$B:$B,"&lt;"&amp;DATE(2026,7,1)),0)</f>
        <v>0</v>
      </c>
      <c r="K10" s="92">
        <f t="shared" si="2"/>
        <v>982</v>
      </c>
      <c r="L10" s="94">
        <f>IFERROR(SUMIFS('Daily Issuance'!$O$4:$O$991,'Daily Issuance'!$I$4:$I$991,$A10,'Daily Issuance'!$E$4:$E$991,"Inventory",'Daily Issuance'!$B$4:$B$991,"&gt;="&amp;DATE(2026,7,1),'Daily Issuance'!$B$4:$B$991,"&lt;"&amp;DATE(2026,8,1)),0)</f>
        <v>0</v>
      </c>
      <c r="M10" s="95">
        <f>IFERROR(SUMIFS('Daily Issuance'!$O$4:$O$991,'Daily Issuance'!$I$4:$I$991,$A10,'Daily Issuance'!$E$4:$E$991,"Non Inventory",'Daily Issuance'!$B$4:$B$991,"&gt;="&amp;DATE(2026,7,1),'Daily Issuance'!$B$4:$B$991,"&lt;"&amp;DATE(2026,8,1)),0)</f>
        <v>0</v>
      </c>
      <c r="N10" s="95">
        <f>IFERROR(SUMIFS('Daily Issuance'!$O$4:$O$991,'Daily Issuance'!$I$4:$I$991,$A10,'Daily Issuance'!$E$4:$E$991,"Services",'Daily Issuance'!$B$4:$B$991,"&gt;="&amp;DATE(2026,7,1),'Daily Issuance'!$B$4:$B$991,"&lt;"&amp;DATE(2026,8,1)),0)</f>
        <v>0</v>
      </c>
      <c r="O10" s="95">
        <f>IFERROR(SUMIFS('Daily Issuance'!$O:$O,'Daily Issuance'!$I:$I,$A10,'Daily Issuance'!$E:$E,"Patty Cash",'Daily Issuance'!$B:$B,"&gt;="&amp;DATE(2026,7,1),'Daily Issuance'!$B:$B,"&lt;"&amp;DATE(2026,8,1)),0)</f>
        <v>0</v>
      </c>
      <c r="P10" s="92">
        <f t="shared" si="3"/>
        <v>0</v>
      </c>
      <c r="Q10" s="85">
        <f>IFERROR(SUMIFS('Daily Issuance'!$O$4:$O$991,'Daily Issuance'!$I$4:$I$991,$A10,'Daily Issuance'!$E$4:$E$991,"Inventory",'Daily Issuance'!$B$4:$B$991,"&gt;="&amp;DATE(2026,8,1),'Daily Issuance'!$B$4:$B$991,"&lt;"&amp;DATE(2026,9,1)),0)</f>
        <v>0</v>
      </c>
      <c r="R10" s="73">
        <f>IFERROR(SUMIFS('Daily Issuance'!$O$4:$O$991,'Daily Issuance'!$I$4:$I$991,$A10,'Daily Issuance'!$E$4:$E$991,"Non Inventory",'Daily Issuance'!$B$4:$B$991,"&gt;="&amp;DATE(2026,8,1),'Daily Issuance'!$B$4:$B$991,"&lt;"&amp;DATE(2026,9,1)),0)</f>
        <v>0</v>
      </c>
      <c r="S10" s="73">
        <f>IFERROR(SUMIFS('Daily Issuance'!$O$4:$O$991,'Daily Issuance'!$I$4:$I$991,$A10,'Daily Issuance'!$E$4:$E$991,"Services",'Daily Issuance'!$B$4:$B$991,"&gt;="&amp;DATE(2026,8,1),'Daily Issuance'!$B$4:$B$991,"&lt;"&amp;DATE(2026,9,1)),0)</f>
        <v>0</v>
      </c>
      <c r="T10" s="73">
        <f>IFERROR(SUMIFS('Daily Issuance'!$O:$O,'Daily Issuance'!$I:$I,$A10,'Daily Issuance'!$E:$E,"Patty Cash",'Daily Issuance'!$B:$B,"&gt;="&amp;DATE(2026,8,1),'Daily Issuance'!$B:$B,"&lt;"&amp;DATE(2026,9,1)),0)</f>
        <v>0</v>
      </c>
      <c r="U10" s="68">
        <f t="shared" si="4"/>
        <v>0</v>
      </c>
      <c r="V10" s="67">
        <f>IFERROR(SUMIFS('Daily Issuance'!$O$4:$O$991,'Daily Issuance'!$I$4:$I$991,$A10,'Daily Issuance'!$E$4:$E$991,"Inventory",'Daily Issuance'!$B$4:$B$991,"&gt;="&amp;DATE(2026,9,1),'Daily Issuance'!$B$4:$B$991,"&lt;"&amp;DATE(2026,10,1)),0)</f>
        <v>0</v>
      </c>
      <c r="W10" s="67">
        <f>IFERROR(SUMIFS('Daily Issuance'!$O$4:$O$991,'Daily Issuance'!$I$4:$I$991,$A10,'Daily Issuance'!$E$4:$E$991,"Non Inventory",'Daily Issuance'!$B$4:$B$991,"&gt;="&amp;DATE(2026,9,1),'Daily Issuance'!$B$4:$B$991,"&lt;"&amp;DATE(2026,10,1)),0)</f>
        <v>0</v>
      </c>
      <c r="X10" s="67">
        <f>IFERROR(SUMIFS('Daily Issuance'!$O$4:$O$991,'Daily Issuance'!$I$4:$I$991,$A10,'Daily Issuance'!$E$4:$E$991,"Services",'Daily Issuance'!$B$4:$B$991,"&gt;="&amp;DATE(2026,9,1),'Daily Issuance'!$B$4:$B$991,"&lt;"&amp;DATE(2026,10,1)),0)</f>
        <v>0</v>
      </c>
      <c r="Y10" s="67">
        <f>IFERROR(SUMIFS('Daily Issuance'!$O:$O,'Daily Issuance'!$I:$I,$A10,'Daily Issuance'!$E:$E,"Patty Cash",'Daily Issuance'!$B:$B,"&gt;="&amp;DATE(2026,9,1),'Daily Issuance'!$B:$B,"&lt;"&amp;DATE(2026,10,1)),0)</f>
        <v>0</v>
      </c>
      <c r="Z10" s="68">
        <f t="shared" si="5"/>
        <v>0</v>
      </c>
      <c r="AA10" s="73">
        <f>IFERROR(SUMIFS('Daily Issuance'!$O$4:$O$991,'Daily Issuance'!$I$4:$I$991,$A10,'Daily Issuance'!$E$4:$E$991,"Inventory",'Daily Issuance'!$B$4:$B$991,"&gt;="&amp;DATE(2026,10,1),'Daily Issuance'!$B$4:$B$991,"&lt;"&amp;DATE(2026,11,1)),0)</f>
        <v>0</v>
      </c>
      <c r="AB10" s="73">
        <f>IFERROR(SUMIFS('Daily Issuance'!$O$4:$O$991,'Daily Issuance'!$I$4:$I$991,$A10,'Daily Issuance'!$E$4:$E$991,"Non Inventory",'Daily Issuance'!$B$4:$B$991,"&gt;="&amp;DATE(2026,10,1),'Daily Issuance'!$B$4:$B$991,"&lt;"&amp;DATE(2026,11,1)),0)</f>
        <v>0</v>
      </c>
      <c r="AC10" s="73">
        <f>IFERROR(SUMIFS('Daily Issuance'!$O$4:$O$991,'Daily Issuance'!$I$4:$I$991,$A10,'Daily Issuance'!$E$4:$E$991,"Services",'Daily Issuance'!$B$4:$B$991,"&gt;="&amp;DATE(2026,10,1),'Daily Issuance'!$B$4:$B$991,"&lt;"&amp;DATE(2026,11,1)),0)</f>
        <v>0</v>
      </c>
      <c r="AD10" s="73">
        <f>IFERROR(SUMIFS('Daily Issuance'!$O:$O,'Daily Issuance'!$I:$I,$A10,'Daily Issuance'!$E:$E,"Patty Cash",'Daily Issuance'!$B:$B,"&gt;="&amp;DATE(2026,10,1),'Daily Issuance'!$B:$B,"&lt;"&amp;DATE(2026,11,1)),0)</f>
        <v>0</v>
      </c>
      <c r="AE10" s="68">
        <f t="shared" si="6"/>
        <v>0</v>
      </c>
      <c r="AF10" s="67">
        <f>IFERROR(SUMIFS('Daily Issuance'!$O$4:$O$991,'Daily Issuance'!$I$4:$I$991,$A10,'Daily Issuance'!$E$4:$E$991,"Inventory",'Daily Issuance'!$B$4:$B$991,"&gt;="&amp;DATE(2026,11,1),'Daily Issuance'!$B$4:$B$991,"&lt;"&amp;DATE(2026,12,1)),0)</f>
        <v>0</v>
      </c>
      <c r="AG10" s="67">
        <f>IFERROR(SUMIFS('Daily Issuance'!$O$4:$O$991,'Daily Issuance'!$I$4:$I$991,$A10,'Daily Issuance'!$E$4:$E$991,"Non Inventory",'Daily Issuance'!$B$4:$B$991,"&gt;="&amp;DATE(2026,11,1),'Daily Issuance'!$B$4:$B$991,"&lt;"&amp;DATE(2026,12,1)),0)</f>
        <v>0</v>
      </c>
      <c r="AH10" s="67">
        <f>IFERROR(SUMIFS('Daily Issuance'!$O$4:$O$991,'Daily Issuance'!$I$4:$I$991,$A10,'Daily Issuance'!$E$4:$E$991,"Services",'Daily Issuance'!$B$4:$B$991,"&gt;="&amp;DATE(2026,11,1),'Daily Issuance'!$B$4:$B$991,"&lt;"&amp;DATE(2026,12,1)),0)</f>
        <v>0</v>
      </c>
      <c r="AI10" s="67">
        <f>IFERROR(SUMIFS('Daily Issuance'!$O:$O,'Daily Issuance'!$I:$I,$A10,'Daily Issuance'!$E:$E,"Patty Cash",'Daily Issuance'!$B:$B,"&gt;="&amp;DATE(2026,11,1),'Daily Issuance'!$B:$B,"&lt;"&amp;DATE(2026,12,1)),0)</f>
        <v>0</v>
      </c>
      <c r="AJ10" s="68">
        <f t="shared" si="7"/>
        <v>0</v>
      </c>
      <c r="AK10" s="73">
        <f>IFERROR(SUMIFS('Daily Issuance'!$O$4:$O$991,'Daily Issuance'!$I$4:$I$991,$A10,'Daily Issuance'!$E$4:$E$991,"Inventory",'Daily Issuance'!$B$4:$B$991,"&gt;="&amp;DATE(2026,12,1),'Daily Issuance'!$B$4:$B$991,"&lt;"&amp;DATE(2027,1,1)),0)</f>
        <v>0</v>
      </c>
      <c r="AL10" s="73">
        <f>IFERROR(SUMIFS('Daily Issuance'!$O$4:$O$991,'Daily Issuance'!$I$4:$I$991,$A10,'Daily Issuance'!$E$4:$E$991,"Non Inventory",'Daily Issuance'!$B$4:$B$991,"&gt;="&amp;DATE(2026,12,1),'Daily Issuance'!$B$4:$B$991,"&lt;"&amp;DATE(2027,1,1)),0)</f>
        <v>0</v>
      </c>
      <c r="AM10" s="73">
        <f>IFERROR(SUMIFS('Daily Issuance'!$O$4:$O$991,'Daily Issuance'!$I$4:$I$991,$A10,'Daily Issuance'!$E$4:$E$991,"Services",'Daily Issuance'!$B$4:$B$991,"&gt;="&amp;DATE(2026,12,1),'Daily Issuance'!$B$4:$B$991,"&lt;"&amp;DATE(2027,1,1)),0)</f>
        <v>0</v>
      </c>
      <c r="AN10" s="73">
        <f>IFERROR(SUMIFS('Daily Issuance'!$O:$O,'Daily Issuance'!$I:$I,$A10,'Daily Issuance'!$E:$E,"Patty Cash",'Daily Issuance'!$B:$B,"&gt;="&amp;DATE(2026,12,1),'Daily Issuance'!$B:$B,"&lt;"&amp;DATE(2027,1,1)),0)</f>
        <v>0</v>
      </c>
      <c r="AO10" s="68">
        <f t="shared" si="8"/>
        <v>0</v>
      </c>
      <c r="AP10" s="78">
        <f t="shared" si="0"/>
        <v>18282</v>
      </c>
    </row>
    <row r="11" spans="1:42" ht="21" customHeight="1">
      <c r="A11" s="90" t="s">
        <v>45</v>
      </c>
      <c r="B11" s="91">
        <f>IFERROR(SUMIFS('Daily Issuance'!$O:$O,'Daily Issuance'!$I:$I,$A11,'Daily Issuance'!$E:$E,"Inventory",'Daily Issuance'!$B:$B,"&gt;="&amp;DATE(2026,5,1),'Daily Issuance'!$B:$B,"&lt;"&amp;DATE(2026,6,1)),0)</f>
        <v>10000</v>
      </c>
      <c r="C11" s="91">
        <f>IFERROR(SUMIFS('Daily Issuance'!$O:$O,'Daily Issuance'!$I:$I,$A11,'Daily Issuance'!$E:$E,"Non Inventory",'Daily Issuance'!$B:$B,"&gt;="&amp;DATE(2026,5,1),'Daily Issuance'!$B:$B,"&lt;"&amp;DATE(2026,6,1)),0)</f>
        <v>1456</v>
      </c>
      <c r="D11" s="91">
        <f>IFERROR(SUMIFS('Daily Issuance'!$O:$O,'Daily Issuance'!$I:$I,$A11,'Daily Issuance'!$E:$E,"Services",'Daily Issuance'!$B:$B,"&gt;="&amp;DATE(2026,5,1),'Daily Issuance'!$B:$B,"&lt;"&amp;DATE(2026,6,1)),0)</f>
        <v>0</v>
      </c>
      <c r="E11" s="91">
        <f>IFERROR(SUMIFS('Daily Issuance'!$O:$O,'Daily Issuance'!$I:$I,$A11,'Daily Issuance'!$E:$E,"Patty Cash",'Daily Issuance'!$B:$B,"&gt;="&amp;DATE(2026,5,1),'Daily Issuance'!$B:$B,"&lt;"&amp;DATE(2026,6,1)),0)</f>
        <v>0</v>
      </c>
      <c r="F11" s="92">
        <f t="shared" si="1"/>
        <v>11456</v>
      </c>
      <c r="G11" s="93">
        <f>IFERROR(SUMIFS('Daily Issuance'!$O$4:$O$991,'Daily Issuance'!$I$4:$I$991,$A11,'Daily Issuance'!$E$4:$E$991,"Inventory",'Daily Issuance'!$B$4:$B$991,"&gt;="&amp;DATE(2026,6,1),'Daily Issuance'!$B$4:$B$991,"&lt;"&amp;DATE(2026,7,1)),0)</f>
        <v>4900</v>
      </c>
      <c r="H11" s="93">
        <f>IFERROR(SUMIFS('Daily Issuance'!$O$4:$O$991,'Daily Issuance'!$I$4:$I$991,$A11,'Daily Issuance'!$E$4:$E$991,"Non Inventory",'Daily Issuance'!$B$4:$B$991,"&gt;="&amp;DATE(2026,6,1),'Daily Issuance'!$B$4:$B$991,"&lt;"&amp;DATE(2026,7,1)),0)</f>
        <v>512</v>
      </c>
      <c r="I11" s="93">
        <f>IFERROR(SUMIFS('Daily Issuance'!$O$4:$O$991,'Daily Issuance'!$I$4:$I$991,$A11,'Daily Issuance'!$E$4:$E$991,"Services",'Daily Issuance'!$B$4:$B$991,"&gt;="&amp;DATE(2026,6,1),'Daily Issuance'!$B$4:$B$991,"&lt;"&amp;DATE(2026,7,1)),0)</f>
        <v>0</v>
      </c>
      <c r="J11" s="93">
        <f>IFERROR(SUMIFS('Daily Issuance'!$O:$O,'Daily Issuance'!$I:$I,$A11,'Daily Issuance'!$E:$E,"Patty Cash",'Daily Issuance'!$B:$B,"&gt;="&amp;DATE(2026,6,1),'Daily Issuance'!$B:$B,"&lt;"&amp;DATE(2026,7,1)),0)</f>
        <v>0</v>
      </c>
      <c r="K11" s="92">
        <f t="shared" si="2"/>
        <v>5412</v>
      </c>
      <c r="L11" s="94">
        <f>IFERROR(SUMIFS('Daily Issuance'!$O$4:$O$991,'Daily Issuance'!$I$4:$I$991,$A11,'Daily Issuance'!$E$4:$E$991,"Inventory",'Daily Issuance'!$B$4:$B$991,"&gt;="&amp;DATE(2026,7,1),'Daily Issuance'!$B$4:$B$991,"&lt;"&amp;DATE(2026,8,1)),0)</f>
        <v>0</v>
      </c>
      <c r="M11" s="95">
        <f>IFERROR(SUMIFS('Daily Issuance'!$O$4:$O$991,'Daily Issuance'!$I$4:$I$991,$A11,'Daily Issuance'!$E$4:$E$991,"Non Inventory",'Daily Issuance'!$B$4:$B$991,"&gt;="&amp;DATE(2026,7,1),'Daily Issuance'!$B$4:$B$991,"&lt;"&amp;DATE(2026,8,1)),0)</f>
        <v>0</v>
      </c>
      <c r="N11" s="95">
        <f>IFERROR(SUMIFS('Daily Issuance'!$O$4:$O$991,'Daily Issuance'!$I$4:$I$991,$A11,'Daily Issuance'!$E$4:$E$991,"Services",'Daily Issuance'!$B$4:$B$991,"&gt;="&amp;DATE(2026,7,1),'Daily Issuance'!$B$4:$B$991,"&lt;"&amp;DATE(2026,8,1)),0)</f>
        <v>0</v>
      </c>
      <c r="O11" s="95">
        <f>IFERROR(SUMIFS('Daily Issuance'!$O:$O,'Daily Issuance'!$I:$I,$A11,'Daily Issuance'!$E:$E,"Patty Cash",'Daily Issuance'!$B:$B,"&gt;="&amp;DATE(2026,7,1),'Daily Issuance'!$B:$B,"&lt;"&amp;DATE(2026,8,1)),0)</f>
        <v>0</v>
      </c>
      <c r="P11" s="92">
        <f t="shared" si="3"/>
        <v>0</v>
      </c>
      <c r="Q11" s="85">
        <f>IFERROR(SUMIFS('Daily Issuance'!$O$4:$O$991,'Daily Issuance'!$I$4:$I$991,$A11,'Daily Issuance'!$E$4:$E$991,"Inventory",'Daily Issuance'!$B$4:$B$991,"&gt;="&amp;DATE(2026,8,1),'Daily Issuance'!$B$4:$B$991,"&lt;"&amp;DATE(2026,9,1)),0)</f>
        <v>0</v>
      </c>
      <c r="R11" s="73">
        <f>IFERROR(SUMIFS('Daily Issuance'!$O$4:$O$991,'Daily Issuance'!$I$4:$I$991,$A11,'Daily Issuance'!$E$4:$E$991,"Non Inventory",'Daily Issuance'!$B$4:$B$991,"&gt;="&amp;DATE(2026,8,1),'Daily Issuance'!$B$4:$B$991,"&lt;"&amp;DATE(2026,9,1)),0)</f>
        <v>0</v>
      </c>
      <c r="S11" s="73">
        <f>IFERROR(SUMIFS('Daily Issuance'!$O$4:$O$991,'Daily Issuance'!$I$4:$I$991,$A11,'Daily Issuance'!$E$4:$E$991,"Services",'Daily Issuance'!$B$4:$B$991,"&gt;="&amp;DATE(2026,8,1),'Daily Issuance'!$B$4:$B$991,"&lt;"&amp;DATE(2026,9,1)),0)</f>
        <v>0</v>
      </c>
      <c r="T11" s="73">
        <f>IFERROR(SUMIFS('Daily Issuance'!$O:$O,'Daily Issuance'!$I:$I,$A11,'Daily Issuance'!$E:$E,"Patty Cash",'Daily Issuance'!$B:$B,"&gt;="&amp;DATE(2026,8,1),'Daily Issuance'!$B:$B,"&lt;"&amp;DATE(2026,9,1)),0)</f>
        <v>0</v>
      </c>
      <c r="U11" s="68">
        <f t="shared" si="4"/>
        <v>0</v>
      </c>
      <c r="V11" s="67">
        <f>IFERROR(SUMIFS('Daily Issuance'!$O$4:$O$991,'Daily Issuance'!$I$4:$I$991,$A11,'Daily Issuance'!$E$4:$E$991,"Inventory",'Daily Issuance'!$B$4:$B$991,"&gt;="&amp;DATE(2026,9,1),'Daily Issuance'!$B$4:$B$991,"&lt;"&amp;DATE(2026,10,1)),0)</f>
        <v>0</v>
      </c>
      <c r="W11" s="67">
        <f>IFERROR(SUMIFS('Daily Issuance'!$O$4:$O$991,'Daily Issuance'!$I$4:$I$991,$A11,'Daily Issuance'!$E$4:$E$991,"Non Inventory",'Daily Issuance'!$B$4:$B$991,"&gt;="&amp;DATE(2026,9,1),'Daily Issuance'!$B$4:$B$991,"&lt;"&amp;DATE(2026,10,1)),0)</f>
        <v>0</v>
      </c>
      <c r="X11" s="67">
        <f>IFERROR(SUMIFS('Daily Issuance'!$O$4:$O$991,'Daily Issuance'!$I$4:$I$991,$A11,'Daily Issuance'!$E$4:$E$991,"Services",'Daily Issuance'!$B$4:$B$991,"&gt;="&amp;DATE(2026,9,1),'Daily Issuance'!$B$4:$B$991,"&lt;"&amp;DATE(2026,10,1)),0)</f>
        <v>0</v>
      </c>
      <c r="Y11" s="67">
        <f>IFERROR(SUMIFS('Daily Issuance'!$O:$O,'Daily Issuance'!$I:$I,$A11,'Daily Issuance'!$E:$E,"Patty Cash",'Daily Issuance'!$B:$B,"&gt;="&amp;DATE(2026,9,1),'Daily Issuance'!$B:$B,"&lt;"&amp;DATE(2026,10,1)),0)</f>
        <v>0</v>
      </c>
      <c r="Z11" s="68">
        <f t="shared" si="5"/>
        <v>0</v>
      </c>
      <c r="AA11" s="73">
        <f>IFERROR(SUMIFS('Daily Issuance'!$O$4:$O$991,'Daily Issuance'!$I$4:$I$991,$A11,'Daily Issuance'!$E$4:$E$991,"Inventory",'Daily Issuance'!$B$4:$B$991,"&gt;="&amp;DATE(2026,10,1),'Daily Issuance'!$B$4:$B$991,"&lt;"&amp;DATE(2026,11,1)),0)</f>
        <v>0</v>
      </c>
      <c r="AB11" s="73">
        <f>IFERROR(SUMIFS('Daily Issuance'!$O$4:$O$991,'Daily Issuance'!$I$4:$I$991,$A11,'Daily Issuance'!$E$4:$E$991,"Non Inventory",'Daily Issuance'!$B$4:$B$991,"&gt;="&amp;DATE(2026,10,1),'Daily Issuance'!$B$4:$B$991,"&lt;"&amp;DATE(2026,11,1)),0)</f>
        <v>0</v>
      </c>
      <c r="AC11" s="73">
        <f>IFERROR(SUMIFS('Daily Issuance'!$O$4:$O$991,'Daily Issuance'!$I$4:$I$991,$A11,'Daily Issuance'!$E$4:$E$991,"Services",'Daily Issuance'!$B$4:$B$991,"&gt;="&amp;DATE(2026,10,1),'Daily Issuance'!$B$4:$B$991,"&lt;"&amp;DATE(2026,11,1)),0)</f>
        <v>0</v>
      </c>
      <c r="AD11" s="73">
        <f>IFERROR(SUMIFS('Daily Issuance'!$O:$O,'Daily Issuance'!$I:$I,$A11,'Daily Issuance'!$E:$E,"Patty Cash",'Daily Issuance'!$B:$B,"&gt;="&amp;DATE(2026,10,1),'Daily Issuance'!$B:$B,"&lt;"&amp;DATE(2026,11,1)),0)</f>
        <v>0</v>
      </c>
      <c r="AE11" s="68">
        <f t="shared" si="6"/>
        <v>0</v>
      </c>
      <c r="AF11" s="67">
        <f>IFERROR(SUMIFS('Daily Issuance'!$O$4:$O$991,'Daily Issuance'!$I$4:$I$991,$A11,'Daily Issuance'!$E$4:$E$991,"Inventory",'Daily Issuance'!$B$4:$B$991,"&gt;="&amp;DATE(2026,11,1),'Daily Issuance'!$B$4:$B$991,"&lt;"&amp;DATE(2026,12,1)),0)</f>
        <v>0</v>
      </c>
      <c r="AG11" s="67">
        <f>IFERROR(SUMIFS('Daily Issuance'!$O$4:$O$991,'Daily Issuance'!$I$4:$I$991,$A11,'Daily Issuance'!$E$4:$E$991,"Non Inventory",'Daily Issuance'!$B$4:$B$991,"&gt;="&amp;DATE(2026,11,1),'Daily Issuance'!$B$4:$B$991,"&lt;"&amp;DATE(2026,12,1)),0)</f>
        <v>0</v>
      </c>
      <c r="AH11" s="67">
        <f>IFERROR(SUMIFS('Daily Issuance'!$O$4:$O$991,'Daily Issuance'!$I$4:$I$991,$A11,'Daily Issuance'!$E$4:$E$991,"Services",'Daily Issuance'!$B$4:$B$991,"&gt;="&amp;DATE(2026,11,1),'Daily Issuance'!$B$4:$B$991,"&lt;"&amp;DATE(2026,12,1)),0)</f>
        <v>0</v>
      </c>
      <c r="AI11" s="67">
        <f>IFERROR(SUMIFS('Daily Issuance'!$O:$O,'Daily Issuance'!$I:$I,$A11,'Daily Issuance'!$E:$E,"Patty Cash",'Daily Issuance'!$B:$B,"&gt;="&amp;DATE(2026,11,1),'Daily Issuance'!$B:$B,"&lt;"&amp;DATE(2026,12,1)),0)</f>
        <v>0</v>
      </c>
      <c r="AJ11" s="68">
        <f t="shared" si="7"/>
        <v>0</v>
      </c>
      <c r="AK11" s="73">
        <f>IFERROR(SUMIFS('Daily Issuance'!$O$4:$O$991,'Daily Issuance'!$I$4:$I$991,$A11,'Daily Issuance'!$E$4:$E$991,"Inventory",'Daily Issuance'!$B$4:$B$991,"&gt;="&amp;DATE(2026,12,1),'Daily Issuance'!$B$4:$B$991,"&lt;"&amp;DATE(2027,1,1)),0)</f>
        <v>0</v>
      </c>
      <c r="AL11" s="73">
        <f>IFERROR(SUMIFS('Daily Issuance'!$O$4:$O$991,'Daily Issuance'!$I$4:$I$991,$A11,'Daily Issuance'!$E$4:$E$991,"Non Inventory",'Daily Issuance'!$B$4:$B$991,"&gt;="&amp;DATE(2026,12,1),'Daily Issuance'!$B$4:$B$991,"&lt;"&amp;DATE(2027,1,1)),0)</f>
        <v>0</v>
      </c>
      <c r="AM11" s="73">
        <f>IFERROR(SUMIFS('Daily Issuance'!$O$4:$O$991,'Daily Issuance'!$I$4:$I$991,$A11,'Daily Issuance'!$E$4:$E$991,"Services",'Daily Issuance'!$B$4:$B$991,"&gt;="&amp;DATE(2026,12,1),'Daily Issuance'!$B$4:$B$991,"&lt;"&amp;DATE(2027,1,1)),0)</f>
        <v>0</v>
      </c>
      <c r="AN11" s="73">
        <f>IFERROR(SUMIFS('Daily Issuance'!$O:$O,'Daily Issuance'!$I:$I,$A11,'Daily Issuance'!$E:$E,"Patty Cash",'Daily Issuance'!$B:$B,"&gt;="&amp;DATE(2026,12,1),'Daily Issuance'!$B:$B,"&lt;"&amp;DATE(2027,1,1)),0)</f>
        <v>0</v>
      </c>
      <c r="AO11" s="68">
        <f t="shared" si="8"/>
        <v>0</v>
      </c>
      <c r="AP11" s="78">
        <f t="shared" si="0"/>
        <v>16868</v>
      </c>
    </row>
    <row r="12" spans="1:42" ht="21" customHeight="1">
      <c r="A12" s="90" t="s">
        <v>46</v>
      </c>
      <c r="B12" s="91">
        <f>IFERROR(SUMIFS('Daily Issuance'!$O:$O,'Daily Issuance'!$I:$I,$A12,'Daily Issuance'!$E:$E,"Inventory",'Daily Issuance'!$B:$B,"&gt;="&amp;DATE(2026,5,1),'Daily Issuance'!$B:$B,"&lt;"&amp;DATE(2026,6,1)),0)</f>
        <v>4638</v>
      </c>
      <c r="C12" s="91">
        <f>IFERROR(SUMIFS('Daily Issuance'!$O:$O,'Daily Issuance'!$I:$I,$A12,'Daily Issuance'!$E:$E,"Non Inventory",'Daily Issuance'!$B:$B,"&gt;="&amp;DATE(2026,5,1),'Daily Issuance'!$B:$B,"&lt;"&amp;DATE(2026,6,1)),0)</f>
        <v>0</v>
      </c>
      <c r="D12" s="91">
        <f>IFERROR(SUMIFS('Daily Issuance'!$O:$O,'Daily Issuance'!$I:$I,$A12,'Daily Issuance'!$E:$E,"Services",'Daily Issuance'!$B:$B,"&gt;="&amp;DATE(2026,5,1),'Daily Issuance'!$B:$B,"&lt;"&amp;DATE(2026,6,1)),0)</f>
        <v>0</v>
      </c>
      <c r="E12" s="91">
        <f>IFERROR(SUMIFS('Daily Issuance'!$O:$O,'Daily Issuance'!$I:$I,$A12,'Daily Issuance'!$E:$E,"Patty Cash",'Daily Issuance'!$B:$B,"&gt;="&amp;DATE(2026,5,1),'Daily Issuance'!$B:$B,"&lt;"&amp;DATE(2026,6,1)),0)</f>
        <v>0</v>
      </c>
      <c r="F12" s="92">
        <f t="shared" si="1"/>
        <v>4638</v>
      </c>
      <c r="G12" s="93">
        <f>IFERROR(SUMIFS('Daily Issuance'!$O$4:$O$991,'Daily Issuance'!$I$4:$I$991,$A12,'Daily Issuance'!$E$4:$E$991,"Inventory",'Daily Issuance'!$B$4:$B$991,"&gt;="&amp;DATE(2026,6,1),'Daily Issuance'!$B$4:$B$991,"&lt;"&amp;DATE(2026,7,1)),0)</f>
        <v>0</v>
      </c>
      <c r="H12" s="93">
        <f>IFERROR(SUMIFS('Daily Issuance'!$O$4:$O$991,'Daily Issuance'!$I$4:$I$991,$A12,'Daily Issuance'!$E$4:$E$991,"Non Inventory",'Daily Issuance'!$B$4:$B$991,"&gt;="&amp;DATE(2026,6,1),'Daily Issuance'!$B$4:$B$991,"&lt;"&amp;DATE(2026,7,1)),0)</f>
        <v>256</v>
      </c>
      <c r="I12" s="93">
        <f>IFERROR(SUMIFS('Daily Issuance'!$O$4:$O$991,'Daily Issuance'!$I$4:$I$991,$A12,'Daily Issuance'!$E$4:$E$991,"Services",'Daily Issuance'!$B$4:$B$991,"&gt;="&amp;DATE(2026,6,1),'Daily Issuance'!$B$4:$B$991,"&lt;"&amp;DATE(2026,7,1)),0)</f>
        <v>0</v>
      </c>
      <c r="J12" s="93">
        <f>IFERROR(SUMIFS('Daily Issuance'!$O:$O,'Daily Issuance'!$I:$I,$A12,'Daily Issuance'!$E:$E,"Patty Cash",'Daily Issuance'!$B:$B,"&gt;="&amp;DATE(2026,6,1),'Daily Issuance'!$B:$B,"&lt;"&amp;DATE(2026,7,1)),0)</f>
        <v>0</v>
      </c>
      <c r="K12" s="92">
        <f t="shared" si="2"/>
        <v>256</v>
      </c>
      <c r="L12" s="94">
        <f>IFERROR(SUMIFS('Daily Issuance'!$O$4:$O$991,'Daily Issuance'!$I$4:$I$991,$A12,'Daily Issuance'!$E$4:$E$991,"Inventory",'Daily Issuance'!$B$4:$B$991,"&gt;="&amp;DATE(2026,7,1),'Daily Issuance'!$B$4:$B$991,"&lt;"&amp;DATE(2026,8,1)),0)</f>
        <v>0</v>
      </c>
      <c r="M12" s="95">
        <f>IFERROR(SUMIFS('Daily Issuance'!$O$4:$O$991,'Daily Issuance'!$I$4:$I$991,$A12,'Daily Issuance'!$E$4:$E$991,"Non Inventory",'Daily Issuance'!$B$4:$B$991,"&gt;="&amp;DATE(2026,7,1),'Daily Issuance'!$B$4:$B$991,"&lt;"&amp;DATE(2026,8,1)),0)</f>
        <v>0</v>
      </c>
      <c r="N12" s="95">
        <f>IFERROR(SUMIFS('Daily Issuance'!$O$4:$O$991,'Daily Issuance'!$I$4:$I$991,$A12,'Daily Issuance'!$E$4:$E$991,"Services",'Daily Issuance'!$B$4:$B$991,"&gt;="&amp;DATE(2026,7,1),'Daily Issuance'!$B$4:$B$991,"&lt;"&amp;DATE(2026,8,1)),0)</f>
        <v>0</v>
      </c>
      <c r="O12" s="95">
        <f>IFERROR(SUMIFS('Daily Issuance'!$O:$O,'Daily Issuance'!$I:$I,$A12,'Daily Issuance'!$E:$E,"Patty Cash",'Daily Issuance'!$B:$B,"&gt;="&amp;DATE(2026,7,1),'Daily Issuance'!$B:$B,"&lt;"&amp;DATE(2026,8,1)),0)</f>
        <v>0</v>
      </c>
      <c r="P12" s="92">
        <f t="shared" si="3"/>
        <v>0</v>
      </c>
      <c r="Q12" s="85">
        <f>IFERROR(SUMIFS('Daily Issuance'!$O$4:$O$991,'Daily Issuance'!$I$4:$I$991,$A12,'Daily Issuance'!$E$4:$E$991,"Inventory",'Daily Issuance'!$B$4:$B$991,"&gt;="&amp;DATE(2026,8,1),'Daily Issuance'!$B$4:$B$991,"&lt;"&amp;DATE(2026,9,1)),0)</f>
        <v>0</v>
      </c>
      <c r="R12" s="73">
        <f>IFERROR(SUMIFS('Daily Issuance'!$O$4:$O$991,'Daily Issuance'!$I$4:$I$991,$A12,'Daily Issuance'!$E$4:$E$991,"Non Inventory",'Daily Issuance'!$B$4:$B$991,"&gt;="&amp;DATE(2026,8,1),'Daily Issuance'!$B$4:$B$991,"&lt;"&amp;DATE(2026,9,1)),0)</f>
        <v>0</v>
      </c>
      <c r="S12" s="73">
        <f>IFERROR(SUMIFS('Daily Issuance'!$O$4:$O$991,'Daily Issuance'!$I$4:$I$991,$A12,'Daily Issuance'!$E$4:$E$991,"Services",'Daily Issuance'!$B$4:$B$991,"&gt;="&amp;DATE(2026,8,1),'Daily Issuance'!$B$4:$B$991,"&lt;"&amp;DATE(2026,9,1)),0)</f>
        <v>0</v>
      </c>
      <c r="T12" s="73">
        <f>IFERROR(SUMIFS('Daily Issuance'!$O:$O,'Daily Issuance'!$I:$I,$A12,'Daily Issuance'!$E:$E,"Patty Cash",'Daily Issuance'!$B:$B,"&gt;="&amp;DATE(2026,8,1),'Daily Issuance'!$B:$B,"&lt;"&amp;DATE(2026,9,1)),0)</f>
        <v>0</v>
      </c>
      <c r="U12" s="68">
        <f t="shared" si="4"/>
        <v>0</v>
      </c>
      <c r="V12" s="67">
        <f>IFERROR(SUMIFS('Daily Issuance'!$O$4:$O$991,'Daily Issuance'!$I$4:$I$991,$A12,'Daily Issuance'!$E$4:$E$991,"Inventory",'Daily Issuance'!$B$4:$B$991,"&gt;="&amp;DATE(2026,9,1),'Daily Issuance'!$B$4:$B$991,"&lt;"&amp;DATE(2026,10,1)),0)</f>
        <v>0</v>
      </c>
      <c r="W12" s="67">
        <f>IFERROR(SUMIFS('Daily Issuance'!$O$4:$O$991,'Daily Issuance'!$I$4:$I$991,$A12,'Daily Issuance'!$E$4:$E$991,"Non Inventory",'Daily Issuance'!$B$4:$B$991,"&gt;="&amp;DATE(2026,9,1),'Daily Issuance'!$B$4:$B$991,"&lt;"&amp;DATE(2026,10,1)),0)</f>
        <v>0</v>
      </c>
      <c r="X12" s="67">
        <f>IFERROR(SUMIFS('Daily Issuance'!$O$4:$O$991,'Daily Issuance'!$I$4:$I$991,$A12,'Daily Issuance'!$E$4:$E$991,"Services",'Daily Issuance'!$B$4:$B$991,"&gt;="&amp;DATE(2026,9,1),'Daily Issuance'!$B$4:$B$991,"&lt;"&amp;DATE(2026,10,1)),0)</f>
        <v>0</v>
      </c>
      <c r="Y12" s="67">
        <f>IFERROR(SUMIFS('Daily Issuance'!$O:$O,'Daily Issuance'!$I:$I,$A12,'Daily Issuance'!$E:$E,"Patty Cash",'Daily Issuance'!$B:$B,"&gt;="&amp;DATE(2026,9,1),'Daily Issuance'!$B:$B,"&lt;"&amp;DATE(2026,10,1)),0)</f>
        <v>0</v>
      </c>
      <c r="Z12" s="68">
        <f t="shared" si="5"/>
        <v>0</v>
      </c>
      <c r="AA12" s="73">
        <f>IFERROR(SUMIFS('Daily Issuance'!$O$4:$O$991,'Daily Issuance'!$I$4:$I$991,$A12,'Daily Issuance'!$E$4:$E$991,"Inventory",'Daily Issuance'!$B$4:$B$991,"&gt;="&amp;DATE(2026,10,1),'Daily Issuance'!$B$4:$B$991,"&lt;"&amp;DATE(2026,11,1)),0)</f>
        <v>0</v>
      </c>
      <c r="AB12" s="73">
        <f>IFERROR(SUMIFS('Daily Issuance'!$O$4:$O$991,'Daily Issuance'!$I$4:$I$991,$A12,'Daily Issuance'!$E$4:$E$991,"Non Inventory",'Daily Issuance'!$B$4:$B$991,"&gt;="&amp;DATE(2026,10,1),'Daily Issuance'!$B$4:$B$991,"&lt;"&amp;DATE(2026,11,1)),0)</f>
        <v>0</v>
      </c>
      <c r="AC12" s="73">
        <f>IFERROR(SUMIFS('Daily Issuance'!$O$4:$O$991,'Daily Issuance'!$I$4:$I$991,$A12,'Daily Issuance'!$E$4:$E$991,"Services",'Daily Issuance'!$B$4:$B$991,"&gt;="&amp;DATE(2026,10,1),'Daily Issuance'!$B$4:$B$991,"&lt;"&amp;DATE(2026,11,1)),0)</f>
        <v>0</v>
      </c>
      <c r="AD12" s="73">
        <f>IFERROR(SUMIFS('Daily Issuance'!$O:$O,'Daily Issuance'!$I:$I,$A12,'Daily Issuance'!$E:$E,"Patty Cash",'Daily Issuance'!$B:$B,"&gt;="&amp;DATE(2026,10,1),'Daily Issuance'!$B:$B,"&lt;"&amp;DATE(2026,11,1)),0)</f>
        <v>0</v>
      </c>
      <c r="AE12" s="68">
        <f t="shared" si="6"/>
        <v>0</v>
      </c>
      <c r="AF12" s="67">
        <f>IFERROR(SUMIFS('Daily Issuance'!$O$4:$O$991,'Daily Issuance'!$I$4:$I$991,$A12,'Daily Issuance'!$E$4:$E$991,"Inventory",'Daily Issuance'!$B$4:$B$991,"&gt;="&amp;DATE(2026,11,1),'Daily Issuance'!$B$4:$B$991,"&lt;"&amp;DATE(2026,12,1)),0)</f>
        <v>0</v>
      </c>
      <c r="AG12" s="67">
        <f>IFERROR(SUMIFS('Daily Issuance'!$O$4:$O$991,'Daily Issuance'!$I$4:$I$991,$A12,'Daily Issuance'!$E$4:$E$991,"Non Inventory",'Daily Issuance'!$B$4:$B$991,"&gt;="&amp;DATE(2026,11,1),'Daily Issuance'!$B$4:$B$991,"&lt;"&amp;DATE(2026,12,1)),0)</f>
        <v>0</v>
      </c>
      <c r="AH12" s="67">
        <f>IFERROR(SUMIFS('Daily Issuance'!$O$4:$O$991,'Daily Issuance'!$I$4:$I$991,$A12,'Daily Issuance'!$E$4:$E$991,"Services",'Daily Issuance'!$B$4:$B$991,"&gt;="&amp;DATE(2026,11,1),'Daily Issuance'!$B$4:$B$991,"&lt;"&amp;DATE(2026,12,1)),0)</f>
        <v>0</v>
      </c>
      <c r="AI12" s="67">
        <f>IFERROR(SUMIFS('Daily Issuance'!$O:$O,'Daily Issuance'!$I:$I,$A12,'Daily Issuance'!$E:$E,"Patty Cash",'Daily Issuance'!$B:$B,"&gt;="&amp;DATE(2026,11,1),'Daily Issuance'!$B:$B,"&lt;"&amp;DATE(2026,12,1)),0)</f>
        <v>0</v>
      </c>
      <c r="AJ12" s="68">
        <f t="shared" si="7"/>
        <v>0</v>
      </c>
      <c r="AK12" s="73">
        <f>IFERROR(SUMIFS('Daily Issuance'!$O$4:$O$991,'Daily Issuance'!$I$4:$I$991,$A12,'Daily Issuance'!$E$4:$E$991,"Inventory",'Daily Issuance'!$B$4:$B$991,"&gt;="&amp;DATE(2026,12,1),'Daily Issuance'!$B$4:$B$991,"&lt;"&amp;DATE(2027,1,1)),0)</f>
        <v>0</v>
      </c>
      <c r="AL12" s="73">
        <f>IFERROR(SUMIFS('Daily Issuance'!$O$4:$O$991,'Daily Issuance'!$I$4:$I$991,$A12,'Daily Issuance'!$E$4:$E$991,"Non Inventory",'Daily Issuance'!$B$4:$B$991,"&gt;="&amp;DATE(2026,12,1),'Daily Issuance'!$B$4:$B$991,"&lt;"&amp;DATE(2027,1,1)),0)</f>
        <v>0</v>
      </c>
      <c r="AM12" s="73">
        <f>IFERROR(SUMIFS('Daily Issuance'!$O$4:$O$991,'Daily Issuance'!$I$4:$I$991,$A12,'Daily Issuance'!$E$4:$E$991,"Services",'Daily Issuance'!$B$4:$B$991,"&gt;="&amp;DATE(2026,12,1),'Daily Issuance'!$B$4:$B$991,"&lt;"&amp;DATE(2027,1,1)),0)</f>
        <v>0</v>
      </c>
      <c r="AN12" s="73">
        <f>IFERROR(SUMIFS('Daily Issuance'!$O:$O,'Daily Issuance'!$I:$I,$A12,'Daily Issuance'!$E:$E,"Patty Cash",'Daily Issuance'!$B:$B,"&gt;="&amp;DATE(2026,12,1),'Daily Issuance'!$B:$B,"&lt;"&amp;DATE(2027,1,1)),0)</f>
        <v>0</v>
      </c>
      <c r="AO12" s="68">
        <f t="shared" si="8"/>
        <v>0</v>
      </c>
      <c r="AP12" s="78">
        <f t="shared" si="0"/>
        <v>4894</v>
      </c>
    </row>
    <row r="13" spans="1:42" ht="21" customHeight="1">
      <c r="A13" s="96" t="s">
        <v>47</v>
      </c>
      <c r="B13" s="97">
        <f>IFERROR(SUMIFS('Daily Issuance'!$O:$O,'Daily Issuance'!$I:$I,$A13,'Daily Issuance'!$E:$E,"Inventory",'Daily Issuance'!$B:$B,"&gt;="&amp;DATE(2026,5,1),'Daily Issuance'!$B:$B,"&lt;"&amp;DATE(2026,6,1)),0)</f>
        <v>16275</v>
      </c>
      <c r="C13" s="97">
        <f>IFERROR(SUMIFS('Daily Issuance'!$O:$O,'Daily Issuance'!$I:$I,$A13,'Daily Issuance'!$E:$E,"Non Inventory",'Daily Issuance'!$B:$B,"&gt;="&amp;DATE(2026,5,1),'Daily Issuance'!$B:$B,"&lt;"&amp;DATE(2026,6,1)),0)</f>
        <v>256</v>
      </c>
      <c r="D13" s="97">
        <f>IFERROR(SUMIFS('Daily Issuance'!$O:$O,'Daily Issuance'!$I:$I,$A13,'Daily Issuance'!$E:$E,"Services",'Daily Issuance'!$B:$B,"&gt;="&amp;DATE(2026,5,1),'Daily Issuance'!$B:$B,"&lt;"&amp;DATE(2026,6,1)),0)</f>
        <v>0</v>
      </c>
      <c r="E13" s="97">
        <f>IFERROR(SUMIFS('Daily Issuance'!$O:$O,'Daily Issuance'!$I:$I,$A13,'Daily Issuance'!$E:$E,"Patty Cash",'Daily Issuance'!$B:$B,"&gt;="&amp;DATE(2026,5,1),'Daily Issuance'!$B:$B,"&lt;"&amp;DATE(2026,6,1)),0)</f>
        <v>0</v>
      </c>
      <c r="F13" s="98">
        <f t="shared" si="1"/>
        <v>16531</v>
      </c>
      <c r="G13" s="99">
        <f>IFERROR(SUMIFS('Daily Issuance'!$O$4:$O$991,'Daily Issuance'!$I$4:$I$991,$A13,'Daily Issuance'!$E$4:$E$991,"Inventory",'Daily Issuance'!$B$4:$B$991,"&gt;="&amp;DATE(2026,6,1),'Daily Issuance'!$B$4:$B$991,"&lt;"&amp;DATE(2026,7,1)),0)</f>
        <v>10758</v>
      </c>
      <c r="H13" s="99">
        <f>IFERROR(SUMIFS('Daily Issuance'!$O$4:$O$991,'Daily Issuance'!$I$4:$I$991,$A13,'Daily Issuance'!$E$4:$E$991,"Non Inventory",'Daily Issuance'!$B$4:$B$991,"&gt;="&amp;DATE(2026,6,1),'Daily Issuance'!$B$4:$B$991,"&lt;"&amp;DATE(2026,7,1)),0)</f>
        <v>256</v>
      </c>
      <c r="I13" s="99">
        <f>IFERROR(SUMIFS('Daily Issuance'!$O$4:$O$991,'Daily Issuance'!$I$4:$I$991,$A13,'Daily Issuance'!$E$4:$E$991,"Services",'Daily Issuance'!$B$4:$B$991,"&gt;="&amp;DATE(2026,6,1),'Daily Issuance'!$B$4:$B$991,"&lt;"&amp;DATE(2026,7,1)),0)</f>
        <v>0</v>
      </c>
      <c r="J13" s="99">
        <f>IFERROR(SUMIFS('Daily Issuance'!$O:$O,'Daily Issuance'!$I:$I,$A13,'Daily Issuance'!$E:$E,"Patty Cash",'Daily Issuance'!$B:$B,"&gt;="&amp;DATE(2026,6,1),'Daily Issuance'!$B:$B,"&lt;"&amp;DATE(2026,7,1)),0)</f>
        <v>0</v>
      </c>
      <c r="K13" s="98">
        <f t="shared" si="2"/>
        <v>11014</v>
      </c>
      <c r="L13" s="100">
        <f>IFERROR(SUMIFS('Daily Issuance'!$O$4:$O$991,'Daily Issuance'!$I$4:$I$991,$A13,'Daily Issuance'!$E$4:$E$991,"Inventory",'Daily Issuance'!$B$4:$B$991,"&gt;="&amp;DATE(2026,7,1),'Daily Issuance'!$B$4:$B$991,"&lt;"&amp;DATE(2026,8,1)),0)</f>
        <v>0</v>
      </c>
      <c r="M13" s="101">
        <f>IFERROR(SUMIFS('Daily Issuance'!$O$4:$O$991,'Daily Issuance'!$I$4:$I$991,$A13,'Daily Issuance'!$E$4:$E$991,"Non Inventory",'Daily Issuance'!$B$4:$B$991,"&gt;="&amp;DATE(2026,7,1),'Daily Issuance'!$B$4:$B$991,"&lt;"&amp;DATE(2026,8,1)),0)</f>
        <v>0</v>
      </c>
      <c r="N13" s="101">
        <f>IFERROR(SUMIFS('Daily Issuance'!$O$4:$O$991,'Daily Issuance'!$I$4:$I$991,$A13,'Daily Issuance'!$E$4:$E$991,"Services",'Daily Issuance'!$B$4:$B$991,"&gt;="&amp;DATE(2026,7,1),'Daily Issuance'!$B$4:$B$991,"&lt;"&amp;DATE(2026,8,1)),0)</f>
        <v>0</v>
      </c>
      <c r="O13" s="101">
        <f>IFERROR(SUMIFS('Daily Issuance'!$O:$O,'Daily Issuance'!$I:$I,$A13,'Daily Issuance'!$E:$E,"Patty Cash",'Daily Issuance'!$B:$B,"&gt;="&amp;DATE(2026,7,1),'Daily Issuance'!$B:$B,"&lt;"&amp;DATE(2026,8,1)),0)</f>
        <v>0</v>
      </c>
      <c r="P13" s="98">
        <f t="shared" si="3"/>
        <v>0</v>
      </c>
      <c r="Q13" s="102">
        <f>IFERROR(SUMIFS('Daily Issuance'!$O$4:$O$991,'Daily Issuance'!$I$4:$I$991,$A13,'Daily Issuance'!$E$4:$E$991,"Inventory",'Daily Issuance'!$B$4:$B$991,"&gt;="&amp;DATE(2026,8,1),'Daily Issuance'!$B$4:$B$991,"&lt;"&amp;DATE(2026,9,1)),0)</f>
        <v>0</v>
      </c>
      <c r="R13" s="74">
        <f>IFERROR(SUMIFS('Daily Issuance'!$O$4:$O$991,'Daily Issuance'!$I$4:$I$991,$A13,'Daily Issuance'!$E$4:$E$991,"Non Inventory",'Daily Issuance'!$B$4:$B$991,"&gt;="&amp;DATE(2026,8,1),'Daily Issuance'!$B$4:$B$991,"&lt;"&amp;DATE(2026,9,1)),0)</f>
        <v>0</v>
      </c>
      <c r="S13" s="74">
        <f>IFERROR(SUMIFS('Daily Issuance'!$O$4:$O$991,'Daily Issuance'!$I$4:$I$991,$A13,'Daily Issuance'!$E$4:$E$991,"Services",'Daily Issuance'!$B$4:$B$991,"&gt;="&amp;DATE(2026,8,1),'Daily Issuance'!$B$4:$B$991,"&lt;"&amp;DATE(2026,9,1)),0)</f>
        <v>0</v>
      </c>
      <c r="T13" s="74">
        <f>IFERROR(SUMIFS('Daily Issuance'!$O:$O,'Daily Issuance'!$I:$I,$A13,'Daily Issuance'!$E:$E,"Patty Cash",'Daily Issuance'!$B:$B,"&gt;="&amp;DATE(2026,8,1),'Daily Issuance'!$B:$B,"&lt;"&amp;DATE(2026,9,1)),0)</f>
        <v>0</v>
      </c>
      <c r="U13" s="70">
        <f t="shared" si="4"/>
        <v>0</v>
      </c>
      <c r="V13" s="69">
        <f>IFERROR(SUMIFS('Daily Issuance'!$O$4:$O$991,'Daily Issuance'!$I$4:$I$991,$A13,'Daily Issuance'!$E$4:$E$991,"Inventory",'Daily Issuance'!$B$4:$B$991,"&gt;="&amp;DATE(2026,9,1),'Daily Issuance'!$B$4:$B$991,"&lt;"&amp;DATE(2026,10,1)),0)</f>
        <v>0</v>
      </c>
      <c r="W13" s="69">
        <f>IFERROR(SUMIFS('Daily Issuance'!$O$4:$O$991,'Daily Issuance'!$I$4:$I$991,$A13,'Daily Issuance'!$E$4:$E$991,"Non Inventory",'Daily Issuance'!$B$4:$B$991,"&gt;="&amp;DATE(2026,9,1),'Daily Issuance'!$B$4:$B$991,"&lt;"&amp;DATE(2026,10,1)),0)</f>
        <v>0</v>
      </c>
      <c r="X13" s="69">
        <f>IFERROR(SUMIFS('Daily Issuance'!$O$4:$O$991,'Daily Issuance'!$I$4:$I$991,$A13,'Daily Issuance'!$E$4:$E$991,"Services",'Daily Issuance'!$B$4:$B$991,"&gt;="&amp;DATE(2026,9,1),'Daily Issuance'!$B$4:$B$991,"&lt;"&amp;DATE(2026,10,1)),0)</f>
        <v>0</v>
      </c>
      <c r="Y13" s="69">
        <f>IFERROR(SUMIFS('Daily Issuance'!$O:$O,'Daily Issuance'!$I:$I,$A13,'Daily Issuance'!$E:$E,"Patty Cash",'Daily Issuance'!$B:$B,"&gt;="&amp;DATE(2026,9,1),'Daily Issuance'!$B:$B,"&lt;"&amp;DATE(2026,10,1)),0)</f>
        <v>0</v>
      </c>
      <c r="Z13" s="70">
        <f t="shared" si="5"/>
        <v>0</v>
      </c>
      <c r="AA13" s="74">
        <f>IFERROR(SUMIFS('Daily Issuance'!$O$4:$O$991,'Daily Issuance'!$I$4:$I$991,$A13,'Daily Issuance'!$E$4:$E$991,"Inventory",'Daily Issuance'!$B$4:$B$991,"&gt;="&amp;DATE(2026,10,1),'Daily Issuance'!$B$4:$B$991,"&lt;"&amp;DATE(2026,11,1)),0)</f>
        <v>0</v>
      </c>
      <c r="AB13" s="74">
        <f>IFERROR(SUMIFS('Daily Issuance'!$O$4:$O$991,'Daily Issuance'!$I$4:$I$991,$A13,'Daily Issuance'!$E$4:$E$991,"Non Inventory",'Daily Issuance'!$B$4:$B$991,"&gt;="&amp;DATE(2026,10,1),'Daily Issuance'!$B$4:$B$991,"&lt;"&amp;DATE(2026,11,1)),0)</f>
        <v>0</v>
      </c>
      <c r="AC13" s="74">
        <f>IFERROR(SUMIFS('Daily Issuance'!$O$4:$O$991,'Daily Issuance'!$I$4:$I$991,$A13,'Daily Issuance'!$E$4:$E$991,"Services",'Daily Issuance'!$B$4:$B$991,"&gt;="&amp;DATE(2026,10,1),'Daily Issuance'!$B$4:$B$991,"&lt;"&amp;DATE(2026,11,1)),0)</f>
        <v>0</v>
      </c>
      <c r="AD13" s="74">
        <f>IFERROR(SUMIFS('Daily Issuance'!$O:$O,'Daily Issuance'!$I:$I,$A13,'Daily Issuance'!$E:$E,"Patty Cash",'Daily Issuance'!$B:$B,"&gt;="&amp;DATE(2026,10,1),'Daily Issuance'!$B:$B,"&lt;"&amp;DATE(2026,11,1)),0)</f>
        <v>0</v>
      </c>
      <c r="AE13" s="70">
        <f t="shared" si="6"/>
        <v>0</v>
      </c>
      <c r="AF13" s="69">
        <f>IFERROR(SUMIFS('Daily Issuance'!$O$4:$O$991,'Daily Issuance'!$I$4:$I$991,$A13,'Daily Issuance'!$E$4:$E$991,"Inventory",'Daily Issuance'!$B$4:$B$991,"&gt;="&amp;DATE(2026,11,1),'Daily Issuance'!$B$4:$B$991,"&lt;"&amp;DATE(2026,12,1)),0)</f>
        <v>0</v>
      </c>
      <c r="AG13" s="69">
        <f>IFERROR(SUMIFS('Daily Issuance'!$O$4:$O$991,'Daily Issuance'!$I$4:$I$991,$A13,'Daily Issuance'!$E$4:$E$991,"Non Inventory",'Daily Issuance'!$B$4:$B$991,"&gt;="&amp;DATE(2026,11,1),'Daily Issuance'!$B$4:$B$991,"&lt;"&amp;DATE(2026,12,1)),0)</f>
        <v>0</v>
      </c>
      <c r="AH13" s="69">
        <f>IFERROR(SUMIFS('Daily Issuance'!$O$4:$O$991,'Daily Issuance'!$I$4:$I$991,$A13,'Daily Issuance'!$E$4:$E$991,"Services",'Daily Issuance'!$B$4:$B$991,"&gt;="&amp;DATE(2026,11,1),'Daily Issuance'!$B$4:$B$991,"&lt;"&amp;DATE(2026,12,1)),0)</f>
        <v>0</v>
      </c>
      <c r="AI13" s="69">
        <f>IFERROR(SUMIFS('Daily Issuance'!$O:$O,'Daily Issuance'!$I:$I,$A13,'Daily Issuance'!$E:$E,"Patty Cash",'Daily Issuance'!$B:$B,"&gt;="&amp;DATE(2026,11,1),'Daily Issuance'!$B:$B,"&lt;"&amp;DATE(2026,12,1)),0)</f>
        <v>0</v>
      </c>
      <c r="AJ13" s="70">
        <f t="shared" si="7"/>
        <v>0</v>
      </c>
      <c r="AK13" s="74">
        <f>IFERROR(SUMIFS('Daily Issuance'!$O$4:$O$991,'Daily Issuance'!$I$4:$I$991,$A13,'Daily Issuance'!$E$4:$E$991,"Inventory",'Daily Issuance'!$B$4:$B$991,"&gt;="&amp;DATE(2026,12,1),'Daily Issuance'!$B$4:$B$991,"&lt;"&amp;DATE(2027,1,1)),0)</f>
        <v>0</v>
      </c>
      <c r="AL13" s="74">
        <f>IFERROR(SUMIFS('Daily Issuance'!$O$4:$O$991,'Daily Issuance'!$I$4:$I$991,$A13,'Daily Issuance'!$E$4:$E$991,"Non Inventory",'Daily Issuance'!$B$4:$B$991,"&gt;="&amp;DATE(2026,12,1),'Daily Issuance'!$B$4:$B$991,"&lt;"&amp;DATE(2027,1,1)),0)</f>
        <v>0</v>
      </c>
      <c r="AM13" s="74">
        <f>IFERROR(SUMIFS('Daily Issuance'!$O$4:$O$991,'Daily Issuance'!$I$4:$I$991,$A13,'Daily Issuance'!$E$4:$E$991,"Services",'Daily Issuance'!$B$4:$B$991,"&gt;="&amp;DATE(2026,12,1),'Daily Issuance'!$B$4:$B$991,"&lt;"&amp;DATE(2027,1,1)),0)</f>
        <v>0</v>
      </c>
      <c r="AN13" s="74">
        <f>IFERROR(SUMIFS('Daily Issuance'!$O:$O,'Daily Issuance'!$I:$I,$A13,'Daily Issuance'!$E:$E,"Patty Cash",'Daily Issuance'!$B:$B,"&gt;="&amp;DATE(2026,12,1),'Daily Issuance'!$B:$B,"&lt;"&amp;DATE(2027,1,1)),0)</f>
        <v>0</v>
      </c>
      <c r="AO13" s="70">
        <f t="shared" si="8"/>
        <v>0</v>
      </c>
      <c r="AP13" s="79">
        <f t="shared" si="0"/>
        <v>27545</v>
      </c>
    </row>
    <row r="14" spans="1:42" ht="21" customHeight="1">
      <c r="A14" s="90" t="s">
        <v>48</v>
      </c>
      <c r="B14" s="91">
        <f>IFERROR(SUMIFS('Daily Issuance'!$O:$O,'Daily Issuance'!$I:$I,$A14,'Daily Issuance'!$E:$E,"Inventory",'Daily Issuance'!$B:$B,"&gt;="&amp;DATE(2026,5,1),'Daily Issuance'!$B:$B,"&lt;"&amp;DATE(2026,6,1)),0)</f>
        <v>23500</v>
      </c>
      <c r="C14" s="91">
        <f>IFERROR(SUMIFS('Daily Issuance'!$O:$O,'Daily Issuance'!$I:$I,$A14,'Daily Issuance'!$E:$E,"Non Inventory",'Daily Issuance'!$B:$B,"&gt;="&amp;DATE(2026,5,1),'Daily Issuance'!$B:$B,"&lt;"&amp;DATE(2026,6,1)),0)</f>
        <v>1200</v>
      </c>
      <c r="D14" s="91">
        <f>IFERROR(SUMIFS('Daily Issuance'!$O:$O,'Daily Issuance'!$I:$I,$A14,'Daily Issuance'!$E:$E,"Services",'Daily Issuance'!$B:$B,"&gt;="&amp;DATE(2026,5,1),'Daily Issuance'!$B:$B,"&lt;"&amp;DATE(2026,6,1)),0)</f>
        <v>0</v>
      </c>
      <c r="E14" s="91">
        <f>IFERROR(SUMIFS('Daily Issuance'!$O:$O,'Daily Issuance'!$I:$I,$A14,'Daily Issuance'!$E:$E,"Patty Cash",'Daily Issuance'!$B:$B,"&gt;="&amp;DATE(2026,5,1),'Daily Issuance'!$B:$B,"&lt;"&amp;DATE(2026,6,1)),0)</f>
        <v>0</v>
      </c>
      <c r="F14" s="92">
        <f t="shared" si="1"/>
        <v>24700</v>
      </c>
      <c r="G14" s="93">
        <f>IFERROR(SUMIFS('Daily Issuance'!$O$4:$O$991,'Daily Issuance'!$I$4:$I$991,$A14,'Daily Issuance'!$E$4:$E$991,"Inventory",'Daily Issuance'!$B$4:$B$991,"&gt;="&amp;DATE(2026,6,1),'Daily Issuance'!$B$4:$B$991,"&lt;"&amp;DATE(2026,7,1)),0)</f>
        <v>9000</v>
      </c>
      <c r="H14" s="93">
        <f>IFERROR(SUMIFS('Daily Issuance'!$O$4:$O$991,'Daily Issuance'!$I$4:$I$991,$A14,'Daily Issuance'!$E$4:$E$991,"Non Inventory",'Daily Issuance'!$B$4:$B$991,"&gt;="&amp;DATE(2026,6,1),'Daily Issuance'!$B$4:$B$991,"&lt;"&amp;DATE(2026,7,1)),0)</f>
        <v>1024</v>
      </c>
      <c r="I14" s="93">
        <f>IFERROR(SUMIFS('Daily Issuance'!$O$4:$O$991,'Daily Issuance'!$I$4:$I$991,$A14,'Daily Issuance'!$E$4:$E$991,"Services",'Daily Issuance'!$B$4:$B$991,"&gt;="&amp;DATE(2026,6,1),'Daily Issuance'!$B$4:$B$991,"&lt;"&amp;DATE(2026,7,1)),0)</f>
        <v>0</v>
      </c>
      <c r="J14" s="93">
        <f>IFERROR(SUMIFS('Daily Issuance'!$O:$O,'Daily Issuance'!$I:$I,$A14,'Daily Issuance'!$E:$E,"Patty Cash",'Daily Issuance'!$B:$B,"&gt;="&amp;DATE(2026,6,1),'Daily Issuance'!$B:$B,"&lt;"&amp;DATE(2026,7,1)),0)</f>
        <v>0</v>
      </c>
      <c r="K14" s="92">
        <f t="shared" si="2"/>
        <v>10024</v>
      </c>
      <c r="L14" s="94">
        <f>IFERROR(SUMIFS('Daily Issuance'!$O$4:$O$991,'Daily Issuance'!$I$4:$I$991,$A14,'Daily Issuance'!$E$4:$E$991,"Inventory",'Daily Issuance'!$B$4:$B$991,"&gt;="&amp;DATE(2026,7,1),'Daily Issuance'!$B$4:$B$991,"&lt;"&amp;DATE(2026,8,1)),0)</f>
        <v>0</v>
      </c>
      <c r="M14" s="95">
        <f>IFERROR(SUMIFS('Daily Issuance'!$O$4:$O$991,'Daily Issuance'!$I$4:$I$991,$A14,'Daily Issuance'!$E$4:$E$991,"Non Inventory",'Daily Issuance'!$B$4:$B$991,"&gt;="&amp;DATE(2026,7,1),'Daily Issuance'!$B$4:$B$991,"&lt;"&amp;DATE(2026,8,1)),0)</f>
        <v>0</v>
      </c>
      <c r="N14" s="95">
        <f>IFERROR(SUMIFS('Daily Issuance'!$O$4:$O$991,'Daily Issuance'!$I$4:$I$991,$A14,'Daily Issuance'!$E$4:$E$991,"Services",'Daily Issuance'!$B$4:$B$991,"&gt;="&amp;DATE(2026,7,1),'Daily Issuance'!$B$4:$B$991,"&lt;"&amp;DATE(2026,8,1)),0)</f>
        <v>0</v>
      </c>
      <c r="O14" s="95">
        <f>IFERROR(SUMIFS('Daily Issuance'!$O:$O,'Daily Issuance'!$I:$I,$A14,'Daily Issuance'!$E:$E,"Patty Cash",'Daily Issuance'!$B:$B,"&gt;="&amp;DATE(2026,7,1),'Daily Issuance'!$B:$B,"&lt;"&amp;DATE(2026,8,1)),0)</f>
        <v>0</v>
      </c>
      <c r="P14" s="92">
        <f t="shared" si="3"/>
        <v>0</v>
      </c>
      <c r="Q14" s="93">
        <f>IFERROR(SUMIFS('Daily Issuance'!$O$4:$O$991,'Daily Issuance'!$I$4:$I$991,$A14,'Daily Issuance'!$E$4:$E$991,"Inventory",'Daily Issuance'!$B$4:$B$991,"&gt;="&amp;DATE(2026,8,1),'Daily Issuance'!$B$4:$B$991,"&lt;"&amp;DATE(2026,9,1)),0)</f>
        <v>0</v>
      </c>
      <c r="R14" s="93">
        <f>IFERROR(SUMIFS('Daily Issuance'!$O$4:$O$991,'Daily Issuance'!$I$4:$I$991,$A14,'Daily Issuance'!$E$4:$E$991,"Non Inventory",'Daily Issuance'!$B$4:$B$991,"&gt;="&amp;DATE(2026,8,1),'Daily Issuance'!$B$4:$B$991,"&lt;"&amp;DATE(2026,9,1)),0)</f>
        <v>0</v>
      </c>
      <c r="S14" s="93">
        <f>IFERROR(SUMIFS('Daily Issuance'!$O$4:$O$991,'Daily Issuance'!$I$4:$I$991,$A14,'Daily Issuance'!$E$4:$E$991,"Services",'Daily Issuance'!$B$4:$B$991,"&gt;="&amp;DATE(2026,8,1),'Daily Issuance'!$B$4:$B$991,"&lt;"&amp;DATE(2026,9,1)),0)</f>
        <v>0</v>
      </c>
      <c r="T14" s="93">
        <f>IFERROR(SUMIFS('Daily Issuance'!$O:$O,'Daily Issuance'!$I:$I,$A14,'Daily Issuance'!$E:$E,"Patty Cash",'Daily Issuance'!$B:$B,"&gt;="&amp;DATE(2026,8,1),'Daily Issuance'!$B:$B,"&lt;"&amp;DATE(2026,9,1)),0)</f>
        <v>0</v>
      </c>
      <c r="U14" s="92">
        <f t="shared" si="4"/>
        <v>0</v>
      </c>
      <c r="V14" s="95">
        <f>IFERROR(SUMIFS('Daily Issuance'!$O$4:$O$991,'Daily Issuance'!$I$4:$I$991,$A14,'Daily Issuance'!$E$4:$E$991,"Inventory",'Daily Issuance'!$B$4:$B$991,"&gt;="&amp;DATE(2026,9,1),'Daily Issuance'!$B$4:$B$991,"&lt;"&amp;DATE(2026,10,1)),0)</f>
        <v>0</v>
      </c>
      <c r="W14" s="95">
        <f>IFERROR(SUMIFS('Daily Issuance'!$O$4:$O$991,'Daily Issuance'!$I$4:$I$991,$A14,'Daily Issuance'!$E$4:$E$991,"Non Inventory",'Daily Issuance'!$B$4:$B$991,"&gt;="&amp;DATE(2026,9,1),'Daily Issuance'!$B$4:$B$991,"&lt;"&amp;DATE(2026,10,1)),0)</f>
        <v>0</v>
      </c>
      <c r="X14" s="95">
        <f>IFERROR(SUMIFS('Daily Issuance'!$O$4:$O$991,'Daily Issuance'!$I$4:$I$991,$A14,'Daily Issuance'!$E$4:$E$991,"Services",'Daily Issuance'!$B$4:$B$991,"&gt;="&amp;DATE(2026,9,1),'Daily Issuance'!$B$4:$B$991,"&lt;"&amp;DATE(2026,10,1)),0)</f>
        <v>0</v>
      </c>
      <c r="Y14" s="95">
        <f>IFERROR(SUMIFS('Daily Issuance'!$O:$O,'Daily Issuance'!$I:$I,$A14,'Daily Issuance'!$E:$E,"Patty Cash",'Daily Issuance'!$B:$B,"&gt;="&amp;DATE(2026,9,1),'Daily Issuance'!$B:$B,"&lt;"&amp;DATE(2026,10,1)),0)</f>
        <v>0</v>
      </c>
      <c r="Z14" s="92">
        <f t="shared" si="5"/>
        <v>0</v>
      </c>
      <c r="AA14" s="93">
        <f>IFERROR(SUMIFS('Daily Issuance'!$O$4:$O$991,'Daily Issuance'!$I$4:$I$991,$A14,'Daily Issuance'!$E$4:$E$991,"Inventory",'Daily Issuance'!$B$4:$B$991,"&gt;="&amp;DATE(2026,10,1),'Daily Issuance'!$B$4:$B$991,"&lt;"&amp;DATE(2026,11,1)),0)</f>
        <v>0</v>
      </c>
      <c r="AB14" s="93">
        <f>IFERROR(SUMIFS('Daily Issuance'!$O$4:$O$991,'Daily Issuance'!$I$4:$I$991,$A14,'Daily Issuance'!$E$4:$E$991,"Non Inventory",'Daily Issuance'!$B$4:$B$991,"&gt;="&amp;DATE(2026,10,1),'Daily Issuance'!$B$4:$B$991,"&lt;"&amp;DATE(2026,11,1)),0)</f>
        <v>0</v>
      </c>
      <c r="AC14" s="93">
        <f>IFERROR(SUMIFS('Daily Issuance'!$O$4:$O$991,'Daily Issuance'!$I$4:$I$991,$A14,'Daily Issuance'!$E$4:$E$991,"Services",'Daily Issuance'!$B$4:$B$991,"&gt;="&amp;DATE(2026,10,1),'Daily Issuance'!$B$4:$B$991,"&lt;"&amp;DATE(2026,11,1)),0)</f>
        <v>0</v>
      </c>
      <c r="AD14" s="93">
        <f>IFERROR(SUMIFS('Daily Issuance'!$O:$O,'Daily Issuance'!$I:$I,$A14,'Daily Issuance'!$E:$E,"Patty Cash",'Daily Issuance'!$B:$B,"&gt;="&amp;DATE(2026,10,1),'Daily Issuance'!$B:$B,"&lt;"&amp;DATE(2026,11,1)),0)</f>
        <v>0</v>
      </c>
      <c r="AE14" s="92">
        <f t="shared" si="6"/>
        <v>0</v>
      </c>
      <c r="AF14" s="95">
        <f>IFERROR(SUMIFS('Daily Issuance'!$O$4:$O$991,'Daily Issuance'!$I$4:$I$991,$A14,'Daily Issuance'!$E$4:$E$991,"Inventory",'Daily Issuance'!$B$4:$B$991,"&gt;="&amp;DATE(2026,11,1),'Daily Issuance'!$B$4:$B$991,"&lt;"&amp;DATE(2026,12,1)),0)</f>
        <v>0</v>
      </c>
      <c r="AG14" s="95">
        <f>IFERROR(SUMIFS('Daily Issuance'!$O$4:$O$991,'Daily Issuance'!$I$4:$I$991,$A14,'Daily Issuance'!$E$4:$E$991,"Non Inventory",'Daily Issuance'!$B$4:$B$991,"&gt;="&amp;DATE(2026,11,1),'Daily Issuance'!$B$4:$B$991,"&lt;"&amp;DATE(2026,12,1)),0)</f>
        <v>0</v>
      </c>
      <c r="AH14" s="95">
        <f>IFERROR(SUMIFS('Daily Issuance'!$O$4:$O$991,'Daily Issuance'!$I$4:$I$991,$A14,'Daily Issuance'!$E$4:$E$991,"Services",'Daily Issuance'!$B$4:$B$991,"&gt;="&amp;DATE(2026,11,1),'Daily Issuance'!$B$4:$B$991,"&lt;"&amp;DATE(2026,12,1)),0)</f>
        <v>0</v>
      </c>
      <c r="AI14" s="95">
        <f>IFERROR(SUMIFS('Daily Issuance'!$O:$O,'Daily Issuance'!$I:$I,$A14,'Daily Issuance'!$E:$E,"Patty Cash",'Daily Issuance'!$B:$B,"&gt;="&amp;DATE(2026,11,1),'Daily Issuance'!$B:$B,"&lt;"&amp;DATE(2026,12,1)),0)</f>
        <v>0</v>
      </c>
      <c r="AJ14" s="92">
        <f t="shared" si="7"/>
        <v>0</v>
      </c>
      <c r="AK14" s="93">
        <f>IFERROR(SUMIFS('Daily Issuance'!$O$4:$O$991,'Daily Issuance'!$I$4:$I$991,$A14,'Daily Issuance'!$E$4:$E$991,"Inventory",'Daily Issuance'!$B$4:$B$991,"&gt;="&amp;DATE(2026,12,1),'Daily Issuance'!$B$4:$B$991,"&lt;"&amp;DATE(2027,1,1)),0)</f>
        <v>0</v>
      </c>
      <c r="AL14" s="93">
        <f>IFERROR(SUMIFS('Daily Issuance'!$O$4:$O$991,'Daily Issuance'!$I$4:$I$991,$A14,'Daily Issuance'!$E$4:$E$991,"Non Inventory",'Daily Issuance'!$B$4:$B$991,"&gt;="&amp;DATE(2026,12,1),'Daily Issuance'!$B$4:$B$991,"&lt;"&amp;DATE(2027,1,1)),0)</f>
        <v>0</v>
      </c>
      <c r="AM14" s="93">
        <f>IFERROR(SUMIFS('Daily Issuance'!$O$4:$O$991,'Daily Issuance'!$I$4:$I$991,$A14,'Daily Issuance'!$E$4:$E$991,"Services",'Daily Issuance'!$B$4:$B$991,"&gt;="&amp;DATE(2026,12,1),'Daily Issuance'!$B$4:$B$991,"&lt;"&amp;DATE(2027,1,1)),0)</f>
        <v>0</v>
      </c>
      <c r="AN14" s="93">
        <f>IFERROR(SUMIFS('Daily Issuance'!$O:$O,'Daily Issuance'!$I:$I,$A14,'Daily Issuance'!$E:$E,"Patty Cash",'Daily Issuance'!$B:$B,"&gt;="&amp;DATE(2026,12,1),'Daily Issuance'!$B:$B,"&lt;"&amp;DATE(2027,1,1)),0)</f>
        <v>0</v>
      </c>
      <c r="AO14" s="92">
        <f t="shared" si="8"/>
        <v>0</v>
      </c>
      <c r="AP14" s="103">
        <f t="shared" si="0"/>
        <v>34724</v>
      </c>
    </row>
    <row r="15" spans="1:42" ht="21" customHeight="1">
      <c r="A15" s="90" t="s">
        <v>49</v>
      </c>
      <c r="B15" s="91">
        <f>IFERROR(SUMIFS('Daily Issuance'!$O:$O,'Daily Issuance'!$I:$I,$A15,'Daily Issuance'!$E:$E,"Inventory",'Daily Issuance'!$B:$B,"&gt;="&amp;DATE(2026,5,1),'Daily Issuance'!$B:$B,"&lt;"&amp;DATE(2026,6,1)),0)</f>
        <v>1500</v>
      </c>
      <c r="C15" s="91">
        <f>IFERROR(SUMIFS('Daily Issuance'!$O:$O,'Daily Issuance'!$I:$I,$A15,'Daily Issuance'!$E:$E,"Non Inventory",'Daily Issuance'!$B:$B,"&gt;="&amp;DATE(2026,5,1),'Daily Issuance'!$B:$B,"&lt;"&amp;DATE(2026,6,1)),0)</f>
        <v>2000</v>
      </c>
      <c r="D15" s="91">
        <f>IFERROR(SUMIFS('Daily Issuance'!$O:$O,'Daily Issuance'!$I:$I,$A15,'Daily Issuance'!$E:$E,"Services",'Daily Issuance'!$B:$B,"&gt;="&amp;DATE(2026,5,1),'Daily Issuance'!$B:$B,"&lt;"&amp;DATE(2026,6,1)),0)</f>
        <v>0</v>
      </c>
      <c r="E15" s="91">
        <f>IFERROR(SUMIFS('Daily Issuance'!$O:$O,'Daily Issuance'!$I:$I,$A15,'Daily Issuance'!$E:$E,"Patty Cash",'Daily Issuance'!$B:$B,"&gt;="&amp;DATE(2026,5,1),'Daily Issuance'!$B:$B,"&lt;"&amp;DATE(2026,6,1)),0)</f>
        <v>0</v>
      </c>
      <c r="F15" s="92">
        <f t="shared" si="1"/>
        <v>3500</v>
      </c>
      <c r="G15" s="93">
        <f>IFERROR(SUMIFS('Daily Issuance'!$O$4:$O$991,'Daily Issuance'!$I$4:$I$991,$A15,'Daily Issuance'!$E$4:$E$991,"Inventory",'Daily Issuance'!$B$4:$B$991,"&gt;="&amp;DATE(2026,6,1),'Daily Issuance'!$B$4:$B$991,"&lt;"&amp;DATE(2026,7,1)),0)</f>
        <v>0</v>
      </c>
      <c r="H15" s="93">
        <f>IFERROR(SUMIFS('Daily Issuance'!$O$4:$O$991,'Daily Issuance'!$I$4:$I$991,$A15,'Daily Issuance'!$E$4:$E$991,"Non Inventory",'Daily Issuance'!$B$4:$B$991,"&gt;="&amp;DATE(2026,6,1),'Daily Issuance'!$B$4:$B$991,"&lt;"&amp;DATE(2026,7,1)),0)</f>
        <v>0</v>
      </c>
      <c r="I15" s="93">
        <f>IFERROR(SUMIFS('Daily Issuance'!$O$4:$O$991,'Daily Issuance'!$I$4:$I$991,$A15,'Daily Issuance'!$E$4:$E$991,"Services",'Daily Issuance'!$B$4:$B$991,"&gt;="&amp;DATE(2026,6,1),'Daily Issuance'!$B$4:$B$991,"&lt;"&amp;DATE(2026,7,1)),0)</f>
        <v>0</v>
      </c>
      <c r="J15" s="93">
        <f>IFERROR(SUMIFS('Daily Issuance'!$O:$O,'Daily Issuance'!$I:$I,$A15,'Daily Issuance'!$E:$E,"Patty Cash",'Daily Issuance'!$B:$B,"&gt;="&amp;DATE(2026,6,1),'Daily Issuance'!$B:$B,"&lt;"&amp;DATE(2026,7,1)),0)</f>
        <v>0</v>
      </c>
      <c r="K15" s="92">
        <f t="shared" si="2"/>
        <v>0</v>
      </c>
      <c r="L15" s="94">
        <f>IFERROR(SUMIFS('Daily Issuance'!$O$4:$O$991,'Daily Issuance'!$I$4:$I$991,$A15,'Daily Issuance'!$E$4:$E$991,"Inventory",'Daily Issuance'!$B$4:$B$991,"&gt;="&amp;DATE(2026,7,1),'Daily Issuance'!$B$4:$B$991,"&lt;"&amp;DATE(2026,8,1)),0)</f>
        <v>0</v>
      </c>
      <c r="M15" s="95">
        <f>IFERROR(SUMIFS('Daily Issuance'!$O$4:$O$991,'Daily Issuance'!$I$4:$I$991,$A15,'Daily Issuance'!$E$4:$E$991,"Non Inventory",'Daily Issuance'!$B$4:$B$991,"&gt;="&amp;DATE(2026,7,1),'Daily Issuance'!$B$4:$B$991,"&lt;"&amp;DATE(2026,8,1)),0)</f>
        <v>0</v>
      </c>
      <c r="N15" s="95">
        <f>IFERROR(SUMIFS('Daily Issuance'!$O$4:$O$991,'Daily Issuance'!$I$4:$I$991,$A15,'Daily Issuance'!$E$4:$E$991,"Services",'Daily Issuance'!$B$4:$B$991,"&gt;="&amp;DATE(2026,7,1),'Daily Issuance'!$B$4:$B$991,"&lt;"&amp;DATE(2026,8,1)),0)</f>
        <v>0</v>
      </c>
      <c r="O15" s="95">
        <f>IFERROR(SUMIFS('Daily Issuance'!$O:$O,'Daily Issuance'!$I:$I,$A15,'Daily Issuance'!$E:$E,"Patty Cash",'Daily Issuance'!$B:$B,"&gt;="&amp;DATE(2026,7,1),'Daily Issuance'!$B:$B,"&lt;"&amp;DATE(2026,8,1)),0)</f>
        <v>0</v>
      </c>
      <c r="P15" s="92">
        <f t="shared" si="3"/>
        <v>0</v>
      </c>
      <c r="Q15" s="93">
        <f>IFERROR(SUMIFS('Daily Issuance'!$O$4:$O$991,'Daily Issuance'!$I$4:$I$991,$A15,'Daily Issuance'!$E$4:$E$991,"Inventory",'Daily Issuance'!$B$4:$B$991,"&gt;="&amp;DATE(2026,8,1),'Daily Issuance'!$B$4:$B$991,"&lt;"&amp;DATE(2026,9,1)),0)</f>
        <v>0</v>
      </c>
      <c r="R15" s="93">
        <f>IFERROR(SUMIFS('Daily Issuance'!$O$4:$O$991,'Daily Issuance'!$I$4:$I$991,$A15,'Daily Issuance'!$E$4:$E$991,"Non Inventory",'Daily Issuance'!$B$4:$B$991,"&gt;="&amp;DATE(2026,8,1),'Daily Issuance'!$B$4:$B$991,"&lt;"&amp;DATE(2026,9,1)),0)</f>
        <v>0</v>
      </c>
      <c r="S15" s="93">
        <f>IFERROR(SUMIFS('Daily Issuance'!$O$4:$O$991,'Daily Issuance'!$I$4:$I$991,$A15,'Daily Issuance'!$E$4:$E$991,"Services",'Daily Issuance'!$B$4:$B$991,"&gt;="&amp;DATE(2026,8,1),'Daily Issuance'!$B$4:$B$991,"&lt;"&amp;DATE(2026,9,1)),0)</f>
        <v>0</v>
      </c>
      <c r="T15" s="93">
        <f>IFERROR(SUMIFS('Daily Issuance'!$O:$O,'Daily Issuance'!$I:$I,$A15,'Daily Issuance'!$E:$E,"Patty Cash",'Daily Issuance'!$B:$B,"&gt;="&amp;DATE(2026,8,1),'Daily Issuance'!$B:$B,"&lt;"&amp;DATE(2026,9,1)),0)</f>
        <v>0</v>
      </c>
      <c r="U15" s="92">
        <f t="shared" si="4"/>
        <v>0</v>
      </c>
      <c r="V15" s="95">
        <f>IFERROR(SUMIFS('Daily Issuance'!$O$4:$O$991,'Daily Issuance'!$I$4:$I$991,$A15,'Daily Issuance'!$E$4:$E$991,"Inventory",'Daily Issuance'!$B$4:$B$991,"&gt;="&amp;DATE(2026,9,1),'Daily Issuance'!$B$4:$B$991,"&lt;"&amp;DATE(2026,10,1)),0)</f>
        <v>0</v>
      </c>
      <c r="W15" s="95">
        <f>IFERROR(SUMIFS('Daily Issuance'!$O$4:$O$991,'Daily Issuance'!$I$4:$I$991,$A15,'Daily Issuance'!$E$4:$E$991,"Non Inventory",'Daily Issuance'!$B$4:$B$991,"&gt;="&amp;DATE(2026,9,1),'Daily Issuance'!$B$4:$B$991,"&lt;"&amp;DATE(2026,10,1)),0)</f>
        <v>0</v>
      </c>
      <c r="X15" s="95">
        <f>IFERROR(SUMIFS('Daily Issuance'!$O$4:$O$991,'Daily Issuance'!$I$4:$I$991,$A15,'Daily Issuance'!$E$4:$E$991,"Services",'Daily Issuance'!$B$4:$B$991,"&gt;="&amp;DATE(2026,9,1),'Daily Issuance'!$B$4:$B$991,"&lt;"&amp;DATE(2026,10,1)),0)</f>
        <v>0</v>
      </c>
      <c r="Y15" s="95">
        <f>IFERROR(SUMIFS('Daily Issuance'!$O:$O,'Daily Issuance'!$I:$I,$A15,'Daily Issuance'!$E:$E,"Patty Cash",'Daily Issuance'!$B:$B,"&gt;="&amp;DATE(2026,9,1),'Daily Issuance'!$B:$B,"&lt;"&amp;DATE(2026,10,1)),0)</f>
        <v>0</v>
      </c>
      <c r="Z15" s="92">
        <f t="shared" si="5"/>
        <v>0</v>
      </c>
      <c r="AA15" s="93">
        <f>IFERROR(SUMIFS('Daily Issuance'!$O$4:$O$991,'Daily Issuance'!$I$4:$I$991,$A15,'Daily Issuance'!$E$4:$E$991,"Inventory",'Daily Issuance'!$B$4:$B$991,"&gt;="&amp;DATE(2026,10,1),'Daily Issuance'!$B$4:$B$991,"&lt;"&amp;DATE(2026,11,1)),0)</f>
        <v>0</v>
      </c>
      <c r="AB15" s="93">
        <f>IFERROR(SUMIFS('Daily Issuance'!$O$4:$O$991,'Daily Issuance'!$I$4:$I$991,$A15,'Daily Issuance'!$E$4:$E$991,"Non Inventory",'Daily Issuance'!$B$4:$B$991,"&gt;="&amp;DATE(2026,10,1),'Daily Issuance'!$B$4:$B$991,"&lt;"&amp;DATE(2026,11,1)),0)</f>
        <v>0</v>
      </c>
      <c r="AC15" s="93">
        <f>IFERROR(SUMIFS('Daily Issuance'!$O$4:$O$991,'Daily Issuance'!$I$4:$I$991,$A15,'Daily Issuance'!$E$4:$E$991,"Services",'Daily Issuance'!$B$4:$B$991,"&gt;="&amp;DATE(2026,10,1),'Daily Issuance'!$B$4:$B$991,"&lt;"&amp;DATE(2026,11,1)),0)</f>
        <v>0</v>
      </c>
      <c r="AD15" s="93">
        <f>IFERROR(SUMIFS('Daily Issuance'!$O:$O,'Daily Issuance'!$I:$I,$A15,'Daily Issuance'!$E:$E,"Patty Cash",'Daily Issuance'!$B:$B,"&gt;="&amp;DATE(2026,10,1),'Daily Issuance'!$B:$B,"&lt;"&amp;DATE(2026,11,1)),0)</f>
        <v>0</v>
      </c>
      <c r="AE15" s="92">
        <f t="shared" si="6"/>
        <v>0</v>
      </c>
      <c r="AF15" s="95">
        <f>IFERROR(SUMIFS('Daily Issuance'!$O$4:$O$991,'Daily Issuance'!$I$4:$I$991,$A15,'Daily Issuance'!$E$4:$E$991,"Inventory",'Daily Issuance'!$B$4:$B$991,"&gt;="&amp;DATE(2026,11,1),'Daily Issuance'!$B$4:$B$991,"&lt;"&amp;DATE(2026,12,1)),0)</f>
        <v>0</v>
      </c>
      <c r="AG15" s="95">
        <f>IFERROR(SUMIFS('Daily Issuance'!$O$4:$O$991,'Daily Issuance'!$I$4:$I$991,$A15,'Daily Issuance'!$E$4:$E$991,"Non Inventory",'Daily Issuance'!$B$4:$B$991,"&gt;="&amp;DATE(2026,11,1),'Daily Issuance'!$B$4:$B$991,"&lt;"&amp;DATE(2026,12,1)),0)</f>
        <v>0</v>
      </c>
      <c r="AH15" s="95">
        <f>IFERROR(SUMIFS('Daily Issuance'!$O$4:$O$991,'Daily Issuance'!$I$4:$I$991,$A15,'Daily Issuance'!$E$4:$E$991,"Services",'Daily Issuance'!$B$4:$B$991,"&gt;="&amp;DATE(2026,11,1),'Daily Issuance'!$B$4:$B$991,"&lt;"&amp;DATE(2026,12,1)),0)</f>
        <v>0</v>
      </c>
      <c r="AI15" s="95">
        <f>IFERROR(SUMIFS('Daily Issuance'!$O:$O,'Daily Issuance'!$I:$I,$A15,'Daily Issuance'!$E:$E,"Patty Cash",'Daily Issuance'!$B:$B,"&gt;="&amp;DATE(2026,11,1),'Daily Issuance'!$B:$B,"&lt;"&amp;DATE(2026,12,1)),0)</f>
        <v>0</v>
      </c>
      <c r="AJ15" s="92">
        <f t="shared" si="7"/>
        <v>0</v>
      </c>
      <c r="AK15" s="93">
        <f>IFERROR(SUMIFS('Daily Issuance'!$O$4:$O$991,'Daily Issuance'!$I$4:$I$991,$A15,'Daily Issuance'!$E$4:$E$991,"Inventory",'Daily Issuance'!$B$4:$B$991,"&gt;="&amp;DATE(2026,12,1),'Daily Issuance'!$B$4:$B$991,"&lt;"&amp;DATE(2027,1,1)),0)</f>
        <v>0</v>
      </c>
      <c r="AL15" s="93">
        <f>IFERROR(SUMIFS('Daily Issuance'!$O$4:$O$991,'Daily Issuance'!$I$4:$I$991,$A15,'Daily Issuance'!$E$4:$E$991,"Non Inventory",'Daily Issuance'!$B$4:$B$991,"&gt;="&amp;DATE(2026,12,1),'Daily Issuance'!$B$4:$B$991,"&lt;"&amp;DATE(2027,1,1)),0)</f>
        <v>0</v>
      </c>
      <c r="AM15" s="93">
        <f>IFERROR(SUMIFS('Daily Issuance'!$O$4:$O$991,'Daily Issuance'!$I$4:$I$991,$A15,'Daily Issuance'!$E$4:$E$991,"Services",'Daily Issuance'!$B$4:$B$991,"&gt;="&amp;DATE(2026,12,1),'Daily Issuance'!$B$4:$B$991,"&lt;"&amp;DATE(2027,1,1)),0)</f>
        <v>0</v>
      </c>
      <c r="AN15" s="93">
        <f>IFERROR(SUMIFS('Daily Issuance'!$O:$O,'Daily Issuance'!$I:$I,$A15,'Daily Issuance'!$E:$E,"Patty Cash",'Daily Issuance'!$B:$B,"&gt;="&amp;DATE(2026,12,1),'Daily Issuance'!$B:$B,"&lt;"&amp;DATE(2027,1,1)),0)</f>
        <v>0</v>
      </c>
      <c r="AO15" s="92">
        <f t="shared" si="8"/>
        <v>0</v>
      </c>
      <c r="AP15" s="103">
        <f t="shared" si="0"/>
        <v>3500</v>
      </c>
    </row>
    <row r="16" spans="1:42" ht="21" customHeight="1">
      <c r="A16" s="90" t="s">
        <v>50</v>
      </c>
      <c r="B16" s="91">
        <f>IFERROR(SUMIFS('Daily Issuance'!$O:$O,'Daily Issuance'!$I:$I,$A16,'Daily Issuance'!$E:$E,"Inventory",'Daily Issuance'!$B:$B,"&gt;="&amp;DATE(2026,5,1),'Daily Issuance'!$B:$B,"&lt;"&amp;DATE(2026,6,1)),0)</f>
        <v>625</v>
      </c>
      <c r="C16" s="91">
        <f>IFERROR(SUMIFS('Daily Issuance'!$O:$O,'Daily Issuance'!$I:$I,$A16,'Daily Issuance'!$E:$E,"Non Inventory",'Daily Issuance'!$B:$B,"&gt;="&amp;DATE(2026,5,1),'Daily Issuance'!$B:$B,"&lt;"&amp;DATE(2026,6,1)),0)</f>
        <v>0</v>
      </c>
      <c r="D16" s="91">
        <f>IFERROR(SUMIFS('Daily Issuance'!$O:$O,'Daily Issuance'!$I:$I,$A16,'Daily Issuance'!$E:$E,"Services",'Daily Issuance'!$B:$B,"&gt;="&amp;DATE(2026,5,1),'Daily Issuance'!$B:$B,"&lt;"&amp;DATE(2026,6,1)),0)</f>
        <v>0</v>
      </c>
      <c r="E16" s="91">
        <f>IFERROR(SUMIFS('Daily Issuance'!$O:$O,'Daily Issuance'!$I:$I,$A16,'Daily Issuance'!$E:$E,"Patty Cash",'Daily Issuance'!$B:$B,"&gt;="&amp;DATE(2026,5,1),'Daily Issuance'!$B:$B,"&lt;"&amp;DATE(2026,6,1)),0)</f>
        <v>0</v>
      </c>
      <c r="F16" s="92">
        <f t="shared" si="1"/>
        <v>625</v>
      </c>
      <c r="G16" s="93">
        <f>IFERROR(SUMIFS('Daily Issuance'!$O$4:$O$991,'Daily Issuance'!$I$4:$I$991,$A16,'Daily Issuance'!$E$4:$E$991,"Inventory",'Daily Issuance'!$B$4:$B$991,"&gt;="&amp;DATE(2026,6,1),'Daily Issuance'!$B$4:$B$991,"&lt;"&amp;DATE(2026,7,1)),0)</f>
        <v>5500</v>
      </c>
      <c r="H16" s="93">
        <f>IFERROR(SUMIFS('Daily Issuance'!$O$4:$O$991,'Daily Issuance'!$I$4:$I$991,$A16,'Daily Issuance'!$E$4:$E$991,"Non Inventory",'Daily Issuance'!$B$4:$B$991,"&gt;="&amp;DATE(2026,6,1),'Daily Issuance'!$B$4:$B$991,"&lt;"&amp;DATE(2026,7,1)),0)</f>
        <v>0</v>
      </c>
      <c r="I16" s="93">
        <f>IFERROR(SUMIFS('Daily Issuance'!$O$4:$O$991,'Daily Issuance'!$I$4:$I$991,$A16,'Daily Issuance'!$E$4:$E$991,"Services",'Daily Issuance'!$B$4:$B$991,"&gt;="&amp;DATE(2026,6,1),'Daily Issuance'!$B$4:$B$991,"&lt;"&amp;DATE(2026,7,1)),0)</f>
        <v>0</v>
      </c>
      <c r="J16" s="93">
        <f>IFERROR(SUMIFS('Daily Issuance'!$O:$O,'Daily Issuance'!$I:$I,$A16,'Daily Issuance'!$E:$E,"Patty Cash",'Daily Issuance'!$B:$B,"&gt;="&amp;DATE(2026,6,1),'Daily Issuance'!$B:$B,"&lt;"&amp;DATE(2026,7,1)),0)</f>
        <v>0</v>
      </c>
      <c r="K16" s="92">
        <f t="shared" si="2"/>
        <v>5500</v>
      </c>
      <c r="L16" s="94">
        <f>IFERROR(SUMIFS('Daily Issuance'!$O$4:$O$991,'Daily Issuance'!$I$4:$I$991,$A16,'Daily Issuance'!$E$4:$E$991,"Inventory",'Daily Issuance'!$B$4:$B$991,"&gt;="&amp;DATE(2026,7,1),'Daily Issuance'!$B$4:$B$991,"&lt;"&amp;DATE(2026,8,1)),0)</f>
        <v>0</v>
      </c>
      <c r="M16" s="95">
        <f>IFERROR(SUMIFS('Daily Issuance'!$O$4:$O$991,'Daily Issuance'!$I$4:$I$991,$A16,'Daily Issuance'!$E$4:$E$991,"Non Inventory",'Daily Issuance'!$B$4:$B$991,"&gt;="&amp;DATE(2026,7,1),'Daily Issuance'!$B$4:$B$991,"&lt;"&amp;DATE(2026,8,1)),0)</f>
        <v>0</v>
      </c>
      <c r="N16" s="95">
        <f>IFERROR(SUMIFS('Daily Issuance'!$O$4:$O$991,'Daily Issuance'!$I$4:$I$991,$A16,'Daily Issuance'!$E$4:$E$991,"Services",'Daily Issuance'!$B$4:$B$991,"&gt;="&amp;DATE(2026,7,1),'Daily Issuance'!$B$4:$B$991,"&lt;"&amp;DATE(2026,8,1)),0)</f>
        <v>0</v>
      </c>
      <c r="O16" s="95">
        <f>IFERROR(SUMIFS('Daily Issuance'!$O:$O,'Daily Issuance'!$I:$I,$A16,'Daily Issuance'!$E:$E,"Patty Cash",'Daily Issuance'!$B:$B,"&gt;="&amp;DATE(2026,7,1),'Daily Issuance'!$B:$B,"&lt;"&amp;DATE(2026,8,1)),0)</f>
        <v>0</v>
      </c>
      <c r="P16" s="92">
        <f t="shared" si="3"/>
        <v>0</v>
      </c>
      <c r="Q16" s="93">
        <f>IFERROR(SUMIFS('Daily Issuance'!$O$4:$O$991,'Daily Issuance'!$I$4:$I$991,$A16,'Daily Issuance'!$E$4:$E$991,"Inventory",'Daily Issuance'!$B$4:$B$991,"&gt;="&amp;DATE(2026,8,1),'Daily Issuance'!$B$4:$B$991,"&lt;"&amp;DATE(2026,9,1)),0)</f>
        <v>0</v>
      </c>
      <c r="R16" s="93">
        <f>IFERROR(SUMIFS('Daily Issuance'!$O$4:$O$991,'Daily Issuance'!$I$4:$I$991,$A16,'Daily Issuance'!$E$4:$E$991,"Non Inventory",'Daily Issuance'!$B$4:$B$991,"&gt;="&amp;DATE(2026,8,1),'Daily Issuance'!$B$4:$B$991,"&lt;"&amp;DATE(2026,9,1)),0)</f>
        <v>0</v>
      </c>
      <c r="S16" s="93">
        <f>IFERROR(SUMIFS('Daily Issuance'!$O$4:$O$991,'Daily Issuance'!$I$4:$I$991,$A16,'Daily Issuance'!$E$4:$E$991,"Services",'Daily Issuance'!$B$4:$B$991,"&gt;="&amp;DATE(2026,8,1),'Daily Issuance'!$B$4:$B$991,"&lt;"&amp;DATE(2026,9,1)),0)</f>
        <v>0</v>
      </c>
      <c r="T16" s="93">
        <f>IFERROR(SUMIFS('Daily Issuance'!$O:$O,'Daily Issuance'!$I:$I,$A16,'Daily Issuance'!$E:$E,"Patty Cash",'Daily Issuance'!$B:$B,"&gt;="&amp;DATE(2026,8,1),'Daily Issuance'!$B:$B,"&lt;"&amp;DATE(2026,9,1)),0)</f>
        <v>0</v>
      </c>
      <c r="U16" s="92">
        <f t="shared" si="4"/>
        <v>0</v>
      </c>
      <c r="V16" s="95">
        <f>IFERROR(SUMIFS('Daily Issuance'!$O$4:$O$991,'Daily Issuance'!$I$4:$I$991,$A16,'Daily Issuance'!$E$4:$E$991,"Inventory",'Daily Issuance'!$B$4:$B$991,"&gt;="&amp;DATE(2026,9,1),'Daily Issuance'!$B$4:$B$991,"&lt;"&amp;DATE(2026,10,1)),0)</f>
        <v>0</v>
      </c>
      <c r="W16" s="95">
        <f>IFERROR(SUMIFS('Daily Issuance'!$O$4:$O$991,'Daily Issuance'!$I$4:$I$991,$A16,'Daily Issuance'!$E$4:$E$991,"Non Inventory",'Daily Issuance'!$B$4:$B$991,"&gt;="&amp;DATE(2026,9,1),'Daily Issuance'!$B$4:$B$991,"&lt;"&amp;DATE(2026,10,1)),0)</f>
        <v>0</v>
      </c>
      <c r="X16" s="95">
        <f>IFERROR(SUMIFS('Daily Issuance'!$O$4:$O$991,'Daily Issuance'!$I$4:$I$991,$A16,'Daily Issuance'!$E$4:$E$991,"Services",'Daily Issuance'!$B$4:$B$991,"&gt;="&amp;DATE(2026,9,1),'Daily Issuance'!$B$4:$B$991,"&lt;"&amp;DATE(2026,10,1)),0)</f>
        <v>0</v>
      </c>
      <c r="Y16" s="95">
        <f>IFERROR(SUMIFS('Daily Issuance'!$O:$O,'Daily Issuance'!$I:$I,$A16,'Daily Issuance'!$E:$E,"Patty Cash",'Daily Issuance'!$B:$B,"&gt;="&amp;DATE(2026,9,1),'Daily Issuance'!$B:$B,"&lt;"&amp;DATE(2026,10,1)),0)</f>
        <v>0</v>
      </c>
      <c r="Z16" s="92">
        <f t="shared" si="5"/>
        <v>0</v>
      </c>
      <c r="AA16" s="93">
        <f>IFERROR(SUMIFS('Daily Issuance'!$O$4:$O$991,'Daily Issuance'!$I$4:$I$991,$A16,'Daily Issuance'!$E$4:$E$991,"Inventory",'Daily Issuance'!$B$4:$B$991,"&gt;="&amp;DATE(2026,10,1),'Daily Issuance'!$B$4:$B$991,"&lt;"&amp;DATE(2026,11,1)),0)</f>
        <v>0</v>
      </c>
      <c r="AB16" s="93">
        <f>IFERROR(SUMIFS('Daily Issuance'!$O$4:$O$991,'Daily Issuance'!$I$4:$I$991,$A16,'Daily Issuance'!$E$4:$E$991,"Non Inventory",'Daily Issuance'!$B$4:$B$991,"&gt;="&amp;DATE(2026,10,1),'Daily Issuance'!$B$4:$B$991,"&lt;"&amp;DATE(2026,11,1)),0)</f>
        <v>0</v>
      </c>
      <c r="AC16" s="93">
        <f>IFERROR(SUMIFS('Daily Issuance'!$O$4:$O$991,'Daily Issuance'!$I$4:$I$991,$A16,'Daily Issuance'!$E$4:$E$991,"Services",'Daily Issuance'!$B$4:$B$991,"&gt;="&amp;DATE(2026,10,1),'Daily Issuance'!$B$4:$B$991,"&lt;"&amp;DATE(2026,11,1)),0)</f>
        <v>0</v>
      </c>
      <c r="AD16" s="93">
        <f>IFERROR(SUMIFS('Daily Issuance'!$O:$O,'Daily Issuance'!$I:$I,$A16,'Daily Issuance'!$E:$E,"Patty Cash",'Daily Issuance'!$B:$B,"&gt;="&amp;DATE(2026,10,1),'Daily Issuance'!$B:$B,"&lt;"&amp;DATE(2026,11,1)),0)</f>
        <v>0</v>
      </c>
      <c r="AE16" s="92">
        <f t="shared" si="6"/>
        <v>0</v>
      </c>
      <c r="AF16" s="95">
        <f>IFERROR(SUMIFS('Daily Issuance'!$O$4:$O$991,'Daily Issuance'!$I$4:$I$991,$A16,'Daily Issuance'!$E$4:$E$991,"Inventory",'Daily Issuance'!$B$4:$B$991,"&gt;="&amp;DATE(2026,11,1),'Daily Issuance'!$B$4:$B$991,"&lt;"&amp;DATE(2026,12,1)),0)</f>
        <v>0</v>
      </c>
      <c r="AG16" s="95">
        <f>IFERROR(SUMIFS('Daily Issuance'!$O$4:$O$991,'Daily Issuance'!$I$4:$I$991,$A16,'Daily Issuance'!$E$4:$E$991,"Non Inventory",'Daily Issuance'!$B$4:$B$991,"&gt;="&amp;DATE(2026,11,1),'Daily Issuance'!$B$4:$B$991,"&lt;"&amp;DATE(2026,12,1)),0)</f>
        <v>0</v>
      </c>
      <c r="AH16" s="95">
        <f>IFERROR(SUMIFS('Daily Issuance'!$O$4:$O$991,'Daily Issuance'!$I$4:$I$991,$A16,'Daily Issuance'!$E$4:$E$991,"Services",'Daily Issuance'!$B$4:$B$991,"&gt;="&amp;DATE(2026,11,1),'Daily Issuance'!$B$4:$B$991,"&lt;"&amp;DATE(2026,12,1)),0)</f>
        <v>0</v>
      </c>
      <c r="AI16" s="95">
        <f>IFERROR(SUMIFS('Daily Issuance'!$O:$O,'Daily Issuance'!$I:$I,$A16,'Daily Issuance'!$E:$E,"Patty Cash",'Daily Issuance'!$B:$B,"&gt;="&amp;DATE(2026,11,1),'Daily Issuance'!$B:$B,"&lt;"&amp;DATE(2026,12,1)),0)</f>
        <v>0</v>
      </c>
      <c r="AJ16" s="92">
        <f t="shared" si="7"/>
        <v>0</v>
      </c>
      <c r="AK16" s="93">
        <f>IFERROR(SUMIFS('Daily Issuance'!$O$4:$O$991,'Daily Issuance'!$I$4:$I$991,$A16,'Daily Issuance'!$E$4:$E$991,"Inventory",'Daily Issuance'!$B$4:$B$991,"&gt;="&amp;DATE(2026,12,1),'Daily Issuance'!$B$4:$B$991,"&lt;"&amp;DATE(2027,1,1)),0)</f>
        <v>0</v>
      </c>
      <c r="AL16" s="93">
        <f>IFERROR(SUMIFS('Daily Issuance'!$O$4:$O$991,'Daily Issuance'!$I$4:$I$991,$A16,'Daily Issuance'!$E$4:$E$991,"Non Inventory",'Daily Issuance'!$B$4:$B$991,"&gt;="&amp;DATE(2026,12,1),'Daily Issuance'!$B$4:$B$991,"&lt;"&amp;DATE(2027,1,1)),0)</f>
        <v>0</v>
      </c>
      <c r="AM16" s="93">
        <f>IFERROR(SUMIFS('Daily Issuance'!$O$4:$O$991,'Daily Issuance'!$I$4:$I$991,$A16,'Daily Issuance'!$E$4:$E$991,"Services",'Daily Issuance'!$B$4:$B$991,"&gt;="&amp;DATE(2026,12,1),'Daily Issuance'!$B$4:$B$991,"&lt;"&amp;DATE(2027,1,1)),0)</f>
        <v>0</v>
      </c>
      <c r="AN16" s="93">
        <f>IFERROR(SUMIFS('Daily Issuance'!$O:$O,'Daily Issuance'!$I:$I,$A16,'Daily Issuance'!$E:$E,"Patty Cash",'Daily Issuance'!$B:$B,"&gt;="&amp;DATE(2026,12,1),'Daily Issuance'!$B:$B,"&lt;"&amp;DATE(2027,1,1)),0)</f>
        <v>0</v>
      </c>
      <c r="AO16" s="92">
        <f t="shared" si="8"/>
        <v>0</v>
      </c>
      <c r="AP16" s="103">
        <f t="shared" si="0"/>
        <v>6125</v>
      </c>
    </row>
    <row r="17" spans="1:42" ht="21" customHeight="1">
      <c r="A17" s="90" t="s">
        <v>51</v>
      </c>
      <c r="B17" s="91">
        <f>IFERROR(SUMIFS('Daily Issuance'!$O:$O,'Daily Issuance'!$I:$I,$A17,'Daily Issuance'!$E:$E,"Inventory",'Daily Issuance'!$B:$B,"&gt;="&amp;DATE(2026,5,1),'Daily Issuance'!$B:$B,"&lt;"&amp;DATE(2026,6,1)),0)</f>
        <v>22200</v>
      </c>
      <c r="C17" s="91">
        <f>IFERROR(SUMIFS('Daily Issuance'!$O:$O,'Daily Issuance'!$I:$I,$A17,'Daily Issuance'!$E:$E,"Non Inventory",'Daily Issuance'!$B:$B,"&gt;="&amp;DATE(2026,5,1),'Daily Issuance'!$B:$B,"&lt;"&amp;DATE(2026,6,1)),0)</f>
        <v>5256</v>
      </c>
      <c r="D17" s="91">
        <f>IFERROR(SUMIFS('Daily Issuance'!$O:$O,'Daily Issuance'!$I:$I,$A17,'Daily Issuance'!$E:$E,"Services",'Daily Issuance'!$B:$B,"&gt;="&amp;DATE(2026,5,1),'Daily Issuance'!$B:$B,"&lt;"&amp;DATE(2026,6,1)),0)</f>
        <v>0</v>
      </c>
      <c r="E17" s="91">
        <f>IFERROR(SUMIFS('Daily Issuance'!$O:$O,'Daily Issuance'!$I:$I,$A17,'Daily Issuance'!$E:$E,"Patty Cash",'Daily Issuance'!$B:$B,"&gt;="&amp;DATE(2026,5,1),'Daily Issuance'!$B:$B,"&lt;"&amp;DATE(2026,6,1)),0)</f>
        <v>0</v>
      </c>
      <c r="F17" s="92">
        <f t="shared" si="1"/>
        <v>27456</v>
      </c>
      <c r="G17" s="93">
        <f>IFERROR(SUMIFS('Daily Issuance'!$O$4:$O$991,'Daily Issuance'!$I$4:$I$991,$A17,'Daily Issuance'!$E$4:$E$991,"Inventory",'Daily Issuance'!$B$4:$B$991,"&gt;="&amp;DATE(2026,6,1),'Daily Issuance'!$B$4:$B$991,"&lt;"&amp;DATE(2026,7,1)),0)</f>
        <v>3750</v>
      </c>
      <c r="H17" s="93">
        <f>IFERROR(SUMIFS('Daily Issuance'!$O$4:$O$991,'Daily Issuance'!$I$4:$I$991,$A17,'Daily Issuance'!$E$4:$E$991,"Non Inventory",'Daily Issuance'!$B$4:$B$991,"&gt;="&amp;DATE(2026,6,1),'Daily Issuance'!$B$4:$B$991,"&lt;"&amp;DATE(2026,7,1)),0)</f>
        <v>512</v>
      </c>
      <c r="I17" s="93">
        <f>IFERROR(SUMIFS('Daily Issuance'!$O$4:$O$991,'Daily Issuance'!$I$4:$I$991,$A17,'Daily Issuance'!$E$4:$E$991,"Services",'Daily Issuance'!$B$4:$B$991,"&gt;="&amp;DATE(2026,6,1),'Daily Issuance'!$B$4:$B$991,"&lt;"&amp;DATE(2026,7,1)),0)</f>
        <v>0</v>
      </c>
      <c r="J17" s="93">
        <f>IFERROR(SUMIFS('Daily Issuance'!$O:$O,'Daily Issuance'!$I:$I,$A17,'Daily Issuance'!$E:$E,"Patty Cash",'Daily Issuance'!$B:$B,"&gt;="&amp;DATE(2026,6,1),'Daily Issuance'!$B:$B,"&lt;"&amp;DATE(2026,7,1)),0)</f>
        <v>0</v>
      </c>
      <c r="K17" s="92">
        <f t="shared" si="2"/>
        <v>4262</v>
      </c>
      <c r="L17" s="94">
        <f>IFERROR(SUMIFS('Daily Issuance'!$O$4:$O$991,'Daily Issuance'!$I$4:$I$991,$A17,'Daily Issuance'!$E$4:$E$991,"Inventory",'Daily Issuance'!$B$4:$B$991,"&gt;="&amp;DATE(2026,7,1),'Daily Issuance'!$B$4:$B$991,"&lt;"&amp;DATE(2026,8,1)),0)</f>
        <v>0</v>
      </c>
      <c r="M17" s="95">
        <f>IFERROR(SUMIFS('Daily Issuance'!$O$4:$O$991,'Daily Issuance'!$I$4:$I$991,$A17,'Daily Issuance'!$E$4:$E$991,"Non Inventory",'Daily Issuance'!$B$4:$B$991,"&gt;="&amp;DATE(2026,7,1),'Daily Issuance'!$B$4:$B$991,"&lt;"&amp;DATE(2026,8,1)),0)</f>
        <v>0</v>
      </c>
      <c r="N17" s="95">
        <f>IFERROR(SUMIFS('Daily Issuance'!$O$4:$O$991,'Daily Issuance'!$I$4:$I$991,$A17,'Daily Issuance'!$E$4:$E$991,"Services",'Daily Issuance'!$B$4:$B$991,"&gt;="&amp;DATE(2026,7,1),'Daily Issuance'!$B$4:$B$991,"&lt;"&amp;DATE(2026,8,1)),0)</f>
        <v>0</v>
      </c>
      <c r="O17" s="95">
        <f>IFERROR(SUMIFS('Daily Issuance'!$O:$O,'Daily Issuance'!$I:$I,$A17,'Daily Issuance'!$E:$E,"Patty Cash",'Daily Issuance'!$B:$B,"&gt;="&amp;DATE(2026,7,1),'Daily Issuance'!$B:$B,"&lt;"&amp;DATE(2026,8,1)),0)</f>
        <v>0</v>
      </c>
      <c r="P17" s="92">
        <f t="shared" si="3"/>
        <v>0</v>
      </c>
      <c r="Q17" s="93">
        <f>IFERROR(SUMIFS('Daily Issuance'!$O$4:$O$991,'Daily Issuance'!$I$4:$I$991,$A17,'Daily Issuance'!$E$4:$E$991,"Inventory",'Daily Issuance'!$B$4:$B$991,"&gt;="&amp;DATE(2026,8,1),'Daily Issuance'!$B$4:$B$991,"&lt;"&amp;DATE(2026,9,1)),0)</f>
        <v>0</v>
      </c>
      <c r="R17" s="93">
        <f>IFERROR(SUMIFS('Daily Issuance'!$O$4:$O$991,'Daily Issuance'!$I$4:$I$991,$A17,'Daily Issuance'!$E$4:$E$991,"Non Inventory",'Daily Issuance'!$B$4:$B$991,"&gt;="&amp;DATE(2026,8,1),'Daily Issuance'!$B$4:$B$991,"&lt;"&amp;DATE(2026,9,1)),0)</f>
        <v>0</v>
      </c>
      <c r="S17" s="93">
        <f>IFERROR(SUMIFS('Daily Issuance'!$O$4:$O$991,'Daily Issuance'!$I$4:$I$991,$A17,'Daily Issuance'!$E$4:$E$991,"Services",'Daily Issuance'!$B$4:$B$991,"&gt;="&amp;DATE(2026,8,1),'Daily Issuance'!$B$4:$B$991,"&lt;"&amp;DATE(2026,9,1)),0)</f>
        <v>0</v>
      </c>
      <c r="T17" s="93">
        <f>IFERROR(SUMIFS('Daily Issuance'!$O:$O,'Daily Issuance'!$I:$I,$A17,'Daily Issuance'!$E:$E,"Patty Cash",'Daily Issuance'!$B:$B,"&gt;="&amp;DATE(2026,8,1),'Daily Issuance'!$B:$B,"&lt;"&amp;DATE(2026,9,1)),0)</f>
        <v>0</v>
      </c>
      <c r="U17" s="92">
        <f t="shared" si="4"/>
        <v>0</v>
      </c>
      <c r="V17" s="95">
        <f>IFERROR(SUMIFS('Daily Issuance'!$O$4:$O$991,'Daily Issuance'!$I$4:$I$991,$A17,'Daily Issuance'!$E$4:$E$991,"Inventory",'Daily Issuance'!$B$4:$B$991,"&gt;="&amp;DATE(2026,9,1),'Daily Issuance'!$B$4:$B$991,"&lt;"&amp;DATE(2026,10,1)),0)</f>
        <v>0</v>
      </c>
      <c r="W17" s="95">
        <f>IFERROR(SUMIFS('Daily Issuance'!$O$4:$O$991,'Daily Issuance'!$I$4:$I$991,$A17,'Daily Issuance'!$E$4:$E$991,"Non Inventory",'Daily Issuance'!$B$4:$B$991,"&gt;="&amp;DATE(2026,9,1),'Daily Issuance'!$B$4:$B$991,"&lt;"&amp;DATE(2026,10,1)),0)</f>
        <v>0</v>
      </c>
      <c r="X17" s="95">
        <f>IFERROR(SUMIFS('Daily Issuance'!$O$4:$O$991,'Daily Issuance'!$I$4:$I$991,$A17,'Daily Issuance'!$E$4:$E$991,"Services",'Daily Issuance'!$B$4:$B$991,"&gt;="&amp;DATE(2026,9,1),'Daily Issuance'!$B$4:$B$991,"&lt;"&amp;DATE(2026,10,1)),0)</f>
        <v>0</v>
      </c>
      <c r="Y17" s="95">
        <f>IFERROR(SUMIFS('Daily Issuance'!$O:$O,'Daily Issuance'!$I:$I,$A17,'Daily Issuance'!$E:$E,"Patty Cash",'Daily Issuance'!$B:$B,"&gt;="&amp;DATE(2026,9,1),'Daily Issuance'!$B:$B,"&lt;"&amp;DATE(2026,10,1)),0)</f>
        <v>0</v>
      </c>
      <c r="Z17" s="92">
        <f t="shared" si="5"/>
        <v>0</v>
      </c>
      <c r="AA17" s="93">
        <f>IFERROR(SUMIFS('Daily Issuance'!$O$4:$O$991,'Daily Issuance'!$I$4:$I$991,$A17,'Daily Issuance'!$E$4:$E$991,"Inventory",'Daily Issuance'!$B$4:$B$991,"&gt;="&amp;DATE(2026,10,1),'Daily Issuance'!$B$4:$B$991,"&lt;"&amp;DATE(2026,11,1)),0)</f>
        <v>0</v>
      </c>
      <c r="AB17" s="93">
        <f>IFERROR(SUMIFS('Daily Issuance'!$O$4:$O$991,'Daily Issuance'!$I$4:$I$991,$A17,'Daily Issuance'!$E$4:$E$991,"Non Inventory",'Daily Issuance'!$B$4:$B$991,"&gt;="&amp;DATE(2026,10,1),'Daily Issuance'!$B$4:$B$991,"&lt;"&amp;DATE(2026,11,1)),0)</f>
        <v>0</v>
      </c>
      <c r="AC17" s="93">
        <f>IFERROR(SUMIFS('Daily Issuance'!$O$4:$O$991,'Daily Issuance'!$I$4:$I$991,$A17,'Daily Issuance'!$E$4:$E$991,"Services",'Daily Issuance'!$B$4:$B$991,"&gt;="&amp;DATE(2026,10,1),'Daily Issuance'!$B$4:$B$991,"&lt;"&amp;DATE(2026,11,1)),0)</f>
        <v>0</v>
      </c>
      <c r="AD17" s="93">
        <f>IFERROR(SUMIFS('Daily Issuance'!$O:$O,'Daily Issuance'!$I:$I,$A17,'Daily Issuance'!$E:$E,"Patty Cash",'Daily Issuance'!$B:$B,"&gt;="&amp;DATE(2026,10,1),'Daily Issuance'!$B:$B,"&lt;"&amp;DATE(2026,11,1)),0)</f>
        <v>0</v>
      </c>
      <c r="AE17" s="92">
        <f t="shared" si="6"/>
        <v>0</v>
      </c>
      <c r="AF17" s="95">
        <f>IFERROR(SUMIFS('Daily Issuance'!$O$4:$O$991,'Daily Issuance'!$I$4:$I$991,$A17,'Daily Issuance'!$E$4:$E$991,"Inventory",'Daily Issuance'!$B$4:$B$991,"&gt;="&amp;DATE(2026,11,1),'Daily Issuance'!$B$4:$B$991,"&lt;"&amp;DATE(2026,12,1)),0)</f>
        <v>0</v>
      </c>
      <c r="AG17" s="95">
        <f>IFERROR(SUMIFS('Daily Issuance'!$O$4:$O$991,'Daily Issuance'!$I$4:$I$991,$A17,'Daily Issuance'!$E$4:$E$991,"Non Inventory",'Daily Issuance'!$B$4:$B$991,"&gt;="&amp;DATE(2026,11,1),'Daily Issuance'!$B$4:$B$991,"&lt;"&amp;DATE(2026,12,1)),0)</f>
        <v>0</v>
      </c>
      <c r="AH17" s="95">
        <f>IFERROR(SUMIFS('Daily Issuance'!$O$4:$O$991,'Daily Issuance'!$I$4:$I$991,$A17,'Daily Issuance'!$E$4:$E$991,"Services",'Daily Issuance'!$B$4:$B$991,"&gt;="&amp;DATE(2026,11,1),'Daily Issuance'!$B$4:$B$991,"&lt;"&amp;DATE(2026,12,1)),0)</f>
        <v>0</v>
      </c>
      <c r="AI17" s="95">
        <f>IFERROR(SUMIFS('Daily Issuance'!$O:$O,'Daily Issuance'!$I:$I,$A17,'Daily Issuance'!$E:$E,"Patty Cash",'Daily Issuance'!$B:$B,"&gt;="&amp;DATE(2026,11,1),'Daily Issuance'!$B:$B,"&lt;"&amp;DATE(2026,12,1)),0)</f>
        <v>0</v>
      </c>
      <c r="AJ17" s="92">
        <f t="shared" si="7"/>
        <v>0</v>
      </c>
      <c r="AK17" s="93">
        <f>IFERROR(SUMIFS('Daily Issuance'!$O$4:$O$991,'Daily Issuance'!$I$4:$I$991,$A17,'Daily Issuance'!$E$4:$E$991,"Inventory",'Daily Issuance'!$B$4:$B$991,"&gt;="&amp;DATE(2026,12,1),'Daily Issuance'!$B$4:$B$991,"&lt;"&amp;DATE(2027,1,1)),0)</f>
        <v>0</v>
      </c>
      <c r="AL17" s="93">
        <f>IFERROR(SUMIFS('Daily Issuance'!$O$4:$O$991,'Daily Issuance'!$I$4:$I$991,$A17,'Daily Issuance'!$E$4:$E$991,"Non Inventory",'Daily Issuance'!$B$4:$B$991,"&gt;="&amp;DATE(2026,12,1),'Daily Issuance'!$B$4:$B$991,"&lt;"&amp;DATE(2027,1,1)),0)</f>
        <v>0</v>
      </c>
      <c r="AM17" s="93">
        <f>IFERROR(SUMIFS('Daily Issuance'!$O$4:$O$991,'Daily Issuance'!$I$4:$I$991,$A17,'Daily Issuance'!$E$4:$E$991,"Services",'Daily Issuance'!$B$4:$B$991,"&gt;="&amp;DATE(2026,12,1),'Daily Issuance'!$B$4:$B$991,"&lt;"&amp;DATE(2027,1,1)),0)</f>
        <v>0</v>
      </c>
      <c r="AN17" s="93">
        <f>IFERROR(SUMIFS('Daily Issuance'!$O:$O,'Daily Issuance'!$I:$I,$A17,'Daily Issuance'!$E:$E,"Patty Cash",'Daily Issuance'!$B:$B,"&gt;="&amp;DATE(2026,12,1),'Daily Issuance'!$B:$B,"&lt;"&amp;DATE(2027,1,1)),0)</f>
        <v>0</v>
      </c>
      <c r="AO17" s="92">
        <f t="shared" si="8"/>
        <v>0</v>
      </c>
      <c r="AP17" s="103">
        <f t="shared" si="0"/>
        <v>31718</v>
      </c>
    </row>
    <row r="18" spans="1:42" ht="21" customHeight="1">
      <c r="A18" s="90" t="s">
        <v>52</v>
      </c>
      <c r="B18" s="91">
        <f>IFERROR(SUMIFS('Daily Issuance'!$O:$O,'Daily Issuance'!$I:$I,$A18,'Daily Issuance'!$E:$E,"Inventory",'Daily Issuance'!$B:$B,"&gt;="&amp;DATE(2026,5,1),'Daily Issuance'!$B:$B,"&lt;"&amp;DATE(2026,6,1)),0)</f>
        <v>9000</v>
      </c>
      <c r="C18" s="91">
        <f>IFERROR(SUMIFS('Daily Issuance'!$O:$O,'Daily Issuance'!$I:$I,$A18,'Daily Issuance'!$E:$E,"Non Inventory",'Daily Issuance'!$B:$B,"&gt;="&amp;DATE(2026,5,1),'Daily Issuance'!$B:$B,"&lt;"&amp;DATE(2026,6,1)),0)</f>
        <v>0</v>
      </c>
      <c r="D18" s="91">
        <f>IFERROR(SUMIFS('Daily Issuance'!$O:$O,'Daily Issuance'!$I:$I,$A18,'Daily Issuance'!$E:$E,"Services",'Daily Issuance'!$B:$B,"&gt;="&amp;DATE(2026,5,1),'Daily Issuance'!$B:$B,"&lt;"&amp;DATE(2026,6,1)),0)</f>
        <v>0</v>
      </c>
      <c r="E18" s="91">
        <f>IFERROR(SUMIFS('Daily Issuance'!$O:$O,'Daily Issuance'!$I:$I,$A18,'Daily Issuance'!$E:$E,"Patty Cash",'Daily Issuance'!$B:$B,"&gt;="&amp;DATE(2026,5,1),'Daily Issuance'!$B:$B,"&lt;"&amp;DATE(2026,6,1)),0)</f>
        <v>0</v>
      </c>
      <c r="F18" s="92">
        <f t="shared" si="1"/>
        <v>9000</v>
      </c>
      <c r="G18" s="93">
        <f>IFERROR(SUMIFS('Daily Issuance'!$O$4:$O$991,'Daily Issuance'!$I$4:$I$991,$A18,'Daily Issuance'!$E$4:$E$991,"Inventory",'Daily Issuance'!$B$4:$B$991,"&gt;="&amp;DATE(2026,6,1),'Daily Issuance'!$B$4:$B$991,"&lt;"&amp;DATE(2026,7,1)),0)</f>
        <v>9000</v>
      </c>
      <c r="H18" s="93">
        <f>IFERROR(SUMIFS('Daily Issuance'!$O$4:$O$991,'Daily Issuance'!$I$4:$I$991,$A18,'Daily Issuance'!$E$4:$E$991,"Non Inventory",'Daily Issuance'!$B$4:$B$991,"&gt;="&amp;DATE(2026,6,1),'Daily Issuance'!$B$4:$B$991,"&lt;"&amp;DATE(2026,7,1)),0)</f>
        <v>13150</v>
      </c>
      <c r="I18" s="93">
        <f>IFERROR(SUMIFS('Daily Issuance'!$O$4:$O$991,'Daily Issuance'!$I$4:$I$991,$A18,'Daily Issuance'!$E$4:$E$991,"Services",'Daily Issuance'!$B$4:$B$991,"&gt;="&amp;DATE(2026,6,1),'Daily Issuance'!$B$4:$B$991,"&lt;"&amp;DATE(2026,7,1)),0)</f>
        <v>0</v>
      </c>
      <c r="J18" s="93">
        <f>IFERROR(SUMIFS('Daily Issuance'!$O:$O,'Daily Issuance'!$I:$I,$A18,'Daily Issuance'!$E:$E,"Patty Cash",'Daily Issuance'!$B:$B,"&gt;="&amp;DATE(2026,6,1),'Daily Issuance'!$B:$B,"&lt;"&amp;DATE(2026,7,1)),0)</f>
        <v>0</v>
      </c>
      <c r="K18" s="92">
        <f t="shared" si="2"/>
        <v>22150</v>
      </c>
      <c r="L18" s="94">
        <f>IFERROR(SUMIFS('Daily Issuance'!$O$4:$O$991,'Daily Issuance'!$I$4:$I$991,$A18,'Daily Issuance'!$E$4:$E$991,"Inventory",'Daily Issuance'!$B$4:$B$991,"&gt;="&amp;DATE(2026,7,1),'Daily Issuance'!$B$4:$B$991,"&lt;"&amp;DATE(2026,8,1)),0)</f>
        <v>0</v>
      </c>
      <c r="M18" s="95">
        <f>IFERROR(SUMIFS('Daily Issuance'!$O$4:$O$991,'Daily Issuance'!$I$4:$I$991,$A18,'Daily Issuance'!$E$4:$E$991,"Non Inventory",'Daily Issuance'!$B$4:$B$991,"&gt;="&amp;DATE(2026,7,1),'Daily Issuance'!$B$4:$B$991,"&lt;"&amp;DATE(2026,8,1)),0)</f>
        <v>0</v>
      </c>
      <c r="N18" s="95">
        <f>IFERROR(SUMIFS('Daily Issuance'!$O$4:$O$991,'Daily Issuance'!$I$4:$I$991,$A18,'Daily Issuance'!$E$4:$E$991,"Services",'Daily Issuance'!$B$4:$B$991,"&gt;="&amp;DATE(2026,7,1),'Daily Issuance'!$B$4:$B$991,"&lt;"&amp;DATE(2026,8,1)),0)</f>
        <v>0</v>
      </c>
      <c r="O18" s="95">
        <f>IFERROR(SUMIFS('Daily Issuance'!$O:$O,'Daily Issuance'!$I:$I,$A18,'Daily Issuance'!$E:$E,"Patty Cash",'Daily Issuance'!$B:$B,"&gt;="&amp;DATE(2026,7,1),'Daily Issuance'!$B:$B,"&lt;"&amp;DATE(2026,8,1)),0)</f>
        <v>0</v>
      </c>
      <c r="P18" s="92">
        <f t="shared" si="3"/>
        <v>0</v>
      </c>
      <c r="Q18" s="93">
        <f>IFERROR(SUMIFS('Daily Issuance'!$O$4:$O$991,'Daily Issuance'!$I$4:$I$991,$A18,'Daily Issuance'!$E$4:$E$991,"Inventory",'Daily Issuance'!$B$4:$B$991,"&gt;="&amp;DATE(2026,8,1),'Daily Issuance'!$B$4:$B$991,"&lt;"&amp;DATE(2026,9,1)),0)</f>
        <v>0</v>
      </c>
      <c r="R18" s="93">
        <f>IFERROR(SUMIFS('Daily Issuance'!$O$4:$O$991,'Daily Issuance'!$I$4:$I$991,$A18,'Daily Issuance'!$E$4:$E$991,"Non Inventory",'Daily Issuance'!$B$4:$B$991,"&gt;="&amp;DATE(2026,8,1),'Daily Issuance'!$B$4:$B$991,"&lt;"&amp;DATE(2026,9,1)),0)</f>
        <v>0</v>
      </c>
      <c r="S18" s="93">
        <f>IFERROR(SUMIFS('Daily Issuance'!$O$4:$O$991,'Daily Issuance'!$I$4:$I$991,$A18,'Daily Issuance'!$E$4:$E$991,"Services",'Daily Issuance'!$B$4:$B$991,"&gt;="&amp;DATE(2026,8,1),'Daily Issuance'!$B$4:$B$991,"&lt;"&amp;DATE(2026,9,1)),0)</f>
        <v>0</v>
      </c>
      <c r="T18" s="93">
        <f>IFERROR(SUMIFS('Daily Issuance'!$O:$O,'Daily Issuance'!$I:$I,$A18,'Daily Issuance'!$E:$E,"Patty Cash",'Daily Issuance'!$B:$B,"&gt;="&amp;DATE(2026,8,1),'Daily Issuance'!$B:$B,"&lt;"&amp;DATE(2026,9,1)),0)</f>
        <v>0</v>
      </c>
      <c r="U18" s="92">
        <f t="shared" si="4"/>
        <v>0</v>
      </c>
      <c r="V18" s="95">
        <f>IFERROR(SUMIFS('Daily Issuance'!$O$4:$O$991,'Daily Issuance'!$I$4:$I$991,$A18,'Daily Issuance'!$E$4:$E$991,"Inventory",'Daily Issuance'!$B$4:$B$991,"&gt;="&amp;DATE(2026,9,1),'Daily Issuance'!$B$4:$B$991,"&lt;"&amp;DATE(2026,10,1)),0)</f>
        <v>0</v>
      </c>
      <c r="W18" s="95">
        <f>IFERROR(SUMIFS('Daily Issuance'!$O$4:$O$991,'Daily Issuance'!$I$4:$I$991,$A18,'Daily Issuance'!$E$4:$E$991,"Non Inventory",'Daily Issuance'!$B$4:$B$991,"&gt;="&amp;DATE(2026,9,1),'Daily Issuance'!$B$4:$B$991,"&lt;"&amp;DATE(2026,10,1)),0)</f>
        <v>0</v>
      </c>
      <c r="X18" s="95">
        <f>IFERROR(SUMIFS('Daily Issuance'!$O$4:$O$991,'Daily Issuance'!$I$4:$I$991,$A18,'Daily Issuance'!$E$4:$E$991,"Services",'Daily Issuance'!$B$4:$B$991,"&gt;="&amp;DATE(2026,9,1),'Daily Issuance'!$B$4:$B$991,"&lt;"&amp;DATE(2026,10,1)),0)</f>
        <v>0</v>
      </c>
      <c r="Y18" s="95">
        <f>IFERROR(SUMIFS('Daily Issuance'!$O:$O,'Daily Issuance'!$I:$I,$A18,'Daily Issuance'!$E:$E,"Patty Cash",'Daily Issuance'!$B:$B,"&gt;="&amp;DATE(2026,9,1),'Daily Issuance'!$B:$B,"&lt;"&amp;DATE(2026,10,1)),0)</f>
        <v>0</v>
      </c>
      <c r="Z18" s="92">
        <f t="shared" si="5"/>
        <v>0</v>
      </c>
      <c r="AA18" s="93">
        <f>IFERROR(SUMIFS('Daily Issuance'!$O$4:$O$991,'Daily Issuance'!$I$4:$I$991,$A18,'Daily Issuance'!$E$4:$E$991,"Inventory",'Daily Issuance'!$B$4:$B$991,"&gt;="&amp;DATE(2026,10,1),'Daily Issuance'!$B$4:$B$991,"&lt;"&amp;DATE(2026,11,1)),0)</f>
        <v>0</v>
      </c>
      <c r="AB18" s="93">
        <f>IFERROR(SUMIFS('Daily Issuance'!$O$4:$O$991,'Daily Issuance'!$I$4:$I$991,$A18,'Daily Issuance'!$E$4:$E$991,"Non Inventory",'Daily Issuance'!$B$4:$B$991,"&gt;="&amp;DATE(2026,10,1),'Daily Issuance'!$B$4:$B$991,"&lt;"&amp;DATE(2026,11,1)),0)</f>
        <v>0</v>
      </c>
      <c r="AC18" s="93">
        <f>IFERROR(SUMIFS('Daily Issuance'!$O$4:$O$991,'Daily Issuance'!$I$4:$I$991,$A18,'Daily Issuance'!$E$4:$E$991,"Services",'Daily Issuance'!$B$4:$B$991,"&gt;="&amp;DATE(2026,10,1),'Daily Issuance'!$B$4:$B$991,"&lt;"&amp;DATE(2026,11,1)),0)</f>
        <v>0</v>
      </c>
      <c r="AD18" s="93">
        <f>IFERROR(SUMIFS('Daily Issuance'!$O:$O,'Daily Issuance'!$I:$I,$A18,'Daily Issuance'!$E:$E,"Patty Cash",'Daily Issuance'!$B:$B,"&gt;="&amp;DATE(2026,10,1),'Daily Issuance'!$B:$B,"&lt;"&amp;DATE(2026,11,1)),0)</f>
        <v>0</v>
      </c>
      <c r="AE18" s="92">
        <f t="shared" si="6"/>
        <v>0</v>
      </c>
      <c r="AF18" s="95">
        <f>IFERROR(SUMIFS('Daily Issuance'!$O$4:$O$991,'Daily Issuance'!$I$4:$I$991,$A18,'Daily Issuance'!$E$4:$E$991,"Inventory",'Daily Issuance'!$B$4:$B$991,"&gt;="&amp;DATE(2026,11,1),'Daily Issuance'!$B$4:$B$991,"&lt;"&amp;DATE(2026,12,1)),0)</f>
        <v>0</v>
      </c>
      <c r="AG18" s="95">
        <f>IFERROR(SUMIFS('Daily Issuance'!$O$4:$O$991,'Daily Issuance'!$I$4:$I$991,$A18,'Daily Issuance'!$E$4:$E$991,"Non Inventory",'Daily Issuance'!$B$4:$B$991,"&gt;="&amp;DATE(2026,11,1),'Daily Issuance'!$B$4:$B$991,"&lt;"&amp;DATE(2026,12,1)),0)</f>
        <v>0</v>
      </c>
      <c r="AH18" s="95">
        <f>IFERROR(SUMIFS('Daily Issuance'!$O$4:$O$991,'Daily Issuance'!$I$4:$I$991,$A18,'Daily Issuance'!$E$4:$E$991,"Services",'Daily Issuance'!$B$4:$B$991,"&gt;="&amp;DATE(2026,11,1),'Daily Issuance'!$B$4:$B$991,"&lt;"&amp;DATE(2026,12,1)),0)</f>
        <v>0</v>
      </c>
      <c r="AI18" s="95">
        <f>IFERROR(SUMIFS('Daily Issuance'!$O:$O,'Daily Issuance'!$I:$I,$A18,'Daily Issuance'!$E:$E,"Patty Cash",'Daily Issuance'!$B:$B,"&gt;="&amp;DATE(2026,11,1),'Daily Issuance'!$B:$B,"&lt;"&amp;DATE(2026,12,1)),0)</f>
        <v>0</v>
      </c>
      <c r="AJ18" s="92">
        <f t="shared" si="7"/>
        <v>0</v>
      </c>
      <c r="AK18" s="93">
        <f>IFERROR(SUMIFS('Daily Issuance'!$O$4:$O$991,'Daily Issuance'!$I$4:$I$991,$A18,'Daily Issuance'!$E$4:$E$991,"Inventory",'Daily Issuance'!$B$4:$B$991,"&gt;="&amp;DATE(2026,12,1),'Daily Issuance'!$B$4:$B$991,"&lt;"&amp;DATE(2027,1,1)),0)</f>
        <v>0</v>
      </c>
      <c r="AL18" s="93">
        <f>IFERROR(SUMIFS('Daily Issuance'!$O$4:$O$991,'Daily Issuance'!$I$4:$I$991,$A18,'Daily Issuance'!$E$4:$E$991,"Non Inventory",'Daily Issuance'!$B$4:$B$991,"&gt;="&amp;DATE(2026,12,1),'Daily Issuance'!$B$4:$B$991,"&lt;"&amp;DATE(2027,1,1)),0)</f>
        <v>0</v>
      </c>
      <c r="AM18" s="93">
        <f>IFERROR(SUMIFS('Daily Issuance'!$O$4:$O$991,'Daily Issuance'!$I$4:$I$991,$A18,'Daily Issuance'!$E$4:$E$991,"Services",'Daily Issuance'!$B$4:$B$991,"&gt;="&amp;DATE(2026,12,1),'Daily Issuance'!$B$4:$B$991,"&lt;"&amp;DATE(2027,1,1)),0)</f>
        <v>0</v>
      </c>
      <c r="AN18" s="93">
        <f>IFERROR(SUMIFS('Daily Issuance'!$O:$O,'Daily Issuance'!$I:$I,$A18,'Daily Issuance'!$E:$E,"Patty Cash",'Daily Issuance'!$B:$B,"&gt;="&amp;DATE(2026,12,1),'Daily Issuance'!$B:$B,"&lt;"&amp;DATE(2027,1,1)),0)</f>
        <v>0</v>
      </c>
      <c r="AO18" s="92">
        <f t="shared" si="8"/>
        <v>0</v>
      </c>
      <c r="AP18" s="103">
        <f t="shared" si="0"/>
        <v>31150</v>
      </c>
    </row>
    <row r="19" spans="1:42" ht="21" customHeight="1">
      <c r="A19" s="90" t="s">
        <v>53</v>
      </c>
      <c r="B19" s="91">
        <f>IFERROR(SUMIFS('Daily Issuance'!$O:$O,'Daily Issuance'!$I:$I,$A19,'Daily Issuance'!$E:$E,"Inventory",'Daily Issuance'!$B:$B,"&gt;="&amp;DATE(2026,5,1),'Daily Issuance'!$B:$B,"&lt;"&amp;DATE(2026,6,1)),0)</f>
        <v>5625</v>
      </c>
      <c r="C19" s="91">
        <f>IFERROR(SUMIFS('Daily Issuance'!$O:$O,'Daily Issuance'!$I:$I,$A19,'Daily Issuance'!$E:$E,"Non Inventory",'Daily Issuance'!$B:$B,"&gt;="&amp;DATE(2026,5,1),'Daily Issuance'!$B:$B,"&lt;"&amp;DATE(2026,6,1)),0)</f>
        <v>256</v>
      </c>
      <c r="D19" s="91">
        <f>IFERROR(SUMIFS('Daily Issuance'!$O:$O,'Daily Issuance'!$I:$I,$A19,'Daily Issuance'!$E:$E,"Services",'Daily Issuance'!$B:$B,"&gt;="&amp;DATE(2026,5,1),'Daily Issuance'!$B:$B,"&lt;"&amp;DATE(2026,6,1)),0)</f>
        <v>0</v>
      </c>
      <c r="E19" s="91">
        <f>IFERROR(SUMIFS('Daily Issuance'!$O:$O,'Daily Issuance'!$I:$I,$A19,'Daily Issuance'!$E:$E,"Patty Cash",'Daily Issuance'!$B:$B,"&gt;="&amp;DATE(2026,5,1),'Daily Issuance'!$B:$B,"&lt;"&amp;DATE(2026,6,1)),0)</f>
        <v>0</v>
      </c>
      <c r="F19" s="92">
        <f t="shared" si="1"/>
        <v>5881</v>
      </c>
      <c r="G19" s="93">
        <f>IFERROR(SUMIFS('Daily Issuance'!$O$4:$O$991,'Daily Issuance'!$I$4:$I$991,$A19,'Daily Issuance'!$E$4:$E$991,"Inventory",'Daily Issuance'!$B$4:$B$991,"&gt;="&amp;DATE(2026,6,1),'Daily Issuance'!$B$4:$B$991,"&lt;"&amp;DATE(2026,7,1)),0)</f>
        <v>495346</v>
      </c>
      <c r="H19" s="93">
        <f>IFERROR(SUMIFS('Daily Issuance'!$O$4:$O$991,'Daily Issuance'!$I$4:$I$991,$A19,'Daily Issuance'!$E$4:$E$991,"Non Inventory",'Daily Issuance'!$B$4:$B$991,"&gt;="&amp;DATE(2026,6,1),'Daily Issuance'!$B$4:$B$991,"&lt;"&amp;DATE(2026,7,1)),0)</f>
        <v>0</v>
      </c>
      <c r="I19" s="93">
        <f>IFERROR(SUMIFS('Daily Issuance'!$O$4:$O$991,'Daily Issuance'!$I$4:$I$991,$A19,'Daily Issuance'!$E$4:$E$991,"Services",'Daily Issuance'!$B$4:$B$991,"&gt;="&amp;DATE(2026,6,1),'Daily Issuance'!$B$4:$B$991,"&lt;"&amp;DATE(2026,7,1)),0)</f>
        <v>0</v>
      </c>
      <c r="J19" s="93">
        <f>IFERROR(SUMIFS('Daily Issuance'!$O:$O,'Daily Issuance'!$I:$I,$A19,'Daily Issuance'!$E:$E,"Patty Cash",'Daily Issuance'!$B:$B,"&gt;="&amp;DATE(2026,6,1),'Daily Issuance'!$B:$B,"&lt;"&amp;DATE(2026,7,1)),0)</f>
        <v>0</v>
      </c>
      <c r="K19" s="92">
        <f t="shared" si="2"/>
        <v>495346</v>
      </c>
      <c r="L19" s="94">
        <f>IFERROR(SUMIFS('Daily Issuance'!$O$4:$O$991,'Daily Issuance'!$I$4:$I$991,$A19,'Daily Issuance'!$E$4:$E$991,"Inventory",'Daily Issuance'!$B$4:$B$991,"&gt;="&amp;DATE(2026,7,1),'Daily Issuance'!$B$4:$B$991,"&lt;"&amp;DATE(2026,8,1)),0)</f>
        <v>0</v>
      </c>
      <c r="M19" s="95">
        <f>IFERROR(SUMIFS('Daily Issuance'!$O$4:$O$991,'Daily Issuance'!$I$4:$I$991,$A19,'Daily Issuance'!$E$4:$E$991,"Non Inventory",'Daily Issuance'!$B$4:$B$991,"&gt;="&amp;DATE(2026,7,1),'Daily Issuance'!$B$4:$B$991,"&lt;"&amp;DATE(2026,8,1)),0)</f>
        <v>0</v>
      </c>
      <c r="N19" s="95">
        <f>IFERROR(SUMIFS('Daily Issuance'!$O$4:$O$991,'Daily Issuance'!$I$4:$I$991,$A19,'Daily Issuance'!$E$4:$E$991,"Services",'Daily Issuance'!$B$4:$B$991,"&gt;="&amp;DATE(2026,7,1),'Daily Issuance'!$B$4:$B$991,"&lt;"&amp;DATE(2026,8,1)),0)</f>
        <v>0</v>
      </c>
      <c r="O19" s="95">
        <f>IFERROR(SUMIFS('Daily Issuance'!$O:$O,'Daily Issuance'!$I:$I,$A19,'Daily Issuance'!$E:$E,"Patty Cash",'Daily Issuance'!$B:$B,"&gt;="&amp;DATE(2026,7,1),'Daily Issuance'!$B:$B,"&lt;"&amp;DATE(2026,8,1)),0)</f>
        <v>0</v>
      </c>
      <c r="P19" s="92">
        <f t="shared" si="3"/>
        <v>0</v>
      </c>
      <c r="Q19" s="93">
        <f>IFERROR(SUMIFS('Daily Issuance'!$O$4:$O$991,'Daily Issuance'!$I$4:$I$991,$A19,'Daily Issuance'!$E$4:$E$991,"Inventory",'Daily Issuance'!$B$4:$B$991,"&gt;="&amp;DATE(2026,8,1),'Daily Issuance'!$B$4:$B$991,"&lt;"&amp;DATE(2026,9,1)),0)</f>
        <v>0</v>
      </c>
      <c r="R19" s="93">
        <f>IFERROR(SUMIFS('Daily Issuance'!$O$4:$O$991,'Daily Issuance'!$I$4:$I$991,$A19,'Daily Issuance'!$E$4:$E$991,"Non Inventory",'Daily Issuance'!$B$4:$B$991,"&gt;="&amp;DATE(2026,8,1),'Daily Issuance'!$B$4:$B$991,"&lt;"&amp;DATE(2026,9,1)),0)</f>
        <v>0</v>
      </c>
      <c r="S19" s="93">
        <f>IFERROR(SUMIFS('Daily Issuance'!$O$4:$O$991,'Daily Issuance'!$I$4:$I$991,$A19,'Daily Issuance'!$E$4:$E$991,"Services",'Daily Issuance'!$B$4:$B$991,"&gt;="&amp;DATE(2026,8,1),'Daily Issuance'!$B$4:$B$991,"&lt;"&amp;DATE(2026,9,1)),0)</f>
        <v>0</v>
      </c>
      <c r="T19" s="93">
        <f>IFERROR(SUMIFS('Daily Issuance'!$O:$O,'Daily Issuance'!$I:$I,$A19,'Daily Issuance'!$E:$E,"Patty Cash",'Daily Issuance'!$B:$B,"&gt;="&amp;DATE(2026,8,1),'Daily Issuance'!$B:$B,"&lt;"&amp;DATE(2026,9,1)),0)</f>
        <v>0</v>
      </c>
      <c r="U19" s="92">
        <f t="shared" si="4"/>
        <v>0</v>
      </c>
      <c r="V19" s="95">
        <f>IFERROR(SUMIFS('Daily Issuance'!$O$4:$O$991,'Daily Issuance'!$I$4:$I$991,$A19,'Daily Issuance'!$E$4:$E$991,"Inventory",'Daily Issuance'!$B$4:$B$991,"&gt;="&amp;DATE(2026,9,1),'Daily Issuance'!$B$4:$B$991,"&lt;"&amp;DATE(2026,10,1)),0)</f>
        <v>0</v>
      </c>
      <c r="W19" s="95">
        <f>IFERROR(SUMIFS('Daily Issuance'!$O$4:$O$991,'Daily Issuance'!$I$4:$I$991,$A19,'Daily Issuance'!$E$4:$E$991,"Non Inventory",'Daily Issuance'!$B$4:$B$991,"&gt;="&amp;DATE(2026,9,1),'Daily Issuance'!$B$4:$B$991,"&lt;"&amp;DATE(2026,10,1)),0)</f>
        <v>0</v>
      </c>
      <c r="X19" s="95">
        <f>IFERROR(SUMIFS('Daily Issuance'!$O$4:$O$991,'Daily Issuance'!$I$4:$I$991,$A19,'Daily Issuance'!$E$4:$E$991,"Services",'Daily Issuance'!$B$4:$B$991,"&gt;="&amp;DATE(2026,9,1),'Daily Issuance'!$B$4:$B$991,"&lt;"&amp;DATE(2026,10,1)),0)</f>
        <v>0</v>
      </c>
      <c r="Y19" s="95">
        <f>IFERROR(SUMIFS('Daily Issuance'!$O:$O,'Daily Issuance'!$I:$I,$A19,'Daily Issuance'!$E:$E,"Patty Cash",'Daily Issuance'!$B:$B,"&gt;="&amp;DATE(2026,9,1),'Daily Issuance'!$B:$B,"&lt;"&amp;DATE(2026,10,1)),0)</f>
        <v>0</v>
      </c>
      <c r="Z19" s="92">
        <f t="shared" si="5"/>
        <v>0</v>
      </c>
      <c r="AA19" s="93">
        <f>IFERROR(SUMIFS('Daily Issuance'!$O$4:$O$991,'Daily Issuance'!$I$4:$I$991,$A19,'Daily Issuance'!$E$4:$E$991,"Inventory",'Daily Issuance'!$B$4:$B$991,"&gt;="&amp;DATE(2026,10,1),'Daily Issuance'!$B$4:$B$991,"&lt;"&amp;DATE(2026,11,1)),0)</f>
        <v>0</v>
      </c>
      <c r="AB19" s="93">
        <f>IFERROR(SUMIFS('Daily Issuance'!$O$4:$O$991,'Daily Issuance'!$I$4:$I$991,$A19,'Daily Issuance'!$E$4:$E$991,"Non Inventory",'Daily Issuance'!$B$4:$B$991,"&gt;="&amp;DATE(2026,10,1),'Daily Issuance'!$B$4:$B$991,"&lt;"&amp;DATE(2026,11,1)),0)</f>
        <v>0</v>
      </c>
      <c r="AC19" s="93">
        <f>IFERROR(SUMIFS('Daily Issuance'!$O$4:$O$991,'Daily Issuance'!$I$4:$I$991,$A19,'Daily Issuance'!$E$4:$E$991,"Services",'Daily Issuance'!$B$4:$B$991,"&gt;="&amp;DATE(2026,10,1),'Daily Issuance'!$B$4:$B$991,"&lt;"&amp;DATE(2026,11,1)),0)</f>
        <v>0</v>
      </c>
      <c r="AD19" s="93">
        <f>IFERROR(SUMIFS('Daily Issuance'!$O:$O,'Daily Issuance'!$I:$I,$A19,'Daily Issuance'!$E:$E,"Patty Cash",'Daily Issuance'!$B:$B,"&gt;="&amp;DATE(2026,10,1),'Daily Issuance'!$B:$B,"&lt;"&amp;DATE(2026,11,1)),0)</f>
        <v>0</v>
      </c>
      <c r="AE19" s="92">
        <f t="shared" si="6"/>
        <v>0</v>
      </c>
      <c r="AF19" s="95">
        <f>IFERROR(SUMIFS('Daily Issuance'!$O$4:$O$991,'Daily Issuance'!$I$4:$I$991,$A19,'Daily Issuance'!$E$4:$E$991,"Inventory",'Daily Issuance'!$B$4:$B$991,"&gt;="&amp;DATE(2026,11,1),'Daily Issuance'!$B$4:$B$991,"&lt;"&amp;DATE(2026,12,1)),0)</f>
        <v>0</v>
      </c>
      <c r="AG19" s="95">
        <f>IFERROR(SUMIFS('Daily Issuance'!$O$4:$O$991,'Daily Issuance'!$I$4:$I$991,$A19,'Daily Issuance'!$E$4:$E$991,"Non Inventory",'Daily Issuance'!$B$4:$B$991,"&gt;="&amp;DATE(2026,11,1),'Daily Issuance'!$B$4:$B$991,"&lt;"&amp;DATE(2026,12,1)),0)</f>
        <v>0</v>
      </c>
      <c r="AH19" s="95">
        <f>IFERROR(SUMIFS('Daily Issuance'!$O$4:$O$991,'Daily Issuance'!$I$4:$I$991,$A19,'Daily Issuance'!$E$4:$E$991,"Services",'Daily Issuance'!$B$4:$B$991,"&gt;="&amp;DATE(2026,11,1),'Daily Issuance'!$B$4:$B$991,"&lt;"&amp;DATE(2026,12,1)),0)</f>
        <v>0</v>
      </c>
      <c r="AI19" s="95">
        <f>IFERROR(SUMIFS('Daily Issuance'!$O:$O,'Daily Issuance'!$I:$I,$A19,'Daily Issuance'!$E:$E,"Patty Cash",'Daily Issuance'!$B:$B,"&gt;="&amp;DATE(2026,11,1),'Daily Issuance'!$B:$B,"&lt;"&amp;DATE(2026,12,1)),0)</f>
        <v>0</v>
      </c>
      <c r="AJ19" s="92">
        <f t="shared" si="7"/>
        <v>0</v>
      </c>
      <c r="AK19" s="93">
        <f>IFERROR(SUMIFS('Daily Issuance'!$O$4:$O$991,'Daily Issuance'!$I$4:$I$991,$A19,'Daily Issuance'!$E$4:$E$991,"Inventory",'Daily Issuance'!$B$4:$B$991,"&gt;="&amp;DATE(2026,12,1),'Daily Issuance'!$B$4:$B$991,"&lt;"&amp;DATE(2027,1,1)),0)</f>
        <v>0</v>
      </c>
      <c r="AL19" s="93">
        <f>IFERROR(SUMIFS('Daily Issuance'!$O$4:$O$991,'Daily Issuance'!$I$4:$I$991,$A19,'Daily Issuance'!$E$4:$E$991,"Non Inventory",'Daily Issuance'!$B$4:$B$991,"&gt;="&amp;DATE(2026,12,1),'Daily Issuance'!$B$4:$B$991,"&lt;"&amp;DATE(2027,1,1)),0)</f>
        <v>0</v>
      </c>
      <c r="AM19" s="93">
        <f>IFERROR(SUMIFS('Daily Issuance'!$O$4:$O$991,'Daily Issuance'!$I$4:$I$991,$A19,'Daily Issuance'!$E$4:$E$991,"Services",'Daily Issuance'!$B$4:$B$991,"&gt;="&amp;DATE(2026,12,1),'Daily Issuance'!$B$4:$B$991,"&lt;"&amp;DATE(2027,1,1)),0)</f>
        <v>0</v>
      </c>
      <c r="AN19" s="93">
        <f>IFERROR(SUMIFS('Daily Issuance'!$O:$O,'Daily Issuance'!$I:$I,$A19,'Daily Issuance'!$E:$E,"Patty Cash",'Daily Issuance'!$B:$B,"&gt;="&amp;DATE(2026,12,1),'Daily Issuance'!$B:$B,"&lt;"&amp;DATE(2027,1,1)),0)</f>
        <v>0</v>
      </c>
      <c r="AO19" s="92">
        <f t="shared" si="8"/>
        <v>0</v>
      </c>
      <c r="AP19" s="103">
        <f t="shared" si="0"/>
        <v>501227</v>
      </c>
    </row>
    <row r="20" spans="1:42" ht="21" customHeight="1">
      <c r="A20" s="90" t="s">
        <v>1254</v>
      </c>
      <c r="B20" s="91">
        <f>IFERROR(SUMIFS('Daily Issuance'!$O:$O,'Daily Issuance'!$I:$I,$A20,'Daily Issuance'!$E:$E,"Inventory",'Daily Issuance'!$B:$B,"&gt;="&amp;DATE(2026,5,1),'Daily Issuance'!$B:$B,"&lt;"&amp;DATE(2026,6,1)),0)</f>
        <v>1188</v>
      </c>
      <c r="C20" s="91">
        <f>IFERROR(SUMIFS('Daily Issuance'!$O:$O,'Daily Issuance'!$I:$I,$A20,'Daily Issuance'!$E:$E,"Non Inventory",'Daily Issuance'!$B:$B,"&gt;="&amp;DATE(2026,5,1),'Daily Issuance'!$B:$B,"&lt;"&amp;DATE(2026,6,1)),0)</f>
        <v>0</v>
      </c>
      <c r="D20" s="91">
        <f>IFERROR(SUMIFS('Daily Issuance'!$O:$O,'Daily Issuance'!$I:$I,$A20,'Daily Issuance'!$E:$E,"Services",'Daily Issuance'!$B:$B,"&gt;="&amp;DATE(2026,5,1),'Daily Issuance'!$B:$B,"&lt;"&amp;DATE(2026,6,1)),0)</f>
        <v>0</v>
      </c>
      <c r="E20" s="91">
        <f>IFERROR(SUMIFS('Daily Issuance'!$O:$O,'Daily Issuance'!$I:$I,$A20,'Daily Issuance'!$E:$E,"Patty Cash",'Daily Issuance'!$B:$B,"&gt;="&amp;DATE(2026,5,1),'Daily Issuance'!$B:$B,"&lt;"&amp;DATE(2026,6,1)),0)</f>
        <v>572</v>
      </c>
      <c r="F20" s="92">
        <f t="shared" si="1"/>
        <v>1760</v>
      </c>
      <c r="G20" s="93">
        <f>IFERROR(SUMIFS('Daily Issuance'!$O$4:$O$991,'Daily Issuance'!$I$4:$I$991,$A20,'Daily Issuance'!$E$4:$E$991,"Inventory",'Daily Issuance'!$B$4:$B$991,"&gt;="&amp;DATE(2026,6,1),'Daily Issuance'!$B$4:$B$991,"&lt;"&amp;DATE(2026,7,1)),0)</f>
        <v>0</v>
      </c>
      <c r="H20" s="93">
        <f>IFERROR(SUMIFS('Daily Issuance'!$O$4:$O$991,'Daily Issuance'!$I$4:$I$991,$A20,'Daily Issuance'!$E$4:$E$991,"Non Inventory",'Daily Issuance'!$B$4:$B$991,"&gt;="&amp;DATE(2026,6,1),'Daily Issuance'!$B$4:$B$991,"&lt;"&amp;DATE(2026,7,1)),0)</f>
        <v>0</v>
      </c>
      <c r="I20" s="93">
        <f>IFERROR(SUMIFS('Daily Issuance'!$O$4:$O$991,'Daily Issuance'!$I$4:$I$991,$A20,'Daily Issuance'!$E$4:$E$991,"Services",'Daily Issuance'!$B$4:$B$991,"&gt;="&amp;DATE(2026,6,1),'Daily Issuance'!$B$4:$B$991,"&lt;"&amp;DATE(2026,7,1)),0)</f>
        <v>0</v>
      </c>
      <c r="J20" s="93">
        <f>IFERROR(SUMIFS('Daily Issuance'!$O:$O,'Daily Issuance'!$I:$I,$A20,'Daily Issuance'!$E:$E,"Patty Cash",'Daily Issuance'!$B:$B,"&gt;="&amp;DATE(2026,6,1),'Daily Issuance'!$B:$B,"&lt;"&amp;DATE(2026,7,1)),0)</f>
        <v>45</v>
      </c>
      <c r="K20" s="92">
        <f t="shared" si="2"/>
        <v>45</v>
      </c>
      <c r="L20" s="94">
        <f>IFERROR(SUMIFS('Daily Issuance'!$O$4:$O$991,'Daily Issuance'!$I$4:$I$991,$A20,'Daily Issuance'!$E$4:$E$991,"Inventory",'Daily Issuance'!$B$4:$B$991,"&gt;="&amp;DATE(2026,7,1),'Daily Issuance'!$B$4:$B$991,"&lt;"&amp;DATE(2026,8,1)),0)</f>
        <v>0</v>
      </c>
      <c r="M20" s="95">
        <f>IFERROR(SUMIFS('Daily Issuance'!$O$4:$O$991,'Daily Issuance'!$I$4:$I$991,$A20,'Daily Issuance'!$E$4:$E$991,"Non Inventory",'Daily Issuance'!$B$4:$B$991,"&gt;="&amp;DATE(2026,7,1),'Daily Issuance'!$B$4:$B$991,"&lt;"&amp;DATE(2026,8,1)),0)</f>
        <v>0</v>
      </c>
      <c r="N20" s="95">
        <f>IFERROR(SUMIFS('Daily Issuance'!$O$4:$O$991,'Daily Issuance'!$I$4:$I$991,$A20,'Daily Issuance'!$E$4:$E$991,"Services",'Daily Issuance'!$B$4:$B$991,"&gt;="&amp;DATE(2026,7,1),'Daily Issuance'!$B$4:$B$991,"&lt;"&amp;DATE(2026,8,1)),0)</f>
        <v>0</v>
      </c>
      <c r="O20" s="95">
        <f>IFERROR(SUMIFS('Daily Issuance'!$O:$O,'Daily Issuance'!$I:$I,$A20,'Daily Issuance'!$E:$E,"Patty Cash",'Daily Issuance'!$B:$B,"&gt;="&amp;DATE(2026,7,1),'Daily Issuance'!$B:$B,"&lt;"&amp;DATE(2026,8,1)),0)</f>
        <v>0</v>
      </c>
      <c r="P20" s="92">
        <f t="shared" si="3"/>
        <v>0</v>
      </c>
      <c r="Q20" s="93">
        <f>IFERROR(SUMIFS('Daily Issuance'!$O$4:$O$991,'Daily Issuance'!$I$4:$I$991,$A20,'Daily Issuance'!$E$4:$E$991,"Inventory",'Daily Issuance'!$B$4:$B$991,"&gt;="&amp;DATE(2026,8,1),'Daily Issuance'!$B$4:$B$991,"&lt;"&amp;DATE(2026,9,1)),0)</f>
        <v>0</v>
      </c>
      <c r="R20" s="93">
        <f>IFERROR(SUMIFS('Daily Issuance'!$O$4:$O$991,'Daily Issuance'!$I$4:$I$991,$A20,'Daily Issuance'!$E$4:$E$991,"Non Inventory",'Daily Issuance'!$B$4:$B$991,"&gt;="&amp;DATE(2026,8,1),'Daily Issuance'!$B$4:$B$991,"&lt;"&amp;DATE(2026,9,1)),0)</f>
        <v>0</v>
      </c>
      <c r="S20" s="93">
        <f>IFERROR(SUMIFS('Daily Issuance'!$O$4:$O$991,'Daily Issuance'!$I$4:$I$991,$A20,'Daily Issuance'!$E$4:$E$991,"Services",'Daily Issuance'!$B$4:$B$991,"&gt;="&amp;DATE(2026,8,1),'Daily Issuance'!$B$4:$B$991,"&lt;"&amp;DATE(2026,9,1)),0)</f>
        <v>0</v>
      </c>
      <c r="T20" s="93">
        <f>IFERROR(SUMIFS('Daily Issuance'!$O:$O,'Daily Issuance'!$I:$I,$A20,'Daily Issuance'!$E:$E,"Patty Cash",'Daily Issuance'!$B:$B,"&gt;="&amp;DATE(2026,8,1),'Daily Issuance'!$B:$B,"&lt;"&amp;DATE(2026,9,1)),0)</f>
        <v>0</v>
      </c>
      <c r="U20" s="92">
        <f t="shared" si="4"/>
        <v>0</v>
      </c>
      <c r="V20" s="95">
        <f>IFERROR(SUMIFS('Daily Issuance'!$O$4:$O$991,'Daily Issuance'!$I$4:$I$991,$A20,'Daily Issuance'!$E$4:$E$991,"Inventory",'Daily Issuance'!$B$4:$B$991,"&gt;="&amp;DATE(2026,9,1),'Daily Issuance'!$B$4:$B$991,"&lt;"&amp;DATE(2026,10,1)),0)</f>
        <v>0</v>
      </c>
      <c r="W20" s="95">
        <f>IFERROR(SUMIFS('Daily Issuance'!$O$4:$O$991,'Daily Issuance'!$I$4:$I$991,$A20,'Daily Issuance'!$E$4:$E$991,"Non Inventory",'Daily Issuance'!$B$4:$B$991,"&gt;="&amp;DATE(2026,9,1),'Daily Issuance'!$B$4:$B$991,"&lt;"&amp;DATE(2026,10,1)),0)</f>
        <v>0</v>
      </c>
      <c r="X20" s="95">
        <f>IFERROR(SUMIFS('Daily Issuance'!$O$4:$O$991,'Daily Issuance'!$I$4:$I$991,$A20,'Daily Issuance'!$E$4:$E$991,"Services",'Daily Issuance'!$B$4:$B$991,"&gt;="&amp;DATE(2026,9,1),'Daily Issuance'!$B$4:$B$991,"&lt;"&amp;DATE(2026,10,1)),0)</f>
        <v>0</v>
      </c>
      <c r="Y20" s="95">
        <f>IFERROR(SUMIFS('Daily Issuance'!$O:$O,'Daily Issuance'!$I:$I,$A20,'Daily Issuance'!$E:$E,"Patty Cash",'Daily Issuance'!$B:$B,"&gt;="&amp;DATE(2026,9,1),'Daily Issuance'!$B:$B,"&lt;"&amp;DATE(2026,10,1)),0)</f>
        <v>0</v>
      </c>
      <c r="Z20" s="92">
        <f t="shared" si="5"/>
        <v>0</v>
      </c>
      <c r="AA20" s="93">
        <f>IFERROR(SUMIFS('Daily Issuance'!$O$4:$O$991,'Daily Issuance'!$I$4:$I$991,$A20,'Daily Issuance'!$E$4:$E$991,"Inventory",'Daily Issuance'!$B$4:$B$991,"&gt;="&amp;DATE(2026,10,1),'Daily Issuance'!$B$4:$B$991,"&lt;"&amp;DATE(2026,11,1)),0)</f>
        <v>0</v>
      </c>
      <c r="AB20" s="93">
        <f>IFERROR(SUMIFS('Daily Issuance'!$O$4:$O$991,'Daily Issuance'!$I$4:$I$991,$A20,'Daily Issuance'!$E$4:$E$991,"Non Inventory",'Daily Issuance'!$B$4:$B$991,"&gt;="&amp;DATE(2026,10,1),'Daily Issuance'!$B$4:$B$991,"&lt;"&amp;DATE(2026,11,1)),0)</f>
        <v>0</v>
      </c>
      <c r="AC20" s="93">
        <f>IFERROR(SUMIFS('Daily Issuance'!$O$4:$O$991,'Daily Issuance'!$I$4:$I$991,$A20,'Daily Issuance'!$E$4:$E$991,"Services",'Daily Issuance'!$B$4:$B$991,"&gt;="&amp;DATE(2026,10,1),'Daily Issuance'!$B$4:$B$991,"&lt;"&amp;DATE(2026,11,1)),0)</f>
        <v>0</v>
      </c>
      <c r="AD20" s="93">
        <f>IFERROR(SUMIFS('Daily Issuance'!$O:$O,'Daily Issuance'!$I:$I,$A20,'Daily Issuance'!$E:$E,"Patty Cash",'Daily Issuance'!$B:$B,"&gt;="&amp;DATE(2026,10,1),'Daily Issuance'!$B:$B,"&lt;"&amp;DATE(2026,11,1)),0)</f>
        <v>0</v>
      </c>
      <c r="AE20" s="92">
        <f t="shared" si="6"/>
        <v>0</v>
      </c>
      <c r="AF20" s="95">
        <f>IFERROR(SUMIFS('Daily Issuance'!$O$4:$O$991,'Daily Issuance'!$I$4:$I$991,$A20,'Daily Issuance'!$E$4:$E$991,"Inventory",'Daily Issuance'!$B$4:$B$991,"&gt;="&amp;DATE(2026,11,1),'Daily Issuance'!$B$4:$B$991,"&lt;"&amp;DATE(2026,12,1)),0)</f>
        <v>0</v>
      </c>
      <c r="AG20" s="95">
        <f>IFERROR(SUMIFS('Daily Issuance'!$O$4:$O$991,'Daily Issuance'!$I$4:$I$991,$A20,'Daily Issuance'!$E$4:$E$991,"Non Inventory",'Daily Issuance'!$B$4:$B$991,"&gt;="&amp;DATE(2026,11,1),'Daily Issuance'!$B$4:$B$991,"&lt;"&amp;DATE(2026,12,1)),0)</f>
        <v>0</v>
      </c>
      <c r="AH20" s="95">
        <f>IFERROR(SUMIFS('Daily Issuance'!$O$4:$O$991,'Daily Issuance'!$I$4:$I$991,$A20,'Daily Issuance'!$E$4:$E$991,"Services",'Daily Issuance'!$B$4:$B$991,"&gt;="&amp;DATE(2026,11,1),'Daily Issuance'!$B$4:$B$991,"&lt;"&amp;DATE(2026,12,1)),0)</f>
        <v>0</v>
      </c>
      <c r="AI20" s="95">
        <f>IFERROR(SUMIFS('Daily Issuance'!$O:$O,'Daily Issuance'!$I:$I,$A20,'Daily Issuance'!$E:$E,"Patty Cash",'Daily Issuance'!$B:$B,"&gt;="&amp;DATE(2026,11,1),'Daily Issuance'!$B:$B,"&lt;"&amp;DATE(2026,12,1)),0)</f>
        <v>0</v>
      </c>
      <c r="AJ20" s="92">
        <f t="shared" si="7"/>
        <v>0</v>
      </c>
      <c r="AK20" s="93">
        <f>IFERROR(SUMIFS('Daily Issuance'!$O$4:$O$991,'Daily Issuance'!$I$4:$I$991,$A20,'Daily Issuance'!$E$4:$E$991,"Inventory",'Daily Issuance'!$B$4:$B$991,"&gt;="&amp;DATE(2026,12,1),'Daily Issuance'!$B$4:$B$991,"&lt;"&amp;DATE(2027,1,1)),0)</f>
        <v>0</v>
      </c>
      <c r="AL20" s="93">
        <f>IFERROR(SUMIFS('Daily Issuance'!$O$4:$O$991,'Daily Issuance'!$I$4:$I$991,$A20,'Daily Issuance'!$E$4:$E$991,"Non Inventory",'Daily Issuance'!$B$4:$B$991,"&gt;="&amp;DATE(2026,12,1),'Daily Issuance'!$B$4:$B$991,"&lt;"&amp;DATE(2027,1,1)),0)</f>
        <v>0</v>
      </c>
      <c r="AM20" s="93">
        <f>IFERROR(SUMIFS('Daily Issuance'!$O$4:$O$991,'Daily Issuance'!$I$4:$I$991,$A20,'Daily Issuance'!$E$4:$E$991,"Services",'Daily Issuance'!$B$4:$B$991,"&gt;="&amp;DATE(2026,12,1),'Daily Issuance'!$B$4:$B$991,"&lt;"&amp;DATE(2027,1,1)),0)</f>
        <v>0</v>
      </c>
      <c r="AN20" s="93">
        <f>IFERROR(SUMIFS('Daily Issuance'!$O:$O,'Daily Issuance'!$I:$I,$A20,'Daily Issuance'!$E:$E,"Patty Cash",'Daily Issuance'!$B:$B,"&gt;="&amp;DATE(2026,12,1),'Daily Issuance'!$B:$B,"&lt;"&amp;DATE(2027,1,1)),0)</f>
        <v>0</v>
      </c>
      <c r="AO20" s="92">
        <f t="shared" si="8"/>
        <v>0</v>
      </c>
      <c r="AP20" s="103">
        <f t="shared" si="0"/>
        <v>1805</v>
      </c>
    </row>
    <row r="21" spans="1:42" ht="21" customHeight="1">
      <c r="A21" s="90" t="s">
        <v>54</v>
      </c>
      <c r="B21" s="91">
        <f>IFERROR(SUMIFS('Daily Issuance'!$O:$O,'Daily Issuance'!$I:$I,$A21,'Daily Issuance'!$E:$E,"Inventory",'Daily Issuance'!$B:$B,"&gt;="&amp;DATE(2026,5,1),'Daily Issuance'!$B:$B,"&lt;"&amp;DATE(2026,6,1)),0)</f>
        <v>1229250</v>
      </c>
      <c r="C21" s="91">
        <f>IFERROR(SUMIFS('Daily Issuance'!$O:$O,'Daily Issuance'!$I:$I,$A21,'Daily Issuance'!$E:$E,"Non Inventory",'Daily Issuance'!$B:$B,"&gt;="&amp;DATE(2026,5,1),'Daily Issuance'!$B:$B,"&lt;"&amp;DATE(2026,6,1)),0)</f>
        <v>2567</v>
      </c>
      <c r="D21" s="91">
        <f>IFERROR(SUMIFS('Daily Issuance'!$O:$O,'Daily Issuance'!$I:$I,$A21,'Daily Issuance'!$E:$E,"Services",'Daily Issuance'!$B:$B,"&gt;="&amp;DATE(2026,5,1),'Daily Issuance'!$B:$B,"&lt;"&amp;DATE(2026,6,1)),0)</f>
        <v>0</v>
      </c>
      <c r="E21" s="91">
        <f>IFERROR(SUMIFS('Daily Issuance'!$O:$O,'Daily Issuance'!$I:$I,$A21,'Daily Issuance'!$E:$E,"Patty Cash",'Daily Issuance'!$B:$B,"&gt;="&amp;DATE(2026,5,1),'Daily Issuance'!$B:$B,"&lt;"&amp;DATE(2026,6,1)),0)</f>
        <v>760</v>
      </c>
      <c r="F21" s="92">
        <f t="shared" si="1"/>
        <v>1232577</v>
      </c>
      <c r="G21" s="93">
        <f>IFERROR(SUMIFS('Daily Issuance'!$O$4:$O$991,'Daily Issuance'!$I$4:$I$991,$A21,'Daily Issuance'!$E$4:$E$991,"Inventory",'Daily Issuance'!$B$4:$B$991,"&gt;="&amp;DATE(2026,6,1),'Daily Issuance'!$B$4:$B$991,"&lt;"&amp;DATE(2026,7,1)),0)</f>
        <v>0</v>
      </c>
      <c r="H21" s="93">
        <f>IFERROR(SUMIFS('Daily Issuance'!$O$4:$O$991,'Daily Issuance'!$I$4:$I$991,$A21,'Daily Issuance'!$E$4:$E$991,"Non Inventory",'Daily Issuance'!$B$4:$B$991,"&gt;="&amp;DATE(2026,6,1),'Daily Issuance'!$B$4:$B$991,"&lt;"&amp;DATE(2026,7,1)),0)</f>
        <v>0</v>
      </c>
      <c r="I21" s="93">
        <f>IFERROR(SUMIFS('Daily Issuance'!$O$4:$O$991,'Daily Issuance'!$I$4:$I$991,$A21,'Daily Issuance'!$E$4:$E$991,"Services",'Daily Issuance'!$B$4:$B$991,"&gt;="&amp;DATE(2026,6,1),'Daily Issuance'!$B$4:$B$991,"&lt;"&amp;DATE(2026,7,1)),0)</f>
        <v>0</v>
      </c>
      <c r="J21" s="93">
        <f>IFERROR(SUMIFS('Daily Issuance'!$O:$O,'Daily Issuance'!$I:$I,$A21,'Daily Issuance'!$E:$E,"Patty Cash",'Daily Issuance'!$B:$B,"&gt;="&amp;DATE(2026,6,1),'Daily Issuance'!$B:$B,"&lt;"&amp;DATE(2026,7,1)),0)</f>
        <v>0</v>
      </c>
      <c r="K21" s="92">
        <f t="shared" si="2"/>
        <v>0</v>
      </c>
      <c r="L21" s="94">
        <f>IFERROR(SUMIFS('Daily Issuance'!$O$4:$O$991,'Daily Issuance'!$I$4:$I$991,$A21,'Daily Issuance'!$E$4:$E$991,"Inventory",'Daily Issuance'!$B$4:$B$991,"&gt;="&amp;DATE(2026,7,1),'Daily Issuance'!$B$4:$B$991,"&lt;"&amp;DATE(2026,8,1)),0)</f>
        <v>0</v>
      </c>
      <c r="M21" s="95">
        <f>IFERROR(SUMIFS('Daily Issuance'!$O$4:$O$991,'Daily Issuance'!$I$4:$I$991,$A21,'Daily Issuance'!$E$4:$E$991,"Non Inventory",'Daily Issuance'!$B$4:$B$991,"&gt;="&amp;DATE(2026,7,1),'Daily Issuance'!$B$4:$B$991,"&lt;"&amp;DATE(2026,8,1)),0)</f>
        <v>0</v>
      </c>
      <c r="N21" s="95">
        <f>IFERROR(SUMIFS('Daily Issuance'!$O$4:$O$991,'Daily Issuance'!$I$4:$I$991,$A21,'Daily Issuance'!$E$4:$E$991,"Services",'Daily Issuance'!$B$4:$B$991,"&gt;="&amp;DATE(2026,7,1),'Daily Issuance'!$B$4:$B$991,"&lt;"&amp;DATE(2026,8,1)),0)</f>
        <v>0</v>
      </c>
      <c r="O21" s="95">
        <f>IFERROR(SUMIFS('Daily Issuance'!$O:$O,'Daily Issuance'!$I:$I,$A21,'Daily Issuance'!$E:$E,"Patty Cash",'Daily Issuance'!$B:$B,"&gt;="&amp;DATE(2026,7,1),'Daily Issuance'!$B:$B,"&lt;"&amp;DATE(2026,8,1)),0)</f>
        <v>0</v>
      </c>
      <c r="P21" s="92">
        <f t="shared" si="3"/>
        <v>0</v>
      </c>
      <c r="Q21" s="93">
        <f>IFERROR(SUMIFS('Daily Issuance'!$O$4:$O$991,'Daily Issuance'!$I$4:$I$991,$A21,'Daily Issuance'!$E$4:$E$991,"Inventory",'Daily Issuance'!$B$4:$B$991,"&gt;="&amp;DATE(2026,8,1),'Daily Issuance'!$B$4:$B$991,"&lt;"&amp;DATE(2026,9,1)),0)</f>
        <v>0</v>
      </c>
      <c r="R21" s="93">
        <f>IFERROR(SUMIFS('Daily Issuance'!$O$4:$O$991,'Daily Issuance'!$I$4:$I$991,$A21,'Daily Issuance'!$E$4:$E$991,"Non Inventory",'Daily Issuance'!$B$4:$B$991,"&gt;="&amp;DATE(2026,8,1),'Daily Issuance'!$B$4:$B$991,"&lt;"&amp;DATE(2026,9,1)),0)</f>
        <v>0</v>
      </c>
      <c r="S21" s="93">
        <f>IFERROR(SUMIFS('Daily Issuance'!$O$4:$O$991,'Daily Issuance'!$I$4:$I$991,$A21,'Daily Issuance'!$E$4:$E$991,"Services",'Daily Issuance'!$B$4:$B$991,"&gt;="&amp;DATE(2026,8,1),'Daily Issuance'!$B$4:$B$991,"&lt;"&amp;DATE(2026,9,1)),0)</f>
        <v>0</v>
      </c>
      <c r="T21" s="93">
        <f>IFERROR(SUMIFS('Daily Issuance'!$O:$O,'Daily Issuance'!$I:$I,$A21,'Daily Issuance'!$E:$E,"Patty Cash",'Daily Issuance'!$B:$B,"&gt;="&amp;DATE(2026,8,1),'Daily Issuance'!$B:$B,"&lt;"&amp;DATE(2026,9,1)),0)</f>
        <v>0</v>
      </c>
      <c r="U21" s="92">
        <f t="shared" si="4"/>
        <v>0</v>
      </c>
      <c r="V21" s="95">
        <f>IFERROR(SUMIFS('Daily Issuance'!$O$4:$O$991,'Daily Issuance'!$I$4:$I$991,$A21,'Daily Issuance'!$E$4:$E$991,"Inventory",'Daily Issuance'!$B$4:$B$991,"&gt;="&amp;DATE(2026,9,1),'Daily Issuance'!$B$4:$B$991,"&lt;"&amp;DATE(2026,10,1)),0)</f>
        <v>0</v>
      </c>
      <c r="W21" s="95">
        <f>IFERROR(SUMIFS('Daily Issuance'!$O$4:$O$991,'Daily Issuance'!$I$4:$I$991,$A21,'Daily Issuance'!$E$4:$E$991,"Non Inventory",'Daily Issuance'!$B$4:$B$991,"&gt;="&amp;DATE(2026,9,1),'Daily Issuance'!$B$4:$B$991,"&lt;"&amp;DATE(2026,10,1)),0)</f>
        <v>0</v>
      </c>
      <c r="X21" s="95">
        <f>IFERROR(SUMIFS('Daily Issuance'!$O$4:$O$991,'Daily Issuance'!$I$4:$I$991,$A21,'Daily Issuance'!$E$4:$E$991,"Services",'Daily Issuance'!$B$4:$B$991,"&gt;="&amp;DATE(2026,9,1),'Daily Issuance'!$B$4:$B$991,"&lt;"&amp;DATE(2026,10,1)),0)</f>
        <v>0</v>
      </c>
      <c r="Y21" s="95">
        <f>IFERROR(SUMIFS('Daily Issuance'!$O:$O,'Daily Issuance'!$I:$I,$A21,'Daily Issuance'!$E:$E,"Patty Cash",'Daily Issuance'!$B:$B,"&gt;="&amp;DATE(2026,9,1),'Daily Issuance'!$B:$B,"&lt;"&amp;DATE(2026,10,1)),0)</f>
        <v>0</v>
      </c>
      <c r="Z21" s="92">
        <f t="shared" si="5"/>
        <v>0</v>
      </c>
      <c r="AA21" s="93">
        <f>IFERROR(SUMIFS('Daily Issuance'!$O$4:$O$991,'Daily Issuance'!$I$4:$I$991,$A21,'Daily Issuance'!$E$4:$E$991,"Inventory",'Daily Issuance'!$B$4:$B$991,"&gt;="&amp;DATE(2026,10,1),'Daily Issuance'!$B$4:$B$991,"&lt;"&amp;DATE(2026,11,1)),0)</f>
        <v>0</v>
      </c>
      <c r="AB21" s="93">
        <f>IFERROR(SUMIFS('Daily Issuance'!$O$4:$O$991,'Daily Issuance'!$I$4:$I$991,$A21,'Daily Issuance'!$E$4:$E$991,"Non Inventory",'Daily Issuance'!$B$4:$B$991,"&gt;="&amp;DATE(2026,10,1),'Daily Issuance'!$B$4:$B$991,"&lt;"&amp;DATE(2026,11,1)),0)</f>
        <v>0</v>
      </c>
      <c r="AC21" s="93">
        <f>IFERROR(SUMIFS('Daily Issuance'!$O$4:$O$991,'Daily Issuance'!$I$4:$I$991,$A21,'Daily Issuance'!$E$4:$E$991,"Services",'Daily Issuance'!$B$4:$B$991,"&gt;="&amp;DATE(2026,10,1),'Daily Issuance'!$B$4:$B$991,"&lt;"&amp;DATE(2026,11,1)),0)</f>
        <v>0</v>
      </c>
      <c r="AD21" s="93">
        <f>IFERROR(SUMIFS('Daily Issuance'!$O:$O,'Daily Issuance'!$I:$I,$A21,'Daily Issuance'!$E:$E,"Patty Cash",'Daily Issuance'!$B:$B,"&gt;="&amp;DATE(2026,10,1),'Daily Issuance'!$B:$B,"&lt;"&amp;DATE(2026,11,1)),0)</f>
        <v>0</v>
      </c>
      <c r="AE21" s="92">
        <f t="shared" si="6"/>
        <v>0</v>
      </c>
      <c r="AF21" s="95">
        <f>IFERROR(SUMIFS('Daily Issuance'!$O$4:$O$991,'Daily Issuance'!$I$4:$I$991,$A21,'Daily Issuance'!$E$4:$E$991,"Inventory",'Daily Issuance'!$B$4:$B$991,"&gt;="&amp;DATE(2026,11,1),'Daily Issuance'!$B$4:$B$991,"&lt;"&amp;DATE(2026,12,1)),0)</f>
        <v>0</v>
      </c>
      <c r="AG21" s="95">
        <f>IFERROR(SUMIFS('Daily Issuance'!$O$4:$O$991,'Daily Issuance'!$I$4:$I$991,$A21,'Daily Issuance'!$E$4:$E$991,"Non Inventory",'Daily Issuance'!$B$4:$B$991,"&gt;="&amp;DATE(2026,11,1),'Daily Issuance'!$B$4:$B$991,"&lt;"&amp;DATE(2026,12,1)),0)</f>
        <v>0</v>
      </c>
      <c r="AH21" s="95">
        <f>IFERROR(SUMIFS('Daily Issuance'!$O$4:$O$991,'Daily Issuance'!$I$4:$I$991,$A21,'Daily Issuance'!$E$4:$E$991,"Services",'Daily Issuance'!$B$4:$B$991,"&gt;="&amp;DATE(2026,11,1),'Daily Issuance'!$B$4:$B$991,"&lt;"&amp;DATE(2026,12,1)),0)</f>
        <v>0</v>
      </c>
      <c r="AI21" s="95">
        <f>IFERROR(SUMIFS('Daily Issuance'!$O:$O,'Daily Issuance'!$I:$I,$A21,'Daily Issuance'!$E:$E,"Patty Cash",'Daily Issuance'!$B:$B,"&gt;="&amp;DATE(2026,11,1),'Daily Issuance'!$B:$B,"&lt;"&amp;DATE(2026,12,1)),0)</f>
        <v>0</v>
      </c>
      <c r="AJ21" s="92">
        <f t="shared" si="7"/>
        <v>0</v>
      </c>
      <c r="AK21" s="93">
        <f>IFERROR(SUMIFS('Daily Issuance'!$O$4:$O$991,'Daily Issuance'!$I$4:$I$991,$A21,'Daily Issuance'!$E$4:$E$991,"Inventory",'Daily Issuance'!$B$4:$B$991,"&gt;="&amp;DATE(2026,12,1),'Daily Issuance'!$B$4:$B$991,"&lt;"&amp;DATE(2027,1,1)),0)</f>
        <v>0</v>
      </c>
      <c r="AL21" s="93">
        <f>IFERROR(SUMIFS('Daily Issuance'!$O$4:$O$991,'Daily Issuance'!$I$4:$I$991,$A21,'Daily Issuance'!$E$4:$E$991,"Non Inventory",'Daily Issuance'!$B$4:$B$991,"&gt;="&amp;DATE(2026,12,1),'Daily Issuance'!$B$4:$B$991,"&lt;"&amp;DATE(2027,1,1)),0)</f>
        <v>0</v>
      </c>
      <c r="AM21" s="93">
        <f>IFERROR(SUMIFS('Daily Issuance'!$O$4:$O$991,'Daily Issuance'!$I$4:$I$991,$A21,'Daily Issuance'!$E$4:$E$991,"Services",'Daily Issuance'!$B$4:$B$991,"&gt;="&amp;DATE(2026,12,1),'Daily Issuance'!$B$4:$B$991,"&lt;"&amp;DATE(2027,1,1)),0)</f>
        <v>0</v>
      </c>
      <c r="AN21" s="93">
        <f>IFERROR(SUMIFS('Daily Issuance'!$O:$O,'Daily Issuance'!$I:$I,$A21,'Daily Issuance'!$E:$E,"Patty Cash",'Daily Issuance'!$B:$B,"&gt;="&amp;DATE(2026,12,1),'Daily Issuance'!$B:$B,"&lt;"&amp;DATE(2027,1,1)),0)</f>
        <v>0</v>
      </c>
      <c r="AO21" s="92">
        <f t="shared" si="8"/>
        <v>0</v>
      </c>
      <c r="AP21" s="103">
        <f t="shared" si="0"/>
        <v>1232577</v>
      </c>
    </row>
    <row r="22" spans="1:42" ht="21" customHeight="1">
      <c r="A22" s="90" t="s">
        <v>55</v>
      </c>
      <c r="B22" s="91">
        <f>IFERROR(SUMIFS('Daily Issuance'!$O:$O,'Daily Issuance'!$I:$I,$A22,'Daily Issuance'!$E:$E,"Inventory",'Daily Issuance'!$B:$B,"&gt;="&amp;DATE(2026,5,1),'Daily Issuance'!$B:$B,"&lt;"&amp;DATE(2026,6,1)),0)</f>
        <v>0</v>
      </c>
      <c r="C22" s="91">
        <f>IFERROR(SUMIFS('Daily Issuance'!$O:$O,'Daily Issuance'!$I:$I,$A22,'Daily Issuance'!$E:$E,"Non Inventory",'Daily Issuance'!$B:$B,"&gt;="&amp;DATE(2026,5,1),'Daily Issuance'!$B:$B,"&lt;"&amp;DATE(2026,6,1)),0)</f>
        <v>1624</v>
      </c>
      <c r="D22" s="91">
        <f>IFERROR(SUMIFS('Daily Issuance'!$O:$O,'Daily Issuance'!$I:$I,$A22,'Daily Issuance'!$E:$E,"Services",'Daily Issuance'!$B:$B,"&gt;="&amp;DATE(2026,5,1),'Daily Issuance'!$B:$B,"&lt;"&amp;DATE(2026,6,1)),0)</f>
        <v>0</v>
      </c>
      <c r="E22" s="91">
        <f>IFERROR(SUMIFS('Daily Issuance'!$O:$O,'Daily Issuance'!$I:$I,$A22,'Daily Issuance'!$E:$E,"Patty Cash",'Daily Issuance'!$B:$B,"&gt;="&amp;DATE(2026,5,1),'Daily Issuance'!$B:$B,"&lt;"&amp;DATE(2026,6,1)),0)</f>
        <v>0</v>
      </c>
      <c r="F22" s="92">
        <f t="shared" si="1"/>
        <v>1624</v>
      </c>
      <c r="G22" s="93">
        <f>IFERROR(SUMIFS('Daily Issuance'!$O$4:$O$991,'Daily Issuance'!$I$4:$I$991,$A22,'Daily Issuance'!$E$4:$E$991,"Inventory",'Daily Issuance'!$B$4:$B$991,"&gt;="&amp;DATE(2026,6,1),'Daily Issuance'!$B$4:$B$991,"&lt;"&amp;DATE(2026,7,1)),0)</f>
        <v>0</v>
      </c>
      <c r="H22" s="93">
        <f>IFERROR(SUMIFS('Daily Issuance'!$O$4:$O$991,'Daily Issuance'!$I$4:$I$991,$A22,'Daily Issuance'!$E$4:$E$991,"Non Inventory",'Daily Issuance'!$B$4:$B$991,"&gt;="&amp;DATE(2026,6,1),'Daily Issuance'!$B$4:$B$991,"&lt;"&amp;DATE(2026,7,1)),0)</f>
        <v>432</v>
      </c>
      <c r="I22" s="93">
        <f>IFERROR(SUMIFS('Daily Issuance'!$O$4:$O$991,'Daily Issuance'!$I$4:$I$991,$A22,'Daily Issuance'!$E$4:$E$991,"Services",'Daily Issuance'!$B$4:$B$991,"&gt;="&amp;DATE(2026,6,1),'Daily Issuance'!$B$4:$B$991,"&lt;"&amp;DATE(2026,7,1)),0)</f>
        <v>0</v>
      </c>
      <c r="J22" s="93">
        <f>IFERROR(SUMIFS('Daily Issuance'!$O:$O,'Daily Issuance'!$I:$I,$A22,'Daily Issuance'!$E:$E,"Patty Cash",'Daily Issuance'!$B:$B,"&gt;="&amp;DATE(2026,6,1),'Daily Issuance'!$B:$B,"&lt;"&amp;DATE(2026,7,1)),0)</f>
        <v>0</v>
      </c>
      <c r="K22" s="92">
        <f t="shared" si="2"/>
        <v>432</v>
      </c>
      <c r="L22" s="94">
        <f>IFERROR(SUMIFS('Daily Issuance'!$O$4:$O$991,'Daily Issuance'!$I$4:$I$991,$A22,'Daily Issuance'!$E$4:$E$991,"Inventory",'Daily Issuance'!$B$4:$B$991,"&gt;="&amp;DATE(2026,7,1),'Daily Issuance'!$B$4:$B$991,"&lt;"&amp;DATE(2026,8,1)),0)</f>
        <v>0</v>
      </c>
      <c r="M22" s="95">
        <f>IFERROR(SUMIFS('Daily Issuance'!$O$4:$O$991,'Daily Issuance'!$I$4:$I$991,$A22,'Daily Issuance'!$E$4:$E$991,"Non Inventory",'Daily Issuance'!$B$4:$B$991,"&gt;="&amp;DATE(2026,7,1),'Daily Issuance'!$B$4:$B$991,"&lt;"&amp;DATE(2026,8,1)),0)</f>
        <v>0</v>
      </c>
      <c r="N22" s="95">
        <f>IFERROR(SUMIFS('Daily Issuance'!$O$4:$O$991,'Daily Issuance'!$I$4:$I$991,$A22,'Daily Issuance'!$E$4:$E$991,"Services",'Daily Issuance'!$B$4:$B$991,"&gt;="&amp;DATE(2026,7,1),'Daily Issuance'!$B$4:$B$991,"&lt;"&amp;DATE(2026,8,1)),0)</f>
        <v>0</v>
      </c>
      <c r="O22" s="95">
        <f>IFERROR(SUMIFS('Daily Issuance'!$O:$O,'Daily Issuance'!$I:$I,$A22,'Daily Issuance'!$E:$E,"Patty Cash",'Daily Issuance'!$B:$B,"&gt;="&amp;DATE(2026,7,1),'Daily Issuance'!$B:$B,"&lt;"&amp;DATE(2026,8,1)),0)</f>
        <v>0</v>
      </c>
      <c r="P22" s="92">
        <f t="shared" si="3"/>
        <v>0</v>
      </c>
      <c r="Q22" s="93">
        <f>IFERROR(SUMIFS('Daily Issuance'!$O$4:$O$991,'Daily Issuance'!$I$4:$I$991,$A22,'Daily Issuance'!$E$4:$E$991,"Inventory",'Daily Issuance'!$B$4:$B$991,"&gt;="&amp;DATE(2026,8,1),'Daily Issuance'!$B$4:$B$991,"&lt;"&amp;DATE(2026,9,1)),0)</f>
        <v>0</v>
      </c>
      <c r="R22" s="93">
        <f>IFERROR(SUMIFS('Daily Issuance'!$O$4:$O$991,'Daily Issuance'!$I$4:$I$991,$A22,'Daily Issuance'!$E$4:$E$991,"Non Inventory",'Daily Issuance'!$B$4:$B$991,"&gt;="&amp;DATE(2026,8,1),'Daily Issuance'!$B$4:$B$991,"&lt;"&amp;DATE(2026,9,1)),0)</f>
        <v>0</v>
      </c>
      <c r="S22" s="93">
        <f>IFERROR(SUMIFS('Daily Issuance'!$O$4:$O$991,'Daily Issuance'!$I$4:$I$991,$A22,'Daily Issuance'!$E$4:$E$991,"Services",'Daily Issuance'!$B$4:$B$991,"&gt;="&amp;DATE(2026,8,1),'Daily Issuance'!$B$4:$B$991,"&lt;"&amp;DATE(2026,9,1)),0)</f>
        <v>0</v>
      </c>
      <c r="T22" s="93">
        <f>IFERROR(SUMIFS('Daily Issuance'!$O:$O,'Daily Issuance'!$I:$I,$A22,'Daily Issuance'!$E:$E,"Patty Cash",'Daily Issuance'!$B:$B,"&gt;="&amp;DATE(2026,8,1),'Daily Issuance'!$B:$B,"&lt;"&amp;DATE(2026,9,1)),0)</f>
        <v>0</v>
      </c>
      <c r="U22" s="92">
        <f t="shared" si="4"/>
        <v>0</v>
      </c>
      <c r="V22" s="95">
        <f>IFERROR(SUMIFS('Daily Issuance'!$O$4:$O$991,'Daily Issuance'!$I$4:$I$991,$A22,'Daily Issuance'!$E$4:$E$991,"Inventory",'Daily Issuance'!$B$4:$B$991,"&gt;="&amp;DATE(2026,9,1),'Daily Issuance'!$B$4:$B$991,"&lt;"&amp;DATE(2026,10,1)),0)</f>
        <v>0</v>
      </c>
      <c r="W22" s="95">
        <f>IFERROR(SUMIFS('Daily Issuance'!$O$4:$O$991,'Daily Issuance'!$I$4:$I$991,$A22,'Daily Issuance'!$E$4:$E$991,"Non Inventory",'Daily Issuance'!$B$4:$B$991,"&gt;="&amp;DATE(2026,9,1),'Daily Issuance'!$B$4:$B$991,"&lt;"&amp;DATE(2026,10,1)),0)</f>
        <v>0</v>
      </c>
      <c r="X22" s="95">
        <f>IFERROR(SUMIFS('Daily Issuance'!$O$4:$O$991,'Daily Issuance'!$I$4:$I$991,$A22,'Daily Issuance'!$E$4:$E$991,"Services",'Daily Issuance'!$B$4:$B$991,"&gt;="&amp;DATE(2026,9,1),'Daily Issuance'!$B$4:$B$991,"&lt;"&amp;DATE(2026,10,1)),0)</f>
        <v>0</v>
      </c>
      <c r="Y22" s="95">
        <f>IFERROR(SUMIFS('Daily Issuance'!$O:$O,'Daily Issuance'!$I:$I,$A22,'Daily Issuance'!$E:$E,"Patty Cash",'Daily Issuance'!$B:$B,"&gt;="&amp;DATE(2026,9,1),'Daily Issuance'!$B:$B,"&lt;"&amp;DATE(2026,10,1)),0)</f>
        <v>0</v>
      </c>
      <c r="Z22" s="92">
        <f t="shared" si="5"/>
        <v>0</v>
      </c>
      <c r="AA22" s="93">
        <f>IFERROR(SUMIFS('Daily Issuance'!$O$4:$O$991,'Daily Issuance'!$I$4:$I$991,$A22,'Daily Issuance'!$E$4:$E$991,"Inventory",'Daily Issuance'!$B$4:$B$991,"&gt;="&amp;DATE(2026,10,1),'Daily Issuance'!$B$4:$B$991,"&lt;"&amp;DATE(2026,11,1)),0)</f>
        <v>0</v>
      </c>
      <c r="AB22" s="93">
        <f>IFERROR(SUMIFS('Daily Issuance'!$O$4:$O$991,'Daily Issuance'!$I$4:$I$991,$A22,'Daily Issuance'!$E$4:$E$991,"Non Inventory",'Daily Issuance'!$B$4:$B$991,"&gt;="&amp;DATE(2026,10,1),'Daily Issuance'!$B$4:$B$991,"&lt;"&amp;DATE(2026,11,1)),0)</f>
        <v>0</v>
      </c>
      <c r="AC22" s="93">
        <f>IFERROR(SUMIFS('Daily Issuance'!$O$4:$O$991,'Daily Issuance'!$I$4:$I$991,$A22,'Daily Issuance'!$E$4:$E$991,"Services",'Daily Issuance'!$B$4:$B$991,"&gt;="&amp;DATE(2026,10,1),'Daily Issuance'!$B$4:$B$991,"&lt;"&amp;DATE(2026,11,1)),0)</f>
        <v>0</v>
      </c>
      <c r="AD22" s="93">
        <f>IFERROR(SUMIFS('Daily Issuance'!$O:$O,'Daily Issuance'!$I:$I,$A22,'Daily Issuance'!$E:$E,"Patty Cash",'Daily Issuance'!$B:$B,"&gt;="&amp;DATE(2026,10,1),'Daily Issuance'!$B:$B,"&lt;"&amp;DATE(2026,11,1)),0)</f>
        <v>0</v>
      </c>
      <c r="AE22" s="92">
        <f t="shared" si="6"/>
        <v>0</v>
      </c>
      <c r="AF22" s="95">
        <f>IFERROR(SUMIFS('Daily Issuance'!$O$4:$O$991,'Daily Issuance'!$I$4:$I$991,$A22,'Daily Issuance'!$E$4:$E$991,"Inventory",'Daily Issuance'!$B$4:$B$991,"&gt;="&amp;DATE(2026,11,1),'Daily Issuance'!$B$4:$B$991,"&lt;"&amp;DATE(2026,12,1)),0)</f>
        <v>0</v>
      </c>
      <c r="AG22" s="95">
        <f>IFERROR(SUMIFS('Daily Issuance'!$O$4:$O$991,'Daily Issuance'!$I$4:$I$991,$A22,'Daily Issuance'!$E$4:$E$991,"Non Inventory",'Daily Issuance'!$B$4:$B$991,"&gt;="&amp;DATE(2026,11,1),'Daily Issuance'!$B$4:$B$991,"&lt;"&amp;DATE(2026,12,1)),0)</f>
        <v>0</v>
      </c>
      <c r="AH22" s="95">
        <f>IFERROR(SUMIFS('Daily Issuance'!$O$4:$O$991,'Daily Issuance'!$I$4:$I$991,$A22,'Daily Issuance'!$E$4:$E$991,"Services",'Daily Issuance'!$B$4:$B$991,"&gt;="&amp;DATE(2026,11,1),'Daily Issuance'!$B$4:$B$991,"&lt;"&amp;DATE(2026,12,1)),0)</f>
        <v>0</v>
      </c>
      <c r="AI22" s="95">
        <f>IFERROR(SUMIFS('Daily Issuance'!$O:$O,'Daily Issuance'!$I:$I,$A22,'Daily Issuance'!$E:$E,"Patty Cash",'Daily Issuance'!$B:$B,"&gt;="&amp;DATE(2026,11,1),'Daily Issuance'!$B:$B,"&lt;"&amp;DATE(2026,12,1)),0)</f>
        <v>0</v>
      </c>
      <c r="AJ22" s="92">
        <f t="shared" si="7"/>
        <v>0</v>
      </c>
      <c r="AK22" s="93">
        <f>IFERROR(SUMIFS('Daily Issuance'!$O$4:$O$991,'Daily Issuance'!$I$4:$I$991,$A22,'Daily Issuance'!$E$4:$E$991,"Inventory",'Daily Issuance'!$B$4:$B$991,"&gt;="&amp;DATE(2026,12,1),'Daily Issuance'!$B$4:$B$991,"&lt;"&amp;DATE(2027,1,1)),0)</f>
        <v>0</v>
      </c>
      <c r="AL22" s="93">
        <f>IFERROR(SUMIFS('Daily Issuance'!$O$4:$O$991,'Daily Issuance'!$I$4:$I$991,$A22,'Daily Issuance'!$E$4:$E$991,"Non Inventory",'Daily Issuance'!$B$4:$B$991,"&gt;="&amp;DATE(2026,12,1),'Daily Issuance'!$B$4:$B$991,"&lt;"&amp;DATE(2027,1,1)),0)</f>
        <v>0</v>
      </c>
      <c r="AM22" s="93">
        <f>IFERROR(SUMIFS('Daily Issuance'!$O$4:$O$991,'Daily Issuance'!$I$4:$I$991,$A22,'Daily Issuance'!$E$4:$E$991,"Services",'Daily Issuance'!$B$4:$B$991,"&gt;="&amp;DATE(2026,12,1),'Daily Issuance'!$B$4:$B$991,"&lt;"&amp;DATE(2027,1,1)),0)</f>
        <v>0</v>
      </c>
      <c r="AN22" s="93">
        <f>IFERROR(SUMIFS('Daily Issuance'!$O:$O,'Daily Issuance'!$I:$I,$A22,'Daily Issuance'!$E:$E,"Patty Cash",'Daily Issuance'!$B:$B,"&gt;="&amp;DATE(2026,12,1),'Daily Issuance'!$B:$B,"&lt;"&amp;DATE(2027,1,1)),0)</f>
        <v>0</v>
      </c>
      <c r="AO22" s="92">
        <f t="shared" si="8"/>
        <v>0</v>
      </c>
      <c r="AP22" s="103">
        <f t="shared" si="0"/>
        <v>2056</v>
      </c>
    </row>
    <row r="23" spans="1:42" ht="21" customHeight="1">
      <c r="A23" s="90" t="s">
        <v>56</v>
      </c>
      <c r="B23" s="91">
        <f>IFERROR(SUMIFS('Daily Issuance'!$O:$O,'Daily Issuance'!$I:$I,$A23,'Daily Issuance'!$E:$E,"Inventory",'Daily Issuance'!$B:$B,"&gt;="&amp;DATE(2026,5,1),'Daily Issuance'!$B:$B,"&lt;"&amp;DATE(2026,6,1)),0)</f>
        <v>0</v>
      </c>
      <c r="C23" s="91">
        <f>IFERROR(SUMIFS('Daily Issuance'!$O:$O,'Daily Issuance'!$I:$I,$A23,'Daily Issuance'!$E:$E,"Non Inventory",'Daily Issuance'!$B:$B,"&gt;="&amp;DATE(2026,5,1),'Daily Issuance'!$B:$B,"&lt;"&amp;DATE(2026,6,1)),0)</f>
        <v>230</v>
      </c>
      <c r="D23" s="91">
        <f>IFERROR(SUMIFS('Daily Issuance'!$O:$O,'Daily Issuance'!$I:$I,$A23,'Daily Issuance'!$E:$E,"Services",'Daily Issuance'!$B:$B,"&gt;="&amp;DATE(2026,5,1),'Daily Issuance'!$B:$B,"&lt;"&amp;DATE(2026,6,1)),0)</f>
        <v>0</v>
      </c>
      <c r="E23" s="91">
        <f>IFERROR(SUMIFS('Daily Issuance'!$O:$O,'Daily Issuance'!$I:$I,$A23,'Daily Issuance'!$E:$E,"Patty Cash",'Daily Issuance'!$B:$B,"&gt;="&amp;DATE(2026,5,1),'Daily Issuance'!$B:$B,"&lt;"&amp;DATE(2026,6,1)),0)</f>
        <v>0</v>
      </c>
      <c r="F23" s="92">
        <f t="shared" si="1"/>
        <v>230</v>
      </c>
      <c r="G23" s="93">
        <f>IFERROR(SUMIFS('Daily Issuance'!$O$4:$O$991,'Daily Issuance'!$I$4:$I$991,$A23,'Daily Issuance'!$E$4:$E$991,"Inventory",'Daily Issuance'!$B$4:$B$991,"&gt;="&amp;DATE(2026,6,1),'Daily Issuance'!$B$4:$B$991,"&lt;"&amp;DATE(2026,7,1)),0)</f>
        <v>0</v>
      </c>
      <c r="H23" s="93">
        <f>IFERROR(SUMIFS('Daily Issuance'!$O$4:$O$991,'Daily Issuance'!$I$4:$I$991,$A23,'Daily Issuance'!$E$4:$E$991,"Non Inventory",'Daily Issuance'!$B$4:$B$991,"&gt;="&amp;DATE(2026,6,1),'Daily Issuance'!$B$4:$B$991,"&lt;"&amp;DATE(2026,7,1)),0)</f>
        <v>0</v>
      </c>
      <c r="I23" s="93">
        <f>IFERROR(SUMIFS('Daily Issuance'!$O$4:$O$991,'Daily Issuance'!$I$4:$I$991,$A23,'Daily Issuance'!$E$4:$E$991,"Services",'Daily Issuance'!$B$4:$B$991,"&gt;="&amp;DATE(2026,6,1),'Daily Issuance'!$B$4:$B$991,"&lt;"&amp;DATE(2026,7,1)),0)</f>
        <v>0</v>
      </c>
      <c r="J23" s="93">
        <f>IFERROR(SUMIFS('Daily Issuance'!$O:$O,'Daily Issuance'!$I:$I,$A23,'Daily Issuance'!$E:$E,"Patty Cash",'Daily Issuance'!$B:$B,"&gt;="&amp;DATE(2026,6,1),'Daily Issuance'!$B:$B,"&lt;"&amp;DATE(2026,7,1)),0)</f>
        <v>0</v>
      </c>
      <c r="K23" s="92">
        <f t="shared" si="2"/>
        <v>0</v>
      </c>
      <c r="L23" s="94">
        <f>IFERROR(SUMIFS('Daily Issuance'!$O$4:$O$991,'Daily Issuance'!$I$4:$I$991,$A23,'Daily Issuance'!$E$4:$E$991,"Inventory",'Daily Issuance'!$B$4:$B$991,"&gt;="&amp;DATE(2026,7,1),'Daily Issuance'!$B$4:$B$991,"&lt;"&amp;DATE(2026,8,1)),0)</f>
        <v>0</v>
      </c>
      <c r="M23" s="95">
        <f>IFERROR(SUMIFS('Daily Issuance'!$O$4:$O$991,'Daily Issuance'!$I$4:$I$991,$A23,'Daily Issuance'!$E$4:$E$991,"Non Inventory",'Daily Issuance'!$B$4:$B$991,"&gt;="&amp;DATE(2026,7,1),'Daily Issuance'!$B$4:$B$991,"&lt;"&amp;DATE(2026,8,1)),0)</f>
        <v>0</v>
      </c>
      <c r="N23" s="95">
        <f>IFERROR(SUMIFS('Daily Issuance'!$O$4:$O$991,'Daily Issuance'!$I$4:$I$991,$A23,'Daily Issuance'!$E$4:$E$991,"Services",'Daily Issuance'!$B$4:$B$991,"&gt;="&amp;DATE(2026,7,1),'Daily Issuance'!$B$4:$B$991,"&lt;"&amp;DATE(2026,8,1)),0)</f>
        <v>0</v>
      </c>
      <c r="O23" s="95">
        <f>IFERROR(SUMIFS('Daily Issuance'!$O:$O,'Daily Issuance'!$I:$I,$A23,'Daily Issuance'!$E:$E,"Patty Cash",'Daily Issuance'!$B:$B,"&gt;="&amp;DATE(2026,7,1),'Daily Issuance'!$B:$B,"&lt;"&amp;DATE(2026,8,1)),0)</f>
        <v>0</v>
      </c>
      <c r="P23" s="92">
        <f t="shared" si="3"/>
        <v>0</v>
      </c>
      <c r="Q23" s="93">
        <f>IFERROR(SUMIFS('Daily Issuance'!$O$4:$O$991,'Daily Issuance'!$I$4:$I$991,$A23,'Daily Issuance'!$E$4:$E$991,"Inventory",'Daily Issuance'!$B$4:$B$991,"&gt;="&amp;DATE(2026,8,1),'Daily Issuance'!$B$4:$B$991,"&lt;"&amp;DATE(2026,9,1)),0)</f>
        <v>0</v>
      </c>
      <c r="R23" s="93">
        <f>IFERROR(SUMIFS('Daily Issuance'!$O$4:$O$991,'Daily Issuance'!$I$4:$I$991,$A23,'Daily Issuance'!$E$4:$E$991,"Non Inventory",'Daily Issuance'!$B$4:$B$991,"&gt;="&amp;DATE(2026,8,1),'Daily Issuance'!$B$4:$B$991,"&lt;"&amp;DATE(2026,9,1)),0)</f>
        <v>0</v>
      </c>
      <c r="S23" s="93">
        <f>IFERROR(SUMIFS('Daily Issuance'!$O$4:$O$991,'Daily Issuance'!$I$4:$I$991,$A23,'Daily Issuance'!$E$4:$E$991,"Services",'Daily Issuance'!$B$4:$B$991,"&gt;="&amp;DATE(2026,8,1),'Daily Issuance'!$B$4:$B$991,"&lt;"&amp;DATE(2026,9,1)),0)</f>
        <v>0</v>
      </c>
      <c r="T23" s="93">
        <f>IFERROR(SUMIFS('Daily Issuance'!$O:$O,'Daily Issuance'!$I:$I,$A23,'Daily Issuance'!$E:$E,"Patty Cash",'Daily Issuance'!$B:$B,"&gt;="&amp;DATE(2026,8,1),'Daily Issuance'!$B:$B,"&lt;"&amp;DATE(2026,9,1)),0)</f>
        <v>0</v>
      </c>
      <c r="U23" s="92">
        <f t="shared" si="4"/>
        <v>0</v>
      </c>
      <c r="V23" s="95">
        <f>IFERROR(SUMIFS('Daily Issuance'!$O$4:$O$991,'Daily Issuance'!$I$4:$I$991,$A23,'Daily Issuance'!$E$4:$E$991,"Inventory",'Daily Issuance'!$B$4:$B$991,"&gt;="&amp;DATE(2026,9,1),'Daily Issuance'!$B$4:$B$991,"&lt;"&amp;DATE(2026,10,1)),0)</f>
        <v>0</v>
      </c>
      <c r="W23" s="95">
        <f>IFERROR(SUMIFS('Daily Issuance'!$O$4:$O$991,'Daily Issuance'!$I$4:$I$991,$A23,'Daily Issuance'!$E$4:$E$991,"Non Inventory",'Daily Issuance'!$B$4:$B$991,"&gt;="&amp;DATE(2026,9,1),'Daily Issuance'!$B$4:$B$991,"&lt;"&amp;DATE(2026,10,1)),0)</f>
        <v>0</v>
      </c>
      <c r="X23" s="95">
        <f>IFERROR(SUMIFS('Daily Issuance'!$O$4:$O$991,'Daily Issuance'!$I$4:$I$991,$A23,'Daily Issuance'!$E$4:$E$991,"Services",'Daily Issuance'!$B$4:$B$991,"&gt;="&amp;DATE(2026,9,1),'Daily Issuance'!$B$4:$B$991,"&lt;"&amp;DATE(2026,10,1)),0)</f>
        <v>0</v>
      </c>
      <c r="Y23" s="95">
        <f>IFERROR(SUMIFS('Daily Issuance'!$O:$O,'Daily Issuance'!$I:$I,$A23,'Daily Issuance'!$E:$E,"Patty Cash",'Daily Issuance'!$B:$B,"&gt;="&amp;DATE(2026,9,1),'Daily Issuance'!$B:$B,"&lt;"&amp;DATE(2026,10,1)),0)</f>
        <v>0</v>
      </c>
      <c r="Z23" s="92">
        <f t="shared" si="5"/>
        <v>0</v>
      </c>
      <c r="AA23" s="93">
        <f>IFERROR(SUMIFS('Daily Issuance'!$O$4:$O$991,'Daily Issuance'!$I$4:$I$991,$A23,'Daily Issuance'!$E$4:$E$991,"Inventory",'Daily Issuance'!$B$4:$B$991,"&gt;="&amp;DATE(2026,10,1),'Daily Issuance'!$B$4:$B$991,"&lt;"&amp;DATE(2026,11,1)),0)</f>
        <v>0</v>
      </c>
      <c r="AB23" s="93">
        <f>IFERROR(SUMIFS('Daily Issuance'!$O$4:$O$991,'Daily Issuance'!$I$4:$I$991,$A23,'Daily Issuance'!$E$4:$E$991,"Non Inventory",'Daily Issuance'!$B$4:$B$991,"&gt;="&amp;DATE(2026,10,1),'Daily Issuance'!$B$4:$B$991,"&lt;"&amp;DATE(2026,11,1)),0)</f>
        <v>0</v>
      </c>
      <c r="AC23" s="93">
        <f>IFERROR(SUMIFS('Daily Issuance'!$O$4:$O$991,'Daily Issuance'!$I$4:$I$991,$A23,'Daily Issuance'!$E$4:$E$991,"Services",'Daily Issuance'!$B$4:$B$991,"&gt;="&amp;DATE(2026,10,1),'Daily Issuance'!$B$4:$B$991,"&lt;"&amp;DATE(2026,11,1)),0)</f>
        <v>0</v>
      </c>
      <c r="AD23" s="93">
        <f>IFERROR(SUMIFS('Daily Issuance'!$O:$O,'Daily Issuance'!$I:$I,$A23,'Daily Issuance'!$E:$E,"Patty Cash",'Daily Issuance'!$B:$B,"&gt;="&amp;DATE(2026,10,1),'Daily Issuance'!$B:$B,"&lt;"&amp;DATE(2026,11,1)),0)</f>
        <v>0</v>
      </c>
      <c r="AE23" s="92">
        <f t="shared" si="6"/>
        <v>0</v>
      </c>
      <c r="AF23" s="95">
        <f>IFERROR(SUMIFS('Daily Issuance'!$O$4:$O$991,'Daily Issuance'!$I$4:$I$991,$A23,'Daily Issuance'!$E$4:$E$991,"Inventory",'Daily Issuance'!$B$4:$B$991,"&gt;="&amp;DATE(2026,11,1),'Daily Issuance'!$B$4:$B$991,"&lt;"&amp;DATE(2026,12,1)),0)</f>
        <v>0</v>
      </c>
      <c r="AG23" s="95">
        <f>IFERROR(SUMIFS('Daily Issuance'!$O$4:$O$991,'Daily Issuance'!$I$4:$I$991,$A23,'Daily Issuance'!$E$4:$E$991,"Non Inventory",'Daily Issuance'!$B$4:$B$991,"&gt;="&amp;DATE(2026,11,1),'Daily Issuance'!$B$4:$B$991,"&lt;"&amp;DATE(2026,12,1)),0)</f>
        <v>0</v>
      </c>
      <c r="AH23" s="95">
        <f>IFERROR(SUMIFS('Daily Issuance'!$O$4:$O$991,'Daily Issuance'!$I$4:$I$991,$A23,'Daily Issuance'!$E$4:$E$991,"Services",'Daily Issuance'!$B$4:$B$991,"&gt;="&amp;DATE(2026,11,1),'Daily Issuance'!$B$4:$B$991,"&lt;"&amp;DATE(2026,12,1)),0)</f>
        <v>0</v>
      </c>
      <c r="AI23" s="95">
        <f>IFERROR(SUMIFS('Daily Issuance'!$O:$O,'Daily Issuance'!$I:$I,$A23,'Daily Issuance'!$E:$E,"Patty Cash",'Daily Issuance'!$B:$B,"&gt;="&amp;DATE(2026,11,1),'Daily Issuance'!$B:$B,"&lt;"&amp;DATE(2026,12,1)),0)</f>
        <v>0</v>
      </c>
      <c r="AJ23" s="92">
        <f t="shared" si="7"/>
        <v>0</v>
      </c>
      <c r="AK23" s="93">
        <f>IFERROR(SUMIFS('Daily Issuance'!$O$4:$O$991,'Daily Issuance'!$I$4:$I$991,$A23,'Daily Issuance'!$E$4:$E$991,"Inventory",'Daily Issuance'!$B$4:$B$991,"&gt;="&amp;DATE(2026,12,1),'Daily Issuance'!$B$4:$B$991,"&lt;"&amp;DATE(2027,1,1)),0)</f>
        <v>0</v>
      </c>
      <c r="AL23" s="93">
        <f>IFERROR(SUMIFS('Daily Issuance'!$O$4:$O$991,'Daily Issuance'!$I$4:$I$991,$A23,'Daily Issuance'!$E$4:$E$991,"Non Inventory",'Daily Issuance'!$B$4:$B$991,"&gt;="&amp;DATE(2026,12,1),'Daily Issuance'!$B$4:$B$991,"&lt;"&amp;DATE(2027,1,1)),0)</f>
        <v>0</v>
      </c>
      <c r="AM23" s="93">
        <f>IFERROR(SUMIFS('Daily Issuance'!$O$4:$O$991,'Daily Issuance'!$I$4:$I$991,$A23,'Daily Issuance'!$E$4:$E$991,"Services",'Daily Issuance'!$B$4:$B$991,"&gt;="&amp;DATE(2026,12,1),'Daily Issuance'!$B$4:$B$991,"&lt;"&amp;DATE(2027,1,1)),0)</f>
        <v>0</v>
      </c>
      <c r="AN23" s="93">
        <f>IFERROR(SUMIFS('Daily Issuance'!$O:$O,'Daily Issuance'!$I:$I,$A23,'Daily Issuance'!$E:$E,"Patty Cash",'Daily Issuance'!$B:$B,"&gt;="&amp;DATE(2026,12,1),'Daily Issuance'!$B:$B,"&lt;"&amp;DATE(2027,1,1)),0)</f>
        <v>0</v>
      </c>
      <c r="AO23" s="92">
        <f t="shared" si="8"/>
        <v>0</v>
      </c>
      <c r="AP23" s="103">
        <f t="shared" si="0"/>
        <v>230</v>
      </c>
    </row>
    <row r="24" spans="1:42" ht="21" customHeight="1">
      <c r="A24" s="90" t="s">
        <v>57</v>
      </c>
      <c r="B24" s="91">
        <f>IFERROR(SUMIFS('Daily Issuance'!$O:$O,'Daily Issuance'!$I:$I,$A24,'Daily Issuance'!$E:$E,"Inventory",'Daily Issuance'!$B:$B,"&gt;="&amp;DATE(2026,5,1),'Daily Issuance'!$B:$B,"&lt;"&amp;DATE(2026,6,1)),0)</f>
        <v>55465</v>
      </c>
      <c r="C24" s="91">
        <f>IFERROR(SUMIFS('Daily Issuance'!$O:$O,'Daily Issuance'!$I:$I,$A24,'Daily Issuance'!$E:$E,"Non Inventory",'Daily Issuance'!$B:$B,"&gt;="&amp;DATE(2026,5,1),'Daily Issuance'!$B:$B,"&lt;"&amp;DATE(2026,6,1)),0)</f>
        <v>33197</v>
      </c>
      <c r="D24" s="91">
        <f>IFERROR(SUMIFS('Daily Issuance'!$O:$O,'Daily Issuance'!$I:$I,$A24,'Daily Issuance'!$E:$E,"Services",'Daily Issuance'!$B:$B,"&gt;="&amp;DATE(2026,5,1),'Daily Issuance'!$B:$B,"&lt;"&amp;DATE(2026,6,1)),0)</f>
        <v>26700</v>
      </c>
      <c r="E24" s="91">
        <f>IFERROR(SUMIFS('Daily Issuance'!$O:$O,'Daily Issuance'!$I:$I,$A24,'Daily Issuance'!$E:$E,"Patty Cash",'Daily Issuance'!$B:$B,"&gt;="&amp;DATE(2026,5,1),'Daily Issuance'!$B:$B,"&lt;"&amp;DATE(2026,6,1)),0)</f>
        <v>630</v>
      </c>
      <c r="F24" s="92">
        <f t="shared" si="1"/>
        <v>115992</v>
      </c>
      <c r="G24" s="93">
        <f>IFERROR(SUMIFS('Daily Issuance'!$O$4:$O$991,'Daily Issuance'!$I$4:$I$991,$A24,'Daily Issuance'!$E$4:$E$991,"Inventory",'Daily Issuance'!$B$4:$B$991,"&gt;="&amp;DATE(2026,6,1),'Daily Issuance'!$B$4:$B$991,"&lt;"&amp;DATE(2026,7,1)),0)</f>
        <v>16098</v>
      </c>
      <c r="H24" s="93">
        <f>IFERROR(SUMIFS('Daily Issuance'!$O$4:$O$991,'Daily Issuance'!$I$4:$I$991,$A24,'Daily Issuance'!$E$4:$E$991,"Non Inventory",'Daily Issuance'!$B$4:$B$991,"&gt;="&amp;DATE(2026,6,1),'Daily Issuance'!$B$4:$B$991,"&lt;"&amp;DATE(2026,7,1)),0)</f>
        <v>14350</v>
      </c>
      <c r="I24" s="93">
        <f>IFERROR(SUMIFS('Daily Issuance'!$O$4:$O$991,'Daily Issuance'!$I$4:$I$991,$A24,'Daily Issuance'!$E$4:$E$991,"Services",'Daily Issuance'!$B$4:$B$991,"&gt;="&amp;DATE(2026,6,1),'Daily Issuance'!$B$4:$B$991,"&lt;"&amp;DATE(2026,7,1)),0)</f>
        <v>0</v>
      </c>
      <c r="J24" s="93">
        <f>IFERROR(SUMIFS('Daily Issuance'!$O:$O,'Daily Issuance'!$I:$I,$A24,'Daily Issuance'!$E:$E,"Patty Cash",'Daily Issuance'!$B:$B,"&gt;="&amp;DATE(2026,6,1),'Daily Issuance'!$B:$B,"&lt;"&amp;DATE(2026,7,1)),0)</f>
        <v>0</v>
      </c>
      <c r="K24" s="92">
        <f t="shared" si="2"/>
        <v>30448</v>
      </c>
      <c r="L24" s="94">
        <f>IFERROR(SUMIFS('Daily Issuance'!$O$4:$O$991,'Daily Issuance'!$I$4:$I$991,$A24,'Daily Issuance'!$E$4:$E$991,"Inventory",'Daily Issuance'!$B$4:$B$991,"&gt;="&amp;DATE(2026,7,1),'Daily Issuance'!$B$4:$B$991,"&lt;"&amp;DATE(2026,8,1)),0)</f>
        <v>0</v>
      </c>
      <c r="M24" s="95">
        <f>IFERROR(SUMIFS('Daily Issuance'!$O$4:$O$991,'Daily Issuance'!$I$4:$I$991,$A24,'Daily Issuance'!$E$4:$E$991,"Non Inventory",'Daily Issuance'!$B$4:$B$991,"&gt;="&amp;DATE(2026,7,1),'Daily Issuance'!$B$4:$B$991,"&lt;"&amp;DATE(2026,8,1)),0)</f>
        <v>0</v>
      </c>
      <c r="N24" s="95">
        <f>IFERROR(SUMIFS('Daily Issuance'!$O$4:$O$991,'Daily Issuance'!$I$4:$I$991,$A24,'Daily Issuance'!$E$4:$E$991,"Services",'Daily Issuance'!$B$4:$B$991,"&gt;="&amp;DATE(2026,7,1),'Daily Issuance'!$B$4:$B$991,"&lt;"&amp;DATE(2026,8,1)),0)</f>
        <v>0</v>
      </c>
      <c r="O24" s="95">
        <f>IFERROR(SUMIFS('Daily Issuance'!$O:$O,'Daily Issuance'!$I:$I,$A24,'Daily Issuance'!$E:$E,"Patty Cash",'Daily Issuance'!$B:$B,"&gt;="&amp;DATE(2026,7,1),'Daily Issuance'!$B:$B,"&lt;"&amp;DATE(2026,8,1)),0)</f>
        <v>0</v>
      </c>
      <c r="P24" s="92">
        <f t="shared" si="3"/>
        <v>0</v>
      </c>
      <c r="Q24" s="93">
        <f>IFERROR(SUMIFS('Daily Issuance'!$O$4:$O$991,'Daily Issuance'!$I$4:$I$991,$A24,'Daily Issuance'!$E$4:$E$991,"Inventory",'Daily Issuance'!$B$4:$B$991,"&gt;="&amp;DATE(2026,8,1),'Daily Issuance'!$B$4:$B$991,"&lt;"&amp;DATE(2026,9,1)),0)</f>
        <v>0</v>
      </c>
      <c r="R24" s="93">
        <f>IFERROR(SUMIFS('Daily Issuance'!$O$4:$O$991,'Daily Issuance'!$I$4:$I$991,$A24,'Daily Issuance'!$E$4:$E$991,"Non Inventory",'Daily Issuance'!$B$4:$B$991,"&gt;="&amp;DATE(2026,8,1),'Daily Issuance'!$B$4:$B$991,"&lt;"&amp;DATE(2026,9,1)),0)</f>
        <v>0</v>
      </c>
      <c r="S24" s="93">
        <f>IFERROR(SUMIFS('Daily Issuance'!$O$4:$O$991,'Daily Issuance'!$I$4:$I$991,$A24,'Daily Issuance'!$E$4:$E$991,"Services",'Daily Issuance'!$B$4:$B$991,"&gt;="&amp;DATE(2026,8,1),'Daily Issuance'!$B$4:$B$991,"&lt;"&amp;DATE(2026,9,1)),0)</f>
        <v>0</v>
      </c>
      <c r="T24" s="93">
        <f>IFERROR(SUMIFS('Daily Issuance'!$O:$O,'Daily Issuance'!$I:$I,$A24,'Daily Issuance'!$E:$E,"Patty Cash",'Daily Issuance'!$B:$B,"&gt;="&amp;DATE(2026,8,1),'Daily Issuance'!$B:$B,"&lt;"&amp;DATE(2026,9,1)),0)</f>
        <v>0</v>
      </c>
      <c r="U24" s="92">
        <f t="shared" si="4"/>
        <v>0</v>
      </c>
      <c r="V24" s="95">
        <f>IFERROR(SUMIFS('Daily Issuance'!$O$4:$O$991,'Daily Issuance'!$I$4:$I$991,$A24,'Daily Issuance'!$E$4:$E$991,"Inventory",'Daily Issuance'!$B$4:$B$991,"&gt;="&amp;DATE(2026,9,1),'Daily Issuance'!$B$4:$B$991,"&lt;"&amp;DATE(2026,10,1)),0)</f>
        <v>0</v>
      </c>
      <c r="W24" s="95">
        <f>IFERROR(SUMIFS('Daily Issuance'!$O$4:$O$991,'Daily Issuance'!$I$4:$I$991,$A24,'Daily Issuance'!$E$4:$E$991,"Non Inventory",'Daily Issuance'!$B$4:$B$991,"&gt;="&amp;DATE(2026,9,1),'Daily Issuance'!$B$4:$B$991,"&lt;"&amp;DATE(2026,10,1)),0)</f>
        <v>0</v>
      </c>
      <c r="X24" s="95">
        <f>IFERROR(SUMIFS('Daily Issuance'!$O$4:$O$991,'Daily Issuance'!$I$4:$I$991,$A24,'Daily Issuance'!$E$4:$E$991,"Services",'Daily Issuance'!$B$4:$B$991,"&gt;="&amp;DATE(2026,9,1),'Daily Issuance'!$B$4:$B$991,"&lt;"&amp;DATE(2026,10,1)),0)</f>
        <v>0</v>
      </c>
      <c r="Y24" s="95">
        <f>IFERROR(SUMIFS('Daily Issuance'!$O:$O,'Daily Issuance'!$I:$I,$A24,'Daily Issuance'!$E:$E,"Patty Cash",'Daily Issuance'!$B:$B,"&gt;="&amp;DATE(2026,9,1),'Daily Issuance'!$B:$B,"&lt;"&amp;DATE(2026,10,1)),0)</f>
        <v>0</v>
      </c>
      <c r="Z24" s="92">
        <f t="shared" si="5"/>
        <v>0</v>
      </c>
      <c r="AA24" s="93">
        <f>IFERROR(SUMIFS('Daily Issuance'!$O$4:$O$991,'Daily Issuance'!$I$4:$I$991,$A24,'Daily Issuance'!$E$4:$E$991,"Inventory",'Daily Issuance'!$B$4:$B$991,"&gt;="&amp;DATE(2026,10,1),'Daily Issuance'!$B$4:$B$991,"&lt;"&amp;DATE(2026,11,1)),0)</f>
        <v>0</v>
      </c>
      <c r="AB24" s="93">
        <f>IFERROR(SUMIFS('Daily Issuance'!$O$4:$O$991,'Daily Issuance'!$I$4:$I$991,$A24,'Daily Issuance'!$E$4:$E$991,"Non Inventory",'Daily Issuance'!$B$4:$B$991,"&gt;="&amp;DATE(2026,10,1),'Daily Issuance'!$B$4:$B$991,"&lt;"&amp;DATE(2026,11,1)),0)</f>
        <v>0</v>
      </c>
      <c r="AC24" s="93">
        <f>IFERROR(SUMIFS('Daily Issuance'!$O$4:$O$991,'Daily Issuance'!$I$4:$I$991,$A24,'Daily Issuance'!$E$4:$E$991,"Services",'Daily Issuance'!$B$4:$B$991,"&gt;="&amp;DATE(2026,10,1),'Daily Issuance'!$B$4:$B$991,"&lt;"&amp;DATE(2026,11,1)),0)</f>
        <v>0</v>
      </c>
      <c r="AD24" s="93">
        <f>IFERROR(SUMIFS('Daily Issuance'!$O:$O,'Daily Issuance'!$I:$I,$A24,'Daily Issuance'!$E:$E,"Patty Cash",'Daily Issuance'!$B:$B,"&gt;="&amp;DATE(2026,10,1),'Daily Issuance'!$B:$B,"&lt;"&amp;DATE(2026,11,1)),0)</f>
        <v>0</v>
      </c>
      <c r="AE24" s="92">
        <f t="shared" si="6"/>
        <v>0</v>
      </c>
      <c r="AF24" s="95">
        <f>IFERROR(SUMIFS('Daily Issuance'!$O$4:$O$991,'Daily Issuance'!$I$4:$I$991,$A24,'Daily Issuance'!$E$4:$E$991,"Inventory",'Daily Issuance'!$B$4:$B$991,"&gt;="&amp;DATE(2026,11,1),'Daily Issuance'!$B$4:$B$991,"&lt;"&amp;DATE(2026,12,1)),0)</f>
        <v>0</v>
      </c>
      <c r="AG24" s="95">
        <f>IFERROR(SUMIFS('Daily Issuance'!$O$4:$O$991,'Daily Issuance'!$I$4:$I$991,$A24,'Daily Issuance'!$E$4:$E$991,"Non Inventory",'Daily Issuance'!$B$4:$B$991,"&gt;="&amp;DATE(2026,11,1),'Daily Issuance'!$B$4:$B$991,"&lt;"&amp;DATE(2026,12,1)),0)</f>
        <v>0</v>
      </c>
      <c r="AH24" s="95">
        <f>IFERROR(SUMIFS('Daily Issuance'!$O$4:$O$991,'Daily Issuance'!$I$4:$I$991,$A24,'Daily Issuance'!$E$4:$E$991,"Services",'Daily Issuance'!$B$4:$B$991,"&gt;="&amp;DATE(2026,11,1),'Daily Issuance'!$B$4:$B$991,"&lt;"&amp;DATE(2026,12,1)),0)</f>
        <v>0</v>
      </c>
      <c r="AI24" s="95">
        <f>IFERROR(SUMIFS('Daily Issuance'!$O:$O,'Daily Issuance'!$I:$I,$A24,'Daily Issuance'!$E:$E,"Patty Cash",'Daily Issuance'!$B:$B,"&gt;="&amp;DATE(2026,11,1),'Daily Issuance'!$B:$B,"&lt;"&amp;DATE(2026,12,1)),0)</f>
        <v>0</v>
      </c>
      <c r="AJ24" s="92">
        <f t="shared" si="7"/>
        <v>0</v>
      </c>
      <c r="AK24" s="93">
        <f>IFERROR(SUMIFS('Daily Issuance'!$O$4:$O$991,'Daily Issuance'!$I$4:$I$991,$A24,'Daily Issuance'!$E$4:$E$991,"Inventory",'Daily Issuance'!$B$4:$B$991,"&gt;="&amp;DATE(2026,12,1),'Daily Issuance'!$B$4:$B$991,"&lt;"&amp;DATE(2027,1,1)),0)</f>
        <v>0</v>
      </c>
      <c r="AL24" s="93">
        <f>IFERROR(SUMIFS('Daily Issuance'!$O$4:$O$991,'Daily Issuance'!$I$4:$I$991,$A24,'Daily Issuance'!$E$4:$E$991,"Non Inventory",'Daily Issuance'!$B$4:$B$991,"&gt;="&amp;DATE(2026,12,1),'Daily Issuance'!$B$4:$B$991,"&lt;"&amp;DATE(2027,1,1)),0)</f>
        <v>0</v>
      </c>
      <c r="AM24" s="93">
        <f>IFERROR(SUMIFS('Daily Issuance'!$O$4:$O$991,'Daily Issuance'!$I$4:$I$991,$A24,'Daily Issuance'!$E$4:$E$991,"Services",'Daily Issuance'!$B$4:$B$991,"&gt;="&amp;DATE(2026,12,1),'Daily Issuance'!$B$4:$B$991,"&lt;"&amp;DATE(2027,1,1)),0)</f>
        <v>0</v>
      </c>
      <c r="AN24" s="93">
        <f>IFERROR(SUMIFS('Daily Issuance'!$O:$O,'Daily Issuance'!$I:$I,$A24,'Daily Issuance'!$E:$E,"Patty Cash",'Daily Issuance'!$B:$B,"&gt;="&amp;DATE(2026,12,1),'Daily Issuance'!$B:$B,"&lt;"&amp;DATE(2027,1,1)),0)</f>
        <v>0</v>
      </c>
      <c r="AO24" s="92">
        <f t="shared" si="8"/>
        <v>0</v>
      </c>
      <c r="AP24" s="103">
        <f t="shared" si="0"/>
        <v>146440</v>
      </c>
    </row>
    <row r="25" spans="1:42" ht="21" customHeight="1">
      <c r="A25" s="90" t="s">
        <v>58</v>
      </c>
      <c r="B25" s="91">
        <f>IFERROR(SUMIFS('Daily Issuance'!$O:$O,'Daily Issuance'!$I:$I,$A25,'Daily Issuance'!$E:$E,"Inventory",'Daily Issuance'!$B:$B,"&gt;="&amp;DATE(2026,5,1),'Daily Issuance'!$B:$B,"&lt;"&amp;DATE(2026,6,1)),0)</f>
        <v>32251</v>
      </c>
      <c r="C25" s="91">
        <f>IFERROR(SUMIFS('Daily Issuance'!$O:$O,'Daily Issuance'!$I:$I,$A25,'Daily Issuance'!$E:$E,"Non Inventory",'Daily Issuance'!$B:$B,"&gt;="&amp;DATE(2026,5,1),'Daily Issuance'!$B:$B,"&lt;"&amp;DATE(2026,6,1)),0)</f>
        <v>1615</v>
      </c>
      <c r="D25" s="91">
        <f>IFERROR(SUMIFS('Daily Issuance'!$O:$O,'Daily Issuance'!$I:$I,$A25,'Daily Issuance'!$E:$E,"Services",'Daily Issuance'!$B:$B,"&gt;="&amp;DATE(2026,5,1),'Daily Issuance'!$B:$B,"&lt;"&amp;DATE(2026,6,1)),0)</f>
        <v>378500</v>
      </c>
      <c r="E25" s="91">
        <f>IFERROR(SUMIFS('Daily Issuance'!$O:$O,'Daily Issuance'!$I:$I,$A25,'Daily Issuance'!$E:$E,"Patty Cash",'Daily Issuance'!$B:$B,"&gt;="&amp;DATE(2026,5,1),'Daily Issuance'!$B:$B,"&lt;"&amp;DATE(2026,6,1)),0)</f>
        <v>0</v>
      </c>
      <c r="F25" s="92">
        <f t="shared" si="1"/>
        <v>412366</v>
      </c>
      <c r="G25" s="93">
        <f>IFERROR(SUMIFS('Daily Issuance'!$O$4:$O$991,'Daily Issuance'!$I$4:$I$991,$A25,'Daily Issuance'!$E$4:$E$991,"Inventory",'Daily Issuance'!$B$4:$B$991,"&gt;="&amp;DATE(2026,6,1),'Daily Issuance'!$B$4:$B$991,"&lt;"&amp;DATE(2026,7,1)),0)</f>
        <v>2876</v>
      </c>
      <c r="H25" s="93">
        <f>IFERROR(SUMIFS('Daily Issuance'!$O$4:$O$991,'Daily Issuance'!$I$4:$I$991,$A25,'Daily Issuance'!$E$4:$E$991,"Non Inventory",'Daily Issuance'!$B$4:$B$991,"&gt;="&amp;DATE(2026,6,1),'Daily Issuance'!$B$4:$B$991,"&lt;"&amp;DATE(2026,7,1)),0)</f>
        <v>15000</v>
      </c>
      <c r="I25" s="93">
        <f>IFERROR(SUMIFS('Daily Issuance'!$O$4:$O$991,'Daily Issuance'!$I$4:$I$991,$A25,'Daily Issuance'!$E$4:$E$991,"Services",'Daily Issuance'!$B$4:$B$991,"&gt;="&amp;DATE(2026,6,1),'Daily Issuance'!$B$4:$B$991,"&lt;"&amp;DATE(2026,7,1)),0)</f>
        <v>0</v>
      </c>
      <c r="J25" s="93">
        <f>IFERROR(SUMIFS('Daily Issuance'!$O:$O,'Daily Issuance'!$I:$I,$A25,'Daily Issuance'!$E:$E,"Patty Cash",'Daily Issuance'!$B:$B,"&gt;="&amp;DATE(2026,6,1),'Daily Issuance'!$B:$B,"&lt;"&amp;DATE(2026,7,1)),0)</f>
        <v>5000</v>
      </c>
      <c r="K25" s="92">
        <f t="shared" si="2"/>
        <v>22876</v>
      </c>
      <c r="L25" s="94">
        <f>IFERROR(SUMIFS('Daily Issuance'!$O$4:$O$991,'Daily Issuance'!$I$4:$I$991,$A25,'Daily Issuance'!$E$4:$E$991,"Inventory",'Daily Issuance'!$B$4:$B$991,"&gt;="&amp;DATE(2026,7,1),'Daily Issuance'!$B$4:$B$991,"&lt;"&amp;DATE(2026,8,1)),0)</f>
        <v>0</v>
      </c>
      <c r="M25" s="95">
        <f>IFERROR(SUMIFS('Daily Issuance'!$O$4:$O$991,'Daily Issuance'!$I$4:$I$991,$A25,'Daily Issuance'!$E$4:$E$991,"Non Inventory",'Daily Issuance'!$B$4:$B$991,"&gt;="&amp;DATE(2026,7,1),'Daily Issuance'!$B$4:$B$991,"&lt;"&amp;DATE(2026,8,1)),0)</f>
        <v>0</v>
      </c>
      <c r="N25" s="95">
        <f>IFERROR(SUMIFS('Daily Issuance'!$O$4:$O$991,'Daily Issuance'!$I$4:$I$991,$A25,'Daily Issuance'!$E$4:$E$991,"Services",'Daily Issuance'!$B$4:$B$991,"&gt;="&amp;DATE(2026,7,1),'Daily Issuance'!$B$4:$B$991,"&lt;"&amp;DATE(2026,8,1)),0)</f>
        <v>0</v>
      </c>
      <c r="O25" s="95">
        <f>IFERROR(SUMIFS('Daily Issuance'!$O:$O,'Daily Issuance'!$I:$I,$A25,'Daily Issuance'!$E:$E,"Patty Cash",'Daily Issuance'!$B:$B,"&gt;="&amp;DATE(2026,7,1),'Daily Issuance'!$B:$B,"&lt;"&amp;DATE(2026,8,1)),0)</f>
        <v>0</v>
      </c>
      <c r="P25" s="92">
        <f t="shared" si="3"/>
        <v>0</v>
      </c>
      <c r="Q25" s="93">
        <f>IFERROR(SUMIFS('Daily Issuance'!$O$4:$O$991,'Daily Issuance'!$I$4:$I$991,$A25,'Daily Issuance'!$E$4:$E$991,"Inventory",'Daily Issuance'!$B$4:$B$991,"&gt;="&amp;DATE(2026,8,1),'Daily Issuance'!$B$4:$B$991,"&lt;"&amp;DATE(2026,9,1)),0)</f>
        <v>0</v>
      </c>
      <c r="R25" s="93">
        <f>IFERROR(SUMIFS('Daily Issuance'!$O$4:$O$991,'Daily Issuance'!$I$4:$I$991,$A25,'Daily Issuance'!$E$4:$E$991,"Non Inventory",'Daily Issuance'!$B$4:$B$991,"&gt;="&amp;DATE(2026,8,1),'Daily Issuance'!$B$4:$B$991,"&lt;"&amp;DATE(2026,9,1)),0)</f>
        <v>0</v>
      </c>
      <c r="S25" s="93">
        <f>IFERROR(SUMIFS('Daily Issuance'!$O$4:$O$991,'Daily Issuance'!$I$4:$I$991,$A25,'Daily Issuance'!$E$4:$E$991,"Services",'Daily Issuance'!$B$4:$B$991,"&gt;="&amp;DATE(2026,8,1),'Daily Issuance'!$B$4:$B$991,"&lt;"&amp;DATE(2026,9,1)),0)</f>
        <v>0</v>
      </c>
      <c r="T25" s="93">
        <f>IFERROR(SUMIFS('Daily Issuance'!$O:$O,'Daily Issuance'!$I:$I,$A25,'Daily Issuance'!$E:$E,"Patty Cash",'Daily Issuance'!$B:$B,"&gt;="&amp;DATE(2026,8,1),'Daily Issuance'!$B:$B,"&lt;"&amp;DATE(2026,9,1)),0)</f>
        <v>0</v>
      </c>
      <c r="U25" s="92">
        <f t="shared" si="4"/>
        <v>0</v>
      </c>
      <c r="V25" s="95">
        <f>IFERROR(SUMIFS('Daily Issuance'!$O$4:$O$991,'Daily Issuance'!$I$4:$I$991,$A25,'Daily Issuance'!$E$4:$E$991,"Inventory",'Daily Issuance'!$B$4:$B$991,"&gt;="&amp;DATE(2026,9,1),'Daily Issuance'!$B$4:$B$991,"&lt;"&amp;DATE(2026,10,1)),0)</f>
        <v>0</v>
      </c>
      <c r="W25" s="95">
        <f>IFERROR(SUMIFS('Daily Issuance'!$O$4:$O$991,'Daily Issuance'!$I$4:$I$991,$A25,'Daily Issuance'!$E$4:$E$991,"Non Inventory",'Daily Issuance'!$B$4:$B$991,"&gt;="&amp;DATE(2026,9,1),'Daily Issuance'!$B$4:$B$991,"&lt;"&amp;DATE(2026,10,1)),0)</f>
        <v>0</v>
      </c>
      <c r="X25" s="95">
        <f>IFERROR(SUMIFS('Daily Issuance'!$O$4:$O$991,'Daily Issuance'!$I$4:$I$991,$A25,'Daily Issuance'!$E$4:$E$991,"Services",'Daily Issuance'!$B$4:$B$991,"&gt;="&amp;DATE(2026,9,1),'Daily Issuance'!$B$4:$B$991,"&lt;"&amp;DATE(2026,10,1)),0)</f>
        <v>0</v>
      </c>
      <c r="Y25" s="95">
        <f>IFERROR(SUMIFS('Daily Issuance'!$O:$O,'Daily Issuance'!$I:$I,$A25,'Daily Issuance'!$E:$E,"Patty Cash",'Daily Issuance'!$B:$B,"&gt;="&amp;DATE(2026,9,1),'Daily Issuance'!$B:$B,"&lt;"&amp;DATE(2026,10,1)),0)</f>
        <v>0</v>
      </c>
      <c r="Z25" s="92">
        <f t="shared" si="5"/>
        <v>0</v>
      </c>
      <c r="AA25" s="93">
        <f>IFERROR(SUMIFS('Daily Issuance'!$O$4:$O$991,'Daily Issuance'!$I$4:$I$991,$A25,'Daily Issuance'!$E$4:$E$991,"Inventory",'Daily Issuance'!$B$4:$B$991,"&gt;="&amp;DATE(2026,10,1),'Daily Issuance'!$B$4:$B$991,"&lt;"&amp;DATE(2026,11,1)),0)</f>
        <v>0</v>
      </c>
      <c r="AB25" s="93">
        <f>IFERROR(SUMIFS('Daily Issuance'!$O$4:$O$991,'Daily Issuance'!$I$4:$I$991,$A25,'Daily Issuance'!$E$4:$E$991,"Non Inventory",'Daily Issuance'!$B$4:$B$991,"&gt;="&amp;DATE(2026,10,1),'Daily Issuance'!$B$4:$B$991,"&lt;"&amp;DATE(2026,11,1)),0)</f>
        <v>0</v>
      </c>
      <c r="AC25" s="93">
        <f>IFERROR(SUMIFS('Daily Issuance'!$O$4:$O$991,'Daily Issuance'!$I$4:$I$991,$A25,'Daily Issuance'!$E$4:$E$991,"Services",'Daily Issuance'!$B$4:$B$991,"&gt;="&amp;DATE(2026,10,1),'Daily Issuance'!$B$4:$B$991,"&lt;"&amp;DATE(2026,11,1)),0)</f>
        <v>0</v>
      </c>
      <c r="AD25" s="93">
        <f>IFERROR(SUMIFS('Daily Issuance'!$O:$O,'Daily Issuance'!$I:$I,$A25,'Daily Issuance'!$E:$E,"Patty Cash",'Daily Issuance'!$B:$B,"&gt;="&amp;DATE(2026,10,1),'Daily Issuance'!$B:$B,"&lt;"&amp;DATE(2026,11,1)),0)</f>
        <v>0</v>
      </c>
      <c r="AE25" s="92">
        <f t="shared" si="6"/>
        <v>0</v>
      </c>
      <c r="AF25" s="95">
        <f>IFERROR(SUMIFS('Daily Issuance'!$O$4:$O$991,'Daily Issuance'!$I$4:$I$991,$A25,'Daily Issuance'!$E$4:$E$991,"Inventory",'Daily Issuance'!$B$4:$B$991,"&gt;="&amp;DATE(2026,11,1),'Daily Issuance'!$B$4:$B$991,"&lt;"&amp;DATE(2026,12,1)),0)</f>
        <v>0</v>
      </c>
      <c r="AG25" s="95">
        <f>IFERROR(SUMIFS('Daily Issuance'!$O$4:$O$991,'Daily Issuance'!$I$4:$I$991,$A25,'Daily Issuance'!$E$4:$E$991,"Non Inventory",'Daily Issuance'!$B$4:$B$991,"&gt;="&amp;DATE(2026,11,1),'Daily Issuance'!$B$4:$B$991,"&lt;"&amp;DATE(2026,12,1)),0)</f>
        <v>0</v>
      </c>
      <c r="AH25" s="95">
        <f>IFERROR(SUMIFS('Daily Issuance'!$O$4:$O$991,'Daily Issuance'!$I$4:$I$991,$A25,'Daily Issuance'!$E$4:$E$991,"Services",'Daily Issuance'!$B$4:$B$991,"&gt;="&amp;DATE(2026,11,1),'Daily Issuance'!$B$4:$B$991,"&lt;"&amp;DATE(2026,12,1)),0)</f>
        <v>0</v>
      </c>
      <c r="AI25" s="95">
        <f>IFERROR(SUMIFS('Daily Issuance'!$O:$O,'Daily Issuance'!$I:$I,$A25,'Daily Issuance'!$E:$E,"Patty Cash",'Daily Issuance'!$B:$B,"&gt;="&amp;DATE(2026,11,1),'Daily Issuance'!$B:$B,"&lt;"&amp;DATE(2026,12,1)),0)</f>
        <v>0</v>
      </c>
      <c r="AJ25" s="92">
        <f t="shared" si="7"/>
        <v>0</v>
      </c>
      <c r="AK25" s="93">
        <f>IFERROR(SUMIFS('Daily Issuance'!$O$4:$O$991,'Daily Issuance'!$I$4:$I$991,$A25,'Daily Issuance'!$E$4:$E$991,"Inventory",'Daily Issuance'!$B$4:$B$991,"&gt;="&amp;DATE(2026,12,1),'Daily Issuance'!$B$4:$B$991,"&lt;"&amp;DATE(2027,1,1)),0)</f>
        <v>0</v>
      </c>
      <c r="AL25" s="93">
        <f>IFERROR(SUMIFS('Daily Issuance'!$O$4:$O$991,'Daily Issuance'!$I$4:$I$991,$A25,'Daily Issuance'!$E$4:$E$991,"Non Inventory",'Daily Issuance'!$B$4:$B$991,"&gt;="&amp;DATE(2026,12,1),'Daily Issuance'!$B$4:$B$991,"&lt;"&amp;DATE(2027,1,1)),0)</f>
        <v>0</v>
      </c>
      <c r="AM25" s="93">
        <f>IFERROR(SUMIFS('Daily Issuance'!$O$4:$O$991,'Daily Issuance'!$I$4:$I$991,$A25,'Daily Issuance'!$E$4:$E$991,"Services",'Daily Issuance'!$B$4:$B$991,"&gt;="&amp;DATE(2026,12,1),'Daily Issuance'!$B$4:$B$991,"&lt;"&amp;DATE(2027,1,1)),0)</f>
        <v>0</v>
      </c>
      <c r="AN25" s="93">
        <f>IFERROR(SUMIFS('Daily Issuance'!$O:$O,'Daily Issuance'!$I:$I,$A25,'Daily Issuance'!$E:$E,"Patty Cash",'Daily Issuance'!$B:$B,"&gt;="&amp;DATE(2026,12,1),'Daily Issuance'!$B:$B,"&lt;"&amp;DATE(2027,1,1)),0)</f>
        <v>0</v>
      </c>
      <c r="AO25" s="92">
        <f t="shared" si="8"/>
        <v>0</v>
      </c>
      <c r="AP25" s="103">
        <f t="shared" si="0"/>
        <v>435242</v>
      </c>
    </row>
    <row r="26" spans="1:42" ht="21" customHeight="1">
      <c r="A26" s="90" t="s">
        <v>59</v>
      </c>
      <c r="B26" s="91">
        <f>IFERROR(SUMIFS('Daily Issuance'!$O:$O,'Daily Issuance'!$I:$I,$A26,'Daily Issuance'!$E:$E,"Inventory",'Daily Issuance'!$B:$B,"&gt;="&amp;DATE(2026,5,1),'Daily Issuance'!$B:$B,"&lt;"&amp;DATE(2026,6,1)),0)</f>
        <v>23975</v>
      </c>
      <c r="C26" s="91">
        <f>IFERROR(SUMIFS('Daily Issuance'!$O:$O,'Daily Issuance'!$I:$I,$A26,'Daily Issuance'!$E:$E,"Non Inventory",'Daily Issuance'!$B:$B,"&gt;="&amp;DATE(2026,5,1),'Daily Issuance'!$B:$B,"&lt;"&amp;DATE(2026,6,1)),0)</f>
        <v>13280</v>
      </c>
      <c r="D26" s="91">
        <f>IFERROR(SUMIFS('Daily Issuance'!$O:$O,'Daily Issuance'!$I:$I,$A26,'Daily Issuance'!$E:$E,"Services",'Daily Issuance'!$B:$B,"&gt;="&amp;DATE(2026,5,1),'Daily Issuance'!$B:$B,"&lt;"&amp;DATE(2026,6,1)),0)</f>
        <v>0</v>
      </c>
      <c r="E26" s="91">
        <f>IFERROR(SUMIFS('Daily Issuance'!$O:$O,'Daily Issuance'!$I:$I,$A26,'Daily Issuance'!$E:$E,"Patty Cash",'Daily Issuance'!$B:$B,"&gt;="&amp;DATE(2026,5,1),'Daily Issuance'!$B:$B,"&lt;"&amp;DATE(2026,6,1)),0)</f>
        <v>0</v>
      </c>
      <c r="F26" s="92">
        <f t="shared" si="1"/>
        <v>37255</v>
      </c>
      <c r="G26" s="93">
        <f>IFERROR(SUMIFS('Daily Issuance'!$O$4:$O$991,'Daily Issuance'!$I$4:$I$991,$A26,'Daily Issuance'!$E$4:$E$991,"Inventory",'Daily Issuance'!$B$4:$B$991,"&gt;="&amp;DATE(2026,6,1),'Daily Issuance'!$B$4:$B$991,"&lt;"&amp;DATE(2026,7,1)),0)</f>
        <v>750</v>
      </c>
      <c r="H26" s="93">
        <f>IFERROR(SUMIFS('Daily Issuance'!$O$4:$O$991,'Daily Issuance'!$I$4:$I$991,$A26,'Daily Issuance'!$E$4:$E$991,"Non Inventory",'Daily Issuance'!$B$4:$B$991,"&gt;="&amp;DATE(2026,6,1),'Daily Issuance'!$B$4:$B$991,"&lt;"&amp;DATE(2026,7,1)),0)</f>
        <v>256</v>
      </c>
      <c r="I26" s="93">
        <f>IFERROR(SUMIFS('Daily Issuance'!$O$4:$O$991,'Daily Issuance'!$I$4:$I$991,$A26,'Daily Issuance'!$E$4:$E$991,"Services",'Daily Issuance'!$B$4:$B$991,"&gt;="&amp;DATE(2026,6,1),'Daily Issuance'!$B$4:$B$991,"&lt;"&amp;DATE(2026,7,1)),0)</f>
        <v>0</v>
      </c>
      <c r="J26" s="93">
        <f>IFERROR(SUMIFS('Daily Issuance'!$O:$O,'Daily Issuance'!$I:$I,$A26,'Daily Issuance'!$E:$E,"Patty Cash",'Daily Issuance'!$B:$B,"&gt;="&amp;DATE(2026,6,1),'Daily Issuance'!$B:$B,"&lt;"&amp;DATE(2026,7,1)),0)</f>
        <v>0</v>
      </c>
      <c r="K26" s="92">
        <f t="shared" si="2"/>
        <v>1006</v>
      </c>
      <c r="L26" s="94">
        <f>IFERROR(SUMIFS('Daily Issuance'!$O$4:$O$991,'Daily Issuance'!$I$4:$I$991,$A26,'Daily Issuance'!$E$4:$E$991,"Inventory",'Daily Issuance'!$B$4:$B$991,"&gt;="&amp;DATE(2026,7,1),'Daily Issuance'!$B$4:$B$991,"&lt;"&amp;DATE(2026,8,1)),0)</f>
        <v>0</v>
      </c>
      <c r="M26" s="95">
        <f>IFERROR(SUMIFS('Daily Issuance'!$O$4:$O$991,'Daily Issuance'!$I$4:$I$991,$A26,'Daily Issuance'!$E$4:$E$991,"Non Inventory",'Daily Issuance'!$B$4:$B$991,"&gt;="&amp;DATE(2026,7,1),'Daily Issuance'!$B$4:$B$991,"&lt;"&amp;DATE(2026,8,1)),0)</f>
        <v>0</v>
      </c>
      <c r="N26" s="95">
        <f>IFERROR(SUMIFS('Daily Issuance'!$O$4:$O$991,'Daily Issuance'!$I$4:$I$991,$A26,'Daily Issuance'!$E$4:$E$991,"Services",'Daily Issuance'!$B$4:$B$991,"&gt;="&amp;DATE(2026,7,1),'Daily Issuance'!$B$4:$B$991,"&lt;"&amp;DATE(2026,8,1)),0)</f>
        <v>0</v>
      </c>
      <c r="O26" s="95">
        <f>IFERROR(SUMIFS('Daily Issuance'!$O:$O,'Daily Issuance'!$I:$I,$A26,'Daily Issuance'!$E:$E,"Patty Cash",'Daily Issuance'!$B:$B,"&gt;="&amp;DATE(2026,7,1),'Daily Issuance'!$B:$B,"&lt;"&amp;DATE(2026,8,1)),0)</f>
        <v>0</v>
      </c>
      <c r="P26" s="92">
        <f t="shared" si="3"/>
        <v>0</v>
      </c>
      <c r="Q26" s="93">
        <f>IFERROR(SUMIFS('Daily Issuance'!$O$4:$O$991,'Daily Issuance'!$I$4:$I$991,$A26,'Daily Issuance'!$E$4:$E$991,"Inventory",'Daily Issuance'!$B$4:$B$991,"&gt;="&amp;DATE(2026,8,1),'Daily Issuance'!$B$4:$B$991,"&lt;"&amp;DATE(2026,9,1)),0)</f>
        <v>0</v>
      </c>
      <c r="R26" s="93">
        <f>IFERROR(SUMIFS('Daily Issuance'!$O$4:$O$991,'Daily Issuance'!$I$4:$I$991,$A26,'Daily Issuance'!$E$4:$E$991,"Non Inventory",'Daily Issuance'!$B$4:$B$991,"&gt;="&amp;DATE(2026,8,1),'Daily Issuance'!$B$4:$B$991,"&lt;"&amp;DATE(2026,9,1)),0)</f>
        <v>0</v>
      </c>
      <c r="S26" s="93">
        <f>IFERROR(SUMIFS('Daily Issuance'!$O$4:$O$991,'Daily Issuance'!$I$4:$I$991,$A26,'Daily Issuance'!$E$4:$E$991,"Services",'Daily Issuance'!$B$4:$B$991,"&gt;="&amp;DATE(2026,8,1),'Daily Issuance'!$B$4:$B$991,"&lt;"&amp;DATE(2026,9,1)),0)</f>
        <v>0</v>
      </c>
      <c r="T26" s="93">
        <f>IFERROR(SUMIFS('Daily Issuance'!$O:$O,'Daily Issuance'!$I:$I,$A26,'Daily Issuance'!$E:$E,"Patty Cash",'Daily Issuance'!$B:$B,"&gt;="&amp;DATE(2026,8,1),'Daily Issuance'!$B:$B,"&lt;"&amp;DATE(2026,9,1)),0)</f>
        <v>0</v>
      </c>
      <c r="U26" s="92">
        <f t="shared" si="4"/>
        <v>0</v>
      </c>
      <c r="V26" s="95">
        <f>IFERROR(SUMIFS('Daily Issuance'!$O$4:$O$991,'Daily Issuance'!$I$4:$I$991,$A26,'Daily Issuance'!$E$4:$E$991,"Inventory",'Daily Issuance'!$B$4:$B$991,"&gt;="&amp;DATE(2026,9,1),'Daily Issuance'!$B$4:$B$991,"&lt;"&amp;DATE(2026,10,1)),0)</f>
        <v>0</v>
      </c>
      <c r="W26" s="95">
        <f>IFERROR(SUMIFS('Daily Issuance'!$O$4:$O$991,'Daily Issuance'!$I$4:$I$991,$A26,'Daily Issuance'!$E$4:$E$991,"Non Inventory",'Daily Issuance'!$B$4:$B$991,"&gt;="&amp;DATE(2026,9,1),'Daily Issuance'!$B$4:$B$991,"&lt;"&amp;DATE(2026,10,1)),0)</f>
        <v>0</v>
      </c>
      <c r="X26" s="95">
        <f>IFERROR(SUMIFS('Daily Issuance'!$O$4:$O$991,'Daily Issuance'!$I$4:$I$991,$A26,'Daily Issuance'!$E$4:$E$991,"Services",'Daily Issuance'!$B$4:$B$991,"&gt;="&amp;DATE(2026,9,1),'Daily Issuance'!$B$4:$B$991,"&lt;"&amp;DATE(2026,10,1)),0)</f>
        <v>0</v>
      </c>
      <c r="Y26" s="95">
        <f>IFERROR(SUMIFS('Daily Issuance'!$O:$O,'Daily Issuance'!$I:$I,$A26,'Daily Issuance'!$E:$E,"Patty Cash",'Daily Issuance'!$B:$B,"&gt;="&amp;DATE(2026,9,1),'Daily Issuance'!$B:$B,"&lt;"&amp;DATE(2026,10,1)),0)</f>
        <v>0</v>
      </c>
      <c r="Z26" s="92">
        <f t="shared" si="5"/>
        <v>0</v>
      </c>
      <c r="AA26" s="93">
        <f>IFERROR(SUMIFS('Daily Issuance'!$O$4:$O$991,'Daily Issuance'!$I$4:$I$991,$A26,'Daily Issuance'!$E$4:$E$991,"Inventory",'Daily Issuance'!$B$4:$B$991,"&gt;="&amp;DATE(2026,10,1),'Daily Issuance'!$B$4:$B$991,"&lt;"&amp;DATE(2026,11,1)),0)</f>
        <v>0</v>
      </c>
      <c r="AB26" s="93">
        <f>IFERROR(SUMIFS('Daily Issuance'!$O$4:$O$991,'Daily Issuance'!$I$4:$I$991,$A26,'Daily Issuance'!$E$4:$E$991,"Non Inventory",'Daily Issuance'!$B$4:$B$991,"&gt;="&amp;DATE(2026,10,1),'Daily Issuance'!$B$4:$B$991,"&lt;"&amp;DATE(2026,11,1)),0)</f>
        <v>0</v>
      </c>
      <c r="AC26" s="93">
        <f>IFERROR(SUMIFS('Daily Issuance'!$O$4:$O$991,'Daily Issuance'!$I$4:$I$991,$A26,'Daily Issuance'!$E$4:$E$991,"Services",'Daily Issuance'!$B$4:$B$991,"&gt;="&amp;DATE(2026,10,1),'Daily Issuance'!$B$4:$B$991,"&lt;"&amp;DATE(2026,11,1)),0)</f>
        <v>0</v>
      </c>
      <c r="AD26" s="93">
        <f>IFERROR(SUMIFS('Daily Issuance'!$O:$O,'Daily Issuance'!$I:$I,$A26,'Daily Issuance'!$E:$E,"Patty Cash",'Daily Issuance'!$B:$B,"&gt;="&amp;DATE(2026,10,1),'Daily Issuance'!$B:$B,"&lt;"&amp;DATE(2026,11,1)),0)</f>
        <v>0</v>
      </c>
      <c r="AE26" s="92">
        <f t="shared" si="6"/>
        <v>0</v>
      </c>
      <c r="AF26" s="95">
        <f>IFERROR(SUMIFS('Daily Issuance'!$O$4:$O$991,'Daily Issuance'!$I$4:$I$991,$A26,'Daily Issuance'!$E$4:$E$991,"Inventory",'Daily Issuance'!$B$4:$B$991,"&gt;="&amp;DATE(2026,11,1),'Daily Issuance'!$B$4:$B$991,"&lt;"&amp;DATE(2026,12,1)),0)</f>
        <v>0</v>
      </c>
      <c r="AG26" s="95">
        <f>IFERROR(SUMIFS('Daily Issuance'!$O$4:$O$991,'Daily Issuance'!$I$4:$I$991,$A26,'Daily Issuance'!$E$4:$E$991,"Non Inventory",'Daily Issuance'!$B$4:$B$991,"&gt;="&amp;DATE(2026,11,1),'Daily Issuance'!$B$4:$B$991,"&lt;"&amp;DATE(2026,12,1)),0)</f>
        <v>0</v>
      </c>
      <c r="AH26" s="95">
        <f>IFERROR(SUMIFS('Daily Issuance'!$O$4:$O$991,'Daily Issuance'!$I$4:$I$991,$A26,'Daily Issuance'!$E$4:$E$991,"Services",'Daily Issuance'!$B$4:$B$991,"&gt;="&amp;DATE(2026,11,1),'Daily Issuance'!$B$4:$B$991,"&lt;"&amp;DATE(2026,12,1)),0)</f>
        <v>0</v>
      </c>
      <c r="AI26" s="95">
        <f>IFERROR(SUMIFS('Daily Issuance'!$O:$O,'Daily Issuance'!$I:$I,$A26,'Daily Issuance'!$E:$E,"Patty Cash",'Daily Issuance'!$B:$B,"&gt;="&amp;DATE(2026,11,1),'Daily Issuance'!$B:$B,"&lt;"&amp;DATE(2026,12,1)),0)</f>
        <v>0</v>
      </c>
      <c r="AJ26" s="92">
        <f t="shared" si="7"/>
        <v>0</v>
      </c>
      <c r="AK26" s="93">
        <f>IFERROR(SUMIFS('Daily Issuance'!$O$4:$O$991,'Daily Issuance'!$I$4:$I$991,$A26,'Daily Issuance'!$E$4:$E$991,"Inventory",'Daily Issuance'!$B$4:$B$991,"&gt;="&amp;DATE(2026,12,1),'Daily Issuance'!$B$4:$B$991,"&lt;"&amp;DATE(2027,1,1)),0)</f>
        <v>0</v>
      </c>
      <c r="AL26" s="93">
        <f>IFERROR(SUMIFS('Daily Issuance'!$O$4:$O$991,'Daily Issuance'!$I$4:$I$991,$A26,'Daily Issuance'!$E$4:$E$991,"Non Inventory",'Daily Issuance'!$B$4:$B$991,"&gt;="&amp;DATE(2026,12,1),'Daily Issuance'!$B$4:$B$991,"&lt;"&amp;DATE(2027,1,1)),0)</f>
        <v>0</v>
      </c>
      <c r="AM26" s="93">
        <f>IFERROR(SUMIFS('Daily Issuance'!$O$4:$O$991,'Daily Issuance'!$I$4:$I$991,$A26,'Daily Issuance'!$E$4:$E$991,"Services",'Daily Issuance'!$B$4:$B$991,"&gt;="&amp;DATE(2026,12,1),'Daily Issuance'!$B$4:$B$991,"&lt;"&amp;DATE(2027,1,1)),0)</f>
        <v>0</v>
      </c>
      <c r="AN26" s="93">
        <f>IFERROR(SUMIFS('Daily Issuance'!$O:$O,'Daily Issuance'!$I:$I,$A26,'Daily Issuance'!$E:$E,"Patty Cash",'Daily Issuance'!$B:$B,"&gt;="&amp;DATE(2026,12,1),'Daily Issuance'!$B:$B,"&lt;"&amp;DATE(2027,1,1)),0)</f>
        <v>0</v>
      </c>
      <c r="AO26" s="92">
        <f t="shared" si="8"/>
        <v>0</v>
      </c>
      <c r="AP26" s="103">
        <f t="shared" si="0"/>
        <v>38261</v>
      </c>
    </row>
    <row r="27" spans="1:42" ht="21" customHeight="1">
      <c r="A27" s="90" t="s">
        <v>60</v>
      </c>
      <c r="B27" s="91">
        <f>IFERROR(SUMIFS('Daily Issuance'!$O:$O,'Daily Issuance'!$I:$I,$A27,'Daily Issuance'!$E:$E,"Inventory",'Daily Issuance'!$B:$B,"&gt;="&amp;DATE(2026,5,1),'Daily Issuance'!$B:$B,"&lt;"&amp;DATE(2026,6,1)),0)</f>
        <v>0</v>
      </c>
      <c r="C27" s="91">
        <f>IFERROR(SUMIFS('Daily Issuance'!$O:$O,'Daily Issuance'!$I:$I,$A27,'Daily Issuance'!$E:$E,"Non Inventory",'Daily Issuance'!$B:$B,"&gt;="&amp;DATE(2026,5,1),'Daily Issuance'!$B:$B,"&lt;"&amp;DATE(2026,6,1)),0)</f>
        <v>280</v>
      </c>
      <c r="D27" s="91">
        <f>IFERROR(SUMIFS('Daily Issuance'!$O:$O,'Daily Issuance'!$I:$I,$A27,'Daily Issuance'!$E:$E,"Services",'Daily Issuance'!$B:$B,"&gt;="&amp;DATE(2026,5,1),'Daily Issuance'!$B:$B,"&lt;"&amp;DATE(2026,6,1)),0)</f>
        <v>0</v>
      </c>
      <c r="E27" s="91">
        <f>IFERROR(SUMIFS('Daily Issuance'!$O:$O,'Daily Issuance'!$I:$I,$A27,'Daily Issuance'!$E:$E,"Patty Cash",'Daily Issuance'!$B:$B,"&gt;="&amp;DATE(2026,5,1),'Daily Issuance'!$B:$B,"&lt;"&amp;DATE(2026,6,1)),0)</f>
        <v>0</v>
      </c>
      <c r="F27" s="92">
        <f t="shared" si="1"/>
        <v>280</v>
      </c>
      <c r="G27" s="93">
        <f>IFERROR(SUMIFS('Daily Issuance'!$O$4:$O$991,'Daily Issuance'!$I$4:$I$991,$A27,'Daily Issuance'!$E$4:$E$991,"Inventory",'Daily Issuance'!$B$4:$B$991,"&gt;="&amp;DATE(2026,6,1),'Daily Issuance'!$B$4:$B$991,"&lt;"&amp;DATE(2026,7,1)),0)</f>
        <v>10000</v>
      </c>
      <c r="H27" s="93">
        <f>IFERROR(SUMIFS('Daily Issuance'!$O$4:$O$991,'Daily Issuance'!$I$4:$I$991,$A27,'Daily Issuance'!$E$4:$E$991,"Non Inventory",'Daily Issuance'!$B$4:$B$991,"&gt;="&amp;DATE(2026,6,1),'Daily Issuance'!$B$4:$B$991,"&lt;"&amp;DATE(2026,7,1)),0)</f>
        <v>256</v>
      </c>
      <c r="I27" s="93">
        <f>IFERROR(SUMIFS('Daily Issuance'!$O$4:$O$991,'Daily Issuance'!$I$4:$I$991,$A27,'Daily Issuance'!$E$4:$E$991,"Services",'Daily Issuance'!$B$4:$B$991,"&gt;="&amp;DATE(2026,6,1),'Daily Issuance'!$B$4:$B$991,"&lt;"&amp;DATE(2026,7,1)),0)</f>
        <v>0</v>
      </c>
      <c r="J27" s="93">
        <f>IFERROR(SUMIFS('Daily Issuance'!$O:$O,'Daily Issuance'!$I:$I,$A27,'Daily Issuance'!$E:$E,"Patty Cash",'Daily Issuance'!$B:$B,"&gt;="&amp;DATE(2026,6,1),'Daily Issuance'!$B:$B,"&lt;"&amp;DATE(2026,7,1)),0)</f>
        <v>0</v>
      </c>
      <c r="K27" s="92">
        <f t="shared" si="2"/>
        <v>10256</v>
      </c>
      <c r="L27" s="94">
        <f>IFERROR(SUMIFS('Daily Issuance'!$O$4:$O$991,'Daily Issuance'!$I$4:$I$991,$A27,'Daily Issuance'!$E$4:$E$991,"Inventory",'Daily Issuance'!$B$4:$B$991,"&gt;="&amp;DATE(2026,7,1),'Daily Issuance'!$B$4:$B$991,"&lt;"&amp;DATE(2026,8,1)),0)</f>
        <v>0</v>
      </c>
      <c r="M27" s="95">
        <f>IFERROR(SUMIFS('Daily Issuance'!$O$4:$O$991,'Daily Issuance'!$I$4:$I$991,$A27,'Daily Issuance'!$E$4:$E$991,"Non Inventory",'Daily Issuance'!$B$4:$B$991,"&gt;="&amp;DATE(2026,7,1),'Daily Issuance'!$B$4:$B$991,"&lt;"&amp;DATE(2026,8,1)),0)</f>
        <v>0</v>
      </c>
      <c r="N27" s="95">
        <f>IFERROR(SUMIFS('Daily Issuance'!$O$4:$O$991,'Daily Issuance'!$I$4:$I$991,$A27,'Daily Issuance'!$E$4:$E$991,"Services",'Daily Issuance'!$B$4:$B$991,"&gt;="&amp;DATE(2026,7,1),'Daily Issuance'!$B$4:$B$991,"&lt;"&amp;DATE(2026,8,1)),0)</f>
        <v>0</v>
      </c>
      <c r="O27" s="95">
        <f>IFERROR(SUMIFS('Daily Issuance'!$O:$O,'Daily Issuance'!$I:$I,$A27,'Daily Issuance'!$E:$E,"Patty Cash",'Daily Issuance'!$B:$B,"&gt;="&amp;DATE(2026,7,1),'Daily Issuance'!$B:$B,"&lt;"&amp;DATE(2026,8,1)),0)</f>
        <v>0</v>
      </c>
      <c r="P27" s="92">
        <f t="shared" si="3"/>
        <v>0</v>
      </c>
      <c r="Q27" s="93">
        <f>IFERROR(SUMIFS('Daily Issuance'!$O$4:$O$991,'Daily Issuance'!$I$4:$I$991,$A27,'Daily Issuance'!$E$4:$E$991,"Inventory",'Daily Issuance'!$B$4:$B$991,"&gt;="&amp;DATE(2026,8,1),'Daily Issuance'!$B$4:$B$991,"&lt;"&amp;DATE(2026,9,1)),0)</f>
        <v>0</v>
      </c>
      <c r="R27" s="93">
        <f>IFERROR(SUMIFS('Daily Issuance'!$O$4:$O$991,'Daily Issuance'!$I$4:$I$991,$A27,'Daily Issuance'!$E$4:$E$991,"Non Inventory",'Daily Issuance'!$B$4:$B$991,"&gt;="&amp;DATE(2026,8,1),'Daily Issuance'!$B$4:$B$991,"&lt;"&amp;DATE(2026,9,1)),0)</f>
        <v>0</v>
      </c>
      <c r="S27" s="93">
        <f>IFERROR(SUMIFS('Daily Issuance'!$O$4:$O$991,'Daily Issuance'!$I$4:$I$991,$A27,'Daily Issuance'!$E$4:$E$991,"Services",'Daily Issuance'!$B$4:$B$991,"&gt;="&amp;DATE(2026,8,1),'Daily Issuance'!$B$4:$B$991,"&lt;"&amp;DATE(2026,9,1)),0)</f>
        <v>0</v>
      </c>
      <c r="T27" s="93">
        <f>IFERROR(SUMIFS('Daily Issuance'!$O:$O,'Daily Issuance'!$I:$I,$A27,'Daily Issuance'!$E:$E,"Patty Cash",'Daily Issuance'!$B:$B,"&gt;="&amp;DATE(2026,8,1),'Daily Issuance'!$B:$B,"&lt;"&amp;DATE(2026,9,1)),0)</f>
        <v>0</v>
      </c>
      <c r="U27" s="92">
        <f t="shared" si="4"/>
        <v>0</v>
      </c>
      <c r="V27" s="95">
        <f>IFERROR(SUMIFS('Daily Issuance'!$O$4:$O$991,'Daily Issuance'!$I$4:$I$991,$A27,'Daily Issuance'!$E$4:$E$991,"Inventory",'Daily Issuance'!$B$4:$B$991,"&gt;="&amp;DATE(2026,9,1),'Daily Issuance'!$B$4:$B$991,"&lt;"&amp;DATE(2026,10,1)),0)</f>
        <v>0</v>
      </c>
      <c r="W27" s="95">
        <f>IFERROR(SUMIFS('Daily Issuance'!$O$4:$O$991,'Daily Issuance'!$I$4:$I$991,$A27,'Daily Issuance'!$E$4:$E$991,"Non Inventory",'Daily Issuance'!$B$4:$B$991,"&gt;="&amp;DATE(2026,9,1),'Daily Issuance'!$B$4:$B$991,"&lt;"&amp;DATE(2026,10,1)),0)</f>
        <v>0</v>
      </c>
      <c r="X27" s="95">
        <f>IFERROR(SUMIFS('Daily Issuance'!$O$4:$O$991,'Daily Issuance'!$I$4:$I$991,$A27,'Daily Issuance'!$E$4:$E$991,"Services",'Daily Issuance'!$B$4:$B$991,"&gt;="&amp;DATE(2026,9,1),'Daily Issuance'!$B$4:$B$991,"&lt;"&amp;DATE(2026,10,1)),0)</f>
        <v>0</v>
      </c>
      <c r="Y27" s="95">
        <f>IFERROR(SUMIFS('Daily Issuance'!$O:$O,'Daily Issuance'!$I:$I,$A27,'Daily Issuance'!$E:$E,"Patty Cash",'Daily Issuance'!$B:$B,"&gt;="&amp;DATE(2026,9,1),'Daily Issuance'!$B:$B,"&lt;"&amp;DATE(2026,10,1)),0)</f>
        <v>0</v>
      </c>
      <c r="Z27" s="92">
        <f t="shared" si="5"/>
        <v>0</v>
      </c>
      <c r="AA27" s="93">
        <f>IFERROR(SUMIFS('Daily Issuance'!$O$4:$O$991,'Daily Issuance'!$I$4:$I$991,$A27,'Daily Issuance'!$E$4:$E$991,"Inventory",'Daily Issuance'!$B$4:$B$991,"&gt;="&amp;DATE(2026,10,1),'Daily Issuance'!$B$4:$B$991,"&lt;"&amp;DATE(2026,11,1)),0)</f>
        <v>0</v>
      </c>
      <c r="AB27" s="93">
        <f>IFERROR(SUMIFS('Daily Issuance'!$O$4:$O$991,'Daily Issuance'!$I$4:$I$991,$A27,'Daily Issuance'!$E$4:$E$991,"Non Inventory",'Daily Issuance'!$B$4:$B$991,"&gt;="&amp;DATE(2026,10,1),'Daily Issuance'!$B$4:$B$991,"&lt;"&amp;DATE(2026,11,1)),0)</f>
        <v>0</v>
      </c>
      <c r="AC27" s="93">
        <f>IFERROR(SUMIFS('Daily Issuance'!$O$4:$O$991,'Daily Issuance'!$I$4:$I$991,$A27,'Daily Issuance'!$E$4:$E$991,"Services",'Daily Issuance'!$B$4:$B$991,"&gt;="&amp;DATE(2026,10,1),'Daily Issuance'!$B$4:$B$991,"&lt;"&amp;DATE(2026,11,1)),0)</f>
        <v>0</v>
      </c>
      <c r="AD27" s="93">
        <f>IFERROR(SUMIFS('Daily Issuance'!$O:$O,'Daily Issuance'!$I:$I,$A27,'Daily Issuance'!$E:$E,"Patty Cash",'Daily Issuance'!$B:$B,"&gt;="&amp;DATE(2026,10,1),'Daily Issuance'!$B:$B,"&lt;"&amp;DATE(2026,11,1)),0)</f>
        <v>0</v>
      </c>
      <c r="AE27" s="92">
        <f t="shared" si="6"/>
        <v>0</v>
      </c>
      <c r="AF27" s="95">
        <f>IFERROR(SUMIFS('Daily Issuance'!$O$4:$O$991,'Daily Issuance'!$I$4:$I$991,$A27,'Daily Issuance'!$E$4:$E$991,"Inventory",'Daily Issuance'!$B$4:$B$991,"&gt;="&amp;DATE(2026,11,1),'Daily Issuance'!$B$4:$B$991,"&lt;"&amp;DATE(2026,12,1)),0)</f>
        <v>0</v>
      </c>
      <c r="AG27" s="95">
        <f>IFERROR(SUMIFS('Daily Issuance'!$O$4:$O$991,'Daily Issuance'!$I$4:$I$991,$A27,'Daily Issuance'!$E$4:$E$991,"Non Inventory",'Daily Issuance'!$B$4:$B$991,"&gt;="&amp;DATE(2026,11,1),'Daily Issuance'!$B$4:$B$991,"&lt;"&amp;DATE(2026,12,1)),0)</f>
        <v>0</v>
      </c>
      <c r="AH27" s="95">
        <f>IFERROR(SUMIFS('Daily Issuance'!$O$4:$O$991,'Daily Issuance'!$I$4:$I$991,$A27,'Daily Issuance'!$E$4:$E$991,"Services",'Daily Issuance'!$B$4:$B$991,"&gt;="&amp;DATE(2026,11,1),'Daily Issuance'!$B$4:$B$991,"&lt;"&amp;DATE(2026,12,1)),0)</f>
        <v>0</v>
      </c>
      <c r="AI27" s="95">
        <f>IFERROR(SUMIFS('Daily Issuance'!$O:$O,'Daily Issuance'!$I:$I,$A27,'Daily Issuance'!$E:$E,"Patty Cash",'Daily Issuance'!$B:$B,"&gt;="&amp;DATE(2026,11,1),'Daily Issuance'!$B:$B,"&lt;"&amp;DATE(2026,12,1)),0)</f>
        <v>0</v>
      </c>
      <c r="AJ27" s="92">
        <f t="shared" si="7"/>
        <v>0</v>
      </c>
      <c r="AK27" s="93">
        <f>IFERROR(SUMIFS('Daily Issuance'!$O$4:$O$991,'Daily Issuance'!$I$4:$I$991,$A27,'Daily Issuance'!$E$4:$E$991,"Inventory",'Daily Issuance'!$B$4:$B$991,"&gt;="&amp;DATE(2026,12,1),'Daily Issuance'!$B$4:$B$991,"&lt;"&amp;DATE(2027,1,1)),0)</f>
        <v>0</v>
      </c>
      <c r="AL27" s="93">
        <f>IFERROR(SUMIFS('Daily Issuance'!$O$4:$O$991,'Daily Issuance'!$I$4:$I$991,$A27,'Daily Issuance'!$E$4:$E$991,"Non Inventory",'Daily Issuance'!$B$4:$B$991,"&gt;="&amp;DATE(2026,12,1),'Daily Issuance'!$B$4:$B$991,"&lt;"&amp;DATE(2027,1,1)),0)</f>
        <v>0</v>
      </c>
      <c r="AM27" s="93">
        <f>IFERROR(SUMIFS('Daily Issuance'!$O$4:$O$991,'Daily Issuance'!$I$4:$I$991,$A27,'Daily Issuance'!$E$4:$E$991,"Services",'Daily Issuance'!$B$4:$B$991,"&gt;="&amp;DATE(2026,12,1),'Daily Issuance'!$B$4:$B$991,"&lt;"&amp;DATE(2027,1,1)),0)</f>
        <v>0</v>
      </c>
      <c r="AN27" s="93">
        <f>IFERROR(SUMIFS('Daily Issuance'!$O:$O,'Daily Issuance'!$I:$I,$A27,'Daily Issuance'!$E:$E,"Patty Cash",'Daily Issuance'!$B:$B,"&gt;="&amp;DATE(2026,12,1),'Daily Issuance'!$B:$B,"&lt;"&amp;DATE(2027,1,1)),0)</f>
        <v>0</v>
      </c>
      <c r="AO27" s="92">
        <f t="shared" si="8"/>
        <v>0</v>
      </c>
      <c r="AP27" s="103">
        <f t="shared" si="0"/>
        <v>10536</v>
      </c>
    </row>
    <row r="28" spans="1:42" s="3" customFormat="1" ht="21" customHeight="1">
      <c r="A28" s="90" t="s">
        <v>1300</v>
      </c>
      <c r="B28" s="91">
        <f>IFERROR(SUMIFS('Daily Issuance'!$O:$O,'Daily Issuance'!$I:$I,$A28,'Daily Issuance'!$E:$E,"Inventory",'Daily Issuance'!$B:$B,"&gt;="&amp;DATE(2026,5,1),'Daily Issuance'!$B:$B,"&lt;"&amp;DATE(2026,6,1)),0)</f>
        <v>7966</v>
      </c>
      <c r="C28" s="91">
        <f>IFERROR(SUMIFS('Daily Issuance'!$O:$O,'Daily Issuance'!$I:$I,$A28,'Daily Issuance'!$E:$E,"Non Inventory",'Daily Issuance'!$B:$B,"&gt;="&amp;DATE(2026,5,1),'Daily Issuance'!$B:$B,"&lt;"&amp;DATE(2026,6,1)),0)</f>
        <v>595</v>
      </c>
      <c r="D28" s="91">
        <f>IFERROR(SUMIFS('Daily Issuance'!$O:$O,'Daily Issuance'!$I:$I,$A28,'Daily Issuance'!$E:$E,"Services",'Daily Issuance'!$B:$B,"&gt;="&amp;DATE(2026,5,1),'Daily Issuance'!$B:$B,"&lt;"&amp;DATE(2026,6,1)),0)</f>
        <v>0</v>
      </c>
      <c r="E28" s="91">
        <f>IFERROR(SUMIFS('Daily Issuance'!$O:$O,'Daily Issuance'!$I:$I,$A28,'Daily Issuance'!$E:$E,"Patty Cash",'Daily Issuance'!$B:$B,"&gt;="&amp;DATE(2026,5,1),'Daily Issuance'!$B:$B,"&lt;"&amp;DATE(2026,6,1)),0)</f>
        <v>0</v>
      </c>
      <c r="F28" s="92">
        <f t="shared" si="1"/>
        <v>8561</v>
      </c>
      <c r="G28" s="93">
        <f>IFERROR(SUMIFS('Daily Issuance'!$O$4:$O$991,'Daily Issuance'!$I$4:$I$991,$A28,'Daily Issuance'!$E$4:$E$991,"Inventory",'Daily Issuance'!$B$4:$B$991,"&gt;="&amp;DATE(2026,6,1),'Daily Issuance'!$B$4:$B$991,"&lt;"&amp;DATE(2026,7,1)),0)</f>
        <v>5500</v>
      </c>
      <c r="H28" s="93">
        <f>IFERROR(SUMIFS('Daily Issuance'!$O$4:$O$991,'Daily Issuance'!$I$4:$I$991,$A28,'Daily Issuance'!$E$4:$E$991,"Non Inventory",'Daily Issuance'!$B$4:$B$991,"&gt;="&amp;DATE(2026,6,1),'Daily Issuance'!$B$4:$B$991,"&lt;"&amp;DATE(2026,7,1)),0)</f>
        <v>256</v>
      </c>
      <c r="I28" s="93">
        <f>IFERROR(SUMIFS('Daily Issuance'!$O$4:$O$991,'Daily Issuance'!$I$4:$I$991,$A28,'Daily Issuance'!$E$4:$E$991,"Services",'Daily Issuance'!$B$4:$B$991,"&gt;="&amp;DATE(2026,6,1),'Daily Issuance'!$B$4:$B$991,"&lt;"&amp;DATE(2026,7,1)),0)</f>
        <v>0</v>
      </c>
      <c r="J28" s="93">
        <f>IFERROR(SUMIFS('Daily Issuance'!$O:$O,'Daily Issuance'!$I:$I,$A28,'Daily Issuance'!$E:$E,"Patty Cash",'Daily Issuance'!$B:$B,"&gt;="&amp;DATE(2026,6,1),'Daily Issuance'!$B:$B,"&lt;"&amp;DATE(2026,7,1)),0)</f>
        <v>0</v>
      </c>
      <c r="K28" s="92">
        <f t="shared" si="2"/>
        <v>5756</v>
      </c>
      <c r="L28" s="94">
        <f>IFERROR(SUMIFS('Daily Issuance'!$O$4:$O$991,'Daily Issuance'!$I$4:$I$991,$A28,'Daily Issuance'!$E$4:$E$991,"Inventory",'Daily Issuance'!$B$4:$B$991,"&gt;="&amp;DATE(2026,7,1),'Daily Issuance'!$B$4:$B$991,"&lt;"&amp;DATE(2026,8,1)),0)</f>
        <v>0</v>
      </c>
      <c r="M28" s="95">
        <f>IFERROR(SUMIFS('Daily Issuance'!$O$4:$O$991,'Daily Issuance'!$I$4:$I$991,$A28,'Daily Issuance'!$E$4:$E$991,"Non Inventory",'Daily Issuance'!$B$4:$B$991,"&gt;="&amp;DATE(2026,7,1),'Daily Issuance'!$B$4:$B$991,"&lt;"&amp;DATE(2026,8,1)),0)</f>
        <v>0</v>
      </c>
      <c r="N28" s="95">
        <f>IFERROR(SUMIFS('Daily Issuance'!$O$4:$O$991,'Daily Issuance'!$I$4:$I$991,$A28,'Daily Issuance'!$E$4:$E$991,"Services",'Daily Issuance'!$B$4:$B$991,"&gt;="&amp;DATE(2026,7,1),'Daily Issuance'!$B$4:$B$991,"&lt;"&amp;DATE(2026,8,1)),0)</f>
        <v>0</v>
      </c>
      <c r="O28" s="95">
        <f>IFERROR(SUMIFS('Daily Issuance'!$O:$O,'Daily Issuance'!$I:$I,$A28,'Daily Issuance'!$E:$E,"Patty Cash",'Daily Issuance'!$B:$B,"&gt;="&amp;DATE(2026,7,1),'Daily Issuance'!$B:$B,"&lt;"&amp;DATE(2026,8,1)),0)</f>
        <v>0</v>
      </c>
      <c r="P28" s="92">
        <f t="shared" si="3"/>
        <v>0</v>
      </c>
      <c r="Q28" s="93">
        <f>IFERROR(SUMIFS('Daily Issuance'!$O$4:$O$991,'Daily Issuance'!$I$4:$I$991,$A28,'Daily Issuance'!$E$4:$E$991,"Inventory",'Daily Issuance'!$B$4:$B$991,"&gt;="&amp;DATE(2026,8,1),'Daily Issuance'!$B$4:$B$991,"&lt;"&amp;DATE(2026,9,1)),0)</f>
        <v>0</v>
      </c>
      <c r="R28" s="93">
        <f>IFERROR(SUMIFS('Daily Issuance'!$O$4:$O$991,'Daily Issuance'!$I$4:$I$991,$A28,'Daily Issuance'!$E$4:$E$991,"Non Inventory",'Daily Issuance'!$B$4:$B$991,"&gt;="&amp;DATE(2026,8,1),'Daily Issuance'!$B$4:$B$991,"&lt;"&amp;DATE(2026,9,1)),0)</f>
        <v>0</v>
      </c>
      <c r="S28" s="93">
        <f>IFERROR(SUMIFS('Daily Issuance'!$O$4:$O$991,'Daily Issuance'!$I$4:$I$991,$A28,'Daily Issuance'!$E$4:$E$991,"Services",'Daily Issuance'!$B$4:$B$991,"&gt;="&amp;DATE(2026,8,1),'Daily Issuance'!$B$4:$B$991,"&lt;"&amp;DATE(2026,9,1)),0)</f>
        <v>0</v>
      </c>
      <c r="T28" s="93">
        <f>IFERROR(SUMIFS('Daily Issuance'!$O:$O,'Daily Issuance'!$I:$I,$A28,'Daily Issuance'!$E:$E,"Patty Cash",'Daily Issuance'!$B:$B,"&gt;="&amp;DATE(2026,8,1),'Daily Issuance'!$B:$B,"&lt;"&amp;DATE(2026,9,1)),0)</f>
        <v>0</v>
      </c>
      <c r="U28" s="92">
        <f t="shared" si="4"/>
        <v>0</v>
      </c>
      <c r="V28" s="95">
        <f>IFERROR(SUMIFS('Daily Issuance'!$O$4:$O$991,'Daily Issuance'!$I$4:$I$991,$A28,'Daily Issuance'!$E$4:$E$991,"Inventory",'Daily Issuance'!$B$4:$B$991,"&gt;="&amp;DATE(2026,9,1),'Daily Issuance'!$B$4:$B$991,"&lt;"&amp;DATE(2026,10,1)),0)</f>
        <v>0</v>
      </c>
      <c r="W28" s="95">
        <f>IFERROR(SUMIFS('Daily Issuance'!$O$4:$O$991,'Daily Issuance'!$I$4:$I$991,$A28,'Daily Issuance'!$E$4:$E$991,"Non Inventory",'Daily Issuance'!$B$4:$B$991,"&gt;="&amp;DATE(2026,9,1),'Daily Issuance'!$B$4:$B$991,"&lt;"&amp;DATE(2026,10,1)),0)</f>
        <v>0</v>
      </c>
      <c r="X28" s="95">
        <f>IFERROR(SUMIFS('Daily Issuance'!$O$4:$O$991,'Daily Issuance'!$I$4:$I$991,$A28,'Daily Issuance'!$E$4:$E$991,"Services",'Daily Issuance'!$B$4:$B$991,"&gt;="&amp;DATE(2026,9,1),'Daily Issuance'!$B$4:$B$991,"&lt;"&amp;DATE(2026,10,1)),0)</f>
        <v>0</v>
      </c>
      <c r="Y28" s="95">
        <f>IFERROR(SUMIFS('Daily Issuance'!$O:$O,'Daily Issuance'!$I:$I,$A28,'Daily Issuance'!$E:$E,"Patty Cash",'Daily Issuance'!$B:$B,"&gt;="&amp;DATE(2026,9,1),'Daily Issuance'!$B:$B,"&lt;"&amp;DATE(2026,10,1)),0)</f>
        <v>0</v>
      </c>
      <c r="Z28" s="92">
        <f t="shared" si="5"/>
        <v>0</v>
      </c>
      <c r="AA28" s="93">
        <f>IFERROR(SUMIFS('Daily Issuance'!$O$4:$O$991,'Daily Issuance'!$I$4:$I$991,$A28,'Daily Issuance'!$E$4:$E$991,"Inventory",'Daily Issuance'!$B$4:$B$991,"&gt;="&amp;DATE(2026,10,1),'Daily Issuance'!$B$4:$B$991,"&lt;"&amp;DATE(2026,11,1)),0)</f>
        <v>0</v>
      </c>
      <c r="AB28" s="93">
        <f>IFERROR(SUMIFS('Daily Issuance'!$O$4:$O$991,'Daily Issuance'!$I$4:$I$991,$A28,'Daily Issuance'!$E$4:$E$991,"Non Inventory",'Daily Issuance'!$B$4:$B$991,"&gt;="&amp;DATE(2026,10,1),'Daily Issuance'!$B$4:$B$991,"&lt;"&amp;DATE(2026,11,1)),0)</f>
        <v>0</v>
      </c>
      <c r="AC28" s="93">
        <f>IFERROR(SUMIFS('Daily Issuance'!$O$4:$O$991,'Daily Issuance'!$I$4:$I$991,$A28,'Daily Issuance'!$E$4:$E$991,"Services",'Daily Issuance'!$B$4:$B$991,"&gt;="&amp;DATE(2026,10,1),'Daily Issuance'!$B$4:$B$991,"&lt;"&amp;DATE(2026,11,1)),0)</f>
        <v>0</v>
      </c>
      <c r="AD28" s="93">
        <f>IFERROR(SUMIFS('Daily Issuance'!$O:$O,'Daily Issuance'!$I:$I,$A28,'Daily Issuance'!$E:$E,"Patty Cash",'Daily Issuance'!$B:$B,"&gt;="&amp;DATE(2026,10,1),'Daily Issuance'!$B:$B,"&lt;"&amp;DATE(2026,11,1)),0)</f>
        <v>0</v>
      </c>
      <c r="AE28" s="92">
        <f t="shared" si="6"/>
        <v>0</v>
      </c>
      <c r="AF28" s="95">
        <f>IFERROR(SUMIFS('Daily Issuance'!$O$4:$O$991,'Daily Issuance'!$I$4:$I$991,$A28,'Daily Issuance'!$E$4:$E$991,"Inventory",'Daily Issuance'!$B$4:$B$991,"&gt;="&amp;DATE(2026,11,1),'Daily Issuance'!$B$4:$B$991,"&lt;"&amp;DATE(2026,12,1)),0)</f>
        <v>0</v>
      </c>
      <c r="AG28" s="95">
        <f>IFERROR(SUMIFS('Daily Issuance'!$O$4:$O$991,'Daily Issuance'!$I$4:$I$991,$A28,'Daily Issuance'!$E$4:$E$991,"Non Inventory",'Daily Issuance'!$B$4:$B$991,"&gt;="&amp;DATE(2026,11,1),'Daily Issuance'!$B$4:$B$991,"&lt;"&amp;DATE(2026,12,1)),0)</f>
        <v>0</v>
      </c>
      <c r="AH28" s="95">
        <f>IFERROR(SUMIFS('Daily Issuance'!$O$4:$O$991,'Daily Issuance'!$I$4:$I$991,$A28,'Daily Issuance'!$E$4:$E$991,"Services",'Daily Issuance'!$B$4:$B$991,"&gt;="&amp;DATE(2026,11,1),'Daily Issuance'!$B$4:$B$991,"&lt;"&amp;DATE(2026,12,1)),0)</f>
        <v>0</v>
      </c>
      <c r="AI28" s="95">
        <f>IFERROR(SUMIFS('Daily Issuance'!$O:$O,'Daily Issuance'!$I:$I,$A28,'Daily Issuance'!$E:$E,"Patty Cash",'Daily Issuance'!$B:$B,"&gt;="&amp;DATE(2026,11,1),'Daily Issuance'!$B:$B,"&lt;"&amp;DATE(2026,12,1)),0)</f>
        <v>0</v>
      </c>
      <c r="AJ28" s="92">
        <f t="shared" si="7"/>
        <v>0</v>
      </c>
      <c r="AK28" s="93">
        <f>IFERROR(SUMIFS('Daily Issuance'!$O$4:$O$991,'Daily Issuance'!$I$4:$I$991,$A28,'Daily Issuance'!$E$4:$E$991,"Inventory",'Daily Issuance'!$B$4:$B$991,"&gt;="&amp;DATE(2026,12,1),'Daily Issuance'!$B$4:$B$991,"&lt;"&amp;DATE(2027,1,1)),0)</f>
        <v>0</v>
      </c>
      <c r="AL28" s="93">
        <f>IFERROR(SUMIFS('Daily Issuance'!$O$4:$O$991,'Daily Issuance'!$I$4:$I$991,$A28,'Daily Issuance'!$E$4:$E$991,"Non Inventory",'Daily Issuance'!$B$4:$B$991,"&gt;="&amp;DATE(2026,12,1),'Daily Issuance'!$B$4:$B$991,"&lt;"&amp;DATE(2027,1,1)),0)</f>
        <v>0</v>
      </c>
      <c r="AM28" s="93">
        <f>IFERROR(SUMIFS('Daily Issuance'!$O$4:$O$991,'Daily Issuance'!$I$4:$I$991,$A28,'Daily Issuance'!$E$4:$E$991,"Services",'Daily Issuance'!$B$4:$B$991,"&gt;="&amp;DATE(2026,12,1),'Daily Issuance'!$B$4:$B$991,"&lt;"&amp;DATE(2027,1,1)),0)</f>
        <v>0</v>
      </c>
      <c r="AN28" s="93">
        <f>IFERROR(SUMIFS('Daily Issuance'!$O:$O,'Daily Issuance'!$I:$I,$A28,'Daily Issuance'!$E:$E,"Patty Cash",'Daily Issuance'!$B:$B,"&gt;="&amp;DATE(2026,12,1),'Daily Issuance'!$B:$B,"&lt;"&amp;DATE(2027,1,1)),0)</f>
        <v>0</v>
      </c>
      <c r="AO28" s="92">
        <f t="shared" si="8"/>
        <v>0</v>
      </c>
      <c r="AP28" s="103">
        <f t="shared" si="0"/>
        <v>14317</v>
      </c>
    </row>
    <row r="29" spans="1:42" ht="21" customHeight="1">
      <c r="A29" s="90" t="s">
        <v>61</v>
      </c>
      <c r="B29" s="91">
        <f>IFERROR(SUMIFS('Daily Issuance'!$O:$O,'Daily Issuance'!$I:$I,$A29,'Daily Issuance'!$E:$E,"Inventory",'Daily Issuance'!$B:$B,"&gt;="&amp;DATE(2026,5,1),'Daily Issuance'!$B:$B,"&lt;"&amp;DATE(2026,6,1)),0)</f>
        <v>0</v>
      </c>
      <c r="C29" s="91">
        <f>IFERROR(SUMIFS('Daily Issuance'!$O:$O,'Daily Issuance'!$I:$I,$A29,'Daily Issuance'!$E:$E,"Non Inventory",'Daily Issuance'!$B:$B,"&gt;="&amp;DATE(2026,5,1),'Daily Issuance'!$B:$B,"&lt;"&amp;DATE(2026,6,1)),0)</f>
        <v>225</v>
      </c>
      <c r="D29" s="91">
        <f>IFERROR(SUMIFS('Daily Issuance'!$O:$O,'Daily Issuance'!$I:$I,$A29,'Daily Issuance'!$E:$E,"Services",'Daily Issuance'!$B:$B,"&gt;="&amp;DATE(2026,5,1),'Daily Issuance'!$B:$B,"&lt;"&amp;DATE(2026,6,1)),0)</f>
        <v>0</v>
      </c>
      <c r="E29" s="91">
        <f>IFERROR(SUMIFS('Daily Issuance'!$O:$O,'Daily Issuance'!$I:$I,$A29,'Daily Issuance'!$E:$E,"Patty Cash",'Daily Issuance'!$B:$B,"&gt;="&amp;DATE(2026,5,1),'Daily Issuance'!$B:$B,"&lt;"&amp;DATE(2026,6,1)),0)</f>
        <v>0</v>
      </c>
      <c r="F29" s="92">
        <f t="shared" si="1"/>
        <v>225</v>
      </c>
      <c r="G29" s="93">
        <f>IFERROR(SUMIFS('Daily Issuance'!$O$4:$O$991,'Daily Issuance'!$I$4:$I$991,$A29,'Daily Issuance'!$E$4:$E$991,"Inventory",'Daily Issuance'!$B$4:$B$991,"&gt;="&amp;DATE(2026,6,1),'Daily Issuance'!$B$4:$B$991,"&lt;"&amp;DATE(2026,7,1)),0)</f>
        <v>0</v>
      </c>
      <c r="H29" s="93">
        <f>IFERROR(SUMIFS('Daily Issuance'!$O$4:$O$991,'Daily Issuance'!$I$4:$I$991,$A29,'Daily Issuance'!$E$4:$E$991,"Non Inventory",'Daily Issuance'!$B$4:$B$991,"&gt;="&amp;DATE(2026,6,1),'Daily Issuance'!$B$4:$B$991,"&lt;"&amp;DATE(2026,7,1)),0)</f>
        <v>225</v>
      </c>
      <c r="I29" s="93">
        <f>IFERROR(SUMIFS('Daily Issuance'!$O$4:$O$991,'Daily Issuance'!$I$4:$I$991,$A29,'Daily Issuance'!$E$4:$E$991,"Services",'Daily Issuance'!$B$4:$B$991,"&gt;="&amp;DATE(2026,6,1),'Daily Issuance'!$B$4:$B$991,"&lt;"&amp;DATE(2026,7,1)),0)</f>
        <v>0</v>
      </c>
      <c r="J29" s="93">
        <f>IFERROR(SUMIFS('Daily Issuance'!$O:$O,'Daily Issuance'!$I:$I,$A29,'Daily Issuance'!$E:$E,"Patty Cash",'Daily Issuance'!$B:$B,"&gt;="&amp;DATE(2026,6,1),'Daily Issuance'!$B:$B,"&lt;"&amp;DATE(2026,7,1)),0)</f>
        <v>0</v>
      </c>
      <c r="K29" s="92">
        <f t="shared" si="2"/>
        <v>225</v>
      </c>
      <c r="L29" s="94">
        <f>IFERROR(SUMIFS('Daily Issuance'!$O$4:$O$991,'Daily Issuance'!$I$4:$I$991,$A29,'Daily Issuance'!$E$4:$E$991,"Inventory",'Daily Issuance'!$B$4:$B$991,"&gt;="&amp;DATE(2026,7,1),'Daily Issuance'!$B$4:$B$991,"&lt;"&amp;DATE(2026,8,1)),0)</f>
        <v>0</v>
      </c>
      <c r="M29" s="95">
        <f>IFERROR(SUMIFS('Daily Issuance'!$O$4:$O$991,'Daily Issuance'!$I$4:$I$991,$A29,'Daily Issuance'!$E$4:$E$991,"Non Inventory",'Daily Issuance'!$B$4:$B$991,"&gt;="&amp;DATE(2026,7,1),'Daily Issuance'!$B$4:$B$991,"&lt;"&amp;DATE(2026,8,1)),0)</f>
        <v>0</v>
      </c>
      <c r="N29" s="95">
        <f>IFERROR(SUMIFS('Daily Issuance'!$O$4:$O$991,'Daily Issuance'!$I$4:$I$991,$A29,'Daily Issuance'!$E$4:$E$991,"Services",'Daily Issuance'!$B$4:$B$991,"&gt;="&amp;DATE(2026,7,1),'Daily Issuance'!$B$4:$B$991,"&lt;"&amp;DATE(2026,8,1)),0)</f>
        <v>0</v>
      </c>
      <c r="O29" s="95">
        <f>IFERROR(SUMIFS('Daily Issuance'!$O:$O,'Daily Issuance'!$I:$I,$A29,'Daily Issuance'!$E:$E,"Patty Cash",'Daily Issuance'!$B:$B,"&gt;="&amp;DATE(2026,7,1),'Daily Issuance'!$B:$B,"&lt;"&amp;DATE(2026,8,1)),0)</f>
        <v>0</v>
      </c>
      <c r="P29" s="92">
        <f t="shared" si="3"/>
        <v>0</v>
      </c>
      <c r="Q29" s="93">
        <f>IFERROR(SUMIFS('Daily Issuance'!$O$4:$O$991,'Daily Issuance'!$I$4:$I$991,$A29,'Daily Issuance'!$E$4:$E$991,"Inventory",'Daily Issuance'!$B$4:$B$991,"&gt;="&amp;DATE(2026,8,1),'Daily Issuance'!$B$4:$B$991,"&lt;"&amp;DATE(2026,9,1)),0)</f>
        <v>0</v>
      </c>
      <c r="R29" s="93">
        <f>IFERROR(SUMIFS('Daily Issuance'!$O$4:$O$991,'Daily Issuance'!$I$4:$I$991,$A29,'Daily Issuance'!$E$4:$E$991,"Non Inventory",'Daily Issuance'!$B$4:$B$991,"&gt;="&amp;DATE(2026,8,1),'Daily Issuance'!$B$4:$B$991,"&lt;"&amp;DATE(2026,9,1)),0)</f>
        <v>0</v>
      </c>
      <c r="S29" s="93">
        <f>IFERROR(SUMIFS('Daily Issuance'!$O$4:$O$991,'Daily Issuance'!$I$4:$I$991,$A29,'Daily Issuance'!$E$4:$E$991,"Services",'Daily Issuance'!$B$4:$B$991,"&gt;="&amp;DATE(2026,8,1),'Daily Issuance'!$B$4:$B$991,"&lt;"&amp;DATE(2026,9,1)),0)</f>
        <v>0</v>
      </c>
      <c r="T29" s="93">
        <f>IFERROR(SUMIFS('Daily Issuance'!$O:$O,'Daily Issuance'!$I:$I,$A29,'Daily Issuance'!$E:$E,"Patty Cash",'Daily Issuance'!$B:$B,"&gt;="&amp;DATE(2026,8,1),'Daily Issuance'!$B:$B,"&lt;"&amp;DATE(2026,9,1)),0)</f>
        <v>0</v>
      </c>
      <c r="U29" s="92">
        <f t="shared" si="4"/>
        <v>0</v>
      </c>
      <c r="V29" s="95">
        <f>IFERROR(SUMIFS('Daily Issuance'!$O$4:$O$991,'Daily Issuance'!$I$4:$I$991,$A29,'Daily Issuance'!$E$4:$E$991,"Inventory",'Daily Issuance'!$B$4:$B$991,"&gt;="&amp;DATE(2026,9,1),'Daily Issuance'!$B$4:$B$991,"&lt;"&amp;DATE(2026,10,1)),0)</f>
        <v>0</v>
      </c>
      <c r="W29" s="95">
        <f>IFERROR(SUMIFS('Daily Issuance'!$O$4:$O$991,'Daily Issuance'!$I$4:$I$991,$A29,'Daily Issuance'!$E$4:$E$991,"Non Inventory",'Daily Issuance'!$B$4:$B$991,"&gt;="&amp;DATE(2026,9,1),'Daily Issuance'!$B$4:$B$991,"&lt;"&amp;DATE(2026,10,1)),0)</f>
        <v>0</v>
      </c>
      <c r="X29" s="95">
        <f>IFERROR(SUMIFS('Daily Issuance'!$O$4:$O$991,'Daily Issuance'!$I$4:$I$991,$A29,'Daily Issuance'!$E$4:$E$991,"Services",'Daily Issuance'!$B$4:$B$991,"&gt;="&amp;DATE(2026,9,1),'Daily Issuance'!$B$4:$B$991,"&lt;"&amp;DATE(2026,10,1)),0)</f>
        <v>0</v>
      </c>
      <c r="Y29" s="95">
        <f>IFERROR(SUMIFS('Daily Issuance'!$O:$O,'Daily Issuance'!$I:$I,$A29,'Daily Issuance'!$E:$E,"Patty Cash",'Daily Issuance'!$B:$B,"&gt;="&amp;DATE(2026,9,1),'Daily Issuance'!$B:$B,"&lt;"&amp;DATE(2026,10,1)),0)</f>
        <v>0</v>
      </c>
      <c r="Z29" s="92">
        <f t="shared" si="5"/>
        <v>0</v>
      </c>
      <c r="AA29" s="93">
        <f>IFERROR(SUMIFS('Daily Issuance'!$O$4:$O$991,'Daily Issuance'!$I$4:$I$991,$A29,'Daily Issuance'!$E$4:$E$991,"Inventory",'Daily Issuance'!$B$4:$B$991,"&gt;="&amp;DATE(2026,10,1),'Daily Issuance'!$B$4:$B$991,"&lt;"&amp;DATE(2026,11,1)),0)</f>
        <v>0</v>
      </c>
      <c r="AB29" s="93">
        <f>IFERROR(SUMIFS('Daily Issuance'!$O$4:$O$991,'Daily Issuance'!$I$4:$I$991,$A29,'Daily Issuance'!$E$4:$E$991,"Non Inventory",'Daily Issuance'!$B$4:$B$991,"&gt;="&amp;DATE(2026,10,1),'Daily Issuance'!$B$4:$B$991,"&lt;"&amp;DATE(2026,11,1)),0)</f>
        <v>0</v>
      </c>
      <c r="AC29" s="93">
        <f>IFERROR(SUMIFS('Daily Issuance'!$O$4:$O$991,'Daily Issuance'!$I$4:$I$991,$A29,'Daily Issuance'!$E$4:$E$991,"Services",'Daily Issuance'!$B$4:$B$991,"&gt;="&amp;DATE(2026,10,1),'Daily Issuance'!$B$4:$B$991,"&lt;"&amp;DATE(2026,11,1)),0)</f>
        <v>0</v>
      </c>
      <c r="AD29" s="93">
        <f>IFERROR(SUMIFS('Daily Issuance'!$O:$O,'Daily Issuance'!$I:$I,$A29,'Daily Issuance'!$E:$E,"Patty Cash",'Daily Issuance'!$B:$B,"&gt;="&amp;DATE(2026,10,1),'Daily Issuance'!$B:$B,"&lt;"&amp;DATE(2026,11,1)),0)</f>
        <v>0</v>
      </c>
      <c r="AE29" s="92">
        <f t="shared" si="6"/>
        <v>0</v>
      </c>
      <c r="AF29" s="95">
        <f>IFERROR(SUMIFS('Daily Issuance'!$O$4:$O$991,'Daily Issuance'!$I$4:$I$991,$A29,'Daily Issuance'!$E$4:$E$991,"Inventory",'Daily Issuance'!$B$4:$B$991,"&gt;="&amp;DATE(2026,11,1),'Daily Issuance'!$B$4:$B$991,"&lt;"&amp;DATE(2026,12,1)),0)</f>
        <v>0</v>
      </c>
      <c r="AG29" s="95">
        <f>IFERROR(SUMIFS('Daily Issuance'!$O$4:$O$991,'Daily Issuance'!$I$4:$I$991,$A29,'Daily Issuance'!$E$4:$E$991,"Non Inventory",'Daily Issuance'!$B$4:$B$991,"&gt;="&amp;DATE(2026,11,1),'Daily Issuance'!$B$4:$B$991,"&lt;"&amp;DATE(2026,12,1)),0)</f>
        <v>0</v>
      </c>
      <c r="AH29" s="95">
        <f>IFERROR(SUMIFS('Daily Issuance'!$O$4:$O$991,'Daily Issuance'!$I$4:$I$991,$A29,'Daily Issuance'!$E$4:$E$991,"Services",'Daily Issuance'!$B$4:$B$991,"&gt;="&amp;DATE(2026,11,1),'Daily Issuance'!$B$4:$B$991,"&lt;"&amp;DATE(2026,12,1)),0)</f>
        <v>0</v>
      </c>
      <c r="AI29" s="95">
        <f>IFERROR(SUMIFS('Daily Issuance'!$O:$O,'Daily Issuance'!$I:$I,$A29,'Daily Issuance'!$E:$E,"Patty Cash",'Daily Issuance'!$B:$B,"&gt;="&amp;DATE(2026,11,1),'Daily Issuance'!$B:$B,"&lt;"&amp;DATE(2026,12,1)),0)</f>
        <v>0</v>
      </c>
      <c r="AJ29" s="92">
        <f t="shared" si="7"/>
        <v>0</v>
      </c>
      <c r="AK29" s="93">
        <f>IFERROR(SUMIFS('Daily Issuance'!$O$4:$O$991,'Daily Issuance'!$I$4:$I$991,$A29,'Daily Issuance'!$E$4:$E$991,"Inventory",'Daily Issuance'!$B$4:$B$991,"&gt;="&amp;DATE(2026,12,1),'Daily Issuance'!$B$4:$B$991,"&lt;"&amp;DATE(2027,1,1)),0)</f>
        <v>0</v>
      </c>
      <c r="AL29" s="93">
        <f>IFERROR(SUMIFS('Daily Issuance'!$O$4:$O$991,'Daily Issuance'!$I$4:$I$991,$A29,'Daily Issuance'!$E$4:$E$991,"Non Inventory",'Daily Issuance'!$B$4:$B$991,"&gt;="&amp;DATE(2026,12,1),'Daily Issuance'!$B$4:$B$991,"&lt;"&amp;DATE(2027,1,1)),0)</f>
        <v>0</v>
      </c>
      <c r="AM29" s="93">
        <f>IFERROR(SUMIFS('Daily Issuance'!$O$4:$O$991,'Daily Issuance'!$I$4:$I$991,$A29,'Daily Issuance'!$E$4:$E$991,"Services",'Daily Issuance'!$B$4:$B$991,"&gt;="&amp;DATE(2026,12,1),'Daily Issuance'!$B$4:$B$991,"&lt;"&amp;DATE(2027,1,1)),0)</f>
        <v>0</v>
      </c>
      <c r="AN29" s="93">
        <f>IFERROR(SUMIFS('Daily Issuance'!$O:$O,'Daily Issuance'!$I:$I,$A29,'Daily Issuance'!$E:$E,"Patty Cash",'Daily Issuance'!$B:$B,"&gt;="&amp;DATE(2026,12,1),'Daily Issuance'!$B:$B,"&lt;"&amp;DATE(2027,1,1)),0)</f>
        <v>0</v>
      </c>
      <c r="AO29" s="92">
        <f t="shared" si="8"/>
        <v>0</v>
      </c>
      <c r="AP29" s="103">
        <f t="shared" si="0"/>
        <v>450</v>
      </c>
    </row>
    <row r="30" spans="1:42" ht="21" customHeight="1">
      <c r="A30" s="90" t="s">
        <v>62</v>
      </c>
      <c r="B30" s="91">
        <f>IFERROR(SUMIFS('Daily Issuance'!$O:$O,'Daily Issuance'!$I:$I,$A30,'Daily Issuance'!$E:$E,"Inventory",'Daily Issuance'!$B:$B,"&gt;="&amp;DATE(2026,5,1),'Daily Issuance'!$B:$B,"&lt;"&amp;DATE(2026,6,1)),0)</f>
        <v>0</v>
      </c>
      <c r="C30" s="91">
        <f>IFERROR(SUMIFS('Daily Issuance'!$O:$O,'Daily Issuance'!$I:$I,$A30,'Daily Issuance'!$E:$E,"Non Inventory",'Daily Issuance'!$B:$B,"&gt;="&amp;DATE(2026,5,1),'Daily Issuance'!$B:$B,"&lt;"&amp;DATE(2026,6,1)),0)</f>
        <v>2500</v>
      </c>
      <c r="D30" s="91">
        <f>IFERROR(SUMIFS('Daily Issuance'!$O:$O,'Daily Issuance'!$I:$I,$A30,'Daily Issuance'!$E:$E,"Services",'Daily Issuance'!$B:$B,"&gt;="&amp;DATE(2026,5,1),'Daily Issuance'!$B:$B,"&lt;"&amp;DATE(2026,6,1)),0)</f>
        <v>0</v>
      </c>
      <c r="E30" s="91">
        <f>IFERROR(SUMIFS('Daily Issuance'!$O:$O,'Daily Issuance'!$I:$I,$A30,'Daily Issuance'!$E:$E,"Patty Cash",'Daily Issuance'!$B:$B,"&gt;="&amp;DATE(2026,5,1),'Daily Issuance'!$B:$B,"&lt;"&amp;DATE(2026,6,1)),0)</f>
        <v>0</v>
      </c>
      <c r="F30" s="92">
        <f t="shared" si="1"/>
        <v>2500</v>
      </c>
      <c r="G30" s="93">
        <f>IFERROR(SUMIFS('Daily Issuance'!$O$4:$O$991,'Daily Issuance'!$I$4:$I$991,$A30,'Daily Issuance'!$E$4:$E$991,"Inventory",'Daily Issuance'!$B$4:$B$991,"&gt;="&amp;DATE(2026,6,1),'Daily Issuance'!$B$4:$B$991,"&lt;"&amp;DATE(2026,7,1)),0)</f>
        <v>0</v>
      </c>
      <c r="H30" s="93">
        <f>IFERROR(SUMIFS('Daily Issuance'!$O$4:$O$991,'Daily Issuance'!$I$4:$I$991,$A30,'Daily Issuance'!$E$4:$E$991,"Non Inventory",'Daily Issuance'!$B$4:$B$991,"&gt;="&amp;DATE(2026,6,1),'Daily Issuance'!$B$4:$B$991,"&lt;"&amp;DATE(2026,7,1)),0)</f>
        <v>0</v>
      </c>
      <c r="I30" s="93">
        <f>IFERROR(SUMIFS('Daily Issuance'!$O$4:$O$991,'Daily Issuance'!$I$4:$I$991,$A30,'Daily Issuance'!$E$4:$E$991,"Services",'Daily Issuance'!$B$4:$B$991,"&gt;="&amp;DATE(2026,6,1),'Daily Issuance'!$B$4:$B$991,"&lt;"&amp;DATE(2026,7,1)),0)</f>
        <v>0</v>
      </c>
      <c r="J30" s="93">
        <f>IFERROR(SUMIFS('Daily Issuance'!$O:$O,'Daily Issuance'!$I:$I,$A30,'Daily Issuance'!$E:$E,"Patty Cash",'Daily Issuance'!$B:$B,"&gt;="&amp;DATE(2026,6,1),'Daily Issuance'!$B:$B,"&lt;"&amp;DATE(2026,7,1)),0)</f>
        <v>0</v>
      </c>
      <c r="K30" s="92">
        <f t="shared" si="2"/>
        <v>0</v>
      </c>
      <c r="L30" s="94">
        <f>IFERROR(SUMIFS('Daily Issuance'!$O$4:$O$991,'Daily Issuance'!$I$4:$I$991,$A30,'Daily Issuance'!$E$4:$E$991,"Inventory",'Daily Issuance'!$B$4:$B$991,"&gt;="&amp;DATE(2026,7,1),'Daily Issuance'!$B$4:$B$991,"&lt;"&amp;DATE(2026,8,1)),0)</f>
        <v>0</v>
      </c>
      <c r="M30" s="95">
        <f>IFERROR(SUMIFS('Daily Issuance'!$O$4:$O$991,'Daily Issuance'!$I$4:$I$991,$A30,'Daily Issuance'!$E$4:$E$991,"Non Inventory",'Daily Issuance'!$B$4:$B$991,"&gt;="&amp;DATE(2026,7,1),'Daily Issuance'!$B$4:$B$991,"&lt;"&amp;DATE(2026,8,1)),0)</f>
        <v>0</v>
      </c>
      <c r="N30" s="95">
        <f>IFERROR(SUMIFS('Daily Issuance'!$O$4:$O$991,'Daily Issuance'!$I$4:$I$991,$A30,'Daily Issuance'!$E$4:$E$991,"Services",'Daily Issuance'!$B$4:$B$991,"&gt;="&amp;DATE(2026,7,1),'Daily Issuance'!$B$4:$B$991,"&lt;"&amp;DATE(2026,8,1)),0)</f>
        <v>0</v>
      </c>
      <c r="O30" s="95">
        <f>IFERROR(SUMIFS('Daily Issuance'!$O:$O,'Daily Issuance'!$I:$I,$A30,'Daily Issuance'!$E:$E,"Patty Cash",'Daily Issuance'!$B:$B,"&gt;="&amp;DATE(2026,7,1),'Daily Issuance'!$B:$B,"&lt;"&amp;DATE(2026,8,1)),0)</f>
        <v>0</v>
      </c>
      <c r="P30" s="92">
        <f t="shared" si="3"/>
        <v>0</v>
      </c>
      <c r="Q30" s="93">
        <f>IFERROR(SUMIFS('Daily Issuance'!$O$4:$O$991,'Daily Issuance'!$I$4:$I$991,$A30,'Daily Issuance'!$E$4:$E$991,"Inventory",'Daily Issuance'!$B$4:$B$991,"&gt;="&amp;DATE(2026,8,1),'Daily Issuance'!$B$4:$B$991,"&lt;"&amp;DATE(2026,9,1)),0)</f>
        <v>0</v>
      </c>
      <c r="R30" s="93">
        <f>IFERROR(SUMIFS('Daily Issuance'!$O$4:$O$991,'Daily Issuance'!$I$4:$I$991,$A30,'Daily Issuance'!$E$4:$E$991,"Non Inventory",'Daily Issuance'!$B$4:$B$991,"&gt;="&amp;DATE(2026,8,1),'Daily Issuance'!$B$4:$B$991,"&lt;"&amp;DATE(2026,9,1)),0)</f>
        <v>0</v>
      </c>
      <c r="S30" s="93">
        <f>IFERROR(SUMIFS('Daily Issuance'!$O$4:$O$991,'Daily Issuance'!$I$4:$I$991,$A30,'Daily Issuance'!$E$4:$E$991,"Services",'Daily Issuance'!$B$4:$B$991,"&gt;="&amp;DATE(2026,8,1),'Daily Issuance'!$B$4:$B$991,"&lt;"&amp;DATE(2026,9,1)),0)</f>
        <v>0</v>
      </c>
      <c r="T30" s="93">
        <f>IFERROR(SUMIFS('Daily Issuance'!$O:$O,'Daily Issuance'!$I:$I,$A30,'Daily Issuance'!$E:$E,"Patty Cash",'Daily Issuance'!$B:$B,"&gt;="&amp;DATE(2026,8,1),'Daily Issuance'!$B:$B,"&lt;"&amp;DATE(2026,9,1)),0)</f>
        <v>0</v>
      </c>
      <c r="U30" s="92">
        <f t="shared" si="4"/>
        <v>0</v>
      </c>
      <c r="V30" s="95">
        <f>IFERROR(SUMIFS('Daily Issuance'!$O$4:$O$991,'Daily Issuance'!$I$4:$I$991,$A30,'Daily Issuance'!$E$4:$E$991,"Inventory",'Daily Issuance'!$B$4:$B$991,"&gt;="&amp;DATE(2026,9,1),'Daily Issuance'!$B$4:$B$991,"&lt;"&amp;DATE(2026,10,1)),0)</f>
        <v>0</v>
      </c>
      <c r="W30" s="95">
        <f>IFERROR(SUMIFS('Daily Issuance'!$O$4:$O$991,'Daily Issuance'!$I$4:$I$991,$A30,'Daily Issuance'!$E$4:$E$991,"Non Inventory",'Daily Issuance'!$B$4:$B$991,"&gt;="&amp;DATE(2026,9,1),'Daily Issuance'!$B$4:$B$991,"&lt;"&amp;DATE(2026,10,1)),0)</f>
        <v>0</v>
      </c>
      <c r="X30" s="95">
        <f>IFERROR(SUMIFS('Daily Issuance'!$O$4:$O$991,'Daily Issuance'!$I$4:$I$991,$A30,'Daily Issuance'!$E$4:$E$991,"Services",'Daily Issuance'!$B$4:$B$991,"&gt;="&amp;DATE(2026,9,1),'Daily Issuance'!$B$4:$B$991,"&lt;"&amp;DATE(2026,10,1)),0)</f>
        <v>0</v>
      </c>
      <c r="Y30" s="95">
        <f>IFERROR(SUMIFS('Daily Issuance'!$O:$O,'Daily Issuance'!$I:$I,$A30,'Daily Issuance'!$E:$E,"Patty Cash",'Daily Issuance'!$B:$B,"&gt;="&amp;DATE(2026,9,1),'Daily Issuance'!$B:$B,"&lt;"&amp;DATE(2026,10,1)),0)</f>
        <v>0</v>
      </c>
      <c r="Z30" s="92">
        <f t="shared" si="5"/>
        <v>0</v>
      </c>
      <c r="AA30" s="93">
        <f>IFERROR(SUMIFS('Daily Issuance'!$O$4:$O$991,'Daily Issuance'!$I$4:$I$991,$A30,'Daily Issuance'!$E$4:$E$991,"Inventory",'Daily Issuance'!$B$4:$B$991,"&gt;="&amp;DATE(2026,10,1),'Daily Issuance'!$B$4:$B$991,"&lt;"&amp;DATE(2026,11,1)),0)</f>
        <v>0</v>
      </c>
      <c r="AB30" s="93">
        <f>IFERROR(SUMIFS('Daily Issuance'!$O$4:$O$991,'Daily Issuance'!$I$4:$I$991,$A30,'Daily Issuance'!$E$4:$E$991,"Non Inventory",'Daily Issuance'!$B$4:$B$991,"&gt;="&amp;DATE(2026,10,1),'Daily Issuance'!$B$4:$B$991,"&lt;"&amp;DATE(2026,11,1)),0)</f>
        <v>0</v>
      </c>
      <c r="AC30" s="93">
        <f>IFERROR(SUMIFS('Daily Issuance'!$O$4:$O$991,'Daily Issuance'!$I$4:$I$991,$A30,'Daily Issuance'!$E$4:$E$991,"Services",'Daily Issuance'!$B$4:$B$991,"&gt;="&amp;DATE(2026,10,1),'Daily Issuance'!$B$4:$B$991,"&lt;"&amp;DATE(2026,11,1)),0)</f>
        <v>0</v>
      </c>
      <c r="AD30" s="93">
        <f>IFERROR(SUMIFS('Daily Issuance'!$O:$O,'Daily Issuance'!$I:$I,$A30,'Daily Issuance'!$E:$E,"Patty Cash",'Daily Issuance'!$B:$B,"&gt;="&amp;DATE(2026,10,1),'Daily Issuance'!$B:$B,"&lt;"&amp;DATE(2026,11,1)),0)</f>
        <v>0</v>
      </c>
      <c r="AE30" s="92">
        <f t="shared" si="6"/>
        <v>0</v>
      </c>
      <c r="AF30" s="95">
        <f>IFERROR(SUMIFS('Daily Issuance'!$O$4:$O$991,'Daily Issuance'!$I$4:$I$991,$A30,'Daily Issuance'!$E$4:$E$991,"Inventory",'Daily Issuance'!$B$4:$B$991,"&gt;="&amp;DATE(2026,11,1),'Daily Issuance'!$B$4:$B$991,"&lt;"&amp;DATE(2026,12,1)),0)</f>
        <v>0</v>
      </c>
      <c r="AG30" s="95">
        <f>IFERROR(SUMIFS('Daily Issuance'!$O$4:$O$991,'Daily Issuance'!$I$4:$I$991,$A30,'Daily Issuance'!$E$4:$E$991,"Non Inventory",'Daily Issuance'!$B$4:$B$991,"&gt;="&amp;DATE(2026,11,1),'Daily Issuance'!$B$4:$B$991,"&lt;"&amp;DATE(2026,12,1)),0)</f>
        <v>0</v>
      </c>
      <c r="AH30" s="95">
        <f>IFERROR(SUMIFS('Daily Issuance'!$O$4:$O$991,'Daily Issuance'!$I$4:$I$991,$A30,'Daily Issuance'!$E$4:$E$991,"Services",'Daily Issuance'!$B$4:$B$991,"&gt;="&amp;DATE(2026,11,1),'Daily Issuance'!$B$4:$B$991,"&lt;"&amp;DATE(2026,12,1)),0)</f>
        <v>0</v>
      </c>
      <c r="AI30" s="95">
        <f>IFERROR(SUMIFS('Daily Issuance'!$O:$O,'Daily Issuance'!$I:$I,$A30,'Daily Issuance'!$E:$E,"Patty Cash",'Daily Issuance'!$B:$B,"&gt;="&amp;DATE(2026,11,1),'Daily Issuance'!$B:$B,"&lt;"&amp;DATE(2026,12,1)),0)</f>
        <v>0</v>
      </c>
      <c r="AJ30" s="92">
        <f t="shared" si="7"/>
        <v>0</v>
      </c>
      <c r="AK30" s="93">
        <f>IFERROR(SUMIFS('Daily Issuance'!$O$4:$O$991,'Daily Issuance'!$I$4:$I$991,$A30,'Daily Issuance'!$E$4:$E$991,"Inventory",'Daily Issuance'!$B$4:$B$991,"&gt;="&amp;DATE(2026,12,1),'Daily Issuance'!$B$4:$B$991,"&lt;"&amp;DATE(2027,1,1)),0)</f>
        <v>0</v>
      </c>
      <c r="AL30" s="93">
        <f>IFERROR(SUMIFS('Daily Issuance'!$O$4:$O$991,'Daily Issuance'!$I$4:$I$991,$A30,'Daily Issuance'!$E$4:$E$991,"Non Inventory",'Daily Issuance'!$B$4:$B$991,"&gt;="&amp;DATE(2026,12,1),'Daily Issuance'!$B$4:$B$991,"&lt;"&amp;DATE(2027,1,1)),0)</f>
        <v>0</v>
      </c>
      <c r="AM30" s="93">
        <f>IFERROR(SUMIFS('Daily Issuance'!$O$4:$O$991,'Daily Issuance'!$I$4:$I$991,$A30,'Daily Issuance'!$E$4:$E$991,"Services",'Daily Issuance'!$B$4:$B$991,"&gt;="&amp;DATE(2026,12,1),'Daily Issuance'!$B$4:$B$991,"&lt;"&amp;DATE(2027,1,1)),0)</f>
        <v>0</v>
      </c>
      <c r="AN30" s="93">
        <f>IFERROR(SUMIFS('Daily Issuance'!$O:$O,'Daily Issuance'!$I:$I,$A30,'Daily Issuance'!$E:$E,"Patty Cash",'Daily Issuance'!$B:$B,"&gt;="&amp;DATE(2026,12,1),'Daily Issuance'!$B:$B,"&lt;"&amp;DATE(2027,1,1)),0)</f>
        <v>0</v>
      </c>
      <c r="AO30" s="92">
        <f t="shared" si="8"/>
        <v>0</v>
      </c>
      <c r="AP30" s="103">
        <f t="shared" si="0"/>
        <v>2500</v>
      </c>
    </row>
    <row r="31" spans="1:42" ht="21" customHeight="1">
      <c r="A31" s="90" t="s">
        <v>63</v>
      </c>
      <c r="B31" s="91">
        <f>IFERROR(SUMIFS('Daily Issuance'!$O:$O,'Daily Issuance'!$I:$I,$A31,'Daily Issuance'!$E:$E,"Inventory",'Daily Issuance'!$B:$B,"&gt;="&amp;DATE(2026,5,1),'Daily Issuance'!$B:$B,"&lt;"&amp;DATE(2026,6,1)),0)</f>
        <v>7600</v>
      </c>
      <c r="C31" s="91">
        <f>IFERROR(SUMIFS('Daily Issuance'!$O:$O,'Daily Issuance'!$I:$I,$A31,'Daily Issuance'!$E:$E,"Non Inventory",'Daily Issuance'!$B:$B,"&gt;="&amp;DATE(2026,5,1),'Daily Issuance'!$B:$B,"&lt;"&amp;DATE(2026,6,1)),0)</f>
        <v>125</v>
      </c>
      <c r="D31" s="91">
        <f>IFERROR(SUMIFS('Daily Issuance'!$O:$O,'Daily Issuance'!$I:$I,$A31,'Daily Issuance'!$E:$E,"Services",'Daily Issuance'!$B:$B,"&gt;="&amp;DATE(2026,5,1),'Daily Issuance'!$B:$B,"&lt;"&amp;DATE(2026,6,1)),0)</f>
        <v>0</v>
      </c>
      <c r="E31" s="91">
        <f>IFERROR(SUMIFS('Daily Issuance'!$O:$O,'Daily Issuance'!$I:$I,$A31,'Daily Issuance'!$E:$E,"Patty Cash",'Daily Issuance'!$B:$B,"&gt;="&amp;DATE(2026,5,1),'Daily Issuance'!$B:$B,"&lt;"&amp;DATE(2026,6,1)),0)</f>
        <v>0</v>
      </c>
      <c r="F31" s="92">
        <f t="shared" si="1"/>
        <v>7725</v>
      </c>
      <c r="G31" s="93">
        <f>IFERROR(SUMIFS('Daily Issuance'!$O$4:$O$991,'Daily Issuance'!$I$4:$I$991,$A31,'Daily Issuance'!$E$4:$E$991,"Inventory",'Daily Issuance'!$B$4:$B$991,"&gt;="&amp;DATE(2026,6,1),'Daily Issuance'!$B$4:$B$991,"&lt;"&amp;DATE(2026,7,1)),0)</f>
        <v>0</v>
      </c>
      <c r="H31" s="93">
        <f>IFERROR(SUMIFS('Daily Issuance'!$O$4:$O$991,'Daily Issuance'!$I$4:$I$991,$A31,'Daily Issuance'!$E$4:$E$991,"Non Inventory",'Daily Issuance'!$B$4:$B$991,"&gt;="&amp;DATE(2026,6,1),'Daily Issuance'!$B$4:$B$991,"&lt;"&amp;DATE(2026,7,1)),0)</f>
        <v>0</v>
      </c>
      <c r="I31" s="93">
        <f>IFERROR(SUMIFS('Daily Issuance'!$O$4:$O$991,'Daily Issuance'!$I$4:$I$991,$A31,'Daily Issuance'!$E$4:$E$991,"Services",'Daily Issuance'!$B$4:$B$991,"&gt;="&amp;DATE(2026,6,1),'Daily Issuance'!$B$4:$B$991,"&lt;"&amp;DATE(2026,7,1)),0)</f>
        <v>0</v>
      </c>
      <c r="J31" s="93">
        <f>IFERROR(SUMIFS('Daily Issuance'!$O:$O,'Daily Issuance'!$I:$I,$A31,'Daily Issuance'!$E:$E,"Patty Cash",'Daily Issuance'!$B:$B,"&gt;="&amp;DATE(2026,6,1),'Daily Issuance'!$B:$B,"&lt;"&amp;DATE(2026,7,1)),0)</f>
        <v>0</v>
      </c>
      <c r="K31" s="92">
        <f t="shared" si="2"/>
        <v>0</v>
      </c>
      <c r="L31" s="94">
        <f>IFERROR(SUMIFS('Daily Issuance'!$O$4:$O$991,'Daily Issuance'!$I$4:$I$991,$A31,'Daily Issuance'!$E$4:$E$991,"Inventory",'Daily Issuance'!$B$4:$B$991,"&gt;="&amp;DATE(2026,7,1),'Daily Issuance'!$B$4:$B$991,"&lt;"&amp;DATE(2026,8,1)),0)</f>
        <v>0</v>
      </c>
      <c r="M31" s="95">
        <f>IFERROR(SUMIFS('Daily Issuance'!$O$4:$O$991,'Daily Issuance'!$I$4:$I$991,$A31,'Daily Issuance'!$E$4:$E$991,"Non Inventory",'Daily Issuance'!$B$4:$B$991,"&gt;="&amp;DATE(2026,7,1),'Daily Issuance'!$B$4:$B$991,"&lt;"&amp;DATE(2026,8,1)),0)</f>
        <v>0</v>
      </c>
      <c r="N31" s="95">
        <f>IFERROR(SUMIFS('Daily Issuance'!$O$4:$O$991,'Daily Issuance'!$I$4:$I$991,$A31,'Daily Issuance'!$E$4:$E$991,"Services",'Daily Issuance'!$B$4:$B$991,"&gt;="&amp;DATE(2026,7,1),'Daily Issuance'!$B$4:$B$991,"&lt;"&amp;DATE(2026,8,1)),0)</f>
        <v>0</v>
      </c>
      <c r="O31" s="95">
        <f>IFERROR(SUMIFS('Daily Issuance'!$O:$O,'Daily Issuance'!$I:$I,$A31,'Daily Issuance'!$E:$E,"Patty Cash",'Daily Issuance'!$B:$B,"&gt;="&amp;DATE(2026,7,1),'Daily Issuance'!$B:$B,"&lt;"&amp;DATE(2026,8,1)),0)</f>
        <v>0</v>
      </c>
      <c r="P31" s="92">
        <f t="shared" si="3"/>
        <v>0</v>
      </c>
      <c r="Q31" s="93">
        <f>IFERROR(SUMIFS('Daily Issuance'!$O$4:$O$991,'Daily Issuance'!$I$4:$I$991,$A31,'Daily Issuance'!$E$4:$E$991,"Inventory",'Daily Issuance'!$B$4:$B$991,"&gt;="&amp;DATE(2026,8,1),'Daily Issuance'!$B$4:$B$991,"&lt;"&amp;DATE(2026,9,1)),0)</f>
        <v>0</v>
      </c>
      <c r="R31" s="93">
        <f>IFERROR(SUMIFS('Daily Issuance'!$O$4:$O$991,'Daily Issuance'!$I$4:$I$991,$A31,'Daily Issuance'!$E$4:$E$991,"Non Inventory",'Daily Issuance'!$B$4:$B$991,"&gt;="&amp;DATE(2026,8,1),'Daily Issuance'!$B$4:$B$991,"&lt;"&amp;DATE(2026,9,1)),0)</f>
        <v>0</v>
      </c>
      <c r="S31" s="93">
        <f>IFERROR(SUMIFS('Daily Issuance'!$O$4:$O$991,'Daily Issuance'!$I$4:$I$991,$A31,'Daily Issuance'!$E$4:$E$991,"Services",'Daily Issuance'!$B$4:$B$991,"&gt;="&amp;DATE(2026,8,1),'Daily Issuance'!$B$4:$B$991,"&lt;"&amp;DATE(2026,9,1)),0)</f>
        <v>0</v>
      </c>
      <c r="T31" s="93">
        <f>IFERROR(SUMIFS('Daily Issuance'!$O:$O,'Daily Issuance'!$I:$I,$A31,'Daily Issuance'!$E:$E,"Patty Cash",'Daily Issuance'!$B:$B,"&gt;="&amp;DATE(2026,8,1),'Daily Issuance'!$B:$B,"&lt;"&amp;DATE(2026,9,1)),0)</f>
        <v>0</v>
      </c>
      <c r="U31" s="92">
        <f t="shared" si="4"/>
        <v>0</v>
      </c>
      <c r="V31" s="95">
        <f>IFERROR(SUMIFS('Daily Issuance'!$O$4:$O$991,'Daily Issuance'!$I$4:$I$991,$A31,'Daily Issuance'!$E$4:$E$991,"Inventory",'Daily Issuance'!$B$4:$B$991,"&gt;="&amp;DATE(2026,9,1),'Daily Issuance'!$B$4:$B$991,"&lt;"&amp;DATE(2026,10,1)),0)</f>
        <v>0</v>
      </c>
      <c r="W31" s="95">
        <f>IFERROR(SUMIFS('Daily Issuance'!$O$4:$O$991,'Daily Issuance'!$I$4:$I$991,$A31,'Daily Issuance'!$E$4:$E$991,"Non Inventory",'Daily Issuance'!$B$4:$B$991,"&gt;="&amp;DATE(2026,9,1),'Daily Issuance'!$B$4:$B$991,"&lt;"&amp;DATE(2026,10,1)),0)</f>
        <v>0</v>
      </c>
      <c r="X31" s="95">
        <f>IFERROR(SUMIFS('Daily Issuance'!$O$4:$O$991,'Daily Issuance'!$I$4:$I$991,$A31,'Daily Issuance'!$E$4:$E$991,"Services",'Daily Issuance'!$B$4:$B$991,"&gt;="&amp;DATE(2026,9,1),'Daily Issuance'!$B$4:$B$991,"&lt;"&amp;DATE(2026,10,1)),0)</f>
        <v>0</v>
      </c>
      <c r="Y31" s="95">
        <f>IFERROR(SUMIFS('Daily Issuance'!$O:$O,'Daily Issuance'!$I:$I,$A31,'Daily Issuance'!$E:$E,"Patty Cash",'Daily Issuance'!$B:$B,"&gt;="&amp;DATE(2026,9,1),'Daily Issuance'!$B:$B,"&lt;"&amp;DATE(2026,10,1)),0)</f>
        <v>0</v>
      </c>
      <c r="Z31" s="92">
        <f t="shared" si="5"/>
        <v>0</v>
      </c>
      <c r="AA31" s="93">
        <f>IFERROR(SUMIFS('Daily Issuance'!$O$4:$O$991,'Daily Issuance'!$I$4:$I$991,$A31,'Daily Issuance'!$E$4:$E$991,"Inventory",'Daily Issuance'!$B$4:$B$991,"&gt;="&amp;DATE(2026,10,1),'Daily Issuance'!$B$4:$B$991,"&lt;"&amp;DATE(2026,11,1)),0)</f>
        <v>0</v>
      </c>
      <c r="AB31" s="93">
        <f>IFERROR(SUMIFS('Daily Issuance'!$O$4:$O$991,'Daily Issuance'!$I$4:$I$991,$A31,'Daily Issuance'!$E$4:$E$991,"Non Inventory",'Daily Issuance'!$B$4:$B$991,"&gt;="&amp;DATE(2026,10,1),'Daily Issuance'!$B$4:$B$991,"&lt;"&amp;DATE(2026,11,1)),0)</f>
        <v>0</v>
      </c>
      <c r="AC31" s="93">
        <f>IFERROR(SUMIFS('Daily Issuance'!$O$4:$O$991,'Daily Issuance'!$I$4:$I$991,$A31,'Daily Issuance'!$E$4:$E$991,"Services",'Daily Issuance'!$B$4:$B$991,"&gt;="&amp;DATE(2026,10,1),'Daily Issuance'!$B$4:$B$991,"&lt;"&amp;DATE(2026,11,1)),0)</f>
        <v>0</v>
      </c>
      <c r="AD31" s="93">
        <f>IFERROR(SUMIFS('Daily Issuance'!$O:$O,'Daily Issuance'!$I:$I,$A31,'Daily Issuance'!$E:$E,"Patty Cash",'Daily Issuance'!$B:$B,"&gt;="&amp;DATE(2026,10,1),'Daily Issuance'!$B:$B,"&lt;"&amp;DATE(2026,11,1)),0)</f>
        <v>0</v>
      </c>
      <c r="AE31" s="92">
        <f t="shared" si="6"/>
        <v>0</v>
      </c>
      <c r="AF31" s="95">
        <f>IFERROR(SUMIFS('Daily Issuance'!$O$4:$O$991,'Daily Issuance'!$I$4:$I$991,$A31,'Daily Issuance'!$E$4:$E$991,"Inventory",'Daily Issuance'!$B$4:$B$991,"&gt;="&amp;DATE(2026,11,1),'Daily Issuance'!$B$4:$B$991,"&lt;"&amp;DATE(2026,12,1)),0)</f>
        <v>0</v>
      </c>
      <c r="AG31" s="95">
        <f>IFERROR(SUMIFS('Daily Issuance'!$O$4:$O$991,'Daily Issuance'!$I$4:$I$991,$A31,'Daily Issuance'!$E$4:$E$991,"Non Inventory",'Daily Issuance'!$B$4:$B$991,"&gt;="&amp;DATE(2026,11,1),'Daily Issuance'!$B$4:$B$991,"&lt;"&amp;DATE(2026,12,1)),0)</f>
        <v>0</v>
      </c>
      <c r="AH31" s="95">
        <f>IFERROR(SUMIFS('Daily Issuance'!$O$4:$O$991,'Daily Issuance'!$I$4:$I$991,$A31,'Daily Issuance'!$E$4:$E$991,"Services",'Daily Issuance'!$B$4:$B$991,"&gt;="&amp;DATE(2026,11,1),'Daily Issuance'!$B$4:$B$991,"&lt;"&amp;DATE(2026,12,1)),0)</f>
        <v>0</v>
      </c>
      <c r="AI31" s="95">
        <f>IFERROR(SUMIFS('Daily Issuance'!$O:$O,'Daily Issuance'!$I:$I,$A31,'Daily Issuance'!$E:$E,"Patty Cash",'Daily Issuance'!$B:$B,"&gt;="&amp;DATE(2026,11,1),'Daily Issuance'!$B:$B,"&lt;"&amp;DATE(2026,12,1)),0)</f>
        <v>0</v>
      </c>
      <c r="AJ31" s="92">
        <f t="shared" si="7"/>
        <v>0</v>
      </c>
      <c r="AK31" s="93">
        <f>IFERROR(SUMIFS('Daily Issuance'!$O$4:$O$991,'Daily Issuance'!$I$4:$I$991,$A31,'Daily Issuance'!$E$4:$E$991,"Inventory",'Daily Issuance'!$B$4:$B$991,"&gt;="&amp;DATE(2026,12,1),'Daily Issuance'!$B$4:$B$991,"&lt;"&amp;DATE(2027,1,1)),0)</f>
        <v>0</v>
      </c>
      <c r="AL31" s="93">
        <f>IFERROR(SUMIFS('Daily Issuance'!$O$4:$O$991,'Daily Issuance'!$I$4:$I$991,$A31,'Daily Issuance'!$E$4:$E$991,"Non Inventory",'Daily Issuance'!$B$4:$B$991,"&gt;="&amp;DATE(2026,12,1),'Daily Issuance'!$B$4:$B$991,"&lt;"&amp;DATE(2027,1,1)),0)</f>
        <v>0</v>
      </c>
      <c r="AM31" s="93">
        <f>IFERROR(SUMIFS('Daily Issuance'!$O$4:$O$991,'Daily Issuance'!$I$4:$I$991,$A31,'Daily Issuance'!$E$4:$E$991,"Services",'Daily Issuance'!$B$4:$B$991,"&gt;="&amp;DATE(2026,12,1),'Daily Issuance'!$B$4:$B$991,"&lt;"&amp;DATE(2027,1,1)),0)</f>
        <v>0</v>
      </c>
      <c r="AN31" s="93">
        <f>IFERROR(SUMIFS('Daily Issuance'!$O:$O,'Daily Issuance'!$I:$I,$A31,'Daily Issuance'!$E:$E,"Patty Cash",'Daily Issuance'!$B:$B,"&gt;="&amp;DATE(2026,12,1),'Daily Issuance'!$B:$B,"&lt;"&amp;DATE(2027,1,1)),0)</f>
        <v>0</v>
      </c>
      <c r="AO31" s="92">
        <f t="shared" si="8"/>
        <v>0</v>
      </c>
      <c r="AP31" s="103">
        <f t="shared" si="0"/>
        <v>7725</v>
      </c>
    </row>
    <row r="32" spans="1:42" ht="21" customHeight="1">
      <c r="A32" s="90" t="s">
        <v>64</v>
      </c>
      <c r="B32" s="91">
        <f>IFERROR(SUMIFS('Daily Issuance'!$O:$O,'Daily Issuance'!$I:$I,$A32,'Daily Issuance'!$E:$E,"Inventory",'Daily Issuance'!$B:$B,"&gt;="&amp;DATE(2026,5,1),'Daily Issuance'!$B:$B,"&lt;"&amp;DATE(2026,6,1)),0)</f>
        <v>22000</v>
      </c>
      <c r="C32" s="91">
        <f>IFERROR(SUMIFS('Daily Issuance'!$O:$O,'Daily Issuance'!$I:$I,$A32,'Daily Issuance'!$E:$E,"Non Inventory",'Daily Issuance'!$B:$B,"&gt;="&amp;DATE(2026,5,1),'Daily Issuance'!$B:$B,"&lt;"&amp;DATE(2026,6,1)),0)</f>
        <v>125</v>
      </c>
      <c r="D32" s="91">
        <f>IFERROR(SUMIFS('Daily Issuance'!$O:$O,'Daily Issuance'!$I:$I,$A32,'Daily Issuance'!$E:$E,"Services",'Daily Issuance'!$B:$B,"&gt;="&amp;DATE(2026,5,1),'Daily Issuance'!$B:$B,"&lt;"&amp;DATE(2026,6,1)),0)</f>
        <v>0</v>
      </c>
      <c r="E32" s="91">
        <f>IFERROR(SUMIFS('Daily Issuance'!$O:$O,'Daily Issuance'!$I:$I,$A32,'Daily Issuance'!$E:$E,"Patty Cash",'Daily Issuance'!$B:$B,"&gt;="&amp;DATE(2026,5,1),'Daily Issuance'!$B:$B,"&lt;"&amp;DATE(2026,6,1)),0)</f>
        <v>0</v>
      </c>
      <c r="F32" s="92">
        <f t="shared" si="1"/>
        <v>22125</v>
      </c>
      <c r="G32" s="93">
        <f>IFERROR(SUMIFS('Daily Issuance'!$O$4:$O$991,'Daily Issuance'!$I$4:$I$991,$A32,'Daily Issuance'!$E$4:$E$991,"Inventory",'Daily Issuance'!$B$4:$B$991,"&gt;="&amp;DATE(2026,6,1),'Daily Issuance'!$B$4:$B$991,"&lt;"&amp;DATE(2026,7,1)),0)</f>
        <v>0</v>
      </c>
      <c r="H32" s="93">
        <f>IFERROR(SUMIFS('Daily Issuance'!$O$4:$O$991,'Daily Issuance'!$I$4:$I$991,$A32,'Daily Issuance'!$E$4:$E$991,"Non Inventory",'Daily Issuance'!$B$4:$B$991,"&gt;="&amp;DATE(2026,6,1),'Daily Issuance'!$B$4:$B$991,"&lt;"&amp;DATE(2026,7,1)),0)</f>
        <v>0</v>
      </c>
      <c r="I32" s="93">
        <f>IFERROR(SUMIFS('Daily Issuance'!$O$4:$O$991,'Daily Issuance'!$I$4:$I$991,$A32,'Daily Issuance'!$E$4:$E$991,"Services",'Daily Issuance'!$B$4:$B$991,"&gt;="&amp;DATE(2026,6,1),'Daily Issuance'!$B$4:$B$991,"&lt;"&amp;DATE(2026,7,1)),0)</f>
        <v>0</v>
      </c>
      <c r="J32" s="93">
        <f>IFERROR(SUMIFS('Daily Issuance'!$O:$O,'Daily Issuance'!$I:$I,$A32,'Daily Issuance'!$E:$E,"Patty Cash",'Daily Issuance'!$B:$B,"&gt;="&amp;DATE(2026,6,1),'Daily Issuance'!$B:$B,"&lt;"&amp;DATE(2026,7,1)),0)</f>
        <v>0</v>
      </c>
      <c r="K32" s="92">
        <f t="shared" si="2"/>
        <v>0</v>
      </c>
      <c r="L32" s="94">
        <f>IFERROR(SUMIFS('Daily Issuance'!$O$4:$O$991,'Daily Issuance'!$I$4:$I$991,$A32,'Daily Issuance'!$E$4:$E$991,"Inventory",'Daily Issuance'!$B$4:$B$991,"&gt;="&amp;DATE(2026,7,1),'Daily Issuance'!$B$4:$B$991,"&lt;"&amp;DATE(2026,8,1)),0)</f>
        <v>0</v>
      </c>
      <c r="M32" s="95">
        <f>IFERROR(SUMIFS('Daily Issuance'!$O$4:$O$991,'Daily Issuance'!$I$4:$I$991,$A32,'Daily Issuance'!$E$4:$E$991,"Non Inventory",'Daily Issuance'!$B$4:$B$991,"&gt;="&amp;DATE(2026,7,1),'Daily Issuance'!$B$4:$B$991,"&lt;"&amp;DATE(2026,8,1)),0)</f>
        <v>0</v>
      </c>
      <c r="N32" s="95">
        <f>IFERROR(SUMIFS('Daily Issuance'!$O$4:$O$991,'Daily Issuance'!$I$4:$I$991,$A32,'Daily Issuance'!$E$4:$E$991,"Services",'Daily Issuance'!$B$4:$B$991,"&gt;="&amp;DATE(2026,7,1),'Daily Issuance'!$B$4:$B$991,"&lt;"&amp;DATE(2026,8,1)),0)</f>
        <v>0</v>
      </c>
      <c r="O32" s="95">
        <f>IFERROR(SUMIFS('Daily Issuance'!$O:$O,'Daily Issuance'!$I:$I,$A32,'Daily Issuance'!$E:$E,"Patty Cash",'Daily Issuance'!$B:$B,"&gt;="&amp;DATE(2026,7,1),'Daily Issuance'!$B:$B,"&lt;"&amp;DATE(2026,8,1)),0)</f>
        <v>0</v>
      </c>
      <c r="P32" s="92">
        <f t="shared" si="3"/>
        <v>0</v>
      </c>
      <c r="Q32" s="93">
        <f>IFERROR(SUMIFS('Daily Issuance'!$O$4:$O$991,'Daily Issuance'!$I$4:$I$991,$A32,'Daily Issuance'!$E$4:$E$991,"Inventory",'Daily Issuance'!$B$4:$B$991,"&gt;="&amp;DATE(2026,8,1),'Daily Issuance'!$B$4:$B$991,"&lt;"&amp;DATE(2026,9,1)),0)</f>
        <v>0</v>
      </c>
      <c r="R32" s="93">
        <f>IFERROR(SUMIFS('Daily Issuance'!$O$4:$O$991,'Daily Issuance'!$I$4:$I$991,$A32,'Daily Issuance'!$E$4:$E$991,"Non Inventory",'Daily Issuance'!$B$4:$B$991,"&gt;="&amp;DATE(2026,8,1),'Daily Issuance'!$B$4:$B$991,"&lt;"&amp;DATE(2026,9,1)),0)</f>
        <v>0</v>
      </c>
      <c r="S32" s="93">
        <f>IFERROR(SUMIFS('Daily Issuance'!$O$4:$O$991,'Daily Issuance'!$I$4:$I$991,$A32,'Daily Issuance'!$E$4:$E$991,"Services",'Daily Issuance'!$B$4:$B$991,"&gt;="&amp;DATE(2026,8,1),'Daily Issuance'!$B$4:$B$991,"&lt;"&amp;DATE(2026,9,1)),0)</f>
        <v>0</v>
      </c>
      <c r="T32" s="93">
        <f>IFERROR(SUMIFS('Daily Issuance'!$O:$O,'Daily Issuance'!$I:$I,$A32,'Daily Issuance'!$E:$E,"Patty Cash",'Daily Issuance'!$B:$B,"&gt;="&amp;DATE(2026,8,1),'Daily Issuance'!$B:$B,"&lt;"&amp;DATE(2026,9,1)),0)</f>
        <v>0</v>
      </c>
      <c r="U32" s="92">
        <f t="shared" si="4"/>
        <v>0</v>
      </c>
      <c r="V32" s="95">
        <f>IFERROR(SUMIFS('Daily Issuance'!$O$4:$O$991,'Daily Issuance'!$I$4:$I$991,$A32,'Daily Issuance'!$E$4:$E$991,"Inventory",'Daily Issuance'!$B$4:$B$991,"&gt;="&amp;DATE(2026,9,1),'Daily Issuance'!$B$4:$B$991,"&lt;"&amp;DATE(2026,10,1)),0)</f>
        <v>0</v>
      </c>
      <c r="W32" s="95">
        <f>IFERROR(SUMIFS('Daily Issuance'!$O$4:$O$991,'Daily Issuance'!$I$4:$I$991,$A32,'Daily Issuance'!$E$4:$E$991,"Non Inventory",'Daily Issuance'!$B$4:$B$991,"&gt;="&amp;DATE(2026,9,1),'Daily Issuance'!$B$4:$B$991,"&lt;"&amp;DATE(2026,10,1)),0)</f>
        <v>0</v>
      </c>
      <c r="X32" s="95">
        <f>IFERROR(SUMIFS('Daily Issuance'!$O$4:$O$991,'Daily Issuance'!$I$4:$I$991,$A32,'Daily Issuance'!$E$4:$E$991,"Services",'Daily Issuance'!$B$4:$B$991,"&gt;="&amp;DATE(2026,9,1),'Daily Issuance'!$B$4:$B$991,"&lt;"&amp;DATE(2026,10,1)),0)</f>
        <v>0</v>
      </c>
      <c r="Y32" s="95">
        <f>IFERROR(SUMIFS('Daily Issuance'!$O:$O,'Daily Issuance'!$I:$I,$A32,'Daily Issuance'!$E:$E,"Patty Cash",'Daily Issuance'!$B:$B,"&gt;="&amp;DATE(2026,9,1),'Daily Issuance'!$B:$B,"&lt;"&amp;DATE(2026,10,1)),0)</f>
        <v>0</v>
      </c>
      <c r="Z32" s="92">
        <f t="shared" si="5"/>
        <v>0</v>
      </c>
      <c r="AA32" s="93">
        <f>IFERROR(SUMIFS('Daily Issuance'!$O$4:$O$991,'Daily Issuance'!$I$4:$I$991,$A32,'Daily Issuance'!$E$4:$E$991,"Inventory",'Daily Issuance'!$B$4:$B$991,"&gt;="&amp;DATE(2026,10,1),'Daily Issuance'!$B$4:$B$991,"&lt;"&amp;DATE(2026,11,1)),0)</f>
        <v>0</v>
      </c>
      <c r="AB32" s="93">
        <f>IFERROR(SUMIFS('Daily Issuance'!$O$4:$O$991,'Daily Issuance'!$I$4:$I$991,$A32,'Daily Issuance'!$E$4:$E$991,"Non Inventory",'Daily Issuance'!$B$4:$B$991,"&gt;="&amp;DATE(2026,10,1),'Daily Issuance'!$B$4:$B$991,"&lt;"&amp;DATE(2026,11,1)),0)</f>
        <v>0</v>
      </c>
      <c r="AC32" s="93">
        <f>IFERROR(SUMIFS('Daily Issuance'!$O$4:$O$991,'Daily Issuance'!$I$4:$I$991,$A32,'Daily Issuance'!$E$4:$E$991,"Services",'Daily Issuance'!$B$4:$B$991,"&gt;="&amp;DATE(2026,10,1),'Daily Issuance'!$B$4:$B$991,"&lt;"&amp;DATE(2026,11,1)),0)</f>
        <v>0</v>
      </c>
      <c r="AD32" s="93">
        <f>IFERROR(SUMIFS('Daily Issuance'!$O:$O,'Daily Issuance'!$I:$I,$A32,'Daily Issuance'!$E:$E,"Patty Cash",'Daily Issuance'!$B:$B,"&gt;="&amp;DATE(2026,10,1),'Daily Issuance'!$B:$B,"&lt;"&amp;DATE(2026,11,1)),0)</f>
        <v>0</v>
      </c>
      <c r="AE32" s="92">
        <f t="shared" si="6"/>
        <v>0</v>
      </c>
      <c r="AF32" s="95">
        <f>IFERROR(SUMIFS('Daily Issuance'!$O$4:$O$991,'Daily Issuance'!$I$4:$I$991,$A32,'Daily Issuance'!$E$4:$E$991,"Inventory",'Daily Issuance'!$B$4:$B$991,"&gt;="&amp;DATE(2026,11,1),'Daily Issuance'!$B$4:$B$991,"&lt;"&amp;DATE(2026,12,1)),0)</f>
        <v>0</v>
      </c>
      <c r="AG32" s="95">
        <f>IFERROR(SUMIFS('Daily Issuance'!$O$4:$O$991,'Daily Issuance'!$I$4:$I$991,$A32,'Daily Issuance'!$E$4:$E$991,"Non Inventory",'Daily Issuance'!$B$4:$B$991,"&gt;="&amp;DATE(2026,11,1),'Daily Issuance'!$B$4:$B$991,"&lt;"&amp;DATE(2026,12,1)),0)</f>
        <v>0</v>
      </c>
      <c r="AH32" s="95">
        <f>IFERROR(SUMIFS('Daily Issuance'!$O$4:$O$991,'Daily Issuance'!$I$4:$I$991,$A32,'Daily Issuance'!$E$4:$E$991,"Services",'Daily Issuance'!$B$4:$B$991,"&gt;="&amp;DATE(2026,11,1),'Daily Issuance'!$B$4:$B$991,"&lt;"&amp;DATE(2026,12,1)),0)</f>
        <v>0</v>
      </c>
      <c r="AI32" s="95">
        <f>IFERROR(SUMIFS('Daily Issuance'!$O:$O,'Daily Issuance'!$I:$I,$A32,'Daily Issuance'!$E:$E,"Patty Cash",'Daily Issuance'!$B:$B,"&gt;="&amp;DATE(2026,11,1),'Daily Issuance'!$B:$B,"&lt;"&amp;DATE(2026,12,1)),0)</f>
        <v>0</v>
      </c>
      <c r="AJ32" s="92">
        <f t="shared" si="7"/>
        <v>0</v>
      </c>
      <c r="AK32" s="93">
        <f>IFERROR(SUMIFS('Daily Issuance'!$O$4:$O$991,'Daily Issuance'!$I$4:$I$991,$A32,'Daily Issuance'!$E$4:$E$991,"Inventory",'Daily Issuance'!$B$4:$B$991,"&gt;="&amp;DATE(2026,12,1),'Daily Issuance'!$B$4:$B$991,"&lt;"&amp;DATE(2027,1,1)),0)</f>
        <v>0</v>
      </c>
      <c r="AL32" s="93">
        <f>IFERROR(SUMIFS('Daily Issuance'!$O$4:$O$991,'Daily Issuance'!$I$4:$I$991,$A32,'Daily Issuance'!$E$4:$E$991,"Non Inventory",'Daily Issuance'!$B$4:$B$991,"&gt;="&amp;DATE(2026,12,1),'Daily Issuance'!$B$4:$B$991,"&lt;"&amp;DATE(2027,1,1)),0)</f>
        <v>0</v>
      </c>
      <c r="AM32" s="93">
        <f>IFERROR(SUMIFS('Daily Issuance'!$O$4:$O$991,'Daily Issuance'!$I$4:$I$991,$A32,'Daily Issuance'!$E$4:$E$991,"Services",'Daily Issuance'!$B$4:$B$991,"&gt;="&amp;DATE(2026,12,1),'Daily Issuance'!$B$4:$B$991,"&lt;"&amp;DATE(2027,1,1)),0)</f>
        <v>0</v>
      </c>
      <c r="AN32" s="93">
        <f>IFERROR(SUMIFS('Daily Issuance'!$O:$O,'Daily Issuance'!$I:$I,$A32,'Daily Issuance'!$E:$E,"Patty Cash",'Daily Issuance'!$B:$B,"&gt;="&amp;DATE(2026,12,1),'Daily Issuance'!$B:$B,"&lt;"&amp;DATE(2027,1,1)),0)</f>
        <v>0</v>
      </c>
      <c r="AO32" s="92">
        <f t="shared" si="8"/>
        <v>0</v>
      </c>
      <c r="AP32" s="103">
        <f t="shared" si="0"/>
        <v>22125</v>
      </c>
    </row>
    <row r="33" spans="1:42" ht="21" customHeight="1">
      <c r="A33" s="90" t="s">
        <v>1306</v>
      </c>
      <c r="B33" s="91">
        <f>IFERROR(SUMIFS('Daily Issuance'!$O:$O,'Daily Issuance'!$I:$I,$A33,'Daily Issuance'!$E:$E,"Inventory",'Daily Issuance'!$B:$B,"&gt;="&amp;DATE(2026,5,1),'Daily Issuance'!$B:$B,"&lt;"&amp;DATE(2026,6,1)),0)</f>
        <v>1375</v>
      </c>
      <c r="C33" s="91">
        <f>IFERROR(SUMIFS('Daily Issuance'!$O:$O,'Daily Issuance'!$I:$I,$A33,'Daily Issuance'!$E:$E,"Non Inventory",'Daily Issuance'!$B:$B,"&gt;="&amp;DATE(2026,5,1),'Daily Issuance'!$B:$B,"&lt;"&amp;DATE(2026,6,1)),0)</f>
        <v>9465</v>
      </c>
      <c r="D33" s="91">
        <f>IFERROR(SUMIFS('Daily Issuance'!$O:$O,'Daily Issuance'!$I:$I,$A33,'Daily Issuance'!$E:$E,"Services",'Daily Issuance'!$B:$B,"&gt;="&amp;DATE(2026,5,1),'Daily Issuance'!$B:$B,"&lt;"&amp;DATE(2026,6,1)),0)</f>
        <v>0</v>
      </c>
      <c r="E33" s="91">
        <f>IFERROR(SUMIFS('Daily Issuance'!$O:$O,'Daily Issuance'!$I:$I,$A33,'Daily Issuance'!$E:$E,"Patty Cash",'Daily Issuance'!$B:$B,"&gt;="&amp;DATE(2026,5,1),'Daily Issuance'!$B:$B,"&lt;"&amp;DATE(2026,6,1)),0)</f>
        <v>0</v>
      </c>
      <c r="F33" s="92">
        <f t="shared" si="1"/>
        <v>10840</v>
      </c>
      <c r="G33" s="93">
        <f>IFERROR(SUMIFS('Daily Issuance'!$O$4:$O$991,'Daily Issuance'!$I$4:$I$991,$A33,'Daily Issuance'!$E$4:$E$991,"Inventory",'Daily Issuance'!$B$4:$B$991,"&gt;="&amp;DATE(2026,6,1),'Daily Issuance'!$B$4:$B$991,"&lt;"&amp;DATE(2026,7,1)),0)</f>
        <v>0</v>
      </c>
      <c r="H33" s="93">
        <f>IFERROR(SUMIFS('Daily Issuance'!$O$4:$O$991,'Daily Issuance'!$I$4:$I$991,$A33,'Daily Issuance'!$E$4:$E$991,"Non Inventory",'Daily Issuance'!$B$4:$B$991,"&gt;="&amp;DATE(2026,6,1),'Daily Issuance'!$B$4:$B$991,"&lt;"&amp;DATE(2026,7,1)),0)</f>
        <v>900</v>
      </c>
      <c r="I33" s="93">
        <f>IFERROR(SUMIFS('Daily Issuance'!$O$4:$O$991,'Daily Issuance'!$I$4:$I$991,$A33,'Daily Issuance'!$E$4:$E$991,"Services",'Daily Issuance'!$B$4:$B$991,"&gt;="&amp;DATE(2026,6,1),'Daily Issuance'!$B$4:$B$991,"&lt;"&amp;DATE(2026,7,1)),0)</f>
        <v>0</v>
      </c>
      <c r="J33" s="93">
        <f>IFERROR(SUMIFS('Daily Issuance'!$O:$O,'Daily Issuance'!$I:$I,$A33,'Daily Issuance'!$E:$E,"Patty Cash",'Daily Issuance'!$B:$B,"&gt;="&amp;DATE(2026,6,1),'Daily Issuance'!$B:$B,"&lt;"&amp;DATE(2026,7,1)),0)</f>
        <v>0</v>
      </c>
      <c r="K33" s="92">
        <f t="shared" si="2"/>
        <v>900</v>
      </c>
      <c r="L33" s="94">
        <f>IFERROR(SUMIFS('Daily Issuance'!$O$4:$O$991,'Daily Issuance'!$I$4:$I$991,$A33,'Daily Issuance'!$E$4:$E$991,"Inventory",'Daily Issuance'!$B$4:$B$991,"&gt;="&amp;DATE(2026,7,1),'Daily Issuance'!$B$4:$B$991,"&lt;"&amp;DATE(2026,8,1)),0)</f>
        <v>0</v>
      </c>
      <c r="M33" s="95">
        <f>IFERROR(SUMIFS('Daily Issuance'!$O$4:$O$991,'Daily Issuance'!$I$4:$I$991,$A33,'Daily Issuance'!$E$4:$E$991,"Non Inventory",'Daily Issuance'!$B$4:$B$991,"&gt;="&amp;DATE(2026,7,1),'Daily Issuance'!$B$4:$B$991,"&lt;"&amp;DATE(2026,8,1)),0)</f>
        <v>0</v>
      </c>
      <c r="N33" s="95">
        <f>IFERROR(SUMIFS('Daily Issuance'!$O$4:$O$991,'Daily Issuance'!$I$4:$I$991,$A33,'Daily Issuance'!$E$4:$E$991,"Services",'Daily Issuance'!$B$4:$B$991,"&gt;="&amp;DATE(2026,7,1),'Daily Issuance'!$B$4:$B$991,"&lt;"&amp;DATE(2026,8,1)),0)</f>
        <v>0</v>
      </c>
      <c r="O33" s="95">
        <f>IFERROR(SUMIFS('Daily Issuance'!$O:$O,'Daily Issuance'!$I:$I,$A33,'Daily Issuance'!$E:$E,"Patty Cash",'Daily Issuance'!$B:$B,"&gt;="&amp;DATE(2026,7,1),'Daily Issuance'!$B:$B,"&lt;"&amp;DATE(2026,8,1)),0)</f>
        <v>0</v>
      </c>
      <c r="P33" s="92">
        <f t="shared" si="3"/>
        <v>0</v>
      </c>
      <c r="Q33" s="93">
        <f>IFERROR(SUMIFS('Daily Issuance'!$O$4:$O$991,'Daily Issuance'!$I$4:$I$991,$A33,'Daily Issuance'!$E$4:$E$991,"Inventory",'Daily Issuance'!$B$4:$B$991,"&gt;="&amp;DATE(2026,8,1),'Daily Issuance'!$B$4:$B$991,"&lt;"&amp;DATE(2026,9,1)),0)</f>
        <v>0</v>
      </c>
      <c r="R33" s="93">
        <f>IFERROR(SUMIFS('Daily Issuance'!$O$4:$O$991,'Daily Issuance'!$I$4:$I$991,$A33,'Daily Issuance'!$E$4:$E$991,"Non Inventory",'Daily Issuance'!$B$4:$B$991,"&gt;="&amp;DATE(2026,8,1),'Daily Issuance'!$B$4:$B$991,"&lt;"&amp;DATE(2026,9,1)),0)</f>
        <v>0</v>
      </c>
      <c r="S33" s="93">
        <f>IFERROR(SUMIFS('Daily Issuance'!$O$4:$O$991,'Daily Issuance'!$I$4:$I$991,$A33,'Daily Issuance'!$E$4:$E$991,"Services",'Daily Issuance'!$B$4:$B$991,"&gt;="&amp;DATE(2026,8,1),'Daily Issuance'!$B$4:$B$991,"&lt;"&amp;DATE(2026,9,1)),0)</f>
        <v>0</v>
      </c>
      <c r="T33" s="93">
        <f>IFERROR(SUMIFS('Daily Issuance'!$O:$O,'Daily Issuance'!$I:$I,$A33,'Daily Issuance'!$E:$E,"Patty Cash",'Daily Issuance'!$B:$B,"&gt;="&amp;DATE(2026,8,1),'Daily Issuance'!$B:$B,"&lt;"&amp;DATE(2026,9,1)),0)</f>
        <v>0</v>
      </c>
      <c r="U33" s="92">
        <f t="shared" si="4"/>
        <v>0</v>
      </c>
      <c r="V33" s="95">
        <f>IFERROR(SUMIFS('Daily Issuance'!$O$4:$O$991,'Daily Issuance'!$I$4:$I$991,$A33,'Daily Issuance'!$E$4:$E$991,"Inventory",'Daily Issuance'!$B$4:$B$991,"&gt;="&amp;DATE(2026,9,1),'Daily Issuance'!$B$4:$B$991,"&lt;"&amp;DATE(2026,10,1)),0)</f>
        <v>0</v>
      </c>
      <c r="W33" s="95">
        <f>IFERROR(SUMIFS('Daily Issuance'!$O$4:$O$991,'Daily Issuance'!$I$4:$I$991,$A33,'Daily Issuance'!$E$4:$E$991,"Non Inventory",'Daily Issuance'!$B$4:$B$991,"&gt;="&amp;DATE(2026,9,1),'Daily Issuance'!$B$4:$B$991,"&lt;"&amp;DATE(2026,10,1)),0)</f>
        <v>0</v>
      </c>
      <c r="X33" s="95">
        <f>IFERROR(SUMIFS('Daily Issuance'!$O$4:$O$991,'Daily Issuance'!$I$4:$I$991,$A33,'Daily Issuance'!$E$4:$E$991,"Services",'Daily Issuance'!$B$4:$B$991,"&gt;="&amp;DATE(2026,9,1),'Daily Issuance'!$B$4:$B$991,"&lt;"&amp;DATE(2026,10,1)),0)</f>
        <v>0</v>
      </c>
      <c r="Y33" s="95">
        <f>IFERROR(SUMIFS('Daily Issuance'!$O:$O,'Daily Issuance'!$I:$I,$A33,'Daily Issuance'!$E:$E,"Patty Cash",'Daily Issuance'!$B:$B,"&gt;="&amp;DATE(2026,9,1),'Daily Issuance'!$B:$B,"&lt;"&amp;DATE(2026,10,1)),0)</f>
        <v>0</v>
      </c>
      <c r="Z33" s="92">
        <f t="shared" si="5"/>
        <v>0</v>
      </c>
      <c r="AA33" s="93">
        <f>IFERROR(SUMIFS('Daily Issuance'!$O$4:$O$991,'Daily Issuance'!$I$4:$I$991,$A33,'Daily Issuance'!$E$4:$E$991,"Inventory",'Daily Issuance'!$B$4:$B$991,"&gt;="&amp;DATE(2026,10,1),'Daily Issuance'!$B$4:$B$991,"&lt;"&amp;DATE(2026,11,1)),0)</f>
        <v>0</v>
      </c>
      <c r="AB33" s="93">
        <f>IFERROR(SUMIFS('Daily Issuance'!$O$4:$O$991,'Daily Issuance'!$I$4:$I$991,$A33,'Daily Issuance'!$E$4:$E$991,"Non Inventory",'Daily Issuance'!$B$4:$B$991,"&gt;="&amp;DATE(2026,10,1),'Daily Issuance'!$B$4:$B$991,"&lt;"&amp;DATE(2026,11,1)),0)</f>
        <v>0</v>
      </c>
      <c r="AC33" s="93">
        <f>IFERROR(SUMIFS('Daily Issuance'!$O$4:$O$991,'Daily Issuance'!$I$4:$I$991,$A33,'Daily Issuance'!$E$4:$E$991,"Services",'Daily Issuance'!$B$4:$B$991,"&gt;="&amp;DATE(2026,10,1),'Daily Issuance'!$B$4:$B$991,"&lt;"&amp;DATE(2026,11,1)),0)</f>
        <v>0</v>
      </c>
      <c r="AD33" s="93">
        <f>IFERROR(SUMIFS('Daily Issuance'!$O:$O,'Daily Issuance'!$I:$I,$A33,'Daily Issuance'!$E:$E,"Patty Cash",'Daily Issuance'!$B:$B,"&gt;="&amp;DATE(2026,10,1),'Daily Issuance'!$B:$B,"&lt;"&amp;DATE(2026,11,1)),0)</f>
        <v>0</v>
      </c>
      <c r="AE33" s="92">
        <f t="shared" si="6"/>
        <v>0</v>
      </c>
      <c r="AF33" s="95">
        <f>IFERROR(SUMIFS('Daily Issuance'!$O$4:$O$991,'Daily Issuance'!$I$4:$I$991,$A33,'Daily Issuance'!$E$4:$E$991,"Inventory",'Daily Issuance'!$B$4:$B$991,"&gt;="&amp;DATE(2026,11,1),'Daily Issuance'!$B$4:$B$991,"&lt;"&amp;DATE(2026,12,1)),0)</f>
        <v>0</v>
      </c>
      <c r="AG33" s="95">
        <f>IFERROR(SUMIFS('Daily Issuance'!$O$4:$O$991,'Daily Issuance'!$I$4:$I$991,$A33,'Daily Issuance'!$E$4:$E$991,"Non Inventory",'Daily Issuance'!$B$4:$B$991,"&gt;="&amp;DATE(2026,11,1),'Daily Issuance'!$B$4:$B$991,"&lt;"&amp;DATE(2026,12,1)),0)</f>
        <v>0</v>
      </c>
      <c r="AH33" s="95">
        <f>IFERROR(SUMIFS('Daily Issuance'!$O$4:$O$991,'Daily Issuance'!$I$4:$I$991,$A33,'Daily Issuance'!$E$4:$E$991,"Services",'Daily Issuance'!$B$4:$B$991,"&gt;="&amp;DATE(2026,11,1),'Daily Issuance'!$B$4:$B$991,"&lt;"&amp;DATE(2026,12,1)),0)</f>
        <v>0</v>
      </c>
      <c r="AI33" s="95">
        <f>IFERROR(SUMIFS('Daily Issuance'!$O:$O,'Daily Issuance'!$I:$I,$A33,'Daily Issuance'!$E:$E,"Patty Cash",'Daily Issuance'!$B:$B,"&gt;="&amp;DATE(2026,11,1),'Daily Issuance'!$B:$B,"&lt;"&amp;DATE(2026,12,1)),0)</f>
        <v>0</v>
      </c>
      <c r="AJ33" s="92">
        <f t="shared" si="7"/>
        <v>0</v>
      </c>
      <c r="AK33" s="93">
        <f>IFERROR(SUMIFS('Daily Issuance'!$O$4:$O$991,'Daily Issuance'!$I$4:$I$991,$A33,'Daily Issuance'!$E$4:$E$991,"Inventory",'Daily Issuance'!$B$4:$B$991,"&gt;="&amp;DATE(2026,12,1),'Daily Issuance'!$B$4:$B$991,"&lt;"&amp;DATE(2027,1,1)),0)</f>
        <v>0</v>
      </c>
      <c r="AL33" s="93">
        <f>IFERROR(SUMIFS('Daily Issuance'!$O$4:$O$991,'Daily Issuance'!$I$4:$I$991,$A33,'Daily Issuance'!$E$4:$E$991,"Non Inventory",'Daily Issuance'!$B$4:$B$991,"&gt;="&amp;DATE(2026,12,1),'Daily Issuance'!$B$4:$B$991,"&lt;"&amp;DATE(2027,1,1)),0)</f>
        <v>0</v>
      </c>
      <c r="AM33" s="93">
        <f>IFERROR(SUMIFS('Daily Issuance'!$O$4:$O$991,'Daily Issuance'!$I$4:$I$991,$A33,'Daily Issuance'!$E$4:$E$991,"Services",'Daily Issuance'!$B$4:$B$991,"&gt;="&amp;DATE(2026,12,1),'Daily Issuance'!$B$4:$B$991,"&lt;"&amp;DATE(2027,1,1)),0)</f>
        <v>0</v>
      </c>
      <c r="AN33" s="93">
        <f>IFERROR(SUMIFS('Daily Issuance'!$O:$O,'Daily Issuance'!$I:$I,$A33,'Daily Issuance'!$E:$E,"Patty Cash",'Daily Issuance'!$B:$B,"&gt;="&amp;DATE(2026,12,1),'Daily Issuance'!$B:$B,"&lt;"&amp;DATE(2027,1,1)),0)</f>
        <v>0</v>
      </c>
      <c r="AO33" s="92">
        <f t="shared" si="8"/>
        <v>0</v>
      </c>
      <c r="AP33" s="103">
        <f t="shared" si="0"/>
        <v>11740</v>
      </c>
    </row>
    <row r="34" spans="1:42" ht="21" customHeight="1">
      <c r="A34" s="90" t="s">
        <v>1307</v>
      </c>
      <c r="B34" s="91">
        <f>IFERROR(SUMIFS('Daily Issuance'!$O:$O,'Daily Issuance'!$I:$I,$A34,'Daily Issuance'!$E:$E,"Inventory",'Daily Issuance'!$B:$B,"&gt;="&amp;DATE(2026,5,1),'Daily Issuance'!$B:$B,"&lt;"&amp;DATE(2026,6,1)),0)</f>
        <v>0</v>
      </c>
      <c r="C34" s="91">
        <f>IFERROR(SUMIFS('Daily Issuance'!$O:$O,'Daily Issuance'!$I:$I,$A34,'Daily Issuance'!$E:$E,"Non Inventory",'Daily Issuance'!$B:$B,"&gt;="&amp;DATE(2026,5,1),'Daily Issuance'!$B:$B,"&lt;"&amp;DATE(2026,6,1)),0)</f>
        <v>9725</v>
      </c>
      <c r="D34" s="91">
        <f>IFERROR(SUMIFS('Daily Issuance'!$O:$O,'Daily Issuance'!$I:$I,$A34,'Daily Issuance'!$E:$E,"Services",'Daily Issuance'!$B:$B,"&gt;="&amp;DATE(2026,5,1),'Daily Issuance'!$B:$B,"&lt;"&amp;DATE(2026,6,1)),0)</f>
        <v>0</v>
      </c>
      <c r="E34" s="91">
        <f>IFERROR(SUMIFS('Daily Issuance'!$O:$O,'Daily Issuance'!$I:$I,$A34,'Daily Issuance'!$E:$E,"Patty Cash",'Daily Issuance'!$B:$B,"&gt;="&amp;DATE(2026,5,1),'Daily Issuance'!$B:$B,"&lt;"&amp;DATE(2026,6,1)),0)</f>
        <v>0</v>
      </c>
      <c r="F34" s="92">
        <f t="shared" si="1"/>
        <v>9725</v>
      </c>
      <c r="G34" s="93">
        <f>IFERROR(SUMIFS('Daily Issuance'!$O$4:$O$991,'Daily Issuance'!$I$4:$I$991,$A34,'Daily Issuance'!$E$4:$E$991,"Inventory",'Daily Issuance'!$B$4:$B$991,"&gt;="&amp;DATE(2026,6,1),'Daily Issuance'!$B$4:$B$991,"&lt;"&amp;DATE(2026,7,1)),0)</f>
        <v>0</v>
      </c>
      <c r="H34" s="93">
        <f>IFERROR(SUMIFS('Daily Issuance'!$O$4:$O$991,'Daily Issuance'!$I$4:$I$991,$A34,'Daily Issuance'!$E$4:$E$991,"Non Inventory",'Daily Issuance'!$B$4:$B$991,"&gt;="&amp;DATE(2026,6,1),'Daily Issuance'!$B$4:$B$991,"&lt;"&amp;DATE(2026,7,1)),0)</f>
        <v>0</v>
      </c>
      <c r="I34" s="93">
        <f>IFERROR(SUMIFS('Daily Issuance'!$O$4:$O$991,'Daily Issuance'!$I$4:$I$991,$A34,'Daily Issuance'!$E$4:$E$991,"Services",'Daily Issuance'!$B$4:$B$991,"&gt;="&amp;DATE(2026,6,1),'Daily Issuance'!$B$4:$B$991,"&lt;"&amp;DATE(2026,7,1)),0)</f>
        <v>0</v>
      </c>
      <c r="J34" s="93">
        <f>IFERROR(SUMIFS('Daily Issuance'!$O:$O,'Daily Issuance'!$I:$I,$A34,'Daily Issuance'!$E:$E,"Patty Cash",'Daily Issuance'!$B:$B,"&gt;="&amp;DATE(2026,6,1),'Daily Issuance'!$B:$B,"&lt;"&amp;DATE(2026,7,1)),0)</f>
        <v>0</v>
      </c>
      <c r="K34" s="92">
        <f t="shared" si="2"/>
        <v>0</v>
      </c>
      <c r="L34" s="94">
        <f>IFERROR(SUMIFS('Daily Issuance'!$O$4:$O$991,'Daily Issuance'!$I$4:$I$991,$A34,'Daily Issuance'!$E$4:$E$991,"Inventory",'Daily Issuance'!$B$4:$B$991,"&gt;="&amp;DATE(2026,7,1),'Daily Issuance'!$B$4:$B$991,"&lt;"&amp;DATE(2026,8,1)),0)</f>
        <v>0</v>
      </c>
      <c r="M34" s="95">
        <f>IFERROR(SUMIFS('Daily Issuance'!$O$4:$O$991,'Daily Issuance'!$I$4:$I$991,$A34,'Daily Issuance'!$E$4:$E$991,"Non Inventory",'Daily Issuance'!$B$4:$B$991,"&gt;="&amp;DATE(2026,7,1),'Daily Issuance'!$B$4:$B$991,"&lt;"&amp;DATE(2026,8,1)),0)</f>
        <v>0</v>
      </c>
      <c r="N34" s="95">
        <f>IFERROR(SUMIFS('Daily Issuance'!$O$4:$O$991,'Daily Issuance'!$I$4:$I$991,$A34,'Daily Issuance'!$E$4:$E$991,"Services",'Daily Issuance'!$B$4:$B$991,"&gt;="&amp;DATE(2026,7,1),'Daily Issuance'!$B$4:$B$991,"&lt;"&amp;DATE(2026,8,1)),0)</f>
        <v>0</v>
      </c>
      <c r="O34" s="95">
        <f>IFERROR(SUMIFS('Daily Issuance'!$O:$O,'Daily Issuance'!$I:$I,$A34,'Daily Issuance'!$E:$E,"Patty Cash",'Daily Issuance'!$B:$B,"&gt;="&amp;DATE(2026,7,1),'Daily Issuance'!$B:$B,"&lt;"&amp;DATE(2026,8,1)),0)</f>
        <v>0</v>
      </c>
      <c r="P34" s="92">
        <f t="shared" si="3"/>
        <v>0</v>
      </c>
      <c r="Q34" s="93">
        <f>IFERROR(SUMIFS('Daily Issuance'!$O$4:$O$991,'Daily Issuance'!$I$4:$I$991,$A34,'Daily Issuance'!$E$4:$E$991,"Inventory",'Daily Issuance'!$B$4:$B$991,"&gt;="&amp;DATE(2026,8,1),'Daily Issuance'!$B$4:$B$991,"&lt;"&amp;DATE(2026,9,1)),0)</f>
        <v>0</v>
      </c>
      <c r="R34" s="93">
        <f>IFERROR(SUMIFS('Daily Issuance'!$O$4:$O$991,'Daily Issuance'!$I$4:$I$991,$A34,'Daily Issuance'!$E$4:$E$991,"Non Inventory",'Daily Issuance'!$B$4:$B$991,"&gt;="&amp;DATE(2026,8,1),'Daily Issuance'!$B$4:$B$991,"&lt;"&amp;DATE(2026,9,1)),0)</f>
        <v>0</v>
      </c>
      <c r="S34" s="93">
        <f>IFERROR(SUMIFS('Daily Issuance'!$O$4:$O$991,'Daily Issuance'!$I$4:$I$991,$A34,'Daily Issuance'!$E$4:$E$991,"Services",'Daily Issuance'!$B$4:$B$991,"&gt;="&amp;DATE(2026,8,1),'Daily Issuance'!$B$4:$B$991,"&lt;"&amp;DATE(2026,9,1)),0)</f>
        <v>0</v>
      </c>
      <c r="T34" s="93">
        <f>IFERROR(SUMIFS('Daily Issuance'!$O:$O,'Daily Issuance'!$I:$I,$A34,'Daily Issuance'!$E:$E,"Patty Cash",'Daily Issuance'!$B:$B,"&gt;="&amp;DATE(2026,8,1),'Daily Issuance'!$B:$B,"&lt;"&amp;DATE(2026,9,1)),0)</f>
        <v>0</v>
      </c>
      <c r="U34" s="92">
        <f t="shared" si="4"/>
        <v>0</v>
      </c>
      <c r="V34" s="95">
        <f>IFERROR(SUMIFS('Daily Issuance'!$O$4:$O$991,'Daily Issuance'!$I$4:$I$991,$A34,'Daily Issuance'!$E$4:$E$991,"Inventory",'Daily Issuance'!$B$4:$B$991,"&gt;="&amp;DATE(2026,9,1),'Daily Issuance'!$B$4:$B$991,"&lt;"&amp;DATE(2026,10,1)),0)</f>
        <v>0</v>
      </c>
      <c r="W34" s="95">
        <f>IFERROR(SUMIFS('Daily Issuance'!$O$4:$O$991,'Daily Issuance'!$I$4:$I$991,$A34,'Daily Issuance'!$E$4:$E$991,"Non Inventory",'Daily Issuance'!$B$4:$B$991,"&gt;="&amp;DATE(2026,9,1),'Daily Issuance'!$B$4:$B$991,"&lt;"&amp;DATE(2026,10,1)),0)</f>
        <v>0</v>
      </c>
      <c r="X34" s="95">
        <f>IFERROR(SUMIFS('Daily Issuance'!$O$4:$O$991,'Daily Issuance'!$I$4:$I$991,$A34,'Daily Issuance'!$E$4:$E$991,"Services",'Daily Issuance'!$B$4:$B$991,"&gt;="&amp;DATE(2026,9,1),'Daily Issuance'!$B$4:$B$991,"&lt;"&amp;DATE(2026,10,1)),0)</f>
        <v>0</v>
      </c>
      <c r="Y34" s="95">
        <f>IFERROR(SUMIFS('Daily Issuance'!$O:$O,'Daily Issuance'!$I:$I,$A34,'Daily Issuance'!$E:$E,"Patty Cash",'Daily Issuance'!$B:$B,"&gt;="&amp;DATE(2026,9,1),'Daily Issuance'!$B:$B,"&lt;"&amp;DATE(2026,10,1)),0)</f>
        <v>0</v>
      </c>
      <c r="Z34" s="92">
        <f t="shared" si="5"/>
        <v>0</v>
      </c>
      <c r="AA34" s="93">
        <f>IFERROR(SUMIFS('Daily Issuance'!$O$4:$O$991,'Daily Issuance'!$I$4:$I$991,$A34,'Daily Issuance'!$E$4:$E$991,"Inventory",'Daily Issuance'!$B$4:$B$991,"&gt;="&amp;DATE(2026,10,1),'Daily Issuance'!$B$4:$B$991,"&lt;"&amp;DATE(2026,11,1)),0)</f>
        <v>0</v>
      </c>
      <c r="AB34" s="93">
        <f>IFERROR(SUMIFS('Daily Issuance'!$O$4:$O$991,'Daily Issuance'!$I$4:$I$991,$A34,'Daily Issuance'!$E$4:$E$991,"Non Inventory",'Daily Issuance'!$B$4:$B$991,"&gt;="&amp;DATE(2026,10,1),'Daily Issuance'!$B$4:$B$991,"&lt;"&amp;DATE(2026,11,1)),0)</f>
        <v>0</v>
      </c>
      <c r="AC34" s="93">
        <f>IFERROR(SUMIFS('Daily Issuance'!$O$4:$O$991,'Daily Issuance'!$I$4:$I$991,$A34,'Daily Issuance'!$E$4:$E$991,"Services",'Daily Issuance'!$B$4:$B$991,"&gt;="&amp;DATE(2026,10,1),'Daily Issuance'!$B$4:$B$991,"&lt;"&amp;DATE(2026,11,1)),0)</f>
        <v>0</v>
      </c>
      <c r="AD34" s="93">
        <f>IFERROR(SUMIFS('Daily Issuance'!$O:$O,'Daily Issuance'!$I:$I,$A34,'Daily Issuance'!$E:$E,"Patty Cash",'Daily Issuance'!$B:$B,"&gt;="&amp;DATE(2026,10,1),'Daily Issuance'!$B:$B,"&lt;"&amp;DATE(2026,11,1)),0)</f>
        <v>0</v>
      </c>
      <c r="AE34" s="92">
        <f t="shared" si="6"/>
        <v>0</v>
      </c>
      <c r="AF34" s="95">
        <f>IFERROR(SUMIFS('Daily Issuance'!$O$4:$O$991,'Daily Issuance'!$I$4:$I$991,$A34,'Daily Issuance'!$E$4:$E$991,"Inventory",'Daily Issuance'!$B$4:$B$991,"&gt;="&amp;DATE(2026,11,1),'Daily Issuance'!$B$4:$B$991,"&lt;"&amp;DATE(2026,12,1)),0)</f>
        <v>0</v>
      </c>
      <c r="AG34" s="95">
        <f>IFERROR(SUMIFS('Daily Issuance'!$O$4:$O$991,'Daily Issuance'!$I$4:$I$991,$A34,'Daily Issuance'!$E$4:$E$991,"Non Inventory",'Daily Issuance'!$B$4:$B$991,"&gt;="&amp;DATE(2026,11,1),'Daily Issuance'!$B$4:$B$991,"&lt;"&amp;DATE(2026,12,1)),0)</f>
        <v>0</v>
      </c>
      <c r="AH34" s="95">
        <f>IFERROR(SUMIFS('Daily Issuance'!$O$4:$O$991,'Daily Issuance'!$I$4:$I$991,$A34,'Daily Issuance'!$E$4:$E$991,"Services",'Daily Issuance'!$B$4:$B$991,"&gt;="&amp;DATE(2026,11,1),'Daily Issuance'!$B$4:$B$991,"&lt;"&amp;DATE(2026,12,1)),0)</f>
        <v>0</v>
      </c>
      <c r="AI34" s="95">
        <f>IFERROR(SUMIFS('Daily Issuance'!$O:$O,'Daily Issuance'!$I:$I,$A34,'Daily Issuance'!$E:$E,"Patty Cash",'Daily Issuance'!$B:$B,"&gt;="&amp;DATE(2026,11,1),'Daily Issuance'!$B:$B,"&lt;"&amp;DATE(2026,12,1)),0)</f>
        <v>0</v>
      </c>
      <c r="AJ34" s="92">
        <f t="shared" si="7"/>
        <v>0</v>
      </c>
      <c r="AK34" s="93">
        <f>IFERROR(SUMIFS('Daily Issuance'!$O$4:$O$991,'Daily Issuance'!$I$4:$I$991,$A34,'Daily Issuance'!$E$4:$E$991,"Inventory",'Daily Issuance'!$B$4:$B$991,"&gt;="&amp;DATE(2026,12,1),'Daily Issuance'!$B$4:$B$991,"&lt;"&amp;DATE(2027,1,1)),0)</f>
        <v>0</v>
      </c>
      <c r="AL34" s="93">
        <f>IFERROR(SUMIFS('Daily Issuance'!$O$4:$O$991,'Daily Issuance'!$I$4:$I$991,$A34,'Daily Issuance'!$E$4:$E$991,"Non Inventory",'Daily Issuance'!$B$4:$B$991,"&gt;="&amp;DATE(2026,12,1),'Daily Issuance'!$B$4:$B$991,"&lt;"&amp;DATE(2027,1,1)),0)</f>
        <v>0</v>
      </c>
      <c r="AM34" s="93">
        <f>IFERROR(SUMIFS('Daily Issuance'!$O$4:$O$991,'Daily Issuance'!$I$4:$I$991,$A34,'Daily Issuance'!$E$4:$E$991,"Services",'Daily Issuance'!$B$4:$B$991,"&gt;="&amp;DATE(2026,12,1),'Daily Issuance'!$B$4:$B$991,"&lt;"&amp;DATE(2027,1,1)),0)</f>
        <v>0</v>
      </c>
      <c r="AN34" s="93">
        <f>IFERROR(SUMIFS('Daily Issuance'!$O:$O,'Daily Issuance'!$I:$I,$A34,'Daily Issuance'!$E:$E,"Patty Cash",'Daily Issuance'!$B:$B,"&gt;="&amp;DATE(2026,12,1),'Daily Issuance'!$B:$B,"&lt;"&amp;DATE(2027,1,1)),0)</f>
        <v>0</v>
      </c>
      <c r="AO34" s="92">
        <f t="shared" si="8"/>
        <v>0</v>
      </c>
      <c r="AP34" s="103">
        <f t="shared" si="0"/>
        <v>9725</v>
      </c>
    </row>
    <row r="35" spans="1:42" ht="21" customHeight="1">
      <c r="A35" s="90" t="s">
        <v>1291</v>
      </c>
      <c r="B35" s="91">
        <f>IFERROR(SUMIFS('Daily Issuance'!$O:$O,'Daily Issuance'!$I:$I,$A35,'Daily Issuance'!$E:$E,"Inventory",'Daily Issuance'!$B:$B,"&gt;="&amp;DATE(2026,5,1),'Daily Issuance'!$B:$B,"&lt;"&amp;DATE(2026,6,1)),0)</f>
        <v>0</v>
      </c>
      <c r="C35" s="91">
        <f>IFERROR(SUMIFS('Daily Issuance'!$O:$O,'Daily Issuance'!$I:$I,$A35,'Daily Issuance'!$E:$E,"Non Inventory",'Daily Issuance'!$B:$B,"&gt;="&amp;DATE(2026,5,1),'Daily Issuance'!$B:$B,"&lt;"&amp;DATE(2026,6,1)),0)</f>
        <v>0</v>
      </c>
      <c r="D35" s="91">
        <f>IFERROR(SUMIFS('Daily Issuance'!$O:$O,'Daily Issuance'!$I:$I,$A35,'Daily Issuance'!$E:$E,"Services",'Daily Issuance'!$B:$B,"&gt;="&amp;DATE(2026,5,1),'Daily Issuance'!$B:$B,"&lt;"&amp;DATE(2026,6,1)),0)</f>
        <v>0</v>
      </c>
      <c r="E35" s="91">
        <f>IFERROR(SUMIFS('Daily Issuance'!$O:$O,'Daily Issuance'!$I:$I,$A35,'Daily Issuance'!$E:$E,"Patty Cash",'Daily Issuance'!$B:$B,"&gt;="&amp;DATE(2026,5,1),'Daily Issuance'!$B:$B,"&lt;"&amp;DATE(2026,6,1)),0)</f>
        <v>183</v>
      </c>
      <c r="F35" s="92">
        <f t="shared" si="1"/>
        <v>183</v>
      </c>
      <c r="G35" s="93">
        <f>IFERROR(SUMIFS('Daily Issuance'!$O$4:$O$991,'Daily Issuance'!$I$4:$I$991,$A35,'Daily Issuance'!$E$4:$E$991,"Inventory",'Daily Issuance'!$B$4:$B$991,"&gt;="&amp;DATE(2026,6,1),'Daily Issuance'!$B$4:$B$991,"&lt;"&amp;DATE(2026,7,1)),0)</f>
        <v>2750</v>
      </c>
      <c r="H35" s="93">
        <f>IFERROR(SUMIFS('Daily Issuance'!$O$4:$O$991,'Daily Issuance'!$I$4:$I$991,$A35,'Daily Issuance'!$E$4:$E$991,"Non Inventory",'Daily Issuance'!$B$4:$B$991,"&gt;="&amp;DATE(2026,6,1),'Daily Issuance'!$B$4:$B$991,"&lt;"&amp;DATE(2026,7,1)),0)</f>
        <v>0</v>
      </c>
      <c r="I35" s="93">
        <f>IFERROR(SUMIFS('Daily Issuance'!$O$4:$O$991,'Daily Issuance'!$I$4:$I$991,$A35,'Daily Issuance'!$E$4:$E$991,"Services",'Daily Issuance'!$B$4:$B$991,"&gt;="&amp;DATE(2026,6,1),'Daily Issuance'!$B$4:$B$991,"&lt;"&amp;DATE(2026,7,1)),0)</f>
        <v>0</v>
      </c>
      <c r="J35" s="93">
        <f>IFERROR(SUMIFS('Daily Issuance'!$O:$O,'Daily Issuance'!$I:$I,$A35,'Daily Issuance'!$E:$E,"Patty Cash",'Daily Issuance'!$B:$B,"&gt;="&amp;DATE(2026,6,1),'Daily Issuance'!$B:$B,"&lt;"&amp;DATE(2026,7,1)),0)</f>
        <v>0</v>
      </c>
      <c r="K35" s="92">
        <f t="shared" si="2"/>
        <v>2750</v>
      </c>
      <c r="L35" s="94">
        <f>IFERROR(SUMIFS('Daily Issuance'!$O$4:$O$991,'Daily Issuance'!$I$4:$I$991,$A35,'Daily Issuance'!$E$4:$E$991,"Inventory",'Daily Issuance'!$B$4:$B$991,"&gt;="&amp;DATE(2026,7,1),'Daily Issuance'!$B$4:$B$991,"&lt;"&amp;DATE(2026,8,1)),0)</f>
        <v>0</v>
      </c>
      <c r="M35" s="95">
        <f>IFERROR(SUMIFS('Daily Issuance'!$O$4:$O$991,'Daily Issuance'!$I$4:$I$991,$A35,'Daily Issuance'!$E$4:$E$991,"Non Inventory",'Daily Issuance'!$B$4:$B$991,"&gt;="&amp;DATE(2026,7,1),'Daily Issuance'!$B$4:$B$991,"&lt;"&amp;DATE(2026,8,1)),0)</f>
        <v>0</v>
      </c>
      <c r="N35" s="95">
        <f>IFERROR(SUMIFS('Daily Issuance'!$O$4:$O$991,'Daily Issuance'!$I$4:$I$991,$A35,'Daily Issuance'!$E$4:$E$991,"Services",'Daily Issuance'!$B$4:$B$991,"&gt;="&amp;DATE(2026,7,1),'Daily Issuance'!$B$4:$B$991,"&lt;"&amp;DATE(2026,8,1)),0)</f>
        <v>0</v>
      </c>
      <c r="O35" s="95">
        <f>IFERROR(SUMIFS('Daily Issuance'!$O:$O,'Daily Issuance'!$I:$I,$A35,'Daily Issuance'!$E:$E,"Patty Cash",'Daily Issuance'!$B:$B,"&gt;="&amp;DATE(2026,7,1),'Daily Issuance'!$B:$B,"&lt;"&amp;DATE(2026,8,1)),0)</f>
        <v>0</v>
      </c>
      <c r="P35" s="92">
        <f t="shared" si="3"/>
        <v>0</v>
      </c>
      <c r="Q35" s="93">
        <f>IFERROR(SUMIFS('Daily Issuance'!$O$4:$O$991,'Daily Issuance'!$I$4:$I$991,$A35,'Daily Issuance'!$E$4:$E$991,"Inventory",'Daily Issuance'!$B$4:$B$991,"&gt;="&amp;DATE(2026,8,1),'Daily Issuance'!$B$4:$B$991,"&lt;"&amp;DATE(2026,9,1)),0)</f>
        <v>0</v>
      </c>
      <c r="R35" s="93">
        <f>IFERROR(SUMIFS('Daily Issuance'!$O$4:$O$991,'Daily Issuance'!$I$4:$I$991,$A35,'Daily Issuance'!$E$4:$E$991,"Non Inventory",'Daily Issuance'!$B$4:$B$991,"&gt;="&amp;DATE(2026,8,1),'Daily Issuance'!$B$4:$B$991,"&lt;"&amp;DATE(2026,9,1)),0)</f>
        <v>0</v>
      </c>
      <c r="S35" s="93">
        <f>IFERROR(SUMIFS('Daily Issuance'!$O$4:$O$991,'Daily Issuance'!$I$4:$I$991,$A35,'Daily Issuance'!$E$4:$E$991,"Services",'Daily Issuance'!$B$4:$B$991,"&gt;="&amp;DATE(2026,8,1),'Daily Issuance'!$B$4:$B$991,"&lt;"&amp;DATE(2026,9,1)),0)</f>
        <v>0</v>
      </c>
      <c r="T35" s="93">
        <f>IFERROR(SUMIFS('Daily Issuance'!$O:$O,'Daily Issuance'!$I:$I,$A35,'Daily Issuance'!$E:$E,"Patty Cash",'Daily Issuance'!$B:$B,"&gt;="&amp;DATE(2026,8,1),'Daily Issuance'!$B:$B,"&lt;"&amp;DATE(2026,9,1)),0)</f>
        <v>0</v>
      </c>
      <c r="U35" s="92">
        <f t="shared" si="4"/>
        <v>0</v>
      </c>
      <c r="V35" s="95">
        <f>IFERROR(SUMIFS('Daily Issuance'!$O$4:$O$991,'Daily Issuance'!$I$4:$I$991,$A35,'Daily Issuance'!$E$4:$E$991,"Inventory",'Daily Issuance'!$B$4:$B$991,"&gt;="&amp;DATE(2026,9,1),'Daily Issuance'!$B$4:$B$991,"&lt;"&amp;DATE(2026,10,1)),0)</f>
        <v>0</v>
      </c>
      <c r="W35" s="95">
        <f>IFERROR(SUMIFS('Daily Issuance'!$O$4:$O$991,'Daily Issuance'!$I$4:$I$991,$A35,'Daily Issuance'!$E$4:$E$991,"Non Inventory",'Daily Issuance'!$B$4:$B$991,"&gt;="&amp;DATE(2026,9,1),'Daily Issuance'!$B$4:$B$991,"&lt;"&amp;DATE(2026,10,1)),0)</f>
        <v>0</v>
      </c>
      <c r="X35" s="95">
        <f>IFERROR(SUMIFS('Daily Issuance'!$O$4:$O$991,'Daily Issuance'!$I$4:$I$991,$A35,'Daily Issuance'!$E$4:$E$991,"Services",'Daily Issuance'!$B$4:$B$991,"&gt;="&amp;DATE(2026,9,1),'Daily Issuance'!$B$4:$B$991,"&lt;"&amp;DATE(2026,10,1)),0)</f>
        <v>0</v>
      </c>
      <c r="Y35" s="95">
        <f>IFERROR(SUMIFS('Daily Issuance'!$O:$O,'Daily Issuance'!$I:$I,$A35,'Daily Issuance'!$E:$E,"Patty Cash",'Daily Issuance'!$B:$B,"&gt;="&amp;DATE(2026,9,1),'Daily Issuance'!$B:$B,"&lt;"&amp;DATE(2026,10,1)),0)</f>
        <v>0</v>
      </c>
      <c r="Z35" s="92">
        <f t="shared" si="5"/>
        <v>0</v>
      </c>
      <c r="AA35" s="93">
        <f>IFERROR(SUMIFS('Daily Issuance'!$O$4:$O$991,'Daily Issuance'!$I$4:$I$991,$A35,'Daily Issuance'!$E$4:$E$991,"Inventory",'Daily Issuance'!$B$4:$B$991,"&gt;="&amp;DATE(2026,10,1),'Daily Issuance'!$B$4:$B$991,"&lt;"&amp;DATE(2026,11,1)),0)</f>
        <v>0</v>
      </c>
      <c r="AB35" s="93">
        <f>IFERROR(SUMIFS('Daily Issuance'!$O$4:$O$991,'Daily Issuance'!$I$4:$I$991,$A35,'Daily Issuance'!$E$4:$E$991,"Non Inventory",'Daily Issuance'!$B$4:$B$991,"&gt;="&amp;DATE(2026,10,1),'Daily Issuance'!$B$4:$B$991,"&lt;"&amp;DATE(2026,11,1)),0)</f>
        <v>0</v>
      </c>
      <c r="AC35" s="93">
        <f>IFERROR(SUMIFS('Daily Issuance'!$O$4:$O$991,'Daily Issuance'!$I$4:$I$991,$A35,'Daily Issuance'!$E$4:$E$991,"Services",'Daily Issuance'!$B$4:$B$991,"&gt;="&amp;DATE(2026,10,1),'Daily Issuance'!$B$4:$B$991,"&lt;"&amp;DATE(2026,11,1)),0)</f>
        <v>0</v>
      </c>
      <c r="AD35" s="93">
        <f>IFERROR(SUMIFS('Daily Issuance'!$O:$O,'Daily Issuance'!$I:$I,$A35,'Daily Issuance'!$E:$E,"Patty Cash",'Daily Issuance'!$B:$B,"&gt;="&amp;DATE(2026,10,1),'Daily Issuance'!$B:$B,"&lt;"&amp;DATE(2026,11,1)),0)</f>
        <v>0</v>
      </c>
      <c r="AE35" s="92">
        <f t="shared" si="6"/>
        <v>0</v>
      </c>
      <c r="AF35" s="95">
        <f>IFERROR(SUMIFS('Daily Issuance'!$O$4:$O$991,'Daily Issuance'!$I$4:$I$991,$A35,'Daily Issuance'!$E$4:$E$991,"Inventory",'Daily Issuance'!$B$4:$B$991,"&gt;="&amp;DATE(2026,11,1),'Daily Issuance'!$B$4:$B$991,"&lt;"&amp;DATE(2026,12,1)),0)</f>
        <v>0</v>
      </c>
      <c r="AG35" s="95">
        <f>IFERROR(SUMIFS('Daily Issuance'!$O$4:$O$991,'Daily Issuance'!$I$4:$I$991,$A35,'Daily Issuance'!$E$4:$E$991,"Non Inventory",'Daily Issuance'!$B$4:$B$991,"&gt;="&amp;DATE(2026,11,1),'Daily Issuance'!$B$4:$B$991,"&lt;"&amp;DATE(2026,12,1)),0)</f>
        <v>0</v>
      </c>
      <c r="AH35" s="95">
        <f>IFERROR(SUMIFS('Daily Issuance'!$O$4:$O$991,'Daily Issuance'!$I$4:$I$991,$A35,'Daily Issuance'!$E$4:$E$991,"Services",'Daily Issuance'!$B$4:$B$991,"&gt;="&amp;DATE(2026,11,1),'Daily Issuance'!$B$4:$B$991,"&lt;"&amp;DATE(2026,12,1)),0)</f>
        <v>0</v>
      </c>
      <c r="AI35" s="95">
        <f>IFERROR(SUMIFS('Daily Issuance'!$O:$O,'Daily Issuance'!$I:$I,$A35,'Daily Issuance'!$E:$E,"Patty Cash",'Daily Issuance'!$B:$B,"&gt;="&amp;DATE(2026,11,1),'Daily Issuance'!$B:$B,"&lt;"&amp;DATE(2026,12,1)),0)</f>
        <v>0</v>
      </c>
      <c r="AJ35" s="92">
        <f t="shared" si="7"/>
        <v>0</v>
      </c>
      <c r="AK35" s="93">
        <f>IFERROR(SUMIFS('Daily Issuance'!$O$4:$O$991,'Daily Issuance'!$I$4:$I$991,$A35,'Daily Issuance'!$E$4:$E$991,"Inventory",'Daily Issuance'!$B$4:$B$991,"&gt;="&amp;DATE(2026,12,1),'Daily Issuance'!$B$4:$B$991,"&lt;"&amp;DATE(2027,1,1)),0)</f>
        <v>0</v>
      </c>
      <c r="AL35" s="93">
        <f>IFERROR(SUMIFS('Daily Issuance'!$O$4:$O$991,'Daily Issuance'!$I$4:$I$991,$A35,'Daily Issuance'!$E$4:$E$991,"Non Inventory",'Daily Issuance'!$B$4:$B$991,"&gt;="&amp;DATE(2026,12,1),'Daily Issuance'!$B$4:$B$991,"&lt;"&amp;DATE(2027,1,1)),0)</f>
        <v>0</v>
      </c>
      <c r="AM35" s="93">
        <f>IFERROR(SUMIFS('Daily Issuance'!$O$4:$O$991,'Daily Issuance'!$I$4:$I$991,$A35,'Daily Issuance'!$E$4:$E$991,"Services",'Daily Issuance'!$B$4:$B$991,"&gt;="&amp;DATE(2026,12,1),'Daily Issuance'!$B$4:$B$991,"&lt;"&amp;DATE(2027,1,1)),0)</f>
        <v>0</v>
      </c>
      <c r="AN35" s="93">
        <f>IFERROR(SUMIFS('Daily Issuance'!$O:$O,'Daily Issuance'!$I:$I,$A35,'Daily Issuance'!$E:$E,"Patty Cash",'Daily Issuance'!$B:$B,"&gt;="&amp;DATE(2026,12,1),'Daily Issuance'!$B:$B,"&lt;"&amp;DATE(2027,1,1)),0)</f>
        <v>0</v>
      </c>
      <c r="AO35" s="92">
        <f t="shared" si="8"/>
        <v>0</v>
      </c>
      <c r="AP35" s="103">
        <f t="shared" si="0"/>
        <v>2933</v>
      </c>
    </row>
    <row r="36" spans="1:42" ht="21" customHeight="1">
      <c r="A36" s="90" t="s">
        <v>1305</v>
      </c>
      <c r="B36" s="91">
        <f>IFERROR(SUMIFS('Daily Issuance'!$O:$O,'Daily Issuance'!$I:$I,$A36,'Daily Issuance'!$E:$E,"Inventory",'Daily Issuance'!$B:$B,"&gt;="&amp;DATE(2026,5,1),'Daily Issuance'!$B:$B,"&lt;"&amp;DATE(2026,6,1)),0)</f>
        <v>0</v>
      </c>
      <c r="C36" s="91">
        <f>IFERROR(SUMIFS('Daily Issuance'!$O:$O,'Daily Issuance'!$I:$I,$A36,'Daily Issuance'!$E:$E,"Non Inventory",'Daily Issuance'!$B:$B,"&gt;="&amp;DATE(2026,5,1),'Daily Issuance'!$B:$B,"&lt;"&amp;DATE(2026,6,1)),0)</f>
        <v>174</v>
      </c>
      <c r="D36" s="91">
        <f>IFERROR(SUMIFS('Daily Issuance'!$O:$O,'Daily Issuance'!$I:$I,$A36,'Daily Issuance'!$E:$E,"Services",'Daily Issuance'!$B:$B,"&gt;="&amp;DATE(2026,5,1),'Daily Issuance'!$B:$B,"&lt;"&amp;DATE(2026,6,1)),0)</f>
        <v>0</v>
      </c>
      <c r="E36" s="91">
        <f>IFERROR(SUMIFS('Daily Issuance'!$O:$O,'Daily Issuance'!$I:$I,$A36,'Daily Issuance'!$E:$E,"Patty Cash",'Daily Issuance'!$B:$B,"&gt;="&amp;DATE(2026,5,1),'Daily Issuance'!$B:$B,"&lt;"&amp;DATE(2026,6,1)),0)</f>
        <v>2455</v>
      </c>
      <c r="F36" s="92">
        <f t="shared" si="1"/>
        <v>2629</v>
      </c>
      <c r="G36" s="93">
        <f>IFERROR(SUMIFS('Daily Issuance'!$O$4:$O$991,'Daily Issuance'!$I$4:$I$991,$A36,'Daily Issuance'!$E$4:$E$991,"Inventory",'Daily Issuance'!$B$4:$B$991,"&gt;="&amp;DATE(2026,6,1),'Daily Issuance'!$B$4:$B$991,"&lt;"&amp;DATE(2026,7,1)),0)</f>
        <v>6656</v>
      </c>
      <c r="H36" s="93">
        <f>IFERROR(SUMIFS('Daily Issuance'!$O$4:$O$991,'Daily Issuance'!$I$4:$I$991,$A36,'Daily Issuance'!$E$4:$E$991,"Non Inventory",'Daily Issuance'!$B$4:$B$991,"&gt;="&amp;DATE(2026,6,1),'Daily Issuance'!$B$4:$B$991,"&lt;"&amp;DATE(2026,7,1)),0)</f>
        <v>61572</v>
      </c>
      <c r="I36" s="93">
        <f>IFERROR(SUMIFS('Daily Issuance'!$O$4:$O$991,'Daily Issuance'!$I$4:$I$991,$A36,'Daily Issuance'!$E$4:$E$991,"Services",'Daily Issuance'!$B$4:$B$991,"&gt;="&amp;DATE(2026,6,1),'Daily Issuance'!$B$4:$B$991,"&lt;"&amp;DATE(2026,7,1)),0)</f>
        <v>0</v>
      </c>
      <c r="J36" s="93">
        <f>IFERROR(SUMIFS('Daily Issuance'!$O:$O,'Daily Issuance'!$I:$I,$A36,'Daily Issuance'!$E:$E,"Patty Cash",'Daily Issuance'!$B:$B,"&gt;="&amp;DATE(2026,6,1),'Daily Issuance'!$B:$B,"&lt;"&amp;DATE(2026,7,1)),0)</f>
        <v>400</v>
      </c>
      <c r="K36" s="92">
        <f t="shared" si="2"/>
        <v>68628</v>
      </c>
      <c r="L36" s="94">
        <f>IFERROR(SUMIFS('Daily Issuance'!$O$4:$O$991,'Daily Issuance'!$I$4:$I$991,$A36,'Daily Issuance'!$E$4:$E$991,"Inventory",'Daily Issuance'!$B$4:$B$991,"&gt;="&amp;DATE(2026,7,1),'Daily Issuance'!$B$4:$B$991,"&lt;"&amp;DATE(2026,8,1)),0)</f>
        <v>0</v>
      </c>
      <c r="M36" s="95">
        <f>IFERROR(SUMIFS('Daily Issuance'!$O$4:$O$991,'Daily Issuance'!$I$4:$I$991,$A36,'Daily Issuance'!$E$4:$E$991,"Non Inventory",'Daily Issuance'!$B$4:$B$991,"&gt;="&amp;DATE(2026,7,1),'Daily Issuance'!$B$4:$B$991,"&lt;"&amp;DATE(2026,8,1)),0)</f>
        <v>0</v>
      </c>
      <c r="N36" s="95">
        <f>IFERROR(SUMIFS('Daily Issuance'!$O$4:$O$991,'Daily Issuance'!$I$4:$I$991,$A36,'Daily Issuance'!$E$4:$E$991,"Services",'Daily Issuance'!$B$4:$B$991,"&gt;="&amp;DATE(2026,7,1),'Daily Issuance'!$B$4:$B$991,"&lt;"&amp;DATE(2026,8,1)),0)</f>
        <v>0</v>
      </c>
      <c r="O36" s="95">
        <f>IFERROR(SUMIFS('Daily Issuance'!$O:$O,'Daily Issuance'!$I:$I,$A36,'Daily Issuance'!$E:$E,"Patty Cash",'Daily Issuance'!$B:$B,"&gt;="&amp;DATE(2026,7,1),'Daily Issuance'!$B:$B,"&lt;"&amp;DATE(2026,8,1)),0)</f>
        <v>0</v>
      </c>
      <c r="P36" s="92">
        <f t="shared" si="3"/>
        <v>0</v>
      </c>
      <c r="Q36" s="93">
        <f>IFERROR(SUMIFS('Daily Issuance'!$O$4:$O$991,'Daily Issuance'!$I$4:$I$991,$A36,'Daily Issuance'!$E$4:$E$991,"Inventory",'Daily Issuance'!$B$4:$B$991,"&gt;="&amp;DATE(2026,8,1),'Daily Issuance'!$B$4:$B$991,"&lt;"&amp;DATE(2026,9,1)),0)</f>
        <v>0</v>
      </c>
      <c r="R36" s="93">
        <f>IFERROR(SUMIFS('Daily Issuance'!$O$4:$O$991,'Daily Issuance'!$I$4:$I$991,$A36,'Daily Issuance'!$E$4:$E$991,"Non Inventory",'Daily Issuance'!$B$4:$B$991,"&gt;="&amp;DATE(2026,8,1),'Daily Issuance'!$B$4:$B$991,"&lt;"&amp;DATE(2026,9,1)),0)</f>
        <v>0</v>
      </c>
      <c r="S36" s="93">
        <f>IFERROR(SUMIFS('Daily Issuance'!$O$4:$O$991,'Daily Issuance'!$I$4:$I$991,$A36,'Daily Issuance'!$E$4:$E$991,"Services",'Daily Issuance'!$B$4:$B$991,"&gt;="&amp;DATE(2026,8,1),'Daily Issuance'!$B$4:$B$991,"&lt;"&amp;DATE(2026,9,1)),0)</f>
        <v>0</v>
      </c>
      <c r="T36" s="93">
        <f>IFERROR(SUMIFS('Daily Issuance'!$O:$O,'Daily Issuance'!$I:$I,$A36,'Daily Issuance'!$E:$E,"Patty Cash",'Daily Issuance'!$B:$B,"&gt;="&amp;DATE(2026,8,1),'Daily Issuance'!$B:$B,"&lt;"&amp;DATE(2026,9,1)),0)</f>
        <v>0</v>
      </c>
      <c r="U36" s="92">
        <f t="shared" si="4"/>
        <v>0</v>
      </c>
      <c r="V36" s="95">
        <f>IFERROR(SUMIFS('Daily Issuance'!$O$4:$O$991,'Daily Issuance'!$I$4:$I$991,$A36,'Daily Issuance'!$E$4:$E$991,"Inventory",'Daily Issuance'!$B$4:$B$991,"&gt;="&amp;DATE(2026,9,1),'Daily Issuance'!$B$4:$B$991,"&lt;"&amp;DATE(2026,10,1)),0)</f>
        <v>0</v>
      </c>
      <c r="W36" s="95">
        <f>IFERROR(SUMIFS('Daily Issuance'!$O$4:$O$991,'Daily Issuance'!$I$4:$I$991,$A36,'Daily Issuance'!$E$4:$E$991,"Non Inventory",'Daily Issuance'!$B$4:$B$991,"&gt;="&amp;DATE(2026,9,1),'Daily Issuance'!$B$4:$B$991,"&lt;"&amp;DATE(2026,10,1)),0)</f>
        <v>0</v>
      </c>
      <c r="X36" s="95">
        <f>IFERROR(SUMIFS('Daily Issuance'!$O$4:$O$991,'Daily Issuance'!$I$4:$I$991,$A36,'Daily Issuance'!$E$4:$E$991,"Services",'Daily Issuance'!$B$4:$B$991,"&gt;="&amp;DATE(2026,9,1),'Daily Issuance'!$B$4:$B$991,"&lt;"&amp;DATE(2026,10,1)),0)</f>
        <v>0</v>
      </c>
      <c r="Y36" s="95">
        <f>IFERROR(SUMIFS('Daily Issuance'!$O:$O,'Daily Issuance'!$I:$I,$A36,'Daily Issuance'!$E:$E,"Patty Cash",'Daily Issuance'!$B:$B,"&gt;="&amp;DATE(2026,9,1),'Daily Issuance'!$B:$B,"&lt;"&amp;DATE(2026,10,1)),0)</f>
        <v>0</v>
      </c>
      <c r="Z36" s="92">
        <f t="shared" si="5"/>
        <v>0</v>
      </c>
      <c r="AA36" s="93">
        <f>IFERROR(SUMIFS('Daily Issuance'!$O$4:$O$991,'Daily Issuance'!$I$4:$I$991,$A36,'Daily Issuance'!$E$4:$E$991,"Inventory",'Daily Issuance'!$B$4:$B$991,"&gt;="&amp;DATE(2026,10,1),'Daily Issuance'!$B$4:$B$991,"&lt;"&amp;DATE(2026,11,1)),0)</f>
        <v>0</v>
      </c>
      <c r="AB36" s="93">
        <f>IFERROR(SUMIFS('Daily Issuance'!$O$4:$O$991,'Daily Issuance'!$I$4:$I$991,$A36,'Daily Issuance'!$E$4:$E$991,"Non Inventory",'Daily Issuance'!$B$4:$B$991,"&gt;="&amp;DATE(2026,10,1),'Daily Issuance'!$B$4:$B$991,"&lt;"&amp;DATE(2026,11,1)),0)</f>
        <v>0</v>
      </c>
      <c r="AC36" s="93">
        <f>IFERROR(SUMIFS('Daily Issuance'!$O$4:$O$991,'Daily Issuance'!$I$4:$I$991,$A36,'Daily Issuance'!$E$4:$E$991,"Services",'Daily Issuance'!$B$4:$B$991,"&gt;="&amp;DATE(2026,10,1),'Daily Issuance'!$B$4:$B$991,"&lt;"&amp;DATE(2026,11,1)),0)</f>
        <v>0</v>
      </c>
      <c r="AD36" s="93">
        <f>IFERROR(SUMIFS('Daily Issuance'!$O:$O,'Daily Issuance'!$I:$I,$A36,'Daily Issuance'!$E:$E,"Patty Cash",'Daily Issuance'!$B:$B,"&gt;="&amp;DATE(2026,10,1),'Daily Issuance'!$B:$B,"&lt;"&amp;DATE(2026,11,1)),0)</f>
        <v>0</v>
      </c>
      <c r="AE36" s="92">
        <f t="shared" si="6"/>
        <v>0</v>
      </c>
      <c r="AF36" s="95">
        <f>IFERROR(SUMIFS('Daily Issuance'!$O$4:$O$991,'Daily Issuance'!$I$4:$I$991,$A36,'Daily Issuance'!$E$4:$E$991,"Inventory",'Daily Issuance'!$B$4:$B$991,"&gt;="&amp;DATE(2026,11,1),'Daily Issuance'!$B$4:$B$991,"&lt;"&amp;DATE(2026,12,1)),0)</f>
        <v>0</v>
      </c>
      <c r="AG36" s="95">
        <f>IFERROR(SUMIFS('Daily Issuance'!$O$4:$O$991,'Daily Issuance'!$I$4:$I$991,$A36,'Daily Issuance'!$E$4:$E$991,"Non Inventory",'Daily Issuance'!$B$4:$B$991,"&gt;="&amp;DATE(2026,11,1),'Daily Issuance'!$B$4:$B$991,"&lt;"&amp;DATE(2026,12,1)),0)</f>
        <v>0</v>
      </c>
      <c r="AH36" s="95">
        <f>IFERROR(SUMIFS('Daily Issuance'!$O$4:$O$991,'Daily Issuance'!$I$4:$I$991,$A36,'Daily Issuance'!$E$4:$E$991,"Services",'Daily Issuance'!$B$4:$B$991,"&gt;="&amp;DATE(2026,11,1),'Daily Issuance'!$B$4:$B$991,"&lt;"&amp;DATE(2026,12,1)),0)</f>
        <v>0</v>
      </c>
      <c r="AI36" s="95">
        <f>IFERROR(SUMIFS('Daily Issuance'!$O:$O,'Daily Issuance'!$I:$I,$A36,'Daily Issuance'!$E:$E,"Patty Cash",'Daily Issuance'!$B:$B,"&gt;="&amp;DATE(2026,11,1),'Daily Issuance'!$B:$B,"&lt;"&amp;DATE(2026,12,1)),0)</f>
        <v>0</v>
      </c>
      <c r="AJ36" s="92">
        <f t="shared" si="7"/>
        <v>0</v>
      </c>
      <c r="AK36" s="93">
        <f>IFERROR(SUMIFS('Daily Issuance'!$O$4:$O$991,'Daily Issuance'!$I$4:$I$991,$A36,'Daily Issuance'!$E$4:$E$991,"Inventory",'Daily Issuance'!$B$4:$B$991,"&gt;="&amp;DATE(2026,12,1),'Daily Issuance'!$B$4:$B$991,"&lt;"&amp;DATE(2027,1,1)),0)</f>
        <v>0</v>
      </c>
      <c r="AL36" s="93">
        <f>IFERROR(SUMIFS('Daily Issuance'!$O$4:$O$991,'Daily Issuance'!$I$4:$I$991,$A36,'Daily Issuance'!$E$4:$E$991,"Non Inventory",'Daily Issuance'!$B$4:$B$991,"&gt;="&amp;DATE(2026,12,1),'Daily Issuance'!$B$4:$B$991,"&lt;"&amp;DATE(2027,1,1)),0)</f>
        <v>0</v>
      </c>
      <c r="AM36" s="93">
        <f>IFERROR(SUMIFS('Daily Issuance'!$O$4:$O$991,'Daily Issuance'!$I$4:$I$991,$A36,'Daily Issuance'!$E$4:$E$991,"Services",'Daily Issuance'!$B$4:$B$991,"&gt;="&amp;DATE(2026,12,1),'Daily Issuance'!$B$4:$B$991,"&lt;"&amp;DATE(2027,1,1)),0)</f>
        <v>0</v>
      </c>
      <c r="AN36" s="93">
        <f>IFERROR(SUMIFS('Daily Issuance'!$O:$O,'Daily Issuance'!$I:$I,$A36,'Daily Issuance'!$E:$E,"Patty Cash",'Daily Issuance'!$B:$B,"&gt;="&amp;DATE(2026,12,1),'Daily Issuance'!$B:$B,"&lt;"&amp;DATE(2027,1,1)),0)</f>
        <v>0</v>
      </c>
      <c r="AO36" s="92">
        <f t="shared" si="8"/>
        <v>0</v>
      </c>
      <c r="AP36" s="103">
        <f t="shared" si="0"/>
        <v>71257</v>
      </c>
    </row>
    <row r="37" spans="1:42" s="3" customFormat="1" ht="21" customHeight="1">
      <c r="A37" s="90" t="s">
        <v>1395</v>
      </c>
      <c r="B37" s="91">
        <f>IFERROR(SUMIFS('Daily Issuance'!$O:$O,'Daily Issuance'!$I:$I,$A37,'Daily Issuance'!$E:$E,"Inventory",'Daily Issuance'!$B:$B,"&gt;="&amp;DATE(2026,5,1),'Daily Issuance'!$B:$B,"&lt;"&amp;DATE(2026,6,1)),0)</f>
        <v>0</v>
      </c>
      <c r="C37" s="91">
        <f>IFERROR(SUMIFS('Daily Issuance'!$O:$O,'Daily Issuance'!$I:$I,$A37,'Daily Issuance'!$E:$E,"Non Inventory",'Daily Issuance'!$B:$B,"&gt;="&amp;DATE(2026,5,1),'Daily Issuance'!$B:$B,"&lt;"&amp;DATE(2026,6,1)),0)</f>
        <v>2085</v>
      </c>
      <c r="D37" s="91">
        <f>IFERROR(SUMIFS('Daily Issuance'!$O:$O,'Daily Issuance'!$I:$I,$A37,'Daily Issuance'!$E:$E,"Services",'Daily Issuance'!$B:$B,"&gt;="&amp;DATE(2026,5,1),'Daily Issuance'!$B:$B,"&lt;"&amp;DATE(2026,6,1)),0)</f>
        <v>0</v>
      </c>
      <c r="E37" s="91">
        <f>IFERROR(SUMIFS('Daily Issuance'!$O:$O,'Daily Issuance'!$I:$I,$A37,'Daily Issuance'!$E:$E,"Patty Cash",'Daily Issuance'!$B:$B,"&gt;="&amp;DATE(2026,5,1),'Daily Issuance'!$B:$B,"&lt;"&amp;DATE(2026,6,1)),0)</f>
        <v>0</v>
      </c>
      <c r="F37" s="92">
        <f t="shared" si="1"/>
        <v>2085</v>
      </c>
      <c r="G37" s="93">
        <f>IFERROR(SUMIFS('Daily Issuance'!$O$4:$O$991,'Daily Issuance'!$I$4:$I$991,$A37,'Daily Issuance'!$E$4:$E$991,"Inventory",'Daily Issuance'!$B$4:$B$991,"&gt;="&amp;DATE(2026,6,1),'Daily Issuance'!$B$4:$B$991,"&lt;"&amp;DATE(2026,7,1)),0)</f>
        <v>3100</v>
      </c>
      <c r="H37" s="93">
        <f>IFERROR(SUMIFS('Daily Issuance'!$O$4:$O$991,'Daily Issuance'!$I$4:$I$991,$A37,'Daily Issuance'!$E$4:$E$991,"Non Inventory",'Daily Issuance'!$B$4:$B$991,"&gt;="&amp;DATE(2026,6,1),'Daily Issuance'!$B$4:$B$991,"&lt;"&amp;DATE(2026,7,1)),0)</f>
        <v>150237</v>
      </c>
      <c r="I37" s="93">
        <f>IFERROR(SUMIFS('Daily Issuance'!$O$4:$O$991,'Daily Issuance'!$I$4:$I$991,$A37,'Daily Issuance'!$E$4:$E$991,"Services",'Daily Issuance'!$B$4:$B$991,"&gt;="&amp;DATE(2026,6,1),'Daily Issuance'!$B$4:$B$991,"&lt;"&amp;DATE(2026,7,1)),0)</f>
        <v>0</v>
      </c>
      <c r="J37" s="93">
        <f>IFERROR(SUMIFS('Daily Issuance'!$O:$O,'Daily Issuance'!$I:$I,$A37,'Daily Issuance'!$E:$E,"Patty Cash",'Daily Issuance'!$B:$B,"&gt;="&amp;DATE(2026,6,1),'Daily Issuance'!$B:$B,"&lt;"&amp;DATE(2026,7,1)),0)</f>
        <v>0</v>
      </c>
      <c r="K37" s="92">
        <f>SUM(G37:J37)</f>
        <v>153337</v>
      </c>
      <c r="L37" s="94"/>
      <c r="M37" s="95"/>
      <c r="N37" s="95"/>
      <c r="O37" s="95"/>
      <c r="P37" s="92">
        <f>SUM(L37:O37)</f>
        <v>0</v>
      </c>
      <c r="Q37" s="93"/>
      <c r="R37" s="93"/>
      <c r="S37" s="93"/>
      <c r="T37" s="93"/>
      <c r="U37" s="92">
        <f>SUM(Q37:T37)</f>
        <v>0</v>
      </c>
      <c r="V37" s="95"/>
      <c r="W37" s="95"/>
      <c r="X37" s="95"/>
      <c r="Y37" s="95"/>
      <c r="Z37" s="92">
        <f>SUM(V37:Y37)</f>
        <v>0</v>
      </c>
      <c r="AA37" s="93"/>
      <c r="AB37" s="93"/>
      <c r="AC37" s="93"/>
      <c r="AD37" s="93"/>
      <c r="AE37" s="92">
        <f>SUM(AA37:AD37)</f>
        <v>0</v>
      </c>
      <c r="AF37" s="95"/>
      <c r="AG37" s="95"/>
      <c r="AH37" s="95"/>
      <c r="AI37" s="95"/>
      <c r="AJ37" s="92">
        <f>SUM(AF37:AI37)</f>
        <v>0</v>
      </c>
      <c r="AK37" s="93"/>
      <c r="AL37" s="93"/>
      <c r="AM37" s="93"/>
      <c r="AN37" s="93"/>
      <c r="AO37" s="92">
        <f>SUM(AK37:AN37)</f>
        <v>0</v>
      </c>
      <c r="AP37" s="103">
        <f t="shared" si="0"/>
        <v>155422</v>
      </c>
    </row>
    <row r="38" spans="1:42" s="3" customFormat="1" ht="21" customHeight="1">
      <c r="A38" s="90" t="s">
        <v>1320</v>
      </c>
      <c r="B38" s="91">
        <f>IFERROR(SUMIFS('Daily Issuance'!$O:$O,'Daily Issuance'!$I:$I,$A38,'Daily Issuance'!$E:$E,"Inventory",'Daily Issuance'!$B:$B,"&gt;="&amp;DATE(2026,5,1),'Daily Issuance'!$B:$B,"&lt;"&amp;DATE(2026,6,1)),0)</f>
        <v>0</v>
      </c>
      <c r="C38" s="91">
        <f>IFERROR(SUMIFS('Daily Issuance'!$O:$O,'Daily Issuance'!$I:$I,$A38,'Daily Issuance'!$E:$E,"Non Inventory",'Daily Issuance'!$B:$B,"&gt;="&amp;DATE(2026,5,1),'Daily Issuance'!$B:$B,"&lt;"&amp;DATE(2026,6,1)),0)</f>
        <v>0</v>
      </c>
      <c r="D38" s="91">
        <f>IFERROR(SUMIFS('Daily Issuance'!$O:$O,'Daily Issuance'!$I:$I,$A38,'Daily Issuance'!$E:$E,"Services",'Daily Issuance'!$B:$B,"&gt;="&amp;DATE(2026,5,1),'Daily Issuance'!$B:$B,"&lt;"&amp;DATE(2026,6,1)),0)</f>
        <v>220000</v>
      </c>
      <c r="E38" s="91">
        <f>IFERROR(SUMIFS('Daily Issuance'!$O:$O,'Daily Issuance'!$I:$I,$A38,'Daily Issuance'!$E:$E,"Patty Cash",'Daily Issuance'!$B:$B,"&gt;="&amp;DATE(2026,5,1),'Daily Issuance'!$B:$B,"&lt;"&amp;DATE(2026,6,1)),0)</f>
        <v>0</v>
      </c>
      <c r="F38" s="92">
        <f t="shared" si="1"/>
        <v>220000</v>
      </c>
      <c r="G38" s="93">
        <f>IFERROR(SUMIFS('Daily Issuance'!$O$4:$O$991,'Daily Issuance'!$I$4:$I$991,$A38,'Daily Issuance'!$E$4:$E$991,"Inventory",'Daily Issuance'!$B$4:$B$991,"&gt;="&amp;DATE(2026,6,1),'Daily Issuance'!$B$4:$B$991,"&lt;"&amp;DATE(2026,7,1)),0)</f>
        <v>0</v>
      </c>
      <c r="H38" s="93">
        <f>IFERROR(SUMIFS('Daily Issuance'!$O$4:$O$991,'Daily Issuance'!$I$4:$I$991,$A38,'Daily Issuance'!$E$4:$E$991,"Non Inventory",'Daily Issuance'!$B$4:$B$991,"&gt;="&amp;DATE(2026,6,1),'Daily Issuance'!$B$4:$B$991,"&lt;"&amp;DATE(2026,7,1)),0)</f>
        <v>0</v>
      </c>
      <c r="I38" s="93">
        <f>IFERROR(SUMIFS('Daily Issuance'!$O$4:$O$991,'Daily Issuance'!$I$4:$I$991,$A38,'Daily Issuance'!$E$4:$E$991,"Services",'Daily Issuance'!$B$4:$B$991,"&gt;="&amp;DATE(2026,6,1),'Daily Issuance'!$B$4:$B$991,"&lt;"&amp;DATE(2026,7,1)),0)</f>
        <v>220000</v>
      </c>
      <c r="J38" s="93">
        <f>IFERROR(SUMIFS('Daily Issuance'!$O:$O,'Daily Issuance'!$I:$I,$A38,'Daily Issuance'!$E:$E,"Patty Cash",'Daily Issuance'!$B:$B,"&gt;="&amp;DATE(2026,6,1),'Daily Issuance'!$B:$B,"&lt;"&amp;DATE(2026,7,1)),0)</f>
        <v>0</v>
      </c>
      <c r="K38" s="92">
        <f t="shared" si="2"/>
        <v>220000</v>
      </c>
      <c r="L38" s="94"/>
      <c r="M38" s="95"/>
      <c r="N38" s="95">
        <f>IFERROR(SUMIFS('Daily Issuance'!$O$4:$O$991,'Daily Issuance'!$I$4:$I$991,$A38,'Daily Issuance'!$E$4:$E$991,"Services",'Daily Issuance'!$B$4:$B$991,"&gt;="&amp;DATE(2026,7,1),'Daily Issuance'!$B$4:$B$991,"&lt;"&amp;DATE(2026,8,1)),0)</f>
        <v>0</v>
      </c>
      <c r="O38" s="95">
        <f>IFERROR(SUMIFS('Daily Issuance'!$O:$O,'Daily Issuance'!$I:$I,$A38,'Daily Issuance'!$E:$E,"Patty Cash",'Daily Issuance'!$B:$B,"&gt;="&amp;DATE(2026,7,1),'Daily Issuance'!$B:$B,"&lt;"&amp;DATE(2026,8,1)),0)</f>
        <v>0</v>
      </c>
      <c r="P38" s="92">
        <f t="shared" si="3"/>
        <v>0</v>
      </c>
      <c r="Q38" s="93"/>
      <c r="R38" s="93"/>
      <c r="S38" s="93">
        <f>IFERROR(SUMIFS('Daily Issuance'!$O$4:$O$991,'Daily Issuance'!$I$4:$I$991,$A38,'Daily Issuance'!$E$4:$E$991,"Services",'Daily Issuance'!$B$4:$B$991,"&gt;="&amp;DATE(2026,8,1),'Daily Issuance'!$B$4:$B$991,"&lt;"&amp;DATE(2026,9,1)),0)</f>
        <v>0</v>
      </c>
      <c r="T38" s="93">
        <f>IFERROR(SUMIFS('Daily Issuance'!$O:$O,'Daily Issuance'!$I:$I,$A38,'Daily Issuance'!$E:$E,"Patty Cash",'Daily Issuance'!$B:$B,"&gt;="&amp;DATE(2026,8,1),'Daily Issuance'!$B:$B,"&lt;"&amp;DATE(2026,9,1)),0)</f>
        <v>0</v>
      </c>
      <c r="U38" s="92">
        <f t="shared" si="4"/>
        <v>0</v>
      </c>
      <c r="V38" s="95"/>
      <c r="W38" s="95"/>
      <c r="X38" s="95">
        <f>IFERROR(SUMIFS('Daily Issuance'!$O$4:$O$991,'Daily Issuance'!$I$4:$I$991,$A38,'Daily Issuance'!$E$4:$E$991,"Services",'Daily Issuance'!$B$4:$B$991,"&gt;="&amp;DATE(2026,9,1),'Daily Issuance'!$B$4:$B$991,"&lt;"&amp;DATE(2026,10,1)),0)</f>
        <v>0</v>
      </c>
      <c r="Y38" s="95">
        <f>IFERROR(SUMIFS('Daily Issuance'!$O:$O,'Daily Issuance'!$I:$I,$A38,'Daily Issuance'!$E:$E,"Patty Cash",'Daily Issuance'!$B:$B,"&gt;="&amp;DATE(2026,9,1),'Daily Issuance'!$B:$B,"&lt;"&amp;DATE(2026,10,1)),0)</f>
        <v>0</v>
      </c>
      <c r="Z38" s="92">
        <f t="shared" si="5"/>
        <v>0</v>
      </c>
      <c r="AA38" s="93"/>
      <c r="AB38" s="93"/>
      <c r="AC38" s="93">
        <f>IFERROR(SUMIFS('Daily Issuance'!$O$4:$O$991,'Daily Issuance'!$I$4:$I$991,$A38,'Daily Issuance'!$E$4:$E$991,"Services",'Daily Issuance'!$B$4:$B$991,"&gt;="&amp;DATE(2026,10,1),'Daily Issuance'!$B$4:$B$991,"&lt;"&amp;DATE(2026,11,1)),0)</f>
        <v>0</v>
      </c>
      <c r="AD38" s="93">
        <f>IFERROR(SUMIFS('Daily Issuance'!$O:$O,'Daily Issuance'!$I:$I,$A38,'Daily Issuance'!$E:$E,"Patty Cash",'Daily Issuance'!$B:$B,"&gt;="&amp;DATE(2026,10,1),'Daily Issuance'!$B:$B,"&lt;"&amp;DATE(2026,11,1)),0)</f>
        <v>0</v>
      </c>
      <c r="AE38" s="92">
        <f t="shared" si="6"/>
        <v>0</v>
      </c>
      <c r="AF38" s="95"/>
      <c r="AG38" s="95"/>
      <c r="AH38" s="95">
        <f>IFERROR(SUMIFS('Daily Issuance'!$O$4:$O$991,'Daily Issuance'!$I$4:$I$991,$A38,'Daily Issuance'!$E$4:$E$991,"Services",'Daily Issuance'!$B$4:$B$991,"&gt;="&amp;DATE(2026,11,1),'Daily Issuance'!$B$4:$B$991,"&lt;"&amp;DATE(2026,12,1)),0)</f>
        <v>0</v>
      </c>
      <c r="AI38" s="95">
        <f>IFERROR(SUMIFS('Daily Issuance'!$O:$O,'Daily Issuance'!$I:$I,$A38,'Daily Issuance'!$E:$E,"Patty Cash",'Daily Issuance'!$B:$B,"&gt;="&amp;DATE(2026,11,1),'Daily Issuance'!$B:$B,"&lt;"&amp;DATE(2026,12,1)),0)</f>
        <v>0</v>
      </c>
      <c r="AJ38" s="92">
        <f t="shared" si="7"/>
        <v>0</v>
      </c>
      <c r="AK38" s="93"/>
      <c r="AL38" s="93"/>
      <c r="AM38" s="93">
        <f>IFERROR(SUMIFS('Daily Issuance'!$O$4:$O$991,'Daily Issuance'!$I$4:$I$991,$A38,'Daily Issuance'!$E$4:$E$991,"Services",'Daily Issuance'!$B$4:$B$991,"&gt;="&amp;DATE(2026,12,1),'Daily Issuance'!$B$4:$B$991,"&lt;"&amp;DATE(2027,1,1)),0)</f>
        <v>0</v>
      </c>
      <c r="AN38" s="93">
        <f>IFERROR(SUMIFS('Daily Issuance'!$O:$O,'Daily Issuance'!$I:$I,$A38,'Daily Issuance'!$E:$E,"Patty Cash",'Daily Issuance'!$B:$B,"&gt;="&amp;DATE(2026,12,1),'Daily Issuance'!$B:$B,"&lt;"&amp;DATE(2027,1,1)),0)</f>
        <v>0</v>
      </c>
      <c r="AO38" s="92">
        <f t="shared" si="8"/>
        <v>0</v>
      </c>
      <c r="AP38" s="103">
        <f t="shared" si="0"/>
        <v>440000</v>
      </c>
    </row>
    <row r="39" spans="1:42" s="3" customFormat="1" ht="21" customHeight="1">
      <c r="A39" s="90" t="s">
        <v>1309</v>
      </c>
      <c r="B39" s="91">
        <f>IFERROR(SUMIFS('Daily Issuance'!$O:$O,'Daily Issuance'!$I:$I,$A39,'Daily Issuance'!$E:$E,"Inventory",'Daily Issuance'!$B:$B,"&gt;="&amp;DATE(2026,5,1),'Daily Issuance'!$B:$B,"&lt;"&amp;DATE(2026,6,1)),0)</f>
        <v>0</v>
      </c>
      <c r="C39" s="91">
        <f>IFERROR(SUMIFS('Daily Issuance'!$O:$O,'Daily Issuance'!$I:$I,$A39,'Daily Issuance'!$E:$E,"Non Inventory",'Daily Issuance'!$B:$B,"&gt;="&amp;DATE(2026,5,1),'Daily Issuance'!$B:$B,"&lt;"&amp;DATE(2026,6,1)),0)</f>
        <v>0</v>
      </c>
      <c r="D39" s="91">
        <f>IFERROR(SUMIFS('Daily Issuance'!$O:$O,'Daily Issuance'!$I:$I,$A39,'Daily Issuance'!$E:$E,"Services",'Daily Issuance'!$B:$B,"&gt;="&amp;DATE(2026,5,1),'Daily Issuance'!$B:$B,"&lt;"&amp;DATE(2026,6,1)),0)</f>
        <v>160000</v>
      </c>
      <c r="E39" s="91">
        <f>IFERROR(SUMIFS('Daily Issuance'!$O:$O,'Daily Issuance'!$I:$I,$A39,'Daily Issuance'!$E:$E,"Patty Cash",'Daily Issuance'!$B:$B,"&gt;="&amp;DATE(2026,5,1),'Daily Issuance'!$B:$B,"&lt;"&amp;DATE(2026,6,1)),0)</f>
        <v>510</v>
      </c>
      <c r="F39" s="92">
        <f t="shared" si="1"/>
        <v>160510</v>
      </c>
      <c r="G39" s="93">
        <f>IFERROR(SUMIFS('Daily Issuance'!$O$4:$O$991,'Daily Issuance'!$I$4:$I$991,$A39,'Daily Issuance'!$E$4:$E$991,"Inventory",'Daily Issuance'!$B$4:$B$991,"&gt;="&amp;DATE(2026,6,1),'Daily Issuance'!$B$4:$B$991,"&lt;"&amp;DATE(2026,7,1)),0)</f>
        <v>0</v>
      </c>
      <c r="H39" s="93">
        <f>IFERROR(SUMIFS('Daily Issuance'!$O$4:$O$991,'Daily Issuance'!$I$4:$I$991,$A39,'Daily Issuance'!$E$4:$E$991,"Non Inventory",'Daily Issuance'!$B$4:$B$991,"&gt;="&amp;DATE(2026,6,1),'Daily Issuance'!$B$4:$B$991,"&lt;"&amp;DATE(2026,7,1)),0)</f>
        <v>0</v>
      </c>
      <c r="I39" s="93">
        <f>IFERROR(SUMIFS('Daily Issuance'!$O$4:$O$991,'Daily Issuance'!$I$4:$I$991,$A39,'Daily Issuance'!$E$4:$E$991,"Services",'Daily Issuance'!$B$4:$B$991,"&gt;="&amp;DATE(2026,6,1),'Daily Issuance'!$B$4:$B$991,"&lt;"&amp;DATE(2026,7,1)),0)</f>
        <v>160000</v>
      </c>
      <c r="J39" s="93">
        <f>IFERROR(SUMIFS('Daily Issuance'!$O:$O,'Daily Issuance'!$I:$I,$A39,'Daily Issuance'!$E:$E,"Patty Cash",'Daily Issuance'!$B:$B,"&gt;="&amp;DATE(2026,6,1),'Daily Issuance'!$B:$B,"&lt;"&amp;DATE(2026,7,1)),0)</f>
        <v>0</v>
      </c>
      <c r="K39" s="92">
        <f t="shared" si="2"/>
        <v>160000</v>
      </c>
      <c r="L39" s="94">
        <f>IFERROR(SUMIFS('Daily Issuance'!$O$4:$O$991,'Daily Issuance'!$I$4:$I$991,$A39,'Daily Issuance'!$E$4:$E$991,"Inventory",'Daily Issuance'!$B$4:$B$991,"&gt;="&amp;DATE(2026,7,1),'Daily Issuance'!$B$4:$B$991,"&lt;"&amp;DATE(2026,8,1)),0)</f>
        <v>0</v>
      </c>
      <c r="M39" s="95">
        <f>IFERROR(SUMIFS('Daily Issuance'!$O$4:$O$991,'Daily Issuance'!$I$4:$I$991,$A39,'Daily Issuance'!$E$4:$E$991,"Non Inventory",'Daily Issuance'!$B$4:$B$991,"&gt;="&amp;DATE(2026,7,1),'Daily Issuance'!$B$4:$B$991,"&lt;"&amp;DATE(2026,8,1)),0)</f>
        <v>0</v>
      </c>
      <c r="N39" s="95">
        <f>IFERROR(SUMIFS('Daily Issuance'!$O$4:$O$991,'Daily Issuance'!$I$4:$I$991,$A39,'Daily Issuance'!$E$4:$E$991,"Services",'Daily Issuance'!$B$4:$B$991,"&gt;="&amp;DATE(2026,7,1),'Daily Issuance'!$B$4:$B$991,"&lt;"&amp;DATE(2026,8,1)),0)</f>
        <v>0</v>
      </c>
      <c r="O39" s="95">
        <f>IFERROR(SUMIFS('Daily Issuance'!$O:$O,'Daily Issuance'!$I:$I,$A39,'Daily Issuance'!$E:$E,"Patty Cash",'Daily Issuance'!$B:$B,"&gt;="&amp;DATE(2026,7,1),'Daily Issuance'!$B:$B,"&lt;"&amp;DATE(2026,8,1)),0)</f>
        <v>0</v>
      </c>
      <c r="P39" s="92">
        <f t="shared" si="3"/>
        <v>0</v>
      </c>
      <c r="Q39" s="93">
        <f>IFERROR(SUMIFS('Daily Issuance'!$O$4:$O$991,'Daily Issuance'!$I$4:$I$991,$A39,'Daily Issuance'!$E$4:$E$991,"Inventory",'Daily Issuance'!$B$4:$B$991,"&gt;="&amp;DATE(2026,8,1),'Daily Issuance'!$B$4:$B$991,"&lt;"&amp;DATE(2026,9,1)),0)</f>
        <v>0</v>
      </c>
      <c r="R39" s="93">
        <f>IFERROR(SUMIFS('Daily Issuance'!$O$4:$O$991,'Daily Issuance'!$I$4:$I$991,$A39,'Daily Issuance'!$E$4:$E$991,"Non Inventory",'Daily Issuance'!$B$4:$B$991,"&gt;="&amp;DATE(2026,8,1),'Daily Issuance'!$B$4:$B$991,"&lt;"&amp;DATE(2026,9,1)),0)</f>
        <v>0</v>
      </c>
      <c r="S39" s="93">
        <f>IFERROR(SUMIFS('Daily Issuance'!$O$4:$O$991,'Daily Issuance'!$I$4:$I$991,$A39,'Daily Issuance'!$E$4:$E$991,"Services",'Daily Issuance'!$B$4:$B$991,"&gt;="&amp;DATE(2026,8,1),'Daily Issuance'!$B$4:$B$991,"&lt;"&amp;DATE(2026,9,1)),0)</f>
        <v>0</v>
      </c>
      <c r="T39" s="93">
        <f>IFERROR(SUMIFS('Daily Issuance'!$O:$O,'Daily Issuance'!$I:$I,$A39,'Daily Issuance'!$E:$E,"Patty Cash",'Daily Issuance'!$B:$B,"&gt;="&amp;DATE(2026,8,1),'Daily Issuance'!$B:$B,"&lt;"&amp;DATE(2026,9,1)),0)</f>
        <v>0</v>
      </c>
      <c r="U39" s="92">
        <f t="shared" si="4"/>
        <v>0</v>
      </c>
      <c r="V39" s="95">
        <f>IFERROR(SUMIFS('Daily Issuance'!$O$4:$O$991,'Daily Issuance'!$I$4:$I$991,$A39,'Daily Issuance'!$E$4:$E$991,"Inventory",'Daily Issuance'!$B$4:$B$991,"&gt;="&amp;DATE(2026,9,1),'Daily Issuance'!$B$4:$B$991,"&lt;"&amp;DATE(2026,10,1)),0)</f>
        <v>0</v>
      </c>
      <c r="W39" s="95">
        <f>IFERROR(SUMIFS('Daily Issuance'!$O$4:$O$991,'Daily Issuance'!$I$4:$I$991,$A39,'Daily Issuance'!$E$4:$E$991,"Non Inventory",'Daily Issuance'!$B$4:$B$991,"&gt;="&amp;DATE(2026,9,1),'Daily Issuance'!$B$4:$B$991,"&lt;"&amp;DATE(2026,10,1)),0)</f>
        <v>0</v>
      </c>
      <c r="X39" s="95">
        <f>IFERROR(SUMIFS('Daily Issuance'!$O$4:$O$991,'Daily Issuance'!$I$4:$I$991,$A39,'Daily Issuance'!$E$4:$E$991,"Services",'Daily Issuance'!$B$4:$B$991,"&gt;="&amp;DATE(2026,9,1),'Daily Issuance'!$B$4:$B$991,"&lt;"&amp;DATE(2026,10,1)),0)</f>
        <v>0</v>
      </c>
      <c r="Y39" s="95">
        <f>IFERROR(SUMIFS('Daily Issuance'!$O:$O,'Daily Issuance'!$I:$I,$A39,'Daily Issuance'!$E:$E,"Patty Cash",'Daily Issuance'!$B:$B,"&gt;="&amp;DATE(2026,9,1),'Daily Issuance'!$B:$B,"&lt;"&amp;DATE(2026,10,1)),0)</f>
        <v>0</v>
      </c>
      <c r="Z39" s="92">
        <f t="shared" si="5"/>
        <v>0</v>
      </c>
      <c r="AA39" s="93">
        <f>IFERROR(SUMIFS('Daily Issuance'!$O$4:$O$991,'Daily Issuance'!$I$4:$I$991,$A39,'Daily Issuance'!$E$4:$E$991,"Inventory",'Daily Issuance'!$B$4:$B$991,"&gt;="&amp;DATE(2026,10,1),'Daily Issuance'!$B$4:$B$991,"&lt;"&amp;DATE(2026,11,1)),0)</f>
        <v>0</v>
      </c>
      <c r="AB39" s="93">
        <f>IFERROR(SUMIFS('Daily Issuance'!$O$4:$O$991,'Daily Issuance'!$I$4:$I$991,$A39,'Daily Issuance'!$E$4:$E$991,"Non Inventory",'Daily Issuance'!$B$4:$B$991,"&gt;="&amp;DATE(2026,10,1),'Daily Issuance'!$B$4:$B$991,"&lt;"&amp;DATE(2026,11,1)),0)</f>
        <v>0</v>
      </c>
      <c r="AC39" s="93">
        <f>IFERROR(SUMIFS('Daily Issuance'!$O$4:$O$991,'Daily Issuance'!$I$4:$I$991,$A39,'Daily Issuance'!$E$4:$E$991,"Services",'Daily Issuance'!$B$4:$B$991,"&gt;="&amp;DATE(2026,10,1),'Daily Issuance'!$B$4:$B$991,"&lt;"&amp;DATE(2026,11,1)),0)</f>
        <v>0</v>
      </c>
      <c r="AD39" s="93">
        <f>IFERROR(SUMIFS('Daily Issuance'!$O:$O,'Daily Issuance'!$I:$I,$A39,'Daily Issuance'!$E:$E,"Patty Cash",'Daily Issuance'!$B:$B,"&gt;="&amp;DATE(2026,10,1),'Daily Issuance'!$B:$B,"&lt;"&amp;DATE(2026,11,1)),0)</f>
        <v>0</v>
      </c>
      <c r="AE39" s="92">
        <f t="shared" si="6"/>
        <v>0</v>
      </c>
      <c r="AF39" s="95">
        <f>IFERROR(SUMIFS('Daily Issuance'!$O$4:$O$991,'Daily Issuance'!$I$4:$I$991,$A39,'Daily Issuance'!$E$4:$E$991,"Inventory",'Daily Issuance'!$B$4:$B$991,"&gt;="&amp;DATE(2026,11,1),'Daily Issuance'!$B$4:$B$991,"&lt;"&amp;DATE(2026,12,1)),0)</f>
        <v>0</v>
      </c>
      <c r="AG39" s="95">
        <f>IFERROR(SUMIFS('Daily Issuance'!$O$4:$O$991,'Daily Issuance'!$I$4:$I$991,$A39,'Daily Issuance'!$E$4:$E$991,"Non Inventory",'Daily Issuance'!$B$4:$B$991,"&gt;="&amp;DATE(2026,11,1),'Daily Issuance'!$B$4:$B$991,"&lt;"&amp;DATE(2026,12,1)),0)</f>
        <v>0</v>
      </c>
      <c r="AH39" s="95">
        <f>IFERROR(SUMIFS('Daily Issuance'!$O$4:$O$991,'Daily Issuance'!$I$4:$I$991,$A39,'Daily Issuance'!$E$4:$E$991,"Services",'Daily Issuance'!$B$4:$B$991,"&gt;="&amp;DATE(2026,11,1),'Daily Issuance'!$B$4:$B$991,"&lt;"&amp;DATE(2026,12,1)),0)</f>
        <v>0</v>
      </c>
      <c r="AI39" s="95">
        <f>IFERROR(SUMIFS('Daily Issuance'!$O:$O,'Daily Issuance'!$I:$I,$A39,'Daily Issuance'!$E:$E,"Patty Cash",'Daily Issuance'!$B:$B,"&gt;="&amp;DATE(2026,11,1),'Daily Issuance'!$B:$B,"&lt;"&amp;DATE(2026,12,1)),0)</f>
        <v>0</v>
      </c>
      <c r="AJ39" s="92">
        <f t="shared" si="7"/>
        <v>0</v>
      </c>
      <c r="AK39" s="93">
        <f>IFERROR(SUMIFS('Daily Issuance'!$O$4:$O$991,'Daily Issuance'!$I$4:$I$991,$A39,'Daily Issuance'!$E$4:$E$991,"Inventory",'Daily Issuance'!$B$4:$B$991,"&gt;="&amp;DATE(2026,12,1),'Daily Issuance'!$B$4:$B$991,"&lt;"&amp;DATE(2027,1,1)),0)</f>
        <v>0</v>
      </c>
      <c r="AL39" s="93">
        <f>IFERROR(SUMIFS('Daily Issuance'!$O$4:$O$991,'Daily Issuance'!$I$4:$I$991,$A39,'Daily Issuance'!$E$4:$E$991,"Non Inventory",'Daily Issuance'!$B$4:$B$991,"&gt;="&amp;DATE(2026,12,1),'Daily Issuance'!$B$4:$B$991,"&lt;"&amp;DATE(2027,1,1)),0)</f>
        <v>0</v>
      </c>
      <c r="AM39" s="93">
        <f>IFERROR(SUMIFS('Daily Issuance'!$O$4:$O$991,'Daily Issuance'!$I$4:$I$991,$A39,'Daily Issuance'!$E$4:$E$991,"Services",'Daily Issuance'!$B$4:$B$991,"&gt;="&amp;DATE(2026,12,1),'Daily Issuance'!$B$4:$B$991,"&lt;"&amp;DATE(2027,1,1)),0)</f>
        <v>0</v>
      </c>
      <c r="AN39" s="93">
        <f>IFERROR(SUMIFS('Daily Issuance'!$O:$O,'Daily Issuance'!$I:$I,$A39,'Daily Issuance'!$E:$E,"Patty Cash",'Daily Issuance'!$B:$B,"&gt;="&amp;DATE(2026,12,1),'Daily Issuance'!$B:$B,"&lt;"&amp;DATE(2027,1,1)),0)</f>
        <v>0</v>
      </c>
      <c r="AO39" s="92">
        <f t="shared" si="8"/>
        <v>0</v>
      </c>
      <c r="AP39" s="103">
        <f t="shared" si="0"/>
        <v>320510</v>
      </c>
    </row>
    <row r="40" spans="1:42" ht="21" customHeight="1">
      <c r="A40" s="90" t="s">
        <v>1222</v>
      </c>
      <c r="B40" s="91">
        <f>IFERROR(SUMIFS('Daily Issuance'!$O:$O,'Daily Issuance'!$I:$I,$A40,'Daily Issuance'!$E:$E,"Inventory",'Daily Issuance'!$B:$B,"&gt;="&amp;DATE(2026,5,1),'Daily Issuance'!$B:$B,"&lt;"&amp;DATE(2026,6,1)),0)</f>
        <v>2741</v>
      </c>
      <c r="C40" s="91">
        <f>IFERROR(SUMIFS('Daily Issuance'!$O:$O,'Daily Issuance'!$I:$I,$A40,'Daily Issuance'!$E:$E,"Non Inventory",'Daily Issuance'!$B:$B,"&gt;="&amp;DATE(2026,5,1),'Daily Issuance'!$B:$B,"&lt;"&amp;DATE(2026,6,1)),0)</f>
        <v>109114</v>
      </c>
      <c r="D40" s="91">
        <f>IFERROR(SUMIFS('Daily Issuance'!$O:$O,'Daily Issuance'!$I:$I,$A40,'Daily Issuance'!$E:$E,"Services",'Daily Issuance'!$B:$B,"&gt;="&amp;DATE(2026,5,1),'Daily Issuance'!$B:$B,"&lt;"&amp;DATE(2026,6,1)),0)</f>
        <v>0</v>
      </c>
      <c r="E40" s="91">
        <f>IFERROR(SUMIFS('Daily Issuance'!$O:$O,'Daily Issuance'!$I:$I,$A40,'Daily Issuance'!$E:$E,"Patty Cash",'Daily Issuance'!$B:$B,"&gt;="&amp;DATE(2026,5,1),'Daily Issuance'!$B:$B,"&lt;"&amp;DATE(2026,6,1)),0)</f>
        <v>2465</v>
      </c>
      <c r="F40" s="92">
        <f t="shared" si="1"/>
        <v>114320</v>
      </c>
      <c r="G40" s="93">
        <f>IFERROR(SUMIFS('Daily Issuance'!$O$4:$O$991,'Daily Issuance'!$I$4:$I$991,$A40,'Daily Issuance'!$E$4:$E$991,"Inventory",'Daily Issuance'!$B$4:$B$991,"&gt;="&amp;DATE(2026,6,1),'Daily Issuance'!$B$4:$B$991,"&lt;"&amp;DATE(2026,7,1)),0)</f>
        <v>4564</v>
      </c>
      <c r="H40" s="93">
        <f>IFERROR(SUMIFS('Daily Issuance'!$O$4:$O$991,'Daily Issuance'!$I$4:$I$991,$A40,'Daily Issuance'!$E$4:$E$991,"Non Inventory",'Daily Issuance'!$B$4:$B$991,"&gt;="&amp;DATE(2026,6,1),'Daily Issuance'!$B$4:$B$991,"&lt;"&amp;DATE(2026,7,1)),0)</f>
        <v>13211</v>
      </c>
      <c r="I40" s="93">
        <f>IFERROR(SUMIFS('Daily Issuance'!$O$4:$O$991,'Daily Issuance'!$I$4:$I$991,$A40,'Daily Issuance'!$E$4:$E$991,"Services",'Daily Issuance'!$B$4:$B$991,"&gt;="&amp;DATE(2026,6,1),'Daily Issuance'!$B$4:$B$991,"&lt;"&amp;DATE(2026,7,1)),0)</f>
        <v>0</v>
      </c>
      <c r="J40" s="93">
        <f>IFERROR(SUMIFS('Daily Issuance'!$O:$O,'Daily Issuance'!$I:$I,$A40,'Daily Issuance'!$E:$E,"Patty Cash",'Daily Issuance'!$B:$B,"&gt;="&amp;DATE(2026,6,1),'Daily Issuance'!$B:$B,"&lt;"&amp;DATE(2026,7,1)),0)</f>
        <v>2138</v>
      </c>
      <c r="K40" s="92">
        <f t="shared" si="2"/>
        <v>19913</v>
      </c>
      <c r="L40" s="94">
        <f>IFERROR(SUMIFS('Daily Issuance'!$O$4:$O$991,'Daily Issuance'!$I$4:$I$991,$A40,'Daily Issuance'!$E$4:$E$991,"Inventory",'Daily Issuance'!$B$4:$B$991,"&gt;="&amp;DATE(2026,7,1),'Daily Issuance'!$B$4:$B$991,"&lt;"&amp;DATE(2026,8,1)),0)</f>
        <v>0</v>
      </c>
      <c r="M40" s="95">
        <f>IFERROR(SUMIFS('Daily Issuance'!$O$4:$O$991,'Daily Issuance'!$I$4:$I$991,$A40,'Daily Issuance'!$E$4:$E$991,"Non Inventory",'Daily Issuance'!$B$4:$B$991,"&gt;="&amp;DATE(2026,7,1),'Daily Issuance'!$B$4:$B$991,"&lt;"&amp;DATE(2026,8,1)),0)</f>
        <v>0</v>
      </c>
      <c r="N40" s="95">
        <f>IFERROR(SUMIFS('Daily Issuance'!$O$4:$O$991,'Daily Issuance'!$I$4:$I$991,$A40,'Daily Issuance'!$E$4:$E$991,"Services",'Daily Issuance'!$B$4:$B$991,"&gt;="&amp;DATE(2026,7,1),'Daily Issuance'!$B$4:$B$991,"&lt;"&amp;DATE(2026,8,1)),0)</f>
        <v>0</v>
      </c>
      <c r="O40" s="95">
        <f>IFERROR(SUMIFS('Daily Issuance'!$O:$O,'Daily Issuance'!$I:$I,$A40,'Daily Issuance'!$E:$E,"Patty Cash",'Daily Issuance'!$B:$B,"&gt;="&amp;DATE(2026,7,1),'Daily Issuance'!$B:$B,"&lt;"&amp;DATE(2026,8,1)),0)</f>
        <v>0</v>
      </c>
      <c r="P40" s="92">
        <f t="shared" si="3"/>
        <v>0</v>
      </c>
      <c r="Q40" s="93">
        <f>IFERROR(SUMIFS('Daily Issuance'!$O$4:$O$991,'Daily Issuance'!$I$4:$I$991,$A40,'Daily Issuance'!$E$4:$E$991,"Inventory",'Daily Issuance'!$B$4:$B$991,"&gt;="&amp;DATE(2026,8,1),'Daily Issuance'!$B$4:$B$991,"&lt;"&amp;DATE(2026,9,1)),0)</f>
        <v>0</v>
      </c>
      <c r="R40" s="93">
        <f>IFERROR(SUMIFS('Daily Issuance'!$O$4:$O$991,'Daily Issuance'!$I$4:$I$991,$A40,'Daily Issuance'!$E$4:$E$991,"Non Inventory",'Daily Issuance'!$B$4:$B$991,"&gt;="&amp;DATE(2026,8,1),'Daily Issuance'!$B$4:$B$991,"&lt;"&amp;DATE(2026,9,1)),0)</f>
        <v>0</v>
      </c>
      <c r="S40" s="93">
        <f>IFERROR(SUMIFS('Daily Issuance'!$O$4:$O$991,'Daily Issuance'!$I$4:$I$991,$A40,'Daily Issuance'!$E$4:$E$991,"Services",'Daily Issuance'!$B$4:$B$991,"&gt;="&amp;DATE(2026,8,1),'Daily Issuance'!$B$4:$B$991,"&lt;"&amp;DATE(2026,9,1)),0)</f>
        <v>0</v>
      </c>
      <c r="T40" s="93">
        <f>IFERROR(SUMIFS('Daily Issuance'!$O:$O,'Daily Issuance'!$I:$I,$A40,'Daily Issuance'!$E:$E,"Patty Cash",'Daily Issuance'!$B:$B,"&gt;="&amp;DATE(2026,8,1),'Daily Issuance'!$B:$B,"&lt;"&amp;DATE(2026,9,1)),0)</f>
        <v>0</v>
      </c>
      <c r="U40" s="92">
        <f t="shared" si="4"/>
        <v>0</v>
      </c>
      <c r="V40" s="95">
        <f>IFERROR(SUMIFS('Daily Issuance'!$O$4:$O$991,'Daily Issuance'!$I$4:$I$991,$A40,'Daily Issuance'!$E$4:$E$991,"Inventory",'Daily Issuance'!$B$4:$B$991,"&gt;="&amp;DATE(2026,9,1),'Daily Issuance'!$B$4:$B$991,"&lt;"&amp;DATE(2026,10,1)),0)</f>
        <v>0</v>
      </c>
      <c r="W40" s="95">
        <f>IFERROR(SUMIFS('Daily Issuance'!$O$4:$O$991,'Daily Issuance'!$I$4:$I$991,$A40,'Daily Issuance'!$E$4:$E$991,"Non Inventory",'Daily Issuance'!$B$4:$B$991,"&gt;="&amp;DATE(2026,9,1),'Daily Issuance'!$B$4:$B$991,"&lt;"&amp;DATE(2026,10,1)),0)</f>
        <v>0</v>
      </c>
      <c r="X40" s="95">
        <f>IFERROR(SUMIFS('Daily Issuance'!$O$4:$O$991,'Daily Issuance'!$I$4:$I$991,$A40,'Daily Issuance'!$E$4:$E$991,"Services",'Daily Issuance'!$B$4:$B$991,"&gt;="&amp;DATE(2026,9,1),'Daily Issuance'!$B$4:$B$991,"&lt;"&amp;DATE(2026,10,1)),0)</f>
        <v>0</v>
      </c>
      <c r="Y40" s="95">
        <f>IFERROR(SUMIFS('Daily Issuance'!$O:$O,'Daily Issuance'!$I:$I,$A40,'Daily Issuance'!$E:$E,"Patty Cash",'Daily Issuance'!$B:$B,"&gt;="&amp;DATE(2026,9,1),'Daily Issuance'!$B:$B,"&lt;"&amp;DATE(2026,10,1)),0)</f>
        <v>0</v>
      </c>
      <c r="Z40" s="92">
        <f t="shared" si="5"/>
        <v>0</v>
      </c>
      <c r="AA40" s="93">
        <f>IFERROR(SUMIFS('Daily Issuance'!$O$4:$O$991,'Daily Issuance'!$I$4:$I$991,$A40,'Daily Issuance'!$E$4:$E$991,"Inventory",'Daily Issuance'!$B$4:$B$991,"&gt;="&amp;DATE(2026,10,1),'Daily Issuance'!$B$4:$B$991,"&lt;"&amp;DATE(2026,11,1)),0)</f>
        <v>0</v>
      </c>
      <c r="AB40" s="93">
        <f>IFERROR(SUMIFS('Daily Issuance'!$O$4:$O$991,'Daily Issuance'!$I$4:$I$991,$A40,'Daily Issuance'!$E$4:$E$991,"Non Inventory",'Daily Issuance'!$B$4:$B$991,"&gt;="&amp;DATE(2026,10,1),'Daily Issuance'!$B$4:$B$991,"&lt;"&amp;DATE(2026,11,1)),0)</f>
        <v>0</v>
      </c>
      <c r="AC40" s="93">
        <f>IFERROR(SUMIFS('Daily Issuance'!$O$4:$O$991,'Daily Issuance'!$I$4:$I$991,$A40,'Daily Issuance'!$E$4:$E$991,"Services",'Daily Issuance'!$B$4:$B$991,"&gt;="&amp;DATE(2026,10,1),'Daily Issuance'!$B$4:$B$991,"&lt;"&amp;DATE(2026,11,1)),0)</f>
        <v>0</v>
      </c>
      <c r="AD40" s="93">
        <f>IFERROR(SUMIFS('Daily Issuance'!$O:$O,'Daily Issuance'!$I:$I,$A40,'Daily Issuance'!$E:$E,"Patty Cash",'Daily Issuance'!$B:$B,"&gt;="&amp;DATE(2026,10,1),'Daily Issuance'!$B:$B,"&lt;"&amp;DATE(2026,11,1)),0)</f>
        <v>0</v>
      </c>
      <c r="AE40" s="92">
        <f t="shared" si="6"/>
        <v>0</v>
      </c>
      <c r="AF40" s="95">
        <f>IFERROR(SUMIFS('Daily Issuance'!$O$4:$O$991,'Daily Issuance'!$I$4:$I$991,$A40,'Daily Issuance'!$E$4:$E$991,"Inventory",'Daily Issuance'!$B$4:$B$991,"&gt;="&amp;DATE(2026,11,1),'Daily Issuance'!$B$4:$B$991,"&lt;"&amp;DATE(2026,12,1)),0)</f>
        <v>0</v>
      </c>
      <c r="AG40" s="95">
        <f>IFERROR(SUMIFS('Daily Issuance'!$O$4:$O$991,'Daily Issuance'!$I$4:$I$991,$A40,'Daily Issuance'!$E$4:$E$991,"Non Inventory",'Daily Issuance'!$B$4:$B$991,"&gt;="&amp;DATE(2026,11,1),'Daily Issuance'!$B$4:$B$991,"&lt;"&amp;DATE(2026,12,1)),0)</f>
        <v>0</v>
      </c>
      <c r="AH40" s="95">
        <f>IFERROR(SUMIFS('Daily Issuance'!$O$4:$O$991,'Daily Issuance'!$I$4:$I$991,$A40,'Daily Issuance'!$E$4:$E$991,"Services",'Daily Issuance'!$B$4:$B$991,"&gt;="&amp;DATE(2026,11,1),'Daily Issuance'!$B$4:$B$991,"&lt;"&amp;DATE(2026,12,1)),0)</f>
        <v>0</v>
      </c>
      <c r="AI40" s="95">
        <f>IFERROR(SUMIFS('Daily Issuance'!$O:$O,'Daily Issuance'!$I:$I,$A40,'Daily Issuance'!$E:$E,"Patty Cash",'Daily Issuance'!$B:$B,"&gt;="&amp;DATE(2026,11,1),'Daily Issuance'!$B:$B,"&lt;"&amp;DATE(2026,12,1)),0)</f>
        <v>0</v>
      </c>
      <c r="AJ40" s="92">
        <f t="shared" si="7"/>
        <v>0</v>
      </c>
      <c r="AK40" s="93">
        <f>IFERROR(SUMIFS('Daily Issuance'!$O$4:$O$991,'Daily Issuance'!$I$4:$I$991,$A40,'Daily Issuance'!$E$4:$E$991,"Inventory",'Daily Issuance'!$B$4:$B$991,"&gt;="&amp;DATE(2026,12,1),'Daily Issuance'!$B$4:$B$991,"&lt;"&amp;DATE(2027,1,1)),0)</f>
        <v>0</v>
      </c>
      <c r="AL40" s="93">
        <f>IFERROR(SUMIFS('Daily Issuance'!$O$4:$O$991,'Daily Issuance'!$I$4:$I$991,$A40,'Daily Issuance'!$E$4:$E$991,"Non Inventory",'Daily Issuance'!$B$4:$B$991,"&gt;="&amp;DATE(2026,12,1),'Daily Issuance'!$B$4:$B$991,"&lt;"&amp;DATE(2027,1,1)),0)</f>
        <v>0</v>
      </c>
      <c r="AM40" s="93">
        <f>IFERROR(SUMIFS('Daily Issuance'!$O$4:$O$991,'Daily Issuance'!$I$4:$I$991,$A40,'Daily Issuance'!$E$4:$E$991,"Services",'Daily Issuance'!$B$4:$B$991,"&gt;="&amp;DATE(2026,12,1),'Daily Issuance'!$B$4:$B$991,"&lt;"&amp;DATE(2027,1,1)),0)</f>
        <v>0</v>
      </c>
      <c r="AN40" s="93">
        <f>IFERROR(SUMIFS('Daily Issuance'!$O:$O,'Daily Issuance'!$I:$I,$A40,'Daily Issuance'!$E:$E,"Patty Cash",'Daily Issuance'!$B:$B,"&gt;="&amp;DATE(2026,12,1),'Daily Issuance'!$B:$B,"&lt;"&amp;DATE(2027,1,1)),0)</f>
        <v>0</v>
      </c>
      <c r="AO40" s="92">
        <f t="shared" si="8"/>
        <v>0</v>
      </c>
      <c r="AP40" s="103">
        <f t="shared" ref="AP40:AP58" si="9">SUM(F40,K40,P40,U40,Z40,AE40,AJ40,AO40)</f>
        <v>134233</v>
      </c>
    </row>
    <row r="41" spans="1:42" ht="21" customHeight="1">
      <c r="A41" s="90" t="s">
        <v>68</v>
      </c>
      <c r="B41" s="91">
        <f>IFERROR(SUMIFS('Daily Issuance'!$O:$O,'Daily Issuance'!$I:$I,$A41,'Daily Issuance'!$E:$E,"Inventory",'Daily Issuance'!$B:$B,"&gt;="&amp;DATE(2026,5,1),'Daily Issuance'!$B:$B,"&lt;"&amp;DATE(2026,6,1)),0)</f>
        <v>0</v>
      </c>
      <c r="C41" s="91">
        <f>IFERROR(SUMIFS('Daily Issuance'!$O:$O,'Daily Issuance'!$I:$I,$A41,'Daily Issuance'!$E:$E,"Non Inventory",'Daily Issuance'!$B:$B,"&gt;="&amp;DATE(2026,5,1),'Daily Issuance'!$B:$B,"&lt;"&amp;DATE(2026,6,1)),0)</f>
        <v>1010</v>
      </c>
      <c r="D41" s="91">
        <f>IFERROR(SUMIFS('Daily Issuance'!$O:$O,'Daily Issuance'!$I:$I,$A41,'Daily Issuance'!$E:$E,"Services",'Daily Issuance'!$B:$B,"&gt;="&amp;DATE(2026,5,1),'Daily Issuance'!$B:$B,"&lt;"&amp;DATE(2026,6,1)),0)</f>
        <v>0</v>
      </c>
      <c r="E41" s="91">
        <f>IFERROR(SUMIFS('Daily Issuance'!$O:$O,'Daily Issuance'!$I:$I,$A41,'Daily Issuance'!$E:$E,"Patty Cash",'Daily Issuance'!$B:$B,"&gt;="&amp;DATE(2026,5,1),'Daily Issuance'!$B:$B,"&lt;"&amp;DATE(2026,6,1)),0)</f>
        <v>0</v>
      </c>
      <c r="F41" s="92">
        <f t="shared" si="1"/>
        <v>1010</v>
      </c>
      <c r="G41" s="93">
        <f>IFERROR(SUMIFS('Daily Issuance'!$O$4:$O$991,'Daily Issuance'!$I$4:$I$991,$A41,'Daily Issuance'!$E$4:$E$991,"Inventory",'Daily Issuance'!$B$4:$B$991,"&gt;="&amp;DATE(2026,6,1),'Daily Issuance'!$B$4:$B$991,"&lt;"&amp;DATE(2026,7,1)),0)</f>
        <v>0</v>
      </c>
      <c r="H41" s="93">
        <f>IFERROR(SUMIFS('Daily Issuance'!$O$4:$O$991,'Daily Issuance'!$I$4:$I$991,$A41,'Daily Issuance'!$E$4:$E$991,"Non Inventory",'Daily Issuance'!$B$4:$B$991,"&gt;="&amp;DATE(2026,6,1),'Daily Issuance'!$B$4:$B$991,"&lt;"&amp;DATE(2026,7,1)),0)</f>
        <v>0</v>
      </c>
      <c r="I41" s="93">
        <f>IFERROR(SUMIFS('Daily Issuance'!$O$4:$O$991,'Daily Issuance'!$I$4:$I$991,$A41,'Daily Issuance'!$E$4:$E$991,"Services",'Daily Issuance'!$B$4:$B$991,"&gt;="&amp;DATE(2026,6,1),'Daily Issuance'!$B$4:$B$991,"&lt;"&amp;DATE(2026,7,1)),0)</f>
        <v>0</v>
      </c>
      <c r="J41" s="93">
        <f>IFERROR(SUMIFS('Daily Issuance'!$O:$O,'Daily Issuance'!$I:$I,$A41,'Daily Issuance'!$E:$E,"Patty Cash",'Daily Issuance'!$B:$B,"&gt;="&amp;DATE(2026,6,1),'Daily Issuance'!$B:$B,"&lt;"&amp;DATE(2026,7,1)),0)</f>
        <v>0</v>
      </c>
      <c r="K41" s="92">
        <f t="shared" si="2"/>
        <v>0</v>
      </c>
      <c r="L41" s="94">
        <f>IFERROR(SUMIFS('Daily Issuance'!$O$4:$O$991,'Daily Issuance'!$I$4:$I$991,$A41,'Daily Issuance'!$E$4:$E$991,"Inventory",'Daily Issuance'!$B$4:$B$991,"&gt;="&amp;DATE(2026,7,1),'Daily Issuance'!$B$4:$B$991,"&lt;"&amp;DATE(2026,8,1)),0)</f>
        <v>0</v>
      </c>
      <c r="M41" s="95">
        <f>IFERROR(SUMIFS('Daily Issuance'!$O$4:$O$991,'Daily Issuance'!$I$4:$I$991,$A41,'Daily Issuance'!$E$4:$E$991,"Non Inventory",'Daily Issuance'!$B$4:$B$991,"&gt;="&amp;DATE(2026,7,1),'Daily Issuance'!$B$4:$B$991,"&lt;"&amp;DATE(2026,8,1)),0)</f>
        <v>0</v>
      </c>
      <c r="N41" s="95">
        <f>IFERROR(SUMIFS('Daily Issuance'!$O$4:$O$991,'Daily Issuance'!$I$4:$I$991,$A41,'Daily Issuance'!$E$4:$E$991,"Services",'Daily Issuance'!$B$4:$B$991,"&gt;="&amp;DATE(2026,7,1),'Daily Issuance'!$B$4:$B$991,"&lt;"&amp;DATE(2026,8,1)),0)</f>
        <v>0</v>
      </c>
      <c r="O41" s="95">
        <f>IFERROR(SUMIFS('Daily Issuance'!$O:$O,'Daily Issuance'!$I:$I,$A41,'Daily Issuance'!$E:$E,"Patty Cash",'Daily Issuance'!$B:$B,"&gt;="&amp;DATE(2026,7,1),'Daily Issuance'!$B:$B,"&lt;"&amp;DATE(2026,8,1)),0)</f>
        <v>0</v>
      </c>
      <c r="P41" s="92">
        <f t="shared" si="3"/>
        <v>0</v>
      </c>
      <c r="Q41" s="93">
        <f>IFERROR(SUMIFS('Daily Issuance'!$O$4:$O$991,'Daily Issuance'!$I$4:$I$991,$A41,'Daily Issuance'!$E$4:$E$991,"Inventory",'Daily Issuance'!$B$4:$B$991,"&gt;="&amp;DATE(2026,8,1),'Daily Issuance'!$B$4:$B$991,"&lt;"&amp;DATE(2026,9,1)),0)</f>
        <v>0</v>
      </c>
      <c r="R41" s="93">
        <f>IFERROR(SUMIFS('Daily Issuance'!$O$4:$O$991,'Daily Issuance'!$I$4:$I$991,$A41,'Daily Issuance'!$E$4:$E$991,"Non Inventory",'Daily Issuance'!$B$4:$B$991,"&gt;="&amp;DATE(2026,8,1),'Daily Issuance'!$B$4:$B$991,"&lt;"&amp;DATE(2026,9,1)),0)</f>
        <v>0</v>
      </c>
      <c r="S41" s="93">
        <f>IFERROR(SUMIFS('Daily Issuance'!$O$4:$O$991,'Daily Issuance'!$I$4:$I$991,$A41,'Daily Issuance'!$E$4:$E$991,"Services",'Daily Issuance'!$B$4:$B$991,"&gt;="&amp;DATE(2026,8,1),'Daily Issuance'!$B$4:$B$991,"&lt;"&amp;DATE(2026,9,1)),0)</f>
        <v>0</v>
      </c>
      <c r="T41" s="93">
        <f>IFERROR(SUMIFS('Daily Issuance'!$O:$O,'Daily Issuance'!$I:$I,$A41,'Daily Issuance'!$E:$E,"Patty Cash",'Daily Issuance'!$B:$B,"&gt;="&amp;DATE(2026,8,1),'Daily Issuance'!$B:$B,"&lt;"&amp;DATE(2026,9,1)),0)</f>
        <v>0</v>
      </c>
      <c r="U41" s="92">
        <f t="shared" si="4"/>
        <v>0</v>
      </c>
      <c r="V41" s="95">
        <f>IFERROR(SUMIFS('Daily Issuance'!$O$4:$O$991,'Daily Issuance'!$I$4:$I$991,$A41,'Daily Issuance'!$E$4:$E$991,"Inventory",'Daily Issuance'!$B$4:$B$991,"&gt;="&amp;DATE(2026,9,1),'Daily Issuance'!$B$4:$B$991,"&lt;"&amp;DATE(2026,10,1)),0)</f>
        <v>0</v>
      </c>
      <c r="W41" s="95">
        <f>IFERROR(SUMIFS('Daily Issuance'!$O$4:$O$991,'Daily Issuance'!$I$4:$I$991,$A41,'Daily Issuance'!$E$4:$E$991,"Non Inventory",'Daily Issuance'!$B$4:$B$991,"&gt;="&amp;DATE(2026,9,1),'Daily Issuance'!$B$4:$B$991,"&lt;"&amp;DATE(2026,10,1)),0)</f>
        <v>0</v>
      </c>
      <c r="X41" s="95">
        <f>IFERROR(SUMIFS('Daily Issuance'!$O$4:$O$991,'Daily Issuance'!$I$4:$I$991,$A41,'Daily Issuance'!$E$4:$E$991,"Services",'Daily Issuance'!$B$4:$B$991,"&gt;="&amp;DATE(2026,9,1),'Daily Issuance'!$B$4:$B$991,"&lt;"&amp;DATE(2026,10,1)),0)</f>
        <v>0</v>
      </c>
      <c r="Y41" s="95">
        <f>IFERROR(SUMIFS('Daily Issuance'!$O:$O,'Daily Issuance'!$I:$I,$A41,'Daily Issuance'!$E:$E,"Patty Cash",'Daily Issuance'!$B:$B,"&gt;="&amp;DATE(2026,9,1),'Daily Issuance'!$B:$B,"&lt;"&amp;DATE(2026,10,1)),0)</f>
        <v>0</v>
      </c>
      <c r="Z41" s="92">
        <f t="shared" si="5"/>
        <v>0</v>
      </c>
      <c r="AA41" s="93">
        <f>IFERROR(SUMIFS('Daily Issuance'!$O$4:$O$991,'Daily Issuance'!$I$4:$I$991,$A41,'Daily Issuance'!$E$4:$E$991,"Inventory",'Daily Issuance'!$B$4:$B$991,"&gt;="&amp;DATE(2026,10,1),'Daily Issuance'!$B$4:$B$991,"&lt;"&amp;DATE(2026,11,1)),0)</f>
        <v>0</v>
      </c>
      <c r="AB41" s="93">
        <f>IFERROR(SUMIFS('Daily Issuance'!$O$4:$O$991,'Daily Issuance'!$I$4:$I$991,$A41,'Daily Issuance'!$E$4:$E$991,"Non Inventory",'Daily Issuance'!$B$4:$B$991,"&gt;="&amp;DATE(2026,10,1),'Daily Issuance'!$B$4:$B$991,"&lt;"&amp;DATE(2026,11,1)),0)</f>
        <v>0</v>
      </c>
      <c r="AC41" s="93">
        <f>IFERROR(SUMIFS('Daily Issuance'!$O$4:$O$991,'Daily Issuance'!$I$4:$I$991,$A41,'Daily Issuance'!$E$4:$E$991,"Services",'Daily Issuance'!$B$4:$B$991,"&gt;="&amp;DATE(2026,10,1),'Daily Issuance'!$B$4:$B$991,"&lt;"&amp;DATE(2026,11,1)),0)</f>
        <v>0</v>
      </c>
      <c r="AD41" s="93">
        <f>IFERROR(SUMIFS('Daily Issuance'!$O:$O,'Daily Issuance'!$I:$I,$A41,'Daily Issuance'!$E:$E,"Patty Cash",'Daily Issuance'!$B:$B,"&gt;="&amp;DATE(2026,10,1),'Daily Issuance'!$B:$B,"&lt;"&amp;DATE(2026,11,1)),0)</f>
        <v>0</v>
      </c>
      <c r="AE41" s="92">
        <f t="shared" si="6"/>
        <v>0</v>
      </c>
      <c r="AF41" s="95">
        <f>IFERROR(SUMIFS('Daily Issuance'!$O$4:$O$991,'Daily Issuance'!$I$4:$I$991,$A41,'Daily Issuance'!$E$4:$E$991,"Inventory",'Daily Issuance'!$B$4:$B$991,"&gt;="&amp;DATE(2026,11,1),'Daily Issuance'!$B$4:$B$991,"&lt;"&amp;DATE(2026,12,1)),0)</f>
        <v>0</v>
      </c>
      <c r="AG41" s="95">
        <f>IFERROR(SUMIFS('Daily Issuance'!$O$4:$O$991,'Daily Issuance'!$I$4:$I$991,$A41,'Daily Issuance'!$E$4:$E$991,"Non Inventory",'Daily Issuance'!$B$4:$B$991,"&gt;="&amp;DATE(2026,11,1),'Daily Issuance'!$B$4:$B$991,"&lt;"&amp;DATE(2026,12,1)),0)</f>
        <v>0</v>
      </c>
      <c r="AH41" s="95">
        <f>IFERROR(SUMIFS('Daily Issuance'!$O$4:$O$991,'Daily Issuance'!$I$4:$I$991,$A41,'Daily Issuance'!$E$4:$E$991,"Services",'Daily Issuance'!$B$4:$B$991,"&gt;="&amp;DATE(2026,11,1),'Daily Issuance'!$B$4:$B$991,"&lt;"&amp;DATE(2026,12,1)),0)</f>
        <v>0</v>
      </c>
      <c r="AI41" s="95">
        <f>IFERROR(SUMIFS('Daily Issuance'!$O:$O,'Daily Issuance'!$I:$I,$A41,'Daily Issuance'!$E:$E,"Patty Cash",'Daily Issuance'!$B:$B,"&gt;="&amp;DATE(2026,11,1),'Daily Issuance'!$B:$B,"&lt;"&amp;DATE(2026,12,1)),0)</f>
        <v>0</v>
      </c>
      <c r="AJ41" s="92">
        <f t="shared" si="7"/>
        <v>0</v>
      </c>
      <c r="AK41" s="93">
        <f>IFERROR(SUMIFS('Daily Issuance'!$O$4:$O$991,'Daily Issuance'!$I$4:$I$991,$A41,'Daily Issuance'!$E$4:$E$991,"Inventory",'Daily Issuance'!$B$4:$B$991,"&gt;="&amp;DATE(2026,12,1),'Daily Issuance'!$B$4:$B$991,"&lt;"&amp;DATE(2027,1,1)),0)</f>
        <v>0</v>
      </c>
      <c r="AL41" s="93">
        <f>IFERROR(SUMIFS('Daily Issuance'!$O$4:$O$991,'Daily Issuance'!$I$4:$I$991,$A41,'Daily Issuance'!$E$4:$E$991,"Non Inventory",'Daily Issuance'!$B$4:$B$991,"&gt;="&amp;DATE(2026,12,1),'Daily Issuance'!$B$4:$B$991,"&lt;"&amp;DATE(2027,1,1)),0)</f>
        <v>0</v>
      </c>
      <c r="AM41" s="93">
        <f>IFERROR(SUMIFS('Daily Issuance'!$O$4:$O$991,'Daily Issuance'!$I$4:$I$991,$A41,'Daily Issuance'!$E$4:$E$991,"Services",'Daily Issuance'!$B$4:$B$991,"&gt;="&amp;DATE(2026,12,1),'Daily Issuance'!$B$4:$B$991,"&lt;"&amp;DATE(2027,1,1)),0)</f>
        <v>0</v>
      </c>
      <c r="AN41" s="93">
        <f>IFERROR(SUMIFS('Daily Issuance'!$O:$O,'Daily Issuance'!$I:$I,$A41,'Daily Issuance'!$E:$E,"Patty Cash",'Daily Issuance'!$B:$B,"&gt;="&amp;DATE(2026,12,1),'Daily Issuance'!$B:$B,"&lt;"&amp;DATE(2027,1,1)),0)</f>
        <v>0</v>
      </c>
      <c r="AO41" s="92">
        <f t="shared" si="8"/>
        <v>0</v>
      </c>
      <c r="AP41" s="103">
        <f t="shared" si="9"/>
        <v>1010</v>
      </c>
    </row>
    <row r="42" spans="1:42" ht="21" customHeight="1">
      <c r="A42" s="90" t="s">
        <v>69</v>
      </c>
      <c r="B42" s="91">
        <f>IFERROR(SUMIFS('Daily Issuance'!$O:$O,'Daily Issuance'!$I:$I,$A42,'Daily Issuance'!$E:$E,"Inventory",'Daily Issuance'!$B:$B,"&gt;="&amp;DATE(2026,5,1),'Daily Issuance'!$B:$B,"&lt;"&amp;DATE(2026,6,1)),0)</f>
        <v>750</v>
      </c>
      <c r="C42" s="91">
        <f>IFERROR(SUMIFS('Daily Issuance'!$O:$O,'Daily Issuance'!$I:$I,$A42,'Daily Issuance'!$E:$E,"Non Inventory",'Daily Issuance'!$B:$B,"&gt;="&amp;DATE(2026,5,1),'Daily Issuance'!$B:$B,"&lt;"&amp;DATE(2026,6,1)),0)</f>
        <v>141636</v>
      </c>
      <c r="D42" s="91">
        <f>IFERROR(SUMIFS('Daily Issuance'!$O:$O,'Daily Issuance'!$I:$I,$A42,'Daily Issuance'!$E:$E,"Services",'Daily Issuance'!$B:$B,"&gt;="&amp;DATE(2026,5,1),'Daily Issuance'!$B:$B,"&lt;"&amp;DATE(2026,6,1)),0)</f>
        <v>0</v>
      </c>
      <c r="E42" s="91">
        <f>IFERROR(SUMIFS('Daily Issuance'!$O:$O,'Daily Issuance'!$I:$I,$A42,'Daily Issuance'!$E:$E,"Patty Cash",'Daily Issuance'!$B:$B,"&gt;="&amp;DATE(2026,5,1),'Daily Issuance'!$B:$B,"&lt;"&amp;DATE(2026,6,1)),0)</f>
        <v>0</v>
      </c>
      <c r="F42" s="92">
        <f t="shared" si="1"/>
        <v>142386</v>
      </c>
      <c r="G42" s="93">
        <f>IFERROR(SUMIFS('Daily Issuance'!$O$4:$O$991,'Daily Issuance'!$I$4:$I$991,$A42,'Daily Issuance'!$E$4:$E$991,"Inventory",'Daily Issuance'!$B$4:$B$991,"&gt;="&amp;DATE(2026,6,1),'Daily Issuance'!$B$4:$B$991,"&lt;"&amp;DATE(2026,7,1)),0)</f>
        <v>0</v>
      </c>
      <c r="H42" s="93">
        <f>IFERROR(SUMIFS('Daily Issuance'!$O$4:$O$991,'Daily Issuance'!$I$4:$I$991,$A42,'Daily Issuance'!$E$4:$E$991,"Non Inventory",'Daily Issuance'!$B$4:$B$991,"&gt;="&amp;DATE(2026,6,1),'Daily Issuance'!$B$4:$B$991,"&lt;"&amp;DATE(2026,7,1)),0)</f>
        <v>0</v>
      </c>
      <c r="I42" s="93">
        <f>IFERROR(SUMIFS('Daily Issuance'!$O$4:$O$991,'Daily Issuance'!$I$4:$I$991,$A42,'Daily Issuance'!$E$4:$E$991,"Services",'Daily Issuance'!$B$4:$B$991,"&gt;="&amp;DATE(2026,6,1),'Daily Issuance'!$B$4:$B$991,"&lt;"&amp;DATE(2026,7,1)),0)</f>
        <v>0</v>
      </c>
      <c r="J42" s="93">
        <f>IFERROR(SUMIFS('Daily Issuance'!$O:$O,'Daily Issuance'!$I:$I,$A42,'Daily Issuance'!$E:$E,"Patty Cash",'Daily Issuance'!$B:$B,"&gt;="&amp;DATE(2026,6,1),'Daily Issuance'!$B:$B,"&lt;"&amp;DATE(2026,7,1)),0)</f>
        <v>0</v>
      </c>
      <c r="K42" s="92">
        <f t="shared" si="2"/>
        <v>0</v>
      </c>
      <c r="L42" s="94">
        <f>IFERROR(SUMIFS('Daily Issuance'!$O$4:$O$991,'Daily Issuance'!$I$4:$I$991,$A42,'Daily Issuance'!$E$4:$E$991,"Inventory",'Daily Issuance'!$B$4:$B$991,"&gt;="&amp;DATE(2026,7,1),'Daily Issuance'!$B$4:$B$991,"&lt;"&amp;DATE(2026,8,1)),0)</f>
        <v>0</v>
      </c>
      <c r="M42" s="95">
        <f>IFERROR(SUMIFS('Daily Issuance'!$O$4:$O$991,'Daily Issuance'!$I$4:$I$991,$A42,'Daily Issuance'!$E$4:$E$991,"Non Inventory",'Daily Issuance'!$B$4:$B$991,"&gt;="&amp;DATE(2026,7,1),'Daily Issuance'!$B$4:$B$991,"&lt;"&amp;DATE(2026,8,1)),0)</f>
        <v>0</v>
      </c>
      <c r="N42" s="95">
        <f>IFERROR(SUMIFS('Daily Issuance'!$O$4:$O$991,'Daily Issuance'!$I$4:$I$991,$A42,'Daily Issuance'!$E$4:$E$991,"Services",'Daily Issuance'!$B$4:$B$991,"&gt;="&amp;DATE(2026,7,1),'Daily Issuance'!$B$4:$B$991,"&lt;"&amp;DATE(2026,8,1)),0)</f>
        <v>0</v>
      </c>
      <c r="O42" s="95">
        <f>IFERROR(SUMIFS('Daily Issuance'!$O:$O,'Daily Issuance'!$I:$I,$A42,'Daily Issuance'!$E:$E,"Patty Cash",'Daily Issuance'!$B:$B,"&gt;="&amp;DATE(2026,7,1),'Daily Issuance'!$B:$B,"&lt;"&amp;DATE(2026,8,1)),0)</f>
        <v>0</v>
      </c>
      <c r="P42" s="92">
        <f t="shared" si="3"/>
        <v>0</v>
      </c>
      <c r="Q42" s="93">
        <f>IFERROR(SUMIFS('Daily Issuance'!$O$4:$O$991,'Daily Issuance'!$I$4:$I$991,$A42,'Daily Issuance'!$E$4:$E$991,"Inventory",'Daily Issuance'!$B$4:$B$991,"&gt;="&amp;DATE(2026,8,1),'Daily Issuance'!$B$4:$B$991,"&lt;"&amp;DATE(2026,9,1)),0)</f>
        <v>0</v>
      </c>
      <c r="R42" s="93">
        <f>IFERROR(SUMIFS('Daily Issuance'!$O$4:$O$991,'Daily Issuance'!$I$4:$I$991,$A42,'Daily Issuance'!$E$4:$E$991,"Non Inventory",'Daily Issuance'!$B$4:$B$991,"&gt;="&amp;DATE(2026,8,1),'Daily Issuance'!$B$4:$B$991,"&lt;"&amp;DATE(2026,9,1)),0)</f>
        <v>0</v>
      </c>
      <c r="S42" s="93">
        <f>IFERROR(SUMIFS('Daily Issuance'!$O$4:$O$991,'Daily Issuance'!$I$4:$I$991,$A42,'Daily Issuance'!$E$4:$E$991,"Services",'Daily Issuance'!$B$4:$B$991,"&gt;="&amp;DATE(2026,8,1),'Daily Issuance'!$B$4:$B$991,"&lt;"&amp;DATE(2026,9,1)),0)</f>
        <v>0</v>
      </c>
      <c r="T42" s="93">
        <f>IFERROR(SUMIFS('Daily Issuance'!$O:$O,'Daily Issuance'!$I:$I,$A42,'Daily Issuance'!$E:$E,"Patty Cash",'Daily Issuance'!$B:$B,"&gt;="&amp;DATE(2026,8,1),'Daily Issuance'!$B:$B,"&lt;"&amp;DATE(2026,9,1)),0)</f>
        <v>0</v>
      </c>
      <c r="U42" s="92">
        <f t="shared" si="4"/>
        <v>0</v>
      </c>
      <c r="V42" s="95">
        <f>IFERROR(SUMIFS('Daily Issuance'!$O$4:$O$991,'Daily Issuance'!$I$4:$I$991,$A42,'Daily Issuance'!$E$4:$E$991,"Inventory",'Daily Issuance'!$B$4:$B$991,"&gt;="&amp;DATE(2026,9,1),'Daily Issuance'!$B$4:$B$991,"&lt;"&amp;DATE(2026,10,1)),0)</f>
        <v>0</v>
      </c>
      <c r="W42" s="95">
        <f>IFERROR(SUMIFS('Daily Issuance'!$O$4:$O$991,'Daily Issuance'!$I$4:$I$991,$A42,'Daily Issuance'!$E$4:$E$991,"Non Inventory",'Daily Issuance'!$B$4:$B$991,"&gt;="&amp;DATE(2026,9,1),'Daily Issuance'!$B$4:$B$991,"&lt;"&amp;DATE(2026,10,1)),0)</f>
        <v>0</v>
      </c>
      <c r="X42" s="95">
        <f>IFERROR(SUMIFS('Daily Issuance'!$O$4:$O$991,'Daily Issuance'!$I$4:$I$991,$A42,'Daily Issuance'!$E$4:$E$991,"Services",'Daily Issuance'!$B$4:$B$991,"&gt;="&amp;DATE(2026,9,1),'Daily Issuance'!$B$4:$B$991,"&lt;"&amp;DATE(2026,10,1)),0)</f>
        <v>0</v>
      </c>
      <c r="Y42" s="95">
        <f>IFERROR(SUMIFS('Daily Issuance'!$O:$O,'Daily Issuance'!$I:$I,$A42,'Daily Issuance'!$E:$E,"Patty Cash",'Daily Issuance'!$B:$B,"&gt;="&amp;DATE(2026,9,1),'Daily Issuance'!$B:$B,"&lt;"&amp;DATE(2026,10,1)),0)</f>
        <v>0</v>
      </c>
      <c r="Z42" s="92">
        <f t="shared" si="5"/>
        <v>0</v>
      </c>
      <c r="AA42" s="93">
        <f>IFERROR(SUMIFS('Daily Issuance'!$O$4:$O$991,'Daily Issuance'!$I$4:$I$991,$A42,'Daily Issuance'!$E$4:$E$991,"Inventory",'Daily Issuance'!$B$4:$B$991,"&gt;="&amp;DATE(2026,10,1),'Daily Issuance'!$B$4:$B$991,"&lt;"&amp;DATE(2026,11,1)),0)</f>
        <v>0</v>
      </c>
      <c r="AB42" s="93">
        <f>IFERROR(SUMIFS('Daily Issuance'!$O$4:$O$991,'Daily Issuance'!$I$4:$I$991,$A42,'Daily Issuance'!$E$4:$E$991,"Non Inventory",'Daily Issuance'!$B$4:$B$991,"&gt;="&amp;DATE(2026,10,1),'Daily Issuance'!$B$4:$B$991,"&lt;"&amp;DATE(2026,11,1)),0)</f>
        <v>0</v>
      </c>
      <c r="AC42" s="93">
        <f>IFERROR(SUMIFS('Daily Issuance'!$O$4:$O$991,'Daily Issuance'!$I$4:$I$991,$A42,'Daily Issuance'!$E$4:$E$991,"Services",'Daily Issuance'!$B$4:$B$991,"&gt;="&amp;DATE(2026,10,1),'Daily Issuance'!$B$4:$B$991,"&lt;"&amp;DATE(2026,11,1)),0)</f>
        <v>0</v>
      </c>
      <c r="AD42" s="93">
        <f>IFERROR(SUMIFS('Daily Issuance'!$O:$O,'Daily Issuance'!$I:$I,$A42,'Daily Issuance'!$E:$E,"Patty Cash",'Daily Issuance'!$B:$B,"&gt;="&amp;DATE(2026,10,1),'Daily Issuance'!$B:$B,"&lt;"&amp;DATE(2026,11,1)),0)</f>
        <v>0</v>
      </c>
      <c r="AE42" s="92">
        <f t="shared" si="6"/>
        <v>0</v>
      </c>
      <c r="AF42" s="95">
        <f>IFERROR(SUMIFS('Daily Issuance'!$O$4:$O$991,'Daily Issuance'!$I$4:$I$991,$A42,'Daily Issuance'!$E$4:$E$991,"Inventory",'Daily Issuance'!$B$4:$B$991,"&gt;="&amp;DATE(2026,11,1),'Daily Issuance'!$B$4:$B$991,"&lt;"&amp;DATE(2026,12,1)),0)</f>
        <v>0</v>
      </c>
      <c r="AG42" s="95">
        <f>IFERROR(SUMIFS('Daily Issuance'!$O$4:$O$991,'Daily Issuance'!$I$4:$I$991,$A42,'Daily Issuance'!$E$4:$E$991,"Non Inventory",'Daily Issuance'!$B$4:$B$991,"&gt;="&amp;DATE(2026,11,1),'Daily Issuance'!$B$4:$B$991,"&lt;"&amp;DATE(2026,12,1)),0)</f>
        <v>0</v>
      </c>
      <c r="AH42" s="95">
        <f>IFERROR(SUMIFS('Daily Issuance'!$O$4:$O$991,'Daily Issuance'!$I$4:$I$991,$A42,'Daily Issuance'!$E$4:$E$991,"Services",'Daily Issuance'!$B$4:$B$991,"&gt;="&amp;DATE(2026,11,1),'Daily Issuance'!$B$4:$B$991,"&lt;"&amp;DATE(2026,12,1)),0)</f>
        <v>0</v>
      </c>
      <c r="AI42" s="95">
        <f>IFERROR(SUMIFS('Daily Issuance'!$O:$O,'Daily Issuance'!$I:$I,$A42,'Daily Issuance'!$E:$E,"Patty Cash",'Daily Issuance'!$B:$B,"&gt;="&amp;DATE(2026,11,1),'Daily Issuance'!$B:$B,"&lt;"&amp;DATE(2026,12,1)),0)</f>
        <v>0</v>
      </c>
      <c r="AJ42" s="92">
        <f t="shared" si="7"/>
        <v>0</v>
      </c>
      <c r="AK42" s="93">
        <f>IFERROR(SUMIFS('Daily Issuance'!$O$4:$O$991,'Daily Issuance'!$I$4:$I$991,$A42,'Daily Issuance'!$E$4:$E$991,"Inventory",'Daily Issuance'!$B$4:$B$991,"&gt;="&amp;DATE(2026,12,1),'Daily Issuance'!$B$4:$B$991,"&lt;"&amp;DATE(2027,1,1)),0)</f>
        <v>0</v>
      </c>
      <c r="AL42" s="93">
        <f>IFERROR(SUMIFS('Daily Issuance'!$O$4:$O$991,'Daily Issuance'!$I$4:$I$991,$A42,'Daily Issuance'!$E$4:$E$991,"Non Inventory",'Daily Issuance'!$B$4:$B$991,"&gt;="&amp;DATE(2026,12,1),'Daily Issuance'!$B$4:$B$991,"&lt;"&amp;DATE(2027,1,1)),0)</f>
        <v>0</v>
      </c>
      <c r="AM42" s="93">
        <f>IFERROR(SUMIFS('Daily Issuance'!$O$4:$O$991,'Daily Issuance'!$I$4:$I$991,$A42,'Daily Issuance'!$E$4:$E$991,"Services",'Daily Issuance'!$B$4:$B$991,"&gt;="&amp;DATE(2026,12,1),'Daily Issuance'!$B$4:$B$991,"&lt;"&amp;DATE(2027,1,1)),0)</f>
        <v>0</v>
      </c>
      <c r="AN42" s="93">
        <f>IFERROR(SUMIFS('Daily Issuance'!$O:$O,'Daily Issuance'!$I:$I,$A42,'Daily Issuance'!$E:$E,"Patty Cash",'Daily Issuance'!$B:$B,"&gt;="&amp;DATE(2026,12,1),'Daily Issuance'!$B:$B,"&lt;"&amp;DATE(2027,1,1)),0)</f>
        <v>0</v>
      </c>
      <c r="AO42" s="92">
        <f t="shared" si="8"/>
        <v>0</v>
      </c>
      <c r="AP42" s="103">
        <f t="shared" si="9"/>
        <v>142386</v>
      </c>
    </row>
    <row r="43" spans="1:42" ht="21" customHeight="1">
      <c r="A43" s="90" t="s">
        <v>70</v>
      </c>
      <c r="B43" s="91">
        <f>IFERROR(SUMIFS('Daily Issuance'!$O:$O,'Daily Issuance'!$I:$I,$A43,'Daily Issuance'!$E:$E,"Inventory",'Daily Issuance'!$B:$B,"&gt;="&amp;DATE(2026,5,1),'Daily Issuance'!$B:$B,"&lt;"&amp;DATE(2026,6,1)),0)</f>
        <v>0</v>
      </c>
      <c r="C43" s="91">
        <f>IFERROR(SUMIFS('Daily Issuance'!$O:$O,'Daily Issuance'!$I:$I,$A43,'Daily Issuance'!$E:$E,"Non Inventory",'Daily Issuance'!$B:$B,"&gt;="&amp;DATE(2026,5,1),'Daily Issuance'!$B:$B,"&lt;"&amp;DATE(2026,6,1)),0)</f>
        <v>1100</v>
      </c>
      <c r="D43" s="91">
        <f>IFERROR(SUMIFS('Daily Issuance'!$O:$O,'Daily Issuance'!$I:$I,$A43,'Daily Issuance'!$E:$E,"Services",'Daily Issuance'!$B:$B,"&gt;="&amp;DATE(2026,5,1),'Daily Issuance'!$B:$B,"&lt;"&amp;DATE(2026,6,1)),0)</f>
        <v>0</v>
      </c>
      <c r="E43" s="91">
        <f>IFERROR(SUMIFS('Daily Issuance'!$O:$O,'Daily Issuance'!$I:$I,$A43,'Daily Issuance'!$E:$E,"Patty Cash",'Daily Issuance'!$B:$B,"&gt;="&amp;DATE(2026,5,1),'Daily Issuance'!$B:$B,"&lt;"&amp;DATE(2026,6,1)),0)</f>
        <v>1020</v>
      </c>
      <c r="F43" s="92">
        <f t="shared" si="1"/>
        <v>2120</v>
      </c>
      <c r="G43" s="93">
        <f>IFERROR(SUMIFS('Daily Issuance'!$O$4:$O$991,'Daily Issuance'!$I$4:$I$991,$A43,'Daily Issuance'!$E$4:$E$991,"Inventory",'Daily Issuance'!$B$4:$B$991,"&gt;="&amp;DATE(2026,6,1),'Daily Issuance'!$B$4:$B$991,"&lt;"&amp;DATE(2026,7,1)),0)</f>
        <v>0</v>
      </c>
      <c r="H43" s="93">
        <f>IFERROR(SUMIFS('Daily Issuance'!$O$4:$O$991,'Daily Issuance'!$I$4:$I$991,$A43,'Daily Issuance'!$E$4:$E$991,"Non Inventory",'Daily Issuance'!$B$4:$B$991,"&gt;="&amp;DATE(2026,6,1),'Daily Issuance'!$B$4:$B$991,"&lt;"&amp;DATE(2026,7,1)),0)</f>
        <v>12500</v>
      </c>
      <c r="I43" s="93">
        <f>IFERROR(SUMIFS('Daily Issuance'!$O$4:$O$991,'Daily Issuance'!$I$4:$I$991,$A43,'Daily Issuance'!$E$4:$E$991,"Services",'Daily Issuance'!$B$4:$B$991,"&gt;="&amp;DATE(2026,6,1),'Daily Issuance'!$B$4:$B$991,"&lt;"&amp;DATE(2026,7,1)),0)</f>
        <v>0</v>
      </c>
      <c r="J43" s="93">
        <f>IFERROR(SUMIFS('Daily Issuance'!$O:$O,'Daily Issuance'!$I:$I,$A43,'Daily Issuance'!$E:$E,"Patty Cash",'Daily Issuance'!$B:$B,"&gt;="&amp;DATE(2026,6,1),'Daily Issuance'!$B:$B,"&lt;"&amp;DATE(2026,7,1)),0)</f>
        <v>0</v>
      </c>
      <c r="K43" s="92">
        <f t="shared" si="2"/>
        <v>12500</v>
      </c>
      <c r="L43" s="94">
        <f>IFERROR(SUMIFS('Daily Issuance'!$O$4:$O$991,'Daily Issuance'!$I$4:$I$991,$A43,'Daily Issuance'!$E$4:$E$991,"Inventory",'Daily Issuance'!$B$4:$B$991,"&gt;="&amp;DATE(2026,7,1),'Daily Issuance'!$B$4:$B$991,"&lt;"&amp;DATE(2026,8,1)),0)</f>
        <v>0</v>
      </c>
      <c r="M43" s="95">
        <f>IFERROR(SUMIFS('Daily Issuance'!$O$4:$O$991,'Daily Issuance'!$I$4:$I$991,$A43,'Daily Issuance'!$E$4:$E$991,"Non Inventory",'Daily Issuance'!$B$4:$B$991,"&gt;="&amp;DATE(2026,7,1),'Daily Issuance'!$B$4:$B$991,"&lt;"&amp;DATE(2026,8,1)),0)</f>
        <v>0</v>
      </c>
      <c r="N43" s="95">
        <f>IFERROR(SUMIFS('Daily Issuance'!$O$4:$O$991,'Daily Issuance'!$I$4:$I$991,$A43,'Daily Issuance'!$E$4:$E$991,"Services",'Daily Issuance'!$B$4:$B$991,"&gt;="&amp;DATE(2026,7,1),'Daily Issuance'!$B$4:$B$991,"&lt;"&amp;DATE(2026,8,1)),0)</f>
        <v>0</v>
      </c>
      <c r="O43" s="95">
        <f>IFERROR(SUMIFS('Daily Issuance'!$O:$O,'Daily Issuance'!$I:$I,$A43,'Daily Issuance'!$E:$E,"Patty Cash",'Daily Issuance'!$B:$B,"&gt;="&amp;DATE(2026,7,1),'Daily Issuance'!$B:$B,"&lt;"&amp;DATE(2026,8,1)),0)</f>
        <v>0</v>
      </c>
      <c r="P43" s="92">
        <f t="shared" si="3"/>
        <v>0</v>
      </c>
      <c r="Q43" s="93">
        <f>IFERROR(SUMIFS('Daily Issuance'!$O$4:$O$991,'Daily Issuance'!$I$4:$I$991,$A43,'Daily Issuance'!$E$4:$E$991,"Inventory",'Daily Issuance'!$B$4:$B$991,"&gt;="&amp;DATE(2026,8,1),'Daily Issuance'!$B$4:$B$991,"&lt;"&amp;DATE(2026,9,1)),0)</f>
        <v>0</v>
      </c>
      <c r="R43" s="93">
        <f>IFERROR(SUMIFS('Daily Issuance'!$O$4:$O$991,'Daily Issuance'!$I$4:$I$991,$A43,'Daily Issuance'!$E$4:$E$991,"Non Inventory",'Daily Issuance'!$B$4:$B$991,"&gt;="&amp;DATE(2026,8,1),'Daily Issuance'!$B$4:$B$991,"&lt;"&amp;DATE(2026,9,1)),0)</f>
        <v>0</v>
      </c>
      <c r="S43" s="93">
        <f>IFERROR(SUMIFS('Daily Issuance'!$O$4:$O$991,'Daily Issuance'!$I$4:$I$991,$A43,'Daily Issuance'!$E$4:$E$991,"Services",'Daily Issuance'!$B$4:$B$991,"&gt;="&amp;DATE(2026,8,1),'Daily Issuance'!$B$4:$B$991,"&lt;"&amp;DATE(2026,9,1)),0)</f>
        <v>0</v>
      </c>
      <c r="T43" s="93">
        <f>IFERROR(SUMIFS('Daily Issuance'!$O:$O,'Daily Issuance'!$I:$I,$A43,'Daily Issuance'!$E:$E,"Patty Cash",'Daily Issuance'!$B:$B,"&gt;="&amp;DATE(2026,8,1),'Daily Issuance'!$B:$B,"&lt;"&amp;DATE(2026,9,1)),0)</f>
        <v>0</v>
      </c>
      <c r="U43" s="92">
        <f t="shared" si="4"/>
        <v>0</v>
      </c>
      <c r="V43" s="95">
        <f>IFERROR(SUMIFS('Daily Issuance'!$O$4:$O$991,'Daily Issuance'!$I$4:$I$991,$A43,'Daily Issuance'!$E$4:$E$991,"Inventory",'Daily Issuance'!$B$4:$B$991,"&gt;="&amp;DATE(2026,9,1),'Daily Issuance'!$B$4:$B$991,"&lt;"&amp;DATE(2026,10,1)),0)</f>
        <v>0</v>
      </c>
      <c r="W43" s="95">
        <f>IFERROR(SUMIFS('Daily Issuance'!$O$4:$O$991,'Daily Issuance'!$I$4:$I$991,$A43,'Daily Issuance'!$E$4:$E$991,"Non Inventory",'Daily Issuance'!$B$4:$B$991,"&gt;="&amp;DATE(2026,9,1),'Daily Issuance'!$B$4:$B$991,"&lt;"&amp;DATE(2026,10,1)),0)</f>
        <v>0</v>
      </c>
      <c r="X43" s="95">
        <f>IFERROR(SUMIFS('Daily Issuance'!$O$4:$O$991,'Daily Issuance'!$I$4:$I$991,$A43,'Daily Issuance'!$E$4:$E$991,"Services",'Daily Issuance'!$B$4:$B$991,"&gt;="&amp;DATE(2026,9,1),'Daily Issuance'!$B$4:$B$991,"&lt;"&amp;DATE(2026,10,1)),0)</f>
        <v>0</v>
      </c>
      <c r="Y43" s="95">
        <f>IFERROR(SUMIFS('Daily Issuance'!$O:$O,'Daily Issuance'!$I:$I,$A43,'Daily Issuance'!$E:$E,"Patty Cash",'Daily Issuance'!$B:$B,"&gt;="&amp;DATE(2026,9,1),'Daily Issuance'!$B:$B,"&lt;"&amp;DATE(2026,10,1)),0)</f>
        <v>0</v>
      </c>
      <c r="Z43" s="92">
        <f t="shared" si="5"/>
        <v>0</v>
      </c>
      <c r="AA43" s="93">
        <f>IFERROR(SUMIFS('Daily Issuance'!$O$4:$O$991,'Daily Issuance'!$I$4:$I$991,$A43,'Daily Issuance'!$E$4:$E$991,"Inventory",'Daily Issuance'!$B$4:$B$991,"&gt;="&amp;DATE(2026,10,1),'Daily Issuance'!$B$4:$B$991,"&lt;"&amp;DATE(2026,11,1)),0)</f>
        <v>0</v>
      </c>
      <c r="AB43" s="93">
        <f>IFERROR(SUMIFS('Daily Issuance'!$O$4:$O$991,'Daily Issuance'!$I$4:$I$991,$A43,'Daily Issuance'!$E$4:$E$991,"Non Inventory",'Daily Issuance'!$B$4:$B$991,"&gt;="&amp;DATE(2026,10,1),'Daily Issuance'!$B$4:$B$991,"&lt;"&amp;DATE(2026,11,1)),0)</f>
        <v>0</v>
      </c>
      <c r="AC43" s="93">
        <f>IFERROR(SUMIFS('Daily Issuance'!$O$4:$O$991,'Daily Issuance'!$I$4:$I$991,$A43,'Daily Issuance'!$E$4:$E$991,"Services",'Daily Issuance'!$B$4:$B$991,"&gt;="&amp;DATE(2026,10,1),'Daily Issuance'!$B$4:$B$991,"&lt;"&amp;DATE(2026,11,1)),0)</f>
        <v>0</v>
      </c>
      <c r="AD43" s="93">
        <f>IFERROR(SUMIFS('Daily Issuance'!$O:$O,'Daily Issuance'!$I:$I,$A43,'Daily Issuance'!$E:$E,"Patty Cash",'Daily Issuance'!$B:$B,"&gt;="&amp;DATE(2026,10,1),'Daily Issuance'!$B:$B,"&lt;"&amp;DATE(2026,11,1)),0)</f>
        <v>0</v>
      </c>
      <c r="AE43" s="92">
        <f t="shared" si="6"/>
        <v>0</v>
      </c>
      <c r="AF43" s="95">
        <f>IFERROR(SUMIFS('Daily Issuance'!$O$4:$O$991,'Daily Issuance'!$I$4:$I$991,$A43,'Daily Issuance'!$E$4:$E$991,"Inventory",'Daily Issuance'!$B$4:$B$991,"&gt;="&amp;DATE(2026,11,1),'Daily Issuance'!$B$4:$B$991,"&lt;"&amp;DATE(2026,12,1)),0)</f>
        <v>0</v>
      </c>
      <c r="AG43" s="95">
        <f>IFERROR(SUMIFS('Daily Issuance'!$O$4:$O$991,'Daily Issuance'!$I$4:$I$991,$A43,'Daily Issuance'!$E$4:$E$991,"Non Inventory",'Daily Issuance'!$B$4:$B$991,"&gt;="&amp;DATE(2026,11,1),'Daily Issuance'!$B$4:$B$991,"&lt;"&amp;DATE(2026,12,1)),0)</f>
        <v>0</v>
      </c>
      <c r="AH43" s="95">
        <f>IFERROR(SUMIFS('Daily Issuance'!$O$4:$O$991,'Daily Issuance'!$I$4:$I$991,$A43,'Daily Issuance'!$E$4:$E$991,"Services",'Daily Issuance'!$B$4:$B$991,"&gt;="&amp;DATE(2026,11,1),'Daily Issuance'!$B$4:$B$991,"&lt;"&amp;DATE(2026,12,1)),0)</f>
        <v>0</v>
      </c>
      <c r="AI43" s="95">
        <f>IFERROR(SUMIFS('Daily Issuance'!$O:$O,'Daily Issuance'!$I:$I,$A43,'Daily Issuance'!$E:$E,"Patty Cash",'Daily Issuance'!$B:$B,"&gt;="&amp;DATE(2026,11,1),'Daily Issuance'!$B:$B,"&lt;"&amp;DATE(2026,12,1)),0)</f>
        <v>0</v>
      </c>
      <c r="AJ43" s="92">
        <f t="shared" si="7"/>
        <v>0</v>
      </c>
      <c r="AK43" s="93">
        <f>IFERROR(SUMIFS('Daily Issuance'!$O$4:$O$991,'Daily Issuance'!$I$4:$I$991,$A43,'Daily Issuance'!$E$4:$E$991,"Inventory",'Daily Issuance'!$B$4:$B$991,"&gt;="&amp;DATE(2026,12,1),'Daily Issuance'!$B$4:$B$991,"&lt;"&amp;DATE(2027,1,1)),0)</f>
        <v>0</v>
      </c>
      <c r="AL43" s="93">
        <f>IFERROR(SUMIFS('Daily Issuance'!$O$4:$O$991,'Daily Issuance'!$I$4:$I$991,$A43,'Daily Issuance'!$E$4:$E$991,"Non Inventory",'Daily Issuance'!$B$4:$B$991,"&gt;="&amp;DATE(2026,12,1),'Daily Issuance'!$B$4:$B$991,"&lt;"&amp;DATE(2027,1,1)),0)</f>
        <v>0</v>
      </c>
      <c r="AM43" s="93">
        <f>IFERROR(SUMIFS('Daily Issuance'!$O$4:$O$991,'Daily Issuance'!$I$4:$I$991,$A43,'Daily Issuance'!$E$4:$E$991,"Services",'Daily Issuance'!$B$4:$B$991,"&gt;="&amp;DATE(2026,12,1),'Daily Issuance'!$B$4:$B$991,"&lt;"&amp;DATE(2027,1,1)),0)</f>
        <v>0</v>
      </c>
      <c r="AN43" s="93">
        <f>IFERROR(SUMIFS('Daily Issuance'!$O:$O,'Daily Issuance'!$I:$I,$A43,'Daily Issuance'!$E:$E,"Patty Cash",'Daily Issuance'!$B:$B,"&gt;="&amp;DATE(2026,12,1),'Daily Issuance'!$B:$B,"&lt;"&amp;DATE(2027,1,1)),0)</f>
        <v>0</v>
      </c>
      <c r="AO43" s="92">
        <f t="shared" si="8"/>
        <v>0</v>
      </c>
      <c r="AP43" s="103">
        <f t="shared" si="9"/>
        <v>14620</v>
      </c>
    </row>
    <row r="44" spans="1:42" ht="21" customHeight="1">
      <c r="A44" s="90" t="s">
        <v>71</v>
      </c>
      <c r="B44" s="91">
        <f>IFERROR(SUMIFS('Daily Issuance'!$O:$O,'Daily Issuance'!$I:$I,$A44,'Daily Issuance'!$E:$E,"Inventory",'Daily Issuance'!$B:$B,"&gt;="&amp;DATE(2026,5,1),'Daily Issuance'!$B:$B,"&lt;"&amp;DATE(2026,6,1)),0)</f>
        <v>0</v>
      </c>
      <c r="C44" s="91">
        <f>IFERROR(SUMIFS('Daily Issuance'!$O:$O,'Daily Issuance'!$I:$I,$A44,'Daily Issuance'!$E:$E,"Non Inventory",'Daily Issuance'!$B:$B,"&gt;="&amp;DATE(2026,5,1),'Daily Issuance'!$B:$B,"&lt;"&amp;DATE(2026,6,1)),0)</f>
        <v>0</v>
      </c>
      <c r="D44" s="91">
        <f>IFERROR(SUMIFS('Daily Issuance'!$O:$O,'Daily Issuance'!$I:$I,$A44,'Daily Issuance'!$E:$E,"Services",'Daily Issuance'!$B:$B,"&gt;="&amp;DATE(2026,5,1),'Daily Issuance'!$B:$B,"&lt;"&amp;DATE(2026,6,1)),0)</f>
        <v>0</v>
      </c>
      <c r="E44" s="91">
        <f>IFERROR(SUMIFS('Daily Issuance'!$O:$O,'Daily Issuance'!$I:$I,$A44,'Daily Issuance'!$E:$E,"Patty Cash",'Daily Issuance'!$B:$B,"&gt;="&amp;DATE(2026,5,1),'Daily Issuance'!$B:$B,"&lt;"&amp;DATE(2026,6,1)),0)</f>
        <v>0</v>
      </c>
      <c r="F44" s="92">
        <f t="shared" si="1"/>
        <v>0</v>
      </c>
      <c r="G44" s="93">
        <f>IFERROR(SUMIFS('Daily Issuance'!$O$4:$O$991,'Daily Issuance'!$I$4:$I$991,$A44,'Daily Issuance'!$E$4:$E$991,"Inventory",'Daily Issuance'!$B$4:$B$991,"&gt;="&amp;DATE(2026,6,1),'Daily Issuance'!$B$4:$B$991,"&lt;"&amp;DATE(2026,7,1)),0)</f>
        <v>0</v>
      </c>
      <c r="H44" s="93">
        <f>IFERROR(SUMIFS('Daily Issuance'!$O$4:$O$991,'Daily Issuance'!$I$4:$I$991,$A44,'Daily Issuance'!$E$4:$E$991,"Non Inventory",'Daily Issuance'!$B$4:$B$991,"&gt;="&amp;DATE(2026,6,1),'Daily Issuance'!$B$4:$B$991,"&lt;"&amp;DATE(2026,7,1)),0)</f>
        <v>0</v>
      </c>
      <c r="I44" s="93">
        <f>IFERROR(SUMIFS('Daily Issuance'!$O$4:$O$991,'Daily Issuance'!$I$4:$I$991,$A44,'Daily Issuance'!$E$4:$E$991,"Services",'Daily Issuance'!$B$4:$B$991,"&gt;="&amp;DATE(2026,6,1),'Daily Issuance'!$B$4:$B$991,"&lt;"&amp;DATE(2026,7,1)),0)</f>
        <v>0</v>
      </c>
      <c r="J44" s="93">
        <f>IFERROR(SUMIFS('Daily Issuance'!$O:$O,'Daily Issuance'!$I:$I,$A44,'Daily Issuance'!$E:$E,"Patty Cash",'Daily Issuance'!$B:$B,"&gt;="&amp;DATE(2026,6,1),'Daily Issuance'!$B:$B,"&lt;"&amp;DATE(2026,7,1)),0)</f>
        <v>0</v>
      </c>
      <c r="K44" s="92">
        <f t="shared" si="2"/>
        <v>0</v>
      </c>
      <c r="L44" s="94">
        <f>IFERROR(SUMIFS('Daily Issuance'!$O$4:$O$991,'Daily Issuance'!$I$4:$I$991,$A44,'Daily Issuance'!$E$4:$E$991,"Inventory",'Daily Issuance'!$B$4:$B$991,"&gt;="&amp;DATE(2026,7,1),'Daily Issuance'!$B$4:$B$991,"&lt;"&amp;DATE(2026,8,1)),0)</f>
        <v>0</v>
      </c>
      <c r="M44" s="95">
        <f>IFERROR(SUMIFS('Daily Issuance'!$O$4:$O$991,'Daily Issuance'!$I$4:$I$991,$A44,'Daily Issuance'!$E$4:$E$991,"Non Inventory",'Daily Issuance'!$B$4:$B$991,"&gt;="&amp;DATE(2026,7,1),'Daily Issuance'!$B$4:$B$991,"&lt;"&amp;DATE(2026,8,1)),0)</f>
        <v>0</v>
      </c>
      <c r="N44" s="95">
        <f>IFERROR(SUMIFS('Daily Issuance'!$O$4:$O$991,'Daily Issuance'!$I$4:$I$991,$A44,'Daily Issuance'!$E$4:$E$991,"Services",'Daily Issuance'!$B$4:$B$991,"&gt;="&amp;DATE(2026,7,1),'Daily Issuance'!$B$4:$B$991,"&lt;"&amp;DATE(2026,8,1)),0)</f>
        <v>0</v>
      </c>
      <c r="O44" s="95">
        <f>IFERROR(SUMIFS('Daily Issuance'!$O:$O,'Daily Issuance'!$I:$I,$A44,'Daily Issuance'!$E:$E,"Patty Cash",'Daily Issuance'!$B:$B,"&gt;="&amp;DATE(2026,7,1),'Daily Issuance'!$B:$B,"&lt;"&amp;DATE(2026,8,1)),0)</f>
        <v>0</v>
      </c>
      <c r="P44" s="92">
        <f t="shared" si="3"/>
        <v>0</v>
      </c>
      <c r="Q44" s="93">
        <f>IFERROR(SUMIFS('Daily Issuance'!$O$4:$O$991,'Daily Issuance'!$I$4:$I$991,$A44,'Daily Issuance'!$E$4:$E$991,"Inventory",'Daily Issuance'!$B$4:$B$991,"&gt;="&amp;DATE(2026,8,1),'Daily Issuance'!$B$4:$B$991,"&lt;"&amp;DATE(2026,9,1)),0)</f>
        <v>0</v>
      </c>
      <c r="R44" s="93">
        <f>IFERROR(SUMIFS('Daily Issuance'!$O$4:$O$991,'Daily Issuance'!$I$4:$I$991,$A44,'Daily Issuance'!$E$4:$E$991,"Non Inventory",'Daily Issuance'!$B$4:$B$991,"&gt;="&amp;DATE(2026,8,1),'Daily Issuance'!$B$4:$B$991,"&lt;"&amp;DATE(2026,9,1)),0)</f>
        <v>0</v>
      </c>
      <c r="S44" s="93">
        <f>IFERROR(SUMIFS('Daily Issuance'!$O$4:$O$991,'Daily Issuance'!$I$4:$I$991,$A44,'Daily Issuance'!$E$4:$E$991,"Services",'Daily Issuance'!$B$4:$B$991,"&gt;="&amp;DATE(2026,8,1),'Daily Issuance'!$B$4:$B$991,"&lt;"&amp;DATE(2026,9,1)),0)</f>
        <v>0</v>
      </c>
      <c r="T44" s="93">
        <f>IFERROR(SUMIFS('Daily Issuance'!$O:$O,'Daily Issuance'!$I:$I,$A44,'Daily Issuance'!$E:$E,"Patty Cash",'Daily Issuance'!$B:$B,"&gt;="&amp;DATE(2026,8,1),'Daily Issuance'!$B:$B,"&lt;"&amp;DATE(2026,9,1)),0)</f>
        <v>0</v>
      </c>
      <c r="U44" s="92">
        <f t="shared" si="4"/>
        <v>0</v>
      </c>
      <c r="V44" s="95">
        <f>IFERROR(SUMIFS('Daily Issuance'!$O$4:$O$991,'Daily Issuance'!$I$4:$I$991,$A44,'Daily Issuance'!$E$4:$E$991,"Inventory",'Daily Issuance'!$B$4:$B$991,"&gt;="&amp;DATE(2026,9,1),'Daily Issuance'!$B$4:$B$991,"&lt;"&amp;DATE(2026,10,1)),0)</f>
        <v>0</v>
      </c>
      <c r="W44" s="95">
        <f>IFERROR(SUMIFS('Daily Issuance'!$O$4:$O$991,'Daily Issuance'!$I$4:$I$991,$A44,'Daily Issuance'!$E$4:$E$991,"Non Inventory",'Daily Issuance'!$B$4:$B$991,"&gt;="&amp;DATE(2026,9,1),'Daily Issuance'!$B$4:$B$991,"&lt;"&amp;DATE(2026,10,1)),0)</f>
        <v>0</v>
      </c>
      <c r="X44" s="95">
        <f>IFERROR(SUMIFS('Daily Issuance'!$O$4:$O$991,'Daily Issuance'!$I$4:$I$991,$A44,'Daily Issuance'!$E$4:$E$991,"Services",'Daily Issuance'!$B$4:$B$991,"&gt;="&amp;DATE(2026,9,1),'Daily Issuance'!$B$4:$B$991,"&lt;"&amp;DATE(2026,10,1)),0)</f>
        <v>0</v>
      </c>
      <c r="Y44" s="95">
        <f>IFERROR(SUMIFS('Daily Issuance'!$O:$O,'Daily Issuance'!$I:$I,$A44,'Daily Issuance'!$E:$E,"Patty Cash",'Daily Issuance'!$B:$B,"&gt;="&amp;DATE(2026,9,1),'Daily Issuance'!$B:$B,"&lt;"&amp;DATE(2026,10,1)),0)</f>
        <v>0</v>
      </c>
      <c r="Z44" s="92">
        <f t="shared" si="5"/>
        <v>0</v>
      </c>
      <c r="AA44" s="93">
        <f>IFERROR(SUMIFS('Daily Issuance'!$O$4:$O$991,'Daily Issuance'!$I$4:$I$991,$A44,'Daily Issuance'!$E$4:$E$991,"Inventory",'Daily Issuance'!$B$4:$B$991,"&gt;="&amp;DATE(2026,10,1),'Daily Issuance'!$B$4:$B$991,"&lt;"&amp;DATE(2026,11,1)),0)</f>
        <v>0</v>
      </c>
      <c r="AB44" s="93">
        <f>IFERROR(SUMIFS('Daily Issuance'!$O$4:$O$991,'Daily Issuance'!$I$4:$I$991,$A44,'Daily Issuance'!$E$4:$E$991,"Non Inventory",'Daily Issuance'!$B$4:$B$991,"&gt;="&amp;DATE(2026,10,1),'Daily Issuance'!$B$4:$B$991,"&lt;"&amp;DATE(2026,11,1)),0)</f>
        <v>0</v>
      </c>
      <c r="AC44" s="93">
        <f>IFERROR(SUMIFS('Daily Issuance'!$O$4:$O$991,'Daily Issuance'!$I$4:$I$991,$A44,'Daily Issuance'!$E$4:$E$991,"Services",'Daily Issuance'!$B$4:$B$991,"&gt;="&amp;DATE(2026,10,1),'Daily Issuance'!$B$4:$B$991,"&lt;"&amp;DATE(2026,11,1)),0)</f>
        <v>0</v>
      </c>
      <c r="AD44" s="93">
        <f>IFERROR(SUMIFS('Daily Issuance'!$O:$O,'Daily Issuance'!$I:$I,$A44,'Daily Issuance'!$E:$E,"Patty Cash",'Daily Issuance'!$B:$B,"&gt;="&amp;DATE(2026,10,1),'Daily Issuance'!$B:$B,"&lt;"&amp;DATE(2026,11,1)),0)</f>
        <v>0</v>
      </c>
      <c r="AE44" s="92">
        <f t="shared" si="6"/>
        <v>0</v>
      </c>
      <c r="AF44" s="95">
        <f>IFERROR(SUMIFS('Daily Issuance'!$O$4:$O$991,'Daily Issuance'!$I$4:$I$991,$A44,'Daily Issuance'!$E$4:$E$991,"Inventory",'Daily Issuance'!$B$4:$B$991,"&gt;="&amp;DATE(2026,11,1),'Daily Issuance'!$B$4:$B$991,"&lt;"&amp;DATE(2026,12,1)),0)</f>
        <v>0</v>
      </c>
      <c r="AG44" s="95">
        <f>IFERROR(SUMIFS('Daily Issuance'!$O$4:$O$991,'Daily Issuance'!$I$4:$I$991,$A44,'Daily Issuance'!$E$4:$E$991,"Non Inventory",'Daily Issuance'!$B$4:$B$991,"&gt;="&amp;DATE(2026,11,1),'Daily Issuance'!$B$4:$B$991,"&lt;"&amp;DATE(2026,12,1)),0)</f>
        <v>0</v>
      </c>
      <c r="AH44" s="95">
        <f>IFERROR(SUMIFS('Daily Issuance'!$O$4:$O$991,'Daily Issuance'!$I$4:$I$991,$A44,'Daily Issuance'!$E$4:$E$991,"Services",'Daily Issuance'!$B$4:$B$991,"&gt;="&amp;DATE(2026,11,1),'Daily Issuance'!$B$4:$B$991,"&lt;"&amp;DATE(2026,12,1)),0)</f>
        <v>0</v>
      </c>
      <c r="AI44" s="95">
        <f>IFERROR(SUMIFS('Daily Issuance'!$O:$O,'Daily Issuance'!$I:$I,$A44,'Daily Issuance'!$E:$E,"Patty Cash",'Daily Issuance'!$B:$B,"&gt;="&amp;DATE(2026,11,1),'Daily Issuance'!$B:$B,"&lt;"&amp;DATE(2026,12,1)),0)</f>
        <v>0</v>
      </c>
      <c r="AJ44" s="92">
        <f t="shared" si="7"/>
        <v>0</v>
      </c>
      <c r="AK44" s="93">
        <f>IFERROR(SUMIFS('Daily Issuance'!$O$4:$O$991,'Daily Issuance'!$I$4:$I$991,$A44,'Daily Issuance'!$E$4:$E$991,"Inventory",'Daily Issuance'!$B$4:$B$991,"&gt;="&amp;DATE(2026,12,1),'Daily Issuance'!$B$4:$B$991,"&lt;"&amp;DATE(2027,1,1)),0)</f>
        <v>0</v>
      </c>
      <c r="AL44" s="93">
        <f>IFERROR(SUMIFS('Daily Issuance'!$O$4:$O$991,'Daily Issuance'!$I$4:$I$991,$A44,'Daily Issuance'!$E$4:$E$991,"Non Inventory",'Daily Issuance'!$B$4:$B$991,"&gt;="&amp;DATE(2026,12,1),'Daily Issuance'!$B$4:$B$991,"&lt;"&amp;DATE(2027,1,1)),0)</f>
        <v>0</v>
      </c>
      <c r="AM44" s="93">
        <f>IFERROR(SUMIFS('Daily Issuance'!$O$4:$O$991,'Daily Issuance'!$I$4:$I$991,$A44,'Daily Issuance'!$E$4:$E$991,"Services",'Daily Issuance'!$B$4:$B$991,"&gt;="&amp;DATE(2026,12,1),'Daily Issuance'!$B$4:$B$991,"&lt;"&amp;DATE(2027,1,1)),0)</f>
        <v>0</v>
      </c>
      <c r="AN44" s="93">
        <f>IFERROR(SUMIFS('Daily Issuance'!$O:$O,'Daily Issuance'!$I:$I,$A44,'Daily Issuance'!$E:$E,"Patty Cash",'Daily Issuance'!$B:$B,"&gt;="&amp;DATE(2026,12,1),'Daily Issuance'!$B:$B,"&lt;"&amp;DATE(2027,1,1)),0)</f>
        <v>0</v>
      </c>
      <c r="AO44" s="92">
        <f t="shared" si="8"/>
        <v>0</v>
      </c>
      <c r="AP44" s="103">
        <f t="shared" si="9"/>
        <v>0</v>
      </c>
    </row>
    <row r="45" spans="1:42" ht="21" customHeight="1">
      <c r="A45" s="90" t="s">
        <v>72</v>
      </c>
      <c r="B45" s="91">
        <f>IFERROR(SUMIFS('Daily Issuance'!$O:$O,'Daily Issuance'!$I:$I,$A45,'Daily Issuance'!$E:$E,"Inventory",'Daily Issuance'!$B:$B,"&gt;="&amp;DATE(2026,5,1),'Daily Issuance'!$B:$B,"&lt;"&amp;DATE(2026,6,1)),0)</f>
        <v>3000</v>
      </c>
      <c r="C45" s="91">
        <f>IFERROR(SUMIFS('Daily Issuance'!$O:$O,'Daily Issuance'!$I:$I,$A45,'Daily Issuance'!$E:$E,"Non Inventory",'Daily Issuance'!$B:$B,"&gt;="&amp;DATE(2026,5,1),'Daily Issuance'!$B:$B,"&lt;"&amp;DATE(2026,6,1)),0)</f>
        <v>0</v>
      </c>
      <c r="D45" s="91">
        <f>IFERROR(SUMIFS('Daily Issuance'!$O:$O,'Daily Issuance'!$I:$I,$A45,'Daily Issuance'!$E:$E,"Services",'Daily Issuance'!$B:$B,"&gt;="&amp;DATE(2026,5,1),'Daily Issuance'!$B:$B,"&lt;"&amp;DATE(2026,6,1)),0)</f>
        <v>0</v>
      </c>
      <c r="E45" s="91">
        <f>IFERROR(SUMIFS('Daily Issuance'!$O:$O,'Daily Issuance'!$I:$I,$A45,'Daily Issuance'!$E:$E,"Patty Cash",'Daily Issuance'!$B:$B,"&gt;="&amp;DATE(2026,5,1),'Daily Issuance'!$B:$B,"&lt;"&amp;DATE(2026,6,1)),0)</f>
        <v>0</v>
      </c>
      <c r="F45" s="92">
        <f t="shared" si="1"/>
        <v>3000</v>
      </c>
      <c r="G45" s="93">
        <f>IFERROR(SUMIFS('Daily Issuance'!$O$4:$O$991,'Daily Issuance'!$I$4:$I$991,$A45,'Daily Issuance'!$E$4:$E$991,"Inventory",'Daily Issuance'!$B$4:$B$991,"&gt;="&amp;DATE(2026,6,1),'Daily Issuance'!$B$4:$B$991,"&lt;"&amp;DATE(2026,7,1)),0)</f>
        <v>0</v>
      </c>
      <c r="H45" s="93">
        <f>IFERROR(SUMIFS('Daily Issuance'!$O$4:$O$991,'Daily Issuance'!$I$4:$I$991,$A45,'Daily Issuance'!$E$4:$E$991,"Non Inventory",'Daily Issuance'!$B$4:$B$991,"&gt;="&amp;DATE(2026,6,1),'Daily Issuance'!$B$4:$B$991,"&lt;"&amp;DATE(2026,7,1)),0)</f>
        <v>0</v>
      </c>
      <c r="I45" s="93">
        <f>IFERROR(SUMIFS('Daily Issuance'!$O$4:$O$991,'Daily Issuance'!$I$4:$I$991,$A45,'Daily Issuance'!$E$4:$E$991,"Services",'Daily Issuance'!$B$4:$B$991,"&gt;="&amp;DATE(2026,6,1),'Daily Issuance'!$B$4:$B$991,"&lt;"&amp;DATE(2026,7,1)),0)</f>
        <v>0</v>
      </c>
      <c r="J45" s="93">
        <f>IFERROR(SUMIFS('Daily Issuance'!$O:$O,'Daily Issuance'!$I:$I,$A45,'Daily Issuance'!$E:$E,"Patty Cash",'Daily Issuance'!$B:$B,"&gt;="&amp;DATE(2026,6,1),'Daily Issuance'!$B:$B,"&lt;"&amp;DATE(2026,7,1)),0)</f>
        <v>0</v>
      </c>
      <c r="K45" s="92">
        <f t="shared" si="2"/>
        <v>0</v>
      </c>
      <c r="L45" s="94">
        <f>IFERROR(SUMIFS('Daily Issuance'!$O$4:$O$991,'Daily Issuance'!$I$4:$I$991,$A45,'Daily Issuance'!$E$4:$E$991,"Inventory",'Daily Issuance'!$B$4:$B$991,"&gt;="&amp;DATE(2026,7,1),'Daily Issuance'!$B$4:$B$991,"&lt;"&amp;DATE(2026,8,1)),0)</f>
        <v>0</v>
      </c>
      <c r="M45" s="95">
        <f>IFERROR(SUMIFS('Daily Issuance'!$O$4:$O$991,'Daily Issuance'!$I$4:$I$991,$A45,'Daily Issuance'!$E$4:$E$991,"Non Inventory",'Daily Issuance'!$B$4:$B$991,"&gt;="&amp;DATE(2026,7,1),'Daily Issuance'!$B$4:$B$991,"&lt;"&amp;DATE(2026,8,1)),0)</f>
        <v>0</v>
      </c>
      <c r="N45" s="95">
        <f>IFERROR(SUMIFS('Daily Issuance'!$O$4:$O$991,'Daily Issuance'!$I$4:$I$991,$A45,'Daily Issuance'!$E$4:$E$991,"Services",'Daily Issuance'!$B$4:$B$991,"&gt;="&amp;DATE(2026,7,1),'Daily Issuance'!$B$4:$B$991,"&lt;"&amp;DATE(2026,8,1)),0)</f>
        <v>0</v>
      </c>
      <c r="O45" s="95">
        <f>IFERROR(SUMIFS('Daily Issuance'!$O:$O,'Daily Issuance'!$I:$I,$A45,'Daily Issuance'!$E:$E,"Patty Cash",'Daily Issuance'!$B:$B,"&gt;="&amp;DATE(2026,7,1),'Daily Issuance'!$B:$B,"&lt;"&amp;DATE(2026,8,1)),0)</f>
        <v>0</v>
      </c>
      <c r="P45" s="92">
        <f t="shared" si="3"/>
        <v>0</v>
      </c>
      <c r="Q45" s="93">
        <f>IFERROR(SUMIFS('Daily Issuance'!$O$4:$O$991,'Daily Issuance'!$I$4:$I$991,$A45,'Daily Issuance'!$E$4:$E$991,"Inventory",'Daily Issuance'!$B$4:$B$991,"&gt;="&amp;DATE(2026,8,1),'Daily Issuance'!$B$4:$B$991,"&lt;"&amp;DATE(2026,9,1)),0)</f>
        <v>0</v>
      </c>
      <c r="R45" s="93">
        <f>IFERROR(SUMIFS('Daily Issuance'!$O$4:$O$991,'Daily Issuance'!$I$4:$I$991,$A45,'Daily Issuance'!$E$4:$E$991,"Non Inventory",'Daily Issuance'!$B$4:$B$991,"&gt;="&amp;DATE(2026,8,1),'Daily Issuance'!$B$4:$B$991,"&lt;"&amp;DATE(2026,9,1)),0)</f>
        <v>0</v>
      </c>
      <c r="S45" s="93">
        <f>IFERROR(SUMIFS('Daily Issuance'!$O$4:$O$991,'Daily Issuance'!$I$4:$I$991,$A45,'Daily Issuance'!$E$4:$E$991,"Services",'Daily Issuance'!$B$4:$B$991,"&gt;="&amp;DATE(2026,8,1),'Daily Issuance'!$B$4:$B$991,"&lt;"&amp;DATE(2026,9,1)),0)</f>
        <v>0</v>
      </c>
      <c r="T45" s="93">
        <f>IFERROR(SUMIFS('Daily Issuance'!$O:$O,'Daily Issuance'!$I:$I,$A45,'Daily Issuance'!$E:$E,"Patty Cash",'Daily Issuance'!$B:$B,"&gt;="&amp;DATE(2026,8,1),'Daily Issuance'!$B:$B,"&lt;"&amp;DATE(2026,9,1)),0)</f>
        <v>0</v>
      </c>
      <c r="U45" s="92">
        <f t="shared" si="4"/>
        <v>0</v>
      </c>
      <c r="V45" s="95">
        <f>IFERROR(SUMIFS('Daily Issuance'!$O$4:$O$991,'Daily Issuance'!$I$4:$I$991,$A45,'Daily Issuance'!$E$4:$E$991,"Inventory",'Daily Issuance'!$B$4:$B$991,"&gt;="&amp;DATE(2026,9,1),'Daily Issuance'!$B$4:$B$991,"&lt;"&amp;DATE(2026,10,1)),0)</f>
        <v>0</v>
      </c>
      <c r="W45" s="95">
        <f>IFERROR(SUMIFS('Daily Issuance'!$O$4:$O$991,'Daily Issuance'!$I$4:$I$991,$A45,'Daily Issuance'!$E$4:$E$991,"Non Inventory",'Daily Issuance'!$B$4:$B$991,"&gt;="&amp;DATE(2026,9,1),'Daily Issuance'!$B$4:$B$991,"&lt;"&amp;DATE(2026,10,1)),0)</f>
        <v>0</v>
      </c>
      <c r="X45" s="95">
        <f>IFERROR(SUMIFS('Daily Issuance'!$O$4:$O$991,'Daily Issuance'!$I$4:$I$991,$A45,'Daily Issuance'!$E$4:$E$991,"Services",'Daily Issuance'!$B$4:$B$991,"&gt;="&amp;DATE(2026,9,1),'Daily Issuance'!$B$4:$B$991,"&lt;"&amp;DATE(2026,10,1)),0)</f>
        <v>0</v>
      </c>
      <c r="Y45" s="95">
        <f>IFERROR(SUMIFS('Daily Issuance'!$O:$O,'Daily Issuance'!$I:$I,$A45,'Daily Issuance'!$E:$E,"Patty Cash",'Daily Issuance'!$B:$B,"&gt;="&amp;DATE(2026,9,1),'Daily Issuance'!$B:$B,"&lt;"&amp;DATE(2026,10,1)),0)</f>
        <v>0</v>
      </c>
      <c r="Z45" s="92">
        <f t="shared" si="5"/>
        <v>0</v>
      </c>
      <c r="AA45" s="93">
        <f>IFERROR(SUMIFS('Daily Issuance'!$O$4:$O$991,'Daily Issuance'!$I$4:$I$991,$A45,'Daily Issuance'!$E$4:$E$991,"Inventory",'Daily Issuance'!$B$4:$B$991,"&gt;="&amp;DATE(2026,10,1),'Daily Issuance'!$B$4:$B$991,"&lt;"&amp;DATE(2026,11,1)),0)</f>
        <v>0</v>
      </c>
      <c r="AB45" s="93">
        <f>IFERROR(SUMIFS('Daily Issuance'!$O$4:$O$991,'Daily Issuance'!$I$4:$I$991,$A45,'Daily Issuance'!$E$4:$E$991,"Non Inventory",'Daily Issuance'!$B$4:$B$991,"&gt;="&amp;DATE(2026,10,1),'Daily Issuance'!$B$4:$B$991,"&lt;"&amp;DATE(2026,11,1)),0)</f>
        <v>0</v>
      </c>
      <c r="AC45" s="93">
        <f>IFERROR(SUMIFS('Daily Issuance'!$O$4:$O$991,'Daily Issuance'!$I$4:$I$991,$A45,'Daily Issuance'!$E$4:$E$991,"Services",'Daily Issuance'!$B$4:$B$991,"&gt;="&amp;DATE(2026,10,1),'Daily Issuance'!$B$4:$B$991,"&lt;"&amp;DATE(2026,11,1)),0)</f>
        <v>0</v>
      </c>
      <c r="AD45" s="93">
        <f>IFERROR(SUMIFS('Daily Issuance'!$O:$O,'Daily Issuance'!$I:$I,$A45,'Daily Issuance'!$E:$E,"Patty Cash",'Daily Issuance'!$B:$B,"&gt;="&amp;DATE(2026,10,1),'Daily Issuance'!$B:$B,"&lt;"&amp;DATE(2026,11,1)),0)</f>
        <v>0</v>
      </c>
      <c r="AE45" s="92">
        <f t="shared" si="6"/>
        <v>0</v>
      </c>
      <c r="AF45" s="95">
        <f>IFERROR(SUMIFS('Daily Issuance'!$O$4:$O$991,'Daily Issuance'!$I$4:$I$991,$A45,'Daily Issuance'!$E$4:$E$991,"Inventory",'Daily Issuance'!$B$4:$B$991,"&gt;="&amp;DATE(2026,11,1),'Daily Issuance'!$B$4:$B$991,"&lt;"&amp;DATE(2026,12,1)),0)</f>
        <v>0</v>
      </c>
      <c r="AG45" s="95">
        <f>IFERROR(SUMIFS('Daily Issuance'!$O$4:$O$991,'Daily Issuance'!$I$4:$I$991,$A45,'Daily Issuance'!$E$4:$E$991,"Non Inventory",'Daily Issuance'!$B$4:$B$991,"&gt;="&amp;DATE(2026,11,1),'Daily Issuance'!$B$4:$B$991,"&lt;"&amp;DATE(2026,12,1)),0)</f>
        <v>0</v>
      </c>
      <c r="AH45" s="95">
        <f>IFERROR(SUMIFS('Daily Issuance'!$O$4:$O$991,'Daily Issuance'!$I$4:$I$991,$A45,'Daily Issuance'!$E$4:$E$991,"Services",'Daily Issuance'!$B$4:$B$991,"&gt;="&amp;DATE(2026,11,1),'Daily Issuance'!$B$4:$B$991,"&lt;"&amp;DATE(2026,12,1)),0)</f>
        <v>0</v>
      </c>
      <c r="AI45" s="95">
        <f>IFERROR(SUMIFS('Daily Issuance'!$O:$O,'Daily Issuance'!$I:$I,$A45,'Daily Issuance'!$E:$E,"Patty Cash",'Daily Issuance'!$B:$B,"&gt;="&amp;DATE(2026,11,1),'Daily Issuance'!$B:$B,"&lt;"&amp;DATE(2026,12,1)),0)</f>
        <v>0</v>
      </c>
      <c r="AJ45" s="92">
        <f t="shared" si="7"/>
        <v>0</v>
      </c>
      <c r="AK45" s="93">
        <f>IFERROR(SUMIFS('Daily Issuance'!$O$4:$O$991,'Daily Issuance'!$I$4:$I$991,$A45,'Daily Issuance'!$E$4:$E$991,"Inventory",'Daily Issuance'!$B$4:$B$991,"&gt;="&amp;DATE(2026,12,1),'Daily Issuance'!$B$4:$B$991,"&lt;"&amp;DATE(2027,1,1)),0)</f>
        <v>0</v>
      </c>
      <c r="AL45" s="93">
        <f>IFERROR(SUMIFS('Daily Issuance'!$O$4:$O$991,'Daily Issuance'!$I$4:$I$991,$A45,'Daily Issuance'!$E$4:$E$991,"Non Inventory",'Daily Issuance'!$B$4:$B$991,"&gt;="&amp;DATE(2026,12,1),'Daily Issuance'!$B$4:$B$991,"&lt;"&amp;DATE(2027,1,1)),0)</f>
        <v>0</v>
      </c>
      <c r="AM45" s="93">
        <f>IFERROR(SUMIFS('Daily Issuance'!$O$4:$O$991,'Daily Issuance'!$I$4:$I$991,$A45,'Daily Issuance'!$E$4:$E$991,"Services",'Daily Issuance'!$B$4:$B$991,"&gt;="&amp;DATE(2026,12,1),'Daily Issuance'!$B$4:$B$991,"&lt;"&amp;DATE(2027,1,1)),0)</f>
        <v>0</v>
      </c>
      <c r="AN45" s="93">
        <f>IFERROR(SUMIFS('Daily Issuance'!$O:$O,'Daily Issuance'!$I:$I,$A45,'Daily Issuance'!$E:$E,"Patty Cash",'Daily Issuance'!$B:$B,"&gt;="&amp;DATE(2026,12,1),'Daily Issuance'!$B:$B,"&lt;"&amp;DATE(2027,1,1)),0)</f>
        <v>0</v>
      </c>
      <c r="AO45" s="92">
        <f t="shared" si="8"/>
        <v>0</v>
      </c>
      <c r="AP45" s="103">
        <f t="shared" si="9"/>
        <v>3000</v>
      </c>
    </row>
    <row r="46" spans="1:42" ht="21" customHeight="1">
      <c r="A46" s="90" t="s">
        <v>73</v>
      </c>
      <c r="B46" s="91">
        <f>IFERROR(SUMIFS('Daily Issuance'!$O:$O,'Daily Issuance'!$I:$I,$A46,'Daily Issuance'!$E:$E,"Inventory",'Daily Issuance'!$B:$B,"&gt;="&amp;DATE(2026,5,1),'Daily Issuance'!$B:$B,"&lt;"&amp;DATE(2026,6,1)),0)</f>
        <v>0</v>
      </c>
      <c r="C46" s="91">
        <f>IFERROR(SUMIFS('Daily Issuance'!$O:$O,'Daily Issuance'!$I:$I,$A46,'Daily Issuance'!$E:$E,"Non Inventory",'Daily Issuance'!$B:$B,"&gt;="&amp;DATE(2026,5,1),'Daily Issuance'!$B:$B,"&lt;"&amp;DATE(2026,6,1)),0)</f>
        <v>0</v>
      </c>
      <c r="D46" s="91">
        <f>IFERROR(SUMIFS('Daily Issuance'!$O:$O,'Daily Issuance'!$I:$I,$A46,'Daily Issuance'!$E:$E,"Services",'Daily Issuance'!$B:$B,"&gt;="&amp;DATE(2026,5,1),'Daily Issuance'!$B:$B,"&lt;"&amp;DATE(2026,6,1)),0)</f>
        <v>0</v>
      </c>
      <c r="E46" s="91">
        <f>IFERROR(SUMIFS('Daily Issuance'!$O:$O,'Daily Issuance'!$I:$I,$A46,'Daily Issuance'!$E:$E,"Patty Cash",'Daily Issuance'!$B:$B,"&gt;="&amp;DATE(2026,5,1),'Daily Issuance'!$B:$B,"&lt;"&amp;DATE(2026,6,1)),0)</f>
        <v>0</v>
      </c>
      <c r="F46" s="92">
        <f t="shared" si="1"/>
        <v>0</v>
      </c>
      <c r="G46" s="93">
        <f>IFERROR(SUMIFS('Daily Issuance'!$O$4:$O$991,'Daily Issuance'!$I$4:$I$991,$A46,'Daily Issuance'!$E$4:$E$991,"Inventory",'Daily Issuance'!$B$4:$B$991,"&gt;="&amp;DATE(2026,6,1),'Daily Issuance'!$B$4:$B$991,"&lt;"&amp;DATE(2026,7,1)),0)</f>
        <v>0</v>
      </c>
      <c r="H46" s="93">
        <f>IFERROR(SUMIFS('Daily Issuance'!$O$4:$O$991,'Daily Issuance'!$I$4:$I$991,$A46,'Daily Issuance'!$E$4:$E$991,"Non Inventory",'Daily Issuance'!$B$4:$B$991,"&gt;="&amp;DATE(2026,6,1),'Daily Issuance'!$B$4:$B$991,"&lt;"&amp;DATE(2026,7,1)),0)</f>
        <v>0</v>
      </c>
      <c r="I46" s="93">
        <f>IFERROR(SUMIFS('Daily Issuance'!$O$4:$O$991,'Daily Issuance'!$I$4:$I$991,$A46,'Daily Issuance'!$E$4:$E$991,"Services",'Daily Issuance'!$B$4:$B$991,"&gt;="&amp;DATE(2026,6,1),'Daily Issuance'!$B$4:$B$991,"&lt;"&amp;DATE(2026,7,1)),0)</f>
        <v>0</v>
      </c>
      <c r="J46" s="93">
        <f>IFERROR(SUMIFS('Daily Issuance'!$O:$O,'Daily Issuance'!$I:$I,$A46,'Daily Issuance'!$E:$E,"Patty Cash",'Daily Issuance'!$B:$B,"&gt;="&amp;DATE(2026,6,1),'Daily Issuance'!$B:$B,"&lt;"&amp;DATE(2026,7,1)),0)</f>
        <v>0</v>
      </c>
      <c r="K46" s="92">
        <f t="shared" si="2"/>
        <v>0</v>
      </c>
      <c r="L46" s="94">
        <f>IFERROR(SUMIFS('Daily Issuance'!$O$4:$O$991,'Daily Issuance'!$I$4:$I$991,$A46,'Daily Issuance'!$E$4:$E$991,"Inventory",'Daily Issuance'!$B$4:$B$991,"&gt;="&amp;DATE(2026,7,1),'Daily Issuance'!$B$4:$B$991,"&lt;"&amp;DATE(2026,8,1)),0)</f>
        <v>0</v>
      </c>
      <c r="M46" s="95">
        <f>IFERROR(SUMIFS('Daily Issuance'!$O$4:$O$991,'Daily Issuance'!$I$4:$I$991,$A46,'Daily Issuance'!$E$4:$E$991,"Non Inventory",'Daily Issuance'!$B$4:$B$991,"&gt;="&amp;DATE(2026,7,1),'Daily Issuance'!$B$4:$B$991,"&lt;"&amp;DATE(2026,8,1)),0)</f>
        <v>0</v>
      </c>
      <c r="N46" s="95">
        <f>IFERROR(SUMIFS('Daily Issuance'!$O$4:$O$991,'Daily Issuance'!$I$4:$I$991,$A46,'Daily Issuance'!$E$4:$E$991,"Services",'Daily Issuance'!$B$4:$B$991,"&gt;="&amp;DATE(2026,7,1),'Daily Issuance'!$B$4:$B$991,"&lt;"&amp;DATE(2026,8,1)),0)</f>
        <v>0</v>
      </c>
      <c r="O46" s="95">
        <f>IFERROR(SUMIFS('Daily Issuance'!$O:$O,'Daily Issuance'!$I:$I,$A46,'Daily Issuance'!$E:$E,"Patty Cash",'Daily Issuance'!$B:$B,"&gt;="&amp;DATE(2026,7,1),'Daily Issuance'!$B:$B,"&lt;"&amp;DATE(2026,8,1)),0)</f>
        <v>0</v>
      </c>
      <c r="P46" s="92">
        <f t="shared" si="3"/>
        <v>0</v>
      </c>
      <c r="Q46" s="93">
        <f>IFERROR(SUMIFS('Daily Issuance'!$O$4:$O$991,'Daily Issuance'!$I$4:$I$991,$A46,'Daily Issuance'!$E$4:$E$991,"Inventory",'Daily Issuance'!$B$4:$B$991,"&gt;="&amp;DATE(2026,8,1),'Daily Issuance'!$B$4:$B$991,"&lt;"&amp;DATE(2026,9,1)),0)</f>
        <v>0</v>
      </c>
      <c r="R46" s="93">
        <f>IFERROR(SUMIFS('Daily Issuance'!$O$4:$O$991,'Daily Issuance'!$I$4:$I$991,$A46,'Daily Issuance'!$E$4:$E$991,"Non Inventory",'Daily Issuance'!$B$4:$B$991,"&gt;="&amp;DATE(2026,8,1),'Daily Issuance'!$B$4:$B$991,"&lt;"&amp;DATE(2026,9,1)),0)</f>
        <v>0</v>
      </c>
      <c r="S46" s="93">
        <f>IFERROR(SUMIFS('Daily Issuance'!$O$4:$O$991,'Daily Issuance'!$I$4:$I$991,$A46,'Daily Issuance'!$E$4:$E$991,"Services",'Daily Issuance'!$B$4:$B$991,"&gt;="&amp;DATE(2026,8,1),'Daily Issuance'!$B$4:$B$991,"&lt;"&amp;DATE(2026,9,1)),0)</f>
        <v>0</v>
      </c>
      <c r="T46" s="93">
        <f>IFERROR(SUMIFS('Daily Issuance'!$O:$O,'Daily Issuance'!$I:$I,$A46,'Daily Issuance'!$E:$E,"Patty Cash",'Daily Issuance'!$B:$B,"&gt;="&amp;DATE(2026,8,1),'Daily Issuance'!$B:$B,"&lt;"&amp;DATE(2026,9,1)),0)</f>
        <v>0</v>
      </c>
      <c r="U46" s="92">
        <f t="shared" si="4"/>
        <v>0</v>
      </c>
      <c r="V46" s="95">
        <f>IFERROR(SUMIFS('Daily Issuance'!$O$4:$O$991,'Daily Issuance'!$I$4:$I$991,$A46,'Daily Issuance'!$E$4:$E$991,"Inventory",'Daily Issuance'!$B$4:$B$991,"&gt;="&amp;DATE(2026,9,1),'Daily Issuance'!$B$4:$B$991,"&lt;"&amp;DATE(2026,10,1)),0)</f>
        <v>0</v>
      </c>
      <c r="W46" s="95">
        <f>IFERROR(SUMIFS('Daily Issuance'!$O$4:$O$991,'Daily Issuance'!$I$4:$I$991,$A46,'Daily Issuance'!$E$4:$E$991,"Non Inventory",'Daily Issuance'!$B$4:$B$991,"&gt;="&amp;DATE(2026,9,1),'Daily Issuance'!$B$4:$B$991,"&lt;"&amp;DATE(2026,10,1)),0)</f>
        <v>0</v>
      </c>
      <c r="X46" s="95">
        <f>IFERROR(SUMIFS('Daily Issuance'!$O$4:$O$991,'Daily Issuance'!$I$4:$I$991,$A46,'Daily Issuance'!$E$4:$E$991,"Services",'Daily Issuance'!$B$4:$B$991,"&gt;="&amp;DATE(2026,9,1),'Daily Issuance'!$B$4:$B$991,"&lt;"&amp;DATE(2026,10,1)),0)</f>
        <v>0</v>
      </c>
      <c r="Y46" s="95">
        <f>IFERROR(SUMIFS('Daily Issuance'!$O:$O,'Daily Issuance'!$I:$I,$A46,'Daily Issuance'!$E:$E,"Patty Cash",'Daily Issuance'!$B:$B,"&gt;="&amp;DATE(2026,9,1),'Daily Issuance'!$B:$B,"&lt;"&amp;DATE(2026,10,1)),0)</f>
        <v>0</v>
      </c>
      <c r="Z46" s="92">
        <f t="shared" si="5"/>
        <v>0</v>
      </c>
      <c r="AA46" s="93">
        <f>IFERROR(SUMIFS('Daily Issuance'!$O$4:$O$991,'Daily Issuance'!$I$4:$I$991,$A46,'Daily Issuance'!$E$4:$E$991,"Inventory",'Daily Issuance'!$B$4:$B$991,"&gt;="&amp;DATE(2026,10,1),'Daily Issuance'!$B$4:$B$991,"&lt;"&amp;DATE(2026,11,1)),0)</f>
        <v>0</v>
      </c>
      <c r="AB46" s="93">
        <f>IFERROR(SUMIFS('Daily Issuance'!$O$4:$O$991,'Daily Issuance'!$I$4:$I$991,$A46,'Daily Issuance'!$E$4:$E$991,"Non Inventory",'Daily Issuance'!$B$4:$B$991,"&gt;="&amp;DATE(2026,10,1),'Daily Issuance'!$B$4:$B$991,"&lt;"&amp;DATE(2026,11,1)),0)</f>
        <v>0</v>
      </c>
      <c r="AC46" s="93">
        <f>IFERROR(SUMIFS('Daily Issuance'!$O$4:$O$991,'Daily Issuance'!$I$4:$I$991,$A46,'Daily Issuance'!$E$4:$E$991,"Services",'Daily Issuance'!$B$4:$B$991,"&gt;="&amp;DATE(2026,10,1),'Daily Issuance'!$B$4:$B$991,"&lt;"&amp;DATE(2026,11,1)),0)</f>
        <v>0</v>
      </c>
      <c r="AD46" s="93">
        <f>IFERROR(SUMIFS('Daily Issuance'!$O:$O,'Daily Issuance'!$I:$I,$A46,'Daily Issuance'!$E:$E,"Patty Cash",'Daily Issuance'!$B:$B,"&gt;="&amp;DATE(2026,10,1),'Daily Issuance'!$B:$B,"&lt;"&amp;DATE(2026,11,1)),0)</f>
        <v>0</v>
      </c>
      <c r="AE46" s="92">
        <f t="shared" si="6"/>
        <v>0</v>
      </c>
      <c r="AF46" s="95">
        <f>IFERROR(SUMIFS('Daily Issuance'!$O$4:$O$991,'Daily Issuance'!$I$4:$I$991,$A46,'Daily Issuance'!$E$4:$E$991,"Inventory",'Daily Issuance'!$B$4:$B$991,"&gt;="&amp;DATE(2026,11,1),'Daily Issuance'!$B$4:$B$991,"&lt;"&amp;DATE(2026,12,1)),0)</f>
        <v>0</v>
      </c>
      <c r="AG46" s="95">
        <f>IFERROR(SUMIFS('Daily Issuance'!$O$4:$O$991,'Daily Issuance'!$I$4:$I$991,$A46,'Daily Issuance'!$E$4:$E$991,"Non Inventory",'Daily Issuance'!$B$4:$B$991,"&gt;="&amp;DATE(2026,11,1),'Daily Issuance'!$B$4:$B$991,"&lt;"&amp;DATE(2026,12,1)),0)</f>
        <v>0</v>
      </c>
      <c r="AH46" s="95">
        <f>IFERROR(SUMIFS('Daily Issuance'!$O$4:$O$991,'Daily Issuance'!$I$4:$I$991,$A46,'Daily Issuance'!$E$4:$E$991,"Services",'Daily Issuance'!$B$4:$B$991,"&gt;="&amp;DATE(2026,11,1),'Daily Issuance'!$B$4:$B$991,"&lt;"&amp;DATE(2026,12,1)),0)</f>
        <v>0</v>
      </c>
      <c r="AI46" s="95">
        <f>IFERROR(SUMIFS('Daily Issuance'!$O:$O,'Daily Issuance'!$I:$I,$A46,'Daily Issuance'!$E:$E,"Patty Cash",'Daily Issuance'!$B:$B,"&gt;="&amp;DATE(2026,11,1),'Daily Issuance'!$B:$B,"&lt;"&amp;DATE(2026,12,1)),0)</f>
        <v>0</v>
      </c>
      <c r="AJ46" s="92">
        <f t="shared" si="7"/>
        <v>0</v>
      </c>
      <c r="AK46" s="93">
        <f>IFERROR(SUMIFS('Daily Issuance'!$O$4:$O$991,'Daily Issuance'!$I$4:$I$991,$A46,'Daily Issuance'!$E$4:$E$991,"Inventory",'Daily Issuance'!$B$4:$B$991,"&gt;="&amp;DATE(2026,12,1),'Daily Issuance'!$B$4:$B$991,"&lt;"&amp;DATE(2027,1,1)),0)</f>
        <v>0</v>
      </c>
      <c r="AL46" s="93">
        <f>IFERROR(SUMIFS('Daily Issuance'!$O$4:$O$991,'Daily Issuance'!$I$4:$I$991,$A46,'Daily Issuance'!$E$4:$E$991,"Non Inventory",'Daily Issuance'!$B$4:$B$991,"&gt;="&amp;DATE(2026,12,1),'Daily Issuance'!$B$4:$B$991,"&lt;"&amp;DATE(2027,1,1)),0)</f>
        <v>0</v>
      </c>
      <c r="AM46" s="93">
        <f>IFERROR(SUMIFS('Daily Issuance'!$O$4:$O$991,'Daily Issuance'!$I$4:$I$991,$A46,'Daily Issuance'!$E$4:$E$991,"Services",'Daily Issuance'!$B$4:$B$991,"&gt;="&amp;DATE(2026,12,1),'Daily Issuance'!$B$4:$B$991,"&lt;"&amp;DATE(2027,1,1)),0)</f>
        <v>0</v>
      </c>
      <c r="AN46" s="93">
        <f>IFERROR(SUMIFS('Daily Issuance'!$O:$O,'Daily Issuance'!$I:$I,$A46,'Daily Issuance'!$E:$E,"Patty Cash",'Daily Issuance'!$B:$B,"&gt;="&amp;DATE(2026,12,1),'Daily Issuance'!$B:$B,"&lt;"&amp;DATE(2027,1,1)),0)</f>
        <v>0</v>
      </c>
      <c r="AO46" s="92">
        <f t="shared" si="8"/>
        <v>0</v>
      </c>
      <c r="AP46" s="103">
        <f t="shared" si="9"/>
        <v>0</v>
      </c>
    </row>
    <row r="47" spans="1:42" ht="21" customHeight="1">
      <c r="A47" s="90" t="s">
        <v>74</v>
      </c>
      <c r="B47" s="91">
        <f>IFERROR(SUMIFS('Daily Issuance'!$O:$O,'Daily Issuance'!$I:$I,$A47,'Daily Issuance'!$E:$E,"Inventory",'Daily Issuance'!$B:$B,"&gt;="&amp;DATE(2026,5,1),'Daily Issuance'!$B:$B,"&lt;"&amp;DATE(2026,6,1)),0)</f>
        <v>900</v>
      </c>
      <c r="C47" s="91">
        <f>IFERROR(SUMIFS('Daily Issuance'!$O:$O,'Daily Issuance'!$I:$I,$A47,'Daily Issuance'!$E:$E,"Non Inventory",'Daily Issuance'!$B:$B,"&gt;="&amp;DATE(2026,5,1),'Daily Issuance'!$B:$B,"&lt;"&amp;DATE(2026,6,1)),0)</f>
        <v>0</v>
      </c>
      <c r="D47" s="91">
        <f>IFERROR(SUMIFS('Daily Issuance'!$O:$O,'Daily Issuance'!$I:$I,$A47,'Daily Issuance'!$E:$E,"Services",'Daily Issuance'!$B:$B,"&gt;="&amp;DATE(2026,5,1),'Daily Issuance'!$B:$B,"&lt;"&amp;DATE(2026,6,1)),0)</f>
        <v>0</v>
      </c>
      <c r="E47" s="91">
        <f>IFERROR(SUMIFS('Daily Issuance'!$O:$O,'Daily Issuance'!$I:$I,$A47,'Daily Issuance'!$E:$E,"Patty Cash",'Daily Issuance'!$B:$B,"&gt;="&amp;DATE(2026,5,1),'Daily Issuance'!$B:$B,"&lt;"&amp;DATE(2026,6,1)),0)</f>
        <v>0</v>
      </c>
      <c r="F47" s="92">
        <f t="shared" si="1"/>
        <v>900</v>
      </c>
      <c r="G47" s="93">
        <f>IFERROR(SUMIFS('Daily Issuance'!$O$4:$O$991,'Daily Issuance'!$I$4:$I$991,$A47,'Daily Issuance'!$E$4:$E$991,"Inventory",'Daily Issuance'!$B$4:$B$991,"&gt;="&amp;DATE(2026,6,1),'Daily Issuance'!$B$4:$B$991,"&lt;"&amp;DATE(2026,7,1)),0)</f>
        <v>0</v>
      </c>
      <c r="H47" s="93">
        <f>IFERROR(SUMIFS('Daily Issuance'!$O$4:$O$991,'Daily Issuance'!$I$4:$I$991,$A47,'Daily Issuance'!$E$4:$E$991,"Non Inventory",'Daily Issuance'!$B$4:$B$991,"&gt;="&amp;DATE(2026,6,1),'Daily Issuance'!$B$4:$B$991,"&lt;"&amp;DATE(2026,7,1)),0)</f>
        <v>0</v>
      </c>
      <c r="I47" s="93">
        <f>IFERROR(SUMIFS('Daily Issuance'!$O$4:$O$991,'Daily Issuance'!$I$4:$I$991,$A47,'Daily Issuance'!$E$4:$E$991,"Services",'Daily Issuance'!$B$4:$B$991,"&gt;="&amp;DATE(2026,6,1),'Daily Issuance'!$B$4:$B$991,"&lt;"&amp;DATE(2026,7,1)),0)</f>
        <v>0</v>
      </c>
      <c r="J47" s="93">
        <f>IFERROR(SUMIFS('Daily Issuance'!$O:$O,'Daily Issuance'!$I:$I,$A47,'Daily Issuance'!$E:$E,"Patty Cash",'Daily Issuance'!$B:$B,"&gt;="&amp;DATE(2026,6,1),'Daily Issuance'!$B:$B,"&lt;"&amp;DATE(2026,7,1)),0)</f>
        <v>0</v>
      </c>
      <c r="K47" s="92">
        <f t="shared" si="2"/>
        <v>0</v>
      </c>
      <c r="L47" s="94">
        <f>IFERROR(SUMIFS('Daily Issuance'!$O$4:$O$991,'Daily Issuance'!$I$4:$I$991,$A47,'Daily Issuance'!$E$4:$E$991,"Inventory",'Daily Issuance'!$B$4:$B$991,"&gt;="&amp;DATE(2026,7,1),'Daily Issuance'!$B$4:$B$991,"&lt;"&amp;DATE(2026,8,1)),0)</f>
        <v>0</v>
      </c>
      <c r="M47" s="95">
        <f>IFERROR(SUMIFS('Daily Issuance'!$O$4:$O$991,'Daily Issuance'!$I$4:$I$991,$A47,'Daily Issuance'!$E$4:$E$991,"Non Inventory",'Daily Issuance'!$B$4:$B$991,"&gt;="&amp;DATE(2026,7,1),'Daily Issuance'!$B$4:$B$991,"&lt;"&amp;DATE(2026,8,1)),0)</f>
        <v>0</v>
      </c>
      <c r="N47" s="95">
        <f>IFERROR(SUMIFS('Daily Issuance'!$O$4:$O$991,'Daily Issuance'!$I$4:$I$991,$A47,'Daily Issuance'!$E$4:$E$991,"Services",'Daily Issuance'!$B$4:$B$991,"&gt;="&amp;DATE(2026,7,1),'Daily Issuance'!$B$4:$B$991,"&lt;"&amp;DATE(2026,8,1)),0)</f>
        <v>0</v>
      </c>
      <c r="O47" s="95">
        <f>IFERROR(SUMIFS('Daily Issuance'!$O:$O,'Daily Issuance'!$I:$I,$A47,'Daily Issuance'!$E:$E,"Patty Cash",'Daily Issuance'!$B:$B,"&gt;="&amp;DATE(2026,7,1),'Daily Issuance'!$B:$B,"&lt;"&amp;DATE(2026,8,1)),0)</f>
        <v>0</v>
      </c>
      <c r="P47" s="92">
        <f t="shared" si="3"/>
        <v>0</v>
      </c>
      <c r="Q47" s="93">
        <f>IFERROR(SUMIFS('Daily Issuance'!$O$4:$O$991,'Daily Issuance'!$I$4:$I$991,$A47,'Daily Issuance'!$E$4:$E$991,"Inventory",'Daily Issuance'!$B$4:$B$991,"&gt;="&amp;DATE(2026,8,1),'Daily Issuance'!$B$4:$B$991,"&lt;"&amp;DATE(2026,9,1)),0)</f>
        <v>0</v>
      </c>
      <c r="R47" s="93">
        <f>IFERROR(SUMIFS('Daily Issuance'!$O$4:$O$991,'Daily Issuance'!$I$4:$I$991,$A47,'Daily Issuance'!$E$4:$E$991,"Non Inventory",'Daily Issuance'!$B$4:$B$991,"&gt;="&amp;DATE(2026,8,1),'Daily Issuance'!$B$4:$B$991,"&lt;"&amp;DATE(2026,9,1)),0)</f>
        <v>0</v>
      </c>
      <c r="S47" s="93">
        <f>IFERROR(SUMIFS('Daily Issuance'!$O$4:$O$991,'Daily Issuance'!$I$4:$I$991,$A47,'Daily Issuance'!$E$4:$E$991,"Services",'Daily Issuance'!$B$4:$B$991,"&gt;="&amp;DATE(2026,8,1),'Daily Issuance'!$B$4:$B$991,"&lt;"&amp;DATE(2026,9,1)),0)</f>
        <v>0</v>
      </c>
      <c r="T47" s="93">
        <f>IFERROR(SUMIFS('Daily Issuance'!$O:$O,'Daily Issuance'!$I:$I,$A47,'Daily Issuance'!$E:$E,"Patty Cash",'Daily Issuance'!$B:$B,"&gt;="&amp;DATE(2026,8,1),'Daily Issuance'!$B:$B,"&lt;"&amp;DATE(2026,9,1)),0)</f>
        <v>0</v>
      </c>
      <c r="U47" s="92">
        <f t="shared" si="4"/>
        <v>0</v>
      </c>
      <c r="V47" s="95">
        <f>IFERROR(SUMIFS('Daily Issuance'!$O$4:$O$991,'Daily Issuance'!$I$4:$I$991,$A47,'Daily Issuance'!$E$4:$E$991,"Inventory",'Daily Issuance'!$B$4:$B$991,"&gt;="&amp;DATE(2026,9,1),'Daily Issuance'!$B$4:$B$991,"&lt;"&amp;DATE(2026,10,1)),0)</f>
        <v>0</v>
      </c>
      <c r="W47" s="95">
        <f>IFERROR(SUMIFS('Daily Issuance'!$O$4:$O$991,'Daily Issuance'!$I$4:$I$991,$A47,'Daily Issuance'!$E$4:$E$991,"Non Inventory",'Daily Issuance'!$B$4:$B$991,"&gt;="&amp;DATE(2026,9,1),'Daily Issuance'!$B$4:$B$991,"&lt;"&amp;DATE(2026,10,1)),0)</f>
        <v>0</v>
      </c>
      <c r="X47" s="95">
        <f>IFERROR(SUMIFS('Daily Issuance'!$O$4:$O$991,'Daily Issuance'!$I$4:$I$991,$A47,'Daily Issuance'!$E$4:$E$991,"Services",'Daily Issuance'!$B$4:$B$991,"&gt;="&amp;DATE(2026,9,1),'Daily Issuance'!$B$4:$B$991,"&lt;"&amp;DATE(2026,10,1)),0)</f>
        <v>0</v>
      </c>
      <c r="Y47" s="95">
        <f>IFERROR(SUMIFS('Daily Issuance'!$O:$O,'Daily Issuance'!$I:$I,$A47,'Daily Issuance'!$E:$E,"Patty Cash",'Daily Issuance'!$B:$B,"&gt;="&amp;DATE(2026,9,1),'Daily Issuance'!$B:$B,"&lt;"&amp;DATE(2026,10,1)),0)</f>
        <v>0</v>
      </c>
      <c r="Z47" s="92">
        <f t="shared" si="5"/>
        <v>0</v>
      </c>
      <c r="AA47" s="93">
        <f>IFERROR(SUMIFS('Daily Issuance'!$O$4:$O$991,'Daily Issuance'!$I$4:$I$991,$A47,'Daily Issuance'!$E$4:$E$991,"Inventory",'Daily Issuance'!$B$4:$B$991,"&gt;="&amp;DATE(2026,10,1),'Daily Issuance'!$B$4:$B$991,"&lt;"&amp;DATE(2026,11,1)),0)</f>
        <v>0</v>
      </c>
      <c r="AB47" s="93">
        <f>IFERROR(SUMIFS('Daily Issuance'!$O$4:$O$991,'Daily Issuance'!$I$4:$I$991,$A47,'Daily Issuance'!$E$4:$E$991,"Non Inventory",'Daily Issuance'!$B$4:$B$991,"&gt;="&amp;DATE(2026,10,1),'Daily Issuance'!$B$4:$B$991,"&lt;"&amp;DATE(2026,11,1)),0)</f>
        <v>0</v>
      </c>
      <c r="AC47" s="93">
        <f>IFERROR(SUMIFS('Daily Issuance'!$O$4:$O$991,'Daily Issuance'!$I$4:$I$991,$A47,'Daily Issuance'!$E$4:$E$991,"Services",'Daily Issuance'!$B$4:$B$991,"&gt;="&amp;DATE(2026,10,1),'Daily Issuance'!$B$4:$B$991,"&lt;"&amp;DATE(2026,11,1)),0)</f>
        <v>0</v>
      </c>
      <c r="AD47" s="93">
        <f>IFERROR(SUMIFS('Daily Issuance'!$O:$O,'Daily Issuance'!$I:$I,$A47,'Daily Issuance'!$E:$E,"Patty Cash",'Daily Issuance'!$B:$B,"&gt;="&amp;DATE(2026,10,1),'Daily Issuance'!$B:$B,"&lt;"&amp;DATE(2026,11,1)),0)</f>
        <v>0</v>
      </c>
      <c r="AE47" s="92">
        <f t="shared" si="6"/>
        <v>0</v>
      </c>
      <c r="AF47" s="95">
        <f>IFERROR(SUMIFS('Daily Issuance'!$O$4:$O$991,'Daily Issuance'!$I$4:$I$991,$A47,'Daily Issuance'!$E$4:$E$991,"Inventory",'Daily Issuance'!$B$4:$B$991,"&gt;="&amp;DATE(2026,11,1),'Daily Issuance'!$B$4:$B$991,"&lt;"&amp;DATE(2026,12,1)),0)</f>
        <v>0</v>
      </c>
      <c r="AG47" s="95">
        <f>IFERROR(SUMIFS('Daily Issuance'!$O$4:$O$991,'Daily Issuance'!$I$4:$I$991,$A47,'Daily Issuance'!$E$4:$E$991,"Non Inventory",'Daily Issuance'!$B$4:$B$991,"&gt;="&amp;DATE(2026,11,1),'Daily Issuance'!$B$4:$B$991,"&lt;"&amp;DATE(2026,12,1)),0)</f>
        <v>0</v>
      </c>
      <c r="AH47" s="95">
        <f>IFERROR(SUMIFS('Daily Issuance'!$O$4:$O$991,'Daily Issuance'!$I$4:$I$991,$A47,'Daily Issuance'!$E$4:$E$991,"Services",'Daily Issuance'!$B$4:$B$991,"&gt;="&amp;DATE(2026,11,1),'Daily Issuance'!$B$4:$B$991,"&lt;"&amp;DATE(2026,12,1)),0)</f>
        <v>0</v>
      </c>
      <c r="AI47" s="95">
        <f>IFERROR(SUMIFS('Daily Issuance'!$O:$O,'Daily Issuance'!$I:$I,$A47,'Daily Issuance'!$E:$E,"Patty Cash",'Daily Issuance'!$B:$B,"&gt;="&amp;DATE(2026,11,1),'Daily Issuance'!$B:$B,"&lt;"&amp;DATE(2026,12,1)),0)</f>
        <v>0</v>
      </c>
      <c r="AJ47" s="92">
        <f t="shared" si="7"/>
        <v>0</v>
      </c>
      <c r="AK47" s="93">
        <f>IFERROR(SUMIFS('Daily Issuance'!$O$4:$O$991,'Daily Issuance'!$I$4:$I$991,$A47,'Daily Issuance'!$E$4:$E$991,"Inventory",'Daily Issuance'!$B$4:$B$991,"&gt;="&amp;DATE(2026,12,1),'Daily Issuance'!$B$4:$B$991,"&lt;"&amp;DATE(2027,1,1)),0)</f>
        <v>0</v>
      </c>
      <c r="AL47" s="93">
        <f>IFERROR(SUMIFS('Daily Issuance'!$O$4:$O$991,'Daily Issuance'!$I$4:$I$991,$A47,'Daily Issuance'!$E$4:$E$991,"Non Inventory",'Daily Issuance'!$B$4:$B$991,"&gt;="&amp;DATE(2026,12,1),'Daily Issuance'!$B$4:$B$991,"&lt;"&amp;DATE(2027,1,1)),0)</f>
        <v>0</v>
      </c>
      <c r="AM47" s="93">
        <f>IFERROR(SUMIFS('Daily Issuance'!$O$4:$O$991,'Daily Issuance'!$I$4:$I$991,$A47,'Daily Issuance'!$E$4:$E$991,"Services",'Daily Issuance'!$B$4:$B$991,"&gt;="&amp;DATE(2026,12,1),'Daily Issuance'!$B$4:$B$991,"&lt;"&amp;DATE(2027,1,1)),0)</f>
        <v>0</v>
      </c>
      <c r="AN47" s="93">
        <f>IFERROR(SUMIFS('Daily Issuance'!$O:$O,'Daily Issuance'!$I:$I,$A47,'Daily Issuance'!$E:$E,"Patty Cash",'Daily Issuance'!$B:$B,"&gt;="&amp;DATE(2026,12,1),'Daily Issuance'!$B:$B,"&lt;"&amp;DATE(2027,1,1)),0)</f>
        <v>0</v>
      </c>
      <c r="AO47" s="92">
        <f t="shared" si="8"/>
        <v>0</v>
      </c>
      <c r="AP47" s="103">
        <f t="shared" si="9"/>
        <v>900</v>
      </c>
    </row>
    <row r="48" spans="1:42" ht="21" customHeight="1">
      <c r="A48" s="90" t="s">
        <v>75</v>
      </c>
      <c r="B48" s="91">
        <f>IFERROR(SUMIFS('Daily Issuance'!$O:$O,'Daily Issuance'!$I:$I,$A48,'Daily Issuance'!$E:$E,"Inventory",'Daily Issuance'!$B:$B,"&gt;="&amp;DATE(2026,5,1),'Daily Issuance'!$B:$B,"&lt;"&amp;DATE(2026,6,1)),0)</f>
        <v>3000</v>
      </c>
      <c r="C48" s="91">
        <f>IFERROR(SUMIFS('Daily Issuance'!$O:$O,'Daily Issuance'!$I:$I,$A48,'Daily Issuance'!$E:$E,"Non Inventory",'Daily Issuance'!$B:$B,"&gt;="&amp;DATE(2026,5,1),'Daily Issuance'!$B:$B,"&lt;"&amp;DATE(2026,6,1)),0)</f>
        <v>0</v>
      </c>
      <c r="D48" s="91">
        <f>IFERROR(SUMIFS('Daily Issuance'!$O:$O,'Daily Issuance'!$I:$I,$A48,'Daily Issuance'!$E:$E,"Services",'Daily Issuance'!$B:$B,"&gt;="&amp;DATE(2026,5,1),'Daily Issuance'!$B:$B,"&lt;"&amp;DATE(2026,6,1)),0)</f>
        <v>0</v>
      </c>
      <c r="E48" s="91">
        <f>IFERROR(SUMIFS('Daily Issuance'!$O:$O,'Daily Issuance'!$I:$I,$A48,'Daily Issuance'!$E:$E,"Patty Cash",'Daily Issuance'!$B:$B,"&gt;="&amp;DATE(2026,5,1),'Daily Issuance'!$B:$B,"&lt;"&amp;DATE(2026,6,1)),0)</f>
        <v>0</v>
      </c>
      <c r="F48" s="92">
        <f t="shared" si="1"/>
        <v>3000</v>
      </c>
      <c r="G48" s="93">
        <f>IFERROR(SUMIFS('Daily Issuance'!$O$4:$O$991,'Daily Issuance'!$I$4:$I$991,$A48,'Daily Issuance'!$E$4:$E$991,"Inventory",'Daily Issuance'!$B$4:$B$991,"&gt;="&amp;DATE(2026,6,1),'Daily Issuance'!$B$4:$B$991,"&lt;"&amp;DATE(2026,7,1)),0)</f>
        <v>0</v>
      </c>
      <c r="H48" s="93">
        <f>IFERROR(SUMIFS('Daily Issuance'!$O$4:$O$991,'Daily Issuance'!$I$4:$I$991,$A48,'Daily Issuance'!$E$4:$E$991,"Non Inventory",'Daily Issuance'!$B$4:$B$991,"&gt;="&amp;DATE(2026,6,1),'Daily Issuance'!$B$4:$B$991,"&lt;"&amp;DATE(2026,7,1)),0)</f>
        <v>0</v>
      </c>
      <c r="I48" s="93">
        <f>IFERROR(SUMIFS('Daily Issuance'!$O$4:$O$991,'Daily Issuance'!$I$4:$I$991,$A48,'Daily Issuance'!$E$4:$E$991,"Services",'Daily Issuance'!$B$4:$B$991,"&gt;="&amp;DATE(2026,6,1),'Daily Issuance'!$B$4:$B$991,"&lt;"&amp;DATE(2026,7,1)),0)</f>
        <v>0</v>
      </c>
      <c r="J48" s="93">
        <f>IFERROR(SUMIFS('Daily Issuance'!$O:$O,'Daily Issuance'!$I:$I,$A48,'Daily Issuance'!$E:$E,"Patty Cash",'Daily Issuance'!$B:$B,"&gt;="&amp;DATE(2026,6,1),'Daily Issuance'!$B:$B,"&lt;"&amp;DATE(2026,7,1)),0)</f>
        <v>0</v>
      </c>
      <c r="K48" s="92">
        <f t="shared" si="2"/>
        <v>0</v>
      </c>
      <c r="L48" s="94">
        <f>IFERROR(SUMIFS('Daily Issuance'!$O$4:$O$991,'Daily Issuance'!$I$4:$I$991,$A48,'Daily Issuance'!$E$4:$E$991,"Inventory",'Daily Issuance'!$B$4:$B$991,"&gt;="&amp;DATE(2026,7,1),'Daily Issuance'!$B$4:$B$991,"&lt;"&amp;DATE(2026,8,1)),0)</f>
        <v>0</v>
      </c>
      <c r="M48" s="95">
        <f>IFERROR(SUMIFS('Daily Issuance'!$O$4:$O$991,'Daily Issuance'!$I$4:$I$991,$A48,'Daily Issuance'!$E$4:$E$991,"Non Inventory",'Daily Issuance'!$B$4:$B$991,"&gt;="&amp;DATE(2026,7,1),'Daily Issuance'!$B$4:$B$991,"&lt;"&amp;DATE(2026,8,1)),0)</f>
        <v>0</v>
      </c>
      <c r="N48" s="95">
        <f>IFERROR(SUMIFS('Daily Issuance'!$O$4:$O$991,'Daily Issuance'!$I$4:$I$991,$A48,'Daily Issuance'!$E$4:$E$991,"Services",'Daily Issuance'!$B$4:$B$991,"&gt;="&amp;DATE(2026,7,1),'Daily Issuance'!$B$4:$B$991,"&lt;"&amp;DATE(2026,8,1)),0)</f>
        <v>0</v>
      </c>
      <c r="O48" s="95">
        <f>IFERROR(SUMIFS('Daily Issuance'!$O:$O,'Daily Issuance'!$I:$I,$A48,'Daily Issuance'!$E:$E,"Patty Cash",'Daily Issuance'!$B:$B,"&gt;="&amp;DATE(2026,7,1),'Daily Issuance'!$B:$B,"&lt;"&amp;DATE(2026,8,1)),0)</f>
        <v>0</v>
      </c>
      <c r="P48" s="92">
        <f t="shared" si="3"/>
        <v>0</v>
      </c>
      <c r="Q48" s="93">
        <f>IFERROR(SUMIFS('Daily Issuance'!$O$4:$O$991,'Daily Issuance'!$I$4:$I$991,$A48,'Daily Issuance'!$E$4:$E$991,"Inventory",'Daily Issuance'!$B$4:$B$991,"&gt;="&amp;DATE(2026,8,1),'Daily Issuance'!$B$4:$B$991,"&lt;"&amp;DATE(2026,9,1)),0)</f>
        <v>0</v>
      </c>
      <c r="R48" s="93">
        <f>IFERROR(SUMIFS('Daily Issuance'!$O$4:$O$991,'Daily Issuance'!$I$4:$I$991,$A48,'Daily Issuance'!$E$4:$E$991,"Non Inventory",'Daily Issuance'!$B$4:$B$991,"&gt;="&amp;DATE(2026,8,1),'Daily Issuance'!$B$4:$B$991,"&lt;"&amp;DATE(2026,9,1)),0)</f>
        <v>0</v>
      </c>
      <c r="S48" s="93">
        <f>IFERROR(SUMIFS('Daily Issuance'!$O$4:$O$991,'Daily Issuance'!$I$4:$I$991,$A48,'Daily Issuance'!$E$4:$E$991,"Services",'Daily Issuance'!$B$4:$B$991,"&gt;="&amp;DATE(2026,8,1),'Daily Issuance'!$B$4:$B$991,"&lt;"&amp;DATE(2026,9,1)),0)</f>
        <v>0</v>
      </c>
      <c r="T48" s="93">
        <f>IFERROR(SUMIFS('Daily Issuance'!$O:$O,'Daily Issuance'!$I:$I,$A48,'Daily Issuance'!$E:$E,"Patty Cash",'Daily Issuance'!$B:$B,"&gt;="&amp;DATE(2026,8,1),'Daily Issuance'!$B:$B,"&lt;"&amp;DATE(2026,9,1)),0)</f>
        <v>0</v>
      </c>
      <c r="U48" s="92">
        <f t="shared" si="4"/>
        <v>0</v>
      </c>
      <c r="V48" s="95">
        <f>IFERROR(SUMIFS('Daily Issuance'!$O$4:$O$991,'Daily Issuance'!$I$4:$I$991,$A48,'Daily Issuance'!$E$4:$E$991,"Inventory",'Daily Issuance'!$B$4:$B$991,"&gt;="&amp;DATE(2026,9,1),'Daily Issuance'!$B$4:$B$991,"&lt;"&amp;DATE(2026,10,1)),0)</f>
        <v>0</v>
      </c>
      <c r="W48" s="95">
        <f>IFERROR(SUMIFS('Daily Issuance'!$O$4:$O$991,'Daily Issuance'!$I$4:$I$991,$A48,'Daily Issuance'!$E$4:$E$991,"Non Inventory",'Daily Issuance'!$B$4:$B$991,"&gt;="&amp;DATE(2026,9,1),'Daily Issuance'!$B$4:$B$991,"&lt;"&amp;DATE(2026,10,1)),0)</f>
        <v>0</v>
      </c>
      <c r="X48" s="95">
        <f>IFERROR(SUMIFS('Daily Issuance'!$O$4:$O$991,'Daily Issuance'!$I$4:$I$991,$A48,'Daily Issuance'!$E$4:$E$991,"Services",'Daily Issuance'!$B$4:$B$991,"&gt;="&amp;DATE(2026,9,1),'Daily Issuance'!$B$4:$B$991,"&lt;"&amp;DATE(2026,10,1)),0)</f>
        <v>0</v>
      </c>
      <c r="Y48" s="95">
        <f>IFERROR(SUMIFS('Daily Issuance'!$O:$O,'Daily Issuance'!$I:$I,$A48,'Daily Issuance'!$E:$E,"Patty Cash",'Daily Issuance'!$B:$B,"&gt;="&amp;DATE(2026,9,1),'Daily Issuance'!$B:$B,"&lt;"&amp;DATE(2026,10,1)),0)</f>
        <v>0</v>
      </c>
      <c r="Z48" s="92">
        <f t="shared" si="5"/>
        <v>0</v>
      </c>
      <c r="AA48" s="93">
        <f>IFERROR(SUMIFS('Daily Issuance'!$O$4:$O$991,'Daily Issuance'!$I$4:$I$991,$A48,'Daily Issuance'!$E$4:$E$991,"Inventory",'Daily Issuance'!$B$4:$B$991,"&gt;="&amp;DATE(2026,10,1),'Daily Issuance'!$B$4:$B$991,"&lt;"&amp;DATE(2026,11,1)),0)</f>
        <v>0</v>
      </c>
      <c r="AB48" s="93">
        <f>IFERROR(SUMIFS('Daily Issuance'!$O$4:$O$991,'Daily Issuance'!$I$4:$I$991,$A48,'Daily Issuance'!$E$4:$E$991,"Non Inventory",'Daily Issuance'!$B$4:$B$991,"&gt;="&amp;DATE(2026,10,1),'Daily Issuance'!$B$4:$B$991,"&lt;"&amp;DATE(2026,11,1)),0)</f>
        <v>0</v>
      </c>
      <c r="AC48" s="93">
        <f>IFERROR(SUMIFS('Daily Issuance'!$O$4:$O$991,'Daily Issuance'!$I$4:$I$991,$A48,'Daily Issuance'!$E$4:$E$991,"Services",'Daily Issuance'!$B$4:$B$991,"&gt;="&amp;DATE(2026,10,1),'Daily Issuance'!$B$4:$B$991,"&lt;"&amp;DATE(2026,11,1)),0)</f>
        <v>0</v>
      </c>
      <c r="AD48" s="93">
        <f>IFERROR(SUMIFS('Daily Issuance'!$O:$O,'Daily Issuance'!$I:$I,$A48,'Daily Issuance'!$E:$E,"Patty Cash",'Daily Issuance'!$B:$B,"&gt;="&amp;DATE(2026,10,1),'Daily Issuance'!$B:$B,"&lt;"&amp;DATE(2026,11,1)),0)</f>
        <v>0</v>
      </c>
      <c r="AE48" s="92">
        <f t="shared" si="6"/>
        <v>0</v>
      </c>
      <c r="AF48" s="95">
        <f>IFERROR(SUMIFS('Daily Issuance'!$O$4:$O$991,'Daily Issuance'!$I$4:$I$991,$A48,'Daily Issuance'!$E$4:$E$991,"Inventory",'Daily Issuance'!$B$4:$B$991,"&gt;="&amp;DATE(2026,11,1),'Daily Issuance'!$B$4:$B$991,"&lt;"&amp;DATE(2026,12,1)),0)</f>
        <v>0</v>
      </c>
      <c r="AG48" s="95">
        <f>IFERROR(SUMIFS('Daily Issuance'!$O$4:$O$991,'Daily Issuance'!$I$4:$I$991,$A48,'Daily Issuance'!$E$4:$E$991,"Non Inventory",'Daily Issuance'!$B$4:$B$991,"&gt;="&amp;DATE(2026,11,1),'Daily Issuance'!$B$4:$B$991,"&lt;"&amp;DATE(2026,12,1)),0)</f>
        <v>0</v>
      </c>
      <c r="AH48" s="95">
        <f>IFERROR(SUMIFS('Daily Issuance'!$O$4:$O$991,'Daily Issuance'!$I$4:$I$991,$A48,'Daily Issuance'!$E$4:$E$991,"Services",'Daily Issuance'!$B$4:$B$991,"&gt;="&amp;DATE(2026,11,1),'Daily Issuance'!$B$4:$B$991,"&lt;"&amp;DATE(2026,12,1)),0)</f>
        <v>0</v>
      </c>
      <c r="AI48" s="95">
        <f>IFERROR(SUMIFS('Daily Issuance'!$O:$O,'Daily Issuance'!$I:$I,$A48,'Daily Issuance'!$E:$E,"Patty Cash",'Daily Issuance'!$B:$B,"&gt;="&amp;DATE(2026,11,1),'Daily Issuance'!$B:$B,"&lt;"&amp;DATE(2026,12,1)),0)</f>
        <v>0</v>
      </c>
      <c r="AJ48" s="92">
        <f t="shared" si="7"/>
        <v>0</v>
      </c>
      <c r="AK48" s="93">
        <f>IFERROR(SUMIFS('Daily Issuance'!$O$4:$O$991,'Daily Issuance'!$I$4:$I$991,$A48,'Daily Issuance'!$E$4:$E$991,"Inventory",'Daily Issuance'!$B$4:$B$991,"&gt;="&amp;DATE(2026,12,1),'Daily Issuance'!$B$4:$B$991,"&lt;"&amp;DATE(2027,1,1)),0)</f>
        <v>0</v>
      </c>
      <c r="AL48" s="93">
        <f>IFERROR(SUMIFS('Daily Issuance'!$O$4:$O$991,'Daily Issuance'!$I$4:$I$991,$A48,'Daily Issuance'!$E$4:$E$991,"Non Inventory",'Daily Issuance'!$B$4:$B$991,"&gt;="&amp;DATE(2026,12,1),'Daily Issuance'!$B$4:$B$991,"&lt;"&amp;DATE(2027,1,1)),0)</f>
        <v>0</v>
      </c>
      <c r="AM48" s="93">
        <f>IFERROR(SUMIFS('Daily Issuance'!$O$4:$O$991,'Daily Issuance'!$I$4:$I$991,$A48,'Daily Issuance'!$E$4:$E$991,"Services",'Daily Issuance'!$B$4:$B$991,"&gt;="&amp;DATE(2026,12,1),'Daily Issuance'!$B$4:$B$991,"&lt;"&amp;DATE(2027,1,1)),0)</f>
        <v>0</v>
      </c>
      <c r="AN48" s="93">
        <f>IFERROR(SUMIFS('Daily Issuance'!$O:$O,'Daily Issuance'!$I:$I,$A48,'Daily Issuance'!$E:$E,"Patty Cash",'Daily Issuance'!$B:$B,"&gt;="&amp;DATE(2026,12,1),'Daily Issuance'!$B:$B,"&lt;"&amp;DATE(2027,1,1)),0)</f>
        <v>0</v>
      </c>
      <c r="AO48" s="92">
        <f t="shared" si="8"/>
        <v>0</v>
      </c>
      <c r="AP48" s="103">
        <f t="shared" si="9"/>
        <v>3000</v>
      </c>
    </row>
    <row r="49" spans="1:42" ht="21" customHeight="1">
      <c r="A49" s="90" t="s">
        <v>76</v>
      </c>
      <c r="B49" s="91">
        <f>IFERROR(SUMIFS('Daily Issuance'!$O:$O,'Daily Issuance'!$I:$I,$A49,'Daily Issuance'!$E:$E,"Inventory",'Daily Issuance'!$B:$B,"&gt;="&amp;DATE(2026,5,1),'Daily Issuance'!$B:$B,"&lt;"&amp;DATE(2026,6,1)),0)</f>
        <v>3000</v>
      </c>
      <c r="C49" s="91">
        <f>IFERROR(SUMIFS('Daily Issuance'!$O:$O,'Daily Issuance'!$I:$I,$A49,'Daily Issuance'!$E:$E,"Non Inventory",'Daily Issuance'!$B:$B,"&gt;="&amp;DATE(2026,5,1),'Daily Issuance'!$B:$B,"&lt;"&amp;DATE(2026,6,1)),0)</f>
        <v>0</v>
      </c>
      <c r="D49" s="91">
        <f>IFERROR(SUMIFS('Daily Issuance'!$O:$O,'Daily Issuance'!$I:$I,$A49,'Daily Issuance'!$E:$E,"Services",'Daily Issuance'!$B:$B,"&gt;="&amp;DATE(2026,5,1),'Daily Issuance'!$B:$B,"&lt;"&amp;DATE(2026,6,1)),0)</f>
        <v>0</v>
      </c>
      <c r="E49" s="91">
        <f>IFERROR(SUMIFS('Daily Issuance'!$O:$O,'Daily Issuance'!$I:$I,$A49,'Daily Issuance'!$E:$E,"Patty Cash",'Daily Issuance'!$B:$B,"&gt;="&amp;DATE(2026,5,1),'Daily Issuance'!$B:$B,"&lt;"&amp;DATE(2026,6,1)),0)</f>
        <v>0</v>
      </c>
      <c r="F49" s="92">
        <f t="shared" si="1"/>
        <v>3000</v>
      </c>
      <c r="G49" s="93">
        <f>IFERROR(SUMIFS('Daily Issuance'!$O$4:$O$991,'Daily Issuance'!$I$4:$I$991,$A49,'Daily Issuance'!$E$4:$E$991,"Inventory",'Daily Issuance'!$B$4:$B$991,"&gt;="&amp;DATE(2026,6,1),'Daily Issuance'!$B$4:$B$991,"&lt;"&amp;DATE(2026,7,1)),0)</f>
        <v>0</v>
      </c>
      <c r="H49" s="93">
        <f>IFERROR(SUMIFS('Daily Issuance'!$O$4:$O$991,'Daily Issuance'!$I$4:$I$991,$A49,'Daily Issuance'!$E$4:$E$991,"Non Inventory",'Daily Issuance'!$B$4:$B$991,"&gt;="&amp;DATE(2026,6,1),'Daily Issuance'!$B$4:$B$991,"&lt;"&amp;DATE(2026,7,1)),0)</f>
        <v>0</v>
      </c>
      <c r="I49" s="93">
        <f>IFERROR(SUMIFS('Daily Issuance'!$O$4:$O$991,'Daily Issuance'!$I$4:$I$991,$A49,'Daily Issuance'!$E$4:$E$991,"Services",'Daily Issuance'!$B$4:$B$991,"&gt;="&amp;DATE(2026,6,1),'Daily Issuance'!$B$4:$B$991,"&lt;"&amp;DATE(2026,7,1)),0)</f>
        <v>0</v>
      </c>
      <c r="J49" s="93">
        <f>IFERROR(SUMIFS('Daily Issuance'!$O:$O,'Daily Issuance'!$I:$I,$A49,'Daily Issuance'!$E:$E,"Patty Cash",'Daily Issuance'!$B:$B,"&gt;="&amp;DATE(2026,6,1),'Daily Issuance'!$B:$B,"&lt;"&amp;DATE(2026,7,1)),0)</f>
        <v>0</v>
      </c>
      <c r="K49" s="92">
        <f t="shared" si="2"/>
        <v>0</v>
      </c>
      <c r="L49" s="94">
        <f>IFERROR(SUMIFS('Daily Issuance'!$O$4:$O$991,'Daily Issuance'!$I$4:$I$991,$A49,'Daily Issuance'!$E$4:$E$991,"Inventory",'Daily Issuance'!$B$4:$B$991,"&gt;="&amp;DATE(2026,7,1),'Daily Issuance'!$B$4:$B$991,"&lt;"&amp;DATE(2026,8,1)),0)</f>
        <v>0</v>
      </c>
      <c r="M49" s="95">
        <f>IFERROR(SUMIFS('Daily Issuance'!$O$4:$O$991,'Daily Issuance'!$I$4:$I$991,$A49,'Daily Issuance'!$E$4:$E$991,"Non Inventory",'Daily Issuance'!$B$4:$B$991,"&gt;="&amp;DATE(2026,7,1),'Daily Issuance'!$B$4:$B$991,"&lt;"&amp;DATE(2026,8,1)),0)</f>
        <v>0</v>
      </c>
      <c r="N49" s="95">
        <f>IFERROR(SUMIFS('Daily Issuance'!$O$4:$O$991,'Daily Issuance'!$I$4:$I$991,$A49,'Daily Issuance'!$E$4:$E$991,"Services",'Daily Issuance'!$B$4:$B$991,"&gt;="&amp;DATE(2026,7,1),'Daily Issuance'!$B$4:$B$991,"&lt;"&amp;DATE(2026,8,1)),0)</f>
        <v>0</v>
      </c>
      <c r="O49" s="95">
        <f>IFERROR(SUMIFS('Daily Issuance'!$O:$O,'Daily Issuance'!$I:$I,$A49,'Daily Issuance'!$E:$E,"Patty Cash",'Daily Issuance'!$B:$B,"&gt;="&amp;DATE(2026,7,1),'Daily Issuance'!$B:$B,"&lt;"&amp;DATE(2026,8,1)),0)</f>
        <v>0</v>
      </c>
      <c r="P49" s="92">
        <f t="shared" si="3"/>
        <v>0</v>
      </c>
      <c r="Q49" s="93">
        <f>IFERROR(SUMIFS('Daily Issuance'!$O$4:$O$991,'Daily Issuance'!$I$4:$I$991,$A49,'Daily Issuance'!$E$4:$E$991,"Inventory",'Daily Issuance'!$B$4:$B$991,"&gt;="&amp;DATE(2026,8,1),'Daily Issuance'!$B$4:$B$991,"&lt;"&amp;DATE(2026,9,1)),0)</f>
        <v>0</v>
      </c>
      <c r="R49" s="93">
        <f>IFERROR(SUMIFS('Daily Issuance'!$O$4:$O$991,'Daily Issuance'!$I$4:$I$991,$A49,'Daily Issuance'!$E$4:$E$991,"Non Inventory",'Daily Issuance'!$B$4:$B$991,"&gt;="&amp;DATE(2026,8,1),'Daily Issuance'!$B$4:$B$991,"&lt;"&amp;DATE(2026,9,1)),0)</f>
        <v>0</v>
      </c>
      <c r="S49" s="93">
        <f>IFERROR(SUMIFS('Daily Issuance'!$O$4:$O$991,'Daily Issuance'!$I$4:$I$991,$A49,'Daily Issuance'!$E$4:$E$991,"Services",'Daily Issuance'!$B$4:$B$991,"&gt;="&amp;DATE(2026,8,1),'Daily Issuance'!$B$4:$B$991,"&lt;"&amp;DATE(2026,9,1)),0)</f>
        <v>0</v>
      </c>
      <c r="T49" s="93">
        <f>IFERROR(SUMIFS('Daily Issuance'!$O:$O,'Daily Issuance'!$I:$I,$A49,'Daily Issuance'!$E:$E,"Patty Cash",'Daily Issuance'!$B:$B,"&gt;="&amp;DATE(2026,8,1),'Daily Issuance'!$B:$B,"&lt;"&amp;DATE(2026,9,1)),0)</f>
        <v>0</v>
      </c>
      <c r="U49" s="92">
        <f t="shared" si="4"/>
        <v>0</v>
      </c>
      <c r="V49" s="95">
        <f>IFERROR(SUMIFS('Daily Issuance'!$O$4:$O$991,'Daily Issuance'!$I$4:$I$991,$A49,'Daily Issuance'!$E$4:$E$991,"Inventory",'Daily Issuance'!$B$4:$B$991,"&gt;="&amp;DATE(2026,9,1),'Daily Issuance'!$B$4:$B$991,"&lt;"&amp;DATE(2026,10,1)),0)</f>
        <v>0</v>
      </c>
      <c r="W49" s="95">
        <f>IFERROR(SUMIFS('Daily Issuance'!$O$4:$O$991,'Daily Issuance'!$I$4:$I$991,$A49,'Daily Issuance'!$E$4:$E$991,"Non Inventory",'Daily Issuance'!$B$4:$B$991,"&gt;="&amp;DATE(2026,9,1),'Daily Issuance'!$B$4:$B$991,"&lt;"&amp;DATE(2026,10,1)),0)</f>
        <v>0</v>
      </c>
      <c r="X49" s="95">
        <f>IFERROR(SUMIFS('Daily Issuance'!$O$4:$O$991,'Daily Issuance'!$I$4:$I$991,$A49,'Daily Issuance'!$E$4:$E$991,"Services",'Daily Issuance'!$B$4:$B$991,"&gt;="&amp;DATE(2026,9,1),'Daily Issuance'!$B$4:$B$991,"&lt;"&amp;DATE(2026,10,1)),0)</f>
        <v>0</v>
      </c>
      <c r="Y49" s="95">
        <f>IFERROR(SUMIFS('Daily Issuance'!$O:$O,'Daily Issuance'!$I:$I,$A49,'Daily Issuance'!$E:$E,"Patty Cash",'Daily Issuance'!$B:$B,"&gt;="&amp;DATE(2026,9,1),'Daily Issuance'!$B:$B,"&lt;"&amp;DATE(2026,10,1)),0)</f>
        <v>0</v>
      </c>
      <c r="Z49" s="92">
        <f t="shared" si="5"/>
        <v>0</v>
      </c>
      <c r="AA49" s="93">
        <f>IFERROR(SUMIFS('Daily Issuance'!$O$4:$O$991,'Daily Issuance'!$I$4:$I$991,$A49,'Daily Issuance'!$E$4:$E$991,"Inventory",'Daily Issuance'!$B$4:$B$991,"&gt;="&amp;DATE(2026,10,1),'Daily Issuance'!$B$4:$B$991,"&lt;"&amp;DATE(2026,11,1)),0)</f>
        <v>0</v>
      </c>
      <c r="AB49" s="93">
        <f>IFERROR(SUMIFS('Daily Issuance'!$O$4:$O$991,'Daily Issuance'!$I$4:$I$991,$A49,'Daily Issuance'!$E$4:$E$991,"Non Inventory",'Daily Issuance'!$B$4:$B$991,"&gt;="&amp;DATE(2026,10,1),'Daily Issuance'!$B$4:$B$991,"&lt;"&amp;DATE(2026,11,1)),0)</f>
        <v>0</v>
      </c>
      <c r="AC49" s="93">
        <f>IFERROR(SUMIFS('Daily Issuance'!$O$4:$O$991,'Daily Issuance'!$I$4:$I$991,$A49,'Daily Issuance'!$E$4:$E$991,"Services",'Daily Issuance'!$B$4:$B$991,"&gt;="&amp;DATE(2026,10,1),'Daily Issuance'!$B$4:$B$991,"&lt;"&amp;DATE(2026,11,1)),0)</f>
        <v>0</v>
      </c>
      <c r="AD49" s="93">
        <f>IFERROR(SUMIFS('Daily Issuance'!$O:$O,'Daily Issuance'!$I:$I,$A49,'Daily Issuance'!$E:$E,"Patty Cash",'Daily Issuance'!$B:$B,"&gt;="&amp;DATE(2026,10,1),'Daily Issuance'!$B:$B,"&lt;"&amp;DATE(2026,11,1)),0)</f>
        <v>0</v>
      </c>
      <c r="AE49" s="92">
        <f t="shared" si="6"/>
        <v>0</v>
      </c>
      <c r="AF49" s="95">
        <f>IFERROR(SUMIFS('Daily Issuance'!$O$4:$O$991,'Daily Issuance'!$I$4:$I$991,$A49,'Daily Issuance'!$E$4:$E$991,"Inventory",'Daily Issuance'!$B$4:$B$991,"&gt;="&amp;DATE(2026,11,1),'Daily Issuance'!$B$4:$B$991,"&lt;"&amp;DATE(2026,12,1)),0)</f>
        <v>0</v>
      </c>
      <c r="AG49" s="95">
        <f>IFERROR(SUMIFS('Daily Issuance'!$O$4:$O$991,'Daily Issuance'!$I$4:$I$991,$A49,'Daily Issuance'!$E$4:$E$991,"Non Inventory",'Daily Issuance'!$B$4:$B$991,"&gt;="&amp;DATE(2026,11,1),'Daily Issuance'!$B$4:$B$991,"&lt;"&amp;DATE(2026,12,1)),0)</f>
        <v>0</v>
      </c>
      <c r="AH49" s="95">
        <f>IFERROR(SUMIFS('Daily Issuance'!$O$4:$O$991,'Daily Issuance'!$I$4:$I$991,$A49,'Daily Issuance'!$E$4:$E$991,"Services",'Daily Issuance'!$B$4:$B$991,"&gt;="&amp;DATE(2026,11,1),'Daily Issuance'!$B$4:$B$991,"&lt;"&amp;DATE(2026,12,1)),0)</f>
        <v>0</v>
      </c>
      <c r="AI49" s="95">
        <f>IFERROR(SUMIFS('Daily Issuance'!$O:$O,'Daily Issuance'!$I:$I,$A49,'Daily Issuance'!$E:$E,"Patty Cash",'Daily Issuance'!$B:$B,"&gt;="&amp;DATE(2026,11,1),'Daily Issuance'!$B:$B,"&lt;"&amp;DATE(2026,12,1)),0)</f>
        <v>0</v>
      </c>
      <c r="AJ49" s="92">
        <f t="shared" si="7"/>
        <v>0</v>
      </c>
      <c r="AK49" s="93">
        <f>IFERROR(SUMIFS('Daily Issuance'!$O$4:$O$991,'Daily Issuance'!$I$4:$I$991,$A49,'Daily Issuance'!$E$4:$E$991,"Inventory",'Daily Issuance'!$B$4:$B$991,"&gt;="&amp;DATE(2026,12,1),'Daily Issuance'!$B$4:$B$991,"&lt;"&amp;DATE(2027,1,1)),0)</f>
        <v>0</v>
      </c>
      <c r="AL49" s="93">
        <f>IFERROR(SUMIFS('Daily Issuance'!$O$4:$O$991,'Daily Issuance'!$I$4:$I$991,$A49,'Daily Issuance'!$E$4:$E$991,"Non Inventory",'Daily Issuance'!$B$4:$B$991,"&gt;="&amp;DATE(2026,12,1),'Daily Issuance'!$B$4:$B$991,"&lt;"&amp;DATE(2027,1,1)),0)</f>
        <v>0</v>
      </c>
      <c r="AM49" s="93">
        <f>IFERROR(SUMIFS('Daily Issuance'!$O$4:$O$991,'Daily Issuance'!$I$4:$I$991,$A49,'Daily Issuance'!$E$4:$E$991,"Services",'Daily Issuance'!$B$4:$B$991,"&gt;="&amp;DATE(2026,12,1),'Daily Issuance'!$B$4:$B$991,"&lt;"&amp;DATE(2027,1,1)),0)</f>
        <v>0</v>
      </c>
      <c r="AN49" s="93">
        <f>IFERROR(SUMIFS('Daily Issuance'!$O:$O,'Daily Issuance'!$I:$I,$A49,'Daily Issuance'!$E:$E,"Patty Cash",'Daily Issuance'!$B:$B,"&gt;="&amp;DATE(2026,12,1),'Daily Issuance'!$B:$B,"&lt;"&amp;DATE(2027,1,1)),0)</f>
        <v>0</v>
      </c>
      <c r="AO49" s="92">
        <f t="shared" si="8"/>
        <v>0</v>
      </c>
      <c r="AP49" s="103">
        <f t="shared" si="9"/>
        <v>3000</v>
      </c>
    </row>
    <row r="50" spans="1:42" ht="21" customHeight="1">
      <c r="A50" s="90" t="s">
        <v>77</v>
      </c>
      <c r="B50" s="91">
        <f>IFERROR(SUMIFS('Daily Issuance'!$O:$O,'Daily Issuance'!$I:$I,$A50,'Daily Issuance'!$E:$E,"Inventory",'Daily Issuance'!$B:$B,"&gt;="&amp;DATE(2026,5,1),'Daily Issuance'!$B:$B,"&lt;"&amp;DATE(2026,6,1)),0)</f>
        <v>6800</v>
      </c>
      <c r="C50" s="91">
        <f>IFERROR(SUMIFS('Daily Issuance'!$O:$O,'Daily Issuance'!$I:$I,$A50,'Daily Issuance'!$E:$E,"Non Inventory",'Daily Issuance'!$B:$B,"&gt;="&amp;DATE(2026,5,1),'Daily Issuance'!$B:$B,"&lt;"&amp;DATE(2026,6,1)),0)</f>
        <v>0</v>
      </c>
      <c r="D50" s="91">
        <f>IFERROR(SUMIFS('Daily Issuance'!$O:$O,'Daily Issuance'!$I:$I,$A50,'Daily Issuance'!$E:$E,"Services",'Daily Issuance'!$B:$B,"&gt;="&amp;DATE(2026,5,1),'Daily Issuance'!$B:$B,"&lt;"&amp;DATE(2026,6,1)),0)</f>
        <v>0</v>
      </c>
      <c r="E50" s="91">
        <f>IFERROR(SUMIFS('Daily Issuance'!$O:$O,'Daily Issuance'!$I:$I,$A50,'Daily Issuance'!$E:$E,"Patty Cash",'Daily Issuance'!$B:$B,"&gt;="&amp;DATE(2026,5,1),'Daily Issuance'!$B:$B,"&lt;"&amp;DATE(2026,6,1)),0)</f>
        <v>0</v>
      </c>
      <c r="F50" s="92">
        <f t="shared" si="1"/>
        <v>6800</v>
      </c>
      <c r="G50" s="93">
        <f>IFERROR(SUMIFS('Daily Issuance'!$O$4:$O$991,'Daily Issuance'!$I$4:$I$991,$A50,'Daily Issuance'!$E$4:$E$991,"Inventory",'Daily Issuance'!$B$4:$B$991,"&gt;="&amp;DATE(2026,6,1),'Daily Issuance'!$B$4:$B$991,"&lt;"&amp;DATE(2026,7,1)),0)</f>
        <v>0</v>
      </c>
      <c r="H50" s="93">
        <f>IFERROR(SUMIFS('Daily Issuance'!$O$4:$O$991,'Daily Issuance'!$I$4:$I$991,$A50,'Daily Issuance'!$E$4:$E$991,"Non Inventory",'Daily Issuance'!$B$4:$B$991,"&gt;="&amp;DATE(2026,6,1),'Daily Issuance'!$B$4:$B$991,"&lt;"&amp;DATE(2026,7,1)),0)</f>
        <v>0</v>
      </c>
      <c r="I50" s="93">
        <f>IFERROR(SUMIFS('Daily Issuance'!$O$4:$O$991,'Daily Issuance'!$I$4:$I$991,$A50,'Daily Issuance'!$E$4:$E$991,"Services",'Daily Issuance'!$B$4:$B$991,"&gt;="&amp;DATE(2026,6,1),'Daily Issuance'!$B$4:$B$991,"&lt;"&amp;DATE(2026,7,1)),0)</f>
        <v>0</v>
      </c>
      <c r="J50" s="93">
        <f>IFERROR(SUMIFS('Daily Issuance'!$O:$O,'Daily Issuance'!$I:$I,$A50,'Daily Issuance'!$E:$E,"Patty Cash",'Daily Issuance'!$B:$B,"&gt;="&amp;DATE(2026,6,1),'Daily Issuance'!$B:$B,"&lt;"&amp;DATE(2026,7,1)),0)</f>
        <v>0</v>
      </c>
      <c r="K50" s="92">
        <f t="shared" si="2"/>
        <v>0</v>
      </c>
      <c r="L50" s="94">
        <f>IFERROR(SUMIFS('Daily Issuance'!$O$4:$O$991,'Daily Issuance'!$I$4:$I$991,$A50,'Daily Issuance'!$E$4:$E$991,"Inventory",'Daily Issuance'!$B$4:$B$991,"&gt;="&amp;DATE(2026,7,1),'Daily Issuance'!$B$4:$B$991,"&lt;"&amp;DATE(2026,8,1)),0)</f>
        <v>0</v>
      </c>
      <c r="M50" s="95">
        <f>IFERROR(SUMIFS('Daily Issuance'!$O$4:$O$991,'Daily Issuance'!$I$4:$I$991,$A50,'Daily Issuance'!$E$4:$E$991,"Non Inventory",'Daily Issuance'!$B$4:$B$991,"&gt;="&amp;DATE(2026,7,1),'Daily Issuance'!$B$4:$B$991,"&lt;"&amp;DATE(2026,8,1)),0)</f>
        <v>0</v>
      </c>
      <c r="N50" s="95">
        <f>IFERROR(SUMIFS('Daily Issuance'!$O$4:$O$991,'Daily Issuance'!$I$4:$I$991,$A50,'Daily Issuance'!$E$4:$E$991,"Services",'Daily Issuance'!$B$4:$B$991,"&gt;="&amp;DATE(2026,7,1),'Daily Issuance'!$B$4:$B$991,"&lt;"&amp;DATE(2026,8,1)),0)</f>
        <v>0</v>
      </c>
      <c r="O50" s="95">
        <f>IFERROR(SUMIFS('Daily Issuance'!$O:$O,'Daily Issuance'!$I:$I,$A50,'Daily Issuance'!$E:$E,"Patty Cash",'Daily Issuance'!$B:$B,"&gt;="&amp;DATE(2026,7,1),'Daily Issuance'!$B:$B,"&lt;"&amp;DATE(2026,8,1)),0)</f>
        <v>0</v>
      </c>
      <c r="P50" s="92">
        <f t="shared" si="3"/>
        <v>0</v>
      </c>
      <c r="Q50" s="93">
        <f>IFERROR(SUMIFS('Daily Issuance'!$O$4:$O$991,'Daily Issuance'!$I$4:$I$991,$A50,'Daily Issuance'!$E$4:$E$991,"Inventory",'Daily Issuance'!$B$4:$B$991,"&gt;="&amp;DATE(2026,8,1),'Daily Issuance'!$B$4:$B$991,"&lt;"&amp;DATE(2026,9,1)),0)</f>
        <v>0</v>
      </c>
      <c r="R50" s="93">
        <f>IFERROR(SUMIFS('Daily Issuance'!$O$4:$O$991,'Daily Issuance'!$I$4:$I$991,$A50,'Daily Issuance'!$E$4:$E$991,"Non Inventory",'Daily Issuance'!$B$4:$B$991,"&gt;="&amp;DATE(2026,8,1),'Daily Issuance'!$B$4:$B$991,"&lt;"&amp;DATE(2026,9,1)),0)</f>
        <v>0</v>
      </c>
      <c r="S50" s="93">
        <f>IFERROR(SUMIFS('Daily Issuance'!$O$4:$O$991,'Daily Issuance'!$I$4:$I$991,$A50,'Daily Issuance'!$E$4:$E$991,"Services",'Daily Issuance'!$B$4:$B$991,"&gt;="&amp;DATE(2026,8,1),'Daily Issuance'!$B$4:$B$991,"&lt;"&amp;DATE(2026,9,1)),0)</f>
        <v>0</v>
      </c>
      <c r="T50" s="93">
        <f>IFERROR(SUMIFS('Daily Issuance'!$O:$O,'Daily Issuance'!$I:$I,$A50,'Daily Issuance'!$E:$E,"Patty Cash",'Daily Issuance'!$B:$B,"&gt;="&amp;DATE(2026,8,1),'Daily Issuance'!$B:$B,"&lt;"&amp;DATE(2026,9,1)),0)</f>
        <v>0</v>
      </c>
      <c r="U50" s="92">
        <f t="shared" si="4"/>
        <v>0</v>
      </c>
      <c r="V50" s="95">
        <f>IFERROR(SUMIFS('Daily Issuance'!$O$4:$O$991,'Daily Issuance'!$I$4:$I$991,$A50,'Daily Issuance'!$E$4:$E$991,"Inventory",'Daily Issuance'!$B$4:$B$991,"&gt;="&amp;DATE(2026,9,1),'Daily Issuance'!$B$4:$B$991,"&lt;"&amp;DATE(2026,10,1)),0)</f>
        <v>0</v>
      </c>
      <c r="W50" s="95">
        <f>IFERROR(SUMIFS('Daily Issuance'!$O$4:$O$991,'Daily Issuance'!$I$4:$I$991,$A50,'Daily Issuance'!$E$4:$E$991,"Non Inventory",'Daily Issuance'!$B$4:$B$991,"&gt;="&amp;DATE(2026,9,1),'Daily Issuance'!$B$4:$B$991,"&lt;"&amp;DATE(2026,10,1)),0)</f>
        <v>0</v>
      </c>
      <c r="X50" s="95">
        <f>IFERROR(SUMIFS('Daily Issuance'!$O$4:$O$991,'Daily Issuance'!$I$4:$I$991,$A50,'Daily Issuance'!$E$4:$E$991,"Services",'Daily Issuance'!$B$4:$B$991,"&gt;="&amp;DATE(2026,9,1),'Daily Issuance'!$B$4:$B$991,"&lt;"&amp;DATE(2026,10,1)),0)</f>
        <v>0</v>
      </c>
      <c r="Y50" s="95">
        <f>IFERROR(SUMIFS('Daily Issuance'!$O:$O,'Daily Issuance'!$I:$I,$A50,'Daily Issuance'!$E:$E,"Patty Cash",'Daily Issuance'!$B:$B,"&gt;="&amp;DATE(2026,9,1),'Daily Issuance'!$B:$B,"&lt;"&amp;DATE(2026,10,1)),0)</f>
        <v>0</v>
      </c>
      <c r="Z50" s="92">
        <f t="shared" si="5"/>
        <v>0</v>
      </c>
      <c r="AA50" s="93">
        <f>IFERROR(SUMIFS('Daily Issuance'!$O$4:$O$991,'Daily Issuance'!$I$4:$I$991,$A50,'Daily Issuance'!$E$4:$E$991,"Inventory",'Daily Issuance'!$B$4:$B$991,"&gt;="&amp;DATE(2026,10,1),'Daily Issuance'!$B$4:$B$991,"&lt;"&amp;DATE(2026,11,1)),0)</f>
        <v>0</v>
      </c>
      <c r="AB50" s="93">
        <f>IFERROR(SUMIFS('Daily Issuance'!$O$4:$O$991,'Daily Issuance'!$I$4:$I$991,$A50,'Daily Issuance'!$E$4:$E$991,"Non Inventory",'Daily Issuance'!$B$4:$B$991,"&gt;="&amp;DATE(2026,10,1),'Daily Issuance'!$B$4:$B$991,"&lt;"&amp;DATE(2026,11,1)),0)</f>
        <v>0</v>
      </c>
      <c r="AC50" s="93">
        <f>IFERROR(SUMIFS('Daily Issuance'!$O$4:$O$991,'Daily Issuance'!$I$4:$I$991,$A50,'Daily Issuance'!$E$4:$E$991,"Services",'Daily Issuance'!$B$4:$B$991,"&gt;="&amp;DATE(2026,10,1),'Daily Issuance'!$B$4:$B$991,"&lt;"&amp;DATE(2026,11,1)),0)</f>
        <v>0</v>
      </c>
      <c r="AD50" s="93">
        <f>IFERROR(SUMIFS('Daily Issuance'!$O:$O,'Daily Issuance'!$I:$I,$A50,'Daily Issuance'!$E:$E,"Patty Cash",'Daily Issuance'!$B:$B,"&gt;="&amp;DATE(2026,10,1),'Daily Issuance'!$B:$B,"&lt;"&amp;DATE(2026,11,1)),0)</f>
        <v>0</v>
      </c>
      <c r="AE50" s="92">
        <f t="shared" si="6"/>
        <v>0</v>
      </c>
      <c r="AF50" s="95">
        <f>IFERROR(SUMIFS('Daily Issuance'!$O$4:$O$991,'Daily Issuance'!$I$4:$I$991,$A50,'Daily Issuance'!$E$4:$E$991,"Inventory",'Daily Issuance'!$B$4:$B$991,"&gt;="&amp;DATE(2026,11,1),'Daily Issuance'!$B$4:$B$991,"&lt;"&amp;DATE(2026,12,1)),0)</f>
        <v>0</v>
      </c>
      <c r="AG50" s="95">
        <f>IFERROR(SUMIFS('Daily Issuance'!$O$4:$O$991,'Daily Issuance'!$I$4:$I$991,$A50,'Daily Issuance'!$E$4:$E$991,"Non Inventory",'Daily Issuance'!$B$4:$B$991,"&gt;="&amp;DATE(2026,11,1),'Daily Issuance'!$B$4:$B$991,"&lt;"&amp;DATE(2026,12,1)),0)</f>
        <v>0</v>
      </c>
      <c r="AH50" s="95">
        <f>IFERROR(SUMIFS('Daily Issuance'!$O$4:$O$991,'Daily Issuance'!$I$4:$I$991,$A50,'Daily Issuance'!$E$4:$E$991,"Services",'Daily Issuance'!$B$4:$B$991,"&gt;="&amp;DATE(2026,11,1),'Daily Issuance'!$B$4:$B$991,"&lt;"&amp;DATE(2026,12,1)),0)</f>
        <v>0</v>
      </c>
      <c r="AI50" s="95">
        <f>IFERROR(SUMIFS('Daily Issuance'!$O:$O,'Daily Issuance'!$I:$I,$A50,'Daily Issuance'!$E:$E,"Patty Cash",'Daily Issuance'!$B:$B,"&gt;="&amp;DATE(2026,11,1),'Daily Issuance'!$B:$B,"&lt;"&amp;DATE(2026,12,1)),0)</f>
        <v>0</v>
      </c>
      <c r="AJ50" s="92">
        <f t="shared" si="7"/>
        <v>0</v>
      </c>
      <c r="AK50" s="93">
        <f>IFERROR(SUMIFS('Daily Issuance'!$O$4:$O$991,'Daily Issuance'!$I$4:$I$991,$A50,'Daily Issuance'!$E$4:$E$991,"Inventory",'Daily Issuance'!$B$4:$B$991,"&gt;="&amp;DATE(2026,12,1),'Daily Issuance'!$B$4:$B$991,"&lt;"&amp;DATE(2027,1,1)),0)</f>
        <v>0</v>
      </c>
      <c r="AL50" s="93">
        <f>IFERROR(SUMIFS('Daily Issuance'!$O$4:$O$991,'Daily Issuance'!$I$4:$I$991,$A50,'Daily Issuance'!$E$4:$E$991,"Non Inventory",'Daily Issuance'!$B$4:$B$991,"&gt;="&amp;DATE(2026,12,1),'Daily Issuance'!$B$4:$B$991,"&lt;"&amp;DATE(2027,1,1)),0)</f>
        <v>0</v>
      </c>
      <c r="AM50" s="93">
        <f>IFERROR(SUMIFS('Daily Issuance'!$O$4:$O$991,'Daily Issuance'!$I$4:$I$991,$A50,'Daily Issuance'!$E$4:$E$991,"Services",'Daily Issuance'!$B$4:$B$991,"&gt;="&amp;DATE(2026,12,1),'Daily Issuance'!$B$4:$B$991,"&lt;"&amp;DATE(2027,1,1)),0)</f>
        <v>0</v>
      </c>
      <c r="AN50" s="93">
        <f>IFERROR(SUMIFS('Daily Issuance'!$O:$O,'Daily Issuance'!$I:$I,$A50,'Daily Issuance'!$E:$E,"Patty Cash",'Daily Issuance'!$B:$B,"&gt;="&amp;DATE(2026,12,1),'Daily Issuance'!$B:$B,"&lt;"&amp;DATE(2027,1,1)),0)</f>
        <v>0</v>
      </c>
      <c r="AO50" s="92">
        <f t="shared" si="8"/>
        <v>0</v>
      </c>
      <c r="AP50" s="103">
        <f t="shared" si="9"/>
        <v>6800</v>
      </c>
    </row>
    <row r="51" spans="1:42" ht="21" customHeight="1">
      <c r="A51" s="90" t="s">
        <v>78</v>
      </c>
      <c r="B51" s="91">
        <f>IFERROR(SUMIFS('Daily Issuance'!$O:$O,'Daily Issuance'!$I:$I,$A51,'Daily Issuance'!$E:$E,"Inventory",'Daily Issuance'!$B:$B,"&gt;="&amp;DATE(2026,5,1),'Daily Issuance'!$B:$B,"&lt;"&amp;DATE(2026,6,1)),0)</f>
        <v>0</v>
      </c>
      <c r="C51" s="91">
        <f>IFERROR(SUMIFS('Daily Issuance'!$O:$O,'Daily Issuance'!$I:$I,$A51,'Daily Issuance'!$E:$E,"Non Inventory",'Daily Issuance'!$B:$B,"&gt;="&amp;DATE(2026,5,1),'Daily Issuance'!$B:$B,"&lt;"&amp;DATE(2026,6,1)),0)</f>
        <v>0</v>
      </c>
      <c r="D51" s="91">
        <f>IFERROR(SUMIFS('Daily Issuance'!$O:$O,'Daily Issuance'!$I:$I,$A51,'Daily Issuance'!$E:$E,"Services",'Daily Issuance'!$B:$B,"&gt;="&amp;DATE(2026,5,1),'Daily Issuance'!$B:$B,"&lt;"&amp;DATE(2026,6,1)),0)</f>
        <v>0</v>
      </c>
      <c r="E51" s="91">
        <f>IFERROR(SUMIFS('Daily Issuance'!$O:$O,'Daily Issuance'!$I:$I,$A51,'Daily Issuance'!$E:$E,"Patty Cash",'Daily Issuance'!$B:$B,"&gt;="&amp;DATE(2026,5,1),'Daily Issuance'!$B:$B,"&lt;"&amp;DATE(2026,6,1)),0)</f>
        <v>0</v>
      </c>
      <c r="F51" s="92">
        <f t="shared" si="1"/>
        <v>0</v>
      </c>
      <c r="G51" s="93">
        <f>IFERROR(SUMIFS('Daily Issuance'!$O$4:$O$991,'Daily Issuance'!$I$4:$I$991,$A51,'Daily Issuance'!$E$4:$E$991,"Inventory",'Daily Issuance'!$B$4:$B$991,"&gt;="&amp;DATE(2026,6,1),'Daily Issuance'!$B$4:$B$991,"&lt;"&amp;DATE(2026,7,1)),0)</f>
        <v>0</v>
      </c>
      <c r="H51" s="93">
        <f>IFERROR(SUMIFS('Daily Issuance'!$O$4:$O$991,'Daily Issuance'!$I$4:$I$991,$A51,'Daily Issuance'!$E$4:$E$991,"Non Inventory",'Daily Issuance'!$B$4:$B$991,"&gt;="&amp;DATE(2026,6,1),'Daily Issuance'!$B$4:$B$991,"&lt;"&amp;DATE(2026,7,1)),0)</f>
        <v>0</v>
      </c>
      <c r="I51" s="93">
        <f>IFERROR(SUMIFS('Daily Issuance'!$O$4:$O$991,'Daily Issuance'!$I$4:$I$991,$A51,'Daily Issuance'!$E$4:$E$991,"Services",'Daily Issuance'!$B$4:$B$991,"&gt;="&amp;DATE(2026,6,1),'Daily Issuance'!$B$4:$B$991,"&lt;"&amp;DATE(2026,7,1)),0)</f>
        <v>0</v>
      </c>
      <c r="J51" s="93">
        <f>IFERROR(SUMIFS('Daily Issuance'!$O:$O,'Daily Issuance'!$I:$I,$A51,'Daily Issuance'!$E:$E,"Patty Cash",'Daily Issuance'!$B:$B,"&gt;="&amp;DATE(2026,6,1),'Daily Issuance'!$B:$B,"&lt;"&amp;DATE(2026,7,1)),0)</f>
        <v>0</v>
      </c>
      <c r="K51" s="92">
        <f t="shared" si="2"/>
        <v>0</v>
      </c>
      <c r="L51" s="94">
        <f>IFERROR(SUMIFS('Daily Issuance'!$O$4:$O$991,'Daily Issuance'!$I$4:$I$991,$A51,'Daily Issuance'!$E$4:$E$991,"Inventory",'Daily Issuance'!$B$4:$B$991,"&gt;="&amp;DATE(2026,7,1),'Daily Issuance'!$B$4:$B$991,"&lt;"&amp;DATE(2026,8,1)),0)</f>
        <v>0</v>
      </c>
      <c r="M51" s="95">
        <f>IFERROR(SUMIFS('Daily Issuance'!$O$4:$O$991,'Daily Issuance'!$I$4:$I$991,$A51,'Daily Issuance'!$E$4:$E$991,"Non Inventory",'Daily Issuance'!$B$4:$B$991,"&gt;="&amp;DATE(2026,7,1),'Daily Issuance'!$B$4:$B$991,"&lt;"&amp;DATE(2026,8,1)),0)</f>
        <v>0</v>
      </c>
      <c r="N51" s="95">
        <f>IFERROR(SUMIFS('Daily Issuance'!$O$4:$O$991,'Daily Issuance'!$I$4:$I$991,$A51,'Daily Issuance'!$E$4:$E$991,"Services",'Daily Issuance'!$B$4:$B$991,"&gt;="&amp;DATE(2026,7,1),'Daily Issuance'!$B$4:$B$991,"&lt;"&amp;DATE(2026,8,1)),0)</f>
        <v>0</v>
      </c>
      <c r="O51" s="95">
        <f>IFERROR(SUMIFS('Daily Issuance'!$O:$O,'Daily Issuance'!$I:$I,$A51,'Daily Issuance'!$E:$E,"Patty Cash",'Daily Issuance'!$B:$B,"&gt;="&amp;DATE(2026,7,1),'Daily Issuance'!$B:$B,"&lt;"&amp;DATE(2026,8,1)),0)</f>
        <v>0</v>
      </c>
      <c r="P51" s="92">
        <f t="shared" si="3"/>
        <v>0</v>
      </c>
      <c r="Q51" s="93">
        <f>IFERROR(SUMIFS('Daily Issuance'!$O$4:$O$991,'Daily Issuance'!$I$4:$I$991,$A51,'Daily Issuance'!$E$4:$E$991,"Inventory",'Daily Issuance'!$B$4:$B$991,"&gt;="&amp;DATE(2026,8,1),'Daily Issuance'!$B$4:$B$991,"&lt;"&amp;DATE(2026,9,1)),0)</f>
        <v>0</v>
      </c>
      <c r="R51" s="93">
        <f>IFERROR(SUMIFS('Daily Issuance'!$O$4:$O$991,'Daily Issuance'!$I$4:$I$991,$A51,'Daily Issuance'!$E$4:$E$991,"Non Inventory",'Daily Issuance'!$B$4:$B$991,"&gt;="&amp;DATE(2026,8,1),'Daily Issuance'!$B$4:$B$991,"&lt;"&amp;DATE(2026,9,1)),0)</f>
        <v>0</v>
      </c>
      <c r="S51" s="93">
        <f>IFERROR(SUMIFS('Daily Issuance'!$O$4:$O$991,'Daily Issuance'!$I$4:$I$991,$A51,'Daily Issuance'!$E$4:$E$991,"Services",'Daily Issuance'!$B$4:$B$991,"&gt;="&amp;DATE(2026,8,1),'Daily Issuance'!$B$4:$B$991,"&lt;"&amp;DATE(2026,9,1)),0)</f>
        <v>0</v>
      </c>
      <c r="T51" s="93">
        <f>IFERROR(SUMIFS('Daily Issuance'!$O:$O,'Daily Issuance'!$I:$I,$A51,'Daily Issuance'!$E:$E,"Patty Cash",'Daily Issuance'!$B:$B,"&gt;="&amp;DATE(2026,8,1),'Daily Issuance'!$B:$B,"&lt;"&amp;DATE(2026,9,1)),0)</f>
        <v>0</v>
      </c>
      <c r="U51" s="92">
        <f t="shared" si="4"/>
        <v>0</v>
      </c>
      <c r="V51" s="95">
        <f>IFERROR(SUMIFS('Daily Issuance'!$O$4:$O$991,'Daily Issuance'!$I$4:$I$991,$A51,'Daily Issuance'!$E$4:$E$991,"Inventory",'Daily Issuance'!$B$4:$B$991,"&gt;="&amp;DATE(2026,9,1),'Daily Issuance'!$B$4:$B$991,"&lt;"&amp;DATE(2026,10,1)),0)</f>
        <v>0</v>
      </c>
      <c r="W51" s="95">
        <f>IFERROR(SUMIFS('Daily Issuance'!$O$4:$O$991,'Daily Issuance'!$I$4:$I$991,$A51,'Daily Issuance'!$E$4:$E$991,"Non Inventory",'Daily Issuance'!$B$4:$B$991,"&gt;="&amp;DATE(2026,9,1),'Daily Issuance'!$B$4:$B$991,"&lt;"&amp;DATE(2026,10,1)),0)</f>
        <v>0</v>
      </c>
      <c r="X51" s="95">
        <f>IFERROR(SUMIFS('Daily Issuance'!$O$4:$O$991,'Daily Issuance'!$I$4:$I$991,$A51,'Daily Issuance'!$E$4:$E$991,"Services",'Daily Issuance'!$B$4:$B$991,"&gt;="&amp;DATE(2026,9,1),'Daily Issuance'!$B$4:$B$991,"&lt;"&amp;DATE(2026,10,1)),0)</f>
        <v>0</v>
      </c>
      <c r="Y51" s="95">
        <f>IFERROR(SUMIFS('Daily Issuance'!$O:$O,'Daily Issuance'!$I:$I,$A51,'Daily Issuance'!$E:$E,"Patty Cash",'Daily Issuance'!$B:$B,"&gt;="&amp;DATE(2026,9,1),'Daily Issuance'!$B:$B,"&lt;"&amp;DATE(2026,10,1)),0)</f>
        <v>0</v>
      </c>
      <c r="Z51" s="92">
        <f t="shared" si="5"/>
        <v>0</v>
      </c>
      <c r="AA51" s="93">
        <f>IFERROR(SUMIFS('Daily Issuance'!$O$4:$O$991,'Daily Issuance'!$I$4:$I$991,$A51,'Daily Issuance'!$E$4:$E$991,"Inventory",'Daily Issuance'!$B$4:$B$991,"&gt;="&amp;DATE(2026,10,1),'Daily Issuance'!$B$4:$B$991,"&lt;"&amp;DATE(2026,11,1)),0)</f>
        <v>0</v>
      </c>
      <c r="AB51" s="93">
        <f>IFERROR(SUMIFS('Daily Issuance'!$O$4:$O$991,'Daily Issuance'!$I$4:$I$991,$A51,'Daily Issuance'!$E$4:$E$991,"Non Inventory",'Daily Issuance'!$B$4:$B$991,"&gt;="&amp;DATE(2026,10,1),'Daily Issuance'!$B$4:$B$991,"&lt;"&amp;DATE(2026,11,1)),0)</f>
        <v>0</v>
      </c>
      <c r="AC51" s="93">
        <f>IFERROR(SUMIFS('Daily Issuance'!$O$4:$O$991,'Daily Issuance'!$I$4:$I$991,$A51,'Daily Issuance'!$E$4:$E$991,"Services",'Daily Issuance'!$B$4:$B$991,"&gt;="&amp;DATE(2026,10,1),'Daily Issuance'!$B$4:$B$991,"&lt;"&amp;DATE(2026,11,1)),0)</f>
        <v>0</v>
      </c>
      <c r="AD51" s="93">
        <f>IFERROR(SUMIFS('Daily Issuance'!$O:$O,'Daily Issuance'!$I:$I,$A51,'Daily Issuance'!$E:$E,"Patty Cash",'Daily Issuance'!$B:$B,"&gt;="&amp;DATE(2026,10,1),'Daily Issuance'!$B:$B,"&lt;"&amp;DATE(2026,11,1)),0)</f>
        <v>0</v>
      </c>
      <c r="AE51" s="92">
        <f t="shared" si="6"/>
        <v>0</v>
      </c>
      <c r="AF51" s="95">
        <f>IFERROR(SUMIFS('Daily Issuance'!$O$4:$O$991,'Daily Issuance'!$I$4:$I$991,$A51,'Daily Issuance'!$E$4:$E$991,"Inventory",'Daily Issuance'!$B$4:$B$991,"&gt;="&amp;DATE(2026,11,1),'Daily Issuance'!$B$4:$B$991,"&lt;"&amp;DATE(2026,12,1)),0)</f>
        <v>0</v>
      </c>
      <c r="AG51" s="95">
        <f>IFERROR(SUMIFS('Daily Issuance'!$O$4:$O$991,'Daily Issuance'!$I$4:$I$991,$A51,'Daily Issuance'!$E$4:$E$991,"Non Inventory",'Daily Issuance'!$B$4:$B$991,"&gt;="&amp;DATE(2026,11,1),'Daily Issuance'!$B$4:$B$991,"&lt;"&amp;DATE(2026,12,1)),0)</f>
        <v>0</v>
      </c>
      <c r="AH51" s="95">
        <f>IFERROR(SUMIFS('Daily Issuance'!$O$4:$O$991,'Daily Issuance'!$I$4:$I$991,$A51,'Daily Issuance'!$E$4:$E$991,"Services",'Daily Issuance'!$B$4:$B$991,"&gt;="&amp;DATE(2026,11,1),'Daily Issuance'!$B$4:$B$991,"&lt;"&amp;DATE(2026,12,1)),0)</f>
        <v>0</v>
      </c>
      <c r="AI51" s="95">
        <f>IFERROR(SUMIFS('Daily Issuance'!$O:$O,'Daily Issuance'!$I:$I,$A51,'Daily Issuance'!$E:$E,"Patty Cash",'Daily Issuance'!$B:$B,"&gt;="&amp;DATE(2026,11,1),'Daily Issuance'!$B:$B,"&lt;"&amp;DATE(2026,12,1)),0)</f>
        <v>0</v>
      </c>
      <c r="AJ51" s="92">
        <f t="shared" si="7"/>
        <v>0</v>
      </c>
      <c r="AK51" s="93">
        <f>IFERROR(SUMIFS('Daily Issuance'!$O$4:$O$991,'Daily Issuance'!$I$4:$I$991,$A51,'Daily Issuance'!$E$4:$E$991,"Inventory",'Daily Issuance'!$B$4:$B$991,"&gt;="&amp;DATE(2026,12,1),'Daily Issuance'!$B$4:$B$991,"&lt;"&amp;DATE(2027,1,1)),0)</f>
        <v>0</v>
      </c>
      <c r="AL51" s="93">
        <f>IFERROR(SUMIFS('Daily Issuance'!$O$4:$O$991,'Daily Issuance'!$I$4:$I$991,$A51,'Daily Issuance'!$E$4:$E$991,"Non Inventory",'Daily Issuance'!$B$4:$B$991,"&gt;="&amp;DATE(2026,12,1),'Daily Issuance'!$B$4:$B$991,"&lt;"&amp;DATE(2027,1,1)),0)</f>
        <v>0</v>
      </c>
      <c r="AM51" s="93">
        <f>IFERROR(SUMIFS('Daily Issuance'!$O$4:$O$991,'Daily Issuance'!$I$4:$I$991,$A51,'Daily Issuance'!$E$4:$E$991,"Services",'Daily Issuance'!$B$4:$B$991,"&gt;="&amp;DATE(2026,12,1),'Daily Issuance'!$B$4:$B$991,"&lt;"&amp;DATE(2027,1,1)),0)</f>
        <v>0</v>
      </c>
      <c r="AN51" s="93">
        <f>IFERROR(SUMIFS('Daily Issuance'!$O:$O,'Daily Issuance'!$I:$I,$A51,'Daily Issuance'!$E:$E,"Patty Cash",'Daily Issuance'!$B:$B,"&gt;="&amp;DATE(2026,12,1),'Daily Issuance'!$B:$B,"&lt;"&amp;DATE(2027,1,1)),0)</f>
        <v>0</v>
      </c>
      <c r="AO51" s="92">
        <f t="shared" si="8"/>
        <v>0</v>
      </c>
      <c r="AP51" s="103">
        <f t="shared" si="9"/>
        <v>0</v>
      </c>
    </row>
    <row r="52" spans="1:42" ht="21" customHeight="1">
      <c r="A52" s="90" t="s">
        <v>79</v>
      </c>
      <c r="B52" s="91">
        <f>IFERROR(SUMIFS('Daily Issuance'!$O:$O,'Daily Issuance'!$I:$I,$A52,'Daily Issuance'!$E:$E,"Inventory",'Daily Issuance'!$B:$B,"&gt;="&amp;DATE(2026,5,1),'Daily Issuance'!$B:$B,"&lt;"&amp;DATE(2026,6,1)),0)</f>
        <v>0</v>
      </c>
      <c r="C52" s="91">
        <f>IFERROR(SUMIFS('Daily Issuance'!$O:$O,'Daily Issuance'!$I:$I,$A52,'Daily Issuance'!$E:$E,"Non Inventory",'Daily Issuance'!$B:$B,"&gt;="&amp;DATE(2026,5,1),'Daily Issuance'!$B:$B,"&lt;"&amp;DATE(2026,6,1)),0)</f>
        <v>0</v>
      </c>
      <c r="D52" s="91">
        <f>IFERROR(SUMIFS('Daily Issuance'!$O:$O,'Daily Issuance'!$I:$I,$A52,'Daily Issuance'!$E:$E,"Services",'Daily Issuance'!$B:$B,"&gt;="&amp;DATE(2026,5,1),'Daily Issuance'!$B:$B,"&lt;"&amp;DATE(2026,6,1)),0)</f>
        <v>0</v>
      </c>
      <c r="E52" s="91">
        <f>IFERROR(SUMIFS('Daily Issuance'!$O:$O,'Daily Issuance'!$I:$I,$A52,'Daily Issuance'!$E:$E,"Patty Cash",'Daily Issuance'!$B:$B,"&gt;="&amp;DATE(2026,5,1),'Daily Issuance'!$B:$B,"&lt;"&amp;DATE(2026,6,1)),0)</f>
        <v>0</v>
      </c>
      <c r="F52" s="92">
        <f t="shared" si="1"/>
        <v>0</v>
      </c>
      <c r="G52" s="93">
        <f>IFERROR(SUMIFS('Daily Issuance'!$O$4:$O$991,'Daily Issuance'!$I$4:$I$991,$A52,'Daily Issuance'!$E$4:$E$991,"Inventory",'Daily Issuance'!$B$4:$B$991,"&gt;="&amp;DATE(2026,6,1),'Daily Issuance'!$B$4:$B$991,"&lt;"&amp;DATE(2026,7,1)),0)</f>
        <v>0</v>
      </c>
      <c r="H52" s="93">
        <f>IFERROR(SUMIFS('Daily Issuance'!$O$4:$O$991,'Daily Issuance'!$I$4:$I$991,$A52,'Daily Issuance'!$E$4:$E$991,"Non Inventory",'Daily Issuance'!$B$4:$B$991,"&gt;="&amp;DATE(2026,6,1),'Daily Issuance'!$B$4:$B$991,"&lt;"&amp;DATE(2026,7,1)),0)</f>
        <v>0</v>
      </c>
      <c r="I52" s="93">
        <f>IFERROR(SUMIFS('Daily Issuance'!$O$4:$O$991,'Daily Issuance'!$I$4:$I$991,$A52,'Daily Issuance'!$E$4:$E$991,"Services",'Daily Issuance'!$B$4:$B$991,"&gt;="&amp;DATE(2026,6,1),'Daily Issuance'!$B$4:$B$991,"&lt;"&amp;DATE(2026,7,1)),0)</f>
        <v>0</v>
      </c>
      <c r="J52" s="93">
        <f>IFERROR(SUMIFS('Daily Issuance'!$O:$O,'Daily Issuance'!$I:$I,$A52,'Daily Issuance'!$E:$E,"Patty Cash",'Daily Issuance'!$B:$B,"&gt;="&amp;DATE(2026,6,1),'Daily Issuance'!$B:$B,"&lt;"&amp;DATE(2026,7,1)),0)</f>
        <v>0</v>
      </c>
      <c r="K52" s="92">
        <f t="shared" si="2"/>
        <v>0</v>
      </c>
      <c r="L52" s="94">
        <f>IFERROR(SUMIFS('Daily Issuance'!$O$4:$O$991,'Daily Issuance'!$I$4:$I$991,$A52,'Daily Issuance'!$E$4:$E$991,"Inventory",'Daily Issuance'!$B$4:$B$991,"&gt;="&amp;DATE(2026,7,1),'Daily Issuance'!$B$4:$B$991,"&lt;"&amp;DATE(2026,8,1)),0)</f>
        <v>0</v>
      </c>
      <c r="M52" s="95">
        <f>IFERROR(SUMIFS('Daily Issuance'!$O$4:$O$991,'Daily Issuance'!$I$4:$I$991,$A52,'Daily Issuance'!$E$4:$E$991,"Non Inventory",'Daily Issuance'!$B$4:$B$991,"&gt;="&amp;DATE(2026,7,1),'Daily Issuance'!$B$4:$B$991,"&lt;"&amp;DATE(2026,8,1)),0)</f>
        <v>0</v>
      </c>
      <c r="N52" s="95">
        <f>IFERROR(SUMIFS('Daily Issuance'!$O$4:$O$991,'Daily Issuance'!$I$4:$I$991,$A52,'Daily Issuance'!$E$4:$E$991,"Services",'Daily Issuance'!$B$4:$B$991,"&gt;="&amp;DATE(2026,7,1),'Daily Issuance'!$B$4:$B$991,"&lt;"&amp;DATE(2026,8,1)),0)</f>
        <v>0</v>
      </c>
      <c r="O52" s="95">
        <f>IFERROR(SUMIFS('Daily Issuance'!$O:$O,'Daily Issuance'!$I:$I,$A52,'Daily Issuance'!$E:$E,"Patty Cash",'Daily Issuance'!$B:$B,"&gt;="&amp;DATE(2026,7,1),'Daily Issuance'!$B:$B,"&lt;"&amp;DATE(2026,8,1)),0)</f>
        <v>0</v>
      </c>
      <c r="P52" s="92">
        <f t="shared" si="3"/>
        <v>0</v>
      </c>
      <c r="Q52" s="93">
        <f>IFERROR(SUMIFS('Daily Issuance'!$O$4:$O$991,'Daily Issuance'!$I$4:$I$991,$A52,'Daily Issuance'!$E$4:$E$991,"Inventory",'Daily Issuance'!$B$4:$B$991,"&gt;="&amp;DATE(2026,8,1),'Daily Issuance'!$B$4:$B$991,"&lt;"&amp;DATE(2026,9,1)),0)</f>
        <v>0</v>
      </c>
      <c r="R52" s="93">
        <f>IFERROR(SUMIFS('Daily Issuance'!$O$4:$O$991,'Daily Issuance'!$I$4:$I$991,$A52,'Daily Issuance'!$E$4:$E$991,"Non Inventory",'Daily Issuance'!$B$4:$B$991,"&gt;="&amp;DATE(2026,8,1),'Daily Issuance'!$B$4:$B$991,"&lt;"&amp;DATE(2026,9,1)),0)</f>
        <v>0</v>
      </c>
      <c r="S52" s="93">
        <f>IFERROR(SUMIFS('Daily Issuance'!$O$4:$O$991,'Daily Issuance'!$I$4:$I$991,$A52,'Daily Issuance'!$E$4:$E$991,"Services",'Daily Issuance'!$B$4:$B$991,"&gt;="&amp;DATE(2026,8,1),'Daily Issuance'!$B$4:$B$991,"&lt;"&amp;DATE(2026,9,1)),0)</f>
        <v>0</v>
      </c>
      <c r="T52" s="93">
        <f>IFERROR(SUMIFS('Daily Issuance'!$O:$O,'Daily Issuance'!$I:$I,$A52,'Daily Issuance'!$E:$E,"Patty Cash",'Daily Issuance'!$B:$B,"&gt;="&amp;DATE(2026,8,1),'Daily Issuance'!$B:$B,"&lt;"&amp;DATE(2026,9,1)),0)</f>
        <v>0</v>
      </c>
      <c r="U52" s="92">
        <f t="shared" si="4"/>
        <v>0</v>
      </c>
      <c r="V52" s="95">
        <f>IFERROR(SUMIFS('Daily Issuance'!$O$4:$O$991,'Daily Issuance'!$I$4:$I$991,$A52,'Daily Issuance'!$E$4:$E$991,"Inventory",'Daily Issuance'!$B$4:$B$991,"&gt;="&amp;DATE(2026,9,1),'Daily Issuance'!$B$4:$B$991,"&lt;"&amp;DATE(2026,10,1)),0)</f>
        <v>0</v>
      </c>
      <c r="W52" s="95">
        <f>IFERROR(SUMIFS('Daily Issuance'!$O$4:$O$991,'Daily Issuance'!$I$4:$I$991,$A52,'Daily Issuance'!$E$4:$E$991,"Non Inventory",'Daily Issuance'!$B$4:$B$991,"&gt;="&amp;DATE(2026,9,1),'Daily Issuance'!$B$4:$B$991,"&lt;"&amp;DATE(2026,10,1)),0)</f>
        <v>0</v>
      </c>
      <c r="X52" s="95">
        <f>IFERROR(SUMIFS('Daily Issuance'!$O$4:$O$991,'Daily Issuance'!$I$4:$I$991,$A52,'Daily Issuance'!$E$4:$E$991,"Services",'Daily Issuance'!$B$4:$B$991,"&gt;="&amp;DATE(2026,9,1),'Daily Issuance'!$B$4:$B$991,"&lt;"&amp;DATE(2026,10,1)),0)</f>
        <v>0</v>
      </c>
      <c r="Y52" s="95">
        <f>IFERROR(SUMIFS('Daily Issuance'!$O:$O,'Daily Issuance'!$I:$I,$A52,'Daily Issuance'!$E:$E,"Patty Cash",'Daily Issuance'!$B:$B,"&gt;="&amp;DATE(2026,9,1),'Daily Issuance'!$B:$B,"&lt;"&amp;DATE(2026,10,1)),0)</f>
        <v>0</v>
      </c>
      <c r="Z52" s="92">
        <f t="shared" si="5"/>
        <v>0</v>
      </c>
      <c r="AA52" s="93">
        <f>IFERROR(SUMIFS('Daily Issuance'!$O$4:$O$991,'Daily Issuance'!$I$4:$I$991,$A52,'Daily Issuance'!$E$4:$E$991,"Inventory",'Daily Issuance'!$B$4:$B$991,"&gt;="&amp;DATE(2026,10,1),'Daily Issuance'!$B$4:$B$991,"&lt;"&amp;DATE(2026,11,1)),0)</f>
        <v>0</v>
      </c>
      <c r="AB52" s="93">
        <f>IFERROR(SUMIFS('Daily Issuance'!$O$4:$O$991,'Daily Issuance'!$I$4:$I$991,$A52,'Daily Issuance'!$E$4:$E$991,"Non Inventory",'Daily Issuance'!$B$4:$B$991,"&gt;="&amp;DATE(2026,10,1),'Daily Issuance'!$B$4:$B$991,"&lt;"&amp;DATE(2026,11,1)),0)</f>
        <v>0</v>
      </c>
      <c r="AC52" s="93">
        <f>IFERROR(SUMIFS('Daily Issuance'!$O$4:$O$991,'Daily Issuance'!$I$4:$I$991,$A52,'Daily Issuance'!$E$4:$E$991,"Services",'Daily Issuance'!$B$4:$B$991,"&gt;="&amp;DATE(2026,10,1),'Daily Issuance'!$B$4:$B$991,"&lt;"&amp;DATE(2026,11,1)),0)</f>
        <v>0</v>
      </c>
      <c r="AD52" s="93">
        <f>IFERROR(SUMIFS('Daily Issuance'!$O:$O,'Daily Issuance'!$I:$I,$A52,'Daily Issuance'!$E:$E,"Patty Cash",'Daily Issuance'!$B:$B,"&gt;="&amp;DATE(2026,10,1),'Daily Issuance'!$B:$B,"&lt;"&amp;DATE(2026,11,1)),0)</f>
        <v>0</v>
      </c>
      <c r="AE52" s="92">
        <f t="shared" si="6"/>
        <v>0</v>
      </c>
      <c r="AF52" s="95">
        <f>IFERROR(SUMIFS('Daily Issuance'!$O$4:$O$991,'Daily Issuance'!$I$4:$I$991,$A52,'Daily Issuance'!$E$4:$E$991,"Inventory",'Daily Issuance'!$B$4:$B$991,"&gt;="&amp;DATE(2026,11,1),'Daily Issuance'!$B$4:$B$991,"&lt;"&amp;DATE(2026,12,1)),0)</f>
        <v>0</v>
      </c>
      <c r="AG52" s="95">
        <f>IFERROR(SUMIFS('Daily Issuance'!$O$4:$O$991,'Daily Issuance'!$I$4:$I$991,$A52,'Daily Issuance'!$E$4:$E$991,"Non Inventory",'Daily Issuance'!$B$4:$B$991,"&gt;="&amp;DATE(2026,11,1),'Daily Issuance'!$B$4:$B$991,"&lt;"&amp;DATE(2026,12,1)),0)</f>
        <v>0</v>
      </c>
      <c r="AH52" s="95">
        <f>IFERROR(SUMIFS('Daily Issuance'!$O$4:$O$991,'Daily Issuance'!$I$4:$I$991,$A52,'Daily Issuance'!$E$4:$E$991,"Services",'Daily Issuance'!$B$4:$B$991,"&gt;="&amp;DATE(2026,11,1),'Daily Issuance'!$B$4:$B$991,"&lt;"&amp;DATE(2026,12,1)),0)</f>
        <v>0</v>
      </c>
      <c r="AI52" s="95">
        <f>IFERROR(SUMIFS('Daily Issuance'!$O:$O,'Daily Issuance'!$I:$I,$A52,'Daily Issuance'!$E:$E,"Patty Cash",'Daily Issuance'!$B:$B,"&gt;="&amp;DATE(2026,11,1),'Daily Issuance'!$B:$B,"&lt;"&amp;DATE(2026,12,1)),0)</f>
        <v>0</v>
      </c>
      <c r="AJ52" s="92">
        <f t="shared" si="7"/>
        <v>0</v>
      </c>
      <c r="AK52" s="93">
        <f>IFERROR(SUMIFS('Daily Issuance'!$O$4:$O$991,'Daily Issuance'!$I$4:$I$991,$A52,'Daily Issuance'!$E$4:$E$991,"Inventory",'Daily Issuance'!$B$4:$B$991,"&gt;="&amp;DATE(2026,12,1),'Daily Issuance'!$B$4:$B$991,"&lt;"&amp;DATE(2027,1,1)),0)</f>
        <v>0</v>
      </c>
      <c r="AL52" s="93">
        <f>IFERROR(SUMIFS('Daily Issuance'!$O$4:$O$991,'Daily Issuance'!$I$4:$I$991,$A52,'Daily Issuance'!$E$4:$E$991,"Non Inventory",'Daily Issuance'!$B$4:$B$991,"&gt;="&amp;DATE(2026,12,1),'Daily Issuance'!$B$4:$B$991,"&lt;"&amp;DATE(2027,1,1)),0)</f>
        <v>0</v>
      </c>
      <c r="AM52" s="93">
        <f>IFERROR(SUMIFS('Daily Issuance'!$O$4:$O$991,'Daily Issuance'!$I$4:$I$991,$A52,'Daily Issuance'!$E$4:$E$991,"Services",'Daily Issuance'!$B$4:$B$991,"&gt;="&amp;DATE(2026,12,1),'Daily Issuance'!$B$4:$B$991,"&lt;"&amp;DATE(2027,1,1)),0)</f>
        <v>0</v>
      </c>
      <c r="AN52" s="93">
        <f>IFERROR(SUMIFS('Daily Issuance'!$O:$O,'Daily Issuance'!$I:$I,$A52,'Daily Issuance'!$E:$E,"Patty Cash",'Daily Issuance'!$B:$B,"&gt;="&amp;DATE(2026,12,1),'Daily Issuance'!$B:$B,"&lt;"&amp;DATE(2027,1,1)),0)</f>
        <v>0</v>
      </c>
      <c r="AO52" s="92">
        <f t="shared" si="8"/>
        <v>0</v>
      </c>
      <c r="AP52" s="103">
        <f t="shared" si="9"/>
        <v>0</v>
      </c>
    </row>
    <row r="53" spans="1:42" ht="21" customHeight="1">
      <c r="A53" s="90" t="s">
        <v>80</v>
      </c>
      <c r="B53" s="91">
        <f>IFERROR(SUMIFS('Daily Issuance'!$O:$O,'Daily Issuance'!$I:$I,$A53,'Daily Issuance'!$E:$E,"Inventory",'Daily Issuance'!$B:$B,"&gt;="&amp;DATE(2026,5,1),'Daily Issuance'!$B:$B,"&lt;"&amp;DATE(2026,6,1)),0)</f>
        <v>0</v>
      </c>
      <c r="C53" s="91">
        <f>IFERROR(SUMIFS('Daily Issuance'!$O:$O,'Daily Issuance'!$I:$I,$A53,'Daily Issuance'!$E:$E,"Non Inventory",'Daily Issuance'!$B:$B,"&gt;="&amp;DATE(2026,5,1),'Daily Issuance'!$B:$B,"&lt;"&amp;DATE(2026,6,1)),0)</f>
        <v>0</v>
      </c>
      <c r="D53" s="91">
        <f>IFERROR(SUMIFS('Daily Issuance'!$O:$O,'Daily Issuance'!$I:$I,$A53,'Daily Issuance'!$E:$E,"Services",'Daily Issuance'!$B:$B,"&gt;="&amp;DATE(2026,5,1),'Daily Issuance'!$B:$B,"&lt;"&amp;DATE(2026,6,1)),0)</f>
        <v>0</v>
      </c>
      <c r="E53" s="91">
        <f>IFERROR(SUMIFS('Daily Issuance'!$O:$O,'Daily Issuance'!$I:$I,$A53,'Daily Issuance'!$E:$E,"Patty Cash",'Daily Issuance'!$B:$B,"&gt;="&amp;DATE(2026,5,1),'Daily Issuance'!$B:$B,"&lt;"&amp;DATE(2026,6,1)),0)</f>
        <v>0</v>
      </c>
      <c r="F53" s="92">
        <f t="shared" si="1"/>
        <v>0</v>
      </c>
      <c r="G53" s="93">
        <f>IFERROR(SUMIFS('Daily Issuance'!$O$4:$O$991,'Daily Issuance'!$I$4:$I$991,$A53,'Daily Issuance'!$E$4:$E$991,"Inventory",'Daily Issuance'!$B$4:$B$991,"&gt;="&amp;DATE(2026,6,1),'Daily Issuance'!$B$4:$B$991,"&lt;"&amp;DATE(2026,7,1)),0)</f>
        <v>0</v>
      </c>
      <c r="H53" s="93">
        <f>IFERROR(SUMIFS('Daily Issuance'!$O$4:$O$991,'Daily Issuance'!$I$4:$I$991,$A53,'Daily Issuance'!$E$4:$E$991,"Non Inventory",'Daily Issuance'!$B$4:$B$991,"&gt;="&amp;DATE(2026,6,1),'Daily Issuance'!$B$4:$B$991,"&lt;"&amp;DATE(2026,7,1)),0)</f>
        <v>0</v>
      </c>
      <c r="I53" s="93">
        <f>IFERROR(SUMIFS('Daily Issuance'!$O$4:$O$991,'Daily Issuance'!$I$4:$I$991,$A53,'Daily Issuance'!$E$4:$E$991,"Services",'Daily Issuance'!$B$4:$B$991,"&gt;="&amp;DATE(2026,6,1),'Daily Issuance'!$B$4:$B$991,"&lt;"&amp;DATE(2026,7,1)),0)</f>
        <v>0</v>
      </c>
      <c r="J53" s="93">
        <f>IFERROR(SUMIFS('Daily Issuance'!$O:$O,'Daily Issuance'!$I:$I,$A53,'Daily Issuance'!$E:$E,"Patty Cash",'Daily Issuance'!$B:$B,"&gt;="&amp;DATE(2026,6,1),'Daily Issuance'!$B:$B,"&lt;"&amp;DATE(2026,7,1)),0)</f>
        <v>0</v>
      </c>
      <c r="K53" s="92">
        <f t="shared" si="2"/>
        <v>0</v>
      </c>
      <c r="L53" s="94">
        <f>IFERROR(SUMIFS('Daily Issuance'!$O$4:$O$991,'Daily Issuance'!$I$4:$I$991,$A53,'Daily Issuance'!$E$4:$E$991,"Inventory",'Daily Issuance'!$B$4:$B$991,"&gt;="&amp;DATE(2026,7,1),'Daily Issuance'!$B$4:$B$991,"&lt;"&amp;DATE(2026,8,1)),0)</f>
        <v>0</v>
      </c>
      <c r="M53" s="95">
        <f>IFERROR(SUMIFS('Daily Issuance'!$O$4:$O$991,'Daily Issuance'!$I$4:$I$991,$A53,'Daily Issuance'!$E$4:$E$991,"Non Inventory",'Daily Issuance'!$B$4:$B$991,"&gt;="&amp;DATE(2026,7,1),'Daily Issuance'!$B$4:$B$991,"&lt;"&amp;DATE(2026,8,1)),0)</f>
        <v>0</v>
      </c>
      <c r="N53" s="95">
        <f>IFERROR(SUMIFS('Daily Issuance'!$O$4:$O$991,'Daily Issuance'!$I$4:$I$991,$A53,'Daily Issuance'!$E$4:$E$991,"Services",'Daily Issuance'!$B$4:$B$991,"&gt;="&amp;DATE(2026,7,1),'Daily Issuance'!$B$4:$B$991,"&lt;"&amp;DATE(2026,8,1)),0)</f>
        <v>0</v>
      </c>
      <c r="O53" s="95">
        <f>IFERROR(SUMIFS('Daily Issuance'!$O:$O,'Daily Issuance'!$I:$I,$A53,'Daily Issuance'!$E:$E,"Patty Cash",'Daily Issuance'!$B:$B,"&gt;="&amp;DATE(2026,7,1),'Daily Issuance'!$B:$B,"&lt;"&amp;DATE(2026,8,1)),0)</f>
        <v>0</v>
      </c>
      <c r="P53" s="92">
        <f t="shared" si="3"/>
        <v>0</v>
      </c>
      <c r="Q53" s="93">
        <f>IFERROR(SUMIFS('Daily Issuance'!$O$4:$O$991,'Daily Issuance'!$I$4:$I$991,$A53,'Daily Issuance'!$E$4:$E$991,"Inventory",'Daily Issuance'!$B$4:$B$991,"&gt;="&amp;DATE(2026,8,1),'Daily Issuance'!$B$4:$B$991,"&lt;"&amp;DATE(2026,9,1)),0)</f>
        <v>0</v>
      </c>
      <c r="R53" s="93">
        <f>IFERROR(SUMIFS('Daily Issuance'!$O$4:$O$991,'Daily Issuance'!$I$4:$I$991,$A53,'Daily Issuance'!$E$4:$E$991,"Non Inventory",'Daily Issuance'!$B$4:$B$991,"&gt;="&amp;DATE(2026,8,1),'Daily Issuance'!$B$4:$B$991,"&lt;"&amp;DATE(2026,9,1)),0)</f>
        <v>0</v>
      </c>
      <c r="S53" s="93">
        <f>IFERROR(SUMIFS('Daily Issuance'!$O$4:$O$991,'Daily Issuance'!$I$4:$I$991,$A53,'Daily Issuance'!$E$4:$E$991,"Services",'Daily Issuance'!$B$4:$B$991,"&gt;="&amp;DATE(2026,8,1),'Daily Issuance'!$B$4:$B$991,"&lt;"&amp;DATE(2026,9,1)),0)</f>
        <v>0</v>
      </c>
      <c r="T53" s="93">
        <f>IFERROR(SUMIFS('Daily Issuance'!$O:$O,'Daily Issuance'!$I:$I,$A53,'Daily Issuance'!$E:$E,"Patty Cash",'Daily Issuance'!$B:$B,"&gt;="&amp;DATE(2026,8,1),'Daily Issuance'!$B:$B,"&lt;"&amp;DATE(2026,9,1)),0)</f>
        <v>0</v>
      </c>
      <c r="U53" s="92">
        <f t="shared" si="4"/>
        <v>0</v>
      </c>
      <c r="V53" s="95">
        <f>IFERROR(SUMIFS('Daily Issuance'!$O$4:$O$991,'Daily Issuance'!$I$4:$I$991,$A53,'Daily Issuance'!$E$4:$E$991,"Inventory",'Daily Issuance'!$B$4:$B$991,"&gt;="&amp;DATE(2026,9,1),'Daily Issuance'!$B$4:$B$991,"&lt;"&amp;DATE(2026,10,1)),0)</f>
        <v>0</v>
      </c>
      <c r="W53" s="95">
        <f>IFERROR(SUMIFS('Daily Issuance'!$O$4:$O$991,'Daily Issuance'!$I$4:$I$991,$A53,'Daily Issuance'!$E$4:$E$991,"Non Inventory",'Daily Issuance'!$B$4:$B$991,"&gt;="&amp;DATE(2026,9,1),'Daily Issuance'!$B$4:$B$991,"&lt;"&amp;DATE(2026,10,1)),0)</f>
        <v>0</v>
      </c>
      <c r="X53" s="95">
        <f>IFERROR(SUMIFS('Daily Issuance'!$O$4:$O$991,'Daily Issuance'!$I$4:$I$991,$A53,'Daily Issuance'!$E$4:$E$991,"Services",'Daily Issuance'!$B$4:$B$991,"&gt;="&amp;DATE(2026,9,1),'Daily Issuance'!$B$4:$B$991,"&lt;"&amp;DATE(2026,10,1)),0)</f>
        <v>0</v>
      </c>
      <c r="Y53" s="95">
        <f>IFERROR(SUMIFS('Daily Issuance'!$O:$O,'Daily Issuance'!$I:$I,$A53,'Daily Issuance'!$E:$E,"Patty Cash",'Daily Issuance'!$B:$B,"&gt;="&amp;DATE(2026,9,1),'Daily Issuance'!$B:$B,"&lt;"&amp;DATE(2026,10,1)),0)</f>
        <v>0</v>
      </c>
      <c r="Z53" s="92">
        <f t="shared" si="5"/>
        <v>0</v>
      </c>
      <c r="AA53" s="93">
        <f>IFERROR(SUMIFS('Daily Issuance'!$O$4:$O$991,'Daily Issuance'!$I$4:$I$991,$A53,'Daily Issuance'!$E$4:$E$991,"Inventory",'Daily Issuance'!$B$4:$B$991,"&gt;="&amp;DATE(2026,10,1),'Daily Issuance'!$B$4:$B$991,"&lt;"&amp;DATE(2026,11,1)),0)</f>
        <v>0</v>
      </c>
      <c r="AB53" s="93">
        <f>IFERROR(SUMIFS('Daily Issuance'!$O$4:$O$991,'Daily Issuance'!$I$4:$I$991,$A53,'Daily Issuance'!$E$4:$E$991,"Non Inventory",'Daily Issuance'!$B$4:$B$991,"&gt;="&amp;DATE(2026,10,1),'Daily Issuance'!$B$4:$B$991,"&lt;"&amp;DATE(2026,11,1)),0)</f>
        <v>0</v>
      </c>
      <c r="AC53" s="93">
        <f>IFERROR(SUMIFS('Daily Issuance'!$O$4:$O$991,'Daily Issuance'!$I$4:$I$991,$A53,'Daily Issuance'!$E$4:$E$991,"Services",'Daily Issuance'!$B$4:$B$991,"&gt;="&amp;DATE(2026,10,1),'Daily Issuance'!$B$4:$B$991,"&lt;"&amp;DATE(2026,11,1)),0)</f>
        <v>0</v>
      </c>
      <c r="AD53" s="93">
        <f>IFERROR(SUMIFS('Daily Issuance'!$O:$O,'Daily Issuance'!$I:$I,$A53,'Daily Issuance'!$E:$E,"Patty Cash",'Daily Issuance'!$B:$B,"&gt;="&amp;DATE(2026,10,1),'Daily Issuance'!$B:$B,"&lt;"&amp;DATE(2026,11,1)),0)</f>
        <v>0</v>
      </c>
      <c r="AE53" s="92">
        <f t="shared" si="6"/>
        <v>0</v>
      </c>
      <c r="AF53" s="95">
        <f>IFERROR(SUMIFS('Daily Issuance'!$O$4:$O$991,'Daily Issuance'!$I$4:$I$991,$A53,'Daily Issuance'!$E$4:$E$991,"Inventory",'Daily Issuance'!$B$4:$B$991,"&gt;="&amp;DATE(2026,11,1),'Daily Issuance'!$B$4:$B$991,"&lt;"&amp;DATE(2026,12,1)),0)</f>
        <v>0</v>
      </c>
      <c r="AG53" s="95">
        <f>IFERROR(SUMIFS('Daily Issuance'!$O$4:$O$991,'Daily Issuance'!$I$4:$I$991,$A53,'Daily Issuance'!$E$4:$E$991,"Non Inventory",'Daily Issuance'!$B$4:$B$991,"&gt;="&amp;DATE(2026,11,1),'Daily Issuance'!$B$4:$B$991,"&lt;"&amp;DATE(2026,12,1)),0)</f>
        <v>0</v>
      </c>
      <c r="AH53" s="95">
        <f>IFERROR(SUMIFS('Daily Issuance'!$O$4:$O$991,'Daily Issuance'!$I$4:$I$991,$A53,'Daily Issuance'!$E$4:$E$991,"Services",'Daily Issuance'!$B$4:$B$991,"&gt;="&amp;DATE(2026,11,1),'Daily Issuance'!$B$4:$B$991,"&lt;"&amp;DATE(2026,12,1)),0)</f>
        <v>0</v>
      </c>
      <c r="AI53" s="95">
        <f>IFERROR(SUMIFS('Daily Issuance'!$O:$O,'Daily Issuance'!$I:$I,$A53,'Daily Issuance'!$E:$E,"Patty Cash",'Daily Issuance'!$B:$B,"&gt;="&amp;DATE(2026,11,1),'Daily Issuance'!$B:$B,"&lt;"&amp;DATE(2026,12,1)),0)</f>
        <v>0</v>
      </c>
      <c r="AJ53" s="92">
        <f t="shared" si="7"/>
        <v>0</v>
      </c>
      <c r="AK53" s="93">
        <f>IFERROR(SUMIFS('Daily Issuance'!$O$4:$O$991,'Daily Issuance'!$I$4:$I$991,$A53,'Daily Issuance'!$E$4:$E$991,"Inventory",'Daily Issuance'!$B$4:$B$991,"&gt;="&amp;DATE(2026,12,1),'Daily Issuance'!$B$4:$B$991,"&lt;"&amp;DATE(2027,1,1)),0)</f>
        <v>0</v>
      </c>
      <c r="AL53" s="93">
        <f>IFERROR(SUMIFS('Daily Issuance'!$O$4:$O$991,'Daily Issuance'!$I$4:$I$991,$A53,'Daily Issuance'!$E$4:$E$991,"Non Inventory",'Daily Issuance'!$B$4:$B$991,"&gt;="&amp;DATE(2026,12,1),'Daily Issuance'!$B$4:$B$991,"&lt;"&amp;DATE(2027,1,1)),0)</f>
        <v>0</v>
      </c>
      <c r="AM53" s="93">
        <f>IFERROR(SUMIFS('Daily Issuance'!$O$4:$O$991,'Daily Issuance'!$I$4:$I$991,$A53,'Daily Issuance'!$E$4:$E$991,"Services",'Daily Issuance'!$B$4:$B$991,"&gt;="&amp;DATE(2026,12,1),'Daily Issuance'!$B$4:$B$991,"&lt;"&amp;DATE(2027,1,1)),0)</f>
        <v>0</v>
      </c>
      <c r="AN53" s="93">
        <f>IFERROR(SUMIFS('Daily Issuance'!$O:$O,'Daily Issuance'!$I:$I,$A53,'Daily Issuance'!$E:$E,"Patty Cash",'Daily Issuance'!$B:$B,"&gt;="&amp;DATE(2026,12,1),'Daily Issuance'!$B:$B,"&lt;"&amp;DATE(2027,1,1)),0)</f>
        <v>0</v>
      </c>
      <c r="AO53" s="92">
        <f t="shared" si="8"/>
        <v>0</v>
      </c>
      <c r="AP53" s="103">
        <f t="shared" si="9"/>
        <v>0</v>
      </c>
    </row>
    <row r="54" spans="1:42" ht="21" customHeight="1">
      <c r="A54" s="90" t="s">
        <v>81</v>
      </c>
      <c r="B54" s="91">
        <f>IFERROR(SUMIFS('Daily Issuance'!$O:$O,'Daily Issuance'!$I:$I,$A54,'Daily Issuance'!$E:$E,"Inventory",'Daily Issuance'!$B:$B,"&gt;="&amp;DATE(2026,5,1),'Daily Issuance'!$B:$B,"&lt;"&amp;DATE(2026,6,1)),0)</f>
        <v>14820</v>
      </c>
      <c r="C54" s="91">
        <f>IFERROR(SUMIFS('Daily Issuance'!$O:$O,'Daily Issuance'!$I:$I,$A54,'Daily Issuance'!$E:$E,"Non Inventory",'Daily Issuance'!$B:$B,"&gt;="&amp;DATE(2026,5,1),'Daily Issuance'!$B:$B,"&lt;"&amp;DATE(2026,6,1)),0)</f>
        <v>950</v>
      </c>
      <c r="D54" s="91">
        <f>IFERROR(SUMIFS('Daily Issuance'!$O:$O,'Daily Issuance'!$I:$I,$A54,'Daily Issuance'!$E:$E,"Services",'Daily Issuance'!$B:$B,"&gt;="&amp;DATE(2026,5,1),'Daily Issuance'!$B:$B,"&lt;"&amp;DATE(2026,6,1)),0)</f>
        <v>0</v>
      </c>
      <c r="E54" s="91">
        <f>IFERROR(SUMIFS('Daily Issuance'!$O:$O,'Daily Issuance'!$I:$I,$A54,'Daily Issuance'!$E:$E,"Patty Cash",'Daily Issuance'!$B:$B,"&gt;="&amp;DATE(2026,5,1),'Daily Issuance'!$B:$B,"&lt;"&amp;DATE(2026,6,1)),0)</f>
        <v>0</v>
      </c>
      <c r="F54" s="92">
        <f t="shared" si="1"/>
        <v>15770</v>
      </c>
      <c r="G54" s="93">
        <f>IFERROR(SUMIFS('Daily Issuance'!$O$4:$O$991,'Daily Issuance'!$I$4:$I$991,$A54,'Daily Issuance'!$E$4:$E$991,"Inventory",'Daily Issuance'!$B$4:$B$991,"&gt;="&amp;DATE(2026,6,1),'Daily Issuance'!$B$4:$B$991,"&lt;"&amp;DATE(2026,7,1)),0)</f>
        <v>0</v>
      </c>
      <c r="H54" s="93">
        <f>IFERROR(SUMIFS('Daily Issuance'!$O$4:$O$991,'Daily Issuance'!$I$4:$I$991,$A54,'Daily Issuance'!$E$4:$E$991,"Non Inventory",'Daily Issuance'!$B$4:$B$991,"&gt;="&amp;DATE(2026,6,1),'Daily Issuance'!$B$4:$B$991,"&lt;"&amp;DATE(2026,7,1)),0)</f>
        <v>6800</v>
      </c>
      <c r="I54" s="93">
        <f>IFERROR(SUMIFS('Daily Issuance'!$O$4:$O$991,'Daily Issuance'!$I$4:$I$991,$A54,'Daily Issuance'!$E$4:$E$991,"Services",'Daily Issuance'!$B$4:$B$991,"&gt;="&amp;DATE(2026,6,1),'Daily Issuance'!$B$4:$B$991,"&lt;"&amp;DATE(2026,7,1)),0)</f>
        <v>0</v>
      </c>
      <c r="J54" s="93">
        <f>IFERROR(SUMIFS('Daily Issuance'!$O:$O,'Daily Issuance'!$I:$I,$A54,'Daily Issuance'!$E:$E,"Patty Cash",'Daily Issuance'!$B:$B,"&gt;="&amp;DATE(2026,6,1),'Daily Issuance'!$B:$B,"&lt;"&amp;DATE(2026,7,1)),0)</f>
        <v>0</v>
      </c>
      <c r="K54" s="92">
        <f t="shared" si="2"/>
        <v>6800</v>
      </c>
      <c r="L54" s="94">
        <f>IFERROR(SUMIFS('Daily Issuance'!$O$4:$O$991,'Daily Issuance'!$I$4:$I$991,$A54,'Daily Issuance'!$E$4:$E$991,"Inventory",'Daily Issuance'!$B$4:$B$991,"&gt;="&amp;DATE(2026,7,1),'Daily Issuance'!$B$4:$B$991,"&lt;"&amp;DATE(2026,8,1)),0)</f>
        <v>0</v>
      </c>
      <c r="M54" s="95">
        <f>IFERROR(SUMIFS('Daily Issuance'!$O$4:$O$991,'Daily Issuance'!$I$4:$I$991,$A54,'Daily Issuance'!$E$4:$E$991,"Non Inventory",'Daily Issuance'!$B$4:$B$991,"&gt;="&amp;DATE(2026,7,1),'Daily Issuance'!$B$4:$B$991,"&lt;"&amp;DATE(2026,8,1)),0)</f>
        <v>0</v>
      </c>
      <c r="N54" s="95">
        <f>IFERROR(SUMIFS('Daily Issuance'!$O$4:$O$991,'Daily Issuance'!$I$4:$I$991,$A54,'Daily Issuance'!$E$4:$E$991,"Services",'Daily Issuance'!$B$4:$B$991,"&gt;="&amp;DATE(2026,7,1),'Daily Issuance'!$B$4:$B$991,"&lt;"&amp;DATE(2026,8,1)),0)</f>
        <v>0</v>
      </c>
      <c r="O54" s="95">
        <f>IFERROR(SUMIFS('Daily Issuance'!$O:$O,'Daily Issuance'!$I:$I,$A54,'Daily Issuance'!$E:$E,"Patty Cash",'Daily Issuance'!$B:$B,"&gt;="&amp;DATE(2026,7,1),'Daily Issuance'!$B:$B,"&lt;"&amp;DATE(2026,8,1)),0)</f>
        <v>0</v>
      </c>
      <c r="P54" s="92">
        <f t="shared" si="3"/>
        <v>0</v>
      </c>
      <c r="Q54" s="93">
        <f>IFERROR(SUMIFS('Daily Issuance'!$O$4:$O$991,'Daily Issuance'!$I$4:$I$991,$A54,'Daily Issuance'!$E$4:$E$991,"Inventory",'Daily Issuance'!$B$4:$B$991,"&gt;="&amp;DATE(2026,8,1),'Daily Issuance'!$B$4:$B$991,"&lt;"&amp;DATE(2026,9,1)),0)</f>
        <v>0</v>
      </c>
      <c r="R54" s="93">
        <f>IFERROR(SUMIFS('Daily Issuance'!$O$4:$O$991,'Daily Issuance'!$I$4:$I$991,$A54,'Daily Issuance'!$E$4:$E$991,"Non Inventory",'Daily Issuance'!$B$4:$B$991,"&gt;="&amp;DATE(2026,8,1),'Daily Issuance'!$B$4:$B$991,"&lt;"&amp;DATE(2026,9,1)),0)</f>
        <v>0</v>
      </c>
      <c r="S54" s="93">
        <f>IFERROR(SUMIFS('Daily Issuance'!$O$4:$O$991,'Daily Issuance'!$I$4:$I$991,$A54,'Daily Issuance'!$E$4:$E$991,"Services",'Daily Issuance'!$B$4:$B$991,"&gt;="&amp;DATE(2026,8,1),'Daily Issuance'!$B$4:$B$991,"&lt;"&amp;DATE(2026,9,1)),0)</f>
        <v>0</v>
      </c>
      <c r="T54" s="93">
        <f>IFERROR(SUMIFS('Daily Issuance'!$O:$O,'Daily Issuance'!$I:$I,$A54,'Daily Issuance'!$E:$E,"Patty Cash",'Daily Issuance'!$B:$B,"&gt;="&amp;DATE(2026,8,1),'Daily Issuance'!$B:$B,"&lt;"&amp;DATE(2026,9,1)),0)</f>
        <v>0</v>
      </c>
      <c r="U54" s="92">
        <f t="shared" si="4"/>
        <v>0</v>
      </c>
      <c r="V54" s="95">
        <f>IFERROR(SUMIFS('Daily Issuance'!$O$4:$O$991,'Daily Issuance'!$I$4:$I$991,$A54,'Daily Issuance'!$E$4:$E$991,"Inventory",'Daily Issuance'!$B$4:$B$991,"&gt;="&amp;DATE(2026,9,1),'Daily Issuance'!$B$4:$B$991,"&lt;"&amp;DATE(2026,10,1)),0)</f>
        <v>0</v>
      </c>
      <c r="W54" s="95">
        <f>IFERROR(SUMIFS('Daily Issuance'!$O$4:$O$991,'Daily Issuance'!$I$4:$I$991,$A54,'Daily Issuance'!$E$4:$E$991,"Non Inventory",'Daily Issuance'!$B$4:$B$991,"&gt;="&amp;DATE(2026,9,1),'Daily Issuance'!$B$4:$B$991,"&lt;"&amp;DATE(2026,10,1)),0)</f>
        <v>0</v>
      </c>
      <c r="X54" s="95">
        <f>IFERROR(SUMIFS('Daily Issuance'!$O$4:$O$991,'Daily Issuance'!$I$4:$I$991,$A54,'Daily Issuance'!$E$4:$E$991,"Services",'Daily Issuance'!$B$4:$B$991,"&gt;="&amp;DATE(2026,9,1),'Daily Issuance'!$B$4:$B$991,"&lt;"&amp;DATE(2026,10,1)),0)</f>
        <v>0</v>
      </c>
      <c r="Y54" s="95">
        <f>IFERROR(SUMIFS('Daily Issuance'!$O:$O,'Daily Issuance'!$I:$I,$A54,'Daily Issuance'!$E:$E,"Patty Cash",'Daily Issuance'!$B:$B,"&gt;="&amp;DATE(2026,9,1),'Daily Issuance'!$B:$B,"&lt;"&amp;DATE(2026,10,1)),0)</f>
        <v>0</v>
      </c>
      <c r="Z54" s="92">
        <f t="shared" si="5"/>
        <v>0</v>
      </c>
      <c r="AA54" s="93">
        <f>IFERROR(SUMIFS('Daily Issuance'!$O$4:$O$991,'Daily Issuance'!$I$4:$I$991,$A54,'Daily Issuance'!$E$4:$E$991,"Inventory",'Daily Issuance'!$B$4:$B$991,"&gt;="&amp;DATE(2026,10,1),'Daily Issuance'!$B$4:$B$991,"&lt;"&amp;DATE(2026,11,1)),0)</f>
        <v>0</v>
      </c>
      <c r="AB54" s="93">
        <f>IFERROR(SUMIFS('Daily Issuance'!$O$4:$O$991,'Daily Issuance'!$I$4:$I$991,$A54,'Daily Issuance'!$E$4:$E$991,"Non Inventory",'Daily Issuance'!$B$4:$B$991,"&gt;="&amp;DATE(2026,10,1),'Daily Issuance'!$B$4:$B$991,"&lt;"&amp;DATE(2026,11,1)),0)</f>
        <v>0</v>
      </c>
      <c r="AC54" s="93">
        <f>IFERROR(SUMIFS('Daily Issuance'!$O$4:$O$991,'Daily Issuance'!$I$4:$I$991,$A54,'Daily Issuance'!$E$4:$E$991,"Services",'Daily Issuance'!$B$4:$B$991,"&gt;="&amp;DATE(2026,10,1),'Daily Issuance'!$B$4:$B$991,"&lt;"&amp;DATE(2026,11,1)),0)</f>
        <v>0</v>
      </c>
      <c r="AD54" s="93">
        <f>IFERROR(SUMIFS('Daily Issuance'!$O:$O,'Daily Issuance'!$I:$I,$A54,'Daily Issuance'!$E:$E,"Patty Cash",'Daily Issuance'!$B:$B,"&gt;="&amp;DATE(2026,10,1),'Daily Issuance'!$B:$B,"&lt;"&amp;DATE(2026,11,1)),0)</f>
        <v>0</v>
      </c>
      <c r="AE54" s="92">
        <f t="shared" si="6"/>
        <v>0</v>
      </c>
      <c r="AF54" s="95">
        <f>IFERROR(SUMIFS('Daily Issuance'!$O$4:$O$991,'Daily Issuance'!$I$4:$I$991,$A54,'Daily Issuance'!$E$4:$E$991,"Inventory",'Daily Issuance'!$B$4:$B$991,"&gt;="&amp;DATE(2026,11,1),'Daily Issuance'!$B$4:$B$991,"&lt;"&amp;DATE(2026,12,1)),0)</f>
        <v>0</v>
      </c>
      <c r="AG54" s="95">
        <f>IFERROR(SUMIFS('Daily Issuance'!$O$4:$O$991,'Daily Issuance'!$I$4:$I$991,$A54,'Daily Issuance'!$E$4:$E$991,"Non Inventory",'Daily Issuance'!$B$4:$B$991,"&gt;="&amp;DATE(2026,11,1),'Daily Issuance'!$B$4:$B$991,"&lt;"&amp;DATE(2026,12,1)),0)</f>
        <v>0</v>
      </c>
      <c r="AH54" s="95">
        <f>IFERROR(SUMIFS('Daily Issuance'!$O$4:$O$991,'Daily Issuance'!$I$4:$I$991,$A54,'Daily Issuance'!$E$4:$E$991,"Services",'Daily Issuance'!$B$4:$B$991,"&gt;="&amp;DATE(2026,11,1),'Daily Issuance'!$B$4:$B$991,"&lt;"&amp;DATE(2026,12,1)),0)</f>
        <v>0</v>
      </c>
      <c r="AI54" s="95">
        <f>IFERROR(SUMIFS('Daily Issuance'!$O:$O,'Daily Issuance'!$I:$I,$A54,'Daily Issuance'!$E:$E,"Patty Cash",'Daily Issuance'!$B:$B,"&gt;="&amp;DATE(2026,11,1),'Daily Issuance'!$B:$B,"&lt;"&amp;DATE(2026,12,1)),0)</f>
        <v>0</v>
      </c>
      <c r="AJ54" s="92">
        <f t="shared" si="7"/>
        <v>0</v>
      </c>
      <c r="AK54" s="93">
        <f>IFERROR(SUMIFS('Daily Issuance'!$O$4:$O$991,'Daily Issuance'!$I$4:$I$991,$A54,'Daily Issuance'!$E$4:$E$991,"Inventory",'Daily Issuance'!$B$4:$B$991,"&gt;="&amp;DATE(2026,12,1),'Daily Issuance'!$B$4:$B$991,"&lt;"&amp;DATE(2027,1,1)),0)</f>
        <v>0</v>
      </c>
      <c r="AL54" s="93">
        <f>IFERROR(SUMIFS('Daily Issuance'!$O$4:$O$991,'Daily Issuance'!$I$4:$I$991,$A54,'Daily Issuance'!$E$4:$E$991,"Non Inventory",'Daily Issuance'!$B$4:$B$991,"&gt;="&amp;DATE(2026,12,1),'Daily Issuance'!$B$4:$B$991,"&lt;"&amp;DATE(2027,1,1)),0)</f>
        <v>0</v>
      </c>
      <c r="AM54" s="93">
        <f>IFERROR(SUMIFS('Daily Issuance'!$O$4:$O$991,'Daily Issuance'!$I$4:$I$991,$A54,'Daily Issuance'!$E$4:$E$991,"Services",'Daily Issuance'!$B$4:$B$991,"&gt;="&amp;DATE(2026,12,1),'Daily Issuance'!$B$4:$B$991,"&lt;"&amp;DATE(2027,1,1)),0)</f>
        <v>0</v>
      </c>
      <c r="AN54" s="93">
        <f>IFERROR(SUMIFS('Daily Issuance'!$O:$O,'Daily Issuance'!$I:$I,$A54,'Daily Issuance'!$E:$E,"Patty Cash",'Daily Issuance'!$B:$B,"&gt;="&amp;DATE(2026,12,1),'Daily Issuance'!$B:$B,"&lt;"&amp;DATE(2027,1,1)),0)</f>
        <v>0</v>
      </c>
      <c r="AO54" s="92">
        <f t="shared" si="8"/>
        <v>0</v>
      </c>
      <c r="AP54" s="103">
        <f t="shared" si="9"/>
        <v>22570</v>
      </c>
    </row>
    <row r="55" spans="1:42" ht="21" customHeight="1">
      <c r="A55" s="90" t="s">
        <v>82</v>
      </c>
      <c r="B55" s="91">
        <f>IFERROR(SUMIFS('Daily Issuance'!$O:$O,'Daily Issuance'!$I:$I,$A55,'Daily Issuance'!$E:$E,"Inventory",'Daily Issuance'!$B:$B,"&gt;="&amp;DATE(2026,5,1),'Daily Issuance'!$B:$B,"&lt;"&amp;DATE(2026,6,1)),0)</f>
        <v>0</v>
      </c>
      <c r="C55" s="91">
        <f>IFERROR(SUMIFS('Daily Issuance'!$O:$O,'Daily Issuance'!$I:$I,$A55,'Daily Issuance'!$E:$E,"Non Inventory",'Daily Issuance'!$B:$B,"&gt;="&amp;DATE(2026,5,1),'Daily Issuance'!$B:$B,"&lt;"&amp;DATE(2026,6,1)),0)</f>
        <v>0</v>
      </c>
      <c r="D55" s="91">
        <f>IFERROR(SUMIFS('Daily Issuance'!$O:$O,'Daily Issuance'!$I:$I,$A55,'Daily Issuance'!$E:$E,"Services",'Daily Issuance'!$B:$B,"&gt;="&amp;DATE(2026,5,1),'Daily Issuance'!$B:$B,"&lt;"&amp;DATE(2026,6,1)),0)</f>
        <v>0</v>
      </c>
      <c r="E55" s="91">
        <f>IFERROR(SUMIFS('Daily Issuance'!$O:$O,'Daily Issuance'!$I:$I,$A55,'Daily Issuance'!$E:$E,"Patty Cash",'Daily Issuance'!$B:$B,"&gt;="&amp;DATE(2026,5,1),'Daily Issuance'!$B:$B,"&lt;"&amp;DATE(2026,6,1)),0)</f>
        <v>0</v>
      </c>
      <c r="F55" s="92">
        <f t="shared" si="1"/>
        <v>0</v>
      </c>
      <c r="G55" s="93">
        <f>IFERROR(SUMIFS('Daily Issuance'!$O$4:$O$991,'Daily Issuance'!$I$4:$I$991,$A55,'Daily Issuance'!$E$4:$E$991,"Inventory",'Daily Issuance'!$B$4:$B$991,"&gt;="&amp;DATE(2026,6,1),'Daily Issuance'!$B$4:$B$991,"&lt;"&amp;DATE(2026,7,1)),0)</f>
        <v>0</v>
      </c>
      <c r="H55" s="93">
        <f>IFERROR(SUMIFS('Daily Issuance'!$O$4:$O$991,'Daily Issuance'!$I$4:$I$991,$A55,'Daily Issuance'!$E$4:$E$991,"Non Inventory",'Daily Issuance'!$B$4:$B$991,"&gt;="&amp;DATE(2026,6,1),'Daily Issuance'!$B$4:$B$991,"&lt;"&amp;DATE(2026,7,1)),0)</f>
        <v>0</v>
      </c>
      <c r="I55" s="93">
        <f>IFERROR(SUMIFS('Daily Issuance'!$O$4:$O$991,'Daily Issuance'!$I$4:$I$991,$A55,'Daily Issuance'!$E$4:$E$991,"Services",'Daily Issuance'!$B$4:$B$991,"&gt;="&amp;DATE(2026,6,1),'Daily Issuance'!$B$4:$B$991,"&lt;"&amp;DATE(2026,7,1)),0)</f>
        <v>0</v>
      </c>
      <c r="J55" s="93">
        <f>IFERROR(SUMIFS('Daily Issuance'!$O:$O,'Daily Issuance'!$I:$I,$A55,'Daily Issuance'!$E:$E,"Patty Cash",'Daily Issuance'!$B:$B,"&gt;="&amp;DATE(2026,6,1),'Daily Issuance'!$B:$B,"&lt;"&amp;DATE(2026,7,1)),0)</f>
        <v>0</v>
      </c>
      <c r="K55" s="92">
        <f t="shared" si="2"/>
        <v>0</v>
      </c>
      <c r="L55" s="94">
        <f>IFERROR(SUMIFS('Daily Issuance'!$O$4:$O$991,'Daily Issuance'!$I$4:$I$991,$A55,'Daily Issuance'!$E$4:$E$991,"Inventory",'Daily Issuance'!$B$4:$B$991,"&gt;="&amp;DATE(2026,7,1),'Daily Issuance'!$B$4:$B$991,"&lt;"&amp;DATE(2026,8,1)),0)</f>
        <v>0</v>
      </c>
      <c r="M55" s="95">
        <f>IFERROR(SUMIFS('Daily Issuance'!$O$4:$O$991,'Daily Issuance'!$I$4:$I$991,$A55,'Daily Issuance'!$E$4:$E$991,"Non Inventory",'Daily Issuance'!$B$4:$B$991,"&gt;="&amp;DATE(2026,7,1),'Daily Issuance'!$B$4:$B$991,"&lt;"&amp;DATE(2026,8,1)),0)</f>
        <v>0</v>
      </c>
      <c r="N55" s="95">
        <f>IFERROR(SUMIFS('Daily Issuance'!$O$4:$O$991,'Daily Issuance'!$I$4:$I$991,$A55,'Daily Issuance'!$E$4:$E$991,"Services",'Daily Issuance'!$B$4:$B$991,"&gt;="&amp;DATE(2026,7,1),'Daily Issuance'!$B$4:$B$991,"&lt;"&amp;DATE(2026,8,1)),0)</f>
        <v>0</v>
      </c>
      <c r="O55" s="95">
        <f>IFERROR(SUMIFS('Daily Issuance'!$O:$O,'Daily Issuance'!$I:$I,$A55,'Daily Issuance'!$E:$E,"Patty Cash",'Daily Issuance'!$B:$B,"&gt;="&amp;DATE(2026,7,1),'Daily Issuance'!$B:$B,"&lt;"&amp;DATE(2026,8,1)),0)</f>
        <v>0</v>
      </c>
      <c r="P55" s="92">
        <f t="shared" si="3"/>
        <v>0</v>
      </c>
      <c r="Q55" s="93">
        <f>IFERROR(SUMIFS('Daily Issuance'!$O$4:$O$991,'Daily Issuance'!$I$4:$I$991,$A55,'Daily Issuance'!$E$4:$E$991,"Inventory",'Daily Issuance'!$B$4:$B$991,"&gt;="&amp;DATE(2026,8,1),'Daily Issuance'!$B$4:$B$991,"&lt;"&amp;DATE(2026,9,1)),0)</f>
        <v>0</v>
      </c>
      <c r="R55" s="93">
        <f>IFERROR(SUMIFS('Daily Issuance'!$O$4:$O$991,'Daily Issuance'!$I$4:$I$991,$A55,'Daily Issuance'!$E$4:$E$991,"Non Inventory",'Daily Issuance'!$B$4:$B$991,"&gt;="&amp;DATE(2026,8,1),'Daily Issuance'!$B$4:$B$991,"&lt;"&amp;DATE(2026,9,1)),0)</f>
        <v>0</v>
      </c>
      <c r="S55" s="93">
        <f>IFERROR(SUMIFS('Daily Issuance'!$O$4:$O$991,'Daily Issuance'!$I$4:$I$991,$A55,'Daily Issuance'!$E$4:$E$991,"Services",'Daily Issuance'!$B$4:$B$991,"&gt;="&amp;DATE(2026,8,1),'Daily Issuance'!$B$4:$B$991,"&lt;"&amp;DATE(2026,9,1)),0)</f>
        <v>0</v>
      </c>
      <c r="T55" s="93">
        <f>IFERROR(SUMIFS('Daily Issuance'!$O:$O,'Daily Issuance'!$I:$I,$A55,'Daily Issuance'!$E:$E,"Patty Cash",'Daily Issuance'!$B:$B,"&gt;="&amp;DATE(2026,8,1),'Daily Issuance'!$B:$B,"&lt;"&amp;DATE(2026,9,1)),0)</f>
        <v>0</v>
      </c>
      <c r="U55" s="92">
        <f t="shared" si="4"/>
        <v>0</v>
      </c>
      <c r="V55" s="95">
        <f>IFERROR(SUMIFS('Daily Issuance'!$O$4:$O$991,'Daily Issuance'!$I$4:$I$991,$A55,'Daily Issuance'!$E$4:$E$991,"Inventory",'Daily Issuance'!$B$4:$B$991,"&gt;="&amp;DATE(2026,9,1),'Daily Issuance'!$B$4:$B$991,"&lt;"&amp;DATE(2026,10,1)),0)</f>
        <v>0</v>
      </c>
      <c r="W55" s="95">
        <f>IFERROR(SUMIFS('Daily Issuance'!$O$4:$O$991,'Daily Issuance'!$I$4:$I$991,$A55,'Daily Issuance'!$E$4:$E$991,"Non Inventory",'Daily Issuance'!$B$4:$B$991,"&gt;="&amp;DATE(2026,9,1),'Daily Issuance'!$B$4:$B$991,"&lt;"&amp;DATE(2026,10,1)),0)</f>
        <v>0</v>
      </c>
      <c r="X55" s="95">
        <f>IFERROR(SUMIFS('Daily Issuance'!$O$4:$O$991,'Daily Issuance'!$I$4:$I$991,$A55,'Daily Issuance'!$E$4:$E$991,"Services",'Daily Issuance'!$B$4:$B$991,"&gt;="&amp;DATE(2026,9,1),'Daily Issuance'!$B$4:$B$991,"&lt;"&amp;DATE(2026,10,1)),0)</f>
        <v>0</v>
      </c>
      <c r="Y55" s="95">
        <f>IFERROR(SUMIFS('Daily Issuance'!$O:$O,'Daily Issuance'!$I:$I,$A55,'Daily Issuance'!$E:$E,"Patty Cash",'Daily Issuance'!$B:$B,"&gt;="&amp;DATE(2026,9,1),'Daily Issuance'!$B:$B,"&lt;"&amp;DATE(2026,10,1)),0)</f>
        <v>0</v>
      </c>
      <c r="Z55" s="92">
        <f t="shared" si="5"/>
        <v>0</v>
      </c>
      <c r="AA55" s="93">
        <f>IFERROR(SUMIFS('Daily Issuance'!$O$4:$O$991,'Daily Issuance'!$I$4:$I$991,$A55,'Daily Issuance'!$E$4:$E$991,"Inventory",'Daily Issuance'!$B$4:$B$991,"&gt;="&amp;DATE(2026,10,1),'Daily Issuance'!$B$4:$B$991,"&lt;"&amp;DATE(2026,11,1)),0)</f>
        <v>0</v>
      </c>
      <c r="AB55" s="93">
        <f>IFERROR(SUMIFS('Daily Issuance'!$O$4:$O$991,'Daily Issuance'!$I$4:$I$991,$A55,'Daily Issuance'!$E$4:$E$991,"Non Inventory",'Daily Issuance'!$B$4:$B$991,"&gt;="&amp;DATE(2026,10,1),'Daily Issuance'!$B$4:$B$991,"&lt;"&amp;DATE(2026,11,1)),0)</f>
        <v>0</v>
      </c>
      <c r="AC55" s="93">
        <f>IFERROR(SUMIFS('Daily Issuance'!$O$4:$O$991,'Daily Issuance'!$I$4:$I$991,$A55,'Daily Issuance'!$E$4:$E$991,"Services",'Daily Issuance'!$B$4:$B$991,"&gt;="&amp;DATE(2026,10,1),'Daily Issuance'!$B$4:$B$991,"&lt;"&amp;DATE(2026,11,1)),0)</f>
        <v>0</v>
      </c>
      <c r="AD55" s="93">
        <f>IFERROR(SUMIFS('Daily Issuance'!$O:$O,'Daily Issuance'!$I:$I,$A55,'Daily Issuance'!$E:$E,"Patty Cash",'Daily Issuance'!$B:$B,"&gt;="&amp;DATE(2026,10,1),'Daily Issuance'!$B:$B,"&lt;"&amp;DATE(2026,11,1)),0)</f>
        <v>0</v>
      </c>
      <c r="AE55" s="92">
        <f t="shared" si="6"/>
        <v>0</v>
      </c>
      <c r="AF55" s="95">
        <f>IFERROR(SUMIFS('Daily Issuance'!$O$4:$O$991,'Daily Issuance'!$I$4:$I$991,$A55,'Daily Issuance'!$E$4:$E$991,"Inventory",'Daily Issuance'!$B$4:$B$991,"&gt;="&amp;DATE(2026,11,1),'Daily Issuance'!$B$4:$B$991,"&lt;"&amp;DATE(2026,12,1)),0)</f>
        <v>0</v>
      </c>
      <c r="AG55" s="95">
        <f>IFERROR(SUMIFS('Daily Issuance'!$O$4:$O$991,'Daily Issuance'!$I$4:$I$991,$A55,'Daily Issuance'!$E$4:$E$991,"Non Inventory",'Daily Issuance'!$B$4:$B$991,"&gt;="&amp;DATE(2026,11,1),'Daily Issuance'!$B$4:$B$991,"&lt;"&amp;DATE(2026,12,1)),0)</f>
        <v>0</v>
      </c>
      <c r="AH55" s="95">
        <f>IFERROR(SUMIFS('Daily Issuance'!$O$4:$O$991,'Daily Issuance'!$I$4:$I$991,$A55,'Daily Issuance'!$E$4:$E$991,"Services",'Daily Issuance'!$B$4:$B$991,"&gt;="&amp;DATE(2026,11,1),'Daily Issuance'!$B$4:$B$991,"&lt;"&amp;DATE(2026,12,1)),0)</f>
        <v>0</v>
      </c>
      <c r="AI55" s="95">
        <f>IFERROR(SUMIFS('Daily Issuance'!$O:$O,'Daily Issuance'!$I:$I,$A55,'Daily Issuance'!$E:$E,"Patty Cash",'Daily Issuance'!$B:$B,"&gt;="&amp;DATE(2026,11,1),'Daily Issuance'!$B:$B,"&lt;"&amp;DATE(2026,12,1)),0)</f>
        <v>0</v>
      </c>
      <c r="AJ55" s="92">
        <f t="shared" si="7"/>
        <v>0</v>
      </c>
      <c r="AK55" s="93">
        <f>IFERROR(SUMIFS('Daily Issuance'!$O$4:$O$991,'Daily Issuance'!$I$4:$I$991,$A55,'Daily Issuance'!$E$4:$E$991,"Inventory",'Daily Issuance'!$B$4:$B$991,"&gt;="&amp;DATE(2026,12,1),'Daily Issuance'!$B$4:$B$991,"&lt;"&amp;DATE(2027,1,1)),0)</f>
        <v>0</v>
      </c>
      <c r="AL55" s="93">
        <f>IFERROR(SUMIFS('Daily Issuance'!$O$4:$O$991,'Daily Issuance'!$I$4:$I$991,$A55,'Daily Issuance'!$E$4:$E$991,"Non Inventory",'Daily Issuance'!$B$4:$B$991,"&gt;="&amp;DATE(2026,12,1),'Daily Issuance'!$B$4:$B$991,"&lt;"&amp;DATE(2027,1,1)),0)</f>
        <v>0</v>
      </c>
      <c r="AM55" s="93">
        <f>IFERROR(SUMIFS('Daily Issuance'!$O$4:$O$991,'Daily Issuance'!$I$4:$I$991,$A55,'Daily Issuance'!$E$4:$E$991,"Services",'Daily Issuance'!$B$4:$B$991,"&gt;="&amp;DATE(2026,12,1),'Daily Issuance'!$B$4:$B$991,"&lt;"&amp;DATE(2027,1,1)),0)</f>
        <v>0</v>
      </c>
      <c r="AN55" s="93">
        <f>IFERROR(SUMIFS('Daily Issuance'!$O:$O,'Daily Issuance'!$I:$I,$A55,'Daily Issuance'!$E:$E,"Patty Cash",'Daily Issuance'!$B:$B,"&gt;="&amp;DATE(2026,12,1),'Daily Issuance'!$B:$B,"&lt;"&amp;DATE(2027,1,1)),0)</f>
        <v>0</v>
      </c>
      <c r="AO55" s="92">
        <f t="shared" si="8"/>
        <v>0</v>
      </c>
      <c r="AP55" s="103">
        <f t="shared" si="9"/>
        <v>0</v>
      </c>
    </row>
    <row r="56" spans="1:42" ht="21" customHeight="1">
      <c r="A56" s="90" t="s">
        <v>83</v>
      </c>
      <c r="B56" s="91">
        <f>IFERROR(SUMIFS('Daily Issuance'!$O:$O,'Daily Issuance'!$I:$I,$A56,'Daily Issuance'!$E:$E,"Inventory",'Daily Issuance'!$B:$B,"&gt;="&amp;DATE(2026,5,1),'Daily Issuance'!$B:$B,"&lt;"&amp;DATE(2026,6,1)),0)</f>
        <v>0</v>
      </c>
      <c r="C56" s="91">
        <f>IFERROR(SUMIFS('Daily Issuance'!$O:$O,'Daily Issuance'!$I:$I,$A56,'Daily Issuance'!$E:$E,"Non Inventory",'Daily Issuance'!$B:$B,"&gt;="&amp;DATE(2026,5,1),'Daily Issuance'!$B:$B,"&lt;"&amp;DATE(2026,6,1)),0)</f>
        <v>0</v>
      </c>
      <c r="D56" s="91">
        <f>IFERROR(SUMIFS('Daily Issuance'!$O:$O,'Daily Issuance'!$I:$I,$A56,'Daily Issuance'!$E:$E,"Services",'Daily Issuance'!$B:$B,"&gt;="&amp;DATE(2026,5,1),'Daily Issuance'!$B:$B,"&lt;"&amp;DATE(2026,6,1)),0)</f>
        <v>0</v>
      </c>
      <c r="E56" s="91">
        <f>IFERROR(SUMIFS('Daily Issuance'!$O:$O,'Daily Issuance'!$I:$I,$A56,'Daily Issuance'!$E:$E,"Patty Cash",'Daily Issuance'!$B:$B,"&gt;="&amp;DATE(2026,5,1),'Daily Issuance'!$B:$B,"&lt;"&amp;DATE(2026,6,1)),0)</f>
        <v>0</v>
      </c>
      <c r="F56" s="92">
        <f t="shared" si="1"/>
        <v>0</v>
      </c>
      <c r="G56" s="93">
        <f>IFERROR(SUMIFS('Daily Issuance'!$O$4:$O$991,'Daily Issuance'!$I$4:$I$991,$A56,'Daily Issuance'!$E$4:$E$991,"Inventory",'Daily Issuance'!$B$4:$B$991,"&gt;="&amp;DATE(2026,6,1),'Daily Issuance'!$B$4:$B$991,"&lt;"&amp;DATE(2026,7,1)),0)</f>
        <v>0</v>
      </c>
      <c r="H56" s="93">
        <f>IFERROR(SUMIFS('Daily Issuance'!$O$4:$O$991,'Daily Issuance'!$I$4:$I$991,$A56,'Daily Issuance'!$E$4:$E$991,"Non Inventory",'Daily Issuance'!$B$4:$B$991,"&gt;="&amp;DATE(2026,6,1),'Daily Issuance'!$B$4:$B$991,"&lt;"&amp;DATE(2026,7,1)),0)</f>
        <v>0</v>
      </c>
      <c r="I56" s="93">
        <f>IFERROR(SUMIFS('Daily Issuance'!$O$4:$O$991,'Daily Issuance'!$I$4:$I$991,$A56,'Daily Issuance'!$E$4:$E$991,"Services",'Daily Issuance'!$B$4:$B$991,"&gt;="&amp;DATE(2026,6,1),'Daily Issuance'!$B$4:$B$991,"&lt;"&amp;DATE(2026,7,1)),0)</f>
        <v>0</v>
      </c>
      <c r="J56" s="93">
        <f>IFERROR(SUMIFS('Daily Issuance'!$O:$O,'Daily Issuance'!$I:$I,$A56,'Daily Issuance'!$E:$E,"Patty Cash",'Daily Issuance'!$B:$B,"&gt;="&amp;DATE(2026,6,1),'Daily Issuance'!$B:$B,"&lt;"&amp;DATE(2026,7,1)),0)</f>
        <v>0</v>
      </c>
      <c r="K56" s="92">
        <f t="shared" si="2"/>
        <v>0</v>
      </c>
      <c r="L56" s="94">
        <f>IFERROR(SUMIFS('Daily Issuance'!$O$4:$O$991,'Daily Issuance'!$I$4:$I$991,$A56,'Daily Issuance'!$E$4:$E$991,"Inventory",'Daily Issuance'!$B$4:$B$991,"&gt;="&amp;DATE(2026,7,1),'Daily Issuance'!$B$4:$B$991,"&lt;"&amp;DATE(2026,8,1)),0)</f>
        <v>0</v>
      </c>
      <c r="M56" s="95">
        <f>IFERROR(SUMIFS('Daily Issuance'!$O$4:$O$991,'Daily Issuance'!$I$4:$I$991,$A56,'Daily Issuance'!$E$4:$E$991,"Non Inventory",'Daily Issuance'!$B$4:$B$991,"&gt;="&amp;DATE(2026,7,1),'Daily Issuance'!$B$4:$B$991,"&lt;"&amp;DATE(2026,8,1)),0)</f>
        <v>0</v>
      </c>
      <c r="N56" s="95">
        <f>IFERROR(SUMIFS('Daily Issuance'!$O$4:$O$991,'Daily Issuance'!$I$4:$I$991,$A56,'Daily Issuance'!$E$4:$E$991,"Services",'Daily Issuance'!$B$4:$B$991,"&gt;="&amp;DATE(2026,7,1),'Daily Issuance'!$B$4:$B$991,"&lt;"&amp;DATE(2026,8,1)),0)</f>
        <v>0</v>
      </c>
      <c r="O56" s="95">
        <f>IFERROR(SUMIFS('Daily Issuance'!$O:$O,'Daily Issuance'!$I:$I,$A56,'Daily Issuance'!$E:$E,"Patty Cash",'Daily Issuance'!$B:$B,"&gt;="&amp;DATE(2026,7,1),'Daily Issuance'!$B:$B,"&lt;"&amp;DATE(2026,8,1)),0)</f>
        <v>0</v>
      </c>
      <c r="P56" s="92">
        <f t="shared" si="3"/>
        <v>0</v>
      </c>
      <c r="Q56" s="93">
        <f>IFERROR(SUMIFS('Daily Issuance'!$O$4:$O$991,'Daily Issuance'!$I$4:$I$991,$A56,'Daily Issuance'!$E$4:$E$991,"Inventory",'Daily Issuance'!$B$4:$B$991,"&gt;="&amp;DATE(2026,8,1),'Daily Issuance'!$B$4:$B$991,"&lt;"&amp;DATE(2026,9,1)),0)</f>
        <v>0</v>
      </c>
      <c r="R56" s="93">
        <f>IFERROR(SUMIFS('Daily Issuance'!$O$4:$O$991,'Daily Issuance'!$I$4:$I$991,$A56,'Daily Issuance'!$E$4:$E$991,"Non Inventory",'Daily Issuance'!$B$4:$B$991,"&gt;="&amp;DATE(2026,8,1),'Daily Issuance'!$B$4:$B$991,"&lt;"&amp;DATE(2026,9,1)),0)</f>
        <v>0</v>
      </c>
      <c r="S56" s="93">
        <f>IFERROR(SUMIFS('Daily Issuance'!$O$4:$O$991,'Daily Issuance'!$I$4:$I$991,$A56,'Daily Issuance'!$E$4:$E$991,"Services",'Daily Issuance'!$B$4:$B$991,"&gt;="&amp;DATE(2026,8,1),'Daily Issuance'!$B$4:$B$991,"&lt;"&amp;DATE(2026,9,1)),0)</f>
        <v>0</v>
      </c>
      <c r="T56" s="93">
        <f>IFERROR(SUMIFS('Daily Issuance'!$O:$O,'Daily Issuance'!$I:$I,$A56,'Daily Issuance'!$E:$E,"Patty Cash",'Daily Issuance'!$B:$B,"&gt;="&amp;DATE(2026,8,1),'Daily Issuance'!$B:$B,"&lt;"&amp;DATE(2026,9,1)),0)</f>
        <v>0</v>
      </c>
      <c r="U56" s="92">
        <f t="shared" si="4"/>
        <v>0</v>
      </c>
      <c r="V56" s="95">
        <f>IFERROR(SUMIFS('Daily Issuance'!$O$4:$O$991,'Daily Issuance'!$I$4:$I$991,$A56,'Daily Issuance'!$E$4:$E$991,"Inventory",'Daily Issuance'!$B$4:$B$991,"&gt;="&amp;DATE(2026,9,1),'Daily Issuance'!$B$4:$B$991,"&lt;"&amp;DATE(2026,10,1)),0)</f>
        <v>0</v>
      </c>
      <c r="W56" s="95">
        <f>IFERROR(SUMIFS('Daily Issuance'!$O$4:$O$991,'Daily Issuance'!$I$4:$I$991,$A56,'Daily Issuance'!$E$4:$E$991,"Non Inventory",'Daily Issuance'!$B$4:$B$991,"&gt;="&amp;DATE(2026,9,1),'Daily Issuance'!$B$4:$B$991,"&lt;"&amp;DATE(2026,10,1)),0)</f>
        <v>0</v>
      </c>
      <c r="X56" s="95">
        <f>IFERROR(SUMIFS('Daily Issuance'!$O$4:$O$991,'Daily Issuance'!$I$4:$I$991,$A56,'Daily Issuance'!$E$4:$E$991,"Services",'Daily Issuance'!$B$4:$B$991,"&gt;="&amp;DATE(2026,9,1),'Daily Issuance'!$B$4:$B$991,"&lt;"&amp;DATE(2026,10,1)),0)</f>
        <v>0</v>
      </c>
      <c r="Y56" s="95">
        <f>IFERROR(SUMIFS('Daily Issuance'!$O:$O,'Daily Issuance'!$I:$I,$A56,'Daily Issuance'!$E:$E,"Patty Cash",'Daily Issuance'!$B:$B,"&gt;="&amp;DATE(2026,9,1),'Daily Issuance'!$B:$B,"&lt;"&amp;DATE(2026,10,1)),0)</f>
        <v>0</v>
      </c>
      <c r="Z56" s="92">
        <f t="shared" si="5"/>
        <v>0</v>
      </c>
      <c r="AA56" s="93">
        <f>IFERROR(SUMIFS('Daily Issuance'!$O$4:$O$991,'Daily Issuance'!$I$4:$I$991,$A56,'Daily Issuance'!$E$4:$E$991,"Inventory",'Daily Issuance'!$B$4:$B$991,"&gt;="&amp;DATE(2026,10,1),'Daily Issuance'!$B$4:$B$991,"&lt;"&amp;DATE(2026,11,1)),0)</f>
        <v>0</v>
      </c>
      <c r="AB56" s="93">
        <f>IFERROR(SUMIFS('Daily Issuance'!$O$4:$O$991,'Daily Issuance'!$I$4:$I$991,$A56,'Daily Issuance'!$E$4:$E$991,"Non Inventory",'Daily Issuance'!$B$4:$B$991,"&gt;="&amp;DATE(2026,10,1),'Daily Issuance'!$B$4:$B$991,"&lt;"&amp;DATE(2026,11,1)),0)</f>
        <v>0</v>
      </c>
      <c r="AC56" s="93">
        <f>IFERROR(SUMIFS('Daily Issuance'!$O$4:$O$991,'Daily Issuance'!$I$4:$I$991,$A56,'Daily Issuance'!$E$4:$E$991,"Services",'Daily Issuance'!$B$4:$B$991,"&gt;="&amp;DATE(2026,10,1),'Daily Issuance'!$B$4:$B$991,"&lt;"&amp;DATE(2026,11,1)),0)</f>
        <v>0</v>
      </c>
      <c r="AD56" s="93">
        <f>IFERROR(SUMIFS('Daily Issuance'!$O:$O,'Daily Issuance'!$I:$I,$A56,'Daily Issuance'!$E:$E,"Patty Cash",'Daily Issuance'!$B:$B,"&gt;="&amp;DATE(2026,10,1),'Daily Issuance'!$B:$B,"&lt;"&amp;DATE(2026,11,1)),0)</f>
        <v>0</v>
      </c>
      <c r="AE56" s="92">
        <f t="shared" si="6"/>
        <v>0</v>
      </c>
      <c r="AF56" s="95">
        <f>IFERROR(SUMIFS('Daily Issuance'!$O$4:$O$991,'Daily Issuance'!$I$4:$I$991,$A56,'Daily Issuance'!$E$4:$E$991,"Inventory",'Daily Issuance'!$B$4:$B$991,"&gt;="&amp;DATE(2026,11,1),'Daily Issuance'!$B$4:$B$991,"&lt;"&amp;DATE(2026,12,1)),0)</f>
        <v>0</v>
      </c>
      <c r="AG56" s="95">
        <f>IFERROR(SUMIFS('Daily Issuance'!$O$4:$O$991,'Daily Issuance'!$I$4:$I$991,$A56,'Daily Issuance'!$E$4:$E$991,"Non Inventory",'Daily Issuance'!$B$4:$B$991,"&gt;="&amp;DATE(2026,11,1),'Daily Issuance'!$B$4:$B$991,"&lt;"&amp;DATE(2026,12,1)),0)</f>
        <v>0</v>
      </c>
      <c r="AH56" s="95">
        <f>IFERROR(SUMIFS('Daily Issuance'!$O$4:$O$991,'Daily Issuance'!$I$4:$I$991,$A56,'Daily Issuance'!$E$4:$E$991,"Services",'Daily Issuance'!$B$4:$B$991,"&gt;="&amp;DATE(2026,11,1),'Daily Issuance'!$B$4:$B$991,"&lt;"&amp;DATE(2026,12,1)),0)</f>
        <v>0</v>
      </c>
      <c r="AI56" s="95">
        <f>IFERROR(SUMIFS('Daily Issuance'!$O:$O,'Daily Issuance'!$I:$I,$A56,'Daily Issuance'!$E:$E,"Patty Cash",'Daily Issuance'!$B:$B,"&gt;="&amp;DATE(2026,11,1),'Daily Issuance'!$B:$B,"&lt;"&amp;DATE(2026,12,1)),0)</f>
        <v>0</v>
      </c>
      <c r="AJ56" s="92">
        <f t="shared" si="7"/>
        <v>0</v>
      </c>
      <c r="AK56" s="93">
        <f>IFERROR(SUMIFS('Daily Issuance'!$O$4:$O$991,'Daily Issuance'!$I$4:$I$991,$A56,'Daily Issuance'!$E$4:$E$991,"Inventory",'Daily Issuance'!$B$4:$B$991,"&gt;="&amp;DATE(2026,12,1),'Daily Issuance'!$B$4:$B$991,"&lt;"&amp;DATE(2027,1,1)),0)</f>
        <v>0</v>
      </c>
      <c r="AL56" s="93">
        <f>IFERROR(SUMIFS('Daily Issuance'!$O$4:$O$991,'Daily Issuance'!$I$4:$I$991,$A56,'Daily Issuance'!$E$4:$E$991,"Non Inventory",'Daily Issuance'!$B$4:$B$991,"&gt;="&amp;DATE(2026,12,1),'Daily Issuance'!$B$4:$B$991,"&lt;"&amp;DATE(2027,1,1)),0)</f>
        <v>0</v>
      </c>
      <c r="AM56" s="93">
        <f>IFERROR(SUMIFS('Daily Issuance'!$O$4:$O$991,'Daily Issuance'!$I$4:$I$991,$A56,'Daily Issuance'!$E$4:$E$991,"Services",'Daily Issuance'!$B$4:$B$991,"&gt;="&amp;DATE(2026,12,1),'Daily Issuance'!$B$4:$B$991,"&lt;"&amp;DATE(2027,1,1)),0)</f>
        <v>0</v>
      </c>
      <c r="AN56" s="93">
        <f>IFERROR(SUMIFS('Daily Issuance'!$O:$O,'Daily Issuance'!$I:$I,$A56,'Daily Issuance'!$E:$E,"Patty Cash",'Daily Issuance'!$B:$B,"&gt;="&amp;DATE(2026,12,1),'Daily Issuance'!$B:$B,"&lt;"&amp;DATE(2027,1,1)),0)</f>
        <v>0</v>
      </c>
      <c r="AO56" s="92">
        <f t="shared" si="8"/>
        <v>0</v>
      </c>
      <c r="AP56" s="103">
        <f t="shared" si="9"/>
        <v>0</v>
      </c>
    </row>
    <row r="57" spans="1:42" s="3" customFormat="1" ht="21" customHeight="1">
      <c r="A57" s="90" t="s">
        <v>84</v>
      </c>
      <c r="B57" s="91">
        <f>IFERROR(SUMIFS('Daily Issuance'!$O:$O,'Daily Issuance'!$I:$I,$A57,'Daily Issuance'!$E:$E,"Inventory",'Daily Issuance'!$B:$B,"&gt;="&amp;DATE(2026,5,1),'Daily Issuance'!$B:$B,"&lt;"&amp;DATE(2026,6,1)),0)</f>
        <v>0</v>
      </c>
      <c r="C57" s="91">
        <f>IFERROR(SUMIFS('Daily Issuance'!$O:$O,'Daily Issuance'!$I:$I,$A57,'Daily Issuance'!$E:$E,"Non Inventory",'Daily Issuance'!$B:$B,"&gt;="&amp;DATE(2026,5,1),'Daily Issuance'!$B:$B,"&lt;"&amp;DATE(2026,6,1)),0)</f>
        <v>0</v>
      </c>
      <c r="D57" s="91">
        <f>IFERROR(SUMIFS('Daily Issuance'!$O:$O,'Daily Issuance'!$I:$I,$A57,'Daily Issuance'!$E:$E,"Services",'Daily Issuance'!$B:$B,"&gt;="&amp;DATE(2026,5,1),'Daily Issuance'!$B:$B,"&lt;"&amp;DATE(2026,6,1)),0)</f>
        <v>0</v>
      </c>
      <c r="E57" s="91">
        <f>IFERROR(SUMIFS('Daily Issuance'!$O:$O,'Daily Issuance'!$I:$I,$A57,'Daily Issuance'!$E:$E,"Patty Cash",'Daily Issuance'!$B:$B,"&gt;="&amp;DATE(2026,5,1),'Daily Issuance'!$B:$B,"&lt;"&amp;DATE(2026,6,1)),0)</f>
        <v>0</v>
      </c>
      <c r="F57" s="92">
        <f t="shared" si="1"/>
        <v>0</v>
      </c>
      <c r="G57" s="93">
        <f>IFERROR(SUMIFS('Daily Issuance'!$O$4:$O$991,'Daily Issuance'!$I$4:$I$991,$A57,'Daily Issuance'!$E$4:$E$991,"Inventory",'Daily Issuance'!$B$4:$B$991,"&gt;="&amp;DATE(2026,6,1),'Daily Issuance'!$B$4:$B$991,"&lt;"&amp;DATE(2026,7,1)),0)</f>
        <v>0</v>
      </c>
      <c r="H57" s="93">
        <f>IFERROR(SUMIFS('Daily Issuance'!$O$4:$O$991,'Daily Issuance'!$I$4:$I$991,$A57,'Daily Issuance'!$E$4:$E$991,"Non Inventory",'Daily Issuance'!$B$4:$B$991,"&gt;="&amp;DATE(2026,6,1),'Daily Issuance'!$B$4:$B$991,"&lt;"&amp;DATE(2026,7,1)),0)</f>
        <v>0</v>
      </c>
      <c r="I57" s="93">
        <f>IFERROR(SUMIFS('Daily Issuance'!$O$4:$O$991,'Daily Issuance'!$I$4:$I$991,$A57,'Daily Issuance'!$E$4:$E$991,"Services",'Daily Issuance'!$B$4:$B$991,"&gt;="&amp;DATE(2026,6,1),'Daily Issuance'!$B$4:$B$991,"&lt;"&amp;DATE(2026,7,1)),0)</f>
        <v>0</v>
      </c>
      <c r="J57" s="93">
        <f>IFERROR(SUMIFS('Daily Issuance'!$O:$O,'Daily Issuance'!$I:$I,$A57,'Daily Issuance'!$E:$E,"Patty Cash",'Daily Issuance'!$B:$B,"&gt;="&amp;DATE(2026,6,1),'Daily Issuance'!$B:$B,"&lt;"&amp;DATE(2026,7,1)),0)</f>
        <v>0</v>
      </c>
      <c r="K57" s="92">
        <f t="shared" si="2"/>
        <v>0</v>
      </c>
      <c r="L57" s="94">
        <f>IFERROR(SUMIFS('Daily Issuance'!$O$4:$O$991,'Daily Issuance'!$I$4:$I$991,$A57,'Daily Issuance'!$E$4:$E$991,"Inventory",'Daily Issuance'!$B$4:$B$991,"&gt;="&amp;DATE(2026,7,1),'Daily Issuance'!$B$4:$B$991,"&lt;"&amp;DATE(2026,8,1)),0)</f>
        <v>0</v>
      </c>
      <c r="M57" s="95">
        <f>IFERROR(SUMIFS('Daily Issuance'!$O$4:$O$991,'Daily Issuance'!$I$4:$I$991,$A57,'Daily Issuance'!$E$4:$E$991,"Non Inventory",'Daily Issuance'!$B$4:$B$991,"&gt;="&amp;DATE(2026,7,1),'Daily Issuance'!$B$4:$B$991,"&lt;"&amp;DATE(2026,8,1)),0)</f>
        <v>0</v>
      </c>
      <c r="N57" s="95">
        <f>IFERROR(SUMIFS('Daily Issuance'!$O$4:$O$991,'Daily Issuance'!$I$4:$I$991,$A57,'Daily Issuance'!$E$4:$E$991,"Services",'Daily Issuance'!$B$4:$B$991,"&gt;="&amp;DATE(2026,7,1),'Daily Issuance'!$B$4:$B$991,"&lt;"&amp;DATE(2026,8,1)),0)</f>
        <v>0</v>
      </c>
      <c r="O57" s="95">
        <f>IFERROR(SUMIFS('Daily Issuance'!$O:$O,'Daily Issuance'!$I:$I,$A57,'Daily Issuance'!$E:$E,"Patty Cash",'Daily Issuance'!$B:$B,"&gt;="&amp;DATE(2026,7,1),'Daily Issuance'!$B:$B,"&lt;"&amp;DATE(2026,8,1)),0)</f>
        <v>0</v>
      </c>
      <c r="P57" s="92">
        <f t="shared" si="3"/>
        <v>0</v>
      </c>
      <c r="Q57" s="93">
        <f>IFERROR(SUMIFS('Daily Issuance'!$O$4:$O$991,'Daily Issuance'!$I$4:$I$991,$A57,'Daily Issuance'!$E$4:$E$991,"Inventory",'Daily Issuance'!$B$4:$B$991,"&gt;="&amp;DATE(2026,8,1),'Daily Issuance'!$B$4:$B$991,"&lt;"&amp;DATE(2026,9,1)),0)</f>
        <v>0</v>
      </c>
      <c r="R57" s="93">
        <f>IFERROR(SUMIFS('Daily Issuance'!$O$4:$O$991,'Daily Issuance'!$I$4:$I$991,$A57,'Daily Issuance'!$E$4:$E$991,"Non Inventory",'Daily Issuance'!$B$4:$B$991,"&gt;="&amp;DATE(2026,8,1),'Daily Issuance'!$B$4:$B$991,"&lt;"&amp;DATE(2026,9,1)),0)</f>
        <v>0</v>
      </c>
      <c r="S57" s="93">
        <f>IFERROR(SUMIFS('Daily Issuance'!$O$4:$O$991,'Daily Issuance'!$I$4:$I$991,$A57,'Daily Issuance'!$E$4:$E$991,"Services",'Daily Issuance'!$B$4:$B$991,"&gt;="&amp;DATE(2026,8,1),'Daily Issuance'!$B$4:$B$991,"&lt;"&amp;DATE(2026,9,1)),0)</f>
        <v>0</v>
      </c>
      <c r="T57" s="93">
        <f>IFERROR(SUMIFS('Daily Issuance'!$O:$O,'Daily Issuance'!$I:$I,$A57,'Daily Issuance'!$E:$E,"Patty Cash",'Daily Issuance'!$B:$B,"&gt;="&amp;DATE(2026,8,1),'Daily Issuance'!$B:$B,"&lt;"&amp;DATE(2026,9,1)),0)</f>
        <v>0</v>
      </c>
      <c r="U57" s="92">
        <f t="shared" si="4"/>
        <v>0</v>
      </c>
      <c r="V57" s="95">
        <f>IFERROR(SUMIFS('Daily Issuance'!$O$4:$O$991,'Daily Issuance'!$I$4:$I$991,$A57,'Daily Issuance'!$E$4:$E$991,"Inventory",'Daily Issuance'!$B$4:$B$991,"&gt;="&amp;DATE(2026,9,1),'Daily Issuance'!$B$4:$B$991,"&lt;"&amp;DATE(2026,10,1)),0)</f>
        <v>0</v>
      </c>
      <c r="W57" s="95">
        <f>IFERROR(SUMIFS('Daily Issuance'!$O$4:$O$991,'Daily Issuance'!$I$4:$I$991,$A57,'Daily Issuance'!$E$4:$E$991,"Non Inventory",'Daily Issuance'!$B$4:$B$991,"&gt;="&amp;DATE(2026,9,1),'Daily Issuance'!$B$4:$B$991,"&lt;"&amp;DATE(2026,10,1)),0)</f>
        <v>0</v>
      </c>
      <c r="X57" s="95">
        <f>IFERROR(SUMIFS('Daily Issuance'!$O$4:$O$991,'Daily Issuance'!$I$4:$I$991,$A57,'Daily Issuance'!$E$4:$E$991,"Services",'Daily Issuance'!$B$4:$B$991,"&gt;="&amp;DATE(2026,9,1),'Daily Issuance'!$B$4:$B$991,"&lt;"&amp;DATE(2026,10,1)),0)</f>
        <v>0</v>
      </c>
      <c r="Y57" s="95">
        <f>IFERROR(SUMIFS('Daily Issuance'!$O:$O,'Daily Issuance'!$I:$I,$A57,'Daily Issuance'!$E:$E,"Patty Cash",'Daily Issuance'!$B:$B,"&gt;="&amp;DATE(2026,9,1),'Daily Issuance'!$B:$B,"&lt;"&amp;DATE(2026,10,1)),0)</f>
        <v>0</v>
      </c>
      <c r="Z57" s="92">
        <f t="shared" si="5"/>
        <v>0</v>
      </c>
      <c r="AA57" s="93">
        <f>IFERROR(SUMIFS('Daily Issuance'!$O$4:$O$991,'Daily Issuance'!$I$4:$I$991,$A57,'Daily Issuance'!$E$4:$E$991,"Inventory",'Daily Issuance'!$B$4:$B$991,"&gt;="&amp;DATE(2026,10,1),'Daily Issuance'!$B$4:$B$991,"&lt;"&amp;DATE(2026,11,1)),0)</f>
        <v>0</v>
      </c>
      <c r="AB57" s="93">
        <f>IFERROR(SUMIFS('Daily Issuance'!$O$4:$O$991,'Daily Issuance'!$I$4:$I$991,$A57,'Daily Issuance'!$E$4:$E$991,"Non Inventory",'Daily Issuance'!$B$4:$B$991,"&gt;="&amp;DATE(2026,10,1),'Daily Issuance'!$B$4:$B$991,"&lt;"&amp;DATE(2026,11,1)),0)</f>
        <v>0</v>
      </c>
      <c r="AC57" s="93">
        <f>IFERROR(SUMIFS('Daily Issuance'!$O$4:$O$991,'Daily Issuance'!$I$4:$I$991,$A57,'Daily Issuance'!$E$4:$E$991,"Services",'Daily Issuance'!$B$4:$B$991,"&gt;="&amp;DATE(2026,10,1),'Daily Issuance'!$B$4:$B$991,"&lt;"&amp;DATE(2026,11,1)),0)</f>
        <v>0</v>
      </c>
      <c r="AD57" s="93">
        <f>IFERROR(SUMIFS('Daily Issuance'!$O:$O,'Daily Issuance'!$I:$I,$A57,'Daily Issuance'!$E:$E,"Patty Cash",'Daily Issuance'!$B:$B,"&gt;="&amp;DATE(2026,10,1),'Daily Issuance'!$B:$B,"&lt;"&amp;DATE(2026,11,1)),0)</f>
        <v>0</v>
      </c>
      <c r="AE57" s="92">
        <f t="shared" si="6"/>
        <v>0</v>
      </c>
      <c r="AF57" s="95">
        <f>IFERROR(SUMIFS('Daily Issuance'!$O$4:$O$991,'Daily Issuance'!$I$4:$I$991,$A57,'Daily Issuance'!$E$4:$E$991,"Inventory",'Daily Issuance'!$B$4:$B$991,"&gt;="&amp;DATE(2026,11,1),'Daily Issuance'!$B$4:$B$991,"&lt;"&amp;DATE(2026,12,1)),0)</f>
        <v>0</v>
      </c>
      <c r="AG57" s="95">
        <f>IFERROR(SUMIFS('Daily Issuance'!$O$4:$O$991,'Daily Issuance'!$I$4:$I$991,$A57,'Daily Issuance'!$E$4:$E$991,"Non Inventory",'Daily Issuance'!$B$4:$B$991,"&gt;="&amp;DATE(2026,11,1),'Daily Issuance'!$B$4:$B$991,"&lt;"&amp;DATE(2026,12,1)),0)</f>
        <v>0</v>
      </c>
      <c r="AH57" s="95">
        <f>IFERROR(SUMIFS('Daily Issuance'!$O$4:$O$991,'Daily Issuance'!$I$4:$I$991,$A57,'Daily Issuance'!$E$4:$E$991,"Services",'Daily Issuance'!$B$4:$B$991,"&gt;="&amp;DATE(2026,11,1),'Daily Issuance'!$B$4:$B$991,"&lt;"&amp;DATE(2026,12,1)),0)</f>
        <v>0</v>
      </c>
      <c r="AI57" s="95">
        <f>IFERROR(SUMIFS('Daily Issuance'!$O:$O,'Daily Issuance'!$I:$I,$A57,'Daily Issuance'!$E:$E,"Patty Cash",'Daily Issuance'!$B:$B,"&gt;="&amp;DATE(2026,11,1),'Daily Issuance'!$B:$B,"&lt;"&amp;DATE(2026,12,1)),0)</f>
        <v>0</v>
      </c>
      <c r="AJ57" s="92">
        <f t="shared" si="7"/>
        <v>0</v>
      </c>
      <c r="AK57" s="93">
        <f>IFERROR(SUMIFS('Daily Issuance'!$O$4:$O$991,'Daily Issuance'!$I$4:$I$991,$A57,'Daily Issuance'!$E$4:$E$991,"Inventory",'Daily Issuance'!$B$4:$B$991,"&gt;="&amp;DATE(2026,12,1),'Daily Issuance'!$B$4:$B$991,"&lt;"&amp;DATE(2027,1,1)),0)</f>
        <v>0</v>
      </c>
      <c r="AL57" s="93">
        <f>IFERROR(SUMIFS('Daily Issuance'!$O$4:$O$991,'Daily Issuance'!$I$4:$I$991,$A57,'Daily Issuance'!$E$4:$E$991,"Non Inventory",'Daily Issuance'!$B$4:$B$991,"&gt;="&amp;DATE(2026,12,1),'Daily Issuance'!$B$4:$B$991,"&lt;"&amp;DATE(2027,1,1)),0)</f>
        <v>0</v>
      </c>
      <c r="AM57" s="93">
        <f>IFERROR(SUMIFS('Daily Issuance'!$O$4:$O$991,'Daily Issuance'!$I$4:$I$991,$A57,'Daily Issuance'!$E$4:$E$991,"Services",'Daily Issuance'!$B$4:$B$991,"&gt;="&amp;DATE(2026,12,1),'Daily Issuance'!$B$4:$B$991,"&lt;"&amp;DATE(2027,1,1)),0)</f>
        <v>0</v>
      </c>
      <c r="AN57" s="93">
        <f>IFERROR(SUMIFS('Daily Issuance'!$O:$O,'Daily Issuance'!$I:$I,$A57,'Daily Issuance'!$E:$E,"Patty Cash",'Daily Issuance'!$B:$B,"&gt;="&amp;DATE(2026,12,1),'Daily Issuance'!$B:$B,"&lt;"&amp;DATE(2027,1,1)),0)</f>
        <v>0</v>
      </c>
      <c r="AO57" s="92">
        <f t="shared" si="8"/>
        <v>0</v>
      </c>
      <c r="AP57" s="103">
        <f t="shared" si="9"/>
        <v>0</v>
      </c>
    </row>
    <row r="58" spans="1:42" s="3" customFormat="1" ht="21" customHeight="1">
      <c r="A58" s="90" t="s">
        <v>1757</v>
      </c>
      <c r="B58" s="91">
        <f>IFERROR(SUMIFS('Daily Issuance'!$O:$O,'Daily Issuance'!$I:$I,$A58,'Daily Issuance'!$E:$E,"Inventory",'Daily Issuance'!$B:$B,"&gt;="&amp;DATE(2026,5,1),'Daily Issuance'!$B:$B,"&lt;"&amp;DATE(2026,6,1)),0)</f>
        <v>0</v>
      </c>
      <c r="C58" s="91">
        <f>IFERROR(SUMIFS('Daily Issuance'!$O:$O,'Daily Issuance'!$I:$I,$A58,'Daily Issuance'!$E:$E,"Non Inventory",'Daily Issuance'!$B:$B,"&gt;="&amp;DATE(2026,5,1),'Daily Issuance'!$B:$B,"&lt;"&amp;DATE(2026,6,1)),0)</f>
        <v>0</v>
      </c>
      <c r="D58" s="91">
        <f>IFERROR(SUMIFS('Daily Issuance'!$O:$O,'Daily Issuance'!$I:$I,$A58,'Daily Issuance'!$E:$E,"Services",'Daily Issuance'!$B:$B,"&gt;="&amp;DATE(2026,5,1),'Daily Issuance'!$B:$B,"&lt;"&amp;DATE(2026,6,1)),0)</f>
        <v>0</v>
      </c>
      <c r="E58" s="91">
        <f>IFERROR(SUMIFS('Daily Issuance'!$O:$O,'Daily Issuance'!$I:$I,$A58,'Daily Issuance'!$E:$E,"Patty Cash",'Daily Issuance'!$B:$B,"&gt;="&amp;DATE(2026,5,1),'Daily Issuance'!$B:$B,"&lt;"&amp;DATE(2026,6,1)),0)</f>
        <v>0</v>
      </c>
      <c r="F58" s="92">
        <f t="shared" si="1"/>
        <v>0</v>
      </c>
      <c r="G58" s="93">
        <f>IFERROR(SUMIFS('Daily Issuance'!$O$4:$O$991,'Daily Issuance'!$I$4:$I$991,$A58,'Daily Issuance'!$E$4:$E$991,"Inventory",'Daily Issuance'!$B$4:$B$991,"&gt;="&amp;DATE(2026,6,1),'Daily Issuance'!$B$4:$B$991,"&lt;"&amp;DATE(2026,7,1)),0)</f>
        <v>0</v>
      </c>
      <c r="H58" s="93">
        <f>IFERROR(SUMIFS('Daily Issuance'!$O$4:$O$991,'Daily Issuance'!$I$4:$I$991,$A58,'Daily Issuance'!$E$4:$E$991,"Non Inventory",'Daily Issuance'!$B$4:$B$991,"&gt;="&amp;DATE(2026,6,1),'Daily Issuance'!$B$4:$B$991,"&lt;"&amp;DATE(2026,7,1)),0)</f>
        <v>507010.81</v>
      </c>
      <c r="I58" s="93">
        <f>IFERROR(SUMIFS('Daily Issuance'!$O$4:$O$991,'Daily Issuance'!$I$4:$I$991,$A58,'Daily Issuance'!$E$4:$E$991,"Services",'Daily Issuance'!$B$4:$B$991,"&gt;="&amp;DATE(2026,6,1),'Daily Issuance'!$B$4:$B$991,"&lt;"&amp;DATE(2026,7,1)),0)</f>
        <v>18000</v>
      </c>
      <c r="J58" s="93">
        <f>IFERROR(SUMIFS('Daily Issuance'!$O:$O,'Daily Issuance'!$I:$I,$A58,'Daily Issuance'!$E:$E,"Patty Cash",'Daily Issuance'!$B:$B,"&gt;="&amp;DATE(2026,6,1),'Daily Issuance'!$B:$B,"&lt;"&amp;DATE(2026,7,1)),0)</f>
        <v>0</v>
      </c>
      <c r="K58" s="92">
        <f t="shared" si="2"/>
        <v>525010.81000000006</v>
      </c>
      <c r="L58" s="94">
        <f>IFERROR(SUMIFS('Daily Issuance'!$O$4:$O$991,'Daily Issuance'!$I$4:$I$991,$A58,'Daily Issuance'!$E$4:$E$991,"Inventory",'Daily Issuance'!$B$4:$B$991,"&gt;="&amp;DATE(2026,7,1),'Daily Issuance'!$B$4:$B$991,"&lt;"&amp;DATE(2026,8,1)),0)</f>
        <v>0</v>
      </c>
      <c r="M58" s="95">
        <f>IFERROR(SUMIFS('Daily Issuance'!$O$4:$O$991,'Daily Issuance'!$I$4:$I$991,$A58,'Daily Issuance'!$E$4:$E$991,"Non Inventory",'Daily Issuance'!$B$4:$B$991,"&gt;="&amp;DATE(2026,7,1),'Daily Issuance'!$B$4:$B$991,"&lt;"&amp;DATE(2026,8,1)),0)</f>
        <v>0</v>
      </c>
      <c r="N58" s="95">
        <f>IFERROR(SUMIFS('Daily Issuance'!$O$4:$O$991,'Daily Issuance'!$I$4:$I$991,$A58,'Daily Issuance'!$E$4:$E$991,"Services",'Daily Issuance'!$B$4:$B$991,"&gt;="&amp;DATE(2026,7,1),'Daily Issuance'!$B$4:$B$991,"&lt;"&amp;DATE(2026,8,1)),0)</f>
        <v>0</v>
      </c>
      <c r="O58" s="95">
        <f>IFERROR(SUMIFS('Daily Issuance'!$O:$O,'Daily Issuance'!$I:$I,$A58,'Daily Issuance'!$E:$E,"Patty Cash",'Daily Issuance'!$B:$B,"&gt;="&amp;DATE(2026,7,1),'Daily Issuance'!$B:$B,"&lt;"&amp;DATE(2026,8,1)),0)</f>
        <v>0</v>
      </c>
      <c r="P58" s="92">
        <f t="shared" si="3"/>
        <v>0</v>
      </c>
      <c r="Q58" s="93">
        <f>IFERROR(SUMIFS('Daily Issuance'!$O$4:$O$991,'Daily Issuance'!$I$4:$I$991,$A58,'Daily Issuance'!$E$4:$E$991,"Inventory",'Daily Issuance'!$B$4:$B$991,"&gt;="&amp;DATE(2026,8,1),'Daily Issuance'!$B$4:$B$991,"&lt;"&amp;DATE(2026,9,1)),0)</f>
        <v>0</v>
      </c>
      <c r="R58" s="93">
        <f>IFERROR(SUMIFS('Daily Issuance'!$O$4:$O$991,'Daily Issuance'!$I$4:$I$991,$A58,'Daily Issuance'!$E$4:$E$991,"Non Inventory",'Daily Issuance'!$B$4:$B$991,"&gt;="&amp;DATE(2026,8,1),'Daily Issuance'!$B$4:$B$991,"&lt;"&amp;DATE(2026,9,1)),0)</f>
        <v>0</v>
      </c>
      <c r="S58" s="93">
        <f>IFERROR(SUMIFS('Daily Issuance'!$O$4:$O$991,'Daily Issuance'!$I$4:$I$991,$A58,'Daily Issuance'!$E$4:$E$991,"Services",'Daily Issuance'!$B$4:$B$991,"&gt;="&amp;DATE(2026,8,1),'Daily Issuance'!$B$4:$B$991,"&lt;"&amp;DATE(2026,9,1)),0)</f>
        <v>0</v>
      </c>
      <c r="T58" s="93">
        <f>IFERROR(SUMIFS('Daily Issuance'!$O:$O,'Daily Issuance'!$I:$I,$A58,'Daily Issuance'!$E:$E,"Patty Cash",'Daily Issuance'!$B:$B,"&gt;="&amp;DATE(2026,8,1),'Daily Issuance'!$B:$B,"&lt;"&amp;DATE(2026,9,1)),0)</f>
        <v>0</v>
      </c>
      <c r="U58" s="92">
        <f t="shared" si="4"/>
        <v>0</v>
      </c>
      <c r="V58" s="95">
        <f>IFERROR(SUMIFS('Daily Issuance'!$O$4:$O$991,'Daily Issuance'!$I$4:$I$991,$A58,'Daily Issuance'!$E$4:$E$991,"Inventory",'Daily Issuance'!$B$4:$B$991,"&gt;="&amp;DATE(2026,9,1),'Daily Issuance'!$B$4:$B$991,"&lt;"&amp;DATE(2026,10,1)),0)</f>
        <v>0</v>
      </c>
      <c r="W58" s="95">
        <f>IFERROR(SUMIFS('Daily Issuance'!$O$4:$O$991,'Daily Issuance'!$I$4:$I$991,$A58,'Daily Issuance'!$E$4:$E$991,"Non Inventory",'Daily Issuance'!$B$4:$B$991,"&gt;="&amp;DATE(2026,9,1),'Daily Issuance'!$B$4:$B$991,"&lt;"&amp;DATE(2026,10,1)),0)</f>
        <v>0</v>
      </c>
      <c r="X58" s="95">
        <f>IFERROR(SUMIFS('Daily Issuance'!$O$4:$O$991,'Daily Issuance'!$I$4:$I$991,$A58,'Daily Issuance'!$E$4:$E$991,"Services",'Daily Issuance'!$B$4:$B$991,"&gt;="&amp;DATE(2026,9,1),'Daily Issuance'!$B$4:$B$991,"&lt;"&amp;DATE(2026,10,1)),0)</f>
        <v>0</v>
      </c>
      <c r="Y58" s="95">
        <f>IFERROR(SUMIFS('Daily Issuance'!$O:$O,'Daily Issuance'!$I:$I,$A58,'Daily Issuance'!$E:$E,"Patty Cash",'Daily Issuance'!$B:$B,"&gt;="&amp;DATE(2026,9,1),'Daily Issuance'!$B:$B,"&lt;"&amp;DATE(2026,10,1)),0)</f>
        <v>0</v>
      </c>
      <c r="Z58" s="92">
        <f t="shared" si="5"/>
        <v>0</v>
      </c>
      <c r="AA58" s="93">
        <f>IFERROR(SUMIFS('Daily Issuance'!$O$4:$O$991,'Daily Issuance'!$I$4:$I$991,$A58,'Daily Issuance'!$E$4:$E$991,"Inventory",'Daily Issuance'!$B$4:$B$991,"&gt;="&amp;DATE(2026,10,1),'Daily Issuance'!$B$4:$B$991,"&lt;"&amp;DATE(2026,11,1)),0)</f>
        <v>0</v>
      </c>
      <c r="AB58" s="93">
        <f>IFERROR(SUMIFS('Daily Issuance'!$O$4:$O$991,'Daily Issuance'!$I$4:$I$991,$A58,'Daily Issuance'!$E$4:$E$991,"Non Inventory",'Daily Issuance'!$B$4:$B$991,"&gt;="&amp;DATE(2026,10,1),'Daily Issuance'!$B$4:$B$991,"&lt;"&amp;DATE(2026,11,1)),0)</f>
        <v>0</v>
      </c>
      <c r="AC58" s="93">
        <f>IFERROR(SUMIFS('Daily Issuance'!$O$4:$O$991,'Daily Issuance'!$I$4:$I$991,$A58,'Daily Issuance'!$E$4:$E$991,"Services",'Daily Issuance'!$B$4:$B$991,"&gt;="&amp;DATE(2026,10,1),'Daily Issuance'!$B$4:$B$991,"&lt;"&amp;DATE(2026,11,1)),0)</f>
        <v>0</v>
      </c>
      <c r="AD58" s="93">
        <f>IFERROR(SUMIFS('Daily Issuance'!$O:$O,'Daily Issuance'!$I:$I,$A58,'Daily Issuance'!$E:$E,"Patty Cash",'Daily Issuance'!$B:$B,"&gt;="&amp;DATE(2026,10,1),'Daily Issuance'!$B:$B,"&lt;"&amp;DATE(2026,11,1)),0)</f>
        <v>0</v>
      </c>
      <c r="AE58" s="92">
        <f t="shared" si="6"/>
        <v>0</v>
      </c>
      <c r="AF58" s="95">
        <f>IFERROR(SUMIFS('Daily Issuance'!$O$4:$O$991,'Daily Issuance'!$I$4:$I$991,$A58,'Daily Issuance'!$E$4:$E$991,"Inventory",'Daily Issuance'!$B$4:$B$991,"&gt;="&amp;DATE(2026,11,1),'Daily Issuance'!$B$4:$B$991,"&lt;"&amp;DATE(2026,12,1)),0)</f>
        <v>0</v>
      </c>
      <c r="AG58" s="95">
        <f>IFERROR(SUMIFS('Daily Issuance'!$O$4:$O$991,'Daily Issuance'!$I$4:$I$991,$A58,'Daily Issuance'!$E$4:$E$991,"Non Inventory",'Daily Issuance'!$B$4:$B$991,"&gt;="&amp;DATE(2026,11,1),'Daily Issuance'!$B$4:$B$991,"&lt;"&amp;DATE(2026,12,1)),0)</f>
        <v>0</v>
      </c>
      <c r="AH58" s="95">
        <f>IFERROR(SUMIFS('Daily Issuance'!$O$4:$O$991,'Daily Issuance'!$I$4:$I$991,$A58,'Daily Issuance'!$E$4:$E$991,"Services",'Daily Issuance'!$B$4:$B$991,"&gt;="&amp;DATE(2026,11,1),'Daily Issuance'!$B$4:$B$991,"&lt;"&amp;DATE(2026,12,1)),0)</f>
        <v>0</v>
      </c>
      <c r="AI58" s="95">
        <f>IFERROR(SUMIFS('Daily Issuance'!$O:$O,'Daily Issuance'!$I:$I,$A58,'Daily Issuance'!$E:$E,"Patty Cash",'Daily Issuance'!$B:$B,"&gt;="&amp;DATE(2026,11,1),'Daily Issuance'!$B:$B,"&lt;"&amp;DATE(2026,12,1)),0)</f>
        <v>0</v>
      </c>
      <c r="AJ58" s="92">
        <f t="shared" si="7"/>
        <v>0</v>
      </c>
      <c r="AK58" s="93">
        <f>IFERROR(SUMIFS('Daily Issuance'!$O$4:$O$991,'Daily Issuance'!$I$4:$I$991,$A58,'Daily Issuance'!$E$4:$E$991,"Inventory",'Daily Issuance'!$B$4:$B$991,"&gt;="&amp;DATE(2026,12,1),'Daily Issuance'!$B$4:$B$991,"&lt;"&amp;DATE(2027,1,1)),0)</f>
        <v>0</v>
      </c>
      <c r="AL58" s="93">
        <f>IFERROR(SUMIFS('Daily Issuance'!$O$4:$O$991,'Daily Issuance'!$I$4:$I$991,$A58,'Daily Issuance'!$E$4:$E$991,"Non Inventory",'Daily Issuance'!$B$4:$B$991,"&gt;="&amp;DATE(2026,12,1),'Daily Issuance'!$B$4:$B$991,"&lt;"&amp;DATE(2027,1,1)),0)</f>
        <v>0</v>
      </c>
      <c r="AM58" s="93">
        <f>IFERROR(SUMIFS('Daily Issuance'!$O$4:$O$991,'Daily Issuance'!$I$4:$I$991,$A58,'Daily Issuance'!$E$4:$E$991,"Services",'Daily Issuance'!$B$4:$B$991,"&gt;="&amp;DATE(2026,12,1),'Daily Issuance'!$B$4:$B$991,"&lt;"&amp;DATE(2027,1,1)),0)</f>
        <v>0</v>
      </c>
      <c r="AN58" s="93">
        <f>IFERROR(SUMIFS('Daily Issuance'!$O:$O,'Daily Issuance'!$I:$I,$A58,'Daily Issuance'!$E:$E,"Patty Cash",'Daily Issuance'!$B:$B,"&gt;="&amp;DATE(2026,12,1),'Daily Issuance'!$B:$B,"&lt;"&amp;DATE(2027,1,1)),0)</f>
        <v>0</v>
      </c>
      <c r="AO58" s="92">
        <f t="shared" si="8"/>
        <v>0</v>
      </c>
      <c r="AP58" s="103">
        <f t="shared" si="9"/>
        <v>525010.81000000006</v>
      </c>
    </row>
    <row r="59" spans="1:42" s="3" customFormat="1" ht="21" customHeight="1">
      <c r="A59" s="351" t="s">
        <v>1671</v>
      </c>
      <c r="B59" s="91">
        <f>IFERROR(SUMIFS('Daily Issuance'!$O:$O,'Daily Issuance'!$I:$I,$A59,'Daily Issuance'!$E:$E,"Inventory",'Daily Issuance'!$B:$B,"&gt;="&amp;DATE(2026,5,1),'Daily Issuance'!$B:$B,"&lt;"&amp;EDATE(DATE(2026,5,1),1)),0)</f>
        <v>0</v>
      </c>
      <c r="C59" s="91">
        <f>IFERROR(SUMIFS('Daily Issuance'!$O:$O,'Daily Issuance'!$I:$I,$A59,'Daily Issuance'!$E:$E,"Non Inventory",'Daily Issuance'!$B:$B,"&gt;="&amp;DATE(2026,5,1),'Daily Issuance'!$B:$B,"&lt;"&amp;EDATE(DATE(2026,5,1),1)),0)</f>
        <v>0</v>
      </c>
      <c r="D59" s="91">
        <f>IFERROR(SUMIFS('Daily Issuance'!$O:$O,'Daily Issuance'!$I:$I,$A59,'Daily Issuance'!$E:$E,"Services",'Daily Issuance'!$B:$B,"&gt;="&amp;DATE(2026,5,1),'Daily Issuance'!$B:$B,"&lt;"&amp;EDATE(DATE(2026,5,1),1)),0)</f>
        <v>0</v>
      </c>
      <c r="E59" s="91">
        <f>IFERROR(SUMIFS('Daily Issuance'!$O:$O,'Daily Issuance'!$I:$I,$A59,'Daily Issuance'!$E:$E,"Patty Cash",'Daily Issuance'!$B:$B,"&gt;="&amp;DATE(2026,5,1),'Daily Issuance'!$B:$B,"&lt;"&amp;DATE(2026,6,1)),0)</f>
        <v>7513.9594999999999</v>
      </c>
      <c r="F59" s="92">
        <f>SUM(B59:E59)</f>
        <v>7513.9594999999999</v>
      </c>
      <c r="G59" s="93">
        <f>IFERROR(SUMIFS('Daily Issuance'!$O:$O,'Daily Issuance'!$I:$I,$A59,'Daily Issuance'!$E:$E,"Inventory",'Daily Issuance'!$B:$B,"&gt;="&amp;DATE(2026,6,1),'Daily Issuance'!$B:$B,"&lt;"&amp;EDATE(DATE(2026,6,1),1)),0)</f>
        <v>0</v>
      </c>
      <c r="H59" s="93">
        <f>IFERROR(SUMIFS('Daily Issuance'!$O:$O,'Daily Issuance'!$I:$I,$A59,'Daily Issuance'!$E:$E,"Non Inventory",'Daily Issuance'!$B:$B,"&gt;="&amp;DATE(2026,6,1),'Daily Issuance'!$B:$B,"&lt;"&amp;EDATE(DATE(2026,6,1),1)),0)</f>
        <v>0</v>
      </c>
      <c r="I59" s="93">
        <f>IFERROR(SUMIFS('Daily Issuance'!$O:$O,'Daily Issuance'!$I:$I,$A59,'Daily Issuance'!$E:$E,"Services",'Daily Issuance'!$B:$B,"&gt;="&amp;DATE(2026,6,1),'Daily Issuance'!$B:$B,"&lt;"&amp;EDATE(DATE(2026,6,1),1)),0)</f>
        <v>0</v>
      </c>
      <c r="J59" s="93">
        <f>IFERROR(SUMIFS('Daily Issuance'!$O:$O,'Daily Issuance'!$I:$I,$A59,'Daily Issuance'!$E:$E,"Patty Cash",'Daily Issuance'!$B:$B,"&gt;="&amp;DATE(2026,6,1),'Daily Issuance'!$B:$B,"&lt;"&amp;EDATE(DATE(2026,6,1),1)),0)</f>
        <v>1449.6489280000001</v>
      </c>
      <c r="K59" s="92">
        <f>SUM(G59:J59)</f>
        <v>1449.6489280000001</v>
      </c>
      <c r="L59" s="94">
        <f>IFERROR(SUMIFS('Daily Issuance'!$O:$O,'Daily Issuance'!$I:$I,$A59,'Daily Issuance'!$E:$E,"Inventory",'Daily Issuance'!$B:$B,"&gt;="&amp;DATE(2026,7,1),'Daily Issuance'!$B:$B,"&lt;"&amp;EDATE(DATE(2026,7,1),1)),0)</f>
        <v>0</v>
      </c>
      <c r="M59" s="95">
        <f>IFERROR(SUMIFS('Daily Issuance'!$O:$O,'Daily Issuance'!$I:$I,$A59,'Daily Issuance'!$E:$E,"Non Inventory",'Daily Issuance'!$B:$B,"&gt;="&amp;DATE(2026,7,1),'Daily Issuance'!$B:$B,"&lt;"&amp;EDATE(DATE(2026,7,1),1)),0)</f>
        <v>0</v>
      </c>
      <c r="N59" s="95">
        <f>IFERROR(SUMIFS('Daily Issuance'!$O:$O,'Daily Issuance'!$I:$I,$A59,'Daily Issuance'!$E:$E,"Services",'Daily Issuance'!$B:$B,"&gt;="&amp;DATE(2026,7,1),'Daily Issuance'!$B:$B,"&lt;"&amp;EDATE(DATE(2026,7,1),1)),0)</f>
        <v>0</v>
      </c>
      <c r="O59" s="95">
        <f>IFERROR(SUMIFS('Daily Issuance'!$O:$O,'Daily Issuance'!$I:$I,$A59,'Daily Issuance'!$E:$E,"Patty Cash",'Daily Issuance'!$B:$B,"&gt;="&amp;DATE(2026,7,1),'Daily Issuance'!$B:$B,"&lt;"&amp;EDATE(DATE(2026,7,1),1)),0)</f>
        <v>0</v>
      </c>
      <c r="P59" s="92">
        <f>SUM(L59:O59)</f>
        <v>0</v>
      </c>
      <c r="Q59" s="93">
        <f>IFERROR(SUMIFS('Daily Issuance'!$O:$O,'Daily Issuance'!$I:$I,$A59,'Daily Issuance'!$E:$E,"Inventory",'Daily Issuance'!$B:$B,"&gt;="&amp;DATE(2026,8,1),'Daily Issuance'!$B:$B,"&lt;"&amp;EDATE(DATE(2026,8,1),1)),0)</f>
        <v>0</v>
      </c>
      <c r="R59" s="93">
        <f>IFERROR(SUMIFS('Daily Issuance'!$O:$O,'Daily Issuance'!$I:$I,$A59,'Daily Issuance'!$E:$E,"Non Inventory",'Daily Issuance'!$B:$B,"&gt;="&amp;DATE(2026,8,1),'Daily Issuance'!$B:$B,"&lt;"&amp;EDATE(DATE(2026,8,1),1)),0)</f>
        <v>0</v>
      </c>
      <c r="S59" s="93">
        <f>IFERROR(SUMIFS('Daily Issuance'!$O:$O,'Daily Issuance'!$I:$I,$A59,'Daily Issuance'!$E:$E,"Services",'Daily Issuance'!$B:$B,"&gt;="&amp;DATE(2026,8,1),'Daily Issuance'!$B:$B,"&lt;"&amp;EDATE(DATE(2026,8,1),1)),0)</f>
        <v>0</v>
      </c>
      <c r="T59" s="93">
        <f>IFERROR(SUMIFS('Daily Issuance'!$O:$O,'Daily Issuance'!$I:$I,$A59,'Daily Issuance'!$E:$E,"Patty Cash",'Daily Issuance'!$B:$B,"&gt;="&amp;DATE(2026,8,1),'Daily Issuance'!$B:$B,"&lt;"&amp;EDATE(DATE(2026,8,1),1)),0)</f>
        <v>0</v>
      </c>
      <c r="U59" s="92">
        <f>SUM(Q59:T59)</f>
        <v>0</v>
      </c>
      <c r="V59" s="95">
        <f>IFERROR(SUMIFS('Daily Issuance'!$O:$O,'Daily Issuance'!$I:$I,$A59,'Daily Issuance'!$E:$E,"Inventory",'Daily Issuance'!$B:$B,"&gt;="&amp;DATE(2026,9,1),'Daily Issuance'!$B:$B,"&lt;"&amp;EDATE(DATE(2026,9,1),1)),0)</f>
        <v>0</v>
      </c>
      <c r="W59" s="95">
        <f>IFERROR(SUMIFS('Daily Issuance'!$O:$O,'Daily Issuance'!$I:$I,$A59,'Daily Issuance'!$E:$E,"Non Inventory",'Daily Issuance'!$B:$B,"&gt;="&amp;DATE(2026,9,1),'Daily Issuance'!$B:$B,"&lt;"&amp;EDATE(DATE(2026,9,1),1)),0)</f>
        <v>0</v>
      </c>
      <c r="X59" s="95">
        <f>IFERROR(SUMIFS('Daily Issuance'!$O:$O,'Daily Issuance'!$I:$I,$A59,'Daily Issuance'!$E:$E,"Services",'Daily Issuance'!$B:$B,"&gt;="&amp;DATE(2026,9,1),'Daily Issuance'!$B:$B,"&lt;"&amp;EDATE(DATE(2026,9,1),1)),0)</f>
        <v>0</v>
      </c>
      <c r="Y59" s="95">
        <f>IFERROR(SUMIFS('Daily Issuance'!$O:$O,'Daily Issuance'!$I:$I,$A59,'Daily Issuance'!$E:$E,"Patty Cash",'Daily Issuance'!$B:$B,"&gt;="&amp;DATE(2026,9,1),'Daily Issuance'!$B:$B,"&lt;"&amp;EDATE(DATE(2026,9,1),1)),0)</f>
        <v>0</v>
      </c>
      <c r="Z59" s="92">
        <f>SUM(V59:Y59)</f>
        <v>0</v>
      </c>
      <c r="AA59" s="93">
        <f>IFERROR(SUMIFS('Daily Issuance'!$O:$O,'Daily Issuance'!$I:$I,$A59,'Daily Issuance'!$E:$E,"Inventory",'Daily Issuance'!$B:$B,"&gt;="&amp;DATE(2026,10,1),'Daily Issuance'!$B:$B,"&lt;"&amp;EDATE(DATE(2026,10,1),1)),0)</f>
        <v>0</v>
      </c>
      <c r="AB59" s="93">
        <f>IFERROR(SUMIFS('Daily Issuance'!$O:$O,'Daily Issuance'!$I:$I,$A59,'Daily Issuance'!$E:$E,"Non Inventory",'Daily Issuance'!$B:$B,"&gt;="&amp;DATE(2026,10,1),'Daily Issuance'!$B:$B,"&lt;"&amp;EDATE(DATE(2026,10,1),1)),0)</f>
        <v>0</v>
      </c>
      <c r="AC59" s="93">
        <f>IFERROR(SUMIFS('Daily Issuance'!$O:$O,'Daily Issuance'!$I:$I,$A59,'Daily Issuance'!$E:$E,"Services",'Daily Issuance'!$B:$B,"&gt;="&amp;DATE(2026,10,1),'Daily Issuance'!$B:$B,"&lt;"&amp;EDATE(DATE(2026,10,1),1)),0)</f>
        <v>0</v>
      </c>
      <c r="AD59" s="93">
        <f>IFERROR(SUMIFS('Daily Issuance'!$O:$O,'Daily Issuance'!$I:$I,$A59,'Daily Issuance'!$E:$E,"Patty Cash",'Daily Issuance'!$B:$B,"&gt;="&amp;DATE(2026,10,1),'Daily Issuance'!$B:$B,"&lt;"&amp;EDATE(DATE(2026,10,1),1)),0)</f>
        <v>0</v>
      </c>
      <c r="AE59" s="92">
        <f>SUM(AA59:AD59)</f>
        <v>0</v>
      </c>
      <c r="AF59" s="95">
        <f>IFERROR(SUMIFS('Daily Issuance'!$O:$O,'Daily Issuance'!$I:$I,$A59,'Daily Issuance'!$E:$E,"Inventory",'Daily Issuance'!$B:$B,"&gt;="&amp;DATE(2026,11,1),'Daily Issuance'!$B:$B,"&lt;"&amp;EDATE(DATE(2026,11,1),1)),0)</f>
        <v>0</v>
      </c>
      <c r="AG59" s="95">
        <f>IFERROR(SUMIFS('Daily Issuance'!$O:$O,'Daily Issuance'!$I:$I,$A59,'Daily Issuance'!$E:$E,"Non Inventory",'Daily Issuance'!$B:$B,"&gt;="&amp;DATE(2026,11,1),'Daily Issuance'!$B:$B,"&lt;"&amp;EDATE(DATE(2026,11,1),1)),0)</f>
        <v>0</v>
      </c>
      <c r="AH59" s="95">
        <f>IFERROR(SUMIFS('Daily Issuance'!$O:$O,'Daily Issuance'!$I:$I,$A59,'Daily Issuance'!$E:$E,"Services",'Daily Issuance'!$B:$B,"&gt;="&amp;DATE(2026,11,1),'Daily Issuance'!$B:$B,"&lt;"&amp;EDATE(DATE(2026,11,1),1)),0)</f>
        <v>0</v>
      </c>
      <c r="AI59" s="95">
        <f>IFERROR(SUMIFS('Daily Issuance'!$O:$O,'Daily Issuance'!$I:$I,$A59,'Daily Issuance'!$E:$E,"Patty Cash",'Daily Issuance'!$B:$B,"&gt;="&amp;DATE(2026,11,1),'Daily Issuance'!$B:$B,"&lt;"&amp;EDATE(DATE(2026,11,1),1)),0)</f>
        <v>0</v>
      </c>
      <c r="AJ59" s="92">
        <f>SUM(AF59:AI59)</f>
        <v>0</v>
      </c>
      <c r="AK59" s="93">
        <f>IFERROR(SUMIFS('Daily Issuance'!$O:$O,'Daily Issuance'!$I:$I,$A59,'Daily Issuance'!$E:$E,"Inventory",'Daily Issuance'!$B:$B,"&gt;="&amp;DATE(2026,12,1),'Daily Issuance'!$B:$B,"&lt;"&amp;EDATE(DATE(2026,12,1),1)),0)</f>
        <v>0</v>
      </c>
      <c r="AL59" s="93">
        <f>IFERROR(SUMIFS('Daily Issuance'!$O:$O,'Daily Issuance'!$I:$I,$A59,'Daily Issuance'!$E:$E,"Non Inventory",'Daily Issuance'!$B:$B,"&gt;="&amp;DATE(2026,12,1),'Daily Issuance'!$B:$B,"&lt;"&amp;EDATE(DATE(2026,12,1),1)),0)</f>
        <v>0</v>
      </c>
      <c r="AM59" s="93">
        <f>IFERROR(SUMIFS('Daily Issuance'!$O:$O,'Daily Issuance'!$I:$I,$A59,'Daily Issuance'!$E:$E,"Services",'Daily Issuance'!$B:$B,"&gt;="&amp;DATE(2026,12,1),'Daily Issuance'!$B:$B,"&lt;"&amp;EDATE(DATE(2026,12,1),1)),0)</f>
        <v>0</v>
      </c>
      <c r="AN59" s="93">
        <f>IFERROR(SUMIFS('Daily Issuance'!$O:$O,'Daily Issuance'!$I:$I,$A59,'Daily Issuance'!$E:$E,"Patty Cash",'Daily Issuance'!$B:$B,"&gt;="&amp;DATE(2026,12,1),'Daily Issuance'!$B:$B,"&lt;"&amp;EDATE(DATE(2026,12,1),1)),0)</f>
        <v>0</v>
      </c>
      <c r="AO59" s="92">
        <f>SUM(AK59:AN59)</f>
        <v>0</v>
      </c>
      <c r="AP59" s="103">
        <f>SUM(F59,K59,P59,U59,Z59,AE59,AJ59,AO59)</f>
        <v>8963.6084279999995</v>
      </c>
    </row>
    <row r="60" spans="1:42" ht="24.95" customHeight="1">
      <c r="A60" s="104" t="s">
        <v>86</v>
      </c>
      <c r="B60" s="105">
        <f>SUM(B6:B59)</f>
        <v>1717496</v>
      </c>
      <c r="C60" s="105">
        <f>SUM(C6:C59)</f>
        <v>352080</v>
      </c>
      <c r="D60" s="105">
        <f>SUM(D6:D59)</f>
        <v>785200</v>
      </c>
      <c r="E60" s="105">
        <f>SUM(E6:E59)</f>
        <v>16108.959500000001</v>
      </c>
      <c r="F60" s="105">
        <f>SUM(B60:E60)</f>
        <v>2870884.9594999999</v>
      </c>
      <c r="G60" s="105">
        <f>SUM(G6:G59)</f>
        <v>1621118</v>
      </c>
      <c r="H60" s="105">
        <f>SUM(H6:H59)</f>
        <v>801531.81</v>
      </c>
      <c r="I60" s="105">
        <f>SUM(I6:I59)</f>
        <v>398000</v>
      </c>
      <c r="J60" s="105">
        <f>SUM(J6:J59)</f>
        <v>9032.6489280000005</v>
      </c>
      <c r="K60" s="105">
        <f>SUM(G60:J60)</f>
        <v>2829682.4589280002</v>
      </c>
      <c r="L60" s="105">
        <f>SUM(L6:L59)</f>
        <v>0</v>
      </c>
      <c r="M60" s="105">
        <f>SUM(M6:M59)</f>
        <v>0</v>
      </c>
      <c r="N60" s="105">
        <f>SUM(N6:N59)</f>
        <v>0</v>
      </c>
      <c r="O60" s="105">
        <f>SUM(O6:O59)</f>
        <v>0</v>
      </c>
      <c r="P60" s="105">
        <f>SUM(L60:O60)</f>
        <v>0</v>
      </c>
      <c r="Q60" s="105">
        <f>SUM(Q6:Q59)</f>
        <v>0</v>
      </c>
      <c r="R60" s="105">
        <f>SUM(R6:R59)</f>
        <v>0</v>
      </c>
      <c r="S60" s="105">
        <f>SUM(S6:S59)</f>
        <v>0</v>
      </c>
      <c r="T60" s="105">
        <f>SUM(T6:T59)</f>
        <v>0</v>
      </c>
      <c r="U60" s="105">
        <f>SUM(Q60:T60)</f>
        <v>0</v>
      </c>
      <c r="V60" s="105">
        <f>SUM(V6:V59)</f>
        <v>0</v>
      </c>
      <c r="W60" s="105">
        <f>SUM(W6:W59)</f>
        <v>0</v>
      </c>
      <c r="X60" s="105">
        <f>SUM(X6:X59)</f>
        <v>0</v>
      </c>
      <c r="Y60" s="105">
        <f>SUM(Y6:Y59)</f>
        <v>0</v>
      </c>
      <c r="Z60" s="105">
        <f>SUM(V60:Y60)</f>
        <v>0</v>
      </c>
      <c r="AA60" s="105">
        <f>SUM(AA6:AA59)</f>
        <v>0</v>
      </c>
      <c r="AB60" s="105">
        <f>SUM(AB6:AB59)</f>
        <v>0</v>
      </c>
      <c r="AC60" s="105">
        <f>SUM(AC6:AC59)</f>
        <v>0</v>
      </c>
      <c r="AD60" s="105">
        <f>SUM(AD6:AD59)</f>
        <v>0</v>
      </c>
      <c r="AE60" s="105">
        <f>SUM(AA60:AD60)</f>
        <v>0</v>
      </c>
      <c r="AF60" s="105">
        <f>SUM(AF6:AF59)</f>
        <v>0</v>
      </c>
      <c r="AG60" s="105">
        <f>SUM(AG6:AG59)</f>
        <v>0</v>
      </c>
      <c r="AH60" s="105">
        <f>SUM(AH6:AH59)</f>
        <v>0</v>
      </c>
      <c r="AI60" s="105">
        <f>SUM(AI6:AI59)</f>
        <v>0</v>
      </c>
      <c r="AJ60" s="105">
        <f>SUM(AF60:AI60)</f>
        <v>0</v>
      </c>
      <c r="AK60" s="105">
        <f>SUM(AK6:AK59)</f>
        <v>0</v>
      </c>
      <c r="AL60" s="105">
        <f>SUM(AL6:AL59)</f>
        <v>0</v>
      </c>
      <c r="AM60" s="105">
        <f>SUM(AM6:AM59)</f>
        <v>0</v>
      </c>
      <c r="AN60" s="105">
        <f>SUM(AN6:AN59)</f>
        <v>0</v>
      </c>
      <c r="AO60" s="105">
        <f>SUM(AK60:AN60)</f>
        <v>0</v>
      </c>
      <c r="AP60" s="106">
        <f>SUM(AP6:AP59)</f>
        <v>5700567.4184280001</v>
      </c>
    </row>
    <row r="61" spans="1:42" ht="15" customHeight="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3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80"/>
    </row>
    <row r="62" spans="1:42" ht="15" customHeight="1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3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80"/>
    </row>
    <row r="63" spans="1:42" ht="26.1" customHeight="1">
      <c r="A63" s="459" t="s">
        <v>87</v>
      </c>
      <c r="B63" s="459"/>
      <c r="C63" s="52"/>
      <c r="D63" s="52"/>
      <c r="E63" s="52"/>
      <c r="F63" s="52"/>
      <c r="G63" s="52"/>
      <c r="H63" s="52"/>
      <c r="I63" s="52"/>
      <c r="J63" s="52"/>
      <c r="K63" s="52"/>
      <c r="L63" s="53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80"/>
    </row>
    <row r="64" spans="1:42" ht="18.75" customHeight="1">
      <c r="A64" s="55" t="s">
        <v>12</v>
      </c>
      <c r="B64" s="55" t="s">
        <v>88</v>
      </c>
      <c r="C64" s="52"/>
      <c r="D64" s="52"/>
      <c r="E64" s="52"/>
      <c r="F64" s="52"/>
      <c r="G64" s="52"/>
      <c r="H64" s="52"/>
      <c r="I64" s="52"/>
      <c r="J64" s="52"/>
      <c r="K64" s="52"/>
      <c r="L64" s="53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80"/>
    </row>
    <row r="65" spans="1:42" ht="21.95" customHeight="1">
      <c r="A65" s="352">
        <v>46143</v>
      </c>
      <c r="B65" s="56">
        <f>F60</f>
        <v>2870884.9594999999</v>
      </c>
      <c r="C65" s="52"/>
      <c r="D65" s="52"/>
      <c r="E65" s="52"/>
      <c r="F65" s="52"/>
      <c r="G65" s="52"/>
      <c r="H65" s="52"/>
      <c r="I65" s="52"/>
      <c r="J65" s="52"/>
      <c r="K65" s="52"/>
      <c r="L65" s="53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80"/>
    </row>
    <row r="66" spans="1:42" ht="21.95" customHeight="1">
      <c r="A66" s="352">
        <v>46174</v>
      </c>
      <c r="B66" s="56">
        <f>K60</f>
        <v>2829682.4589280002</v>
      </c>
      <c r="C66" s="52"/>
      <c r="D66" s="52"/>
      <c r="E66" s="52"/>
      <c r="F66" s="52"/>
      <c r="G66" s="52"/>
      <c r="H66" s="52"/>
      <c r="I66" s="52"/>
      <c r="J66" s="52"/>
      <c r="K66" s="52"/>
      <c r="L66" s="53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80"/>
    </row>
    <row r="67" spans="1:42" ht="21.95" customHeight="1">
      <c r="A67" s="352">
        <v>46204</v>
      </c>
      <c r="B67" s="56">
        <f>P60</f>
        <v>0</v>
      </c>
      <c r="C67" s="52"/>
      <c r="D67" s="52"/>
      <c r="E67" s="52"/>
      <c r="F67" s="52"/>
      <c r="G67" s="52"/>
      <c r="H67" s="52"/>
      <c r="I67" s="52"/>
      <c r="J67" s="52"/>
      <c r="K67" s="52"/>
      <c r="L67" s="53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80"/>
    </row>
    <row r="68" spans="1:42" ht="21.95" customHeight="1">
      <c r="A68" s="352">
        <v>46235</v>
      </c>
      <c r="B68" s="56">
        <f>U60</f>
        <v>0</v>
      </c>
      <c r="C68" s="52"/>
      <c r="D68" s="52"/>
      <c r="E68" s="52"/>
      <c r="F68" s="52"/>
      <c r="G68" s="52"/>
      <c r="H68" s="52"/>
      <c r="I68" s="52"/>
      <c r="J68" s="52"/>
      <c r="K68" s="52"/>
      <c r="L68" s="53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80"/>
    </row>
    <row r="69" spans="1:42" ht="21.95" customHeight="1">
      <c r="A69" s="352">
        <v>46266</v>
      </c>
      <c r="B69" s="56">
        <f>Z60</f>
        <v>0</v>
      </c>
      <c r="C69" s="52"/>
      <c r="D69" s="52"/>
      <c r="E69" s="52"/>
      <c r="F69" s="52"/>
      <c r="G69" s="52"/>
      <c r="H69" s="52"/>
      <c r="I69" s="52"/>
      <c r="J69" s="52"/>
      <c r="K69" s="52"/>
      <c r="L69" s="53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80"/>
    </row>
    <row r="70" spans="1:42" ht="21.95" customHeight="1">
      <c r="A70" s="352">
        <v>46296</v>
      </c>
      <c r="B70" s="56">
        <f>AE60</f>
        <v>0</v>
      </c>
      <c r="C70" s="52"/>
      <c r="D70" s="52"/>
      <c r="E70" s="52"/>
      <c r="F70" s="52"/>
      <c r="G70" s="52"/>
      <c r="H70" s="52"/>
      <c r="I70" s="52"/>
      <c r="J70" s="52"/>
      <c r="K70" s="52"/>
      <c r="L70" s="53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80"/>
    </row>
    <row r="71" spans="1:42" ht="21.95" customHeight="1">
      <c r="A71" s="352">
        <v>46327</v>
      </c>
      <c r="B71" s="56">
        <f>AJ60</f>
        <v>0</v>
      </c>
      <c r="C71" s="52"/>
      <c r="D71" s="52"/>
      <c r="E71" s="52"/>
      <c r="F71" s="52"/>
      <c r="G71" s="52"/>
      <c r="H71" s="52"/>
      <c r="I71" s="52"/>
      <c r="J71" s="52"/>
      <c r="K71" s="52"/>
      <c r="L71" s="53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80"/>
    </row>
    <row r="72" spans="1:42" ht="21.95" customHeight="1">
      <c r="A72" s="352">
        <v>46357</v>
      </c>
      <c r="B72" s="56">
        <f>AO60</f>
        <v>0</v>
      </c>
      <c r="C72" s="52"/>
      <c r="D72" s="52"/>
      <c r="E72" s="52"/>
      <c r="F72" s="52"/>
      <c r="G72" s="52"/>
      <c r="H72" s="52"/>
      <c r="I72" s="52"/>
      <c r="J72" s="52"/>
      <c r="K72" s="52"/>
      <c r="L72" s="53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80"/>
    </row>
    <row r="73" spans="1:42" ht="21.95" customHeight="1">
      <c r="A73" s="57" t="s">
        <v>86</v>
      </c>
      <c r="B73" s="58">
        <f>SUM(B65:B72)</f>
        <v>5700567.4184280001</v>
      </c>
      <c r="C73" s="52"/>
      <c r="D73" s="52"/>
      <c r="E73" s="52"/>
      <c r="F73" s="52"/>
      <c r="G73" s="52"/>
      <c r="H73" s="52"/>
      <c r="I73" s="52"/>
      <c r="J73" s="52"/>
      <c r="K73" s="52"/>
      <c r="L73" s="53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80"/>
    </row>
  </sheetData>
  <autoFilter ref="A5:AP60" xr:uid="{00000000-0009-0000-0000-000001000000}"/>
  <mergeCells count="13">
    <mergeCell ref="AP3:AP5"/>
    <mergeCell ref="AA3:AE3"/>
    <mergeCell ref="A1:L1"/>
    <mergeCell ref="A2:L2"/>
    <mergeCell ref="A63:B63"/>
    <mergeCell ref="B3:F3"/>
    <mergeCell ref="AK3:AO3"/>
    <mergeCell ref="A3:A5"/>
    <mergeCell ref="V3:Z3"/>
    <mergeCell ref="AF3:AJ3"/>
    <mergeCell ref="G3:K3"/>
    <mergeCell ref="Q3:U3"/>
    <mergeCell ref="L3:P3"/>
  </mergeCells>
  <pageMargins left="0.75" right="0.75" top="1" bottom="1" header="0.511811023622047" footer="0.511811023622047"/>
  <pageSetup orientation="portrait" horizontalDpi="300" verticalDpi="300" r:id="rId1"/>
  <ignoredErrors>
    <ignoredError sqref="F60 K60 AO60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4472C4"/>
    <pageSetUpPr fitToPage="1"/>
  </sheetPr>
  <dimension ref="A1:K1002"/>
  <sheetViews>
    <sheetView showGridLines="0" zoomScaleNormal="100" workbookViewId="0">
      <pane ySplit="3" topLeftCell="A4" activePane="bottomLeft" state="frozen"/>
      <selection pane="bottomLeft" activeCell="C13" sqref="C13"/>
    </sheetView>
  </sheetViews>
  <sheetFormatPr defaultColWidth="9.140625" defaultRowHeight="20.100000000000001" customHeight="1"/>
  <cols>
    <col min="1" max="1" width="9.5703125" style="24" customWidth="1"/>
    <col min="2" max="2" width="13.28515625" style="24" customWidth="1"/>
    <col min="3" max="3" width="60.42578125" style="19" customWidth="1"/>
    <col min="4" max="4" width="11" style="12" customWidth="1"/>
    <col min="5" max="5" width="15.5703125" style="20" customWidth="1"/>
    <col min="6" max="8" width="16.42578125" style="12" customWidth="1"/>
    <col min="9" max="9" width="19.140625" style="20" customWidth="1"/>
    <col min="10" max="10" width="20.5703125" style="20" customWidth="1"/>
    <col min="11" max="11" width="24.7109375" style="24" customWidth="1"/>
    <col min="12" max="12" width="9.140625" style="2" customWidth="1"/>
    <col min="13" max="16384" width="9.140625" style="2"/>
  </cols>
  <sheetData>
    <row r="1" spans="1:11" ht="30" customHeight="1" thickTop="1" thickBot="1">
      <c r="A1" s="468" t="s">
        <v>89</v>
      </c>
      <c r="B1" s="469"/>
      <c r="C1" s="469"/>
      <c r="D1" s="469"/>
      <c r="E1" s="469"/>
      <c r="F1" s="469"/>
      <c r="G1" s="469"/>
      <c r="H1" s="469"/>
      <c r="I1" s="469"/>
      <c r="J1" s="469"/>
      <c r="K1" s="470"/>
    </row>
    <row r="2" spans="1:11" ht="24" customHeight="1" thickTop="1" thickBot="1">
      <c r="A2" s="465"/>
      <c r="B2" s="466"/>
      <c r="C2" s="466"/>
      <c r="D2" s="466"/>
      <c r="E2" s="466"/>
      <c r="F2" s="466"/>
      <c r="G2" s="466"/>
      <c r="H2" s="466"/>
      <c r="I2" s="466"/>
      <c r="J2" s="466"/>
      <c r="K2" s="467"/>
    </row>
    <row r="3" spans="1:11" ht="24" customHeight="1" thickTop="1" thickBot="1">
      <c r="A3" s="173" t="s">
        <v>90</v>
      </c>
      <c r="B3" s="182" t="s">
        <v>91</v>
      </c>
      <c r="C3" s="191" t="s">
        <v>92</v>
      </c>
      <c r="D3" s="182" t="s">
        <v>93</v>
      </c>
      <c r="E3" s="182" t="s">
        <v>94</v>
      </c>
      <c r="F3" s="184" t="s">
        <v>95</v>
      </c>
      <c r="G3" s="174" t="s">
        <v>96</v>
      </c>
      <c r="H3" s="174" t="s">
        <v>97</v>
      </c>
      <c r="I3" s="174" t="s">
        <v>98</v>
      </c>
      <c r="J3" s="174" t="s">
        <v>99</v>
      </c>
      <c r="K3" s="175" t="s">
        <v>100</v>
      </c>
    </row>
    <row r="4" spans="1:11" ht="23.1" customHeight="1" thickTop="1">
      <c r="A4" s="169">
        <f>IF($B4="","",MAX($A$3:A3)+1)</f>
        <v>1</v>
      </c>
      <c r="B4" s="179">
        <v>1814</v>
      </c>
      <c r="C4" s="180" t="s">
        <v>101</v>
      </c>
      <c r="D4" s="278" t="s">
        <v>102</v>
      </c>
      <c r="E4" s="181">
        <v>5</v>
      </c>
      <c r="F4" s="171">
        <f>IF($B4="","",SUMIFS('Daily Inward'!$G:$G,'Daily Inward'!$C:$C,$B4,'Daily Inward'!$E:$E,"Inventory"))</f>
        <v>0</v>
      </c>
      <c r="G4" s="43">
        <f>IF($B4="","",SUMIFS('Daily Issuance'!$G:$G,'Daily Issuance'!$C:$C,$B4,'Daily Issuance'!$E:$E,"Inventory"))</f>
        <v>0</v>
      </c>
      <c r="H4" s="43">
        <f t="shared" ref="H4:H66" si="0">IF($B4="","",N(E4)+N(F4)-N(G4))</f>
        <v>5</v>
      </c>
      <c r="I4" s="31">
        <v>2070</v>
      </c>
      <c r="J4" s="32">
        <f t="shared" ref="J4:J66" si="1">IF($B4="","",H4*I4)</f>
        <v>10350</v>
      </c>
      <c r="K4" s="45" t="s">
        <v>103</v>
      </c>
    </row>
    <row r="5" spans="1:11" ht="23.1" customHeight="1">
      <c r="A5" s="170">
        <f>IF($B5="","",MAX($A$3:A4)+1)</f>
        <v>2</v>
      </c>
      <c r="B5" s="176">
        <v>1818</v>
      </c>
      <c r="C5" s="177" t="s">
        <v>104</v>
      </c>
      <c r="D5" s="279" t="s">
        <v>102</v>
      </c>
      <c r="E5" s="178">
        <v>3</v>
      </c>
      <c r="F5" s="172">
        <f>IF($B5="","",SUMIFS('Daily Inward'!$G:$G,'Daily Inward'!$C:$C,$B5,'Daily Inward'!$E:$E,"Inventory"))</f>
        <v>0</v>
      </c>
      <c r="G5" s="44">
        <f>IF($B5="","",SUMIFS('Daily Issuance'!$G:$G,'Daily Issuance'!$C:$C,$B5,'Daily Issuance'!$E:$E,"Inventory"))</f>
        <v>0</v>
      </c>
      <c r="H5" s="44">
        <f t="shared" si="0"/>
        <v>3</v>
      </c>
      <c r="I5" s="33">
        <v>1100</v>
      </c>
      <c r="J5" s="34">
        <f t="shared" si="1"/>
        <v>3300</v>
      </c>
      <c r="K5" s="46" t="s">
        <v>103</v>
      </c>
    </row>
    <row r="6" spans="1:11" ht="23.1" customHeight="1">
      <c r="A6" s="170">
        <f>IF($B6="","",MAX($A$3:A5)+1)</f>
        <v>3</v>
      </c>
      <c r="B6" s="176">
        <v>1823</v>
      </c>
      <c r="C6" s="177" t="s">
        <v>105</v>
      </c>
      <c r="D6" s="279" t="s">
        <v>102</v>
      </c>
      <c r="E6" s="178">
        <v>4</v>
      </c>
      <c r="F6" s="172">
        <f>IF($B6="","",SUMIFS('Daily Inward'!$G:$G,'Daily Inward'!$C:$C,$B6,'Daily Inward'!$E:$E,"Inventory"))</f>
        <v>0</v>
      </c>
      <c r="G6" s="44">
        <f>IF($B6="","",SUMIFS('Daily Issuance'!$G:$G,'Daily Issuance'!$C:$C,$B6,'Daily Issuance'!$E:$E,"Inventory"))</f>
        <v>0</v>
      </c>
      <c r="H6" s="44">
        <f t="shared" si="0"/>
        <v>4</v>
      </c>
      <c r="I6" s="33">
        <v>3600</v>
      </c>
      <c r="J6" s="34">
        <f t="shared" si="1"/>
        <v>14400</v>
      </c>
      <c r="K6" s="46" t="s">
        <v>106</v>
      </c>
    </row>
    <row r="7" spans="1:11" ht="23.1" customHeight="1">
      <c r="A7" s="170">
        <f>IF($B7="","",MAX($A$3:A6)+1)</f>
        <v>4</v>
      </c>
      <c r="B7" s="176">
        <v>1850</v>
      </c>
      <c r="C7" s="177" t="s">
        <v>107</v>
      </c>
      <c r="D7" s="279" t="s">
        <v>102</v>
      </c>
      <c r="E7" s="178">
        <v>4</v>
      </c>
      <c r="F7" s="172">
        <f>IF($B7="","",SUMIFS('Daily Inward'!$G:$G,'Daily Inward'!$C:$C,$B7,'Daily Inward'!$E:$E,"Inventory"))</f>
        <v>0</v>
      </c>
      <c r="G7" s="44">
        <f>IF($B7="","",SUMIFS('Daily Issuance'!$G:$G,'Daily Issuance'!$C:$C,$B7,'Daily Issuance'!$E:$E,"Inventory"))</f>
        <v>0</v>
      </c>
      <c r="H7" s="44">
        <f t="shared" si="0"/>
        <v>4</v>
      </c>
      <c r="I7" s="33">
        <v>16240</v>
      </c>
      <c r="J7" s="34">
        <f t="shared" si="1"/>
        <v>64960</v>
      </c>
      <c r="K7" s="46" t="s">
        <v>103</v>
      </c>
    </row>
    <row r="8" spans="1:11" ht="23.1" customHeight="1">
      <c r="A8" s="170">
        <f>IF($B8="","",MAX($A$3:A7)+1)</f>
        <v>5</v>
      </c>
      <c r="B8" s="176">
        <v>1855</v>
      </c>
      <c r="C8" s="177" t="s">
        <v>108</v>
      </c>
      <c r="D8" s="279" t="s">
        <v>102</v>
      </c>
      <c r="E8" s="178">
        <v>4</v>
      </c>
      <c r="F8" s="172">
        <f>IF($B8="","",SUMIFS('Daily Inward'!$G:$G,'Daily Inward'!$C:$C,$B8,'Daily Inward'!$E:$E,"Inventory"))</f>
        <v>0</v>
      </c>
      <c r="G8" s="44">
        <f>IF($B8="","",SUMIFS('Daily Issuance'!$G:$G,'Daily Issuance'!$C:$C,$B8,'Daily Issuance'!$E:$E,"Inventory"))</f>
        <v>2</v>
      </c>
      <c r="H8" s="44">
        <f t="shared" si="0"/>
        <v>2</v>
      </c>
      <c r="I8" s="33">
        <v>3000</v>
      </c>
      <c r="J8" s="34">
        <f t="shared" si="1"/>
        <v>6000</v>
      </c>
      <c r="K8" s="46" t="s">
        <v>109</v>
      </c>
    </row>
    <row r="9" spans="1:11" ht="23.1" customHeight="1">
      <c r="A9" s="170">
        <f>IF($B9="","",MAX($A$3:A8)+1)</f>
        <v>6</v>
      </c>
      <c r="B9" s="176">
        <v>1866</v>
      </c>
      <c r="C9" s="177" t="s">
        <v>110</v>
      </c>
      <c r="D9" s="279" t="s">
        <v>102</v>
      </c>
      <c r="E9" s="178">
        <v>4</v>
      </c>
      <c r="F9" s="172">
        <f>IF($B9="","",SUMIFS('Daily Inward'!$G:$G,'Daily Inward'!$C:$C,$B9,'Daily Inward'!$E:$E,"Inventory"))</f>
        <v>0</v>
      </c>
      <c r="G9" s="44">
        <f>IF($B9="","",SUMIFS('Daily Issuance'!$G:$G,'Daily Issuance'!$C:$C,$B9,'Daily Issuance'!$E:$E,"Inventory"))</f>
        <v>0</v>
      </c>
      <c r="H9" s="44">
        <f t="shared" si="0"/>
        <v>4</v>
      </c>
      <c r="I9" s="33">
        <v>2650</v>
      </c>
      <c r="J9" s="34">
        <f t="shared" si="1"/>
        <v>10600</v>
      </c>
      <c r="K9" s="46" t="s">
        <v>109</v>
      </c>
    </row>
    <row r="10" spans="1:11" ht="23.1" customHeight="1">
      <c r="A10" s="170">
        <f>IF($B10="","",MAX($A$3:A9)+1)</f>
        <v>7</v>
      </c>
      <c r="B10" s="176">
        <v>1943</v>
      </c>
      <c r="C10" s="177" t="s">
        <v>111</v>
      </c>
      <c r="D10" s="279" t="s">
        <v>112</v>
      </c>
      <c r="E10" s="178">
        <v>10</v>
      </c>
      <c r="F10" s="172">
        <f>IF($B10="","",SUMIFS('Daily Inward'!$G:$G,'Daily Inward'!$C:$C,$B10,'Daily Inward'!$E:$E,"Inventory"))</f>
        <v>0</v>
      </c>
      <c r="G10" s="44">
        <f>IF($B10="","",SUMIFS('Daily Issuance'!$G:$G,'Daily Issuance'!$C:$C,$B10,'Daily Issuance'!$E:$E,"Inventory"))</f>
        <v>3</v>
      </c>
      <c r="H10" s="44">
        <f t="shared" si="0"/>
        <v>7</v>
      </c>
      <c r="I10" s="33">
        <v>1688</v>
      </c>
      <c r="J10" s="34">
        <f t="shared" si="1"/>
        <v>11816</v>
      </c>
      <c r="K10" s="46" t="s">
        <v>109</v>
      </c>
    </row>
    <row r="11" spans="1:11" ht="23.1" customHeight="1">
      <c r="A11" s="170">
        <f>IF($B11="","",MAX($A$3:A10)+1)</f>
        <v>8</v>
      </c>
      <c r="B11" s="176">
        <v>1969</v>
      </c>
      <c r="C11" s="177" t="s">
        <v>113</v>
      </c>
      <c r="D11" s="279" t="s">
        <v>102</v>
      </c>
      <c r="E11" s="178">
        <v>6</v>
      </c>
      <c r="F11" s="172">
        <f>IF($B11="","",SUMIFS('Daily Inward'!$G:$G,'Daily Inward'!$C:$C,$B11,'Daily Inward'!$E:$E,"Inventory"))</f>
        <v>0</v>
      </c>
      <c r="G11" s="44">
        <f>IF($B11="","",SUMIFS('Daily Issuance'!$G:$G,'Daily Issuance'!$C:$C,$B11,'Daily Issuance'!$E:$E,"Inventory"))</f>
        <v>0</v>
      </c>
      <c r="H11" s="44">
        <f t="shared" si="0"/>
        <v>6</v>
      </c>
      <c r="I11" s="33">
        <v>4775</v>
      </c>
      <c r="J11" s="34">
        <f t="shared" si="1"/>
        <v>28650</v>
      </c>
      <c r="K11" s="46" t="s">
        <v>109</v>
      </c>
    </row>
    <row r="12" spans="1:11" ht="23.1" customHeight="1">
      <c r="A12" s="170">
        <f>IF($B12="","",MAX($A$3:A11)+1)</f>
        <v>9</v>
      </c>
      <c r="B12" s="176">
        <v>1970</v>
      </c>
      <c r="C12" s="177" t="s">
        <v>114</v>
      </c>
      <c r="D12" s="279" t="s">
        <v>102</v>
      </c>
      <c r="E12" s="178">
        <v>16</v>
      </c>
      <c r="F12" s="172">
        <f>IF($B12="","",SUMIFS('Daily Inward'!$G:$G,'Daily Inward'!$C:$C,$B12,'Daily Inward'!$E:$E,"Inventory"))</f>
        <v>0</v>
      </c>
      <c r="G12" s="44">
        <f>IF($B12="","",SUMIFS('Daily Issuance'!$G:$G,'Daily Issuance'!$C:$C,$B12,'Daily Issuance'!$E:$E,"Inventory"))</f>
        <v>5</v>
      </c>
      <c r="H12" s="44">
        <f t="shared" si="0"/>
        <v>11</v>
      </c>
      <c r="I12" s="33">
        <v>1088</v>
      </c>
      <c r="J12" s="34">
        <f t="shared" si="1"/>
        <v>11968</v>
      </c>
      <c r="K12" s="46" t="s">
        <v>109</v>
      </c>
    </row>
    <row r="13" spans="1:11" ht="23.1" customHeight="1">
      <c r="A13" s="170">
        <f>IF($B13="","",MAX($A$3:A12)+1)</f>
        <v>10</v>
      </c>
      <c r="B13" s="176">
        <v>1974</v>
      </c>
      <c r="C13" s="177" t="s">
        <v>115</v>
      </c>
      <c r="D13" s="279" t="s">
        <v>102</v>
      </c>
      <c r="E13" s="178">
        <v>8</v>
      </c>
      <c r="F13" s="172">
        <f>IF($B13="","",SUMIFS('Daily Inward'!$G:$G,'Daily Inward'!$C:$C,$B13,'Daily Inward'!$E:$E,"Inventory"))</f>
        <v>0</v>
      </c>
      <c r="G13" s="44">
        <f>IF($B13="","",SUMIFS('Daily Issuance'!$G:$G,'Daily Issuance'!$C:$C,$B13,'Daily Issuance'!$E:$E,"Inventory"))</f>
        <v>0</v>
      </c>
      <c r="H13" s="44">
        <f t="shared" si="0"/>
        <v>8</v>
      </c>
      <c r="I13" s="33">
        <v>681</v>
      </c>
      <c r="J13" s="34">
        <f t="shared" si="1"/>
        <v>5448</v>
      </c>
      <c r="K13" s="46" t="s">
        <v>109</v>
      </c>
    </row>
    <row r="14" spans="1:11" ht="23.1" customHeight="1">
      <c r="A14" s="170">
        <f>IF($B14="","",MAX($A$3:A13)+1)</f>
        <v>11</v>
      </c>
      <c r="B14" s="176">
        <v>1986</v>
      </c>
      <c r="C14" s="177" t="s">
        <v>116</v>
      </c>
      <c r="D14" s="279" t="s">
        <v>102</v>
      </c>
      <c r="E14" s="178">
        <v>18</v>
      </c>
      <c r="F14" s="172">
        <f>IF($B14="","",SUMIFS('Daily Inward'!$G:$G,'Daily Inward'!$C:$C,$B14,'Daily Inward'!$E:$E,"Inventory"))</f>
        <v>0</v>
      </c>
      <c r="G14" s="44">
        <f>IF($B14="","",SUMIFS('Daily Issuance'!$G:$G,'Daily Issuance'!$C:$C,$B14,'Daily Issuance'!$E:$E,"Inventory"))</f>
        <v>0</v>
      </c>
      <c r="H14" s="44">
        <f t="shared" si="0"/>
        <v>18</v>
      </c>
      <c r="I14" s="33">
        <v>1120</v>
      </c>
      <c r="J14" s="34">
        <f t="shared" si="1"/>
        <v>20160</v>
      </c>
      <c r="K14" s="46" t="s">
        <v>109</v>
      </c>
    </row>
    <row r="15" spans="1:11" ht="23.1" customHeight="1">
      <c r="A15" s="170">
        <f>IF($B15="","",MAX($A$3:A14)+1)</f>
        <v>12</v>
      </c>
      <c r="B15" s="176">
        <v>1999</v>
      </c>
      <c r="C15" s="177" t="s">
        <v>117</v>
      </c>
      <c r="D15" s="279" t="s">
        <v>102</v>
      </c>
      <c r="E15" s="178">
        <v>1</v>
      </c>
      <c r="F15" s="172">
        <f>IF($B15="","",SUMIFS('Daily Inward'!$G:$G,'Daily Inward'!$C:$C,$B15,'Daily Inward'!$E:$E,"Inventory"))</f>
        <v>0</v>
      </c>
      <c r="G15" s="44">
        <f>IF($B15="","",SUMIFS('Daily Issuance'!$G:$G,'Daily Issuance'!$C:$C,$B15,'Daily Issuance'!$E:$E,"Inventory"))</f>
        <v>1</v>
      </c>
      <c r="H15" s="44">
        <f t="shared" si="0"/>
        <v>0</v>
      </c>
      <c r="I15" s="33">
        <v>1845</v>
      </c>
      <c r="J15" s="34">
        <f t="shared" si="1"/>
        <v>0</v>
      </c>
      <c r="K15" s="46" t="s">
        <v>109</v>
      </c>
    </row>
    <row r="16" spans="1:11" ht="23.1" customHeight="1">
      <c r="A16" s="170">
        <f>IF($B16="","",MAX($A$3:A15)+1)</f>
        <v>13</v>
      </c>
      <c r="B16" s="176">
        <v>2005</v>
      </c>
      <c r="C16" s="177" t="s">
        <v>118</v>
      </c>
      <c r="D16" s="279" t="s">
        <v>102</v>
      </c>
      <c r="E16" s="178">
        <v>5</v>
      </c>
      <c r="F16" s="172">
        <f>IF($B16="","",SUMIFS('Daily Inward'!$G:$G,'Daily Inward'!$C:$C,$B16,'Daily Inward'!$E:$E,"Inventory"))</f>
        <v>0</v>
      </c>
      <c r="G16" s="44">
        <f>IF($B16="","",SUMIFS('Daily Issuance'!$G:$G,'Daily Issuance'!$C:$C,$B16,'Daily Issuance'!$E:$E,"Inventory"))</f>
        <v>0</v>
      </c>
      <c r="H16" s="44">
        <f t="shared" si="0"/>
        <v>5</v>
      </c>
      <c r="I16" s="33">
        <v>1175</v>
      </c>
      <c r="J16" s="34">
        <f t="shared" si="1"/>
        <v>5875</v>
      </c>
      <c r="K16" s="46" t="s">
        <v>109</v>
      </c>
    </row>
    <row r="17" spans="1:11" ht="23.1" customHeight="1">
      <c r="A17" s="170">
        <f>IF($B17="","",MAX($A$3:A16)+1)</f>
        <v>14</v>
      </c>
      <c r="B17" s="176">
        <v>2007</v>
      </c>
      <c r="C17" s="177" t="s">
        <v>119</v>
      </c>
      <c r="D17" s="279" t="s">
        <v>102</v>
      </c>
      <c r="E17" s="178">
        <v>1</v>
      </c>
      <c r="F17" s="172">
        <f>IF($B17="","",SUMIFS('Daily Inward'!$G:$G,'Daily Inward'!$C:$C,$B17,'Daily Inward'!$E:$E,"Inventory"))</f>
        <v>0</v>
      </c>
      <c r="G17" s="44">
        <f>IF($B17="","",SUMIFS('Daily Issuance'!$G:$G,'Daily Issuance'!$C:$C,$B17,'Daily Issuance'!$E:$E,"Inventory"))</f>
        <v>0</v>
      </c>
      <c r="H17" s="44">
        <f t="shared" si="0"/>
        <v>1</v>
      </c>
      <c r="I17" s="33">
        <v>850</v>
      </c>
      <c r="J17" s="34">
        <f t="shared" si="1"/>
        <v>850</v>
      </c>
      <c r="K17" s="46" t="s">
        <v>109</v>
      </c>
    </row>
    <row r="18" spans="1:11" ht="23.1" customHeight="1">
      <c r="A18" s="170">
        <f>IF($B18="","",MAX($A$3:A17)+1)</f>
        <v>15</v>
      </c>
      <c r="B18" s="176">
        <v>2010</v>
      </c>
      <c r="C18" s="177" t="s">
        <v>120</v>
      </c>
      <c r="D18" s="279" t="s">
        <v>102</v>
      </c>
      <c r="E18" s="178">
        <v>2</v>
      </c>
      <c r="F18" s="172">
        <f>IF($B18="","",SUMIFS('Daily Inward'!$G:$G,'Daily Inward'!$C:$C,$B18,'Daily Inward'!$E:$E,"Inventory"))</f>
        <v>0</v>
      </c>
      <c r="G18" s="44">
        <f>IF($B18="","",SUMIFS('Daily Issuance'!$G:$G,'Daily Issuance'!$C:$C,$B18,'Daily Issuance'!$E:$E,"Inventory"))</f>
        <v>0</v>
      </c>
      <c r="H18" s="44">
        <f t="shared" si="0"/>
        <v>2</v>
      </c>
      <c r="I18" s="33">
        <v>2899</v>
      </c>
      <c r="J18" s="34">
        <f t="shared" si="1"/>
        <v>5798</v>
      </c>
      <c r="K18" s="46" t="s">
        <v>109</v>
      </c>
    </row>
    <row r="19" spans="1:11" ht="23.1" customHeight="1">
      <c r="A19" s="170">
        <f>IF($B19="","",MAX($A$3:A18)+1)</f>
        <v>16</v>
      </c>
      <c r="B19" s="176">
        <v>2011</v>
      </c>
      <c r="C19" s="177" t="s">
        <v>121</v>
      </c>
      <c r="D19" s="279" t="s">
        <v>102</v>
      </c>
      <c r="E19" s="178">
        <v>4</v>
      </c>
      <c r="F19" s="172">
        <f>IF($B19="","",SUMIFS('Daily Inward'!$G:$G,'Daily Inward'!$C:$C,$B19,'Daily Inward'!$E:$E,"Inventory"))</f>
        <v>0</v>
      </c>
      <c r="G19" s="44">
        <f>IF($B19="","",SUMIFS('Daily Issuance'!$G:$G,'Daily Issuance'!$C:$C,$B19,'Daily Issuance'!$E:$E,"Inventory"))</f>
        <v>0</v>
      </c>
      <c r="H19" s="44">
        <f t="shared" si="0"/>
        <v>4</v>
      </c>
      <c r="I19" s="33">
        <v>750</v>
      </c>
      <c r="J19" s="34">
        <f t="shared" si="1"/>
        <v>3000</v>
      </c>
      <c r="K19" s="46" t="s">
        <v>109</v>
      </c>
    </row>
    <row r="20" spans="1:11" ht="23.1" customHeight="1">
      <c r="A20" s="170">
        <f>IF($B20="","",MAX($A$3:A19)+1)</f>
        <v>17</v>
      </c>
      <c r="B20" s="176">
        <v>2014</v>
      </c>
      <c r="C20" s="177" t="s">
        <v>122</v>
      </c>
      <c r="D20" s="279" t="s">
        <v>102</v>
      </c>
      <c r="E20" s="178">
        <v>8</v>
      </c>
      <c r="F20" s="172">
        <f>IF($B20="","",SUMIFS('Daily Inward'!$G:$G,'Daily Inward'!$C:$C,$B20,'Daily Inward'!$E:$E,"Inventory"))</f>
        <v>0</v>
      </c>
      <c r="G20" s="44">
        <f>IF($B20="","",SUMIFS('Daily Issuance'!$G:$G,'Daily Issuance'!$C:$C,$B20,'Daily Issuance'!$E:$E,"Inventory"))</f>
        <v>3</v>
      </c>
      <c r="H20" s="44">
        <f t="shared" si="0"/>
        <v>5</v>
      </c>
      <c r="I20" s="33">
        <v>1650</v>
      </c>
      <c r="J20" s="34">
        <f t="shared" si="1"/>
        <v>8250</v>
      </c>
      <c r="K20" s="46" t="s">
        <v>109</v>
      </c>
    </row>
    <row r="21" spans="1:11" ht="23.1" customHeight="1">
      <c r="A21" s="170">
        <f>IF($B21="","",MAX($A$3:A20)+1)</f>
        <v>18</v>
      </c>
      <c r="B21" s="176">
        <v>2022</v>
      </c>
      <c r="C21" s="177" t="s">
        <v>123</v>
      </c>
      <c r="D21" s="279" t="s">
        <v>102</v>
      </c>
      <c r="E21" s="178">
        <v>2</v>
      </c>
      <c r="F21" s="172">
        <f>IF($B21="","",SUMIFS('Daily Inward'!$G:$G,'Daily Inward'!$C:$C,$B21,'Daily Inward'!$E:$E,"Inventory"))</f>
        <v>0</v>
      </c>
      <c r="G21" s="44">
        <f>IF($B21="","",SUMIFS('Daily Issuance'!$G:$G,'Daily Issuance'!$C:$C,$B21,'Daily Issuance'!$E:$E,"Inventory"))</f>
        <v>0</v>
      </c>
      <c r="H21" s="44">
        <f t="shared" si="0"/>
        <v>2</v>
      </c>
      <c r="I21" s="33">
        <v>1850</v>
      </c>
      <c r="J21" s="34">
        <f t="shared" si="1"/>
        <v>3700</v>
      </c>
      <c r="K21" s="46" t="s">
        <v>109</v>
      </c>
    </row>
    <row r="22" spans="1:11" ht="23.1" customHeight="1">
      <c r="A22" s="170">
        <f>IF($B22="","",MAX($A$3:A21)+1)</f>
        <v>19</v>
      </c>
      <c r="B22" s="176">
        <v>2023</v>
      </c>
      <c r="C22" s="177" t="s">
        <v>124</v>
      </c>
      <c r="D22" s="279" t="s">
        <v>102</v>
      </c>
      <c r="E22" s="178">
        <v>4</v>
      </c>
      <c r="F22" s="172">
        <f>IF($B22="","",SUMIFS('Daily Inward'!$G:$G,'Daily Inward'!$C:$C,$B22,'Daily Inward'!$E:$E,"Inventory"))</f>
        <v>0</v>
      </c>
      <c r="G22" s="44">
        <f>IF($B22="","",SUMIFS('Daily Issuance'!$G:$G,'Daily Issuance'!$C:$C,$B22,'Daily Issuance'!$E:$E,"Inventory"))</f>
        <v>0</v>
      </c>
      <c r="H22" s="44">
        <f t="shared" si="0"/>
        <v>4</v>
      </c>
      <c r="I22" s="33">
        <v>4225</v>
      </c>
      <c r="J22" s="34">
        <f t="shared" si="1"/>
        <v>16900</v>
      </c>
      <c r="K22" s="46" t="s">
        <v>109</v>
      </c>
    </row>
    <row r="23" spans="1:11" ht="23.1" customHeight="1">
      <c r="A23" s="170">
        <f>IF($B23="","",MAX($A$3:A22)+1)</f>
        <v>20</v>
      </c>
      <c r="B23" s="176">
        <v>2024</v>
      </c>
      <c r="C23" s="177" t="s">
        <v>125</v>
      </c>
      <c r="D23" s="279" t="s">
        <v>102</v>
      </c>
      <c r="E23" s="178">
        <v>6</v>
      </c>
      <c r="F23" s="172">
        <f>IF($B23="","",SUMIFS('Daily Inward'!$G:$G,'Daily Inward'!$C:$C,$B23,'Daily Inward'!$E:$E,"Inventory"))</f>
        <v>0</v>
      </c>
      <c r="G23" s="44">
        <f>IF($B23="","",SUMIFS('Daily Issuance'!$G:$G,'Daily Issuance'!$C:$C,$B23,'Daily Issuance'!$E:$E,"Inventory"))</f>
        <v>4</v>
      </c>
      <c r="H23" s="44">
        <f t="shared" si="0"/>
        <v>2</v>
      </c>
      <c r="I23" s="33">
        <v>1375</v>
      </c>
      <c r="J23" s="34">
        <f t="shared" si="1"/>
        <v>2750</v>
      </c>
      <c r="K23" s="46" t="s">
        <v>109</v>
      </c>
    </row>
    <row r="24" spans="1:11" ht="23.1" customHeight="1">
      <c r="A24" s="170">
        <f>IF($B24="","",MAX($A$3:A23)+1)</f>
        <v>21</v>
      </c>
      <c r="B24" s="176">
        <v>2025</v>
      </c>
      <c r="C24" s="177" t="s">
        <v>126</v>
      </c>
      <c r="D24" s="279" t="s">
        <v>102</v>
      </c>
      <c r="E24" s="178">
        <v>12</v>
      </c>
      <c r="F24" s="172">
        <f>IF($B24="","",SUMIFS('Daily Inward'!$G:$G,'Daily Inward'!$C:$C,$B24,'Daily Inward'!$E:$E,"Inventory"))</f>
        <v>0</v>
      </c>
      <c r="G24" s="44">
        <f>IF($B24="","",SUMIFS('Daily Issuance'!$G:$G,'Daily Issuance'!$C:$C,$B24,'Daily Issuance'!$E:$E,"Inventory"))</f>
        <v>0</v>
      </c>
      <c r="H24" s="44">
        <f t="shared" si="0"/>
        <v>12</v>
      </c>
      <c r="I24" s="33">
        <v>770</v>
      </c>
      <c r="J24" s="34">
        <f t="shared" si="1"/>
        <v>9240</v>
      </c>
      <c r="K24" s="46" t="s">
        <v>109</v>
      </c>
    </row>
    <row r="25" spans="1:11" ht="23.1" customHeight="1">
      <c r="A25" s="170">
        <f>IF($B25="","",MAX($A$3:A24)+1)</f>
        <v>22</v>
      </c>
      <c r="B25" s="176">
        <v>2026</v>
      </c>
      <c r="C25" s="177" t="s">
        <v>127</v>
      </c>
      <c r="D25" s="279" t="s">
        <v>102</v>
      </c>
      <c r="E25" s="178">
        <v>16</v>
      </c>
      <c r="F25" s="172">
        <f>IF($B25="","",SUMIFS('Daily Inward'!$G:$G,'Daily Inward'!$C:$C,$B25,'Daily Inward'!$E:$E,"Inventory"))</f>
        <v>0</v>
      </c>
      <c r="G25" s="44">
        <f>IF($B25="","",SUMIFS('Daily Issuance'!$G:$G,'Daily Issuance'!$C:$C,$B25,'Daily Issuance'!$E:$E,"Inventory"))</f>
        <v>6</v>
      </c>
      <c r="H25" s="44">
        <f t="shared" si="0"/>
        <v>10</v>
      </c>
      <c r="I25" s="33">
        <v>1188</v>
      </c>
      <c r="J25" s="34">
        <f t="shared" si="1"/>
        <v>11880</v>
      </c>
      <c r="K25" s="46" t="s">
        <v>109</v>
      </c>
    </row>
    <row r="26" spans="1:11" ht="23.1" customHeight="1">
      <c r="A26" s="170">
        <f>IF($B26="","",MAX($A$3:A25)+1)</f>
        <v>23</v>
      </c>
      <c r="B26" s="176">
        <v>2037</v>
      </c>
      <c r="C26" s="177" t="s">
        <v>128</v>
      </c>
      <c r="D26" s="279" t="s">
        <v>102</v>
      </c>
      <c r="E26" s="178">
        <v>4</v>
      </c>
      <c r="F26" s="172">
        <f>IF($B26="","",SUMIFS('Daily Inward'!$G:$G,'Daily Inward'!$C:$C,$B26,'Daily Inward'!$E:$E,"Inventory"))</f>
        <v>0</v>
      </c>
      <c r="G26" s="44">
        <f>IF($B26="","",SUMIFS('Daily Issuance'!$G:$G,'Daily Issuance'!$C:$C,$B26,'Daily Issuance'!$E:$E,"Inventory"))</f>
        <v>0</v>
      </c>
      <c r="H26" s="44">
        <f t="shared" si="0"/>
        <v>4</v>
      </c>
      <c r="I26" s="33">
        <v>200</v>
      </c>
      <c r="J26" s="34">
        <f t="shared" si="1"/>
        <v>800</v>
      </c>
      <c r="K26" s="46" t="s">
        <v>109</v>
      </c>
    </row>
    <row r="27" spans="1:11" ht="23.1" customHeight="1">
      <c r="A27" s="170">
        <f>IF($B27="","",MAX($A$3:A26)+1)</f>
        <v>24</v>
      </c>
      <c r="B27" s="176">
        <v>2041</v>
      </c>
      <c r="C27" s="177" t="s">
        <v>129</v>
      </c>
      <c r="D27" s="279" t="s">
        <v>102</v>
      </c>
      <c r="E27" s="178">
        <v>5</v>
      </c>
      <c r="F27" s="172">
        <f>IF($B27="","",SUMIFS('Daily Inward'!$G:$G,'Daily Inward'!$C:$C,$B27,'Daily Inward'!$E:$E,"Inventory"))</f>
        <v>0</v>
      </c>
      <c r="G27" s="44">
        <f>IF($B27="","",SUMIFS('Daily Issuance'!$G:$G,'Daily Issuance'!$C:$C,$B27,'Daily Issuance'!$E:$E,"Inventory"))</f>
        <v>0</v>
      </c>
      <c r="H27" s="44">
        <f t="shared" si="0"/>
        <v>5</v>
      </c>
      <c r="I27" s="33">
        <v>1250</v>
      </c>
      <c r="J27" s="34">
        <f t="shared" si="1"/>
        <v>6250</v>
      </c>
      <c r="K27" s="46" t="s">
        <v>109</v>
      </c>
    </row>
    <row r="28" spans="1:11" ht="23.1" customHeight="1">
      <c r="A28" s="170">
        <f>IF($B28="","",MAX($A$3:A27)+1)</f>
        <v>25</v>
      </c>
      <c r="B28" s="176">
        <v>2043</v>
      </c>
      <c r="C28" s="177" t="s">
        <v>130</v>
      </c>
      <c r="D28" s="279" t="s">
        <v>102</v>
      </c>
      <c r="E28" s="178">
        <v>18</v>
      </c>
      <c r="F28" s="172">
        <f>IF($B28="","",SUMIFS('Daily Inward'!$G:$G,'Daily Inward'!$C:$C,$B28,'Daily Inward'!$E:$E,"Inventory"))</f>
        <v>0</v>
      </c>
      <c r="G28" s="44">
        <f>IF($B28="","",SUMIFS('Daily Issuance'!$G:$G,'Daily Issuance'!$C:$C,$B28,'Daily Issuance'!$E:$E,"Inventory"))</f>
        <v>0</v>
      </c>
      <c r="H28" s="44">
        <f t="shared" si="0"/>
        <v>18</v>
      </c>
      <c r="I28" s="33">
        <v>2032</v>
      </c>
      <c r="J28" s="34">
        <f t="shared" si="1"/>
        <v>36576</v>
      </c>
      <c r="K28" s="46" t="s">
        <v>109</v>
      </c>
    </row>
    <row r="29" spans="1:11" ht="23.1" customHeight="1">
      <c r="A29" s="170">
        <f>IF($B29="","",MAX($A$3:A28)+1)</f>
        <v>26</v>
      </c>
      <c r="B29" s="176">
        <v>2045</v>
      </c>
      <c r="C29" s="177" t="s">
        <v>131</v>
      </c>
      <c r="D29" s="279" t="s">
        <v>102</v>
      </c>
      <c r="E29" s="178">
        <v>6</v>
      </c>
      <c r="F29" s="172">
        <f>IF($B29="","",SUMIFS('Daily Inward'!$G:$G,'Daily Inward'!$C:$C,$B29,'Daily Inward'!$E:$E,"Inventory"))</f>
        <v>0</v>
      </c>
      <c r="G29" s="44">
        <f>IF($B29="","",SUMIFS('Daily Issuance'!$G:$G,'Daily Issuance'!$C:$C,$B29,'Daily Issuance'!$E:$E,"Inventory"))</f>
        <v>0</v>
      </c>
      <c r="H29" s="44">
        <f t="shared" si="0"/>
        <v>6</v>
      </c>
      <c r="I29" s="33">
        <v>2675</v>
      </c>
      <c r="J29" s="34">
        <f t="shared" si="1"/>
        <v>16050</v>
      </c>
      <c r="K29" s="46" t="s">
        <v>109</v>
      </c>
    </row>
    <row r="30" spans="1:11" ht="23.1" customHeight="1">
      <c r="A30" s="170">
        <f>IF($B30="","",MAX($A$3:A29)+1)</f>
        <v>27</v>
      </c>
      <c r="B30" s="176">
        <v>2048</v>
      </c>
      <c r="C30" s="177" t="s">
        <v>132</v>
      </c>
      <c r="D30" s="279" t="s">
        <v>102</v>
      </c>
      <c r="E30" s="178">
        <v>1</v>
      </c>
      <c r="F30" s="172">
        <f>IF($B30="","",SUMIFS('Daily Inward'!$G:$G,'Daily Inward'!$C:$C,$B30,'Daily Inward'!$E:$E,"Inventory"))</f>
        <v>0</v>
      </c>
      <c r="G30" s="44">
        <f>IF($B30="","",SUMIFS('Daily Issuance'!$G:$G,'Daily Issuance'!$C:$C,$B30,'Daily Issuance'!$E:$E,"Inventory"))</f>
        <v>0</v>
      </c>
      <c r="H30" s="44">
        <f t="shared" si="0"/>
        <v>1</v>
      </c>
      <c r="I30" s="33">
        <v>1399</v>
      </c>
      <c r="J30" s="34">
        <f t="shared" si="1"/>
        <v>1399</v>
      </c>
      <c r="K30" s="46" t="s">
        <v>109</v>
      </c>
    </row>
    <row r="31" spans="1:11" ht="23.1" customHeight="1">
      <c r="A31" s="170">
        <f>IF($B31="","",MAX($A$3:A30)+1)</f>
        <v>28</v>
      </c>
      <c r="B31" s="176">
        <v>2053</v>
      </c>
      <c r="C31" s="177" t="s">
        <v>133</v>
      </c>
      <c r="D31" s="279" t="s">
        <v>102</v>
      </c>
      <c r="E31" s="178">
        <v>8</v>
      </c>
      <c r="F31" s="172">
        <f>IF($B31="","",SUMIFS('Daily Inward'!$G:$G,'Daily Inward'!$C:$C,$B31,'Daily Inward'!$E:$E,"Inventory"))</f>
        <v>0</v>
      </c>
      <c r="G31" s="44">
        <f>IF($B31="","",SUMIFS('Daily Issuance'!$G:$G,'Daily Issuance'!$C:$C,$B31,'Daily Issuance'!$E:$E,"Inventory"))</f>
        <v>0</v>
      </c>
      <c r="H31" s="44">
        <f t="shared" si="0"/>
        <v>8</v>
      </c>
      <c r="I31" s="33">
        <v>700</v>
      </c>
      <c r="J31" s="34">
        <f t="shared" si="1"/>
        <v>5600</v>
      </c>
      <c r="K31" s="46" t="s">
        <v>109</v>
      </c>
    </row>
    <row r="32" spans="1:11" ht="23.1" customHeight="1">
      <c r="A32" s="170">
        <f>IF($B32="","",MAX($A$3:A31)+1)</f>
        <v>29</v>
      </c>
      <c r="B32" s="176">
        <v>2055</v>
      </c>
      <c r="C32" s="177" t="s">
        <v>134</v>
      </c>
      <c r="D32" s="279" t="s">
        <v>102</v>
      </c>
      <c r="E32" s="178">
        <v>12</v>
      </c>
      <c r="F32" s="172">
        <f>IF($B32="","",SUMIFS('Daily Inward'!$G:$G,'Daily Inward'!$C:$C,$B32,'Daily Inward'!$E:$E,"Inventory"))</f>
        <v>0</v>
      </c>
      <c r="G32" s="44">
        <f>IF($B32="","",SUMIFS('Daily Issuance'!$G:$G,'Daily Issuance'!$C:$C,$B32,'Daily Issuance'!$E:$E,"Inventory"))</f>
        <v>0</v>
      </c>
      <c r="H32" s="44">
        <f t="shared" si="0"/>
        <v>12</v>
      </c>
      <c r="I32" s="33">
        <v>1150</v>
      </c>
      <c r="J32" s="34">
        <f t="shared" si="1"/>
        <v>13800</v>
      </c>
      <c r="K32" s="46" t="s">
        <v>109</v>
      </c>
    </row>
    <row r="33" spans="1:11" ht="23.1" customHeight="1">
      <c r="A33" s="170">
        <f>IF($B33="","",MAX($A$3:A32)+1)</f>
        <v>30</v>
      </c>
      <c r="B33" s="176">
        <v>2058</v>
      </c>
      <c r="C33" s="177" t="s">
        <v>135</v>
      </c>
      <c r="D33" s="279" t="s">
        <v>102</v>
      </c>
      <c r="E33" s="178">
        <v>3</v>
      </c>
      <c r="F33" s="172">
        <f>IF($B33="","",SUMIFS('Daily Inward'!$G:$G,'Daily Inward'!$C:$C,$B33,'Daily Inward'!$E:$E,"Inventory"))</f>
        <v>0</v>
      </c>
      <c r="G33" s="44">
        <f>IF($B33="","",SUMIFS('Daily Issuance'!$G:$G,'Daily Issuance'!$C:$C,$B33,'Daily Issuance'!$E:$E,"Inventory"))</f>
        <v>2</v>
      </c>
      <c r="H33" s="44">
        <f t="shared" si="0"/>
        <v>1</v>
      </c>
      <c r="I33" s="33">
        <v>2600</v>
      </c>
      <c r="J33" s="34">
        <f t="shared" si="1"/>
        <v>2600</v>
      </c>
      <c r="K33" s="46" t="s">
        <v>109</v>
      </c>
    </row>
    <row r="34" spans="1:11" ht="23.1" customHeight="1">
      <c r="A34" s="170">
        <f>IF($B34="","",MAX($A$3:A33)+1)</f>
        <v>31</v>
      </c>
      <c r="B34" s="176">
        <v>2059</v>
      </c>
      <c r="C34" s="177" t="s">
        <v>136</v>
      </c>
      <c r="D34" s="279" t="s">
        <v>102</v>
      </c>
      <c r="E34" s="178">
        <v>1</v>
      </c>
      <c r="F34" s="172">
        <f>IF($B34="","",SUMIFS('Daily Inward'!$G:$G,'Daily Inward'!$C:$C,$B34,'Daily Inward'!$E:$E,"Inventory"))</f>
        <v>0</v>
      </c>
      <c r="G34" s="44">
        <f>IF($B34="","",SUMIFS('Daily Issuance'!$G:$G,'Daily Issuance'!$C:$C,$B34,'Daily Issuance'!$E:$E,"Inventory"))</f>
        <v>0</v>
      </c>
      <c r="H34" s="44">
        <f t="shared" si="0"/>
        <v>1</v>
      </c>
      <c r="I34" s="33">
        <v>10625</v>
      </c>
      <c r="J34" s="34">
        <f t="shared" si="1"/>
        <v>10625</v>
      </c>
      <c r="K34" s="46"/>
    </row>
    <row r="35" spans="1:11" ht="23.1" customHeight="1">
      <c r="A35" s="170">
        <f>IF($B35="","",MAX($A$3:A34)+1)</f>
        <v>32</v>
      </c>
      <c r="B35" s="176">
        <v>2060</v>
      </c>
      <c r="C35" s="177" t="s">
        <v>137</v>
      </c>
      <c r="D35" s="279" t="s">
        <v>102</v>
      </c>
      <c r="E35" s="178">
        <v>0</v>
      </c>
      <c r="F35" s="172">
        <f>IF($B35="","",SUMIFS('Daily Inward'!$G:$G,'Daily Inward'!$C:$C,$B35,'Daily Inward'!$E:$E,"Inventory"))</f>
        <v>0</v>
      </c>
      <c r="G35" s="44">
        <f>IF($B35="","",SUMIFS('Daily Issuance'!$G:$G,'Daily Issuance'!$C:$C,$B35,'Daily Issuance'!$E:$E,"Inventory"))</f>
        <v>0</v>
      </c>
      <c r="H35" s="44">
        <f t="shared" si="0"/>
        <v>0</v>
      </c>
      <c r="I35" s="33">
        <v>1580</v>
      </c>
      <c r="J35" s="34">
        <f t="shared" si="1"/>
        <v>0</v>
      </c>
      <c r="K35" s="46"/>
    </row>
    <row r="36" spans="1:11" ht="23.1" customHeight="1">
      <c r="A36" s="170">
        <f>IF($B36="","",MAX($A$3:A35)+1)</f>
        <v>33</v>
      </c>
      <c r="B36" s="176">
        <v>2064</v>
      </c>
      <c r="C36" s="177" t="s">
        <v>138</v>
      </c>
      <c r="D36" s="279" t="s">
        <v>102</v>
      </c>
      <c r="E36" s="178">
        <v>6</v>
      </c>
      <c r="F36" s="172">
        <f>IF($B36="","",SUMIFS('Daily Inward'!$G:$G,'Daily Inward'!$C:$C,$B36,'Daily Inward'!$E:$E,"Inventory"))</f>
        <v>0</v>
      </c>
      <c r="G36" s="44">
        <f>IF($B36="","",SUMIFS('Daily Issuance'!$G:$G,'Daily Issuance'!$C:$C,$B36,'Daily Issuance'!$E:$E,"Inventory"))</f>
        <v>1</v>
      </c>
      <c r="H36" s="44">
        <f t="shared" si="0"/>
        <v>5</v>
      </c>
      <c r="I36" s="33">
        <v>2375</v>
      </c>
      <c r="J36" s="34">
        <f t="shared" si="1"/>
        <v>11875</v>
      </c>
      <c r="K36" s="46"/>
    </row>
    <row r="37" spans="1:11" ht="23.1" customHeight="1">
      <c r="A37" s="170">
        <f>IF($B37="","",MAX($A$3:A36)+1)</f>
        <v>34</v>
      </c>
      <c r="B37" s="176">
        <v>2073</v>
      </c>
      <c r="C37" s="177" t="s">
        <v>139</v>
      </c>
      <c r="D37" s="279" t="s">
        <v>102</v>
      </c>
      <c r="E37" s="178">
        <v>8</v>
      </c>
      <c r="F37" s="172">
        <f>IF($B37="","",SUMIFS('Daily Inward'!$G:$G,'Daily Inward'!$C:$C,$B37,'Daily Inward'!$E:$E,"Inventory"))</f>
        <v>0</v>
      </c>
      <c r="G37" s="44">
        <f>IF($B37="","",SUMIFS('Daily Issuance'!$G:$G,'Daily Issuance'!$C:$C,$B37,'Daily Issuance'!$E:$E,"Inventory"))</f>
        <v>0</v>
      </c>
      <c r="H37" s="44">
        <f t="shared" si="0"/>
        <v>8</v>
      </c>
      <c r="I37" s="33">
        <v>720</v>
      </c>
      <c r="J37" s="34">
        <f t="shared" si="1"/>
        <v>5760</v>
      </c>
      <c r="K37" s="46"/>
    </row>
    <row r="38" spans="1:11" ht="23.1" customHeight="1">
      <c r="A38" s="170">
        <f>IF($B38="","",MAX($A$3:A37)+1)</f>
        <v>35</v>
      </c>
      <c r="B38" s="176">
        <v>2074</v>
      </c>
      <c r="C38" s="177" t="s">
        <v>140</v>
      </c>
      <c r="D38" s="279" t="s">
        <v>102</v>
      </c>
      <c r="E38" s="178">
        <v>0</v>
      </c>
      <c r="F38" s="172">
        <f>IF($B38="","",SUMIFS('Daily Inward'!$G:$G,'Daily Inward'!$C:$C,$B38,'Daily Inward'!$E:$E,"Inventory"))</f>
        <v>0</v>
      </c>
      <c r="G38" s="44">
        <f>IF($B38="","",SUMIFS('Daily Issuance'!$G:$G,'Daily Issuance'!$C:$C,$B38,'Daily Issuance'!$E:$E,"Inventory"))</f>
        <v>0</v>
      </c>
      <c r="H38" s="44">
        <f t="shared" si="0"/>
        <v>0</v>
      </c>
      <c r="I38" s="33">
        <v>2227</v>
      </c>
      <c r="J38" s="34">
        <f t="shared" si="1"/>
        <v>0</v>
      </c>
      <c r="K38" s="46"/>
    </row>
    <row r="39" spans="1:11" ht="23.1" customHeight="1">
      <c r="A39" s="170">
        <f>IF($B39="","",MAX($A$3:A38)+1)</f>
        <v>36</v>
      </c>
      <c r="B39" s="176">
        <v>2080</v>
      </c>
      <c r="C39" s="177" t="s">
        <v>141</v>
      </c>
      <c r="D39" s="279" t="s">
        <v>102</v>
      </c>
      <c r="E39" s="178">
        <v>12</v>
      </c>
      <c r="F39" s="172">
        <f>IF($B39="","",SUMIFS('Daily Inward'!$G:$G,'Daily Inward'!$C:$C,$B39,'Daily Inward'!$E:$E,"Inventory"))</f>
        <v>0</v>
      </c>
      <c r="G39" s="44">
        <f>IF($B39="","",SUMIFS('Daily Issuance'!$G:$G,'Daily Issuance'!$C:$C,$B39,'Daily Issuance'!$E:$E,"Inventory"))</f>
        <v>1</v>
      </c>
      <c r="H39" s="44">
        <f t="shared" si="0"/>
        <v>11</v>
      </c>
      <c r="I39" s="33">
        <v>645</v>
      </c>
      <c r="J39" s="34">
        <f t="shared" si="1"/>
        <v>7095</v>
      </c>
      <c r="K39" s="46"/>
    </row>
    <row r="40" spans="1:11" ht="23.1" customHeight="1">
      <c r="A40" s="170">
        <f>IF($B40="","",MAX($A$3:A39)+1)</f>
        <v>37</v>
      </c>
      <c r="B40" s="176">
        <v>2083</v>
      </c>
      <c r="C40" s="177" t="s">
        <v>142</v>
      </c>
      <c r="D40" s="279" t="s">
        <v>102</v>
      </c>
      <c r="E40" s="178">
        <v>13</v>
      </c>
      <c r="F40" s="172">
        <f>IF($B40="","",SUMIFS('Daily Inward'!$G:$G,'Daily Inward'!$C:$C,$B40,'Daily Inward'!$E:$E,"Inventory"))</f>
        <v>0</v>
      </c>
      <c r="G40" s="44">
        <f>IF($B40="","",SUMIFS('Daily Issuance'!$G:$G,'Daily Issuance'!$C:$C,$B40,'Daily Issuance'!$E:$E,"Inventory"))</f>
        <v>0</v>
      </c>
      <c r="H40" s="44">
        <f t="shared" si="0"/>
        <v>13</v>
      </c>
      <c r="I40" s="33">
        <v>950</v>
      </c>
      <c r="J40" s="34">
        <f t="shared" si="1"/>
        <v>12350</v>
      </c>
      <c r="K40" s="46"/>
    </row>
    <row r="41" spans="1:11" ht="23.1" customHeight="1">
      <c r="A41" s="170">
        <f>IF($B41="","",MAX($A$3:A40)+1)</f>
        <v>38</v>
      </c>
      <c r="B41" s="176">
        <v>2084</v>
      </c>
      <c r="C41" s="177" t="s">
        <v>143</v>
      </c>
      <c r="D41" s="279" t="s">
        <v>102</v>
      </c>
      <c r="E41" s="178">
        <v>17</v>
      </c>
      <c r="F41" s="172">
        <f>IF($B41="","",SUMIFS('Daily Inward'!$G:$G,'Daily Inward'!$C:$C,$B41,'Daily Inward'!$E:$E,"Inventory"))</f>
        <v>0</v>
      </c>
      <c r="G41" s="44">
        <f>IF($B41="","",SUMIFS('Daily Issuance'!$G:$G,'Daily Issuance'!$C:$C,$B41,'Daily Issuance'!$E:$E,"Inventory"))</f>
        <v>0</v>
      </c>
      <c r="H41" s="44">
        <f t="shared" si="0"/>
        <v>17</v>
      </c>
      <c r="I41" s="33">
        <v>2450</v>
      </c>
      <c r="J41" s="34">
        <f t="shared" si="1"/>
        <v>41650</v>
      </c>
      <c r="K41" s="46"/>
    </row>
    <row r="42" spans="1:11" ht="23.1" customHeight="1">
      <c r="A42" s="170">
        <f>IF($B42="","",MAX($A$3:A41)+1)</f>
        <v>39</v>
      </c>
      <c r="B42" s="176">
        <v>2087</v>
      </c>
      <c r="C42" s="177" t="s">
        <v>144</v>
      </c>
      <c r="D42" s="279" t="s">
        <v>102</v>
      </c>
      <c r="E42" s="178">
        <v>10</v>
      </c>
      <c r="F42" s="172">
        <f>IF($B42="","",SUMIFS('Daily Inward'!$G:$G,'Daily Inward'!$C:$C,$B42,'Daily Inward'!$E:$E,"Inventory"))</f>
        <v>0</v>
      </c>
      <c r="G42" s="44">
        <f>IF($B42="","",SUMIFS('Daily Issuance'!$G:$G,'Daily Issuance'!$C:$C,$B42,'Daily Issuance'!$E:$E,"Inventory"))</f>
        <v>0</v>
      </c>
      <c r="H42" s="44">
        <f t="shared" si="0"/>
        <v>10</v>
      </c>
      <c r="I42" s="33">
        <v>985</v>
      </c>
      <c r="J42" s="34">
        <f t="shared" si="1"/>
        <v>9850</v>
      </c>
      <c r="K42" s="46"/>
    </row>
    <row r="43" spans="1:11" ht="23.1" customHeight="1">
      <c r="A43" s="170">
        <f>IF($B43="","",MAX($A$3:A42)+1)</f>
        <v>40</v>
      </c>
      <c r="B43" s="176">
        <v>2091</v>
      </c>
      <c r="C43" s="177" t="s">
        <v>145</v>
      </c>
      <c r="D43" s="279" t="s">
        <v>102</v>
      </c>
      <c r="E43" s="178">
        <v>6</v>
      </c>
      <c r="F43" s="172">
        <f>IF($B43="","",SUMIFS('Daily Inward'!$G:$G,'Daily Inward'!$C:$C,$B43,'Daily Inward'!$E:$E,"Inventory"))</f>
        <v>0</v>
      </c>
      <c r="G43" s="44">
        <f>IF($B43="","",SUMIFS('Daily Issuance'!$G:$G,'Daily Issuance'!$C:$C,$B43,'Daily Issuance'!$E:$E,"Inventory"))</f>
        <v>2</v>
      </c>
      <c r="H43" s="44">
        <f t="shared" si="0"/>
        <v>4</v>
      </c>
      <c r="I43" s="33">
        <v>1048</v>
      </c>
      <c r="J43" s="34">
        <f t="shared" si="1"/>
        <v>4192</v>
      </c>
      <c r="K43" s="46"/>
    </row>
    <row r="44" spans="1:11" ht="23.1" customHeight="1">
      <c r="A44" s="170">
        <f>IF($B44="","",MAX($A$3:A43)+1)</f>
        <v>41</v>
      </c>
      <c r="B44" s="176">
        <v>2093</v>
      </c>
      <c r="C44" s="177" t="s">
        <v>146</v>
      </c>
      <c r="D44" s="279" t="s">
        <v>102</v>
      </c>
      <c r="E44" s="178">
        <v>16</v>
      </c>
      <c r="F44" s="172">
        <f>IF($B44="","",SUMIFS('Daily Inward'!$G:$G,'Daily Inward'!$C:$C,$B44,'Daily Inward'!$E:$E,"Inventory"))</f>
        <v>0</v>
      </c>
      <c r="G44" s="44">
        <f>IF($B44="","",SUMIFS('Daily Issuance'!$G:$G,'Daily Issuance'!$C:$C,$B44,'Daily Issuance'!$E:$E,"Inventory"))</f>
        <v>0</v>
      </c>
      <c r="H44" s="44">
        <f t="shared" si="0"/>
        <v>16</v>
      </c>
      <c r="I44" s="33">
        <v>770</v>
      </c>
      <c r="J44" s="34">
        <f t="shared" si="1"/>
        <v>12320</v>
      </c>
      <c r="K44" s="46"/>
    </row>
    <row r="45" spans="1:11" ht="23.1" customHeight="1">
      <c r="A45" s="170">
        <f>IF($B45="","",MAX($A$3:A44)+1)</f>
        <v>42</v>
      </c>
      <c r="B45" s="176">
        <v>2095</v>
      </c>
      <c r="C45" s="177" t="s">
        <v>147</v>
      </c>
      <c r="D45" s="279" t="s">
        <v>102</v>
      </c>
      <c r="E45" s="178">
        <v>10</v>
      </c>
      <c r="F45" s="172">
        <f>IF($B45="","",SUMIFS('Daily Inward'!$G:$G,'Daily Inward'!$C:$C,$B45,'Daily Inward'!$E:$E,"Inventory"))</f>
        <v>0</v>
      </c>
      <c r="G45" s="44">
        <f>IF($B45="","",SUMIFS('Daily Issuance'!$G:$G,'Daily Issuance'!$C:$C,$B45,'Daily Issuance'!$E:$E,"Inventory"))</f>
        <v>0</v>
      </c>
      <c r="H45" s="44">
        <f t="shared" si="0"/>
        <v>10</v>
      </c>
      <c r="I45" s="33">
        <v>850</v>
      </c>
      <c r="J45" s="34">
        <f t="shared" si="1"/>
        <v>8500</v>
      </c>
      <c r="K45" s="46"/>
    </row>
    <row r="46" spans="1:11" ht="23.1" customHeight="1">
      <c r="A46" s="170">
        <f>IF($B46="","",MAX($A$3:A45)+1)</f>
        <v>43</v>
      </c>
      <c r="B46" s="176">
        <v>2097</v>
      </c>
      <c r="C46" s="177" t="s">
        <v>148</v>
      </c>
      <c r="D46" s="279" t="s">
        <v>102</v>
      </c>
      <c r="E46" s="178">
        <v>6</v>
      </c>
      <c r="F46" s="172">
        <f>IF($B46="","",SUMIFS('Daily Inward'!$G:$G,'Daily Inward'!$C:$C,$B46,'Daily Inward'!$E:$E,"Inventory"))</f>
        <v>0</v>
      </c>
      <c r="G46" s="44">
        <f>IF($B46="","",SUMIFS('Daily Issuance'!$G:$G,'Daily Issuance'!$C:$C,$B46,'Daily Issuance'!$E:$E,"Inventory"))</f>
        <v>0</v>
      </c>
      <c r="H46" s="44">
        <f t="shared" si="0"/>
        <v>6</v>
      </c>
      <c r="I46" s="33">
        <v>483</v>
      </c>
      <c r="J46" s="34">
        <f t="shared" si="1"/>
        <v>2898</v>
      </c>
      <c r="K46" s="46"/>
    </row>
    <row r="47" spans="1:11" ht="23.1" customHeight="1">
      <c r="A47" s="170">
        <f>IF($B47="","",MAX($A$3:A46)+1)</f>
        <v>44</v>
      </c>
      <c r="B47" s="176">
        <v>2098</v>
      </c>
      <c r="C47" s="177" t="s">
        <v>149</v>
      </c>
      <c r="D47" s="279" t="s">
        <v>102</v>
      </c>
      <c r="E47" s="178">
        <v>18</v>
      </c>
      <c r="F47" s="172">
        <f>IF($B47="","",SUMIFS('Daily Inward'!$G:$G,'Daily Inward'!$C:$C,$B47,'Daily Inward'!$E:$E,"Inventory"))</f>
        <v>0</v>
      </c>
      <c r="G47" s="44">
        <f>IF($B47="","",SUMIFS('Daily Issuance'!$G:$G,'Daily Issuance'!$C:$C,$B47,'Daily Issuance'!$E:$E,"Inventory"))</f>
        <v>1</v>
      </c>
      <c r="H47" s="44">
        <f t="shared" si="0"/>
        <v>17</v>
      </c>
      <c r="I47" s="33">
        <v>998</v>
      </c>
      <c r="J47" s="34">
        <f t="shared" si="1"/>
        <v>16966</v>
      </c>
      <c r="K47" s="46"/>
    </row>
    <row r="48" spans="1:11" ht="23.1" customHeight="1">
      <c r="A48" s="170">
        <f>IF($B48="","",MAX($A$3:A47)+1)</f>
        <v>45</v>
      </c>
      <c r="B48" s="176">
        <v>2102</v>
      </c>
      <c r="C48" s="177" t="s">
        <v>150</v>
      </c>
      <c r="D48" s="279" t="s">
        <v>102</v>
      </c>
      <c r="E48" s="178">
        <v>4</v>
      </c>
      <c r="F48" s="172">
        <f>IF($B48="","",SUMIFS('Daily Inward'!$G:$G,'Daily Inward'!$C:$C,$B48,'Daily Inward'!$E:$E,"Inventory"))</f>
        <v>0</v>
      </c>
      <c r="G48" s="44">
        <f>IF($B48="","",SUMIFS('Daily Issuance'!$G:$G,'Daily Issuance'!$C:$C,$B48,'Daily Issuance'!$E:$E,"Inventory"))</f>
        <v>2</v>
      </c>
      <c r="H48" s="44">
        <f t="shared" si="0"/>
        <v>2</v>
      </c>
      <c r="I48" s="33">
        <v>570</v>
      </c>
      <c r="J48" s="34">
        <f t="shared" si="1"/>
        <v>1140</v>
      </c>
      <c r="K48" s="46"/>
    </row>
    <row r="49" spans="1:11" ht="23.1" customHeight="1">
      <c r="A49" s="170">
        <f>IF($B49="","",MAX($A$3:A48)+1)</f>
        <v>46</v>
      </c>
      <c r="B49" s="176">
        <v>2105</v>
      </c>
      <c r="C49" s="177" t="s">
        <v>151</v>
      </c>
      <c r="D49" s="279" t="s">
        <v>102</v>
      </c>
      <c r="E49" s="178">
        <v>1</v>
      </c>
      <c r="F49" s="172">
        <f>IF($B49="","",SUMIFS('Daily Inward'!$G:$G,'Daily Inward'!$C:$C,$B49,'Daily Inward'!$E:$E,"Inventory"))</f>
        <v>0</v>
      </c>
      <c r="G49" s="44">
        <f>IF($B49="","",SUMIFS('Daily Issuance'!$G:$G,'Daily Issuance'!$C:$C,$B49,'Daily Issuance'!$E:$E,"Inventory"))</f>
        <v>0</v>
      </c>
      <c r="H49" s="44">
        <f t="shared" si="0"/>
        <v>1</v>
      </c>
      <c r="I49" s="33">
        <v>8475</v>
      </c>
      <c r="J49" s="34">
        <f t="shared" si="1"/>
        <v>8475</v>
      </c>
      <c r="K49" s="46"/>
    </row>
    <row r="50" spans="1:11" ht="23.1" customHeight="1">
      <c r="A50" s="170">
        <f>IF($B50="","",MAX($A$3:A49)+1)</f>
        <v>47</v>
      </c>
      <c r="B50" s="176">
        <v>2110</v>
      </c>
      <c r="C50" s="177" t="s">
        <v>152</v>
      </c>
      <c r="D50" s="279" t="s">
        <v>102</v>
      </c>
      <c r="E50" s="178">
        <v>22</v>
      </c>
      <c r="F50" s="172">
        <f>IF($B50="","",SUMIFS('Daily Inward'!$G:$G,'Daily Inward'!$C:$C,$B50,'Daily Inward'!$E:$E,"Inventory"))</f>
        <v>0</v>
      </c>
      <c r="G50" s="44">
        <f>IF($B50="","",SUMIFS('Daily Issuance'!$G:$G,'Daily Issuance'!$C:$C,$B50,'Daily Issuance'!$E:$E,"Inventory"))</f>
        <v>0</v>
      </c>
      <c r="H50" s="44">
        <f t="shared" si="0"/>
        <v>22</v>
      </c>
      <c r="I50" s="33">
        <v>990</v>
      </c>
      <c r="J50" s="34">
        <f t="shared" si="1"/>
        <v>21780</v>
      </c>
      <c r="K50" s="46"/>
    </row>
    <row r="51" spans="1:11" ht="23.1" customHeight="1">
      <c r="A51" s="170">
        <f>IF($B51="","",MAX($A$3:A50)+1)</f>
        <v>48</v>
      </c>
      <c r="B51" s="176">
        <v>2123</v>
      </c>
      <c r="C51" s="177" t="s">
        <v>153</v>
      </c>
      <c r="D51" s="279" t="s">
        <v>102</v>
      </c>
      <c r="E51" s="178">
        <v>12</v>
      </c>
      <c r="F51" s="172">
        <f>IF($B51="","",SUMIFS('Daily Inward'!$G:$G,'Daily Inward'!$C:$C,$B51,'Daily Inward'!$E:$E,"Inventory"))</f>
        <v>0</v>
      </c>
      <c r="G51" s="44">
        <f>IF($B51="","",SUMIFS('Daily Issuance'!$G:$G,'Daily Issuance'!$C:$C,$B51,'Daily Issuance'!$E:$E,"Inventory"))</f>
        <v>5</v>
      </c>
      <c r="H51" s="44">
        <f t="shared" si="0"/>
        <v>7</v>
      </c>
      <c r="I51" s="33">
        <v>1775</v>
      </c>
      <c r="J51" s="34">
        <f t="shared" si="1"/>
        <v>12425</v>
      </c>
      <c r="K51" s="46"/>
    </row>
    <row r="52" spans="1:11" ht="23.1" customHeight="1">
      <c r="A52" s="170">
        <f>IF($B52="","",MAX($A$3:A51)+1)</f>
        <v>49</v>
      </c>
      <c r="B52" s="176">
        <v>2164</v>
      </c>
      <c r="C52" s="177" t="s">
        <v>154</v>
      </c>
      <c r="D52" s="279" t="s">
        <v>102</v>
      </c>
      <c r="E52" s="178">
        <v>12</v>
      </c>
      <c r="F52" s="172">
        <f>IF($B52="","",SUMIFS('Daily Inward'!$G:$G,'Daily Inward'!$C:$C,$B52,'Daily Inward'!$E:$E,"Inventory"))</f>
        <v>0</v>
      </c>
      <c r="G52" s="44">
        <f>IF($B52="","",SUMIFS('Daily Issuance'!$G:$G,'Daily Issuance'!$C:$C,$B52,'Daily Issuance'!$E:$E,"Inventory"))</f>
        <v>0</v>
      </c>
      <c r="H52" s="44">
        <f t="shared" si="0"/>
        <v>12</v>
      </c>
      <c r="I52" s="33">
        <v>788</v>
      </c>
      <c r="J52" s="34">
        <f t="shared" si="1"/>
        <v>9456</v>
      </c>
      <c r="K52" s="46"/>
    </row>
    <row r="53" spans="1:11" ht="23.1" customHeight="1">
      <c r="A53" s="170">
        <f>IF($B53="","",MAX($A$3:A52)+1)</f>
        <v>50</v>
      </c>
      <c r="B53" s="176">
        <v>2225</v>
      </c>
      <c r="C53" s="177" t="s">
        <v>155</v>
      </c>
      <c r="D53" s="279" t="s">
        <v>112</v>
      </c>
      <c r="E53" s="178">
        <v>6</v>
      </c>
      <c r="F53" s="172">
        <f>IF($B53="","",SUMIFS('Daily Inward'!$G:$G,'Daily Inward'!$C:$C,$B53,'Daily Inward'!$E:$E,"Inventory"))</f>
        <v>0</v>
      </c>
      <c r="G53" s="44">
        <f>IF($B53="","",SUMIFS('Daily Issuance'!$G:$G,'Daily Issuance'!$C:$C,$B53,'Daily Issuance'!$E:$E,"Inventory"))</f>
        <v>1</v>
      </c>
      <c r="H53" s="44">
        <f t="shared" si="0"/>
        <v>5</v>
      </c>
      <c r="I53" s="33">
        <v>1456</v>
      </c>
      <c r="J53" s="34">
        <f t="shared" si="1"/>
        <v>7280</v>
      </c>
      <c r="K53" s="46"/>
    </row>
    <row r="54" spans="1:11" ht="23.1" customHeight="1">
      <c r="A54" s="170">
        <f>IF($B54="","",MAX($A$3:A53)+1)</f>
        <v>51</v>
      </c>
      <c r="B54" s="176">
        <v>2237</v>
      </c>
      <c r="C54" s="177" t="s">
        <v>156</v>
      </c>
      <c r="D54" s="279" t="s">
        <v>102</v>
      </c>
      <c r="E54" s="178">
        <v>4</v>
      </c>
      <c r="F54" s="172">
        <f>IF($B54="","",SUMIFS('Daily Inward'!$G:$G,'Daily Inward'!$C:$C,$B54,'Daily Inward'!$E:$E,"Inventory"))</f>
        <v>0</v>
      </c>
      <c r="G54" s="44">
        <f>IF($B54="","",SUMIFS('Daily Issuance'!$G:$G,'Daily Issuance'!$C:$C,$B54,'Daily Issuance'!$E:$E,"Inventory"))</f>
        <v>0</v>
      </c>
      <c r="H54" s="44">
        <f t="shared" si="0"/>
        <v>4</v>
      </c>
      <c r="I54" s="33">
        <v>3575</v>
      </c>
      <c r="J54" s="34">
        <f t="shared" si="1"/>
        <v>14300</v>
      </c>
      <c r="K54" s="46"/>
    </row>
    <row r="55" spans="1:11" ht="23.1" customHeight="1">
      <c r="A55" s="170">
        <f>IF($B55="","",MAX($A$3:A54)+1)</f>
        <v>52</v>
      </c>
      <c r="B55" s="176">
        <v>2243</v>
      </c>
      <c r="C55" s="177" t="s">
        <v>157</v>
      </c>
      <c r="D55" s="279" t="s">
        <v>102</v>
      </c>
      <c r="E55" s="178">
        <v>7</v>
      </c>
      <c r="F55" s="172">
        <f>IF($B55="","",SUMIFS('Daily Inward'!$G:$G,'Daily Inward'!$C:$C,$B55,'Daily Inward'!$E:$E,"Inventory"))</f>
        <v>0</v>
      </c>
      <c r="G55" s="44">
        <f>IF($B55="","",SUMIFS('Daily Issuance'!$G:$G,'Daily Issuance'!$C:$C,$B55,'Daily Issuance'!$E:$E,"Inventory"))</f>
        <v>0</v>
      </c>
      <c r="H55" s="44">
        <f t="shared" si="0"/>
        <v>7</v>
      </c>
      <c r="I55" s="33">
        <v>865</v>
      </c>
      <c r="J55" s="34">
        <f t="shared" si="1"/>
        <v>6055</v>
      </c>
      <c r="K55" s="46"/>
    </row>
    <row r="56" spans="1:11" ht="23.1" customHeight="1">
      <c r="A56" s="170">
        <f>IF($B56="","",MAX($A$3:A55)+1)</f>
        <v>53</v>
      </c>
      <c r="B56" s="176">
        <v>2264</v>
      </c>
      <c r="C56" s="177" t="s">
        <v>158</v>
      </c>
      <c r="D56" s="279" t="s">
        <v>102</v>
      </c>
      <c r="E56" s="178">
        <v>6</v>
      </c>
      <c r="F56" s="172">
        <f>IF($B56="","",SUMIFS('Daily Inward'!$G:$G,'Daily Inward'!$C:$C,$B56,'Daily Inward'!$E:$E,"Inventory"))</f>
        <v>0</v>
      </c>
      <c r="G56" s="44">
        <f>IF($B56="","",SUMIFS('Daily Issuance'!$G:$G,'Daily Issuance'!$C:$C,$B56,'Daily Issuance'!$E:$E,"Inventory"))</f>
        <v>0</v>
      </c>
      <c r="H56" s="44">
        <f t="shared" si="0"/>
        <v>6</v>
      </c>
      <c r="I56" s="33">
        <v>532</v>
      </c>
      <c r="J56" s="34">
        <f t="shared" si="1"/>
        <v>3192</v>
      </c>
      <c r="K56" s="46"/>
    </row>
    <row r="57" spans="1:11" ht="23.1" customHeight="1">
      <c r="A57" s="170">
        <f>IF($B57="","",MAX($A$3:A56)+1)</f>
        <v>54</v>
      </c>
      <c r="B57" s="176">
        <v>2268</v>
      </c>
      <c r="C57" s="177" t="s">
        <v>159</v>
      </c>
      <c r="D57" s="279" t="s">
        <v>102</v>
      </c>
      <c r="E57" s="178">
        <v>9</v>
      </c>
      <c r="F57" s="172">
        <f>IF($B57="","",SUMIFS('Daily Inward'!$G:$G,'Daily Inward'!$C:$C,$B57,'Daily Inward'!$E:$E,"Inventory"))</f>
        <v>0</v>
      </c>
      <c r="G57" s="44">
        <f>IF($B57="","",SUMIFS('Daily Issuance'!$G:$G,'Daily Issuance'!$C:$C,$B57,'Daily Issuance'!$E:$E,"Inventory"))</f>
        <v>0</v>
      </c>
      <c r="H57" s="44">
        <f t="shared" si="0"/>
        <v>9</v>
      </c>
      <c r="I57" s="33">
        <v>784</v>
      </c>
      <c r="J57" s="34">
        <f t="shared" si="1"/>
        <v>7056</v>
      </c>
      <c r="K57" s="46"/>
    </row>
    <row r="58" spans="1:11" ht="23.1" customHeight="1">
      <c r="A58" s="170">
        <f>IF($B58="","",MAX($A$3:A57)+1)</f>
        <v>55</v>
      </c>
      <c r="B58" s="176">
        <v>2269</v>
      </c>
      <c r="C58" s="177" t="s">
        <v>160</v>
      </c>
      <c r="D58" s="279" t="s">
        <v>102</v>
      </c>
      <c r="E58" s="178">
        <v>7</v>
      </c>
      <c r="F58" s="172">
        <f>IF($B58="","",SUMIFS('Daily Inward'!$G:$G,'Daily Inward'!$C:$C,$B58,'Daily Inward'!$E:$E,"Inventory"))</f>
        <v>0</v>
      </c>
      <c r="G58" s="44">
        <f>IF($B58="","",SUMIFS('Daily Issuance'!$G:$G,'Daily Issuance'!$C:$C,$B58,'Daily Issuance'!$E:$E,"Inventory"))</f>
        <v>0</v>
      </c>
      <c r="H58" s="44">
        <f t="shared" si="0"/>
        <v>7</v>
      </c>
      <c r="I58" s="33">
        <v>750</v>
      </c>
      <c r="J58" s="34">
        <f t="shared" si="1"/>
        <v>5250</v>
      </c>
      <c r="K58" s="46"/>
    </row>
    <row r="59" spans="1:11" ht="23.1" customHeight="1">
      <c r="A59" s="170">
        <f>IF($B59="","",MAX($A$3:A58)+1)</f>
        <v>56</v>
      </c>
      <c r="B59" s="176">
        <v>2270</v>
      </c>
      <c r="C59" s="177" t="s">
        <v>161</v>
      </c>
      <c r="D59" s="279" t="s">
        <v>102</v>
      </c>
      <c r="E59" s="178">
        <v>5</v>
      </c>
      <c r="F59" s="172">
        <f>IF($B59="","",SUMIFS('Daily Inward'!$G:$G,'Daily Inward'!$C:$C,$B59,'Daily Inward'!$E:$E,"Inventory"))</f>
        <v>0</v>
      </c>
      <c r="G59" s="44">
        <f>IF($B59="","",SUMIFS('Daily Issuance'!$G:$G,'Daily Issuance'!$C:$C,$B59,'Daily Issuance'!$E:$E,"Inventory"))</f>
        <v>0</v>
      </c>
      <c r="H59" s="44">
        <f t="shared" si="0"/>
        <v>5</v>
      </c>
      <c r="I59" s="33">
        <v>2520</v>
      </c>
      <c r="J59" s="34">
        <f t="shared" si="1"/>
        <v>12600</v>
      </c>
      <c r="K59" s="46"/>
    </row>
    <row r="60" spans="1:11" ht="23.1" customHeight="1">
      <c r="A60" s="170">
        <f>IF($B60="","",MAX($A$3:A59)+1)</f>
        <v>57</v>
      </c>
      <c r="B60" s="176">
        <v>2273</v>
      </c>
      <c r="C60" s="177" t="s">
        <v>162</v>
      </c>
      <c r="D60" s="279" t="s">
        <v>102</v>
      </c>
      <c r="E60" s="178">
        <v>8</v>
      </c>
      <c r="F60" s="172">
        <f>IF($B60="","",SUMIFS('Daily Inward'!$G:$G,'Daily Inward'!$C:$C,$B60,'Daily Inward'!$E:$E,"Inventory"))</f>
        <v>0</v>
      </c>
      <c r="G60" s="44">
        <f>IF($B60="","",SUMIFS('Daily Issuance'!$G:$G,'Daily Issuance'!$C:$C,$B60,'Daily Issuance'!$E:$E,"Inventory"))</f>
        <v>0</v>
      </c>
      <c r="H60" s="44">
        <f t="shared" si="0"/>
        <v>8</v>
      </c>
      <c r="I60" s="33">
        <v>600</v>
      </c>
      <c r="J60" s="34">
        <f t="shared" si="1"/>
        <v>4800</v>
      </c>
      <c r="K60" s="46"/>
    </row>
    <row r="61" spans="1:11" ht="23.1" customHeight="1">
      <c r="A61" s="170">
        <f>IF($B61="","",MAX($A$3:A60)+1)</f>
        <v>58</v>
      </c>
      <c r="B61" s="176">
        <v>2274</v>
      </c>
      <c r="C61" s="177" t="s">
        <v>163</v>
      </c>
      <c r="D61" s="279" t="s">
        <v>102</v>
      </c>
      <c r="E61" s="178">
        <v>4</v>
      </c>
      <c r="F61" s="172">
        <f>IF($B61="","",SUMIFS('Daily Inward'!$G:$G,'Daily Inward'!$C:$C,$B61,'Daily Inward'!$E:$E,"Inventory"))</f>
        <v>0</v>
      </c>
      <c r="G61" s="44">
        <f>IF($B61="","",SUMIFS('Daily Issuance'!$G:$G,'Daily Issuance'!$C:$C,$B61,'Daily Issuance'!$E:$E,"Inventory"))</f>
        <v>1</v>
      </c>
      <c r="H61" s="44">
        <f t="shared" si="0"/>
        <v>3</v>
      </c>
      <c r="I61" s="33">
        <v>5450</v>
      </c>
      <c r="J61" s="34">
        <f t="shared" si="1"/>
        <v>16350</v>
      </c>
      <c r="K61" s="46"/>
    </row>
    <row r="62" spans="1:11" ht="23.1" customHeight="1">
      <c r="A62" s="170">
        <f>IF($B62="","",MAX($A$3:A61)+1)</f>
        <v>59</v>
      </c>
      <c r="B62" s="176">
        <v>2277</v>
      </c>
      <c r="C62" s="177" t="s">
        <v>164</v>
      </c>
      <c r="D62" s="279" t="s">
        <v>102</v>
      </c>
      <c r="E62" s="178">
        <v>5</v>
      </c>
      <c r="F62" s="172">
        <f>IF($B62="","",SUMIFS('Daily Inward'!$G:$G,'Daily Inward'!$C:$C,$B62,'Daily Inward'!$E:$E,"Inventory"))</f>
        <v>0</v>
      </c>
      <c r="G62" s="44">
        <f>IF($B62="","",SUMIFS('Daily Issuance'!$G:$G,'Daily Issuance'!$C:$C,$B62,'Daily Issuance'!$E:$E,"Inventory"))</f>
        <v>0</v>
      </c>
      <c r="H62" s="44">
        <f t="shared" si="0"/>
        <v>5</v>
      </c>
      <c r="I62" s="33">
        <v>350</v>
      </c>
      <c r="J62" s="34">
        <f t="shared" si="1"/>
        <v>1750</v>
      </c>
      <c r="K62" s="46"/>
    </row>
    <row r="63" spans="1:11" ht="23.1" customHeight="1">
      <c r="A63" s="170">
        <f>IF($B63="","",MAX($A$3:A62)+1)</f>
        <v>60</v>
      </c>
      <c r="B63" s="176">
        <v>2278</v>
      </c>
      <c r="C63" s="177" t="s">
        <v>165</v>
      </c>
      <c r="D63" s="279" t="s">
        <v>102</v>
      </c>
      <c r="E63" s="178">
        <v>1</v>
      </c>
      <c r="F63" s="172">
        <f>IF($B63="","",SUMIFS('Daily Inward'!$G:$G,'Daily Inward'!$C:$C,$B63,'Daily Inward'!$E:$E,"Inventory"))</f>
        <v>0</v>
      </c>
      <c r="G63" s="44">
        <f>IF($B63="","",SUMIFS('Daily Issuance'!$G:$G,'Daily Issuance'!$C:$C,$B63,'Daily Issuance'!$E:$E,"Inventory"))</f>
        <v>0</v>
      </c>
      <c r="H63" s="44">
        <f t="shared" si="0"/>
        <v>1</v>
      </c>
      <c r="I63" s="33">
        <v>350</v>
      </c>
      <c r="J63" s="34">
        <f t="shared" si="1"/>
        <v>350</v>
      </c>
      <c r="K63" s="46"/>
    </row>
    <row r="64" spans="1:11" ht="23.1" customHeight="1">
      <c r="A64" s="170">
        <f>IF($B64="","",MAX($A$3:A63)+1)</f>
        <v>61</v>
      </c>
      <c r="B64" s="176">
        <v>2279</v>
      </c>
      <c r="C64" s="177" t="s">
        <v>166</v>
      </c>
      <c r="D64" s="279" t="s">
        <v>102</v>
      </c>
      <c r="E64" s="178">
        <v>5</v>
      </c>
      <c r="F64" s="172">
        <f>IF($B64="","",SUMIFS('Daily Inward'!$G:$G,'Daily Inward'!$C:$C,$B64,'Daily Inward'!$E:$E,"Inventory"))</f>
        <v>0</v>
      </c>
      <c r="G64" s="44">
        <f>IF($B64="","",SUMIFS('Daily Issuance'!$G:$G,'Daily Issuance'!$C:$C,$B64,'Daily Issuance'!$E:$E,"Inventory"))</f>
        <v>0</v>
      </c>
      <c r="H64" s="44">
        <f t="shared" si="0"/>
        <v>5</v>
      </c>
      <c r="I64" s="33">
        <v>350</v>
      </c>
      <c r="J64" s="34">
        <f t="shared" si="1"/>
        <v>1750</v>
      </c>
      <c r="K64" s="46"/>
    </row>
    <row r="65" spans="1:11" ht="23.1" customHeight="1">
      <c r="A65" s="170">
        <f>IF($B65="","",MAX($A$3:A64)+1)</f>
        <v>62</v>
      </c>
      <c r="B65" s="176">
        <v>2281</v>
      </c>
      <c r="C65" s="177" t="s">
        <v>167</v>
      </c>
      <c r="D65" s="279" t="s">
        <v>102</v>
      </c>
      <c r="E65" s="178">
        <v>33</v>
      </c>
      <c r="F65" s="172">
        <f>IF($B65="","",SUMIFS('Daily Inward'!$G:$G,'Daily Inward'!$C:$C,$B65,'Daily Inward'!$E:$E,"Inventory"))</f>
        <v>0</v>
      </c>
      <c r="G65" s="44">
        <f>IF($B65="","",SUMIFS('Daily Issuance'!$G:$G,'Daily Issuance'!$C:$C,$B65,'Daily Issuance'!$E:$E,"Inventory"))</f>
        <v>1</v>
      </c>
      <c r="H65" s="44">
        <f t="shared" si="0"/>
        <v>32</v>
      </c>
      <c r="I65" s="33">
        <v>350</v>
      </c>
      <c r="J65" s="34">
        <f t="shared" si="1"/>
        <v>11200</v>
      </c>
      <c r="K65" s="46"/>
    </row>
    <row r="66" spans="1:11" ht="23.1" customHeight="1">
      <c r="A66" s="170">
        <f>IF($B66="","",MAX($A$3:A65)+1)</f>
        <v>63</v>
      </c>
      <c r="B66" s="176">
        <v>2325</v>
      </c>
      <c r="C66" s="177" t="s">
        <v>168</v>
      </c>
      <c r="D66" s="279" t="s">
        <v>102</v>
      </c>
      <c r="E66" s="178">
        <v>1</v>
      </c>
      <c r="F66" s="172">
        <f>IF($B66="","",SUMIFS('Daily Inward'!$G:$G,'Daily Inward'!$C:$C,$B66,'Daily Inward'!$E:$E,"Inventory"))</f>
        <v>0</v>
      </c>
      <c r="G66" s="44">
        <f>IF($B66="","",SUMIFS('Daily Issuance'!$G:$G,'Daily Issuance'!$C:$C,$B66,'Daily Issuance'!$E:$E,"Inventory"))</f>
        <v>0</v>
      </c>
      <c r="H66" s="44">
        <f t="shared" si="0"/>
        <v>1</v>
      </c>
      <c r="I66" s="33">
        <v>3100</v>
      </c>
      <c r="J66" s="34">
        <f t="shared" si="1"/>
        <v>3100</v>
      </c>
      <c r="K66" s="46"/>
    </row>
    <row r="67" spans="1:11" ht="23.1" customHeight="1">
      <c r="A67" s="170">
        <f>IF($B67="","",MAX($A$3:A66)+1)</f>
        <v>64</v>
      </c>
      <c r="B67" s="176">
        <v>2327</v>
      </c>
      <c r="C67" s="177" t="s">
        <v>169</v>
      </c>
      <c r="D67" s="279" t="s">
        <v>102</v>
      </c>
      <c r="E67" s="178">
        <v>6</v>
      </c>
      <c r="F67" s="172">
        <f>IF($B67="","",SUMIFS('Daily Inward'!$G:$G,'Daily Inward'!$C:$C,$B67,'Daily Inward'!$E:$E,"Inventory"))</f>
        <v>0</v>
      </c>
      <c r="G67" s="44">
        <f>IF($B67="","",SUMIFS('Daily Issuance'!$G:$G,'Daily Issuance'!$C:$C,$B67,'Daily Issuance'!$E:$E,"Inventory"))</f>
        <v>0</v>
      </c>
      <c r="H67" s="44">
        <f t="shared" ref="H67:H130" si="2">IF($B67="","",N(E67)+N(F67)-N(G67))</f>
        <v>6</v>
      </c>
      <c r="I67" s="33">
        <v>1250</v>
      </c>
      <c r="J67" s="34">
        <f t="shared" ref="J67:J130" si="3">IF($B67="","",H67*I67)</f>
        <v>7500</v>
      </c>
      <c r="K67" s="46"/>
    </row>
    <row r="68" spans="1:11" ht="23.1" customHeight="1">
      <c r="A68" s="170">
        <f>IF($B68="","",MAX($A$3:A67)+1)</f>
        <v>65</v>
      </c>
      <c r="B68" s="176">
        <v>2358</v>
      </c>
      <c r="C68" s="177" t="s">
        <v>170</v>
      </c>
      <c r="D68" s="279" t="s">
        <v>102</v>
      </c>
      <c r="E68" s="178">
        <v>23</v>
      </c>
      <c r="F68" s="172">
        <f>IF($B68="","",SUMIFS('Daily Inward'!$G:$G,'Daily Inward'!$C:$C,$B68,'Daily Inward'!$E:$E,"Inventory"))</f>
        <v>0</v>
      </c>
      <c r="G68" s="44">
        <f>IF($B68="","",SUMIFS('Daily Issuance'!$G:$G,'Daily Issuance'!$C:$C,$B68,'Daily Issuance'!$E:$E,"Inventory"))</f>
        <v>0</v>
      </c>
      <c r="H68" s="44">
        <f t="shared" si="2"/>
        <v>23</v>
      </c>
      <c r="I68" s="33">
        <v>300</v>
      </c>
      <c r="J68" s="34">
        <f t="shared" si="3"/>
        <v>6900</v>
      </c>
      <c r="K68" s="46"/>
    </row>
    <row r="69" spans="1:11" ht="23.1" customHeight="1">
      <c r="A69" s="170">
        <f>IF($B69="","",MAX($A$3:A68)+1)</f>
        <v>66</v>
      </c>
      <c r="B69" s="176">
        <v>2359</v>
      </c>
      <c r="C69" s="177" t="s">
        <v>171</v>
      </c>
      <c r="D69" s="279" t="s">
        <v>102</v>
      </c>
      <c r="E69" s="178">
        <v>26</v>
      </c>
      <c r="F69" s="172">
        <f>IF($B69="","",SUMIFS('Daily Inward'!$G:$G,'Daily Inward'!$C:$C,$B69,'Daily Inward'!$E:$E,"Inventory"))</f>
        <v>0</v>
      </c>
      <c r="G69" s="44">
        <f>IF($B69="","",SUMIFS('Daily Issuance'!$G:$G,'Daily Issuance'!$C:$C,$B69,'Daily Issuance'!$E:$E,"Inventory"))</f>
        <v>0</v>
      </c>
      <c r="H69" s="44">
        <f t="shared" si="2"/>
        <v>26</v>
      </c>
      <c r="I69" s="33">
        <v>300</v>
      </c>
      <c r="J69" s="34">
        <f t="shared" si="3"/>
        <v>7800</v>
      </c>
      <c r="K69" s="46"/>
    </row>
    <row r="70" spans="1:11" ht="23.1" customHeight="1">
      <c r="A70" s="170">
        <f>IF($B70="","",MAX($A$3:A69)+1)</f>
        <v>67</v>
      </c>
      <c r="B70" s="176">
        <v>2387</v>
      </c>
      <c r="C70" s="177" t="s">
        <v>172</v>
      </c>
      <c r="D70" s="279" t="s">
        <v>102</v>
      </c>
      <c r="E70" s="178">
        <v>1</v>
      </c>
      <c r="F70" s="172">
        <f>IF($B70="","",SUMIFS('Daily Inward'!$G:$G,'Daily Inward'!$C:$C,$B70,'Daily Inward'!$E:$E,"Inventory"))</f>
        <v>0</v>
      </c>
      <c r="G70" s="44">
        <f>IF($B70="","",SUMIFS('Daily Issuance'!$G:$G,'Daily Issuance'!$C:$C,$B70,'Daily Issuance'!$E:$E,"Inventory"))</f>
        <v>0</v>
      </c>
      <c r="H70" s="44">
        <f t="shared" si="2"/>
        <v>1</v>
      </c>
      <c r="I70" s="33">
        <v>2500</v>
      </c>
      <c r="J70" s="34">
        <f t="shared" si="3"/>
        <v>2500</v>
      </c>
      <c r="K70" s="46"/>
    </row>
    <row r="71" spans="1:11" ht="23.1" customHeight="1">
      <c r="A71" s="170">
        <f>IF($B71="","",MAX($A$3:A70)+1)</f>
        <v>68</v>
      </c>
      <c r="B71" s="176">
        <v>2389</v>
      </c>
      <c r="C71" s="177" t="s">
        <v>173</v>
      </c>
      <c r="D71" s="279" t="s">
        <v>102</v>
      </c>
      <c r="E71" s="178">
        <v>1</v>
      </c>
      <c r="F71" s="172">
        <f>IF($B71="","",SUMIFS('Daily Inward'!$G:$G,'Daily Inward'!$C:$C,$B71,'Daily Inward'!$E:$E,"Inventory"))</f>
        <v>0</v>
      </c>
      <c r="G71" s="44">
        <f>IF($B71="","",SUMIFS('Daily Issuance'!$G:$G,'Daily Issuance'!$C:$C,$B71,'Daily Issuance'!$E:$E,"Inventory"))</f>
        <v>1</v>
      </c>
      <c r="H71" s="44">
        <f t="shared" si="2"/>
        <v>0</v>
      </c>
      <c r="I71" s="33">
        <v>750</v>
      </c>
      <c r="J71" s="34">
        <f t="shared" si="3"/>
        <v>0</v>
      </c>
      <c r="K71" s="46"/>
    </row>
    <row r="72" spans="1:11" ht="23.1" customHeight="1">
      <c r="A72" s="170">
        <f>IF($B72="","",MAX($A$3:A71)+1)</f>
        <v>69</v>
      </c>
      <c r="B72" s="176">
        <v>2390</v>
      </c>
      <c r="C72" s="177" t="s">
        <v>174</v>
      </c>
      <c r="D72" s="279" t="s">
        <v>102</v>
      </c>
      <c r="E72" s="178">
        <v>1</v>
      </c>
      <c r="F72" s="172">
        <f>IF($B72="","",SUMIFS('Daily Inward'!$G:$G,'Daily Inward'!$C:$C,$B72,'Daily Inward'!$E:$E,"Inventory"))</f>
        <v>0</v>
      </c>
      <c r="G72" s="44">
        <f>IF($B72="","",SUMIFS('Daily Issuance'!$G:$G,'Daily Issuance'!$C:$C,$B72,'Daily Issuance'!$E:$E,"Inventory"))</f>
        <v>0</v>
      </c>
      <c r="H72" s="44">
        <f t="shared" si="2"/>
        <v>1</v>
      </c>
      <c r="I72" s="33">
        <v>1680</v>
      </c>
      <c r="J72" s="34">
        <f t="shared" si="3"/>
        <v>1680</v>
      </c>
      <c r="K72" s="46"/>
    </row>
    <row r="73" spans="1:11" ht="23.1" customHeight="1">
      <c r="A73" s="170">
        <f>IF($B73="","",MAX($A$3:A72)+1)</f>
        <v>70</v>
      </c>
      <c r="B73" s="176">
        <v>2466</v>
      </c>
      <c r="C73" s="177" t="s">
        <v>175</v>
      </c>
      <c r="D73" s="279" t="s">
        <v>102</v>
      </c>
      <c r="E73" s="178">
        <v>2</v>
      </c>
      <c r="F73" s="172">
        <f>IF($B73="","",SUMIFS('Daily Inward'!$G:$G,'Daily Inward'!$C:$C,$B73,'Daily Inward'!$E:$E,"Inventory"))</f>
        <v>0</v>
      </c>
      <c r="G73" s="44">
        <f>IF($B73="","",SUMIFS('Daily Issuance'!$G:$G,'Daily Issuance'!$C:$C,$B73,'Daily Issuance'!$E:$E,"Inventory"))</f>
        <v>2</v>
      </c>
      <c r="H73" s="44">
        <f t="shared" si="2"/>
        <v>0</v>
      </c>
      <c r="I73" s="33">
        <v>2100</v>
      </c>
      <c r="J73" s="34">
        <f t="shared" si="3"/>
        <v>0</v>
      </c>
      <c r="K73" s="46"/>
    </row>
    <row r="74" spans="1:11" ht="23.1" customHeight="1">
      <c r="A74" s="170">
        <f>IF($B74="","",MAX($A$3:A73)+1)</f>
        <v>71</v>
      </c>
      <c r="B74" s="176">
        <v>2470</v>
      </c>
      <c r="C74" s="177" t="s">
        <v>176</v>
      </c>
      <c r="D74" s="279" t="s">
        <v>102</v>
      </c>
      <c r="E74" s="178">
        <v>1</v>
      </c>
      <c r="F74" s="172">
        <f>IF($B74="","",SUMIFS('Daily Inward'!$G:$G,'Daily Inward'!$C:$C,$B74,'Daily Inward'!$E:$E,"Inventory"))</f>
        <v>0</v>
      </c>
      <c r="G74" s="44">
        <f>IF($B74="","",SUMIFS('Daily Issuance'!$G:$G,'Daily Issuance'!$C:$C,$B74,'Daily Issuance'!$E:$E,"Inventory"))</f>
        <v>0</v>
      </c>
      <c r="H74" s="44">
        <f t="shared" si="2"/>
        <v>1</v>
      </c>
      <c r="I74" s="33">
        <v>6500</v>
      </c>
      <c r="J74" s="34">
        <f t="shared" si="3"/>
        <v>6500</v>
      </c>
      <c r="K74" s="46"/>
    </row>
    <row r="75" spans="1:11" ht="23.1" customHeight="1">
      <c r="A75" s="170">
        <f>IF($B75="","",MAX($A$3:A74)+1)</f>
        <v>72</v>
      </c>
      <c r="B75" s="176">
        <v>2475</v>
      </c>
      <c r="C75" s="177" t="s">
        <v>177</v>
      </c>
      <c r="D75" s="279" t="s">
        <v>102</v>
      </c>
      <c r="E75" s="178">
        <v>5</v>
      </c>
      <c r="F75" s="172">
        <f>IF($B75="","",SUMIFS('Daily Inward'!$G:$G,'Daily Inward'!$C:$C,$B75,'Daily Inward'!$E:$E,"Inventory"))</f>
        <v>0</v>
      </c>
      <c r="G75" s="44">
        <f>IF($B75="","",SUMIFS('Daily Issuance'!$G:$G,'Daily Issuance'!$C:$C,$B75,'Daily Issuance'!$E:$E,"Inventory"))</f>
        <v>0</v>
      </c>
      <c r="H75" s="44">
        <f t="shared" si="2"/>
        <v>5</v>
      </c>
      <c r="I75" s="33">
        <v>1435</v>
      </c>
      <c r="J75" s="34">
        <f t="shared" si="3"/>
        <v>7175</v>
      </c>
      <c r="K75" s="46"/>
    </row>
    <row r="76" spans="1:11" ht="23.1" customHeight="1">
      <c r="A76" s="170">
        <f>IF($B76="","",MAX($A$3:A75)+1)</f>
        <v>73</v>
      </c>
      <c r="B76" s="176">
        <v>2487</v>
      </c>
      <c r="C76" s="177" t="s">
        <v>178</v>
      </c>
      <c r="D76" s="279" t="s">
        <v>102</v>
      </c>
      <c r="E76" s="178">
        <v>10</v>
      </c>
      <c r="F76" s="172">
        <f>IF($B76="","",SUMIFS('Daily Inward'!$G:$G,'Daily Inward'!$C:$C,$B76,'Daily Inward'!$E:$E,"Inventory"))</f>
        <v>0</v>
      </c>
      <c r="G76" s="44">
        <f>IF($B76="","",SUMIFS('Daily Issuance'!$G:$G,'Daily Issuance'!$C:$C,$B76,'Daily Issuance'!$E:$E,"Inventory"))</f>
        <v>0</v>
      </c>
      <c r="H76" s="44">
        <f t="shared" si="2"/>
        <v>10</v>
      </c>
      <c r="I76" s="33">
        <v>4183</v>
      </c>
      <c r="J76" s="34">
        <f t="shared" si="3"/>
        <v>41830</v>
      </c>
      <c r="K76" s="46"/>
    </row>
    <row r="77" spans="1:11" ht="23.1" customHeight="1">
      <c r="A77" s="170">
        <f>IF($B77="","",MAX($A$3:A76)+1)</f>
        <v>74</v>
      </c>
      <c r="B77" s="176">
        <v>2537</v>
      </c>
      <c r="C77" s="177" t="s">
        <v>179</v>
      </c>
      <c r="D77" s="279" t="s">
        <v>102</v>
      </c>
      <c r="E77" s="178">
        <v>2</v>
      </c>
      <c r="F77" s="172">
        <f>IF($B77="","",SUMIFS('Daily Inward'!$G:$G,'Daily Inward'!$C:$C,$B77,'Daily Inward'!$E:$E,"Inventory"))</f>
        <v>0</v>
      </c>
      <c r="G77" s="44">
        <f>IF($B77="","",SUMIFS('Daily Issuance'!$G:$G,'Daily Issuance'!$C:$C,$B77,'Daily Issuance'!$E:$E,"Inventory"))</f>
        <v>0</v>
      </c>
      <c r="H77" s="44">
        <f t="shared" si="2"/>
        <v>2</v>
      </c>
      <c r="I77" s="33">
        <v>39600</v>
      </c>
      <c r="J77" s="34">
        <f t="shared" si="3"/>
        <v>79200</v>
      </c>
      <c r="K77" s="46"/>
    </row>
    <row r="78" spans="1:11" ht="23.1" customHeight="1">
      <c r="A78" s="170">
        <f>IF($B78="","",MAX($A$3:A77)+1)</f>
        <v>75</v>
      </c>
      <c r="B78" s="176">
        <v>2589</v>
      </c>
      <c r="C78" s="177" t="s">
        <v>180</v>
      </c>
      <c r="D78" s="279" t="s">
        <v>102</v>
      </c>
      <c r="E78" s="178">
        <v>1</v>
      </c>
      <c r="F78" s="172">
        <f>IF($B78="","",SUMIFS('Daily Inward'!$G:$G,'Daily Inward'!$C:$C,$B78,'Daily Inward'!$E:$E,"Inventory"))</f>
        <v>0</v>
      </c>
      <c r="G78" s="44">
        <f>IF($B78="","",SUMIFS('Daily Issuance'!$G:$G,'Daily Issuance'!$C:$C,$B78,'Daily Issuance'!$E:$E,"Inventory"))</f>
        <v>0</v>
      </c>
      <c r="H78" s="44">
        <f t="shared" si="2"/>
        <v>1</v>
      </c>
      <c r="I78" s="33">
        <v>101500</v>
      </c>
      <c r="J78" s="34">
        <f t="shared" si="3"/>
        <v>101500</v>
      </c>
      <c r="K78" s="46"/>
    </row>
    <row r="79" spans="1:11" ht="23.1" customHeight="1">
      <c r="A79" s="170">
        <f>IF($B79="","",MAX($A$3:A78)+1)</f>
        <v>76</v>
      </c>
      <c r="B79" s="176">
        <v>2604</v>
      </c>
      <c r="C79" s="177" t="s">
        <v>181</v>
      </c>
      <c r="D79" s="279" t="s">
        <v>102</v>
      </c>
      <c r="E79" s="178">
        <v>1</v>
      </c>
      <c r="F79" s="172">
        <f>IF($B79="","",SUMIFS('Daily Inward'!$G:$G,'Daily Inward'!$C:$C,$B79,'Daily Inward'!$E:$E,"Inventory"))</f>
        <v>0</v>
      </c>
      <c r="G79" s="44">
        <f>IF($B79="","",SUMIFS('Daily Issuance'!$G:$G,'Daily Issuance'!$C:$C,$B79,'Daily Issuance'!$E:$E,"Inventory"))</f>
        <v>0</v>
      </c>
      <c r="H79" s="44">
        <f t="shared" si="2"/>
        <v>1</v>
      </c>
      <c r="I79" s="33">
        <v>118750</v>
      </c>
      <c r="J79" s="34">
        <f t="shared" si="3"/>
        <v>118750</v>
      </c>
      <c r="K79" s="46"/>
    </row>
    <row r="80" spans="1:11" ht="23.1" customHeight="1">
      <c r="A80" s="170">
        <f>IF($B80="","",MAX($A$3:A79)+1)</f>
        <v>77</v>
      </c>
      <c r="B80" s="176">
        <v>2605</v>
      </c>
      <c r="C80" s="177" t="s">
        <v>182</v>
      </c>
      <c r="D80" s="279" t="s">
        <v>102</v>
      </c>
      <c r="E80" s="178">
        <v>1</v>
      </c>
      <c r="F80" s="172">
        <f>IF($B80="","",SUMIFS('Daily Inward'!$G:$G,'Daily Inward'!$C:$C,$B80,'Daily Inward'!$E:$E,"Inventory"))</f>
        <v>0</v>
      </c>
      <c r="G80" s="44">
        <f>IF($B80="","",SUMIFS('Daily Issuance'!$G:$G,'Daily Issuance'!$C:$C,$B80,'Daily Issuance'!$E:$E,"Inventory"))</f>
        <v>0</v>
      </c>
      <c r="H80" s="44">
        <f t="shared" si="2"/>
        <v>1</v>
      </c>
      <c r="I80" s="33">
        <v>54000</v>
      </c>
      <c r="J80" s="34">
        <f t="shared" si="3"/>
        <v>54000</v>
      </c>
      <c r="K80" s="46"/>
    </row>
    <row r="81" spans="1:11" ht="23.1" customHeight="1">
      <c r="A81" s="170">
        <f>IF($B81="","",MAX($A$3:A80)+1)</f>
        <v>78</v>
      </c>
      <c r="B81" s="176">
        <v>2606</v>
      </c>
      <c r="C81" s="177" t="s">
        <v>183</v>
      </c>
      <c r="D81" s="279" t="s">
        <v>102</v>
      </c>
      <c r="E81" s="178">
        <v>1</v>
      </c>
      <c r="F81" s="172">
        <f>IF($B81="","",SUMIFS('Daily Inward'!$G:$G,'Daily Inward'!$C:$C,$B81,'Daily Inward'!$E:$E,"Inventory"))</f>
        <v>0</v>
      </c>
      <c r="G81" s="44">
        <f>IF($B81="","",SUMIFS('Daily Issuance'!$G:$G,'Daily Issuance'!$C:$C,$B81,'Daily Issuance'!$E:$E,"Inventory"))</f>
        <v>0</v>
      </c>
      <c r="H81" s="44">
        <f t="shared" si="2"/>
        <v>1</v>
      </c>
      <c r="I81" s="33">
        <v>5800</v>
      </c>
      <c r="J81" s="34">
        <f t="shared" si="3"/>
        <v>5800</v>
      </c>
      <c r="K81" s="46"/>
    </row>
    <row r="82" spans="1:11" ht="23.1" customHeight="1">
      <c r="A82" s="170">
        <f>IF($B82="","",MAX($A$3:A81)+1)</f>
        <v>79</v>
      </c>
      <c r="B82" s="176">
        <v>2607</v>
      </c>
      <c r="C82" s="177" t="s">
        <v>184</v>
      </c>
      <c r="D82" s="279" t="s">
        <v>102</v>
      </c>
      <c r="E82" s="178">
        <v>2</v>
      </c>
      <c r="F82" s="172">
        <f>IF($B82="","",SUMIFS('Daily Inward'!$G:$G,'Daily Inward'!$C:$C,$B82,'Daily Inward'!$E:$E,"Inventory"))</f>
        <v>0</v>
      </c>
      <c r="G82" s="44">
        <f>IF($B82="","",SUMIFS('Daily Issuance'!$G:$G,'Daily Issuance'!$C:$C,$B82,'Daily Issuance'!$E:$E,"Inventory"))</f>
        <v>0</v>
      </c>
      <c r="H82" s="44">
        <f t="shared" si="2"/>
        <v>2</v>
      </c>
      <c r="I82" s="33">
        <v>5800</v>
      </c>
      <c r="J82" s="34">
        <f t="shared" si="3"/>
        <v>11600</v>
      </c>
      <c r="K82" s="46"/>
    </row>
    <row r="83" spans="1:11" ht="23.1" customHeight="1">
      <c r="A83" s="170">
        <f>IF($B83="","",MAX($A$3:A82)+1)</f>
        <v>80</v>
      </c>
      <c r="B83" s="176">
        <v>2608</v>
      </c>
      <c r="C83" s="177" t="s">
        <v>185</v>
      </c>
      <c r="D83" s="279" t="s">
        <v>102</v>
      </c>
      <c r="E83" s="178">
        <v>1</v>
      </c>
      <c r="F83" s="172">
        <f>IF($B83="","",SUMIFS('Daily Inward'!$G:$G,'Daily Inward'!$C:$C,$B83,'Daily Inward'!$E:$E,"Inventory"))</f>
        <v>0</v>
      </c>
      <c r="G83" s="44">
        <f>IF($B83="","",SUMIFS('Daily Issuance'!$G:$G,'Daily Issuance'!$C:$C,$B83,'Daily Issuance'!$E:$E,"Inventory"))</f>
        <v>0</v>
      </c>
      <c r="H83" s="44">
        <f t="shared" si="2"/>
        <v>1</v>
      </c>
      <c r="I83" s="33">
        <v>34200</v>
      </c>
      <c r="J83" s="34">
        <f t="shared" si="3"/>
        <v>34200</v>
      </c>
      <c r="K83" s="46"/>
    </row>
    <row r="84" spans="1:11" ht="23.1" customHeight="1">
      <c r="A84" s="170">
        <f>IF($B84="","",MAX($A$3:A83)+1)</f>
        <v>81</v>
      </c>
      <c r="B84" s="176">
        <v>2611</v>
      </c>
      <c r="C84" s="177" t="s">
        <v>186</v>
      </c>
      <c r="D84" s="279" t="s">
        <v>102</v>
      </c>
      <c r="E84" s="178">
        <v>1</v>
      </c>
      <c r="F84" s="172">
        <f>IF($B84="","",SUMIFS('Daily Inward'!$G:$G,'Daily Inward'!$C:$C,$B84,'Daily Inward'!$E:$E,"Inventory"))</f>
        <v>0</v>
      </c>
      <c r="G84" s="44">
        <f>IF($B84="","",SUMIFS('Daily Issuance'!$G:$G,'Daily Issuance'!$C:$C,$B84,'Daily Issuance'!$E:$E,"Inventory"))</f>
        <v>0</v>
      </c>
      <c r="H84" s="44">
        <f t="shared" si="2"/>
        <v>1</v>
      </c>
      <c r="I84" s="33">
        <v>19800</v>
      </c>
      <c r="J84" s="34">
        <f t="shared" si="3"/>
        <v>19800</v>
      </c>
      <c r="K84" s="46"/>
    </row>
    <row r="85" spans="1:11" ht="23.1" customHeight="1">
      <c r="A85" s="170">
        <f>IF($B85="","",MAX($A$3:A84)+1)</f>
        <v>82</v>
      </c>
      <c r="B85" s="176">
        <v>2697</v>
      </c>
      <c r="C85" s="177" t="s">
        <v>187</v>
      </c>
      <c r="D85" s="279" t="s">
        <v>102</v>
      </c>
      <c r="E85" s="178">
        <v>37</v>
      </c>
      <c r="F85" s="172">
        <f>IF($B85="","",SUMIFS('Daily Inward'!$G:$G,'Daily Inward'!$C:$C,$B85,'Daily Inward'!$E:$E,"Inventory"))</f>
        <v>0</v>
      </c>
      <c r="G85" s="44">
        <f>IF($B85="","",SUMIFS('Daily Issuance'!$G:$G,'Daily Issuance'!$C:$C,$B85,'Daily Issuance'!$E:$E,"Inventory"))</f>
        <v>0</v>
      </c>
      <c r="H85" s="44">
        <f t="shared" si="2"/>
        <v>37</v>
      </c>
      <c r="I85" s="33">
        <v>420</v>
      </c>
      <c r="J85" s="34">
        <f t="shared" si="3"/>
        <v>15540</v>
      </c>
      <c r="K85" s="46"/>
    </row>
    <row r="86" spans="1:11" ht="23.1" customHeight="1">
      <c r="A86" s="170">
        <f>IF($B86="","",MAX($A$3:A85)+1)</f>
        <v>83</v>
      </c>
      <c r="B86" s="176">
        <v>2703</v>
      </c>
      <c r="C86" s="177" t="s">
        <v>188</v>
      </c>
      <c r="D86" s="279" t="s">
        <v>102</v>
      </c>
      <c r="E86" s="178">
        <v>3</v>
      </c>
      <c r="F86" s="172">
        <f>IF($B86="","",SUMIFS('Daily Inward'!$G:$G,'Daily Inward'!$C:$C,$B86,'Daily Inward'!$E:$E,"Inventory"))</f>
        <v>0</v>
      </c>
      <c r="G86" s="44">
        <f>IF($B86="","",SUMIFS('Daily Issuance'!$G:$G,'Daily Issuance'!$C:$C,$B86,'Daily Issuance'!$E:$E,"Inventory"))</f>
        <v>1</v>
      </c>
      <c r="H86" s="44">
        <f t="shared" si="2"/>
        <v>2</v>
      </c>
      <c r="I86" s="33">
        <v>3850</v>
      </c>
      <c r="J86" s="34">
        <f t="shared" si="3"/>
        <v>7700</v>
      </c>
      <c r="K86" s="46"/>
    </row>
    <row r="87" spans="1:11" ht="23.1" customHeight="1">
      <c r="A87" s="170">
        <f>IF($B87="","",MAX($A$3:A86)+1)</f>
        <v>84</v>
      </c>
      <c r="B87" s="176">
        <v>2704</v>
      </c>
      <c r="C87" s="177" t="s">
        <v>189</v>
      </c>
      <c r="D87" s="279" t="s">
        <v>102</v>
      </c>
      <c r="E87" s="178">
        <v>2</v>
      </c>
      <c r="F87" s="172">
        <f>IF($B87="","",SUMIFS('Daily Inward'!$G:$G,'Daily Inward'!$C:$C,$B87,'Daily Inward'!$E:$E,"Inventory"))</f>
        <v>0</v>
      </c>
      <c r="G87" s="44">
        <f>IF($B87="","",SUMIFS('Daily Issuance'!$G:$G,'Daily Issuance'!$C:$C,$B87,'Daily Issuance'!$E:$E,"Inventory"))</f>
        <v>0</v>
      </c>
      <c r="H87" s="44">
        <f t="shared" si="2"/>
        <v>2</v>
      </c>
      <c r="I87" s="33">
        <v>20160</v>
      </c>
      <c r="J87" s="34">
        <f t="shared" si="3"/>
        <v>40320</v>
      </c>
      <c r="K87" s="46"/>
    </row>
    <row r="88" spans="1:11" ht="23.1" customHeight="1">
      <c r="A88" s="170">
        <f>IF($B88="","",MAX($A$3:A87)+1)</f>
        <v>85</v>
      </c>
      <c r="B88" s="176">
        <v>2721</v>
      </c>
      <c r="C88" s="177" t="s">
        <v>190</v>
      </c>
      <c r="D88" s="279" t="s">
        <v>102</v>
      </c>
      <c r="E88" s="178">
        <v>1</v>
      </c>
      <c r="F88" s="172">
        <f>IF($B88="","",SUMIFS('Daily Inward'!$G:$G,'Daily Inward'!$C:$C,$B88,'Daily Inward'!$E:$E,"Inventory"))</f>
        <v>0</v>
      </c>
      <c r="G88" s="44">
        <f>IF($B88="","",SUMIFS('Daily Issuance'!$G:$G,'Daily Issuance'!$C:$C,$B88,'Daily Issuance'!$E:$E,"Inventory"))</f>
        <v>0</v>
      </c>
      <c r="H88" s="44">
        <f t="shared" si="2"/>
        <v>1</v>
      </c>
      <c r="I88" s="33">
        <v>14500</v>
      </c>
      <c r="J88" s="34">
        <f t="shared" si="3"/>
        <v>14500</v>
      </c>
      <c r="K88" s="46"/>
    </row>
    <row r="89" spans="1:11" ht="23.1" customHeight="1">
      <c r="A89" s="170">
        <f>IF($B89="","",MAX($A$3:A88)+1)</f>
        <v>86</v>
      </c>
      <c r="B89" s="176">
        <v>2722</v>
      </c>
      <c r="C89" s="177" t="s">
        <v>191</v>
      </c>
      <c r="D89" s="279" t="s">
        <v>102</v>
      </c>
      <c r="E89" s="178">
        <v>10</v>
      </c>
      <c r="F89" s="172">
        <f>IF($B89="","",SUMIFS('Daily Inward'!$G:$G,'Daily Inward'!$C:$C,$B89,'Daily Inward'!$E:$E,"Inventory"))</f>
        <v>0</v>
      </c>
      <c r="G89" s="44">
        <f>IF($B89="","",SUMIFS('Daily Issuance'!$G:$G,'Daily Issuance'!$C:$C,$B89,'Daily Issuance'!$E:$E,"Inventory"))</f>
        <v>3</v>
      </c>
      <c r="H89" s="44">
        <f t="shared" si="2"/>
        <v>7</v>
      </c>
      <c r="I89" s="33">
        <v>5500</v>
      </c>
      <c r="J89" s="34">
        <f t="shared" si="3"/>
        <v>38500</v>
      </c>
      <c r="K89" s="46"/>
    </row>
    <row r="90" spans="1:11" ht="23.1" customHeight="1">
      <c r="A90" s="170">
        <f>IF($B90="","",MAX($A$3:A89)+1)</f>
        <v>87</v>
      </c>
      <c r="B90" s="176">
        <v>2807</v>
      </c>
      <c r="C90" s="177" t="s">
        <v>192</v>
      </c>
      <c r="D90" s="279" t="s">
        <v>102</v>
      </c>
      <c r="E90" s="178">
        <v>4</v>
      </c>
      <c r="F90" s="172">
        <f>IF($B90="","",SUMIFS('Daily Inward'!$G:$G,'Daily Inward'!$C:$C,$B90,'Daily Inward'!$E:$E,"Inventory"))</f>
        <v>0</v>
      </c>
      <c r="G90" s="44">
        <f>IF($B90="","",SUMIFS('Daily Issuance'!$G:$G,'Daily Issuance'!$C:$C,$B90,'Daily Issuance'!$E:$E,"Inventory"))</f>
        <v>0</v>
      </c>
      <c r="H90" s="44">
        <f t="shared" si="2"/>
        <v>4</v>
      </c>
      <c r="I90" s="33">
        <v>850</v>
      </c>
      <c r="J90" s="34">
        <f t="shared" si="3"/>
        <v>3400</v>
      </c>
      <c r="K90" s="46"/>
    </row>
    <row r="91" spans="1:11" ht="23.1" customHeight="1">
      <c r="A91" s="170">
        <f>IF($B91="","",MAX($A$3:A90)+1)</f>
        <v>88</v>
      </c>
      <c r="B91" s="176">
        <v>2808</v>
      </c>
      <c r="C91" s="177" t="s">
        <v>193</v>
      </c>
      <c r="D91" s="279" t="s">
        <v>102</v>
      </c>
      <c r="E91" s="178">
        <v>2</v>
      </c>
      <c r="F91" s="172">
        <f>IF($B91="","",SUMIFS('Daily Inward'!$G:$G,'Daily Inward'!$C:$C,$B91,'Daily Inward'!$E:$E,"Inventory"))</f>
        <v>0</v>
      </c>
      <c r="G91" s="44">
        <f>IF($B91="","",SUMIFS('Daily Issuance'!$G:$G,'Daily Issuance'!$C:$C,$B91,'Daily Issuance'!$E:$E,"Inventory"))</f>
        <v>0</v>
      </c>
      <c r="H91" s="44">
        <f t="shared" si="2"/>
        <v>2</v>
      </c>
      <c r="I91" s="33">
        <v>1050</v>
      </c>
      <c r="J91" s="34">
        <f t="shared" si="3"/>
        <v>2100</v>
      </c>
      <c r="K91" s="46"/>
    </row>
    <row r="92" spans="1:11" ht="23.1" customHeight="1">
      <c r="A92" s="170">
        <f>IF($B92="","",MAX($A$3:A91)+1)</f>
        <v>89</v>
      </c>
      <c r="B92" s="176">
        <v>2871</v>
      </c>
      <c r="C92" s="177" t="s">
        <v>194</v>
      </c>
      <c r="D92" s="279" t="s">
        <v>102</v>
      </c>
      <c r="E92" s="178">
        <v>7</v>
      </c>
      <c r="F92" s="172">
        <f>IF($B92="","",SUMIFS('Daily Inward'!$G:$G,'Daily Inward'!$C:$C,$B92,'Daily Inward'!$E:$E,"Inventory"))</f>
        <v>0</v>
      </c>
      <c r="G92" s="44">
        <f>IF($B92="","",SUMIFS('Daily Issuance'!$G:$G,'Daily Issuance'!$C:$C,$B92,'Daily Issuance'!$E:$E,"Inventory"))</f>
        <v>0</v>
      </c>
      <c r="H92" s="44">
        <f t="shared" si="2"/>
        <v>7</v>
      </c>
      <c r="I92" s="33">
        <v>1350</v>
      </c>
      <c r="J92" s="34">
        <f t="shared" si="3"/>
        <v>9450</v>
      </c>
      <c r="K92" s="46"/>
    </row>
    <row r="93" spans="1:11" ht="23.1" customHeight="1">
      <c r="A93" s="170">
        <f>IF($B93="","",MAX($A$3:A92)+1)</f>
        <v>90</v>
      </c>
      <c r="B93" s="176">
        <v>2901</v>
      </c>
      <c r="C93" s="177" t="s">
        <v>195</v>
      </c>
      <c r="D93" s="279" t="s">
        <v>102</v>
      </c>
      <c r="E93" s="178">
        <v>1</v>
      </c>
      <c r="F93" s="172">
        <f>IF($B93="","",SUMIFS('Daily Inward'!$G:$G,'Daily Inward'!$C:$C,$B93,'Daily Inward'!$E:$E,"Inventory"))</f>
        <v>0</v>
      </c>
      <c r="G93" s="44">
        <f>IF($B93="","",SUMIFS('Daily Issuance'!$G:$G,'Daily Issuance'!$C:$C,$B93,'Daily Issuance'!$E:$E,"Inventory"))</f>
        <v>0</v>
      </c>
      <c r="H93" s="44">
        <f t="shared" si="2"/>
        <v>1</v>
      </c>
      <c r="I93" s="33">
        <v>13500</v>
      </c>
      <c r="J93" s="34">
        <f t="shared" si="3"/>
        <v>13500</v>
      </c>
      <c r="K93" s="46"/>
    </row>
    <row r="94" spans="1:11" ht="23.1" customHeight="1">
      <c r="A94" s="170">
        <f>IF($B94="","",MAX($A$3:A93)+1)</f>
        <v>91</v>
      </c>
      <c r="B94" s="176">
        <v>2902</v>
      </c>
      <c r="C94" s="177" t="s">
        <v>196</v>
      </c>
      <c r="D94" s="279" t="s">
        <v>102</v>
      </c>
      <c r="E94" s="178">
        <v>3</v>
      </c>
      <c r="F94" s="172">
        <f>IF($B94="","",SUMIFS('Daily Inward'!$G:$G,'Daily Inward'!$C:$C,$B94,'Daily Inward'!$E:$E,"Inventory"))</f>
        <v>0</v>
      </c>
      <c r="G94" s="44">
        <f>IF($B94="","",SUMIFS('Daily Issuance'!$G:$G,'Daily Issuance'!$C:$C,$B94,'Daily Issuance'!$E:$E,"Inventory"))</f>
        <v>0</v>
      </c>
      <c r="H94" s="44">
        <f t="shared" si="2"/>
        <v>3</v>
      </c>
      <c r="I94" s="33">
        <v>39500</v>
      </c>
      <c r="J94" s="34">
        <f t="shared" si="3"/>
        <v>118500</v>
      </c>
      <c r="K94" s="46"/>
    </row>
    <row r="95" spans="1:11" ht="23.1" customHeight="1">
      <c r="A95" s="170">
        <f>IF($B95="","",MAX($A$3:A94)+1)</f>
        <v>92</v>
      </c>
      <c r="B95" s="176">
        <v>2941</v>
      </c>
      <c r="C95" s="177" t="s">
        <v>197</v>
      </c>
      <c r="D95" s="279" t="s">
        <v>102</v>
      </c>
      <c r="E95" s="178">
        <v>8</v>
      </c>
      <c r="F95" s="172">
        <f>IF($B95="","",SUMIFS('Daily Inward'!$G:$G,'Daily Inward'!$C:$C,$B95,'Daily Inward'!$E:$E,"Inventory"))</f>
        <v>0</v>
      </c>
      <c r="G95" s="44">
        <f>IF($B95="","",SUMIFS('Daily Issuance'!$G:$G,'Daily Issuance'!$C:$C,$B95,'Daily Issuance'!$E:$E,"Inventory"))</f>
        <v>3</v>
      </c>
      <c r="H95" s="44">
        <f t="shared" si="2"/>
        <v>5</v>
      </c>
      <c r="I95" s="33">
        <v>900</v>
      </c>
      <c r="J95" s="34">
        <f t="shared" si="3"/>
        <v>4500</v>
      </c>
      <c r="K95" s="46"/>
    </row>
    <row r="96" spans="1:11" ht="23.1" customHeight="1">
      <c r="A96" s="170">
        <f>IF($B96="","",MAX($A$3:A95)+1)</f>
        <v>93</v>
      </c>
      <c r="B96" s="176">
        <v>2952</v>
      </c>
      <c r="C96" s="177" t="s">
        <v>198</v>
      </c>
      <c r="D96" s="279" t="s">
        <v>102</v>
      </c>
      <c r="E96" s="178">
        <v>1</v>
      </c>
      <c r="F96" s="172">
        <f>IF($B96="","",SUMIFS('Daily Inward'!$G:$G,'Daily Inward'!$C:$C,$B96,'Daily Inward'!$E:$E,"Inventory"))</f>
        <v>0</v>
      </c>
      <c r="G96" s="44">
        <f>IF($B96="","",SUMIFS('Daily Issuance'!$G:$G,'Daily Issuance'!$C:$C,$B96,'Daily Issuance'!$E:$E,"Inventory"))</f>
        <v>0</v>
      </c>
      <c r="H96" s="44">
        <f t="shared" si="2"/>
        <v>1</v>
      </c>
      <c r="I96" s="33">
        <v>6800</v>
      </c>
      <c r="J96" s="34">
        <f t="shared" si="3"/>
        <v>6800</v>
      </c>
      <c r="K96" s="46"/>
    </row>
    <row r="97" spans="1:11" ht="23.1" customHeight="1">
      <c r="A97" s="170">
        <f>IF($B97="","",MAX($A$3:A96)+1)</f>
        <v>94</v>
      </c>
      <c r="B97" s="176">
        <v>2952</v>
      </c>
      <c r="C97" s="177" t="s">
        <v>198</v>
      </c>
      <c r="D97" s="279" t="s">
        <v>102</v>
      </c>
      <c r="E97" s="178">
        <v>1</v>
      </c>
      <c r="F97" s="172">
        <f>IF($B97="","",SUMIFS('Daily Inward'!$G:$G,'Daily Inward'!$C:$C,$B97,'Daily Inward'!$E:$E,"Inventory"))</f>
        <v>0</v>
      </c>
      <c r="G97" s="44">
        <f>IF($B97="","",SUMIFS('Daily Issuance'!$G:$G,'Daily Issuance'!$C:$C,$B97,'Daily Issuance'!$E:$E,"Inventory"))</f>
        <v>0</v>
      </c>
      <c r="H97" s="44">
        <f t="shared" si="2"/>
        <v>1</v>
      </c>
      <c r="I97" s="33">
        <v>6800</v>
      </c>
      <c r="J97" s="34">
        <f t="shared" si="3"/>
        <v>6800</v>
      </c>
      <c r="K97" s="46"/>
    </row>
    <row r="98" spans="1:11" ht="23.1" customHeight="1">
      <c r="A98" s="170">
        <f>IF($B98="","",MAX($A$3:A97)+1)</f>
        <v>95</v>
      </c>
      <c r="B98" s="176">
        <v>2953</v>
      </c>
      <c r="C98" s="177" t="s">
        <v>199</v>
      </c>
      <c r="D98" s="279" t="s">
        <v>102</v>
      </c>
      <c r="E98" s="178">
        <v>4</v>
      </c>
      <c r="F98" s="172">
        <f>IF($B98="","",SUMIFS('Daily Inward'!$G:$G,'Daily Inward'!$C:$C,$B98,'Daily Inward'!$E:$E,"Inventory"))</f>
        <v>0</v>
      </c>
      <c r="G98" s="44">
        <f>IF($B98="","",SUMIFS('Daily Issuance'!$G:$G,'Daily Issuance'!$C:$C,$B98,'Daily Issuance'!$E:$E,"Inventory"))</f>
        <v>0</v>
      </c>
      <c r="H98" s="44">
        <f t="shared" si="2"/>
        <v>4</v>
      </c>
      <c r="I98" s="33">
        <v>9500</v>
      </c>
      <c r="J98" s="34">
        <f t="shared" si="3"/>
        <v>38000</v>
      </c>
      <c r="K98" s="46"/>
    </row>
    <row r="99" spans="1:11" ht="23.1" customHeight="1">
      <c r="A99" s="170">
        <f>IF($B99="","",MAX($A$3:A98)+1)</f>
        <v>96</v>
      </c>
      <c r="B99" s="176">
        <v>4493</v>
      </c>
      <c r="C99" s="177" t="s">
        <v>200</v>
      </c>
      <c r="D99" s="279" t="s">
        <v>102</v>
      </c>
      <c r="E99" s="178">
        <v>1</v>
      </c>
      <c r="F99" s="172">
        <f>IF($B99="","",SUMIFS('Daily Inward'!$G:$G,'Daily Inward'!$C:$C,$B99,'Daily Inward'!$E:$E,"Inventory"))</f>
        <v>0</v>
      </c>
      <c r="G99" s="44">
        <f>IF($B99="","",SUMIFS('Daily Issuance'!$G:$G,'Daily Issuance'!$C:$C,$B99,'Daily Issuance'!$E:$E,"Inventory"))</f>
        <v>0</v>
      </c>
      <c r="H99" s="44">
        <f t="shared" si="2"/>
        <v>1</v>
      </c>
      <c r="I99" s="33">
        <v>10900</v>
      </c>
      <c r="J99" s="34">
        <f t="shared" si="3"/>
        <v>10900</v>
      </c>
      <c r="K99" s="46"/>
    </row>
    <row r="100" spans="1:11" ht="23.1" customHeight="1">
      <c r="A100" s="170">
        <f>IF($B100="","",MAX($A$3:A99)+1)</f>
        <v>97</v>
      </c>
      <c r="B100" s="176">
        <v>4496</v>
      </c>
      <c r="C100" s="177" t="s">
        <v>201</v>
      </c>
      <c r="D100" s="279" t="s">
        <v>102</v>
      </c>
      <c r="E100" s="178">
        <v>9</v>
      </c>
      <c r="F100" s="172">
        <f>IF($B100="","",SUMIFS('Daily Inward'!$G:$G,'Daily Inward'!$C:$C,$B100,'Daily Inward'!$E:$E,"Inventory"))</f>
        <v>0</v>
      </c>
      <c r="G100" s="44">
        <f>IF($B100="","",SUMIFS('Daily Issuance'!$G:$G,'Daily Issuance'!$C:$C,$B100,'Daily Issuance'!$E:$E,"Inventory"))</f>
        <v>0</v>
      </c>
      <c r="H100" s="44">
        <f t="shared" si="2"/>
        <v>9</v>
      </c>
      <c r="I100" s="33">
        <v>780</v>
      </c>
      <c r="J100" s="34">
        <f t="shared" si="3"/>
        <v>7020</v>
      </c>
      <c r="K100" s="46"/>
    </row>
    <row r="101" spans="1:11" ht="23.1" customHeight="1">
      <c r="A101" s="170">
        <f>IF($B101="","",MAX($A$3:A100)+1)</f>
        <v>98</v>
      </c>
      <c r="B101" s="176">
        <v>4501</v>
      </c>
      <c r="C101" s="177" t="s">
        <v>202</v>
      </c>
      <c r="D101" s="279" t="s">
        <v>102</v>
      </c>
      <c r="E101" s="178">
        <v>0</v>
      </c>
      <c r="F101" s="172">
        <f>IF($B101="","",SUMIFS('Daily Inward'!$G:$G,'Daily Inward'!$C:$C,$B101,'Daily Inward'!$E:$E,"Inventory"))</f>
        <v>0</v>
      </c>
      <c r="G101" s="44">
        <f>IF($B101="","",SUMIFS('Daily Issuance'!$G:$G,'Daily Issuance'!$C:$C,$B101,'Daily Issuance'!$E:$E,"Inventory"))</f>
        <v>0</v>
      </c>
      <c r="H101" s="44">
        <f t="shared" si="2"/>
        <v>0</v>
      </c>
      <c r="I101" s="33">
        <v>5888</v>
      </c>
      <c r="J101" s="34">
        <f t="shared" si="3"/>
        <v>0</v>
      </c>
      <c r="K101" s="46"/>
    </row>
    <row r="102" spans="1:11" ht="23.1" customHeight="1">
      <c r="A102" s="170">
        <f>IF($B102="","",MAX($A$3:A101)+1)</f>
        <v>99</v>
      </c>
      <c r="B102" s="176">
        <v>4826</v>
      </c>
      <c r="C102" s="177" t="s">
        <v>203</v>
      </c>
      <c r="D102" s="279" t="s">
        <v>112</v>
      </c>
      <c r="E102" s="178">
        <v>2</v>
      </c>
      <c r="F102" s="172">
        <f>IF($B102="","",SUMIFS('Daily Inward'!$G:$G,'Daily Inward'!$C:$C,$B102,'Daily Inward'!$E:$E,"Inventory"))</f>
        <v>0</v>
      </c>
      <c r="G102" s="44">
        <f>IF($B102="","",SUMIFS('Daily Issuance'!$G:$G,'Daily Issuance'!$C:$C,$B102,'Daily Issuance'!$E:$E,"Inventory"))</f>
        <v>0</v>
      </c>
      <c r="H102" s="44">
        <f t="shared" si="2"/>
        <v>2</v>
      </c>
      <c r="I102" s="33">
        <v>16700</v>
      </c>
      <c r="J102" s="34">
        <f t="shared" si="3"/>
        <v>33400</v>
      </c>
      <c r="K102" s="46"/>
    </row>
    <row r="103" spans="1:11" ht="23.1" customHeight="1">
      <c r="A103" s="170">
        <f>IF($B103="","",MAX($A$3:A102)+1)</f>
        <v>100</v>
      </c>
      <c r="B103" s="176">
        <v>5176</v>
      </c>
      <c r="C103" s="177" t="s">
        <v>204</v>
      </c>
      <c r="D103" s="279" t="s">
        <v>112</v>
      </c>
      <c r="E103" s="178">
        <v>12</v>
      </c>
      <c r="F103" s="172">
        <f>IF($B103="","",SUMIFS('Daily Inward'!$G:$G,'Daily Inward'!$C:$C,$B103,'Daily Inward'!$E:$E,"Inventory"))</f>
        <v>0</v>
      </c>
      <c r="G103" s="44">
        <f>IF($B103="","",SUMIFS('Daily Issuance'!$G:$G,'Daily Issuance'!$C:$C,$B103,'Daily Issuance'!$E:$E,"Inventory"))</f>
        <v>0</v>
      </c>
      <c r="H103" s="44">
        <f t="shared" si="2"/>
        <v>12</v>
      </c>
      <c r="I103" s="33">
        <v>1875</v>
      </c>
      <c r="J103" s="34">
        <f t="shared" si="3"/>
        <v>22500</v>
      </c>
      <c r="K103" s="46"/>
    </row>
    <row r="104" spans="1:11" ht="23.1" customHeight="1">
      <c r="A104" s="170">
        <f>IF($B104="","",MAX($A$3:A103)+1)</f>
        <v>101</v>
      </c>
      <c r="B104" s="176">
        <v>5706</v>
      </c>
      <c r="C104" s="177" t="s">
        <v>205</v>
      </c>
      <c r="D104" s="279" t="s">
        <v>112</v>
      </c>
      <c r="E104" s="178">
        <v>0</v>
      </c>
      <c r="F104" s="172">
        <f>IF($B104="","",SUMIFS('Daily Inward'!$G:$G,'Daily Inward'!$C:$C,$B104,'Daily Inward'!$E:$E,"Inventory"))</f>
        <v>0</v>
      </c>
      <c r="G104" s="44">
        <f>IF($B104="","",SUMIFS('Daily Issuance'!$G:$G,'Daily Issuance'!$C:$C,$B104,'Daily Issuance'!$E:$E,"Inventory"))</f>
        <v>0</v>
      </c>
      <c r="H104" s="44">
        <f t="shared" si="2"/>
        <v>0</v>
      </c>
      <c r="I104" s="33">
        <v>6500</v>
      </c>
      <c r="J104" s="34">
        <f t="shared" si="3"/>
        <v>0</v>
      </c>
      <c r="K104" s="46"/>
    </row>
    <row r="105" spans="1:11" ht="23.1" customHeight="1">
      <c r="A105" s="170">
        <f>IF($B105="","",MAX($A$3:A104)+1)</f>
        <v>102</v>
      </c>
      <c r="B105" s="176">
        <v>5795</v>
      </c>
      <c r="C105" s="177" t="s">
        <v>206</v>
      </c>
      <c r="D105" s="279" t="s">
        <v>112</v>
      </c>
      <c r="E105" s="178">
        <v>10</v>
      </c>
      <c r="F105" s="172">
        <f>IF($B105="","",SUMIFS('Daily Inward'!$G:$G,'Daily Inward'!$C:$C,$B105,'Daily Inward'!$E:$E,"Inventory"))</f>
        <v>0</v>
      </c>
      <c r="G105" s="44">
        <f>IF($B105="","",SUMIFS('Daily Issuance'!$G:$G,'Daily Issuance'!$C:$C,$B105,'Daily Issuance'!$E:$E,"Inventory"))</f>
        <v>0</v>
      </c>
      <c r="H105" s="44">
        <f t="shared" si="2"/>
        <v>10</v>
      </c>
      <c r="I105" s="33">
        <v>1950</v>
      </c>
      <c r="J105" s="34">
        <f t="shared" si="3"/>
        <v>19500</v>
      </c>
      <c r="K105" s="46"/>
    </row>
    <row r="106" spans="1:11" ht="23.1" customHeight="1">
      <c r="A106" s="170">
        <f>IF($B106="","",MAX($A$3:A105)+1)</f>
        <v>103</v>
      </c>
      <c r="B106" s="176">
        <v>5861</v>
      </c>
      <c r="C106" s="177" t="s">
        <v>207</v>
      </c>
      <c r="D106" s="279" t="s">
        <v>112</v>
      </c>
      <c r="E106" s="178">
        <v>28</v>
      </c>
      <c r="F106" s="172">
        <f>IF($B106="","",SUMIFS('Daily Inward'!$G:$G,'Daily Inward'!$C:$C,$B106,'Daily Inward'!$E:$E,"Inventory"))</f>
        <v>0</v>
      </c>
      <c r="G106" s="44">
        <f>IF($B106="","",SUMIFS('Daily Issuance'!$G:$G,'Daily Issuance'!$C:$C,$B106,'Daily Issuance'!$E:$E,"Inventory"))</f>
        <v>0</v>
      </c>
      <c r="H106" s="44">
        <f t="shared" si="2"/>
        <v>28</v>
      </c>
      <c r="I106" s="33">
        <v>60</v>
      </c>
      <c r="J106" s="34">
        <f t="shared" si="3"/>
        <v>1680</v>
      </c>
      <c r="K106" s="46"/>
    </row>
    <row r="107" spans="1:11" ht="23.1" customHeight="1">
      <c r="A107" s="170">
        <f>IF($B107="","",MAX($A$3:A106)+1)</f>
        <v>104</v>
      </c>
      <c r="B107" s="176">
        <v>6680</v>
      </c>
      <c r="C107" s="177" t="s">
        <v>208</v>
      </c>
      <c r="D107" s="279" t="s">
        <v>112</v>
      </c>
      <c r="E107" s="178">
        <v>6</v>
      </c>
      <c r="F107" s="172">
        <f>IF($B107="","",SUMIFS('Daily Inward'!$G:$G,'Daily Inward'!$C:$C,$B107,'Daily Inward'!$E:$E,"Inventory"))</f>
        <v>2</v>
      </c>
      <c r="G107" s="44">
        <f>IF($B107="","",SUMIFS('Daily Issuance'!$G:$G,'Daily Issuance'!$C:$C,$B107,'Daily Issuance'!$E:$E,"Inventory"))</f>
        <v>5</v>
      </c>
      <c r="H107" s="44">
        <f t="shared" si="2"/>
        <v>3</v>
      </c>
      <c r="I107" s="33">
        <v>5500</v>
      </c>
      <c r="J107" s="34">
        <f t="shared" si="3"/>
        <v>16500</v>
      </c>
      <c r="K107" s="46"/>
    </row>
    <row r="108" spans="1:11" ht="23.1" customHeight="1">
      <c r="A108" s="170">
        <f>IF($B108="","",MAX($A$3:A107)+1)</f>
        <v>105</v>
      </c>
      <c r="B108" s="176">
        <v>7094</v>
      </c>
      <c r="C108" s="177" t="s">
        <v>209</v>
      </c>
      <c r="D108" s="279" t="s">
        <v>112</v>
      </c>
      <c r="E108" s="178">
        <v>4</v>
      </c>
      <c r="F108" s="172">
        <f>IF($B108="","",SUMIFS('Daily Inward'!$G:$G,'Daily Inward'!$C:$C,$B108,'Daily Inward'!$E:$E,"Inventory"))</f>
        <v>0</v>
      </c>
      <c r="G108" s="44">
        <f>IF($B108="","",SUMIFS('Daily Issuance'!$G:$G,'Daily Issuance'!$C:$C,$B108,'Daily Issuance'!$E:$E,"Inventory"))</f>
        <v>0</v>
      </c>
      <c r="H108" s="44">
        <f t="shared" si="2"/>
        <v>4</v>
      </c>
      <c r="I108" s="33">
        <v>16600</v>
      </c>
      <c r="J108" s="34">
        <f t="shared" si="3"/>
        <v>66400</v>
      </c>
      <c r="K108" s="46"/>
    </row>
    <row r="109" spans="1:11" ht="23.1" customHeight="1">
      <c r="A109" s="170">
        <f>IF($B109="","",MAX($A$3:A108)+1)</f>
        <v>106</v>
      </c>
      <c r="B109" s="176">
        <v>7352</v>
      </c>
      <c r="C109" s="177" t="s">
        <v>210</v>
      </c>
      <c r="D109" s="279" t="s">
        <v>112</v>
      </c>
      <c r="E109" s="178">
        <v>1</v>
      </c>
      <c r="F109" s="172">
        <f>IF($B109="","",SUMIFS('Daily Inward'!$G:$G,'Daily Inward'!$C:$C,$B109,'Daily Inward'!$E:$E,"Inventory"))</f>
        <v>0</v>
      </c>
      <c r="G109" s="44">
        <f>IF($B109="","",SUMIFS('Daily Issuance'!$G:$G,'Daily Issuance'!$C:$C,$B109,'Daily Issuance'!$E:$E,"Inventory"))</f>
        <v>0</v>
      </c>
      <c r="H109" s="44">
        <f t="shared" si="2"/>
        <v>1</v>
      </c>
      <c r="I109" s="33">
        <v>28500</v>
      </c>
      <c r="J109" s="34">
        <f t="shared" si="3"/>
        <v>28500</v>
      </c>
      <c r="K109" s="46"/>
    </row>
    <row r="110" spans="1:11" ht="23.1" customHeight="1">
      <c r="A110" s="170">
        <f>IF($B110="","",MAX($A$3:A109)+1)</f>
        <v>107</v>
      </c>
      <c r="B110" s="176">
        <v>7386</v>
      </c>
      <c r="C110" s="177" t="s">
        <v>211</v>
      </c>
      <c r="D110" s="279" t="s">
        <v>112</v>
      </c>
      <c r="E110" s="178">
        <v>5</v>
      </c>
      <c r="F110" s="172">
        <f>IF($B110="","",SUMIFS('Daily Inward'!$G:$G,'Daily Inward'!$C:$C,$B110,'Daily Inward'!$E:$E,"Inventory"))</f>
        <v>0</v>
      </c>
      <c r="G110" s="44">
        <f>IF($B110="","",SUMIFS('Daily Issuance'!$G:$G,'Daily Issuance'!$C:$C,$B110,'Daily Issuance'!$E:$E,"Inventory"))</f>
        <v>3</v>
      </c>
      <c r="H110" s="44">
        <f t="shared" si="2"/>
        <v>2</v>
      </c>
      <c r="I110" s="33">
        <v>1950</v>
      </c>
      <c r="J110" s="34">
        <f t="shared" si="3"/>
        <v>3900</v>
      </c>
      <c r="K110" s="46"/>
    </row>
    <row r="111" spans="1:11" ht="23.1" customHeight="1">
      <c r="A111" s="170">
        <f>IF($B111="","",MAX($A$3:A110)+1)</f>
        <v>108</v>
      </c>
      <c r="B111" s="176">
        <v>7518</v>
      </c>
      <c r="C111" s="177" t="s">
        <v>212</v>
      </c>
      <c r="D111" s="279" t="s">
        <v>112</v>
      </c>
      <c r="E111" s="178">
        <v>13</v>
      </c>
      <c r="F111" s="172">
        <f>IF($B111="","",SUMIFS('Daily Inward'!$G:$G,'Daily Inward'!$C:$C,$B111,'Daily Inward'!$E:$E,"Inventory"))</f>
        <v>0</v>
      </c>
      <c r="G111" s="44">
        <f>IF($B111="","",SUMIFS('Daily Issuance'!$G:$G,'Daily Issuance'!$C:$C,$B111,'Daily Issuance'!$E:$E,"Inventory"))</f>
        <v>2</v>
      </c>
      <c r="H111" s="44">
        <f t="shared" si="2"/>
        <v>11</v>
      </c>
      <c r="I111" s="33">
        <v>625</v>
      </c>
      <c r="J111" s="34">
        <f t="shared" si="3"/>
        <v>6875</v>
      </c>
      <c r="K111" s="46"/>
    </row>
    <row r="112" spans="1:11" ht="23.1" customHeight="1">
      <c r="A112" s="170">
        <f>IF($B112="","",MAX($A$3:A111)+1)</f>
        <v>109</v>
      </c>
      <c r="B112" s="176">
        <v>7614</v>
      </c>
      <c r="C112" s="177" t="s">
        <v>213</v>
      </c>
      <c r="D112" s="279" t="s">
        <v>112</v>
      </c>
      <c r="E112" s="178">
        <v>19</v>
      </c>
      <c r="F112" s="172">
        <f>IF($B112="","",SUMIFS('Daily Inward'!$G:$G,'Daily Inward'!$C:$C,$B112,'Daily Inward'!$E:$E,"Inventory"))</f>
        <v>0</v>
      </c>
      <c r="G112" s="44">
        <f>IF($B112="","",SUMIFS('Daily Issuance'!$G:$G,'Daily Issuance'!$C:$C,$B112,'Daily Issuance'!$E:$E,"Inventory"))</f>
        <v>0</v>
      </c>
      <c r="H112" s="44">
        <f t="shared" si="2"/>
        <v>19</v>
      </c>
      <c r="I112" s="33">
        <v>696</v>
      </c>
      <c r="J112" s="34">
        <f t="shared" si="3"/>
        <v>13224</v>
      </c>
      <c r="K112" s="46"/>
    </row>
    <row r="113" spans="1:11" ht="23.1" customHeight="1">
      <c r="A113" s="170">
        <f>IF($B113="","",MAX($A$3:A112)+1)</f>
        <v>110</v>
      </c>
      <c r="B113" s="176">
        <v>7737</v>
      </c>
      <c r="C113" s="177" t="s">
        <v>214</v>
      </c>
      <c r="D113" s="279" t="s">
        <v>112</v>
      </c>
      <c r="E113" s="178">
        <v>1</v>
      </c>
      <c r="F113" s="172">
        <f>IF($B113="","",SUMIFS('Daily Inward'!$G:$G,'Daily Inward'!$C:$C,$B113,'Daily Inward'!$E:$E,"Inventory"))</f>
        <v>0</v>
      </c>
      <c r="G113" s="44">
        <f>IF($B113="","",SUMIFS('Daily Issuance'!$G:$G,'Daily Issuance'!$C:$C,$B113,'Daily Issuance'!$E:$E,"Inventory"))</f>
        <v>0</v>
      </c>
      <c r="H113" s="44">
        <f t="shared" si="2"/>
        <v>1</v>
      </c>
      <c r="I113" s="33">
        <v>2960</v>
      </c>
      <c r="J113" s="34">
        <f t="shared" si="3"/>
        <v>2960</v>
      </c>
      <c r="K113" s="46"/>
    </row>
    <row r="114" spans="1:11" ht="23.1" customHeight="1">
      <c r="A114" s="170">
        <f>IF($B114="","",MAX($A$3:A113)+1)</f>
        <v>111</v>
      </c>
      <c r="B114" s="176">
        <v>8032</v>
      </c>
      <c r="C114" s="177" t="s">
        <v>215</v>
      </c>
      <c r="D114" s="279" t="s">
        <v>112</v>
      </c>
      <c r="E114" s="178">
        <v>2</v>
      </c>
      <c r="F114" s="172">
        <f>IF($B114="","",SUMIFS('Daily Inward'!$G:$G,'Daily Inward'!$C:$C,$B114,'Daily Inward'!$E:$E,"Inventory"))</f>
        <v>0</v>
      </c>
      <c r="G114" s="44">
        <f>IF($B114="","",SUMIFS('Daily Issuance'!$G:$G,'Daily Issuance'!$C:$C,$B114,'Daily Issuance'!$E:$E,"Inventory"))</f>
        <v>1</v>
      </c>
      <c r="H114" s="44">
        <f t="shared" si="2"/>
        <v>1</v>
      </c>
      <c r="I114" s="33">
        <v>6500</v>
      </c>
      <c r="J114" s="34">
        <f t="shared" si="3"/>
        <v>6500</v>
      </c>
      <c r="K114" s="46"/>
    </row>
    <row r="115" spans="1:11" ht="23.1" customHeight="1">
      <c r="A115" s="170">
        <f>IF($B115="","",MAX($A$3:A114)+1)</f>
        <v>112</v>
      </c>
      <c r="B115" s="176">
        <v>8178</v>
      </c>
      <c r="C115" s="177" t="s">
        <v>216</v>
      </c>
      <c r="D115" s="279" t="s">
        <v>112</v>
      </c>
      <c r="E115" s="178">
        <v>4</v>
      </c>
      <c r="F115" s="172">
        <f>IF($B115="","",SUMIFS('Daily Inward'!$G:$G,'Daily Inward'!$C:$C,$B115,'Daily Inward'!$E:$E,"Inventory"))</f>
        <v>0</v>
      </c>
      <c r="G115" s="44">
        <f>IF($B115="","",SUMIFS('Daily Issuance'!$G:$G,'Daily Issuance'!$C:$C,$B115,'Daily Issuance'!$E:$E,"Inventory"))</f>
        <v>0</v>
      </c>
      <c r="H115" s="44">
        <f t="shared" si="2"/>
        <v>4</v>
      </c>
      <c r="I115" s="33">
        <v>4975</v>
      </c>
      <c r="J115" s="34">
        <f t="shared" si="3"/>
        <v>19900</v>
      </c>
      <c r="K115" s="46"/>
    </row>
    <row r="116" spans="1:11" ht="23.1" customHeight="1">
      <c r="A116" s="170">
        <f>IF($B116="","",MAX($A$3:A115)+1)</f>
        <v>113</v>
      </c>
      <c r="B116" s="176">
        <v>8238</v>
      </c>
      <c r="C116" s="177" t="s">
        <v>217</v>
      </c>
      <c r="D116" s="279" t="s">
        <v>112</v>
      </c>
      <c r="E116" s="178">
        <v>1</v>
      </c>
      <c r="F116" s="172">
        <f>IF($B116="","",SUMIFS('Daily Inward'!$G:$G,'Daily Inward'!$C:$C,$B116,'Daily Inward'!$E:$E,"Inventory"))</f>
        <v>0</v>
      </c>
      <c r="G116" s="44">
        <f>IF($B116="","",SUMIFS('Daily Issuance'!$G:$G,'Daily Issuance'!$C:$C,$B116,'Daily Issuance'!$E:$E,"Inventory"))</f>
        <v>0</v>
      </c>
      <c r="H116" s="44">
        <f t="shared" si="2"/>
        <v>1</v>
      </c>
      <c r="I116" s="33">
        <v>49900</v>
      </c>
      <c r="J116" s="34">
        <f t="shared" si="3"/>
        <v>49900</v>
      </c>
      <c r="K116" s="46"/>
    </row>
    <row r="117" spans="1:11" ht="23.1" customHeight="1">
      <c r="A117" s="170">
        <f>IF($B117="","",MAX($A$3:A116)+1)</f>
        <v>114</v>
      </c>
      <c r="B117" s="176">
        <v>8361</v>
      </c>
      <c r="C117" s="177" t="s">
        <v>218</v>
      </c>
      <c r="D117" s="279" t="s">
        <v>112</v>
      </c>
      <c r="E117" s="178">
        <v>2</v>
      </c>
      <c r="F117" s="172">
        <f>IF($B117="","",SUMIFS('Daily Inward'!$G:$G,'Daily Inward'!$C:$C,$B117,'Daily Inward'!$E:$E,"Inventory"))</f>
        <v>0</v>
      </c>
      <c r="G117" s="44">
        <f>IF($B117="","",SUMIFS('Daily Issuance'!$G:$G,'Daily Issuance'!$C:$C,$B117,'Daily Issuance'!$E:$E,"Inventory"))</f>
        <v>0</v>
      </c>
      <c r="H117" s="44">
        <f t="shared" si="2"/>
        <v>2</v>
      </c>
      <c r="I117" s="33">
        <v>4300</v>
      </c>
      <c r="J117" s="34">
        <f t="shared" si="3"/>
        <v>8600</v>
      </c>
      <c r="K117" s="46"/>
    </row>
    <row r="118" spans="1:11" ht="23.1" customHeight="1">
      <c r="A118" s="170">
        <f>IF($B118="","",MAX($A$3:A117)+1)</f>
        <v>115</v>
      </c>
      <c r="B118" s="176">
        <v>8386</v>
      </c>
      <c r="C118" s="177" t="s">
        <v>219</v>
      </c>
      <c r="D118" s="279" t="s">
        <v>112</v>
      </c>
      <c r="E118" s="178">
        <v>2</v>
      </c>
      <c r="F118" s="172">
        <f>IF($B118="","",SUMIFS('Daily Inward'!$G:$G,'Daily Inward'!$C:$C,$B118,'Daily Inward'!$E:$E,"Inventory"))</f>
        <v>0</v>
      </c>
      <c r="G118" s="44">
        <f>IF($B118="","",SUMIFS('Daily Issuance'!$G:$G,'Daily Issuance'!$C:$C,$B118,'Daily Issuance'!$E:$E,"Inventory"))</f>
        <v>1</v>
      </c>
      <c r="H118" s="44">
        <f t="shared" si="2"/>
        <v>1</v>
      </c>
      <c r="I118" s="33">
        <v>4100</v>
      </c>
      <c r="J118" s="34">
        <f t="shared" si="3"/>
        <v>4100</v>
      </c>
      <c r="K118" s="46"/>
    </row>
    <row r="119" spans="1:11" ht="23.1" customHeight="1">
      <c r="A119" s="170">
        <f>IF($B119="","",MAX($A$3:A118)+1)</f>
        <v>116</v>
      </c>
      <c r="B119" s="176">
        <v>8407</v>
      </c>
      <c r="C119" s="177" t="s">
        <v>220</v>
      </c>
      <c r="D119" s="279" t="s">
        <v>112</v>
      </c>
      <c r="E119" s="178">
        <v>12</v>
      </c>
      <c r="F119" s="172">
        <f>IF($B119="","",SUMIFS('Daily Inward'!$G:$G,'Daily Inward'!$C:$C,$B119,'Daily Inward'!$E:$E,"Inventory"))</f>
        <v>0</v>
      </c>
      <c r="G119" s="44">
        <f>IF($B119="","",SUMIFS('Daily Issuance'!$G:$G,'Daily Issuance'!$C:$C,$B119,'Daily Issuance'!$E:$E,"Inventory"))</f>
        <v>0</v>
      </c>
      <c r="H119" s="44">
        <f t="shared" si="2"/>
        <v>12</v>
      </c>
      <c r="I119" s="33">
        <v>360</v>
      </c>
      <c r="J119" s="34">
        <f t="shared" si="3"/>
        <v>4320</v>
      </c>
      <c r="K119" s="46"/>
    </row>
    <row r="120" spans="1:11" ht="23.1" customHeight="1">
      <c r="A120" s="170">
        <f>IF($B120="","",MAX($A$3:A119)+1)</f>
        <v>117</v>
      </c>
      <c r="B120" s="176">
        <v>8924</v>
      </c>
      <c r="C120" s="177" t="s">
        <v>221</v>
      </c>
      <c r="D120" s="279" t="s">
        <v>112</v>
      </c>
      <c r="E120" s="178">
        <v>14</v>
      </c>
      <c r="F120" s="172">
        <f>IF($B120="","",SUMIFS('Daily Inward'!$G:$G,'Daily Inward'!$C:$C,$B120,'Daily Inward'!$E:$E,"Inventory"))</f>
        <v>0</v>
      </c>
      <c r="G120" s="44">
        <f>IF($B120="","",SUMIFS('Daily Issuance'!$G:$G,'Daily Issuance'!$C:$C,$B120,'Daily Issuance'!$E:$E,"Inventory"))</f>
        <v>0</v>
      </c>
      <c r="H120" s="44">
        <f t="shared" si="2"/>
        <v>14</v>
      </c>
      <c r="I120" s="33">
        <v>900</v>
      </c>
      <c r="J120" s="34">
        <f t="shared" si="3"/>
        <v>12600</v>
      </c>
      <c r="K120" s="46"/>
    </row>
    <row r="121" spans="1:11" ht="23.1" customHeight="1">
      <c r="A121" s="170">
        <f>IF($B121="","",MAX($A$3:A120)+1)</f>
        <v>118</v>
      </c>
      <c r="B121" s="176">
        <v>8994</v>
      </c>
      <c r="C121" s="177" t="s">
        <v>222</v>
      </c>
      <c r="D121" s="279" t="s">
        <v>112</v>
      </c>
      <c r="E121" s="178">
        <v>19</v>
      </c>
      <c r="F121" s="172">
        <f>IF($B121="","",SUMIFS('Daily Inward'!$G:$G,'Daily Inward'!$C:$C,$B121,'Daily Inward'!$E:$E,"Inventory"))</f>
        <v>0</v>
      </c>
      <c r="G121" s="44">
        <f>IF($B121="","",SUMIFS('Daily Issuance'!$G:$G,'Daily Issuance'!$C:$C,$B121,'Daily Issuance'!$E:$E,"Inventory"))</f>
        <v>2</v>
      </c>
      <c r="H121" s="44">
        <f t="shared" si="2"/>
        <v>17</v>
      </c>
      <c r="I121" s="33">
        <v>1500</v>
      </c>
      <c r="J121" s="34">
        <f t="shared" si="3"/>
        <v>25500</v>
      </c>
      <c r="K121" s="46"/>
    </row>
    <row r="122" spans="1:11" ht="23.1" customHeight="1">
      <c r="A122" s="170">
        <f>IF($B122="","",MAX($A$3:A121)+1)</f>
        <v>119</v>
      </c>
      <c r="B122" s="176">
        <v>9168</v>
      </c>
      <c r="C122" s="177" t="s">
        <v>223</v>
      </c>
      <c r="D122" s="279" t="s">
        <v>112</v>
      </c>
      <c r="E122" s="178">
        <v>1</v>
      </c>
      <c r="F122" s="172">
        <f>IF($B122="","",SUMIFS('Daily Inward'!$G:$G,'Daily Inward'!$C:$C,$B122,'Daily Inward'!$E:$E,"Inventory"))</f>
        <v>0</v>
      </c>
      <c r="G122" s="44">
        <f>IF($B122="","",SUMIFS('Daily Issuance'!$G:$G,'Daily Issuance'!$C:$C,$B122,'Daily Issuance'!$E:$E,"Inventory"))</f>
        <v>0</v>
      </c>
      <c r="H122" s="44">
        <f t="shared" si="2"/>
        <v>1</v>
      </c>
      <c r="I122" s="33">
        <v>38600</v>
      </c>
      <c r="J122" s="34">
        <f t="shared" si="3"/>
        <v>38600</v>
      </c>
      <c r="K122" s="46"/>
    </row>
    <row r="123" spans="1:11" ht="23.1" customHeight="1">
      <c r="A123" s="170">
        <f>IF($B123="","",MAX($A$3:A122)+1)</f>
        <v>120</v>
      </c>
      <c r="B123" s="176">
        <v>9224</v>
      </c>
      <c r="C123" s="177" t="s">
        <v>224</v>
      </c>
      <c r="D123" s="279" t="s">
        <v>112</v>
      </c>
      <c r="E123" s="178">
        <v>6</v>
      </c>
      <c r="F123" s="172">
        <f>IF($B123="","",SUMIFS('Daily Inward'!$G:$G,'Daily Inward'!$C:$C,$B123,'Daily Inward'!$E:$E,"Inventory"))</f>
        <v>0</v>
      </c>
      <c r="G123" s="44">
        <f>IF($B123="","",SUMIFS('Daily Issuance'!$G:$G,'Daily Issuance'!$C:$C,$B123,'Daily Issuance'!$E:$E,"Inventory"))</f>
        <v>0</v>
      </c>
      <c r="H123" s="44">
        <f t="shared" si="2"/>
        <v>6</v>
      </c>
      <c r="I123" s="33">
        <v>425</v>
      </c>
      <c r="J123" s="34">
        <f t="shared" si="3"/>
        <v>2550</v>
      </c>
      <c r="K123" s="46"/>
    </row>
    <row r="124" spans="1:11" ht="23.1" customHeight="1">
      <c r="A124" s="170">
        <f>IF($B124="","",MAX($A$3:A123)+1)</f>
        <v>121</v>
      </c>
      <c r="B124" s="176">
        <v>9225</v>
      </c>
      <c r="C124" s="177" t="s">
        <v>225</v>
      </c>
      <c r="D124" s="279" t="s">
        <v>112</v>
      </c>
      <c r="E124" s="178">
        <v>2</v>
      </c>
      <c r="F124" s="172">
        <f>IF($B124="","",SUMIFS('Daily Inward'!$G:$G,'Daily Inward'!$C:$C,$B124,'Daily Inward'!$E:$E,"Inventory"))</f>
        <v>0</v>
      </c>
      <c r="G124" s="44">
        <f>IF($B124="","",SUMIFS('Daily Issuance'!$G:$G,'Daily Issuance'!$C:$C,$B124,'Daily Issuance'!$E:$E,"Inventory"))</f>
        <v>0</v>
      </c>
      <c r="H124" s="44">
        <f t="shared" si="2"/>
        <v>2</v>
      </c>
      <c r="I124" s="33">
        <v>3225</v>
      </c>
      <c r="J124" s="34">
        <f t="shared" si="3"/>
        <v>6450</v>
      </c>
      <c r="K124" s="46"/>
    </row>
    <row r="125" spans="1:11" ht="23.1" customHeight="1">
      <c r="A125" s="170">
        <f>IF($B125="","",MAX($A$3:A124)+1)</f>
        <v>122</v>
      </c>
      <c r="B125" s="176">
        <v>9405</v>
      </c>
      <c r="C125" s="177" t="s">
        <v>226</v>
      </c>
      <c r="D125" s="279" t="s">
        <v>112</v>
      </c>
      <c r="E125" s="178">
        <v>1</v>
      </c>
      <c r="F125" s="172">
        <f>IF($B125="","",SUMIFS('Daily Inward'!$G:$G,'Daily Inward'!$C:$C,$B125,'Daily Inward'!$E:$E,"Inventory"))</f>
        <v>0</v>
      </c>
      <c r="G125" s="44">
        <f>IF($B125="","",SUMIFS('Daily Issuance'!$G:$G,'Daily Issuance'!$C:$C,$B125,'Daily Issuance'!$E:$E,"Inventory"))</f>
        <v>0</v>
      </c>
      <c r="H125" s="44">
        <f t="shared" si="2"/>
        <v>1</v>
      </c>
      <c r="I125" s="33">
        <v>3700</v>
      </c>
      <c r="J125" s="34">
        <f t="shared" si="3"/>
        <v>3700</v>
      </c>
      <c r="K125" s="46"/>
    </row>
    <row r="126" spans="1:11" ht="23.1" customHeight="1">
      <c r="A126" s="170">
        <f>IF($B126="","",MAX($A$3:A125)+1)</f>
        <v>123</v>
      </c>
      <c r="B126" s="176">
        <v>9781</v>
      </c>
      <c r="C126" s="177" t="s">
        <v>227</v>
      </c>
      <c r="D126" s="279" t="s">
        <v>112</v>
      </c>
      <c r="E126" s="178">
        <v>9</v>
      </c>
      <c r="F126" s="172">
        <f>IF($B126="","",SUMIFS('Daily Inward'!$G:$G,'Daily Inward'!$C:$C,$B126,'Daily Inward'!$E:$E,"Inventory"))</f>
        <v>0</v>
      </c>
      <c r="G126" s="44">
        <f>IF($B126="","",SUMIFS('Daily Issuance'!$G:$G,'Daily Issuance'!$C:$C,$B126,'Daily Issuance'!$E:$E,"Inventory"))</f>
        <v>1</v>
      </c>
      <c r="H126" s="44">
        <f t="shared" si="2"/>
        <v>8</v>
      </c>
      <c r="I126" s="33">
        <v>3166</v>
      </c>
      <c r="J126" s="34">
        <f t="shared" si="3"/>
        <v>25328</v>
      </c>
      <c r="K126" s="46"/>
    </row>
    <row r="127" spans="1:11" ht="23.1" customHeight="1">
      <c r="A127" s="170">
        <f>IF($B127="","",MAX($A$3:A126)+1)</f>
        <v>124</v>
      </c>
      <c r="B127" s="176">
        <v>9783</v>
      </c>
      <c r="C127" s="177" t="s">
        <v>228</v>
      </c>
      <c r="D127" s="279" t="s">
        <v>112</v>
      </c>
      <c r="E127" s="178">
        <v>0</v>
      </c>
      <c r="F127" s="172">
        <f>IF($B127="","",SUMIFS('Daily Inward'!$G:$G,'Daily Inward'!$C:$C,$B127,'Daily Inward'!$E:$E,"Inventory"))</f>
        <v>0</v>
      </c>
      <c r="G127" s="44">
        <f>IF($B127="","",SUMIFS('Daily Issuance'!$G:$G,'Daily Issuance'!$C:$C,$B127,'Daily Issuance'!$E:$E,"Inventory"))</f>
        <v>0</v>
      </c>
      <c r="H127" s="44">
        <f t="shared" si="2"/>
        <v>0</v>
      </c>
      <c r="I127" s="33">
        <v>18600</v>
      </c>
      <c r="J127" s="34">
        <f t="shared" si="3"/>
        <v>0</v>
      </c>
      <c r="K127" s="46"/>
    </row>
    <row r="128" spans="1:11" ht="23.1" customHeight="1">
      <c r="A128" s="170">
        <f>IF($B128="","",MAX($A$3:A127)+1)</f>
        <v>125</v>
      </c>
      <c r="B128" s="176">
        <v>10453</v>
      </c>
      <c r="C128" s="177" t="s">
        <v>229</v>
      </c>
      <c r="D128" s="279" t="s">
        <v>112</v>
      </c>
      <c r="E128" s="178">
        <v>12</v>
      </c>
      <c r="F128" s="172">
        <f>IF($B128="","",SUMIFS('Daily Inward'!$G:$G,'Daily Inward'!$C:$C,$B128,'Daily Inward'!$E:$E,"Inventory"))</f>
        <v>0</v>
      </c>
      <c r="G128" s="44">
        <f>IF($B128="","",SUMIFS('Daily Issuance'!$G:$G,'Daily Issuance'!$C:$C,$B128,'Daily Issuance'!$E:$E,"Inventory"))</f>
        <v>0</v>
      </c>
      <c r="H128" s="44">
        <f t="shared" si="2"/>
        <v>12</v>
      </c>
      <c r="I128" s="33">
        <v>275</v>
      </c>
      <c r="J128" s="34">
        <f t="shared" si="3"/>
        <v>3300</v>
      </c>
      <c r="K128" s="46"/>
    </row>
    <row r="129" spans="1:11" ht="23.1" customHeight="1">
      <c r="A129" s="170">
        <f>IF($B129="","",MAX($A$3:A128)+1)</f>
        <v>126</v>
      </c>
      <c r="B129" s="176">
        <v>10513</v>
      </c>
      <c r="C129" s="177" t="s">
        <v>230</v>
      </c>
      <c r="D129" s="279" t="s">
        <v>112</v>
      </c>
      <c r="E129" s="178">
        <v>11</v>
      </c>
      <c r="F129" s="172">
        <f>IF($B129="","",SUMIFS('Daily Inward'!$G:$G,'Daily Inward'!$C:$C,$B129,'Daily Inward'!$E:$E,"Inventory"))</f>
        <v>0</v>
      </c>
      <c r="G129" s="44">
        <f>IF($B129="","",SUMIFS('Daily Issuance'!$G:$G,'Daily Issuance'!$C:$C,$B129,'Daily Issuance'!$E:$E,"Inventory"))</f>
        <v>0</v>
      </c>
      <c r="H129" s="44">
        <f t="shared" si="2"/>
        <v>11</v>
      </c>
      <c r="I129" s="33">
        <v>985</v>
      </c>
      <c r="J129" s="34">
        <f t="shared" si="3"/>
        <v>10835</v>
      </c>
      <c r="K129" s="46"/>
    </row>
    <row r="130" spans="1:11" ht="23.1" customHeight="1">
      <c r="A130" s="170">
        <f>IF($B130="","",MAX($A$3:A129)+1)</f>
        <v>127</v>
      </c>
      <c r="B130" s="176">
        <v>10514</v>
      </c>
      <c r="C130" s="177" t="s">
        <v>231</v>
      </c>
      <c r="D130" s="279" t="s">
        <v>112</v>
      </c>
      <c r="E130" s="178">
        <v>10</v>
      </c>
      <c r="F130" s="172">
        <f>IF($B130="","",SUMIFS('Daily Inward'!$G:$G,'Daily Inward'!$C:$C,$B130,'Daily Inward'!$E:$E,"Inventory"))</f>
        <v>0</v>
      </c>
      <c r="G130" s="44">
        <f>IF($B130="","",SUMIFS('Daily Issuance'!$G:$G,'Daily Issuance'!$C:$C,$B130,'Daily Issuance'!$E:$E,"Inventory"))</f>
        <v>0</v>
      </c>
      <c r="H130" s="44">
        <f t="shared" si="2"/>
        <v>10</v>
      </c>
      <c r="I130" s="33">
        <v>785</v>
      </c>
      <c r="J130" s="34">
        <f t="shared" si="3"/>
        <v>7850</v>
      </c>
      <c r="K130" s="46"/>
    </row>
    <row r="131" spans="1:11" ht="23.1" customHeight="1">
      <c r="A131" s="170">
        <f>IF($B131="","",MAX($A$3:A130)+1)</f>
        <v>128</v>
      </c>
      <c r="B131" s="176">
        <v>10641</v>
      </c>
      <c r="C131" s="177" t="s">
        <v>232</v>
      </c>
      <c r="D131" s="279" t="s">
        <v>112</v>
      </c>
      <c r="E131" s="178">
        <v>10</v>
      </c>
      <c r="F131" s="172">
        <f>IF($B131="","",SUMIFS('Daily Inward'!$G:$G,'Daily Inward'!$C:$C,$B131,'Daily Inward'!$E:$E,"Inventory"))</f>
        <v>0</v>
      </c>
      <c r="G131" s="44">
        <f>IF($B131="","",SUMIFS('Daily Issuance'!$G:$G,'Daily Issuance'!$C:$C,$B131,'Daily Issuance'!$E:$E,"Inventory"))</f>
        <v>0</v>
      </c>
      <c r="H131" s="44">
        <f t="shared" ref="H131:H194" si="4">IF($B131="","",N(E131)+N(F131)-N(G131))</f>
        <v>10</v>
      </c>
      <c r="I131" s="33">
        <v>400</v>
      </c>
      <c r="J131" s="34">
        <f t="shared" ref="J131:J194" si="5">IF($B131="","",H131*I131)</f>
        <v>4000</v>
      </c>
      <c r="K131" s="46"/>
    </row>
    <row r="132" spans="1:11" ht="23.1" customHeight="1">
      <c r="A132" s="170">
        <f>IF($B132="","",MAX($A$3:A131)+1)</f>
        <v>129</v>
      </c>
      <c r="B132" s="176">
        <v>11086</v>
      </c>
      <c r="C132" s="177" t="s">
        <v>233</v>
      </c>
      <c r="D132" s="279" t="s">
        <v>112</v>
      </c>
      <c r="E132" s="178">
        <v>1</v>
      </c>
      <c r="F132" s="172">
        <f>IF($B132="","",SUMIFS('Daily Inward'!$G:$G,'Daily Inward'!$C:$C,$B132,'Daily Inward'!$E:$E,"Inventory"))</f>
        <v>0</v>
      </c>
      <c r="G132" s="44">
        <f>IF($B132="","",SUMIFS('Daily Issuance'!$G:$G,'Daily Issuance'!$C:$C,$B132,'Daily Issuance'!$E:$E,"Inventory"))</f>
        <v>0</v>
      </c>
      <c r="H132" s="44">
        <f t="shared" si="4"/>
        <v>1</v>
      </c>
      <c r="I132" s="33">
        <v>1200</v>
      </c>
      <c r="J132" s="34">
        <f t="shared" si="5"/>
        <v>1200</v>
      </c>
      <c r="K132" s="46"/>
    </row>
    <row r="133" spans="1:11" ht="23.1" customHeight="1">
      <c r="A133" s="170">
        <f>IF($B133="","",MAX($A$3:A132)+1)</f>
        <v>130</v>
      </c>
      <c r="B133" s="176">
        <v>11231</v>
      </c>
      <c r="C133" s="177" t="s">
        <v>234</v>
      </c>
      <c r="D133" s="279" t="s">
        <v>112</v>
      </c>
      <c r="E133" s="178">
        <v>17</v>
      </c>
      <c r="F133" s="172">
        <f>IF($B133="","",SUMIFS('Daily Inward'!$G:$G,'Daily Inward'!$C:$C,$B133,'Daily Inward'!$E:$E,"Inventory"))</f>
        <v>0</v>
      </c>
      <c r="G133" s="44">
        <f>IF($B133="","",SUMIFS('Daily Issuance'!$G:$G,'Daily Issuance'!$C:$C,$B133,'Daily Issuance'!$E:$E,"Inventory"))</f>
        <v>2</v>
      </c>
      <c r="H133" s="44">
        <f t="shared" si="4"/>
        <v>15</v>
      </c>
      <c r="I133" s="33">
        <v>3200</v>
      </c>
      <c r="J133" s="34">
        <f t="shared" si="5"/>
        <v>48000</v>
      </c>
      <c r="K133" s="46"/>
    </row>
    <row r="134" spans="1:11" ht="23.1" customHeight="1">
      <c r="A134" s="170">
        <f>IF($B134="","",MAX($A$3:A133)+1)</f>
        <v>131</v>
      </c>
      <c r="B134" s="176">
        <v>11461</v>
      </c>
      <c r="C134" s="177" t="s">
        <v>235</v>
      </c>
      <c r="D134" s="279" t="s">
        <v>112</v>
      </c>
      <c r="E134" s="178">
        <v>2</v>
      </c>
      <c r="F134" s="172">
        <f>IF($B134="","",SUMIFS('Daily Inward'!$G:$G,'Daily Inward'!$C:$C,$B134,'Daily Inward'!$E:$E,"Inventory"))</f>
        <v>0</v>
      </c>
      <c r="G134" s="44">
        <f>IF($B134="","",SUMIFS('Daily Issuance'!$G:$G,'Daily Issuance'!$C:$C,$B134,'Daily Issuance'!$E:$E,"Inventory"))</f>
        <v>0</v>
      </c>
      <c r="H134" s="44">
        <f t="shared" si="4"/>
        <v>2</v>
      </c>
      <c r="I134" s="33">
        <v>41129</v>
      </c>
      <c r="J134" s="34">
        <f t="shared" si="5"/>
        <v>82258</v>
      </c>
      <c r="K134" s="46"/>
    </row>
    <row r="135" spans="1:11" ht="23.1" customHeight="1">
      <c r="A135" s="170">
        <f>IF($B135="","",MAX($A$3:A134)+1)</f>
        <v>132</v>
      </c>
      <c r="B135" s="176">
        <v>11468</v>
      </c>
      <c r="C135" s="177" t="s">
        <v>236</v>
      </c>
      <c r="D135" s="279" t="s">
        <v>112</v>
      </c>
      <c r="E135" s="178">
        <v>2</v>
      </c>
      <c r="F135" s="172">
        <f>IF($B135="","",SUMIFS('Daily Inward'!$G:$G,'Daily Inward'!$C:$C,$B135,'Daily Inward'!$E:$E,"Inventory"))</f>
        <v>10</v>
      </c>
      <c r="G135" s="44">
        <f>IF($B135="","",SUMIFS('Daily Issuance'!$G:$G,'Daily Issuance'!$C:$C,$B135,'Daily Issuance'!$E:$E,"Inventory"))</f>
        <v>5</v>
      </c>
      <c r="H135" s="44">
        <f t="shared" si="4"/>
        <v>7</v>
      </c>
      <c r="I135" s="33">
        <v>3750</v>
      </c>
      <c r="J135" s="34">
        <f t="shared" si="5"/>
        <v>26250</v>
      </c>
      <c r="K135" s="46"/>
    </row>
    <row r="136" spans="1:11" ht="23.1" customHeight="1">
      <c r="A136" s="170">
        <f>IF($B136="","",MAX($A$3:A135)+1)</f>
        <v>133</v>
      </c>
      <c r="B136" s="176">
        <v>11864</v>
      </c>
      <c r="C136" s="177" t="s">
        <v>237</v>
      </c>
      <c r="D136" s="279" t="s">
        <v>112</v>
      </c>
      <c r="E136" s="178">
        <v>5</v>
      </c>
      <c r="F136" s="172">
        <f>IF($B136="","",SUMIFS('Daily Inward'!$G:$G,'Daily Inward'!$C:$C,$B136,'Daily Inward'!$E:$E,"Inventory"))</f>
        <v>0</v>
      </c>
      <c r="G136" s="44">
        <f>IF($B136="","",SUMIFS('Daily Issuance'!$G:$G,'Daily Issuance'!$C:$C,$B136,'Daily Issuance'!$E:$E,"Inventory"))</f>
        <v>0</v>
      </c>
      <c r="H136" s="44">
        <f t="shared" si="4"/>
        <v>5</v>
      </c>
      <c r="I136" s="33">
        <v>1500</v>
      </c>
      <c r="J136" s="34">
        <f t="shared" si="5"/>
        <v>7500</v>
      </c>
      <c r="K136" s="46"/>
    </row>
    <row r="137" spans="1:11" ht="23.1" customHeight="1">
      <c r="A137" s="170">
        <f>IF($B137="","",MAX($A$3:A136)+1)</f>
        <v>134</v>
      </c>
      <c r="B137" s="176">
        <v>11865</v>
      </c>
      <c r="C137" s="177" t="s">
        <v>238</v>
      </c>
      <c r="D137" s="279" t="s">
        <v>112</v>
      </c>
      <c r="E137" s="178">
        <v>5</v>
      </c>
      <c r="F137" s="172">
        <f>IF($B137="","",SUMIFS('Daily Inward'!$G:$G,'Daily Inward'!$C:$C,$B137,'Daily Inward'!$E:$E,"Inventory"))</f>
        <v>0</v>
      </c>
      <c r="G137" s="44">
        <f>IF($B137="","",SUMIFS('Daily Issuance'!$G:$G,'Daily Issuance'!$C:$C,$B137,'Daily Issuance'!$E:$E,"Inventory"))</f>
        <v>0</v>
      </c>
      <c r="H137" s="44">
        <f t="shared" si="4"/>
        <v>5</v>
      </c>
      <c r="I137" s="33">
        <v>1500</v>
      </c>
      <c r="J137" s="34">
        <f t="shared" si="5"/>
        <v>7500</v>
      </c>
      <c r="K137" s="46"/>
    </row>
    <row r="138" spans="1:11" ht="23.1" customHeight="1">
      <c r="A138" s="170">
        <f>IF($B138="","",MAX($A$3:A137)+1)</f>
        <v>135</v>
      </c>
      <c r="B138" s="176">
        <v>12713</v>
      </c>
      <c r="C138" s="177" t="s">
        <v>239</v>
      </c>
      <c r="D138" s="279" t="s">
        <v>112</v>
      </c>
      <c r="E138" s="178">
        <v>18</v>
      </c>
      <c r="F138" s="172">
        <f>IF($B138="","",SUMIFS('Daily Inward'!$G:$G,'Daily Inward'!$C:$C,$B138,'Daily Inward'!$E:$E,"Inventory"))</f>
        <v>0</v>
      </c>
      <c r="G138" s="44">
        <f>IF($B138="","",SUMIFS('Daily Issuance'!$G:$G,'Daily Issuance'!$C:$C,$B138,'Daily Issuance'!$E:$E,"Inventory"))</f>
        <v>0</v>
      </c>
      <c r="H138" s="44">
        <f t="shared" si="4"/>
        <v>18</v>
      </c>
      <c r="I138" s="33">
        <v>895</v>
      </c>
      <c r="J138" s="34">
        <f t="shared" si="5"/>
        <v>16110</v>
      </c>
      <c r="K138" s="46"/>
    </row>
    <row r="139" spans="1:11" ht="23.1" customHeight="1">
      <c r="A139" s="170">
        <f>IF($B139="","",MAX($A$3:A138)+1)</f>
        <v>136</v>
      </c>
      <c r="B139" s="176">
        <v>12843</v>
      </c>
      <c r="C139" s="177" t="s">
        <v>240</v>
      </c>
      <c r="D139" s="279" t="s">
        <v>112</v>
      </c>
      <c r="E139" s="178">
        <v>5</v>
      </c>
      <c r="F139" s="172">
        <f>IF($B139="","",SUMIFS('Daily Inward'!$G:$G,'Daily Inward'!$C:$C,$B139,'Daily Inward'!$E:$E,"Inventory"))</f>
        <v>0</v>
      </c>
      <c r="G139" s="44">
        <f>IF($B139="","",SUMIFS('Daily Issuance'!$G:$G,'Daily Issuance'!$C:$C,$B139,'Daily Issuance'!$E:$E,"Inventory"))</f>
        <v>0</v>
      </c>
      <c r="H139" s="44">
        <f t="shared" si="4"/>
        <v>5</v>
      </c>
      <c r="I139" s="33">
        <v>3360</v>
      </c>
      <c r="J139" s="34">
        <f t="shared" si="5"/>
        <v>16800</v>
      </c>
      <c r="K139" s="46"/>
    </row>
    <row r="140" spans="1:11" ht="23.1" customHeight="1">
      <c r="A140" s="170">
        <f>IF($B140="","",MAX($A$3:A139)+1)</f>
        <v>137</v>
      </c>
      <c r="B140" s="176">
        <v>12844</v>
      </c>
      <c r="C140" s="177" t="s">
        <v>241</v>
      </c>
      <c r="D140" s="279" t="s">
        <v>112</v>
      </c>
      <c r="E140" s="178">
        <v>1</v>
      </c>
      <c r="F140" s="172">
        <f>IF($B140="","",SUMIFS('Daily Inward'!$G:$G,'Daily Inward'!$C:$C,$B140,'Daily Inward'!$E:$E,"Inventory"))</f>
        <v>0</v>
      </c>
      <c r="G140" s="44">
        <f>IF($B140="","",SUMIFS('Daily Issuance'!$G:$G,'Daily Issuance'!$C:$C,$B140,'Daily Issuance'!$E:$E,"Inventory"))</f>
        <v>0</v>
      </c>
      <c r="H140" s="44">
        <f t="shared" si="4"/>
        <v>1</v>
      </c>
      <c r="I140" s="33">
        <v>3950</v>
      </c>
      <c r="J140" s="34">
        <f t="shared" si="5"/>
        <v>3950</v>
      </c>
      <c r="K140" s="46"/>
    </row>
    <row r="141" spans="1:11" ht="23.1" customHeight="1">
      <c r="A141" s="170">
        <f>IF($B141="","",MAX($A$3:A140)+1)</f>
        <v>138</v>
      </c>
      <c r="B141" s="176">
        <v>12845</v>
      </c>
      <c r="C141" s="177" t="s">
        <v>242</v>
      </c>
      <c r="D141" s="279" t="s">
        <v>112</v>
      </c>
      <c r="E141" s="178">
        <v>7</v>
      </c>
      <c r="F141" s="172">
        <f>IF($B141="","",SUMIFS('Daily Inward'!$G:$G,'Daily Inward'!$C:$C,$B141,'Daily Inward'!$E:$E,"Inventory"))</f>
        <v>0</v>
      </c>
      <c r="G141" s="44">
        <f>IF($B141="","",SUMIFS('Daily Issuance'!$G:$G,'Daily Issuance'!$C:$C,$B141,'Daily Issuance'!$E:$E,"Inventory"))</f>
        <v>0</v>
      </c>
      <c r="H141" s="44">
        <f t="shared" si="4"/>
        <v>7</v>
      </c>
      <c r="I141" s="33">
        <v>3950</v>
      </c>
      <c r="J141" s="34">
        <f t="shared" si="5"/>
        <v>27650</v>
      </c>
      <c r="K141" s="46"/>
    </row>
    <row r="142" spans="1:11" ht="23.1" customHeight="1">
      <c r="A142" s="170">
        <f>IF($B142="","",MAX($A$3:A141)+1)</f>
        <v>139</v>
      </c>
      <c r="B142" s="176">
        <v>12848</v>
      </c>
      <c r="C142" s="177" t="s">
        <v>243</v>
      </c>
      <c r="D142" s="279" t="s">
        <v>112</v>
      </c>
      <c r="E142" s="178">
        <v>1</v>
      </c>
      <c r="F142" s="172">
        <f>IF($B142="","",SUMIFS('Daily Inward'!$G:$G,'Daily Inward'!$C:$C,$B142,'Daily Inward'!$E:$E,"Inventory"))</f>
        <v>0</v>
      </c>
      <c r="G142" s="44">
        <f>IF($B142="","",SUMIFS('Daily Issuance'!$G:$G,'Daily Issuance'!$C:$C,$B142,'Daily Issuance'!$E:$E,"Inventory"))</f>
        <v>0</v>
      </c>
      <c r="H142" s="44">
        <f t="shared" si="4"/>
        <v>1</v>
      </c>
      <c r="I142" s="33">
        <v>3360</v>
      </c>
      <c r="J142" s="34">
        <f t="shared" si="5"/>
        <v>3360</v>
      </c>
      <c r="K142" s="46"/>
    </row>
    <row r="143" spans="1:11" ht="23.1" customHeight="1">
      <c r="A143" s="170">
        <f>IF($B143="","",MAX($A$3:A142)+1)</f>
        <v>140</v>
      </c>
      <c r="B143" s="176">
        <v>13064</v>
      </c>
      <c r="C143" s="177" t="s">
        <v>244</v>
      </c>
      <c r="D143" s="279" t="s">
        <v>112</v>
      </c>
      <c r="E143" s="178">
        <v>3</v>
      </c>
      <c r="F143" s="172">
        <f>IF($B143="","",SUMIFS('Daily Inward'!$G:$G,'Daily Inward'!$C:$C,$B143,'Daily Inward'!$E:$E,"Inventory"))</f>
        <v>0</v>
      </c>
      <c r="G143" s="44">
        <f>IF($B143="","",SUMIFS('Daily Issuance'!$G:$G,'Daily Issuance'!$C:$C,$B143,'Daily Issuance'!$E:$E,"Inventory"))</f>
        <v>0</v>
      </c>
      <c r="H143" s="44">
        <f t="shared" si="4"/>
        <v>3</v>
      </c>
      <c r="I143" s="33">
        <v>3250</v>
      </c>
      <c r="J143" s="34">
        <f t="shared" si="5"/>
        <v>9750</v>
      </c>
      <c r="K143" s="46"/>
    </row>
    <row r="144" spans="1:11" ht="23.1" customHeight="1">
      <c r="A144" s="170">
        <f>IF($B144="","",MAX($A$3:A143)+1)</f>
        <v>141</v>
      </c>
      <c r="B144" s="176">
        <v>13315</v>
      </c>
      <c r="C144" s="177" t="s">
        <v>245</v>
      </c>
      <c r="D144" s="279" t="s">
        <v>112</v>
      </c>
      <c r="E144" s="178">
        <v>11</v>
      </c>
      <c r="F144" s="172">
        <f>IF($B144="","",SUMIFS('Daily Inward'!$G:$G,'Daily Inward'!$C:$C,$B144,'Daily Inward'!$E:$E,"Inventory"))</f>
        <v>0</v>
      </c>
      <c r="G144" s="44">
        <f>IF($B144="","",SUMIFS('Daily Issuance'!$G:$G,'Daily Issuance'!$C:$C,$B144,'Daily Issuance'!$E:$E,"Inventory"))</f>
        <v>0</v>
      </c>
      <c r="H144" s="44">
        <f t="shared" si="4"/>
        <v>11</v>
      </c>
      <c r="I144" s="33">
        <v>745</v>
      </c>
      <c r="J144" s="34">
        <f t="shared" si="5"/>
        <v>8195</v>
      </c>
      <c r="K144" s="46"/>
    </row>
    <row r="145" spans="1:11" ht="23.1" customHeight="1">
      <c r="A145" s="170">
        <f>IF($B145="","",MAX($A$3:A144)+1)</f>
        <v>142</v>
      </c>
      <c r="B145" s="176">
        <v>13316</v>
      </c>
      <c r="C145" s="177" t="s">
        <v>246</v>
      </c>
      <c r="D145" s="279" t="s">
        <v>112</v>
      </c>
      <c r="E145" s="178">
        <v>11</v>
      </c>
      <c r="F145" s="172">
        <f>IF($B145="","",SUMIFS('Daily Inward'!$G:$G,'Daily Inward'!$C:$C,$B145,'Daily Inward'!$E:$E,"Inventory"))</f>
        <v>0</v>
      </c>
      <c r="G145" s="44">
        <f>IF($B145="","",SUMIFS('Daily Issuance'!$G:$G,'Daily Issuance'!$C:$C,$B145,'Daily Issuance'!$E:$E,"Inventory"))</f>
        <v>0</v>
      </c>
      <c r="H145" s="44">
        <f t="shared" si="4"/>
        <v>11</v>
      </c>
      <c r="I145" s="33">
        <v>1240</v>
      </c>
      <c r="J145" s="34">
        <f t="shared" si="5"/>
        <v>13640</v>
      </c>
      <c r="K145" s="46"/>
    </row>
    <row r="146" spans="1:11" ht="23.1" customHeight="1">
      <c r="A146" s="170">
        <f>IF($B146="","",MAX($A$3:A145)+1)</f>
        <v>143</v>
      </c>
      <c r="B146" s="176">
        <v>13397</v>
      </c>
      <c r="C146" s="177" t="s">
        <v>247</v>
      </c>
      <c r="D146" s="279" t="s">
        <v>112</v>
      </c>
      <c r="E146" s="178">
        <v>2</v>
      </c>
      <c r="F146" s="172">
        <f>IF($B146="","",SUMIFS('Daily Inward'!$G:$G,'Daily Inward'!$C:$C,$B146,'Daily Inward'!$E:$E,"Inventory"))</f>
        <v>0</v>
      </c>
      <c r="G146" s="44">
        <f>IF($B146="","",SUMIFS('Daily Issuance'!$G:$G,'Daily Issuance'!$C:$C,$B146,'Daily Issuance'!$E:$E,"Inventory"))</f>
        <v>0</v>
      </c>
      <c r="H146" s="44">
        <f t="shared" si="4"/>
        <v>2</v>
      </c>
      <c r="I146" s="33">
        <v>1500</v>
      </c>
      <c r="J146" s="34">
        <f t="shared" si="5"/>
        <v>3000</v>
      </c>
      <c r="K146" s="46"/>
    </row>
    <row r="147" spans="1:11" ht="23.1" customHeight="1">
      <c r="A147" s="170">
        <f>IF($B147="","",MAX($A$3:A146)+1)</f>
        <v>144</v>
      </c>
      <c r="B147" s="176">
        <v>13398</v>
      </c>
      <c r="C147" s="177" t="s">
        <v>248</v>
      </c>
      <c r="D147" s="279" t="s">
        <v>112</v>
      </c>
      <c r="E147" s="178">
        <v>1</v>
      </c>
      <c r="F147" s="172">
        <f>IF($B147="","",SUMIFS('Daily Inward'!$G:$G,'Daily Inward'!$C:$C,$B147,'Daily Inward'!$E:$E,"Inventory"))</f>
        <v>0</v>
      </c>
      <c r="G147" s="44">
        <f>IF($B147="","",SUMIFS('Daily Issuance'!$G:$G,'Daily Issuance'!$C:$C,$B147,'Daily Issuance'!$E:$E,"Inventory"))</f>
        <v>0</v>
      </c>
      <c r="H147" s="44">
        <f t="shared" si="4"/>
        <v>1</v>
      </c>
      <c r="I147" s="33">
        <v>2200</v>
      </c>
      <c r="J147" s="34">
        <f t="shared" si="5"/>
        <v>2200</v>
      </c>
      <c r="K147" s="46"/>
    </row>
    <row r="148" spans="1:11" ht="23.1" customHeight="1">
      <c r="A148" s="170">
        <f>IF($B148="","",MAX($A$3:A147)+1)</f>
        <v>145</v>
      </c>
      <c r="B148" s="176">
        <v>13409</v>
      </c>
      <c r="C148" s="177" t="s">
        <v>249</v>
      </c>
      <c r="D148" s="279" t="s">
        <v>112</v>
      </c>
      <c r="E148" s="178">
        <v>4</v>
      </c>
      <c r="F148" s="172">
        <f>IF($B148="","",SUMIFS('Daily Inward'!$G:$G,'Daily Inward'!$C:$C,$B148,'Daily Inward'!$E:$E,"Inventory"))</f>
        <v>15</v>
      </c>
      <c r="G148" s="44">
        <f>IF($B148="","",SUMIFS('Daily Issuance'!$G:$G,'Daily Issuance'!$C:$C,$B148,'Daily Issuance'!$E:$E,"Inventory"))</f>
        <v>7</v>
      </c>
      <c r="H148" s="44">
        <f t="shared" si="4"/>
        <v>12</v>
      </c>
      <c r="I148" s="33">
        <v>2400</v>
      </c>
      <c r="J148" s="34">
        <f t="shared" si="5"/>
        <v>28800</v>
      </c>
      <c r="K148" s="46"/>
    </row>
    <row r="149" spans="1:11" ht="23.1" customHeight="1">
      <c r="A149" s="170">
        <f>IF($B149="","",MAX($A$3:A148)+1)</f>
        <v>146</v>
      </c>
      <c r="B149" s="176">
        <v>13542</v>
      </c>
      <c r="C149" s="177" t="s">
        <v>250</v>
      </c>
      <c r="D149" s="279" t="s">
        <v>112</v>
      </c>
      <c r="E149" s="178">
        <v>12</v>
      </c>
      <c r="F149" s="172">
        <f>IF($B149="","",SUMIFS('Daily Inward'!$G:$G,'Daily Inward'!$C:$C,$B149,'Daily Inward'!$E:$E,"Inventory"))</f>
        <v>0</v>
      </c>
      <c r="G149" s="44">
        <f>IF($B149="","",SUMIFS('Daily Issuance'!$G:$G,'Daily Issuance'!$C:$C,$B149,'Daily Issuance'!$E:$E,"Inventory"))</f>
        <v>0</v>
      </c>
      <c r="H149" s="44">
        <f t="shared" si="4"/>
        <v>12</v>
      </c>
      <c r="I149" s="33">
        <v>1524</v>
      </c>
      <c r="J149" s="34">
        <f t="shared" si="5"/>
        <v>18288</v>
      </c>
      <c r="K149" s="46"/>
    </row>
    <row r="150" spans="1:11" ht="23.1" customHeight="1">
      <c r="A150" s="170">
        <f>IF($B150="","",MAX($A$3:A149)+1)</f>
        <v>147</v>
      </c>
      <c r="B150" s="176">
        <v>13552</v>
      </c>
      <c r="C150" s="177" t="s">
        <v>251</v>
      </c>
      <c r="D150" s="279" t="s">
        <v>112</v>
      </c>
      <c r="E150" s="178">
        <v>3</v>
      </c>
      <c r="F150" s="172">
        <f>IF($B150="","",SUMIFS('Daily Inward'!$G:$G,'Daily Inward'!$C:$C,$B150,'Daily Inward'!$E:$E,"Inventory"))</f>
        <v>0</v>
      </c>
      <c r="G150" s="44">
        <f>IF($B150="","",SUMIFS('Daily Issuance'!$G:$G,'Daily Issuance'!$C:$C,$B150,'Daily Issuance'!$E:$E,"Inventory"))</f>
        <v>0</v>
      </c>
      <c r="H150" s="44">
        <f t="shared" si="4"/>
        <v>3</v>
      </c>
      <c r="I150" s="33">
        <v>1428</v>
      </c>
      <c r="J150" s="34">
        <f t="shared" si="5"/>
        <v>4284</v>
      </c>
      <c r="K150" s="46"/>
    </row>
    <row r="151" spans="1:11" ht="23.1" customHeight="1">
      <c r="A151" s="170">
        <f>IF($B151="","",MAX($A$3:A150)+1)</f>
        <v>148</v>
      </c>
      <c r="B151" s="176">
        <v>13581</v>
      </c>
      <c r="C151" s="177" t="s">
        <v>252</v>
      </c>
      <c r="D151" s="279" t="s">
        <v>112</v>
      </c>
      <c r="E151" s="178">
        <v>5</v>
      </c>
      <c r="F151" s="172">
        <f>IF($B151="","",SUMIFS('Daily Inward'!$G:$G,'Daily Inward'!$C:$C,$B151,'Daily Inward'!$E:$E,"Inventory"))</f>
        <v>0</v>
      </c>
      <c r="G151" s="44">
        <f>IF($B151="","",SUMIFS('Daily Issuance'!$G:$G,'Daily Issuance'!$C:$C,$B151,'Daily Issuance'!$E:$E,"Inventory"))</f>
        <v>3</v>
      </c>
      <c r="H151" s="44">
        <f t="shared" si="4"/>
        <v>2</v>
      </c>
      <c r="I151" s="33">
        <v>10000</v>
      </c>
      <c r="J151" s="34">
        <f t="shared" si="5"/>
        <v>20000</v>
      </c>
      <c r="K151" s="46"/>
    </row>
    <row r="152" spans="1:11" ht="23.1" customHeight="1">
      <c r="A152" s="170">
        <f>IF($B152="","",MAX($A$3:A151)+1)</f>
        <v>149</v>
      </c>
      <c r="B152" s="176">
        <v>13643</v>
      </c>
      <c r="C152" s="177" t="s">
        <v>253</v>
      </c>
      <c r="D152" s="279" t="s">
        <v>112</v>
      </c>
      <c r="E152" s="178">
        <v>3</v>
      </c>
      <c r="F152" s="172">
        <f>IF($B152="","",SUMIFS('Daily Inward'!$G:$G,'Daily Inward'!$C:$C,$B152,'Daily Inward'!$E:$E,"Inventory"))</f>
        <v>0</v>
      </c>
      <c r="G152" s="44">
        <f>IF($B152="","",SUMIFS('Daily Issuance'!$G:$G,'Daily Issuance'!$C:$C,$B152,'Daily Issuance'!$E:$E,"Inventory"))</f>
        <v>0</v>
      </c>
      <c r="H152" s="44">
        <f t="shared" si="4"/>
        <v>3</v>
      </c>
      <c r="I152" s="33">
        <v>15830</v>
      </c>
      <c r="J152" s="34">
        <f t="shared" si="5"/>
        <v>47490</v>
      </c>
      <c r="K152" s="46"/>
    </row>
    <row r="153" spans="1:11" ht="23.1" customHeight="1">
      <c r="A153" s="170">
        <f>IF($B153="","",MAX($A$3:A152)+1)</f>
        <v>150</v>
      </c>
      <c r="B153" s="176">
        <v>13656</v>
      </c>
      <c r="C153" s="177" t="s">
        <v>254</v>
      </c>
      <c r="D153" s="279" t="s">
        <v>112</v>
      </c>
      <c r="E153" s="178">
        <v>2</v>
      </c>
      <c r="F153" s="172">
        <f>IF($B153="","",SUMIFS('Daily Inward'!$G:$G,'Daily Inward'!$C:$C,$B153,'Daily Inward'!$E:$E,"Inventory"))</f>
        <v>0</v>
      </c>
      <c r="G153" s="44">
        <f>IF($B153="","",SUMIFS('Daily Issuance'!$G:$G,'Daily Issuance'!$C:$C,$B153,'Daily Issuance'!$E:$E,"Inventory"))</f>
        <v>0</v>
      </c>
      <c r="H153" s="44">
        <f t="shared" si="4"/>
        <v>2</v>
      </c>
      <c r="I153" s="33">
        <v>3475</v>
      </c>
      <c r="J153" s="34">
        <f t="shared" si="5"/>
        <v>6950</v>
      </c>
      <c r="K153" s="46"/>
    </row>
    <row r="154" spans="1:11" ht="23.1" customHeight="1">
      <c r="A154" s="170">
        <f>IF($B154="","",MAX($A$3:A153)+1)</f>
        <v>151</v>
      </c>
      <c r="B154" s="176">
        <v>13973</v>
      </c>
      <c r="C154" s="177" t="s">
        <v>255</v>
      </c>
      <c r="D154" s="279" t="s">
        <v>112</v>
      </c>
      <c r="E154" s="178">
        <v>12</v>
      </c>
      <c r="F154" s="172">
        <f>IF($B154="","",SUMIFS('Daily Inward'!$G:$G,'Daily Inward'!$C:$C,$B154,'Daily Inward'!$E:$E,"Inventory"))</f>
        <v>0</v>
      </c>
      <c r="G154" s="44">
        <f>IF($B154="","",SUMIFS('Daily Issuance'!$G:$G,'Daily Issuance'!$C:$C,$B154,'Daily Issuance'!$E:$E,"Inventory"))</f>
        <v>0</v>
      </c>
      <c r="H154" s="44">
        <f t="shared" si="4"/>
        <v>12</v>
      </c>
      <c r="I154" s="33">
        <v>1950</v>
      </c>
      <c r="J154" s="34">
        <f t="shared" si="5"/>
        <v>23400</v>
      </c>
      <c r="K154" s="46"/>
    </row>
    <row r="155" spans="1:11" ht="23.1" customHeight="1">
      <c r="A155" s="170">
        <f>IF($B155="","",MAX($A$3:A154)+1)</f>
        <v>152</v>
      </c>
      <c r="B155" s="176">
        <v>13974</v>
      </c>
      <c r="C155" s="177" t="s">
        <v>256</v>
      </c>
      <c r="D155" s="279" t="s">
        <v>112</v>
      </c>
      <c r="E155" s="178">
        <v>5</v>
      </c>
      <c r="F155" s="172">
        <f>IF($B155="","",SUMIFS('Daily Inward'!$G:$G,'Daily Inward'!$C:$C,$B155,'Daily Inward'!$E:$E,"Inventory"))</f>
        <v>0</v>
      </c>
      <c r="G155" s="44">
        <f>IF($B155="","",SUMIFS('Daily Issuance'!$G:$G,'Daily Issuance'!$C:$C,$B155,'Daily Issuance'!$E:$E,"Inventory"))</f>
        <v>0</v>
      </c>
      <c r="H155" s="44">
        <f t="shared" si="4"/>
        <v>5</v>
      </c>
      <c r="I155" s="33">
        <v>2240</v>
      </c>
      <c r="J155" s="34">
        <f t="shared" si="5"/>
        <v>11200</v>
      </c>
      <c r="K155" s="46"/>
    </row>
    <row r="156" spans="1:11" ht="23.1" customHeight="1">
      <c r="A156" s="170">
        <f>IF($B156="","",MAX($A$3:A155)+1)</f>
        <v>153</v>
      </c>
      <c r="B156" s="176">
        <v>14057</v>
      </c>
      <c r="C156" s="177" t="s">
        <v>257</v>
      </c>
      <c r="D156" s="279" t="s">
        <v>112</v>
      </c>
      <c r="E156" s="178">
        <v>0</v>
      </c>
      <c r="F156" s="172">
        <f>IF($B156="","",SUMIFS('Daily Inward'!$G:$G,'Daily Inward'!$C:$C,$B156,'Daily Inward'!$E:$E,"Inventory"))</f>
        <v>6</v>
      </c>
      <c r="G156" s="44">
        <f>IF($B156="","",SUMIFS('Daily Issuance'!$G:$G,'Daily Issuance'!$C:$C,$B156,'Daily Issuance'!$E:$E,"Inventory"))</f>
        <v>3</v>
      </c>
      <c r="H156" s="44">
        <f t="shared" si="4"/>
        <v>3</v>
      </c>
      <c r="I156" s="33">
        <v>10000</v>
      </c>
      <c r="J156" s="34">
        <f t="shared" si="5"/>
        <v>30000</v>
      </c>
      <c r="K156" s="46" t="s">
        <v>103</v>
      </c>
    </row>
    <row r="157" spans="1:11" ht="23.1" customHeight="1">
      <c r="A157" s="170">
        <f>IF($B157="","",MAX($A$3:A156)+1)</f>
        <v>154</v>
      </c>
      <c r="B157" s="176">
        <v>14231</v>
      </c>
      <c r="C157" s="177" t="s">
        <v>258</v>
      </c>
      <c r="D157" s="279" t="s">
        <v>112</v>
      </c>
      <c r="E157" s="178">
        <v>2</v>
      </c>
      <c r="F157" s="172">
        <f>IF($B157="","",SUMIFS('Daily Inward'!$G:$G,'Daily Inward'!$C:$C,$B157,'Daily Inward'!$E:$E,"Inventory"))</f>
        <v>0</v>
      </c>
      <c r="G157" s="44">
        <f>IF($B157="","",SUMIFS('Daily Issuance'!$G:$G,'Daily Issuance'!$C:$C,$B157,'Daily Issuance'!$E:$E,"Inventory"))</f>
        <v>0</v>
      </c>
      <c r="H157" s="44">
        <f t="shared" si="4"/>
        <v>2</v>
      </c>
      <c r="I157" s="33">
        <v>672</v>
      </c>
      <c r="J157" s="34">
        <f t="shared" si="5"/>
        <v>1344</v>
      </c>
      <c r="K157" s="46"/>
    </row>
    <row r="158" spans="1:11" ht="23.1" customHeight="1">
      <c r="A158" s="170">
        <f>IF($B158="","",MAX($A$3:A157)+1)</f>
        <v>155</v>
      </c>
      <c r="B158" s="176">
        <v>14233</v>
      </c>
      <c r="C158" s="177" t="s">
        <v>259</v>
      </c>
      <c r="D158" s="279" t="s">
        <v>112</v>
      </c>
      <c r="E158" s="178">
        <v>1</v>
      </c>
      <c r="F158" s="172">
        <f>IF($B158="","",SUMIFS('Daily Inward'!$G:$G,'Daily Inward'!$C:$C,$B158,'Daily Inward'!$E:$E,"Inventory"))</f>
        <v>0</v>
      </c>
      <c r="G158" s="44">
        <f>IF($B158="","",SUMIFS('Daily Issuance'!$G:$G,'Daily Issuance'!$C:$C,$B158,'Daily Issuance'!$E:$E,"Inventory"))</f>
        <v>0</v>
      </c>
      <c r="H158" s="44">
        <f t="shared" si="4"/>
        <v>1</v>
      </c>
      <c r="I158" s="33">
        <v>3570</v>
      </c>
      <c r="J158" s="34">
        <f t="shared" si="5"/>
        <v>3570</v>
      </c>
      <c r="K158" s="46"/>
    </row>
    <row r="159" spans="1:11" ht="23.1" customHeight="1">
      <c r="A159" s="170">
        <f>IF($B159="","",MAX($A$3:A158)+1)</f>
        <v>156</v>
      </c>
      <c r="B159" s="176">
        <v>14234</v>
      </c>
      <c r="C159" s="177" t="s">
        <v>260</v>
      </c>
      <c r="D159" s="279" t="s">
        <v>112</v>
      </c>
      <c r="E159" s="178">
        <v>1</v>
      </c>
      <c r="F159" s="172">
        <f>IF($B159="","",SUMIFS('Daily Inward'!$G:$G,'Daily Inward'!$C:$C,$B159,'Daily Inward'!$E:$E,"Inventory"))</f>
        <v>0</v>
      </c>
      <c r="G159" s="44">
        <f>IF($B159="","",SUMIFS('Daily Issuance'!$G:$G,'Daily Issuance'!$C:$C,$B159,'Daily Issuance'!$E:$E,"Inventory"))</f>
        <v>0</v>
      </c>
      <c r="H159" s="44">
        <f t="shared" si="4"/>
        <v>1</v>
      </c>
      <c r="I159" s="33">
        <v>5116</v>
      </c>
      <c r="J159" s="34">
        <f t="shared" si="5"/>
        <v>5116</v>
      </c>
      <c r="K159" s="46"/>
    </row>
    <row r="160" spans="1:11" ht="23.1" customHeight="1">
      <c r="A160" s="170">
        <f>IF($B160="","",MAX($A$3:A159)+1)</f>
        <v>157</v>
      </c>
      <c r="B160" s="176">
        <v>14688</v>
      </c>
      <c r="C160" s="177" t="s">
        <v>261</v>
      </c>
      <c r="D160" s="279" t="s">
        <v>112</v>
      </c>
      <c r="E160" s="178">
        <v>2</v>
      </c>
      <c r="F160" s="172">
        <f>IF($B160="","",SUMIFS('Daily Inward'!$G:$G,'Daily Inward'!$C:$C,$B160,'Daily Inward'!$E:$E,"Inventory"))</f>
        <v>0</v>
      </c>
      <c r="G160" s="44">
        <f>IF($B160="","",SUMIFS('Daily Issuance'!$G:$G,'Daily Issuance'!$C:$C,$B160,'Daily Issuance'!$E:$E,"Inventory"))</f>
        <v>0</v>
      </c>
      <c r="H160" s="44">
        <f t="shared" si="4"/>
        <v>2</v>
      </c>
      <c r="I160" s="33">
        <v>2985</v>
      </c>
      <c r="J160" s="34">
        <f t="shared" si="5"/>
        <v>5970</v>
      </c>
      <c r="K160" s="46"/>
    </row>
    <row r="161" spans="1:11" ht="23.1" customHeight="1">
      <c r="A161" s="170">
        <f>IF($B161="","",MAX($A$3:A160)+1)</f>
        <v>158</v>
      </c>
      <c r="B161" s="176">
        <v>14906</v>
      </c>
      <c r="C161" s="177" t="s">
        <v>262</v>
      </c>
      <c r="D161" s="279" t="s">
        <v>112</v>
      </c>
      <c r="E161" s="178">
        <v>6</v>
      </c>
      <c r="F161" s="172">
        <f>IF($B161="","",SUMIFS('Daily Inward'!$G:$G,'Daily Inward'!$C:$C,$B161,'Daily Inward'!$E:$E,"Inventory"))</f>
        <v>0</v>
      </c>
      <c r="G161" s="44">
        <f>IF($B161="","",SUMIFS('Daily Issuance'!$G:$G,'Daily Issuance'!$C:$C,$B161,'Daily Issuance'!$E:$E,"Inventory"))</f>
        <v>0</v>
      </c>
      <c r="H161" s="44">
        <f t="shared" si="4"/>
        <v>6</v>
      </c>
      <c r="I161" s="33">
        <v>260</v>
      </c>
      <c r="J161" s="34">
        <f t="shared" si="5"/>
        <v>1560</v>
      </c>
      <c r="K161" s="46"/>
    </row>
    <row r="162" spans="1:11" ht="23.1" customHeight="1">
      <c r="A162" s="170">
        <f>IF($B162="","",MAX($A$3:A161)+1)</f>
        <v>159</v>
      </c>
      <c r="B162" s="176">
        <v>14907</v>
      </c>
      <c r="C162" s="177" t="s">
        <v>263</v>
      </c>
      <c r="D162" s="279" t="s">
        <v>112</v>
      </c>
      <c r="E162" s="178">
        <v>1</v>
      </c>
      <c r="F162" s="172">
        <f>IF($B162="","",SUMIFS('Daily Inward'!$G:$G,'Daily Inward'!$C:$C,$B162,'Daily Inward'!$E:$E,"Inventory"))</f>
        <v>0</v>
      </c>
      <c r="G162" s="44">
        <f>IF($B162="","",SUMIFS('Daily Issuance'!$G:$G,'Daily Issuance'!$C:$C,$B162,'Daily Issuance'!$E:$E,"Inventory"))</f>
        <v>0</v>
      </c>
      <c r="H162" s="44">
        <f t="shared" si="4"/>
        <v>1</v>
      </c>
      <c r="I162" s="33">
        <v>125000</v>
      </c>
      <c r="J162" s="34">
        <f t="shared" si="5"/>
        <v>125000</v>
      </c>
      <c r="K162" s="46"/>
    </row>
    <row r="163" spans="1:11" ht="23.1" customHeight="1">
      <c r="A163" s="170">
        <f>IF($B163="","",MAX($A$3:A162)+1)</f>
        <v>160</v>
      </c>
      <c r="B163" s="176">
        <v>14908</v>
      </c>
      <c r="C163" s="177" t="s">
        <v>264</v>
      </c>
      <c r="D163" s="279" t="s">
        <v>112</v>
      </c>
      <c r="E163" s="178">
        <v>3</v>
      </c>
      <c r="F163" s="172">
        <f>IF($B163="","",SUMIFS('Daily Inward'!$G:$G,'Daily Inward'!$C:$C,$B163,'Daily Inward'!$E:$E,"Inventory"))</f>
        <v>0</v>
      </c>
      <c r="G163" s="44">
        <f>IF($B163="","",SUMIFS('Daily Issuance'!$G:$G,'Daily Issuance'!$C:$C,$B163,'Daily Issuance'!$E:$E,"Inventory"))</f>
        <v>0</v>
      </c>
      <c r="H163" s="44">
        <f t="shared" si="4"/>
        <v>3</v>
      </c>
      <c r="I163" s="33">
        <v>12500</v>
      </c>
      <c r="J163" s="34">
        <f t="shared" si="5"/>
        <v>37500</v>
      </c>
      <c r="K163" s="46"/>
    </row>
    <row r="164" spans="1:11" ht="23.1" customHeight="1">
      <c r="A164" s="170">
        <f>IF($B164="","",MAX($A$3:A163)+1)</f>
        <v>161</v>
      </c>
      <c r="B164" s="176">
        <v>14976</v>
      </c>
      <c r="C164" s="177" t="s">
        <v>265</v>
      </c>
      <c r="D164" s="279" t="s">
        <v>112</v>
      </c>
      <c r="E164" s="178">
        <v>1</v>
      </c>
      <c r="F164" s="172">
        <f>IF($B164="","",SUMIFS('Daily Inward'!$G:$G,'Daily Inward'!$C:$C,$B164,'Daily Inward'!$E:$E,"Inventory"))</f>
        <v>0</v>
      </c>
      <c r="G164" s="44">
        <f>IF($B164="","",SUMIFS('Daily Issuance'!$G:$G,'Daily Issuance'!$C:$C,$B164,'Daily Issuance'!$E:$E,"Inventory"))</f>
        <v>0</v>
      </c>
      <c r="H164" s="44">
        <f t="shared" si="4"/>
        <v>1</v>
      </c>
      <c r="I164" s="33">
        <v>9500</v>
      </c>
      <c r="J164" s="34">
        <f t="shared" si="5"/>
        <v>9500</v>
      </c>
      <c r="K164" s="46"/>
    </row>
    <row r="165" spans="1:11" ht="23.1" customHeight="1">
      <c r="A165" s="170">
        <f>IF($B165="","",MAX($A$3:A164)+1)</f>
        <v>162</v>
      </c>
      <c r="B165" s="176">
        <v>15273</v>
      </c>
      <c r="C165" s="177" t="s">
        <v>266</v>
      </c>
      <c r="D165" s="279" t="s">
        <v>112</v>
      </c>
      <c r="E165" s="178">
        <v>2</v>
      </c>
      <c r="F165" s="172">
        <f>IF($B165="","",SUMIFS('Daily Inward'!$G:$G,'Daily Inward'!$C:$C,$B165,'Daily Inward'!$E:$E,"Inventory"))</f>
        <v>0</v>
      </c>
      <c r="G165" s="44">
        <f>IF($B165="","",SUMIFS('Daily Issuance'!$G:$G,'Daily Issuance'!$C:$C,$B165,'Daily Issuance'!$E:$E,"Inventory"))</f>
        <v>0</v>
      </c>
      <c r="H165" s="44">
        <f t="shared" si="4"/>
        <v>2</v>
      </c>
      <c r="I165" s="33">
        <v>22000</v>
      </c>
      <c r="J165" s="34">
        <f t="shared" si="5"/>
        <v>44000</v>
      </c>
      <c r="K165" s="46"/>
    </row>
    <row r="166" spans="1:11" ht="23.1" customHeight="1">
      <c r="A166" s="170">
        <f>IF($B166="","",MAX($A$3:A165)+1)</f>
        <v>163</v>
      </c>
      <c r="B166" s="176">
        <v>15522</v>
      </c>
      <c r="C166" s="177" t="s">
        <v>267</v>
      </c>
      <c r="D166" s="279" t="s">
        <v>112</v>
      </c>
      <c r="E166" s="178">
        <v>17</v>
      </c>
      <c r="F166" s="172">
        <f>IF($B166="","",SUMIFS('Daily Inward'!$G:$G,'Daily Inward'!$C:$C,$B166,'Daily Inward'!$E:$E,"Inventory"))</f>
        <v>0</v>
      </c>
      <c r="G166" s="44">
        <f>IF($B166="","",SUMIFS('Daily Issuance'!$G:$G,'Daily Issuance'!$C:$C,$B166,'Daily Issuance'!$E:$E,"Inventory"))</f>
        <v>0</v>
      </c>
      <c r="H166" s="44">
        <f t="shared" si="4"/>
        <v>17</v>
      </c>
      <c r="I166" s="33">
        <v>3845</v>
      </c>
      <c r="J166" s="34">
        <f t="shared" si="5"/>
        <v>65365</v>
      </c>
      <c r="K166" s="46"/>
    </row>
    <row r="167" spans="1:11" ht="23.1" customHeight="1">
      <c r="A167" s="170">
        <f>IF($B167="","",MAX($A$3:A166)+1)</f>
        <v>164</v>
      </c>
      <c r="B167" s="176">
        <v>15596</v>
      </c>
      <c r="C167" s="177" t="s">
        <v>268</v>
      </c>
      <c r="D167" s="279" t="s">
        <v>112</v>
      </c>
      <c r="E167" s="178">
        <v>7</v>
      </c>
      <c r="F167" s="172">
        <f>IF($B167="","",SUMIFS('Daily Inward'!$G:$G,'Daily Inward'!$C:$C,$B167,'Daily Inward'!$E:$E,"Inventory"))</f>
        <v>15</v>
      </c>
      <c r="G167" s="44">
        <f>IF($B167="","",SUMIFS('Daily Issuance'!$G:$G,'Daily Issuance'!$C:$C,$B167,'Daily Issuance'!$E:$E,"Inventory"))</f>
        <v>9</v>
      </c>
      <c r="H167" s="44">
        <f t="shared" si="4"/>
        <v>13</v>
      </c>
      <c r="I167" s="33">
        <v>1500</v>
      </c>
      <c r="J167" s="34">
        <f t="shared" si="5"/>
        <v>19500</v>
      </c>
      <c r="K167" s="46"/>
    </row>
    <row r="168" spans="1:11" ht="23.1" customHeight="1">
      <c r="A168" s="170">
        <f>IF($B168="","",MAX($A$3:A167)+1)</f>
        <v>165</v>
      </c>
      <c r="B168" s="176">
        <v>15603</v>
      </c>
      <c r="C168" s="177" t="s">
        <v>269</v>
      </c>
      <c r="D168" s="279" t="s">
        <v>112</v>
      </c>
      <c r="E168" s="178">
        <v>4</v>
      </c>
      <c r="F168" s="172">
        <f>IF($B168="","",SUMIFS('Daily Inward'!$G:$G,'Daily Inward'!$C:$C,$B168,'Daily Inward'!$E:$E,"Inventory"))</f>
        <v>0</v>
      </c>
      <c r="G168" s="44">
        <f>IF($B168="","",SUMIFS('Daily Issuance'!$G:$G,'Daily Issuance'!$C:$C,$B168,'Daily Issuance'!$E:$E,"Inventory"))</f>
        <v>0</v>
      </c>
      <c r="H168" s="44">
        <f t="shared" si="4"/>
        <v>4</v>
      </c>
      <c r="I168" s="33">
        <v>1760</v>
      </c>
      <c r="J168" s="34">
        <f t="shared" si="5"/>
        <v>7040</v>
      </c>
      <c r="K168" s="46"/>
    </row>
    <row r="169" spans="1:11" ht="23.1" customHeight="1">
      <c r="A169" s="170">
        <f>IF($B169="","",MAX($A$3:A168)+1)</f>
        <v>166</v>
      </c>
      <c r="B169" s="176">
        <v>15604</v>
      </c>
      <c r="C169" s="177" t="s">
        <v>270</v>
      </c>
      <c r="D169" s="279" t="s">
        <v>112</v>
      </c>
      <c r="E169" s="178">
        <v>1</v>
      </c>
      <c r="F169" s="172">
        <f>IF($B169="","",SUMIFS('Daily Inward'!$G:$G,'Daily Inward'!$C:$C,$B169,'Daily Inward'!$E:$E,"Inventory"))</f>
        <v>0</v>
      </c>
      <c r="G169" s="44">
        <f>IF($B169="","",SUMIFS('Daily Issuance'!$G:$G,'Daily Issuance'!$C:$C,$B169,'Daily Issuance'!$E:$E,"Inventory"))</f>
        <v>0</v>
      </c>
      <c r="H169" s="44">
        <f t="shared" si="4"/>
        <v>1</v>
      </c>
      <c r="I169" s="33">
        <v>42243</v>
      </c>
      <c r="J169" s="34">
        <f t="shared" si="5"/>
        <v>42243</v>
      </c>
      <c r="K169" s="46"/>
    </row>
    <row r="170" spans="1:11" ht="23.1" customHeight="1">
      <c r="A170" s="170">
        <f>IF($B170="","",MAX($A$3:A169)+1)</f>
        <v>167</v>
      </c>
      <c r="B170" s="176">
        <v>15605</v>
      </c>
      <c r="C170" s="177" t="s">
        <v>271</v>
      </c>
      <c r="D170" s="279" t="s">
        <v>112</v>
      </c>
      <c r="E170" s="178">
        <v>2</v>
      </c>
      <c r="F170" s="172">
        <f>IF($B170="","",SUMIFS('Daily Inward'!$G:$G,'Daily Inward'!$C:$C,$B170,'Daily Inward'!$E:$E,"Inventory"))</f>
        <v>0</v>
      </c>
      <c r="G170" s="44">
        <f>IF($B170="","",SUMIFS('Daily Issuance'!$G:$G,'Daily Issuance'!$C:$C,$B170,'Daily Issuance'!$E:$E,"Inventory"))</f>
        <v>0</v>
      </c>
      <c r="H170" s="44">
        <f t="shared" si="4"/>
        <v>2</v>
      </c>
      <c r="I170" s="33">
        <v>2450</v>
      </c>
      <c r="J170" s="34">
        <f t="shared" si="5"/>
        <v>4900</v>
      </c>
      <c r="K170" s="46"/>
    </row>
    <row r="171" spans="1:11" ht="23.1" customHeight="1">
      <c r="A171" s="170">
        <f>IF($B171="","",MAX($A$3:A170)+1)</f>
        <v>168</v>
      </c>
      <c r="B171" s="176">
        <v>15607</v>
      </c>
      <c r="C171" s="177" t="s">
        <v>272</v>
      </c>
      <c r="D171" s="279" t="s">
        <v>112</v>
      </c>
      <c r="E171" s="178">
        <v>2</v>
      </c>
      <c r="F171" s="172">
        <f>IF($B171="","",SUMIFS('Daily Inward'!$G:$G,'Daily Inward'!$C:$C,$B171,'Daily Inward'!$E:$E,"Inventory"))</f>
        <v>0</v>
      </c>
      <c r="G171" s="44">
        <f>IF($B171="","",SUMIFS('Daily Issuance'!$G:$G,'Daily Issuance'!$C:$C,$B171,'Daily Issuance'!$E:$E,"Inventory"))</f>
        <v>0</v>
      </c>
      <c r="H171" s="44">
        <f t="shared" si="4"/>
        <v>2</v>
      </c>
      <c r="I171" s="33">
        <v>3080</v>
      </c>
      <c r="J171" s="34">
        <f t="shared" si="5"/>
        <v>6160</v>
      </c>
      <c r="K171" s="46"/>
    </row>
    <row r="172" spans="1:11" ht="23.1" customHeight="1">
      <c r="A172" s="170">
        <f>IF($B172="","",MAX($A$3:A171)+1)</f>
        <v>169</v>
      </c>
      <c r="B172" s="176">
        <v>15614</v>
      </c>
      <c r="C172" s="177" t="s">
        <v>273</v>
      </c>
      <c r="D172" s="279" t="s">
        <v>112</v>
      </c>
      <c r="E172" s="178">
        <v>2</v>
      </c>
      <c r="F172" s="172">
        <f>IF($B172="","",SUMIFS('Daily Inward'!$G:$G,'Daily Inward'!$C:$C,$B172,'Daily Inward'!$E:$E,"Inventory"))</f>
        <v>0</v>
      </c>
      <c r="G172" s="44">
        <f>IF($B172="","",SUMIFS('Daily Issuance'!$G:$G,'Daily Issuance'!$C:$C,$B172,'Daily Issuance'!$E:$E,"Inventory"))</f>
        <v>0</v>
      </c>
      <c r="H172" s="44">
        <f t="shared" si="4"/>
        <v>2</v>
      </c>
      <c r="I172" s="33">
        <v>17500</v>
      </c>
      <c r="J172" s="34">
        <f t="shared" si="5"/>
        <v>35000</v>
      </c>
      <c r="K172" s="46"/>
    </row>
    <row r="173" spans="1:11" ht="23.1" customHeight="1">
      <c r="A173" s="170">
        <f>IF($B173="","",MAX($A$3:A172)+1)</f>
        <v>170</v>
      </c>
      <c r="B173" s="176">
        <v>15627</v>
      </c>
      <c r="C173" s="177" t="s">
        <v>274</v>
      </c>
      <c r="D173" s="279" t="s">
        <v>112</v>
      </c>
      <c r="E173" s="178">
        <v>6</v>
      </c>
      <c r="F173" s="172">
        <f>IF($B173="","",SUMIFS('Daily Inward'!$G:$G,'Daily Inward'!$C:$C,$B173,'Daily Inward'!$E:$E,"Inventory"))</f>
        <v>0</v>
      </c>
      <c r="G173" s="44">
        <f>IF($B173="","",SUMIFS('Daily Issuance'!$G:$G,'Daily Issuance'!$C:$C,$B173,'Daily Issuance'!$E:$E,"Inventory"))</f>
        <v>0</v>
      </c>
      <c r="H173" s="44">
        <f t="shared" si="4"/>
        <v>6</v>
      </c>
      <c r="I173" s="33">
        <v>225</v>
      </c>
      <c r="J173" s="34">
        <f t="shared" si="5"/>
        <v>1350</v>
      </c>
      <c r="K173" s="46"/>
    </row>
    <row r="174" spans="1:11" ht="23.1" customHeight="1">
      <c r="A174" s="170">
        <f>IF($B174="","",MAX($A$3:A173)+1)</f>
        <v>171</v>
      </c>
      <c r="B174" s="176">
        <v>15628</v>
      </c>
      <c r="C174" s="177" t="s">
        <v>275</v>
      </c>
      <c r="D174" s="279" t="s">
        <v>112</v>
      </c>
      <c r="E174" s="178">
        <v>6</v>
      </c>
      <c r="F174" s="172">
        <f>IF($B174="","",SUMIFS('Daily Inward'!$G:$G,'Daily Inward'!$C:$C,$B174,'Daily Inward'!$E:$E,"Inventory"))</f>
        <v>0</v>
      </c>
      <c r="G174" s="44">
        <f>IF($B174="","",SUMIFS('Daily Issuance'!$G:$G,'Daily Issuance'!$C:$C,$B174,'Daily Issuance'!$E:$E,"Inventory"))</f>
        <v>0</v>
      </c>
      <c r="H174" s="44">
        <f t="shared" si="4"/>
        <v>6</v>
      </c>
      <c r="I174" s="33">
        <v>350</v>
      </c>
      <c r="J174" s="34">
        <f t="shared" si="5"/>
        <v>2100</v>
      </c>
      <c r="K174" s="46"/>
    </row>
    <row r="175" spans="1:11" ht="23.1" customHeight="1">
      <c r="A175" s="170">
        <f>IF($B175="","",MAX($A$3:A174)+1)</f>
        <v>172</v>
      </c>
      <c r="B175" s="176">
        <v>15630</v>
      </c>
      <c r="C175" s="177" t="s">
        <v>276</v>
      </c>
      <c r="D175" s="279" t="s">
        <v>112</v>
      </c>
      <c r="E175" s="178">
        <v>6</v>
      </c>
      <c r="F175" s="172">
        <f>IF($B175="","",SUMIFS('Daily Inward'!$G:$G,'Daily Inward'!$C:$C,$B175,'Daily Inward'!$E:$E,"Inventory"))</f>
        <v>0</v>
      </c>
      <c r="G175" s="44">
        <f>IF($B175="","",SUMIFS('Daily Issuance'!$G:$G,'Daily Issuance'!$C:$C,$B175,'Daily Issuance'!$E:$E,"Inventory"))</f>
        <v>0</v>
      </c>
      <c r="H175" s="44">
        <f t="shared" si="4"/>
        <v>6</v>
      </c>
      <c r="I175" s="33">
        <v>200</v>
      </c>
      <c r="J175" s="34">
        <f t="shared" si="5"/>
        <v>1200</v>
      </c>
      <c r="K175" s="46"/>
    </row>
    <row r="176" spans="1:11" ht="23.1" customHeight="1">
      <c r="A176" s="170">
        <f>IF($B176="","",MAX($A$3:A175)+1)</f>
        <v>173</v>
      </c>
      <c r="B176" s="176">
        <v>15634</v>
      </c>
      <c r="C176" s="177" t="s">
        <v>277</v>
      </c>
      <c r="D176" s="279" t="s">
        <v>112</v>
      </c>
      <c r="E176" s="178">
        <v>1</v>
      </c>
      <c r="F176" s="172">
        <f>IF($B176="","",SUMIFS('Daily Inward'!$G:$G,'Daily Inward'!$C:$C,$B176,'Daily Inward'!$E:$E,"Inventory"))</f>
        <v>0</v>
      </c>
      <c r="G176" s="44">
        <f>IF($B176="","",SUMIFS('Daily Issuance'!$G:$G,'Daily Issuance'!$C:$C,$B176,'Daily Issuance'!$E:$E,"Inventory"))</f>
        <v>0</v>
      </c>
      <c r="H176" s="44">
        <f t="shared" si="4"/>
        <v>1</v>
      </c>
      <c r="I176" s="33">
        <v>16120</v>
      </c>
      <c r="J176" s="34">
        <f t="shared" si="5"/>
        <v>16120</v>
      </c>
      <c r="K176" s="46"/>
    </row>
    <row r="177" spans="1:11" ht="23.1" customHeight="1">
      <c r="A177" s="170">
        <f>IF($B177="","",MAX($A$3:A176)+1)</f>
        <v>174</v>
      </c>
      <c r="B177" s="176">
        <v>15635</v>
      </c>
      <c r="C177" s="177" t="s">
        <v>278</v>
      </c>
      <c r="D177" s="279" t="s">
        <v>112</v>
      </c>
      <c r="E177" s="178">
        <v>2</v>
      </c>
      <c r="F177" s="172">
        <f>IF($B177="","",SUMIFS('Daily Inward'!$G:$G,'Daily Inward'!$C:$C,$B177,'Daily Inward'!$E:$E,"Inventory"))</f>
        <v>0</v>
      </c>
      <c r="G177" s="44">
        <f>IF($B177="","",SUMIFS('Daily Issuance'!$G:$G,'Daily Issuance'!$C:$C,$B177,'Daily Issuance'!$E:$E,"Inventory"))</f>
        <v>0</v>
      </c>
      <c r="H177" s="44">
        <f t="shared" si="4"/>
        <v>2</v>
      </c>
      <c r="I177" s="33">
        <v>2198</v>
      </c>
      <c r="J177" s="34">
        <f t="shared" si="5"/>
        <v>4396</v>
      </c>
      <c r="K177" s="46"/>
    </row>
    <row r="178" spans="1:11" ht="23.1" customHeight="1">
      <c r="A178" s="170">
        <f>IF($B178="","",MAX($A$3:A177)+1)</f>
        <v>175</v>
      </c>
      <c r="B178" s="176">
        <v>15636</v>
      </c>
      <c r="C178" s="177" t="s">
        <v>279</v>
      </c>
      <c r="D178" s="279" t="s">
        <v>112</v>
      </c>
      <c r="E178" s="178">
        <v>4</v>
      </c>
      <c r="F178" s="172">
        <f>IF($B178="","",SUMIFS('Daily Inward'!$G:$G,'Daily Inward'!$C:$C,$B178,'Daily Inward'!$E:$E,"Inventory"))</f>
        <v>0</v>
      </c>
      <c r="G178" s="44">
        <f>IF($B178="","",SUMIFS('Daily Issuance'!$G:$G,'Daily Issuance'!$C:$C,$B178,'Daily Issuance'!$E:$E,"Inventory"))</f>
        <v>0</v>
      </c>
      <c r="H178" s="44">
        <f t="shared" si="4"/>
        <v>4</v>
      </c>
      <c r="I178" s="33">
        <v>1853</v>
      </c>
      <c r="J178" s="34">
        <f t="shared" si="5"/>
        <v>7412</v>
      </c>
      <c r="K178" s="46"/>
    </row>
    <row r="179" spans="1:11" ht="23.1" customHeight="1">
      <c r="A179" s="170">
        <f>IF($B179="","",MAX($A$3:A178)+1)</f>
        <v>176</v>
      </c>
      <c r="B179" s="176">
        <v>15637</v>
      </c>
      <c r="C179" s="177" t="s">
        <v>280</v>
      </c>
      <c r="D179" s="279" t="s">
        <v>112</v>
      </c>
      <c r="E179" s="178">
        <v>3</v>
      </c>
      <c r="F179" s="172">
        <f>IF($B179="","",SUMIFS('Daily Inward'!$G:$G,'Daily Inward'!$C:$C,$B179,'Daily Inward'!$E:$E,"Inventory"))</f>
        <v>0</v>
      </c>
      <c r="G179" s="44">
        <f>IF($B179="","",SUMIFS('Daily Issuance'!$G:$G,'Daily Issuance'!$C:$C,$B179,'Daily Issuance'!$E:$E,"Inventory"))</f>
        <v>0</v>
      </c>
      <c r="H179" s="44">
        <f t="shared" si="4"/>
        <v>3</v>
      </c>
      <c r="I179" s="33">
        <v>1853</v>
      </c>
      <c r="J179" s="34">
        <f t="shared" si="5"/>
        <v>5559</v>
      </c>
      <c r="K179" s="46"/>
    </row>
    <row r="180" spans="1:11" ht="23.1" customHeight="1">
      <c r="A180" s="170">
        <f>IF($B180="","",MAX($A$3:A179)+1)</f>
        <v>177</v>
      </c>
      <c r="B180" s="176">
        <v>15844</v>
      </c>
      <c r="C180" s="177" t="s">
        <v>281</v>
      </c>
      <c r="D180" s="279" t="s">
        <v>112</v>
      </c>
      <c r="E180" s="178">
        <v>4</v>
      </c>
      <c r="F180" s="172">
        <f>IF($B180="","",SUMIFS('Daily Inward'!$G:$G,'Daily Inward'!$C:$C,$B180,'Daily Inward'!$E:$E,"Inventory"))</f>
        <v>0</v>
      </c>
      <c r="G180" s="44">
        <f>IF($B180="","",SUMIFS('Daily Issuance'!$G:$G,'Daily Issuance'!$C:$C,$B180,'Daily Issuance'!$E:$E,"Inventory"))</f>
        <v>0</v>
      </c>
      <c r="H180" s="44">
        <f t="shared" si="4"/>
        <v>4</v>
      </c>
      <c r="I180" s="33">
        <v>4800</v>
      </c>
      <c r="J180" s="34">
        <f t="shared" si="5"/>
        <v>19200</v>
      </c>
      <c r="K180" s="46"/>
    </row>
    <row r="181" spans="1:11" ht="23.1" customHeight="1">
      <c r="A181" s="170">
        <f>IF($B181="","",MAX($A$3:A180)+1)</f>
        <v>178</v>
      </c>
      <c r="B181" s="176">
        <v>15845</v>
      </c>
      <c r="C181" s="177" t="s">
        <v>282</v>
      </c>
      <c r="D181" s="279" t="s">
        <v>112</v>
      </c>
      <c r="E181" s="178">
        <v>39</v>
      </c>
      <c r="F181" s="172">
        <f>IF($B181="","",SUMIFS('Daily Inward'!$G:$G,'Daily Inward'!$C:$C,$B181,'Daily Inward'!$E:$E,"Inventory"))</f>
        <v>0</v>
      </c>
      <c r="G181" s="44">
        <f>IF($B181="","",SUMIFS('Daily Issuance'!$G:$G,'Daily Issuance'!$C:$C,$B181,'Daily Issuance'!$E:$E,"Inventory"))</f>
        <v>0</v>
      </c>
      <c r="H181" s="44">
        <f t="shared" si="4"/>
        <v>39</v>
      </c>
      <c r="I181" s="33">
        <v>550</v>
      </c>
      <c r="J181" s="34">
        <f t="shared" si="5"/>
        <v>21450</v>
      </c>
      <c r="K181" s="46"/>
    </row>
    <row r="182" spans="1:11" ht="23.1" customHeight="1">
      <c r="A182" s="170">
        <f>IF($B182="","",MAX($A$3:A181)+1)</f>
        <v>179</v>
      </c>
      <c r="B182" s="176">
        <v>15854</v>
      </c>
      <c r="C182" s="177" t="s">
        <v>283</v>
      </c>
      <c r="D182" s="279" t="s">
        <v>112</v>
      </c>
      <c r="E182" s="178">
        <v>2</v>
      </c>
      <c r="F182" s="172">
        <f>IF($B182="","",SUMIFS('Daily Inward'!$G:$G,'Daily Inward'!$C:$C,$B182,'Daily Inward'!$E:$E,"Inventory"))</f>
        <v>0</v>
      </c>
      <c r="G182" s="44">
        <f>IF($B182="","",SUMIFS('Daily Issuance'!$G:$G,'Daily Issuance'!$C:$C,$B182,'Daily Issuance'!$E:$E,"Inventory"))</f>
        <v>0</v>
      </c>
      <c r="H182" s="44">
        <f t="shared" si="4"/>
        <v>2</v>
      </c>
      <c r="I182" s="33">
        <v>2925</v>
      </c>
      <c r="J182" s="34">
        <f t="shared" si="5"/>
        <v>5850</v>
      </c>
      <c r="K182" s="46"/>
    </row>
    <row r="183" spans="1:11" ht="23.1" customHeight="1">
      <c r="A183" s="170">
        <f>IF($B183="","",MAX($A$3:A182)+1)</f>
        <v>180</v>
      </c>
      <c r="B183" s="176">
        <v>15934</v>
      </c>
      <c r="C183" s="177" t="s">
        <v>284</v>
      </c>
      <c r="D183" s="279" t="s">
        <v>112</v>
      </c>
      <c r="E183" s="178">
        <v>2</v>
      </c>
      <c r="F183" s="172">
        <f>IF($B183="","",SUMIFS('Daily Inward'!$G:$G,'Daily Inward'!$C:$C,$B183,'Daily Inward'!$E:$E,"Inventory"))</f>
        <v>0</v>
      </c>
      <c r="G183" s="44">
        <f>IF($B183="","",SUMIFS('Daily Issuance'!$G:$G,'Daily Issuance'!$C:$C,$B183,'Daily Issuance'!$E:$E,"Inventory"))</f>
        <v>0</v>
      </c>
      <c r="H183" s="44">
        <f t="shared" si="4"/>
        <v>2</v>
      </c>
      <c r="I183" s="33">
        <v>152355</v>
      </c>
      <c r="J183" s="34">
        <f t="shared" si="5"/>
        <v>304710</v>
      </c>
      <c r="K183" s="46"/>
    </row>
    <row r="184" spans="1:11" ht="23.1" customHeight="1">
      <c r="A184" s="170">
        <f>IF($B184="","",MAX($A$3:A183)+1)</f>
        <v>181</v>
      </c>
      <c r="B184" s="176">
        <v>15941</v>
      </c>
      <c r="C184" s="177" t="s">
        <v>285</v>
      </c>
      <c r="D184" s="279" t="s">
        <v>112</v>
      </c>
      <c r="E184" s="178">
        <v>1</v>
      </c>
      <c r="F184" s="172">
        <f>IF($B184="","",SUMIFS('Daily Inward'!$G:$G,'Daily Inward'!$C:$C,$B184,'Daily Inward'!$E:$E,"Inventory"))</f>
        <v>0</v>
      </c>
      <c r="G184" s="44">
        <f>IF($B184="","",SUMIFS('Daily Issuance'!$G:$G,'Daily Issuance'!$C:$C,$B184,'Daily Issuance'!$E:$E,"Inventory"))</f>
        <v>0</v>
      </c>
      <c r="H184" s="44">
        <f t="shared" si="4"/>
        <v>1</v>
      </c>
      <c r="I184" s="33">
        <v>18000</v>
      </c>
      <c r="J184" s="34">
        <f t="shared" si="5"/>
        <v>18000</v>
      </c>
      <c r="K184" s="46"/>
    </row>
    <row r="185" spans="1:11" ht="23.1" customHeight="1">
      <c r="A185" s="170">
        <f>IF($B185="","",MAX($A$3:A184)+1)</f>
        <v>182</v>
      </c>
      <c r="B185" s="176">
        <v>16040</v>
      </c>
      <c r="C185" s="177" t="s">
        <v>286</v>
      </c>
      <c r="D185" s="279" t="s">
        <v>112</v>
      </c>
      <c r="E185" s="178">
        <v>1</v>
      </c>
      <c r="F185" s="172">
        <f>IF($B185="","",SUMIFS('Daily Inward'!$G:$G,'Daily Inward'!$C:$C,$B185,'Daily Inward'!$E:$E,"Inventory"))</f>
        <v>0</v>
      </c>
      <c r="G185" s="44">
        <f>IF($B185="","",SUMIFS('Daily Issuance'!$G:$G,'Daily Issuance'!$C:$C,$B185,'Daily Issuance'!$E:$E,"Inventory"))</f>
        <v>0</v>
      </c>
      <c r="H185" s="44">
        <f t="shared" si="4"/>
        <v>1</v>
      </c>
      <c r="I185" s="33">
        <v>100000</v>
      </c>
      <c r="J185" s="34">
        <f t="shared" si="5"/>
        <v>100000</v>
      </c>
      <c r="K185" s="46"/>
    </row>
    <row r="186" spans="1:11" ht="23.1" customHeight="1">
      <c r="A186" s="170">
        <f>IF($B186="","",MAX($A$3:A185)+1)</f>
        <v>183</v>
      </c>
      <c r="B186" s="176">
        <v>16041</v>
      </c>
      <c r="C186" s="177" t="s">
        <v>287</v>
      </c>
      <c r="D186" s="279" t="s">
        <v>112</v>
      </c>
      <c r="E186" s="178">
        <v>0</v>
      </c>
      <c r="F186" s="172">
        <f>IF($B186="","",SUMIFS('Daily Inward'!$G:$G,'Daily Inward'!$C:$C,$B186,'Daily Inward'!$E:$E,"Inventory"))</f>
        <v>1</v>
      </c>
      <c r="G186" s="44">
        <f>IF($B186="","",SUMIFS('Daily Issuance'!$G:$G,'Daily Issuance'!$C:$C,$B186,'Daily Issuance'!$E:$E,"Inventory"))</f>
        <v>0</v>
      </c>
      <c r="H186" s="44">
        <f t="shared" si="4"/>
        <v>1</v>
      </c>
      <c r="I186" s="33">
        <v>9000</v>
      </c>
      <c r="J186" s="34">
        <f t="shared" si="5"/>
        <v>9000</v>
      </c>
      <c r="K186" s="46"/>
    </row>
    <row r="187" spans="1:11" ht="23.1" customHeight="1">
      <c r="A187" s="170">
        <f>IF($B187="","",MAX($A$3:A186)+1)</f>
        <v>184</v>
      </c>
      <c r="B187" s="176">
        <v>16132</v>
      </c>
      <c r="C187" s="177" t="s">
        <v>288</v>
      </c>
      <c r="D187" s="279" t="s">
        <v>112</v>
      </c>
      <c r="E187" s="178">
        <v>6</v>
      </c>
      <c r="F187" s="172">
        <f>IF($B187="","",SUMIFS('Daily Inward'!$G:$G,'Daily Inward'!$C:$C,$B187,'Daily Inward'!$E:$E,"Inventory"))</f>
        <v>0</v>
      </c>
      <c r="G187" s="44">
        <f>IF($B187="","",SUMIFS('Daily Issuance'!$G:$G,'Daily Issuance'!$C:$C,$B187,'Daily Issuance'!$E:$E,"Inventory"))</f>
        <v>0</v>
      </c>
      <c r="H187" s="44">
        <f t="shared" si="4"/>
        <v>6</v>
      </c>
      <c r="I187" s="33">
        <v>3300</v>
      </c>
      <c r="J187" s="34">
        <f t="shared" si="5"/>
        <v>19800</v>
      </c>
      <c r="K187" s="46"/>
    </row>
    <row r="188" spans="1:11" ht="23.1" customHeight="1">
      <c r="A188" s="170">
        <f>IF($B188="","",MAX($A$3:A187)+1)</f>
        <v>185</v>
      </c>
      <c r="B188" s="176">
        <v>16180</v>
      </c>
      <c r="C188" s="177" t="s">
        <v>289</v>
      </c>
      <c r="D188" s="279" t="s">
        <v>112</v>
      </c>
      <c r="E188" s="178">
        <v>1</v>
      </c>
      <c r="F188" s="172">
        <f>IF($B188="","",SUMIFS('Daily Inward'!$G:$G,'Daily Inward'!$C:$C,$B188,'Daily Inward'!$E:$E,"Inventory"))</f>
        <v>0</v>
      </c>
      <c r="G188" s="44">
        <f>IF($B188="","",SUMIFS('Daily Issuance'!$G:$G,'Daily Issuance'!$C:$C,$B188,'Daily Issuance'!$E:$E,"Inventory"))</f>
        <v>0</v>
      </c>
      <c r="H188" s="44">
        <f t="shared" si="4"/>
        <v>1</v>
      </c>
      <c r="I188" s="33">
        <v>16500</v>
      </c>
      <c r="J188" s="34">
        <f t="shared" si="5"/>
        <v>16500</v>
      </c>
      <c r="K188" s="46"/>
    </row>
    <row r="189" spans="1:11" ht="23.1" customHeight="1">
      <c r="A189" s="170">
        <f>IF($B189="","",MAX($A$3:A188)+1)</f>
        <v>186</v>
      </c>
      <c r="B189" s="176">
        <v>16259</v>
      </c>
      <c r="C189" s="177" t="s">
        <v>290</v>
      </c>
      <c r="D189" s="279" t="s">
        <v>112</v>
      </c>
      <c r="E189" s="178">
        <v>2</v>
      </c>
      <c r="F189" s="172">
        <f>IF($B189="","",SUMIFS('Daily Inward'!$G:$G,'Daily Inward'!$C:$C,$B189,'Daily Inward'!$E:$E,"Inventory"))</f>
        <v>0</v>
      </c>
      <c r="G189" s="44">
        <f>IF($B189="","",SUMIFS('Daily Issuance'!$G:$G,'Daily Issuance'!$C:$C,$B189,'Daily Issuance'!$E:$E,"Inventory"))</f>
        <v>1</v>
      </c>
      <c r="H189" s="44">
        <f t="shared" si="4"/>
        <v>1</v>
      </c>
      <c r="I189" s="33">
        <v>3975</v>
      </c>
      <c r="J189" s="34">
        <f t="shared" si="5"/>
        <v>3975</v>
      </c>
      <c r="K189" s="46"/>
    </row>
    <row r="190" spans="1:11" ht="23.1" customHeight="1">
      <c r="A190" s="170">
        <f>IF($B190="","",MAX($A$3:A189)+1)</f>
        <v>187</v>
      </c>
      <c r="B190" s="176">
        <v>16260</v>
      </c>
      <c r="C190" s="177" t="s">
        <v>291</v>
      </c>
      <c r="D190" s="279" t="s">
        <v>112</v>
      </c>
      <c r="E190" s="178">
        <v>5</v>
      </c>
      <c r="F190" s="172">
        <f>IF($B190="","",SUMIFS('Daily Inward'!$G:$G,'Daily Inward'!$C:$C,$B190,'Daily Inward'!$E:$E,"Inventory"))</f>
        <v>0</v>
      </c>
      <c r="G190" s="44">
        <f>IF($B190="","",SUMIFS('Daily Issuance'!$G:$G,'Daily Issuance'!$C:$C,$B190,'Daily Issuance'!$E:$E,"Inventory"))</f>
        <v>0</v>
      </c>
      <c r="H190" s="44">
        <f t="shared" si="4"/>
        <v>5</v>
      </c>
      <c r="I190" s="33">
        <v>968</v>
      </c>
      <c r="J190" s="34">
        <f t="shared" si="5"/>
        <v>4840</v>
      </c>
      <c r="K190" s="46"/>
    </row>
    <row r="191" spans="1:11" ht="23.1" customHeight="1">
      <c r="A191" s="170">
        <f>IF($B191="","",MAX($A$3:A190)+1)</f>
        <v>188</v>
      </c>
      <c r="B191" s="176">
        <v>16354</v>
      </c>
      <c r="C191" s="177" t="s">
        <v>292</v>
      </c>
      <c r="D191" s="279" t="s">
        <v>112</v>
      </c>
      <c r="E191" s="178">
        <v>8</v>
      </c>
      <c r="F191" s="172">
        <f>IF($B191="","",SUMIFS('Daily Inward'!$G:$G,'Daily Inward'!$C:$C,$B191,'Daily Inward'!$E:$E,"Inventory"))</f>
        <v>0</v>
      </c>
      <c r="G191" s="44">
        <f>IF($B191="","",SUMIFS('Daily Issuance'!$G:$G,'Daily Issuance'!$C:$C,$B191,'Daily Issuance'!$E:$E,"Inventory"))</f>
        <v>0</v>
      </c>
      <c r="H191" s="44">
        <f t="shared" si="4"/>
        <v>8</v>
      </c>
      <c r="I191" s="33">
        <v>850</v>
      </c>
      <c r="J191" s="34">
        <f t="shared" si="5"/>
        <v>6800</v>
      </c>
      <c r="K191" s="46"/>
    </row>
    <row r="192" spans="1:11" ht="23.1" customHeight="1">
      <c r="A192" s="170">
        <f>IF($B192="","",MAX($A$3:A191)+1)</f>
        <v>189</v>
      </c>
      <c r="B192" s="176">
        <v>16443</v>
      </c>
      <c r="C192" s="177" t="s">
        <v>293</v>
      </c>
      <c r="D192" s="279" t="s">
        <v>112</v>
      </c>
      <c r="E192" s="178">
        <v>6</v>
      </c>
      <c r="F192" s="172">
        <f>IF($B192="","",SUMIFS('Daily Inward'!$G:$G,'Daily Inward'!$C:$C,$B192,'Daily Inward'!$E:$E,"Inventory"))</f>
        <v>0</v>
      </c>
      <c r="G192" s="44">
        <f>IF($B192="","",SUMIFS('Daily Issuance'!$G:$G,'Daily Issuance'!$C:$C,$B192,'Daily Issuance'!$E:$E,"Inventory"))</f>
        <v>0</v>
      </c>
      <c r="H192" s="44">
        <f t="shared" si="4"/>
        <v>6</v>
      </c>
      <c r="I192" s="33">
        <v>2700</v>
      </c>
      <c r="J192" s="34">
        <f t="shared" si="5"/>
        <v>16200</v>
      </c>
      <c r="K192" s="46"/>
    </row>
    <row r="193" spans="1:11" ht="23.1" customHeight="1">
      <c r="A193" s="170">
        <f>IF($B193="","",MAX($A$3:A192)+1)</f>
        <v>190</v>
      </c>
      <c r="B193" s="176">
        <v>16504</v>
      </c>
      <c r="C193" s="177" t="s">
        <v>294</v>
      </c>
      <c r="D193" s="279" t="s">
        <v>112</v>
      </c>
      <c r="E193" s="178">
        <v>1</v>
      </c>
      <c r="F193" s="172">
        <f>IF($B193="","",SUMIFS('Daily Inward'!$G:$G,'Daily Inward'!$C:$C,$B193,'Daily Inward'!$E:$E,"Inventory"))</f>
        <v>0</v>
      </c>
      <c r="G193" s="44">
        <f>IF($B193="","",SUMIFS('Daily Issuance'!$G:$G,'Daily Issuance'!$C:$C,$B193,'Daily Issuance'!$E:$E,"Inventory"))</f>
        <v>0</v>
      </c>
      <c r="H193" s="44">
        <f t="shared" si="4"/>
        <v>1</v>
      </c>
      <c r="I193" s="33">
        <v>12500</v>
      </c>
      <c r="J193" s="34">
        <f t="shared" si="5"/>
        <v>12500</v>
      </c>
      <c r="K193" s="46"/>
    </row>
    <row r="194" spans="1:11" ht="23.1" customHeight="1">
      <c r="A194" s="170">
        <f>IF($B194="","",MAX($A$3:A193)+1)</f>
        <v>191</v>
      </c>
      <c r="B194" s="176">
        <v>16512</v>
      </c>
      <c r="C194" s="177" t="s">
        <v>295</v>
      </c>
      <c r="D194" s="279" t="s">
        <v>112</v>
      </c>
      <c r="E194" s="178">
        <v>1</v>
      </c>
      <c r="F194" s="172">
        <f>IF($B194="","",SUMIFS('Daily Inward'!$G:$G,'Daily Inward'!$C:$C,$B194,'Daily Inward'!$E:$E,"Inventory"))</f>
        <v>0</v>
      </c>
      <c r="G194" s="44">
        <f>IF($B194="","",SUMIFS('Daily Issuance'!$G:$G,'Daily Issuance'!$C:$C,$B194,'Daily Issuance'!$E:$E,"Inventory"))</f>
        <v>0</v>
      </c>
      <c r="H194" s="44">
        <f t="shared" si="4"/>
        <v>1</v>
      </c>
      <c r="I194" s="33">
        <v>396750</v>
      </c>
      <c r="J194" s="34">
        <f t="shared" si="5"/>
        <v>396750</v>
      </c>
      <c r="K194" s="46"/>
    </row>
    <row r="195" spans="1:11" ht="23.1" customHeight="1">
      <c r="A195" s="170">
        <f>IF($B195="","",MAX($A$3:A194)+1)</f>
        <v>192</v>
      </c>
      <c r="B195" s="176">
        <v>16629</v>
      </c>
      <c r="C195" s="177" t="s">
        <v>296</v>
      </c>
      <c r="D195" s="279" t="s">
        <v>112</v>
      </c>
      <c r="E195" s="178">
        <v>5</v>
      </c>
      <c r="F195" s="172">
        <f>IF($B195="","",SUMIFS('Daily Inward'!$G:$G,'Daily Inward'!$C:$C,$B195,'Daily Inward'!$E:$E,"Inventory"))</f>
        <v>0</v>
      </c>
      <c r="G195" s="44">
        <f>IF($B195="","",SUMIFS('Daily Issuance'!$G:$G,'Daily Issuance'!$C:$C,$B195,'Daily Issuance'!$E:$E,"Inventory"))</f>
        <v>0</v>
      </c>
      <c r="H195" s="44">
        <f t="shared" ref="H195:H258" si="6">IF($B195="","",N(E195)+N(F195)-N(G195))</f>
        <v>5</v>
      </c>
      <c r="I195" s="33">
        <v>1500</v>
      </c>
      <c r="J195" s="34">
        <f t="shared" ref="J195:J258" si="7">IF($B195="","",H195*I195)</f>
        <v>7500</v>
      </c>
      <c r="K195" s="46"/>
    </row>
    <row r="196" spans="1:11" ht="23.1" customHeight="1">
      <c r="A196" s="170">
        <f>IF($B196="","",MAX($A$3:A195)+1)</f>
        <v>193</v>
      </c>
      <c r="B196" s="176">
        <v>16640</v>
      </c>
      <c r="C196" s="177" t="s">
        <v>297</v>
      </c>
      <c r="D196" s="279" t="s">
        <v>112</v>
      </c>
      <c r="E196" s="178">
        <v>1</v>
      </c>
      <c r="F196" s="172">
        <f>IF($B196="","",SUMIFS('Daily Inward'!$G:$G,'Daily Inward'!$C:$C,$B196,'Daily Inward'!$E:$E,"Inventory"))</f>
        <v>0</v>
      </c>
      <c r="G196" s="44">
        <f>IF($B196="","",SUMIFS('Daily Issuance'!$G:$G,'Daily Issuance'!$C:$C,$B196,'Daily Issuance'!$E:$E,"Inventory"))</f>
        <v>0</v>
      </c>
      <c r="H196" s="44">
        <f t="shared" si="6"/>
        <v>1</v>
      </c>
      <c r="I196" s="33">
        <v>53500</v>
      </c>
      <c r="J196" s="34">
        <f t="shared" si="7"/>
        <v>53500</v>
      </c>
      <c r="K196" s="46"/>
    </row>
    <row r="197" spans="1:11" ht="23.1" customHeight="1">
      <c r="A197" s="170">
        <f>IF($B197="","",MAX($A$3:A196)+1)</f>
        <v>194</v>
      </c>
      <c r="B197" s="176">
        <v>16692</v>
      </c>
      <c r="C197" s="177" t="s">
        <v>298</v>
      </c>
      <c r="D197" s="279" t="s">
        <v>112</v>
      </c>
      <c r="E197" s="178">
        <v>8</v>
      </c>
      <c r="F197" s="172">
        <f>IF($B197="","",SUMIFS('Daily Inward'!$G:$G,'Daily Inward'!$C:$C,$B197,'Daily Inward'!$E:$E,"Inventory"))</f>
        <v>0</v>
      </c>
      <c r="G197" s="44">
        <f>IF($B197="","",SUMIFS('Daily Issuance'!$G:$G,'Daily Issuance'!$C:$C,$B197,'Daily Issuance'!$E:$E,"Inventory"))</f>
        <v>0</v>
      </c>
      <c r="H197" s="44">
        <f t="shared" si="6"/>
        <v>8</v>
      </c>
      <c r="I197" s="33">
        <v>895</v>
      </c>
      <c r="J197" s="34">
        <f t="shared" si="7"/>
        <v>7160</v>
      </c>
      <c r="K197" s="46"/>
    </row>
    <row r="198" spans="1:11" ht="23.1" customHeight="1">
      <c r="A198" s="170">
        <f>IF($B198="","",MAX($A$3:A197)+1)</f>
        <v>195</v>
      </c>
      <c r="B198" s="176">
        <v>16755</v>
      </c>
      <c r="C198" s="177" t="s">
        <v>299</v>
      </c>
      <c r="D198" s="279" t="s">
        <v>112</v>
      </c>
      <c r="E198" s="178">
        <v>2</v>
      </c>
      <c r="F198" s="172">
        <f>IF($B198="","",SUMIFS('Daily Inward'!$G:$G,'Daily Inward'!$C:$C,$B198,'Daily Inward'!$E:$E,"Inventory"))</f>
        <v>0</v>
      </c>
      <c r="G198" s="44">
        <f>IF($B198="","",SUMIFS('Daily Issuance'!$G:$G,'Daily Issuance'!$C:$C,$B198,'Daily Issuance'!$E:$E,"Inventory"))</f>
        <v>0</v>
      </c>
      <c r="H198" s="44">
        <f t="shared" si="6"/>
        <v>2</v>
      </c>
      <c r="I198" s="33">
        <v>80000</v>
      </c>
      <c r="J198" s="34">
        <f t="shared" si="7"/>
        <v>160000</v>
      </c>
      <c r="K198" s="46"/>
    </row>
    <row r="199" spans="1:11" ht="23.1" customHeight="1">
      <c r="A199" s="170">
        <f>IF($B199="","",MAX($A$3:A198)+1)</f>
        <v>196</v>
      </c>
      <c r="B199" s="176">
        <v>16774</v>
      </c>
      <c r="C199" s="177" t="s">
        <v>300</v>
      </c>
      <c r="D199" s="279" t="s">
        <v>112</v>
      </c>
      <c r="E199" s="178">
        <v>1</v>
      </c>
      <c r="F199" s="172">
        <f>IF($B199="","",SUMIFS('Daily Inward'!$G:$G,'Daily Inward'!$C:$C,$B199,'Daily Inward'!$E:$E,"Inventory"))</f>
        <v>0</v>
      </c>
      <c r="G199" s="44">
        <f>IF($B199="","",SUMIFS('Daily Issuance'!$G:$G,'Daily Issuance'!$C:$C,$B199,'Daily Issuance'!$E:$E,"Inventory"))</f>
        <v>0</v>
      </c>
      <c r="H199" s="44">
        <f t="shared" si="6"/>
        <v>1</v>
      </c>
      <c r="I199" s="33">
        <v>17500</v>
      </c>
      <c r="J199" s="34">
        <f t="shared" si="7"/>
        <v>17500</v>
      </c>
      <c r="K199" s="46"/>
    </row>
    <row r="200" spans="1:11" ht="23.1" customHeight="1">
      <c r="A200" s="170">
        <f>IF($B200="","",MAX($A$3:A199)+1)</f>
        <v>197</v>
      </c>
      <c r="B200" s="176">
        <v>16796</v>
      </c>
      <c r="C200" s="177" t="s">
        <v>301</v>
      </c>
      <c r="D200" s="279" t="s">
        <v>112</v>
      </c>
      <c r="E200" s="178"/>
      <c r="F200" s="172">
        <f>IF($B200="","",SUMIFS('Daily Inward'!$G:$G,'Daily Inward'!$C:$C,$B200,'Daily Inward'!$E:$E,"Inventory"))</f>
        <v>10</v>
      </c>
      <c r="G200" s="44">
        <f>IF($B200="","",SUMIFS('Daily Issuance'!$G:$G,'Daily Issuance'!$C:$C,$B200,'Daily Issuance'!$E:$E,"Inventory"))</f>
        <v>0</v>
      </c>
      <c r="H200" s="44">
        <f t="shared" si="6"/>
        <v>10</v>
      </c>
      <c r="I200" s="33">
        <v>1700</v>
      </c>
      <c r="J200" s="34">
        <f t="shared" si="7"/>
        <v>17000</v>
      </c>
      <c r="K200" s="46"/>
    </row>
    <row r="201" spans="1:11" ht="23.1" customHeight="1">
      <c r="A201" s="170">
        <f>IF($B201="","",MAX($A$3:A200)+1)</f>
        <v>198</v>
      </c>
      <c r="B201" s="176">
        <v>16831</v>
      </c>
      <c r="C201" s="177" t="s">
        <v>302</v>
      </c>
      <c r="D201" s="279" t="s">
        <v>112</v>
      </c>
      <c r="E201" s="178">
        <v>1</v>
      </c>
      <c r="F201" s="172">
        <f>IF($B201="","",SUMIFS('Daily Inward'!$G:$G,'Daily Inward'!$C:$C,$B201,'Daily Inward'!$E:$E,"Inventory"))</f>
        <v>0</v>
      </c>
      <c r="G201" s="44">
        <f>IF($B201="","",SUMIFS('Daily Issuance'!$G:$G,'Daily Issuance'!$C:$C,$B201,'Daily Issuance'!$E:$E,"Inventory"))</f>
        <v>0</v>
      </c>
      <c r="H201" s="44">
        <f t="shared" si="6"/>
        <v>1</v>
      </c>
      <c r="I201" s="33">
        <v>30000</v>
      </c>
      <c r="J201" s="34">
        <f t="shared" si="7"/>
        <v>30000</v>
      </c>
      <c r="K201" s="46"/>
    </row>
    <row r="202" spans="1:11" ht="23.1" customHeight="1">
      <c r="A202" s="170">
        <f>IF($B202="","",MAX($A$3:A201)+1)</f>
        <v>199</v>
      </c>
      <c r="B202" s="176">
        <v>16832</v>
      </c>
      <c r="C202" s="177" t="s">
        <v>303</v>
      </c>
      <c r="D202" s="279" t="s">
        <v>112</v>
      </c>
      <c r="E202" s="178">
        <v>1</v>
      </c>
      <c r="F202" s="172">
        <f>IF($B202="","",SUMIFS('Daily Inward'!$G:$G,'Daily Inward'!$C:$C,$B202,'Daily Inward'!$E:$E,"Inventory"))</f>
        <v>0</v>
      </c>
      <c r="G202" s="44">
        <f>IF($B202="","",SUMIFS('Daily Issuance'!$G:$G,'Daily Issuance'!$C:$C,$B202,'Daily Issuance'!$E:$E,"Inventory"))</f>
        <v>0</v>
      </c>
      <c r="H202" s="44">
        <f t="shared" si="6"/>
        <v>1</v>
      </c>
      <c r="I202" s="33">
        <v>20000</v>
      </c>
      <c r="J202" s="34">
        <f t="shared" si="7"/>
        <v>20000</v>
      </c>
      <c r="K202" s="46"/>
    </row>
    <row r="203" spans="1:11" ht="23.1" customHeight="1">
      <c r="A203" s="170">
        <f>IF($B203="","",MAX($A$3:A202)+1)</f>
        <v>200</v>
      </c>
      <c r="B203" s="176">
        <v>16895</v>
      </c>
      <c r="C203" s="177" t="s">
        <v>304</v>
      </c>
      <c r="D203" s="279" t="s">
        <v>112</v>
      </c>
      <c r="E203" s="178">
        <v>3</v>
      </c>
      <c r="F203" s="172">
        <f>IF($B203="","",SUMIFS('Daily Inward'!$G:$G,'Daily Inward'!$C:$C,$B203,'Daily Inward'!$E:$E,"Inventory"))</f>
        <v>0</v>
      </c>
      <c r="G203" s="44">
        <f>IF($B203="","",SUMIFS('Daily Issuance'!$G:$G,'Daily Issuance'!$C:$C,$B203,'Daily Issuance'!$E:$E,"Inventory"))</f>
        <v>2</v>
      </c>
      <c r="H203" s="44">
        <f t="shared" si="6"/>
        <v>1</v>
      </c>
      <c r="I203" s="33">
        <v>6800</v>
      </c>
      <c r="J203" s="34">
        <f t="shared" si="7"/>
        <v>6800</v>
      </c>
      <c r="K203" s="46"/>
    </row>
    <row r="204" spans="1:11" ht="23.1" customHeight="1">
      <c r="A204" s="170">
        <f>IF($B204="","",MAX($A$3:A203)+1)</f>
        <v>201</v>
      </c>
      <c r="B204" s="176">
        <v>16945</v>
      </c>
      <c r="C204" s="177" t="s">
        <v>305</v>
      </c>
      <c r="D204" s="279" t="s">
        <v>112</v>
      </c>
      <c r="E204" s="178">
        <v>1</v>
      </c>
      <c r="F204" s="172">
        <f>IF($B204="","",SUMIFS('Daily Inward'!$G:$G,'Daily Inward'!$C:$C,$B204,'Daily Inward'!$E:$E,"Inventory"))</f>
        <v>0</v>
      </c>
      <c r="G204" s="44">
        <f>IF($B204="","",SUMIFS('Daily Issuance'!$G:$G,'Daily Issuance'!$C:$C,$B204,'Daily Issuance'!$E:$E,"Inventory"))</f>
        <v>0</v>
      </c>
      <c r="H204" s="44">
        <f t="shared" si="6"/>
        <v>1</v>
      </c>
      <c r="I204" s="33">
        <v>5000</v>
      </c>
      <c r="J204" s="34">
        <f t="shared" si="7"/>
        <v>5000</v>
      </c>
      <c r="K204" s="46"/>
    </row>
    <row r="205" spans="1:11" ht="23.1" customHeight="1">
      <c r="A205" s="170">
        <f>IF($B205="","",MAX($A$3:A204)+1)</f>
        <v>202</v>
      </c>
      <c r="B205" s="176">
        <v>16964</v>
      </c>
      <c r="C205" s="177" t="s">
        <v>306</v>
      </c>
      <c r="D205" s="279" t="s">
        <v>112</v>
      </c>
      <c r="E205" s="178">
        <v>2</v>
      </c>
      <c r="F205" s="172">
        <f>IF($B205="","",SUMIFS('Daily Inward'!$G:$G,'Daily Inward'!$C:$C,$B205,'Daily Inward'!$E:$E,"Inventory"))</f>
        <v>0</v>
      </c>
      <c r="G205" s="44">
        <f>IF($B205="","",SUMIFS('Daily Issuance'!$G:$G,'Daily Issuance'!$C:$C,$B205,'Daily Issuance'!$E:$E,"Inventory"))</f>
        <v>0</v>
      </c>
      <c r="H205" s="44">
        <f t="shared" si="6"/>
        <v>2</v>
      </c>
      <c r="I205" s="33">
        <v>270</v>
      </c>
      <c r="J205" s="34">
        <f t="shared" si="7"/>
        <v>540</v>
      </c>
      <c r="K205" s="46"/>
    </row>
    <row r="206" spans="1:11" ht="23.1" customHeight="1">
      <c r="A206" s="170">
        <f>IF($B206="","",MAX($A$3:A205)+1)</f>
        <v>203</v>
      </c>
      <c r="B206" s="176">
        <v>16985</v>
      </c>
      <c r="C206" s="177" t="s">
        <v>307</v>
      </c>
      <c r="D206" s="279" t="s">
        <v>112</v>
      </c>
      <c r="E206" s="178">
        <v>4</v>
      </c>
      <c r="F206" s="172">
        <f>IF($B206="","",SUMIFS('Daily Inward'!$G:$G,'Daily Inward'!$C:$C,$B206,'Daily Inward'!$E:$E,"Inventory"))</f>
        <v>0</v>
      </c>
      <c r="G206" s="44">
        <f>IF($B206="","",SUMIFS('Daily Issuance'!$G:$G,'Daily Issuance'!$C:$C,$B206,'Daily Issuance'!$E:$E,"Inventory"))</f>
        <v>0</v>
      </c>
      <c r="H206" s="44">
        <f t="shared" si="6"/>
        <v>4</v>
      </c>
      <c r="I206" s="33">
        <v>3200</v>
      </c>
      <c r="J206" s="34">
        <f t="shared" si="7"/>
        <v>12800</v>
      </c>
      <c r="K206" s="46"/>
    </row>
    <row r="207" spans="1:11" ht="23.1" customHeight="1">
      <c r="A207" s="170">
        <f>IF($B207="","",MAX($A$3:A206)+1)</f>
        <v>204</v>
      </c>
      <c r="B207" s="176">
        <v>16986</v>
      </c>
      <c r="C207" s="177" t="s">
        <v>308</v>
      </c>
      <c r="D207" s="279" t="s">
        <v>112</v>
      </c>
      <c r="E207" s="178">
        <v>3</v>
      </c>
      <c r="F207" s="172">
        <f>IF($B207="","",SUMIFS('Daily Inward'!$G:$G,'Daily Inward'!$C:$C,$B207,'Daily Inward'!$E:$E,"Inventory"))</f>
        <v>0</v>
      </c>
      <c r="G207" s="44">
        <f>IF($B207="","",SUMIFS('Daily Issuance'!$G:$G,'Daily Issuance'!$C:$C,$B207,'Daily Issuance'!$E:$E,"Inventory"))</f>
        <v>0</v>
      </c>
      <c r="H207" s="44">
        <f t="shared" si="6"/>
        <v>3</v>
      </c>
      <c r="I207" s="33">
        <v>520</v>
      </c>
      <c r="J207" s="34">
        <f t="shared" si="7"/>
        <v>1560</v>
      </c>
      <c r="K207" s="46"/>
    </row>
    <row r="208" spans="1:11" ht="23.1" customHeight="1">
      <c r="A208" s="170">
        <f>IF($B208="","",MAX($A$3:A207)+1)</f>
        <v>205</v>
      </c>
      <c r="B208" s="176">
        <v>16987</v>
      </c>
      <c r="C208" s="177" t="s">
        <v>309</v>
      </c>
      <c r="D208" s="279" t="s">
        <v>112</v>
      </c>
      <c r="E208" s="178">
        <v>1</v>
      </c>
      <c r="F208" s="172">
        <f>IF($B208="","",SUMIFS('Daily Inward'!$G:$G,'Daily Inward'!$C:$C,$B208,'Daily Inward'!$E:$E,"Inventory"))</f>
        <v>0</v>
      </c>
      <c r="G208" s="44">
        <f>IF($B208="","",SUMIFS('Daily Issuance'!$G:$G,'Daily Issuance'!$C:$C,$B208,'Daily Issuance'!$E:$E,"Inventory"))</f>
        <v>0</v>
      </c>
      <c r="H208" s="44">
        <f t="shared" si="6"/>
        <v>1</v>
      </c>
      <c r="I208" s="33">
        <v>60100</v>
      </c>
      <c r="J208" s="34">
        <f t="shared" si="7"/>
        <v>60100</v>
      </c>
      <c r="K208" s="46"/>
    </row>
    <row r="209" spans="1:11" ht="23.1" customHeight="1">
      <c r="A209" s="170">
        <f>IF($B209="","",MAX($A$3:A208)+1)</f>
        <v>206</v>
      </c>
      <c r="B209" s="176">
        <v>17026</v>
      </c>
      <c r="C209" s="177" t="s">
        <v>310</v>
      </c>
      <c r="D209" s="279" t="s">
        <v>112</v>
      </c>
      <c r="E209" s="178">
        <v>26</v>
      </c>
      <c r="F209" s="172">
        <f>IF($B209="","",SUMIFS('Daily Inward'!$G:$G,'Daily Inward'!$C:$C,$B209,'Daily Inward'!$E:$E,"Inventory"))</f>
        <v>0</v>
      </c>
      <c r="G209" s="44">
        <f>IF($B209="","",SUMIFS('Daily Issuance'!$G:$G,'Daily Issuance'!$C:$C,$B209,'Daily Issuance'!$E:$E,"Inventory"))</f>
        <v>26</v>
      </c>
      <c r="H209" s="44">
        <f t="shared" si="6"/>
        <v>0</v>
      </c>
      <c r="I209" s="33">
        <v>1500</v>
      </c>
      <c r="J209" s="34">
        <f t="shared" si="7"/>
        <v>0</v>
      </c>
      <c r="K209" s="46"/>
    </row>
    <row r="210" spans="1:11" ht="23.1" customHeight="1">
      <c r="A210" s="170">
        <f>IF($B210="","",MAX($A$3:A209)+1)</f>
        <v>207</v>
      </c>
      <c r="B210" s="176">
        <v>17041</v>
      </c>
      <c r="C210" s="177" t="s">
        <v>311</v>
      </c>
      <c r="D210" s="279" t="s">
        <v>112</v>
      </c>
      <c r="E210" s="178">
        <v>1</v>
      </c>
      <c r="F210" s="172">
        <f>IF($B210="","",SUMIFS('Daily Inward'!$G:$G,'Daily Inward'!$C:$C,$B210,'Daily Inward'!$E:$E,"Inventory"))</f>
        <v>0</v>
      </c>
      <c r="G210" s="44">
        <f>IF($B210="","",SUMIFS('Daily Issuance'!$G:$G,'Daily Issuance'!$C:$C,$B210,'Daily Issuance'!$E:$E,"Inventory"))</f>
        <v>0</v>
      </c>
      <c r="H210" s="44">
        <f t="shared" si="6"/>
        <v>1</v>
      </c>
      <c r="I210" s="33">
        <v>8060</v>
      </c>
      <c r="J210" s="34">
        <f t="shared" si="7"/>
        <v>8060</v>
      </c>
      <c r="K210" s="46"/>
    </row>
    <row r="211" spans="1:11" ht="23.1" customHeight="1">
      <c r="A211" s="170">
        <f>IF($B211="","",MAX($A$3:A210)+1)</f>
        <v>208</v>
      </c>
      <c r="B211" s="176">
        <v>17042</v>
      </c>
      <c r="C211" s="177" t="s">
        <v>312</v>
      </c>
      <c r="D211" s="279" t="s">
        <v>112</v>
      </c>
      <c r="E211" s="178">
        <v>1</v>
      </c>
      <c r="F211" s="172">
        <f>IF($B211="","",SUMIFS('Daily Inward'!$G:$G,'Daily Inward'!$C:$C,$B211,'Daily Inward'!$E:$E,"Inventory"))</f>
        <v>0</v>
      </c>
      <c r="G211" s="44">
        <f>IF($B211="","",SUMIFS('Daily Issuance'!$G:$G,'Daily Issuance'!$C:$C,$B211,'Daily Issuance'!$E:$E,"Inventory"))</f>
        <v>0</v>
      </c>
      <c r="H211" s="44">
        <f t="shared" si="6"/>
        <v>1</v>
      </c>
      <c r="I211" s="33">
        <v>28175</v>
      </c>
      <c r="J211" s="34">
        <f t="shared" si="7"/>
        <v>28175</v>
      </c>
      <c r="K211" s="46"/>
    </row>
    <row r="212" spans="1:11" ht="23.1" customHeight="1">
      <c r="A212" s="170">
        <f>IF($B212="","",MAX($A$3:A211)+1)</f>
        <v>209</v>
      </c>
      <c r="B212" s="176">
        <v>17043</v>
      </c>
      <c r="C212" s="177" t="s">
        <v>313</v>
      </c>
      <c r="D212" s="279" t="s">
        <v>112</v>
      </c>
      <c r="E212" s="178">
        <v>1</v>
      </c>
      <c r="F212" s="172">
        <f>IF($B212="","",SUMIFS('Daily Inward'!$G:$G,'Daily Inward'!$C:$C,$B212,'Daily Inward'!$E:$E,"Inventory"))</f>
        <v>0</v>
      </c>
      <c r="G212" s="44">
        <f>IF($B212="","",SUMIFS('Daily Issuance'!$G:$G,'Daily Issuance'!$C:$C,$B212,'Daily Issuance'!$E:$E,"Inventory"))</f>
        <v>1</v>
      </c>
      <c r="H212" s="44">
        <f t="shared" si="6"/>
        <v>0</v>
      </c>
      <c r="I212" s="33">
        <v>750</v>
      </c>
      <c r="J212" s="34">
        <f t="shared" si="7"/>
        <v>0</v>
      </c>
      <c r="K212" s="46"/>
    </row>
    <row r="213" spans="1:11" ht="23.1" customHeight="1">
      <c r="A213" s="170">
        <f>IF($B213="","",MAX($A$3:A212)+1)</f>
        <v>210</v>
      </c>
      <c r="B213" s="176">
        <v>17048</v>
      </c>
      <c r="C213" s="177" t="s">
        <v>314</v>
      </c>
      <c r="D213" s="279" t="s">
        <v>112</v>
      </c>
      <c r="E213" s="178">
        <v>16</v>
      </c>
      <c r="F213" s="172">
        <f>IF($B213="","",SUMIFS('Daily Inward'!$G:$G,'Daily Inward'!$C:$C,$B213,'Daily Inward'!$E:$E,"Inventory"))</f>
        <v>0</v>
      </c>
      <c r="G213" s="44">
        <f>IF($B213="","",SUMIFS('Daily Issuance'!$G:$G,'Daily Issuance'!$C:$C,$B213,'Daily Issuance'!$E:$E,"Inventory"))</f>
        <v>0</v>
      </c>
      <c r="H213" s="44">
        <f t="shared" si="6"/>
        <v>16</v>
      </c>
      <c r="I213" s="33">
        <v>2200</v>
      </c>
      <c r="J213" s="34">
        <f t="shared" si="7"/>
        <v>35200</v>
      </c>
      <c r="K213" s="46"/>
    </row>
    <row r="214" spans="1:11" ht="23.1" customHeight="1">
      <c r="A214" s="170">
        <f>IF($B214="","",MAX($A$3:A213)+1)</f>
        <v>211</v>
      </c>
      <c r="B214" s="176">
        <v>17049</v>
      </c>
      <c r="C214" s="177" t="s">
        <v>315</v>
      </c>
      <c r="D214" s="279" t="s">
        <v>112</v>
      </c>
      <c r="E214" s="178">
        <v>21</v>
      </c>
      <c r="F214" s="172">
        <f>IF($B214="","",SUMIFS('Daily Inward'!$G:$G,'Daily Inward'!$C:$C,$B214,'Daily Inward'!$E:$E,"Inventory"))</f>
        <v>0</v>
      </c>
      <c r="G214" s="44">
        <f>IF($B214="","",SUMIFS('Daily Issuance'!$G:$G,'Daily Issuance'!$C:$C,$B214,'Daily Issuance'!$E:$E,"Inventory"))</f>
        <v>1</v>
      </c>
      <c r="H214" s="44">
        <f t="shared" si="6"/>
        <v>20</v>
      </c>
      <c r="I214" s="33">
        <v>2000</v>
      </c>
      <c r="J214" s="34">
        <f t="shared" si="7"/>
        <v>40000</v>
      </c>
      <c r="K214" s="46"/>
    </row>
    <row r="215" spans="1:11" ht="23.1" customHeight="1">
      <c r="A215" s="170">
        <f>IF($B215="","",MAX($A$3:A214)+1)</f>
        <v>212</v>
      </c>
      <c r="B215" s="176">
        <v>17066</v>
      </c>
      <c r="C215" s="177" t="s">
        <v>316</v>
      </c>
      <c r="D215" s="279" t="s">
        <v>112</v>
      </c>
      <c r="E215" s="178">
        <v>22</v>
      </c>
      <c r="F215" s="172">
        <f>IF($B215="","",SUMIFS('Daily Inward'!$G:$G,'Daily Inward'!$C:$C,$B215,'Daily Inward'!$E:$E,"Inventory"))</f>
        <v>0</v>
      </c>
      <c r="G215" s="44">
        <f>IF($B215="","",SUMIFS('Daily Issuance'!$G:$G,'Daily Issuance'!$C:$C,$B215,'Daily Issuance'!$E:$E,"Inventory"))</f>
        <v>0</v>
      </c>
      <c r="H215" s="44">
        <f t="shared" si="6"/>
        <v>22</v>
      </c>
      <c r="I215" s="33">
        <v>90</v>
      </c>
      <c r="J215" s="34">
        <f t="shared" si="7"/>
        <v>1980</v>
      </c>
      <c r="K215" s="46"/>
    </row>
    <row r="216" spans="1:11" ht="23.1" customHeight="1">
      <c r="A216" s="170">
        <f>IF($B216="","",MAX($A$3:A215)+1)</f>
        <v>213</v>
      </c>
      <c r="B216" s="176">
        <v>17077</v>
      </c>
      <c r="C216" s="177" t="s">
        <v>317</v>
      </c>
      <c r="D216" s="279" t="s">
        <v>112</v>
      </c>
      <c r="E216" s="178">
        <v>2</v>
      </c>
      <c r="F216" s="172">
        <f>IF($B216="","",SUMIFS('Daily Inward'!$G:$G,'Daily Inward'!$C:$C,$B216,'Daily Inward'!$E:$E,"Inventory"))</f>
        <v>0</v>
      </c>
      <c r="G216" s="44">
        <f>IF($B216="","",SUMIFS('Daily Issuance'!$G:$G,'Daily Issuance'!$C:$C,$B216,'Daily Issuance'!$E:$E,"Inventory"))</f>
        <v>0</v>
      </c>
      <c r="H216" s="44">
        <f t="shared" si="6"/>
        <v>2</v>
      </c>
      <c r="I216" s="33">
        <v>11032</v>
      </c>
      <c r="J216" s="34">
        <f t="shared" si="7"/>
        <v>22064</v>
      </c>
      <c r="K216" s="46"/>
    </row>
    <row r="217" spans="1:11" ht="23.1" customHeight="1">
      <c r="A217" s="170">
        <f>IF($B217="","",MAX($A$3:A216)+1)</f>
        <v>214</v>
      </c>
      <c r="B217" s="176">
        <v>17078</v>
      </c>
      <c r="C217" s="177" t="s">
        <v>318</v>
      </c>
      <c r="D217" s="279" t="s">
        <v>112</v>
      </c>
      <c r="E217" s="178">
        <v>1</v>
      </c>
      <c r="F217" s="172">
        <f>IF($B217="","",SUMIFS('Daily Inward'!$G:$G,'Daily Inward'!$C:$C,$B217,'Daily Inward'!$E:$E,"Inventory"))</f>
        <v>0</v>
      </c>
      <c r="G217" s="44">
        <f>IF($B217="","",SUMIFS('Daily Issuance'!$G:$G,'Daily Issuance'!$C:$C,$B217,'Daily Issuance'!$E:$E,"Inventory"))</f>
        <v>0</v>
      </c>
      <c r="H217" s="44">
        <f t="shared" si="6"/>
        <v>1</v>
      </c>
      <c r="I217" s="33">
        <v>12000</v>
      </c>
      <c r="J217" s="34">
        <f t="shared" si="7"/>
        <v>12000</v>
      </c>
      <c r="K217" s="46"/>
    </row>
    <row r="218" spans="1:11" ht="23.1" customHeight="1">
      <c r="A218" s="170">
        <f>IF($B218="","",MAX($A$3:A217)+1)</f>
        <v>215</v>
      </c>
      <c r="B218" s="176">
        <v>17079</v>
      </c>
      <c r="C218" s="177" t="s">
        <v>319</v>
      </c>
      <c r="D218" s="279" t="s">
        <v>112</v>
      </c>
      <c r="E218" s="178">
        <v>2</v>
      </c>
      <c r="F218" s="172">
        <f>IF($B218="","",SUMIFS('Daily Inward'!$G:$G,'Daily Inward'!$C:$C,$B218,'Daily Inward'!$E:$E,"Inventory"))</f>
        <v>0</v>
      </c>
      <c r="G218" s="44">
        <f>IF($B218="","",SUMIFS('Daily Issuance'!$G:$G,'Daily Issuance'!$C:$C,$B218,'Daily Issuance'!$E:$E,"Inventory"))</f>
        <v>0</v>
      </c>
      <c r="H218" s="44">
        <f t="shared" si="6"/>
        <v>2</v>
      </c>
      <c r="I218" s="33">
        <v>756</v>
      </c>
      <c r="J218" s="34">
        <f t="shared" si="7"/>
        <v>1512</v>
      </c>
      <c r="K218" s="46"/>
    </row>
    <row r="219" spans="1:11" ht="23.1" customHeight="1">
      <c r="A219" s="170">
        <f>IF($B219="","",MAX($A$3:A218)+1)</f>
        <v>216</v>
      </c>
      <c r="B219" s="176">
        <v>17173</v>
      </c>
      <c r="C219" s="177" t="s">
        <v>320</v>
      </c>
      <c r="D219" s="279" t="s">
        <v>112</v>
      </c>
      <c r="E219" s="178">
        <v>2</v>
      </c>
      <c r="F219" s="172">
        <f>IF($B219="","",SUMIFS('Daily Inward'!$G:$G,'Daily Inward'!$C:$C,$B219,'Daily Inward'!$E:$E,"Inventory"))</f>
        <v>0</v>
      </c>
      <c r="G219" s="44">
        <f>IF($B219="","",SUMIFS('Daily Issuance'!$G:$G,'Daily Issuance'!$C:$C,$B219,'Daily Issuance'!$E:$E,"Inventory"))</f>
        <v>0</v>
      </c>
      <c r="H219" s="44">
        <f t="shared" si="6"/>
        <v>2</v>
      </c>
      <c r="I219" s="33">
        <v>101898</v>
      </c>
      <c r="J219" s="34">
        <f t="shared" si="7"/>
        <v>203796</v>
      </c>
      <c r="K219" s="46"/>
    </row>
    <row r="220" spans="1:11" ht="23.1" customHeight="1">
      <c r="A220" s="170">
        <f>IF($B220="","",MAX($A$3:A219)+1)</f>
        <v>217</v>
      </c>
      <c r="B220" s="176">
        <v>17174</v>
      </c>
      <c r="C220" s="177" t="s">
        <v>321</v>
      </c>
      <c r="D220" s="279" t="s">
        <v>112</v>
      </c>
      <c r="E220" s="178">
        <v>7</v>
      </c>
      <c r="F220" s="172">
        <f>IF($B220="","",SUMIFS('Daily Inward'!$G:$G,'Daily Inward'!$C:$C,$B220,'Daily Inward'!$E:$E,"Inventory"))</f>
        <v>0</v>
      </c>
      <c r="G220" s="44">
        <f>IF($B220="","",SUMIFS('Daily Issuance'!$G:$G,'Daily Issuance'!$C:$C,$B220,'Daily Issuance'!$E:$E,"Inventory"))</f>
        <v>0</v>
      </c>
      <c r="H220" s="44">
        <f t="shared" si="6"/>
        <v>7</v>
      </c>
      <c r="I220" s="33">
        <v>826</v>
      </c>
      <c r="J220" s="34">
        <f t="shared" si="7"/>
        <v>5782</v>
      </c>
      <c r="K220" s="46"/>
    </row>
    <row r="221" spans="1:11" ht="23.1" customHeight="1">
      <c r="A221" s="170">
        <f>IF($B221="","",MAX($A$3:A220)+1)</f>
        <v>218</v>
      </c>
      <c r="B221" s="176">
        <v>17175</v>
      </c>
      <c r="C221" s="177" t="s">
        <v>322</v>
      </c>
      <c r="D221" s="279" t="s">
        <v>112</v>
      </c>
      <c r="E221" s="178">
        <v>11</v>
      </c>
      <c r="F221" s="172">
        <f>IF($B221="","",SUMIFS('Daily Inward'!$G:$G,'Daily Inward'!$C:$C,$B221,'Daily Inward'!$E:$E,"Inventory"))</f>
        <v>0</v>
      </c>
      <c r="G221" s="44">
        <f>IF($B221="","",SUMIFS('Daily Issuance'!$G:$G,'Daily Issuance'!$C:$C,$B221,'Daily Issuance'!$E:$E,"Inventory"))</f>
        <v>0</v>
      </c>
      <c r="H221" s="44">
        <f t="shared" si="6"/>
        <v>11</v>
      </c>
      <c r="I221" s="33">
        <v>1102</v>
      </c>
      <c r="J221" s="34">
        <f t="shared" si="7"/>
        <v>12122</v>
      </c>
      <c r="K221" s="46"/>
    </row>
    <row r="222" spans="1:11" ht="23.1" customHeight="1">
      <c r="A222" s="170">
        <f>IF($B222="","",MAX($A$3:A221)+1)</f>
        <v>219</v>
      </c>
      <c r="B222" s="176">
        <v>17176</v>
      </c>
      <c r="C222" s="177" t="s">
        <v>323</v>
      </c>
      <c r="D222" s="279" t="s">
        <v>112</v>
      </c>
      <c r="E222" s="178">
        <v>5</v>
      </c>
      <c r="F222" s="172">
        <f>IF($B222="","",SUMIFS('Daily Inward'!$G:$G,'Daily Inward'!$C:$C,$B222,'Daily Inward'!$E:$E,"Inventory"))</f>
        <v>0</v>
      </c>
      <c r="G222" s="44">
        <f>IF($B222="","",SUMIFS('Daily Issuance'!$G:$G,'Daily Issuance'!$C:$C,$B222,'Daily Issuance'!$E:$E,"Inventory"))</f>
        <v>0</v>
      </c>
      <c r="H222" s="44">
        <f t="shared" si="6"/>
        <v>5</v>
      </c>
      <c r="I222" s="33">
        <v>1432</v>
      </c>
      <c r="J222" s="34">
        <f t="shared" si="7"/>
        <v>7160</v>
      </c>
      <c r="K222" s="46"/>
    </row>
    <row r="223" spans="1:11" ht="23.1" customHeight="1">
      <c r="A223" s="170">
        <f>IF($B223="","",MAX($A$3:A222)+1)</f>
        <v>220</v>
      </c>
      <c r="B223" s="176">
        <v>17178</v>
      </c>
      <c r="C223" s="177" t="s">
        <v>324</v>
      </c>
      <c r="D223" s="279" t="s">
        <v>112</v>
      </c>
      <c r="E223" s="178">
        <v>6</v>
      </c>
      <c r="F223" s="172">
        <f>IF($B223="","",SUMIFS('Daily Inward'!$G:$G,'Daily Inward'!$C:$C,$B223,'Daily Inward'!$E:$E,"Inventory"))</f>
        <v>0</v>
      </c>
      <c r="G223" s="44">
        <f>IF($B223="","",SUMIFS('Daily Issuance'!$G:$G,'Daily Issuance'!$C:$C,$B223,'Daily Issuance'!$E:$E,"Inventory"))</f>
        <v>0</v>
      </c>
      <c r="H223" s="44">
        <f t="shared" si="6"/>
        <v>6</v>
      </c>
      <c r="I223" s="33">
        <v>861</v>
      </c>
      <c r="J223" s="34">
        <f t="shared" si="7"/>
        <v>5166</v>
      </c>
      <c r="K223" s="46"/>
    </row>
    <row r="224" spans="1:11" ht="23.1" customHeight="1">
      <c r="A224" s="170">
        <f>IF($B224="","",MAX($A$3:A223)+1)</f>
        <v>221</v>
      </c>
      <c r="B224" s="176">
        <v>17180</v>
      </c>
      <c r="C224" s="177" t="s">
        <v>325</v>
      </c>
      <c r="D224" s="279" t="s">
        <v>112</v>
      </c>
      <c r="E224" s="178">
        <v>6</v>
      </c>
      <c r="F224" s="172">
        <f>IF($B224="","",SUMIFS('Daily Inward'!$G:$G,'Daily Inward'!$C:$C,$B224,'Daily Inward'!$E:$E,"Inventory"))</f>
        <v>0</v>
      </c>
      <c r="G224" s="44">
        <f>IF($B224="","",SUMIFS('Daily Issuance'!$G:$G,'Daily Issuance'!$C:$C,$B224,'Daily Issuance'!$E:$E,"Inventory"))</f>
        <v>0</v>
      </c>
      <c r="H224" s="44">
        <f t="shared" si="6"/>
        <v>6</v>
      </c>
      <c r="I224" s="33">
        <v>1047</v>
      </c>
      <c r="J224" s="34">
        <f t="shared" si="7"/>
        <v>6282</v>
      </c>
      <c r="K224" s="46"/>
    </row>
    <row r="225" spans="1:11" ht="23.1" customHeight="1">
      <c r="A225" s="170">
        <f>IF($B225="","",MAX($A$3:A224)+1)</f>
        <v>222</v>
      </c>
      <c r="B225" s="176">
        <v>17181</v>
      </c>
      <c r="C225" s="177" t="s">
        <v>326</v>
      </c>
      <c r="D225" s="279" t="s">
        <v>112</v>
      </c>
      <c r="E225" s="178">
        <v>6</v>
      </c>
      <c r="F225" s="172">
        <f>IF($B225="","",SUMIFS('Daily Inward'!$G:$G,'Daily Inward'!$C:$C,$B225,'Daily Inward'!$E:$E,"Inventory"))</f>
        <v>0</v>
      </c>
      <c r="G225" s="44">
        <f>IF($B225="","",SUMIFS('Daily Issuance'!$G:$G,'Daily Issuance'!$C:$C,$B225,'Daily Issuance'!$E:$E,"Inventory"))</f>
        <v>0</v>
      </c>
      <c r="H225" s="44">
        <f t="shared" si="6"/>
        <v>6</v>
      </c>
      <c r="I225" s="33">
        <v>1542</v>
      </c>
      <c r="J225" s="34">
        <f t="shared" si="7"/>
        <v>9252</v>
      </c>
      <c r="K225" s="46"/>
    </row>
    <row r="226" spans="1:11" ht="23.1" customHeight="1">
      <c r="A226" s="170">
        <f>IF($B226="","",MAX($A$3:A225)+1)</f>
        <v>223</v>
      </c>
      <c r="B226" s="176">
        <v>17182</v>
      </c>
      <c r="C226" s="177" t="s">
        <v>327</v>
      </c>
      <c r="D226" s="279" t="s">
        <v>112</v>
      </c>
      <c r="E226" s="178">
        <v>3</v>
      </c>
      <c r="F226" s="172">
        <f>IF($B226="","",SUMIFS('Daily Inward'!$G:$G,'Daily Inward'!$C:$C,$B226,'Daily Inward'!$E:$E,"Inventory"))</f>
        <v>0</v>
      </c>
      <c r="G226" s="44">
        <f>IF($B226="","",SUMIFS('Daily Issuance'!$G:$G,'Daily Issuance'!$C:$C,$B226,'Daily Issuance'!$E:$E,"Inventory"))</f>
        <v>0</v>
      </c>
      <c r="H226" s="44">
        <f t="shared" si="6"/>
        <v>3</v>
      </c>
      <c r="I226" s="33">
        <v>28642</v>
      </c>
      <c r="J226" s="34">
        <f t="shared" si="7"/>
        <v>85926</v>
      </c>
      <c r="K226" s="46"/>
    </row>
    <row r="227" spans="1:11" ht="23.1" customHeight="1">
      <c r="A227" s="170">
        <f>IF($B227="","",MAX($A$3:A226)+1)</f>
        <v>224</v>
      </c>
      <c r="B227" s="176">
        <v>17184</v>
      </c>
      <c r="C227" s="177" t="s">
        <v>328</v>
      </c>
      <c r="D227" s="279" t="s">
        <v>112</v>
      </c>
      <c r="E227" s="178">
        <v>11</v>
      </c>
      <c r="F227" s="172">
        <f>IF($B227="","",SUMIFS('Daily Inward'!$G:$G,'Daily Inward'!$C:$C,$B227,'Daily Inward'!$E:$E,"Inventory"))</f>
        <v>0</v>
      </c>
      <c r="G227" s="44">
        <f>IF($B227="","",SUMIFS('Daily Issuance'!$G:$G,'Daily Issuance'!$C:$C,$B227,'Daily Issuance'!$E:$E,"Inventory"))</f>
        <v>5</v>
      </c>
      <c r="H227" s="44">
        <f t="shared" si="6"/>
        <v>6</v>
      </c>
      <c r="I227" s="33">
        <v>620</v>
      </c>
      <c r="J227" s="34">
        <f t="shared" si="7"/>
        <v>3720</v>
      </c>
      <c r="K227" s="46"/>
    </row>
    <row r="228" spans="1:11" ht="23.1" customHeight="1">
      <c r="A228" s="170">
        <f>IF($B228="","",MAX($A$3:A227)+1)</f>
        <v>225</v>
      </c>
      <c r="B228" s="176">
        <v>17186</v>
      </c>
      <c r="C228" s="177" t="s">
        <v>329</v>
      </c>
      <c r="D228" s="279" t="s">
        <v>112</v>
      </c>
      <c r="E228" s="178">
        <v>1</v>
      </c>
      <c r="F228" s="172">
        <f>IF($B228="","",SUMIFS('Daily Inward'!$G:$G,'Daily Inward'!$C:$C,$B228,'Daily Inward'!$E:$E,"Inventory"))</f>
        <v>0</v>
      </c>
      <c r="G228" s="44">
        <f>IF($B228="","",SUMIFS('Daily Issuance'!$G:$G,'Daily Issuance'!$C:$C,$B228,'Daily Issuance'!$E:$E,"Inventory"))</f>
        <v>0</v>
      </c>
      <c r="H228" s="44">
        <f t="shared" si="6"/>
        <v>1</v>
      </c>
      <c r="I228" s="33">
        <v>9480</v>
      </c>
      <c r="J228" s="34">
        <f t="shared" si="7"/>
        <v>9480</v>
      </c>
      <c r="K228" s="46"/>
    </row>
    <row r="229" spans="1:11" ht="23.1" customHeight="1">
      <c r="A229" s="170">
        <f>IF($B229="","",MAX($A$3:A228)+1)</f>
        <v>226</v>
      </c>
      <c r="B229" s="176">
        <v>17218</v>
      </c>
      <c r="C229" s="177" t="s">
        <v>330</v>
      </c>
      <c r="D229" s="279" t="s">
        <v>112</v>
      </c>
      <c r="E229" s="178">
        <v>1</v>
      </c>
      <c r="F229" s="172">
        <f>IF($B229="","",SUMIFS('Daily Inward'!$G:$G,'Daily Inward'!$C:$C,$B229,'Daily Inward'!$E:$E,"Inventory"))</f>
        <v>0</v>
      </c>
      <c r="G229" s="44">
        <f>IF($B229="","",SUMIFS('Daily Issuance'!$G:$G,'Daily Issuance'!$C:$C,$B229,'Daily Issuance'!$E:$E,"Inventory"))</f>
        <v>0</v>
      </c>
      <c r="H229" s="44">
        <f t="shared" si="6"/>
        <v>1</v>
      </c>
      <c r="I229" s="33">
        <v>6000</v>
      </c>
      <c r="J229" s="34">
        <f t="shared" si="7"/>
        <v>6000</v>
      </c>
      <c r="K229" s="46"/>
    </row>
    <row r="230" spans="1:11" ht="23.1" customHeight="1">
      <c r="A230" s="170">
        <f>IF($B230="","",MAX($A$3:A229)+1)</f>
        <v>227</v>
      </c>
      <c r="B230" s="176">
        <v>17237</v>
      </c>
      <c r="C230" s="177" t="s">
        <v>331</v>
      </c>
      <c r="D230" s="279" t="s">
        <v>112</v>
      </c>
      <c r="E230" s="178">
        <v>1</v>
      </c>
      <c r="F230" s="172">
        <f>IF($B230="","",SUMIFS('Daily Inward'!$G:$G,'Daily Inward'!$C:$C,$B230,'Daily Inward'!$E:$E,"Inventory"))</f>
        <v>13</v>
      </c>
      <c r="G230" s="44">
        <f>IF($B230="","",SUMIFS('Daily Issuance'!$G:$G,'Daily Issuance'!$C:$C,$B230,'Daily Issuance'!$E:$E,"Inventory"))</f>
        <v>6</v>
      </c>
      <c r="H230" s="44">
        <f t="shared" si="6"/>
        <v>8</v>
      </c>
      <c r="I230" s="33">
        <v>9000</v>
      </c>
      <c r="J230" s="34">
        <f t="shared" si="7"/>
        <v>72000</v>
      </c>
      <c r="K230" s="46"/>
    </row>
    <row r="231" spans="1:11" ht="23.1" customHeight="1">
      <c r="A231" s="170">
        <f>IF($B231="","",MAX($A$3:A230)+1)</f>
        <v>228</v>
      </c>
      <c r="B231" s="176">
        <v>17242</v>
      </c>
      <c r="C231" s="177" t="s">
        <v>332</v>
      </c>
      <c r="D231" s="279" t="s">
        <v>112</v>
      </c>
      <c r="E231" s="178">
        <v>1</v>
      </c>
      <c r="F231" s="172">
        <f>IF($B231="","",SUMIFS('Daily Inward'!$G:$G,'Daily Inward'!$C:$C,$B231,'Daily Inward'!$E:$E,"Inventory"))</f>
        <v>0</v>
      </c>
      <c r="G231" s="44">
        <f>IF($B231="","",SUMIFS('Daily Issuance'!$G:$G,'Daily Issuance'!$C:$C,$B231,'Daily Issuance'!$E:$E,"Inventory"))</f>
        <v>0</v>
      </c>
      <c r="H231" s="44">
        <f t="shared" si="6"/>
        <v>1</v>
      </c>
      <c r="I231" s="33">
        <v>40500</v>
      </c>
      <c r="J231" s="34">
        <f t="shared" si="7"/>
        <v>40500</v>
      </c>
      <c r="K231" s="46"/>
    </row>
    <row r="232" spans="1:11" ht="23.1" customHeight="1">
      <c r="A232" s="170">
        <f>IF($B232="","",MAX($A$3:A231)+1)</f>
        <v>229</v>
      </c>
      <c r="B232" s="176">
        <v>17285</v>
      </c>
      <c r="C232" s="177" t="s">
        <v>333</v>
      </c>
      <c r="D232" s="279" t="s">
        <v>112</v>
      </c>
      <c r="E232" s="178">
        <v>4</v>
      </c>
      <c r="F232" s="172">
        <f>IF($B232="","",SUMIFS('Daily Inward'!$G:$G,'Daily Inward'!$C:$C,$B232,'Daily Inward'!$E:$E,"Inventory"))</f>
        <v>0</v>
      </c>
      <c r="G232" s="44">
        <f>IF($B232="","",SUMIFS('Daily Issuance'!$G:$G,'Daily Issuance'!$C:$C,$B232,'Daily Issuance'!$E:$E,"Inventory"))</f>
        <v>0</v>
      </c>
      <c r="H232" s="44">
        <f t="shared" si="6"/>
        <v>4</v>
      </c>
      <c r="I232" s="33">
        <v>6750</v>
      </c>
      <c r="J232" s="34">
        <f t="shared" si="7"/>
        <v>27000</v>
      </c>
      <c r="K232" s="46"/>
    </row>
    <row r="233" spans="1:11" ht="23.1" customHeight="1">
      <c r="A233" s="170">
        <f>IF($B233="","",MAX($A$3:A232)+1)</f>
        <v>230</v>
      </c>
      <c r="B233" s="176">
        <v>17296</v>
      </c>
      <c r="C233" s="177" t="s">
        <v>334</v>
      </c>
      <c r="D233" s="279" t="s">
        <v>112</v>
      </c>
      <c r="E233" s="178">
        <v>7</v>
      </c>
      <c r="F233" s="172">
        <f>IF($B233="","",SUMIFS('Daily Inward'!$G:$G,'Daily Inward'!$C:$C,$B233,'Daily Inward'!$E:$E,"Inventory"))</f>
        <v>15</v>
      </c>
      <c r="G233" s="44">
        <f>IF($B233="","",SUMIFS('Daily Issuance'!$G:$G,'Daily Issuance'!$C:$C,$B233,'Daily Issuance'!$E:$E,"Inventory"))</f>
        <v>0</v>
      </c>
      <c r="H233" s="44">
        <f t="shared" si="6"/>
        <v>22</v>
      </c>
      <c r="I233" s="33">
        <v>2000</v>
      </c>
      <c r="J233" s="34">
        <f t="shared" si="7"/>
        <v>44000</v>
      </c>
      <c r="K233" s="46"/>
    </row>
    <row r="234" spans="1:11" ht="23.1" customHeight="1">
      <c r="A234" s="170">
        <f>IF($B234="","",MAX($A$3:A233)+1)</f>
        <v>231</v>
      </c>
      <c r="B234" s="176">
        <v>17333</v>
      </c>
      <c r="C234" s="177" t="s">
        <v>335</v>
      </c>
      <c r="D234" s="279" t="s">
        <v>112</v>
      </c>
      <c r="E234" s="178">
        <v>6</v>
      </c>
      <c r="F234" s="172">
        <f>IF($B234="","",SUMIFS('Daily Inward'!$G:$G,'Daily Inward'!$C:$C,$B234,'Daily Inward'!$E:$E,"Inventory"))</f>
        <v>0</v>
      </c>
      <c r="G234" s="44">
        <f>IF($B234="","",SUMIFS('Daily Issuance'!$G:$G,'Daily Issuance'!$C:$C,$B234,'Daily Issuance'!$E:$E,"Inventory"))</f>
        <v>0</v>
      </c>
      <c r="H234" s="44">
        <f t="shared" si="6"/>
        <v>6</v>
      </c>
      <c r="I234" s="33">
        <v>500</v>
      </c>
      <c r="J234" s="34">
        <f t="shared" si="7"/>
        <v>3000</v>
      </c>
      <c r="K234" s="46"/>
    </row>
    <row r="235" spans="1:11" ht="23.1" customHeight="1">
      <c r="A235" s="170">
        <f>IF($B235="","",MAX($A$3:A234)+1)</f>
        <v>232</v>
      </c>
      <c r="B235" s="176">
        <v>17334</v>
      </c>
      <c r="C235" s="177" t="s">
        <v>336</v>
      </c>
      <c r="D235" s="279" t="s">
        <v>112</v>
      </c>
      <c r="E235" s="178">
        <v>6</v>
      </c>
      <c r="F235" s="172">
        <f>IF($B235="","",SUMIFS('Daily Inward'!$G:$G,'Daily Inward'!$C:$C,$B235,'Daily Inward'!$E:$E,"Inventory"))</f>
        <v>0</v>
      </c>
      <c r="G235" s="44">
        <f>IF($B235="","",SUMIFS('Daily Issuance'!$G:$G,'Daily Issuance'!$C:$C,$B235,'Daily Issuance'!$E:$E,"Inventory"))</f>
        <v>0</v>
      </c>
      <c r="H235" s="44">
        <f t="shared" si="6"/>
        <v>6</v>
      </c>
      <c r="I235" s="33">
        <v>525</v>
      </c>
      <c r="J235" s="34">
        <f t="shared" si="7"/>
        <v>3150</v>
      </c>
      <c r="K235" s="46"/>
    </row>
    <row r="236" spans="1:11" ht="23.1" customHeight="1">
      <c r="A236" s="170">
        <f>IF($B236="","",MAX($A$3:A235)+1)</f>
        <v>233</v>
      </c>
      <c r="B236" s="176">
        <v>17360</v>
      </c>
      <c r="C236" s="177" t="s">
        <v>337</v>
      </c>
      <c r="D236" s="279" t="s">
        <v>1311</v>
      </c>
      <c r="E236" s="178">
        <v>59</v>
      </c>
      <c r="F236" s="172">
        <f>IF($B236="","",SUMIFS('Daily Inward'!$G:$G,'Daily Inward'!$C:$C,$B236,'Daily Inward'!$E:$E,"Inventory"))</f>
        <v>0</v>
      </c>
      <c r="G236" s="44">
        <f>IF($B236="","",SUMIFS('Daily Issuance'!$G:$G,'Daily Issuance'!$C:$C,$B236,'Daily Issuance'!$E:$E,"Inventory"))</f>
        <v>59</v>
      </c>
      <c r="H236" s="44">
        <f t="shared" si="6"/>
        <v>0</v>
      </c>
      <c r="I236" s="33">
        <v>20475</v>
      </c>
      <c r="J236" s="34">
        <f t="shared" si="7"/>
        <v>0</v>
      </c>
      <c r="K236" s="46"/>
    </row>
    <row r="237" spans="1:11" ht="23.1" customHeight="1">
      <c r="A237" s="170">
        <f>IF($B237="","",MAX($A$3:A236)+1)</f>
        <v>234</v>
      </c>
      <c r="B237" s="176">
        <v>17378</v>
      </c>
      <c r="C237" s="177" t="s">
        <v>339</v>
      </c>
      <c r="D237" s="279" t="s">
        <v>112</v>
      </c>
      <c r="E237" s="178">
        <v>0</v>
      </c>
      <c r="F237" s="172">
        <f>IF($B237="","",SUMIFS('Daily Inward'!$G:$G,'Daily Inward'!$C:$C,$B237,'Daily Inward'!$E:$E,"Inventory"))</f>
        <v>1</v>
      </c>
      <c r="G237" s="44">
        <f>IF($B237="","",SUMIFS('Daily Issuance'!$G:$G,'Daily Issuance'!$C:$C,$B237,'Daily Issuance'!$E:$E,"Inventory"))</f>
        <v>0</v>
      </c>
      <c r="H237" s="44">
        <f t="shared" si="6"/>
        <v>1</v>
      </c>
      <c r="I237" s="33">
        <v>9000</v>
      </c>
      <c r="J237" s="34">
        <f t="shared" si="7"/>
        <v>9000</v>
      </c>
      <c r="K237" s="46"/>
    </row>
    <row r="238" spans="1:11" ht="23.1" customHeight="1">
      <c r="A238" s="170">
        <f>IF($B238="","",MAX($A$3:A237)+1)</f>
        <v>235</v>
      </c>
      <c r="B238" s="176">
        <v>17381</v>
      </c>
      <c r="C238" s="177" t="s">
        <v>340</v>
      </c>
      <c r="D238" s="279" t="s">
        <v>112</v>
      </c>
      <c r="E238" s="178">
        <v>4</v>
      </c>
      <c r="F238" s="172">
        <f>IF($B238="","",SUMIFS('Daily Inward'!$G:$G,'Daily Inward'!$C:$C,$B238,'Daily Inward'!$E:$E,"Inventory"))</f>
        <v>0</v>
      </c>
      <c r="G238" s="44">
        <f>IF($B238="","",SUMIFS('Daily Issuance'!$G:$G,'Daily Issuance'!$C:$C,$B238,'Daily Issuance'!$E:$E,"Inventory"))</f>
        <v>0</v>
      </c>
      <c r="H238" s="44">
        <f t="shared" si="6"/>
        <v>4</v>
      </c>
      <c r="I238" s="33">
        <v>550</v>
      </c>
      <c r="J238" s="34">
        <f t="shared" si="7"/>
        <v>2200</v>
      </c>
      <c r="K238" s="46"/>
    </row>
    <row r="239" spans="1:11" ht="23.1" customHeight="1">
      <c r="A239" s="170">
        <f>IF($B239="","",MAX($A$3:A238)+1)</f>
        <v>236</v>
      </c>
      <c r="B239" s="176">
        <v>17619</v>
      </c>
      <c r="C239" s="177" t="s">
        <v>341</v>
      </c>
      <c r="D239" s="279" t="s">
        <v>112</v>
      </c>
      <c r="E239" s="178">
        <v>21</v>
      </c>
      <c r="F239" s="172">
        <f>IF($B239="","",SUMIFS('Daily Inward'!$G:$G,'Daily Inward'!$C:$C,$B239,'Daily Inward'!$E:$E,"Inventory"))</f>
        <v>0</v>
      </c>
      <c r="G239" s="44">
        <f>IF($B239="","",SUMIFS('Daily Issuance'!$G:$G,'Daily Issuance'!$C:$C,$B239,'Daily Issuance'!$E:$E,"Inventory"))</f>
        <v>0</v>
      </c>
      <c r="H239" s="44">
        <f t="shared" si="6"/>
        <v>21</v>
      </c>
      <c r="I239" s="33">
        <v>230</v>
      </c>
      <c r="J239" s="34">
        <f t="shared" si="7"/>
        <v>4830</v>
      </c>
      <c r="K239" s="46"/>
    </row>
    <row r="240" spans="1:11" ht="23.1" customHeight="1">
      <c r="A240" s="170">
        <f>IF($B240="","",MAX($A$3:A239)+1)</f>
        <v>237</v>
      </c>
      <c r="B240" s="176">
        <v>17622</v>
      </c>
      <c r="C240" s="177" t="s">
        <v>342</v>
      </c>
      <c r="D240" s="279" t="s">
        <v>112</v>
      </c>
      <c r="E240" s="178">
        <v>0</v>
      </c>
      <c r="F240" s="172">
        <f>IF($B240="","",SUMIFS('Daily Inward'!$G:$G,'Daily Inward'!$C:$C,$B240,'Daily Inward'!$E:$E,"Inventory"))</f>
        <v>15</v>
      </c>
      <c r="G240" s="44">
        <f>IF($B240="","",SUMIFS('Daily Issuance'!$G:$G,'Daily Issuance'!$C:$C,$B240,'Daily Issuance'!$E:$E,"Inventory"))</f>
        <v>3</v>
      </c>
      <c r="H240" s="44">
        <f t="shared" si="6"/>
        <v>12</v>
      </c>
      <c r="I240" s="33">
        <v>2600</v>
      </c>
      <c r="J240" s="34">
        <f t="shared" si="7"/>
        <v>31200</v>
      </c>
      <c r="K240" s="46"/>
    </row>
    <row r="241" spans="1:11" ht="23.1" customHeight="1">
      <c r="A241" s="170">
        <f>IF($B241="","",MAX($A$3:A240)+1)</f>
        <v>238</v>
      </c>
      <c r="B241" s="176">
        <v>17631</v>
      </c>
      <c r="C241" s="177" t="s">
        <v>343</v>
      </c>
      <c r="D241" s="279" t="s">
        <v>112</v>
      </c>
      <c r="E241" s="178">
        <v>7</v>
      </c>
      <c r="F241" s="172">
        <f>IF($B241="","",SUMIFS('Daily Inward'!$G:$G,'Daily Inward'!$C:$C,$B241,'Daily Inward'!$E:$E,"Inventory"))</f>
        <v>0</v>
      </c>
      <c r="G241" s="44">
        <f>IF($B241="","",SUMIFS('Daily Issuance'!$G:$G,'Daily Issuance'!$C:$C,$B241,'Daily Issuance'!$E:$E,"Inventory"))</f>
        <v>0</v>
      </c>
      <c r="H241" s="44">
        <f t="shared" si="6"/>
        <v>7</v>
      </c>
      <c r="I241" s="33">
        <v>5000</v>
      </c>
      <c r="J241" s="34">
        <f t="shared" si="7"/>
        <v>35000</v>
      </c>
      <c r="K241" s="46"/>
    </row>
    <row r="242" spans="1:11" ht="23.1" customHeight="1">
      <c r="A242" s="170">
        <f>IF($B242="","",MAX($A$3:A241)+1)</f>
        <v>239</v>
      </c>
      <c r="B242" s="176">
        <v>17632</v>
      </c>
      <c r="C242" s="177" t="s">
        <v>344</v>
      </c>
      <c r="D242" s="279" t="s">
        <v>112</v>
      </c>
      <c r="E242" s="178">
        <v>1</v>
      </c>
      <c r="F242" s="172">
        <f>IF($B242="","",SUMIFS('Daily Inward'!$G:$G,'Daily Inward'!$C:$C,$B242,'Daily Inward'!$E:$E,"Inventory"))</f>
        <v>0</v>
      </c>
      <c r="G242" s="44">
        <f>IF($B242="","",SUMIFS('Daily Issuance'!$G:$G,'Daily Issuance'!$C:$C,$B242,'Daily Issuance'!$E:$E,"Inventory"))</f>
        <v>0</v>
      </c>
      <c r="H242" s="44">
        <f t="shared" si="6"/>
        <v>1</v>
      </c>
      <c r="I242" s="33">
        <v>6000</v>
      </c>
      <c r="J242" s="34">
        <f t="shared" si="7"/>
        <v>6000</v>
      </c>
      <c r="K242" s="46"/>
    </row>
    <row r="243" spans="1:11" ht="23.1" customHeight="1">
      <c r="A243" s="170">
        <f>IF($B243="","",MAX($A$3:A242)+1)</f>
        <v>240</v>
      </c>
      <c r="B243" s="176">
        <v>17633</v>
      </c>
      <c r="C243" s="177" t="s">
        <v>345</v>
      </c>
      <c r="D243" s="279" t="s">
        <v>112</v>
      </c>
      <c r="E243" s="178">
        <v>12</v>
      </c>
      <c r="F243" s="172">
        <f>IF($B243="","",SUMIFS('Daily Inward'!$G:$G,'Daily Inward'!$C:$C,$B243,'Daily Inward'!$E:$E,"Inventory"))</f>
        <v>10</v>
      </c>
      <c r="G243" s="44">
        <f>IF($B243="","",SUMIFS('Daily Issuance'!$G:$G,'Daily Issuance'!$C:$C,$B243,'Daily Issuance'!$E:$E,"Inventory"))</f>
        <v>4</v>
      </c>
      <c r="H243" s="44">
        <f t="shared" si="6"/>
        <v>18</v>
      </c>
      <c r="I243" s="33">
        <v>2500</v>
      </c>
      <c r="J243" s="34">
        <f t="shared" si="7"/>
        <v>45000</v>
      </c>
      <c r="K243" s="46"/>
    </row>
    <row r="244" spans="1:11" ht="23.1" customHeight="1">
      <c r="A244" s="170">
        <f>IF($B244="","",MAX($A$3:A243)+1)</f>
        <v>241</v>
      </c>
      <c r="B244" s="176">
        <v>17668</v>
      </c>
      <c r="C244" s="177" t="s">
        <v>346</v>
      </c>
      <c r="D244" s="279" t="s">
        <v>112</v>
      </c>
      <c r="E244" s="178">
        <v>3</v>
      </c>
      <c r="F244" s="172">
        <f>IF($B244="","",SUMIFS('Daily Inward'!$G:$G,'Daily Inward'!$C:$C,$B244,'Daily Inward'!$E:$E,"Inventory"))</f>
        <v>0</v>
      </c>
      <c r="G244" s="44">
        <f>IF($B244="","",SUMIFS('Daily Issuance'!$G:$G,'Daily Issuance'!$C:$C,$B244,'Daily Issuance'!$E:$E,"Inventory"))</f>
        <v>0</v>
      </c>
      <c r="H244" s="44">
        <f t="shared" si="6"/>
        <v>3</v>
      </c>
      <c r="I244" s="33">
        <v>4975</v>
      </c>
      <c r="J244" s="34">
        <f t="shared" si="7"/>
        <v>14925</v>
      </c>
      <c r="K244" s="46"/>
    </row>
    <row r="245" spans="1:11" ht="23.1" customHeight="1">
      <c r="A245" s="170">
        <f>IF($B245="","",MAX($A$3:A244)+1)</f>
        <v>242</v>
      </c>
      <c r="B245" s="176">
        <v>17670</v>
      </c>
      <c r="C245" s="177" t="s">
        <v>347</v>
      </c>
      <c r="D245" s="279" t="s">
        <v>112</v>
      </c>
      <c r="E245" s="178">
        <v>1</v>
      </c>
      <c r="F245" s="172">
        <f>IF($B245="","",SUMIFS('Daily Inward'!$G:$G,'Daily Inward'!$C:$C,$B245,'Daily Inward'!$E:$E,"Inventory"))</f>
        <v>0</v>
      </c>
      <c r="G245" s="44">
        <f>IF($B245="","",SUMIFS('Daily Issuance'!$G:$G,'Daily Issuance'!$C:$C,$B245,'Daily Issuance'!$E:$E,"Inventory"))</f>
        <v>0</v>
      </c>
      <c r="H245" s="44">
        <f t="shared" si="6"/>
        <v>1</v>
      </c>
      <c r="I245" s="33">
        <v>3470</v>
      </c>
      <c r="J245" s="34">
        <f t="shared" si="7"/>
        <v>3470</v>
      </c>
      <c r="K245" s="46"/>
    </row>
    <row r="246" spans="1:11" ht="23.1" customHeight="1">
      <c r="A246" s="170">
        <f>IF($B246="","",MAX($A$3:A245)+1)</f>
        <v>243</v>
      </c>
      <c r="B246" s="176">
        <v>17671</v>
      </c>
      <c r="C246" s="177" t="s">
        <v>348</v>
      </c>
      <c r="D246" s="279" t="s">
        <v>112</v>
      </c>
      <c r="E246" s="178">
        <v>1</v>
      </c>
      <c r="F246" s="172">
        <f>IF($B246="","",SUMIFS('Daily Inward'!$G:$G,'Daily Inward'!$C:$C,$B246,'Daily Inward'!$E:$E,"Inventory"))</f>
        <v>0</v>
      </c>
      <c r="G246" s="44">
        <f>IF($B246="","",SUMIFS('Daily Issuance'!$G:$G,'Daily Issuance'!$C:$C,$B246,'Daily Issuance'!$E:$E,"Inventory"))</f>
        <v>0</v>
      </c>
      <c r="H246" s="44">
        <f t="shared" si="6"/>
        <v>1</v>
      </c>
      <c r="I246" s="33">
        <v>422</v>
      </c>
      <c r="J246" s="34">
        <f t="shared" si="7"/>
        <v>422</v>
      </c>
      <c r="K246" s="46"/>
    </row>
    <row r="247" spans="1:11" ht="23.1" customHeight="1">
      <c r="A247" s="170">
        <f>IF($B247="","",MAX($A$3:A246)+1)</f>
        <v>244</v>
      </c>
      <c r="B247" s="176">
        <v>17815</v>
      </c>
      <c r="C247" s="177" t="s">
        <v>349</v>
      </c>
      <c r="D247" s="279" t="s">
        <v>112</v>
      </c>
      <c r="E247" s="178">
        <v>1</v>
      </c>
      <c r="F247" s="172">
        <f>IF($B247="","",SUMIFS('Daily Inward'!$G:$G,'Daily Inward'!$C:$C,$B247,'Daily Inward'!$E:$E,"Inventory"))</f>
        <v>0</v>
      </c>
      <c r="G247" s="44">
        <f>IF($B247="","",SUMIFS('Daily Issuance'!$G:$G,'Daily Issuance'!$C:$C,$B247,'Daily Issuance'!$E:$E,"Inventory"))</f>
        <v>0</v>
      </c>
      <c r="H247" s="44">
        <f t="shared" si="6"/>
        <v>1</v>
      </c>
      <c r="I247" s="33">
        <v>15995</v>
      </c>
      <c r="J247" s="34">
        <f t="shared" si="7"/>
        <v>15995</v>
      </c>
      <c r="K247" s="46"/>
    </row>
    <row r="248" spans="1:11" ht="23.1" customHeight="1">
      <c r="A248" s="170">
        <f>IF($B248="","",MAX($A$3:A247)+1)</f>
        <v>245</v>
      </c>
      <c r="B248" s="176">
        <v>17839</v>
      </c>
      <c r="C248" s="177" t="s">
        <v>350</v>
      </c>
      <c r="D248" s="279" t="s">
        <v>112</v>
      </c>
      <c r="E248" s="178">
        <v>1</v>
      </c>
      <c r="F248" s="172">
        <f>IF($B248="","",SUMIFS('Daily Inward'!$G:$G,'Daily Inward'!$C:$C,$B248,'Daily Inward'!$E:$E,"Inventory"))</f>
        <v>0</v>
      </c>
      <c r="G248" s="44">
        <f>IF($B248="","",SUMIFS('Daily Issuance'!$G:$G,'Daily Issuance'!$C:$C,$B248,'Daily Issuance'!$E:$E,"Inventory"))</f>
        <v>0</v>
      </c>
      <c r="H248" s="44">
        <f t="shared" si="6"/>
        <v>1</v>
      </c>
      <c r="I248" s="33">
        <v>10050</v>
      </c>
      <c r="J248" s="34">
        <f t="shared" si="7"/>
        <v>10050</v>
      </c>
      <c r="K248" s="46"/>
    </row>
    <row r="249" spans="1:11" ht="23.1" customHeight="1">
      <c r="A249" s="170">
        <f>IF($B249="","",MAX($A$3:A248)+1)</f>
        <v>246</v>
      </c>
      <c r="B249" s="176">
        <v>17840</v>
      </c>
      <c r="C249" s="177" t="s">
        <v>351</v>
      </c>
      <c r="D249" s="279" t="s">
        <v>112</v>
      </c>
      <c r="E249" s="178">
        <v>2</v>
      </c>
      <c r="F249" s="172">
        <f>IF($B249="","",SUMIFS('Daily Inward'!$G:$G,'Daily Inward'!$C:$C,$B249,'Daily Inward'!$E:$E,"Inventory"))</f>
        <v>0</v>
      </c>
      <c r="G249" s="44">
        <f>IF($B249="","",SUMIFS('Daily Issuance'!$G:$G,'Daily Issuance'!$C:$C,$B249,'Daily Issuance'!$E:$E,"Inventory"))</f>
        <v>0</v>
      </c>
      <c r="H249" s="44">
        <f t="shared" si="6"/>
        <v>2</v>
      </c>
      <c r="I249" s="33">
        <v>10050</v>
      </c>
      <c r="J249" s="34">
        <f t="shared" si="7"/>
        <v>20100</v>
      </c>
      <c r="K249" s="46"/>
    </row>
    <row r="250" spans="1:11" ht="23.1" customHeight="1">
      <c r="A250" s="170">
        <f>IF($B250="","",MAX($A$3:A249)+1)</f>
        <v>247</v>
      </c>
      <c r="B250" s="176">
        <v>17861</v>
      </c>
      <c r="C250" s="177" t="s">
        <v>352</v>
      </c>
      <c r="D250" s="279" t="s">
        <v>112</v>
      </c>
      <c r="E250" s="178">
        <v>3</v>
      </c>
      <c r="F250" s="172">
        <f>IF($B250="","",SUMIFS('Daily Inward'!$G:$G,'Daily Inward'!$C:$C,$B250,'Daily Inward'!$E:$E,"Inventory"))</f>
        <v>0</v>
      </c>
      <c r="G250" s="44">
        <f>IF($B250="","",SUMIFS('Daily Issuance'!$G:$G,'Daily Issuance'!$C:$C,$B250,'Daily Issuance'!$E:$E,"Inventory"))</f>
        <v>0</v>
      </c>
      <c r="H250" s="44">
        <f t="shared" si="6"/>
        <v>3</v>
      </c>
      <c r="I250" s="33" t="s">
        <v>353</v>
      </c>
      <c r="J250" s="34">
        <f t="shared" si="7"/>
        <v>120</v>
      </c>
      <c r="K250" s="46"/>
    </row>
    <row r="251" spans="1:11" ht="23.1" customHeight="1">
      <c r="A251" s="170">
        <f>IF($B251="","",MAX($A$3:A250)+1)</f>
        <v>248</v>
      </c>
      <c r="B251" s="176">
        <v>17902</v>
      </c>
      <c r="C251" s="177" t="s">
        <v>354</v>
      </c>
      <c r="D251" s="279" t="s">
        <v>112</v>
      </c>
      <c r="E251" s="178">
        <v>7</v>
      </c>
      <c r="F251" s="172">
        <f>IF($B251="","",SUMIFS('Daily Inward'!$G:$G,'Daily Inward'!$C:$C,$B251,'Daily Inward'!$E:$E,"Inventory"))</f>
        <v>0</v>
      </c>
      <c r="G251" s="44">
        <f>IF($B251="","",SUMIFS('Daily Issuance'!$G:$G,'Daily Issuance'!$C:$C,$B251,'Daily Issuance'!$E:$E,"Inventory"))</f>
        <v>0</v>
      </c>
      <c r="H251" s="44">
        <f t="shared" si="6"/>
        <v>7</v>
      </c>
      <c r="I251" s="33" t="s">
        <v>355</v>
      </c>
      <c r="J251" s="34">
        <f t="shared" si="7"/>
        <v>12530</v>
      </c>
      <c r="K251" s="46"/>
    </row>
    <row r="252" spans="1:11" ht="23.1" customHeight="1">
      <c r="A252" s="170">
        <f>IF($B252="","",MAX($A$3:A251)+1)</f>
        <v>249</v>
      </c>
      <c r="B252" s="176">
        <v>17941</v>
      </c>
      <c r="C252" s="177" t="s">
        <v>356</v>
      </c>
      <c r="D252" s="279" t="s">
        <v>112</v>
      </c>
      <c r="E252" s="178">
        <v>540</v>
      </c>
      <c r="F252" s="172">
        <f>IF($B252="","",SUMIFS('Daily Inward'!$G:$G,'Daily Inward'!$C:$C,$B252,'Daily Inward'!$E:$E,"Inventory"))</f>
        <v>0</v>
      </c>
      <c r="G252" s="44">
        <f>IF($B252="","",SUMIFS('Daily Issuance'!$G:$G,'Daily Issuance'!$C:$C,$B252,'Daily Issuance'!$E:$E,"Inventory"))</f>
        <v>0</v>
      </c>
      <c r="H252" s="44">
        <f t="shared" si="6"/>
        <v>540</v>
      </c>
      <c r="I252" s="33">
        <v>1711</v>
      </c>
      <c r="J252" s="34">
        <f t="shared" si="7"/>
        <v>923940</v>
      </c>
      <c r="K252" s="46"/>
    </row>
    <row r="253" spans="1:11" ht="23.1" customHeight="1">
      <c r="A253" s="170">
        <f>IF($B253="","",MAX($A$3:A252)+1)</f>
        <v>250</v>
      </c>
      <c r="B253" s="176">
        <v>17961</v>
      </c>
      <c r="C253" s="177" t="s">
        <v>357</v>
      </c>
      <c r="D253" s="279" t="s">
        <v>112</v>
      </c>
      <c r="E253" s="178">
        <v>12</v>
      </c>
      <c r="F253" s="172">
        <f>IF($B253="","",SUMIFS('Daily Inward'!$G:$G,'Daily Inward'!$C:$C,$B253,'Daily Inward'!$E:$E,"Inventory"))</f>
        <v>0</v>
      </c>
      <c r="G253" s="44">
        <f>IF($B253="","",SUMIFS('Daily Issuance'!$G:$G,'Daily Issuance'!$C:$C,$B253,'Daily Issuance'!$E:$E,"Inventory"))</f>
        <v>0</v>
      </c>
      <c r="H253" s="44">
        <f t="shared" si="6"/>
        <v>12</v>
      </c>
      <c r="I253" s="33" t="s">
        <v>358</v>
      </c>
      <c r="J253" s="34">
        <f t="shared" si="7"/>
        <v>12600</v>
      </c>
      <c r="K253" s="46"/>
    </row>
    <row r="254" spans="1:11" ht="23.1" customHeight="1">
      <c r="A254" s="170">
        <f>IF($B254="","",MAX($A$3:A253)+1)</f>
        <v>251</v>
      </c>
      <c r="B254" s="176">
        <v>18166</v>
      </c>
      <c r="C254" s="177" t="s">
        <v>359</v>
      </c>
      <c r="D254" s="279" t="s">
        <v>112</v>
      </c>
      <c r="E254" s="178">
        <v>1</v>
      </c>
      <c r="F254" s="172">
        <f>IF($B254="","",SUMIFS('Daily Inward'!$G:$G,'Daily Inward'!$C:$C,$B254,'Daily Inward'!$E:$E,"Inventory"))</f>
        <v>0</v>
      </c>
      <c r="G254" s="44">
        <f>IF($B254="","",SUMIFS('Daily Issuance'!$G:$G,'Daily Issuance'!$C:$C,$B254,'Daily Issuance'!$E:$E,"Inventory"))</f>
        <v>0</v>
      </c>
      <c r="H254" s="44">
        <f t="shared" si="6"/>
        <v>1</v>
      </c>
      <c r="I254" s="33" t="s">
        <v>360</v>
      </c>
      <c r="J254" s="34">
        <f t="shared" si="7"/>
        <v>236235</v>
      </c>
      <c r="K254" s="46"/>
    </row>
    <row r="255" spans="1:11" ht="23.1" customHeight="1">
      <c r="A255" s="170">
        <f>IF($B255="","",MAX($A$3:A254)+1)</f>
        <v>252</v>
      </c>
      <c r="B255" s="176">
        <v>18175</v>
      </c>
      <c r="C255" s="177" t="s">
        <v>361</v>
      </c>
      <c r="D255" s="279" t="s">
        <v>112</v>
      </c>
      <c r="E255" s="178">
        <v>1</v>
      </c>
      <c r="F255" s="172">
        <f>IF($B255="","",SUMIFS('Daily Inward'!$G:$G,'Daily Inward'!$C:$C,$B255,'Daily Inward'!$E:$E,"Inventory"))</f>
        <v>0</v>
      </c>
      <c r="G255" s="44">
        <f>IF($B255="","",SUMIFS('Daily Issuance'!$G:$G,'Daily Issuance'!$C:$C,$B255,'Daily Issuance'!$E:$E,"Inventory"))</f>
        <v>0</v>
      </c>
      <c r="H255" s="44">
        <f t="shared" si="6"/>
        <v>1</v>
      </c>
      <c r="I255" s="33" t="s">
        <v>362</v>
      </c>
      <c r="J255" s="34">
        <f t="shared" si="7"/>
        <v>6500</v>
      </c>
      <c r="K255" s="46"/>
    </row>
    <row r="256" spans="1:11" ht="23.1" customHeight="1">
      <c r="A256" s="170">
        <f>IF($B256="","",MAX($A$3:A255)+1)</f>
        <v>253</v>
      </c>
      <c r="B256" s="176">
        <v>18338</v>
      </c>
      <c r="C256" s="177" t="s">
        <v>363</v>
      </c>
      <c r="D256" s="279" t="s">
        <v>112</v>
      </c>
      <c r="E256" s="178">
        <v>2</v>
      </c>
      <c r="F256" s="172">
        <f>IF($B256="","",SUMIFS('Daily Inward'!$G:$G,'Daily Inward'!$C:$C,$B256,'Daily Inward'!$E:$E,"Inventory"))</f>
        <v>0</v>
      </c>
      <c r="G256" s="44">
        <f>IF($B256="","",SUMIFS('Daily Issuance'!$G:$G,'Daily Issuance'!$C:$C,$B256,'Daily Issuance'!$E:$E,"Inventory"))</f>
        <v>0</v>
      </c>
      <c r="H256" s="44">
        <f t="shared" si="6"/>
        <v>2</v>
      </c>
      <c r="I256" s="33">
        <v>13975</v>
      </c>
      <c r="J256" s="34">
        <f t="shared" si="7"/>
        <v>27950</v>
      </c>
      <c r="K256" s="46"/>
    </row>
    <row r="257" spans="1:11" ht="23.1" customHeight="1">
      <c r="A257" s="170">
        <f>IF($B257="","",MAX($A$3:A256)+1)</f>
        <v>254</v>
      </c>
      <c r="B257" s="176">
        <v>18340</v>
      </c>
      <c r="C257" s="177" t="s">
        <v>364</v>
      </c>
      <c r="D257" s="279" t="s">
        <v>112</v>
      </c>
      <c r="E257" s="178">
        <v>2</v>
      </c>
      <c r="F257" s="172">
        <f>IF($B257="","",SUMIFS('Daily Inward'!$G:$G,'Daily Inward'!$C:$C,$B257,'Daily Inward'!$E:$E,"Inventory"))</f>
        <v>0</v>
      </c>
      <c r="G257" s="44">
        <f>IF($B257="","",SUMIFS('Daily Issuance'!$G:$G,'Daily Issuance'!$C:$C,$B257,'Daily Issuance'!$E:$E,"Inventory"))</f>
        <v>0</v>
      </c>
      <c r="H257" s="44">
        <f t="shared" si="6"/>
        <v>2</v>
      </c>
      <c r="I257" s="33">
        <v>13975</v>
      </c>
      <c r="J257" s="34">
        <f t="shared" si="7"/>
        <v>27950</v>
      </c>
      <c r="K257" s="46"/>
    </row>
    <row r="258" spans="1:11" ht="23.1" customHeight="1">
      <c r="A258" s="170">
        <f>IF($B258="","",MAX($A$3:A257)+1)</f>
        <v>255</v>
      </c>
      <c r="B258" s="176">
        <v>18361</v>
      </c>
      <c r="C258" s="177" t="s">
        <v>365</v>
      </c>
      <c r="D258" s="279" t="s">
        <v>112</v>
      </c>
      <c r="E258" s="178">
        <v>2</v>
      </c>
      <c r="F258" s="172">
        <f>IF($B258="","",SUMIFS('Daily Inward'!$G:$G,'Daily Inward'!$C:$C,$B258,'Daily Inward'!$E:$E,"Inventory"))</f>
        <v>0</v>
      </c>
      <c r="G258" s="44">
        <f>IF($B258="","",SUMIFS('Daily Issuance'!$G:$G,'Daily Issuance'!$C:$C,$B258,'Daily Issuance'!$E:$E,"Inventory"))</f>
        <v>0</v>
      </c>
      <c r="H258" s="44">
        <f t="shared" si="6"/>
        <v>2</v>
      </c>
      <c r="I258" s="33" t="s">
        <v>362</v>
      </c>
      <c r="J258" s="34">
        <f t="shared" si="7"/>
        <v>13000</v>
      </c>
      <c r="K258" s="46"/>
    </row>
    <row r="259" spans="1:11" ht="23.1" customHeight="1">
      <c r="A259" s="170">
        <f>IF($B259="","",MAX($A$3:A258)+1)</f>
        <v>256</v>
      </c>
      <c r="B259" s="176">
        <v>18457</v>
      </c>
      <c r="C259" s="177" t="s">
        <v>366</v>
      </c>
      <c r="D259" s="279" t="s">
        <v>112</v>
      </c>
      <c r="E259" s="178">
        <v>2</v>
      </c>
      <c r="F259" s="172">
        <f>IF($B259="","",SUMIFS('Daily Inward'!$G:$G,'Daily Inward'!$C:$C,$B259,'Daily Inward'!$E:$E,"Inventory"))</f>
        <v>0</v>
      </c>
      <c r="G259" s="44">
        <f>IF($B259="","",SUMIFS('Daily Issuance'!$G:$G,'Daily Issuance'!$C:$C,$B259,'Daily Issuance'!$E:$E,"Inventory"))</f>
        <v>0</v>
      </c>
      <c r="H259" s="44">
        <f t="shared" ref="H259:H322" si="8">IF($B259="","",N(E259)+N(F259)-N(G259))</f>
        <v>2</v>
      </c>
      <c r="I259" s="33" t="s">
        <v>367</v>
      </c>
      <c r="J259" s="34">
        <f t="shared" ref="J259:J322" si="9">IF($B259="","",H259*I259)</f>
        <v>45000</v>
      </c>
      <c r="K259" s="46"/>
    </row>
    <row r="260" spans="1:11" ht="23.1" customHeight="1">
      <c r="A260" s="170">
        <f>IF($B260="","",MAX($A$3:A259)+1)</f>
        <v>257</v>
      </c>
      <c r="B260" s="176">
        <v>18483</v>
      </c>
      <c r="C260" s="177" t="s">
        <v>368</v>
      </c>
      <c r="D260" s="279" t="s">
        <v>112</v>
      </c>
      <c r="E260" s="178">
        <v>1</v>
      </c>
      <c r="F260" s="172">
        <f>IF($B260="","",SUMIFS('Daily Inward'!$G:$G,'Daily Inward'!$C:$C,$B260,'Daily Inward'!$E:$E,"Inventory"))</f>
        <v>0</v>
      </c>
      <c r="G260" s="44">
        <f>IF($B260="","",SUMIFS('Daily Issuance'!$G:$G,'Daily Issuance'!$C:$C,$B260,'Daily Issuance'!$E:$E,"Inventory"))</f>
        <v>0</v>
      </c>
      <c r="H260" s="44">
        <f t="shared" si="8"/>
        <v>1</v>
      </c>
      <c r="I260" s="33">
        <v>22000</v>
      </c>
      <c r="J260" s="34">
        <f t="shared" si="9"/>
        <v>22000</v>
      </c>
      <c r="K260" s="46"/>
    </row>
    <row r="261" spans="1:11" ht="23.1" customHeight="1">
      <c r="A261" s="170">
        <f>IF($B261="","",MAX($A$3:A260)+1)</f>
        <v>258</v>
      </c>
      <c r="B261" s="176">
        <v>18630</v>
      </c>
      <c r="C261" s="177" t="s">
        <v>369</v>
      </c>
      <c r="D261" s="279" t="s">
        <v>112</v>
      </c>
      <c r="E261" s="178">
        <v>2</v>
      </c>
      <c r="F261" s="172">
        <f>IF($B261="","",SUMIFS('Daily Inward'!$G:$G,'Daily Inward'!$C:$C,$B261,'Daily Inward'!$E:$E,"Inventory"))</f>
        <v>0</v>
      </c>
      <c r="G261" s="44">
        <f>IF($B261="","",SUMIFS('Daily Issuance'!$G:$G,'Daily Issuance'!$C:$C,$B261,'Daily Issuance'!$E:$E,"Inventory"))</f>
        <v>0</v>
      </c>
      <c r="H261" s="44">
        <f t="shared" si="8"/>
        <v>2</v>
      </c>
      <c r="I261" s="33" t="s">
        <v>370</v>
      </c>
      <c r="J261" s="34">
        <f t="shared" si="9"/>
        <v>85600</v>
      </c>
      <c r="K261" s="46"/>
    </row>
    <row r="262" spans="1:11" ht="23.1" customHeight="1">
      <c r="A262" s="170">
        <f>IF($B262="","",MAX($A$3:A261)+1)</f>
        <v>259</v>
      </c>
      <c r="B262" s="176">
        <v>18690</v>
      </c>
      <c r="C262" s="177" t="s">
        <v>371</v>
      </c>
      <c r="D262" s="279" t="s">
        <v>112</v>
      </c>
      <c r="E262" s="178">
        <v>10</v>
      </c>
      <c r="F262" s="172">
        <f>IF($B262="","",SUMIFS('Daily Inward'!$G:$G,'Daily Inward'!$C:$C,$B262,'Daily Inward'!$E:$E,"Inventory"))</f>
        <v>0</v>
      </c>
      <c r="G262" s="44">
        <f>IF($B262="","",SUMIFS('Daily Issuance'!$G:$G,'Daily Issuance'!$C:$C,$B262,'Daily Issuance'!$E:$E,"Inventory"))</f>
        <v>0</v>
      </c>
      <c r="H262" s="44">
        <f t="shared" si="8"/>
        <v>10</v>
      </c>
      <c r="I262" s="33" t="s">
        <v>372</v>
      </c>
      <c r="J262" s="34">
        <f t="shared" si="9"/>
        <v>2200</v>
      </c>
      <c r="K262" s="46"/>
    </row>
    <row r="263" spans="1:11" ht="23.1" customHeight="1">
      <c r="A263" s="170">
        <f>IF($B263="","",MAX($A$3:A262)+1)</f>
        <v>260</v>
      </c>
      <c r="B263" s="176">
        <v>18691</v>
      </c>
      <c r="C263" s="177" t="s">
        <v>373</v>
      </c>
      <c r="D263" s="279" t="s">
        <v>112</v>
      </c>
      <c r="E263" s="178">
        <v>19</v>
      </c>
      <c r="F263" s="172">
        <f>IF($B263="","",SUMIFS('Daily Inward'!$G:$G,'Daily Inward'!$C:$C,$B263,'Daily Inward'!$E:$E,"Inventory"))</f>
        <v>0</v>
      </c>
      <c r="G263" s="44">
        <f>IF($B263="","",SUMIFS('Daily Issuance'!$G:$G,'Daily Issuance'!$C:$C,$B263,'Daily Issuance'!$E:$E,"Inventory"))</f>
        <v>0</v>
      </c>
      <c r="H263" s="44">
        <f t="shared" si="8"/>
        <v>19</v>
      </c>
      <c r="I263" s="33" t="s">
        <v>374</v>
      </c>
      <c r="J263" s="34">
        <f t="shared" si="9"/>
        <v>6555</v>
      </c>
      <c r="K263" s="46"/>
    </row>
    <row r="264" spans="1:11" ht="23.1" customHeight="1">
      <c r="A264" s="170">
        <f>IF($B264="","",MAX($A$3:A263)+1)</f>
        <v>261</v>
      </c>
      <c r="B264" s="176">
        <v>18692</v>
      </c>
      <c r="C264" s="177" t="s">
        <v>375</v>
      </c>
      <c r="D264" s="279" t="s">
        <v>112</v>
      </c>
      <c r="E264" s="178">
        <v>20</v>
      </c>
      <c r="F264" s="172">
        <f>IF($B264="","",SUMIFS('Daily Inward'!$G:$G,'Daily Inward'!$C:$C,$B264,'Daily Inward'!$E:$E,"Inventory"))</f>
        <v>0</v>
      </c>
      <c r="G264" s="44">
        <f>IF($B264="","",SUMIFS('Daily Issuance'!$G:$G,'Daily Issuance'!$C:$C,$B264,'Daily Issuance'!$E:$E,"Inventory"))</f>
        <v>0</v>
      </c>
      <c r="H264" s="44">
        <f t="shared" si="8"/>
        <v>20</v>
      </c>
      <c r="I264" s="33" t="s">
        <v>376</v>
      </c>
      <c r="J264" s="34">
        <f t="shared" si="9"/>
        <v>12200</v>
      </c>
      <c r="K264" s="46"/>
    </row>
    <row r="265" spans="1:11" ht="23.1" customHeight="1">
      <c r="A265" s="170">
        <f>IF($B265="","",MAX($A$3:A264)+1)</f>
        <v>262</v>
      </c>
      <c r="B265" s="176">
        <v>18752</v>
      </c>
      <c r="C265" s="177" t="s">
        <v>377</v>
      </c>
      <c r="D265" s="279" t="s">
        <v>112</v>
      </c>
      <c r="E265" s="178">
        <v>28</v>
      </c>
      <c r="F265" s="172">
        <f>IF($B265="","",SUMIFS('Daily Inward'!$G:$G,'Daily Inward'!$C:$C,$B265,'Daily Inward'!$E:$E,"Inventory"))</f>
        <v>0</v>
      </c>
      <c r="G265" s="44">
        <f>IF($B265="","",SUMIFS('Daily Issuance'!$G:$G,'Daily Issuance'!$C:$C,$B265,'Daily Issuance'!$E:$E,"Inventory"))</f>
        <v>0</v>
      </c>
      <c r="H265" s="44">
        <f t="shared" si="8"/>
        <v>28</v>
      </c>
      <c r="I265" s="33" t="s">
        <v>378</v>
      </c>
      <c r="J265" s="34">
        <f t="shared" si="9"/>
        <v>22400</v>
      </c>
      <c r="K265" s="46"/>
    </row>
    <row r="266" spans="1:11" ht="23.1" customHeight="1">
      <c r="A266" s="170">
        <f>IF($B266="","",MAX($A$3:A265)+1)</f>
        <v>263</v>
      </c>
      <c r="B266" s="176">
        <v>18831</v>
      </c>
      <c r="C266" s="177" t="s">
        <v>379</v>
      </c>
      <c r="D266" s="279" t="s">
        <v>112</v>
      </c>
      <c r="E266" s="178">
        <v>1</v>
      </c>
      <c r="F266" s="172">
        <f>IF($B266="","",SUMIFS('Daily Inward'!$G:$G,'Daily Inward'!$C:$C,$B266,'Daily Inward'!$E:$E,"Inventory"))</f>
        <v>0</v>
      </c>
      <c r="G266" s="44">
        <f>IF($B266="","",SUMIFS('Daily Issuance'!$G:$G,'Daily Issuance'!$C:$C,$B266,'Daily Issuance'!$E:$E,"Inventory"))</f>
        <v>0</v>
      </c>
      <c r="H266" s="44">
        <f t="shared" si="8"/>
        <v>1</v>
      </c>
      <c r="I266" s="33" t="s">
        <v>380</v>
      </c>
      <c r="J266" s="34">
        <f t="shared" si="9"/>
        <v>18000</v>
      </c>
      <c r="K266" s="46"/>
    </row>
    <row r="267" spans="1:11" ht="23.1" customHeight="1">
      <c r="A267" s="170">
        <f>IF($B267="","",MAX($A$3:A266)+1)</f>
        <v>264</v>
      </c>
      <c r="B267" s="176">
        <v>18834</v>
      </c>
      <c r="C267" s="177" t="s">
        <v>381</v>
      </c>
      <c r="D267" s="279" t="s">
        <v>112</v>
      </c>
      <c r="E267" s="178">
        <v>1</v>
      </c>
      <c r="F267" s="172">
        <f>IF($B267="","",SUMIFS('Daily Inward'!$G:$G,'Daily Inward'!$C:$C,$B267,'Daily Inward'!$E:$E,"Inventory"))</f>
        <v>0</v>
      </c>
      <c r="G267" s="44">
        <f>IF($B267="","",SUMIFS('Daily Issuance'!$G:$G,'Daily Issuance'!$C:$C,$B267,'Daily Issuance'!$E:$E,"Inventory"))</f>
        <v>0</v>
      </c>
      <c r="H267" s="44">
        <f t="shared" si="8"/>
        <v>1</v>
      </c>
      <c r="I267" s="33" t="s">
        <v>382</v>
      </c>
      <c r="J267" s="34">
        <f t="shared" si="9"/>
        <v>44400</v>
      </c>
      <c r="K267" s="46"/>
    </row>
    <row r="268" spans="1:11" ht="23.1" customHeight="1">
      <c r="A268" s="170">
        <f>IF($B268="","",MAX($A$3:A267)+1)</f>
        <v>265</v>
      </c>
      <c r="B268" s="176">
        <v>18857</v>
      </c>
      <c r="C268" s="177" t="s">
        <v>383</v>
      </c>
      <c r="D268" s="279" t="s">
        <v>112</v>
      </c>
      <c r="E268" s="178">
        <v>1</v>
      </c>
      <c r="F268" s="172">
        <f>IF($B268="","",SUMIFS('Daily Inward'!$G:$G,'Daily Inward'!$C:$C,$B268,'Daily Inward'!$E:$E,"Inventory"))</f>
        <v>0</v>
      </c>
      <c r="G268" s="44">
        <f>IF($B268="","",SUMIFS('Daily Issuance'!$G:$G,'Daily Issuance'!$C:$C,$B268,'Daily Issuance'!$E:$E,"Inventory"))</f>
        <v>0</v>
      </c>
      <c r="H268" s="44">
        <f t="shared" si="8"/>
        <v>1</v>
      </c>
      <c r="I268" s="33">
        <v>8500</v>
      </c>
      <c r="J268" s="34">
        <f t="shared" si="9"/>
        <v>8500</v>
      </c>
      <c r="K268" s="46"/>
    </row>
    <row r="269" spans="1:11" ht="23.1" customHeight="1">
      <c r="A269" s="170">
        <f>IF($B269="","",MAX($A$3:A268)+1)</f>
        <v>266</v>
      </c>
      <c r="B269" s="176">
        <v>18858</v>
      </c>
      <c r="C269" s="177" t="s">
        <v>384</v>
      </c>
      <c r="D269" s="279" t="s">
        <v>112</v>
      </c>
      <c r="E269" s="178">
        <v>3</v>
      </c>
      <c r="F269" s="172">
        <f>IF($B269="","",SUMIFS('Daily Inward'!$G:$G,'Daily Inward'!$C:$C,$B269,'Daily Inward'!$E:$E,"Inventory"))</f>
        <v>0</v>
      </c>
      <c r="G269" s="44">
        <f>IF($B269="","",SUMIFS('Daily Issuance'!$G:$G,'Daily Issuance'!$C:$C,$B269,'Daily Issuance'!$E:$E,"Inventory"))</f>
        <v>0</v>
      </c>
      <c r="H269" s="44">
        <f t="shared" si="8"/>
        <v>3</v>
      </c>
      <c r="I269" s="33">
        <v>3500</v>
      </c>
      <c r="J269" s="34">
        <f t="shared" si="9"/>
        <v>10500</v>
      </c>
      <c r="K269" s="46"/>
    </row>
    <row r="270" spans="1:11" ht="23.1" customHeight="1">
      <c r="A270" s="170">
        <f>IF($B270="","",MAX($A$3:A269)+1)</f>
        <v>267</v>
      </c>
      <c r="B270" s="176">
        <v>18865</v>
      </c>
      <c r="C270" s="177" t="s">
        <v>385</v>
      </c>
      <c r="D270" s="279" t="s">
        <v>112</v>
      </c>
      <c r="E270" s="178">
        <v>4</v>
      </c>
      <c r="F270" s="172">
        <f>IF($B270="","",SUMIFS('Daily Inward'!$G:$G,'Daily Inward'!$C:$C,$B270,'Daily Inward'!$E:$E,"Inventory"))</f>
        <v>0</v>
      </c>
      <c r="G270" s="44">
        <f>IF($B270="","",SUMIFS('Daily Issuance'!$G:$G,'Daily Issuance'!$C:$C,$B270,'Daily Issuance'!$E:$E,"Inventory"))</f>
        <v>0</v>
      </c>
      <c r="H270" s="44">
        <f t="shared" si="8"/>
        <v>4</v>
      </c>
      <c r="I270" s="33" t="s">
        <v>386</v>
      </c>
      <c r="J270" s="34">
        <f t="shared" si="9"/>
        <v>18000</v>
      </c>
      <c r="K270" s="46"/>
    </row>
    <row r="271" spans="1:11" ht="23.1" customHeight="1">
      <c r="A271" s="170">
        <f>IF($B271="","",MAX($A$3:A270)+1)</f>
        <v>268</v>
      </c>
      <c r="B271" s="176">
        <v>18866</v>
      </c>
      <c r="C271" s="177" t="s">
        <v>387</v>
      </c>
      <c r="D271" s="279" t="s">
        <v>112</v>
      </c>
      <c r="E271" s="178">
        <v>2</v>
      </c>
      <c r="F271" s="172">
        <f>IF($B271="","",SUMIFS('Daily Inward'!$G:$G,'Daily Inward'!$C:$C,$B271,'Daily Inward'!$E:$E,"Inventory"))</f>
        <v>0</v>
      </c>
      <c r="G271" s="44">
        <f>IF($B271="","",SUMIFS('Daily Issuance'!$G:$G,'Daily Issuance'!$C:$C,$B271,'Daily Issuance'!$E:$E,"Inventory"))</f>
        <v>0</v>
      </c>
      <c r="H271" s="44">
        <f t="shared" si="8"/>
        <v>2</v>
      </c>
      <c r="I271" s="33" t="s">
        <v>388</v>
      </c>
      <c r="J271" s="34">
        <f t="shared" si="9"/>
        <v>37000</v>
      </c>
      <c r="K271" s="46"/>
    </row>
    <row r="272" spans="1:11" ht="23.1" customHeight="1">
      <c r="A272" s="170">
        <f>IF($B272="","",MAX($A$3:A271)+1)</f>
        <v>269</v>
      </c>
      <c r="B272" s="176">
        <v>18867</v>
      </c>
      <c r="C272" s="177" t="s">
        <v>389</v>
      </c>
      <c r="D272" s="279" t="s">
        <v>112</v>
      </c>
      <c r="E272" s="178">
        <v>10</v>
      </c>
      <c r="F272" s="172">
        <f>IF($B272="","",SUMIFS('Daily Inward'!$G:$G,'Daily Inward'!$C:$C,$B272,'Daily Inward'!$E:$E,"Inventory"))</f>
        <v>0</v>
      </c>
      <c r="G272" s="44">
        <f>IF($B272="","",SUMIFS('Daily Issuance'!$G:$G,'Daily Issuance'!$C:$C,$B272,'Daily Issuance'!$E:$E,"Inventory"))</f>
        <v>0</v>
      </c>
      <c r="H272" s="44">
        <f t="shared" si="8"/>
        <v>10</v>
      </c>
      <c r="I272" s="33" t="s">
        <v>390</v>
      </c>
      <c r="J272" s="34">
        <f t="shared" si="9"/>
        <v>7500</v>
      </c>
      <c r="K272" s="46"/>
    </row>
    <row r="273" spans="1:11" ht="23.1" customHeight="1">
      <c r="A273" s="170">
        <f>IF($B273="","",MAX($A$3:A272)+1)</f>
        <v>270</v>
      </c>
      <c r="B273" s="176">
        <v>19003</v>
      </c>
      <c r="C273" s="177" t="s">
        <v>391</v>
      </c>
      <c r="D273" s="279" t="s">
        <v>112</v>
      </c>
      <c r="E273" s="178">
        <v>1</v>
      </c>
      <c r="F273" s="172">
        <f>IF($B273="","",SUMIFS('Daily Inward'!$G:$G,'Daily Inward'!$C:$C,$B273,'Daily Inward'!$E:$E,"Inventory"))</f>
        <v>0</v>
      </c>
      <c r="G273" s="44">
        <f>IF($B273="","",SUMIFS('Daily Issuance'!$G:$G,'Daily Issuance'!$C:$C,$B273,'Daily Issuance'!$E:$E,"Inventory"))</f>
        <v>0</v>
      </c>
      <c r="H273" s="44">
        <f t="shared" si="8"/>
        <v>1</v>
      </c>
      <c r="I273" s="33" t="s">
        <v>392</v>
      </c>
      <c r="J273" s="34">
        <f t="shared" si="9"/>
        <v>13500</v>
      </c>
      <c r="K273" s="46"/>
    </row>
    <row r="274" spans="1:11" ht="23.1" customHeight="1">
      <c r="A274" s="170">
        <f>IF($B274="","",MAX($A$3:A273)+1)</f>
        <v>271</v>
      </c>
      <c r="B274" s="176">
        <v>19006</v>
      </c>
      <c r="C274" s="177" t="s">
        <v>393</v>
      </c>
      <c r="D274" s="279" t="s">
        <v>112</v>
      </c>
      <c r="E274" s="178">
        <v>2</v>
      </c>
      <c r="F274" s="172">
        <f>IF($B274="","",SUMIFS('Daily Inward'!$G:$G,'Daily Inward'!$C:$C,$B274,'Daily Inward'!$E:$E,"Inventory"))</f>
        <v>0</v>
      </c>
      <c r="G274" s="44">
        <f>IF($B274="","",SUMIFS('Daily Issuance'!$G:$G,'Daily Issuance'!$C:$C,$B274,'Daily Issuance'!$E:$E,"Inventory"))</f>
        <v>0</v>
      </c>
      <c r="H274" s="44">
        <f t="shared" si="8"/>
        <v>2</v>
      </c>
      <c r="I274" s="33">
        <v>36500</v>
      </c>
      <c r="J274" s="34">
        <f t="shared" si="9"/>
        <v>73000</v>
      </c>
      <c r="K274" s="46"/>
    </row>
    <row r="275" spans="1:11" ht="23.1" customHeight="1">
      <c r="A275" s="170">
        <f>IF($B275="","",MAX($A$3:A274)+1)</f>
        <v>272</v>
      </c>
      <c r="B275" s="176">
        <v>19112</v>
      </c>
      <c r="C275" s="177" t="s">
        <v>394</v>
      </c>
      <c r="D275" s="279" t="s">
        <v>112</v>
      </c>
      <c r="E275" s="178">
        <v>4</v>
      </c>
      <c r="F275" s="172">
        <f>IF($B275="","",SUMIFS('Daily Inward'!$G:$G,'Daily Inward'!$C:$C,$B275,'Daily Inward'!$E:$E,"Inventory"))</f>
        <v>0</v>
      </c>
      <c r="G275" s="44">
        <f>IF($B275="","",SUMIFS('Daily Issuance'!$G:$G,'Daily Issuance'!$C:$C,$B275,'Daily Issuance'!$E:$E,"Inventory"))</f>
        <v>0</v>
      </c>
      <c r="H275" s="44">
        <f t="shared" si="8"/>
        <v>4</v>
      </c>
      <c r="I275" s="33" t="s">
        <v>395</v>
      </c>
      <c r="J275" s="34">
        <f t="shared" si="9"/>
        <v>369280</v>
      </c>
      <c r="K275" s="46"/>
    </row>
    <row r="276" spans="1:11" ht="23.1" customHeight="1">
      <c r="A276" s="170">
        <f>IF($B276="","",MAX($A$3:A275)+1)</f>
        <v>273</v>
      </c>
      <c r="B276" s="176">
        <v>19113</v>
      </c>
      <c r="C276" s="177" t="s">
        <v>396</v>
      </c>
      <c r="D276" s="279" t="s">
        <v>112</v>
      </c>
      <c r="E276" s="178">
        <v>3</v>
      </c>
      <c r="F276" s="172">
        <f>IF($B276="","",SUMIFS('Daily Inward'!$G:$G,'Daily Inward'!$C:$C,$B276,'Daily Inward'!$E:$E,"Inventory"))</f>
        <v>0</v>
      </c>
      <c r="G276" s="44">
        <f>IF($B276="","",SUMIFS('Daily Issuance'!$G:$G,'Daily Issuance'!$C:$C,$B276,'Daily Issuance'!$E:$E,"Inventory"))</f>
        <v>0</v>
      </c>
      <c r="H276" s="44">
        <f t="shared" si="8"/>
        <v>3</v>
      </c>
      <c r="I276" s="33" t="s">
        <v>397</v>
      </c>
      <c r="J276" s="34">
        <f t="shared" si="9"/>
        <v>14772</v>
      </c>
      <c r="K276" s="46"/>
    </row>
    <row r="277" spans="1:11" ht="23.1" customHeight="1">
      <c r="A277" s="170">
        <f>IF($B277="","",MAX($A$3:A276)+1)</f>
        <v>274</v>
      </c>
      <c r="B277" s="176">
        <v>19128</v>
      </c>
      <c r="C277" s="177" t="s">
        <v>398</v>
      </c>
      <c r="D277" s="279" t="s">
        <v>112</v>
      </c>
      <c r="E277" s="178">
        <v>2</v>
      </c>
      <c r="F277" s="172">
        <f>IF($B277="","",SUMIFS('Daily Inward'!$G:$G,'Daily Inward'!$C:$C,$B277,'Daily Inward'!$E:$E,"Inventory"))</f>
        <v>0</v>
      </c>
      <c r="G277" s="44">
        <f>IF($B277="","",SUMIFS('Daily Issuance'!$G:$G,'Daily Issuance'!$C:$C,$B277,'Daily Issuance'!$E:$E,"Inventory"))</f>
        <v>0</v>
      </c>
      <c r="H277" s="44">
        <f t="shared" si="8"/>
        <v>2</v>
      </c>
      <c r="I277" s="33">
        <v>40</v>
      </c>
      <c r="J277" s="34">
        <f t="shared" si="9"/>
        <v>80</v>
      </c>
      <c r="K277" s="46"/>
    </row>
    <row r="278" spans="1:11" ht="23.1" customHeight="1">
      <c r="A278" s="170">
        <f>IF($B278="","",MAX($A$3:A277)+1)</f>
        <v>275</v>
      </c>
      <c r="B278" s="176">
        <v>19129</v>
      </c>
      <c r="C278" s="177" t="s">
        <v>399</v>
      </c>
      <c r="D278" s="279" t="s">
        <v>112</v>
      </c>
      <c r="E278" s="178">
        <v>2</v>
      </c>
      <c r="F278" s="172">
        <f>IF($B278="","",SUMIFS('Daily Inward'!$G:$G,'Daily Inward'!$C:$C,$B278,'Daily Inward'!$E:$E,"Inventory"))</f>
        <v>0</v>
      </c>
      <c r="G278" s="44">
        <f>IF($B278="","",SUMIFS('Daily Issuance'!$G:$G,'Daily Issuance'!$C:$C,$B278,'Daily Issuance'!$E:$E,"Inventory"))</f>
        <v>0</v>
      </c>
      <c r="H278" s="44">
        <f t="shared" si="8"/>
        <v>2</v>
      </c>
      <c r="I278" s="33">
        <v>672</v>
      </c>
      <c r="J278" s="34">
        <f t="shared" si="9"/>
        <v>1344</v>
      </c>
      <c r="K278" s="46"/>
    </row>
    <row r="279" spans="1:11" ht="23.1" customHeight="1">
      <c r="A279" s="170">
        <f>IF($B279="","",MAX($A$3:A278)+1)</f>
        <v>276</v>
      </c>
      <c r="B279" s="176">
        <v>19130</v>
      </c>
      <c r="C279" s="177" t="s">
        <v>400</v>
      </c>
      <c r="D279" s="279" t="s">
        <v>112</v>
      </c>
      <c r="E279" s="178">
        <v>2</v>
      </c>
      <c r="F279" s="172">
        <f>IF($B279="","",SUMIFS('Daily Inward'!$G:$G,'Daily Inward'!$C:$C,$B279,'Daily Inward'!$E:$E,"Inventory"))</f>
        <v>0</v>
      </c>
      <c r="G279" s="44">
        <f>IF($B279="","",SUMIFS('Daily Issuance'!$G:$G,'Daily Issuance'!$C:$C,$B279,'Daily Issuance'!$E:$E,"Inventory"))</f>
        <v>0</v>
      </c>
      <c r="H279" s="44">
        <f t="shared" si="8"/>
        <v>2</v>
      </c>
      <c r="I279" s="33">
        <v>358</v>
      </c>
      <c r="J279" s="34">
        <f t="shared" si="9"/>
        <v>716</v>
      </c>
      <c r="K279" s="46"/>
    </row>
    <row r="280" spans="1:11" ht="23.1" customHeight="1">
      <c r="A280" s="170">
        <f>IF($B280="","",MAX($A$3:A279)+1)</f>
        <v>277</v>
      </c>
      <c r="B280" s="176">
        <v>19131</v>
      </c>
      <c r="C280" s="177" t="s">
        <v>401</v>
      </c>
      <c r="D280" s="279" t="s">
        <v>112</v>
      </c>
      <c r="E280" s="178">
        <v>1</v>
      </c>
      <c r="F280" s="172">
        <f>IF($B280="","",SUMIFS('Daily Inward'!$G:$G,'Daily Inward'!$C:$C,$B280,'Daily Inward'!$E:$E,"Inventory"))</f>
        <v>0</v>
      </c>
      <c r="G280" s="44">
        <f>IF($B280="","",SUMIFS('Daily Issuance'!$G:$G,'Daily Issuance'!$C:$C,$B280,'Daily Issuance'!$E:$E,"Inventory"))</f>
        <v>0</v>
      </c>
      <c r="H280" s="44">
        <f t="shared" si="8"/>
        <v>1</v>
      </c>
      <c r="I280" s="33">
        <v>440</v>
      </c>
      <c r="J280" s="34">
        <f t="shared" si="9"/>
        <v>440</v>
      </c>
      <c r="K280" s="46"/>
    </row>
    <row r="281" spans="1:11" ht="23.1" customHeight="1">
      <c r="A281" s="170">
        <f>IF($B281="","",MAX($A$3:A280)+1)</f>
        <v>278</v>
      </c>
      <c r="B281" s="176">
        <v>19132</v>
      </c>
      <c r="C281" s="177" t="s">
        <v>402</v>
      </c>
      <c r="D281" s="279" t="s">
        <v>112</v>
      </c>
      <c r="E281" s="178">
        <v>1</v>
      </c>
      <c r="F281" s="172">
        <f>IF($B281="","",SUMIFS('Daily Inward'!$G:$G,'Daily Inward'!$C:$C,$B281,'Daily Inward'!$E:$E,"Inventory"))</f>
        <v>0</v>
      </c>
      <c r="G281" s="44">
        <f>IF($B281="","",SUMIFS('Daily Issuance'!$G:$G,'Daily Issuance'!$C:$C,$B281,'Daily Issuance'!$E:$E,"Inventory"))</f>
        <v>0</v>
      </c>
      <c r="H281" s="44">
        <f t="shared" si="8"/>
        <v>1</v>
      </c>
      <c r="I281" s="33">
        <v>296</v>
      </c>
      <c r="J281" s="34">
        <f t="shared" si="9"/>
        <v>296</v>
      </c>
      <c r="K281" s="46"/>
    </row>
    <row r="282" spans="1:11" ht="23.1" customHeight="1">
      <c r="A282" s="170">
        <f>IF($B282="","",MAX($A$3:A281)+1)</f>
        <v>279</v>
      </c>
      <c r="B282" s="176">
        <v>19135</v>
      </c>
      <c r="C282" s="177" t="s">
        <v>403</v>
      </c>
      <c r="D282" s="279" t="s">
        <v>112</v>
      </c>
      <c r="E282" s="178">
        <v>1</v>
      </c>
      <c r="F282" s="172">
        <f>IF($B282="","",SUMIFS('Daily Inward'!$G:$G,'Daily Inward'!$C:$C,$B282,'Daily Inward'!$E:$E,"Inventory"))</f>
        <v>0</v>
      </c>
      <c r="G282" s="44">
        <f>IF($B282="","",SUMIFS('Daily Issuance'!$G:$G,'Daily Issuance'!$C:$C,$B282,'Daily Issuance'!$E:$E,"Inventory"))</f>
        <v>0</v>
      </c>
      <c r="H282" s="44">
        <f t="shared" si="8"/>
        <v>1</v>
      </c>
      <c r="I282" s="33">
        <v>918</v>
      </c>
      <c r="J282" s="34">
        <f t="shared" si="9"/>
        <v>918</v>
      </c>
      <c r="K282" s="46"/>
    </row>
    <row r="283" spans="1:11" ht="23.1" customHeight="1">
      <c r="A283" s="170">
        <f>IF($B283="","",MAX($A$3:A282)+1)</f>
        <v>280</v>
      </c>
      <c r="B283" s="176">
        <v>19137</v>
      </c>
      <c r="C283" s="177" t="s">
        <v>404</v>
      </c>
      <c r="D283" s="279" t="s">
        <v>112</v>
      </c>
      <c r="E283" s="178">
        <v>2</v>
      </c>
      <c r="F283" s="172">
        <f>IF($B283="","",SUMIFS('Daily Inward'!$G:$G,'Daily Inward'!$C:$C,$B283,'Daily Inward'!$E:$E,"Inventory"))</f>
        <v>0</v>
      </c>
      <c r="G283" s="44">
        <f>IF($B283="","",SUMIFS('Daily Issuance'!$G:$G,'Daily Issuance'!$C:$C,$B283,'Daily Issuance'!$E:$E,"Inventory"))</f>
        <v>0</v>
      </c>
      <c r="H283" s="44">
        <f t="shared" si="8"/>
        <v>2</v>
      </c>
      <c r="I283" s="33">
        <v>38500</v>
      </c>
      <c r="J283" s="34">
        <f t="shared" si="9"/>
        <v>77000</v>
      </c>
      <c r="K283" s="46"/>
    </row>
    <row r="284" spans="1:11" ht="23.1" customHeight="1">
      <c r="A284" s="170">
        <f>IF($B284="","",MAX($A$3:A283)+1)</f>
        <v>281</v>
      </c>
      <c r="B284" s="176">
        <v>19138</v>
      </c>
      <c r="C284" s="177" t="s">
        <v>405</v>
      </c>
      <c r="D284" s="279" t="s">
        <v>112</v>
      </c>
      <c r="E284" s="178">
        <v>2</v>
      </c>
      <c r="F284" s="172">
        <f>IF($B284="","",SUMIFS('Daily Inward'!$G:$G,'Daily Inward'!$C:$C,$B284,'Daily Inward'!$E:$E,"Inventory"))</f>
        <v>0</v>
      </c>
      <c r="G284" s="44">
        <f>IF($B284="","",SUMIFS('Daily Issuance'!$G:$G,'Daily Issuance'!$C:$C,$B284,'Daily Issuance'!$E:$E,"Inventory"))</f>
        <v>0</v>
      </c>
      <c r="H284" s="44">
        <f t="shared" si="8"/>
        <v>2</v>
      </c>
      <c r="I284" s="33">
        <v>150</v>
      </c>
      <c r="J284" s="34">
        <f t="shared" si="9"/>
        <v>300</v>
      </c>
      <c r="K284" s="46"/>
    </row>
    <row r="285" spans="1:11" ht="23.1" customHeight="1">
      <c r="A285" s="170">
        <f>IF($B285="","",MAX($A$3:A284)+1)</f>
        <v>282</v>
      </c>
      <c r="B285" s="176">
        <v>19292</v>
      </c>
      <c r="C285" s="177" t="s">
        <v>406</v>
      </c>
      <c r="D285" s="279" t="s">
        <v>112</v>
      </c>
      <c r="E285" s="178">
        <v>2</v>
      </c>
      <c r="F285" s="172">
        <f>IF($B285="","",SUMIFS('Daily Inward'!$G:$G,'Daily Inward'!$C:$C,$B285,'Daily Inward'!$E:$E,"Inventory"))</f>
        <v>0</v>
      </c>
      <c r="G285" s="44">
        <f>IF($B285="","",SUMIFS('Daily Issuance'!$G:$G,'Daily Issuance'!$C:$C,$B285,'Daily Issuance'!$E:$E,"Inventory"))</f>
        <v>0</v>
      </c>
      <c r="H285" s="44">
        <f t="shared" si="8"/>
        <v>2</v>
      </c>
      <c r="I285" s="33">
        <v>534</v>
      </c>
      <c r="J285" s="34">
        <f t="shared" si="9"/>
        <v>1068</v>
      </c>
      <c r="K285" s="46"/>
    </row>
    <row r="286" spans="1:11" ht="23.1" customHeight="1">
      <c r="A286" s="170">
        <f>IF($B286="","",MAX($A$3:A285)+1)</f>
        <v>283</v>
      </c>
      <c r="B286" s="176">
        <v>19297</v>
      </c>
      <c r="C286" s="177" t="s">
        <v>407</v>
      </c>
      <c r="D286" s="279" t="s">
        <v>112</v>
      </c>
      <c r="E286" s="178">
        <v>4</v>
      </c>
      <c r="F286" s="172">
        <f>IF($B286="","",SUMIFS('Daily Inward'!$G:$G,'Daily Inward'!$C:$C,$B286,'Daily Inward'!$E:$E,"Inventory"))</f>
        <v>0</v>
      </c>
      <c r="G286" s="44">
        <f>IF($B286="","",SUMIFS('Daily Issuance'!$G:$G,'Daily Issuance'!$C:$C,$B286,'Daily Issuance'!$E:$E,"Inventory"))</f>
        <v>0</v>
      </c>
      <c r="H286" s="44">
        <f t="shared" si="8"/>
        <v>4</v>
      </c>
      <c r="I286" s="33">
        <v>3800</v>
      </c>
      <c r="J286" s="34">
        <f t="shared" si="9"/>
        <v>15200</v>
      </c>
      <c r="K286" s="46"/>
    </row>
    <row r="287" spans="1:11" ht="23.1" customHeight="1">
      <c r="A287" s="170">
        <f>IF($B287="","",MAX($A$3:A286)+1)</f>
        <v>284</v>
      </c>
      <c r="B287" s="176">
        <v>19313</v>
      </c>
      <c r="C287" s="177" t="s">
        <v>408</v>
      </c>
      <c r="D287" s="279" t="s">
        <v>112</v>
      </c>
      <c r="E287" s="178">
        <v>1</v>
      </c>
      <c r="F287" s="172">
        <f>IF($B287="","",SUMIFS('Daily Inward'!$G:$G,'Daily Inward'!$C:$C,$B287,'Daily Inward'!$E:$E,"Inventory"))</f>
        <v>0</v>
      </c>
      <c r="G287" s="44">
        <f>IF($B287="","",SUMIFS('Daily Issuance'!$G:$G,'Daily Issuance'!$C:$C,$B287,'Daily Issuance'!$E:$E,"Inventory"))</f>
        <v>0</v>
      </c>
      <c r="H287" s="44">
        <f t="shared" si="8"/>
        <v>1</v>
      </c>
      <c r="I287" s="33" t="s">
        <v>362</v>
      </c>
      <c r="J287" s="34">
        <f t="shared" si="9"/>
        <v>6500</v>
      </c>
      <c r="K287" s="46"/>
    </row>
    <row r="288" spans="1:11" ht="23.1" customHeight="1">
      <c r="A288" s="170">
        <f>IF($B288="","",MAX($A$3:A287)+1)</f>
        <v>285</v>
      </c>
      <c r="B288" s="176">
        <v>19314</v>
      </c>
      <c r="C288" s="177" t="s">
        <v>409</v>
      </c>
      <c r="D288" s="279" t="s">
        <v>112</v>
      </c>
      <c r="E288" s="178">
        <v>1</v>
      </c>
      <c r="F288" s="172">
        <f>IF($B288="","",SUMIFS('Daily Inward'!$G:$G,'Daily Inward'!$C:$C,$B288,'Daily Inward'!$E:$E,"Inventory"))</f>
        <v>0</v>
      </c>
      <c r="G288" s="44">
        <f>IF($B288="","",SUMIFS('Daily Issuance'!$G:$G,'Daily Issuance'!$C:$C,$B288,'Daily Issuance'!$E:$E,"Inventory"))</f>
        <v>0</v>
      </c>
      <c r="H288" s="44">
        <f t="shared" si="8"/>
        <v>1</v>
      </c>
      <c r="I288" s="33" t="s">
        <v>362</v>
      </c>
      <c r="J288" s="34">
        <f t="shared" si="9"/>
        <v>6500</v>
      </c>
      <c r="K288" s="46"/>
    </row>
    <row r="289" spans="1:11" ht="23.1" customHeight="1">
      <c r="A289" s="170">
        <f>IF($B289="","",MAX($A$3:A288)+1)</f>
        <v>286</v>
      </c>
      <c r="B289" s="176">
        <v>19498</v>
      </c>
      <c r="C289" s="177" t="s">
        <v>410</v>
      </c>
      <c r="D289" s="279" t="s">
        <v>112</v>
      </c>
      <c r="E289" s="178">
        <v>1</v>
      </c>
      <c r="F289" s="172">
        <f>IF($B289="","",SUMIFS('Daily Inward'!$G:$G,'Daily Inward'!$C:$C,$B289,'Daily Inward'!$E:$E,"Inventory"))</f>
        <v>0</v>
      </c>
      <c r="G289" s="44">
        <f>IF($B289="","",SUMIFS('Daily Issuance'!$G:$G,'Daily Issuance'!$C:$C,$B289,'Daily Issuance'!$E:$E,"Inventory"))</f>
        <v>0</v>
      </c>
      <c r="H289" s="44">
        <f t="shared" si="8"/>
        <v>1</v>
      </c>
      <c r="I289" s="33" t="s">
        <v>411</v>
      </c>
      <c r="J289" s="34">
        <f t="shared" si="9"/>
        <v>13000</v>
      </c>
      <c r="K289" s="46"/>
    </row>
    <row r="290" spans="1:11" ht="23.1" customHeight="1">
      <c r="A290" s="170">
        <f>IF($B290="","",MAX($A$3:A289)+1)</f>
        <v>287</v>
      </c>
      <c r="B290" s="176">
        <v>19513</v>
      </c>
      <c r="C290" s="177" t="s">
        <v>412</v>
      </c>
      <c r="D290" s="279" t="s">
        <v>112</v>
      </c>
      <c r="E290" s="178">
        <v>7</v>
      </c>
      <c r="F290" s="172">
        <f>IF($B290="","",SUMIFS('Daily Inward'!$G:$G,'Daily Inward'!$C:$C,$B290,'Daily Inward'!$E:$E,"Inventory"))</f>
        <v>0</v>
      </c>
      <c r="G290" s="44">
        <f>IF($B290="","",SUMIFS('Daily Issuance'!$G:$G,'Daily Issuance'!$C:$C,$B290,'Daily Issuance'!$E:$E,"Inventory"))</f>
        <v>0</v>
      </c>
      <c r="H290" s="44">
        <f t="shared" si="8"/>
        <v>7</v>
      </c>
      <c r="I290" s="33" t="s">
        <v>413</v>
      </c>
      <c r="J290" s="34">
        <f t="shared" si="9"/>
        <v>3150</v>
      </c>
      <c r="K290" s="46"/>
    </row>
    <row r="291" spans="1:11" ht="23.1" customHeight="1">
      <c r="A291" s="170">
        <f>IF($B291="","",MAX($A$3:A290)+1)</f>
        <v>288</v>
      </c>
      <c r="B291" s="176">
        <v>19514</v>
      </c>
      <c r="C291" s="177" t="s">
        <v>414</v>
      </c>
      <c r="D291" s="279" t="s">
        <v>112</v>
      </c>
      <c r="E291" s="178">
        <v>13</v>
      </c>
      <c r="F291" s="172">
        <f>IF($B291="","",SUMIFS('Daily Inward'!$G:$G,'Daily Inward'!$C:$C,$B291,'Daily Inward'!$E:$E,"Inventory"))</f>
        <v>0</v>
      </c>
      <c r="G291" s="44">
        <f>IF($B291="","",SUMIFS('Daily Issuance'!$G:$G,'Daily Issuance'!$C:$C,$B291,'Daily Issuance'!$E:$E,"Inventory"))</f>
        <v>0</v>
      </c>
      <c r="H291" s="44">
        <f t="shared" si="8"/>
        <v>13</v>
      </c>
      <c r="I291" s="33" t="s">
        <v>415</v>
      </c>
      <c r="J291" s="34">
        <f t="shared" si="9"/>
        <v>26000</v>
      </c>
      <c r="K291" s="46"/>
    </row>
    <row r="292" spans="1:11" ht="23.1" customHeight="1">
      <c r="A292" s="170">
        <f>IF($B292="","",MAX($A$3:A291)+1)</f>
        <v>289</v>
      </c>
      <c r="B292" s="176">
        <v>19558</v>
      </c>
      <c r="C292" s="177" t="s">
        <v>416</v>
      </c>
      <c r="D292" s="279" t="s">
        <v>112</v>
      </c>
      <c r="E292" s="178">
        <v>7</v>
      </c>
      <c r="F292" s="172">
        <f>IF($B292="","",SUMIFS('Daily Inward'!$G:$G,'Daily Inward'!$C:$C,$B292,'Daily Inward'!$E:$E,"Inventory"))</f>
        <v>0</v>
      </c>
      <c r="G292" s="44">
        <f>IF($B292="","",SUMIFS('Daily Issuance'!$G:$G,'Daily Issuance'!$C:$C,$B292,'Daily Issuance'!$E:$E,"Inventory"))</f>
        <v>0</v>
      </c>
      <c r="H292" s="44">
        <f t="shared" si="8"/>
        <v>7</v>
      </c>
      <c r="I292" s="33" t="s">
        <v>378</v>
      </c>
      <c r="J292" s="34">
        <f t="shared" si="9"/>
        <v>5600</v>
      </c>
      <c r="K292" s="46"/>
    </row>
    <row r="293" spans="1:11" ht="23.1" customHeight="1">
      <c r="A293" s="170">
        <f>IF($B293="","",MAX($A$3:A292)+1)</f>
        <v>290</v>
      </c>
      <c r="B293" s="176">
        <v>19594</v>
      </c>
      <c r="C293" s="177" t="s">
        <v>417</v>
      </c>
      <c r="D293" s="279" t="s">
        <v>112</v>
      </c>
      <c r="E293" s="178">
        <v>4</v>
      </c>
      <c r="F293" s="172">
        <f>IF($B293="","",SUMIFS('Daily Inward'!$G:$G,'Daily Inward'!$C:$C,$B293,'Daily Inward'!$E:$E,"Inventory"))</f>
        <v>0</v>
      </c>
      <c r="G293" s="44">
        <f>IF($B293="","",SUMIFS('Daily Issuance'!$G:$G,'Daily Issuance'!$C:$C,$B293,'Daily Issuance'!$E:$E,"Inventory"))</f>
        <v>0</v>
      </c>
      <c r="H293" s="44">
        <f t="shared" si="8"/>
        <v>4</v>
      </c>
      <c r="I293" s="33" t="s">
        <v>418</v>
      </c>
      <c r="J293" s="34">
        <f t="shared" si="9"/>
        <v>24000</v>
      </c>
      <c r="K293" s="46"/>
    </row>
    <row r="294" spans="1:11" ht="23.1" customHeight="1">
      <c r="A294" s="170">
        <f>IF($B294="","",MAX($A$3:A293)+1)</f>
        <v>291</v>
      </c>
      <c r="B294" s="176">
        <v>19694</v>
      </c>
      <c r="C294" s="177" t="s">
        <v>419</v>
      </c>
      <c r="D294" s="279" t="s">
        <v>112</v>
      </c>
      <c r="E294" s="178">
        <v>10</v>
      </c>
      <c r="F294" s="172">
        <f>IF($B294="","",SUMIFS('Daily Inward'!$G:$G,'Daily Inward'!$C:$C,$B294,'Daily Inward'!$E:$E,"Inventory"))</f>
        <v>0</v>
      </c>
      <c r="G294" s="44">
        <f>IF($B294="","",SUMIFS('Daily Issuance'!$G:$G,'Daily Issuance'!$C:$C,$B294,'Daily Issuance'!$E:$E,"Inventory"))</f>
        <v>0</v>
      </c>
      <c r="H294" s="44">
        <f t="shared" si="8"/>
        <v>10</v>
      </c>
      <c r="I294" s="33" t="s">
        <v>420</v>
      </c>
      <c r="J294" s="34">
        <f t="shared" si="9"/>
        <v>8980</v>
      </c>
      <c r="K294" s="46"/>
    </row>
    <row r="295" spans="1:11" ht="23.1" customHeight="1">
      <c r="A295" s="170">
        <f>IF($B295="","",MAX($A$3:A294)+1)</f>
        <v>292</v>
      </c>
      <c r="B295" s="176">
        <v>19804</v>
      </c>
      <c r="C295" s="177" t="s">
        <v>421</v>
      </c>
      <c r="D295" s="279" t="s">
        <v>112</v>
      </c>
      <c r="E295" s="178">
        <v>1</v>
      </c>
      <c r="F295" s="172">
        <f>IF($B295="","",SUMIFS('Daily Inward'!$G:$G,'Daily Inward'!$C:$C,$B295,'Daily Inward'!$E:$E,"Inventory"))</f>
        <v>0</v>
      </c>
      <c r="G295" s="44">
        <f>IF($B295="","",SUMIFS('Daily Issuance'!$G:$G,'Daily Issuance'!$C:$C,$B295,'Daily Issuance'!$E:$E,"Inventory"))</f>
        <v>0</v>
      </c>
      <c r="H295" s="44">
        <f t="shared" si="8"/>
        <v>1</v>
      </c>
      <c r="I295" s="33" t="s">
        <v>418</v>
      </c>
      <c r="J295" s="34">
        <f t="shared" si="9"/>
        <v>6000</v>
      </c>
      <c r="K295" s="46"/>
    </row>
    <row r="296" spans="1:11" ht="23.1" customHeight="1">
      <c r="A296" s="170">
        <f>IF($B296="","",MAX($A$3:A295)+1)</f>
        <v>293</v>
      </c>
      <c r="B296" s="176">
        <v>19922</v>
      </c>
      <c r="C296" s="177" t="s">
        <v>422</v>
      </c>
      <c r="D296" s="279" t="s">
        <v>112</v>
      </c>
      <c r="E296" s="178">
        <v>8</v>
      </c>
      <c r="F296" s="172">
        <f>IF($B296="","",SUMIFS('Daily Inward'!$G:$G,'Daily Inward'!$C:$C,$B296,'Daily Inward'!$E:$E,"Inventory"))</f>
        <v>0</v>
      </c>
      <c r="G296" s="44">
        <f>IF($B296="","",SUMIFS('Daily Issuance'!$G:$G,'Daily Issuance'!$C:$C,$B296,'Daily Issuance'!$E:$E,"Inventory"))</f>
        <v>0</v>
      </c>
      <c r="H296" s="44">
        <f t="shared" si="8"/>
        <v>8</v>
      </c>
      <c r="I296" s="33" t="s">
        <v>423</v>
      </c>
      <c r="J296" s="34">
        <f t="shared" si="9"/>
        <v>24000</v>
      </c>
      <c r="K296" s="46"/>
    </row>
    <row r="297" spans="1:11" ht="23.1" customHeight="1">
      <c r="A297" s="170">
        <f>IF($B297="","",MAX($A$3:A296)+1)</f>
        <v>294</v>
      </c>
      <c r="B297" s="176">
        <v>20066</v>
      </c>
      <c r="C297" s="177" t="s">
        <v>424</v>
      </c>
      <c r="D297" s="279" t="s">
        <v>112</v>
      </c>
      <c r="E297" s="178">
        <v>2</v>
      </c>
      <c r="F297" s="172">
        <f>IF($B297="","",SUMIFS('Daily Inward'!$G:$G,'Daily Inward'!$C:$C,$B297,'Daily Inward'!$E:$E,"Inventory"))</f>
        <v>0</v>
      </c>
      <c r="G297" s="44">
        <f>IF($B297="","",SUMIFS('Daily Issuance'!$G:$G,'Daily Issuance'!$C:$C,$B297,'Daily Issuance'!$E:$E,"Inventory"))</f>
        <v>0</v>
      </c>
      <c r="H297" s="44">
        <f t="shared" si="8"/>
        <v>2</v>
      </c>
      <c r="I297" s="33" t="s">
        <v>425</v>
      </c>
      <c r="J297" s="34">
        <f t="shared" si="9"/>
        <v>7000</v>
      </c>
      <c r="K297" s="46"/>
    </row>
    <row r="298" spans="1:11" ht="23.1" customHeight="1">
      <c r="A298" s="170">
        <f>IF($B298="","",MAX($A$3:A297)+1)</f>
        <v>295</v>
      </c>
      <c r="B298" s="176">
        <v>20079</v>
      </c>
      <c r="C298" s="177" t="s">
        <v>426</v>
      </c>
      <c r="D298" s="279" t="s">
        <v>112</v>
      </c>
      <c r="E298" s="178">
        <v>1</v>
      </c>
      <c r="F298" s="172">
        <f>IF($B298="","",SUMIFS('Daily Inward'!$G:$G,'Daily Inward'!$C:$C,$B298,'Daily Inward'!$E:$E,"Inventory"))</f>
        <v>5</v>
      </c>
      <c r="G298" s="44">
        <f>IF($B298="","",SUMIFS('Daily Issuance'!$G:$G,'Daily Issuance'!$C:$C,$B298,'Daily Issuance'!$E:$E,"Inventory"))</f>
        <v>0</v>
      </c>
      <c r="H298" s="44">
        <f t="shared" si="8"/>
        <v>6</v>
      </c>
      <c r="I298" s="33">
        <v>1400</v>
      </c>
      <c r="J298" s="34">
        <f t="shared" si="9"/>
        <v>8400</v>
      </c>
      <c r="K298" s="46"/>
    </row>
    <row r="299" spans="1:11" ht="23.1" customHeight="1">
      <c r="A299" s="170">
        <f>IF($B299="","",MAX($A$3:A298)+1)</f>
        <v>296</v>
      </c>
      <c r="B299" s="176">
        <v>20110</v>
      </c>
      <c r="C299" s="177" t="s">
        <v>427</v>
      </c>
      <c r="D299" s="279" t="s">
        <v>112</v>
      </c>
      <c r="E299" s="178">
        <v>0</v>
      </c>
      <c r="F299" s="172">
        <f>IF($B299="","",SUMIFS('Daily Inward'!$G:$G,'Daily Inward'!$C:$C,$B299,'Daily Inward'!$E:$E,"Inventory"))</f>
        <v>10</v>
      </c>
      <c r="G299" s="44">
        <f>IF($B299="","",SUMIFS('Daily Issuance'!$G:$G,'Daily Issuance'!$C:$C,$B299,'Daily Issuance'!$E:$E,"Inventory"))</f>
        <v>0</v>
      </c>
      <c r="H299" s="44">
        <f t="shared" si="8"/>
        <v>10</v>
      </c>
      <c r="I299" s="33">
        <v>3500</v>
      </c>
      <c r="J299" s="34">
        <f t="shared" si="9"/>
        <v>35000</v>
      </c>
      <c r="K299" s="46"/>
    </row>
    <row r="300" spans="1:11" ht="23.1" customHeight="1">
      <c r="A300" s="170">
        <f>IF($B300="","",MAX($A$3:A299)+1)</f>
        <v>297</v>
      </c>
      <c r="B300" s="176">
        <v>20156</v>
      </c>
      <c r="C300" s="177" t="s">
        <v>428</v>
      </c>
      <c r="D300" s="279" t="s">
        <v>112</v>
      </c>
      <c r="E300" s="178">
        <v>5</v>
      </c>
      <c r="F300" s="172">
        <f>IF($B300="","",SUMIFS('Daily Inward'!$G:$G,'Daily Inward'!$C:$C,$B300,'Daily Inward'!$E:$E,"Inventory"))</f>
        <v>0</v>
      </c>
      <c r="G300" s="44">
        <f>IF($B300="","",SUMIFS('Daily Issuance'!$G:$G,'Daily Issuance'!$C:$C,$B300,'Daily Issuance'!$E:$E,"Inventory"))</f>
        <v>0</v>
      </c>
      <c r="H300" s="44">
        <f t="shared" si="8"/>
        <v>5</v>
      </c>
      <c r="I300" s="33" t="s">
        <v>429</v>
      </c>
      <c r="J300" s="34">
        <f t="shared" si="9"/>
        <v>29750</v>
      </c>
      <c r="K300" s="46"/>
    </row>
    <row r="301" spans="1:11" ht="23.1" customHeight="1">
      <c r="A301" s="170">
        <f>IF($B301="","",MAX($A$3:A300)+1)</f>
        <v>298</v>
      </c>
      <c r="B301" s="176">
        <v>20157</v>
      </c>
      <c r="C301" s="177" t="s">
        <v>430</v>
      </c>
      <c r="D301" s="279" t="s">
        <v>112</v>
      </c>
      <c r="E301" s="178">
        <v>4</v>
      </c>
      <c r="F301" s="172">
        <f>IF($B301="","",SUMIFS('Daily Inward'!$G:$G,'Daily Inward'!$C:$C,$B301,'Daily Inward'!$E:$E,"Inventory"))</f>
        <v>0</v>
      </c>
      <c r="G301" s="44">
        <f>IF($B301="","",SUMIFS('Daily Issuance'!$G:$G,'Daily Issuance'!$C:$C,$B301,'Daily Issuance'!$E:$E,"Inventory"))</f>
        <v>0</v>
      </c>
      <c r="H301" s="44">
        <f t="shared" si="8"/>
        <v>4</v>
      </c>
      <c r="I301" s="33" t="s">
        <v>431</v>
      </c>
      <c r="J301" s="34">
        <f t="shared" si="9"/>
        <v>30000</v>
      </c>
      <c r="K301" s="46"/>
    </row>
    <row r="302" spans="1:11" ht="23.1" customHeight="1">
      <c r="A302" s="170">
        <f>IF($B302="","",MAX($A$3:A301)+1)</f>
        <v>299</v>
      </c>
      <c r="B302" s="176">
        <v>20165</v>
      </c>
      <c r="C302" s="177" t="s">
        <v>432</v>
      </c>
      <c r="D302" s="279" t="s">
        <v>112</v>
      </c>
      <c r="E302" s="178">
        <v>8</v>
      </c>
      <c r="F302" s="172">
        <f>IF($B302="","",SUMIFS('Daily Inward'!$G:$G,'Daily Inward'!$C:$C,$B302,'Daily Inward'!$E:$E,"Inventory"))</f>
        <v>0</v>
      </c>
      <c r="G302" s="44">
        <f>IF($B302="","",SUMIFS('Daily Issuance'!$G:$G,'Daily Issuance'!$C:$C,$B302,'Daily Issuance'!$E:$E,"Inventory"))</f>
        <v>0</v>
      </c>
      <c r="H302" s="44">
        <f t="shared" si="8"/>
        <v>8</v>
      </c>
      <c r="I302" s="33" t="s">
        <v>433</v>
      </c>
      <c r="J302" s="34">
        <f t="shared" si="9"/>
        <v>30800</v>
      </c>
      <c r="K302" s="46"/>
    </row>
    <row r="303" spans="1:11" ht="23.1" customHeight="1">
      <c r="A303" s="170">
        <f>IF($B303="","",MAX($A$3:A302)+1)</f>
        <v>300</v>
      </c>
      <c r="B303" s="176">
        <v>20244</v>
      </c>
      <c r="C303" s="177" t="s">
        <v>434</v>
      </c>
      <c r="D303" s="279" t="s">
        <v>112</v>
      </c>
      <c r="E303" s="178">
        <v>1</v>
      </c>
      <c r="F303" s="172">
        <f>IF($B303="","",SUMIFS('Daily Inward'!$G:$G,'Daily Inward'!$C:$C,$B303,'Daily Inward'!$E:$E,"Inventory"))</f>
        <v>0</v>
      </c>
      <c r="G303" s="44">
        <f>IF($B303="","",SUMIFS('Daily Issuance'!$G:$G,'Daily Issuance'!$C:$C,$B303,'Daily Issuance'!$E:$E,"Inventory"))</f>
        <v>0</v>
      </c>
      <c r="H303" s="44">
        <f t="shared" si="8"/>
        <v>1</v>
      </c>
      <c r="I303" s="33" t="s">
        <v>435</v>
      </c>
      <c r="J303" s="34">
        <f t="shared" si="9"/>
        <v>33300</v>
      </c>
      <c r="K303" s="46"/>
    </row>
    <row r="304" spans="1:11" ht="23.1" customHeight="1">
      <c r="A304" s="170">
        <f>IF($B304="","",MAX($A$3:A303)+1)</f>
        <v>301</v>
      </c>
      <c r="B304" s="176">
        <v>20525</v>
      </c>
      <c r="C304" s="177" t="s">
        <v>436</v>
      </c>
      <c r="D304" s="279" t="s">
        <v>112</v>
      </c>
      <c r="E304" s="178">
        <v>1</v>
      </c>
      <c r="F304" s="172">
        <f>IF($B304="","",SUMIFS('Daily Inward'!$G:$G,'Daily Inward'!$C:$C,$B304,'Daily Inward'!$E:$E,"Inventory"))</f>
        <v>0</v>
      </c>
      <c r="G304" s="44">
        <f>IF($B304="","",SUMIFS('Daily Issuance'!$G:$G,'Daily Issuance'!$C:$C,$B304,'Daily Issuance'!$E:$E,"Inventory"))</f>
        <v>1</v>
      </c>
      <c r="H304" s="44">
        <f t="shared" si="8"/>
        <v>0</v>
      </c>
      <c r="I304" s="33">
        <v>485346</v>
      </c>
      <c r="J304" s="34">
        <f t="shared" si="9"/>
        <v>0</v>
      </c>
      <c r="K304" s="46"/>
    </row>
    <row r="305" spans="1:11" ht="23.1" customHeight="1">
      <c r="A305" s="170">
        <f>IF($B305="","",MAX($A$3:A304)+1)</f>
        <v>302</v>
      </c>
      <c r="B305" s="176">
        <v>20556</v>
      </c>
      <c r="C305" s="177" t="s">
        <v>437</v>
      </c>
      <c r="D305" s="279" t="s">
        <v>112</v>
      </c>
      <c r="E305" s="178">
        <v>3</v>
      </c>
      <c r="F305" s="172">
        <f>IF($B305="","",SUMIFS('Daily Inward'!$G:$G,'Daily Inward'!$C:$C,$B305,'Daily Inward'!$E:$E,"Inventory"))</f>
        <v>0</v>
      </c>
      <c r="G305" s="44">
        <f>IF($B305="","",SUMIFS('Daily Issuance'!$G:$G,'Daily Issuance'!$C:$C,$B305,'Daily Issuance'!$E:$E,"Inventory"))</f>
        <v>0</v>
      </c>
      <c r="H305" s="44">
        <f t="shared" si="8"/>
        <v>3</v>
      </c>
      <c r="I305" s="33" t="s">
        <v>425</v>
      </c>
      <c r="J305" s="34">
        <f t="shared" si="9"/>
        <v>10500</v>
      </c>
      <c r="K305" s="46"/>
    </row>
    <row r="306" spans="1:11" ht="23.1" customHeight="1">
      <c r="A306" s="170">
        <f>IF($B306="","",MAX($A$3:A305)+1)</f>
        <v>303</v>
      </c>
      <c r="B306" s="176">
        <v>20557</v>
      </c>
      <c r="C306" s="177" t="s">
        <v>438</v>
      </c>
      <c r="D306" s="279" t="s">
        <v>112</v>
      </c>
      <c r="E306" s="178">
        <v>4</v>
      </c>
      <c r="F306" s="172">
        <f>IF($B306="","",SUMIFS('Daily Inward'!$G:$G,'Daily Inward'!$C:$C,$B306,'Daily Inward'!$E:$E,"Inventory"))</f>
        <v>0</v>
      </c>
      <c r="G306" s="44">
        <f>IF($B306="","",SUMIFS('Daily Issuance'!$G:$G,'Daily Issuance'!$C:$C,$B306,'Daily Issuance'!$E:$E,"Inventory"))</f>
        <v>0</v>
      </c>
      <c r="H306" s="44">
        <f t="shared" si="8"/>
        <v>4</v>
      </c>
      <c r="I306" s="33" t="s">
        <v>439</v>
      </c>
      <c r="J306" s="34">
        <f t="shared" si="9"/>
        <v>10000</v>
      </c>
      <c r="K306" s="46"/>
    </row>
    <row r="307" spans="1:11" ht="23.1" customHeight="1">
      <c r="A307" s="170">
        <f>IF($B307="","",MAX($A$3:A306)+1)</f>
        <v>304</v>
      </c>
      <c r="B307" s="176">
        <v>20560</v>
      </c>
      <c r="C307" s="177" t="s">
        <v>440</v>
      </c>
      <c r="D307" s="279" t="s">
        <v>112</v>
      </c>
      <c r="E307" s="178">
        <v>2</v>
      </c>
      <c r="F307" s="172">
        <f>IF($B307="","",SUMIFS('Daily Inward'!$G:$G,'Daily Inward'!$C:$C,$B307,'Daily Inward'!$E:$E,"Inventory"))</f>
        <v>0</v>
      </c>
      <c r="G307" s="44">
        <f>IF($B307="","",SUMIFS('Daily Issuance'!$G:$G,'Daily Issuance'!$C:$C,$B307,'Daily Issuance'!$E:$E,"Inventory"))</f>
        <v>0</v>
      </c>
      <c r="H307" s="44">
        <f t="shared" si="8"/>
        <v>2</v>
      </c>
      <c r="I307" s="33" t="s">
        <v>441</v>
      </c>
      <c r="J307" s="34">
        <f t="shared" si="9"/>
        <v>10000</v>
      </c>
      <c r="K307" s="46"/>
    </row>
    <row r="308" spans="1:11" ht="23.1" customHeight="1">
      <c r="A308" s="170">
        <f>IF($B308="","",MAX($A$3:A307)+1)</f>
        <v>305</v>
      </c>
      <c r="B308" s="176">
        <v>20566</v>
      </c>
      <c r="C308" s="177" t="s">
        <v>442</v>
      </c>
      <c r="D308" s="279" t="s">
        <v>112</v>
      </c>
      <c r="E308" s="178">
        <v>1</v>
      </c>
      <c r="F308" s="172">
        <f>IF($B308="","",SUMIFS('Daily Inward'!$G:$G,'Daily Inward'!$C:$C,$B308,'Daily Inward'!$E:$E,"Inventory"))</f>
        <v>0</v>
      </c>
      <c r="G308" s="44">
        <f>IF($B308="","",SUMIFS('Daily Issuance'!$G:$G,'Daily Issuance'!$C:$C,$B308,'Daily Issuance'!$E:$E,"Inventory"))</f>
        <v>0</v>
      </c>
      <c r="H308" s="44">
        <f t="shared" si="8"/>
        <v>1</v>
      </c>
      <c r="I308" s="33">
        <v>126250</v>
      </c>
      <c r="J308" s="34">
        <f t="shared" si="9"/>
        <v>126250</v>
      </c>
      <c r="K308" s="46"/>
    </row>
    <row r="309" spans="1:11" ht="23.1" customHeight="1">
      <c r="A309" s="170">
        <f>IF($B309="","",MAX($A$3:A308)+1)</f>
        <v>306</v>
      </c>
      <c r="B309" s="176">
        <v>20618</v>
      </c>
      <c r="C309" s="177" t="s">
        <v>443</v>
      </c>
      <c r="D309" s="279" t="s">
        <v>112</v>
      </c>
      <c r="E309" s="178">
        <v>1</v>
      </c>
      <c r="F309" s="172">
        <f>IF($B309="","",SUMIFS('Daily Inward'!$G:$G,'Daily Inward'!$C:$C,$B309,'Daily Inward'!$E:$E,"Inventory"))</f>
        <v>0</v>
      </c>
      <c r="G309" s="44">
        <f>IF($B309="","",SUMIFS('Daily Issuance'!$G:$G,'Daily Issuance'!$C:$C,$B309,'Daily Issuance'!$E:$E,"Inventory"))</f>
        <v>0</v>
      </c>
      <c r="H309" s="44">
        <f t="shared" si="8"/>
        <v>1</v>
      </c>
      <c r="I309" s="33">
        <v>7000</v>
      </c>
      <c r="J309" s="34">
        <f t="shared" si="9"/>
        <v>7000</v>
      </c>
      <c r="K309" s="46"/>
    </row>
    <row r="310" spans="1:11" ht="23.1" customHeight="1">
      <c r="A310" s="170">
        <f>IF($B310="","",MAX($A$3:A309)+1)</f>
        <v>307</v>
      </c>
      <c r="B310" s="176">
        <v>20815</v>
      </c>
      <c r="C310" s="177" t="s">
        <v>444</v>
      </c>
      <c r="D310" s="279" t="s">
        <v>112</v>
      </c>
      <c r="E310" s="178">
        <v>1</v>
      </c>
      <c r="F310" s="172">
        <f>IF($B310="","",SUMIFS('Daily Inward'!$G:$G,'Daily Inward'!$C:$C,$B310,'Daily Inward'!$E:$E,"Inventory"))</f>
        <v>0</v>
      </c>
      <c r="G310" s="44">
        <f>IF($B310="","",SUMIFS('Daily Issuance'!$G:$G,'Daily Issuance'!$C:$C,$B310,'Daily Issuance'!$E:$E,"Inventory"))</f>
        <v>0</v>
      </c>
      <c r="H310" s="44">
        <f t="shared" si="8"/>
        <v>1</v>
      </c>
      <c r="I310" s="33" t="s">
        <v>445</v>
      </c>
      <c r="J310" s="34">
        <f t="shared" si="9"/>
        <v>26000</v>
      </c>
      <c r="K310" s="46"/>
    </row>
    <row r="311" spans="1:11" ht="23.1" customHeight="1">
      <c r="A311" s="170">
        <f>IF($B311="","",MAX($A$3:A310)+1)</f>
        <v>308</v>
      </c>
      <c r="B311" s="176">
        <v>20862</v>
      </c>
      <c r="C311" s="177" t="s">
        <v>446</v>
      </c>
      <c r="D311" s="279" t="s">
        <v>112</v>
      </c>
      <c r="E311" s="178">
        <v>1</v>
      </c>
      <c r="F311" s="172">
        <f>IF($B311="","",SUMIFS('Daily Inward'!$G:$G,'Daily Inward'!$C:$C,$B311,'Daily Inward'!$E:$E,"Inventory"))</f>
        <v>0</v>
      </c>
      <c r="G311" s="44">
        <f>IF($B311="","",SUMIFS('Daily Issuance'!$G:$G,'Daily Issuance'!$C:$C,$B311,'Daily Issuance'!$E:$E,"Inventory"))</f>
        <v>0</v>
      </c>
      <c r="H311" s="44">
        <f t="shared" si="8"/>
        <v>1</v>
      </c>
      <c r="I311" s="33" t="s">
        <v>447</v>
      </c>
      <c r="J311" s="34">
        <f t="shared" si="9"/>
        <v>660942</v>
      </c>
      <c r="K311" s="46"/>
    </row>
    <row r="312" spans="1:11" ht="23.1" customHeight="1">
      <c r="A312" s="170">
        <f>IF($B312="","",MAX($A$3:A311)+1)</f>
        <v>309</v>
      </c>
      <c r="B312" s="176">
        <v>20863</v>
      </c>
      <c r="C312" s="177" t="s">
        <v>448</v>
      </c>
      <c r="D312" s="279" t="s">
        <v>112</v>
      </c>
      <c r="E312" s="178">
        <v>2</v>
      </c>
      <c r="F312" s="172">
        <f>IF($B312="","",SUMIFS('Daily Inward'!$G:$G,'Daily Inward'!$C:$C,$B312,'Daily Inward'!$E:$E,"Inventory"))</f>
        <v>0</v>
      </c>
      <c r="G312" s="44">
        <f>IF($B312="","",SUMIFS('Daily Issuance'!$G:$G,'Daily Issuance'!$C:$C,$B312,'Daily Issuance'!$E:$E,"Inventory"))</f>
        <v>0</v>
      </c>
      <c r="H312" s="44">
        <f t="shared" si="8"/>
        <v>2</v>
      </c>
      <c r="I312" s="33" t="s">
        <v>449</v>
      </c>
      <c r="J312" s="34">
        <f t="shared" si="9"/>
        <v>9066</v>
      </c>
      <c r="K312" s="46"/>
    </row>
    <row r="313" spans="1:11" ht="23.1" customHeight="1">
      <c r="A313" s="170">
        <f>IF($B313="","",MAX($A$3:A312)+1)</f>
        <v>310</v>
      </c>
      <c r="B313" s="176">
        <v>20919</v>
      </c>
      <c r="C313" s="177" t="s">
        <v>450</v>
      </c>
      <c r="D313" s="279" t="s">
        <v>112</v>
      </c>
      <c r="E313" s="178">
        <v>2</v>
      </c>
      <c r="F313" s="172">
        <f>IF($B313="","",SUMIFS('Daily Inward'!$G:$G,'Daily Inward'!$C:$C,$B313,'Daily Inward'!$E:$E,"Inventory"))</f>
        <v>0</v>
      </c>
      <c r="G313" s="44">
        <f>IF($B313="","",SUMIFS('Daily Issuance'!$G:$G,'Daily Issuance'!$C:$C,$B313,'Daily Issuance'!$E:$E,"Inventory"))</f>
        <v>0</v>
      </c>
      <c r="H313" s="44">
        <f t="shared" si="8"/>
        <v>2</v>
      </c>
      <c r="I313" s="33" t="s">
        <v>451</v>
      </c>
      <c r="J313" s="34">
        <f t="shared" si="9"/>
        <v>17000</v>
      </c>
      <c r="K313" s="46"/>
    </row>
    <row r="314" spans="1:11" ht="23.1" customHeight="1">
      <c r="A314" s="170">
        <f>IF($B314="","",MAX($A$3:A313)+1)</f>
        <v>311</v>
      </c>
      <c r="B314" s="176">
        <v>21029</v>
      </c>
      <c r="C314" s="177" t="s">
        <v>452</v>
      </c>
      <c r="D314" s="279" t="s">
        <v>112</v>
      </c>
      <c r="E314" s="178">
        <v>1</v>
      </c>
      <c r="F314" s="172">
        <f>IF($B314="","",SUMIFS('Daily Inward'!$G:$G,'Daily Inward'!$C:$C,$B314,'Daily Inward'!$E:$E,"Inventory"))</f>
        <v>0</v>
      </c>
      <c r="G314" s="44">
        <f>IF($B314="","",SUMIFS('Daily Issuance'!$G:$G,'Daily Issuance'!$C:$C,$B314,'Daily Issuance'!$E:$E,"Inventory"))</f>
        <v>0</v>
      </c>
      <c r="H314" s="44">
        <f t="shared" si="8"/>
        <v>1</v>
      </c>
      <c r="I314" s="33" t="s">
        <v>453</v>
      </c>
      <c r="J314" s="34">
        <f t="shared" si="9"/>
        <v>38000</v>
      </c>
      <c r="K314" s="46"/>
    </row>
    <row r="315" spans="1:11" ht="23.1" customHeight="1">
      <c r="A315" s="170">
        <f>IF($B315="","",MAX($A$3:A314)+1)</f>
        <v>312</v>
      </c>
      <c r="B315" s="176">
        <v>21354</v>
      </c>
      <c r="C315" s="177" t="s">
        <v>454</v>
      </c>
      <c r="D315" s="279" t="s">
        <v>112</v>
      </c>
      <c r="E315" s="178">
        <v>9</v>
      </c>
      <c r="F315" s="172">
        <f>IF($B315="","",SUMIFS('Daily Inward'!$G:$G,'Daily Inward'!$C:$C,$B315,'Daily Inward'!$E:$E,"Inventory"))</f>
        <v>0</v>
      </c>
      <c r="G315" s="44">
        <f>IF($B315="","",SUMIFS('Daily Issuance'!$G:$G,'Daily Issuance'!$C:$C,$B315,'Daily Issuance'!$E:$E,"Inventory"))</f>
        <v>0</v>
      </c>
      <c r="H315" s="44">
        <f t="shared" si="8"/>
        <v>9</v>
      </c>
      <c r="I315" s="33">
        <v>2195</v>
      </c>
      <c r="J315" s="34">
        <f t="shared" si="9"/>
        <v>19755</v>
      </c>
      <c r="K315" s="46"/>
    </row>
    <row r="316" spans="1:11" ht="23.1" customHeight="1">
      <c r="A316" s="170">
        <f>IF($B316="","",MAX($A$3:A315)+1)</f>
        <v>313</v>
      </c>
      <c r="B316" s="176">
        <v>21427</v>
      </c>
      <c r="C316" s="177" t="s">
        <v>455</v>
      </c>
      <c r="D316" s="279" t="s">
        <v>112</v>
      </c>
      <c r="E316" s="178">
        <v>1</v>
      </c>
      <c r="F316" s="172">
        <f>IF($B316="","",SUMIFS('Daily Inward'!$G:$G,'Daily Inward'!$C:$C,$B316,'Daily Inward'!$E:$E,"Inventory"))</f>
        <v>0</v>
      </c>
      <c r="G316" s="44">
        <f>IF($B316="","",SUMIFS('Daily Issuance'!$G:$G,'Daily Issuance'!$C:$C,$B316,'Daily Issuance'!$E:$E,"Inventory"))</f>
        <v>0</v>
      </c>
      <c r="H316" s="44">
        <f t="shared" si="8"/>
        <v>1</v>
      </c>
      <c r="I316" s="33">
        <v>485</v>
      </c>
      <c r="J316" s="34">
        <f t="shared" si="9"/>
        <v>485</v>
      </c>
      <c r="K316" s="46"/>
    </row>
    <row r="317" spans="1:11" ht="23.1" customHeight="1">
      <c r="A317" s="170">
        <f>IF($B317="","",MAX($A$3:A316)+1)</f>
        <v>314</v>
      </c>
      <c r="B317" s="176">
        <v>21428</v>
      </c>
      <c r="C317" s="177" t="s">
        <v>456</v>
      </c>
      <c r="D317" s="279" t="s">
        <v>112</v>
      </c>
      <c r="E317" s="178">
        <v>1</v>
      </c>
      <c r="F317" s="172">
        <f>IF($B317="","",SUMIFS('Daily Inward'!$G:$G,'Daily Inward'!$C:$C,$B317,'Daily Inward'!$E:$E,"Inventory"))</f>
        <v>0</v>
      </c>
      <c r="G317" s="44">
        <f>IF($B317="","",SUMIFS('Daily Issuance'!$G:$G,'Daily Issuance'!$C:$C,$B317,'Daily Issuance'!$E:$E,"Inventory"))</f>
        <v>0</v>
      </c>
      <c r="H317" s="44">
        <f t="shared" si="8"/>
        <v>1</v>
      </c>
      <c r="I317" s="33">
        <v>485</v>
      </c>
      <c r="J317" s="34">
        <f t="shared" si="9"/>
        <v>485</v>
      </c>
      <c r="K317" s="46"/>
    </row>
    <row r="318" spans="1:11" ht="23.1" customHeight="1">
      <c r="A318" s="170">
        <f>IF($B318="","",MAX($A$3:A317)+1)</f>
        <v>315</v>
      </c>
      <c r="B318" s="176">
        <v>21468</v>
      </c>
      <c r="C318" s="177" t="s">
        <v>457</v>
      </c>
      <c r="D318" s="279" t="s">
        <v>112</v>
      </c>
      <c r="E318" s="178">
        <v>11</v>
      </c>
      <c r="F318" s="172">
        <f>IF($B318="","",SUMIFS('Daily Inward'!$G:$G,'Daily Inward'!$C:$C,$B318,'Daily Inward'!$E:$E,"Inventory"))</f>
        <v>0</v>
      </c>
      <c r="G318" s="44">
        <f>IF($B318="","",SUMIFS('Daily Issuance'!$G:$G,'Daily Issuance'!$C:$C,$B318,'Daily Issuance'!$E:$E,"Inventory"))</f>
        <v>0</v>
      </c>
      <c r="H318" s="44">
        <f t="shared" si="8"/>
        <v>11</v>
      </c>
      <c r="I318" s="33">
        <v>21750</v>
      </c>
      <c r="J318" s="34">
        <f t="shared" si="9"/>
        <v>239250</v>
      </c>
      <c r="K318" s="46"/>
    </row>
    <row r="319" spans="1:11" ht="23.1" customHeight="1">
      <c r="A319" s="170">
        <f>IF($B319="","",MAX($A$3:A318)+1)</f>
        <v>316</v>
      </c>
      <c r="B319" s="176">
        <v>21475</v>
      </c>
      <c r="C319" s="177" t="s">
        <v>458</v>
      </c>
      <c r="D319" s="279" t="s">
        <v>112</v>
      </c>
      <c r="E319" s="178">
        <v>4</v>
      </c>
      <c r="F319" s="172">
        <f>IF($B319="","",SUMIFS('Daily Inward'!$G:$G,'Daily Inward'!$C:$C,$B319,'Daily Inward'!$E:$E,"Inventory"))</f>
        <v>0</v>
      </c>
      <c r="G319" s="44">
        <f>IF($B319="","",SUMIFS('Daily Issuance'!$G:$G,'Daily Issuance'!$C:$C,$B319,'Daily Issuance'!$E:$E,"Inventory"))</f>
        <v>4</v>
      </c>
      <c r="H319" s="44">
        <f t="shared" si="8"/>
        <v>0</v>
      </c>
      <c r="I319" s="33" t="s">
        <v>459</v>
      </c>
      <c r="J319" s="34">
        <f t="shared" si="9"/>
        <v>0</v>
      </c>
      <c r="K319" s="46"/>
    </row>
    <row r="320" spans="1:11" ht="23.1" customHeight="1">
      <c r="A320" s="170">
        <f>IF($B320="","",MAX($A$3:A319)+1)</f>
        <v>317</v>
      </c>
      <c r="B320" s="176">
        <v>21476</v>
      </c>
      <c r="C320" s="177" t="s">
        <v>460</v>
      </c>
      <c r="D320" s="279" t="s">
        <v>112</v>
      </c>
      <c r="E320" s="178">
        <v>1</v>
      </c>
      <c r="F320" s="172">
        <f>IF($B320="","",SUMIFS('Daily Inward'!$G:$G,'Daily Inward'!$C:$C,$B320,'Daily Inward'!$E:$E,"Inventory"))</f>
        <v>0</v>
      </c>
      <c r="G320" s="44">
        <f>IF($B320="","",SUMIFS('Daily Issuance'!$G:$G,'Daily Issuance'!$C:$C,$B320,'Daily Issuance'!$E:$E,"Inventory"))</f>
        <v>0</v>
      </c>
      <c r="H320" s="44">
        <f t="shared" si="8"/>
        <v>1</v>
      </c>
      <c r="I320" s="33" t="s">
        <v>431</v>
      </c>
      <c r="J320" s="34">
        <f t="shared" si="9"/>
        <v>7500</v>
      </c>
      <c r="K320" s="46"/>
    </row>
    <row r="321" spans="1:11" ht="23.1" customHeight="1">
      <c r="A321" s="170">
        <f>IF($B321="","",MAX($A$3:A320)+1)</f>
        <v>318</v>
      </c>
      <c r="B321" s="176">
        <v>21512</v>
      </c>
      <c r="C321" s="177" t="s">
        <v>461</v>
      </c>
      <c r="D321" s="279" t="s">
        <v>112</v>
      </c>
      <c r="E321" s="178">
        <v>11</v>
      </c>
      <c r="F321" s="172">
        <f>IF($B321="","",SUMIFS('Daily Inward'!$G:$G,'Daily Inward'!$C:$C,$B321,'Daily Inward'!$E:$E,"Inventory"))</f>
        <v>0</v>
      </c>
      <c r="G321" s="44">
        <f>IF($B321="","",SUMIFS('Daily Issuance'!$G:$G,'Daily Issuance'!$C:$C,$B321,'Daily Issuance'!$E:$E,"Inventory"))</f>
        <v>0</v>
      </c>
      <c r="H321" s="44">
        <f t="shared" si="8"/>
        <v>11</v>
      </c>
      <c r="I321" s="33">
        <v>2250</v>
      </c>
      <c r="J321" s="34">
        <f t="shared" si="9"/>
        <v>24750</v>
      </c>
      <c r="K321" s="46"/>
    </row>
    <row r="322" spans="1:11" ht="23.1" customHeight="1">
      <c r="A322" s="170">
        <f>IF($B322="","",MAX($A$3:A321)+1)</f>
        <v>319</v>
      </c>
      <c r="B322" s="176">
        <v>21513</v>
      </c>
      <c r="C322" s="177" t="s">
        <v>462</v>
      </c>
      <c r="D322" s="279" t="s">
        <v>112</v>
      </c>
      <c r="E322" s="178">
        <v>10</v>
      </c>
      <c r="F322" s="172">
        <f>IF($B322="","",SUMIFS('Daily Inward'!$G:$G,'Daily Inward'!$C:$C,$B322,'Daily Inward'!$E:$E,"Inventory"))</f>
        <v>0</v>
      </c>
      <c r="G322" s="44">
        <f>IF($B322="","",SUMIFS('Daily Issuance'!$G:$G,'Daily Issuance'!$C:$C,$B322,'Daily Issuance'!$E:$E,"Inventory"))</f>
        <v>0</v>
      </c>
      <c r="H322" s="44">
        <f t="shared" si="8"/>
        <v>10</v>
      </c>
      <c r="I322" s="33">
        <v>2500</v>
      </c>
      <c r="J322" s="34">
        <f t="shared" si="9"/>
        <v>25000</v>
      </c>
      <c r="K322" s="46"/>
    </row>
    <row r="323" spans="1:11" ht="23.1" customHeight="1">
      <c r="A323" s="170">
        <f>IF($B323="","",MAX($A$3:A322)+1)</f>
        <v>320</v>
      </c>
      <c r="B323" s="176">
        <v>21544</v>
      </c>
      <c r="C323" s="177" t="s">
        <v>463</v>
      </c>
      <c r="D323" s="279" t="s">
        <v>112</v>
      </c>
      <c r="E323" s="178">
        <v>2</v>
      </c>
      <c r="F323" s="172">
        <f>IF($B323="","",SUMIFS('Daily Inward'!$G:$G,'Daily Inward'!$C:$C,$B323,'Daily Inward'!$E:$E,"Inventory"))</f>
        <v>0</v>
      </c>
      <c r="G323" s="44">
        <f>IF($B323="","",SUMIFS('Daily Issuance'!$G:$G,'Daily Issuance'!$C:$C,$B323,'Daily Issuance'!$E:$E,"Inventory"))</f>
        <v>0</v>
      </c>
      <c r="H323" s="44">
        <f t="shared" ref="H323:H386" si="10">IF($B323="","",N(E323)+N(F323)-N(G323))</f>
        <v>2</v>
      </c>
      <c r="I323" s="33">
        <v>28500</v>
      </c>
      <c r="J323" s="34">
        <f t="shared" ref="J323:J386" si="11">IF($B323="","",H323*I323)</f>
        <v>57000</v>
      </c>
      <c r="K323" s="46"/>
    </row>
    <row r="324" spans="1:11" ht="23.1" customHeight="1">
      <c r="A324" s="170">
        <f>IF($B324="","",MAX($A$3:A323)+1)</f>
        <v>321</v>
      </c>
      <c r="B324" s="176">
        <v>21564</v>
      </c>
      <c r="C324" s="177" t="s">
        <v>464</v>
      </c>
      <c r="D324" s="279" t="s">
        <v>112</v>
      </c>
      <c r="E324" s="178">
        <v>15</v>
      </c>
      <c r="F324" s="172">
        <f>IF($B324="","",SUMIFS('Daily Inward'!$G:$G,'Daily Inward'!$C:$C,$B324,'Daily Inward'!$E:$E,"Inventory"))</f>
        <v>0</v>
      </c>
      <c r="G324" s="44">
        <f>IF($B324="","",SUMIFS('Daily Issuance'!$G:$G,'Daily Issuance'!$C:$C,$B324,'Daily Issuance'!$E:$E,"Inventory"))</f>
        <v>2</v>
      </c>
      <c r="H324" s="44">
        <f t="shared" si="10"/>
        <v>13</v>
      </c>
      <c r="I324" s="33">
        <v>450</v>
      </c>
      <c r="J324" s="34">
        <f t="shared" si="11"/>
        <v>5850</v>
      </c>
      <c r="K324" s="46"/>
    </row>
    <row r="325" spans="1:11" ht="23.1" customHeight="1">
      <c r="A325" s="170">
        <f>IF($B325="","",MAX($A$3:A324)+1)</f>
        <v>322</v>
      </c>
      <c r="B325" s="176">
        <v>21624</v>
      </c>
      <c r="C325" s="177" t="s">
        <v>465</v>
      </c>
      <c r="D325" s="279" t="s">
        <v>112</v>
      </c>
      <c r="E325" s="178">
        <v>6</v>
      </c>
      <c r="F325" s="172">
        <f>IF($B325="","",SUMIFS('Daily Inward'!$G:$G,'Daily Inward'!$C:$C,$B325,'Daily Inward'!$E:$E,"Inventory"))</f>
        <v>0</v>
      </c>
      <c r="G325" s="44">
        <f>IF($B325="","",SUMIFS('Daily Issuance'!$G:$G,'Daily Issuance'!$C:$C,$B325,'Daily Issuance'!$E:$E,"Inventory"))</f>
        <v>0</v>
      </c>
      <c r="H325" s="44">
        <f t="shared" si="10"/>
        <v>6</v>
      </c>
      <c r="I325" s="33" t="s">
        <v>466</v>
      </c>
      <c r="J325" s="34">
        <f t="shared" si="11"/>
        <v>22800</v>
      </c>
      <c r="K325" s="46"/>
    </row>
    <row r="326" spans="1:11" ht="23.1" customHeight="1">
      <c r="A326" s="170">
        <f>IF($B326="","",MAX($A$3:A325)+1)</f>
        <v>323</v>
      </c>
      <c r="B326" s="176">
        <v>21755</v>
      </c>
      <c r="C326" s="177" t="s">
        <v>467</v>
      </c>
      <c r="D326" s="279" t="s">
        <v>112</v>
      </c>
      <c r="E326" s="178">
        <v>1</v>
      </c>
      <c r="F326" s="172">
        <f>IF($B326="","",SUMIFS('Daily Inward'!$G:$G,'Daily Inward'!$C:$C,$B326,'Daily Inward'!$E:$E,"Inventory"))</f>
        <v>0</v>
      </c>
      <c r="G326" s="44">
        <f>IF($B326="","",SUMIFS('Daily Issuance'!$G:$G,'Daily Issuance'!$C:$C,$B326,'Daily Issuance'!$E:$E,"Inventory"))</f>
        <v>0</v>
      </c>
      <c r="H326" s="44">
        <f t="shared" si="10"/>
        <v>1</v>
      </c>
      <c r="I326" s="33" t="s">
        <v>380</v>
      </c>
      <c r="J326" s="34">
        <f t="shared" si="11"/>
        <v>18000</v>
      </c>
      <c r="K326" s="46"/>
    </row>
    <row r="327" spans="1:11" ht="23.1" customHeight="1">
      <c r="A327" s="170">
        <f>IF($B327="","",MAX($A$3:A326)+1)</f>
        <v>324</v>
      </c>
      <c r="B327" s="176">
        <v>21786</v>
      </c>
      <c r="C327" s="177" t="s">
        <v>468</v>
      </c>
      <c r="D327" s="279" t="s">
        <v>112</v>
      </c>
      <c r="E327" s="178">
        <v>12</v>
      </c>
      <c r="F327" s="172">
        <f>IF($B327="","",SUMIFS('Daily Inward'!$G:$G,'Daily Inward'!$C:$C,$B327,'Daily Inward'!$E:$E,"Inventory"))</f>
        <v>0</v>
      </c>
      <c r="G327" s="44">
        <f>IF($B327="","",SUMIFS('Daily Issuance'!$G:$G,'Daily Issuance'!$C:$C,$B327,'Daily Issuance'!$E:$E,"Inventory"))</f>
        <v>5</v>
      </c>
      <c r="H327" s="44">
        <f t="shared" si="10"/>
        <v>7</v>
      </c>
      <c r="I327" s="33">
        <v>193370</v>
      </c>
      <c r="J327" s="34">
        <f t="shared" si="11"/>
        <v>1353590</v>
      </c>
      <c r="K327" s="46"/>
    </row>
    <row r="328" spans="1:11" ht="23.1" customHeight="1">
      <c r="A328" s="170">
        <f>IF($B328="","",MAX($A$3:A327)+1)</f>
        <v>325</v>
      </c>
      <c r="B328" s="176">
        <v>21787</v>
      </c>
      <c r="C328" s="177" t="s">
        <v>469</v>
      </c>
      <c r="D328" s="279" t="s">
        <v>112</v>
      </c>
      <c r="E328" s="178">
        <v>1</v>
      </c>
      <c r="F328" s="172">
        <f>IF($B328="","",SUMIFS('Daily Inward'!$G:$G,'Daily Inward'!$C:$C,$B328,'Daily Inward'!$E:$E,"Inventory"))</f>
        <v>0</v>
      </c>
      <c r="G328" s="44">
        <f>IF($B328="","",SUMIFS('Daily Issuance'!$G:$G,'Daily Issuance'!$C:$C,$B328,'Daily Issuance'!$E:$E,"Inventory"))</f>
        <v>0</v>
      </c>
      <c r="H328" s="44">
        <f t="shared" si="10"/>
        <v>1</v>
      </c>
      <c r="I328" s="33" t="s">
        <v>470</v>
      </c>
      <c r="J328" s="34">
        <f t="shared" si="11"/>
        <v>87746</v>
      </c>
      <c r="K328" s="46"/>
    </row>
    <row r="329" spans="1:11" ht="23.1" customHeight="1">
      <c r="A329" s="170">
        <f>IF($B329="","",MAX($A$3:A328)+1)</f>
        <v>326</v>
      </c>
      <c r="B329" s="176">
        <v>21856</v>
      </c>
      <c r="C329" s="177" t="s">
        <v>471</v>
      </c>
      <c r="D329" s="279" t="s">
        <v>112</v>
      </c>
      <c r="E329" s="178">
        <v>1</v>
      </c>
      <c r="F329" s="172">
        <f>IF($B329="","",SUMIFS('Daily Inward'!$G:$G,'Daily Inward'!$C:$C,$B329,'Daily Inward'!$E:$E,"Inventory"))</f>
        <v>0</v>
      </c>
      <c r="G329" s="44">
        <f>IF($B329="","",SUMIFS('Daily Issuance'!$G:$G,'Daily Issuance'!$C:$C,$B329,'Daily Issuance'!$E:$E,"Inventory"))</f>
        <v>0</v>
      </c>
      <c r="H329" s="44">
        <f t="shared" si="10"/>
        <v>1</v>
      </c>
      <c r="I329" s="33" t="s">
        <v>472</v>
      </c>
      <c r="J329" s="34">
        <f t="shared" si="11"/>
        <v>12500</v>
      </c>
      <c r="K329" s="46"/>
    </row>
    <row r="330" spans="1:11" ht="23.1" customHeight="1">
      <c r="A330" s="170">
        <f>IF($B330="","",MAX($A$3:A329)+1)</f>
        <v>327</v>
      </c>
      <c r="B330" s="176">
        <v>21888</v>
      </c>
      <c r="C330" s="177" t="s">
        <v>473</v>
      </c>
      <c r="D330" s="279" t="s">
        <v>112</v>
      </c>
      <c r="E330" s="178">
        <v>1</v>
      </c>
      <c r="F330" s="172">
        <f>IF($B330="","",SUMIFS('Daily Inward'!$G:$G,'Daily Inward'!$C:$C,$B330,'Daily Inward'!$E:$E,"Inventory"))</f>
        <v>0</v>
      </c>
      <c r="G330" s="44">
        <f>IF($B330="","",SUMIFS('Daily Issuance'!$G:$G,'Daily Issuance'!$C:$C,$B330,'Daily Issuance'!$E:$E,"Inventory"))</f>
        <v>0</v>
      </c>
      <c r="H330" s="44">
        <f t="shared" si="10"/>
        <v>1</v>
      </c>
      <c r="I330" s="33" t="s">
        <v>474</v>
      </c>
      <c r="J330" s="34">
        <f t="shared" si="11"/>
        <v>11550</v>
      </c>
      <c r="K330" s="46"/>
    </row>
    <row r="331" spans="1:11" ht="23.1" customHeight="1">
      <c r="A331" s="170">
        <f>IF($B331="","",MAX($A$3:A330)+1)</f>
        <v>328</v>
      </c>
      <c r="B331" s="176">
        <v>21889</v>
      </c>
      <c r="C331" s="177" t="s">
        <v>475</v>
      </c>
      <c r="D331" s="279" t="s">
        <v>112</v>
      </c>
      <c r="E331" s="178">
        <v>1</v>
      </c>
      <c r="F331" s="172">
        <f>IF($B331="","",SUMIFS('Daily Inward'!$G:$G,'Daily Inward'!$C:$C,$B331,'Daily Inward'!$E:$E,"Inventory"))</f>
        <v>0</v>
      </c>
      <c r="G331" s="44">
        <f>IF($B331="","",SUMIFS('Daily Issuance'!$G:$G,'Daily Issuance'!$C:$C,$B331,'Daily Issuance'!$E:$E,"Inventory"))</f>
        <v>0</v>
      </c>
      <c r="H331" s="44">
        <f t="shared" si="10"/>
        <v>1</v>
      </c>
      <c r="I331" s="33" t="s">
        <v>476</v>
      </c>
      <c r="J331" s="34">
        <f t="shared" si="11"/>
        <v>51500</v>
      </c>
      <c r="K331" s="46"/>
    </row>
    <row r="332" spans="1:11" ht="23.1" customHeight="1">
      <c r="A332" s="170">
        <f>IF($B332="","",MAX($A$3:A331)+1)</f>
        <v>329</v>
      </c>
      <c r="B332" s="176">
        <v>21943</v>
      </c>
      <c r="C332" s="177" t="s">
        <v>477</v>
      </c>
      <c r="D332" s="279" t="s">
        <v>112</v>
      </c>
      <c r="E332" s="178">
        <v>0</v>
      </c>
      <c r="F332" s="172">
        <f>IF($B332="","",SUMIFS('Daily Inward'!$G:$G,'Daily Inward'!$C:$C,$B332,'Daily Inward'!$E:$E,"Inventory"))</f>
        <v>0</v>
      </c>
      <c r="G332" s="44">
        <f>IF($B332="","",SUMIFS('Daily Issuance'!$G:$G,'Daily Issuance'!$C:$C,$B332,'Daily Issuance'!$E:$E,"Inventory"))</f>
        <v>0</v>
      </c>
      <c r="H332" s="44">
        <f t="shared" si="10"/>
        <v>0</v>
      </c>
      <c r="I332" s="33" t="s">
        <v>478</v>
      </c>
      <c r="J332" s="34">
        <f t="shared" si="11"/>
        <v>0</v>
      </c>
      <c r="K332" s="46"/>
    </row>
    <row r="333" spans="1:11" ht="23.1" customHeight="1">
      <c r="A333" s="170">
        <f>IF($B333="","",MAX($A$3:A332)+1)</f>
        <v>330</v>
      </c>
      <c r="B333" s="176">
        <v>21944</v>
      </c>
      <c r="C333" s="177" t="s">
        <v>479</v>
      </c>
      <c r="D333" s="279" t="s">
        <v>112</v>
      </c>
      <c r="E333" s="178">
        <v>1</v>
      </c>
      <c r="F333" s="172">
        <f>IF($B333="","",SUMIFS('Daily Inward'!$G:$G,'Daily Inward'!$C:$C,$B333,'Daily Inward'!$E:$E,"Inventory"))</f>
        <v>0</v>
      </c>
      <c r="G333" s="44">
        <f>IF($B333="","",SUMIFS('Daily Issuance'!$G:$G,'Daily Issuance'!$C:$C,$B333,'Daily Issuance'!$E:$E,"Inventory"))</f>
        <v>0</v>
      </c>
      <c r="H333" s="44">
        <f t="shared" si="10"/>
        <v>1</v>
      </c>
      <c r="I333" s="33" t="s">
        <v>480</v>
      </c>
      <c r="J333" s="34">
        <f t="shared" si="11"/>
        <v>30864</v>
      </c>
      <c r="K333" s="46"/>
    </row>
    <row r="334" spans="1:11" ht="23.1" customHeight="1">
      <c r="A334" s="170">
        <f>IF($B334="","",MAX($A$3:A333)+1)</f>
        <v>331</v>
      </c>
      <c r="B334" s="176">
        <v>21986</v>
      </c>
      <c r="C334" s="177" t="s">
        <v>481</v>
      </c>
      <c r="D334" s="279" t="s">
        <v>112</v>
      </c>
      <c r="E334" s="178">
        <v>2</v>
      </c>
      <c r="F334" s="172">
        <f>IF($B334="","",SUMIFS('Daily Inward'!$G:$G,'Daily Inward'!$C:$C,$B334,'Daily Inward'!$E:$E,"Inventory"))</f>
        <v>0</v>
      </c>
      <c r="G334" s="44">
        <f>IF($B334="","",SUMIFS('Daily Issuance'!$G:$G,'Daily Issuance'!$C:$C,$B334,'Daily Issuance'!$E:$E,"Inventory"))</f>
        <v>0</v>
      </c>
      <c r="H334" s="44">
        <f t="shared" si="10"/>
        <v>2</v>
      </c>
      <c r="I334" s="33" t="s">
        <v>392</v>
      </c>
      <c r="J334" s="34">
        <f t="shared" si="11"/>
        <v>27000</v>
      </c>
      <c r="K334" s="46"/>
    </row>
    <row r="335" spans="1:11" ht="23.1" customHeight="1">
      <c r="A335" s="170">
        <f>IF($B335="","",MAX($A$3:A334)+1)</f>
        <v>332</v>
      </c>
      <c r="B335" s="176">
        <v>22039</v>
      </c>
      <c r="C335" s="177" t="s">
        <v>482</v>
      </c>
      <c r="D335" s="279" t="s">
        <v>112</v>
      </c>
      <c r="E335" s="178">
        <v>2</v>
      </c>
      <c r="F335" s="172">
        <f>IF($B335="","",SUMIFS('Daily Inward'!$G:$G,'Daily Inward'!$C:$C,$B335,'Daily Inward'!$E:$E,"Inventory"))</f>
        <v>0</v>
      </c>
      <c r="G335" s="44">
        <f>IF($B335="","",SUMIFS('Daily Issuance'!$G:$G,'Daily Issuance'!$C:$C,$B335,'Daily Issuance'!$E:$E,"Inventory"))</f>
        <v>0</v>
      </c>
      <c r="H335" s="44">
        <f t="shared" si="10"/>
        <v>2</v>
      </c>
      <c r="I335" s="33">
        <v>90</v>
      </c>
      <c r="J335" s="34">
        <f t="shared" si="11"/>
        <v>180</v>
      </c>
      <c r="K335" s="46"/>
    </row>
    <row r="336" spans="1:11" ht="23.1" customHeight="1">
      <c r="A336" s="170">
        <f>IF($B336="","",MAX($A$3:A335)+1)</f>
        <v>333</v>
      </c>
      <c r="B336" s="176">
        <v>22077</v>
      </c>
      <c r="C336" s="177" t="s">
        <v>483</v>
      </c>
      <c r="D336" s="279" t="s">
        <v>112</v>
      </c>
      <c r="E336" s="178">
        <v>5</v>
      </c>
      <c r="F336" s="172">
        <f>IF($B336="","",SUMIFS('Daily Inward'!$G:$G,'Daily Inward'!$C:$C,$B336,'Daily Inward'!$E:$E,"Inventory"))</f>
        <v>0</v>
      </c>
      <c r="G336" s="44">
        <f>IF($B336="","",SUMIFS('Daily Issuance'!$G:$G,'Daily Issuance'!$C:$C,$B336,'Daily Issuance'!$E:$E,"Inventory"))</f>
        <v>0</v>
      </c>
      <c r="H336" s="44">
        <f t="shared" si="10"/>
        <v>5</v>
      </c>
      <c r="I336" s="33" t="s">
        <v>439</v>
      </c>
      <c r="J336" s="34">
        <f t="shared" si="11"/>
        <v>12500</v>
      </c>
      <c r="K336" s="46"/>
    </row>
    <row r="337" spans="1:11" ht="23.1" customHeight="1">
      <c r="A337" s="170">
        <f>IF($B337="","",MAX($A$3:A336)+1)</f>
        <v>334</v>
      </c>
      <c r="B337" s="176">
        <v>22171</v>
      </c>
      <c r="C337" s="177" t="s">
        <v>484</v>
      </c>
      <c r="D337" s="279" t="s">
        <v>112</v>
      </c>
      <c r="E337" s="178">
        <v>1</v>
      </c>
      <c r="F337" s="172">
        <f>IF($B337="","",SUMIFS('Daily Inward'!$G:$G,'Daily Inward'!$C:$C,$B337,'Daily Inward'!$E:$E,"Inventory"))</f>
        <v>0</v>
      </c>
      <c r="G337" s="44">
        <f>IF($B337="","",SUMIFS('Daily Issuance'!$G:$G,'Daily Issuance'!$C:$C,$B337,'Daily Issuance'!$E:$E,"Inventory"))</f>
        <v>0</v>
      </c>
      <c r="H337" s="44">
        <f t="shared" si="10"/>
        <v>1</v>
      </c>
      <c r="I337" s="33" t="s">
        <v>478</v>
      </c>
      <c r="J337" s="34">
        <f t="shared" si="11"/>
        <v>17000</v>
      </c>
      <c r="K337" s="46"/>
    </row>
    <row r="338" spans="1:11" ht="23.1" customHeight="1">
      <c r="A338" s="170">
        <f>IF($B338="","",MAX($A$3:A337)+1)</f>
        <v>335</v>
      </c>
      <c r="B338" s="176">
        <v>22247</v>
      </c>
      <c r="C338" s="177" t="s">
        <v>485</v>
      </c>
      <c r="D338" s="279" t="s">
        <v>112</v>
      </c>
      <c r="E338" s="178">
        <v>3</v>
      </c>
      <c r="F338" s="172">
        <f>IF($B338="","",SUMIFS('Daily Inward'!$G:$G,'Daily Inward'!$C:$C,$B338,'Daily Inward'!$E:$E,"Inventory"))</f>
        <v>0</v>
      </c>
      <c r="G338" s="44">
        <f>IF($B338="","",SUMIFS('Daily Issuance'!$G:$G,'Daily Issuance'!$C:$C,$B338,'Daily Issuance'!$E:$E,"Inventory"))</f>
        <v>0</v>
      </c>
      <c r="H338" s="44">
        <f t="shared" si="10"/>
        <v>3</v>
      </c>
      <c r="I338" s="33" t="s">
        <v>486</v>
      </c>
      <c r="J338" s="34">
        <f t="shared" si="11"/>
        <v>24000</v>
      </c>
      <c r="K338" s="46"/>
    </row>
    <row r="339" spans="1:11" ht="23.1" customHeight="1">
      <c r="A339" s="170">
        <f>IF($B339="","",MAX($A$3:A338)+1)</f>
        <v>336</v>
      </c>
      <c r="B339" s="176">
        <v>22291</v>
      </c>
      <c r="C339" s="177" t="s">
        <v>487</v>
      </c>
      <c r="D339" s="279" t="s">
        <v>112</v>
      </c>
      <c r="E339" s="178">
        <v>1</v>
      </c>
      <c r="F339" s="172">
        <f>IF($B339="","",SUMIFS('Daily Inward'!$G:$G,'Daily Inward'!$C:$C,$B339,'Daily Inward'!$E:$E,"Inventory"))</f>
        <v>0</v>
      </c>
      <c r="G339" s="44">
        <f>IF($B339="","",SUMIFS('Daily Issuance'!$G:$G,'Daily Issuance'!$C:$C,$B339,'Daily Issuance'!$E:$E,"Inventory"))</f>
        <v>0</v>
      </c>
      <c r="H339" s="44">
        <f t="shared" si="10"/>
        <v>1</v>
      </c>
      <c r="I339" s="33" t="s">
        <v>488</v>
      </c>
      <c r="J339" s="34">
        <f t="shared" si="11"/>
        <v>75000</v>
      </c>
      <c r="K339" s="46"/>
    </row>
    <row r="340" spans="1:11" ht="23.1" customHeight="1">
      <c r="A340" s="170">
        <f>IF($B340="","",MAX($A$3:A339)+1)</f>
        <v>337</v>
      </c>
      <c r="B340" s="176">
        <v>22292</v>
      </c>
      <c r="C340" s="177" t="s">
        <v>489</v>
      </c>
      <c r="D340" s="279" t="s">
        <v>112</v>
      </c>
      <c r="E340" s="178">
        <v>8</v>
      </c>
      <c r="F340" s="172">
        <f>IF($B340="","",SUMIFS('Daily Inward'!$G:$G,'Daily Inward'!$C:$C,$B340,'Daily Inward'!$E:$E,"Inventory"))</f>
        <v>0</v>
      </c>
      <c r="G340" s="44">
        <f>IF($B340="","",SUMIFS('Daily Issuance'!$G:$G,'Daily Issuance'!$C:$C,$B340,'Daily Issuance'!$E:$E,"Inventory"))</f>
        <v>0</v>
      </c>
      <c r="H340" s="44">
        <f t="shared" si="10"/>
        <v>8</v>
      </c>
      <c r="I340" s="33">
        <v>6500</v>
      </c>
      <c r="J340" s="34">
        <f t="shared" si="11"/>
        <v>52000</v>
      </c>
      <c r="K340" s="46"/>
    </row>
    <row r="341" spans="1:11" ht="23.1" customHeight="1">
      <c r="A341" s="170">
        <f>IF($B341="","",MAX($A$3:A340)+1)</f>
        <v>338</v>
      </c>
      <c r="B341" s="176">
        <v>22418</v>
      </c>
      <c r="C341" s="177" t="s">
        <v>490</v>
      </c>
      <c r="D341" s="279" t="s">
        <v>112</v>
      </c>
      <c r="E341" s="178">
        <v>1</v>
      </c>
      <c r="F341" s="172">
        <f>IF($B341="","",SUMIFS('Daily Inward'!$G:$G,'Daily Inward'!$C:$C,$B341,'Daily Inward'!$E:$E,"Inventory"))</f>
        <v>0</v>
      </c>
      <c r="G341" s="44">
        <f>IF($B341="","",SUMIFS('Daily Issuance'!$G:$G,'Daily Issuance'!$C:$C,$B341,'Daily Issuance'!$E:$E,"Inventory"))</f>
        <v>0</v>
      </c>
      <c r="H341" s="44">
        <f t="shared" si="10"/>
        <v>1</v>
      </c>
      <c r="I341" s="33" t="s">
        <v>491</v>
      </c>
      <c r="J341" s="34">
        <f t="shared" si="11"/>
        <v>47984</v>
      </c>
      <c r="K341" s="46"/>
    </row>
    <row r="342" spans="1:11" ht="23.1" customHeight="1">
      <c r="A342" s="170">
        <f>IF($B342="","",MAX($A$3:A341)+1)</f>
        <v>339</v>
      </c>
      <c r="B342" s="176">
        <v>22420</v>
      </c>
      <c r="C342" s="177" t="s">
        <v>492</v>
      </c>
      <c r="D342" s="279" t="s">
        <v>112</v>
      </c>
      <c r="E342" s="178">
        <v>1</v>
      </c>
      <c r="F342" s="172">
        <f>IF($B342="","",SUMIFS('Daily Inward'!$G:$G,'Daily Inward'!$C:$C,$B342,'Daily Inward'!$E:$E,"Inventory"))</f>
        <v>0</v>
      </c>
      <c r="G342" s="44">
        <f>IF($B342="","",SUMIFS('Daily Issuance'!$G:$G,'Daily Issuance'!$C:$C,$B342,'Daily Issuance'!$E:$E,"Inventory"))</f>
        <v>0</v>
      </c>
      <c r="H342" s="44">
        <f t="shared" si="10"/>
        <v>1</v>
      </c>
      <c r="I342" s="33" t="s">
        <v>493</v>
      </c>
      <c r="J342" s="34">
        <f t="shared" si="11"/>
        <v>9939</v>
      </c>
      <c r="K342" s="46"/>
    </row>
    <row r="343" spans="1:11" ht="23.1" customHeight="1">
      <c r="A343" s="170">
        <f>IF($B343="","",MAX($A$3:A342)+1)</f>
        <v>340</v>
      </c>
      <c r="B343" s="176">
        <v>22437</v>
      </c>
      <c r="C343" s="177" t="s">
        <v>494</v>
      </c>
      <c r="D343" s="279" t="s">
        <v>112</v>
      </c>
      <c r="E343" s="178">
        <v>63</v>
      </c>
      <c r="F343" s="172">
        <f>IF($B343="","",SUMIFS('Daily Inward'!$G:$G,'Daily Inward'!$C:$C,$B343,'Daily Inward'!$E:$E,"Inventory"))</f>
        <v>0</v>
      </c>
      <c r="G343" s="44">
        <f>IF($B343="","",SUMIFS('Daily Issuance'!$G:$G,'Daily Issuance'!$C:$C,$B343,'Daily Issuance'!$E:$E,"Inventory"))</f>
        <v>0</v>
      </c>
      <c r="H343" s="44">
        <f t="shared" si="10"/>
        <v>63</v>
      </c>
      <c r="I343" s="33" t="s">
        <v>495</v>
      </c>
      <c r="J343" s="34">
        <f t="shared" si="11"/>
        <v>2142</v>
      </c>
      <c r="K343" s="46"/>
    </row>
    <row r="344" spans="1:11" ht="23.1" customHeight="1">
      <c r="A344" s="170">
        <f>IF($B344="","",MAX($A$3:A343)+1)</f>
        <v>341</v>
      </c>
      <c r="B344" s="176">
        <v>22438</v>
      </c>
      <c r="C344" s="177" t="s">
        <v>496</v>
      </c>
      <c r="D344" s="279" t="s">
        <v>112</v>
      </c>
      <c r="E344" s="178">
        <v>9</v>
      </c>
      <c r="F344" s="172">
        <f>IF($B344="","",SUMIFS('Daily Inward'!$G:$G,'Daily Inward'!$C:$C,$B344,'Daily Inward'!$E:$E,"Inventory"))</f>
        <v>0</v>
      </c>
      <c r="G344" s="44">
        <f>IF($B344="","",SUMIFS('Daily Issuance'!$G:$G,'Daily Issuance'!$C:$C,$B344,'Daily Issuance'!$E:$E,"Inventory"))</f>
        <v>0</v>
      </c>
      <c r="H344" s="44">
        <f t="shared" si="10"/>
        <v>9</v>
      </c>
      <c r="I344" s="33" t="s">
        <v>497</v>
      </c>
      <c r="J344" s="34">
        <f t="shared" si="11"/>
        <v>12033</v>
      </c>
      <c r="K344" s="46"/>
    </row>
    <row r="345" spans="1:11" ht="23.1" customHeight="1">
      <c r="A345" s="170">
        <f>IF($B345="","",MAX($A$3:A344)+1)</f>
        <v>342</v>
      </c>
      <c r="B345" s="176">
        <v>22483</v>
      </c>
      <c r="C345" s="177" t="s">
        <v>498</v>
      </c>
      <c r="D345" s="279" t="s">
        <v>112</v>
      </c>
      <c r="E345" s="178">
        <v>1</v>
      </c>
      <c r="F345" s="172">
        <f>IF($B345="","",SUMIFS('Daily Inward'!$G:$G,'Daily Inward'!$C:$C,$B345,'Daily Inward'!$E:$E,"Inventory"))</f>
        <v>0</v>
      </c>
      <c r="G345" s="44">
        <f>IF($B345="","",SUMIFS('Daily Issuance'!$G:$G,'Daily Issuance'!$C:$C,$B345,'Daily Issuance'!$E:$E,"Inventory"))</f>
        <v>0</v>
      </c>
      <c r="H345" s="44">
        <f t="shared" si="10"/>
        <v>1</v>
      </c>
      <c r="I345" s="33" t="s">
        <v>499</v>
      </c>
      <c r="J345" s="34">
        <f t="shared" si="11"/>
        <v>2136</v>
      </c>
      <c r="K345" s="46"/>
    </row>
    <row r="346" spans="1:11" ht="23.1" customHeight="1">
      <c r="A346" s="170">
        <f>IF($B346="","",MAX($A$3:A345)+1)</f>
        <v>343</v>
      </c>
      <c r="B346" s="176">
        <v>22485</v>
      </c>
      <c r="C346" s="177" t="s">
        <v>500</v>
      </c>
      <c r="D346" s="279" t="s">
        <v>112</v>
      </c>
      <c r="E346" s="178">
        <v>1</v>
      </c>
      <c r="F346" s="172">
        <f>IF($B346="","",SUMIFS('Daily Inward'!$G:$G,'Daily Inward'!$C:$C,$B346,'Daily Inward'!$E:$E,"Inventory"))</f>
        <v>0</v>
      </c>
      <c r="G346" s="44">
        <f>IF($B346="","",SUMIFS('Daily Issuance'!$G:$G,'Daily Issuance'!$C:$C,$B346,'Daily Issuance'!$E:$E,"Inventory"))</f>
        <v>0</v>
      </c>
      <c r="H346" s="44">
        <f t="shared" si="10"/>
        <v>1</v>
      </c>
      <c r="I346" s="33" t="s">
        <v>501</v>
      </c>
      <c r="J346" s="34">
        <f t="shared" si="11"/>
        <v>2515</v>
      </c>
      <c r="K346" s="46"/>
    </row>
    <row r="347" spans="1:11" ht="23.1" customHeight="1">
      <c r="A347" s="170">
        <f>IF($B347="","",MAX($A$3:A346)+1)</f>
        <v>344</v>
      </c>
      <c r="B347" s="176">
        <v>22486</v>
      </c>
      <c r="C347" s="177" t="s">
        <v>502</v>
      </c>
      <c r="D347" s="279" t="s">
        <v>112</v>
      </c>
      <c r="E347" s="178">
        <v>1</v>
      </c>
      <c r="F347" s="172">
        <f>IF($B347="","",SUMIFS('Daily Inward'!$G:$G,'Daily Inward'!$C:$C,$B347,'Daily Inward'!$E:$E,"Inventory"))</f>
        <v>0</v>
      </c>
      <c r="G347" s="44">
        <f>IF($B347="","",SUMIFS('Daily Issuance'!$G:$G,'Daily Issuance'!$C:$C,$B347,'Daily Issuance'!$E:$E,"Inventory"))</f>
        <v>0</v>
      </c>
      <c r="H347" s="44">
        <f t="shared" si="10"/>
        <v>1</v>
      </c>
      <c r="I347" s="33" t="s">
        <v>503</v>
      </c>
      <c r="J347" s="34">
        <f t="shared" si="11"/>
        <v>1782</v>
      </c>
      <c r="K347" s="46"/>
    </row>
    <row r="348" spans="1:11" ht="23.1" customHeight="1">
      <c r="A348" s="170">
        <f>IF($B348="","",MAX($A$3:A347)+1)</f>
        <v>345</v>
      </c>
      <c r="B348" s="176">
        <v>22562</v>
      </c>
      <c r="C348" s="177" t="s">
        <v>504</v>
      </c>
      <c r="D348" s="279" t="s">
        <v>112</v>
      </c>
      <c r="E348" s="178">
        <v>2</v>
      </c>
      <c r="F348" s="172">
        <f>IF($B348="","",SUMIFS('Daily Inward'!$G:$G,'Daily Inward'!$C:$C,$B348,'Daily Inward'!$E:$E,"Inventory"))</f>
        <v>0</v>
      </c>
      <c r="G348" s="44">
        <f>IF($B348="","",SUMIFS('Daily Issuance'!$G:$G,'Daily Issuance'!$C:$C,$B348,'Daily Issuance'!$E:$E,"Inventory"))</f>
        <v>0</v>
      </c>
      <c r="H348" s="44">
        <f t="shared" si="10"/>
        <v>2</v>
      </c>
      <c r="I348" s="33" t="s">
        <v>505</v>
      </c>
      <c r="J348" s="34">
        <f t="shared" si="11"/>
        <v>10600</v>
      </c>
      <c r="K348" s="46"/>
    </row>
    <row r="349" spans="1:11" ht="23.1" customHeight="1">
      <c r="A349" s="170">
        <f>IF($B349="","",MAX($A$3:A348)+1)</f>
        <v>346</v>
      </c>
      <c r="B349" s="176">
        <v>22675</v>
      </c>
      <c r="C349" s="177" t="s">
        <v>506</v>
      </c>
      <c r="D349" s="279" t="s">
        <v>112</v>
      </c>
      <c r="E349" s="178">
        <v>0</v>
      </c>
      <c r="F349" s="172">
        <f>IF($B349="","",SUMIFS('Daily Inward'!$G:$G,'Daily Inward'!$C:$C,$B349,'Daily Inward'!$E:$E,"Inventory"))</f>
        <v>0</v>
      </c>
      <c r="G349" s="44">
        <f>IF($B349="","",SUMIFS('Daily Issuance'!$G:$G,'Daily Issuance'!$C:$C,$B349,'Daily Issuance'!$E:$E,"Inventory"))</f>
        <v>0</v>
      </c>
      <c r="H349" s="44">
        <f t="shared" si="10"/>
        <v>0</v>
      </c>
      <c r="I349" s="33" t="s">
        <v>507</v>
      </c>
      <c r="J349" s="34">
        <f t="shared" si="11"/>
        <v>0</v>
      </c>
      <c r="K349" s="46"/>
    </row>
    <row r="350" spans="1:11" ht="23.1" customHeight="1">
      <c r="A350" s="170">
        <f>IF($B350="","",MAX($A$3:A349)+1)</f>
        <v>347</v>
      </c>
      <c r="B350" s="176">
        <v>22755</v>
      </c>
      <c r="C350" s="177" t="s">
        <v>508</v>
      </c>
      <c r="D350" s="279" t="s">
        <v>112</v>
      </c>
      <c r="E350" s="178">
        <v>3</v>
      </c>
      <c r="F350" s="172">
        <f>IF($B350="","",SUMIFS('Daily Inward'!$G:$G,'Daily Inward'!$C:$C,$B350,'Daily Inward'!$E:$E,"Inventory"))</f>
        <v>0</v>
      </c>
      <c r="G350" s="44">
        <f>IF($B350="","",SUMIFS('Daily Issuance'!$G:$G,'Daily Issuance'!$C:$C,$B350,'Daily Issuance'!$E:$E,"Inventory"))</f>
        <v>0</v>
      </c>
      <c r="H350" s="44">
        <f t="shared" si="10"/>
        <v>3</v>
      </c>
      <c r="I350" s="33" t="s">
        <v>362</v>
      </c>
      <c r="J350" s="34">
        <f t="shared" si="11"/>
        <v>19500</v>
      </c>
      <c r="K350" s="46"/>
    </row>
    <row r="351" spans="1:11" ht="23.1" customHeight="1">
      <c r="A351" s="170">
        <f>IF($B351="","",MAX($A$3:A350)+1)</f>
        <v>348</v>
      </c>
      <c r="B351" s="176">
        <v>22785</v>
      </c>
      <c r="C351" s="177" t="s">
        <v>509</v>
      </c>
      <c r="D351" s="279" t="s">
        <v>112</v>
      </c>
      <c r="E351" s="178">
        <v>20</v>
      </c>
      <c r="F351" s="172">
        <f>IF($B351="","",SUMIFS('Daily Inward'!$G:$G,'Daily Inward'!$C:$C,$B351,'Daily Inward'!$E:$E,"Inventory"))</f>
        <v>0</v>
      </c>
      <c r="G351" s="44">
        <f>IF($B351="","",SUMIFS('Daily Issuance'!$G:$G,'Daily Issuance'!$C:$C,$B351,'Daily Issuance'!$E:$E,"Inventory"))</f>
        <v>0</v>
      </c>
      <c r="H351" s="44">
        <f t="shared" si="10"/>
        <v>20</v>
      </c>
      <c r="I351" s="33" t="s">
        <v>510</v>
      </c>
      <c r="J351" s="34">
        <f t="shared" si="11"/>
        <v>11000</v>
      </c>
      <c r="K351" s="46"/>
    </row>
    <row r="352" spans="1:11" ht="23.1" customHeight="1">
      <c r="A352" s="170">
        <f>IF($B352="","",MAX($A$3:A351)+1)</f>
        <v>349</v>
      </c>
      <c r="B352" s="176">
        <v>22936</v>
      </c>
      <c r="C352" s="177" t="s">
        <v>511</v>
      </c>
      <c r="D352" s="279" t="s">
        <v>112</v>
      </c>
      <c r="E352" s="178">
        <v>2</v>
      </c>
      <c r="F352" s="172">
        <f>IF($B352="","",SUMIFS('Daily Inward'!$G:$G,'Daily Inward'!$C:$C,$B352,'Daily Inward'!$E:$E,"Inventory"))</f>
        <v>0</v>
      </c>
      <c r="G352" s="44">
        <f>IF($B352="","",SUMIFS('Daily Issuance'!$G:$G,'Daily Issuance'!$C:$C,$B352,'Daily Issuance'!$E:$E,"Inventory"))</f>
        <v>0</v>
      </c>
      <c r="H352" s="44">
        <f t="shared" si="10"/>
        <v>2</v>
      </c>
      <c r="I352" s="33" t="s">
        <v>512</v>
      </c>
      <c r="J352" s="34">
        <f t="shared" si="11"/>
        <v>1700</v>
      </c>
      <c r="K352" s="46"/>
    </row>
    <row r="353" spans="1:11" ht="23.1" customHeight="1">
      <c r="A353" s="170">
        <f>IF($B353="","",MAX($A$3:A352)+1)</f>
        <v>350</v>
      </c>
      <c r="B353" s="176">
        <v>23033</v>
      </c>
      <c r="C353" s="177" t="s">
        <v>513</v>
      </c>
      <c r="D353" s="279" t="s">
        <v>112</v>
      </c>
      <c r="E353" s="178">
        <v>2</v>
      </c>
      <c r="F353" s="172">
        <f>IF($B353="","",SUMIFS('Daily Inward'!$G:$G,'Daily Inward'!$C:$C,$B353,'Daily Inward'!$E:$E,"Inventory"))</f>
        <v>0</v>
      </c>
      <c r="G353" s="44">
        <f>IF($B353="","",SUMIFS('Daily Issuance'!$G:$G,'Daily Issuance'!$C:$C,$B353,'Daily Issuance'!$E:$E,"Inventory"))</f>
        <v>0</v>
      </c>
      <c r="H353" s="44">
        <f t="shared" si="10"/>
        <v>2</v>
      </c>
      <c r="I353" s="33" t="s">
        <v>512</v>
      </c>
      <c r="J353" s="34">
        <f t="shared" si="11"/>
        <v>1700</v>
      </c>
      <c r="K353" s="46"/>
    </row>
    <row r="354" spans="1:11" ht="23.1" customHeight="1">
      <c r="A354" s="170">
        <f>IF($B354="","",MAX($A$3:A353)+1)</f>
        <v>351</v>
      </c>
      <c r="B354" s="176">
        <v>23269</v>
      </c>
      <c r="C354" s="177" t="s">
        <v>514</v>
      </c>
      <c r="D354" s="279" t="s">
        <v>112</v>
      </c>
      <c r="E354" s="178">
        <v>1</v>
      </c>
      <c r="F354" s="172">
        <f>IF($B354="","",SUMIFS('Daily Inward'!$G:$G,'Daily Inward'!$C:$C,$B354,'Daily Inward'!$E:$E,"Inventory"))</f>
        <v>0</v>
      </c>
      <c r="G354" s="44">
        <f>IF($B354="","",SUMIFS('Daily Issuance'!$G:$G,'Daily Issuance'!$C:$C,$B354,'Daily Issuance'!$E:$E,"Inventory"))</f>
        <v>0</v>
      </c>
      <c r="H354" s="44">
        <f t="shared" si="10"/>
        <v>1</v>
      </c>
      <c r="I354" s="33"/>
      <c r="J354" s="34">
        <f t="shared" si="11"/>
        <v>0</v>
      </c>
      <c r="K354" s="46"/>
    </row>
    <row r="355" spans="1:11" ht="23.1" customHeight="1">
      <c r="A355" s="170">
        <f>IF($B355="","",MAX($A$3:A354)+1)</f>
        <v>352</v>
      </c>
      <c r="B355" s="176">
        <v>23370</v>
      </c>
      <c r="C355" s="177" t="s">
        <v>515</v>
      </c>
      <c r="D355" s="279" t="s">
        <v>112</v>
      </c>
      <c r="E355" s="178">
        <v>2</v>
      </c>
      <c r="F355" s="172">
        <f>IF($B355="","",SUMIFS('Daily Inward'!$G:$G,'Daily Inward'!$C:$C,$B355,'Daily Inward'!$E:$E,"Inventory"))</f>
        <v>0</v>
      </c>
      <c r="G355" s="44">
        <f>IF($B355="","",SUMIFS('Daily Issuance'!$G:$G,'Daily Issuance'!$C:$C,$B355,'Daily Issuance'!$E:$E,"Inventory"))</f>
        <v>0</v>
      </c>
      <c r="H355" s="44">
        <f t="shared" si="10"/>
        <v>2</v>
      </c>
      <c r="I355" s="33" t="s">
        <v>516</v>
      </c>
      <c r="J355" s="34">
        <f t="shared" si="11"/>
        <v>46000</v>
      </c>
      <c r="K355" s="46"/>
    </row>
    <row r="356" spans="1:11" ht="23.1" customHeight="1">
      <c r="A356" s="170">
        <f>IF($B356="","",MAX($A$3:A355)+1)</f>
        <v>353</v>
      </c>
      <c r="B356" s="176">
        <v>23384</v>
      </c>
      <c r="C356" s="177" t="s">
        <v>517</v>
      </c>
      <c r="D356" s="279" t="s">
        <v>112</v>
      </c>
      <c r="E356" s="178">
        <v>1</v>
      </c>
      <c r="F356" s="172">
        <f>IF($B356="","",SUMIFS('Daily Inward'!$G:$G,'Daily Inward'!$C:$C,$B356,'Daily Inward'!$E:$E,"Inventory"))</f>
        <v>0</v>
      </c>
      <c r="G356" s="44">
        <f>IF($B356="","",SUMIFS('Daily Issuance'!$G:$G,'Daily Issuance'!$C:$C,$B356,'Daily Issuance'!$E:$E,"Inventory"))</f>
        <v>1</v>
      </c>
      <c r="H356" s="44">
        <f t="shared" si="10"/>
        <v>0</v>
      </c>
      <c r="I356" s="33" t="s">
        <v>518</v>
      </c>
      <c r="J356" s="34">
        <f t="shared" si="11"/>
        <v>0</v>
      </c>
      <c r="K356" s="46"/>
    </row>
    <row r="357" spans="1:11" ht="23.1" customHeight="1">
      <c r="A357" s="170">
        <f>IF($B357="","",MAX($A$3:A356)+1)</f>
        <v>354</v>
      </c>
      <c r="B357" s="176">
        <v>23391</v>
      </c>
      <c r="C357" s="177" t="s">
        <v>519</v>
      </c>
      <c r="D357" s="279" t="s">
        <v>112</v>
      </c>
      <c r="E357" s="178">
        <v>4</v>
      </c>
      <c r="F357" s="172">
        <f>IF($B357="","",SUMIFS('Daily Inward'!$G:$G,'Daily Inward'!$C:$C,$B357,'Daily Inward'!$E:$E,"Inventory"))</f>
        <v>0</v>
      </c>
      <c r="G357" s="44">
        <f>IF($B357="","",SUMIFS('Daily Issuance'!$G:$G,'Daily Issuance'!$C:$C,$B357,'Daily Issuance'!$E:$E,"Inventory"))</f>
        <v>0</v>
      </c>
      <c r="H357" s="44">
        <f t="shared" si="10"/>
        <v>4</v>
      </c>
      <c r="I357" s="33" t="s">
        <v>520</v>
      </c>
      <c r="J357" s="34">
        <f t="shared" si="11"/>
        <v>46000</v>
      </c>
      <c r="K357" s="46"/>
    </row>
    <row r="358" spans="1:11" ht="23.1" customHeight="1">
      <c r="A358" s="170">
        <f>IF($B358="","",MAX($A$3:A357)+1)</f>
        <v>355</v>
      </c>
      <c r="B358" s="176">
        <v>23912</v>
      </c>
      <c r="C358" s="177" t="s">
        <v>521</v>
      </c>
      <c r="D358" s="279" t="s">
        <v>112</v>
      </c>
      <c r="E358" s="178">
        <v>0</v>
      </c>
      <c r="F358" s="172">
        <f>IF($B358="","",SUMIFS('Daily Inward'!$G:$G,'Daily Inward'!$C:$C,$B358,'Daily Inward'!$E:$E,"Inventory"))</f>
        <v>0</v>
      </c>
      <c r="G358" s="44">
        <f>IF($B358="","",SUMIFS('Daily Issuance'!$G:$G,'Daily Issuance'!$C:$C,$B358,'Daily Issuance'!$E:$E,"Inventory"))</f>
        <v>0</v>
      </c>
      <c r="H358" s="44">
        <f t="shared" si="10"/>
        <v>0</v>
      </c>
      <c r="I358" s="33">
        <v>52419</v>
      </c>
      <c r="J358" s="34">
        <f t="shared" si="11"/>
        <v>0</v>
      </c>
      <c r="K358" s="46"/>
    </row>
    <row r="359" spans="1:11" ht="23.1" customHeight="1">
      <c r="A359" s="170">
        <f>IF($B359="","",MAX($A$3:A358)+1)</f>
        <v>356</v>
      </c>
      <c r="B359" s="176">
        <v>24079</v>
      </c>
      <c r="C359" s="177" t="s">
        <v>522</v>
      </c>
      <c r="D359" s="279" t="s">
        <v>112</v>
      </c>
      <c r="E359" s="178">
        <v>2</v>
      </c>
      <c r="F359" s="172">
        <f>IF($B359="","",SUMIFS('Daily Inward'!$G:$G,'Daily Inward'!$C:$C,$B359,'Daily Inward'!$E:$E,"Inventory"))</f>
        <v>0</v>
      </c>
      <c r="G359" s="44">
        <f>IF($B359="","",SUMIFS('Daily Issuance'!$G:$G,'Daily Issuance'!$C:$C,$B359,'Daily Issuance'!$E:$E,"Inventory"))</f>
        <v>0</v>
      </c>
      <c r="H359" s="44">
        <f t="shared" si="10"/>
        <v>2</v>
      </c>
      <c r="I359" s="33">
        <v>38500</v>
      </c>
      <c r="J359" s="34">
        <f t="shared" si="11"/>
        <v>77000</v>
      </c>
      <c r="K359" s="46"/>
    </row>
    <row r="360" spans="1:11" ht="23.1" customHeight="1">
      <c r="A360" s="170">
        <f>IF($B360="","",MAX($A$3:A359)+1)</f>
        <v>357</v>
      </c>
      <c r="B360" s="176">
        <v>24483</v>
      </c>
      <c r="C360" s="177" t="s">
        <v>523</v>
      </c>
      <c r="D360" s="279" t="s">
        <v>112</v>
      </c>
      <c r="E360" s="178">
        <v>1</v>
      </c>
      <c r="F360" s="172">
        <f>IF($B360="","",SUMIFS('Daily Inward'!$G:$G,'Daily Inward'!$C:$C,$B360,'Daily Inward'!$E:$E,"Inventory"))</f>
        <v>0</v>
      </c>
      <c r="G360" s="44">
        <f>IF($B360="","",SUMIFS('Daily Issuance'!$G:$G,'Daily Issuance'!$C:$C,$B360,'Daily Issuance'!$E:$E,"Inventory"))</f>
        <v>0</v>
      </c>
      <c r="H360" s="44">
        <f t="shared" si="10"/>
        <v>1</v>
      </c>
      <c r="I360" s="33" t="s">
        <v>524</v>
      </c>
      <c r="J360" s="34">
        <f t="shared" si="11"/>
        <v>5500</v>
      </c>
      <c r="K360" s="46"/>
    </row>
    <row r="361" spans="1:11" ht="23.1" customHeight="1">
      <c r="A361" s="170">
        <f>IF($B361="","",MAX($A$3:A360)+1)</f>
        <v>358</v>
      </c>
      <c r="B361" s="176">
        <v>24545</v>
      </c>
      <c r="C361" s="177" t="s">
        <v>525</v>
      </c>
      <c r="D361" s="279" t="s">
        <v>112</v>
      </c>
      <c r="E361" s="178">
        <v>4</v>
      </c>
      <c r="F361" s="172">
        <f>IF($B361="","",SUMIFS('Daily Inward'!$G:$G,'Daily Inward'!$C:$C,$B361,'Daily Inward'!$E:$E,"Inventory"))</f>
        <v>0</v>
      </c>
      <c r="G361" s="44">
        <f>IF($B361="","",SUMIFS('Daily Issuance'!$G:$G,'Daily Issuance'!$C:$C,$B361,'Daily Issuance'!$E:$E,"Inventory"))</f>
        <v>0</v>
      </c>
      <c r="H361" s="44">
        <f t="shared" si="10"/>
        <v>4</v>
      </c>
      <c r="I361" s="33" t="s">
        <v>526</v>
      </c>
      <c r="J361" s="34">
        <f t="shared" si="11"/>
        <v>16600</v>
      </c>
      <c r="K361" s="46"/>
    </row>
    <row r="362" spans="1:11" ht="23.1" customHeight="1">
      <c r="A362" s="170">
        <f>IF($B362="","",MAX($A$3:A361)+1)</f>
        <v>359</v>
      </c>
      <c r="B362" s="176">
        <v>24546</v>
      </c>
      <c r="C362" s="177" t="s">
        <v>527</v>
      </c>
      <c r="D362" s="279" t="s">
        <v>112</v>
      </c>
      <c r="E362" s="178">
        <v>2</v>
      </c>
      <c r="F362" s="172">
        <f>IF($B362="","",SUMIFS('Daily Inward'!$G:$G,'Daily Inward'!$C:$C,$B362,'Daily Inward'!$E:$E,"Inventory"))</f>
        <v>0</v>
      </c>
      <c r="G362" s="44">
        <f>IF($B362="","",SUMIFS('Daily Issuance'!$G:$G,'Daily Issuance'!$C:$C,$B362,'Daily Issuance'!$E:$E,"Inventory"))</f>
        <v>0</v>
      </c>
      <c r="H362" s="44">
        <f t="shared" si="10"/>
        <v>2</v>
      </c>
      <c r="I362" s="33" t="s">
        <v>528</v>
      </c>
      <c r="J362" s="34">
        <f t="shared" si="11"/>
        <v>14200</v>
      </c>
      <c r="K362" s="46"/>
    </row>
    <row r="363" spans="1:11" ht="23.1" customHeight="1">
      <c r="A363" s="170">
        <f>IF($B363="","",MAX($A$3:A362)+1)</f>
        <v>360</v>
      </c>
      <c r="B363" s="176">
        <v>24548</v>
      </c>
      <c r="C363" s="177" t="s">
        <v>529</v>
      </c>
      <c r="D363" s="279" t="s">
        <v>112</v>
      </c>
      <c r="E363" s="178">
        <v>0</v>
      </c>
      <c r="F363" s="172">
        <f>IF($B363="","",SUMIFS('Daily Inward'!$G:$G,'Daily Inward'!$C:$C,$B363,'Daily Inward'!$E:$E,"Inventory"))</f>
        <v>0</v>
      </c>
      <c r="G363" s="44">
        <f>IF($B363="","",SUMIFS('Daily Issuance'!$G:$G,'Daily Issuance'!$C:$C,$B363,'Daily Issuance'!$E:$E,"Inventory"))</f>
        <v>0</v>
      </c>
      <c r="H363" s="44">
        <f t="shared" si="10"/>
        <v>0</v>
      </c>
      <c r="I363" s="33">
        <v>104714</v>
      </c>
      <c r="J363" s="34">
        <f t="shared" si="11"/>
        <v>0</v>
      </c>
      <c r="K363" s="46"/>
    </row>
    <row r="364" spans="1:11" ht="23.1" customHeight="1">
      <c r="A364" s="170">
        <f>IF($B364="","",MAX($A$3:A363)+1)</f>
        <v>361</v>
      </c>
      <c r="B364" s="176">
        <v>24549</v>
      </c>
      <c r="C364" s="177" t="s">
        <v>530</v>
      </c>
      <c r="D364" s="279" t="s">
        <v>112</v>
      </c>
      <c r="E364" s="178">
        <v>0</v>
      </c>
      <c r="F364" s="172">
        <f>IF($B364="","",SUMIFS('Daily Inward'!$G:$G,'Daily Inward'!$C:$C,$B364,'Daily Inward'!$E:$E,"Inventory"))</f>
        <v>0</v>
      </c>
      <c r="G364" s="44">
        <f>IF($B364="","",SUMIFS('Daily Issuance'!$G:$G,'Daily Issuance'!$C:$C,$B364,'Daily Issuance'!$E:$E,"Inventory"))</f>
        <v>0</v>
      </c>
      <c r="H364" s="44">
        <f t="shared" si="10"/>
        <v>0</v>
      </c>
      <c r="I364" s="33">
        <v>239010</v>
      </c>
      <c r="J364" s="34">
        <f t="shared" si="11"/>
        <v>0</v>
      </c>
      <c r="K364" s="46"/>
    </row>
    <row r="365" spans="1:11" ht="23.1" customHeight="1">
      <c r="A365" s="170">
        <f>IF($B365="","",MAX($A$3:A364)+1)</f>
        <v>362</v>
      </c>
      <c r="B365" s="176">
        <v>24582</v>
      </c>
      <c r="C365" s="177" t="s">
        <v>531</v>
      </c>
      <c r="D365" s="279" t="s">
        <v>112</v>
      </c>
      <c r="E365" s="178">
        <v>18</v>
      </c>
      <c r="F365" s="172">
        <f>IF($B365="","",SUMIFS('Daily Inward'!$G:$G,'Daily Inward'!$C:$C,$B365,'Daily Inward'!$E:$E,"Inventory"))</f>
        <v>0</v>
      </c>
      <c r="G365" s="44">
        <f>IF($B365="","",SUMIFS('Daily Issuance'!$G:$G,'Daily Issuance'!$C:$C,$B365,'Daily Issuance'!$E:$E,"Inventory"))</f>
        <v>0</v>
      </c>
      <c r="H365" s="44">
        <f t="shared" si="10"/>
        <v>18</v>
      </c>
      <c r="I365" s="33" t="s">
        <v>532</v>
      </c>
      <c r="J365" s="34">
        <f t="shared" si="11"/>
        <v>43200</v>
      </c>
      <c r="K365" s="46"/>
    </row>
    <row r="366" spans="1:11" ht="23.1" customHeight="1">
      <c r="A366" s="170">
        <f>IF($B366="","",MAX($A$3:A365)+1)</f>
        <v>363</v>
      </c>
      <c r="B366" s="176">
        <v>24636</v>
      </c>
      <c r="C366" s="177" t="s">
        <v>533</v>
      </c>
      <c r="D366" s="279" t="s">
        <v>112</v>
      </c>
      <c r="E366" s="178">
        <v>1</v>
      </c>
      <c r="F366" s="172">
        <f>IF($B366="","",SUMIFS('Daily Inward'!$G:$G,'Daily Inward'!$C:$C,$B366,'Daily Inward'!$E:$E,"Inventory"))</f>
        <v>0</v>
      </c>
      <c r="G366" s="44">
        <f>IF($B366="","",SUMIFS('Daily Issuance'!$G:$G,'Daily Issuance'!$C:$C,$B366,'Daily Issuance'!$E:$E,"Inventory"))</f>
        <v>0</v>
      </c>
      <c r="H366" s="44">
        <f t="shared" si="10"/>
        <v>1</v>
      </c>
      <c r="I366" s="33">
        <v>18000</v>
      </c>
      <c r="J366" s="34">
        <f t="shared" si="11"/>
        <v>18000</v>
      </c>
      <c r="K366" s="46"/>
    </row>
    <row r="367" spans="1:11" ht="23.1" customHeight="1">
      <c r="A367" s="170">
        <f>IF($B367="","",MAX($A$3:A366)+1)</f>
        <v>364</v>
      </c>
      <c r="B367" s="176">
        <v>24810</v>
      </c>
      <c r="C367" s="177" t="s">
        <v>534</v>
      </c>
      <c r="D367" s="279" t="s">
        <v>112</v>
      </c>
      <c r="E367" s="178">
        <v>2</v>
      </c>
      <c r="F367" s="172">
        <f>IF($B367="","",SUMIFS('Daily Inward'!$G:$G,'Daily Inward'!$C:$C,$B367,'Daily Inward'!$E:$E,"Inventory"))</f>
        <v>0</v>
      </c>
      <c r="G367" s="44">
        <f>IF($B367="","",SUMIFS('Daily Issuance'!$G:$G,'Daily Issuance'!$C:$C,$B367,'Daily Issuance'!$E:$E,"Inventory"))</f>
        <v>0</v>
      </c>
      <c r="H367" s="44">
        <f t="shared" si="10"/>
        <v>2</v>
      </c>
      <c r="I367" s="33">
        <v>8000</v>
      </c>
      <c r="J367" s="34">
        <f t="shared" si="11"/>
        <v>16000</v>
      </c>
      <c r="K367" s="46"/>
    </row>
    <row r="368" spans="1:11" ht="23.1" customHeight="1">
      <c r="A368" s="170">
        <f>IF($B368="","",MAX($A$3:A367)+1)</f>
        <v>365</v>
      </c>
      <c r="B368" s="176">
        <v>25054</v>
      </c>
      <c r="C368" s="177" t="s">
        <v>535</v>
      </c>
      <c r="D368" s="279" t="s">
        <v>112</v>
      </c>
      <c r="E368" s="178">
        <v>1</v>
      </c>
      <c r="F368" s="172">
        <f>IF($B368="","",SUMIFS('Daily Inward'!$G:$G,'Daily Inward'!$C:$C,$B368,'Daily Inward'!$E:$E,"Inventory"))</f>
        <v>0</v>
      </c>
      <c r="G368" s="44">
        <f>IF($B368="","",SUMIFS('Daily Issuance'!$G:$G,'Daily Issuance'!$C:$C,$B368,'Daily Issuance'!$E:$E,"Inventory"))</f>
        <v>0</v>
      </c>
      <c r="H368" s="44">
        <f t="shared" si="10"/>
        <v>1</v>
      </c>
      <c r="I368" s="33">
        <v>42055</v>
      </c>
      <c r="J368" s="34">
        <f t="shared" si="11"/>
        <v>42055</v>
      </c>
      <c r="K368" s="46"/>
    </row>
    <row r="369" spans="1:11" ht="23.1" customHeight="1">
      <c r="A369" s="170">
        <f>IF($B369="","",MAX($A$3:A368)+1)</f>
        <v>366</v>
      </c>
      <c r="B369" s="176">
        <v>25181</v>
      </c>
      <c r="C369" s="177" t="s">
        <v>536</v>
      </c>
      <c r="D369" s="279" t="s">
        <v>112</v>
      </c>
      <c r="E369" s="178">
        <v>2</v>
      </c>
      <c r="F369" s="172">
        <f>IF($B369="","",SUMIFS('Daily Inward'!$G:$G,'Daily Inward'!$C:$C,$B369,'Daily Inward'!$E:$E,"Inventory"))</f>
        <v>0</v>
      </c>
      <c r="G369" s="44">
        <f>IF($B369="","",SUMIFS('Daily Issuance'!$G:$G,'Daily Issuance'!$C:$C,$B369,'Daily Issuance'!$E:$E,"Inventory"))</f>
        <v>0</v>
      </c>
      <c r="H369" s="44">
        <f t="shared" si="10"/>
        <v>2</v>
      </c>
      <c r="I369" s="33" t="s">
        <v>537</v>
      </c>
      <c r="J369" s="34">
        <f t="shared" si="11"/>
        <v>3700</v>
      </c>
      <c r="K369" s="46"/>
    </row>
    <row r="370" spans="1:11" ht="23.1" customHeight="1">
      <c r="A370" s="170">
        <f>IF($B370="","",MAX($A$3:A369)+1)</f>
        <v>367</v>
      </c>
      <c r="B370" s="176">
        <v>25366</v>
      </c>
      <c r="C370" s="177" t="s">
        <v>538</v>
      </c>
      <c r="D370" s="279" t="s">
        <v>112</v>
      </c>
      <c r="E370" s="178">
        <v>1</v>
      </c>
      <c r="F370" s="172">
        <f>IF($B370="","",SUMIFS('Daily Inward'!$G:$G,'Daily Inward'!$C:$C,$B370,'Daily Inward'!$E:$E,"Inventory"))</f>
        <v>0</v>
      </c>
      <c r="G370" s="44">
        <f>IF($B370="","",SUMIFS('Daily Issuance'!$G:$G,'Daily Issuance'!$C:$C,$B370,'Daily Issuance'!$E:$E,"Inventory"))</f>
        <v>0</v>
      </c>
      <c r="H370" s="44">
        <f t="shared" si="10"/>
        <v>1</v>
      </c>
      <c r="I370" s="33" t="s">
        <v>539</v>
      </c>
      <c r="J370" s="34">
        <f t="shared" si="11"/>
        <v>5890</v>
      </c>
      <c r="K370" s="46"/>
    </row>
    <row r="371" spans="1:11" ht="23.1" customHeight="1">
      <c r="A371" s="170">
        <f>IF($B371="","",MAX($A$3:A370)+1)</f>
        <v>368</v>
      </c>
      <c r="B371" s="176">
        <v>25418</v>
      </c>
      <c r="C371" s="177" t="s">
        <v>540</v>
      </c>
      <c r="D371" s="279" t="s">
        <v>112</v>
      </c>
      <c r="E371" s="178">
        <v>1</v>
      </c>
      <c r="F371" s="172">
        <f>IF($B371="","",SUMIFS('Daily Inward'!$G:$G,'Daily Inward'!$C:$C,$B371,'Daily Inward'!$E:$E,"Inventory"))</f>
        <v>0</v>
      </c>
      <c r="G371" s="44">
        <f>IF($B371="","",SUMIFS('Daily Issuance'!$G:$G,'Daily Issuance'!$C:$C,$B371,'Daily Issuance'!$E:$E,"Inventory"))</f>
        <v>0</v>
      </c>
      <c r="H371" s="44">
        <f t="shared" si="10"/>
        <v>1</v>
      </c>
      <c r="I371" s="33">
        <v>275</v>
      </c>
      <c r="J371" s="34">
        <f t="shared" si="11"/>
        <v>275</v>
      </c>
      <c r="K371" s="46"/>
    </row>
    <row r="372" spans="1:11" ht="23.1" customHeight="1">
      <c r="A372" s="170">
        <f>IF($B372="","",MAX($A$3:A371)+1)</f>
        <v>369</v>
      </c>
      <c r="B372" s="176">
        <v>25606</v>
      </c>
      <c r="C372" s="177" t="s">
        <v>541</v>
      </c>
      <c r="D372" s="279" t="s">
        <v>112</v>
      </c>
      <c r="E372" s="178">
        <v>1</v>
      </c>
      <c r="F372" s="172">
        <f>IF($B372="","",SUMIFS('Daily Inward'!$G:$G,'Daily Inward'!$C:$C,$B372,'Daily Inward'!$E:$E,"Inventory"))</f>
        <v>0</v>
      </c>
      <c r="G372" s="44">
        <f>IF($B372="","",SUMIFS('Daily Issuance'!$G:$G,'Daily Issuance'!$C:$C,$B372,'Daily Issuance'!$E:$E,"Inventory"))</f>
        <v>0</v>
      </c>
      <c r="H372" s="44">
        <f t="shared" si="10"/>
        <v>1</v>
      </c>
      <c r="I372" s="33" t="s">
        <v>488</v>
      </c>
      <c r="J372" s="34">
        <f t="shared" si="11"/>
        <v>75000</v>
      </c>
      <c r="K372" s="46"/>
    </row>
    <row r="373" spans="1:11" ht="23.1" customHeight="1">
      <c r="A373" s="170">
        <f>IF($B373="","",MAX($A$3:A372)+1)</f>
        <v>370</v>
      </c>
      <c r="B373" s="176">
        <v>25617</v>
      </c>
      <c r="C373" s="177" t="s">
        <v>542</v>
      </c>
      <c r="D373" s="279" t="s">
        <v>112</v>
      </c>
      <c r="E373" s="178">
        <v>1</v>
      </c>
      <c r="F373" s="172">
        <f>IF($B373="","",SUMIFS('Daily Inward'!$G:$G,'Daily Inward'!$C:$C,$B373,'Daily Inward'!$E:$E,"Inventory"))</f>
        <v>0</v>
      </c>
      <c r="G373" s="44">
        <f>IF($B373="","",SUMIFS('Daily Issuance'!$G:$G,'Daily Issuance'!$C:$C,$B373,'Daily Issuance'!$E:$E,"Inventory"))</f>
        <v>1</v>
      </c>
      <c r="H373" s="44">
        <f t="shared" si="10"/>
        <v>0</v>
      </c>
      <c r="I373" s="33">
        <v>9500</v>
      </c>
      <c r="J373" s="34">
        <f t="shared" si="11"/>
        <v>0</v>
      </c>
      <c r="K373" s="46"/>
    </row>
    <row r="374" spans="1:11" ht="23.1" customHeight="1">
      <c r="A374" s="170">
        <f>IF($B374="","",MAX($A$3:A373)+1)</f>
        <v>371</v>
      </c>
      <c r="B374" s="176">
        <v>25931</v>
      </c>
      <c r="C374" s="177" t="s">
        <v>543</v>
      </c>
      <c r="D374" s="279" t="s">
        <v>112</v>
      </c>
      <c r="E374" s="178">
        <v>3</v>
      </c>
      <c r="F374" s="172">
        <f>IF($B374="","",SUMIFS('Daily Inward'!$G:$G,'Daily Inward'!$C:$C,$B374,'Daily Inward'!$E:$E,"Inventory"))</f>
        <v>0</v>
      </c>
      <c r="G374" s="44">
        <f>IF($B374="","",SUMIFS('Daily Issuance'!$G:$G,'Daily Issuance'!$C:$C,$B374,'Daily Issuance'!$E:$E,"Inventory"))</f>
        <v>0</v>
      </c>
      <c r="H374" s="44">
        <f t="shared" si="10"/>
        <v>3</v>
      </c>
      <c r="I374" s="33" t="s">
        <v>544</v>
      </c>
      <c r="J374" s="34">
        <f t="shared" si="11"/>
        <v>28500</v>
      </c>
      <c r="K374" s="46"/>
    </row>
    <row r="375" spans="1:11" ht="23.1" customHeight="1">
      <c r="A375" s="170">
        <f>IF($B375="","",MAX($A$3:A374)+1)</f>
        <v>372</v>
      </c>
      <c r="B375" s="176">
        <v>25947</v>
      </c>
      <c r="C375" s="177" t="s">
        <v>545</v>
      </c>
      <c r="D375" s="279" t="s">
        <v>112</v>
      </c>
      <c r="E375" s="178">
        <v>11</v>
      </c>
      <c r="F375" s="172">
        <f>IF($B375="","",SUMIFS('Daily Inward'!$G:$G,'Daily Inward'!$C:$C,$B375,'Daily Inward'!$E:$E,"Inventory"))</f>
        <v>0</v>
      </c>
      <c r="G375" s="44">
        <f>IF($B375="","",SUMIFS('Daily Issuance'!$G:$G,'Daily Issuance'!$C:$C,$B375,'Daily Issuance'!$E:$E,"Inventory"))</f>
        <v>0</v>
      </c>
      <c r="H375" s="44">
        <f t="shared" si="10"/>
        <v>11</v>
      </c>
      <c r="I375" s="33" t="s">
        <v>546</v>
      </c>
      <c r="J375" s="34">
        <f t="shared" si="11"/>
        <v>10175</v>
      </c>
      <c r="K375" s="46"/>
    </row>
    <row r="376" spans="1:11" ht="23.1" customHeight="1">
      <c r="A376" s="170">
        <f>IF($B376="","",MAX($A$3:A375)+1)</f>
        <v>373</v>
      </c>
      <c r="B376" s="176">
        <v>25981</v>
      </c>
      <c r="C376" s="177" t="s">
        <v>547</v>
      </c>
      <c r="D376" s="279" t="s">
        <v>112</v>
      </c>
      <c r="E376" s="178">
        <v>2</v>
      </c>
      <c r="F376" s="172">
        <f>IF($B376="","",SUMIFS('Daily Inward'!$G:$G,'Daily Inward'!$C:$C,$B376,'Daily Inward'!$E:$E,"Inventory"))</f>
        <v>0</v>
      </c>
      <c r="G376" s="44">
        <f>IF($B376="","",SUMIFS('Daily Issuance'!$G:$G,'Daily Issuance'!$C:$C,$B376,'Daily Issuance'!$E:$E,"Inventory"))</f>
        <v>0</v>
      </c>
      <c r="H376" s="44">
        <f t="shared" si="10"/>
        <v>2</v>
      </c>
      <c r="I376" s="33">
        <v>42783</v>
      </c>
      <c r="J376" s="34">
        <f t="shared" si="11"/>
        <v>85566</v>
      </c>
      <c r="K376" s="46"/>
    </row>
    <row r="377" spans="1:11" ht="23.1" customHeight="1">
      <c r="A377" s="170">
        <f>IF($B377="","",MAX($A$3:A376)+1)</f>
        <v>374</v>
      </c>
      <c r="B377" s="176">
        <v>25982</v>
      </c>
      <c r="C377" s="177" t="s">
        <v>548</v>
      </c>
      <c r="D377" s="279" t="s">
        <v>112</v>
      </c>
      <c r="E377" s="178">
        <v>2</v>
      </c>
      <c r="F377" s="172">
        <f>IF($B377="","",SUMIFS('Daily Inward'!$G:$G,'Daily Inward'!$C:$C,$B377,'Daily Inward'!$E:$E,"Inventory"))</f>
        <v>0</v>
      </c>
      <c r="G377" s="44">
        <f>IF($B377="","",SUMIFS('Daily Issuance'!$G:$G,'Daily Issuance'!$C:$C,$B377,'Daily Issuance'!$E:$E,"Inventory"))</f>
        <v>0</v>
      </c>
      <c r="H377" s="44">
        <f t="shared" si="10"/>
        <v>2</v>
      </c>
      <c r="I377" s="33">
        <v>36382</v>
      </c>
      <c r="J377" s="34">
        <f t="shared" si="11"/>
        <v>72764</v>
      </c>
      <c r="K377" s="46"/>
    </row>
    <row r="378" spans="1:11" ht="23.1" customHeight="1">
      <c r="A378" s="170">
        <f>IF($B378="","",MAX($A$3:A377)+1)</f>
        <v>375</v>
      </c>
      <c r="B378" s="176">
        <v>26060</v>
      </c>
      <c r="C378" s="177" t="s">
        <v>549</v>
      </c>
      <c r="D378" s="279" t="s">
        <v>112</v>
      </c>
      <c r="E378" s="178">
        <v>1</v>
      </c>
      <c r="F378" s="172">
        <f>IF($B378="","",SUMIFS('Daily Inward'!$G:$G,'Daily Inward'!$C:$C,$B378,'Daily Inward'!$E:$E,"Inventory"))</f>
        <v>0</v>
      </c>
      <c r="G378" s="44">
        <f>IF($B378="","",SUMIFS('Daily Issuance'!$G:$G,'Daily Issuance'!$C:$C,$B378,'Daily Issuance'!$E:$E,"Inventory"))</f>
        <v>0</v>
      </c>
      <c r="H378" s="44">
        <f t="shared" si="10"/>
        <v>1</v>
      </c>
      <c r="I378" s="33">
        <v>137159</v>
      </c>
      <c r="J378" s="34">
        <f t="shared" si="11"/>
        <v>137159</v>
      </c>
      <c r="K378" s="46"/>
    </row>
    <row r="379" spans="1:11" ht="23.1" customHeight="1">
      <c r="A379" s="170">
        <f>IF($B379="","",MAX($A$3:A378)+1)</f>
        <v>376</v>
      </c>
      <c r="B379" s="176">
        <v>26061</v>
      </c>
      <c r="C379" s="177" t="s">
        <v>550</v>
      </c>
      <c r="D379" s="279" t="s">
        <v>112</v>
      </c>
      <c r="E379" s="178">
        <v>1</v>
      </c>
      <c r="F379" s="172">
        <f>IF($B379="","",SUMIFS('Daily Inward'!$G:$G,'Daily Inward'!$C:$C,$B379,'Daily Inward'!$E:$E,"Inventory"))</f>
        <v>0</v>
      </c>
      <c r="G379" s="44">
        <f>IF($B379="","",SUMIFS('Daily Issuance'!$G:$G,'Daily Issuance'!$C:$C,$B379,'Daily Issuance'!$E:$E,"Inventory"))</f>
        <v>0</v>
      </c>
      <c r="H379" s="44">
        <f t="shared" si="10"/>
        <v>1</v>
      </c>
      <c r="I379" s="33">
        <v>191756</v>
      </c>
      <c r="J379" s="34">
        <f t="shared" si="11"/>
        <v>191756</v>
      </c>
      <c r="K379" s="46"/>
    </row>
    <row r="380" spans="1:11" ht="23.1" customHeight="1">
      <c r="A380" s="170">
        <f>IF($B380="","",MAX($A$3:A379)+1)</f>
        <v>377</v>
      </c>
      <c r="B380" s="176">
        <v>26062</v>
      </c>
      <c r="C380" s="177" t="s">
        <v>551</v>
      </c>
      <c r="D380" s="279" t="s">
        <v>112</v>
      </c>
      <c r="E380" s="178">
        <v>2</v>
      </c>
      <c r="F380" s="172">
        <f>IF($B380="","",SUMIFS('Daily Inward'!$G:$G,'Daily Inward'!$C:$C,$B380,'Daily Inward'!$E:$E,"Inventory"))</f>
        <v>0</v>
      </c>
      <c r="G380" s="44">
        <f>IF($B380="","",SUMIFS('Daily Issuance'!$G:$G,'Daily Issuance'!$C:$C,$B380,'Daily Issuance'!$E:$E,"Inventory"))</f>
        <v>0</v>
      </c>
      <c r="H380" s="44">
        <f t="shared" si="10"/>
        <v>2</v>
      </c>
      <c r="I380" s="33">
        <v>353037</v>
      </c>
      <c r="J380" s="34">
        <f t="shared" si="11"/>
        <v>706074</v>
      </c>
      <c r="K380" s="46"/>
    </row>
    <row r="381" spans="1:11" ht="23.1" customHeight="1">
      <c r="A381" s="170">
        <f>IF($B381="","",MAX($A$3:A380)+1)</f>
        <v>378</v>
      </c>
      <c r="B381" s="176">
        <v>26088</v>
      </c>
      <c r="C381" s="177" t="s">
        <v>552</v>
      </c>
      <c r="D381" s="279" t="s">
        <v>112</v>
      </c>
      <c r="E381" s="178">
        <v>1</v>
      </c>
      <c r="F381" s="172">
        <f>IF($B381="","",SUMIFS('Daily Inward'!$G:$G,'Daily Inward'!$C:$C,$B381,'Daily Inward'!$E:$E,"Inventory"))</f>
        <v>0</v>
      </c>
      <c r="G381" s="44">
        <f>IF($B381="","",SUMIFS('Daily Issuance'!$G:$G,'Daily Issuance'!$C:$C,$B381,'Daily Issuance'!$E:$E,"Inventory"))</f>
        <v>0</v>
      </c>
      <c r="H381" s="44">
        <f t="shared" si="10"/>
        <v>1</v>
      </c>
      <c r="I381" s="33">
        <v>45000</v>
      </c>
      <c r="J381" s="34">
        <f t="shared" si="11"/>
        <v>45000</v>
      </c>
      <c r="K381" s="46"/>
    </row>
    <row r="382" spans="1:11" ht="23.1" customHeight="1">
      <c r="A382" s="170">
        <f>IF($B382="","",MAX($A$3:A381)+1)</f>
        <v>379</v>
      </c>
      <c r="B382" s="176">
        <v>26292</v>
      </c>
      <c r="C382" s="177" t="s">
        <v>553</v>
      </c>
      <c r="D382" s="279" t="s">
        <v>112</v>
      </c>
      <c r="E382" s="178">
        <v>1</v>
      </c>
      <c r="F382" s="172">
        <f>IF($B382="","",SUMIFS('Daily Inward'!$G:$G,'Daily Inward'!$C:$C,$B382,'Daily Inward'!$E:$E,"Inventory"))</f>
        <v>0</v>
      </c>
      <c r="G382" s="44">
        <f>IF($B382="","",SUMIFS('Daily Issuance'!$G:$G,'Daily Issuance'!$C:$C,$B382,'Daily Issuance'!$E:$E,"Inventory"))</f>
        <v>0</v>
      </c>
      <c r="H382" s="44">
        <f t="shared" si="10"/>
        <v>1</v>
      </c>
      <c r="I382" s="33">
        <v>346000</v>
      </c>
      <c r="J382" s="34">
        <f t="shared" si="11"/>
        <v>346000</v>
      </c>
      <c r="K382" s="46"/>
    </row>
    <row r="383" spans="1:11" ht="23.1" customHeight="1">
      <c r="A383" s="170">
        <f>IF($B383="","",MAX($A$3:A382)+1)</f>
        <v>380</v>
      </c>
      <c r="B383" s="176">
        <v>26408</v>
      </c>
      <c r="C383" s="177" t="s">
        <v>554</v>
      </c>
      <c r="D383" s="279" t="s">
        <v>112</v>
      </c>
      <c r="E383" s="178">
        <v>1</v>
      </c>
      <c r="F383" s="172">
        <f>IF($B383="","",SUMIFS('Daily Inward'!$G:$G,'Daily Inward'!$C:$C,$B383,'Daily Inward'!$E:$E,"Inventory"))</f>
        <v>0</v>
      </c>
      <c r="G383" s="44">
        <f>IF($B383="","",SUMIFS('Daily Issuance'!$G:$G,'Daily Issuance'!$C:$C,$B383,'Daily Issuance'!$E:$E,"Inventory"))</f>
        <v>0</v>
      </c>
      <c r="H383" s="44">
        <f t="shared" si="10"/>
        <v>1</v>
      </c>
      <c r="I383" s="33">
        <v>13975</v>
      </c>
      <c r="J383" s="34">
        <f t="shared" si="11"/>
        <v>13975</v>
      </c>
      <c r="K383" s="46"/>
    </row>
    <row r="384" spans="1:11" ht="23.1" customHeight="1">
      <c r="A384" s="170">
        <f>IF($B384="","",MAX($A$3:A383)+1)</f>
        <v>381</v>
      </c>
      <c r="B384" s="176">
        <v>21911</v>
      </c>
      <c r="C384" s="177" t="s">
        <v>555</v>
      </c>
      <c r="D384" s="279" t="s">
        <v>112</v>
      </c>
      <c r="E384" s="178">
        <v>5</v>
      </c>
      <c r="F384" s="172">
        <f>IF($B384="","",SUMIFS('Daily Inward'!$G:$G,'Daily Inward'!$C:$C,$B384,'Daily Inward'!$E:$E,"Inventory"))</f>
        <v>0</v>
      </c>
      <c r="G384" s="44">
        <f>IF($B384="","",SUMIFS('Daily Issuance'!$G:$G,'Daily Issuance'!$C:$C,$B384,'Daily Issuance'!$E:$E,"Inventory"))</f>
        <v>0</v>
      </c>
      <c r="H384" s="44">
        <f t="shared" si="10"/>
        <v>5</v>
      </c>
      <c r="I384" s="33">
        <v>6800</v>
      </c>
      <c r="J384" s="34">
        <f t="shared" si="11"/>
        <v>34000</v>
      </c>
      <c r="K384" s="46"/>
    </row>
    <row r="385" spans="1:11" ht="23.1" customHeight="1">
      <c r="A385" s="170">
        <f>IF($B385="","",MAX($A$3:A384)+1)</f>
        <v>382</v>
      </c>
      <c r="B385" s="176">
        <v>26576</v>
      </c>
      <c r="C385" s="177" t="s">
        <v>556</v>
      </c>
      <c r="D385" s="279" t="s">
        <v>112</v>
      </c>
      <c r="E385" s="178">
        <v>1</v>
      </c>
      <c r="F385" s="172">
        <f>IF($B385="","",SUMIFS('Daily Inward'!$G:$G,'Daily Inward'!$C:$C,$B385,'Daily Inward'!$E:$E,"Inventory"))</f>
        <v>0</v>
      </c>
      <c r="G385" s="44">
        <f>IF($B385="","",SUMIFS('Daily Issuance'!$G:$G,'Daily Issuance'!$C:$C,$B385,'Daily Issuance'!$E:$E,"Inventory"))</f>
        <v>0</v>
      </c>
      <c r="H385" s="44">
        <f t="shared" si="10"/>
        <v>1</v>
      </c>
      <c r="I385" s="33">
        <v>28875</v>
      </c>
      <c r="J385" s="34">
        <f t="shared" si="11"/>
        <v>28875</v>
      </c>
      <c r="K385" s="46"/>
    </row>
    <row r="386" spans="1:11" ht="23.1" customHeight="1">
      <c r="A386" s="170">
        <f>IF($B386="","",MAX($A$3:A385)+1)</f>
        <v>383</v>
      </c>
      <c r="B386" s="176">
        <v>4859</v>
      </c>
      <c r="C386" s="177" t="s">
        <v>557</v>
      </c>
      <c r="D386" s="279" t="s">
        <v>112</v>
      </c>
      <c r="E386" s="178">
        <v>1</v>
      </c>
      <c r="F386" s="172">
        <f>IF($B386="","",SUMIFS('Daily Inward'!$G:$G,'Daily Inward'!$C:$C,$B386,'Daily Inward'!$E:$E,"Inventory"))</f>
        <v>30</v>
      </c>
      <c r="G386" s="44">
        <f>IF($B386="","",SUMIFS('Daily Issuance'!$G:$G,'Daily Issuance'!$C:$C,$B386,'Daily Issuance'!$E:$E,"Inventory"))</f>
        <v>5</v>
      </c>
      <c r="H386" s="44">
        <f t="shared" si="10"/>
        <v>26</v>
      </c>
      <c r="I386" s="33">
        <v>1500</v>
      </c>
      <c r="J386" s="34">
        <f t="shared" si="11"/>
        <v>39000</v>
      </c>
      <c r="K386" s="46"/>
    </row>
    <row r="387" spans="1:11" ht="23.1" customHeight="1">
      <c r="A387" s="170">
        <f>IF($B387="","",MAX($A$3:A386)+1)</f>
        <v>384</v>
      </c>
      <c r="B387" s="176">
        <v>26745</v>
      </c>
      <c r="C387" s="177" t="s">
        <v>558</v>
      </c>
      <c r="D387" s="279" t="s">
        <v>112</v>
      </c>
      <c r="E387" s="178">
        <v>1</v>
      </c>
      <c r="F387" s="172">
        <f>IF($B387="","",SUMIFS('Daily Inward'!$G:$G,'Daily Inward'!$C:$C,$B387,'Daily Inward'!$E:$E,"Inventory"))</f>
        <v>0</v>
      </c>
      <c r="G387" s="44">
        <f>IF($B387="","",SUMIFS('Daily Issuance'!$G:$G,'Daily Issuance'!$C:$C,$B387,'Daily Issuance'!$E:$E,"Inventory"))</f>
        <v>0</v>
      </c>
      <c r="H387" s="44">
        <f t="shared" ref="H387:H450" si="12">IF($B387="","",N(E387)+N(F387)-N(G387))</f>
        <v>1</v>
      </c>
      <c r="I387" s="33">
        <v>67500</v>
      </c>
      <c r="J387" s="34">
        <f t="shared" ref="J387:J450" si="13">IF($B387="","",H387*I387)</f>
        <v>67500</v>
      </c>
      <c r="K387" s="46"/>
    </row>
    <row r="388" spans="1:11" ht="23.1" customHeight="1">
      <c r="A388" s="170">
        <f>IF($B388="","",MAX($A$3:A387)+1)</f>
        <v>385</v>
      </c>
      <c r="B388" s="176">
        <v>16603</v>
      </c>
      <c r="C388" s="177" t="s">
        <v>559</v>
      </c>
      <c r="D388" s="279" t="s">
        <v>112</v>
      </c>
      <c r="E388" s="178">
        <v>1</v>
      </c>
      <c r="F388" s="172">
        <f>IF($B388="","",SUMIFS('Daily Inward'!$G:$G,'Daily Inward'!$C:$C,$B388,'Daily Inward'!$E:$E,"Inventory"))</f>
        <v>0</v>
      </c>
      <c r="G388" s="44">
        <f>IF($B388="","",SUMIFS('Daily Issuance'!$G:$G,'Daily Issuance'!$C:$C,$B388,'Daily Issuance'!$E:$E,"Inventory"))</f>
        <v>0</v>
      </c>
      <c r="H388" s="44">
        <f t="shared" si="12"/>
        <v>1</v>
      </c>
      <c r="I388" s="33">
        <v>20000</v>
      </c>
      <c r="J388" s="34">
        <f t="shared" si="13"/>
        <v>20000</v>
      </c>
      <c r="K388" s="46"/>
    </row>
    <row r="389" spans="1:11" ht="23.1" customHeight="1">
      <c r="A389" s="170">
        <f>IF($B389="","",MAX($A$3:A388)+1)</f>
        <v>386</v>
      </c>
      <c r="B389" s="176">
        <v>13510</v>
      </c>
      <c r="C389" s="177" t="s">
        <v>560</v>
      </c>
      <c r="D389" s="279" t="s">
        <v>112</v>
      </c>
      <c r="E389" s="178">
        <v>1</v>
      </c>
      <c r="F389" s="172">
        <f>IF($B389="","",SUMIFS('Daily Inward'!$G:$G,'Daily Inward'!$C:$C,$B389,'Daily Inward'!$E:$E,"Inventory"))</f>
        <v>0</v>
      </c>
      <c r="G389" s="44">
        <f>IF($B389="","",SUMIFS('Daily Issuance'!$G:$G,'Daily Issuance'!$C:$C,$B389,'Daily Issuance'!$E:$E,"Inventory"))</f>
        <v>0</v>
      </c>
      <c r="H389" s="44">
        <f t="shared" si="12"/>
        <v>1</v>
      </c>
      <c r="I389" s="33">
        <v>18000</v>
      </c>
      <c r="J389" s="34">
        <f t="shared" si="13"/>
        <v>18000</v>
      </c>
      <c r="K389" s="46"/>
    </row>
    <row r="390" spans="1:11" ht="23.1" customHeight="1">
      <c r="A390" s="170">
        <f>IF($B390="","",MAX($A$3:A389)+1)</f>
        <v>387</v>
      </c>
      <c r="B390" s="176">
        <v>26154</v>
      </c>
      <c r="C390" s="177" t="s">
        <v>561</v>
      </c>
      <c r="D390" s="279" t="s">
        <v>112</v>
      </c>
      <c r="E390" s="178">
        <v>1</v>
      </c>
      <c r="F390" s="172">
        <f>IF($B390="","",SUMIFS('Daily Inward'!$G:$G,'Daily Inward'!$C:$C,$B390,'Daily Inward'!$E:$E,"Inventory"))</f>
        <v>0</v>
      </c>
      <c r="G390" s="44">
        <f>IF($B390="","",SUMIFS('Daily Issuance'!$G:$G,'Daily Issuance'!$C:$C,$B390,'Daily Issuance'!$E:$E,"Inventory"))</f>
        <v>0</v>
      </c>
      <c r="H390" s="44">
        <f t="shared" si="12"/>
        <v>1</v>
      </c>
      <c r="I390" s="33">
        <v>228000</v>
      </c>
      <c r="J390" s="34">
        <f t="shared" si="13"/>
        <v>228000</v>
      </c>
      <c r="K390" s="46"/>
    </row>
    <row r="391" spans="1:11" ht="23.1" customHeight="1">
      <c r="A391" s="170">
        <f>IF($B391="","",MAX($A$3:A390)+1)</f>
        <v>388</v>
      </c>
      <c r="B391" s="176">
        <v>2275</v>
      </c>
      <c r="C391" s="177" t="s">
        <v>562</v>
      </c>
      <c r="D391" s="279" t="s">
        <v>112</v>
      </c>
      <c r="E391" s="178">
        <v>10</v>
      </c>
      <c r="F391" s="172">
        <f>IF($B391="","",SUMIFS('Daily Inward'!$G:$G,'Daily Inward'!$C:$C,$B391,'Daily Inward'!$E:$E,"Inventory"))</f>
        <v>0</v>
      </c>
      <c r="G391" s="44">
        <f>IF($B391="","",SUMIFS('Daily Issuance'!$G:$G,'Daily Issuance'!$C:$C,$B391,'Daily Issuance'!$E:$E,"Inventory"))</f>
        <v>2</v>
      </c>
      <c r="H391" s="44">
        <f t="shared" si="12"/>
        <v>8</v>
      </c>
      <c r="I391" s="33">
        <v>470</v>
      </c>
      <c r="J391" s="34">
        <f t="shared" si="13"/>
        <v>3760</v>
      </c>
      <c r="K391" s="46"/>
    </row>
    <row r="392" spans="1:11" ht="23.1" customHeight="1">
      <c r="A392" s="170">
        <f>IF($B392="","",MAX($A$3:A391)+1)</f>
        <v>389</v>
      </c>
      <c r="B392" s="176">
        <v>10193</v>
      </c>
      <c r="C392" s="177" t="s">
        <v>563</v>
      </c>
      <c r="D392" s="279" t="s">
        <v>112</v>
      </c>
      <c r="E392" s="178">
        <v>18</v>
      </c>
      <c r="F392" s="172">
        <f>IF($B392="","",SUMIFS('Daily Inward'!$G:$G,'Daily Inward'!$C:$C,$B392,'Daily Inward'!$E:$E,"Inventory"))</f>
        <v>0</v>
      </c>
      <c r="G392" s="44">
        <f>IF($B392="","",SUMIFS('Daily Issuance'!$G:$G,'Daily Issuance'!$C:$C,$B392,'Daily Issuance'!$E:$E,"Inventory"))</f>
        <v>1</v>
      </c>
      <c r="H392" s="44">
        <f t="shared" si="12"/>
        <v>17</v>
      </c>
      <c r="I392" s="33">
        <v>1500</v>
      </c>
      <c r="J392" s="34">
        <f t="shared" si="13"/>
        <v>25500</v>
      </c>
      <c r="K392" s="46"/>
    </row>
    <row r="393" spans="1:11" ht="23.1" customHeight="1">
      <c r="A393" s="170">
        <f>IF($B393="","",MAX($A$3:A392)+1)</f>
        <v>390</v>
      </c>
      <c r="B393" s="176">
        <v>20162</v>
      </c>
      <c r="C393" s="177" t="s">
        <v>564</v>
      </c>
      <c r="D393" s="279" t="s">
        <v>112</v>
      </c>
      <c r="E393" s="178">
        <v>2</v>
      </c>
      <c r="F393" s="172">
        <f>IF($B393="","",SUMIFS('Daily Inward'!$G:$G,'Daily Inward'!$C:$C,$B393,'Daily Inward'!$E:$E,"Inventory"))</f>
        <v>0</v>
      </c>
      <c r="G393" s="44">
        <f>IF($B393="","",SUMIFS('Daily Issuance'!$G:$G,'Daily Issuance'!$C:$C,$B393,'Daily Issuance'!$E:$E,"Inventory"))</f>
        <v>1</v>
      </c>
      <c r="H393" s="44">
        <f t="shared" si="12"/>
        <v>1</v>
      </c>
      <c r="I393" s="33">
        <v>167000</v>
      </c>
      <c r="J393" s="34">
        <f t="shared" si="13"/>
        <v>167000</v>
      </c>
      <c r="K393" s="46" t="s">
        <v>565</v>
      </c>
    </row>
    <row r="394" spans="1:11" ht="23.1" customHeight="1">
      <c r="A394" s="170">
        <f>IF($B394="","",MAX($A$3:A393)+1)</f>
        <v>391</v>
      </c>
      <c r="B394" s="176">
        <v>26162</v>
      </c>
      <c r="C394" s="177" t="s">
        <v>566</v>
      </c>
      <c r="D394" s="279" t="s">
        <v>112</v>
      </c>
      <c r="E394" s="178">
        <v>1</v>
      </c>
      <c r="F394" s="172">
        <f>IF($B394="","",SUMIFS('Daily Inward'!$G:$G,'Daily Inward'!$C:$C,$B394,'Daily Inward'!$E:$E,"Inventory"))</f>
        <v>0</v>
      </c>
      <c r="G394" s="44">
        <f>IF($B394="","",SUMIFS('Daily Issuance'!$G:$G,'Daily Issuance'!$C:$C,$B394,'Daily Issuance'!$E:$E,"Inventory"))</f>
        <v>0</v>
      </c>
      <c r="H394" s="44">
        <f t="shared" si="12"/>
        <v>1</v>
      </c>
      <c r="I394" s="33">
        <v>45000</v>
      </c>
      <c r="J394" s="34">
        <f t="shared" si="13"/>
        <v>45000</v>
      </c>
      <c r="K394" s="46"/>
    </row>
    <row r="395" spans="1:11" ht="23.1" customHeight="1">
      <c r="A395" s="170">
        <f>IF($B395="","",MAX($A$3:A394)+1)</f>
        <v>392</v>
      </c>
      <c r="B395" s="176">
        <v>10640</v>
      </c>
      <c r="C395" s="177" t="s">
        <v>567</v>
      </c>
      <c r="D395" s="279" t="s">
        <v>112</v>
      </c>
      <c r="E395" s="178">
        <v>0</v>
      </c>
      <c r="F395" s="172">
        <f>IF($B395="","",SUMIFS('Daily Inward'!$G:$G,'Daily Inward'!$C:$C,$B395,'Daily Inward'!$E:$E,"Inventory"))</f>
        <v>2</v>
      </c>
      <c r="G395" s="44">
        <f>IF($B395="","",SUMIFS('Daily Issuance'!$G:$G,'Daily Issuance'!$C:$C,$B395,'Daily Issuance'!$E:$E,"Inventory"))</f>
        <v>1</v>
      </c>
      <c r="H395" s="44">
        <f t="shared" si="12"/>
        <v>1</v>
      </c>
      <c r="I395" s="33">
        <v>22000</v>
      </c>
      <c r="J395" s="34">
        <f t="shared" si="13"/>
        <v>22000</v>
      </c>
      <c r="K395" s="46"/>
    </row>
    <row r="396" spans="1:11" ht="23.1" customHeight="1">
      <c r="A396" s="170">
        <f>IF($B396="","",MAX($A$3:A395)+1)</f>
        <v>393</v>
      </c>
      <c r="B396" s="176">
        <v>16446</v>
      </c>
      <c r="C396" s="177" t="s">
        <v>568</v>
      </c>
      <c r="D396" s="279" t="s">
        <v>112</v>
      </c>
      <c r="E396" s="178">
        <v>0</v>
      </c>
      <c r="F396" s="172">
        <f>IF($B396="","",SUMIFS('Daily Inward'!$G:$G,'Daily Inward'!$C:$C,$B396,'Daily Inward'!$E:$E,"Inventory"))</f>
        <v>1</v>
      </c>
      <c r="G396" s="44">
        <f>IF($B396="","",SUMIFS('Daily Issuance'!$G:$G,'Daily Issuance'!$C:$C,$B396,'Daily Issuance'!$E:$E,"Inventory"))</f>
        <v>0</v>
      </c>
      <c r="H396" s="44">
        <f t="shared" si="12"/>
        <v>1</v>
      </c>
      <c r="I396" s="33">
        <v>300000</v>
      </c>
      <c r="J396" s="34">
        <f t="shared" si="13"/>
        <v>300000</v>
      </c>
      <c r="K396" s="46"/>
    </row>
    <row r="397" spans="1:11" ht="23.1" customHeight="1">
      <c r="A397" s="170">
        <f>IF($B397="","",MAX($A$3:A396)+1)</f>
        <v>394</v>
      </c>
      <c r="B397" s="176">
        <v>20188</v>
      </c>
      <c r="C397" s="177" t="s">
        <v>569</v>
      </c>
      <c r="D397" s="279" t="s">
        <v>112</v>
      </c>
      <c r="E397" s="178">
        <v>0</v>
      </c>
      <c r="F397" s="172">
        <f>IF($B397="","",SUMIFS('Daily Inward'!$G:$G,'Daily Inward'!$C:$C,$B397,'Daily Inward'!$E:$E,"Inventory"))</f>
        <v>1</v>
      </c>
      <c r="G397" s="44">
        <f>IF($B397="","",SUMIFS('Daily Issuance'!$G:$G,'Daily Issuance'!$C:$C,$B397,'Daily Issuance'!$E:$E,"Inventory"))</f>
        <v>0</v>
      </c>
      <c r="H397" s="44">
        <f t="shared" si="12"/>
        <v>1</v>
      </c>
      <c r="I397" s="33">
        <v>180000</v>
      </c>
      <c r="J397" s="34">
        <f t="shared" si="13"/>
        <v>180000</v>
      </c>
      <c r="K397" s="46"/>
    </row>
    <row r="398" spans="1:11" ht="23.1" customHeight="1">
      <c r="A398" s="170">
        <f>IF($B398="","",MAX($A$3:A397)+1)</f>
        <v>395</v>
      </c>
      <c r="B398" s="176">
        <v>27573</v>
      </c>
      <c r="C398" s="177" t="s">
        <v>1399</v>
      </c>
      <c r="D398" s="279" t="s">
        <v>112</v>
      </c>
      <c r="E398" s="178"/>
      <c r="F398" s="172">
        <f>IF($B398="","",SUMIFS('Daily Inward'!$G:$G,'Daily Inward'!$C:$C,$B398,'Daily Inward'!$E:$E,"Inventory"))</f>
        <v>5</v>
      </c>
      <c r="G398" s="44">
        <f>IF($B398="","",SUMIFS('Daily Issuance'!$G:$G,'Daily Issuance'!$C:$C,$B398,'Daily Issuance'!$E:$E,"Inventory"))</f>
        <v>1</v>
      </c>
      <c r="H398" s="44">
        <f t="shared" si="12"/>
        <v>4</v>
      </c>
      <c r="I398" s="33">
        <v>3500</v>
      </c>
      <c r="J398" s="34">
        <f t="shared" si="13"/>
        <v>14000</v>
      </c>
      <c r="K398" s="46"/>
    </row>
    <row r="399" spans="1:11" ht="23.1" customHeight="1">
      <c r="A399" s="170">
        <f>IF($B399="","",MAX($A$3:A398)+1)</f>
        <v>396</v>
      </c>
      <c r="B399" s="176">
        <v>27500</v>
      </c>
      <c r="C399" s="177" t="s">
        <v>1356</v>
      </c>
      <c r="D399" s="279" t="s">
        <v>112</v>
      </c>
      <c r="E399" s="178"/>
      <c r="F399" s="172">
        <f>IF($B399="","",SUMIFS('Daily Inward'!$G:$G,'Daily Inward'!$C:$C,$B399,'Daily Inward'!$E:$E,"Inventory"))</f>
        <v>3</v>
      </c>
      <c r="G399" s="44">
        <f>IF($B399="","",SUMIFS('Daily Issuance'!$G:$G,'Daily Issuance'!$C:$C,$B399,'Daily Issuance'!$E:$E,"Inventory"))</f>
        <v>0</v>
      </c>
      <c r="H399" s="44">
        <f t="shared" si="12"/>
        <v>3</v>
      </c>
      <c r="I399" s="33">
        <v>15000</v>
      </c>
      <c r="J399" s="34">
        <f t="shared" si="13"/>
        <v>45000</v>
      </c>
      <c r="K399" s="46"/>
    </row>
    <row r="400" spans="1:11" ht="23.1" customHeight="1">
      <c r="A400" s="170">
        <f>IF($B400="","",MAX($A$3:A399)+1)</f>
        <v>397</v>
      </c>
      <c r="B400" s="176">
        <v>22365</v>
      </c>
      <c r="C400" s="177" t="s">
        <v>1618</v>
      </c>
      <c r="D400" s="279" t="s">
        <v>112</v>
      </c>
      <c r="E400" s="178">
        <v>1</v>
      </c>
      <c r="F400" s="172">
        <f>IF($B400="","",SUMIFS('Daily Inward'!$G:$G,'Daily Inward'!$C:$C,$B400,'Daily Inward'!$E:$E,"Inventory"))</f>
        <v>0</v>
      </c>
      <c r="G400" s="44">
        <f>IF($B400="","",SUMIFS('Daily Issuance'!$G:$G,'Daily Issuance'!$C:$C,$B400,'Daily Issuance'!$E:$E,"Inventory"))</f>
        <v>1</v>
      </c>
      <c r="H400" s="44">
        <f t="shared" si="12"/>
        <v>0</v>
      </c>
      <c r="I400" s="33">
        <v>11000</v>
      </c>
      <c r="J400" s="34">
        <f t="shared" si="13"/>
        <v>0</v>
      </c>
      <c r="K400" s="46"/>
    </row>
    <row r="401" spans="1:11" ht="23.1" customHeight="1">
      <c r="A401" s="170">
        <f>IF($B401="","",MAX($A$3:A400)+1)</f>
        <v>398</v>
      </c>
      <c r="B401" s="176">
        <v>17618</v>
      </c>
      <c r="C401" s="177" t="s">
        <v>1660</v>
      </c>
      <c r="D401" s="279" t="s">
        <v>112</v>
      </c>
      <c r="E401" s="178">
        <v>3</v>
      </c>
      <c r="F401" s="172">
        <f>IF($B401="","",SUMIFS('Daily Inward'!$G:$G,'Daily Inward'!$C:$C,$B401,'Daily Inward'!$E:$E,"Inventory"))</f>
        <v>0</v>
      </c>
      <c r="G401" s="44">
        <f>IF($B401="","",SUMIFS('Daily Issuance'!$G:$G,'Daily Issuance'!$C:$C,$B401,'Daily Issuance'!$E:$E,"Inventory"))</f>
        <v>1</v>
      </c>
      <c r="H401" s="44">
        <f t="shared" si="12"/>
        <v>2</v>
      </c>
      <c r="I401" s="33">
        <v>12000</v>
      </c>
      <c r="J401" s="34">
        <f t="shared" si="13"/>
        <v>24000</v>
      </c>
      <c r="K401" s="46" t="s">
        <v>1661</v>
      </c>
    </row>
    <row r="402" spans="1:11" ht="23.1" customHeight="1">
      <c r="A402" s="170">
        <f>IF($B402="","",MAX($A$3:A401)+1)</f>
        <v>399</v>
      </c>
      <c r="B402" s="176">
        <v>21290</v>
      </c>
      <c r="C402" s="177" t="s">
        <v>1770</v>
      </c>
      <c r="D402" s="279" t="s">
        <v>112</v>
      </c>
      <c r="E402" s="178">
        <v>1</v>
      </c>
      <c r="F402" s="172">
        <f>IF($B402="","",SUMIFS('Daily Inward'!$G:$G,'Daily Inward'!$C:$C,$B402,'Daily Inward'!$E:$E,"Inventory"))</f>
        <v>0</v>
      </c>
      <c r="G402" s="44">
        <f>IF($B402="","",SUMIFS('Daily Issuance'!$G:$G,'Daily Issuance'!$C:$C,$B402,'Daily Issuance'!$E:$E,"Inventory"))</f>
        <v>1</v>
      </c>
      <c r="H402" s="44">
        <f t="shared" si="12"/>
        <v>0</v>
      </c>
      <c r="I402" s="33">
        <v>14000</v>
      </c>
      <c r="J402" s="34">
        <f t="shared" si="13"/>
        <v>0</v>
      </c>
      <c r="K402" s="46"/>
    </row>
    <row r="403" spans="1:11" ht="23.1" customHeight="1">
      <c r="A403" s="170" t="str">
        <f>IF($B403="","",MAX($A$3:A402)+1)</f>
        <v/>
      </c>
      <c r="B403" s="176"/>
      <c r="C403" s="177"/>
      <c r="D403" s="279"/>
      <c r="E403" s="178"/>
      <c r="F403" s="172" t="str">
        <f>IF($B403="","",SUMIFS('Daily Inward'!$G:$G,'Daily Inward'!$C:$C,$B403,'Daily Inward'!$E:$E,"Inventory"))</f>
        <v/>
      </c>
      <c r="G403" s="44" t="str">
        <f>IF($B403="","",SUMIFS('Daily Issuance'!$G:$G,'Daily Issuance'!$C:$C,$B403,'Daily Issuance'!$E:$E,"Inventory"))</f>
        <v/>
      </c>
      <c r="H403" s="44" t="str">
        <f t="shared" si="12"/>
        <v/>
      </c>
      <c r="I403" s="33"/>
      <c r="J403" s="34" t="str">
        <f t="shared" si="13"/>
        <v/>
      </c>
      <c r="K403" s="46"/>
    </row>
    <row r="404" spans="1:11" ht="23.1" customHeight="1">
      <c r="A404" s="170" t="str">
        <f>IF($B404="","",MAX($A$3:A403)+1)</f>
        <v/>
      </c>
      <c r="B404" s="176"/>
      <c r="C404" s="177"/>
      <c r="D404" s="279"/>
      <c r="E404" s="178"/>
      <c r="F404" s="172" t="str">
        <f>IF($B404="","",SUMIFS('Daily Inward'!$G:$G,'Daily Inward'!$C:$C,$B404,'Daily Inward'!$E:$E,"Inventory"))</f>
        <v/>
      </c>
      <c r="G404" s="44" t="str">
        <f>IF($B404="","",SUMIFS('Daily Issuance'!$G:$G,'Daily Issuance'!$C:$C,$B404,'Daily Issuance'!$E:$E,"Inventory"))</f>
        <v/>
      </c>
      <c r="H404" s="44" t="str">
        <f t="shared" si="12"/>
        <v/>
      </c>
      <c r="I404" s="33"/>
      <c r="J404" s="34" t="str">
        <f t="shared" si="13"/>
        <v/>
      </c>
      <c r="K404" s="46"/>
    </row>
    <row r="405" spans="1:11" ht="23.1" customHeight="1">
      <c r="A405" s="170" t="str">
        <f>IF($B405="","",MAX($A$3:A404)+1)</f>
        <v/>
      </c>
      <c r="B405" s="176"/>
      <c r="C405" s="177"/>
      <c r="D405" s="279"/>
      <c r="E405" s="178"/>
      <c r="F405" s="172" t="str">
        <f>IF($B405="","",SUMIFS('Daily Inward'!$G:$G,'Daily Inward'!$C:$C,$B405,'Daily Inward'!$E:$E,"Inventory"))</f>
        <v/>
      </c>
      <c r="G405" s="44" t="str">
        <f>IF($B405="","",SUMIFS('Daily Issuance'!$G:$G,'Daily Issuance'!$C:$C,$B405,'Daily Issuance'!$E:$E,"Inventory"))</f>
        <v/>
      </c>
      <c r="H405" s="44" t="str">
        <f t="shared" si="12"/>
        <v/>
      </c>
      <c r="I405" s="33"/>
      <c r="J405" s="34" t="str">
        <f t="shared" si="13"/>
        <v/>
      </c>
      <c r="K405" s="46"/>
    </row>
    <row r="406" spans="1:11" ht="23.1" customHeight="1">
      <c r="A406" s="170" t="str">
        <f>IF($B406="","",MAX($A$3:A405)+1)</f>
        <v/>
      </c>
      <c r="B406" s="176"/>
      <c r="C406" s="177"/>
      <c r="D406" s="279"/>
      <c r="E406" s="178"/>
      <c r="F406" s="172" t="str">
        <f>IF($B406="","",SUMIFS('Daily Inward'!$G:$G,'Daily Inward'!$C:$C,$B406,'Daily Inward'!$E:$E,"Inventory"))</f>
        <v/>
      </c>
      <c r="G406" s="44" t="str">
        <f>IF($B406="","",SUMIFS('Daily Issuance'!$G:$G,'Daily Issuance'!$C:$C,$B406,'Daily Issuance'!$E:$E,"Inventory"))</f>
        <v/>
      </c>
      <c r="H406" s="44" t="str">
        <f t="shared" si="12"/>
        <v/>
      </c>
      <c r="I406" s="33"/>
      <c r="J406" s="34" t="str">
        <f t="shared" si="13"/>
        <v/>
      </c>
      <c r="K406" s="46"/>
    </row>
    <row r="407" spans="1:11" ht="23.1" customHeight="1">
      <c r="A407" s="170" t="str">
        <f>IF($B407="","",MAX($A$3:A406)+1)</f>
        <v/>
      </c>
      <c r="B407" s="176"/>
      <c r="C407" s="177"/>
      <c r="D407" s="279"/>
      <c r="E407" s="178"/>
      <c r="F407" s="172" t="str">
        <f>IF($B407="","",SUMIFS('Daily Inward'!$G:$G,'Daily Inward'!$C:$C,$B407,'Daily Inward'!$E:$E,"Inventory"))</f>
        <v/>
      </c>
      <c r="G407" s="44" t="str">
        <f>IF($B407="","",SUMIFS('Daily Issuance'!$G:$G,'Daily Issuance'!$C:$C,$B407,'Daily Issuance'!$E:$E,"Inventory"))</f>
        <v/>
      </c>
      <c r="H407" s="44" t="str">
        <f t="shared" si="12"/>
        <v/>
      </c>
      <c r="I407" s="33"/>
      <c r="J407" s="34" t="str">
        <f t="shared" si="13"/>
        <v/>
      </c>
      <c r="K407" s="46"/>
    </row>
    <row r="408" spans="1:11" ht="23.1" customHeight="1">
      <c r="A408" s="170" t="str">
        <f>IF($B408="","",MAX($A$3:A407)+1)</f>
        <v/>
      </c>
      <c r="B408" s="176"/>
      <c r="C408" s="177"/>
      <c r="D408" s="279"/>
      <c r="E408" s="178"/>
      <c r="F408" s="172" t="str">
        <f>IF($B408="","",SUMIFS('Daily Inward'!$G:$G,'Daily Inward'!$C:$C,$B408,'Daily Inward'!$E:$E,"Inventory"))</f>
        <v/>
      </c>
      <c r="G408" s="44" t="str">
        <f>IF($B408="","",SUMIFS('Daily Issuance'!$G:$G,'Daily Issuance'!$C:$C,$B408,'Daily Issuance'!$E:$E,"Inventory"))</f>
        <v/>
      </c>
      <c r="H408" s="44" t="str">
        <f t="shared" si="12"/>
        <v/>
      </c>
      <c r="I408" s="33"/>
      <c r="J408" s="34" t="str">
        <f t="shared" si="13"/>
        <v/>
      </c>
      <c r="K408" s="46"/>
    </row>
    <row r="409" spans="1:11" ht="23.1" customHeight="1">
      <c r="A409" s="170" t="str">
        <f>IF($B409="","",MAX($A$3:A408)+1)</f>
        <v/>
      </c>
      <c r="B409" s="176"/>
      <c r="C409" s="177"/>
      <c r="D409" s="279"/>
      <c r="E409" s="178"/>
      <c r="F409" s="172" t="str">
        <f>IF($B409="","",SUMIFS('Daily Inward'!$G:$G,'Daily Inward'!$C:$C,$B409,'Daily Inward'!$E:$E,"Inventory"))</f>
        <v/>
      </c>
      <c r="G409" s="44" t="str">
        <f>IF($B409="","",SUMIFS('Daily Issuance'!$G:$G,'Daily Issuance'!$C:$C,$B409,'Daily Issuance'!$E:$E,"Inventory"))</f>
        <v/>
      </c>
      <c r="H409" s="44" t="str">
        <f t="shared" si="12"/>
        <v/>
      </c>
      <c r="I409" s="33"/>
      <c r="J409" s="34" t="str">
        <f t="shared" si="13"/>
        <v/>
      </c>
      <c r="K409" s="46"/>
    </row>
    <row r="410" spans="1:11" ht="23.1" customHeight="1">
      <c r="A410" s="170" t="str">
        <f>IF($B410="","",MAX($A$3:A409)+1)</f>
        <v/>
      </c>
      <c r="B410" s="176"/>
      <c r="C410" s="177"/>
      <c r="D410" s="279"/>
      <c r="E410" s="178"/>
      <c r="F410" s="172" t="str">
        <f>IF($B410="","",SUMIFS('Daily Inward'!$G:$G,'Daily Inward'!$C:$C,$B410,'Daily Inward'!$E:$E,"Inventory"))</f>
        <v/>
      </c>
      <c r="G410" s="44" t="str">
        <f>IF($B410="","",SUMIFS('Daily Issuance'!$G:$G,'Daily Issuance'!$C:$C,$B410,'Daily Issuance'!$E:$E,"Inventory"))</f>
        <v/>
      </c>
      <c r="H410" s="44" t="str">
        <f t="shared" si="12"/>
        <v/>
      </c>
      <c r="I410" s="33"/>
      <c r="J410" s="34" t="str">
        <f t="shared" si="13"/>
        <v/>
      </c>
      <c r="K410" s="46"/>
    </row>
    <row r="411" spans="1:11" ht="23.1" customHeight="1">
      <c r="A411" s="170" t="str">
        <f>IF($B411="","",MAX($A$3:A410)+1)</f>
        <v/>
      </c>
      <c r="B411" s="176"/>
      <c r="C411" s="177"/>
      <c r="D411" s="279"/>
      <c r="E411" s="178"/>
      <c r="F411" s="172" t="str">
        <f>IF($B411="","",SUMIFS('Daily Inward'!$G:$G,'Daily Inward'!$C:$C,$B411,'Daily Inward'!$E:$E,"Inventory"))</f>
        <v/>
      </c>
      <c r="G411" s="44" t="str">
        <f>IF($B411="","",SUMIFS('Daily Issuance'!$G:$G,'Daily Issuance'!$C:$C,$B411,'Daily Issuance'!$E:$E,"Inventory"))</f>
        <v/>
      </c>
      <c r="H411" s="44" t="str">
        <f t="shared" si="12"/>
        <v/>
      </c>
      <c r="I411" s="33"/>
      <c r="J411" s="34" t="str">
        <f t="shared" si="13"/>
        <v/>
      </c>
      <c r="K411" s="46"/>
    </row>
    <row r="412" spans="1:11" ht="23.1" customHeight="1">
      <c r="A412" s="170" t="str">
        <f>IF($B412="","",MAX($A$3:A411)+1)</f>
        <v/>
      </c>
      <c r="B412" s="176"/>
      <c r="C412" s="177"/>
      <c r="D412" s="279"/>
      <c r="E412" s="178"/>
      <c r="F412" s="172" t="str">
        <f>IF($B412="","",SUMIFS('Daily Inward'!$G:$G,'Daily Inward'!$C:$C,$B412,'Daily Inward'!$E:$E,"Inventory"))</f>
        <v/>
      </c>
      <c r="G412" s="44" t="str">
        <f>IF($B412="","",SUMIFS('Daily Issuance'!$G:$G,'Daily Issuance'!$C:$C,$B412,'Daily Issuance'!$E:$E,"Inventory"))</f>
        <v/>
      </c>
      <c r="H412" s="44" t="str">
        <f t="shared" si="12"/>
        <v/>
      </c>
      <c r="I412" s="33"/>
      <c r="J412" s="34" t="str">
        <f t="shared" si="13"/>
        <v/>
      </c>
      <c r="K412" s="46"/>
    </row>
    <row r="413" spans="1:11" ht="23.1" customHeight="1">
      <c r="A413" s="170" t="str">
        <f>IF($B413="","",MAX($A$3:A412)+1)</f>
        <v/>
      </c>
      <c r="B413" s="176"/>
      <c r="C413" s="177"/>
      <c r="D413" s="279"/>
      <c r="E413" s="178"/>
      <c r="F413" s="172" t="str">
        <f>IF($B413="","",SUMIFS('Daily Inward'!$G:$G,'Daily Inward'!$C:$C,$B413,'Daily Inward'!$E:$E,"Inventory"))</f>
        <v/>
      </c>
      <c r="G413" s="44" t="str">
        <f>IF($B413="","",SUMIFS('Daily Issuance'!$G:$G,'Daily Issuance'!$C:$C,$B413,'Daily Issuance'!$E:$E,"Inventory"))</f>
        <v/>
      </c>
      <c r="H413" s="44" t="str">
        <f t="shared" si="12"/>
        <v/>
      </c>
      <c r="I413" s="33"/>
      <c r="J413" s="34" t="str">
        <f t="shared" si="13"/>
        <v/>
      </c>
      <c r="K413" s="46"/>
    </row>
    <row r="414" spans="1:11" ht="23.1" customHeight="1">
      <c r="A414" s="170" t="str">
        <f>IF($B414="","",MAX($A$3:A413)+1)</f>
        <v/>
      </c>
      <c r="B414" s="176"/>
      <c r="C414" s="177"/>
      <c r="D414" s="279"/>
      <c r="E414" s="178"/>
      <c r="F414" s="172" t="str">
        <f>IF($B414="","",SUMIFS('Daily Inward'!$G:$G,'Daily Inward'!$C:$C,$B414,'Daily Inward'!$E:$E,"Inventory"))</f>
        <v/>
      </c>
      <c r="G414" s="44" t="str">
        <f>IF($B414="","",SUMIFS('Daily Issuance'!$G:$G,'Daily Issuance'!$C:$C,$B414,'Daily Issuance'!$E:$E,"Inventory"))</f>
        <v/>
      </c>
      <c r="H414" s="44" t="str">
        <f t="shared" si="12"/>
        <v/>
      </c>
      <c r="I414" s="33"/>
      <c r="J414" s="34" t="str">
        <f t="shared" si="13"/>
        <v/>
      </c>
      <c r="K414" s="46"/>
    </row>
    <row r="415" spans="1:11" ht="23.1" customHeight="1">
      <c r="A415" s="170" t="str">
        <f>IF($B415="","",MAX($A$3:A414)+1)</f>
        <v/>
      </c>
      <c r="B415" s="176"/>
      <c r="C415" s="177"/>
      <c r="D415" s="279"/>
      <c r="E415" s="178"/>
      <c r="F415" s="172" t="str">
        <f>IF($B415="","",SUMIFS('Daily Inward'!$G:$G,'Daily Inward'!$C:$C,$B415,'Daily Inward'!$E:$E,"Inventory"))</f>
        <v/>
      </c>
      <c r="G415" s="44" t="str">
        <f>IF($B415="","",SUMIFS('Daily Issuance'!$G:$G,'Daily Issuance'!$C:$C,$B415,'Daily Issuance'!$E:$E,"Inventory"))</f>
        <v/>
      </c>
      <c r="H415" s="44" t="str">
        <f t="shared" si="12"/>
        <v/>
      </c>
      <c r="I415" s="33"/>
      <c r="J415" s="34" t="str">
        <f t="shared" si="13"/>
        <v/>
      </c>
      <c r="K415" s="46"/>
    </row>
    <row r="416" spans="1:11" ht="23.1" customHeight="1">
      <c r="A416" s="170" t="str">
        <f>IF($B416="","",MAX($A$3:A415)+1)</f>
        <v/>
      </c>
      <c r="B416" s="176"/>
      <c r="C416" s="177"/>
      <c r="D416" s="279"/>
      <c r="E416" s="178"/>
      <c r="F416" s="172" t="str">
        <f>IF($B416="","",SUMIFS('Daily Inward'!$G:$G,'Daily Inward'!$C:$C,$B416,'Daily Inward'!$E:$E,"Inventory"))</f>
        <v/>
      </c>
      <c r="G416" s="44" t="str">
        <f>IF($B416="","",SUMIFS('Daily Issuance'!$G:$G,'Daily Issuance'!$C:$C,$B416,'Daily Issuance'!$E:$E,"Inventory"))</f>
        <v/>
      </c>
      <c r="H416" s="44" t="str">
        <f t="shared" si="12"/>
        <v/>
      </c>
      <c r="I416" s="33"/>
      <c r="J416" s="34" t="str">
        <f t="shared" si="13"/>
        <v/>
      </c>
      <c r="K416" s="46"/>
    </row>
    <row r="417" spans="1:11" ht="23.1" customHeight="1">
      <c r="A417" s="170" t="str">
        <f>IF($B417="","",MAX($A$3:A416)+1)</f>
        <v/>
      </c>
      <c r="B417" s="176"/>
      <c r="C417" s="177"/>
      <c r="D417" s="279"/>
      <c r="E417" s="178"/>
      <c r="F417" s="172" t="str">
        <f>IF($B417="","",SUMIFS('Daily Inward'!$G:$G,'Daily Inward'!$C:$C,$B417,'Daily Inward'!$E:$E,"Inventory"))</f>
        <v/>
      </c>
      <c r="G417" s="44" t="str">
        <f>IF($B417="","",SUMIFS('Daily Issuance'!$G:$G,'Daily Issuance'!$C:$C,$B417,'Daily Issuance'!$E:$E,"Inventory"))</f>
        <v/>
      </c>
      <c r="H417" s="44" t="str">
        <f t="shared" si="12"/>
        <v/>
      </c>
      <c r="I417" s="33"/>
      <c r="J417" s="34" t="str">
        <f t="shared" si="13"/>
        <v/>
      </c>
      <c r="K417" s="46"/>
    </row>
    <row r="418" spans="1:11" ht="23.1" customHeight="1">
      <c r="A418" s="170" t="str">
        <f>IF($B418="","",MAX($A$3:A417)+1)</f>
        <v/>
      </c>
      <c r="B418" s="176"/>
      <c r="C418" s="177"/>
      <c r="D418" s="279"/>
      <c r="E418" s="178"/>
      <c r="F418" s="172" t="str">
        <f>IF($B418="","",SUMIFS('Daily Inward'!$G:$G,'Daily Inward'!$C:$C,$B418,'Daily Inward'!$E:$E,"Inventory"))</f>
        <v/>
      </c>
      <c r="G418" s="44" t="str">
        <f>IF($B418="","",SUMIFS('Daily Issuance'!$G:$G,'Daily Issuance'!$C:$C,$B418,'Daily Issuance'!$E:$E,"Inventory"))</f>
        <v/>
      </c>
      <c r="H418" s="44" t="str">
        <f t="shared" si="12"/>
        <v/>
      </c>
      <c r="I418" s="33"/>
      <c r="J418" s="34" t="str">
        <f t="shared" si="13"/>
        <v/>
      </c>
      <c r="K418" s="46"/>
    </row>
    <row r="419" spans="1:11" ht="23.1" customHeight="1">
      <c r="A419" s="170" t="str">
        <f>IF($B419="","",MAX($A$3:A418)+1)</f>
        <v/>
      </c>
      <c r="B419" s="176"/>
      <c r="C419" s="177"/>
      <c r="D419" s="279"/>
      <c r="E419" s="178"/>
      <c r="F419" s="172" t="str">
        <f>IF($B419="","",SUMIFS('Daily Inward'!$G:$G,'Daily Inward'!$C:$C,$B419,'Daily Inward'!$E:$E,"Inventory"))</f>
        <v/>
      </c>
      <c r="G419" s="44" t="str">
        <f>IF($B419="","",SUMIFS('Daily Issuance'!$G:$G,'Daily Issuance'!$C:$C,$B419,'Daily Issuance'!$E:$E,"Inventory"))</f>
        <v/>
      </c>
      <c r="H419" s="44" t="str">
        <f t="shared" si="12"/>
        <v/>
      </c>
      <c r="I419" s="33"/>
      <c r="J419" s="34" t="str">
        <f t="shared" si="13"/>
        <v/>
      </c>
      <c r="K419" s="46"/>
    </row>
    <row r="420" spans="1:11" ht="23.1" customHeight="1">
      <c r="A420" s="170" t="str">
        <f>IF($B420="","",MAX($A$3:A419)+1)</f>
        <v/>
      </c>
      <c r="B420" s="176"/>
      <c r="C420" s="177"/>
      <c r="D420" s="279"/>
      <c r="E420" s="178"/>
      <c r="F420" s="172" t="str">
        <f>IF($B420="","",SUMIFS('Daily Inward'!$G:$G,'Daily Inward'!$C:$C,$B420,'Daily Inward'!$E:$E,"Inventory"))</f>
        <v/>
      </c>
      <c r="G420" s="44" t="str">
        <f>IF($B420="","",SUMIFS('Daily Issuance'!$G:$G,'Daily Issuance'!$C:$C,$B420,'Daily Issuance'!$E:$E,"Inventory"))</f>
        <v/>
      </c>
      <c r="H420" s="44" t="str">
        <f t="shared" si="12"/>
        <v/>
      </c>
      <c r="I420" s="33"/>
      <c r="J420" s="34" t="str">
        <f t="shared" si="13"/>
        <v/>
      </c>
      <c r="K420" s="46"/>
    </row>
    <row r="421" spans="1:11" ht="23.1" customHeight="1">
      <c r="A421" s="170" t="str">
        <f>IF($B421="","",MAX($A$3:A420)+1)</f>
        <v/>
      </c>
      <c r="B421" s="176"/>
      <c r="C421" s="177"/>
      <c r="D421" s="279"/>
      <c r="E421" s="178"/>
      <c r="F421" s="172" t="str">
        <f>IF($B421="","",SUMIFS('Daily Inward'!$G:$G,'Daily Inward'!$C:$C,$B421,'Daily Inward'!$E:$E,"Inventory"))</f>
        <v/>
      </c>
      <c r="G421" s="44" t="str">
        <f>IF($B421="","",SUMIFS('Daily Issuance'!$G:$G,'Daily Issuance'!$C:$C,$B421,'Daily Issuance'!$E:$E,"Inventory"))</f>
        <v/>
      </c>
      <c r="H421" s="44" t="str">
        <f t="shared" si="12"/>
        <v/>
      </c>
      <c r="I421" s="33"/>
      <c r="J421" s="34" t="str">
        <f t="shared" si="13"/>
        <v/>
      </c>
      <c r="K421" s="46"/>
    </row>
    <row r="422" spans="1:11" ht="23.1" customHeight="1">
      <c r="A422" s="170" t="str">
        <f>IF($B422="","",MAX($A$3:A421)+1)</f>
        <v/>
      </c>
      <c r="B422" s="176"/>
      <c r="C422" s="177"/>
      <c r="D422" s="279"/>
      <c r="E422" s="178"/>
      <c r="F422" s="172" t="str">
        <f>IF($B422="","",SUMIFS('Daily Inward'!$G:$G,'Daily Inward'!$C:$C,$B422,'Daily Inward'!$E:$E,"Inventory"))</f>
        <v/>
      </c>
      <c r="G422" s="44" t="str">
        <f>IF($B422="","",SUMIFS('Daily Issuance'!$G:$G,'Daily Issuance'!$C:$C,$B422,'Daily Issuance'!$E:$E,"Inventory"))</f>
        <v/>
      </c>
      <c r="H422" s="44" t="str">
        <f t="shared" si="12"/>
        <v/>
      </c>
      <c r="I422" s="33"/>
      <c r="J422" s="34" t="str">
        <f t="shared" si="13"/>
        <v/>
      </c>
      <c r="K422" s="46"/>
    </row>
    <row r="423" spans="1:11" ht="23.1" customHeight="1">
      <c r="A423" s="170" t="str">
        <f>IF($B423="","",MAX($A$3:A422)+1)</f>
        <v/>
      </c>
      <c r="B423" s="176"/>
      <c r="C423" s="177"/>
      <c r="D423" s="279"/>
      <c r="E423" s="178"/>
      <c r="F423" s="172" t="str">
        <f>IF($B423="","",SUMIFS('Daily Inward'!$G:$G,'Daily Inward'!$C:$C,$B423,'Daily Inward'!$E:$E,"Inventory"))</f>
        <v/>
      </c>
      <c r="G423" s="44" t="str">
        <f>IF($B423="","",SUMIFS('Daily Issuance'!$G:$G,'Daily Issuance'!$C:$C,$B423,'Daily Issuance'!$E:$E,"Inventory"))</f>
        <v/>
      </c>
      <c r="H423" s="44" t="str">
        <f t="shared" si="12"/>
        <v/>
      </c>
      <c r="I423" s="33"/>
      <c r="J423" s="34" t="str">
        <f t="shared" si="13"/>
        <v/>
      </c>
      <c r="K423" s="46"/>
    </row>
    <row r="424" spans="1:11" ht="23.1" customHeight="1">
      <c r="A424" s="170" t="str">
        <f>IF($B424="","",MAX($A$3:A423)+1)</f>
        <v/>
      </c>
      <c r="B424" s="176"/>
      <c r="C424" s="177"/>
      <c r="D424" s="279"/>
      <c r="E424" s="178"/>
      <c r="F424" s="172" t="str">
        <f>IF($B424="","",SUMIFS('Daily Inward'!$G:$G,'Daily Inward'!$C:$C,$B424,'Daily Inward'!$E:$E,"Inventory"))</f>
        <v/>
      </c>
      <c r="G424" s="44" t="str">
        <f>IF($B424="","",SUMIFS('Daily Issuance'!$G:$G,'Daily Issuance'!$C:$C,$B424,'Daily Issuance'!$E:$E,"Inventory"))</f>
        <v/>
      </c>
      <c r="H424" s="44" t="str">
        <f t="shared" si="12"/>
        <v/>
      </c>
      <c r="I424" s="33"/>
      <c r="J424" s="34" t="str">
        <f t="shared" si="13"/>
        <v/>
      </c>
      <c r="K424" s="46"/>
    </row>
    <row r="425" spans="1:11" ht="23.1" customHeight="1">
      <c r="A425" s="170" t="str">
        <f>IF($B425="","",MAX($A$3:A424)+1)</f>
        <v/>
      </c>
      <c r="B425" s="176"/>
      <c r="C425" s="177"/>
      <c r="D425" s="279"/>
      <c r="E425" s="178"/>
      <c r="F425" s="172" t="str">
        <f>IF($B425="","",SUMIFS('Daily Inward'!$G:$G,'Daily Inward'!$C:$C,$B425,'Daily Inward'!$E:$E,"Inventory"))</f>
        <v/>
      </c>
      <c r="G425" s="44" t="str">
        <f>IF($B425="","",SUMIFS('Daily Issuance'!$G:$G,'Daily Issuance'!$C:$C,$B425,'Daily Issuance'!$E:$E,"Inventory"))</f>
        <v/>
      </c>
      <c r="H425" s="44" t="str">
        <f t="shared" si="12"/>
        <v/>
      </c>
      <c r="I425" s="33"/>
      <c r="J425" s="34" t="str">
        <f t="shared" si="13"/>
        <v/>
      </c>
      <c r="K425" s="46"/>
    </row>
    <row r="426" spans="1:11" ht="23.1" customHeight="1">
      <c r="A426" s="170" t="str">
        <f>IF($B426="","",MAX($A$3:A425)+1)</f>
        <v/>
      </c>
      <c r="B426" s="176"/>
      <c r="C426" s="177"/>
      <c r="D426" s="279"/>
      <c r="E426" s="178"/>
      <c r="F426" s="172" t="str">
        <f>IF($B426="","",SUMIFS('Daily Inward'!$G:$G,'Daily Inward'!$C:$C,$B426,'Daily Inward'!$E:$E,"Inventory"))</f>
        <v/>
      </c>
      <c r="G426" s="44" t="str">
        <f>IF($B426="","",SUMIFS('Daily Issuance'!$G:$G,'Daily Issuance'!$C:$C,$B426,'Daily Issuance'!$E:$E,"Inventory"))</f>
        <v/>
      </c>
      <c r="H426" s="44" t="str">
        <f t="shared" si="12"/>
        <v/>
      </c>
      <c r="I426" s="33"/>
      <c r="J426" s="34" t="str">
        <f t="shared" si="13"/>
        <v/>
      </c>
      <c r="K426" s="46"/>
    </row>
    <row r="427" spans="1:11" ht="23.1" customHeight="1">
      <c r="A427" s="170" t="str">
        <f>IF($B427="","",MAX($A$3:A426)+1)</f>
        <v/>
      </c>
      <c r="B427" s="176"/>
      <c r="C427" s="177"/>
      <c r="D427" s="279"/>
      <c r="E427" s="178"/>
      <c r="F427" s="172" t="str">
        <f>IF($B427="","",SUMIFS('Daily Inward'!$G:$G,'Daily Inward'!$C:$C,$B427,'Daily Inward'!$E:$E,"Inventory"))</f>
        <v/>
      </c>
      <c r="G427" s="44" t="str">
        <f>IF($B427="","",SUMIFS('Daily Issuance'!$G:$G,'Daily Issuance'!$C:$C,$B427,'Daily Issuance'!$E:$E,"Inventory"))</f>
        <v/>
      </c>
      <c r="H427" s="44" t="str">
        <f t="shared" si="12"/>
        <v/>
      </c>
      <c r="I427" s="33"/>
      <c r="J427" s="34" t="str">
        <f t="shared" si="13"/>
        <v/>
      </c>
      <c r="K427" s="46"/>
    </row>
    <row r="428" spans="1:11" ht="23.1" customHeight="1">
      <c r="A428" s="170" t="str">
        <f>IF($B428="","",MAX($A$3:A427)+1)</f>
        <v/>
      </c>
      <c r="B428" s="176"/>
      <c r="C428" s="177"/>
      <c r="D428" s="279"/>
      <c r="E428" s="178"/>
      <c r="F428" s="172" t="str">
        <f>IF($B428="","",SUMIFS('Daily Inward'!$G:$G,'Daily Inward'!$C:$C,$B428,'Daily Inward'!$E:$E,"Inventory"))</f>
        <v/>
      </c>
      <c r="G428" s="44" t="str">
        <f>IF($B428="","",SUMIFS('Daily Issuance'!$G:$G,'Daily Issuance'!$C:$C,$B428,'Daily Issuance'!$E:$E,"Inventory"))</f>
        <v/>
      </c>
      <c r="H428" s="44" t="str">
        <f t="shared" si="12"/>
        <v/>
      </c>
      <c r="I428" s="33"/>
      <c r="J428" s="34" t="str">
        <f t="shared" si="13"/>
        <v/>
      </c>
      <c r="K428" s="46"/>
    </row>
    <row r="429" spans="1:11" ht="23.1" customHeight="1">
      <c r="A429" s="170" t="str">
        <f>IF($B429="","",MAX($A$3:A428)+1)</f>
        <v/>
      </c>
      <c r="B429" s="176"/>
      <c r="C429" s="177"/>
      <c r="D429" s="279"/>
      <c r="E429" s="178"/>
      <c r="F429" s="172" t="str">
        <f>IF($B429="","",SUMIFS('Daily Inward'!$G:$G,'Daily Inward'!$C:$C,$B429,'Daily Inward'!$E:$E,"Inventory"))</f>
        <v/>
      </c>
      <c r="G429" s="44" t="str">
        <f>IF($B429="","",SUMIFS('Daily Issuance'!$G:$G,'Daily Issuance'!$C:$C,$B429,'Daily Issuance'!$E:$E,"Inventory"))</f>
        <v/>
      </c>
      <c r="H429" s="44" t="str">
        <f t="shared" si="12"/>
        <v/>
      </c>
      <c r="I429" s="33"/>
      <c r="J429" s="34" t="str">
        <f t="shared" si="13"/>
        <v/>
      </c>
      <c r="K429" s="46"/>
    </row>
    <row r="430" spans="1:11" ht="23.1" customHeight="1">
      <c r="A430" s="170" t="str">
        <f>IF($B430="","",MAX($A$3:A429)+1)</f>
        <v/>
      </c>
      <c r="B430" s="176"/>
      <c r="C430" s="177"/>
      <c r="D430" s="279"/>
      <c r="E430" s="178"/>
      <c r="F430" s="172" t="str">
        <f>IF($B430="","",SUMIFS('Daily Inward'!$G:$G,'Daily Inward'!$C:$C,$B430,'Daily Inward'!$E:$E,"Inventory"))</f>
        <v/>
      </c>
      <c r="G430" s="44" t="str">
        <f>IF($B430="","",SUMIFS('Daily Issuance'!$G:$G,'Daily Issuance'!$C:$C,$B430,'Daily Issuance'!$E:$E,"Inventory"))</f>
        <v/>
      </c>
      <c r="H430" s="44" t="str">
        <f t="shared" si="12"/>
        <v/>
      </c>
      <c r="I430" s="33"/>
      <c r="J430" s="34" t="str">
        <f t="shared" si="13"/>
        <v/>
      </c>
      <c r="K430" s="46"/>
    </row>
    <row r="431" spans="1:11" ht="23.1" customHeight="1">
      <c r="A431" s="170" t="str">
        <f>IF($B431="","",MAX($A$3:A430)+1)</f>
        <v/>
      </c>
      <c r="B431" s="176"/>
      <c r="C431" s="177"/>
      <c r="D431" s="279"/>
      <c r="E431" s="178"/>
      <c r="F431" s="172" t="str">
        <f>IF($B431="","",SUMIFS('Daily Inward'!$G:$G,'Daily Inward'!$C:$C,$B431,'Daily Inward'!$E:$E,"Inventory"))</f>
        <v/>
      </c>
      <c r="G431" s="44" t="str">
        <f>IF($B431="","",SUMIFS('Daily Issuance'!$G:$G,'Daily Issuance'!$C:$C,$B431,'Daily Issuance'!$E:$E,"Inventory"))</f>
        <v/>
      </c>
      <c r="H431" s="44" t="str">
        <f t="shared" si="12"/>
        <v/>
      </c>
      <c r="I431" s="33"/>
      <c r="J431" s="34" t="str">
        <f t="shared" si="13"/>
        <v/>
      </c>
      <c r="K431" s="46"/>
    </row>
    <row r="432" spans="1:11" ht="23.1" customHeight="1">
      <c r="A432" s="170" t="str">
        <f>IF($B432="","",MAX($A$3:A431)+1)</f>
        <v/>
      </c>
      <c r="B432" s="176"/>
      <c r="C432" s="177"/>
      <c r="D432" s="279"/>
      <c r="E432" s="178"/>
      <c r="F432" s="172" t="str">
        <f>IF($B432="","",SUMIFS('Daily Inward'!$G:$G,'Daily Inward'!$C:$C,$B432,'Daily Inward'!$E:$E,"Inventory"))</f>
        <v/>
      </c>
      <c r="G432" s="44" t="str">
        <f>IF($B432="","",SUMIFS('Daily Issuance'!$G:$G,'Daily Issuance'!$C:$C,$B432,'Daily Issuance'!$E:$E,"Inventory"))</f>
        <v/>
      </c>
      <c r="H432" s="44" t="str">
        <f t="shared" si="12"/>
        <v/>
      </c>
      <c r="I432" s="33"/>
      <c r="J432" s="34" t="str">
        <f t="shared" si="13"/>
        <v/>
      </c>
      <c r="K432" s="46"/>
    </row>
    <row r="433" spans="1:11" ht="23.1" customHeight="1">
      <c r="A433" s="170" t="str">
        <f>IF($B433="","",MAX($A$3:A432)+1)</f>
        <v/>
      </c>
      <c r="B433" s="176"/>
      <c r="C433" s="177"/>
      <c r="D433" s="279"/>
      <c r="E433" s="178"/>
      <c r="F433" s="172" t="str">
        <f>IF($B433="","",SUMIFS('Daily Inward'!$G:$G,'Daily Inward'!$C:$C,$B433,'Daily Inward'!$E:$E,"Inventory"))</f>
        <v/>
      </c>
      <c r="G433" s="44" t="str">
        <f>IF($B433="","",SUMIFS('Daily Issuance'!$G:$G,'Daily Issuance'!$C:$C,$B433,'Daily Issuance'!$E:$E,"Inventory"))</f>
        <v/>
      </c>
      <c r="H433" s="44" t="str">
        <f t="shared" si="12"/>
        <v/>
      </c>
      <c r="I433" s="33"/>
      <c r="J433" s="34" t="str">
        <f t="shared" si="13"/>
        <v/>
      </c>
      <c r="K433" s="46"/>
    </row>
    <row r="434" spans="1:11" ht="23.1" customHeight="1">
      <c r="A434" s="170" t="str">
        <f>IF($B434="","",MAX($A$3:A433)+1)</f>
        <v/>
      </c>
      <c r="B434" s="176"/>
      <c r="C434" s="177"/>
      <c r="D434" s="279"/>
      <c r="E434" s="178"/>
      <c r="F434" s="172" t="str">
        <f>IF($B434="","",SUMIFS('Daily Inward'!$G:$G,'Daily Inward'!$C:$C,$B434,'Daily Inward'!$E:$E,"Inventory"))</f>
        <v/>
      </c>
      <c r="G434" s="44" t="str">
        <f>IF($B434="","",SUMIFS('Daily Issuance'!$G:$G,'Daily Issuance'!$C:$C,$B434,'Daily Issuance'!$E:$E,"Inventory"))</f>
        <v/>
      </c>
      <c r="H434" s="44" t="str">
        <f t="shared" si="12"/>
        <v/>
      </c>
      <c r="I434" s="33"/>
      <c r="J434" s="34" t="str">
        <f t="shared" si="13"/>
        <v/>
      </c>
      <c r="K434" s="46"/>
    </row>
    <row r="435" spans="1:11" ht="23.1" customHeight="1">
      <c r="A435" s="170" t="str">
        <f>IF($B435="","",MAX($A$3:A434)+1)</f>
        <v/>
      </c>
      <c r="B435" s="176"/>
      <c r="C435" s="177"/>
      <c r="D435" s="279"/>
      <c r="E435" s="178"/>
      <c r="F435" s="172" t="str">
        <f>IF($B435="","",SUMIFS('Daily Inward'!$G:$G,'Daily Inward'!$C:$C,$B435,'Daily Inward'!$E:$E,"Inventory"))</f>
        <v/>
      </c>
      <c r="G435" s="44" t="str">
        <f>IF($B435="","",SUMIFS('Daily Issuance'!$G:$G,'Daily Issuance'!$C:$C,$B435,'Daily Issuance'!$E:$E,"Inventory"))</f>
        <v/>
      </c>
      <c r="H435" s="44" t="str">
        <f t="shared" si="12"/>
        <v/>
      </c>
      <c r="I435" s="33"/>
      <c r="J435" s="34" t="str">
        <f t="shared" si="13"/>
        <v/>
      </c>
      <c r="K435" s="46"/>
    </row>
    <row r="436" spans="1:11" ht="23.1" customHeight="1">
      <c r="A436" s="170" t="str">
        <f>IF($B436="","",MAX($A$3:A435)+1)</f>
        <v/>
      </c>
      <c r="B436" s="176"/>
      <c r="C436" s="177"/>
      <c r="D436" s="279"/>
      <c r="E436" s="178"/>
      <c r="F436" s="172" t="str">
        <f>IF($B436="","",SUMIFS('Daily Inward'!$G:$G,'Daily Inward'!$C:$C,$B436,'Daily Inward'!$E:$E,"Inventory"))</f>
        <v/>
      </c>
      <c r="G436" s="44" t="str">
        <f>IF($B436="","",SUMIFS('Daily Issuance'!$G:$G,'Daily Issuance'!$C:$C,$B436,'Daily Issuance'!$E:$E,"Inventory"))</f>
        <v/>
      </c>
      <c r="H436" s="44" t="str">
        <f t="shared" si="12"/>
        <v/>
      </c>
      <c r="I436" s="33"/>
      <c r="J436" s="34" t="str">
        <f t="shared" si="13"/>
        <v/>
      </c>
      <c r="K436" s="46"/>
    </row>
    <row r="437" spans="1:11" ht="23.1" customHeight="1">
      <c r="A437" s="170" t="str">
        <f>IF($B437="","",MAX($A$3:A436)+1)</f>
        <v/>
      </c>
      <c r="B437" s="176"/>
      <c r="C437" s="177"/>
      <c r="D437" s="279"/>
      <c r="E437" s="178"/>
      <c r="F437" s="172" t="str">
        <f>IF($B437="","",SUMIFS('Daily Inward'!$G:$G,'Daily Inward'!$C:$C,$B437,'Daily Inward'!$E:$E,"Inventory"))</f>
        <v/>
      </c>
      <c r="G437" s="44" t="str">
        <f>IF($B437="","",SUMIFS('Daily Issuance'!$G:$G,'Daily Issuance'!$C:$C,$B437,'Daily Issuance'!$E:$E,"Inventory"))</f>
        <v/>
      </c>
      <c r="H437" s="44" t="str">
        <f t="shared" si="12"/>
        <v/>
      </c>
      <c r="I437" s="33"/>
      <c r="J437" s="34" t="str">
        <f t="shared" si="13"/>
        <v/>
      </c>
      <c r="K437" s="46"/>
    </row>
    <row r="438" spans="1:11" ht="23.1" customHeight="1">
      <c r="A438" s="170" t="str">
        <f>IF($B438="","",MAX($A$3:A437)+1)</f>
        <v/>
      </c>
      <c r="B438" s="176"/>
      <c r="C438" s="177"/>
      <c r="D438" s="279"/>
      <c r="E438" s="178"/>
      <c r="F438" s="172" t="str">
        <f>IF($B438="","",SUMIFS('Daily Inward'!$G:$G,'Daily Inward'!$C:$C,$B438,'Daily Inward'!$E:$E,"Inventory"))</f>
        <v/>
      </c>
      <c r="G438" s="44" t="str">
        <f>IF($B438="","",SUMIFS('Daily Issuance'!$G:$G,'Daily Issuance'!$C:$C,$B438,'Daily Issuance'!$E:$E,"Inventory"))</f>
        <v/>
      </c>
      <c r="H438" s="44" t="str">
        <f t="shared" si="12"/>
        <v/>
      </c>
      <c r="I438" s="33"/>
      <c r="J438" s="34" t="str">
        <f t="shared" si="13"/>
        <v/>
      </c>
      <c r="K438" s="46"/>
    </row>
    <row r="439" spans="1:11" ht="23.1" customHeight="1">
      <c r="A439" s="170" t="str">
        <f>IF($B439="","",MAX($A$3:A438)+1)</f>
        <v/>
      </c>
      <c r="B439" s="176"/>
      <c r="C439" s="177"/>
      <c r="D439" s="279"/>
      <c r="E439" s="178"/>
      <c r="F439" s="172" t="str">
        <f>IF($B439="","",SUMIFS('Daily Inward'!$G:$G,'Daily Inward'!$C:$C,$B439,'Daily Inward'!$E:$E,"Inventory"))</f>
        <v/>
      </c>
      <c r="G439" s="44" t="str">
        <f>IF($B439="","",SUMIFS('Daily Issuance'!$G:$G,'Daily Issuance'!$C:$C,$B439,'Daily Issuance'!$E:$E,"Inventory"))</f>
        <v/>
      </c>
      <c r="H439" s="44" t="str">
        <f t="shared" si="12"/>
        <v/>
      </c>
      <c r="I439" s="33"/>
      <c r="J439" s="34" t="str">
        <f t="shared" si="13"/>
        <v/>
      </c>
      <c r="K439" s="46"/>
    </row>
    <row r="440" spans="1:11" ht="23.1" customHeight="1">
      <c r="A440" s="170" t="str">
        <f>IF($B440="","",MAX($A$3:A439)+1)</f>
        <v/>
      </c>
      <c r="B440" s="176"/>
      <c r="C440" s="177"/>
      <c r="D440" s="279"/>
      <c r="E440" s="178"/>
      <c r="F440" s="172" t="str">
        <f>IF($B440="","",SUMIFS('Daily Inward'!$G:$G,'Daily Inward'!$C:$C,$B440,'Daily Inward'!$E:$E,"Inventory"))</f>
        <v/>
      </c>
      <c r="G440" s="44" t="str">
        <f>IF($B440="","",SUMIFS('Daily Issuance'!$G:$G,'Daily Issuance'!$C:$C,$B440,'Daily Issuance'!$E:$E,"Inventory"))</f>
        <v/>
      </c>
      <c r="H440" s="44" t="str">
        <f t="shared" si="12"/>
        <v/>
      </c>
      <c r="I440" s="33"/>
      <c r="J440" s="34" t="str">
        <f t="shared" si="13"/>
        <v/>
      </c>
      <c r="K440" s="46"/>
    </row>
    <row r="441" spans="1:11" ht="23.1" customHeight="1">
      <c r="A441" s="170" t="str">
        <f>IF($B441="","",MAX($A$3:A440)+1)</f>
        <v/>
      </c>
      <c r="B441" s="176"/>
      <c r="C441" s="177"/>
      <c r="D441" s="279"/>
      <c r="E441" s="178"/>
      <c r="F441" s="172" t="str">
        <f>IF($B441="","",SUMIFS('Daily Inward'!$G:$G,'Daily Inward'!$C:$C,$B441,'Daily Inward'!$E:$E,"Inventory"))</f>
        <v/>
      </c>
      <c r="G441" s="44" t="str">
        <f>IF($B441="","",SUMIFS('Daily Issuance'!$G:$G,'Daily Issuance'!$C:$C,$B441,'Daily Issuance'!$E:$E,"Inventory"))</f>
        <v/>
      </c>
      <c r="H441" s="44" t="str">
        <f t="shared" si="12"/>
        <v/>
      </c>
      <c r="I441" s="33"/>
      <c r="J441" s="34" t="str">
        <f t="shared" si="13"/>
        <v/>
      </c>
      <c r="K441" s="46"/>
    </row>
    <row r="442" spans="1:11" ht="23.1" customHeight="1">
      <c r="A442" s="170" t="str">
        <f>IF($B442="","",MAX($A$3:A441)+1)</f>
        <v/>
      </c>
      <c r="B442" s="176"/>
      <c r="C442" s="177"/>
      <c r="D442" s="279"/>
      <c r="E442" s="178"/>
      <c r="F442" s="172" t="str">
        <f>IF($B442="","",SUMIFS('Daily Inward'!$G:$G,'Daily Inward'!$C:$C,$B442,'Daily Inward'!$E:$E,"Inventory"))</f>
        <v/>
      </c>
      <c r="G442" s="44" t="str">
        <f>IF($B442="","",SUMIFS('Daily Issuance'!$G:$G,'Daily Issuance'!$C:$C,$B442,'Daily Issuance'!$E:$E,"Inventory"))</f>
        <v/>
      </c>
      <c r="H442" s="44" t="str">
        <f t="shared" si="12"/>
        <v/>
      </c>
      <c r="I442" s="33"/>
      <c r="J442" s="34" t="str">
        <f t="shared" si="13"/>
        <v/>
      </c>
      <c r="K442" s="46"/>
    </row>
    <row r="443" spans="1:11" ht="23.1" customHeight="1">
      <c r="A443" s="170" t="str">
        <f>IF($B443="","",MAX($A$3:A442)+1)</f>
        <v/>
      </c>
      <c r="B443" s="176"/>
      <c r="C443" s="177"/>
      <c r="D443" s="279"/>
      <c r="E443" s="178"/>
      <c r="F443" s="172" t="str">
        <f>IF($B443="","",SUMIFS('Daily Inward'!$G:$G,'Daily Inward'!$C:$C,$B443,'Daily Inward'!$E:$E,"Inventory"))</f>
        <v/>
      </c>
      <c r="G443" s="44" t="str">
        <f>IF($B443="","",SUMIFS('Daily Issuance'!$G:$G,'Daily Issuance'!$C:$C,$B443,'Daily Issuance'!$E:$E,"Inventory"))</f>
        <v/>
      </c>
      <c r="H443" s="44" t="str">
        <f t="shared" si="12"/>
        <v/>
      </c>
      <c r="I443" s="33"/>
      <c r="J443" s="34" t="str">
        <f t="shared" si="13"/>
        <v/>
      </c>
      <c r="K443" s="46"/>
    </row>
    <row r="444" spans="1:11" ht="23.1" customHeight="1">
      <c r="A444" s="170" t="str">
        <f>IF($B444="","",MAX($A$3:A443)+1)</f>
        <v/>
      </c>
      <c r="B444" s="176"/>
      <c r="C444" s="177"/>
      <c r="D444" s="279"/>
      <c r="E444" s="178"/>
      <c r="F444" s="172" t="str">
        <f>IF($B444="","",SUMIFS('Daily Inward'!$G:$G,'Daily Inward'!$C:$C,$B444,'Daily Inward'!$E:$E,"Inventory"))</f>
        <v/>
      </c>
      <c r="G444" s="44" t="str">
        <f>IF($B444="","",SUMIFS('Daily Issuance'!$G:$G,'Daily Issuance'!$C:$C,$B444,'Daily Issuance'!$E:$E,"Inventory"))</f>
        <v/>
      </c>
      <c r="H444" s="44" t="str">
        <f t="shared" si="12"/>
        <v/>
      </c>
      <c r="I444" s="33"/>
      <c r="J444" s="34" t="str">
        <f t="shared" si="13"/>
        <v/>
      </c>
      <c r="K444" s="46"/>
    </row>
    <row r="445" spans="1:11" ht="23.1" customHeight="1">
      <c r="A445" s="170" t="str">
        <f>IF($B445="","",MAX($A$3:A444)+1)</f>
        <v/>
      </c>
      <c r="B445" s="176"/>
      <c r="C445" s="177"/>
      <c r="D445" s="279"/>
      <c r="E445" s="178"/>
      <c r="F445" s="172" t="str">
        <f>IF($B445="","",SUMIFS('Daily Inward'!$G:$G,'Daily Inward'!$C:$C,$B445,'Daily Inward'!$E:$E,"Inventory"))</f>
        <v/>
      </c>
      <c r="G445" s="44" t="str">
        <f>IF($B445="","",SUMIFS('Daily Issuance'!$G:$G,'Daily Issuance'!$C:$C,$B445,'Daily Issuance'!$E:$E,"Inventory"))</f>
        <v/>
      </c>
      <c r="H445" s="44" t="str">
        <f t="shared" si="12"/>
        <v/>
      </c>
      <c r="I445" s="33"/>
      <c r="J445" s="34" t="str">
        <f t="shared" si="13"/>
        <v/>
      </c>
      <c r="K445" s="46"/>
    </row>
    <row r="446" spans="1:11" ht="23.1" customHeight="1">
      <c r="A446" s="170" t="str">
        <f>IF($B446="","",MAX($A$3:A445)+1)</f>
        <v/>
      </c>
      <c r="B446" s="176"/>
      <c r="C446" s="177"/>
      <c r="D446" s="279"/>
      <c r="E446" s="178"/>
      <c r="F446" s="172" t="str">
        <f>IF($B446="","",SUMIFS('Daily Inward'!$G:$G,'Daily Inward'!$C:$C,$B446,'Daily Inward'!$E:$E,"Inventory"))</f>
        <v/>
      </c>
      <c r="G446" s="44" t="str">
        <f>IF($B446="","",SUMIFS('Daily Issuance'!$G:$G,'Daily Issuance'!$C:$C,$B446,'Daily Issuance'!$E:$E,"Inventory"))</f>
        <v/>
      </c>
      <c r="H446" s="44" t="str">
        <f t="shared" si="12"/>
        <v/>
      </c>
      <c r="I446" s="33"/>
      <c r="J446" s="34" t="str">
        <f t="shared" si="13"/>
        <v/>
      </c>
      <c r="K446" s="46"/>
    </row>
    <row r="447" spans="1:11" ht="23.1" customHeight="1">
      <c r="A447" s="170" t="str">
        <f>IF($B447="","",MAX($A$3:A446)+1)</f>
        <v/>
      </c>
      <c r="B447" s="176"/>
      <c r="C447" s="177"/>
      <c r="D447" s="279"/>
      <c r="E447" s="178"/>
      <c r="F447" s="172" t="str">
        <f>IF($B447="","",SUMIFS('Daily Inward'!$G:$G,'Daily Inward'!$C:$C,$B447,'Daily Inward'!$E:$E,"Inventory"))</f>
        <v/>
      </c>
      <c r="G447" s="44" t="str">
        <f>IF($B447="","",SUMIFS('Daily Issuance'!$G:$G,'Daily Issuance'!$C:$C,$B447,'Daily Issuance'!$E:$E,"Inventory"))</f>
        <v/>
      </c>
      <c r="H447" s="44" t="str">
        <f t="shared" si="12"/>
        <v/>
      </c>
      <c r="I447" s="33"/>
      <c r="J447" s="34" t="str">
        <f t="shared" si="13"/>
        <v/>
      </c>
      <c r="K447" s="46"/>
    </row>
    <row r="448" spans="1:11" ht="23.1" customHeight="1">
      <c r="A448" s="170" t="str">
        <f>IF($B448="","",MAX($A$3:A447)+1)</f>
        <v/>
      </c>
      <c r="B448" s="176"/>
      <c r="C448" s="177"/>
      <c r="D448" s="279"/>
      <c r="E448" s="178"/>
      <c r="F448" s="172" t="str">
        <f>IF($B448="","",SUMIFS('Daily Inward'!$G:$G,'Daily Inward'!$C:$C,$B448,'Daily Inward'!$E:$E,"Inventory"))</f>
        <v/>
      </c>
      <c r="G448" s="44" t="str">
        <f>IF($B448="","",SUMIFS('Daily Issuance'!$G:$G,'Daily Issuance'!$C:$C,$B448,'Daily Issuance'!$E:$E,"Inventory"))</f>
        <v/>
      </c>
      <c r="H448" s="44" t="str">
        <f t="shared" si="12"/>
        <v/>
      </c>
      <c r="I448" s="33"/>
      <c r="J448" s="34" t="str">
        <f t="shared" si="13"/>
        <v/>
      </c>
      <c r="K448" s="46"/>
    </row>
    <row r="449" spans="1:11" ht="23.1" customHeight="1">
      <c r="A449" s="170" t="str">
        <f>IF($B449="","",MAX($A$3:A448)+1)</f>
        <v/>
      </c>
      <c r="B449" s="176"/>
      <c r="C449" s="177"/>
      <c r="D449" s="279"/>
      <c r="E449" s="178"/>
      <c r="F449" s="172" t="str">
        <f>IF($B449="","",SUMIFS('Daily Inward'!$G:$G,'Daily Inward'!$C:$C,$B449,'Daily Inward'!$E:$E,"Inventory"))</f>
        <v/>
      </c>
      <c r="G449" s="44" t="str">
        <f>IF($B449="","",SUMIFS('Daily Issuance'!$G:$G,'Daily Issuance'!$C:$C,$B449,'Daily Issuance'!$E:$E,"Inventory"))</f>
        <v/>
      </c>
      <c r="H449" s="44" t="str">
        <f t="shared" si="12"/>
        <v/>
      </c>
      <c r="I449" s="33"/>
      <c r="J449" s="34" t="str">
        <f t="shared" si="13"/>
        <v/>
      </c>
      <c r="K449" s="46"/>
    </row>
    <row r="450" spans="1:11" ht="23.1" customHeight="1">
      <c r="A450" s="170" t="str">
        <f>IF($B450="","",MAX($A$3:A449)+1)</f>
        <v/>
      </c>
      <c r="B450" s="176"/>
      <c r="C450" s="177"/>
      <c r="D450" s="279"/>
      <c r="E450" s="178"/>
      <c r="F450" s="172" t="str">
        <f>IF($B450="","",SUMIFS('Daily Inward'!$G:$G,'Daily Inward'!$C:$C,$B450,'Daily Inward'!$E:$E,"Inventory"))</f>
        <v/>
      </c>
      <c r="G450" s="44" t="str">
        <f>IF($B450="","",SUMIFS('Daily Issuance'!$G:$G,'Daily Issuance'!$C:$C,$B450,'Daily Issuance'!$E:$E,"Inventory"))</f>
        <v/>
      </c>
      <c r="H450" s="44" t="str">
        <f t="shared" si="12"/>
        <v/>
      </c>
      <c r="I450" s="33"/>
      <c r="J450" s="34" t="str">
        <f t="shared" si="13"/>
        <v/>
      </c>
      <c r="K450" s="46"/>
    </row>
    <row r="451" spans="1:11" ht="23.1" customHeight="1">
      <c r="A451" s="170" t="str">
        <f>IF($B451="","",MAX($A$3:A450)+1)</f>
        <v/>
      </c>
      <c r="B451" s="176"/>
      <c r="C451" s="177"/>
      <c r="D451" s="279"/>
      <c r="E451" s="178"/>
      <c r="F451" s="172" t="str">
        <f>IF($B451="","",SUMIFS('Daily Inward'!$G:$G,'Daily Inward'!$C:$C,$B451,'Daily Inward'!$E:$E,"Inventory"))</f>
        <v/>
      </c>
      <c r="G451" s="44" t="str">
        <f>IF($B451="","",SUMIFS('Daily Issuance'!$G:$G,'Daily Issuance'!$C:$C,$B451,'Daily Issuance'!$E:$E,"Inventory"))</f>
        <v/>
      </c>
      <c r="H451" s="44" t="str">
        <f t="shared" ref="H451:H514" si="14">IF($B451="","",N(E451)+N(F451)-N(G451))</f>
        <v/>
      </c>
      <c r="I451" s="33"/>
      <c r="J451" s="34" t="str">
        <f t="shared" ref="J451:J514" si="15">IF($B451="","",H451*I451)</f>
        <v/>
      </c>
      <c r="K451" s="46"/>
    </row>
    <row r="452" spans="1:11" ht="23.1" customHeight="1">
      <c r="A452" s="170" t="str">
        <f>IF($B452="","",MAX($A$3:A451)+1)</f>
        <v/>
      </c>
      <c r="B452" s="176"/>
      <c r="C452" s="177"/>
      <c r="D452" s="279"/>
      <c r="E452" s="178"/>
      <c r="F452" s="172" t="str">
        <f>IF($B452="","",SUMIFS('Daily Inward'!$G:$G,'Daily Inward'!$C:$C,$B452,'Daily Inward'!$E:$E,"Inventory"))</f>
        <v/>
      </c>
      <c r="G452" s="44" t="str">
        <f>IF($B452="","",SUMIFS('Daily Issuance'!$G:$G,'Daily Issuance'!$C:$C,$B452,'Daily Issuance'!$E:$E,"Inventory"))</f>
        <v/>
      </c>
      <c r="H452" s="44" t="str">
        <f t="shared" si="14"/>
        <v/>
      </c>
      <c r="I452" s="33"/>
      <c r="J452" s="34" t="str">
        <f t="shared" si="15"/>
        <v/>
      </c>
      <c r="K452" s="46"/>
    </row>
    <row r="453" spans="1:11" ht="23.1" customHeight="1">
      <c r="A453" s="170" t="str">
        <f>IF($B453="","",MAX($A$3:A452)+1)</f>
        <v/>
      </c>
      <c r="B453" s="176"/>
      <c r="C453" s="177"/>
      <c r="D453" s="279"/>
      <c r="E453" s="178"/>
      <c r="F453" s="172" t="str">
        <f>IF($B453="","",SUMIFS('Daily Inward'!$G:$G,'Daily Inward'!$C:$C,$B453,'Daily Inward'!$E:$E,"Inventory"))</f>
        <v/>
      </c>
      <c r="G453" s="44" t="str">
        <f>IF($B453="","",SUMIFS('Daily Issuance'!$G:$G,'Daily Issuance'!$C:$C,$B453,'Daily Issuance'!$E:$E,"Inventory"))</f>
        <v/>
      </c>
      <c r="H453" s="44" t="str">
        <f t="shared" si="14"/>
        <v/>
      </c>
      <c r="I453" s="33"/>
      <c r="J453" s="34" t="str">
        <f t="shared" si="15"/>
        <v/>
      </c>
      <c r="K453" s="46"/>
    </row>
    <row r="454" spans="1:11" ht="23.1" customHeight="1">
      <c r="A454" s="170" t="str">
        <f>IF($B454="","",MAX($A$3:A453)+1)</f>
        <v/>
      </c>
      <c r="B454" s="176"/>
      <c r="C454" s="177"/>
      <c r="D454" s="279"/>
      <c r="E454" s="178"/>
      <c r="F454" s="172" t="str">
        <f>IF($B454="","",SUMIFS('Daily Inward'!$G:$G,'Daily Inward'!$C:$C,$B454,'Daily Inward'!$E:$E,"Inventory"))</f>
        <v/>
      </c>
      <c r="G454" s="44" t="str">
        <f>IF($B454="","",SUMIFS('Daily Issuance'!$G:$G,'Daily Issuance'!$C:$C,$B454,'Daily Issuance'!$E:$E,"Inventory"))</f>
        <v/>
      </c>
      <c r="H454" s="44" t="str">
        <f t="shared" si="14"/>
        <v/>
      </c>
      <c r="I454" s="33"/>
      <c r="J454" s="34" t="str">
        <f t="shared" si="15"/>
        <v/>
      </c>
      <c r="K454" s="46"/>
    </row>
    <row r="455" spans="1:11" ht="23.1" customHeight="1">
      <c r="A455" s="170" t="str">
        <f>IF($B455="","",MAX($A$3:A454)+1)</f>
        <v/>
      </c>
      <c r="B455" s="176"/>
      <c r="C455" s="177"/>
      <c r="D455" s="279"/>
      <c r="E455" s="178"/>
      <c r="F455" s="172" t="str">
        <f>IF($B455="","",SUMIFS('Daily Inward'!$G:$G,'Daily Inward'!$C:$C,$B455,'Daily Inward'!$E:$E,"Inventory"))</f>
        <v/>
      </c>
      <c r="G455" s="44" t="str">
        <f>IF($B455="","",SUMIFS('Daily Issuance'!$G:$G,'Daily Issuance'!$C:$C,$B455,'Daily Issuance'!$E:$E,"Inventory"))</f>
        <v/>
      </c>
      <c r="H455" s="44" t="str">
        <f t="shared" si="14"/>
        <v/>
      </c>
      <c r="I455" s="33"/>
      <c r="J455" s="34" t="str">
        <f t="shared" si="15"/>
        <v/>
      </c>
      <c r="K455" s="46"/>
    </row>
    <row r="456" spans="1:11" ht="23.1" customHeight="1">
      <c r="A456" s="170" t="str">
        <f>IF($B456="","",MAX($A$3:A455)+1)</f>
        <v/>
      </c>
      <c r="B456" s="176"/>
      <c r="C456" s="177"/>
      <c r="D456" s="279"/>
      <c r="E456" s="178"/>
      <c r="F456" s="172" t="str">
        <f>IF($B456="","",SUMIFS('Daily Inward'!$G:$G,'Daily Inward'!$C:$C,$B456,'Daily Inward'!$E:$E,"Inventory"))</f>
        <v/>
      </c>
      <c r="G456" s="44" t="str">
        <f>IF($B456="","",SUMIFS('Daily Issuance'!$G:$G,'Daily Issuance'!$C:$C,$B456,'Daily Issuance'!$E:$E,"Inventory"))</f>
        <v/>
      </c>
      <c r="H456" s="44" t="str">
        <f t="shared" si="14"/>
        <v/>
      </c>
      <c r="I456" s="33"/>
      <c r="J456" s="34" t="str">
        <f t="shared" si="15"/>
        <v/>
      </c>
      <c r="K456" s="46"/>
    </row>
    <row r="457" spans="1:11" ht="23.1" customHeight="1">
      <c r="A457" s="170" t="str">
        <f>IF($B457="","",MAX($A$3:A456)+1)</f>
        <v/>
      </c>
      <c r="B457" s="176"/>
      <c r="C457" s="177"/>
      <c r="D457" s="279"/>
      <c r="E457" s="178"/>
      <c r="F457" s="172" t="str">
        <f>IF($B457="","",SUMIFS('Daily Inward'!$G:$G,'Daily Inward'!$C:$C,$B457,'Daily Inward'!$E:$E,"Inventory"))</f>
        <v/>
      </c>
      <c r="G457" s="44" t="str">
        <f>IF($B457="","",SUMIFS('Daily Issuance'!$G:$G,'Daily Issuance'!$C:$C,$B457,'Daily Issuance'!$E:$E,"Inventory"))</f>
        <v/>
      </c>
      <c r="H457" s="44" t="str">
        <f t="shared" si="14"/>
        <v/>
      </c>
      <c r="I457" s="33"/>
      <c r="J457" s="34" t="str">
        <f t="shared" si="15"/>
        <v/>
      </c>
      <c r="K457" s="46"/>
    </row>
    <row r="458" spans="1:11" ht="23.1" customHeight="1">
      <c r="A458" s="170" t="str">
        <f>IF($B458="","",MAX($A$3:A457)+1)</f>
        <v/>
      </c>
      <c r="B458" s="176"/>
      <c r="C458" s="177"/>
      <c r="D458" s="279"/>
      <c r="E458" s="178"/>
      <c r="F458" s="172" t="str">
        <f>IF($B458="","",SUMIFS('Daily Inward'!$G:$G,'Daily Inward'!$C:$C,$B458,'Daily Inward'!$E:$E,"Inventory"))</f>
        <v/>
      </c>
      <c r="G458" s="44" t="str">
        <f>IF($B458="","",SUMIFS('Daily Issuance'!$G:$G,'Daily Issuance'!$C:$C,$B458,'Daily Issuance'!$E:$E,"Inventory"))</f>
        <v/>
      </c>
      <c r="H458" s="44" t="str">
        <f t="shared" si="14"/>
        <v/>
      </c>
      <c r="I458" s="33"/>
      <c r="J458" s="34" t="str">
        <f t="shared" si="15"/>
        <v/>
      </c>
      <c r="K458" s="46"/>
    </row>
    <row r="459" spans="1:11" ht="23.1" customHeight="1">
      <c r="A459" s="170" t="str">
        <f>IF($B459="","",MAX($A$3:A458)+1)</f>
        <v/>
      </c>
      <c r="B459" s="176"/>
      <c r="C459" s="177"/>
      <c r="D459" s="279"/>
      <c r="E459" s="178"/>
      <c r="F459" s="172" t="str">
        <f>IF($B459="","",SUMIFS('Daily Inward'!$G:$G,'Daily Inward'!$C:$C,$B459,'Daily Inward'!$E:$E,"Inventory"))</f>
        <v/>
      </c>
      <c r="G459" s="44" t="str">
        <f>IF($B459="","",SUMIFS('Daily Issuance'!$G:$G,'Daily Issuance'!$C:$C,$B459,'Daily Issuance'!$E:$E,"Inventory"))</f>
        <v/>
      </c>
      <c r="H459" s="44" t="str">
        <f t="shared" si="14"/>
        <v/>
      </c>
      <c r="I459" s="33"/>
      <c r="J459" s="34" t="str">
        <f t="shared" si="15"/>
        <v/>
      </c>
      <c r="K459" s="46"/>
    </row>
    <row r="460" spans="1:11" ht="23.1" customHeight="1">
      <c r="A460" s="170" t="str">
        <f>IF($B460="","",MAX($A$3:A459)+1)</f>
        <v/>
      </c>
      <c r="B460" s="176"/>
      <c r="C460" s="177"/>
      <c r="D460" s="279"/>
      <c r="E460" s="178"/>
      <c r="F460" s="172" t="str">
        <f>IF($B460="","",SUMIFS('Daily Inward'!$G:$G,'Daily Inward'!$C:$C,$B460,'Daily Inward'!$E:$E,"Inventory"))</f>
        <v/>
      </c>
      <c r="G460" s="44" t="str">
        <f>IF($B460="","",SUMIFS('Daily Issuance'!$G:$G,'Daily Issuance'!$C:$C,$B460,'Daily Issuance'!$E:$E,"Inventory"))</f>
        <v/>
      </c>
      <c r="H460" s="44" t="str">
        <f t="shared" si="14"/>
        <v/>
      </c>
      <c r="I460" s="33"/>
      <c r="J460" s="34" t="str">
        <f t="shared" si="15"/>
        <v/>
      </c>
      <c r="K460" s="46"/>
    </row>
    <row r="461" spans="1:11" ht="23.1" customHeight="1">
      <c r="A461" s="170" t="str">
        <f>IF($B461="","",MAX($A$3:A460)+1)</f>
        <v/>
      </c>
      <c r="B461" s="176"/>
      <c r="C461" s="177"/>
      <c r="D461" s="279"/>
      <c r="E461" s="178"/>
      <c r="F461" s="172" t="str">
        <f>IF($B461="","",SUMIFS('Daily Inward'!$G:$G,'Daily Inward'!$C:$C,$B461,'Daily Inward'!$E:$E,"Inventory"))</f>
        <v/>
      </c>
      <c r="G461" s="44" t="str">
        <f>IF($B461="","",SUMIFS('Daily Issuance'!$G:$G,'Daily Issuance'!$C:$C,$B461,'Daily Issuance'!$E:$E,"Inventory"))</f>
        <v/>
      </c>
      <c r="H461" s="44" t="str">
        <f t="shared" si="14"/>
        <v/>
      </c>
      <c r="I461" s="33"/>
      <c r="J461" s="34" t="str">
        <f t="shared" si="15"/>
        <v/>
      </c>
      <c r="K461" s="46"/>
    </row>
    <row r="462" spans="1:11" ht="23.1" customHeight="1">
      <c r="A462" s="170" t="str">
        <f>IF($B462="","",MAX($A$3:A461)+1)</f>
        <v/>
      </c>
      <c r="B462" s="176"/>
      <c r="C462" s="177"/>
      <c r="D462" s="279"/>
      <c r="E462" s="178"/>
      <c r="F462" s="172" t="str">
        <f>IF($B462="","",SUMIFS('Daily Inward'!$G:$G,'Daily Inward'!$C:$C,$B462,'Daily Inward'!$E:$E,"Inventory"))</f>
        <v/>
      </c>
      <c r="G462" s="44" t="str">
        <f>IF($B462="","",SUMIFS('Daily Issuance'!$G:$G,'Daily Issuance'!$C:$C,$B462,'Daily Issuance'!$E:$E,"Inventory"))</f>
        <v/>
      </c>
      <c r="H462" s="44" t="str">
        <f t="shared" si="14"/>
        <v/>
      </c>
      <c r="I462" s="33"/>
      <c r="J462" s="34" t="str">
        <f t="shared" si="15"/>
        <v/>
      </c>
      <c r="K462" s="46"/>
    </row>
    <row r="463" spans="1:11" ht="23.1" customHeight="1">
      <c r="A463" s="170" t="str">
        <f>IF($B463="","",MAX($A$3:A462)+1)</f>
        <v/>
      </c>
      <c r="B463" s="176"/>
      <c r="C463" s="177"/>
      <c r="D463" s="279"/>
      <c r="E463" s="178"/>
      <c r="F463" s="172" t="str">
        <f>IF($B463="","",SUMIFS('Daily Inward'!$G:$G,'Daily Inward'!$C:$C,$B463,'Daily Inward'!$E:$E,"Inventory"))</f>
        <v/>
      </c>
      <c r="G463" s="44" t="str">
        <f>IF($B463="","",SUMIFS('Daily Issuance'!$G:$G,'Daily Issuance'!$C:$C,$B463,'Daily Issuance'!$E:$E,"Inventory"))</f>
        <v/>
      </c>
      <c r="H463" s="44" t="str">
        <f t="shared" si="14"/>
        <v/>
      </c>
      <c r="I463" s="33"/>
      <c r="J463" s="34" t="str">
        <f t="shared" si="15"/>
        <v/>
      </c>
      <c r="K463" s="46"/>
    </row>
    <row r="464" spans="1:11" ht="23.1" customHeight="1">
      <c r="A464" s="170" t="str">
        <f>IF($B464="","",MAX($A$3:A463)+1)</f>
        <v/>
      </c>
      <c r="B464" s="176"/>
      <c r="C464" s="177"/>
      <c r="D464" s="279"/>
      <c r="E464" s="178"/>
      <c r="F464" s="172" t="str">
        <f>IF($B464="","",SUMIFS('Daily Inward'!$G:$G,'Daily Inward'!$C:$C,$B464,'Daily Inward'!$E:$E,"Inventory"))</f>
        <v/>
      </c>
      <c r="G464" s="44" t="str">
        <f>IF($B464="","",SUMIFS('Daily Issuance'!$G:$G,'Daily Issuance'!$C:$C,$B464,'Daily Issuance'!$E:$E,"Inventory"))</f>
        <v/>
      </c>
      <c r="H464" s="44" t="str">
        <f t="shared" si="14"/>
        <v/>
      </c>
      <c r="I464" s="33"/>
      <c r="J464" s="34" t="str">
        <f t="shared" si="15"/>
        <v/>
      </c>
      <c r="K464" s="46"/>
    </row>
    <row r="465" spans="1:11" ht="23.1" customHeight="1">
      <c r="A465" s="170" t="str">
        <f>IF($B465="","",MAX($A$3:A464)+1)</f>
        <v/>
      </c>
      <c r="B465" s="176"/>
      <c r="C465" s="177"/>
      <c r="D465" s="279"/>
      <c r="E465" s="178"/>
      <c r="F465" s="172" t="str">
        <f>IF($B465="","",SUMIFS('Daily Inward'!$G:$G,'Daily Inward'!$C:$C,$B465,'Daily Inward'!$E:$E,"Inventory"))</f>
        <v/>
      </c>
      <c r="G465" s="44" t="str">
        <f>IF($B465="","",SUMIFS('Daily Issuance'!$G:$G,'Daily Issuance'!$C:$C,$B465,'Daily Issuance'!$E:$E,"Inventory"))</f>
        <v/>
      </c>
      <c r="H465" s="44" t="str">
        <f t="shared" si="14"/>
        <v/>
      </c>
      <c r="I465" s="33"/>
      <c r="J465" s="34" t="str">
        <f t="shared" si="15"/>
        <v/>
      </c>
      <c r="K465" s="46"/>
    </row>
    <row r="466" spans="1:11" ht="23.1" customHeight="1">
      <c r="A466" s="170" t="str">
        <f>IF($B466="","",MAX($A$3:A465)+1)</f>
        <v/>
      </c>
      <c r="B466" s="176"/>
      <c r="C466" s="177"/>
      <c r="D466" s="279"/>
      <c r="E466" s="178"/>
      <c r="F466" s="172" t="str">
        <f>IF($B466="","",SUMIFS('Daily Inward'!$G:$G,'Daily Inward'!$C:$C,$B466,'Daily Inward'!$E:$E,"Inventory"))</f>
        <v/>
      </c>
      <c r="G466" s="44" t="str">
        <f>IF($B466="","",SUMIFS('Daily Issuance'!$G:$G,'Daily Issuance'!$C:$C,$B466,'Daily Issuance'!$E:$E,"Inventory"))</f>
        <v/>
      </c>
      <c r="H466" s="44" t="str">
        <f t="shared" si="14"/>
        <v/>
      </c>
      <c r="I466" s="33"/>
      <c r="J466" s="34" t="str">
        <f t="shared" si="15"/>
        <v/>
      </c>
      <c r="K466" s="46"/>
    </row>
    <row r="467" spans="1:11" ht="23.1" customHeight="1">
      <c r="A467" s="170" t="str">
        <f>IF($B467="","",MAX($A$3:A466)+1)</f>
        <v/>
      </c>
      <c r="B467" s="176"/>
      <c r="C467" s="177"/>
      <c r="D467" s="279"/>
      <c r="E467" s="178"/>
      <c r="F467" s="172" t="str">
        <f>IF($B467="","",SUMIFS('Daily Inward'!$G:$G,'Daily Inward'!$C:$C,$B467,'Daily Inward'!$E:$E,"Inventory"))</f>
        <v/>
      </c>
      <c r="G467" s="44" t="str">
        <f>IF($B467="","",SUMIFS('Daily Issuance'!$G:$G,'Daily Issuance'!$C:$C,$B467,'Daily Issuance'!$E:$E,"Inventory"))</f>
        <v/>
      </c>
      <c r="H467" s="44" t="str">
        <f t="shared" si="14"/>
        <v/>
      </c>
      <c r="I467" s="33"/>
      <c r="J467" s="34" t="str">
        <f t="shared" si="15"/>
        <v/>
      </c>
      <c r="K467" s="46"/>
    </row>
    <row r="468" spans="1:11" ht="23.1" customHeight="1">
      <c r="A468" s="170" t="str">
        <f>IF($B468="","",MAX($A$3:A467)+1)</f>
        <v/>
      </c>
      <c r="B468" s="176"/>
      <c r="C468" s="177"/>
      <c r="D468" s="279"/>
      <c r="E468" s="178"/>
      <c r="F468" s="172" t="str">
        <f>IF($B468="","",SUMIFS('Daily Inward'!$G:$G,'Daily Inward'!$C:$C,$B468,'Daily Inward'!$E:$E,"Inventory"))</f>
        <v/>
      </c>
      <c r="G468" s="44" t="str">
        <f>IF($B468="","",SUMIFS('Daily Issuance'!$G:$G,'Daily Issuance'!$C:$C,$B468,'Daily Issuance'!$E:$E,"Inventory"))</f>
        <v/>
      </c>
      <c r="H468" s="44" t="str">
        <f t="shared" si="14"/>
        <v/>
      </c>
      <c r="I468" s="33"/>
      <c r="J468" s="34" t="str">
        <f t="shared" si="15"/>
        <v/>
      </c>
      <c r="K468" s="46"/>
    </row>
    <row r="469" spans="1:11" ht="23.1" customHeight="1">
      <c r="A469" s="170" t="str">
        <f>IF($B469="","",MAX($A$3:A468)+1)</f>
        <v/>
      </c>
      <c r="B469" s="176"/>
      <c r="C469" s="177"/>
      <c r="D469" s="279"/>
      <c r="E469" s="178"/>
      <c r="F469" s="172" t="str">
        <f>IF($B469="","",SUMIFS('Daily Inward'!$G:$G,'Daily Inward'!$C:$C,$B469,'Daily Inward'!$E:$E,"Inventory"))</f>
        <v/>
      </c>
      <c r="G469" s="44" t="str">
        <f>IF($B469="","",SUMIFS('Daily Issuance'!$G:$G,'Daily Issuance'!$C:$C,$B469,'Daily Issuance'!$E:$E,"Inventory"))</f>
        <v/>
      </c>
      <c r="H469" s="44" t="str">
        <f t="shared" si="14"/>
        <v/>
      </c>
      <c r="I469" s="33"/>
      <c r="J469" s="34" t="str">
        <f t="shared" si="15"/>
        <v/>
      </c>
      <c r="K469" s="46"/>
    </row>
    <row r="470" spans="1:11" ht="23.1" customHeight="1">
      <c r="A470" s="170" t="str">
        <f>IF($B470="","",MAX($A$3:A469)+1)</f>
        <v/>
      </c>
      <c r="B470" s="176"/>
      <c r="C470" s="177"/>
      <c r="D470" s="279"/>
      <c r="E470" s="178"/>
      <c r="F470" s="172" t="str">
        <f>IF($B470="","",SUMIFS('Daily Inward'!$G:$G,'Daily Inward'!$C:$C,$B470,'Daily Inward'!$E:$E,"Inventory"))</f>
        <v/>
      </c>
      <c r="G470" s="44" t="str">
        <f>IF($B470="","",SUMIFS('Daily Issuance'!$G:$G,'Daily Issuance'!$C:$C,$B470,'Daily Issuance'!$E:$E,"Inventory"))</f>
        <v/>
      </c>
      <c r="H470" s="44" t="str">
        <f t="shared" si="14"/>
        <v/>
      </c>
      <c r="I470" s="33"/>
      <c r="J470" s="34" t="str">
        <f t="shared" si="15"/>
        <v/>
      </c>
      <c r="K470" s="46"/>
    </row>
    <row r="471" spans="1:11" ht="23.1" customHeight="1">
      <c r="A471" s="170" t="str">
        <f>IF($B471="","",MAX($A$3:A470)+1)</f>
        <v/>
      </c>
      <c r="B471" s="176"/>
      <c r="C471" s="177"/>
      <c r="D471" s="279"/>
      <c r="E471" s="178"/>
      <c r="F471" s="172" t="str">
        <f>IF($B471="","",SUMIFS('Daily Inward'!$G:$G,'Daily Inward'!$C:$C,$B471,'Daily Inward'!$E:$E,"Inventory"))</f>
        <v/>
      </c>
      <c r="G471" s="44" t="str">
        <f>IF($B471="","",SUMIFS('Daily Issuance'!$G:$G,'Daily Issuance'!$C:$C,$B471,'Daily Issuance'!$E:$E,"Inventory"))</f>
        <v/>
      </c>
      <c r="H471" s="44" t="str">
        <f t="shared" si="14"/>
        <v/>
      </c>
      <c r="I471" s="33"/>
      <c r="J471" s="34" t="str">
        <f t="shared" si="15"/>
        <v/>
      </c>
      <c r="K471" s="46"/>
    </row>
    <row r="472" spans="1:11" ht="23.1" customHeight="1">
      <c r="A472" s="170" t="str">
        <f>IF($B472="","",MAX($A$3:A471)+1)</f>
        <v/>
      </c>
      <c r="B472" s="176"/>
      <c r="C472" s="177"/>
      <c r="D472" s="279"/>
      <c r="E472" s="178"/>
      <c r="F472" s="172" t="str">
        <f>IF($B472="","",SUMIFS('Daily Inward'!$G:$G,'Daily Inward'!$C:$C,$B472,'Daily Inward'!$E:$E,"Inventory"))</f>
        <v/>
      </c>
      <c r="G472" s="44" t="str">
        <f>IF($B472="","",SUMIFS('Daily Issuance'!$G:$G,'Daily Issuance'!$C:$C,$B472,'Daily Issuance'!$E:$E,"Inventory"))</f>
        <v/>
      </c>
      <c r="H472" s="44" t="str">
        <f t="shared" si="14"/>
        <v/>
      </c>
      <c r="I472" s="33"/>
      <c r="J472" s="34" t="str">
        <f t="shared" si="15"/>
        <v/>
      </c>
      <c r="K472" s="46"/>
    </row>
    <row r="473" spans="1:11" ht="23.1" customHeight="1">
      <c r="A473" s="170" t="str">
        <f>IF($B473="","",MAX($A$3:A472)+1)</f>
        <v/>
      </c>
      <c r="B473" s="176"/>
      <c r="C473" s="177"/>
      <c r="D473" s="279"/>
      <c r="E473" s="178"/>
      <c r="F473" s="172" t="str">
        <f>IF($B473="","",SUMIFS('Daily Inward'!$G:$G,'Daily Inward'!$C:$C,$B473,'Daily Inward'!$E:$E,"Inventory"))</f>
        <v/>
      </c>
      <c r="G473" s="44" t="str">
        <f>IF($B473="","",SUMIFS('Daily Issuance'!$G:$G,'Daily Issuance'!$C:$C,$B473,'Daily Issuance'!$E:$E,"Inventory"))</f>
        <v/>
      </c>
      <c r="H473" s="44" t="str">
        <f t="shared" si="14"/>
        <v/>
      </c>
      <c r="I473" s="33"/>
      <c r="J473" s="34" t="str">
        <f t="shared" si="15"/>
        <v/>
      </c>
      <c r="K473" s="46"/>
    </row>
    <row r="474" spans="1:11" ht="23.1" customHeight="1">
      <c r="A474" s="170" t="str">
        <f>IF($B474="","",MAX($A$3:A473)+1)</f>
        <v/>
      </c>
      <c r="B474" s="176"/>
      <c r="C474" s="177"/>
      <c r="D474" s="279"/>
      <c r="E474" s="178"/>
      <c r="F474" s="172" t="str">
        <f>IF($B474="","",SUMIFS('Daily Inward'!$G:$G,'Daily Inward'!$C:$C,$B474,'Daily Inward'!$E:$E,"Inventory"))</f>
        <v/>
      </c>
      <c r="G474" s="44" t="str">
        <f>IF($B474="","",SUMIFS('Daily Issuance'!$G:$G,'Daily Issuance'!$C:$C,$B474,'Daily Issuance'!$E:$E,"Inventory"))</f>
        <v/>
      </c>
      <c r="H474" s="44" t="str">
        <f t="shared" si="14"/>
        <v/>
      </c>
      <c r="I474" s="33"/>
      <c r="J474" s="34" t="str">
        <f t="shared" si="15"/>
        <v/>
      </c>
      <c r="K474" s="46"/>
    </row>
    <row r="475" spans="1:11" ht="23.1" customHeight="1">
      <c r="A475" s="170" t="str">
        <f>IF($B475="","",MAX($A$3:A474)+1)</f>
        <v/>
      </c>
      <c r="B475" s="176"/>
      <c r="C475" s="177"/>
      <c r="D475" s="279"/>
      <c r="E475" s="178"/>
      <c r="F475" s="172" t="str">
        <f>IF($B475="","",SUMIFS('Daily Inward'!$G:$G,'Daily Inward'!$C:$C,$B475,'Daily Inward'!$E:$E,"Inventory"))</f>
        <v/>
      </c>
      <c r="G475" s="44" t="str">
        <f>IF($B475="","",SUMIFS('Daily Issuance'!$G:$G,'Daily Issuance'!$C:$C,$B475,'Daily Issuance'!$E:$E,"Inventory"))</f>
        <v/>
      </c>
      <c r="H475" s="44" t="str">
        <f t="shared" si="14"/>
        <v/>
      </c>
      <c r="I475" s="33"/>
      <c r="J475" s="34" t="str">
        <f t="shared" si="15"/>
        <v/>
      </c>
      <c r="K475" s="46"/>
    </row>
    <row r="476" spans="1:11" ht="23.1" customHeight="1">
      <c r="A476" s="170" t="str">
        <f>IF($B476="","",MAX($A$3:A475)+1)</f>
        <v/>
      </c>
      <c r="B476" s="176"/>
      <c r="C476" s="177"/>
      <c r="D476" s="279"/>
      <c r="E476" s="178"/>
      <c r="F476" s="172" t="str">
        <f>IF($B476="","",SUMIFS('Daily Inward'!$G:$G,'Daily Inward'!$C:$C,$B476,'Daily Inward'!$E:$E,"Inventory"))</f>
        <v/>
      </c>
      <c r="G476" s="44" t="str">
        <f>IF($B476="","",SUMIFS('Daily Issuance'!$G:$G,'Daily Issuance'!$C:$C,$B476,'Daily Issuance'!$E:$E,"Inventory"))</f>
        <v/>
      </c>
      <c r="H476" s="44" t="str">
        <f t="shared" si="14"/>
        <v/>
      </c>
      <c r="I476" s="33"/>
      <c r="J476" s="34" t="str">
        <f t="shared" si="15"/>
        <v/>
      </c>
      <c r="K476" s="46"/>
    </row>
    <row r="477" spans="1:11" ht="23.1" customHeight="1">
      <c r="A477" s="170" t="str">
        <f>IF($B477="","",MAX($A$3:A476)+1)</f>
        <v/>
      </c>
      <c r="B477" s="176"/>
      <c r="C477" s="177"/>
      <c r="D477" s="279"/>
      <c r="E477" s="178"/>
      <c r="F477" s="172" t="str">
        <f>IF($B477="","",SUMIFS('Daily Inward'!$G:$G,'Daily Inward'!$C:$C,$B477,'Daily Inward'!$E:$E,"Inventory"))</f>
        <v/>
      </c>
      <c r="G477" s="44" t="str">
        <f>IF($B477="","",SUMIFS('Daily Issuance'!$G:$G,'Daily Issuance'!$C:$C,$B477,'Daily Issuance'!$E:$E,"Inventory"))</f>
        <v/>
      </c>
      <c r="H477" s="44" t="str">
        <f t="shared" si="14"/>
        <v/>
      </c>
      <c r="I477" s="33"/>
      <c r="J477" s="34" t="str">
        <f t="shared" si="15"/>
        <v/>
      </c>
      <c r="K477" s="46"/>
    </row>
    <row r="478" spans="1:11" ht="23.1" customHeight="1">
      <c r="A478" s="170" t="str">
        <f>IF($B478="","",MAX($A$3:A477)+1)</f>
        <v/>
      </c>
      <c r="B478" s="176"/>
      <c r="C478" s="177"/>
      <c r="D478" s="279"/>
      <c r="E478" s="178"/>
      <c r="F478" s="172" t="str">
        <f>IF($B478="","",SUMIFS('Daily Inward'!$G:$G,'Daily Inward'!$C:$C,$B478,'Daily Inward'!$E:$E,"Inventory"))</f>
        <v/>
      </c>
      <c r="G478" s="44" t="str">
        <f>IF($B478="","",SUMIFS('Daily Issuance'!$G:$G,'Daily Issuance'!$C:$C,$B478,'Daily Issuance'!$E:$E,"Inventory"))</f>
        <v/>
      </c>
      <c r="H478" s="44" t="str">
        <f t="shared" si="14"/>
        <v/>
      </c>
      <c r="I478" s="33"/>
      <c r="J478" s="34" t="str">
        <f t="shared" si="15"/>
        <v/>
      </c>
      <c r="K478" s="46"/>
    </row>
    <row r="479" spans="1:11" ht="23.1" customHeight="1">
      <c r="A479" s="170" t="str">
        <f>IF($B479="","",MAX($A$3:A478)+1)</f>
        <v/>
      </c>
      <c r="B479" s="176"/>
      <c r="C479" s="177"/>
      <c r="D479" s="279"/>
      <c r="E479" s="178"/>
      <c r="F479" s="172" t="str">
        <f>IF($B479="","",SUMIFS('Daily Inward'!$G:$G,'Daily Inward'!$C:$C,$B479,'Daily Inward'!$E:$E,"Inventory"))</f>
        <v/>
      </c>
      <c r="G479" s="44" t="str">
        <f>IF($B479="","",SUMIFS('Daily Issuance'!$G:$G,'Daily Issuance'!$C:$C,$B479,'Daily Issuance'!$E:$E,"Inventory"))</f>
        <v/>
      </c>
      <c r="H479" s="44" t="str">
        <f t="shared" si="14"/>
        <v/>
      </c>
      <c r="I479" s="33"/>
      <c r="J479" s="34" t="str">
        <f t="shared" si="15"/>
        <v/>
      </c>
      <c r="K479" s="46"/>
    </row>
    <row r="480" spans="1:11" ht="23.1" customHeight="1">
      <c r="A480" s="170" t="str">
        <f>IF($B480="","",MAX($A$3:A479)+1)</f>
        <v/>
      </c>
      <c r="B480" s="176"/>
      <c r="C480" s="177"/>
      <c r="D480" s="279"/>
      <c r="E480" s="178"/>
      <c r="F480" s="172" t="str">
        <f>IF($B480="","",SUMIFS('Daily Inward'!$G:$G,'Daily Inward'!$C:$C,$B480,'Daily Inward'!$E:$E,"Inventory"))</f>
        <v/>
      </c>
      <c r="G480" s="44" t="str">
        <f>IF($B480="","",SUMIFS('Daily Issuance'!$G:$G,'Daily Issuance'!$C:$C,$B480,'Daily Issuance'!$E:$E,"Inventory"))</f>
        <v/>
      </c>
      <c r="H480" s="44" t="str">
        <f t="shared" si="14"/>
        <v/>
      </c>
      <c r="I480" s="33"/>
      <c r="J480" s="34" t="str">
        <f t="shared" si="15"/>
        <v/>
      </c>
      <c r="K480" s="46"/>
    </row>
    <row r="481" spans="1:11" ht="23.1" customHeight="1">
      <c r="A481" s="170" t="str">
        <f>IF($B481="","",MAX($A$3:A480)+1)</f>
        <v/>
      </c>
      <c r="B481" s="176"/>
      <c r="C481" s="177"/>
      <c r="D481" s="279"/>
      <c r="E481" s="178"/>
      <c r="F481" s="172" t="str">
        <f>IF($B481="","",SUMIFS('Daily Inward'!$G:$G,'Daily Inward'!$C:$C,$B481,'Daily Inward'!$E:$E,"Inventory"))</f>
        <v/>
      </c>
      <c r="G481" s="44" t="str">
        <f>IF($B481="","",SUMIFS('Daily Issuance'!$G:$G,'Daily Issuance'!$C:$C,$B481,'Daily Issuance'!$E:$E,"Inventory"))</f>
        <v/>
      </c>
      <c r="H481" s="44" t="str">
        <f t="shared" si="14"/>
        <v/>
      </c>
      <c r="I481" s="33"/>
      <c r="J481" s="34" t="str">
        <f t="shared" si="15"/>
        <v/>
      </c>
      <c r="K481" s="46"/>
    </row>
    <row r="482" spans="1:11" ht="23.1" customHeight="1">
      <c r="A482" s="170" t="str">
        <f>IF($B482="","",MAX($A$3:A481)+1)</f>
        <v/>
      </c>
      <c r="B482" s="176"/>
      <c r="C482" s="177"/>
      <c r="D482" s="279"/>
      <c r="E482" s="178"/>
      <c r="F482" s="172" t="str">
        <f>IF($B482="","",SUMIFS('Daily Inward'!$G:$G,'Daily Inward'!$C:$C,$B482,'Daily Inward'!$E:$E,"Inventory"))</f>
        <v/>
      </c>
      <c r="G482" s="44" t="str">
        <f>IF($B482="","",SUMIFS('Daily Issuance'!$G:$G,'Daily Issuance'!$C:$C,$B482,'Daily Issuance'!$E:$E,"Inventory"))</f>
        <v/>
      </c>
      <c r="H482" s="44" t="str">
        <f t="shared" si="14"/>
        <v/>
      </c>
      <c r="I482" s="33"/>
      <c r="J482" s="34" t="str">
        <f t="shared" si="15"/>
        <v/>
      </c>
      <c r="K482" s="46"/>
    </row>
    <row r="483" spans="1:11" ht="23.1" customHeight="1">
      <c r="A483" s="170" t="str">
        <f>IF($B483="","",MAX($A$3:A482)+1)</f>
        <v/>
      </c>
      <c r="B483" s="176"/>
      <c r="C483" s="177"/>
      <c r="D483" s="279"/>
      <c r="E483" s="178"/>
      <c r="F483" s="172" t="str">
        <f>IF($B483="","",SUMIFS('Daily Inward'!$G:$G,'Daily Inward'!$C:$C,$B483,'Daily Inward'!$E:$E,"Inventory"))</f>
        <v/>
      </c>
      <c r="G483" s="44" t="str">
        <f>IF($B483="","",SUMIFS('Daily Issuance'!$G:$G,'Daily Issuance'!$C:$C,$B483,'Daily Issuance'!$E:$E,"Inventory"))</f>
        <v/>
      </c>
      <c r="H483" s="44" t="str">
        <f t="shared" si="14"/>
        <v/>
      </c>
      <c r="I483" s="33"/>
      <c r="J483" s="34" t="str">
        <f t="shared" si="15"/>
        <v/>
      </c>
      <c r="K483" s="46"/>
    </row>
    <row r="484" spans="1:11" ht="23.1" customHeight="1">
      <c r="A484" s="170" t="str">
        <f>IF($B484="","",MAX($A$3:A483)+1)</f>
        <v/>
      </c>
      <c r="B484" s="176"/>
      <c r="C484" s="177"/>
      <c r="D484" s="279"/>
      <c r="E484" s="178"/>
      <c r="F484" s="172" t="str">
        <f>IF($B484="","",SUMIFS('Daily Inward'!$G:$G,'Daily Inward'!$C:$C,$B484,'Daily Inward'!$E:$E,"Inventory"))</f>
        <v/>
      </c>
      <c r="G484" s="44" t="str">
        <f>IF($B484="","",SUMIFS('Daily Issuance'!$G:$G,'Daily Issuance'!$C:$C,$B484,'Daily Issuance'!$E:$E,"Inventory"))</f>
        <v/>
      </c>
      <c r="H484" s="44" t="str">
        <f t="shared" si="14"/>
        <v/>
      </c>
      <c r="I484" s="33"/>
      <c r="J484" s="34" t="str">
        <f t="shared" si="15"/>
        <v/>
      </c>
      <c r="K484" s="46"/>
    </row>
    <row r="485" spans="1:11" ht="23.1" customHeight="1">
      <c r="A485" s="170" t="str">
        <f>IF($B485="","",MAX($A$3:A484)+1)</f>
        <v/>
      </c>
      <c r="B485" s="176"/>
      <c r="C485" s="177"/>
      <c r="D485" s="279"/>
      <c r="E485" s="178"/>
      <c r="F485" s="172" t="str">
        <f>IF($B485="","",SUMIFS('Daily Inward'!$G:$G,'Daily Inward'!$C:$C,$B485,'Daily Inward'!$E:$E,"Inventory"))</f>
        <v/>
      </c>
      <c r="G485" s="44" t="str">
        <f>IF($B485="","",SUMIFS('Daily Issuance'!$G:$G,'Daily Issuance'!$C:$C,$B485,'Daily Issuance'!$E:$E,"Inventory"))</f>
        <v/>
      </c>
      <c r="H485" s="44" t="str">
        <f t="shared" si="14"/>
        <v/>
      </c>
      <c r="I485" s="33"/>
      <c r="J485" s="34" t="str">
        <f t="shared" si="15"/>
        <v/>
      </c>
      <c r="K485" s="46"/>
    </row>
    <row r="486" spans="1:11" ht="23.1" customHeight="1">
      <c r="A486" s="170" t="str">
        <f>IF($B486="","",MAX($A$3:A485)+1)</f>
        <v/>
      </c>
      <c r="B486" s="176"/>
      <c r="C486" s="177"/>
      <c r="D486" s="279"/>
      <c r="E486" s="178"/>
      <c r="F486" s="172" t="str">
        <f>IF($B486="","",SUMIFS('Daily Inward'!$G:$G,'Daily Inward'!$C:$C,$B486,'Daily Inward'!$E:$E,"Inventory"))</f>
        <v/>
      </c>
      <c r="G486" s="44" t="str">
        <f>IF($B486="","",SUMIFS('Daily Issuance'!$G:$G,'Daily Issuance'!$C:$C,$B486,'Daily Issuance'!$E:$E,"Inventory"))</f>
        <v/>
      </c>
      <c r="H486" s="44" t="str">
        <f t="shared" si="14"/>
        <v/>
      </c>
      <c r="I486" s="33"/>
      <c r="J486" s="34" t="str">
        <f t="shared" si="15"/>
        <v/>
      </c>
      <c r="K486" s="46"/>
    </row>
    <row r="487" spans="1:11" ht="23.1" customHeight="1">
      <c r="A487" s="170" t="str">
        <f>IF($B487="","",MAX($A$3:A486)+1)</f>
        <v/>
      </c>
      <c r="B487" s="176"/>
      <c r="C487" s="177"/>
      <c r="D487" s="279"/>
      <c r="E487" s="178"/>
      <c r="F487" s="172" t="str">
        <f>IF($B487="","",SUMIFS('Daily Inward'!$G:$G,'Daily Inward'!$C:$C,$B487,'Daily Inward'!$E:$E,"Inventory"))</f>
        <v/>
      </c>
      <c r="G487" s="44" t="str">
        <f>IF($B487="","",SUMIFS('Daily Issuance'!$G:$G,'Daily Issuance'!$C:$C,$B487,'Daily Issuance'!$E:$E,"Inventory"))</f>
        <v/>
      </c>
      <c r="H487" s="44" t="str">
        <f t="shared" si="14"/>
        <v/>
      </c>
      <c r="I487" s="33"/>
      <c r="J487" s="34" t="str">
        <f t="shared" si="15"/>
        <v/>
      </c>
      <c r="K487" s="46"/>
    </row>
    <row r="488" spans="1:11" ht="23.1" customHeight="1">
      <c r="A488" s="170" t="str">
        <f>IF($B488="","",MAX($A$3:A487)+1)</f>
        <v/>
      </c>
      <c r="B488" s="176"/>
      <c r="C488" s="177"/>
      <c r="D488" s="279"/>
      <c r="E488" s="178"/>
      <c r="F488" s="172" t="str">
        <f>IF($B488="","",SUMIFS('Daily Inward'!$G:$G,'Daily Inward'!$C:$C,$B488,'Daily Inward'!$E:$E,"Inventory"))</f>
        <v/>
      </c>
      <c r="G488" s="44" t="str">
        <f>IF($B488="","",SUMIFS('Daily Issuance'!$G:$G,'Daily Issuance'!$C:$C,$B488,'Daily Issuance'!$E:$E,"Inventory"))</f>
        <v/>
      </c>
      <c r="H488" s="44" t="str">
        <f t="shared" si="14"/>
        <v/>
      </c>
      <c r="I488" s="33"/>
      <c r="J488" s="34" t="str">
        <f t="shared" si="15"/>
        <v/>
      </c>
      <c r="K488" s="46"/>
    </row>
    <row r="489" spans="1:11" ht="23.1" customHeight="1">
      <c r="A489" s="170" t="str">
        <f>IF($B489="","",MAX($A$3:A488)+1)</f>
        <v/>
      </c>
      <c r="B489" s="176"/>
      <c r="C489" s="177"/>
      <c r="D489" s="279"/>
      <c r="E489" s="178"/>
      <c r="F489" s="172" t="str">
        <f>IF($B489="","",SUMIFS('Daily Inward'!$G:$G,'Daily Inward'!$C:$C,$B489,'Daily Inward'!$E:$E,"Inventory"))</f>
        <v/>
      </c>
      <c r="G489" s="44" t="str">
        <f>IF($B489="","",SUMIFS('Daily Issuance'!$G:$G,'Daily Issuance'!$C:$C,$B489,'Daily Issuance'!$E:$E,"Inventory"))</f>
        <v/>
      </c>
      <c r="H489" s="44" t="str">
        <f t="shared" si="14"/>
        <v/>
      </c>
      <c r="I489" s="33"/>
      <c r="J489" s="34" t="str">
        <f t="shared" si="15"/>
        <v/>
      </c>
      <c r="K489" s="46"/>
    </row>
    <row r="490" spans="1:11" ht="23.1" customHeight="1">
      <c r="A490" s="170" t="str">
        <f>IF($B490="","",MAX($A$3:A489)+1)</f>
        <v/>
      </c>
      <c r="B490" s="176"/>
      <c r="C490" s="177"/>
      <c r="D490" s="279"/>
      <c r="E490" s="178"/>
      <c r="F490" s="172" t="str">
        <f>IF($B490="","",SUMIFS('Daily Inward'!$G:$G,'Daily Inward'!$C:$C,$B490,'Daily Inward'!$E:$E,"Inventory"))</f>
        <v/>
      </c>
      <c r="G490" s="44" t="str">
        <f>IF($B490="","",SUMIFS('Daily Issuance'!$G:$G,'Daily Issuance'!$C:$C,$B490,'Daily Issuance'!$E:$E,"Inventory"))</f>
        <v/>
      </c>
      <c r="H490" s="44" t="str">
        <f t="shared" si="14"/>
        <v/>
      </c>
      <c r="I490" s="33"/>
      <c r="J490" s="34" t="str">
        <f t="shared" si="15"/>
        <v/>
      </c>
      <c r="K490" s="46"/>
    </row>
    <row r="491" spans="1:11" ht="23.1" customHeight="1">
      <c r="A491" s="170" t="str">
        <f>IF($B491="","",MAX($A$3:A490)+1)</f>
        <v/>
      </c>
      <c r="B491" s="176"/>
      <c r="C491" s="177"/>
      <c r="D491" s="279"/>
      <c r="E491" s="178"/>
      <c r="F491" s="172" t="str">
        <f>IF($B491="","",SUMIFS('Daily Inward'!$G:$G,'Daily Inward'!$C:$C,$B491,'Daily Inward'!$E:$E,"Inventory"))</f>
        <v/>
      </c>
      <c r="G491" s="44" t="str">
        <f>IF($B491="","",SUMIFS('Daily Issuance'!$G:$G,'Daily Issuance'!$C:$C,$B491,'Daily Issuance'!$E:$E,"Inventory"))</f>
        <v/>
      </c>
      <c r="H491" s="44" t="str">
        <f t="shared" si="14"/>
        <v/>
      </c>
      <c r="I491" s="33"/>
      <c r="J491" s="34" t="str">
        <f t="shared" si="15"/>
        <v/>
      </c>
      <c r="K491" s="46"/>
    </row>
    <row r="492" spans="1:11" ht="23.1" customHeight="1">
      <c r="A492" s="170" t="str">
        <f>IF($B492="","",MAX($A$3:A491)+1)</f>
        <v/>
      </c>
      <c r="B492" s="176"/>
      <c r="C492" s="177"/>
      <c r="D492" s="279"/>
      <c r="E492" s="178"/>
      <c r="F492" s="172" t="str">
        <f>IF($B492="","",SUMIFS('Daily Inward'!$G:$G,'Daily Inward'!$C:$C,$B492,'Daily Inward'!$E:$E,"Inventory"))</f>
        <v/>
      </c>
      <c r="G492" s="44" t="str">
        <f>IF($B492="","",SUMIFS('Daily Issuance'!$G:$G,'Daily Issuance'!$C:$C,$B492,'Daily Issuance'!$E:$E,"Inventory"))</f>
        <v/>
      </c>
      <c r="H492" s="44" t="str">
        <f t="shared" si="14"/>
        <v/>
      </c>
      <c r="I492" s="33"/>
      <c r="J492" s="34" t="str">
        <f t="shared" si="15"/>
        <v/>
      </c>
      <c r="K492" s="46"/>
    </row>
    <row r="493" spans="1:11" ht="23.1" customHeight="1">
      <c r="A493" s="170" t="str">
        <f>IF($B493="","",MAX($A$3:A492)+1)</f>
        <v/>
      </c>
      <c r="B493" s="176"/>
      <c r="C493" s="177"/>
      <c r="D493" s="279"/>
      <c r="E493" s="178"/>
      <c r="F493" s="172" t="str">
        <f>IF($B493="","",SUMIFS('Daily Inward'!$G:$G,'Daily Inward'!$C:$C,$B493,'Daily Inward'!$E:$E,"Inventory"))</f>
        <v/>
      </c>
      <c r="G493" s="44" t="str">
        <f>IF($B493="","",SUMIFS('Daily Issuance'!$G:$G,'Daily Issuance'!$C:$C,$B493,'Daily Issuance'!$E:$E,"Inventory"))</f>
        <v/>
      </c>
      <c r="H493" s="44" t="str">
        <f t="shared" si="14"/>
        <v/>
      </c>
      <c r="I493" s="33"/>
      <c r="J493" s="34" t="str">
        <f t="shared" si="15"/>
        <v/>
      </c>
      <c r="K493" s="46"/>
    </row>
    <row r="494" spans="1:11" ht="23.1" customHeight="1">
      <c r="A494" s="170" t="str">
        <f>IF($B494="","",MAX($A$3:A493)+1)</f>
        <v/>
      </c>
      <c r="B494" s="176"/>
      <c r="C494" s="177"/>
      <c r="D494" s="279"/>
      <c r="E494" s="178"/>
      <c r="F494" s="172" t="str">
        <f>IF($B494="","",SUMIFS('Daily Inward'!$G:$G,'Daily Inward'!$C:$C,$B494,'Daily Inward'!$E:$E,"Inventory"))</f>
        <v/>
      </c>
      <c r="G494" s="44" t="str">
        <f>IF($B494="","",SUMIFS('Daily Issuance'!$G:$G,'Daily Issuance'!$C:$C,$B494,'Daily Issuance'!$E:$E,"Inventory"))</f>
        <v/>
      </c>
      <c r="H494" s="44" t="str">
        <f t="shared" si="14"/>
        <v/>
      </c>
      <c r="I494" s="33"/>
      <c r="J494" s="34" t="str">
        <f t="shared" si="15"/>
        <v/>
      </c>
      <c r="K494" s="46"/>
    </row>
    <row r="495" spans="1:11" ht="23.1" customHeight="1">
      <c r="A495" s="170" t="str">
        <f>IF($B495="","",MAX($A$3:A494)+1)</f>
        <v/>
      </c>
      <c r="B495" s="176"/>
      <c r="C495" s="177"/>
      <c r="D495" s="279"/>
      <c r="E495" s="178"/>
      <c r="F495" s="172" t="str">
        <f>IF($B495="","",SUMIFS('Daily Inward'!$G:$G,'Daily Inward'!$C:$C,$B495,'Daily Inward'!$E:$E,"Inventory"))</f>
        <v/>
      </c>
      <c r="G495" s="44" t="str">
        <f>IF($B495="","",SUMIFS('Daily Issuance'!$G:$G,'Daily Issuance'!$C:$C,$B495,'Daily Issuance'!$E:$E,"Inventory"))</f>
        <v/>
      </c>
      <c r="H495" s="44" t="str">
        <f t="shared" si="14"/>
        <v/>
      </c>
      <c r="I495" s="33"/>
      <c r="J495" s="34" t="str">
        <f t="shared" si="15"/>
        <v/>
      </c>
      <c r="K495" s="46"/>
    </row>
    <row r="496" spans="1:11" ht="23.1" customHeight="1">
      <c r="A496" s="170" t="str">
        <f>IF($B496="","",MAX($A$3:A495)+1)</f>
        <v/>
      </c>
      <c r="B496" s="176"/>
      <c r="C496" s="177"/>
      <c r="D496" s="279"/>
      <c r="E496" s="178"/>
      <c r="F496" s="172" t="str">
        <f>IF($B496="","",SUMIFS('Daily Inward'!$G:$G,'Daily Inward'!$C:$C,$B496,'Daily Inward'!$E:$E,"Inventory"))</f>
        <v/>
      </c>
      <c r="G496" s="44" t="str">
        <f>IF($B496="","",SUMIFS('Daily Issuance'!$G:$G,'Daily Issuance'!$C:$C,$B496,'Daily Issuance'!$E:$E,"Inventory"))</f>
        <v/>
      </c>
      <c r="H496" s="44" t="str">
        <f t="shared" si="14"/>
        <v/>
      </c>
      <c r="I496" s="33"/>
      <c r="J496" s="34" t="str">
        <f t="shared" si="15"/>
        <v/>
      </c>
      <c r="K496" s="46"/>
    </row>
    <row r="497" spans="1:11" ht="23.1" customHeight="1">
      <c r="A497" s="170" t="str">
        <f>IF($B497="","",MAX($A$3:A496)+1)</f>
        <v/>
      </c>
      <c r="B497" s="176"/>
      <c r="C497" s="177"/>
      <c r="D497" s="279"/>
      <c r="E497" s="178"/>
      <c r="F497" s="172" t="str">
        <f>IF($B497="","",SUMIFS('Daily Inward'!$G:$G,'Daily Inward'!$C:$C,$B497,'Daily Inward'!$E:$E,"Inventory"))</f>
        <v/>
      </c>
      <c r="G497" s="44" t="str">
        <f>IF($B497="","",SUMIFS('Daily Issuance'!$G:$G,'Daily Issuance'!$C:$C,$B497,'Daily Issuance'!$E:$E,"Inventory"))</f>
        <v/>
      </c>
      <c r="H497" s="44" t="str">
        <f t="shared" si="14"/>
        <v/>
      </c>
      <c r="I497" s="33"/>
      <c r="J497" s="34" t="str">
        <f t="shared" si="15"/>
        <v/>
      </c>
      <c r="K497" s="46"/>
    </row>
    <row r="498" spans="1:11" ht="23.1" customHeight="1">
      <c r="A498" s="170" t="str">
        <f>IF($B498="","",MAX($A$3:A497)+1)</f>
        <v/>
      </c>
      <c r="B498" s="176"/>
      <c r="C498" s="177"/>
      <c r="D498" s="279"/>
      <c r="E498" s="178"/>
      <c r="F498" s="172" t="str">
        <f>IF($B498="","",SUMIFS('Daily Inward'!$G:$G,'Daily Inward'!$C:$C,$B498,'Daily Inward'!$E:$E,"Inventory"))</f>
        <v/>
      </c>
      <c r="G498" s="44" t="str">
        <f>IF($B498="","",SUMIFS('Daily Issuance'!$G:$G,'Daily Issuance'!$C:$C,$B498,'Daily Issuance'!$E:$E,"Inventory"))</f>
        <v/>
      </c>
      <c r="H498" s="44" t="str">
        <f t="shared" si="14"/>
        <v/>
      </c>
      <c r="I498" s="33"/>
      <c r="J498" s="34" t="str">
        <f t="shared" si="15"/>
        <v/>
      </c>
      <c r="K498" s="46"/>
    </row>
    <row r="499" spans="1:11" ht="23.1" customHeight="1">
      <c r="A499" s="170" t="str">
        <f>IF($B499="","",MAX($A$3:A498)+1)</f>
        <v/>
      </c>
      <c r="B499" s="176"/>
      <c r="C499" s="177"/>
      <c r="D499" s="279"/>
      <c r="E499" s="178"/>
      <c r="F499" s="172" t="str">
        <f>IF($B499="","",SUMIFS('Daily Inward'!$G:$G,'Daily Inward'!$C:$C,$B499,'Daily Inward'!$E:$E,"Inventory"))</f>
        <v/>
      </c>
      <c r="G499" s="44" t="str">
        <f>IF($B499="","",SUMIFS('Daily Issuance'!$G:$G,'Daily Issuance'!$C:$C,$B499,'Daily Issuance'!$E:$E,"Inventory"))</f>
        <v/>
      </c>
      <c r="H499" s="44" t="str">
        <f t="shared" si="14"/>
        <v/>
      </c>
      <c r="I499" s="33"/>
      <c r="J499" s="34" t="str">
        <f t="shared" si="15"/>
        <v/>
      </c>
      <c r="K499" s="46"/>
    </row>
    <row r="500" spans="1:11" ht="23.1" customHeight="1">
      <c r="A500" s="170" t="str">
        <f>IF($B500="","",MAX($A$3:A499)+1)</f>
        <v/>
      </c>
      <c r="B500" s="176"/>
      <c r="C500" s="177"/>
      <c r="D500" s="279"/>
      <c r="E500" s="178"/>
      <c r="F500" s="172" t="str">
        <f>IF($B500="","",SUMIFS('Daily Inward'!$G:$G,'Daily Inward'!$C:$C,$B500,'Daily Inward'!$E:$E,"Inventory"))</f>
        <v/>
      </c>
      <c r="G500" s="44" t="str">
        <f>IF($B500="","",SUMIFS('Daily Issuance'!$G:$G,'Daily Issuance'!$C:$C,$B500,'Daily Issuance'!$E:$E,"Inventory"))</f>
        <v/>
      </c>
      <c r="H500" s="44" t="str">
        <f t="shared" si="14"/>
        <v/>
      </c>
      <c r="I500" s="33"/>
      <c r="J500" s="34" t="str">
        <f t="shared" si="15"/>
        <v/>
      </c>
      <c r="K500" s="46"/>
    </row>
    <row r="501" spans="1:11" ht="23.1" customHeight="1">
      <c r="A501" s="170" t="str">
        <f>IF($B501="","",MAX($A$3:A500)+1)</f>
        <v/>
      </c>
      <c r="B501" s="176"/>
      <c r="C501" s="177"/>
      <c r="D501" s="279"/>
      <c r="E501" s="178"/>
      <c r="F501" s="172" t="str">
        <f>IF($B501="","",SUMIFS('Daily Inward'!$G:$G,'Daily Inward'!$C:$C,$B501,'Daily Inward'!$E:$E,"Inventory"))</f>
        <v/>
      </c>
      <c r="G501" s="44" t="str">
        <f>IF($B501="","",SUMIFS('Daily Issuance'!$G:$G,'Daily Issuance'!$C:$C,$B501,'Daily Issuance'!$E:$E,"Inventory"))</f>
        <v/>
      </c>
      <c r="H501" s="44" t="str">
        <f t="shared" si="14"/>
        <v/>
      </c>
      <c r="I501" s="33"/>
      <c r="J501" s="34" t="str">
        <f t="shared" si="15"/>
        <v/>
      </c>
      <c r="K501" s="46"/>
    </row>
    <row r="502" spans="1:11" ht="23.1" customHeight="1">
      <c r="A502" s="170" t="str">
        <f>IF($B502="","",MAX($A$3:A501)+1)</f>
        <v/>
      </c>
      <c r="B502" s="176"/>
      <c r="C502" s="177"/>
      <c r="D502" s="279"/>
      <c r="E502" s="178"/>
      <c r="F502" s="172" t="str">
        <f>IF($B502="","",SUMIFS('Daily Inward'!$G:$G,'Daily Inward'!$C:$C,$B502,'Daily Inward'!$E:$E,"Inventory"))</f>
        <v/>
      </c>
      <c r="G502" s="44" t="str">
        <f>IF($B502="","",SUMIFS('Daily Issuance'!$G:$G,'Daily Issuance'!$C:$C,$B502,'Daily Issuance'!$E:$E,"Inventory"))</f>
        <v/>
      </c>
      <c r="H502" s="44" t="str">
        <f t="shared" si="14"/>
        <v/>
      </c>
      <c r="I502" s="33"/>
      <c r="J502" s="34" t="str">
        <f t="shared" si="15"/>
        <v/>
      </c>
      <c r="K502" s="46"/>
    </row>
    <row r="503" spans="1:11" ht="23.1" customHeight="1">
      <c r="A503" s="170" t="str">
        <f>IF($B503="","",MAX($A$3:A502)+1)</f>
        <v/>
      </c>
      <c r="B503" s="176"/>
      <c r="C503" s="177"/>
      <c r="D503" s="279"/>
      <c r="E503" s="178"/>
      <c r="F503" s="172" t="str">
        <f>IF($B503="","",SUMIFS('Daily Inward'!$G:$G,'Daily Inward'!$C:$C,$B503,'Daily Inward'!$E:$E,"Inventory"))</f>
        <v/>
      </c>
      <c r="G503" s="44" t="str">
        <f>IF($B503="","",SUMIFS('Daily Issuance'!$G:$G,'Daily Issuance'!$C:$C,$B503,'Daily Issuance'!$E:$E,"Inventory"))</f>
        <v/>
      </c>
      <c r="H503" s="44" t="str">
        <f t="shared" si="14"/>
        <v/>
      </c>
      <c r="I503" s="33"/>
      <c r="J503" s="34" t="str">
        <f t="shared" si="15"/>
        <v/>
      </c>
      <c r="K503" s="46"/>
    </row>
    <row r="504" spans="1:11" ht="23.1" customHeight="1">
      <c r="A504" s="170" t="str">
        <f>IF($B504="","",MAX($A$3:A503)+1)</f>
        <v/>
      </c>
      <c r="B504" s="176"/>
      <c r="C504" s="177"/>
      <c r="D504" s="279"/>
      <c r="E504" s="178"/>
      <c r="F504" s="172" t="str">
        <f>IF($B504="","",SUMIFS('Daily Inward'!$G:$G,'Daily Inward'!$C:$C,$B504,'Daily Inward'!$E:$E,"Inventory"))</f>
        <v/>
      </c>
      <c r="G504" s="44" t="str">
        <f>IF($B504="","",SUMIFS('Daily Issuance'!$G:$G,'Daily Issuance'!$C:$C,$B504,'Daily Issuance'!$E:$E,"Inventory"))</f>
        <v/>
      </c>
      <c r="H504" s="44" t="str">
        <f t="shared" si="14"/>
        <v/>
      </c>
      <c r="I504" s="33"/>
      <c r="J504" s="34" t="str">
        <f t="shared" si="15"/>
        <v/>
      </c>
      <c r="K504" s="46"/>
    </row>
    <row r="505" spans="1:11" ht="23.1" customHeight="1">
      <c r="A505" s="170" t="str">
        <f>IF($B505="","",MAX($A$3:A504)+1)</f>
        <v/>
      </c>
      <c r="B505" s="176"/>
      <c r="C505" s="177"/>
      <c r="D505" s="279"/>
      <c r="E505" s="178"/>
      <c r="F505" s="172" t="str">
        <f>IF($B505="","",SUMIFS('Daily Inward'!$G:$G,'Daily Inward'!$C:$C,$B505,'Daily Inward'!$E:$E,"Inventory"))</f>
        <v/>
      </c>
      <c r="G505" s="44" t="str">
        <f>IF($B505="","",SUMIFS('Daily Issuance'!$G:$G,'Daily Issuance'!$C:$C,$B505,'Daily Issuance'!$E:$E,"Inventory"))</f>
        <v/>
      </c>
      <c r="H505" s="44" t="str">
        <f t="shared" si="14"/>
        <v/>
      </c>
      <c r="I505" s="33"/>
      <c r="J505" s="34" t="str">
        <f t="shared" si="15"/>
        <v/>
      </c>
      <c r="K505" s="46"/>
    </row>
    <row r="506" spans="1:11" ht="23.1" customHeight="1">
      <c r="A506" s="170" t="str">
        <f>IF($B506="","",MAX($A$3:A505)+1)</f>
        <v/>
      </c>
      <c r="B506" s="176"/>
      <c r="C506" s="177"/>
      <c r="D506" s="279"/>
      <c r="E506" s="178"/>
      <c r="F506" s="172" t="str">
        <f>IF($B506="","",SUMIFS('Daily Inward'!$G:$G,'Daily Inward'!$C:$C,$B506,'Daily Inward'!$E:$E,"Inventory"))</f>
        <v/>
      </c>
      <c r="G506" s="44" t="str">
        <f>IF($B506="","",SUMIFS('Daily Issuance'!$G:$G,'Daily Issuance'!$C:$C,$B506,'Daily Issuance'!$E:$E,"Inventory"))</f>
        <v/>
      </c>
      <c r="H506" s="44" t="str">
        <f t="shared" si="14"/>
        <v/>
      </c>
      <c r="I506" s="33"/>
      <c r="J506" s="34" t="str">
        <f t="shared" si="15"/>
        <v/>
      </c>
      <c r="K506" s="46"/>
    </row>
    <row r="507" spans="1:11" ht="23.1" customHeight="1">
      <c r="A507" s="170" t="str">
        <f>IF($B507="","",MAX($A$3:A506)+1)</f>
        <v/>
      </c>
      <c r="B507" s="176"/>
      <c r="C507" s="177"/>
      <c r="D507" s="279"/>
      <c r="E507" s="178"/>
      <c r="F507" s="172" t="str">
        <f>IF($B507="","",SUMIFS('Daily Inward'!$G:$G,'Daily Inward'!$C:$C,$B507,'Daily Inward'!$E:$E,"Inventory"))</f>
        <v/>
      </c>
      <c r="G507" s="44" t="str">
        <f>IF($B507="","",SUMIFS('Daily Issuance'!$G:$G,'Daily Issuance'!$C:$C,$B507,'Daily Issuance'!$E:$E,"Inventory"))</f>
        <v/>
      </c>
      <c r="H507" s="44" t="str">
        <f t="shared" si="14"/>
        <v/>
      </c>
      <c r="I507" s="33"/>
      <c r="J507" s="34" t="str">
        <f t="shared" si="15"/>
        <v/>
      </c>
      <c r="K507" s="46"/>
    </row>
    <row r="508" spans="1:11" ht="23.1" customHeight="1">
      <c r="A508" s="170" t="str">
        <f>IF($B508="","",MAX($A$3:A507)+1)</f>
        <v/>
      </c>
      <c r="B508" s="176"/>
      <c r="C508" s="177"/>
      <c r="D508" s="279"/>
      <c r="E508" s="178"/>
      <c r="F508" s="172" t="str">
        <f>IF($B508="","",SUMIFS('Daily Inward'!$G:$G,'Daily Inward'!$C:$C,$B508,'Daily Inward'!$E:$E,"Inventory"))</f>
        <v/>
      </c>
      <c r="G508" s="44" t="str">
        <f>IF($B508="","",SUMIFS('Daily Issuance'!$G:$G,'Daily Issuance'!$C:$C,$B508,'Daily Issuance'!$E:$E,"Inventory"))</f>
        <v/>
      </c>
      <c r="H508" s="44" t="str">
        <f t="shared" si="14"/>
        <v/>
      </c>
      <c r="I508" s="33"/>
      <c r="J508" s="34" t="str">
        <f t="shared" si="15"/>
        <v/>
      </c>
      <c r="K508" s="46"/>
    </row>
    <row r="509" spans="1:11" ht="23.1" customHeight="1">
      <c r="A509" s="170" t="str">
        <f>IF($B509="","",MAX($A$3:A508)+1)</f>
        <v/>
      </c>
      <c r="B509" s="176"/>
      <c r="C509" s="177"/>
      <c r="D509" s="279"/>
      <c r="E509" s="178"/>
      <c r="F509" s="172" t="str">
        <f>IF($B509="","",SUMIFS('Daily Inward'!$G:$G,'Daily Inward'!$C:$C,$B509,'Daily Inward'!$E:$E,"Inventory"))</f>
        <v/>
      </c>
      <c r="G509" s="44" t="str">
        <f>IF($B509="","",SUMIFS('Daily Issuance'!$G:$G,'Daily Issuance'!$C:$C,$B509,'Daily Issuance'!$E:$E,"Inventory"))</f>
        <v/>
      </c>
      <c r="H509" s="44" t="str">
        <f t="shared" si="14"/>
        <v/>
      </c>
      <c r="I509" s="33"/>
      <c r="J509" s="34" t="str">
        <f t="shared" si="15"/>
        <v/>
      </c>
      <c r="K509" s="46"/>
    </row>
    <row r="510" spans="1:11" ht="23.1" customHeight="1">
      <c r="A510" s="170" t="str">
        <f>IF($B510="","",MAX($A$3:A509)+1)</f>
        <v/>
      </c>
      <c r="B510" s="176"/>
      <c r="C510" s="177"/>
      <c r="D510" s="279"/>
      <c r="E510" s="178"/>
      <c r="F510" s="172" t="str">
        <f>IF($B510="","",SUMIFS('Daily Inward'!$G:$G,'Daily Inward'!$C:$C,$B510,'Daily Inward'!$E:$E,"Inventory"))</f>
        <v/>
      </c>
      <c r="G510" s="44" t="str">
        <f>IF($B510="","",SUMIFS('Daily Issuance'!$G:$G,'Daily Issuance'!$C:$C,$B510,'Daily Issuance'!$E:$E,"Inventory"))</f>
        <v/>
      </c>
      <c r="H510" s="44" t="str">
        <f t="shared" si="14"/>
        <v/>
      </c>
      <c r="I510" s="33"/>
      <c r="J510" s="34" t="str">
        <f t="shared" si="15"/>
        <v/>
      </c>
      <c r="K510" s="46"/>
    </row>
    <row r="511" spans="1:11" ht="23.1" customHeight="1">
      <c r="A511" s="170" t="str">
        <f>IF($B511="","",MAX($A$3:A510)+1)</f>
        <v/>
      </c>
      <c r="B511" s="176"/>
      <c r="C511" s="177"/>
      <c r="D511" s="279"/>
      <c r="E511" s="178"/>
      <c r="F511" s="172" t="str">
        <f>IF($B511="","",SUMIFS('Daily Inward'!$G:$G,'Daily Inward'!$C:$C,$B511,'Daily Inward'!$E:$E,"Inventory"))</f>
        <v/>
      </c>
      <c r="G511" s="44" t="str">
        <f>IF($B511="","",SUMIFS('Daily Issuance'!$G:$G,'Daily Issuance'!$C:$C,$B511,'Daily Issuance'!$E:$E,"Inventory"))</f>
        <v/>
      </c>
      <c r="H511" s="44" t="str">
        <f t="shared" si="14"/>
        <v/>
      </c>
      <c r="I511" s="33"/>
      <c r="J511" s="34" t="str">
        <f t="shared" si="15"/>
        <v/>
      </c>
      <c r="K511" s="46"/>
    </row>
    <row r="512" spans="1:11" ht="23.1" customHeight="1">
      <c r="A512" s="170" t="str">
        <f>IF($B512="","",MAX($A$3:A511)+1)</f>
        <v/>
      </c>
      <c r="B512" s="176"/>
      <c r="C512" s="177"/>
      <c r="D512" s="279"/>
      <c r="E512" s="178"/>
      <c r="F512" s="172" t="str">
        <f>IF($B512="","",SUMIFS('Daily Inward'!$G:$G,'Daily Inward'!$C:$C,$B512,'Daily Inward'!$E:$E,"Inventory"))</f>
        <v/>
      </c>
      <c r="G512" s="44" t="str">
        <f>IF($B512="","",SUMIFS('Daily Issuance'!$G:$G,'Daily Issuance'!$C:$C,$B512,'Daily Issuance'!$E:$E,"Inventory"))</f>
        <v/>
      </c>
      <c r="H512" s="44" t="str">
        <f t="shared" si="14"/>
        <v/>
      </c>
      <c r="I512" s="33"/>
      <c r="J512" s="34" t="str">
        <f t="shared" si="15"/>
        <v/>
      </c>
      <c r="K512" s="46"/>
    </row>
    <row r="513" spans="1:11" ht="23.1" customHeight="1">
      <c r="A513" s="170" t="str">
        <f>IF($B513="","",MAX($A$3:A512)+1)</f>
        <v/>
      </c>
      <c r="B513" s="176"/>
      <c r="C513" s="177"/>
      <c r="D513" s="279"/>
      <c r="E513" s="178"/>
      <c r="F513" s="172" t="str">
        <f>IF($B513="","",SUMIFS('Daily Inward'!$G:$G,'Daily Inward'!$C:$C,$B513,'Daily Inward'!$E:$E,"Inventory"))</f>
        <v/>
      </c>
      <c r="G513" s="44" t="str">
        <f>IF($B513="","",SUMIFS('Daily Issuance'!$G:$G,'Daily Issuance'!$C:$C,$B513,'Daily Issuance'!$E:$E,"Inventory"))</f>
        <v/>
      </c>
      <c r="H513" s="44" t="str">
        <f t="shared" si="14"/>
        <v/>
      </c>
      <c r="I513" s="33"/>
      <c r="J513" s="34" t="str">
        <f t="shared" si="15"/>
        <v/>
      </c>
      <c r="K513" s="46"/>
    </row>
    <row r="514" spans="1:11" ht="23.1" customHeight="1">
      <c r="A514" s="170" t="str">
        <f>IF($B514="","",MAX($A$3:A513)+1)</f>
        <v/>
      </c>
      <c r="B514" s="176"/>
      <c r="C514" s="177"/>
      <c r="D514" s="279"/>
      <c r="E514" s="178"/>
      <c r="F514" s="172" t="str">
        <f>IF($B514="","",SUMIFS('Daily Inward'!$G:$G,'Daily Inward'!$C:$C,$B514,'Daily Inward'!$E:$E,"Inventory"))</f>
        <v/>
      </c>
      <c r="G514" s="44" t="str">
        <f>IF($B514="","",SUMIFS('Daily Issuance'!$G:$G,'Daily Issuance'!$C:$C,$B514,'Daily Issuance'!$E:$E,"Inventory"))</f>
        <v/>
      </c>
      <c r="H514" s="44" t="str">
        <f t="shared" si="14"/>
        <v/>
      </c>
      <c r="I514" s="33"/>
      <c r="J514" s="34" t="str">
        <f t="shared" si="15"/>
        <v/>
      </c>
      <c r="K514" s="46"/>
    </row>
    <row r="515" spans="1:11" ht="23.1" customHeight="1">
      <c r="A515" s="170" t="str">
        <f>IF($B515="","",MAX($A$3:A514)+1)</f>
        <v/>
      </c>
      <c r="B515" s="176"/>
      <c r="C515" s="177"/>
      <c r="D515" s="279"/>
      <c r="E515" s="178"/>
      <c r="F515" s="172" t="str">
        <f>IF($B515="","",SUMIFS('Daily Inward'!$G:$G,'Daily Inward'!$C:$C,$B515,'Daily Inward'!$E:$E,"Inventory"))</f>
        <v/>
      </c>
      <c r="G515" s="44" t="str">
        <f>IF($B515="","",SUMIFS('Daily Issuance'!$G:$G,'Daily Issuance'!$C:$C,$B515,'Daily Issuance'!$E:$E,"Inventory"))</f>
        <v/>
      </c>
      <c r="H515" s="44" t="str">
        <f t="shared" ref="H515:H578" si="16">IF($B515="","",N(E515)+N(F515)-N(G515))</f>
        <v/>
      </c>
      <c r="I515" s="33"/>
      <c r="J515" s="34" t="str">
        <f t="shared" ref="J515:J578" si="17">IF($B515="","",H515*I515)</f>
        <v/>
      </c>
      <c r="K515" s="46"/>
    </row>
    <row r="516" spans="1:11" ht="23.1" customHeight="1">
      <c r="A516" s="170" t="str">
        <f>IF($B516="","",MAX($A$3:A515)+1)</f>
        <v/>
      </c>
      <c r="B516" s="176"/>
      <c r="C516" s="177"/>
      <c r="D516" s="279"/>
      <c r="E516" s="178"/>
      <c r="F516" s="172" t="str">
        <f>IF($B516="","",SUMIFS('Daily Inward'!$G:$G,'Daily Inward'!$C:$C,$B516,'Daily Inward'!$E:$E,"Inventory"))</f>
        <v/>
      </c>
      <c r="G516" s="44" t="str">
        <f>IF($B516="","",SUMIFS('Daily Issuance'!$G:$G,'Daily Issuance'!$C:$C,$B516,'Daily Issuance'!$E:$E,"Inventory"))</f>
        <v/>
      </c>
      <c r="H516" s="44" t="str">
        <f t="shared" si="16"/>
        <v/>
      </c>
      <c r="I516" s="33"/>
      <c r="J516" s="34" t="str">
        <f t="shared" si="17"/>
        <v/>
      </c>
      <c r="K516" s="46"/>
    </row>
    <row r="517" spans="1:11" ht="23.1" customHeight="1">
      <c r="A517" s="170" t="str">
        <f>IF($B517="","",MAX($A$3:A516)+1)</f>
        <v/>
      </c>
      <c r="B517" s="176"/>
      <c r="C517" s="177"/>
      <c r="D517" s="279"/>
      <c r="E517" s="178"/>
      <c r="F517" s="172" t="str">
        <f>IF($B517="","",SUMIFS('Daily Inward'!$G:$G,'Daily Inward'!$C:$C,$B517,'Daily Inward'!$E:$E,"Inventory"))</f>
        <v/>
      </c>
      <c r="G517" s="44" t="str">
        <f>IF($B517="","",SUMIFS('Daily Issuance'!$G:$G,'Daily Issuance'!$C:$C,$B517,'Daily Issuance'!$E:$E,"Inventory"))</f>
        <v/>
      </c>
      <c r="H517" s="44" t="str">
        <f t="shared" si="16"/>
        <v/>
      </c>
      <c r="I517" s="33"/>
      <c r="J517" s="34" t="str">
        <f t="shared" si="17"/>
        <v/>
      </c>
      <c r="K517" s="46"/>
    </row>
    <row r="518" spans="1:11" ht="23.1" customHeight="1">
      <c r="A518" s="170" t="str">
        <f>IF($B518="","",MAX($A$3:A517)+1)</f>
        <v/>
      </c>
      <c r="B518" s="176"/>
      <c r="C518" s="177"/>
      <c r="D518" s="279"/>
      <c r="E518" s="178"/>
      <c r="F518" s="172" t="str">
        <f>IF($B518="","",SUMIFS('Daily Inward'!$G:$G,'Daily Inward'!$C:$C,$B518,'Daily Inward'!$E:$E,"Inventory"))</f>
        <v/>
      </c>
      <c r="G518" s="44" t="str">
        <f>IF($B518="","",SUMIFS('Daily Issuance'!$G:$G,'Daily Issuance'!$C:$C,$B518,'Daily Issuance'!$E:$E,"Inventory"))</f>
        <v/>
      </c>
      <c r="H518" s="44" t="str">
        <f t="shared" si="16"/>
        <v/>
      </c>
      <c r="I518" s="33"/>
      <c r="J518" s="34" t="str">
        <f t="shared" si="17"/>
        <v/>
      </c>
      <c r="K518" s="46"/>
    </row>
    <row r="519" spans="1:11" ht="23.1" customHeight="1">
      <c r="A519" s="170" t="str">
        <f>IF($B519="","",MAX($A$3:A518)+1)</f>
        <v/>
      </c>
      <c r="B519" s="176"/>
      <c r="C519" s="177"/>
      <c r="D519" s="279"/>
      <c r="E519" s="178"/>
      <c r="F519" s="172" t="str">
        <f>IF($B519="","",SUMIFS('Daily Inward'!$G:$G,'Daily Inward'!$C:$C,$B519,'Daily Inward'!$E:$E,"Inventory"))</f>
        <v/>
      </c>
      <c r="G519" s="44" t="str">
        <f>IF($B519="","",SUMIFS('Daily Issuance'!$G:$G,'Daily Issuance'!$C:$C,$B519,'Daily Issuance'!$E:$E,"Inventory"))</f>
        <v/>
      </c>
      <c r="H519" s="44" t="str">
        <f t="shared" si="16"/>
        <v/>
      </c>
      <c r="I519" s="33"/>
      <c r="J519" s="34" t="str">
        <f t="shared" si="17"/>
        <v/>
      </c>
      <c r="K519" s="46"/>
    </row>
    <row r="520" spans="1:11" ht="23.1" customHeight="1">
      <c r="A520" s="170" t="str">
        <f>IF($B520="","",MAX($A$3:A519)+1)</f>
        <v/>
      </c>
      <c r="B520" s="176"/>
      <c r="C520" s="177"/>
      <c r="D520" s="279"/>
      <c r="E520" s="178"/>
      <c r="F520" s="172" t="str">
        <f>IF($B520="","",SUMIFS('Daily Inward'!$G:$G,'Daily Inward'!$C:$C,$B520,'Daily Inward'!$E:$E,"Inventory"))</f>
        <v/>
      </c>
      <c r="G520" s="44" t="str">
        <f>IF($B520="","",SUMIFS('Daily Issuance'!$G:$G,'Daily Issuance'!$C:$C,$B520,'Daily Issuance'!$E:$E,"Inventory"))</f>
        <v/>
      </c>
      <c r="H520" s="44" t="str">
        <f t="shared" si="16"/>
        <v/>
      </c>
      <c r="I520" s="33"/>
      <c r="J520" s="34" t="str">
        <f t="shared" si="17"/>
        <v/>
      </c>
      <c r="K520" s="46"/>
    </row>
    <row r="521" spans="1:11" ht="23.1" customHeight="1">
      <c r="A521" s="170" t="str">
        <f>IF($B521="","",MAX($A$3:A520)+1)</f>
        <v/>
      </c>
      <c r="B521" s="176"/>
      <c r="C521" s="177"/>
      <c r="D521" s="279"/>
      <c r="E521" s="178"/>
      <c r="F521" s="172" t="str">
        <f>IF($B521="","",SUMIFS('Daily Inward'!$G:$G,'Daily Inward'!$C:$C,$B521,'Daily Inward'!$E:$E,"Inventory"))</f>
        <v/>
      </c>
      <c r="G521" s="44" t="str">
        <f>IF($B521="","",SUMIFS('Daily Issuance'!$G:$G,'Daily Issuance'!$C:$C,$B521,'Daily Issuance'!$E:$E,"Inventory"))</f>
        <v/>
      </c>
      <c r="H521" s="44" t="str">
        <f t="shared" si="16"/>
        <v/>
      </c>
      <c r="I521" s="33"/>
      <c r="J521" s="34" t="str">
        <f t="shared" si="17"/>
        <v/>
      </c>
      <c r="K521" s="46"/>
    </row>
    <row r="522" spans="1:11" ht="23.1" customHeight="1">
      <c r="A522" s="170" t="str">
        <f>IF($B522="","",MAX($A$3:A521)+1)</f>
        <v/>
      </c>
      <c r="B522" s="176"/>
      <c r="C522" s="177"/>
      <c r="D522" s="279"/>
      <c r="E522" s="178"/>
      <c r="F522" s="172" t="str">
        <f>IF($B522="","",SUMIFS('Daily Inward'!$G:$G,'Daily Inward'!$C:$C,$B522,'Daily Inward'!$E:$E,"Inventory"))</f>
        <v/>
      </c>
      <c r="G522" s="44" t="str">
        <f>IF($B522="","",SUMIFS('Daily Issuance'!$G:$G,'Daily Issuance'!$C:$C,$B522,'Daily Issuance'!$E:$E,"Inventory"))</f>
        <v/>
      </c>
      <c r="H522" s="44" t="str">
        <f t="shared" si="16"/>
        <v/>
      </c>
      <c r="I522" s="33"/>
      <c r="J522" s="34" t="str">
        <f t="shared" si="17"/>
        <v/>
      </c>
      <c r="K522" s="46"/>
    </row>
    <row r="523" spans="1:11" ht="23.1" customHeight="1">
      <c r="A523" s="170" t="str">
        <f>IF($B523="","",MAX($A$3:A522)+1)</f>
        <v/>
      </c>
      <c r="B523" s="176"/>
      <c r="C523" s="177"/>
      <c r="D523" s="279"/>
      <c r="E523" s="178"/>
      <c r="F523" s="172" t="str">
        <f>IF($B523="","",SUMIFS('Daily Inward'!$G:$G,'Daily Inward'!$C:$C,$B523,'Daily Inward'!$E:$E,"Inventory"))</f>
        <v/>
      </c>
      <c r="G523" s="44" t="str">
        <f>IF($B523="","",SUMIFS('Daily Issuance'!$G:$G,'Daily Issuance'!$C:$C,$B523,'Daily Issuance'!$E:$E,"Inventory"))</f>
        <v/>
      </c>
      <c r="H523" s="44" t="str">
        <f t="shared" si="16"/>
        <v/>
      </c>
      <c r="I523" s="33"/>
      <c r="J523" s="34" t="str">
        <f t="shared" si="17"/>
        <v/>
      </c>
      <c r="K523" s="46"/>
    </row>
    <row r="524" spans="1:11" ht="23.1" customHeight="1">
      <c r="A524" s="170" t="str">
        <f>IF($B524="","",MAX($A$3:A523)+1)</f>
        <v/>
      </c>
      <c r="B524" s="176"/>
      <c r="C524" s="177"/>
      <c r="D524" s="279"/>
      <c r="E524" s="178"/>
      <c r="F524" s="172" t="str">
        <f>IF($B524="","",SUMIFS('Daily Inward'!$G:$G,'Daily Inward'!$C:$C,$B524,'Daily Inward'!$E:$E,"Inventory"))</f>
        <v/>
      </c>
      <c r="G524" s="44" t="str">
        <f>IF($B524="","",SUMIFS('Daily Issuance'!$G:$G,'Daily Issuance'!$C:$C,$B524,'Daily Issuance'!$E:$E,"Inventory"))</f>
        <v/>
      </c>
      <c r="H524" s="44" t="str">
        <f t="shared" si="16"/>
        <v/>
      </c>
      <c r="I524" s="33"/>
      <c r="J524" s="34" t="str">
        <f t="shared" si="17"/>
        <v/>
      </c>
      <c r="K524" s="46"/>
    </row>
    <row r="525" spans="1:11" ht="23.1" customHeight="1">
      <c r="A525" s="170" t="str">
        <f>IF($B525="","",MAX($A$3:A524)+1)</f>
        <v/>
      </c>
      <c r="B525" s="176"/>
      <c r="C525" s="177"/>
      <c r="D525" s="279"/>
      <c r="E525" s="178"/>
      <c r="F525" s="172" t="str">
        <f>IF($B525="","",SUMIFS('Daily Inward'!$G:$G,'Daily Inward'!$C:$C,$B525,'Daily Inward'!$E:$E,"Inventory"))</f>
        <v/>
      </c>
      <c r="G525" s="44" t="str">
        <f>IF($B525="","",SUMIFS('Daily Issuance'!$G:$G,'Daily Issuance'!$C:$C,$B525,'Daily Issuance'!$E:$E,"Inventory"))</f>
        <v/>
      </c>
      <c r="H525" s="44" t="str">
        <f t="shared" si="16"/>
        <v/>
      </c>
      <c r="I525" s="33"/>
      <c r="J525" s="34" t="str">
        <f t="shared" si="17"/>
        <v/>
      </c>
      <c r="K525" s="46"/>
    </row>
    <row r="526" spans="1:11" ht="23.1" customHeight="1">
      <c r="A526" s="170" t="str">
        <f>IF($B526="","",MAX($A$3:A525)+1)</f>
        <v/>
      </c>
      <c r="B526" s="176"/>
      <c r="C526" s="177"/>
      <c r="D526" s="279"/>
      <c r="E526" s="178"/>
      <c r="F526" s="172" t="str">
        <f>IF($B526="","",SUMIFS('Daily Inward'!$G:$G,'Daily Inward'!$C:$C,$B526,'Daily Inward'!$E:$E,"Inventory"))</f>
        <v/>
      </c>
      <c r="G526" s="44" t="str">
        <f>IF($B526="","",SUMIFS('Daily Issuance'!$G:$G,'Daily Issuance'!$C:$C,$B526,'Daily Issuance'!$E:$E,"Inventory"))</f>
        <v/>
      </c>
      <c r="H526" s="44" t="str">
        <f t="shared" si="16"/>
        <v/>
      </c>
      <c r="I526" s="33"/>
      <c r="J526" s="34" t="str">
        <f t="shared" si="17"/>
        <v/>
      </c>
      <c r="K526" s="46"/>
    </row>
    <row r="527" spans="1:11" ht="23.1" customHeight="1">
      <c r="A527" s="170" t="str">
        <f>IF($B527="","",MAX($A$3:A526)+1)</f>
        <v/>
      </c>
      <c r="B527" s="176"/>
      <c r="C527" s="177"/>
      <c r="D527" s="279"/>
      <c r="E527" s="178"/>
      <c r="F527" s="172" t="str">
        <f>IF($B527="","",SUMIFS('Daily Inward'!$G:$G,'Daily Inward'!$C:$C,$B527,'Daily Inward'!$E:$E,"Inventory"))</f>
        <v/>
      </c>
      <c r="G527" s="44" t="str">
        <f>IF($B527="","",SUMIFS('Daily Issuance'!$G:$G,'Daily Issuance'!$C:$C,$B527,'Daily Issuance'!$E:$E,"Inventory"))</f>
        <v/>
      </c>
      <c r="H527" s="44" t="str">
        <f t="shared" si="16"/>
        <v/>
      </c>
      <c r="I527" s="33"/>
      <c r="J527" s="34" t="str">
        <f t="shared" si="17"/>
        <v/>
      </c>
      <c r="K527" s="46"/>
    </row>
    <row r="528" spans="1:11" ht="23.1" customHeight="1">
      <c r="A528" s="170" t="str">
        <f>IF($B528="","",MAX($A$3:A527)+1)</f>
        <v/>
      </c>
      <c r="B528" s="176"/>
      <c r="C528" s="177"/>
      <c r="D528" s="279"/>
      <c r="E528" s="178"/>
      <c r="F528" s="172" t="str">
        <f>IF($B528="","",SUMIFS('Daily Inward'!$G:$G,'Daily Inward'!$C:$C,$B528,'Daily Inward'!$E:$E,"Inventory"))</f>
        <v/>
      </c>
      <c r="G528" s="44" t="str">
        <f>IF($B528="","",SUMIFS('Daily Issuance'!$G:$G,'Daily Issuance'!$C:$C,$B528,'Daily Issuance'!$E:$E,"Inventory"))</f>
        <v/>
      </c>
      <c r="H528" s="44" t="str">
        <f t="shared" si="16"/>
        <v/>
      </c>
      <c r="I528" s="33"/>
      <c r="J528" s="34" t="str">
        <f t="shared" si="17"/>
        <v/>
      </c>
      <c r="K528" s="46"/>
    </row>
    <row r="529" spans="1:11" ht="23.1" customHeight="1">
      <c r="A529" s="170" t="str">
        <f>IF($B529="","",MAX($A$3:A528)+1)</f>
        <v/>
      </c>
      <c r="B529" s="176"/>
      <c r="C529" s="177"/>
      <c r="D529" s="279"/>
      <c r="E529" s="178"/>
      <c r="F529" s="172" t="str">
        <f>IF($B529="","",SUMIFS('Daily Inward'!$G:$G,'Daily Inward'!$C:$C,$B529,'Daily Inward'!$E:$E,"Inventory"))</f>
        <v/>
      </c>
      <c r="G529" s="44" t="str">
        <f>IF($B529="","",SUMIFS('Daily Issuance'!$G:$G,'Daily Issuance'!$C:$C,$B529,'Daily Issuance'!$E:$E,"Inventory"))</f>
        <v/>
      </c>
      <c r="H529" s="44" t="str">
        <f t="shared" si="16"/>
        <v/>
      </c>
      <c r="I529" s="33"/>
      <c r="J529" s="34" t="str">
        <f t="shared" si="17"/>
        <v/>
      </c>
      <c r="K529" s="46"/>
    </row>
    <row r="530" spans="1:11" ht="23.1" customHeight="1">
      <c r="A530" s="170" t="str">
        <f>IF($B530="","",MAX($A$3:A529)+1)</f>
        <v/>
      </c>
      <c r="B530" s="176"/>
      <c r="C530" s="177"/>
      <c r="D530" s="279"/>
      <c r="E530" s="178"/>
      <c r="F530" s="172" t="str">
        <f>IF($B530="","",SUMIFS('Daily Inward'!$G:$G,'Daily Inward'!$C:$C,$B530,'Daily Inward'!$E:$E,"Inventory"))</f>
        <v/>
      </c>
      <c r="G530" s="44" t="str">
        <f>IF($B530="","",SUMIFS('Daily Issuance'!$G:$G,'Daily Issuance'!$C:$C,$B530,'Daily Issuance'!$E:$E,"Inventory"))</f>
        <v/>
      </c>
      <c r="H530" s="44" t="str">
        <f t="shared" si="16"/>
        <v/>
      </c>
      <c r="I530" s="33"/>
      <c r="J530" s="34" t="str">
        <f t="shared" si="17"/>
        <v/>
      </c>
      <c r="K530" s="46"/>
    </row>
    <row r="531" spans="1:11" ht="23.1" customHeight="1">
      <c r="A531" s="170" t="str">
        <f>IF($B531="","",MAX($A$3:A530)+1)</f>
        <v/>
      </c>
      <c r="B531" s="176"/>
      <c r="C531" s="177"/>
      <c r="D531" s="279"/>
      <c r="E531" s="178"/>
      <c r="F531" s="172" t="str">
        <f>IF($B531="","",SUMIFS('Daily Inward'!$G:$G,'Daily Inward'!$C:$C,$B531,'Daily Inward'!$E:$E,"Inventory"))</f>
        <v/>
      </c>
      <c r="G531" s="44" t="str">
        <f>IF($B531="","",SUMIFS('Daily Issuance'!$G:$G,'Daily Issuance'!$C:$C,$B531,'Daily Issuance'!$E:$E,"Inventory"))</f>
        <v/>
      </c>
      <c r="H531" s="44" t="str">
        <f t="shared" si="16"/>
        <v/>
      </c>
      <c r="I531" s="33"/>
      <c r="J531" s="34" t="str">
        <f t="shared" si="17"/>
        <v/>
      </c>
      <c r="K531" s="46"/>
    </row>
    <row r="532" spans="1:11" ht="23.1" customHeight="1">
      <c r="A532" s="170" t="str">
        <f>IF($B532="","",MAX($A$3:A531)+1)</f>
        <v/>
      </c>
      <c r="B532" s="176"/>
      <c r="C532" s="177"/>
      <c r="D532" s="279"/>
      <c r="E532" s="178"/>
      <c r="F532" s="172" t="str">
        <f>IF($B532="","",SUMIFS('Daily Inward'!$G:$G,'Daily Inward'!$C:$C,$B532,'Daily Inward'!$E:$E,"Inventory"))</f>
        <v/>
      </c>
      <c r="G532" s="44" t="str">
        <f>IF($B532="","",SUMIFS('Daily Issuance'!$G:$G,'Daily Issuance'!$C:$C,$B532,'Daily Issuance'!$E:$E,"Inventory"))</f>
        <v/>
      </c>
      <c r="H532" s="44" t="str">
        <f t="shared" si="16"/>
        <v/>
      </c>
      <c r="I532" s="33"/>
      <c r="J532" s="34" t="str">
        <f t="shared" si="17"/>
        <v/>
      </c>
      <c r="K532" s="46"/>
    </row>
    <row r="533" spans="1:11" ht="23.1" customHeight="1">
      <c r="A533" s="170" t="str">
        <f>IF($B533="","",MAX($A$3:A532)+1)</f>
        <v/>
      </c>
      <c r="B533" s="176"/>
      <c r="C533" s="177"/>
      <c r="D533" s="279"/>
      <c r="E533" s="178"/>
      <c r="F533" s="172" t="str">
        <f>IF($B533="","",SUMIFS('Daily Inward'!$G:$G,'Daily Inward'!$C:$C,$B533,'Daily Inward'!$E:$E,"Inventory"))</f>
        <v/>
      </c>
      <c r="G533" s="44" t="str">
        <f>IF($B533="","",SUMIFS('Daily Issuance'!$G:$G,'Daily Issuance'!$C:$C,$B533,'Daily Issuance'!$E:$E,"Inventory"))</f>
        <v/>
      </c>
      <c r="H533" s="44" t="str">
        <f t="shared" si="16"/>
        <v/>
      </c>
      <c r="I533" s="33"/>
      <c r="J533" s="34" t="str">
        <f t="shared" si="17"/>
        <v/>
      </c>
      <c r="K533" s="46"/>
    </row>
    <row r="534" spans="1:11" ht="23.1" customHeight="1">
      <c r="A534" s="170" t="str">
        <f>IF($B534="","",MAX($A$3:A533)+1)</f>
        <v/>
      </c>
      <c r="B534" s="176"/>
      <c r="C534" s="177"/>
      <c r="D534" s="279"/>
      <c r="E534" s="178"/>
      <c r="F534" s="172" t="str">
        <f>IF($B534="","",SUMIFS('Daily Inward'!$G:$G,'Daily Inward'!$C:$C,$B534,'Daily Inward'!$E:$E,"Inventory"))</f>
        <v/>
      </c>
      <c r="G534" s="44" t="str">
        <f>IF($B534="","",SUMIFS('Daily Issuance'!$G:$G,'Daily Issuance'!$C:$C,$B534,'Daily Issuance'!$E:$E,"Inventory"))</f>
        <v/>
      </c>
      <c r="H534" s="44" t="str">
        <f t="shared" si="16"/>
        <v/>
      </c>
      <c r="I534" s="33"/>
      <c r="J534" s="34" t="str">
        <f t="shared" si="17"/>
        <v/>
      </c>
      <c r="K534" s="46"/>
    </row>
    <row r="535" spans="1:11" ht="23.1" customHeight="1">
      <c r="A535" s="170" t="str">
        <f>IF($B535="","",MAX($A$3:A534)+1)</f>
        <v/>
      </c>
      <c r="B535" s="176"/>
      <c r="C535" s="177"/>
      <c r="D535" s="279"/>
      <c r="E535" s="178"/>
      <c r="F535" s="172" t="str">
        <f>IF($B535="","",SUMIFS('Daily Inward'!$G:$G,'Daily Inward'!$C:$C,$B535,'Daily Inward'!$E:$E,"Inventory"))</f>
        <v/>
      </c>
      <c r="G535" s="44" t="str">
        <f>IF($B535="","",SUMIFS('Daily Issuance'!$G:$G,'Daily Issuance'!$C:$C,$B535,'Daily Issuance'!$E:$E,"Inventory"))</f>
        <v/>
      </c>
      <c r="H535" s="44" t="str">
        <f t="shared" si="16"/>
        <v/>
      </c>
      <c r="I535" s="33"/>
      <c r="J535" s="34" t="str">
        <f t="shared" si="17"/>
        <v/>
      </c>
      <c r="K535" s="46"/>
    </row>
    <row r="536" spans="1:11" ht="23.1" customHeight="1">
      <c r="A536" s="170" t="str">
        <f>IF($B536="","",MAX($A$3:A535)+1)</f>
        <v/>
      </c>
      <c r="B536" s="176"/>
      <c r="C536" s="177"/>
      <c r="D536" s="279"/>
      <c r="E536" s="178"/>
      <c r="F536" s="172" t="str">
        <f>IF($B536="","",SUMIFS('Daily Inward'!$G:$G,'Daily Inward'!$C:$C,$B536,'Daily Inward'!$E:$E,"Inventory"))</f>
        <v/>
      </c>
      <c r="G536" s="44" t="str">
        <f>IF($B536="","",SUMIFS('Daily Issuance'!$G:$G,'Daily Issuance'!$C:$C,$B536,'Daily Issuance'!$E:$E,"Inventory"))</f>
        <v/>
      </c>
      <c r="H536" s="44" t="str">
        <f t="shared" si="16"/>
        <v/>
      </c>
      <c r="I536" s="33"/>
      <c r="J536" s="34" t="str">
        <f t="shared" si="17"/>
        <v/>
      </c>
      <c r="K536" s="46"/>
    </row>
    <row r="537" spans="1:11" ht="23.1" customHeight="1">
      <c r="A537" s="170" t="str">
        <f>IF($B537="","",MAX($A$3:A536)+1)</f>
        <v/>
      </c>
      <c r="B537" s="176"/>
      <c r="C537" s="177"/>
      <c r="D537" s="279"/>
      <c r="E537" s="178"/>
      <c r="F537" s="172" t="str">
        <f>IF($B537="","",SUMIFS('Daily Inward'!$G:$G,'Daily Inward'!$C:$C,$B537,'Daily Inward'!$E:$E,"Inventory"))</f>
        <v/>
      </c>
      <c r="G537" s="44" t="str">
        <f>IF($B537="","",SUMIFS('Daily Issuance'!$G:$G,'Daily Issuance'!$C:$C,$B537,'Daily Issuance'!$E:$E,"Inventory"))</f>
        <v/>
      </c>
      <c r="H537" s="44" t="str">
        <f t="shared" si="16"/>
        <v/>
      </c>
      <c r="I537" s="33"/>
      <c r="J537" s="34" t="str">
        <f t="shared" si="17"/>
        <v/>
      </c>
      <c r="K537" s="46"/>
    </row>
    <row r="538" spans="1:11" ht="23.1" customHeight="1">
      <c r="A538" s="170" t="str">
        <f>IF($B538="","",MAX($A$3:A537)+1)</f>
        <v/>
      </c>
      <c r="B538" s="176"/>
      <c r="C538" s="177"/>
      <c r="D538" s="279"/>
      <c r="E538" s="178"/>
      <c r="F538" s="172" t="str">
        <f>IF($B538="","",SUMIFS('Daily Inward'!$G:$G,'Daily Inward'!$C:$C,$B538,'Daily Inward'!$E:$E,"Inventory"))</f>
        <v/>
      </c>
      <c r="G538" s="44" t="str">
        <f>IF($B538="","",SUMIFS('Daily Issuance'!$G:$G,'Daily Issuance'!$C:$C,$B538,'Daily Issuance'!$E:$E,"Inventory"))</f>
        <v/>
      </c>
      <c r="H538" s="44" t="str">
        <f t="shared" si="16"/>
        <v/>
      </c>
      <c r="I538" s="33"/>
      <c r="J538" s="34" t="str">
        <f t="shared" si="17"/>
        <v/>
      </c>
      <c r="K538" s="46"/>
    </row>
    <row r="539" spans="1:11" ht="23.1" customHeight="1">
      <c r="A539" s="170" t="str">
        <f>IF($B539="","",MAX($A$3:A538)+1)</f>
        <v/>
      </c>
      <c r="B539" s="176"/>
      <c r="C539" s="177"/>
      <c r="D539" s="279"/>
      <c r="E539" s="178"/>
      <c r="F539" s="172" t="str">
        <f>IF($B539="","",SUMIFS('Daily Inward'!$G:$G,'Daily Inward'!$C:$C,$B539,'Daily Inward'!$E:$E,"Inventory"))</f>
        <v/>
      </c>
      <c r="G539" s="44" t="str">
        <f>IF($B539="","",SUMIFS('Daily Issuance'!$G:$G,'Daily Issuance'!$C:$C,$B539,'Daily Issuance'!$E:$E,"Inventory"))</f>
        <v/>
      </c>
      <c r="H539" s="44" t="str">
        <f t="shared" si="16"/>
        <v/>
      </c>
      <c r="I539" s="33"/>
      <c r="J539" s="34" t="str">
        <f t="shared" si="17"/>
        <v/>
      </c>
      <c r="K539" s="46"/>
    </row>
    <row r="540" spans="1:11" ht="23.1" customHeight="1">
      <c r="A540" s="170" t="str">
        <f>IF($B540="","",MAX($A$3:A539)+1)</f>
        <v/>
      </c>
      <c r="B540" s="176"/>
      <c r="C540" s="177"/>
      <c r="D540" s="279"/>
      <c r="E540" s="178"/>
      <c r="F540" s="172" t="str">
        <f>IF($B540="","",SUMIFS('Daily Inward'!$G:$G,'Daily Inward'!$C:$C,$B540,'Daily Inward'!$E:$E,"Inventory"))</f>
        <v/>
      </c>
      <c r="G540" s="44" t="str">
        <f>IF($B540="","",SUMIFS('Daily Issuance'!$G:$G,'Daily Issuance'!$C:$C,$B540,'Daily Issuance'!$E:$E,"Inventory"))</f>
        <v/>
      </c>
      <c r="H540" s="44" t="str">
        <f t="shared" si="16"/>
        <v/>
      </c>
      <c r="I540" s="33"/>
      <c r="J540" s="34" t="str">
        <f t="shared" si="17"/>
        <v/>
      </c>
      <c r="K540" s="46"/>
    </row>
    <row r="541" spans="1:11" ht="23.1" customHeight="1">
      <c r="A541" s="170" t="str">
        <f>IF($B541="","",MAX($A$3:A540)+1)</f>
        <v/>
      </c>
      <c r="B541" s="176"/>
      <c r="C541" s="177"/>
      <c r="D541" s="279"/>
      <c r="E541" s="178"/>
      <c r="F541" s="172" t="str">
        <f>IF($B541="","",SUMIFS('Daily Inward'!$G:$G,'Daily Inward'!$C:$C,$B541,'Daily Inward'!$E:$E,"Inventory"))</f>
        <v/>
      </c>
      <c r="G541" s="44" t="str">
        <f>IF($B541="","",SUMIFS('Daily Issuance'!$G:$G,'Daily Issuance'!$C:$C,$B541,'Daily Issuance'!$E:$E,"Inventory"))</f>
        <v/>
      </c>
      <c r="H541" s="44" t="str">
        <f t="shared" si="16"/>
        <v/>
      </c>
      <c r="I541" s="33"/>
      <c r="J541" s="34" t="str">
        <f t="shared" si="17"/>
        <v/>
      </c>
      <c r="K541" s="46"/>
    </row>
    <row r="542" spans="1:11" ht="23.1" customHeight="1">
      <c r="A542" s="170" t="str">
        <f>IF($B542="","",MAX($A$3:A541)+1)</f>
        <v/>
      </c>
      <c r="B542" s="176"/>
      <c r="C542" s="177"/>
      <c r="D542" s="279"/>
      <c r="E542" s="178"/>
      <c r="F542" s="172" t="str">
        <f>IF($B542="","",SUMIFS('Daily Inward'!$G:$G,'Daily Inward'!$C:$C,$B542,'Daily Inward'!$E:$E,"Inventory"))</f>
        <v/>
      </c>
      <c r="G542" s="44" t="str">
        <f>IF($B542="","",SUMIFS('Daily Issuance'!$G:$G,'Daily Issuance'!$C:$C,$B542,'Daily Issuance'!$E:$E,"Inventory"))</f>
        <v/>
      </c>
      <c r="H542" s="44" t="str">
        <f t="shared" si="16"/>
        <v/>
      </c>
      <c r="I542" s="33"/>
      <c r="J542" s="34" t="str">
        <f t="shared" si="17"/>
        <v/>
      </c>
      <c r="K542" s="46"/>
    </row>
    <row r="543" spans="1:11" ht="23.1" customHeight="1">
      <c r="A543" s="170" t="str">
        <f>IF($B543="","",MAX($A$3:A542)+1)</f>
        <v/>
      </c>
      <c r="B543" s="176"/>
      <c r="C543" s="177"/>
      <c r="D543" s="279"/>
      <c r="E543" s="178"/>
      <c r="F543" s="172" t="str">
        <f>IF($B543="","",SUMIFS('Daily Inward'!$G:$G,'Daily Inward'!$C:$C,$B543,'Daily Inward'!$E:$E,"Inventory"))</f>
        <v/>
      </c>
      <c r="G543" s="44" t="str">
        <f>IF($B543="","",SUMIFS('Daily Issuance'!$G:$G,'Daily Issuance'!$C:$C,$B543,'Daily Issuance'!$E:$E,"Inventory"))</f>
        <v/>
      </c>
      <c r="H543" s="44" t="str">
        <f t="shared" si="16"/>
        <v/>
      </c>
      <c r="I543" s="33"/>
      <c r="J543" s="34" t="str">
        <f t="shared" si="17"/>
        <v/>
      </c>
      <c r="K543" s="46"/>
    </row>
    <row r="544" spans="1:11" ht="23.1" customHeight="1">
      <c r="A544" s="170" t="str">
        <f>IF($B544="","",MAX($A$3:A543)+1)</f>
        <v/>
      </c>
      <c r="B544" s="176"/>
      <c r="C544" s="177"/>
      <c r="D544" s="279"/>
      <c r="E544" s="178"/>
      <c r="F544" s="172" t="str">
        <f>IF($B544="","",SUMIFS('Daily Inward'!$G:$G,'Daily Inward'!$C:$C,$B544,'Daily Inward'!$E:$E,"Inventory"))</f>
        <v/>
      </c>
      <c r="G544" s="44" t="str">
        <f>IF($B544="","",SUMIFS('Daily Issuance'!$G:$G,'Daily Issuance'!$C:$C,$B544,'Daily Issuance'!$E:$E,"Inventory"))</f>
        <v/>
      </c>
      <c r="H544" s="44" t="str">
        <f t="shared" si="16"/>
        <v/>
      </c>
      <c r="I544" s="33"/>
      <c r="J544" s="34" t="str">
        <f t="shared" si="17"/>
        <v/>
      </c>
      <c r="K544" s="46"/>
    </row>
    <row r="545" spans="1:11" ht="23.1" customHeight="1">
      <c r="A545" s="170" t="str">
        <f>IF($B545="","",MAX($A$3:A544)+1)</f>
        <v/>
      </c>
      <c r="B545" s="176"/>
      <c r="C545" s="177"/>
      <c r="D545" s="279"/>
      <c r="E545" s="178"/>
      <c r="F545" s="172" t="str">
        <f>IF($B545="","",SUMIFS('Daily Inward'!$G:$G,'Daily Inward'!$C:$C,$B545,'Daily Inward'!$E:$E,"Inventory"))</f>
        <v/>
      </c>
      <c r="G545" s="44" t="str">
        <f>IF($B545="","",SUMIFS('Daily Issuance'!$G:$G,'Daily Issuance'!$C:$C,$B545,'Daily Issuance'!$E:$E,"Inventory"))</f>
        <v/>
      </c>
      <c r="H545" s="44" t="str">
        <f t="shared" si="16"/>
        <v/>
      </c>
      <c r="I545" s="33"/>
      <c r="J545" s="34" t="str">
        <f t="shared" si="17"/>
        <v/>
      </c>
      <c r="K545" s="46"/>
    </row>
    <row r="546" spans="1:11" ht="23.1" customHeight="1">
      <c r="A546" s="170" t="str">
        <f>IF($B546="","",MAX($A$3:A545)+1)</f>
        <v/>
      </c>
      <c r="B546" s="176"/>
      <c r="C546" s="177"/>
      <c r="D546" s="279"/>
      <c r="E546" s="178"/>
      <c r="F546" s="172" t="str">
        <f>IF($B546="","",SUMIFS('Daily Inward'!$G:$G,'Daily Inward'!$C:$C,$B546,'Daily Inward'!$E:$E,"Inventory"))</f>
        <v/>
      </c>
      <c r="G546" s="44" t="str">
        <f>IF($B546="","",SUMIFS('Daily Issuance'!$G:$G,'Daily Issuance'!$C:$C,$B546,'Daily Issuance'!$E:$E,"Inventory"))</f>
        <v/>
      </c>
      <c r="H546" s="44" t="str">
        <f t="shared" si="16"/>
        <v/>
      </c>
      <c r="I546" s="33"/>
      <c r="J546" s="34" t="str">
        <f t="shared" si="17"/>
        <v/>
      </c>
      <c r="K546" s="46"/>
    </row>
    <row r="547" spans="1:11" ht="23.1" customHeight="1">
      <c r="A547" s="170" t="str">
        <f>IF($B547="","",MAX($A$3:A546)+1)</f>
        <v/>
      </c>
      <c r="B547" s="176"/>
      <c r="C547" s="177"/>
      <c r="D547" s="279"/>
      <c r="E547" s="178"/>
      <c r="F547" s="172" t="str">
        <f>IF($B547="","",SUMIFS('Daily Inward'!$G:$G,'Daily Inward'!$C:$C,$B547,'Daily Inward'!$E:$E,"Inventory"))</f>
        <v/>
      </c>
      <c r="G547" s="44" t="str">
        <f>IF($B547="","",SUMIFS('Daily Issuance'!$G:$G,'Daily Issuance'!$C:$C,$B547,'Daily Issuance'!$E:$E,"Inventory"))</f>
        <v/>
      </c>
      <c r="H547" s="44" t="str">
        <f t="shared" si="16"/>
        <v/>
      </c>
      <c r="I547" s="33"/>
      <c r="J547" s="34" t="str">
        <f t="shared" si="17"/>
        <v/>
      </c>
      <c r="K547" s="46"/>
    </row>
    <row r="548" spans="1:11" ht="23.1" customHeight="1">
      <c r="A548" s="170" t="str">
        <f>IF($B548="","",MAX($A$3:A547)+1)</f>
        <v/>
      </c>
      <c r="B548" s="176"/>
      <c r="C548" s="177"/>
      <c r="D548" s="279"/>
      <c r="E548" s="178"/>
      <c r="F548" s="172" t="str">
        <f>IF($B548="","",SUMIFS('Daily Inward'!$G:$G,'Daily Inward'!$C:$C,$B548,'Daily Inward'!$E:$E,"Inventory"))</f>
        <v/>
      </c>
      <c r="G548" s="44" t="str">
        <f>IF($B548="","",SUMIFS('Daily Issuance'!$G:$G,'Daily Issuance'!$C:$C,$B548,'Daily Issuance'!$E:$E,"Inventory"))</f>
        <v/>
      </c>
      <c r="H548" s="44" t="str">
        <f t="shared" si="16"/>
        <v/>
      </c>
      <c r="I548" s="33"/>
      <c r="J548" s="34" t="str">
        <f t="shared" si="17"/>
        <v/>
      </c>
      <c r="K548" s="46"/>
    </row>
    <row r="549" spans="1:11" ht="23.1" customHeight="1">
      <c r="A549" s="170" t="str">
        <f>IF($B549="","",MAX($A$3:A548)+1)</f>
        <v/>
      </c>
      <c r="B549" s="176"/>
      <c r="C549" s="177"/>
      <c r="D549" s="279"/>
      <c r="E549" s="178"/>
      <c r="F549" s="172" t="str">
        <f>IF($B549="","",SUMIFS('Daily Inward'!$G:$G,'Daily Inward'!$C:$C,$B549,'Daily Inward'!$E:$E,"Inventory"))</f>
        <v/>
      </c>
      <c r="G549" s="44" t="str">
        <f>IF($B549="","",SUMIFS('Daily Issuance'!$G:$G,'Daily Issuance'!$C:$C,$B549,'Daily Issuance'!$E:$E,"Inventory"))</f>
        <v/>
      </c>
      <c r="H549" s="44" t="str">
        <f t="shared" si="16"/>
        <v/>
      </c>
      <c r="I549" s="33"/>
      <c r="J549" s="34" t="str">
        <f t="shared" si="17"/>
        <v/>
      </c>
      <c r="K549" s="46"/>
    </row>
    <row r="550" spans="1:11" ht="23.1" customHeight="1">
      <c r="A550" s="170" t="str">
        <f>IF($B550="","",MAX($A$3:A549)+1)</f>
        <v/>
      </c>
      <c r="B550" s="176"/>
      <c r="C550" s="177"/>
      <c r="D550" s="279"/>
      <c r="E550" s="178"/>
      <c r="F550" s="172" t="str">
        <f>IF($B550="","",SUMIFS('Daily Inward'!$G:$G,'Daily Inward'!$C:$C,$B550,'Daily Inward'!$E:$E,"Inventory"))</f>
        <v/>
      </c>
      <c r="G550" s="44" t="str">
        <f>IF($B550="","",SUMIFS('Daily Issuance'!$G:$G,'Daily Issuance'!$C:$C,$B550,'Daily Issuance'!$E:$E,"Inventory"))</f>
        <v/>
      </c>
      <c r="H550" s="44" t="str">
        <f t="shared" si="16"/>
        <v/>
      </c>
      <c r="I550" s="33"/>
      <c r="J550" s="34" t="str">
        <f t="shared" si="17"/>
        <v/>
      </c>
      <c r="K550" s="46"/>
    </row>
    <row r="551" spans="1:11" ht="23.1" customHeight="1">
      <c r="A551" s="170" t="str">
        <f>IF($B551="","",MAX($A$3:A550)+1)</f>
        <v/>
      </c>
      <c r="B551" s="176"/>
      <c r="C551" s="177"/>
      <c r="D551" s="279"/>
      <c r="E551" s="178"/>
      <c r="F551" s="172" t="str">
        <f>IF($B551="","",SUMIFS('Daily Inward'!$G:$G,'Daily Inward'!$C:$C,$B551,'Daily Inward'!$E:$E,"Inventory"))</f>
        <v/>
      </c>
      <c r="G551" s="44" t="str">
        <f>IF($B551="","",SUMIFS('Daily Issuance'!$G:$G,'Daily Issuance'!$C:$C,$B551,'Daily Issuance'!$E:$E,"Inventory"))</f>
        <v/>
      </c>
      <c r="H551" s="44" t="str">
        <f t="shared" si="16"/>
        <v/>
      </c>
      <c r="I551" s="33"/>
      <c r="J551" s="34" t="str">
        <f t="shared" si="17"/>
        <v/>
      </c>
      <c r="K551" s="46"/>
    </row>
    <row r="552" spans="1:11" ht="23.1" customHeight="1">
      <c r="A552" s="170" t="str">
        <f>IF($B552="","",MAX($A$3:A551)+1)</f>
        <v/>
      </c>
      <c r="B552" s="176"/>
      <c r="C552" s="177"/>
      <c r="D552" s="279"/>
      <c r="E552" s="178"/>
      <c r="F552" s="172" t="str">
        <f>IF($B552="","",SUMIFS('Daily Inward'!$G:$G,'Daily Inward'!$C:$C,$B552,'Daily Inward'!$E:$E,"Inventory"))</f>
        <v/>
      </c>
      <c r="G552" s="44" t="str">
        <f>IF($B552="","",SUMIFS('Daily Issuance'!$G:$G,'Daily Issuance'!$C:$C,$B552,'Daily Issuance'!$E:$E,"Inventory"))</f>
        <v/>
      </c>
      <c r="H552" s="44" t="str">
        <f t="shared" si="16"/>
        <v/>
      </c>
      <c r="I552" s="33"/>
      <c r="J552" s="34" t="str">
        <f t="shared" si="17"/>
        <v/>
      </c>
      <c r="K552" s="46"/>
    </row>
    <row r="553" spans="1:11" ht="23.1" customHeight="1">
      <c r="A553" s="170" t="str">
        <f>IF($B553="","",MAX($A$3:A552)+1)</f>
        <v/>
      </c>
      <c r="B553" s="176"/>
      <c r="C553" s="177"/>
      <c r="D553" s="279"/>
      <c r="E553" s="178"/>
      <c r="F553" s="172" t="str">
        <f>IF($B553="","",SUMIFS('Daily Inward'!$G:$G,'Daily Inward'!$C:$C,$B553,'Daily Inward'!$E:$E,"Inventory"))</f>
        <v/>
      </c>
      <c r="G553" s="44" t="str">
        <f>IF($B553="","",SUMIFS('Daily Issuance'!$G:$G,'Daily Issuance'!$C:$C,$B553,'Daily Issuance'!$E:$E,"Inventory"))</f>
        <v/>
      </c>
      <c r="H553" s="44" t="str">
        <f t="shared" si="16"/>
        <v/>
      </c>
      <c r="I553" s="33"/>
      <c r="J553" s="34" t="str">
        <f t="shared" si="17"/>
        <v/>
      </c>
      <c r="K553" s="46"/>
    </row>
    <row r="554" spans="1:11" ht="23.1" customHeight="1">
      <c r="A554" s="170" t="str">
        <f>IF($B554="","",MAX($A$3:A553)+1)</f>
        <v/>
      </c>
      <c r="B554" s="176"/>
      <c r="C554" s="177"/>
      <c r="D554" s="279"/>
      <c r="E554" s="178"/>
      <c r="F554" s="172" t="str">
        <f>IF($B554="","",SUMIFS('Daily Inward'!$G:$G,'Daily Inward'!$C:$C,$B554,'Daily Inward'!$E:$E,"Inventory"))</f>
        <v/>
      </c>
      <c r="G554" s="44" t="str">
        <f>IF($B554="","",SUMIFS('Daily Issuance'!$G:$G,'Daily Issuance'!$C:$C,$B554,'Daily Issuance'!$E:$E,"Inventory"))</f>
        <v/>
      </c>
      <c r="H554" s="44" t="str">
        <f t="shared" si="16"/>
        <v/>
      </c>
      <c r="I554" s="33"/>
      <c r="J554" s="34" t="str">
        <f t="shared" si="17"/>
        <v/>
      </c>
      <c r="K554" s="46"/>
    </row>
    <row r="555" spans="1:11" ht="23.1" customHeight="1">
      <c r="A555" s="170" t="str">
        <f>IF($B555="","",MAX($A$3:A554)+1)</f>
        <v/>
      </c>
      <c r="B555" s="176"/>
      <c r="C555" s="177"/>
      <c r="D555" s="279"/>
      <c r="E555" s="178"/>
      <c r="F555" s="172" t="str">
        <f>IF($B555="","",SUMIFS('Daily Inward'!$G:$G,'Daily Inward'!$C:$C,$B555,'Daily Inward'!$E:$E,"Inventory"))</f>
        <v/>
      </c>
      <c r="G555" s="44" t="str">
        <f>IF($B555="","",SUMIFS('Daily Issuance'!$G:$G,'Daily Issuance'!$C:$C,$B555,'Daily Issuance'!$E:$E,"Inventory"))</f>
        <v/>
      </c>
      <c r="H555" s="44" t="str">
        <f t="shared" si="16"/>
        <v/>
      </c>
      <c r="I555" s="33"/>
      <c r="J555" s="34" t="str">
        <f t="shared" si="17"/>
        <v/>
      </c>
      <c r="K555" s="46"/>
    </row>
    <row r="556" spans="1:11" ht="23.1" customHeight="1">
      <c r="A556" s="170" t="str">
        <f>IF($B556="","",MAX($A$3:A555)+1)</f>
        <v/>
      </c>
      <c r="B556" s="176"/>
      <c r="C556" s="177"/>
      <c r="D556" s="279"/>
      <c r="E556" s="178"/>
      <c r="F556" s="172" t="str">
        <f>IF($B556="","",SUMIFS('Daily Inward'!$G:$G,'Daily Inward'!$C:$C,$B556,'Daily Inward'!$E:$E,"Inventory"))</f>
        <v/>
      </c>
      <c r="G556" s="44" t="str">
        <f>IF($B556="","",SUMIFS('Daily Issuance'!$G:$G,'Daily Issuance'!$C:$C,$B556,'Daily Issuance'!$E:$E,"Inventory"))</f>
        <v/>
      </c>
      <c r="H556" s="44" t="str">
        <f t="shared" si="16"/>
        <v/>
      </c>
      <c r="I556" s="33"/>
      <c r="J556" s="34" t="str">
        <f t="shared" si="17"/>
        <v/>
      </c>
      <c r="K556" s="46"/>
    </row>
    <row r="557" spans="1:11" ht="23.1" customHeight="1">
      <c r="A557" s="170" t="str">
        <f>IF($B557="","",MAX($A$3:A556)+1)</f>
        <v/>
      </c>
      <c r="B557" s="176"/>
      <c r="C557" s="177"/>
      <c r="D557" s="279"/>
      <c r="E557" s="178"/>
      <c r="F557" s="172" t="str">
        <f>IF($B557="","",SUMIFS('Daily Inward'!$G:$G,'Daily Inward'!$C:$C,$B557,'Daily Inward'!$E:$E,"Inventory"))</f>
        <v/>
      </c>
      <c r="G557" s="44" t="str">
        <f>IF($B557="","",SUMIFS('Daily Issuance'!$G:$G,'Daily Issuance'!$C:$C,$B557,'Daily Issuance'!$E:$E,"Inventory"))</f>
        <v/>
      </c>
      <c r="H557" s="44" t="str">
        <f t="shared" si="16"/>
        <v/>
      </c>
      <c r="I557" s="33"/>
      <c r="J557" s="34" t="str">
        <f t="shared" si="17"/>
        <v/>
      </c>
      <c r="K557" s="46"/>
    </row>
    <row r="558" spans="1:11" ht="23.1" customHeight="1">
      <c r="A558" s="170" t="str">
        <f>IF($B558="","",MAX($A$3:A557)+1)</f>
        <v/>
      </c>
      <c r="B558" s="176"/>
      <c r="C558" s="177"/>
      <c r="D558" s="279"/>
      <c r="E558" s="178"/>
      <c r="F558" s="172" t="str">
        <f>IF($B558="","",SUMIFS('Daily Inward'!$G:$G,'Daily Inward'!$C:$C,$B558,'Daily Inward'!$E:$E,"Inventory"))</f>
        <v/>
      </c>
      <c r="G558" s="44" t="str">
        <f>IF($B558="","",SUMIFS('Daily Issuance'!$G:$G,'Daily Issuance'!$C:$C,$B558,'Daily Issuance'!$E:$E,"Inventory"))</f>
        <v/>
      </c>
      <c r="H558" s="44" t="str">
        <f t="shared" si="16"/>
        <v/>
      </c>
      <c r="I558" s="33"/>
      <c r="J558" s="34" t="str">
        <f t="shared" si="17"/>
        <v/>
      </c>
      <c r="K558" s="46"/>
    </row>
    <row r="559" spans="1:11" ht="23.1" customHeight="1">
      <c r="A559" s="170" t="str">
        <f>IF($B559="","",MAX($A$3:A558)+1)</f>
        <v/>
      </c>
      <c r="B559" s="176"/>
      <c r="C559" s="177"/>
      <c r="D559" s="279"/>
      <c r="E559" s="178"/>
      <c r="F559" s="172" t="str">
        <f>IF($B559="","",SUMIFS('Daily Inward'!$G:$G,'Daily Inward'!$C:$C,$B559,'Daily Inward'!$E:$E,"Inventory"))</f>
        <v/>
      </c>
      <c r="G559" s="44" t="str">
        <f>IF($B559="","",SUMIFS('Daily Issuance'!$G:$G,'Daily Issuance'!$C:$C,$B559,'Daily Issuance'!$E:$E,"Inventory"))</f>
        <v/>
      </c>
      <c r="H559" s="44" t="str">
        <f t="shared" si="16"/>
        <v/>
      </c>
      <c r="I559" s="33"/>
      <c r="J559" s="34" t="str">
        <f t="shared" si="17"/>
        <v/>
      </c>
      <c r="K559" s="46"/>
    </row>
    <row r="560" spans="1:11" ht="23.1" customHeight="1">
      <c r="A560" s="170" t="str">
        <f>IF($B560="","",MAX($A$3:A559)+1)</f>
        <v/>
      </c>
      <c r="B560" s="176"/>
      <c r="C560" s="177"/>
      <c r="D560" s="279"/>
      <c r="E560" s="178"/>
      <c r="F560" s="172" t="str">
        <f>IF($B560="","",SUMIFS('Daily Inward'!$G:$G,'Daily Inward'!$C:$C,$B560,'Daily Inward'!$E:$E,"Inventory"))</f>
        <v/>
      </c>
      <c r="G560" s="44" t="str">
        <f>IF($B560="","",SUMIFS('Daily Issuance'!$G:$G,'Daily Issuance'!$C:$C,$B560,'Daily Issuance'!$E:$E,"Inventory"))</f>
        <v/>
      </c>
      <c r="H560" s="44" t="str">
        <f t="shared" si="16"/>
        <v/>
      </c>
      <c r="I560" s="33"/>
      <c r="J560" s="34" t="str">
        <f t="shared" si="17"/>
        <v/>
      </c>
      <c r="K560" s="46"/>
    </row>
    <row r="561" spans="1:11" ht="23.1" customHeight="1">
      <c r="A561" s="170" t="str">
        <f>IF($B561="","",MAX($A$3:A560)+1)</f>
        <v/>
      </c>
      <c r="B561" s="176"/>
      <c r="C561" s="177"/>
      <c r="D561" s="279"/>
      <c r="E561" s="178"/>
      <c r="F561" s="172" t="str">
        <f>IF($B561="","",SUMIFS('Daily Inward'!$G:$G,'Daily Inward'!$C:$C,$B561,'Daily Inward'!$E:$E,"Inventory"))</f>
        <v/>
      </c>
      <c r="G561" s="44" t="str">
        <f>IF($B561="","",SUMIFS('Daily Issuance'!$G:$G,'Daily Issuance'!$C:$C,$B561,'Daily Issuance'!$E:$E,"Inventory"))</f>
        <v/>
      </c>
      <c r="H561" s="44" t="str">
        <f t="shared" si="16"/>
        <v/>
      </c>
      <c r="I561" s="33"/>
      <c r="J561" s="34" t="str">
        <f t="shared" si="17"/>
        <v/>
      </c>
      <c r="K561" s="46"/>
    </row>
    <row r="562" spans="1:11" ht="23.1" customHeight="1">
      <c r="A562" s="170" t="str">
        <f>IF($B562="","",MAX($A$3:A561)+1)</f>
        <v/>
      </c>
      <c r="B562" s="176"/>
      <c r="C562" s="177"/>
      <c r="D562" s="279"/>
      <c r="E562" s="178"/>
      <c r="F562" s="172" t="str">
        <f>IF($B562="","",SUMIFS('Daily Inward'!$G:$G,'Daily Inward'!$C:$C,$B562,'Daily Inward'!$E:$E,"Inventory"))</f>
        <v/>
      </c>
      <c r="G562" s="44" t="str">
        <f>IF($B562="","",SUMIFS('Daily Issuance'!$G:$G,'Daily Issuance'!$C:$C,$B562,'Daily Issuance'!$E:$E,"Inventory"))</f>
        <v/>
      </c>
      <c r="H562" s="44" t="str">
        <f t="shared" si="16"/>
        <v/>
      </c>
      <c r="I562" s="33"/>
      <c r="J562" s="34" t="str">
        <f t="shared" si="17"/>
        <v/>
      </c>
      <c r="K562" s="46"/>
    </row>
    <row r="563" spans="1:11" ht="23.1" customHeight="1">
      <c r="A563" s="170" t="str">
        <f>IF($B563="","",MAX($A$3:A562)+1)</f>
        <v/>
      </c>
      <c r="B563" s="176"/>
      <c r="C563" s="177"/>
      <c r="D563" s="279"/>
      <c r="E563" s="178"/>
      <c r="F563" s="172" t="str">
        <f>IF($B563="","",SUMIFS('Daily Inward'!$G:$G,'Daily Inward'!$C:$C,$B563,'Daily Inward'!$E:$E,"Inventory"))</f>
        <v/>
      </c>
      <c r="G563" s="44" t="str">
        <f>IF($B563="","",SUMIFS('Daily Issuance'!$G:$G,'Daily Issuance'!$C:$C,$B563,'Daily Issuance'!$E:$E,"Inventory"))</f>
        <v/>
      </c>
      <c r="H563" s="44" t="str">
        <f t="shared" si="16"/>
        <v/>
      </c>
      <c r="I563" s="33"/>
      <c r="J563" s="34" t="str">
        <f t="shared" si="17"/>
        <v/>
      </c>
      <c r="K563" s="46"/>
    </row>
    <row r="564" spans="1:11" ht="23.1" customHeight="1">
      <c r="A564" s="170" t="str">
        <f>IF($B564="","",MAX($A$3:A563)+1)</f>
        <v/>
      </c>
      <c r="B564" s="176"/>
      <c r="C564" s="177"/>
      <c r="D564" s="279"/>
      <c r="E564" s="178"/>
      <c r="F564" s="172" t="str">
        <f>IF($B564="","",SUMIFS('Daily Inward'!$G:$G,'Daily Inward'!$C:$C,$B564,'Daily Inward'!$E:$E,"Inventory"))</f>
        <v/>
      </c>
      <c r="G564" s="44" t="str">
        <f>IF($B564="","",SUMIFS('Daily Issuance'!$G:$G,'Daily Issuance'!$C:$C,$B564,'Daily Issuance'!$E:$E,"Inventory"))</f>
        <v/>
      </c>
      <c r="H564" s="44" t="str">
        <f t="shared" si="16"/>
        <v/>
      </c>
      <c r="I564" s="33"/>
      <c r="J564" s="34" t="str">
        <f t="shared" si="17"/>
        <v/>
      </c>
      <c r="K564" s="46"/>
    </row>
    <row r="565" spans="1:11" ht="23.1" customHeight="1">
      <c r="A565" s="170" t="str">
        <f>IF($B565="","",MAX($A$3:A564)+1)</f>
        <v/>
      </c>
      <c r="B565" s="176"/>
      <c r="C565" s="177"/>
      <c r="D565" s="279"/>
      <c r="E565" s="178"/>
      <c r="F565" s="172" t="str">
        <f>IF($B565="","",SUMIFS('Daily Inward'!$G:$G,'Daily Inward'!$C:$C,$B565,'Daily Inward'!$E:$E,"Inventory"))</f>
        <v/>
      </c>
      <c r="G565" s="44" t="str">
        <f>IF($B565="","",SUMIFS('Daily Issuance'!$G:$G,'Daily Issuance'!$C:$C,$B565,'Daily Issuance'!$E:$E,"Inventory"))</f>
        <v/>
      </c>
      <c r="H565" s="44" t="str">
        <f t="shared" si="16"/>
        <v/>
      </c>
      <c r="I565" s="33"/>
      <c r="J565" s="34" t="str">
        <f t="shared" si="17"/>
        <v/>
      </c>
      <c r="K565" s="46"/>
    </row>
    <row r="566" spans="1:11" ht="23.1" customHeight="1">
      <c r="A566" s="170" t="str">
        <f>IF($B566="","",MAX($A$3:A565)+1)</f>
        <v/>
      </c>
      <c r="B566" s="176"/>
      <c r="C566" s="177"/>
      <c r="D566" s="279"/>
      <c r="E566" s="178"/>
      <c r="F566" s="172" t="str">
        <f>IF($B566="","",SUMIFS('Daily Inward'!$G:$G,'Daily Inward'!$C:$C,$B566,'Daily Inward'!$E:$E,"Inventory"))</f>
        <v/>
      </c>
      <c r="G566" s="44" t="str">
        <f>IF($B566="","",SUMIFS('Daily Issuance'!$G:$G,'Daily Issuance'!$C:$C,$B566,'Daily Issuance'!$E:$E,"Inventory"))</f>
        <v/>
      </c>
      <c r="H566" s="44" t="str">
        <f t="shared" si="16"/>
        <v/>
      </c>
      <c r="I566" s="33"/>
      <c r="J566" s="34" t="str">
        <f t="shared" si="17"/>
        <v/>
      </c>
      <c r="K566" s="46"/>
    </row>
    <row r="567" spans="1:11" ht="23.1" customHeight="1">
      <c r="A567" s="170" t="str">
        <f>IF($B567="","",MAX($A$3:A566)+1)</f>
        <v/>
      </c>
      <c r="B567" s="176"/>
      <c r="C567" s="177"/>
      <c r="D567" s="279"/>
      <c r="E567" s="178"/>
      <c r="F567" s="172" t="str">
        <f>IF($B567="","",SUMIFS('Daily Inward'!$G:$G,'Daily Inward'!$C:$C,$B567,'Daily Inward'!$E:$E,"Inventory"))</f>
        <v/>
      </c>
      <c r="G567" s="44" t="str">
        <f>IF($B567="","",SUMIFS('Daily Issuance'!$G:$G,'Daily Issuance'!$C:$C,$B567,'Daily Issuance'!$E:$E,"Inventory"))</f>
        <v/>
      </c>
      <c r="H567" s="44" t="str">
        <f t="shared" si="16"/>
        <v/>
      </c>
      <c r="I567" s="33"/>
      <c r="J567" s="34" t="str">
        <f t="shared" si="17"/>
        <v/>
      </c>
      <c r="K567" s="46"/>
    </row>
    <row r="568" spans="1:11" ht="23.1" customHeight="1">
      <c r="A568" s="170" t="str">
        <f>IF($B568="","",MAX($A$3:A567)+1)</f>
        <v/>
      </c>
      <c r="B568" s="176"/>
      <c r="C568" s="177"/>
      <c r="D568" s="279"/>
      <c r="E568" s="178"/>
      <c r="F568" s="172" t="str">
        <f>IF($B568="","",SUMIFS('Daily Inward'!$G:$G,'Daily Inward'!$C:$C,$B568,'Daily Inward'!$E:$E,"Inventory"))</f>
        <v/>
      </c>
      <c r="G568" s="44" t="str">
        <f>IF($B568="","",SUMIFS('Daily Issuance'!$G:$G,'Daily Issuance'!$C:$C,$B568,'Daily Issuance'!$E:$E,"Inventory"))</f>
        <v/>
      </c>
      <c r="H568" s="44" t="str">
        <f t="shared" si="16"/>
        <v/>
      </c>
      <c r="I568" s="33"/>
      <c r="J568" s="34" t="str">
        <f t="shared" si="17"/>
        <v/>
      </c>
      <c r="K568" s="46"/>
    </row>
    <row r="569" spans="1:11" ht="23.1" customHeight="1">
      <c r="A569" s="170" t="str">
        <f>IF($B569="","",MAX($A$3:A568)+1)</f>
        <v/>
      </c>
      <c r="B569" s="176"/>
      <c r="C569" s="177"/>
      <c r="D569" s="279"/>
      <c r="E569" s="178"/>
      <c r="F569" s="172" t="str">
        <f>IF($B569="","",SUMIFS('Daily Inward'!$G:$G,'Daily Inward'!$C:$C,$B569,'Daily Inward'!$E:$E,"Inventory"))</f>
        <v/>
      </c>
      <c r="G569" s="44" t="str">
        <f>IF($B569="","",SUMIFS('Daily Issuance'!$G:$G,'Daily Issuance'!$C:$C,$B569,'Daily Issuance'!$E:$E,"Inventory"))</f>
        <v/>
      </c>
      <c r="H569" s="44" t="str">
        <f t="shared" si="16"/>
        <v/>
      </c>
      <c r="I569" s="33"/>
      <c r="J569" s="34" t="str">
        <f t="shared" si="17"/>
        <v/>
      </c>
      <c r="K569" s="46"/>
    </row>
    <row r="570" spans="1:11" ht="23.1" customHeight="1">
      <c r="A570" s="170" t="str">
        <f>IF($B570="","",MAX($A$3:A569)+1)</f>
        <v/>
      </c>
      <c r="B570" s="176"/>
      <c r="C570" s="177"/>
      <c r="D570" s="279"/>
      <c r="E570" s="178"/>
      <c r="F570" s="172" t="str">
        <f>IF($B570="","",SUMIFS('Daily Inward'!$G:$G,'Daily Inward'!$C:$C,$B570,'Daily Inward'!$E:$E,"Inventory"))</f>
        <v/>
      </c>
      <c r="G570" s="44" t="str">
        <f>IF($B570="","",SUMIFS('Daily Issuance'!$G:$G,'Daily Issuance'!$C:$C,$B570,'Daily Issuance'!$E:$E,"Inventory"))</f>
        <v/>
      </c>
      <c r="H570" s="44" t="str">
        <f t="shared" si="16"/>
        <v/>
      </c>
      <c r="I570" s="33"/>
      <c r="J570" s="34" t="str">
        <f t="shared" si="17"/>
        <v/>
      </c>
      <c r="K570" s="46"/>
    </row>
    <row r="571" spans="1:11" ht="23.1" customHeight="1">
      <c r="A571" s="170" t="str">
        <f>IF($B571="","",MAX($A$3:A570)+1)</f>
        <v/>
      </c>
      <c r="B571" s="176"/>
      <c r="C571" s="177"/>
      <c r="D571" s="279"/>
      <c r="E571" s="178"/>
      <c r="F571" s="172" t="str">
        <f>IF($B571="","",SUMIFS('Daily Inward'!$G:$G,'Daily Inward'!$C:$C,$B571,'Daily Inward'!$E:$E,"Inventory"))</f>
        <v/>
      </c>
      <c r="G571" s="44" t="str">
        <f>IF($B571="","",SUMIFS('Daily Issuance'!$G:$G,'Daily Issuance'!$C:$C,$B571,'Daily Issuance'!$E:$E,"Inventory"))</f>
        <v/>
      </c>
      <c r="H571" s="44" t="str">
        <f t="shared" si="16"/>
        <v/>
      </c>
      <c r="I571" s="33"/>
      <c r="J571" s="34" t="str">
        <f t="shared" si="17"/>
        <v/>
      </c>
      <c r="K571" s="46"/>
    </row>
    <row r="572" spans="1:11" ht="23.1" customHeight="1">
      <c r="A572" s="170" t="str">
        <f>IF($B572="","",MAX($A$3:A571)+1)</f>
        <v/>
      </c>
      <c r="B572" s="176"/>
      <c r="C572" s="177"/>
      <c r="D572" s="279"/>
      <c r="E572" s="178"/>
      <c r="F572" s="172" t="str">
        <f>IF($B572="","",SUMIFS('Daily Inward'!$G:$G,'Daily Inward'!$C:$C,$B572,'Daily Inward'!$E:$E,"Inventory"))</f>
        <v/>
      </c>
      <c r="G572" s="44" t="str">
        <f>IF($B572="","",SUMIFS('Daily Issuance'!$G:$G,'Daily Issuance'!$C:$C,$B572,'Daily Issuance'!$E:$E,"Inventory"))</f>
        <v/>
      </c>
      <c r="H572" s="44" t="str">
        <f t="shared" si="16"/>
        <v/>
      </c>
      <c r="I572" s="33"/>
      <c r="J572" s="34" t="str">
        <f t="shared" si="17"/>
        <v/>
      </c>
      <c r="K572" s="46"/>
    </row>
    <row r="573" spans="1:11" ht="23.1" customHeight="1">
      <c r="A573" s="170" t="str">
        <f>IF($B573="","",MAX($A$3:A572)+1)</f>
        <v/>
      </c>
      <c r="B573" s="176"/>
      <c r="C573" s="177"/>
      <c r="D573" s="279"/>
      <c r="E573" s="178"/>
      <c r="F573" s="172" t="str">
        <f>IF($B573="","",SUMIFS('Daily Inward'!$G:$G,'Daily Inward'!$C:$C,$B573,'Daily Inward'!$E:$E,"Inventory"))</f>
        <v/>
      </c>
      <c r="G573" s="44" t="str">
        <f>IF($B573="","",SUMIFS('Daily Issuance'!$G:$G,'Daily Issuance'!$C:$C,$B573,'Daily Issuance'!$E:$E,"Inventory"))</f>
        <v/>
      </c>
      <c r="H573" s="44" t="str">
        <f t="shared" si="16"/>
        <v/>
      </c>
      <c r="I573" s="33"/>
      <c r="J573" s="34" t="str">
        <f t="shared" si="17"/>
        <v/>
      </c>
      <c r="K573" s="46"/>
    </row>
    <row r="574" spans="1:11" ht="23.1" customHeight="1">
      <c r="A574" s="170" t="str">
        <f>IF($B574="","",MAX($A$3:A573)+1)</f>
        <v/>
      </c>
      <c r="B574" s="176"/>
      <c r="C574" s="177"/>
      <c r="D574" s="279"/>
      <c r="E574" s="178"/>
      <c r="F574" s="172" t="str">
        <f>IF($B574="","",SUMIFS('Daily Inward'!$G:$G,'Daily Inward'!$C:$C,$B574,'Daily Inward'!$E:$E,"Inventory"))</f>
        <v/>
      </c>
      <c r="G574" s="44" t="str">
        <f>IF($B574="","",SUMIFS('Daily Issuance'!$G:$G,'Daily Issuance'!$C:$C,$B574,'Daily Issuance'!$E:$E,"Inventory"))</f>
        <v/>
      </c>
      <c r="H574" s="44" t="str">
        <f t="shared" si="16"/>
        <v/>
      </c>
      <c r="I574" s="33"/>
      <c r="J574" s="34" t="str">
        <f t="shared" si="17"/>
        <v/>
      </c>
      <c r="K574" s="46"/>
    </row>
    <row r="575" spans="1:11" ht="23.1" customHeight="1">
      <c r="A575" s="170" t="str">
        <f>IF($B575="","",MAX($A$3:A574)+1)</f>
        <v/>
      </c>
      <c r="B575" s="176"/>
      <c r="C575" s="177"/>
      <c r="D575" s="279"/>
      <c r="E575" s="178"/>
      <c r="F575" s="172" t="str">
        <f>IF($B575="","",SUMIFS('Daily Inward'!$G:$G,'Daily Inward'!$C:$C,$B575,'Daily Inward'!$E:$E,"Inventory"))</f>
        <v/>
      </c>
      <c r="G575" s="44" t="str">
        <f>IF($B575="","",SUMIFS('Daily Issuance'!$G:$G,'Daily Issuance'!$C:$C,$B575,'Daily Issuance'!$E:$E,"Inventory"))</f>
        <v/>
      </c>
      <c r="H575" s="44" t="str">
        <f t="shared" si="16"/>
        <v/>
      </c>
      <c r="I575" s="33"/>
      <c r="J575" s="34" t="str">
        <f t="shared" si="17"/>
        <v/>
      </c>
      <c r="K575" s="46"/>
    </row>
    <row r="576" spans="1:11" ht="23.1" customHeight="1">
      <c r="A576" s="170" t="str">
        <f>IF($B576="","",MAX($A$3:A575)+1)</f>
        <v/>
      </c>
      <c r="B576" s="176"/>
      <c r="C576" s="177"/>
      <c r="D576" s="279"/>
      <c r="E576" s="178"/>
      <c r="F576" s="172" t="str">
        <f>IF($B576="","",SUMIFS('Daily Inward'!$G:$G,'Daily Inward'!$C:$C,$B576,'Daily Inward'!$E:$E,"Inventory"))</f>
        <v/>
      </c>
      <c r="G576" s="44" t="str">
        <f>IF($B576="","",SUMIFS('Daily Issuance'!$G:$G,'Daily Issuance'!$C:$C,$B576,'Daily Issuance'!$E:$E,"Inventory"))</f>
        <v/>
      </c>
      <c r="H576" s="44" t="str">
        <f t="shared" si="16"/>
        <v/>
      </c>
      <c r="I576" s="33"/>
      <c r="J576" s="34" t="str">
        <f t="shared" si="17"/>
        <v/>
      </c>
      <c r="K576" s="46"/>
    </row>
    <row r="577" spans="1:11" ht="23.1" customHeight="1">
      <c r="A577" s="170" t="str">
        <f>IF($B577="","",MAX($A$3:A576)+1)</f>
        <v/>
      </c>
      <c r="B577" s="176"/>
      <c r="C577" s="177"/>
      <c r="D577" s="279"/>
      <c r="E577" s="178"/>
      <c r="F577" s="172" t="str">
        <f>IF($B577="","",SUMIFS('Daily Inward'!$G:$G,'Daily Inward'!$C:$C,$B577,'Daily Inward'!$E:$E,"Inventory"))</f>
        <v/>
      </c>
      <c r="G577" s="44" t="str">
        <f>IF($B577="","",SUMIFS('Daily Issuance'!$G:$G,'Daily Issuance'!$C:$C,$B577,'Daily Issuance'!$E:$E,"Inventory"))</f>
        <v/>
      </c>
      <c r="H577" s="44" t="str">
        <f t="shared" si="16"/>
        <v/>
      </c>
      <c r="I577" s="33"/>
      <c r="J577" s="34" t="str">
        <f t="shared" si="17"/>
        <v/>
      </c>
      <c r="K577" s="46"/>
    </row>
    <row r="578" spans="1:11" ht="23.1" customHeight="1">
      <c r="A578" s="170" t="str">
        <f>IF($B578="","",MAX($A$3:A577)+1)</f>
        <v/>
      </c>
      <c r="B578" s="176"/>
      <c r="C578" s="177"/>
      <c r="D578" s="279"/>
      <c r="E578" s="178"/>
      <c r="F578" s="172" t="str">
        <f>IF($B578="","",SUMIFS('Daily Inward'!$G:$G,'Daily Inward'!$C:$C,$B578,'Daily Inward'!$E:$E,"Inventory"))</f>
        <v/>
      </c>
      <c r="G578" s="44" t="str">
        <f>IF($B578="","",SUMIFS('Daily Issuance'!$G:$G,'Daily Issuance'!$C:$C,$B578,'Daily Issuance'!$E:$E,"Inventory"))</f>
        <v/>
      </c>
      <c r="H578" s="44" t="str">
        <f t="shared" si="16"/>
        <v/>
      </c>
      <c r="I578" s="33"/>
      <c r="J578" s="34" t="str">
        <f t="shared" si="17"/>
        <v/>
      </c>
      <c r="K578" s="46"/>
    </row>
    <row r="579" spans="1:11" ht="23.1" customHeight="1">
      <c r="A579" s="170" t="str">
        <f>IF($B579="","",MAX($A$3:A578)+1)</f>
        <v/>
      </c>
      <c r="B579" s="176"/>
      <c r="C579" s="177"/>
      <c r="D579" s="279"/>
      <c r="E579" s="178"/>
      <c r="F579" s="172" t="str">
        <f>IF($B579="","",SUMIFS('Daily Inward'!$G:$G,'Daily Inward'!$C:$C,$B579,'Daily Inward'!$E:$E,"Inventory"))</f>
        <v/>
      </c>
      <c r="G579" s="44" t="str">
        <f>IF($B579="","",SUMIFS('Daily Issuance'!$G:$G,'Daily Issuance'!$C:$C,$B579,'Daily Issuance'!$E:$E,"Inventory"))</f>
        <v/>
      </c>
      <c r="H579" s="44" t="str">
        <f t="shared" ref="H579:H642" si="18">IF($B579="","",N(E579)+N(F579)-N(G579))</f>
        <v/>
      </c>
      <c r="I579" s="33"/>
      <c r="J579" s="34" t="str">
        <f t="shared" ref="J579:J642" si="19">IF($B579="","",H579*I579)</f>
        <v/>
      </c>
      <c r="K579" s="46"/>
    </row>
    <row r="580" spans="1:11" ht="23.1" customHeight="1">
      <c r="A580" s="170" t="str">
        <f>IF($B580="","",MAX($A$3:A579)+1)</f>
        <v/>
      </c>
      <c r="B580" s="176"/>
      <c r="C580" s="177"/>
      <c r="D580" s="279"/>
      <c r="E580" s="178"/>
      <c r="F580" s="172" t="str">
        <f>IF($B580="","",SUMIFS('Daily Inward'!$G:$G,'Daily Inward'!$C:$C,$B580,'Daily Inward'!$E:$E,"Inventory"))</f>
        <v/>
      </c>
      <c r="G580" s="44" t="str">
        <f>IF($B580="","",SUMIFS('Daily Issuance'!$G:$G,'Daily Issuance'!$C:$C,$B580,'Daily Issuance'!$E:$E,"Inventory"))</f>
        <v/>
      </c>
      <c r="H580" s="44" t="str">
        <f t="shared" si="18"/>
        <v/>
      </c>
      <c r="I580" s="33"/>
      <c r="J580" s="34" t="str">
        <f t="shared" si="19"/>
        <v/>
      </c>
      <c r="K580" s="46"/>
    </row>
    <row r="581" spans="1:11" ht="23.1" customHeight="1">
      <c r="A581" s="170" t="str">
        <f>IF($B581="","",MAX($A$3:A580)+1)</f>
        <v/>
      </c>
      <c r="B581" s="176"/>
      <c r="C581" s="177"/>
      <c r="D581" s="279"/>
      <c r="E581" s="178"/>
      <c r="F581" s="172" t="str">
        <f>IF($B581="","",SUMIFS('Daily Inward'!$G:$G,'Daily Inward'!$C:$C,$B581,'Daily Inward'!$E:$E,"Inventory"))</f>
        <v/>
      </c>
      <c r="G581" s="44" t="str">
        <f>IF($B581="","",SUMIFS('Daily Issuance'!$G:$G,'Daily Issuance'!$C:$C,$B581,'Daily Issuance'!$E:$E,"Inventory"))</f>
        <v/>
      </c>
      <c r="H581" s="44" t="str">
        <f t="shared" si="18"/>
        <v/>
      </c>
      <c r="I581" s="33"/>
      <c r="J581" s="34" t="str">
        <f t="shared" si="19"/>
        <v/>
      </c>
      <c r="K581" s="46"/>
    </row>
    <row r="582" spans="1:11" ht="23.1" customHeight="1">
      <c r="A582" s="170" t="str">
        <f>IF($B582="","",MAX($A$3:A581)+1)</f>
        <v/>
      </c>
      <c r="B582" s="176"/>
      <c r="C582" s="177"/>
      <c r="D582" s="279"/>
      <c r="E582" s="178"/>
      <c r="F582" s="172" t="str">
        <f>IF($B582="","",SUMIFS('Daily Inward'!$G:$G,'Daily Inward'!$C:$C,$B582,'Daily Inward'!$E:$E,"Inventory"))</f>
        <v/>
      </c>
      <c r="G582" s="44" t="str">
        <f>IF($B582="","",SUMIFS('Daily Issuance'!$G:$G,'Daily Issuance'!$C:$C,$B582,'Daily Issuance'!$E:$E,"Inventory"))</f>
        <v/>
      </c>
      <c r="H582" s="44" t="str">
        <f t="shared" si="18"/>
        <v/>
      </c>
      <c r="I582" s="33"/>
      <c r="J582" s="34" t="str">
        <f t="shared" si="19"/>
        <v/>
      </c>
      <c r="K582" s="46"/>
    </row>
    <row r="583" spans="1:11" ht="23.1" customHeight="1">
      <c r="A583" s="170" t="str">
        <f>IF($B583="","",MAX($A$3:A582)+1)</f>
        <v/>
      </c>
      <c r="B583" s="176"/>
      <c r="C583" s="177"/>
      <c r="D583" s="279"/>
      <c r="E583" s="178"/>
      <c r="F583" s="172" t="str">
        <f>IF($B583="","",SUMIFS('Daily Inward'!$G:$G,'Daily Inward'!$C:$C,$B583,'Daily Inward'!$E:$E,"Inventory"))</f>
        <v/>
      </c>
      <c r="G583" s="44" t="str">
        <f>IF($B583="","",SUMIFS('Daily Issuance'!$G:$G,'Daily Issuance'!$C:$C,$B583,'Daily Issuance'!$E:$E,"Inventory"))</f>
        <v/>
      </c>
      <c r="H583" s="44" t="str">
        <f t="shared" si="18"/>
        <v/>
      </c>
      <c r="I583" s="33"/>
      <c r="J583" s="34" t="str">
        <f t="shared" si="19"/>
        <v/>
      </c>
      <c r="K583" s="46"/>
    </row>
    <row r="584" spans="1:11" ht="23.1" customHeight="1">
      <c r="A584" s="170" t="str">
        <f>IF($B584="","",MAX($A$3:A583)+1)</f>
        <v/>
      </c>
      <c r="B584" s="176"/>
      <c r="C584" s="177"/>
      <c r="D584" s="279"/>
      <c r="E584" s="178"/>
      <c r="F584" s="172" t="str">
        <f>IF($B584="","",SUMIFS('Daily Inward'!$G:$G,'Daily Inward'!$C:$C,$B584,'Daily Inward'!$E:$E,"Inventory"))</f>
        <v/>
      </c>
      <c r="G584" s="44" t="str">
        <f>IF($B584="","",SUMIFS('Daily Issuance'!$G:$G,'Daily Issuance'!$C:$C,$B584,'Daily Issuance'!$E:$E,"Inventory"))</f>
        <v/>
      </c>
      <c r="H584" s="44" t="str">
        <f t="shared" si="18"/>
        <v/>
      </c>
      <c r="I584" s="33"/>
      <c r="J584" s="34" t="str">
        <f t="shared" si="19"/>
        <v/>
      </c>
      <c r="K584" s="46"/>
    </row>
    <row r="585" spans="1:11" ht="23.1" customHeight="1">
      <c r="A585" s="170" t="str">
        <f>IF($B585="","",MAX($A$3:A584)+1)</f>
        <v/>
      </c>
      <c r="B585" s="176"/>
      <c r="C585" s="177"/>
      <c r="D585" s="279"/>
      <c r="E585" s="178"/>
      <c r="F585" s="172" t="str">
        <f>IF($B585="","",SUMIFS('Daily Inward'!$G:$G,'Daily Inward'!$C:$C,$B585,'Daily Inward'!$E:$E,"Inventory"))</f>
        <v/>
      </c>
      <c r="G585" s="44" t="str">
        <f>IF($B585="","",SUMIFS('Daily Issuance'!$G:$G,'Daily Issuance'!$C:$C,$B585,'Daily Issuance'!$E:$E,"Inventory"))</f>
        <v/>
      </c>
      <c r="H585" s="44" t="str">
        <f t="shared" si="18"/>
        <v/>
      </c>
      <c r="I585" s="33"/>
      <c r="J585" s="34" t="str">
        <f t="shared" si="19"/>
        <v/>
      </c>
      <c r="K585" s="46"/>
    </row>
    <row r="586" spans="1:11" ht="23.1" customHeight="1">
      <c r="A586" s="170" t="str">
        <f>IF($B586="","",MAX($A$3:A585)+1)</f>
        <v/>
      </c>
      <c r="B586" s="176"/>
      <c r="C586" s="177"/>
      <c r="D586" s="279"/>
      <c r="E586" s="178"/>
      <c r="F586" s="172" t="str">
        <f>IF($B586="","",SUMIFS('Daily Inward'!$G:$G,'Daily Inward'!$C:$C,$B586,'Daily Inward'!$E:$E,"Inventory"))</f>
        <v/>
      </c>
      <c r="G586" s="44" t="str">
        <f>IF($B586="","",SUMIFS('Daily Issuance'!$G:$G,'Daily Issuance'!$C:$C,$B586,'Daily Issuance'!$E:$E,"Inventory"))</f>
        <v/>
      </c>
      <c r="H586" s="44" t="str">
        <f t="shared" si="18"/>
        <v/>
      </c>
      <c r="I586" s="33"/>
      <c r="J586" s="34" t="str">
        <f t="shared" si="19"/>
        <v/>
      </c>
      <c r="K586" s="46"/>
    </row>
    <row r="587" spans="1:11" ht="23.1" customHeight="1">
      <c r="A587" s="170" t="str">
        <f>IF($B587="","",MAX($A$3:A586)+1)</f>
        <v/>
      </c>
      <c r="B587" s="176"/>
      <c r="C587" s="177"/>
      <c r="D587" s="279"/>
      <c r="E587" s="178"/>
      <c r="F587" s="172" t="str">
        <f>IF($B587="","",SUMIFS('Daily Inward'!$G:$G,'Daily Inward'!$C:$C,$B587,'Daily Inward'!$E:$E,"Inventory"))</f>
        <v/>
      </c>
      <c r="G587" s="44" t="str">
        <f>IF($B587="","",SUMIFS('Daily Issuance'!$G:$G,'Daily Issuance'!$C:$C,$B587,'Daily Issuance'!$E:$E,"Inventory"))</f>
        <v/>
      </c>
      <c r="H587" s="44" t="str">
        <f t="shared" si="18"/>
        <v/>
      </c>
      <c r="I587" s="33"/>
      <c r="J587" s="34" t="str">
        <f t="shared" si="19"/>
        <v/>
      </c>
      <c r="K587" s="46"/>
    </row>
    <row r="588" spans="1:11" ht="23.1" customHeight="1">
      <c r="A588" s="170" t="str">
        <f>IF($B588="","",MAX($A$3:A587)+1)</f>
        <v/>
      </c>
      <c r="B588" s="176"/>
      <c r="C588" s="177"/>
      <c r="D588" s="279"/>
      <c r="E588" s="178"/>
      <c r="F588" s="172" t="str">
        <f>IF($B588="","",SUMIFS('Daily Inward'!$G:$G,'Daily Inward'!$C:$C,$B588,'Daily Inward'!$E:$E,"Inventory"))</f>
        <v/>
      </c>
      <c r="G588" s="44" t="str">
        <f>IF($B588="","",SUMIFS('Daily Issuance'!$G:$G,'Daily Issuance'!$C:$C,$B588,'Daily Issuance'!$E:$E,"Inventory"))</f>
        <v/>
      </c>
      <c r="H588" s="44" t="str">
        <f t="shared" si="18"/>
        <v/>
      </c>
      <c r="I588" s="33"/>
      <c r="J588" s="34" t="str">
        <f t="shared" si="19"/>
        <v/>
      </c>
      <c r="K588" s="46"/>
    </row>
    <row r="589" spans="1:11" ht="23.1" customHeight="1">
      <c r="A589" s="170" t="str">
        <f>IF($B589="","",MAX($A$3:A588)+1)</f>
        <v/>
      </c>
      <c r="B589" s="176"/>
      <c r="C589" s="177"/>
      <c r="D589" s="279"/>
      <c r="E589" s="178"/>
      <c r="F589" s="172" t="str">
        <f>IF($B589="","",SUMIFS('Daily Inward'!$G:$G,'Daily Inward'!$C:$C,$B589,'Daily Inward'!$E:$E,"Inventory"))</f>
        <v/>
      </c>
      <c r="G589" s="44" t="str">
        <f>IF($B589="","",SUMIFS('Daily Issuance'!$G:$G,'Daily Issuance'!$C:$C,$B589,'Daily Issuance'!$E:$E,"Inventory"))</f>
        <v/>
      </c>
      <c r="H589" s="44" t="str">
        <f t="shared" si="18"/>
        <v/>
      </c>
      <c r="I589" s="33"/>
      <c r="J589" s="34" t="str">
        <f t="shared" si="19"/>
        <v/>
      </c>
      <c r="K589" s="46"/>
    </row>
    <row r="590" spans="1:11" ht="23.1" customHeight="1">
      <c r="A590" s="170" t="str">
        <f>IF($B590="","",MAX($A$3:A589)+1)</f>
        <v/>
      </c>
      <c r="B590" s="176"/>
      <c r="C590" s="177"/>
      <c r="D590" s="279"/>
      <c r="E590" s="178"/>
      <c r="F590" s="172" t="str">
        <f>IF($B590="","",SUMIFS('Daily Inward'!$G:$G,'Daily Inward'!$C:$C,$B590,'Daily Inward'!$E:$E,"Inventory"))</f>
        <v/>
      </c>
      <c r="G590" s="44" t="str">
        <f>IF($B590="","",SUMIFS('Daily Issuance'!$G:$G,'Daily Issuance'!$C:$C,$B590,'Daily Issuance'!$E:$E,"Inventory"))</f>
        <v/>
      </c>
      <c r="H590" s="44" t="str">
        <f t="shared" si="18"/>
        <v/>
      </c>
      <c r="I590" s="33"/>
      <c r="J590" s="34" t="str">
        <f t="shared" si="19"/>
        <v/>
      </c>
      <c r="K590" s="46"/>
    </row>
    <row r="591" spans="1:11" ht="23.1" customHeight="1">
      <c r="A591" s="170" t="str">
        <f>IF($B591="","",MAX($A$3:A590)+1)</f>
        <v/>
      </c>
      <c r="B591" s="176"/>
      <c r="C591" s="177"/>
      <c r="D591" s="279"/>
      <c r="E591" s="178"/>
      <c r="F591" s="172" t="str">
        <f>IF($B591="","",SUMIFS('Daily Inward'!$G:$G,'Daily Inward'!$C:$C,$B591,'Daily Inward'!$E:$E,"Inventory"))</f>
        <v/>
      </c>
      <c r="G591" s="44" t="str">
        <f>IF($B591="","",SUMIFS('Daily Issuance'!$G:$G,'Daily Issuance'!$C:$C,$B591,'Daily Issuance'!$E:$E,"Inventory"))</f>
        <v/>
      </c>
      <c r="H591" s="44" t="str">
        <f t="shared" si="18"/>
        <v/>
      </c>
      <c r="I591" s="33"/>
      <c r="J591" s="34" t="str">
        <f t="shared" si="19"/>
        <v/>
      </c>
      <c r="K591" s="46"/>
    </row>
    <row r="592" spans="1:11" ht="23.1" customHeight="1">
      <c r="A592" s="170" t="str">
        <f>IF($B592="","",MAX($A$3:A591)+1)</f>
        <v/>
      </c>
      <c r="B592" s="176"/>
      <c r="C592" s="177"/>
      <c r="D592" s="279"/>
      <c r="E592" s="178"/>
      <c r="F592" s="172" t="str">
        <f>IF($B592="","",SUMIFS('Daily Inward'!$G:$G,'Daily Inward'!$C:$C,$B592,'Daily Inward'!$E:$E,"Inventory"))</f>
        <v/>
      </c>
      <c r="G592" s="44" t="str">
        <f>IF($B592="","",SUMIFS('Daily Issuance'!$G:$G,'Daily Issuance'!$C:$C,$B592,'Daily Issuance'!$E:$E,"Inventory"))</f>
        <v/>
      </c>
      <c r="H592" s="44" t="str">
        <f t="shared" si="18"/>
        <v/>
      </c>
      <c r="I592" s="33"/>
      <c r="J592" s="34" t="str">
        <f t="shared" si="19"/>
        <v/>
      </c>
      <c r="K592" s="46"/>
    </row>
    <row r="593" spans="1:11" ht="23.1" customHeight="1">
      <c r="A593" s="170" t="str">
        <f>IF($B593="","",MAX($A$3:A592)+1)</f>
        <v/>
      </c>
      <c r="B593" s="176"/>
      <c r="C593" s="177"/>
      <c r="D593" s="279"/>
      <c r="E593" s="178"/>
      <c r="F593" s="172" t="str">
        <f>IF($B593="","",SUMIFS('Daily Inward'!$G:$G,'Daily Inward'!$C:$C,$B593,'Daily Inward'!$E:$E,"Inventory"))</f>
        <v/>
      </c>
      <c r="G593" s="44" t="str">
        <f>IF($B593="","",SUMIFS('Daily Issuance'!$G:$G,'Daily Issuance'!$C:$C,$B593,'Daily Issuance'!$E:$E,"Inventory"))</f>
        <v/>
      </c>
      <c r="H593" s="44" t="str">
        <f t="shared" si="18"/>
        <v/>
      </c>
      <c r="I593" s="33"/>
      <c r="J593" s="34" t="str">
        <f t="shared" si="19"/>
        <v/>
      </c>
      <c r="K593" s="46"/>
    </row>
    <row r="594" spans="1:11" ht="23.1" customHeight="1">
      <c r="A594" s="170" t="str">
        <f>IF($B594="","",MAX($A$3:A593)+1)</f>
        <v/>
      </c>
      <c r="B594" s="176"/>
      <c r="C594" s="177"/>
      <c r="D594" s="279"/>
      <c r="E594" s="178"/>
      <c r="F594" s="172" t="str">
        <f>IF($B594="","",SUMIFS('Daily Inward'!$G:$G,'Daily Inward'!$C:$C,$B594,'Daily Inward'!$E:$E,"Inventory"))</f>
        <v/>
      </c>
      <c r="G594" s="44" t="str">
        <f>IF($B594="","",SUMIFS('Daily Issuance'!$G:$G,'Daily Issuance'!$C:$C,$B594,'Daily Issuance'!$E:$E,"Inventory"))</f>
        <v/>
      </c>
      <c r="H594" s="44" t="str">
        <f t="shared" si="18"/>
        <v/>
      </c>
      <c r="I594" s="33"/>
      <c r="J594" s="34" t="str">
        <f t="shared" si="19"/>
        <v/>
      </c>
      <c r="K594" s="46"/>
    </row>
    <row r="595" spans="1:11" ht="23.1" customHeight="1">
      <c r="A595" s="170" t="str">
        <f>IF($B595="","",MAX($A$3:A594)+1)</f>
        <v/>
      </c>
      <c r="B595" s="176"/>
      <c r="C595" s="177"/>
      <c r="D595" s="279"/>
      <c r="E595" s="178"/>
      <c r="F595" s="172" t="str">
        <f>IF($B595="","",SUMIFS('Daily Inward'!$G:$G,'Daily Inward'!$C:$C,$B595,'Daily Inward'!$E:$E,"Inventory"))</f>
        <v/>
      </c>
      <c r="G595" s="44" t="str">
        <f>IF($B595="","",SUMIFS('Daily Issuance'!$G:$G,'Daily Issuance'!$C:$C,$B595,'Daily Issuance'!$E:$E,"Inventory"))</f>
        <v/>
      </c>
      <c r="H595" s="44" t="str">
        <f t="shared" si="18"/>
        <v/>
      </c>
      <c r="I595" s="33"/>
      <c r="J595" s="34" t="str">
        <f t="shared" si="19"/>
        <v/>
      </c>
      <c r="K595" s="46"/>
    </row>
    <row r="596" spans="1:11" ht="23.1" customHeight="1">
      <c r="A596" s="170" t="str">
        <f>IF($B596="","",MAX($A$3:A595)+1)</f>
        <v/>
      </c>
      <c r="B596" s="176"/>
      <c r="C596" s="177"/>
      <c r="D596" s="279"/>
      <c r="E596" s="178"/>
      <c r="F596" s="172" t="str">
        <f>IF($B596="","",SUMIFS('Daily Inward'!$G:$G,'Daily Inward'!$C:$C,$B596,'Daily Inward'!$E:$E,"Inventory"))</f>
        <v/>
      </c>
      <c r="G596" s="44" t="str">
        <f>IF($B596="","",SUMIFS('Daily Issuance'!$G:$G,'Daily Issuance'!$C:$C,$B596,'Daily Issuance'!$E:$E,"Inventory"))</f>
        <v/>
      </c>
      <c r="H596" s="44" t="str">
        <f t="shared" si="18"/>
        <v/>
      </c>
      <c r="I596" s="33"/>
      <c r="J596" s="34" t="str">
        <f t="shared" si="19"/>
        <v/>
      </c>
      <c r="K596" s="46"/>
    </row>
    <row r="597" spans="1:11" ht="23.1" customHeight="1">
      <c r="A597" s="170" t="str">
        <f>IF($B597="","",MAX($A$3:A596)+1)</f>
        <v/>
      </c>
      <c r="B597" s="176"/>
      <c r="C597" s="177"/>
      <c r="D597" s="279"/>
      <c r="E597" s="178"/>
      <c r="F597" s="172" t="str">
        <f>IF($B597="","",SUMIFS('Daily Inward'!$G:$G,'Daily Inward'!$C:$C,$B597,'Daily Inward'!$E:$E,"Inventory"))</f>
        <v/>
      </c>
      <c r="G597" s="44" t="str">
        <f>IF($B597="","",SUMIFS('Daily Issuance'!$G:$G,'Daily Issuance'!$C:$C,$B597,'Daily Issuance'!$E:$E,"Inventory"))</f>
        <v/>
      </c>
      <c r="H597" s="44" t="str">
        <f t="shared" si="18"/>
        <v/>
      </c>
      <c r="I597" s="33"/>
      <c r="J597" s="34" t="str">
        <f t="shared" si="19"/>
        <v/>
      </c>
      <c r="K597" s="46"/>
    </row>
    <row r="598" spans="1:11" ht="23.1" customHeight="1">
      <c r="A598" s="170" t="str">
        <f>IF($B598="","",MAX($A$3:A597)+1)</f>
        <v/>
      </c>
      <c r="B598" s="176"/>
      <c r="C598" s="177"/>
      <c r="D598" s="279"/>
      <c r="E598" s="178"/>
      <c r="F598" s="172" t="str">
        <f>IF($B598="","",SUMIFS('Daily Inward'!$G:$G,'Daily Inward'!$C:$C,$B598,'Daily Inward'!$E:$E,"Inventory"))</f>
        <v/>
      </c>
      <c r="G598" s="44" t="str">
        <f>IF($B598="","",SUMIFS('Daily Issuance'!$G:$G,'Daily Issuance'!$C:$C,$B598,'Daily Issuance'!$E:$E,"Inventory"))</f>
        <v/>
      </c>
      <c r="H598" s="44" t="str">
        <f t="shared" si="18"/>
        <v/>
      </c>
      <c r="I598" s="33"/>
      <c r="J598" s="34" t="str">
        <f t="shared" si="19"/>
        <v/>
      </c>
      <c r="K598" s="46"/>
    </row>
    <row r="599" spans="1:11" ht="23.1" customHeight="1">
      <c r="A599" s="170" t="str">
        <f>IF($B599="","",MAX($A$3:A598)+1)</f>
        <v/>
      </c>
      <c r="B599" s="176"/>
      <c r="C599" s="177"/>
      <c r="D599" s="279"/>
      <c r="E599" s="178"/>
      <c r="F599" s="172" t="str">
        <f>IF($B599="","",SUMIFS('Daily Inward'!$G:$G,'Daily Inward'!$C:$C,$B599,'Daily Inward'!$E:$E,"Inventory"))</f>
        <v/>
      </c>
      <c r="G599" s="44" t="str">
        <f>IF($B599="","",SUMIFS('Daily Issuance'!$G:$G,'Daily Issuance'!$C:$C,$B599,'Daily Issuance'!$E:$E,"Inventory"))</f>
        <v/>
      </c>
      <c r="H599" s="44" t="str">
        <f t="shared" si="18"/>
        <v/>
      </c>
      <c r="I599" s="33"/>
      <c r="J599" s="34" t="str">
        <f t="shared" si="19"/>
        <v/>
      </c>
      <c r="K599" s="46"/>
    </row>
    <row r="600" spans="1:11" ht="23.1" customHeight="1">
      <c r="A600" s="170" t="str">
        <f>IF($B600="","",MAX($A$3:A599)+1)</f>
        <v/>
      </c>
      <c r="B600" s="176"/>
      <c r="C600" s="177"/>
      <c r="D600" s="279"/>
      <c r="E600" s="178"/>
      <c r="F600" s="172" t="str">
        <f>IF($B600="","",SUMIFS('Daily Inward'!$G:$G,'Daily Inward'!$C:$C,$B600,'Daily Inward'!$E:$E,"Inventory"))</f>
        <v/>
      </c>
      <c r="G600" s="44" t="str">
        <f>IF($B600="","",SUMIFS('Daily Issuance'!$G:$G,'Daily Issuance'!$C:$C,$B600,'Daily Issuance'!$E:$E,"Inventory"))</f>
        <v/>
      </c>
      <c r="H600" s="44" t="str">
        <f t="shared" si="18"/>
        <v/>
      </c>
      <c r="I600" s="33"/>
      <c r="J600" s="34" t="str">
        <f t="shared" si="19"/>
        <v/>
      </c>
      <c r="K600" s="46"/>
    </row>
    <row r="601" spans="1:11" ht="23.1" customHeight="1">
      <c r="A601" s="170" t="str">
        <f>IF($B601="","",MAX($A$3:A600)+1)</f>
        <v/>
      </c>
      <c r="B601" s="176"/>
      <c r="C601" s="177"/>
      <c r="D601" s="279"/>
      <c r="E601" s="178"/>
      <c r="F601" s="172" t="str">
        <f>IF($B601="","",SUMIFS('Daily Inward'!$G:$G,'Daily Inward'!$C:$C,$B601,'Daily Inward'!$E:$E,"Inventory"))</f>
        <v/>
      </c>
      <c r="G601" s="44" t="str">
        <f>IF($B601="","",SUMIFS('Daily Issuance'!$G:$G,'Daily Issuance'!$C:$C,$B601,'Daily Issuance'!$E:$E,"Inventory"))</f>
        <v/>
      </c>
      <c r="H601" s="44" t="str">
        <f t="shared" si="18"/>
        <v/>
      </c>
      <c r="I601" s="33"/>
      <c r="J601" s="34" t="str">
        <f t="shared" si="19"/>
        <v/>
      </c>
      <c r="K601" s="46"/>
    </row>
    <row r="602" spans="1:11" ht="23.1" customHeight="1">
      <c r="A602" s="170" t="str">
        <f>IF($B602="","",MAX($A$3:A601)+1)</f>
        <v/>
      </c>
      <c r="B602" s="176"/>
      <c r="C602" s="177"/>
      <c r="D602" s="279"/>
      <c r="E602" s="178"/>
      <c r="F602" s="172" t="str">
        <f>IF($B602="","",SUMIFS('Daily Inward'!$G:$G,'Daily Inward'!$C:$C,$B602,'Daily Inward'!$E:$E,"Inventory"))</f>
        <v/>
      </c>
      <c r="G602" s="44" t="str">
        <f>IF($B602="","",SUMIFS('Daily Issuance'!$G:$G,'Daily Issuance'!$C:$C,$B602,'Daily Issuance'!$E:$E,"Inventory"))</f>
        <v/>
      </c>
      <c r="H602" s="44" t="str">
        <f t="shared" si="18"/>
        <v/>
      </c>
      <c r="I602" s="33"/>
      <c r="J602" s="34" t="str">
        <f t="shared" si="19"/>
        <v/>
      </c>
      <c r="K602" s="46"/>
    </row>
    <row r="603" spans="1:11" ht="23.1" customHeight="1">
      <c r="A603" s="170" t="str">
        <f>IF($B603="","",MAX($A$3:A602)+1)</f>
        <v/>
      </c>
      <c r="B603" s="176"/>
      <c r="C603" s="177"/>
      <c r="D603" s="279"/>
      <c r="E603" s="178"/>
      <c r="F603" s="172" t="str">
        <f>IF($B603="","",SUMIFS('Daily Inward'!$G:$G,'Daily Inward'!$C:$C,$B603,'Daily Inward'!$E:$E,"Inventory"))</f>
        <v/>
      </c>
      <c r="G603" s="44" t="str">
        <f>IF($B603="","",SUMIFS('Daily Issuance'!$G:$G,'Daily Issuance'!$C:$C,$B603,'Daily Issuance'!$E:$E,"Inventory"))</f>
        <v/>
      </c>
      <c r="H603" s="44" t="str">
        <f t="shared" si="18"/>
        <v/>
      </c>
      <c r="I603" s="33"/>
      <c r="J603" s="34" t="str">
        <f t="shared" si="19"/>
        <v/>
      </c>
      <c r="K603" s="46"/>
    </row>
    <row r="604" spans="1:11" ht="23.1" customHeight="1">
      <c r="A604" s="170" t="str">
        <f>IF($B604="","",MAX($A$3:A603)+1)</f>
        <v/>
      </c>
      <c r="B604" s="176"/>
      <c r="C604" s="177"/>
      <c r="D604" s="279"/>
      <c r="E604" s="178"/>
      <c r="F604" s="172" t="str">
        <f>IF($B604="","",SUMIFS('Daily Inward'!$G:$G,'Daily Inward'!$C:$C,$B604,'Daily Inward'!$E:$E,"Inventory"))</f>
        <v/>
      </c>
      <c r="G604" s="44" t="str">
        <f>IF($B604="","",SUMIFS('Daily Issuance'!$G:$G,'Daily Issuance'!$C:$C,$B604,'Daily Issuance'!$E:$E,"Inventory"))</f>
        <v/>
      </c>
      <c r="H604" s="44" t="str">
        <f t="shared" si="18"/>
        <v/>
      </c>
      <c r="I604" s="33"/>
      <c r="J604" s="34" t="str">
        <f t="shared" si="19"/>
        <v/>
      </c>
      <c r="K604" s="46"/>
    </row>
    <row r="605" spans="1:11" ht="23.1" customHeight="1">
      <c r="A605" s="170" t="str">
        <f>IF($B605="","",MAX($A$3:A604)+1)</f>
        <v/>
      </c>
      <c r="B605" s="176"/>
      <c r="C605" s="177"/>
      <c r="D605" s="279"/>
      <c r="E605" s="178"/>
      <c r="F605" s="172" t="str">
        <f>IF($B605="","",SUMIFS('Daily Inward'!$G:$G,'Daily Inward'!$C:$C,$B605,'Daily Inward'!$E:$E,"Inventory"))</f>
        <v/>
      </c>
      <c r="G605" s="44" t="str">
        <f>IF($B605="","",SUMIFS('Daily Issuance'!$G:$G,'Daily Issuance'!$C:$C,$B605,'Daily Issuance'!$E:$E,"Inventory"))</f>
        <v/>
      </c>
      <c r="H605" s="44" t="str">
        <f t="shared" si="18"/>
        <v/>
      </c>
      <c r="I605" s="33"/>
      <c r="J605" s="34" t="str">
        <f t="shared" si="19"/>
        <v/>
      </c>
      <c r="K605" s="46"/>
    </row>
    <row r="606" spans="1:11" ht="23.1" customHeight="1">
      <c r="A606" s="170" t="str">
        <f>IF($B606="","",MAX($A$3:A605)+1)</f>
        <v/>
      </c>
      <c r="B606" s="176"/>
      <c r="C606" s="177"/>
      <c r="D606" s="279"/>
      <c r="E606" s="178"/>
      <c r="F606" s="172" t="str">
        <f>IF($B606="","",SUMIFS('Daily Inward'!$G:$G,'Daily Inward'!$C:$C,$B606,'Daily Inward'!$E:$E,"Inventory"))</f>
        <v/>
      </c>
      <c r="G606" s="44" t="str">
        <f>IF($B606="","",SUMIFS('Daily Issuance'!$G:$G,'Daily Issuance'!$C:$C,$B606,'Daily Issuance'!$E:$E,"Inventory"))</f>
        <v/>
      </c>
      <c r="H606" s="44" t="str">
        <f t="shared" si="18"/>
        <v/>
      </c>
      <c r="I606" s="33"/>
      <c r="J606" s="34" t="str">
        <f t="shared" si="19"/>
        <v/>
      </c>
      <c r="K606" s="46"/>
    </row>
    <row r="607" spans="1:11" ht="23.1" customHeight="1">
      <c r="A607" s="170" t="str">
        <f>IF($B607="","",MAX($A$3:A606)+1)</f>
        <v/>
      </c>
      <c r="B607" s="176"/>
      <c r="C607" s="177"/>
      <c r="D607" s="279"/>
      <c r="E607" s="178"/>
      <c r="F607" s="172" t="str">
        <f>IF($B607="","",SUMIFS('Daily Inward'!$G:$G,'Daily Inward'!$C:$C,$B607,'Daily Inward'!$E:$E,"Inventory"))</f>
        <v/>
      </c>
      <c r="G607" s="44" t="str">
        <f>IF($B607="","",SUMIFS('Daily Issuance'!$G:$G,'Daily Issuance'!$C:$C,$B607,'Daily Issuance'!$E:$E,"Inventory"))</f>
        <v/>
      </c>
      <c r="H607" s="44" t="str">
        <f t="shared" si="18"/>
        <v/>
      </c>
      <c r="I607" s="33"/>
      <c r="J607" s="34" t="str">
        <f t="shared" si="19"/>
        <v/>
      </c>
      <c r="K607" s="46"/>
    </row>
    <row r="608" spans="1:11" ht="23.1" customHeight="1">
      <c r="A608" s="170" t="str">
        <f>IF($B608="","",MAX($A$3:A607)+1)</f>
        <v/>
      </c>
      <c r="B608" s="176"/>
      <c r="C608" s="177"/>
      <c r="D608" s="279"/>
      <c r="E608" s="178"/>
      <c r="F608" s="172" t="str">
        <f>IF($B608="","",SUMIFS('Daily Inward'!$G:$G,'Daily Inward'!$C:$C,$B608,'Daily Inward'!$E:$E,"Inventory"))</f>
        <v/>
      </c>
      <c r="G608" s="44" t="str">
        <f>IF($B608="","",SUMIFS('Daily Issuance'!$G:$G,'Daily Issuance'!$C:$C,$B608,'Daily Issuance'!$E:$E,"Inventory"))</f>
        <v/>
      </c>
      <c r="H608" s="44" t="str">
        <f t="shared" si="18"/>
        <v/>
      </c>
      <c r="I608" s="33"/>
      <c r="J608" s="34" t="str">
        <f t="shared" si="19"/>
        <v/>
      </c>
      <c r="K608" s="46"/>
    </row>
    <row r="609" spans="1:11" ht="23.1" customHeight="1">
      <c r="A609" s="170" t="str">
        <f>IF($B609="","",MAX($A$3:A608)+1)</f>
        <v/>
      </c>
      <c r="B609" s="176"/>
      <c r="C609" s="177"/>
      <c r="D609" s="279"/>
      <c r="E609" s="178"/>
      <c r="F609" s="172" t="str">
        <f>IF($B609="","",SUMIFS('Daily Inward'!$G:$G,'Daily Inward'!$C:$C,$B609,'Daily Inward'!$E:$E,"Inventory"))</f>
        <v/>
      </c>
      <c r="G609" s="44" t="str">
        <f>IF($B609="","",SUMIFS('Daily Issuance'!$G:$G,'Daily Issuance'!$C:$C,$B609,'Daily Issuance'!$E:$E,"Inventory"))</f>
        <v/>
      </c>
      <c r="H609" s="44" t="str">
        <f t="shared" si="18"/>
        <v/>
      </c>
      <c r="I609" s="33"/>
      <c r="J609" s="34" t="str">
        <f t="shared" si="19"/>
        <v/>
      </c>
      <c r="K609" s="46"/>
    </row>
    <row r="610" spans="1:11" ht="23.1" customHeight="1">
      <c r="A610" s="170" t="str">
        <f>IF($B610="","",MAX($A$3:A609)+1)</f>
        <v/>
      </c>
      <c r="B610" s="176"/>
      <c r="C610" s="177"/>
      <c r="D610" s="279"/>
      <c r="E610" s="178"/>
      <c r="F610" s="172" t="str">
        <f>IF($B610="","",SUMIFS('Daily Inward'!$G:$G,'Daily Inward'!$C:$C,$B610,'Daily Inward'!$E:$E,"Inventory"))</f>
        <v/>
      </c>
      <c r="G610" s="44" t="str">
        <f>IF($B610="","",SUMIFS('Daily Issuance'!$G:$G,'Daily Issuance'!$C:$C,$B610,'Daily Issuance'!$E:$E,"Inventory"))</f>
        <v/>
      </c>
      <c r="H610" s="44" t="str">
        <f t="shared" si="18"/>
        <v/>
      </c>
      <c r="I610" s="33"/>
      <c r="J610" s="34" t="str">
        <f t="shared" si="19"/>
        <v/>
      </c>
      <c r="K610" s="46"/>
    </row>
    <row r="611" spans="1:11" ht="23.1" customHeight="1">
      <c r="A611" s="170" t="str">
        <f>IF($B611="","",MAX($A$3:A610)+1)</f>
        <v/>
      </c>
      <c r="B611" s="176"/>
      <c r="C611" s="177"/>
      <c r="D611" s="279"/>
      <c r="E611" s="178"/>
      <c r="F611" s="172" t="str">
        <f>IF($B611="","",SUMIFS('Daily Inward'!$G:$G,'Daily Inward'!$C:$C,$B611,'Daily Inward'!$E:$E,"Inventory"))</f>
        <v/>
      </c>
      <c r="G611" s="44" t="str">
        <f>IF($B611="","",SUMIFS('Daily Issuance'!$G:$G,'Daily Issuance'!$C:$C,$B611,'Daily Issuance'!$E:$E,"Inventory"))</f>
        <v/>
      </c>
      <c r="H611" s="44" t="str">
        <f t="shared" si="18"/>
        <v/>
      </c>
      <c r="I611" s="33"/>
      <c r="J611" s="34" t="str">
        <f t="shared" si="19"/>
        <v/>
      </c>
      <c r="K611" s="46"/>
    </row>
    <row r="612" spans="1:11" ht="23.1" customHeight="1">
      <c r="A612" s="170" t="str">
        <f>IF($B612="","",MAX($A$3:A611)+1)</f>
        <v/>
      </c>
      <c r="B612" s="176"/>
      <c r="C612" s="177"/>
      <c r="D612" s="279"/>
      <c r="E612" s="178"/>
      <c r="F612" s="172" t="str">
        <f>IF($B612="","",SUMIFS('Daily Inward'!$G:$G,'Daily Inward'!$C:$C,$B612,'Daily Inward'!$E:$E,"Inventory"))</f>
        <v/>
      </c>
      <c r="G612" s="44" t="str">
        <f>IF($B612="","",SUMIFS('Daily Issuance'!$G:$G,'Daily Issuance'!$C:$C,$B612,'Daily Issuance'!$E:$E,"Inventory"))</f>
        <v/>
      </c>
      <c r="H612" s="44" t="str">
        <f t="shared" si="18"/>
        <v/>
      </c>
      <c r="I612" s="33"/>
      <c r="J612" s="34" t="str">
        <f t="shared" si="19"/>
        <v/>
      </c>
      <c r="K612" s="46"/>
    </row>
    <row r="613" spans="1:11" ht="23.1" customHeight="1">
      <c r="A613" s="170" t="str">
        <f>IF($B613="","",MAX($A$3:A612)+1)</f>
        <v/>
      </c>
      <c r="B613" s="176"/>
      <c r="C613" s="177"/>
      <c r="D613" s="279"/>
      <c r="E613" s="178"/>
      <c r="F613" s="172" t="str">
        <f>IF($B613="","",SUMIFS('Daily Inward'!$G:$G,'Daily Inward'!$C:$C,$B613,'Daily Inward'!$E:$E,"Inventory"))</f>
        <v/>
      </c>
      <c r="G613" s="44" t="str">
        <f>IF($B613="","",SUMIFS('Daily Issuance'!$G:$G,'Daily Issuance'!$C:$C,$B613,'Daily Issuance'!$E:$E,"Inventory"))</f>
        <v/>
      </c>
      <c r="H613" s="44" t="str">
        <f t="shared" si="18"/>
        <v/>
      </c>
      <c r="I613" s="33"/>
      <c r="J613" s="34" t="str">
        <f t="shared" si="19"/>
        <v/>
      </c>
      <c r="K613" s="46"/>
    </row>
    <row r="614" spans="1:11" ht="23.1" customHeight="1">
      <c r="A614" s="170" t="str">
        <f>IF($B614="","",MAX($A$3:A613)+1)</f>
        <v/>
      </c>
      <c r="B614" s="176"/>
      <c r="C614" s="177"/>
      <c r="D614" s="279"/>
      <c r="E614" s="178"/>
      <c r="F614" s="172" t="str">
        <f>IF($B614="","",SUMIFS('Daily Inward'!$G:$G,'Daily Inward'!$C:$C,$B614,'Daily Inward'!$E:$E,"Inventory"))</f>
        <v/>
      </c>
      <c r="G614" s="44" t="str">
        <f>IF($B614="","",SUMIFS('Daily Issuance'!$G:$G,'Daily Issuance'!$C:$C,$B614,'Daily Issuance'!$E:$E,"Inventory"))</f>
        <v/>
      </c>
      <c r="H614" s="44" t="str">
        <f t="shared" si="18"/>
        <v/>
      </c>
      <c r="I614" s="33"/>
      <c r="J614" s="34" t="str">
        <f t="shared" si="19"/>
        <v/>
      </c>
      <c r="K614" s="46"/>
    </row>
    <row r="615" spans="1:11" ht="23.1" customHeight="1">
      <c r="A615" s="170" t="str">
        <f>IF($B615="","",MAX($A$3:A614)+1)</f>
        <v/>
      </c>
      <c r="B615" s="176"/>
      <c r="C615" s="177"/>
      <c r="D615" s="279"/>
      <c r="E615" s="178"/>
      <c r="F615" s="172" t="str">
        <f>IF($B615="","",SUMIFS('Daily Inward'!$G:$G,'Daily Inward'!$C:$C,$B615,'Daily Inward'!$E:$E,"Inventory"))</f>
        <v/>
      </c>
      <c r="G615" s="44" t="str">
        <f>IF($B615="","",SUMIFS('Daily Issuance'!$G:$G,'Daily Issuance'!$C:$C,$B615,'Daily Issuance'!$E:$E,"Inventory"))</f>
        <v/>
      </c>
      <c r="H615" s="44" t="str">
        <f t="shared" si="18"/>
        <v/>
      </c>
      <c r="I615" s="33"/>
      <c r="J615" s="34" t="str">
        <f t="shared" si="19"/>
        <v/>
      </c>
      <c r="K615" s="46"/>
    </row>
    <row r="616" spans="1:11" ht="23.1" customHeight="1">
      <c r="A616" s="170" t="str">
        <f>IF($B616="","",MAX($A$3:A615)+1)</f>
        <v/>
      </c>
      <c r="B616" s="176"/>
      <c r="C616" s="177"/>
      <c r="D616" s="279"/>
      <c r="E616" s="178"/>
      <c r="F616" s="172" t="str">
        <f>IF($B616="","",SUMIFS('Daily Inward'!$G:$G,'Daily Inward'!$C:$C,$B616,'Daily Inward'!$E:$E,"Inventory"))</f>
        <v/>
      </c>
      <c r="G616" s="44" t="str">
        <f>IF($B616="","",SUMIFS('Daily Issuance'!$G:$G,'Daily Issuance'!$C:$C,$B616,'Daily Issuance'!$E:$E,"Inventory"))</f>
        <v/>
      </c>
      <c r="H616" s="44" t="str">
        <f t="shared" si="18"/>
        <v/>
      </c>
      <c r="I616" s="33"/>
      <c r="J616" s="34" t="str">
        <f t="shared" si="19"/>
        <v/>
      </c>
      <c r="K616" s="46"/>
    </row>
    <row r="617" spans="1:11" ht="23.1" customHeight="1">
      <c r="A617" s="170" t="str">
        <f>IF($B617="","",MAX($A$3:A616)+1)</f>
        <v/>
      </c>
      <c r="B617" s="176"/>
      <c r="C617" s="177"/>
      <c r="D617" s="279"/>
      <c r="E617" s="178"/>
      <c r="F617" s="172" t="str">
        <f>IF($B617="","",SUMIFS('Daily Inward'!$G:$G,'Daily Inward'!$C:$C,$B617,'Daily Inward'!$E:$E,"Inventory"))</f>
        <v/>
      </c>
      <c r="G617" s="44" t="str">
        <f>IF($B617="","",SUMIFS('Daily Issuance'!$G:$G,'Daily Issuance'!$C:$C,$B617,'Daily Issuance'!$E:$E,"Inventory"))</f>
        <v/>
      </c>
      <c r="H617" s="44" t="str">
        <f t="shared" si="18"/>
        <v/>
      </c>
      <c r="I617" s="33"/>
      <c r="J617" s="34" t="str">
        <f t="shared" si="19"/>
        <v/>
      </c>
      <c r="K617" s="46"/>
    </row>
    <row r="618" spans="1:11" ht="23.1" customHeight="1">
      <c r="A618" s="170" t="str">
        <f>IF($B618="","",MAX($A$3:A617)+1)</f>
        <v/>
      </c>
      <c r="B618" s="176"/>
      <c r="C618" s="177"/>
      <c r="D618" s="279"/>
      <c r="E618" s="178"/>
      <c r="F618" s="172" t="str">
        <f>IF($B618="","",SUMIFS('Daily Inward'!$G:$G,'Daily Inward'!$C:$C,$B618,'Daily Inward'!$E:$E,"Inventory"))</f>
        <v/>
      </c>
      <c r="G618" s="44" t="str">
        <f>IF($B618="","",SUMIFS('Daily Issuance'!$G:$G,'Daily Issuance'!$C:$C,$B618,'Daily Issuance'!$E:$E,"Inventory"))</f>
        <v/>
      </c>
      <c r="H618" s="44" t="str">
        <f t="shared" si="18"/>
        <v/>
      </c>
      <c r="I618" s="33"/>
      <c r="J618" s="34" t="str">
        <f t="shared" si="19"/>
        <v/>
      </c>
      <c r="K618" s="46"/>
    </row>
    <row r="619" spans="1:11" ht="23.1" customHeight="1">
      <c r="A619" s="170" t="str">
        <f>IF($B619="","",MAX($A$3:A618)+1)</f>
        <v/>
      </c>
      <c r="B619" s="176"/>
      <c r="C619" s="177"/>
      <c r="D619" s="279"/>
      <c r="E619" s="178"/>
      <c r="F619" s="172" t="str">
        <f>IF($B619="","",SUMIFS('Daily Inward'!$G:$G,'Daily Inward'!$C:$C,$B619,'Daily Inward'!$E:$E,"Inventory"))</f>
        <v/>
      </c>
      <c r="G619" s="44" t="str">
        <f>IF($B619="","",SUMIFS('Daily Issuance'!$G:$G,'Daily Issuance'!$C:$C,$B619,'Daily Issuance'!$E:$E,"Inventory"))</f>
        <v/>
      </c>
      <c r="H619" s="44" t="str">
        <f t="shared" si="18"/>
        <v/>
      </c>
      <c r="I619" s="33"/>
      <c r="J619" s="34" t="str">
        <f t="shared" si="19"/>
        <v/>
      </c>
      <c r="K619" s="46"/>
    </row>
    <row r="620" spans="1:11" ht="23.1" customHeight="1">
      <c r="A620" s="170" t="str">
        <f>IF($B620="","",MAX($A$3:A619)+1)</f>
        <v/>
      </c>
      <c r="B620" s="176"/>
      <c r="C620" s="177"/>
      <c r="D620" s="279"/>
      <c r="E620" s="178"/>
      <c r="F620" s="172" t="str">
        <f>IF($B620="","",SUMIFS('Daily Inward'!$G:$G,'Daily Inward'!$C:$C,$B620,'Daily Inward'!$E:$E,"Inventory"))</f>
        <v/>
      </c>
      <c r="G620" s="44" t="str">
        <f>IF($B620="","",SUMIFS('Daily Issuance'!$G:$G,'Daily Issuance'!$C:$C,$B620,'Daily Issuance'!$E:$E,"Inventory"))</f>
        <v/>
      </c>
      <c r="H620" s="44" t="str">
        <f t="shared" si="18"/>
        <v/>
      </c>
      <c r="I620" s="33"/>
      <c r="J620" s="34" t="str">
        <f t="shared" si="19"/>
        <v/>
      </c>
      <c r="K620" s="46"/>
    </row>
    <row r="621" spans="1:11" ht="23.1" customHeight="1">
      <c r="A621" s="170" t="str">
        <f>IF($B621="","",MAX($A$3:A620)+1)</f>
        <v/>
      </c>
      <c r="B621" s="176"/>
      <c r="C621" s="177"/>
      <c r="D621" s="279"/>
      <c r="E621" s="178"/>
      <c r="F621" s="172" t="str">
        <f>IF($B621="","",SUMIFS('Daily Inward'!$G:$G,'Daily Inward'!$C:$C,$B621,'Daily Inward'!$E:$E,"Inventory"))</f>
        <v/>
      </c>
      <c r="G621" s="44" t="str">
        <f>IF($B621="","",SUMIFS('Daily Issuance'!$G:$G,'Daily Issuance'!$C:$C,$B621,'Daily Issuance'!$E:$E,"Inventory"))</f>
        <v/>
      </c>
      <c r="H621" s="44" t="str">
        <f t="shared" si="18"/>
        <v/>
      </c>
      <c r="I621" s="33"/>
      <c r="J621" s="34" t="str">
        <f t="shared" si="19"/>
        <v/>
      </c>
      <c r="K621" s="46"/>
    </row>
    <row r="622" spans="1:11" ht="23.1" customHeight="1">
      <c r="A622" s="170" t="str">
        <f>IF($B622="","",MAX($A$3:A621)+1)</f>
        <v/>
      </c>
      <c r="B622" s="176"/>
      <c r="C622" s="177"/>
      <c r="D622" s="279"/>
      <c r="E622" s="178"/>
      <c r="F622" s="172" t="str">
        <f>IF($B622="","",SUMIFS('Daily Inward'!$G:$G,'Daily Inward'!$C:$C,$B622,'Daily Inward'!$E:$E,"Inventory"))</f>
        <v/>
      </c>
      <c r="G622" s="44" t="str">
        <f>IF($B622="","",SUMIFS('Daily Issuance'!$G:$G,'Daily Issuance'!$C:$C,$B622,'Daily Issuance'!$E:$E,"Inventory"))</f>
        <v/>
      </c>
      <c r="H622" s="44" t="str">
        <f t="shared" si="18"/>
        <v/>
      </c>
      <c r="I622" s="33"/>
      <c r="J622" s="34" t="str">
        <f t="shared" si="19"/>
        <v/>
      </c>
      <c r="K622" s="46"/>
    </row>
    <row r="623" spans="1:11" ht="23.1" customHeight="1">
      <c r="A623" s="170" t="str">
        <f>IF($B623="","",MAX($A$3:A622)+1)</f>
        <v/>
      </c>
      <c r="B623" s="176"/>
      <c r="C623" s="177"/>
      <c r="D623" s="279"/>
      <c r="E623" s="178"/>
      <c r="F623" s="172" t="str">
        <f>IF($B623="","",SUMIFS('Daily Inward'!$G:$G,'Daily Inward'!$C:$C,$B623,'Daily Inward'!$E:$E,"Inventory"))</f>
        <v/>
      </c>
      <c r="G623" s="44" t="str">
        <f>IF($B623="","",SUMIFS('Daily Issuance'!$G:$G,'Daily Issuance'!$C:$C,$B623,'Daily Issuance'!$E:$E,"Inventory"))</f>
        <v/>
      </c>
      <c r="H623" s="44" t="str">
        <f t="shared" si="18"/>
        <v/>
      </c>
      <c r="I623" s="33"/>
      <c r="J623" s="34" t="str">
        <f t="shared" si="19"/>
        <v/>
      </c>
      <c r="K623" s="46"/>
    </row>
    <row r="624" spans="1:11" ht="23.1" customHeight="1">
      <c r="A624" s="170" t="str">
        <f>IF($B624="","",MAX($A$3:A623)+1)</f>
        <v/>
      </c>
      <c r="B624" s="176"/>
      <c r="C624" s="177"/>
      <c r="D624" s="279"/>
      <c r="E624" s="178"/>
      <c r="F624" s="172" t="str">
        <f>IF($B624="","",SUMIFS('Daily Inward'!$G:$G,'Daily Inward'!$C:$C,$B624,'Daily Inward'!$E:$E,"Inventory"))</f>
        <v/>
      </c>
      <c r="G624" s="44" t="str">
        <f>IF($B624="","",SUMIFS('Daily Issuance'!$G:$G,'Daily Issuance'!$C:$C,$B624,'Daily Issuance'!$E:$E,"Inventory"))</f>
        <v/>
      </c>
      <c r="H624" s="44" t="str">
        <f t="shared" si="18"/>
        <v/>
      </c>
      <c r="I624" s="33"/>
      <c r="J624" s="34" t="str">
        <f t="shared" si="19"/>
        <v/>
      </c>
      <c r="K624" s="46"/>
    </row>
    <row r="625" spans="1:11" ht="23.1" customHeight="1">
      <c r="A625" s="170" t="str">
        <f>IF($B625="","",MAX($A$3:A624)+1)</f>
        <v/>
      </c>
      <c r="B625" s="176"/>
      <c r="C625" s="177"/>
      <c r="D625" s="279"/>
      <c r="E625" s="178"/>
      <c r="F625" s="172" t="str">
        <f>IF($B625="","",SUMIFS('Daily Inward'!$G:$G,'Daily Inward'!$C:$C,$B625,'Daily Inward'!$E:$E,"Inventory"))</f>
        <v/>
      </c>
      <c r="G625" s="44" t="str">
        <f>IF($B625="","",SUMIFS('Daily Issuance'!$G:$G,'Daily Issuance'!$C:$C,$B625,'Daily Issuance'!$E:$E,"Inventory"))</f>
        <v/>
      </c>
      <c r="H625" s="44" t="str">
        <f t="shared" si="18"/>
        <v/>
      </c>
      <c r="I625" s="33"/>
      <c r="J625" s="34" t="str">
        <f t="shared" si="19"/>
        <v/>
      </c>
      <c r="K625" s="46"/>
    </row>
    <row r="626" spans="1:11" ht="23.1" customHeight="1">
      <c r="A626" s="170" t="str">
        <f>IF($B626="","",MAX($A$3:A625)+1)</f>
        <v/>
      </c>
      <c r="B626" s="176"/>
      <c r="C626" s="177"/>
      <c r="D626" s="279"/>
      <c r="E626" s="178"/>
      <c r="F626" s="172" t="str">
        <f>IF($B626="","",SUMIFS('Daily Inward'!$G:$G,'Daily Inward'!$C:$C,$B626,'Daily Inward'!$E:$E,"Inventory"))</f>
        <v/>
      </c>
      <c r="G626" s="44" t="str">
        <f>IF($B626="","",SUMIFS('Daily Issuance'!$G:$G,'Daily Issuance'!$C:$C,$B626,'Daily Issuance'!$E:$E,"Inventory"))</f>
        <v/>
      </c>
      <c r="H626" s="44" t="str">
        <f t="shared" si="18"/>
        <v/>
      </c>
      <c r="I626" s="33"/>
      <c r="J626" s="34" t="str">
        <f t="shared" si="19"/>
        <v/>
      </c>
      <c r="K626" s="46"/>
    </row>
    <row r="627" spans="1:11" ht="23.1" customHeight="1">
      <c r="A627" s="170" t="str">
        <f>IF($B627="","",MAX($A$3:A626)+1)</f>
        <v/>
      </c>
      <c r="B627" s="176"/>
      <c r="C627" s="177"/>
      <c r="D627" s="279"/>
      <c r="E627" s="178"/>
      <c r="F627" s="172" t="str">
        <f>IF($B627="","",SUMIFS('Daily Inward'!$G:$G,'Daily Inward'!$C:$C,$B627,'Daily Inward'!$E:$E,"Inventory"))</f>
        <v/>
      </c>
      <c r="G627" s="44" t="str">
        <f>IF($B627="","",SUMIFS('Daily Issuance'!$G:$G,'Daily Issuance'!$C:$C,$B627,'Daily Issuance'!$E:$E,"Inventory"))</f>
        <v/>
      </c>
      <c r="H627" s="44" t="str">
        <f t="shared" si="18"/>
        <v/>
      </c>
      <c r="I627" s="33"/>
      <c r="J627" s="34" t="str">
        <f t="shared" si="19"/>
        <v/>
      </c>
      <c r="K627" s="46"/>
    </row>
    <row r="628" spans="1:11" ht="23.1" customHeight="1">
      <c r="A628" s="170" t="str">
        <f>IF($B628="","",MAX($A$3:A627)+1)</f>
        <v/>
      </c>
      <c r="B628" s="176"/>
      <c r="C628" s="177"/>
      <c r="D628" s="279"/>
      <c r="E628" s="178"/>
      <c r="F628" s="172" t="str">
        <f>IF($B628="","",SUMIFS('Daily Inward'!$G:$G,'Daily Inward'!$C:$C,$B628,'Daily Inward'!$E:$E,"Inventory"))</f>
        <v/>
      </c>
      <c r="G628" s="44" t="str">
        <f>IF($B628="","",SUMIFS('Daily Issuance'!$G:$G,'Daily Issuance'!$C:$C,$B628,'Daily Issuance'!$E:$E,"Inventory"))</f>
        <v/>
      </c>
      <c r="H628" s="44" t="str">
        <f t="shared" si="18"/>
        <v/>
      </c>
      <c r="I628" s="33"/>
      <c r="J628" s="34" t="str">
        <f t="shared" si="19"/>
        <v/>
      </c>
      <c r="K628" s="46"/>
    </row>
    <row r="629" spans="1:11" ht="23.1" customHeight="1">
      <c r="A629" s="170" t="str">
        <f>IF($B629="","",MAX($A$3:A628)+1)</f>
        <v/>
      </c>
      <c r="B629" s="176"/>
      <c r="C629" s="177"/>
      <c r="D629" s="279"/>
      <c r="E629" s="178"/>
      <c r="F629" s="172" t="str">
        <f>IF($B629="","",SUMIFS('Daily Inward'!$G:$G,'Daily Inward'!$C:$C,$B629,'Daily Inward'!$E:$E,"Inventory"))</f>
        <v/>
      </c>
      <c r="G629" s="44" t="str">
        <f>IF($B629="","",SUMIFS('Daily Issuance'!$G:$G,'Daily Issuance'!$C:$C,$B629,'Daily Issuance'!$E:$E,"Inventory"))</f>
        <v/>
      </c>
      <c r="H629" s="44" t="str">
        <f t="shared" si="18"/>
        <v/>
      </c>
      <c r="I629" s="33"/>
      <c r="J629" s="34" t="str">
        <f t="shared" si="19"/>
        <v/>
      </c>
      <c r="K629" s="46"/>
    </row>
    <row r="630" spans="1:11" ht="23.1" customHeight="1">
      <c r="A630" s="170" t="str">
        <f>IF($B630="","",MAX($A$3:A629)+1)</f>
        <v/>
      </c>
      <c r="B630" s="176"/>
      <c r="C630" s="177"/>
      <c r="D630" s="279"/>
      <c r="E630" s="178"/>
      <c r="F630" s="172" t="str">
        <f>IF($B630="","",SUMIFS('Daily Inward'!$G:$G,'Daily Inward'!$C:$C,$B630,'Daily Inward'!$E:$E,"Inventory"))</f>
        <v/>
      </c>
      <c r="G630" s="44" t="str">
        <f>IF($B630="","",SUMIFS('Daily Issuance'!$G:$G,'Daily Issuance'!$C:$C,$B630,'Daily Issuance'!$E:$E,"Inventory"))</f>
        <v/>
      </c>
      <c r="H630" s="44" t="str">
        <f t="shared" si="18"/>
        <v/>
      </c>
      <c r="I630" s="33"/>
      <c r="J630" s="34" t="str">
        <f t="shared" si="19"/>
        <v/>
      </c>
      <c r="K630" s="46"/>
    </row>
    <row r="631" spans="1:11" ht="23.1" customHeight="1">
      <c r="A631" s="170" t="str">
        <f>IF($B631="","",MAX($A$3:A630)+1)</f>
        <v/>
      </c>
      <c r="B631" s="176"/>
      <c r="C631" s="177"/>
      <c r="D631" s="279"/>
      <c r="E631" s="178"/>
      <c r="F631" s="172" t="str">
        <f>IF($B631="","",SUMIFS('Daily Inward'!$G:$G,'Daily Inward'!$C:$C,$B631,'Daily Inward'!$E:$E,"Inventory"))</f>
        <v/>
      </c>
      <c r="G631" s="44" t="str">
        <f>IF($B631="","",SUMIFS('Daily Issuance'!$G:$G,'Daily Issuance'!$C:$C,$B631,'Daily Issuance'!$E:$E,"Inventory"))</f>
        <v/>
      </c>
      <c r="H631" s="44" t="str">
        <f t="shared" si="18"/>
        <v/>
      </c>
      <c r="I631" s="33"/>
      <c r="J631" s="34" t="str">
        <f t="shared" si="19"/>
        <v/>
      </c>
      <c r="K631" s="46"/>
    </row>
    <row r="632" spans="1:11" ht="23.1" customHeight="1">
      <c r="A632" s="170" t="str">
        <f>IF($B632="","",MAX($A$3:A631)+1)</f>
        <v/>
      </c>
      <c r="B632" s="176"/>
      <c r="C632" s="177"/>
      <c r="D632" s="279"/>
      <c r="E632" s="178"/>
      <c r="F632" s="172" t="str">
        <f>IF($B632="","",SUMIFS('Daily Inward'!$G:$G,'Daily Inward'!$C:$C,$B632,'Daily Inward'!$E:$E,"Inventory"))</f>
        <v/>
      </c>
      <c r="G632" s="44" t="str">
        <f>IF($B632="","",SUMIFS('Daily Issuance'!$G:$G,'Daily Issuance'!$C:$C,$B632,'Daily Issuance'!$E:$E,"Inventory"))</f>
        <v/>
      </c>
      <c r="H632" s="44" t="str">
        <f t="shared" si="18"/>
        <v/>
      </c>
      <c r="I632" s="33"/>
      <c r="J632" s="34" t="str">
        <f t="shared" si="19"/>
        <v/>
      </c>
      <c r="K632" s="46"/>
    </row>
    <row r="633" spans="1:11" ht="23.1" customHeight="1">
      <c r="A633" s="170" t="str">
        <f>IF($B633="","",MAX($A$3:A632)+1)</f>
        <v/>
      </c>
      <c r="B633" s="176"/>
      <c r="C633" s="177"/>
      <c r="D633" s="279"/>
      <c r="E633" s="178"/>
      <c r="F633" s="172" t="str">
        <f>IF($B633="","",SUMIFS('Daily Inward'!$G:$G,'Daily Inward'!$C:$C,$B633,'Daily Inward'!$E:$E,"Inventory"))</f>
        <v/>
      </c>
      <c r="G633" s="44" t="str">
        <f>IF($B633="","",SUMIFS('Daily Issuance'!$G:$G,'Daily Issuance'!$C:$C,$B633,'Daily Issuance'!$E:$E,"Inventory"))</f>
        <v/>
      </c>
      <c r="H633" s="44" t="str">
        <f t="shared" si="18"/>
        <v/>
      </c>
      <c r="I633" s="33"/>
      <c r="J633" s="34" t="str">
        <f t="shared" si="19"/>
        <v/>
      </c>
      <c r="K633" s="46"/>
    </row>
    <row r="634" spans="1:11" ht="23.1" customHeight="1">
      <c r="A634" s="170" t="str">
        <f>IF($B634="","",MAX($A$3:A633)+1)</f>
        <v/>
      </c>
      <c r="B634" s="176"/>
      <c r="C634" s="177"/>
      <c r="D634" s="279"/>
      <c r="E634" s="178"/>
      <c r="F634" s="172" t="str">
        <f>IF($B634="","",SUMIFS('Daily Inward'!$G:$G,'Daily Inward'!$C:$C,$B634,'Daily Inward'!$E:$E,"Inventory"))</f>
        <v/>
      </c>
      <c r="G634" s="44" t="str">
        <f>IF($B634="","",SUMIFS('Daily Issuance'!$G:$G,'Daily Issuance'!$C:$C,$B634,'Daily Issuance'!$E:$E,"Inventory"))</f>
        <v/>
      </c>
      <c r="H634" s="44" t="str">
        <f t="shared" si="18"/>
        <v/>
      </c>
      <c r="I634" s="33"/>
      <c r="J634" s="34" t="str">
        <f t="shared" si="19"/>
        <v/>
      </c>
      <c r="K634" s="46"/>
    </row>
    <row r="635" spans="1:11" ht="23.1" customHeight="1">
      <c r="A635" s="170" t="str">
        <f>IF($B635="","",MAX($A$3:A634)+1)</f>
        <v/>
      </c>
      <c r="B635" s="176"/>
      <c r="C635" s="177"/>
      <c r="D635" s="279"/>
      <c r="E635" s="178"/>
      <c r="F635" s="172" t="str">
        <f>IF($B635="","",SUMIFS('Daily Inward'!$G:$G,'Daily Inward'!$C:$C,$B635,'Daily Inward'!$E:$E,"Inventory"))</f>
        <v/>
      </c>
      <c r="G635" s="44" t="str">
        <f>IF($B635="","",SUMIFS('Daily Issuance'!$G:$G,'Daily Issuance'!$C:$C,$B635,'Daily Issuance'!$E:$E,"Inventory"))</f>
        <v/>
      </c>
      <c r="H635" s="44" t="str">
        <f t="shared" si="18"/>
        <v/>
      </c>
      <c r="I635" s="33"/>
      <c r="J635" s="34" t="str">
        <f t="shared" si="19"/>
        <v/>
      </c>
      <c r="K635" s="46"/>
    </row>
    <row r="636" spans="1:11" ht="23.1" customHeight="1">
      <c r="A636" s="170" t="str">
        <f>IF($B636="","",MAX($A$3:A635)+1)</f>
        <v/>
      </c>
      <c r="B636" s="176"/>
      <c r="C636" s="177"/>
      <c r="D636" s="279"/>
      <c r="E636" s="178"/>
      <c r="F636" s="172" t="str">
        <f>IF($B636="","",SUMIFS('Daily Inward'!$G:$G,'Daily Inward'!$C:$C,$B636,'Daily Inward'!$E:$E,"Inventory"))</f>
        <v/>
      </c>
      <c r="G636" s="44" t="str">
        <f>IF($B636="","",SUMIFS('Daily Issuance'!$G:$G,'Daily Issuance'!$C:$C,$B636,'Daily Issuance'!$E:$E,"Inventory"))</f>
        <v/>
      </c>
      <c r="H636" s="44" t="str">
        <f t="shared" si="18"/>
        <v/>
      </c>
      <c r="I636" s="33"/>
      <c r="J636" s="34" t="str">
        <f t="shared" si="19"/>
        <v/>
      </c>
      <c r="K636" s="46"/>
    </row>
    <row r="637" spans="1:11" ht="23.1" customHeight="1">
      <c r="A637" s="170" t="str">
        <f>IF($B637="","",MAX($A$3:A636)+1)</f>
        <v/>
      </c>
      <c r="B637" s="176"/>
      <c r="C637" s="177"/>
      <c r="D637" s="279"/>
      <c r="E637" s="178"/>
      <c r="F637" s="172" t="str">
        <f>IF($B637="","",SUMIFS('Daily Inward'!$G:$G,'Daily Inward'!$C:$C,$B637,'Daily Inward'!$E:$E,"Inventory"))</f>
        <v/>
      </c>
      <c r="G637" s="44" t="str">
        <f>IF($B637="","",SUMIFS('Daily Issuance'!$G:$G,'Daily Issuance'!$C:$C,$B637,'Daily Issuance'!$E:$E,"Inventory"))</f>
        <v/>
      </c>
      <c r="H637" s="44" t="str">
        <f t="shared" si="18"/>
        <v/>
      </c>
      <c r="I637" s="33"/>
      <c r="J637" s="34" t="str">
        <f t="shared" si="19"/>
        <v/>
      </c>
      <c r="K637" s="46"/>
    </row>
    <row r="638" spans="1:11" ht="23.1" customHeight="1">
      <c r="A638" s="170" t="str">
        <f>IF($B638="","",MAX($A$3:A637)+1)</f>
        <v/>
      </c>
      <c r="B638" s="176"/>
      <c r="C638" s="177"/>
      <c r="D638" s="279"/>
      <c r="E638" s="178"/>
      <c r="F638" s="172" t="str">
        <f>IF($B638="","",SUMIFS('Daily Inward'!$G:$G,'Daily Inward'!$C:$C,$B638,'Daily Inward'!$E:$E,"Inventory"))</f>
        <v/>
      </c>
      <c r="G638" s="44" t="str">
        <f>IF($B638="","",SUMIFS('Daily Issuance'!$G:$G,'Daily Issuance'!$C:$C,$B638,'Daily Issuance'!$E:$E,"Inventory"))</f>
        <v/>
      </c>
      <c r="H638" s="44" t="str">
        <f t="shared" si="18"/>
        <v/>
      </c>
      <c r="I638" s="33"/>
      <c r="J638" s="34" t="str">
        <f t="shared" si="19"/>
        <v/>
      </c>
      <c r="K638" s="46"/>
    </row>
    <row r="639" spans="1:11" ht="23.1" customHeight="1">
      <c r="A639" s="170" t="str">
        <f>IF($B639="","",MAX($A$3:A638)+1)</f>
        <v/>
      </c>
      <c r="B639" s="176"/>
      <c r="C639" s="177"/>
      <c r="D639" s="279"/>
      <c r="E639" s="178"/>
      <c r="F639" s="172" t="str">
        <f>IF($B639="","",SUMIFS('Daily Inward'!$G:$G,'Daily Inward'!$C:$C,$B639,'Daily Inward'!$E:$E,"Inventory"))</f>
        <v/>
      </c>
      <c r="G639" s="44" t="str">
        <f>IF($B639="","",SUMIFS('Daily Issuance'!$G:$G,'Daily Issuance'!$C:$C,$B639,'Daily Issuance'!$E:$E,"Inventory"))</f>
        <v/>
      </c>
      <c r="H639" s="44" t="str">
        <f t="shared" si="18"/>
        <v/>
      </c>
      <c r="I639" s="33"/>
      <c r="J639" s="34" t="str">
        <f t="shared" si="19"/>
        <v/>
      </c>
      <c r="K639" s="46"/>
    </row>
    <row r="640" spans="1:11" ht="23.1" customHeight="1">
      <c r="A640" s="170" t="str">
        <f>IF($B640="","",MAX($A$3:A639)+1)</f>
        <v/>
      </c>
      <c r="B640" s="176"/>
      <c r="C640" s="177"/>
      <c r="D640" s="279"/>
      <c r="E640" s="178"/>
      <c r="F640" s="172" t="str">
        <f>IF($B640="","",SUMIFS('Daily Inward'!$G:$G,'Daily Inward'!$C:$C,$B640,'Daily Inward'!$E:$E,"Inventory"))</f>
        <v/>
      </c>
      <c r="G640" s="44" t="str">
        <f>IF($B640="","",SUMIFS('Daily Issuance'!$G:$G,'Daily Issuance'!$C:$C,$B640,'Daily Issuance'!$E:$E,"Inventory"))</f>
        <v/>
      </c>
      <c r="H640" s="44" t="str">
        <f t="shared" si="18"/>
        <v/>
      </c>
      <c r="I640" s="33"/>
      <c r="J640" s="34" t="str">
        <f t="shared" si="19"/>
        <v/>
      </c>
      <c r="K640" s="46"/>
    </row>
    <row r="641" spans="1:11" ht="23.1" customHeight="1">
      <c r="A641" s="170" t="str">
        <f>IF($B641="","",MAX($A$3:A640)+1)</f>
        <v/>
      </c>
      <c r="B641" s="176"/>
      <c r="C641" s="177"/>
      <c r="D641" s="279"/>
      <c r="E641" s="178"/>
      <c r="F641" s="172" t="str">
        <f>IF($B641="","",SUMIFS('Daily Inward'!$G:$G,'Daily Inward'!$C:$C,$B641,'Daily Inward'!$E:$E,"Inventory"))</f>
        <v/>
      </c>
      <c r="G641" s="44" t="str">
        <f>IF($B641="","",SUMIFS('Daily Issuance'!$G:$G,'Daily Issuance'!$C:$C,$B641,'Daily Issuance'!$E:$E,"Inventory"))</f>
        <v/>
      </c>
      <c r="H641" s="44" t="str">
        <f t="shared" si="18"/>
        <v/>
      </c>
      <c r="I641" s="33"/>
      <c r="J641" s="34" t="str">
        <f t="shared" si="19"/>
        <v/>
      </c>
      <c r="K641" s="46"/>
    </row>
    <row r="642" spans="1:11" ht="23.1" customHeight="1">
      <c r="A642" s="170" t="str">
        <f>IF($B642="","",MAX($A$3:A641)+1)</f>
        <v/>
      </c>
      <c r="B642" s="176"/>
      <c r="C642" s="177"/>
      <c r="D642" s="279"/>
      <c r="E642" s="178"/>
      <c r="F642" s="172" t="str">
        <f>IF($B642="","",SUMIFS('Daily Inward'!$G:$G,'Daily Inward'!$C:$C,$B642,'Daily Inward'!$E:$E,"Inventory"))</f>
        <v/>
      </c>
      <c r="G642" s="44" t="str">
        <f>IF($B642="","",SUMIFS('Daily Issuance'!$G:$G,'Daily Issuance'!$C:$C,$B642,'Daily Issuance'!$E:$E,"Inventory"))</f>
        <v/>
      </c>
      <c r="H642" s="44" t="str">
        <f t="shared" si="18"/>
        <v/>
      </c>
      <c r="I642" s="33"/>
      <c r="J642" s="34" t="str">
        <f t="shared" si="19"/>
        <v/>
      </c>
      <c r="K642" s="46"/>
    </row>
    <row r="643" spans="1:11" ht="23.1" customHeight="1">
      <c r="A643" s="170" t="str">
        <f>IF($B643="","",MAX($A$3:A642)+1)</f>
        <v/>
      </c>
      <c r="B643" s="176"/>
      <c r="C643" s="177"/>
      <c r="D643" s="279"/>
      <c r="E643" s="178"/>
      <c r="F643" s="172" t="str">
        <f>IF($B643="","",SUMIFS('Daily Inward'!$G:$G,'Daily Inward'!$C:$C,$B643,'Daily Inward'!$E:$E,"Inventory"))</f>
        <v/>
      </c>
      <c r="G643" s="44" t="str">
        <f>IF($B643="","",SUMIFS('Daily Issuance'!$G:$G,'Daily Issuance'!$C:$C,$B643,'Daily Issuance'!$E:$E,"Inventory"))</f>
        <v/>
      </c>
      <c r="H643" s="44" t="str">
        <f t="shared" ref="H643:H706" si="20">IF($B643="","",N(E643)+N(F643)-N(G643))</f>
        <v/>
      </c>
      <c r="I643" s="33"/>
      <c r="J643" s="34" t="str">
        <f t="shared" ref="J643:J706" si="21">IF($B643="","",H643*I643)</f>
        <v/>
      </c>
      <c r="K643" s="46"/>
    </row>
    <row r="644" spans="1:11" ht="23.1" customHeight="1">
      <c r="A644" s="170" t="str">
        <f>IF($B644="","",MAX($A$3:A643)+1)</f>
        <v/>
      </c>
      <c r="B644" s="176"/>
      <c r="C644" s="177"/>
      <c r="D644" s="279"/>
      <c r="E644" s="178"/>
      <c r="F644" s="172" t="str">
        <f>IF($B644="","",SUMIFS('Daily Inward'!$G:$G,'Daily Inward'!$C:$C,$B644,'Daily Inward'!$E:$E,"Inventory"))</f>
        <v/>
      </c>
      <c r="G644" s="44" t="str">
        <f>IF($B644="","",SUMIFS('Daily Issuance'!$G:$G,'Daily Issuance'!$C:$C,$B644,'Daily Issuance'!$E:$E,"Inventory"))</f>
        <v/>
      </c>
      <c r="H644" s="44" t="str">
        <f t="shared" si="20"/>
        <v/>
      </c>
      <c r="I644" s="33"/>
      <c r="J644" s="34" t="str">
        <f t="shared" si="21"/>
        <v/>
      </c>
      <c r="K644" s="46"/>
    </row>
    <row r="645" spans="1:11" ht="23.1" customHeight="1">
      <c r="A645" s="170" t="str">
        <f>IF($B645="","",MAX($A$3:A644)+1)</f>
        <v/>
      </c>
      <c r="B645" s="176"/>
      <c r="C645" s="177"/>
      <c r="D645" s="279"/>
      <c r="E645" s="178"/>
      <c r="F645" s="172" t="str">
        <f>IF($B645="","",SUMIFS('Daily Inward'!$G:$G,'Daily Inward'!$C:$C,$B645,'Daily Inward'!$E:$E,"Inventory"))</f>
        <v/>
      </c>
      <c r="G645" s="44" t="str">
        <f>IF($B645="","",SUMIFS('Daily Issuance'!$G:$G,'Daily Issuance'!$C:$C,$B645,'Daily Issuance'!$E:$E,"Inventory"))</f>
        <v/>
      </c>
      <c r="H645" s="44" t="str">
        <f t="shared" si="20"/>
        <v/>
      </c>
      <c r="I645" s="33"/>
      <c r="J645" s="34" t="str">
        <f t="shared" si="21"/>
        <v/>
      </c>
      <c r="K645" s="46"/>
    </row>
    <row r="646" spans="1:11" ht="23.1" customHeight="1">
      <c r="A646" s="170" t="str">
        <f>IF($B646="","",MAX($A$3:A645)+1)</f>
        <v/>
      </c>
      <c r="B646" s="176"/>
      <c r="C646" s="177"/>
      <c r="D646" s="279"/>
      <c r="E646" s="178"/>
      <c r="F646" s="172" t="str">
        <f>IF($B646="","",SUMIFS('Daily Inward'!$G:$G,'Daily Inward'!$C:$C,$B646,'Daily Inward'!$E:$E,"Inventory"))</f>
        <v/>
      </c>
      <c r="G646" s="44" t="str">
        <f>IF($B646="","",SUMIFS('Daily Issuance'!$G:$G,'Daily Issuance'!$C:$C,$B646,'Daily Issuance'!$E:$E,"Inventory"))</f>
        <v/>
      </c>
      <c r="H646" s="44" t="str">
        <f t="shared" si="20"/>
        <v/>
      </c>
      <c r="I646" s="33"/>
      <c r="J646" s="34" t="str">
        <f t="shared" si="21"/>
        <v/>
      </c>
      <c r="K646" s="46"/>
    </row>
    <row r="647" spans="1:11" ht="23.1" customHeight="1">
      <c r="A647" s="170" t="str">
        <f>IF($B647="","",MAX($A$3:A646)+1)</f>
        <v/>
      </c>
      <c r="B647" s="176"/>
      <c r="C647" s="177"/>
      <c r="D647" s="279"/>
      <c r="E647" s="178"/>
      <c r="F647" s="172" t="str">
        <f>IF($B647="","",SUMIFS('Daily Inward'!$G:$G,'Daily Inward'!$C:$C,$B647,'Daily Inward'!$E:$E,"Inventory"))</f>
        <v/>
      </c>
      <c r="G647" s="44" t="str">
        <f>IF($B647="","",SUMIFS('Daily Issuance'!$G:$G,'Daily Issuance'!$C:$C,$B647,'Daily Issuance'!$E:$E,"Inventory"))</f>
        <v/>
      </c>
      <c r="H647" s="44" t="str">
        <f t="shared" si="20"/>
        <v/>
      </c>
      <c r="I647" s="33"/>
      <c r="J647" s="34" t="str">
        <f t="shared" si="21"/>
        <v/>
      </c>
      <c r="K647" s="46"/>
    </row>
    <row r="648" spans="1:11" ht="23.1" customHeight="1">
      <c r="A648" s="170" t="str">
        <f>IF($B648="","",MAX($A$3:A647)+1)</f>
        <v/>
      </c>
      <c r="B648" s="176"/>
      <c r="C648" s="177"/>
      <c r="D648" s="279"/>
      <c r="E648" s="178"/>
      <c r="F648" s="172" t="str">
        <f>IF($B648="","",SUMIFS('Daily Inward'!$G:$G,'Daily Inward'!$C:$C,$B648,'Daily Inward'!$E:$E,"Inventory"))</f>
        <v/>
      </c>
      <c r="G648" s="44" t="str">
        <f>IF($B648="","",SUMIFS('Daily Issuance'!$G:$G,'Daily Issuance'!$C:$C,$B648,'Daily Issuance'!$E:$E,"Inventory"))</f>
        <v/>
      </c>
      <c r="H648" s="44" t="str">
        <f t="shared" si="20"/>
        <v/>
      </c>
      <c r="I648" s="33"/>
      <c r="J648" s="34" t="str">
        <f t="shared" si="21"/>
        <v/>
      </c>
      <c r="K648" s="46"/>
    </row>
    <row r="649" spans="1:11" ht="23.1" customHeight="1">
      <c r="A649" s="170" t="str">
        <f>IF($B649="","",MAX($A$3:A648)+1)</f>
        <v/>
      </c>
      <c r="B649" s="176"/>
      <c r="C649" s="177"/>
      <c r="D649" s="279"/>
      <c r="E649" s="178"/>
      <c r="F649" s="172" t="str">
        <f>IF($B649="","",SUMIFS('Daily Inward'!$G:$G,'Daily Inward'!$C:$C,$B649,'Daily Inward'!$E:$E,"Inventory"))</f>
        <v/>
      </c>
      <c r="G649" s="44" t="str">
        <f>IF($B649="","",SUMIFS('Daily Issuance'!$G:$G,'Daily Issuance'!$C:$C,$B649,'Daily Issuance'!$E:$E,"Inventory"))</f>
        <v/>
      </c>
      <c r="H649" s="44" t="str">
        <f t="shared" si="20"/>
        <v/>
      </c>
      <c r="I649" s="33"/>
      <c r="J649" s="34" t="str">
        <f t="shared" si="21"/>
        <v/>
      </c>
      <c r="K649" s="46"/>
    </row>
    <row r="650" spans="1:11" ht="23.1" customHeight="1">
      <c r="A650" s="170" t="str">
        <f>IF($B650="","",MAX($A$3:A649)+1)</f>
        <v/>
      </c>
      <c r="B650" s="176"/>
      <c r="C650" s="177"/>
      <c r="D650" s="279"/>
      <c r="E650" s="178"/>
      <c r="F650" s="172" t="str">
        <f>IF($B650="","",SUMIFS('Daily Inward'!$G:$G,'Daily Inward'!$C:$C,$B650,'Daily Inward'!$E:$E,"Inventory"))</f>
        <v/>
      </c>
      <c r="G650" s="44" t="str">
        <f>IF($B650="","",SUMIFS('Daily Issuance'!$G:$G,'Daily Issuance'!$C:$C,$B650,'Daily Issuance'!$E:$E,"Inventory"))</f>
        <v/>
      </c>
      <c r="H650" s="44" t="str">
        <f t="shared" si="20"/>
        <v/>
      </c>
      <c r="I650" s="33"/>
      <c r="J650" s="34" t="str">
        <f t="shared" si="21"/>
        <v/>
      </c>
      <c r="K650" s="46"/>
    </row>
    <row r="651" spans="1:11" ht="23.1" customHeight="1">
      <c r="A651" s="170" t="str">
        <f>IF($B651="","",MAX($A$3:A650)+1)</f>
        <v/>
      </c>
      <c r="B651" s="176"/>
      <c r="C651" s="177"/>
      <c r="D651" s="279"/>
      <c r="E651" s="178"/>
      <c r="F651" s="172" t="str">
        <f>IF($B651="","",SUMIFS('Daily Inward'!$G:$G,'Daily Inward'!$C:$C,$B651,'Daily Inward'!$E:$E,"Inventory"))</f>
        <v/>
      </c>
      <c r="G651" s="44" t="str">
        <f>IF($B651="","",SUMIFS('Daily Issuance'!$G:$G,'Daily Issuance'!$C:$C,$B651,'Daily Issuance'!$E:$E,"Inventory"))</f>
        <v/>
      </c>
      <c r="H651" s="44" t="str">
        <f t="shared" si="20"/>
        <v/>
      </c>
      <c r="I651" s="33"/>
      <c r="J651" s="34" t="str">
        <f t="shared" si="21"/>
        <v/>
      </c>
      <c r="K651" s="46"/>
    </row>
    <row r="652" spans="1:11" ht="23.1" customHeight="1">
      <c r="A652" s="170" t="str">
        <f>IF($B652="","",MAX($A$3:A651)+1)</f>
        <v/>
      </c>
      <c r="B652" s="176"/>
      <c r="C652" s="177"/>
      <c r="D652" s="279"/>
      <c r="E652" s="178"/>
      <c r="F652" s="172" t="str">
        <f>IF($B652="","",SUMIFS('Daily Inward'!$G:$G,'Daily Inward'!$C:$C,$B652,'Daily Inward'!$E:$E,"Inventory"))</f>
        <v/>
      </c>
      <c r="G652" s="44" t="str">
        <f>IF($B652="","",SUMIFS('Daily Issuance'!$G:$G,'Daily Issuance'!$C:$C,$B652,'Daily Issuance'!$E:$E,"Inventory"))</f>
        <v/>
      </c>
      <c r="H652" s="44" t="str">
        <f t="shared" si="20"/>
        <v/>
      </c>
      <c r="I652" s="33"/>
      <c r="J652" s="34" t="str">
        <f t="shared" si="21"/>
        <v/>
      </c>
      <c r="K652" s="46"/>
    </row>
    <row r="653" spans="1:11" ht="23.1" customHeight="1">
      <c r="A653" s="170" t="str">
        <f>IF($B653="","",MAX($A$3:A652)+1)</f>
        <v/>
      </c>
      <c r="B653" s="176"/>
      <c r="C653" s="177"/>
      <c r="D653" s="279"/>
      <c r="E653" s="178"/>
      <c r="F653" s="172" t="str">
        <f>IF($B653="","",SUMIFS('Daily Inward'!$G:$G,'Daily Inward'!$C:$C,$B653,'Daily Inward'!$E:$E,"Inventory"))</f>
        <v/>
      </c>
      <c r="G653" s="44" t="str">
        <f>IF($B653="","",SUMIFS('Daily Issuance'!$G:$G,'Daily Issuance'!$C:$C,$B653,'Daily Issuance'!$E:$E,"Inventory"))</f>
        <v/>
      </c>
      <c r="H653" s="44" t="str">
        <f t="shared" si="20"/>
        <v/>
      </c>
      <c r="I653" s="33"/>
      <c r="J653" s="34" t="str">
        <f t="shared" si="21"/>
        <v/>
      </c>
      <c r="K653" s="46"/>
    </row>
    <row r="654" spans="1:11" ht="23.1" customHeight="1">
      <c r="A654" s="170" t="str">
        <f>IF($B654="","",MAX($A$3:A653)+1)</f>
        <v/>
      </c>
      <c r="B654" s="176"/>
      <c r="C654" s="177"/>
      <c r="D654" s="279"/>
      <c r="E654" s="178"/>
      <c r="F654" s="172" t="str">
        <f>IF($B654="","",SUMIFS('Daily Inward'!$G:$G,'Daily Inward'!$C:$C,$B654,'Daily Inward'!$E:$E,"Inventory"))</f>
        <v/>
      </c>
      <c r="G654" s="44" t="str">
        <f>IF($B654="","",SUMIFS('Daily Issuance'!$G:$G,'Daily Issuance'!$C:$C,$B654,'Daily Issuance'!$E:$E,"Inventory"))</f>
        <v/>
      </c>
      <c r="H654" s="44" t="str">
        <f t="shared" si="20"/>
        <v/>
      </c>
      <c r="I654" s="33"/>
      <c r="J654" s="34" t="str">
        <f t="shared" si="21"/>
        <v/>
      </c>
      <c r="K654" s="46"/>
    </row>
    <row r="655" spans="1:11" ht="23.1" customHeight="1">
      <c r="A655" s="170" t="str">
        <f>IF($B655="","",MAX($A$3:A654)+1)</f>
        <v/>
      </c>
      <c r="B655" s="176"/>
      <c r="C655" s="177"/>
      <c r="D655" s="279"/>
      <c r="E655" s="178"/>
      <c r="F655" s="172" t="str">
        <f>IF($B655="","",SUMIFS('Daily Inward'!$G:$G,'Daily Inward'!$C:$C,$B655,'Daily Inward'!$E:$E,"Inventory"))</f>
        <v/>
      </c>
      <c r="G655" s="44" t="str">
        <f>IF($B655="","",SUMIFS('Daily Issuance'!$G:$G,'Daily Issuance'!$C:$C,$B655,'Daily Issuance'!$E:$E,"Inventory"))</f>
        <v/>
      </c>
      <c r="H655" s="44" t="str">
        <f t="shared" si="20"/>
        <v/>
      </c>
      <c r="I655" s="33"/>
      <c r="J655" s="34" t="str">
        <f t="shared" si="21"/>
        <v/>
      </c>
      <c r="K655" s="46"/>
    </row>
    <row r="656" spans="1:11" ht="23.1" customHeight="1">
      <c r="A656" s="170" t="str">
        <f>IF($B656="","",MAX($A$3:A655)+1)</f>
        <v/>
      </c>
      <c r="B656" s="176"/>
      <c r="C656" s="177"/>
      <c r="D656" s="279"/>
      <c r="E656" s="178"/>
      <c r="F656" s="172" t="str">
        <f>IF($B656="","",SUMIFS('Daily Inward'!$G:$G,'Daily Inward'!$C:$C,$B656,'Daily Inward'!$E:$E,"Inventory"))</f>
        <v/>
      </c>
      <c r="G656" s="44" t="str">
        <f>IF($B656="","",SUMIFS('Daily Issuance'!$G:$G,'Daily Issuance'!$C:$C,$B656,'Daily Issuance'!$E:$E,"Inventory"))</f>
        <v/>
      </c>
      <c r="H656" s="44" t="str">
        <f t="shared" si="20"/>
        <v/>
      </c>
      <c r="I656" s="33"/>
      <c r="J656" s="34" t="str">
        <f t="shared" si="21"/>
        <v/>
      </c>
      <c r="K656" s="46"/>
    </row>
    <row r="657" spans="1:11" ht="23.1" customHeight="1">
      <c r="A657" s="170" t="str">
        <f>IF($B657="","",MAX($A$3:A656)+1)</f>
        <v/>
      </c>
      <c r="B657" s="176"/>
      <c r="C657" s="177"/>
      <c r="D657" s="279"/>
      <c r="E657" s="178"/>
      <c r="F657" s="172" t="str">
        <f>IF($B657="","",SUMIFS('Daily Inward'!$G:$G,'Daily Inward'!$C:$C,$B657,'Daily Inward'!$E:$E,"Inventory"))</f>
        <v/>
      </c>
      <c r="G657" s="44" t="str">
        <f>IF($B657="","",SUMIFS('Daily Issuance'!$G:$G,'Daily Issuance'!$C:$C,$B657,'Daily Issuance'!$E:$E,"Inventory"))</f>
        <v/>
      </c>
      <c r="H657" s="44" t="str">
        <f t="shared" si="20"/>
        <v/>
      </c>
      <c r="I657" s="33"/>
      <c r="J657" s="34" t="str">
        <f t="shared" si="21"/>
        <v/>
      </c>
      <c r="K657" s="46"/>
    </row>
    <row r="658" spans="1:11" ht="23.1" customHeight="1">
      <c r="A658" s="170" t="str">
        <f>IF($B658="","",MAX($A$3:A657)+1)</f>
        <v/>
      </c>
      <c r="B658" s="176"/>
      <c r="C658" s="177"/>
      <c r="D658" s="279"/>
      <c r="E658" s="178"/>
      <c r="F658" s="172" t="str">
        <f>IF($B658="","",SUMIFS('Daily Inward'!$G:$G,'Daily Inward'!$C:$C,$B658,'Daily Inward'!$E:$E,"Inventory"))</f>
        <v/>
      </c>
      <c r="G658" s="44" t="str">
        <f>IF($B658="","",SUMIFS('Daily Issuance'!$G:$G,'Daily Issuance'!$C:$C,$B658,'Daily Issuance'!$E:$E,"Inventory"))</f>
        <v/>
      </c>
      <c r="H658" s="44" t="str">
        <f t="shared" si="20"/>
        <v/>
      </c>
      <c r="I658" s="33"/>
      <c r="J658" s="34" t="str">
        <f t="shared" si="21"/>
        <v/>
      </c>
      <c r="K658" s="46"/>
    </row>
    <row r="659" spans="1:11" ht="23.1" customHeight="1">
      <c r="A659" s="170" t="str">
        <f>IF($B659="","",MAX($A$3:A658)+1)</f>
        <v/>
      </c>
      <c r="B659" s="176"/>
      <c r="C659" s="177"/>
      <c r="D659" s="279"/>
      <c r="E659" s="178"/>
      <c r="F659" s="172" t="str">
        <f>IF($B659="","",SUMIFS('Daily Inward'!$G:$G,'Daily Inward'!$C:$C,$B659,'Daily Inward'!$E:$E,"Inventory"))</f>
        <v/>
      </c>
      <c r="G659" s="44" t="str">
        <f>IF($B659="","",SUMIFS('Daily Issuance'!$G:$G,'Daily Issuance'!$C:$C,$B659,'Daily Issuance'!$E:$E,"Inventory"))</f>
        <v/>
      </c>
      <c r="H659" s="44" t="str">
        <f t="shared" si="20"/>
        <v/>
      </c>
      <c r="I659" s="33"/>
      <c r="J659" s="34" t="str">
        <f t="shared" si="21"/>
        <v/>
      </c>
      <c r="K659" s="46"/>
    </row>
    <row r="660" spans="1:11" ht="23.1" customHeight="1">
      <c r="A660" s="170" t="str">
        <f>IF($B660="","",MAX($A$3:A659)+1)</f>
        <v/>
      </c>
      <c r="B660" s="176"/>
      <c r="C660" s="177"/>
      <c r="D660" s="279"/>
      <c r="E660" s="178"/>
      <c r="F660" s="172" t="str">
        <f>IF($B660="","",SUMIFS('Daily Inward'!$G:$G,'Daily Inward'!$C:$C,$B660,'Daily Inward'!$E:$E,"Inventory"))</f>
        <v/>
      </c>
      <c r="G660" s="44" t="str">
        <f>IF($B660="","",SUMIFS('Daily Issuance'!$G:$G,'Daily Issuance'!$C:$C,$B660,'Daily Issuance'!$E:$E,"Inventory"))</f>
        <v/>
      </c>
      <c r="H660" s="44" t="str">
        <f t="shared" si="20"/>
        <v/>
      </c>
      <c r="I660" s="33"/>
      <c r="J660" s="34" t="str">
        <f t="shared" si="21"/>
        <v/>
      </c>
      <c r="K660" s="46"/>
    </row>
    <row r="661" spans="1:11" ht="23.1" customHeight="1">
      <c r="A661" s="170" t="str">
        <f>IF($B661="","",MAX($A$3:A660)+1)</f>
        <v/>
      </c>
      <c r="B661" s="176"/>
      <c r="C661" s="177"/>
      <c r="D661" s="279"/>
      <c r="E661" s="178"/>
      <c r="F661" s="172" t="str">
        <f>IF($B661="","",SUMIFS('Daily Inward'!$G:$G,'Daily Inward'!$C:$C,$B661,'Daily Inward'!$E:$E,"Inventory"))</f>
        <v/>
      </c>
      <c r="G661" s="44" t="str">
        <f>IF($B661="","",SUMIFS('Daily Issuance'!$G:$G,'Daily Issuance'!$C:$C,$B661,'Daily Issuance'!$E:$E,"Inventory"))</f>
        <v/>
      </c>
      <c r="H661" s="44" t="str">
        <f t="shared" si="20"/>
        <v/>
      </c>
      <c r="I661" s="33"/>
      <c r="J661" s="34" t="str">
        <f t="shared" si="21"/>
        <v/>
      </c>
      <c r="K661" s="46"/>
    </row>
    <row r="662" spans="1:11" ht="23.1" customHeight="1">
      <c r="A662" s="170" t="str">
        <f>IF($B662="","",MAX($A$3:A661)+1)</f>
        <v/>
      </c>
      <c r="B662" s="176"/>
      <c r="C662" s="177"/>
      <c r="D662" s="279"/>
      <c r="E662" s="178"/>
      <c r="F662" s="172" t="str">
        <f>IF($B662="","",SUMIFS('Daily Inward'!$G:$G,'Daily Inward'!$C:$C,$B662,'Daily Inward'!$E:$E,"Inventory"))</f>
        <v/>
      </c>
      <c r="G662" s="44" t="str">
        <f>IF($B662="","",SUMIFS('Daily Issuance'!$G:$G,'Daily Issuance'!$C:$C,$B662,'Daily Issuance'!$E:$E,"Inventory"))</f>
        <v/>
      </c>
      <c r="H662" s="44" t="str">
        <f t="shared" si="20"/>
        <v/>
      </c>
      <c r="I662" s="33"/>
      <c r="J662" s="34" t="str">
        <f t="shared" si="21"/>
        <v/>
      </c>
      <c r="K662" s="46"/>
    </row>
    <row r="663" spans="1:11" ht="23.1" customHeight="1">
      <c r="A663" s="170" t="str">
        <f>IF($B663="","",MAX($A$3:A662)+1)</f>
        <v/>
      </c>
      <c r="B663" s="176"/>
      <c r="C663" s="177"/>
      <c r="D663" s="279"/>
      <c r="E663" s="178"/>
      <c r="F663" s="172" t="str">
        <f>IF($B663="","",SUMIFS('Daily Inward'!$G:$G,'Daily Inward'!$C:$C,$B663,'Daily Inward'!$E:$E,"Inventory"))</f>
        <v/>
      </c>
      <c r="G663" s="44" t="str">
        <f>IF($B663="","",SUMIFS('Daily Issuance'!$G:$G,'Daily Issuance'!$C:$C,$B663,'Daily Issuance'!$E:$E,"Inventory"))</f>
        <v/>
      </c>
      <c r="H663" s="44" t="str">
        <f t="shared" si="20"/>
        <v/>
      </c>
      <c r="I663" s="33"/>
      <c r="J663" s="34" t="str">
        <f t="shared" si="21"/>
        <v/>
      </c>
      <c r="K663" s="46"/>
    </row>
    <row r="664" spans="1:11" ht="23.1" customHeight="1">
      <c r="A664" s="170" t="str">
        <f>IF($B664="","",MAX($A$3:A663)+1)</f>
        <v/>
      </c>
      <c r="B664" s="176"/>
      <c r="C664" s="177"/>
      <c r="D664" s="279"/>
      <c r="E664" s="178"/>
      <c r="F664" s="172" t="str">
        <f>IF($B664="","",SUMIFS('Daily Inward'!$G:$G,'Daily Inward'!$C:$C,$B664,'Daily Inward'!$E:$E,"Inventory"))</f>
        <v/>
      </c>
      <c r="G664" s="44" t="str">
        <f>IF($B664="","",SUMIFS('Daily Issuance'!$G:$G,'Daily Issuance'!$C:$C,$B664,'Daily Issuance'!$E:$E,"Inventory"))</f>
        <v/>
      </c>
      <c r="H664" s="44" t="str">
        <f t="shared" si="20"/>
        <v/>
      </c>
      <c r="I664" s="33"/>
      <c r="J664" s="34" t="str">
        <f t="shared" si="21"/>
        <v/>
      </c>
      <c r="K664" s="46"/>
    </row>
    <row r="665" spans="1:11" ht="23.1" customHeight="1">
      <c r="A665" s="170" t="str">
        <f>IF($B665="","",MAX($A$3:A664)+1)</f>
        <v/>
      </c>
      <c r="B665" s="176"/>
      <c r="C665" s="177"/>
      <c r="D665" s="279"/>
      <c r="E665" s="178"/>
      <c r="F665" s="172" t="str">
        <f>IF($B665="","",SUMIFS('Daily Inward'!$G:$G,'Daily Inward'!$C:$C,$B665,'Daily Inward'!$E:$E,"Inventory"))</f>
        <v/>
      </c>
      <c r="G665" s="44" t="str">
        <f>IF($B665="","",SUMIFS('Daily Issuance'!$G:$G,'Daily Issuance'!$C:$C,$B665,'Daily Issuance'!$E:$E,"Inventory"))</f>
        <v/>
      </c>
      <c r="H665" s="44" t="str">
        <f t="shared" si="20"/>
        <v/>
      </c>
      <c r="I665" s="33"/>
      <c r="J665" s="34" t="str">
        <f t="shared" si="21"/>
        <v/>
      </c>
      <c r="K665" s="46"/>
    </row>
    <row r="666" spans="1:11" ht="23.1" customHeight="1">
      <c r="A666" s="170" t="str">
        <f>IF($B666="","",MAX($A$3:A665)+1)</f>
        <v/>
      </c>
      <c r="B666" s="176"/>
      <c r="C666" s="177"/>
      <c r="D666" s="279"/>
      <c r="E666" s="178"/>
      <c r="F666" s="172" t="str">
        <f>IF($B666="","",SUMIFS('Daily Inward'!$G:$G,'Daily Inward'!$C:$C,$B666,'Daily Inward'!$E:$E,"Inventory"))</f>
        <v/>
      </c>
      <c r="G666" s="44" t="str">
        <f>IF($B666="","",SUMIFS('Daily Issuance'!$G:$G,'Daily Issuance'!$C:$C,$B666,'Daily Issuance'!$E:$E,"Inventory"))</f>
        <v/>
      </c>
      <c r="H666" s="44" t="str">
        <f t="shared" si="20"/>
        <v/>
      </c>
      <c r="I666" s="33"/>
      <c r="J666" s="34" t="str">
        <f t="shared" si="21"/>
        <v/>
      </c>
      <c r="K666" s="46"/>
    </row>
    <row r="667" spans="1:11" ht="23.1" customHeight="1">
      <c r="A667" s="170" t="str">
        <f>IF($B667="","",MAX($A$3:A666)+1)</f>
        <v/>
      </c>
      <c r="B667" s="176"/>
      <c r="C667" s="177"/>
      <c r="D667" s="279"/>
      <c r="E667" s="178"/>
      <c r="F667" s="172" t="str">
        <f>IF($B667="","",SUMIFS('Daily Inward'!$G:$G,'Daily Inward'!$C:$C,$B667,'Daily Inward'!$E:$E,"Inventory"))</f>
        <v/>
      </c>
      <c r="G667" s="44" t="str">
        <f>IF($B667="","",SUMIFS('Daily Issuance'!$G:$G,'Daily Issuance'!$C:$C,$B667,'Daily Issuance'!$E:$E,"Inventory"))</f>
        <v/>
      </c>
      <c r="H667" s="44" t="str">
        <f t="shared" si="20"/>
        <v/>
      </c>
      <c r="I667" s="33"/>
      <c r="J667" s="34" t="str">
        <f t="shared" si="21"/>
        <v/>
      </c>
      <c r="K667" s="46"/>
    </row>
    <row r="668" spans="1:11" ht="23.1" customHeight="1">
      <c r="A668" s="170" t="str">
        <f>IF($B668="","",MAX($A$3:A667)+1)</f>
        <v/>
      </c>
      <c r="B668" s="176"/>
      <c r="C668" s="177"/>
      <c r="D668" s="279"/>
      <c r="E668" s="178"/>
      <c r="F668" s="172" t="str">
        <f>IF($B668="","",SUMIFS('Daily Inward'!$G:$G,'Daily Inward'!$C:$C,$B668,'Daily Inward'!$E:$E,"Inventory"))</f>
        <v/>
      </c>
      <c r="G668" s="44" t="str">
        <f>IF($B668="","",SUMIFS('Daily Issuance'!$G:$G,'Daily Issuance'!$C:$C,$B668,'Daily Issuance'!$E:$E,"Inventory"))</f>
        <v/>
      </c>
      <c r="H668" s="44" t="str">
        <f t="shared" si="20"/>
        <v/>
      </c>
      <c r="I668" s="33"/>
      <c r="J668" s="34" t="str">
        <f t="shared" si="21"/>
        <v/>
      </c>
      <c r="K668" s="46"/>
    </row>
    <row r="669" spans="1:11" ht="23.1" customHeight="1">
      <c r="A669" s="170" t="str">
        <f>IF($B669="","",MAX($A$3:A668)+1)</f>
        <v/>
      </c>
      <c r="B669" s="176"/>
      <c r="C669" s="177"/>
      <c r="D669" s="279"/>
      <c r="E669" s="178"/>
      <c r="F669" s="172" t="str">
        <f>IF($B669="","",SUMIFS('Daily Inward'!$G:$G,'Daily Inward'!$C:$C,$B669,'Daily Inward'!$E:$E,"Inventory"))</f>
        <v/>
      </c>
      <c r="G669" s="44" t="str">
        <f>IF($B669="","",SUMIFS('Daily Issuance'!$G:$G,'Daily Issuance'!$C:$C,$B669,'Daily Issuance'!$E:$E,"Inventory"))</f>
        <v/>
      </c>
      <c r="H669" s="44" t="str">
        <f t="shared" si="20"/>
        <v/>
      </c>
      <c r="I669" s="33"/>
      <c r="J669" s="34" t="str">
        <f t="shared" si="21"/>
        <v/>
      </c>
      <c r="K669" s="46"/>
    </row>
    <row r="670" spans="1:11" ht="23.1" customHeight="1">
      <c r="A670" s="170" t="str">
        <f>IF($B670="","",MAX($A$3:A669)+1)</f>
        <v/>
      </c>
      <c r="B670" s="176"/>
      <c r="C670" s="177"/>
      <c r="D670" s="279"/>
      <c r="E670" s="178"/>
      <c r="F670" s="172" t="str">
        <f>IF($B670="","",SUMIFS('Daily Inward'!$G:$G,'Daily Inward'!$C:$C,$B670,'Daily Inward'!$E:$E,"Inventory"))</f>
        <v/>
      </c>
      <c r="G670" s="44" t="str">
        <f>IF($B670="","",SUMIFS('Daily Issuance'!$G:$G,'Daily Issuance'!$C:$C,$B670,'Daily Issuance'!$E:$E,"Inventory"))</f>
        <v/>
      </c>
      <c r="H670" s="44" t="str">
        <f t="shared" si="20"/>
        <v/>
      </c>
      <c r="I670" s="33"/>
      <c r="J670" s="34" t="str">
        <f t="shared" si="21"/>
        <v/>
      </c>
      <c r="K670" s="46"/>
    </row>
    <row r="671" spans="1:11" ht="23.1" customHeight="1">
      <c r="A671" s="170" t="str">
        <f>IF($B671="","",MAX($A$3:A670)+1)</f>
        <v/>
      </c>
      <c r="B671" s="176"/>
      <c r="C671" s="177"/>
      <c r="D671" s="279"/>
      <c r="E671" s="178"/>
      <c r="F671" s="172" t="str">
        <f>IF($B671="","",SUMIFS('Daily Inward'!$G:$G,'Daily Inward'!$C:$C,$B671,'Daily Inward'!$E:$E,"Inventory"))</f>
        <v/>
      </c>
      <c r="G671" s="44" t="str">
        <f>IF($B671="","",SUMIFS('Daily Issuance'!$G:$G,'Daily Issuance'!$C:$C,$B671,'Daily Issuance'!$E:$E,"Inventory"))</f>
        <v/>
      </c>
      <c r="H671" s="44" t="str">
        <f t="shared" si="20"/>
        <v/>
      </c>
      <c r="I671" s="33"/>
      <c r="J671" s="34" t="str">
        <f t="shared" si="21"/>
        <v/>
      </c>
      <c r="K671" s="46"/>
    </row>
    <row r="672" spans="1:11" ht="23.1" customHeight="1">
      <c r="A672" s="170" t="str">
        <f>IF($B672="","",MAX($A$3:A671)+1)</f>
        <v/>
      </c>
      <c r="B672" s="176"/>
      <c r="C672" s="177"/>
      <c r="D672" s="279"/>
      <c r="E672" s="178"/>
      <c r="F672" s="172" t="str">
        <f>IF($B672="","",SUMIFS('Daily Inward'!$G:$G,'Daily Inward'!$C:$C,$B672,'Daily Inward'!$E:$E,"Inventory"))</f>
        <v/>
      </c>
      <c r="G672" s="44" t="str">
        <f>IF($B672="","",SUMIFS('Daily Issuance'!$G:$G,'Daily Issuance'!$C:$C,$B672,'Daily Issuance'!$E:$E,"Inventory"))</f>
        <v/>
      </c>
      <c r="H672" s="44" t="str">
        <f t="shared" si="20"/>
        <v/>
      </c>
      <c r="I672" s="33"/>
      <c r="J672" s="34" t="str">
        <f t="shared" si="21"/>
        <v/>
      </c>
      <c r="K672" s="46"/>
    </row>
    <row r="673" spans="1:11" ht="23.1" customHeight="1">
      <c r="A673" s="170" t="str">
        <f>IF($B673="","",MAX($A$3:A672)+1)</f>
        <v/>
      </c>
      <c r="B673" s="176"/>
      <c r="C673" s="177"/>
      <c r="D673" s="279"/>
      <c r="E673" s="178"/>
      <c r="F673" s="172" t="str">
        <f>IF($B673="","",SUMIFS('Daily Inward'!$G:$G,'Daily Inward'!$C:$C,$B673,'Daily Inward'!$E:$E,"Inventory"))</f>
        <v/>
      </c>
      <c r="G673" s="44" t="str">
        <f>IF($B673="","",SUMIFS('Daily Issuance'!$G:$G,'Daily Issuance'!$C:$C,$B673,'Daily Issuance'!$E:$E,"Inventory"))</f>
        <v/>
      </c>
      <c r="H673" s="44" t="str">
        <f t="shared" si="20"/>
        <v/>
      </c>
      <c r="I673" s="33"/>
      <c r="J673" s="34" t="str">
        <f t="shared" si="21"/>
        <v/>
      </c>
      <c r="K673" s="46"/>
    </row>
    <row r="674" spans="1:11" ht="23.1" customHeight="1">
      <c r="A674" s="170" t="str">
        <f>IF($B674="","",MAX($A$3:A673)+1)</f>
        <v/>
      </c>
      <c r="B674" s="176"/>
      <c r="C674" s="177"/>
      <c r="D674" s="279"/>
      <c r="E674" s="178"/>
      <c r="F674" s="172" t="str">
        <f>IF($B674="","",SUMIFS('Daily Inward'!$G:$G,'Daily Inward'!$C:$C,$B674,'Daily Inward'!$E:$E,"Inventory"))</f>
        <v/>
      </c>
      <c r="G674" s="44" t="str">
        <f>IF($B674="","",SUMIFS('Daily Issuance'!$G:$G,'Daily Issuance'!$C:$C,$B674,'Daily Issuance'!$E:$E,"Inventory"))</f>
        <v/>
      </c>
      <c r="H674" s="44" t="str">
        <f t="shared" si="20"/>
        <v/>
      </c>
      <c r="I674" s="33"/>
      <c r="J674" s="34" t="str">
        <f t="shared" si="21"/>
        <v/>
      </c>
      <c r="K674" s="46"/>
    </row>
    <row r="675" spans="1:11" ht="23.1" customHeight="1">
      <c r="A675" s="170" t="str">
        <f>IF($B675="","",MAX($A$3:A674)+1)</f>
        <v/>
      </c>
      <c r="B675" s="176"/>
      <c r="C675" s="177"/>
      <c r="D675" s="279"/>
      <c r="E675" s="178"/>
      <c r="F675" s="172" t="str">
        <f>IF($B675="","",SUMIFS('Daily Inward'!$G:$G,'Daily Inward'!$C:$C,$B675,'Daily Inward'!$E:$E,"Inventory"))</f>
        <v/>
      </c>
      <c r="G675" s="44" t="str">
        <f>IF($B675="","",SUMIFS('Daily Issuance'!$G:$G,'Daily Issuance'!$C:$C,$B675,'Daily Issuance'!$E:$E,"Inventory"))</f>
        <v/>
      </c>
      <c r="H675" s="44" t="str">
        <f t="shared" si="20"/>
        <v/>
      </c>
      <c r="I675" s="33"/>
      <c r="J675" s="34" t="str">
        <f t="shared" si="21"/>
        <v/>
      </c>
      <c r="K675" s="46"/>
    </row>
    <row r="676" spans="1:11" ht="23.1" customHeight="1">
      <c r="A676" s="170" t="str">
        <f>IF($B676="","",MAX($A$3:A675)+1)</f>
        <v/>
      </c>
      <c r="B676" s="176"/>
      <c r="C676" s="177"/>
      <c r="D676" s="279"/>
      <c r="E676" s="178"/>
      <c r="F676" s="172" t="str">
        <f>IF($B676="","",SUMIFS('Daily Inward'!$G:$G,'Daily Inward'!$C:$C,$B676,'Daily Inward'!$E:$E,"Inventory"))</f>
        <v/>
      </c>
      <c r="G676" s="44" t="str">
        <f>IF($B676="","",SUMIFS('Daily Issuance'!$G:$G,'Daily Issuance'!$C:$C,$B676,'Daily Issuance'!$E:$E,"Inventory"))</f>
        <v/>
      </c>
      <c r="H676" s="44" t="str">
        <f t="shared" si="20"/>
        <v/>
      </c>
      <c r="I676" s="33"/>
      <c r="J676" s="34" t="str">
        <f t="shared" si="21"/>
        <v/>
      </c>
      <c r="K676" s="46"/>
    </row>
    <row r="677" spans="1:11" ht="23.1" customHeight="1">
      <c r="A677" s="170" t="str">
        <f>IF($B677="","",MAX($A$3:A676)+1)</f>
        <v/>
      </c>
      <c r="B677" s="176"/>
      <c r="C677" s="177"/>
      <c r="D677" s="279"/>
      <c r="E677" s="178"/>
      <c r="F677" s="172" t="str">
        <f>IF($B677="","",SUMIFS('Daily Inward'!$G:$G,'Daily Inward'!$C:$C,$B677,'Daily Inward'!$E:$E,"Inventory"))</f>
        <v/>
      </c>
      <c r="G677" s="44" t="str">
        <f>IF($B677="","",SUMIFS('Daily Issuance'!$G:$G,'Daily Issuance'!$C:$C,$B677,'Daily Issuance'!$E:$E,"Inventory"))</f>
        <v/>
      </c>
      <c r="H677" s="44" t="str">
        <f t="shared" si="20"/>
        <v/>
      </c>
      <c r="I677" s="33"/>
      <c r="J677" s="34" t="str">
        <f t="shared" si="21"/>
        <v/>
      </c>
      <c r="K677" s="46"/>
    </row>
    <row r="678" spans="1:11" ht="23.1" customHeight="1">
      <c r="A678" s="170" t="str">
        <f>IF($B678="","",MAX($A$3:A677)+1)</f>
        <v/>
      </c>
      <c r="B678" s="176"/>
      <c r="C678" s="177"/>
      <c r="D678" s="279"/>
      <c r="E678" s="178"/>
      <c r="F678" s="172" t="str">
        <f>IF($B678="","",SUMIFS('Daily Inward'!$G:$G,'Daily Inward'!$C:$C,$B678,'Daily Inward'!$E:$E,"Inventory"))</f>
        <v/>
      </c>
      <c r="G678" s="44" t="str">
        <f>IF($B678="","",SUMIFS('Daily Issuance'!$G:$G,'Daily Issuance'!$C:$C,$B678,'Daily Issuance'!$E:$E,"Inventory"))</f>
        <v/>
      </c>
      <c r="H678" s="44" t="str">
        <f t="shared" si="20"/>
        <v/>
      </c>
      <c r="I678" s="33"/>
      <c r="J678" s="34" t="str">
        <f t="shared" si="21"/>
        <v/>
      </c>
      <c r="K678" s="46"/>
    </row>
    <row r="679" spans="1:11" ht="23.1" customHeight="1">
      <c r="A679" s="170" t="str">
        <f>IF($B679="","",MAX($A$3:A678)+1)</f>
        <v/>
      </c>
      <c r="B679" s="176"/>
      <c r="C679" s="177"/>
      <c r="D679" s="279"/>
      <c r="E679" s="178"/>
      <c r="F679" s="172" t="str">
        <f>IF($B679="","",SUMIFS('Daily Inward'!$G:$G,'Daily Inward'!$C:$C,$B679,'Daily Inward'!$E:$E,"Inventory"))</f>
        <v/>
      </c>
      <c r="G679" s="44" t="str">
        <f>IF($B679="","",SUMIFS('Daily Issuance'!$G:$G,'Daily Issuance'!$C:$C,$B679,'Daily Issuance'!$E:$E,"Inventory"))</f>
        <v/>
      </c>
      <c r="H679" s="44" t="str">
        <f t="shared" si="20"/>
        <v/>
      </c>
      <c r="I679" s="33"/>
      <c r="J679" s="34" t="str">
        <f t="shared" si="21"/>
        <v/>
      </c>
      <c r="K679" s="46"/>
    </row>
    <row r="680" spans="1:11" ht="23.1" customHeight="1">
      <c r="A680" s="170" t="str">
        <f>IF($B680="","",MAX($A$3:A679)+1)</f>
        <v/>
      </c>
      <c r="B680" s="176"/>
      <c r="C680" s="177"/>
      <c r="D680" s="279"/>
      <c r="E680" s="178"/>
      <c r="F680" s="172" t="str">
        <f>IF($B680="","",SUMIFS('Daily Inward'!$G:$G,'Daily Inward'!$C:$C,$B680,'Daily Inward'!$E:$E,"Inventory"))</f>
        <v/>
      </c>
      <c r="G680" s="44" t="str">
        <f>IF($B680="","",SUMIFS('Daily Issuance'!$G:$G,'Daily Issuance'!$C:$C,$B680,'Daily Issuance'!$E:$E,"Inventory"))</f>
        <v/>
      </c>
      <c r="H680" s="44" t="str">
        <f t="shared" si="20"/>
        <v/>
      </c>
      <c r="I680" s="33"/>
      <c r="J680" s="34" t="str">
        <f t="shared" si="21"/>
        <v/>
      </c>
      <c r="K680" s="46"/>
    </row>
    <row r="681" spans="1:11" ht="23.1" customHeight="1">
      <c r="A681" s="170" t="str">
        <f>IF($B681="","",MAX($A$3:A680)+1)</f>
        <v/>
      </c>
      <c r="B681" s="176"/>
      <c r="C681" s="177"/>
      <c r="D681" s="279"/>
      <c r="E681" s="178"/>
      <c r="F681" s="172" t="str">
        <f>IF($B681="","",SUMIFS('Daily Inward'!$G:$G,'Daily Inward'!$C:$C,$B681,'Daily Inward'!$E:$E,"Inventory"))</f>
        <v/>
      </c>
      <c r="G681" s="44" t="str">
        <f>IF($B681="","",SUMIFS('Daily Issuance'!$G:$G,'Daily Issuance'!$C:$C,$B681,'Daily Issuance'!$E:$E,"Inventory"))</f>
        <v/>
      </c>
      <c r="H681" s="44" t="str">
        <f t="shared" si="20"/>
        <v/>
      </c>
      <c r="I681" s="33"/>
      <c r="J681" s="34" t="str">
        <f t="shared" si="21"/>
        <v/>
      </c>
      <c r="K681" s="46"/>
    </row>
    <row r="682" spans="1:11" ht="23.1" customHeight="1">
      <c r="A682" s="170" t="str">
        <f>IF($B682="","",MAX($A$3:A681)+1)</f>
        <v/>
      </c>
      <c r="B682" s="176"/>
      <c r="C682" s="177"/>
      <c r="D682" s="279"/>
      <c r="E682" s="178"/>
      <c r="F682" s="172" t="str">
        <f>IF($B682="","",SUMIFS('Daily Inward'!$G:$G,'Daily Inward'!$C:$C,$B682,'Daily Inward'!$E:$E,"Inventory"))</f>
        <v/>
      </c>
      <c r="G682" s="44" t="str">
        <f>IF($B682="","",SUMIFS('Daily Issuance'!$G:$G,'Daily Issuance'!$C:$C,$B682,'Daily Issuance'!$E:$E,"Inventory"))</f>
        <v/>
      </c>
      <c r="H682" s="44" t="str">
        <f t="shared" si="20"/>
        <v/>
      </c>
      <c r="I682" s="33"/>
      <c r="J682" s="34" t="str">
        <f t="shared" si="21"/>
        <v/>
      </c>
      <c r="K682" s="46"/>
    </row>
    <row r="683" spans="1:11" ht="23.1" customHeight="1">
      <c r="A683" s="170" t="str">
        <f>IF($B683="","",MAX($A$3:A682)+1)</f>
        <v/>
      </c>
      <c r="B683" s="176"/>
      <c r="C683" s="177"/>
      <c r="D683" s="279"/>
      <c r="E683" s="178"/>
      <c r="F683" s="172" t="str">
        <f>IF($B683="","",SUMIFS('Daily Inward'!$G:$G,'Daily Inward'!$C:$C,$B683,'Daily Inward'!$E:$E,"Inventory"))</f>
        <v/>
      </c>
      <c r="G683" s="44" t="str">
        <f>IF($B683="","",SUMIFS('Daily Issuance'!$G:$G,'Daily Issuance'!$C:$C,$B683,'Daily Issuance'!$E:$E,"Inventory"))</f>
        <v/>
      </c>
      <c r="H683" s="44" t="str">
        <f t="shared" si="20"/>
        <v/>
      </c>
      <c r="I683" s="33"/>
      <c r="J683" s="34" t="str">
        <f t="shared" si="21"/>
        <v/>
      </c>
      <c r="K683" s="46"/>
    </row>
    <row r="684" spans="1:11" ht="23.1" customHeight="1">
      <c r="A684" s="170" t="str">
        <f>IF($B684="","",MAX($A$3:A683)+1)</f>
        <v/>
      </c>
      <c r="B684" s="176"/>
      <c r="C684" s="177"/>
      <c r="D684" s="279"/>
      <c r="E684" s="178"/>
      <c r="F684" s="172" t="str">
        <f>IF($B684="","",SUMIFS('Daily Inward'!$G:$G,'Daily Inward'!$C:$C,$B684,'Daily Inward'!$E:$E,"Inventory"))</f>
        <v/>
      </c>
      <c r="G684" s="44" t="str">
        <f>IF($B684="","",SUMIFS('Daily Issuance'!$G:$G,'Daily Issuance'!$C:$C,$B684,'Daily Issuance'!$E:$E,"Inventory"))</f>
        <v/>
      </c>
      <c r="H684" s="44" t="str">
        <f t="shared" si="20"/>
        <v/>
      </c>
      <c r="I684" s="33"/>
      <c r="J684" s="34" t="str">
        <f t="shared" si="21"/>
        <v/>
      </c>
      <c r="K684" s="46"/>
    </row>
    <row r="685" spans="1:11" ht="23.1" customHeight="1">
      <c r="A685" s="170" t="str">
        <f>IF($B685="","",MAX($A$3:A684)+1)</f>
        <v/>
      </c>
      <c r="B685" s="176"/>
      <c r="C685" s="177"/>
      <c r="D685" s="279"/>
      <c r="E685" s="178"/>
      <c r="F685" s="172" t="str">
        <f>IF($B685="","",SUMIFS('Daily Inward'!$G:$G,'Daily Inward'!$C:$C,$B685,'Daily Inward'!$E:$E,"Inventory"))</f>
        <v/>
      </c>
      <c r="G685" s="44" t="str">
        <f>IF($B685="","",SUMIFS('Daily Issuance'!$G:$G,'Daily Issuance'!$C:$C,$B685,'Daily Issuance'!$E:$E,"Inventory"))</f>
        <v/>
      </c>
      <c r="H685" s="44" t="str">
        <f t="shared" si="20"/>
        <v/>
      </c>
      <c r="I685" s="33"/>
      <c r="J685" s="34" t="str">
        <f t="shared" si="21"/>
        <v/>
      </c>
      <c r="K685" s="46"/>
    </row>
    <row r="686" spans="1:11" ht="23.1" customHeight="1">
      <c r="A686" s="170" t="str">
        <f>IF($B686="","",MAX($A$3:A685)+1)</f>
        <v/>
      </c>
      <c r="B686" s="176"/>
      <c r="C686" s="177"/>
      <c r="D686" s="279"/>
      <c r="E686" s="178"/>
      <c r="F686" s="172" t="str">
        <f>IF($B686="","",SUMIFS('Daily Inward'!$G:$G,'Daily Inward'!$C:$C,$B686,'Daily Inward'!$E:$E,"Inventory"))</f>
        <v/>
      </c>
      <c r="G686" s="44" t="str">
        <f>IF($B686="","",SUMIFS('Daily Issuance'!$G:$G,'Daily Issuance'!$C:$C,$B686,'Daily Issuance'!$E:$E,"Inventory"))</f>
        <v/>
      </c>
      <c r="H686" s="44" t="str">
        <f t="shared" si="20"/>
        <v/>
      </c>
      <c r="I686" s="33"/>
      <c r="J686" s="34" t="str">
        <f t="shared" si="21"/>
        <v/>
      </c>
      <c r="K686" s="46"/>
    </row>
    <row r="687" spans="1:11" ht="23.1" customHeight="1">
      <c r="A687" s="170" t="str">
        <f>IF($B687="","",MAX($A$3:A686)+1)</f>
        <v/>
      </c>
      <c r="B687" s="176"/>
      <c r="C687" s="177"/>
      <c r="D687" s="279"/>
      <c r="E687" s="178"/>
      <c r="F687" s="172" t="str">
        <f>IF($B687="","",SUMIFS('Daily Inward'!$G:$G,'Daily Inward'!$C:$C,$B687,'Daily Inward'!$E:$E,"Inventory"))</f>
        <v/>
      </c>
      <c r="G687" s="44" t="str">
        <f>IF($B687="","",SUMIFS('Daily Issuance'!$G:$G,'Daily Issuance'!$C:$C,$B687,'Daily Issuance'!$E:$E,"Inventory"))</f>
        <v/>
      </c>
      <c r="H687" s="44" t="str">
        <f t="shared" si="20"/>
        <v/>
      </c>
      <c r="I687" s="33"/>
      <c r="J687" s="34" t="str">
        <f t="shared" si="21"/>
        <v/>
      </c>
      <c r="K687" s="46"/>
    </row>
    <row r="688" spans="1:11" ht="23.1" customHeight="1">
      <c r="A688" s="170" t="str">
        <f>IF($B688="","",MAX($A$3:A687)+1)</f>
        <v/>
      </c>
      <c r="B688" s="176"/>
      <c r="C688" s="177"/>
      <c r="D688" s="279"/>
      <c r="E688" s="178"/>
      <c r="F688" s="172" t="str">
        <f>IF($B688="","",SUMIFS('Daily Inward'!$G:$G,'Daily Inward'!$C:$C,$B688,'Daily Inward'!$E:$E,"Inventory"))</f>
        <v/>
      </c>
      <c r="G688" s="44" t="str">
        <f>IF($B688="","",SUMIFS('Daily Issuance'!$G:$G,'Daily Issuance'!$C:$C,$B688,'Daily Issuance'!$E:$E,"Inventory"))</f>
        <v/>
      </c>
      <c r="H688" s="44" t="str">
        <f t="shared" si="20"/>
        <v/>
      </c>
      <c r="I688" s="33"/>
      <c r="J688" s="34" t="str">
        <f t="shared" si="21"/>
        <v/>
      </c>
      <c r="K688" s="46"/>
    </row>
    <row r="689" spans="1:11" ht="23.1" customHeight="1">
      <c r="A689" s="170" t="str">
        <f>IF($B689="","",MAX($A$3:A688)+1)</f>
        <v/>
      </c>
      <c r="B689" s="176"/>
      <c r="C689" s="177"/>
      <c r="D689" s="279"/>
      <c r="E689" s="178"/>
      <c r="F689" s="172" t="str">
        <f>IF($B689="","",SUMIFS('Daily Inward'!$G:$G,'Daily Inward'!$C:$C,$B689,'Daily Inward'!$E:$E,"Inventory"))</f>
        <v/>
      </c>
      <c r="G689" s="44" t="str">
        <f>IF($B689="","",SUMIFS('Daily Issuance'!$G:$G,'Daily Issuance'!$C:$C,$B689,'Daily Issuance'!$E:$E,"Inventory"))</f>
        <v/>
      </c>
      <c r="H689" s="44" t="str">
        <f t="shared" si="20"/>
        <v/>
      </c>
      <c r="I689" s="33"/>
      <c r="J689" s="34" t="str">
        <f t="shared" si="21"/>
        <v/>
      </c>
      <c r="K689" s="46"/>
    </row>
    <row r="690" spans="1:11" ht="23.1" customHeight="1">
      <c r="A690" s="170" t="str">
        <f>IF($B690="","",MAX($A$3:A689)+1)</f>
        <v/>
      </c>
      <c r="B690" s="176"/>
      <c r="C690" s="177"/>
      <c r="D690" s="279"/>
      <c r="E690" s="178"/>
      <c r="F690" s="172" t="str">
        <f>IF($B690="","",SUMIFS('Daily Inward'!$G:$G,'Daily Inward'!$C:$C,$B690,'Daily Inward'!$E:$E,"Inventory"))</f>
        <v/>
      </c>
      <c r="G690" s="44" t="str">
        <f>IF($B690="","",SUMIFS('Daily Issuance'!$G:$G,'Daily Issuance'!$C:$C,$B690,'Daily Issuance'!$E:$E,"Inventory"))</f>
        <v/>
      </c>
      <c r="H690" s="44" t="str">
        <f t="shared" si="20"/>
        <v/>
      </c>
      <c r="I690" s="33"/>
      <c r="J690" s="34" t="str">
        <f t="shared" si="21"/>
        <v/>
      </c>
      <c r="K690" s="46"/>
    </row>
    <row r="691" spans="1:11" ht="23.1" customHeight="1">
      <c r="A691" s="170" t="str">
        <f>IF($B691="","",MAX($A$3:A690)+1)</f>
        <v/>
      </c>
      <c r="B691" s="176"/>
      <c r="C691" s="177"/>
      <c r="D691" s="279"/>
      <c r="E691" s="178"/>
      <c r="F691" s="172" t="str">
        <f>IF($B691="","",SUMIFS('Daily Inward'!$G:$G,'Daily Inward'!$C:$C,$B691,'Daily Inward'!$E:$E,"Inventory"))</f>
        <v/>
      </c>
      <c r="G691" s="44" t="str">
        <f>IF($B691="","",SUMIFS('Daily Issuance'!$G:$G,'Daily Issuance'!$C:$C,$B691,'Daily Issuance'!$E:$E,"Inventory"))</f>
        <v/>
      </c>
      <c r="H691" s="44" t="str">
        <f t="shared" si="20"/>
        <v/>
      </c>
      <c r="I691" s="33"/>
      <c r="J691" s="34" t="str">
        <f t="shared" si="21"/>
        <v/>
      </c>
      <c r="K691" s="46"/>
    </row>
    <row r="692" spans="1:11" ht="23.1" customHeight="1">
      <c r="A692" s="170" t="str">
        <f>IF($B692="","",MAX($A$3:A691)+1)</f>
        <v/>
      </c>
      <c r="B692" s="176"/>
      <c r="C692" s="177"/>
      <c r="D692" s="279"/>
      <c r="E692" s="178"/>
      <c r="F692" s="172" t="str">
        <f>IF($B692="","",SUMIFS('Daily Inward'!$G:$G,'Daily Inward'!$C:$C,$B692,'Daily Inward'!$E:$E,"Inventory"))</f>
        <v/>
      </c>
      <c r="G692" s="44" t="str">
        <f>IF($B692="","",SUMIFS('Daily Issuance'!$G:$G,'Daily Issuance'!$C:$C,$B692,'Daily Issuance'!$E:$E,"Inventory"))</f>
        <v/>
      </c>
      <c r="H692" s="44" t="str">
        <f t="shared" si="20"/>
        <v/>
      </c>
      <c r="I692" s="33"/>
      <c r="J692" s="34" t="str">
        <f t="shared" si="21"/>
        <v/>
      </c>
      <c r="K692" s="46"/>
    </row>
    <row r="693" spans="1:11" ht="23.1" customHeight="1">
      <c r="A693" s="170" t="str">
        <f>IF($B693="","",MAX($A$3:A692)+1)</f>
        <v/>
      </c>
      <c r="B693" s="176"/>
      <c r="C693" s="177"/>
      <c r="D693" s="279"/>
      <c r="E693" s="178"/>
      <c r="F693" s="172" t="str">
        <f>IF($B693="","",SUMIFS('Daily Inward'!$G:$G,'Daily Inward'!$C:$C,$B693,'Daily Inward'!$E:$E,"Inventory"))</f>
        <v/>
      </c>
      <c r="G693" s="44" t="str">
        <f>IF($B693="","",SUMIFS('Daily Issuance'!$G:$G,'Daily Issuance'!$C:$C,$B693,'Daily Issuance'!$E:$E,"Inventory"))</f>
        <v/>
      </c>
      <c r="H693" s="44" t="str">
        <f t="shared" si="20"/>
        <v/>
      </c>
      <c r="I693" s="33"/>
      <c r="J693" s="34" t="str">
        <f t="shared" si="21"/>
        <v/>
      </c>
      <c r="K693" s="46"/>
    </row>
    <row r="694" spans="1:11" ht="23.1" customHeight="1">
      <c r="A694" s="170" t="str">
        <f>IF($B694="","",MAX($A$3:A693)+1)</f>
        <v/>
      </c>
      <c r="B694" s="176"/>
      <c r="C694" s="177"/>
      <c r="D694" s="279"/>
      <c r="E694" s="178"/>
      <c r="F694" s="172" t="str">
        <f>IF($B694="","",SUMIFS('Daily Inward'!$G:$G,'Daily Inward'!$C:$C,$B694,'Daily Inward'!$E:$E,"Inventory"))</f>
        <v/>
      </c>
      <c r="G694" s="44" t="str">
        <f>IF($B694="","",SUMIFS('Daily Issuance'!$G:$G,'Daily Issuance'!$C:$C,$B694,'Daily Issuance'!$E:$E,"Inventory"))</f>
        <v/>
      </c>
      <c r="H694" s="44" t="str">
        <f t="shared" si="20"/>
        <v/>
      </c>
      <c r="I694" s="33"/>
      <c r="J694" s="34" t="str">
        <f t="shared" si="21"/>
        <v/>
      </c>
      <c r="K694" s="46"/>
    </row>
    <row r="695" spans="1:11" ht="23.1" customHeight="1">
      <c r="A695" s="170" t="str">
        <f>IF($B695="","",MAX($A$3:A694)+1)</f>
        <v/>
      </c>
      <c r="B695" s="176"/>
      <c r="C695" s="177"/>
      <c r="D695" s="279"/>
      <c r="E695" s="178"/>
      <c r="F695" s="172" t="str">
        <f>IF($B695="","",SUMIFS('Daily Inward'!$G:$G,'Daily Inward'!$C:$C,$B695,'Daily Inward'!$E:$E,"Inventory"))</f>
        <v/>
      </c>
      <c r="G695" s="44" t="str">
        <f>IF($B695="","",SUMIFS('Daily Issuance'!$G:$G,'Daily Issuance'!$C:$C,$B695,'Daily Issuance'!$E:$E,"Inventory"))</f>
        <v/>
      </c>
      <c r="H695" s="44" t="str">
        <f t="shared" si="20"/>
        <v/>
      </c>
      <c r="I695" s="33"/>
      <c r="J695" s="34" t="str">
        <f t="shared" si="21"/>
        <v/>
      </c>
      <c r="K695" s="46"/>
    </row>
    <row r="696" spans="1:11" ht="23.1" customHeight="1">
      <c r="A696" s="170" t="str">
        <f>IF($B696="","",MAX($A$3:A695)+1)</f>
        <v/>
      </c>
      <c r="B696" s="176"/>
      <c r="C696" s="177"/>
      <c r="D696" s="279"/>
      <c r="E696" s="178"/>
      <c r="F696" s="172" t="str">
        <f>IF($B696="","",SUMIFS('Daily Inward'!$G:$G,'Daily Inward'!$C:$C,$B696,'Daily Inward'!$E:$E,"Inventory"))</f>
        <v/>
      </c>
      <c r="G696" s="44" t="str">
        <f>IF($B696="","",SUMIFS('Daily Issuance'!$G:$G,'Daily Issuance'!$C:$C,$B696,'Daily Issuance'!$E:$E,"Inventory"))</f>
        <v/>
      </c>
      <c r="H696" s="44" t="str">
        <f t="shared" si="20"/>
        <v/>
      </c>
      <c r="I696" s="33"/>
      <c r="J696" s="34" t="str">
        <f t="shared" si="21"/>
        <v/>
      </c>
      <c r="K696" s="46"/>
    </row>
    <row r="697" spans="1:11" ht="23.1" customHeight="1">
      <c r="A697" s="170" t="str">
        <f>IF($B697="","",MAX($A$3:A696)+1)</f>
        <v/>
      </c>
      <c r="B697" s="176"/>
      <c r="C697" s="177"/>
      <c r="D697" s="279"/>
      <c r="E697" s="178"/>
      <c r="F697" s="172" t="str">
        <f>IF($B697="","",SUMIFS('Daily Inward'!$G:$G,'Daily Inward'!$C:$C,$B697,'Daily Inward'!$E:$E,"Inventory"))</f>
        <v/>
      </c>
      <c r="G697" s="44" t="str">
        <f>IF($B697="","",SUMIFS('Daily Issuance'!$G:$G,'Daily Issuance'!$C:$C,$B697,'Daily Issuance'!$E:$E,"Inventory"))</f>
        <v/>
      </c>
      <c r="H697" s="44" t="str">
        <f t="shared" si="20"/>
        <v/>
      </c>
      <c r="I697" s="33"/>
      <c r="J697" s="34" t="str">
        <f t="shared" si="21"/>
        <v/>
      </c>
      <c r="K697" s="46"/>
    </row>
    <row r="698" spans="1:11" ht="23.1" customHeight="1">
      <c r="A698" s="170" t="str">
        <f>IF($B698="","",MAX($A$3:A697)+1)</f>
        <v/>
      </c>
      <c r="B698" s="176"/>
      <c r="C698" s="177"/>
      <c r="D698" s="279"/>
      <c r="E698" s="178"/>
      <c r="F698" s="172" t="str">
        <f>IF($B698="","",SUMIFS('Daily Inward'!$G:$G,'Daily Inward'!$C:$C,$B698,'Daily Inward'!$E:$E,"Inventory"))</f>
        <v/>
      </c>
      <c r="G698" s="44" t="str">
        <f>IF($B698="","",SUMIFS('Daily Issuance'!$G:$G,'Daily Issuance'!$C:$C,$B698,'Daily Issuance'!$E:$E,"Inventory"))</f>
        <v/>
      </c>
      <c r="H698" s="44" t="str">
        <f t="shared" si="20"/>
        <v/>
      </c>
      <c r="I698" s="33"/>
      <c r="J698" s="34" t="str">
        <f t="shared" si="21"/>
        <v/>
      </c>
      <c r="K698" s="46"/>
    </row>
    <row r="699" spans="1:11" ht="23.1" customHeight="1">
      <c r="A699" s="170" t="str">
        <f>IF($B699="","",MAX($A$3:A698)+1)</f>
        <v/>
      </c>
      <c r="B699" s="176"/>
      <c r="C699" s="177"/>
      <c r="D699" s="279"/>
      <c r="E699" s="178"/>
      <c r="F699" s="172" t="str">
        <f>IF($B699="","",SUMIFS('Daily Inward'!$G:$G,'Daily Inward'!$C:$C,$B699,'Daily Inward'!$E:$E,"Inventory"))</f>
        <v/>
      </c>
      <c r="G699" s="44" t="str">
        <f>IF($B699="","",SUMIFS('Daily Issuance'!$G:$G,'Daily Issuance'!$C:$C,$B699,'Daily Issuance'!$E:$E,"Inventory"))</f>
        <v/>
      </c>
      <c r="H699" s="44" t="str">
        <f t="shared" si="20"/>
        <v/>
      </c>
      <c r="I699" s="33"/>
      <c r="J699" s="34" t="str">
        <f t="shared" si="21"/>
        <v/>
      </c>
      <c r="K699" s="46"/>
    </row>
    <row r="700" spans="1:11" ht="23.1" customHeight="1">
      <c r="A700" s="170" t="str">
        <f>IF($B700="","",MAX($A$3:A699)+1)</f>
        <v/>
      </c>
      <c r="B700" s="176"/>
      <c r="C700" s="177"/>
      <c r="D700" s="279"/>
      <c r="E700" s="178"/>
      <c r="F700" s="172" t="str">
        <f>IF($B700="","",SUMIFS('Daily Inward'!$G:$G,'Daily Inward'!$C:$C,$B700,'Daily Inward'!$E:$E,"Inventory"))</f>
        <v/>
      </c>
      <c r="G700" s="44" t="str">
        <f>IF($B700="","",SUMIFS('Daily Issuance'!$G:$G,'Daily Issuance'!$C:$C,$B700,'Daily Issuance'!$E:$E,"Inventory"))</f>
        <v/>
      </c>
      <c r="H700" s="44" t="str">
        <f t="shared" si="20"/>
        <v/>
      </c>
      <c r="I700" s="33"/>
      <c r="J700" s="34" t="str">
        <f t="shared" si="21"/>
        <v/>
      </c>
      <c r="K700" s="46"/>
    </row>
    <row r="701" spans="1:11" ht="23.1" customHeight="1">
      <c r="A701" s="170" t="str">
        <f>IF($B701="","",MAX($A$3:A700)+1)</f>
        <v/>
      </c>
      <c r="B701" s="176"/>
      <c r="C701" s="177"/>
      <c r="D701" s="279"/>
      <c r="E701" s="178"/>
      <c r="F701" s="172" t="str">
        <f>IF($B701="","",SUMIFS('Daily Inward'!$G:$G,'Daily Inward'!$C:$C,$B701,'Daily Inward'!$E:$E,"Inventory"))</f>
        <v/>
      </c>
      <c r="G701" s="44" t="str">
        <f>IF($B701="","",SUMIFS('Daily Issuance'!$G:$G,'Daily Issuance'!$C:$C,$B701,'Daily Issuance'!$E:$E,"Inventory"))</f>
        <v/>
      </c>
      <c r="H701" s="44" t="str">
        <f t="shared" si="20"/>
        <v/>
      </c>
      <c r="I701" s="33"/>
      <c r="J701" s="34" t="str">
        <f t="shared" si="21"/>
        <v/>
      </c>
      <c r="K701" s="46"/>
    </row>
    <row r="702" spans="1:11" ht="23.1" customHeight="1">
      <c r="A702" s="170" t="str">
        <f>IF($B702="","",MAX($A$3:A701)+1)</f>
        <v/>
      </c>
      <c r="B702" s="176"/>
      <c r="C702" s="177"/>
      <c r="D702" s="279"/>
      <c r="E702" s="178"/>
      <c r="F702" s="172" t="str">
        <f>IF($B702="","",SUMIFS('Daily Inward'!$G:$G,'Daily Inward'!$C:$C,$B702,'Daily Inward'!$E:$E,"Inventory"))</f>
        <v/>
      </c>
      <c r="G702" s="44" t="str">
        <f>IF($B702="","",SUMIFS('Daily Issuance'!$G:$G,'Daily Issuance'!$C:$C,$B702,'Daily Issuance'!$E:$E,"Inventory"))</f>
        <v/>
      </c>
      <c r="H702" s="44" t="str">
        <f t="shared" si="20"/>
        <v/>
      </c>
      <c r="I702" s="33"/>
      <c r="J702" s="34" t="str">
        <f t="shared" si="21"/>
        <v/>
      </c>
      <c r="K702" s="46"/>
    </row>
    <row r="703" spans="1:11" ht="23.1" customHeight="1">
      <c r="A703" s="170" t="str">
        <f>IF($B703="","",MAX($A$3:A702)+1)</f>
        <v/>
      </c>
      <c r="B703" s="176"/>
      <c r="C703" s="177"/>
      <c r="D703" s="279"/>
      <c r="E703" s="178"/>
      <c r="F703" s="172" t="str">
        <f>IF($B703="","",SUMIFS('Daily Inward'!$G:$G,'Daily Inward'!$C:$C,$B703,'Daily Inward'!$E:$E,"Inventory"))</f>
        <v/>
      </c>
      <c r="G703" s="44" t="str">
        <f>IF($B703="","",SUMIFS('Daily Issuance'!$G:$G,'Daily Issuance'!$C:$C,$B703,'Daily Issuance'!$E:$E,"Inventory"))</f>
        <v/>
      </c>
      <c r="H703" s="44" t="str">
        <f t="shared" si="20"/>
        <v/>
      </c>
      <c r="I703" s="33"/>
      <c r="J703" s="34" t="str">
        <f t="shared" si="21"/>
        <v/>
      </c>
      <c r="K703" s="46"/>
    </row>
    <row r="704" spans="1:11" ht="23.1" customHeight="1">
      <c r="A704" s="170" t="str">
        <f>IF($B704="","",MAX($A$3:A703)+1)</f>
        <v/>
      </c>
      <c r="B704" s="176"/>
      <c r="C704" s="177"/>
      <c r="D704" s="279"/>
      <c r="E704" s="178"/>
      <c r="F704" s="172" t="str">
        <f>IF($B704="","",SUMIFS('Daily Inward'!$G:$G,'Daily Inward'!$C:$C,$B704,'Daily Inward'!$E:$E,"Inventory"))</f>
        <v/>
      </c>
      <c r="G704" s="44" t="str">
        <f>IF($B704="","",SUMIFS('Daily Issuance'!$G:$G,'Daily Issuance'!$C:$C,$B704,'Daily Issuance'!$E:$E,"Inventory"))</f>
        <v/>
      </c>
      <c r="H704" s="44" t="str">
        <f t="shared" si="20"/>
        <v/>
      </c>
      <c r="I704" s="33"/>
      <c r="J704" s="34" t="str">
        <f t="shared" si="21"/>
        <v/>
      </c>
      <c r="K704" s="46"/>
    </row>
    <row r="705" spans="1:11" ht="23.1" customHeight="1">
      <c r="A705" s="170" t="str">
        <f>IF($B705="","",MAX($A$3:A704)+1)</f>
        <v/>
      </c>
      <c r="B705" s="176"/>
      <c r="C705" s="177"/>
      <c r="D705" s="279"/>
      <c r="E705" s="178"/>
      <c r="F705" s="172" t="str">
        <f>IF($B705="","",SUMIFS('Daily Inward'!$G:$G,'Daily Inward'!$C:$C,$B705,'Daily Inward'!$E:$E,"Inventory"))</f>
        <v/>
      </c>
      <c r="G705" s="44" t="str">
        <f>IF($B705="","",SUMIFS('Daily Issuance'!$G:$G,'Daily Issuance'!$C:$C,$B705,'Daily Issuance'!$E:$E,"Inventory"))</f>
        <v/>
      </c>
      <c r="H705" s="44" t="str">
        <f t="shared" si="20"/>
        <v/>
      </c>
      <c r="I705" s="33"/>
      <c r="J705" s="34" t="str">
        <f t="shared" si="21"/>
        <v/>
      </c>
      <c r="K705" s="46"/>
    </row>
    <row r="706" spans="1:11" ht="23.1" customHeight="1">
      <c r="A706" s="170" t="str">
        <f>IF($B706="","",MAX($A$3:A705)+1)</f>
        <v/>
      </c>
      <c r="B706" s="176"/>
      <c r="C706" s="177"/>
      <c r="D706" s="279"/>
      <c r="E706" s="178"/>
      <c r="F706" s="172" t="str">
        <f>IF($B706="","",SUMIFS('Daily Inward'!$G:$G,'Daily Inward'!$C:$C,$B706,'Daily Inward'!$E:$E,"Inventory"))</f>
        <v/>
      </c>
      <c r="G706" s="44" t="str">
        <f>IF($B706="","",SUMIFS('Daily Issuance'!$G:$G,'Daily Issuance'!$C:$C,$B706,'Daily Issuance'!$E:$E,"Inventory"))</f>
        <v/>
      </c>
      <c r="H706" s="44" t="str">
        <f t="shared" si="20"/>
        <v/>
      </c>
      <c r="I706" s="33"/>
      <c r="J706" s="34" t="str">
        <f t="shared" si="21"/>
        <v/>
      </c>
      <c r="K706" s="46"/>
    </row>
    <row r="707" spans="1:11" ht="23.1" customHeight="1">
      <c r="A707" s="170" t="str">
        <f>IF($B707="","",MAX($A$3:A706)+1)</f>
        <v/>
      </c>
      <c r="B707" s="176"/>
      <c r="C707" s="177"/>
      <c r="D707" s="279"/>
      <c r="E707" s="178"/>
      <c r="F707" s="172" t="str">
        <f>IF($B707="","",SUMIFS('Daily Inward'!$G:$G,'Daily Inward'!$C:$C,$B707,'Daily Inward'!$E:$E,"Inventory"))</f>
        <v/>
      </c>
      <c r="G707" s="44" t="str">
        <f>IF($B707="","",SUMIFS('Daily Issuance'!$G:$G,'Daily Issuance'!$C:$C,$B707,'Daily Issuance'!$E:$E,"Inventory"))</f>
        <v/>
      </c>
      <c r="H707" s="44" t="str">
        <f t="shared" ref="H707:H770" si="22">IF($B707="","",N(E707)+N(F707)-N(G707))</f>
        <v/>
      </c>
      <c r="I707" s="33"/>
      <c r="J707" s="34" t="str">
        <f t="shared" ref="J707:J770" si="23">IF($B707="","",H707*I707)</f>
        <v/>
      </c>
      <c r="K707" s="46"/>
    </row>
    <row r="708" spans="1:11" ht="23.1" customHeight="1">
      <c r="A708" s="170" t="str">
        <f>IF($B708="","",MAX($A$3:A707)+1)</f>
        <v/>
      </c>
      <c r="B708" s="176"/>
      <c r="C708" s="177"/>
      <c r="D708" s="279"/>
      <c r="E708" s="178"/>
      <c r="F708" s="172" t="str">
        <f>IF($B708="","",SUMIFS('Daily Inward'!$G:$G,'Daily Inward'!$C:$C,$B708,'Daily Inward'!$E:$E,"Inventory"))</f>
        <v/>
      </c>
      <c r="G708" s="44" t="str">
        <f>IF($B708="","",SUMIFS('Daily Issuance'!$G:$G,'Daily Issuance'!$C:$C,$B708,'Daily Issuance'!$E:$E,"Inventory"))</f>
        <v/>
      </c>
      <c r="H708" s="44" t="str">
        <f t="shared" si="22"/>
        <v/>
      </c>
      <c r="I708" s="33"/>
      <c r="J708" s="34" t="str">
        <f t="shared" si="23"/>
        <v/>
      </c>
      <c r="K708" s="46"/>
    </row>
    <row r="709" spans="1:11" ht="23.1" customHeight="1">
      <c r="A709" s="170" t="str">
        <f>IF($B709="","",MAX($A$3:A708)+1)</f>
        <v/>
      </c>
      <c r="B709" s="176"/>
      <c r="C709" s="177"/>
      <c r="D709" s="279"/>
      <c r="E709" s="178"/>
      <c r="F709" s="172" t="str">
        <f>IF($B709="","",SUMIFS('Daily Inward'!$G:$G,'Daily Inward'!$C:$C,$B709,'Daily Inward'!$E:$E,"Inventory"))</f>
        <v/>
      </c>
      <c r="G709" s="44" t="str">
        <f>IF($B709="","",SUMIFS('Daily Issuance'!$G:$G,'Daily Issuance'!$C:$C,$B709,'Daily Issuance'!$E:$E,"Inventory"))</f>
        <v/>
      </c>
      <c r="H709" s="44" t="str">
        <f t="shared" si="22"/>
        <v/>
      </c>
      <c r="I709" s="33"/>
      <c r="J709" s="34" t="str">
        <f t="shared" si="23"/>
        <v/>
      </c>
      <c r="K709" s="46"/>
    </row>
    <row r="710" spans="1:11" ht="23.1" customHeight="1">
      <c r="A710" s="170" t="str">
        <f>IF($B710="","",MAX($A$3:A709)+1)</f>
        <v/>
      </c>
      <c r="B710" s="176"/>
      <c r="C710" s="177"/>
      <c r="D710" s="279"/>
      <c r="E710" s="178"/>
      <c r="F710" s="172" t="str">
        <f>IF($B710="","",SUMIFS('Daily Inward'!$G:$G,'Daily Inward'!$C:$C,$B710,'Daily Inward'!$E:$E,"Inventory"))</f>
        <v/>
      </c>
      <c r="G710" s="44" t="str">
        <f>IF($B710="","",SUMIFS('Daily Issuance'!$G:$G,'Daily Issuance'!$C:$C,$B710,'Daily Issuance'!$E:$E,"Inventory"))</f>
        <v/>
      </c>
      <c r="H710" s="44" t="str">
        <f t="shared" si="22"/>
        <v/>
      </c>
      <c r="I710" s="33"/>
      <c r="J710" s="34" t="str">
        <f t="shared" si="23"/>
        <v/>
      </c>
      <c r="K710" s="46"/>
    </row>
    <row r="711" spans="1:11" ht="23.1" customHeight="1">
      <c r="A711" s="170" t="str">
        <f>IF($B711="","",MAX($A$3:A710)+1)</f>
        <v/>
      </c>
      <c r="B711" s="176"/>
      <c r="C711" s="177"/>
      <c r="D711" s="279"/>
      <c r="E711" s="178"/>
      <c r="F711" s="172" t="str">
        <f>IF($B711="","",SUMIFS('Daily Inward'!$G:$G,'Daily Inward'!$C:$C,$B711,'Daily Inward'!$E:$E,"Inventory"))</f>
        <v/>
      </c>
      <c r="G711" s="44" t="str">
        <f>IF($B711="","",SUMIFS('Daily Issuance'!$G:$G,'Daily Issuance'!$C:$C,$B711,'Daily Issuance'!$E:$E,"Inventory"))</f>
        <v/>
      </c>
      <c r="H711" s="44" t="str">
        <f t="shared" si="22"/>
        <v/>
      </c>
      <c r="I711" s="33"/>
      <c r="J711" s="34" t="str">
        <f t="shared" si="23"/>
        <v/>
      </c>
      <c r="K711" s="46"/>
    </row>
    <row r="712" spans="1:11" ht="23.1" customHeight="1">
      <c r="A712" s="170" t="str">
        <f>IF($B712="","",MAX($A$3:A711)+1)</f>
        <v/>
      </c>
      <c r="B712" s="176"/>
      <c r="C712" s="177"/>
      <c r="D712" s="279"/>
      <c r="E712" s="178"/>
      <c r="F712" s="172" t="str">
        <f>IF($B712="","",SUMIFS('Daily Inward'!$G:$G,'Daily Inward'!$C:$C,$B712,'Daily Inward'!$E:$E,"Inventory"))</f>
        <v/>
      </c>
      <c r="G712" s="44" t="str">
        <f>IF($B712="","",SUMIFS('Daily Issuance'!$G:$G,'Daily Issuance'!$C:$C,$B712,'Daily Issuance'!$E:$E,"Inventory"))</f>
        <v/>
      </c>
      <c r="H712" s="44" t="str">
        <f t="shared" si="22"/>
        <v/>
      </c>
      <c r="I712" s="33"/>
      <c r="J712" s="34" t="str">
        <f t="shared" si="23"/>
        <v/>
      </c>
      <c r="K712" s="46"/>
    </row>
    <row r="713" spans="1:11" ht="23.1" customHeight="1">
      <c r="A713" s="170" t="str">
        <f>IF($B713="","",MAX($A$3:A712)+1)</f>
        <v/>
      </c>
      <c r="B713" s="176"/>
      <c r="C713" s="177"/>
      <c r="D713" s="279"/>
      <c r="E713" s="178"/>
      <c r="F713" s="172" t="str">
        <f>IF($B713="","",SUMIFS('Daily Inward'!$G:$G,'Daily Inward'!$C:$C,$B713,'Daily Inward'!$E:$E,"Inventory"))</f>
        <v/>
      </c>
      <c r="G713" s="44" t="str">
        <f>IF($B713="","",SUMIFS('Daily Issuance'!$G:$G,'Daily Issuance'!$C:$C,$B713,'Daily Issuance'!$E:$E,"Inventory"))</f>
        <v/>
      </c>
      <c r="H713" s="44" t="str">
        <f t="shared" si="22"/>
        <v/>
      </c>
      <c r="I713" s="33"/>
      <c r="J713" s="34" t="str">
        <f t="shared" si="23"/>
        <v/>
      </c>
      <c r="K713" s="46"/>
    </row>
    <row r="714" spans="1:11" ht="23.1" customHeight="1">
      <c r="A714" s="170" t="str">
        <f>IF($B714="","",MAX($A$3:A713)+1)</f>
        <v/>
      </c>
      <c r="B714" s="176"/>
      <c r="C714" s="177"/>
      <c r="D714" s="279"/>
      <c r="E714" s="178"/>
      <c r="F714" s="172" t="str">
        <f>IF($B714="","",SUMIFS('Daily Inward'!$G:$G,'Daily Inward'!$C:$C,$B714,'Daily Inward'!$E:$E,"Inventory"))</f>
        <v/>
      </c>
      <c r="G714" s="44" t="str">
        <f>IF($B714="","",SUMIFS('Daily Issuance'!$G:$G,'Daily Issuance'!$C:$C,$B714,'Daily Issuance'!$E:$E,"Inventory"))</f>
        <v/>
      </c>
      <c r="H714" s="44" t="str">
        <f t="shared" si="22"/>
        <v/>
      </c>
      <c r="I714" s="33"/>
      <c r="J714" s="34" t="str">
        <f t="shared" si="23"/>
        <v/>
      </c>
      <c r="K714" s="46"/>
    </row>
    <row r="715" spans="1:11" ht="23.1" customHeight="1">
      <c r="A715" s="170" t="str">
        <f>IF($B715="","",MAX($A$3:A714)+1)</f>
        <v/>
      </c>
      <c r="B715" s="176"/>
      <c r="C715" s="177"/>
      <c r="D715" s="279"/>
      <c r="E715" s="178"/>
      <c r="F715" s="172" t="str">
        <f>IF($B715="","",SUMIFS('Daily Inward'!$G:$G,'Daily Inward'!$C:$C,$B715,'Daily Inward'!$E:$E,"Inventory"))</f>
        <v/>
      </c>
      <c r="G715" s="44" t="str">
        <f>IF($B715="","",SUMIFS('Daily Issuance'!$G:$G,'Daily Issuance'!$C:$C,$B715,'Daily Issuance'!$E:$E,"Inventory"))</f>
        <v/>
      </c>
      <c r="H715" s="44" t="str">
        <f t="shared" si="22"/>
        <v/>
      </c>
      <c r="I715" s="33"/>
      <c r="J715" s="34" t="str">
        <f t="shared" si="23"/>
        <v/>
      </c>
      <c r="K715" s="46"/>
    </row>
    <row r="716" spans="1:11" ht="23.1" customHeight="1">
      <c r="A716" s="170" t="str">
        <f>IF($B716="","",MAX($A$3:A715)+1)</f>
        <v/>
      </c>
      <c r="B716" s="176"/>
      <c r="C716" s="177"/>
      <c r="D716" s="279"/>
      <c r="E716" s="178"/>
      <c r="F716" s="172" t="str">
        <f>IF($B716="","",SUMIFS('Daily Inward'!$G:$G,'Daily Inward'!$C:$C,$B716,'Daily Inward'!$E:$E,"Inventory"))</f>
        <v/>
      </c>
      <c r="G716" s="44" t="str">
        <f>IF($B716="","",SUMIFS('Daily Issuance'!$G:$G,'Daily Issuance'!$C:$C,$B716,'Daily Issuance'!$E:$E,"Inventory"))</f>
        <v/>
      </c>
      <c r="H716" s="44" t="str">
        <f t="shared" si="22"/>
        <v/>
      </c>
      <c r="I716" s="33"/>
      <c r="J716" s="34" t="str">
        <f t="shared" si="23"/>
        <v/>
      </c>
      <c r="K716" s="46"/>
    </row>
    <row r="717" spans="1:11" ht="23.1" customHeight="1">
      <c r="A717" s="170" t="str">
        <f>IF($B717="","",MAX($A$3:A716)+1)</f>
        <v/>
      </c>
      <c r="B717" s="176"/>
      <c r="C717" s="177"/>
      <c r="D717" s="279"/>
      <c r="E717" s="178"/>
      <c r="F717" s="172" t="str">
        <f>IF($B717="","",SUMIFS('Daily Inward'!$G:$G,'Daily Inward'!$C:$C,$B717,'Daily Inward'!$E:$E,"Inventory"))</f>
        <v/>
      </c>
      <c r="G717" s="44" t="str">
        <f>IF($B717="","",SUMIFS('Daily Issuance'!$G:$G,'Daily Issuance'!$C:$C,$B717,'Daily Issuance'!$E:$E,"Inventory"))</f>
        <v/>
      </c>
      <c r="H717" s="44" t="str">
        <f t="shared" si="22"/>
        <v/>
      </c>
      <c r="I717" s="33"/>
      <c r="J717" s="34" t="str">
        <f t="shared" si="23"/>
        <v/>
      </c>
      <c r="K717" s="46"/>
    </row>
    <row r="718" spans="1:11" ht="23.1" customHeight="1">
      <c r="A718" s="170" t="str">
        <f>IF($B718="","",MAX($A$3:A717)+1)</f>
        <v/>
      </c>
      <c r="B718" s="176"/>
      <c r="C718" s="177"/>
      <c r="D718" s="279"/>
      <c r="E718" s="178"/>
      <c r="F718" s="172" t="str">
        <f>IF($B718="","",SUMIFS('Daily Inward'!$G:$G,'Daily Inward'!$C:$C,$B718,'Daily Inward'!$E:$E,"Inventory"))</f>
        <v/>
      </c>
      <c r="G718" s="44" t="str">
        <f>IF($B718="","",SUMIFS('Daily Issuance'!$G:$G,'Daily Issuance'!$C:$C,$B718,'Daily Issuance'!$E:$E,"Inventory"))</f>
        <v/>
      </c>
      <c r="H718" s="44" t="str">
        <f t="shared" si="22"/>
        <v/>
      </c>
      <c r="I718" s="33"/>
      <c r="J718" s="34" t="str">
        <f t="shared" si="23"/>
        <v/>
      </c>
      <c r="K718" s="46"/>
    </row>
    <row r="719" spans="1:11" ht="23.1" customHeight="1">
      <c r="A719" s="170" t="str">
        <f>IF($B719="","",MAX($A$3:A718)+1)</f>
        <v/>
      </c>
      <c r="B719" s="176"/>
      <c r="C719" s="177"/>
      <c r="D719" s="279"/>
      <c r="E719" s="178"/>
      <c r="F719" s="172" t="str">
        <f>IF($B719="","",SUMIFS('Daily Inward'!$G:$G,'Daily Inward'!$C:$C,$B719,'Daily Inward'!$E:$E,"Inventory"))</f>
        <v/>
      </c>
      <c r="G719" s="44" t="str">
        <f>IF($B719="","",SUMIFS('Daily Issuance'!$G:$G,'Daily Issuance'!$C:$C,$B719,'Daily Issuance'!$E:$E,"Inventory"))</f>
        <v/>
      </c>
      <c r="H719" s="44" t="str">
        <f t="shared" si="22"/>
        <v/>
      </c>
      <c r="I719" s="33"/>
      <c r="J719" s="34" t="str">
        <f t="shared" si="23"/>
        <v/>
      </c>
      <c r="K719" s="46"/>
    </row>
    <row r="720" spans="1:11" ht="23.1" customHeight="1">
      <c r="A720" s="170" t="str">
        <f>IF($B720="","",MAX($A$3:A719)+1)</f>
        <v/>
      </c>
      <c r="B720" s="176"/>
      <c r="C720" s="177"/>
      <c r="D720" s="279"/>
      <c r="E720" s="178"/>
      <c r="F720" s="172" t="str">
        <f>IF($B720="","",SUMIFS('Daily Inward'!$G:$G,'Daily Inward'!$C:$C,$B720,'Daily Inward'!$E:$E,"Inventory"))</f>
        <v/>
      </c>
      <c r="G720" s="44" t="str">
        <f>IF($B720="","",SUMIFS('Daily Issuance'!$G:$G,'Daily Issuance'!$C:$C,$B720,'Daily Issuance'!$E:$E,"Inventory"))</f>
        <v/>
      </c>
      <c r="H720" s="44" t="str">
        <f t="shared" si="22"/>
        <v/>
      </c>
      <c r="I720" s="33"/>
      <c r="J720" s="34" t="str">
        <f t="shared" si="23"/>
        <v/>
      </c>
      <c r="K720" s="46"/>
    </row>
    <row r="721" spans="1:11" ht="23.1" customHeight="1">
      <c r="A721" s="170" t="str">
        <f>IF($B721="","",MAX($A$3:A720)+1)</f>
        <v/>
      </c>
      <c r="B721" s="176"/>
      <c r="C721" s="177"/>
      <c r="D721" s="279"/>
      <c r="E721" s="178"/>
      <c r="F721" s="172" t="str">
        <f>IF($B721="","",SUMIFS('Daily Inward'!$G:$G,'Daily Inward'!$C:$C,$B721,'Daily Inward'!$E:$E,"Inventory"))</f>
        <v/>
      </c>
      <c r="G721" s="44" t="str">
        <f>IF($B721="","",SUMIFS('Daily Issuance'!$G:$G,'Daily Issuance'!$C:$C,$B721,'Daily Issuance'!$E:$E,"Inventory"))</f>
        <v/>
      </c>
      <c r="H721" s="44" t="str">
        <f t="shared" si="22"/>
        <v/>
      </c>
      <c r="I721" s="33"/>
      <c r="J721" s="34" t="str">
        <f t="shared" si="23"/>
        <v/>
      </c>
      <c r="K721" s="46"/>
    </row>
    <row r="722" spans="1:11" ht="23.1" customHeight="1">
      <c r="A722" s="170" t="str">
        <f>IF($B722="","",MAX($A$3:A721)+1)</f>
        <v/>
      </c>
      <c r="B722" s="176"/>
      <c r="C722" s="177"/>
      <c r="D722" s="279"/>
      <c r="E722" s="178"/>
      <c r="F722" s="172" t="str">
        <f>IF($B722="","",SUMIFS('Daily Inward'!$G:$G,'Daily Inward'!$C:$C,$B722,'Daily Inward'!$E:$E,"Inventory"))</f>
        <v/>
      </c>
      <c r="G722" s="44" t="str">
        <f>IF($B722="","",SUMIFS('Daily Issuance'!$G:$G,'Daily Issuance'!$C:$C,$B722,'Daily Issuance'!$E:$E,"Inventory"))</f>
        <v/>
      </c>
      <c r="H722" s="44" t="str">
        <f t="shared" si="22"/>
        <v/>
      </c>
      <c r="I722" s="33"/>
      <c r="J722" s="34" t="str">
        <f t="shared" si="23"/>
        <v/>
      </c>
      <c r="K722" s="46"/>
    </row>
    <row r="723" spans="1:11" ht="23.1" customHeight="1">
      <c r="A723" s="170" t="str">
        <f>IF($B723="","",MAX($A$3:A722)+1)</f>
        <v/>
      </c>
      <c r="B723" s="176"/>
      <c r="C723" s="177"/>
      <c r="D723" s="279"/>
      <c r="E723" s="178"/>
      <c r="F723" s="172" t="str">
        <f>IF($B723="","",SUMIFS('Daily Inward'!$G:$G,'Daily Inward'!$C:$C,$B723,'Daily Inward'!$E:$E,"Inventory"))</f>
        <v/>
      </c>
      <c r="G723" s="44" t="str">
        <f>IF($B723="","",SUMIFS('Daily Issuance'!$G:$G,'Daily Issuance'!$C:$C,$B723,'Daily Issuance'!$E:$E,"Inventory"))</f>
        <v/>
      </c>
      <c r="H723" s="44" t="str">
        <f t="shared" si="22"/>
        <v/>
      </c>
      <c r="I723" s="33"/>
      <c r="J723" s="34" t="str">
        <f t="shared" si="23"/>
        <v/>
      </c>
      <c r="K723" s="46"/>
    </row>
    <row r="724" spans="1:11" ht="23.1" customHeight="1">
      <c r="A724" s="170" t="str">
        <f>IF($B724="","",MAX($A$3:A723)+1)</f>
        <v/>
      </c>
      <c r="B724" s="176"/>
      <c r="C724" s="177"/>
      <c r="D724" s="279"/>
      <c r="E724" s="178"/>
      <c r="F724" s="172" t="str">
        <f>IF($B724="","",SUMIFS('Daily Inward'!$G:$G,'Daily Inward'!$C:$C,$B724,'Daily Inward'!$E:$E,"Inventory"))</f>
        <v/>
      </c>
      <c r="G724" s="44" t="str">
        <f>IF($B724="","",SUMIFS('Daily Issuance'!$G:$G,'Daily Issuance'!$C:$C,$B724,'Daily Issuance'!$E:$E,"Inventory"))</f>
        <v/>
      </c>
      <c r="H724" s="44" t="str">
        <f t="shared" si="22"/>
        <v/>
      </c>
      <c r="I724" s="33"/>
      <c r="J724" s="34" t="str">
        <f t="shared" si="23"/>
        <v/>
      </c>
      <c r="K724" s="46"/>
    </row>
    <row r="725" spans="1:11" ht="23.1" customHeight="1">
      <c r="A725" s="170" t="str">
        <f>IF($B725="","",MAX($A$3:A724)+1)</f>
        <v/>
      </c>
      <c r="B725" s="176"/>
      <c r="C725" s="177"/>
      <c r="D725" s="279"/>
      <c r="E725" s="178"/>
      <c r="F725" s="172" t="str">
        <f>IF($B725="","",SUMIFS('Daily Inward'!$G:$G,'Daily Inward'!$C:$C,$B725,'Daily Inward'!$E:$E,"Inventory"))</f>
        <v/>
      </c>
      <c r="G725" s="44" t="str">
        <f>IF($B725="","",SUMIFS('Daily Issuance'!$G:$G,'Daily Issuance'!$C:$C,$B725,'Daily Issuance'!$E:$E,"Inventory"))</f>
        <v/>
      </c>
      <c r="H725" s="44" t="str">
        <f t="shared" si="22"/>
        <v/>
      </c>
      <c r="I725" s="33"/>
      <c r="J725" s="34" t="str">
        <f t="shared" si="23"/>
        <v/>
      </c>
      <c r="K725" s="46"/>
    </row>
    <row r="726" spans="1:11" ht="23.1" customHeight="1">
      <c r="A726" s="170" t="str">
        <f>IF($B726="","",MAX($A$3:A725)+1)</f>
        <v/>
      </c>
      <c r="B726" s="176"/>
      <c r="C726" s="177"/>
      <c r="D726" s="279"/>
      <c r="E726" s="178"/>
      <c r="F726" s="172" t="str">
        <f>IF($B726="","",SUMIFS('Daily Inward'!$G:$G,'Daily Inward'!$C:$C,$B726,'Daily Inward'!$E:$E,"Inventory"))</f>
        <v/>
      </c>
      <c r="G726" s="44" t="str">
        <f>IF($B726="","",SUMIFS('Daily Issuance'!$G:$G,'Daily Issuance'!$C:$C,$B726,'Daily Issuance'!$E:$E,"Inventory"))</f>
        <v/>
      </c>
      <c r="H726" s="44" t="str">
        <f t="shared" si="22"/>
        <v/>
      </c>
      <c r="I726" s="33"/>
      <c r="J726" s="34" t="str">
        <f t="shared" si="23"/>
        <v/>
      </c>
      <c r="K726" s="46"/>
    </row>
    <row r="727" spans="1:11" ht="23.1" customHeight="1">
      <c r="A727" s="170" t="str">
        <f>IF($B727="","",MAX($A$3:A726)+1)</f>
        <v/>
      </c>
      <c r="B727" s="176"/>
      <c r="C727" s="177"/>
      <c r="D727" s="279"/>
      <c r="E727" s="178"/>
      <c r="F727" s="172" t="str">
        <f>IF($B727="","",SUMIFS('Daily Inward'!$G:$G,'Daily Inward'!$C:$C,$B727,'Daily Inward'!$E:$E,"Inventory"))</f>
        <v/>
      </c>
      <c r="G727" s="44" t="str">
        <f>IF($B727="","",SUMIFS('Daily Issuance'!$G:$G,'Daily Issuance'!$C:$C,$B727,'Daily Issuance'!$E:$E,"Inventory"))</f>
        <v/>
      </c>
      <c r="H727" s="44" t="str">
        <f t="shared" si="22"/>
        <v/>
      </c>
      <c r="I727" s="33"/>
      <c r="J727" s="34" t="str">
        <f t="shared" si="23"/>
        <v/>
      </c>
      <c r="K727" s="46"/>
    </row>
    <row r="728" spans="1:11" ht="23.1" customHeight="1">
      <c r="A728" s="170" t="str">
        <f>IF($B728="","",MAX($A$3:A727)+1)</f>
        <v/>
      </c>
      <c r="B728" s="176"/>
      <c r="C728" s="177"/>
      <c r="D728" s="279"/>
      <c r="E728" s="178"/>
      <c r="F728" s="172" t="str">
        <f>IF($B728="","",SUMIFS('Daily Inward'!$G:$G,'Daily Inward'!$C:$C,$B728,'Daily Inward'!$E:$E,"Inventory"))</f>
        <v/>
      </c>
      <c r="G728" s="44" t="str">
        <f>IF($B728="","",SUMIFS('Daily Issuance'!$G:$G,'Daily Issuance'!$C:$C,$B728,'Daily Issuance'!$E:$E,"Inventory"))</f>
        <v/>
      </c>
      <c r="H728" s="44" t="str">
        <f t="shared" si="22"/>
        <v/>
      </c>
      <c r="I728" s="33"/>
      <c r="J728" s="34" t="str">
        <f t="shared" si="23"/>
        <v/>
      </c>
      <c r="K728" s="46"/>
    </row>
    <row r="729" spans="1:11" ht="23.1" customHeight="1">
      <c r="A729" s="170" t="str">
        <f>IF($B729="","",MAX($A$3:A728)+1)</f>
        <v/>
      </c>
      <c r="B729" s="176"/>
      <c r="C729" s="177"/>
      <c r="D729" s="279"/>
      <c r="E729" s="178"/>
      <c r="F729" s="172" t="str">
        <f>IF($B729="","",SUMIFS('Daily Inward'!$G:$G,'Daily Inward'!$C:$C,$B729,'Daily Inward'!$E:$E,"Inventory"))</f>
        <v/>
      </c>
      <c r="G729" s="44" t="str">
        <f>IF($B729="","",SUMIFS('Daily Issuance'!$G:$G,'Daily Issuance'!$C:$C,$B729,'Daily Issuance'!$E:$E,"Inventory"))</f>
        <v/>
      </c>
      <c r="H729" s="44" t="str">
        <f t="shared" si="22"/>
        <v/>
      </c>
      <c r="I729" s="33"/>
      <c r="J729" s="34" t="str">
        <f t="shared" si="23"/>
        <v/>
      </c>
      <c r="K729" s="46"/>
    </row>
    <row r="730" spans="1:11" ht="23.1" customHeight="1">
      <c r="A730" s="170" t="str">
        <f>IF($B730="","",MAX($A$3:A729)+1)</f>
        <v/>
      </c>
      <c r="B730" s="176"/>
      <c r="C730" s="177"/>
      <c r="D730" s="279"/>
      <c r="E730" s="178"/>
      <c r="F730" s="172" t="str">
        <f>IF($B730="","",SUMIFS('Daily Inward'!$G:$G,'Daily Inward'!$C:$C,$B730,'Daily Inward'!$E:$E,"Inventory"))</f>
        <v/>
      </c>
      <c r="G730" s="44" t="str">
        <f>IF($B730="","",SUMIFS('Daily Issuance'!$G:$G,'Daily Issuance'!$C:$C,$B730,'Daily Issuance'!$E:$E,"Inventory"))</f>
        <v/>
      </c>
      <c r="H730" s="44" t="str">
        <f t="shared" si="22"/>
        <v/>
      </c>
      <c r="I730" s="33"/>
      <c r="J730" s="34" t="str">
        <f t="shared" si="23"/>
        <v/>
      </c>
      <c r="K730" s="46"/>
    </row>
    <row r="731" spans="1:11" ht="23.1" customHeight="1">
      <c r="A731" s="170" t="str">
        <f>IF($B731="","",MAX($A$3:A730)+1)</f>
        <v/>
      </c>
      <c r="B731" s="176"/>
      <c r="C731" s="177"/>
      <c r="D731" s="279"/>
      <c r="E731" s="178"/>
      <c r="F731" s="172" t="str">
        <f>IF($B731="","",SUMIFS('Daily Inward'!$G:$G,'Daily Inward'!$C:$C,$B731,'Daily Inward'!$E:$E,"Inventory"))</f>
        <v/>
      </c>
      <c r="G731" s="44" t="str">
        <f>IF($B731="","",SUMIFS('Daily Issuance'!$G:$G,'Daily Issuance'!$C:$C,$B731,'Daily Issuance'!$E:$E,"Inventory"))</f>
        <v/>
      </c>
      <c r="H731" s="44" t="str">
        <f t="shared" si="22"/>
        <v/>
      </c>
      <c r="I731" s="33"/>
      <c r="J731" s="34" t="str">
        <f t="shared" si="23"/>
        <v/>
      </c>
      <c r="K731" s="46"/>
    </row>
    <row r="732" spans="1:11" ht="23.1" customHeight="1">
      <c r="A732" s="170" t="str">
        <f>IF($B732="","",MAX($A$3:A731)+1)</f>
        <v/>
      </c>
      <c r="B732" s="176"/>
      <c r="C732" s="177"/>
      <c r="D732" s="279"/>
      <c r="E732" s="178"/>
      <c r="F732" s="172" t="str">
        <f>IF($B732="","",SUMIFS('Daily Inward'!$G:$G,'Daily Inward'!$C:$C,$B732,'Daily Inward'!$E:$E,"Inventory"))</f>
        <v/>
      </c>
      <c r="G732" s="44" t="str">
        <f>IF($B732="","",SUMIFS('Daily Issuance'!$G:$G,'Daily Issuance'!$C:$C,$B732,'Daily Issuance'!$E:$E,"Inventory"))</f>
        <v/>
      </c>
      <c r="H732" s="44" t="str">
        <f t="shared" si="22"/>
        <v/>
      </c>
      <c r="I732" s="33"/>
      <c r="J732" s="34" t="str">
        <f t="shared" si="23"/>
        <v/>
      </c>
      <c r="K732" s="46"/>
    </row>
    <row r="733" spans="1:11" ht="23.1" customHeight="1">
      <c r="A733" s="170" t="str">
        <f>IF($B733="","",MAX($A$3:A732)+1)</f>
        <v/>
      </c>
      <c r="B733" s="176"/>
      <c r="C733" s="177"/>
      <c r="D733" s="279"/>
      <c r="E733" s="178"/>
      <c r="F733" s="172" t="str">
        <f>IF($B733="","",SUMIFS('Daily Inward'!$G:$G,'Daily Inward'!$C:$C,$B733,'Daily Inward'!$E:$E,"Inventory"))</f>
        <v/>
      </c>
      <c r="G733" s="44" t="str">
        <f>IF($B733="","",SUMIFS('Daily Issuance'!$G:$G,'Daily Issuance'!$C:$C,$B733,'Daily Issuance'!$E:$E,"Inventory"))</f>
        <v/>
      </c>
      <c r="H733" s="44" t="str">
        <f t="shared" si="22"/>
        <v/>
      </c>
      <c r="I733" s="33"/>
      <c r="J733" s="34" t="str">
        <f t="shared" si="23"/>
        <v/>
      </c>
      <c r="K733" s="46"/>
    </row>
    <row r="734" spans="1:11" ht="23.1" customHeight="1">
      <c r="A734" s="170" t="str">
        <f>IF($B734="","",MAX($A$3:A733)+1)</f>
        <v/>
      </c>
      <c r="B734" s="176"/>
      <c r="C734" s="177"/>
      <c r="D734" s="279"/>
      <c r="E734" s="178"/>
      <c r="F734" s="172" t="str">
        <f>IF($B734="","",SUMIFS('Daily Inward'!$G:$G,'Daily Inward'!$C:$C,$B734,'Daily Inward'!$E:$E,"Inventory"))</f>
        <v/>
      </c>
      <c r="G734" s="44" t="str">
        <f>IF($B734="","",SUMIFS('Daily Issuance'!$G:$G,'Daily Issuance'!$C:$C,$B734,'Daily Issuance'!$E:$E,"Inventory"))</f>
        <v/>
      </c>
      <c r="H734" s="44" t="str">
        <f t="shared" si="22"/>
        <v/>
      </c>
      <c r="I734" s="33"/>
      <c r="J734" s="34" t="str">
        <f t="shared" si="23"/>
        <v/>
      </c>
      <c r="K734" s="46"/>
    </row>
    <row r="735" spans="1:11" ht="23.1" customHeight="1">
      <c r="A735" s="170" t="str">
        <f>IF($B735="","",MAX($A$3:A734)+1)</f>
        <v/>
      </c>
      <c r="B735" s="176"/>
      <c r="C735" s="177"/>
      <c r="D735" s="279"/>
      <c r="E735" s="178"/>
      <c r="F735" s="172" t="str">
        <f>IF($B735="","",SUMIFS('Daily Inward'!$G:$G,'Daily Inward'!$C:$C,$B735,'Daily Inward'!$E:$E,"Inventory"))</f>
        <v/>
      </c>
      <c r="G735" s="44" t="str">
        <f>IF($B735="","",SUMIFS('Daily Issuance'!$G:$G,'Daily Issuance'!$C:$C,$B735,'Daily Issuance'!$E:$E,"Inventory"))</f>
        <v/>
      </c>
      <c r="H735" s="44" t="str">
        <f t="shared" si="22"/>
        <v/>
      </c>
      <c r="I735" s="33"/>
      <c r="J735" s="34" t="str">
        <f t="shared" si="23"/>
        <v/>
      </c>
      <c r="K735" s="46"/>
    </row>
    <row r="736" spans="1:11" ht="23.1" customHeight="1">
      <c r="A736" s="170" t="str">
        <f>IF($B736="","",MAX($A$3:A735)+1)</f>
        <v/>
      </c>
      <c r="B736" s="176"/>
      <c r="C736" s="177"/>
      <c r="D736" s="279"/>
      <c r="E736" s="178"/>
      <c r="F736" s="172" t="str">
        <f>IF($B736="","",SUMIFS('Daily Inward'!$G:$G,'Daily Inward'!$C:$C,$B736,'Daily Inward'!$E:$E,"Inventory"))</f>
        <v/>
      </c>
      <c r="G736" s="44" t="str">
        <f>IF($B736="","",SUMIFS('Daily Issuance'!$G:$G,'Daily Issuance'!$C:$C,$B736,'Daily Issuance'!$E:$E,"Inventory"))</f>
        <v/>
      </c>
      <c r="H736" s="44" t="str">
        <f t="shared" si="22"/>
        <v/>
      </c>
      <c r="I736" s="33"/>
      <c r="J736" s="34" t="str">
        <f t="shared" si="23"/>
        <v/>
      </c>
      <c r="K736" s="46"/>
    </row>
    <row r="737" spans="1:11" ht="23.1" customHeight="1">
      <c r="A737" s="170" t="str">
        <f>IF($B737="","",MAX($A$3:A736)+1)</f>
        <v/>
      </c>
      <c r="B737" s="176"/>
      <c r="C737" s="177"/>
      <c r="D737" s="279"/>
      <c r="E737" s="178"/>
      <c r="F737" s="172" t="str">
        <f>IF($B737="","",SUMIFS('Daily Inward'!$G:$G,'Daily Inward'!$C:$C,$B737,'Daily Inward'!$E:$E,"Inventory"))</f>
        <v/>
      </c>
      <c r="G737" s="44" t="str">
        <f>IF($B737="","",SUMIFS('Daily Issuance'!$G:$G,'Daily Issuance'!$C:$C,$B737,'Daily Issuance'!$E:$E,"Inventory"))</f>
        <v/>
      </c>
      <c r="H737" s="44" t="str">
        <f t="shared" si="22"/>
        <v/>
      </c>
      <c r="I737" s="33"/>
      <c r="J737" s="34" t="str">
        <f t="shared" si="23"/>
        <v/>
      </c>
      <c r="K737" s="46"/>
    </row>
    <row r="738" spans="1:11" ht="23.1" customHeight="1">
      <c r="A738" s="170" t="str">
        <f>IF($B738="","",MAX($A$3:A737)+1)</f>
        <v/>
      </c>
      <c r="B738" s="176"/>
      <c r="C738" s="177"/>
      <c r="D738" s="279"/>
      <c r="E738" s="178"/>
      <c r="F738" s="172" t="str">
        <f>IF($B738="","",SUMIFS('Daily Inward'!$G:$G,'Daily Inward'!$C:$C,$B738,'Daily Inward'!$E:$E,"Inventory"))</f>
        <v/>
      </c>
      <c r="G738" s="44" t="str">
        <f>IF($B738="","",SUMIFS('Daily Issuance'!$G:$G,'Daily Issuance'!$C:$C,$B738,'Daily Issuance'!$E:$E,"Inventory"))</f>
        <v/>
      </c>
      <c r="H738" s="44" t="str">
        <f t="shared" si="22"/>
        <v/>
      </c>
      <c r="I738" s="33"/>
      <c r="J738" s="34" t="str">
        <f t="shared" si="23"/>
        <v/>
      </c>
      <c r="K738" s="46"/>
    </row>
    <row r="739" spans="1:11" ht="23.1" customHeight="1">
      <c r="A739" s="170" t="str">
        <f>IF($B739="","",MAX($A$3:A738)+1)</f>
        <v/>
      </c>
      <c r="B739" s="176"/>
      <c r="C739" s="177"/>
      <c r="D739" s="279"/>
      <c r="E739" s="178"/>
      <c r="F739" s="172" t="str">
        <f>IF($B739="","",SUMIFS('Daily Inward'!$G:$G,'Daily Inward'!$C:$C,$B739,'Daily Inward'!$E:$E,"Inventory"))</f>
        <v/>
      </c>
      <c r="G739" s="44" t="str">
        <f>IF($B739="","",SUMIFS('Daily Issuance'!$G:$G,'Daily Issuance'!$C:$C,$B739,'Daily Issuance'!$E:$E,"Inventory"))</f>
        <v/>
      </c>
      <c r="H739" s="44" t="str">
        <f t="shared" si="22"/>
        <v/>
      </c>
      <c r="I739" s="33"/>
      <c r="J739" s="34" t="str">
        <f t="shared" si="23"/>
        <v/>
      </c>
      <c r="K739" s="46"/>
    </row>
    <row r="740" spans="1:11" ht="23.1" customHeight="1">
      <c r="A740" s="170" t="str">
        <f>IF($B740="","",MAX($A$3:A739)+1)</f>
        <v/>
      </c>
      <c r="B740" s="176"/>
      <c r="C740" s="177"/>
      <c r="D740" s="279"/>
      <c r="E740" s="178"/>
      <c r="F740" s="172" t="str">
        <f>IF($B740="","",SUMIFS('Daily Inward'!$G:$G,'Daily Inward'!$C:$C,$B740,'Daily Inward'!$E:$E,"Inventory"))</f>
        <v/>
      </c>
      <c r="G740" s="44" t="str">
        <f>IF($B740="","",SUMIFS('Daily Issuance'!$G:$G,'Daily Issuance'!$C:$C,$B740,'Daily Issuance'!$E:$E,"Inventory"))</f>
        <v/>
      </c>
      <c r="H740" s="44" t="str">
        <f t="shared" si="22"/>
        <v/>
      </c>
      <c r="I740" s="33"/>
      <c r="J740" s="34" t="str">
        <f t="shared" si="23"/>
        <v/>
      </c>
      <c r="K740" s="46"/>
    </row>
    <row r="741" spans="1:11" ht="23.1" customHeight="1">
      <c r="A741" s="170" t="str">
        <f>IF($B741="","",MAX($A$3:A740)+1)</f>
        <v/>
      </c>
      <c r="B741" s="176"/>
      <c r="C741" s="177"/>
      <c r="D741" s="279"/>
      <c r="E741" s="178"/>
      <c r="F741" s="172" t="str">
        <f>IF($B741="","",SUMIFS('Daily Inward'!$G:$G,'Daily Inward'!$C:$C,$B741,'Daily Inward'!$E:$E,"Inventory"))</f>
        <v/>
      </c>
      <c r="G741" s="44" t="str">
        <f>IF($B741="","",SUMIFS('Daily Issuance'!$G:$G,'Daily Issuance'!$C:$C,$B741,'Daily Issuance'!$E:$E,"Inventory"))</f>
        <v/>
      </c>
      <c r="H741" s="44" t="str">
        <f t="shared" si="22"/>
        <v/>
      </c>
      <c r="I741" s="33"/>
      <c r="J741" s="34" t="str">
        <f t="shared" si="23"/>
        <v/>
      </c>
      <c r="K741" s="46"/>
    </row>
    <row r="742" spans="1:11" ht="23.1" customHeight="1">
      <c r="A742" s="170" t="str">
        <f>IF($B742="","",MAX($A$3:A741)+1)</f>
        <v/>
      </c>
      <c r="B742" s="176"/>
      <c r="C742" s="177"/>
      <c r="D742" s="279"/>
      <c r="E742" s="178"/>
      <c r="F742" s="172" t="str">
        <f>IF($B742="","",SUMIFS('Daily Inward'!$G:$G,'Daily Inward'!$C:$C,$B742,'Daily Inward'!$E:$E,"Inventory"))</f>
        <v/>
      </c>
      <c r="G742" s="44" t="str">
        <f>IF($B742="","",SUMIFS('Daily Issuance'!$G:$G,'Daily Issuance'!$C:$C,$B742,'Daily Issuance'!$E:$E,"Inventory"))</f>
        <v/>
      </c>
      <c r="H742" s="44" t="str">
        <f t="shared" si="22"/>
        <v/>
      </c>
      <c r="I742" s="33"/>
      <c r="J742" s="34" t="str">
        <f t="shared" si="23"/>
        <v/>
      </c>
      <c r="K742" s="46"/>
    </row>
    <row r="743" spans="1:11" ht="23.1" customHeight="1">
      <c r="A743" s="170" t="str">
        <f>IF($B743="","",MAX($A$3:A742)+1)</f>
        <v/>
      </c>
      <c r="B743" s="176"/>
      <c r="C743" s="177"/>
      <c r="D743" s="279"/>
      <c r="E743" s="178"/>
      <c r="F743" s="172" t="str">
        <f>IF($B743="","",SUMIFS('Daily Inward'!$G:$G,'Daily Inward'!$C:$C,$B743,'Daily Inward'!$E:$E,"Inventory"))</f>
        <v/>
      </c>
      <c r="G743" s="44" t="str">
        <f>IF($B743="","",SUMIFS('Daily Issuance'!$G:$G,'Daily Issuance'!$C:$C,$B743,'Daily Issuance'!$E:$E,"Inventory"))</f>
        <v/>
      </c>
      <c r="H743" s="44" t="str">
        <f t="shared" si="22"/>
        <v/>
      </c>
      <c r="I743" s="33"/>
      <c r="J743" s="34" t="str">
        <f t="shared" si="23"/>
        <v/>
      </c>
      <c r="K743" s="46"/>
    </row>
    <row r="744" spans="1:11" ht="23.1" customHeight="1">
      <c r="A744" s="170" t="str">
        <f>IF($B744="","",MAX($A$3:A743)+1)</f>
        <v/>
      </c>
      <c r="B744" s="176"/>
      <c r="C744" s="177"/>
      <c r="D744" s="279"/>
      <c r="E744" s="178"/>
      <c r="F744" s="172" t="str">
        <f>IF($B744="","",SUMIFS('Daily Inward'!$G:$G,'Daily Inward'!$C:$C,$B744,'Daily Inward'!$E:$E,"Inventory"))</f>
        <v/>
      </c>
      <c r="G744" s="44" t="str">
        <f>IF($B744="","",SUMIFS('Daily Issuance'!$G:$G,'Daily Issuance'!$C:$C,$B744,'Daily Issuance'!$E:$E,"Inventory"))</f>
        <v/>
      </c>
      <c r="H744" s="44" t="str">
        <f t="shared" si="22"/>
        <v/>
      </c>
      <c r="I744" s="33"/>
      <c r="J744" s="34" t="str">
        <f t="shared" si="23"/>
        <v/>
      </c>
      <c r="K744" s="46"/>
    </row>
    <row r="745" spans="1:11" ht="23.1" customHeight="1">
      <c r="A745" s="170" t="str">
        <f>IF($B745="","",MAX($A$3:A744)+1)</f>
        <v/>
      </c>
      <c r="B745" s="176"/>
      <c r="C745" s="177"/>
      <c r="D745" s="279"/>
      <c r="E745" s="178"/>
      <c r="F745" s="172" t="str">
        <f>IF($B745="","",SUMIFS('Daily Inward'!$G:$G,'Daily Inward'!$C:$C,$B745,'Daily Inward'!$E:$E,"Inventory"))</f>
        <v/>
      </c>
      <c r="G745" s="44" t="str">
        <f>IF($B745="","",SUMIFS('Daily Issuance'!$G:$G,'Daily Issuance'!$C:$C,$B745,'Daily Issuance'!$E:$E,"Inventory"))</f>
        <v/>
      </c>
      <c r="H745" s="44" t="str">
        <f t="shared" si="22"/>
        <v/>
      </c>
      <c r="I745" s="33"/>
      <c r="J745" s="34" t="str">
        <f t="shared" si="23"/>
        <v/>
      </c>
      <c r="K745" s="46"/>
    </row>
    <row r="746" spans="1:11" ht="23.1" customHeight="1">
      <c r="A746" s="170" t="str">
        <f>IF($B746="","",MAX($A$3:A745)+1)</f>
        <v/>
      </c>
      <c r="B746" s="176"/>
      <c r="C746" s="177"/>
      <c r="D746" s="279"/>
      <c r="E746" s="178"/>
      <c r="F746" s="172" t="str">
        <f>IF($B746="","",SUMIFS('Daily Inward'!$G:$G,'Daily Inward'!$C:$C,$B746,'Daily Inward'!$E:$E,"Inventory"))</f>
        <v/>
      </c>
      <c r="G746" s="44" t="str">
        <f>IF($B746="","",SUMIFS('Daily Issuance'!$G:$G,'Daily Issuance'!$C:$C,$B746,'Daily Issuance'!$E:$E,"Inventory"))</f>
        <v/>
      </c>
      <c r="H746" s="44" t="str">
        <f t="shared" si="22"/>
        <v/>
      </c>
      <c r="I746" s="33"/>
      <c r="J746" s="34" t="str">
        <f t="shared" si="23"/>
        <v/>
      </c>
      <c r="K746" s="46"/>
    </row>
    <row r="747" spans="1:11" ht="23.1" customHeight="1">
      <c r="A747" s="170" t="str">
        <f>IF($B747="","",MAX($A$3:A746)+1)</f>
        <v/>
      </c>
      <c r="B747" s="176"/>
      <c r="C747" s="177"/>
      <c r="D747" s="279"/>
      <c r="E747" s="178"/>
      <c r="F747" s="172" t="str">
        <f>IF($B747="","",SUMIFS('Daily Inward'!$G:$G,'Daily Inward'!$C:$C,$B747,'Daily Inward'!$E:$E,"Inventory"))</f>
        <v/>
      </c>
      <c r="G747" s="44" t="str">
        <f>IF($B747="","",SUMIFS('Daily Issuance'!$G:$G,'Daily Issuance'!$C:$C,$B747,'Daily Issuance'!$E:$E,"Inventory"))</f>
        <v/>
      </c>
      <c r="H747" s="44" t="str">
        <f t="shared" si="22"/>
        <v/>
      </c>
      <c r="I747" s="33"/>
      <c r="J747" s="34" t="str">
        <f t="shared" si="23"/>
        <v/>
      </c>
      <c r="K747" s="46"/>
    </row>
    <row r="748" spans="1:11" ht="23.1" customHeight="1">
      <c r="A748" s="170" t="str">
        <f>IF($B748="","",MAX($A$3:A747)+1)</f>
        <v/>
      </c>
      <c r="B748" s="176"/>
      <c r="C748" s="177"/>
      <c r="D748" s="279"/>
      <c r="E748" s="178"/>
      <c r="F748" s="172" t="str">
        <f>IF($B748="","",SUMIFS('Daily Inward'!$G:$G,'Daily Inward'!$C:$C,$B748,'Daily Inward'!$E:$E,"Inventory"))</f>
        <v/>
      </c>
      <c r="G748" s="44" t="str">
        <f>IF($B748="","",SUMIFS('Daily Issuance'!$G:$G,'Daily Issuance'!$C:$C,$B748,'Daily Issuance'!$E:$E,"Inventory"))</f>
        <v/>
      </c>
      <c r="H748" s="44" t="str">
        <f t="shared" si="22"/>
        <v/>
      </c>
      <c r="I748" s="33"/>
      <c r="J748" s="34" t="str">
        <f t="shared" si="23"/>
        <v/>
      </c>
      <c r="K748" s="46"/>
    </row>
    <row r="749" spans="1:11" ht="23.1" customHeight="1">
      <c r="A749" s="170" t="str">
        <f>IF($B749="","",MAX($A$3:A748)+1)</f>
        <v/>
      </c>
      <c r="B749" s="176"/>
      <c r="C749" s="177"/>
      <c r="D749" s="279"/>
      <c r="E749" s="178"/>
      <c r="F749" s="172" t="str">
        <f>IF($B749="","",SUMIFS('Daily Inward'!$G:$G,'Daily Inward'!$C:$C,$B749,'Daily Inward'!$E:$E,"Inventory"))</f>
        <v/>
      </c>
      <c r="G749" s="44" t="str">
        <f>IF($B749="","",SUMIFS('Daily Issuance'!$G:$G,'Daily Issuance'!$C:$C,$B749,'Daily Issuance'!$E:$E,"Inventory"))</f>
        <v/>
      </c>
      <c r="H749" s="44" t="str">
        <f t="shared" si="22"/>
        <v/>
      </c>
      <c r="I749" s="33"/>
      <c r="J749" s="34" t="str">
        <f t="shared" si="23"/>
        <v/>
      </c>
      <c r="K749" s="46"/>
    </row>
    <row r="750" spans="1:11" ht="23.1" customHeight="1">
      <c r="A750" s="170" t="str">
        <f>IF($B750="","",MAX($A$3:A749)+1)</f>
        <v/>
      </c>
      <c r="B750" s="176"/>
      <c r="C750" s="177"/>
      <c r="D750" s="279"/>
      <c r="E750" s="178"/>
      <c r="F750" s="172" t="str">
        <f>IF($B750="","",SUMIFS('Daily Inward'!$G:$G,'Daily Inward'!$C:$C,$B750,'Daily Inward'!$E:$E,"Inventory"))</f>
        <v/>
      </c>
      <c r="G750" s="44" t="str">
        <f>IF($B750="","",SUMIFS('Daily Issuance'!$G:$G,'Daily Issuance'!$C:$C,$B750,'Daily Issuance'!$E:$E,"Inventory"))</f>
        <v/>
      </c>
      <c r="H750" s="44" t="str">
        <f t="shared" si="22"/>
        <v/>
      </c>
      <c r="I750" s="33"/>
      <c r="J750" s="34" t="str">
        <f t="shared" si="23"/>
        <v/>
      </c>
      <c r="K750" s="46"/>
    </row>
    <row r="751" spans="1:11" ht="23.1" customHeight="1">
      <c r="A751" s="170" t="str">
        <f>IF($B751="","",MAX($A$3:A750)+1)</f>
        <v/>
      </c>
      <c r="B751" s="176"/>
      <c r="C751" s="177"/>
      <c r="D751" s="279"/>
      <c r="E751" s="178"/>
      <c r="F751" s="172" t="str">
        <f>IF($B751="","",SUMIFS('Daily Inward'!$G:$G,'Daily Inward'!$C:$C,$B751,'Daily Inward'!$E:$E,"Inventory"))</f>
        <v/>
      </c>
      <c r="G751" s="44" t="str">
        <f>IF($B751="","",SUMIFS('Daily Issuance'!$G:$G,'Daily Issuance'!$C:$C,$B751,'Daily Issuance'!$E:$E,"Inventory"))</f>
        <v/>
      </c>
      <c r="H751" s="44" t="str">
        <f t="shared" si="22"/>
        <v/>
      </c>
      <c r="I751" s="33"/>
      <c r="J751" s="34" t="str">
        <f t="shared" si="23"/>
        <v/>
      </c>
      <c r="K751" s="46"/>
    </row>
    <row r="752" spans="1:11" ht="23.1" customHeight="1">
      <c r="A752" s="170" t="str">
        <f>IF($B752="","",MAX($A$3:A751)+1)</f>
        <v/>
      </c>
      <c r="B752" s="176"/>
      <c r="C752" s="177"/>
      <c r="D752" s="279"/>
      <c r="E752" s="178"/>
      <c r="F752" s="172" t="str">
        <f>IF($B752="","",SUMIFS('Daily Inward'!$G:$G,'Daily Inward'!$C:$C,$B752,'Daily Inward'!$E:$E,"Inventory"))</f>
        <v/>
      </c>
      <c r="G752" s="44" t="str">
        <f>IF($B752="","",SUMIFS('Daily Issuance'!$G:$G,'Daily Issuance'!$C:$C,$B752,'Daily Issuance'!$E:$E,"Inventory"))</f>
        <v/>
      </c>
      <c r="H752" s="44" t="str">
        <f t="shared" si="22"/>
        <v/>
      </c>
      <c r="I752" s="33"/>
      <c r="J752" s="34" t="str">
        <f t="shared" si="23"/>
        <v/>
      </c>
      <c r="K752" s="46"/>
    </row>
    <row r="753" spans="1:11" ht="23.1" customHeight="1">
      <c r="A753" s="170" t="str">
        <f>IF($B753="","",MAX($A$3:A752)+1)</f>
        <v/>
      </c>
      <c r="B753" s="176"/>
      <c r="C753" s="177"/>
      <c r="D753" s="279"/>
      <c r="E753" s="178"/>
      <c r="F753" s="172" t="str">
        <f>IF($B753="","",SUMIFS('Daily Inward'!$G:$G,'Daily Inward'!$C:$C,$B753,'Daily Inward'!$E:$E,"Inventory"))</f>
        <v/>
      </c>
      <c r="G753" s="44" t="str">
        <f>IF($B753="","",SUMIFS('Daily Issuance'!$G:$G,'Daily Issuance'!$C:$C,$B753,'Daily Issuance'!$E:$E,"Inventory"))</f>
        <v/>
      </c>
      <c r="H753" s="44" t="str">
        <f t="shared" si="22"/>
        <v/>
      </c>
      <c r="I753" s="33"/>
      <c r="J753" s="34" t="str">
        <f t="shared" si="23"/>
        <v/>
      </c>
      <c r="K753" s="46"/>
    </row>
    <row r="754" spans="1:11" ht="23.1" customHeight="1">
      <c r="A754" s="170" t="str">
        <f>IF($B754="","",MAX($A$3:A753)+1)</f>
        <v/>
      </c>
      <c r="B754" s="176"/>
      <c r="C754" s="177"/>
      <c r="D754" s="279"/>
      <c r="E754" s="178"/>
      <c r="F754" s="172" t="str">
        <f>IF($B754="","",SUMIFS('Daily Inward'!$G:$G,'Daily Inward'!$C:$C,$B754,'Daily Inward'!$E:$E,"Inventory"))</f>
        <v/>
      </c>
      <c r="G754" s="44" t="str">
        <f>IF($B754="","",SUMIFS('Daily Issuance'!$G:$G,'Daily Issuance'!$C:$C,$B754,'Daily Issuance'!$E:$E,"Inventory"))</f>
        <v/>
      </c>
      <c r="H754" s="44" t="str">
        <f t="shared" si="22"/>
        <v/>
      </c>
      <c r="I754" s="33"/>
      <c r="J754" s="34" t="str">
        <f t="shared" si="23"/>
        <v/>
      </c>
      <c r="K754" s="46"/>
    </row>
    <row r="755" spans="1:11" ht="23.1" customHeight="1">
      <c r="A755" s="170" t="str">
        <f>IF($B755="","",MAX($A$3:A754)+1)</f>
        <v/>
      </c>
      <c r="B755" s="176"/>
      <c r="C755" s="177"/>
      <c r="D755" s="279"/>
      <c r="E755" s="178"/>
      <c r="F755" s="172" t="str">
        <f>IF($B755="","",SUMIFS('Daily Inward'!$G:$G,'Daily Inward'!$C:$C,$B755,'Daily Inward'!$E:$E,"Inventory"))</f>
        <v/>
      </c>
      <c r="G755" s="44" t="str">
        <f>IF($B755="","",SUMIFS('Daily Issuance'!$G:$G,'Daily Issuance'!$C:$C,$B755,'Daily Issuance'!$E:$E,"Inventory"))</f>
        <v/>
      </c>
      <c r="H755" s="44" t="str">
        <f t="shared" si="22"/>
        <v/>
      </c>
      <c r="I755" s="33"/>
      <c r="J755" s="34" t="str">
        <f t="shared" si="23"/>
        <v/>
      </c>
      <c r="K755" s="46"/>
    </row>
    <row r="756" spans="1:11" ht="23.1" customHeight="1">
      <c r="A756" s="170" t="str">
        <f>IF($B756="","",MAX($A$3:A755)+1)</f>
        <v/>
      </c>
      <c r="B756" s="176"/>
      <c r="C756" s="177"/>
      <c r="D756" s="279"/>
      <c r="E756" s="178"/>
      <c r="F756" s="172" t="str">
        <f>IF($B756="","",SUMIFS('Daily Inward'!$G:$G,'Daily Inward'!$C:$C,$B756,'Daily Inward'!$E:$E,"Inventory"))</f>
        <v/>
      </c>
      <c r="G756" s="44" t="str">
        <f>IF($B756="","",SUMIFS('Daily Issuance'!$G:$G,'Daily Issuance'!$C:$C,$B756,'Daily Issuance'!$E:$E,"Inventory"))</f>
        <v/>
      </c>
      <c r="H756" s="44" t="str">
        <f t="shared" si="22"/>
        <v/>
      </c>
      <c r="I756" s="33"/>
      <c r="J756" s="34" t="str">
        <f t="shared" si="23"/>
        <v/>
      </c>
      <c r="K756" s="46"/>
    </row>
    <row r="757" spans="1:11" ht="23.1" customHeight="1">
      <c r="A757" s="170" t="str">
        <f>IF($B757="","",MAX($A$3:A756)+1)</f>
        <v/>
      </c>
      <c r="B757" s="176"/>
      <c r="C757" s="177"/>
      <c r="D757" s="279"/>
      <c r="E757" s="178"/>
      <c r="F757" s="172" t="str">
        <f>IF($B757="","",SUMIFS('Daily Inward'!$G:$G,'Daily Inward'!$C:$C,$B757,'Daily Inward'!$E:$E,"Inventory"))</f>
        <v/>
      </c>
      <c r="G757" s="44" t="str">
        <f>IF($B757="","",SUMIFS('Daily Issuance'!$G:$G,'Daily Issuance'!$C:$C,$B757,'Daily Issuance'!$E:$E,"Inventory"))</f>
        <v/>
      </c>
      <c r="H757" s="44" t="str">
        <f t="shared" si="22"/>
        <v/>
      </c>
      <c r="I757" s="33"/>
      <c r="J757" s="34" t="str">
        <f t="shared" si="23"/>
        <v/>
      </c>
      <c r="K757" s="46"/>
    </row>
    <row r="758" spans="1:11" ht="23.1" customHeight="1">
      <c r="A758" s="170" t="str">
        <f>IF($B758="","",MAX($A$3:A757)+1)</f>
        <v/>
      </c>
      <c r="B758" s="176"/>
      <c r="C758" s="177"/>
      <c r="D758" s="279"/>
      <c r="E758" s="178"/>
      <c r="F758" s="172" t="str">
        <f>IF($B758="","",SUMIFS('Daily Inward'!$G:$G,'Daily Inward'!$C:$C,$B758,'Daily Inward'!$E:$E,"Inventory"))</f>
        <v/>
      </c>
      <c r="G758" s="44" t="str">
        <f>IF($B758="","",SUMIFS('Daily Issuance'!$G:$G,'Daily Issuance'!$C:$C,$B758,'Daily Issuance'!$E:$E,"Inventory"))</f>
        <v/>
      </c>
      <c r="H758" s="44" t="str">
        <f t="shared" si="22"/>
        <v/>
      </c>
      <c r="I758" s="33"/>
      <c r="J758" s="34" t="str">
        <f t="shared" si="23"/>
        <v/>
      </c>
      <c r="K758" s="46"/>
    </row>
    <row r="759" spans="1:11" ht="23.1" customHeight="1">
      <c r="A759" s="170" t="str">
        <f>IF($B759="","",MAX($A$3:A758)+1)</f>
        <v/>
      </c>
      <c r="B759" s="176"/>
      <c r="C759" s="177"/>
      <c r="D759" s="279"/>
      <c r="E759" s="178"/>
      <c r="F759" s="172" t="str">
        <f>IF($B759="","",SUMIFS('Daily Inward'!$G:$G,'Daily Inward'!$C:$C,$B759,'Daily Inward'!$E:$E,"Inventory"))</f>
        <v/>
      </c>
      <c r="G759" s="44" t="str">
        <f>IF($B759="","",SUMIFS('Daily Issuance'!$G:$G,'Daily Issuance'!$C:$C,$B759,'Daily Issuance'!$E:$E,"Inventory"))</f>
        <v/>
      </c>
      <c r="H759" s="44" t="str">
        <f t="shared" si="22"/>
        <v/>
      </c>
      <c r="I759" s="33"/>
      <c r="J759" s="34" t="str">
        <f t="shared" si="23"/>
        <v/>
      </c>
      <c r="K759" s="46"/>
    </row>
    <row r="760" spans="1:11" ht="23.1" customHeight="1">
      <c r="A760" s="170" t="str">
        <f>IF($B760="","",MAX($A$3:A759)+1)</f>
        <v/>
      </c>
      <c r="B760" s="176"/>
      <c r="C760" s="177"/>
      <c r="D760" s="279"/>
      <c r="E760" s="178"/>
      <c r="F760" s="172" t="str">
        <f>IF($B760="","",SUMIFS('Daily Inward'!$G:$G,'Daily Inward'!$C:$C,$B760,'Daily Inward'!$E:$E,"Inventory"))</f>
        <v/>
      </c>
      <c r="G760" s="44" t="str">
        <f>IF($B760="","",SUMIFS('Daily Issuance'!$G:$G,'Daily Issuance'!$C:$C,$B760,'Daily Issuance'!$E:$E,"Inventory"))</f>
        <v/>
      </c>
      <c r="H760" s="44" t="str">
        <f t="shared" si="22"/>
        <v/>
      </c>
      <c r="I760" s="33"/>
      <c r="J760" s="34" t="str">
        <f t="shared" si="23"/>
        <v/>
      </c>
      <c r="K760" s="46"/>
    </row>
    <row r="761" spans="1:11" ht="23.1" customHeight="1">
      <c r="A761" s="170" t="str">
        <f>IF($B761="","",MAX($A$3:A760)+1)</f>
        <v/>
      </c>
      <c r="B761" s="176"/>
      <c r="C761" s="177"/>
      <c r="D761" s="279"/>
      <c r="E761" s="178"/>
      <c r="F761" s="172" t="str">
        <f>IF($B761="","",SUMIFS('Daily Inward'!$G:$G,'Daily Inward'!$C:$C,$B761,'Daily Inward'!$E:$E,"Inventory"))</f>
        <v/>
      </c>
      <c r="G761" s="44" t="str">
        <f>IF($B761="","",SUMIFS('Daily Issuance'!$G:$G,'Daily Issuance'!$C:$C,$B761,'Daily Issuance'!$E:$E,"Inventory"))</f>
        <v/>
      </c>
      <c r="H761" s="44" t="str">
        <f t="shared" si="22"/>
        <v/>
      </c>
      <c r="I761" s="33"/>
      <c r="J761" s="34" t="str">
        <f t="shared" si="23"/>
        <v/>
      </c>
      <c r="K761" s="46"/>
    </row>
    <row r="762" spans="1:11" ht="23.1" customHeight="1">
      <c r="A762" s="170" t="str">
        <f>IF($B762="","",MAX($A$3:A761)+1)</f>
        <v/>
      </c>
      <c r="B762" s="176"/>
      <c r="C762" s="177"/>
      <c r="D762" s="279"/>
      <c r="E762" s="178"/>
      <c r="F762" s="172" t="str">
        <f>IF($B762="","",SUMIFS('Daily Inward'!$G:$G,'Daily Inward'!$C:$C,$B762,'Daily Inward'!$E:$E,"Inventory"))</f>
        <v/>
      </c>
      <c r="G762" s="44" t="str">
        <f>IF($B762="","",SUMIFS('Daily Issuance'!$G:$G,'Daily Issuance'!$C:$C,$B762,'Daily Issuance'!$E:$E,"Inventory"))</f>
        <v/>
      </c>
      <c r="H762" s="44" t="str">
        <f t="shared" si="22"/>
        <v/>
      </c>
      <c r="I762" s="33"/>
      <c r="J762" s="34" t="str">
        <f t="shared" si="23"/>
        <v/>
      </c>
      <c r="K762" s="46"/>
    </row>
    <row r="763" spans="1:11" ht="23.1" customHeight="1">
      <c r="A763" s="170" t="str">
        <f>IF($B763="","",MAX($A$3:A762)+1)</f>
        <v/>
      </c>
      <c r="B763" s="176"/>
      <c r="C763" s="177"/>
      <c r="D763" s="279"/>
      <c r="E763" s="178"/>
      <c r="F763" s="172" t="str">
        <f>IF($B763="","",SUMIFS('Daily Inward'!$G:$G,'Daily Inward'!$C:$C,$B763,'Daily Inward'!$E:$E,"Inventory"))</f>
        <v/>
      </c>
      <c r="G763" s="44" t="str">
        <f>IF($B763="","",SUMIFS('Daily Issuance'!$G:$G,'Daily Issuance'!$C:$C,$B763,'Daily Issuance'!$E:$E,"Inventory"))</f>
        <v/>
      </c>
      <c r="H763" s="44" t="str">
        <f t="shared" si="22"/>
        <v/>
      </c>
      <c r="I763" s="33"/>
      <c r="J763" s="34" t="str">
        <f t="shared" si="23"/>
        <v/>
      </c>
      <c r="K763" s="46"/>
    </row>
    <row r="764" spans="1:11" ht="23.1" customHeight="1">
      <c r="A764" s="170" t="str">
        <f>IF($B764="","",MAX($A$3:A763)+1)</f>
        <v/>
      </c>
      <c r="B764" s="176"/>
      <c r="C764" s="177"/>
      <c r="D764" s="279"/>
      <c r="E764" s="178"/>
      <c r="F764" s="172" t="str">
        <f>IF($B764="","",SUMIFS('Daily Inward'!$G:$G,'Daily Inward'!$C:$C,$B764,'Daily Inward'!$E:$E,"Inventory"))</f>
        <v/>
      </c>
      <c r="G764" s="44" t="str">
        <f>IF($B764="","",SUMIFS('Daily Issuance'!$G:$G,'Daily Issuance'!$C:$C,$B764,'Daily Issuance'!$E:$E,"Inventory"))</f>
        <v/>
      </c>
      <c r="H764" s="44" t="str">
        <f t="shared" si="22"/>
        <v/>
      </c>
      <c r="I764" s="33"/>
      <c r="J764" s="34" t="str">
        <f t="shared" si="23"/>
        <v/>
      </c>
      <c r="K764" s="46"/>
    </row>
    <row r="765" spans="1:11" ht="23.1" customHeight="1">
      <c r="A765" s="170" t="str">
        <f>IF($B765="","",MAX($A$3:A764)+1)</f>
        <v/>
      </c>
      <c r="B765" s="176"/>
      <c r="C765" s="177"/>
      <c r="D765" s="279"/>
      <c r="E765" s="178"/>
      <c r="F765" s="172" t="str">
        <f>IF($B765="","",SUMIFS('Daily Inward'!$G:$G,'Daily Inward'!$C:$C,$B765,'Daily Inward'!$E:$E,"Inventory"))</f>
        <v/>
      </c>
      <c r="G765" s="44" t="str">
        <f>IF($B765="","",SUMIFS('Daily Issuance'!$G:$G,'Daily Issuance'!$C:$C,$B765,'Daily Issuance'!$E:$E,"Inventory"))</f>
        <v/>
      </c>
      <c r="H765" s="44" t="str">
        <f t="shared" si="22"/>
        <v/>
      </c>
      <c r="I765" s="33"/>
      <c r="J765" s="34" t="str">
        <f t="shared" si="23"/>
        <v/>
      </c>
      <c r="K765" s="46"/>
    </row>
    <row r="766" spans="1:11" ht="23.1" customHeight="1">
      <c r="A766" s="170" t="str">
        <f>IF($B766="","",MAX($A$3:A765)+1)</f>
        <v/>
      </c>
      <c r="B766" s="176"/>
      <c r="C766" s="177"/>
      <c r="D766" s="279"/>
      <c r="E766" s="178"/>
      <c r="F766" s="172" t="str">
        <f>IF($B766="","",SUMIFS('Daily Inward'!$G:$G,'Daily Inward'!$C:$C,$B766,'Daily Inward'!$E:$E,"Inventory"))</f>
        <v/>
      </c>
      <c r="G766" s="44" t="str">
        <f>IF($B766="","",SUMIFS('Daily Issuance'!$G:$G,'Daily Issuance'!$C:$C,$B766,'Daily Issuance'!$E:$E,"Inventory"))</f>
        <v/>
      </c>
      <c r="H766" s="44" t="str">
        <f t="shared" si="22"/>
        <v/>
      </c>
      <c r="I766" s="33"/>
      <c r="J766" s="34" t="str">
        <f t="shared" si="23"/>
        <v/>
      </c>
      <c r="K766" s="46"/>
    </row>
    <row r="767" spans="1:11" ht="23.1" customHeight="1">
      <c r="A767" s="170" t="str">
        <f>IF($B767="","",MAX($A$3:A766)+1)</f>
        <v/>
      </c>
      <c r="B767" s="176"/>
      <c r="C767" s="177"/>
      <c r="D767" s="279"/>
      <c r="E767" s="178"/>
      <c r="F767" s="172" t="str">
        <f>IF($B767="","",SUMIFS('Daily Inward'!$G:$G,'Daily Inward'!$C:$C,$B767,'Daily Inward'!$E:$E,"Inventory"))</f>
        <v/>
      </c>
      <c r="G767" s="44" t="str">
        <f>IF($B767="","",SUMIFS('Daily Issuance'!$G:$G,'Daily Issuance'!$C:$C,$B767,'Daily Issuance'!$E:$E,"Inventory"))</f>
        <v/>
      </c>
      <c r="H767" s="44" t="str">
        <f t="shared" si="22"/>
        <v/>
      </c>
      <c r="I767" s="33"/>
      <c r="J767" s="34" t="str">
        <f t="shared" si="23"/>
        <v/>
      </c>
      <c r="K767" s="46"/>
    </row>
    <row r="768" spans="1:11" ht="23.1" customHeight="1">
      <c r="A768" s="170" t="str">
        <f>IF($B768="","",MAX($A$3:A767)+1)</f>
        <v/>
      </c>
      <c r="B768" s="176"/>
      <c r="C768" s="177"/>
      <c r="D768" s="279"/>
      <c r="E768" s="178"/>
      <c r="F768" s="172" t="str">
        <f>IF($B768="","",SUMIFS('Daily Inward'!$G:$G,'Daily Inward'!$C:$C,$B768,'Daily Inward'!$E:$E,"Inventory"))</f>
        <v/>
      </c>
      <c r="G768" s="44" t="str">
        <f>IF($B768="","",SUMIFS('Daily Issuance'!$G:$G,'Daily Issuance'!$C:$C,$B768,'Daily Issuance'!$E:$E,"Inventory"))</f>
        <v/>
      </c>
      <c r="H768" s="44" t="str">
        <f t="shared" si="22"/>
        <v/>
      </c>
      <c r="I768" s="33"/>
      <c r="J768" s="34" t="str">
        <f t="shared" si="23"/>
        <v/>
      </c>
      <c r="K768" s="46"/>
    </row>
    <row r="769" spans="1:11" ht="23.1" customHeight="1">
      <c r="A769" s="170" t="str">
        <f>IF($B769="","",MAX($A$3:A768)+1)</f>
        <v/>
      </c>
      <c r="B769" s="176"/>
      <c r="C769" s="177"/>
      <c r="D769" s="279"/>
      <c r="E769" s="178"/>
      <c r="F769" s="172" t="str">
        <f>IF($B769="","",SUMIFS('Daily Inward'!$G:$G,'Daily Inward'!$C:$C,$B769,'Daily Inward'!$E:$E,"Inventory"))</f>
        <v/>
      </c>
      <c r="G769" s="44" t="str">
        <f>IF($B769="","",SUMIFS('Daily Issuance'!$G:$G,'Daily Issuance'!$C:$C,$B769,'Daily Issuance'!$E:$E,"Inventory"))</f>
        <v/>
      </c>
      <c r="H769" s="44" t="str">
        <f t="shared" si="22"/>
        <v/>
      </c>
      <c r="I769" s="33"/>
      <c r="J769" s="34" t="str">
        <f t="shared" si="23"/>
        <v/>
      </c>
      <c r="K769" s="46"/>
    </row>
    <row r="770" spans="1:11" ht="23.1" customHeight="1">
      <c r="A770" s="170" t="str">
        <f>IF($B770="","",MAX($A$3:A769)+1)</f>
        <v/>
      </c>
      <c r="B770" s="176"/>
      <c r="C770" s="177"/>
      <c r="D770" s="279"/>
      <c r="E770" s="178"/>
      <c r="F770" s="172" t="str">
        <f>IF($B770="","",SUMIFS('Daily Inward'!$G:$G,'Daily Inward'!$C:$C,$B770,'Daily Inward'!$E:$E,"Inventory"))</f>
        <v/>
      </c>
      <c r="G770" s="44" t="str">
        <f>IF($B770="","",SUMIFS('Daily Issuance'!$G:$G,'Daily Issuance'!$C:$C,$B770,'Daily Issuance'!$E:$E,"Inventory"))</f>
        <v/>
      </c>
      <c r="H770" s="44" t="str">
        <f t="shared" si="22"/>
        <v/>
      </c>
      <c r="I770" s="33"/>
      <c r="J770" s="34" t="str">
        <f t="shared" si="23"/>
        <v/>
      </c>
      <c r="K770" s="46"/>
    </row>
    <row r="771" spans="1:11" ht="23.1" customHeight="1">
      <c r="A771" s="170" t="str">
        <f>IF($B771="","",MAX($A$3:A770)+1)</f>
        <v/>
      </c>
      <c r="B771" s="176"/>
      <c r="C771" s="177"/>
      <c r="D771" s="279"/>
      <c r="E771" s="178"/>
      <c r="F771" s="172" t="str">
        <f>IF($B771="","",SUMIFS('Daily Inward'!$G:$G,'Daily Inward'!$C:$C,$B771,'Daily Inward'!$E:$E,"Inventory"))</f>
        <v/>
      </c>
      <c r="G771" s="44" t="str">
        <f>IF($B771="","",SUMIFS('Daily Issuance'!$G:$G,'Daily Issuance'!$C:$C,$B771,'Daily Issuance'!$E:$E,"Inventory"))</f>
        <v/>
      </c>
      <c r="H771" s="44" t="str">
        <f t="shared" ref="H771:H834" si="24">IF($B771="","",N(E771)+N(F771)-N(G771))</f>
        <v/>
      </c>
      <c r="I771" s="33"/>
      <c r="J771" s="34" t="str">
        <f t="shared" ref="J771:J834" si="25">IF($B771="","",H771*I771)</f>
        <v/>
      </c>
      <c r="K771" s="46"/>
    </row>
    <row r="772" spans="1:11" ht="23.1" customHeight="1">
      <c r="A772" s="170" t="str">
        <f>IF($B772="","",MAX($A$3:A771)+1)</f>
        <v/>
      </c>
      <c r="B772" s="176"/>
      <c r="C772" s="177"/>
      <c r="D772" s="279"/>
      <c r="E772" s="178"/>
      <c r="F772" s="172" t="str">
        <f>IF($B772="","",SUMIFS('Daily Inward'!$G:$G,'Daily Inward'!$C:$C,$B772,'Daily Inward'!$E:$E,"Inventory"))</f>
        <v/>
      </c>
      <c r="G772" s="44" t="str">
        <f>IF($B772="","",SUMIFS('Daily Issuance'!$G:$G,'Daily Issuance'!$C:$C,$B772,'Daily Issuance'!$E:$E,"Inventory"))</f>
        <v/>
      </c>
      <c r="H772" s="44" t="str">
        <f t="shared" si="24"/>
        <v/>
      </c>
      <c r="I772" s="33"/>
      <c r="J772" s="34" t="str">
        <f t="shared" si="25"/>
        <v/>
      </c>
      <c r="K772" s="46"/>
    </row>
    <row r="773" spans="1:11" ht="23.1" customHeight="1">
      <c r="A773" s="170" t="str">
        <f>IF($B773="","",MAX($A$3:A772)+1)</f>
        <v/>
      </c>
      <c r="B773" s="176"/>
      <c r="C773" s="177"/>
      <c r="D773" s="279"/>
      <c r="E773" s="178"/>
      <c r="F773" s="172" t="str">
        <f>IF($B773="","",SUMIFS('Daily Inward'!$G:$G,'Daily Inward'!$C:$C,$B773,'Daily Inward'!$E:$E,"Inventory"))</f>
        <v/>
      </c>
      <c r="G773" s="44" t="str">
        <f>IF($B773="","",SUMIFS('Daily Issuance'!$G:$G,'Daily Issuance'!$C:$C,$B773,'Daily Issuance'!$E:$E,"Inventory"))</f>
        <v/>
      </c>
      <c r="H773" s="44" t="str">
        <f t="shared" si="24"/>
        <v/>
      </c>
      <c r="I773" s="33"/>
      <c r="J773" s="34" t="str">
        <f t="shared" si="25"/>
        <v/>
      </c>
      <c r="K773" s="46"/>
    </row>
    <row r="774" spans="1:11" ht="23.1" customHeight="1">
      <c r="A774" s="170" t="str">
        <f>IF($B774="","",MAX($A$3:A773)+1)</f>
        <v/>
      </c>
      <c r="B774" s="176"/>
      <c r="C774" s="177"/>
      <c r="D774" s="279"/>
      <c r="E774" s="178"/>
      <c r="F774" s="172" t="str">
        <f>IF($B774="","",SUMIFS('Daily Inward'!$G:$G,'Daily Inward'!$C:$C,$B774,'Daily Inward'!$E:$E,"Inventory"))</f>
        <v/>
      </c>
      <c r="G774" s="44" t="str">
        <f>IF($B774="","",SUMIFS('Daily Issuance'!$G:$G,'Daily Issuance'!$C:$C,$B774,'Daily Issuance'!$E:$E,"Inventory"))</f>
        <v/>
      </c>
      <c r="H774" s="44" t="str">
        <f t="shared" si="24"/>
        <v/>
      </c>
      <c r="I774" s="33"/>
      <c r="J774" s="34" t="str">
        <f t="shared" si="25"/>
        <v/>
      </c>
      <c r="K774" s="46"/>
    </row>
    <row r="775" spans="1:11" ht="23.1" customHeight="1">
      <c r="A775" s="170" t="str">
        <f>IF($B775="","",MAX($A$3:A774)+1)</f>
        <v/>
      </c>
      <c r="B775" s="176"/>
      <c r="C775" s="177"/>
      <c r="D775" s="279"/>
      <c r="E775" s="178"/>
      <c r="F775" s="172" t="str">
        <f>IF($B775="","",SUMIFS('Daily Inward'!$G:$G,'Daily Inward'!$C:$C,$B775,'Daily Inward'!$E:$E,"Inventory"))</f>
        <v/>
      </c>
      <c r="G775" s="44" t="str">
        <f>IF($B775="","",SUMIFS('Daily Issuance'!$G:$G,'Daily Issuance'!$C:$C,$B775,'Daily Issuance'!$E:$E,"Inventory"))</f>
        <v/>
      </c>
      <c r="H775" s="44" t="str">
        <f t="shared" si="24"/>
        <v/>
      </c>
      <c r="I775" s="33"/>
      <c r="J775" s="34" t="str">
        <f t="shared" si="25"/>
        <v/>
      </c>
      <c r="K775" s="46"/>
    </row>
    <row r="776" spans="1:11" ht="23.1" customHeight="1">
      <c r="A776" s="170" t="str">
        <f>IF($B776="","",MAX($A$3:A775)+1)</f>
        <v/>
      </c>
      <c r="B776" s="176"/>
      <c r="C776" s="177"/>
      <c r="D776" s="279"/>
      <c r="E776" s="178"/>
      <c r="F776" s="172" t="str">
        <f>IF($B776="","",SUMIFS('Daily Inward'!$G:$G,'Daily Inward'!$C:$C,$B776,'Daily Inward'!$E:$E,"Inventory"))</f>
        <v/>
      </c>
      <c r="G776" s="44" t="str">
        <f>IF($B776="","",SUMIFS('Daily Issuance'!$G:$G,'Daily Issuance'!$C:$C,$B776,'Daily Issuance'!$E:$E,"Inventory"))</f>
        <v/>
      </c>
      <c r="H776" s="44" t="str">
        <f t="shared" si="24"/>
        <v/>
      </c>
      <c r="I776" s="33"/>
      <c r="J776" s="34" t="str">
        <f t="shared" si="25"/>
        <v/>
      </c>
      <c r="K776" s="46"/>
    </row>
    <row r="777" spans="1:11" ht="23.1" customHeight="1">
      <c r="A777" s="170" t="str">
        <f>IF($B777="","",MAX($A$3:A776)+1)</f>
        <v/>
      </c>
      <c r="B777" s="176"/>
      <c r="C777" s="177"/>
      <c r="D777" s="279"/>
      <c r="E777" s="178"/>
      <c r="F777" s="172" t="str">
        <f>IF($B777="","",SUMIFS('Daily Inward'!$G:$G,'Daily Inward'!$C:$C,$B777,'Daily Inward'!$E:$E,"Inventory"))</f>
        <v/>
      </c>
      <c r="G777" s="44" t="str">
        <f>IF($B777="","",SUMIFS('Daily Issuance'!$G:$G,'Daily Issuance'!$C:$C,$B777,'Daily Issuance'!$E:$E,"Inventory"))</f>
        <v/>
      </c>
      <c r="H777" s="44" t="str">
        <f t="shared" si="24"/>
        <v/>
      </c>
      <c r="I777" s="33"/>
      <c r="J777" s="34" t="str">
        <f t="shared" si="25"/>
        <v/>
      </c>
      <c r="K777" s="46"/>
    </row>
    <row r="778" spans="1:11" ht="23.1" customHeight="1">
      <c r="A778" s="170" t="str">
        <f>IF($B778="","",MAX($A$3:A777)+1)</f>
        <v/>
      </c>
      <c r="B778" s="176"/>
      <c r="C778" s="177"/>
      <c r="D778" s="279"/>
      <c r="E778" s="178"/>
      <c r="F778" s="172" t="str">
        <f>IF($B778="","",SUMIFS('Daily Inward'!$G:$G,'Daily Inward'!$C:$C,$B778,'Daily Inward'!$E:$E,"Inventory"))</f>
        <v/>
      </c>
      <c r="G778" s="44" t="str">
        <f>IF($B778="","",SUMIFS('Daily Issuance'!$G:$G,'Daily Issuance'!$C:$C,$B778,'Daily Issuance'!$E:$E,"Inventory"))</f>
        <v/>
      </c>
      <c r="H778" s="44" t="str">
        <f t="shared" si="24"/>
        <v/>
      </c>
      <c r="I778" s="33"/>
      <c r="J778" s="34" t="str">
        <f t="shared" si="25"/>
        <v/>
      </c>
      <c r="K778" s="46"/>
    </row>
    <row r="779" spans="1:11" ht="23.1" customHeight="1">
      <c r="A779" s="170" t="str">
        <f>IF($B779="","",MAX($A$3:A778)+1)</f>
        <v/>
      </c>
      <c r="B779" s="176"/>
      <c r="C779" s="177"/>
      <c r="D779" s="279"/>
      <c r="E779" s="178"/>
      <c r="F779" s="172" t="str">
        <f>IF($B779="","",SUMIFS('Daily Inward'!$G:$G,'Daily Inward'!$C:$C,$B779,'Daily Inward'!$E:$E,"Inventory"))</f>
        <v/>
      </c>
      <c r="G779" s="44" t="str">
        <f>IF($B779="","",SUMIFS('Daily Issuance'!$G:$G,'Daily Issuance'!$C:$C,$B779,'Daily Issuance'!$E:$E,"Inventory"))</f>
        <v/>
      </c>
      <c r="H779" s="44" t="str">
        <f t="shared" si="24"/>
        <v/>
      </c>
      <c r="I779" s="33"/>
      <c r="J779" s="34" t="str">
        <f t="shared" si="25"/>
        <v/>
      </c>
      <c r="K779" s="46"/>
    </row>
    <row r="780" spans="1:11" ht="23.1" customHeight="1">
      <c r="A780" s="170" t="str">
        <f>IF($B780="","",MAX($A$3:A779)+1)</f>
        <v/>
      </c>
      <c r="B780" s="176"/>
      <c r="C780" s="177"/>
      <c r="D780" s="279"/>
      <c r="E780" s="178"/>
      <c r="F780" s="172" t="str">
        <f>IF($B780="","",SUMIFS('Daily Inward'!$G:$G,'Daily Inward'!$C:$C,$B780,'Daily Inward'!$E:$E,"Inventory"))</f>
        <v/>
      </c>
      <c r="G780" s="44" t="str">
        <f>IF($B780="","",SUMIFS('Daily Issuance'!$G:$G,'Daily Issuance'!$C:$C,$B780,'Daily Issuance'!$E:$E,"Inventory"))</f>
        <v/>
      </c>
      <c r="H780" s="44" t="str">
        <f t="shared" si="24"/>
        <v/>
      </c>
      <c r="I780" s="33"/>
      <c r="J780" s="34" t="str">
        <f t="shared" si="25"/>
        <v/>
      </c>
      <c r="K780" s="46"/>
    </row>
    <row r="781" spans="1:11" ht="23.1" customHeight="1">
      <c r="A781" s="170" t="str">
        <f>IF($B781="","",MAX($A$3:A780)+1)</f>
        <v/>
      </c>
      <c r="B781" s="176"/>
      <c r="C781" s="177"/>
      <c r="D781" s="279"/>
      <c r="E781" s="178"/>
      <c r="F781" s="172" t="str">
        <f>IF($B781="","",SUMIFS('Daily Inward'!$G:$G,'Daily Inward'!$C:$C,$B781,'Daily Inward'!$E:$E,"Inventory"))</f>
        <v/>
      </c>
      <c r="G781" s="44" t="str">
        <f>IF($B781="","",SUMIFS('Daily Issuance'!$G:$G,'Daily Issuance'!$C:$C,$B781,'Daily Issuance'!$E:$E,"Inventory"))</f>
        <v/>
      </c>
      <c r="H781" s="44" t="str">
        <f t="shared" si="24"/>
        <v/>
      </c>
      <c r="I781" s="33"/>
      <c r="J781" s="34" t="str">
        <f t="shared" si="25"/>
        <v/>
      </c>
      <c r="K781" s="46"/>
    </row>
    <row r="782" spans="1:11" ht="23.1" customHeight="1">
      <c r="A782" s="170" t="str">
        <f>IF($B782="","",MAX($A$3:A781)+1)</f>
        <v/>
      </c>
      <c r="B782" s="176"/>
      <c r="C782" s="177"/>
      <c r="D782" s="279"/>
      <c r="E782" s="178"/>
      <c r="F782" s="172" t="str">
        <f>IF($B782="","",SUMIFS('Daily Inward'!$G:$G,'Daily Inward'!$C:$C,$B782,'Daily Inward'!$E:$E,"Inventory"))</f>
        <v/>
      </c>
      <c r="G782" s="44" t="str">
        <f>IF($B782="","",SUMIFS('Daily Issuance'!$G:$G,'Daily Issuance'!$C:$C,$B782,'Daily Issuance'!$E:$E,"Inventory"))</f>
        <v/>
      </c>
      <c r="H782" s="44" t="str">
        <f t="shared" si="24"/>
        <v/>
      </c>
      <c r="I782" s="33"/>
      <c r="J782" s="34" t="str">
        <f t="shared" si="25"/>
        <v/>
      </c>
      <c r="K782" s="46"/>
    </row>
    <row r="783" spans="1:11" ht="23.1" customHeight="1">
      <c r="A783" s="170" t="str">
        <f>IF($B783="","",MAX($A$3:A782)+1)</f>
        <v/>
      </c>
      <c r="B783" s="176"/>
      <c r="C783" s="177"/>
      <c r="D783" s="279"/>
      <c r="E783" s="178"/>
      <c r="F783" s="172" t="str">
        <f>IF($B783="","",SUMIFS('Daily Inward'!$G:$G,'Daily Inward'!$C:$C,$B783,'Daily Inward'!$E:$E,"Inventory"))</f>
        <v/>
      </c>
      <c r="G783" s="44" t="str">
        <f>IF($B783="","",SUMIFS('Daily Issuance'!$G:$G,'Daily Issuance'!$C:$C,$B783,'Daily Issuance'!$E:$E,"Inventory"))</f>
        <v/>
      </c>
      <c r="H783" s="44" t="str">
        <f t="shared" si="24"/>
        <v/>
      </c>
      <c r="I783" s="33"/>
      <c r="J783" s="34" t="str">
        <f t="shared" si="25"/>
        <v/>
      </c>
      <c r="K783" s="46"/>
    </row>
    <row r="784" spans="1:11" ht="23.1" customHeight="1">
      <c r="A784" s="170" t="str">
        <f>IF($B784="","",MAX($A$3:A783)+1)</f>
        <v/>
      </c>
      <c r="B784" s="176"/>
      <c r="C784" s="177"/>
      <c r="D784" s="279"/>
      <c r="E784" s="178"/>
      <c r="F784" s="172" t="str">
        <f>IF($B784="","",SUMIFS('Daily Inward'!$G:$G,'Daily Inward'!$C:$C,$B784,'Daily Inward'!$E:$E,"Inventory"))</f>
        <v/>
      </c>
      <c r="G784" s="44" t="str">
        <f>IF($B784="","",SUMIFS('Daily Issuance'!$G:$G,'Daily Issuance'!$C:$C,$B784,'Daily Issuance'!$E:$E,"Inventory"))</f>
        <v/>
      </c>
      <c r="H784" s="44" t="str">
        <f t="shared" si="24"/>
        <v/>
      </c>
      <c r="I784" s="33"/>
      <c r="J784" s="34" t="str">
        <f t="shared" si="25"/>
        <v/>
      </c>
      <c r="K784" s="46"/>
    </row>
    <row r="785" spans="1:11" ht="23.1" customHeight="1">
      <c r="A785" s="170" t="str">
        <f>IF($B785="","",MAX($A$3:A784)+1)</f>
        <v/>
      </c>
      <c r="B785" s="176"/>
      <c r="C785" s="177"/>
      <c r="D785" s="279"/>
      <c r="E785" s="178"/>
      <c r="F785" s="172" t="str">
        <f>IF($B785="","",SUMIFS('Daily Inward'!$G:$G,'Daily Inward'!$C:$C,$B785,'Daily Inward'!$E:$E,"Inventory"))</f>
        <v/>
      </c>
      <c r="G785" s="44" t="str">
        <f>IF($B785="","",SUMIFS('Daily Issuance'!$G:$G,'Daily Issuance'!$C:$C,$B785,'Daily Issuance'!$E:$E,"Inventory"))</f>
        <v/>
      </c>
      <c r="H785" s="44" t="str">
        <f t="shared" si="24"/>
        <v/>
      </c>
      <c r="I785" s="33"/>
      <c r="J785" s="34" t="str">
        <f t="shared" si="25"/>
        <v/>
      </c>
      <c r="K785" s="46"/>
    </row>
    <row r="786" spans="1:11" ht="23.1" customHeight="1">
      <c r="A786" s="170" t="str">
        <f>IF($B786="","",MAX($A$3:A785)+1)</f>
        <v/>
      </c>
      <c r="B786" s="176"/>
      <c r="C786" s="177"/>
      <c r="D786" s="279"/>
      <c r="E786" s="178"/>
      <c r="F786" s="172" t="str">
        <f>IF($B786="","",SUMIFS('Daily Inward'!$G:$G,'Daily Inward'!$C:$C,$B786,'Daily Inward'!$E:$E,"Inventory"))</f>
        <v/>
      </c>
      <c r="G786" s="44" t="str">
        <f>IF($B786="","",SUMIFS('Daily Issuance'!$G:$G,'Daily Issuance'!$C:$C,$B786,'Daily Issuance'!$E:$E,"Inventory"))</f>
        <v/>
      </c>
      <c r="H786" s="44" t="str">
        <f t="shared" si="24"/>
        <v/>
      </c>
      <c r="I786" s="33"/>
      <c r="J786" s="34" t="str">
        <f t="shared" si="25"/>
        <v/>
      </c>
      <c r="K786" s="46"/>
    </row>
    <row r="787" spans="1:11" ht="23.1" customHeight="1">
      <c r="A787" s="170" t="str">
        <f>IF($B787="","",MAX($A$3:A786)+1)</f>
        <v/>
      </c>
      <c r="B787" s="176"/>
      <c r="C787" s="177"/>
      <c r="D787" s="279"/>
      <c r="E787" s="178"/>
      <c r="F787" s="172" t="str">
        <f>IF($B787="","",SUMIFS('Daily Inward'!$G:$G,'Daily Inward'!$C:$C,$B787,'Daily Inward'!$E:$E,"Inventory"))</f>
        <v/>
      </c>
      <c r="G787" s="44" t="str">
        <f>IF($B787="","",SUMIFS('Daily Issuance'!$G:$G,'Daily Issuance'!$C:$C,$B787,'Daily Issuance'!$E:$E,"Inventory"))</f>
        <v/>
      </c>
      <c r="H787" s="44" t="str">
        <f t="shared" si="24"/>
        <v/>
      </c>
      <c r="I787" s="33"/>
      <c r="J787" s="34" t="str">
        <f t="shared" si="25"/>
        <v/>
      </c>
      <c r="K787" s="46"/>
    </row>
    <row r="788" spans="1:11" ht="23.1" customHeight="1">
      <c r="A788" s="170" t="str">
        <f>IF($B788="","",MAX($A$3:A787)+1)</f>
        <v/>
      </c>
      <c r="B788" s="176"/>
      <c r="C788" s="177"/>
      <c r="D788" s="279"/>
      <c r="E788" s="178"/>
      <c r="F788" s="172" t="str">
        <f>IF($B788="","",SUMIFS('Daily Inward'!$G:$G,'Daily Inward'!$C:$C,$B788,'Daily Inward'!$E:$E,"Inventory"))</f>
        <v/>
      </c>
      <c r="G788" s="44" t="str">
        <f>IF($B788="","",SUMIFS('Daily Issuance'!$G:$G,'Daily Issuance'!$C:$C,$B788,'Daily Issuance'!$E:$E,"Inventory"))</f>
        <v/>
      </c>
      <c r="H788" s="44" t="str">
        <f t="shared" si="24"/>
        <v/>
      </c>
      <c r="I788" s="33"/>
      <c r="J788" s="34" t="str">
        <f t="shared" si="25"/>
        <v/>
      </c>
      <c r="K788" s="46"/>
    </row>
    <row r="789" spans="1:11" ht="23.1" customHeight="1">
      <c r="A789" s="170" t="str">
        <f>IF($B789="","",MAX($A$3:A788)+1)</f>
        <v/>
      </c>
      <c r="B789" s="176"/>
      <c r="C789" s="177"/>
      <c r="D789" s="279"/>
      <c r="E789" s="178"/>
      <c r="F789" s="172" t="str">
        <f>IF($B789="","",SUMIFS('Daily Inward'!$G:$G,'Daily Inward'!$C:$C,$B789,'Daily Inward'!$E:$E,"Inventory"))</f>
        <v/>
      </c>
      <c r="G789" s="44" t="str">
        <f>IF($B789="","",SUMIFS('Daily Issuance'!$G:$G,'Daily Issuance'!$C:$C,$B789,'Daily Issuance'!$E:$E,"Inventory"))</f>
        <v/>
      </c>
      <c r="H789" s="44" t="str">
        <f t="shared" si="24"/>
        <v/>
      </c>
      <c r="I789" s="33"/>
      <c r="J789" s="34" t="str">
        <f t="shared" si="25"/>
        <v/>
      </c>
      <c r="K789" s="46"/>
    </row>
    <row r="790" spans="1:11" ht="23.1" customHeight="1">
      <c r="A790" s="170" t="str">
        <f>IF($B790="","",MAX($A$3:A789)+1)</f>
        <v/>
      </c>
      <c r="B790" s="176"/>
      <c r="C790" s="177"/>
      <c r="D790" s="279"/>
      <c r="E790" s="178"/>
      <c r="F790" s="172" t="str">
        <f>IF($B790="","",SUMIFS('Daily Inward'!$G:$G,'Daily Inward'!$C:$C,$B790,'Daily Inward'!$E:$E,"Inventory"))</f>
        <v/>
      </c>
      <c r="G790" s="44" t="str">
        <f>IF($B790="","",SUMIFS('Daily Issuance'!$G:$G,'Daily Issuance'!$C:$C,$B790,'Daily Issuance'!$E:$E,"Inventory"))</f>
        <v/>
      </c>
      <c r="H790" s="44" t="str">
        <f t="shared" si="24"/>
        <v/>
      </c>
      <c r="I790" s="33"/>
      <c r="J790" s="34" t="str">
        <f t="shared" si="25"/>
        <v/>
      </c>
      <c r="K790" s="46"/>
    </row>
    <row r="791" spans="1:11" ht="23.1" customHeight="1">
      <c r="A791" s="170" t="str">
        <f>IF($B791="","",MAX($A$3:A790)+1)</f>
        <v/>
      </c>
      <c r="B791" s="176"/>
      <c r="C791" s="177"/>
      <c r="D791" s="279"/>
      <c r="E791" s="178"/>
      <c r="F791" s="172" t="str">
        <f>IF($B791="","",SUMIFS('Daily Inward'!$G:$G,'Daily Inward'!$C:$C,$B791,'Daily Inward'!$E:$E,"Inventory"))</f>
        <v/>
      </c>
      <c r="G791" s="44" t="str">
        <f>IF($B791="","",SUMIFS('Daily Issuance'!$G:$G,'Daily Issuance'!$C:$C,$B791,'Daily Issuance'!$E:$E,"Inventory"))</f>
        <v/>
      </c>
      <c r="H791" s="44" t="str">
        <f t="shared" si="24"/>
        <v/>
      </c>
      <c r="I791" s="33"/>
      <c r="J791" s="34" t="str">
        <f t="shared" si="25"/>
        <v/>
      </c>
      <c r="K791" s="46"/>
    </row>
    <row r="792" spans="1:11" ht="23.1" customHeight="1">
      <c r="A792" s="170" t="str">
        <f>IF($B792="","",MAX($A$3:A791)+1)</f>
        <v/>
      </c>
      <c r="B792" s="176"/>
      <c r="C792" s="177"/>
      <c r="D792" s="279"/>
      <c r="E792" s="178"/>
      <c r="F792" s="172" t="str">
        <f>IF($B792="","",SUMIFS('Daily Inward'!$G:$G,'Daily Inward'!$C:$C,$B792,'Daily Inward'!$E:$E,"Inventory"))</f>
        <v/>
      </c>
      <c r="G792" s="44" t="str">
        <f>IF($B792="","",SUMIFS('Daily Issuance'!$G:$G,'Daily Issuance'!$C:$C,$B792,'Daily Issuance'!$E:$E,"Inventory"))</f>
        <v/>
      </c>
      <c r="H792" s="44" t="str">
        <f t="shared" si="24"/>
        <v/>
      </c>
      <c r="I792" s="33"/>
      <c r="J792" s="34" t="str">
        <f t="shared" si="25"/>
        <v/>
      </c>
      <c r="K792" s="46"/>
    </row>
    <row r="793" spans="1:11" ht="23.1" customHeight="1">
      <c r="A793" s="170" t="str">
        <f>IF($B793="","",MAX($A$3:A792)+1)</f>
        <v/>
      </c>
      <c r="B793" s="176"/>
      <c r="C793" s="177"/>
      <c r="D793" s="279"/>
      <c r="E793" s="178"/>
      <c r="F793" s="172" t="str">
        <f>IF($B793="","",SUMIFS('Daily Inward'!$G:$G,'Daily Inward'!$C:$C,$B793,'Daily Inward'!$E:$E,"Inventory"))</f>
        <v/>
      </c>
      <c r="G793" s="44" t="str">
        <f>IF($B793="","",SUMIFS('Daily Issuance'!$G:$G,'Daily Issuance'!$C:$C,$B793,'Daily Issuance'!$E:$E,"Inventory"))</f>
        <v/>
      </c>
      <c r="H793" s="44" t="str">
        <f t="shared" si="24"/>
        <v/>
      </c>
      <c r="I793" s="33"/>
      <c r="J793" s="34" t="str">
        <f t="shared" si="25"/>
        <v/>
      </c>
      <c r="K793" s="46"/>
    </row>
    <row r="794" spans="1:11" ht="23.1" customHeight="1">
      <c r="A794" s="170" t="str">
        <f>IF($B794="","",MAX($A$3:A793)+1)</f>
        <v/>
      </c>
      <c r="B794" s="176"/>
      <c r="C794" s="177"/>
      <c r="D794" s="279"/>
      <c r="E794" s="178"/>
      <c r="F794" s="172" t="str">
        <f>IF($B794="","",SUMIFS('Daily Inward'!$G:$G,'Daily Inward'!$C:$C,$B794,'Daily Inward'!$E:$E,"Inventory"))</f>
        <v/>
      </c>
      <c r="G794" s="44" t="str">
        <f>IF($B794="","",SUMIFS('Daily Issuance'!$G:$G,'Daily Issuance'!$C:$C,$B794,'Daily Issuance'!$E:$E,"Inventory"))</f>
        <v/>
      </c>
      <c r="H794" s="44" t="str">
        <f t="shared" si="24"/>
        <v/>
      </c>
      <c r="I794" s="33"/>
      <c r="J794" s="34" t="str">
        <f t="shared" si="25"/>
        <v/>
      </c>
      <c r="K794" s="46"/>
    </row>
    <row r="795" spans="1:11" ht="23.1" customHeight="1">
      <c r="A795" s="170" t="str">
        <f>IF($B795="","",MAX($A$3:A794)+1)</f>
        <v/>
      </c>
      <c r="B795" s="176"/>
      <c r="C795" s="177"/>
      <c r="D795" s="279"/>
      <c r="E795" s="178"/>
      <c r="F795" s="172" t="str">
        <f>IF($B795="","",SUMIFS('Daily Inward'!$G:$G,'Daily Inward'!$C:$C,$B795,'Daily Inward'!$E:$E,"Inventory"))</f>
        <v/>
      </c>
      <c r="G795" s="44" t="str">
        <f>IF($B795="","",SUMIFS('Daily Issuance'!$G:$G,'Daily Issuance'!$C:$C,$B795,'Daily Issuance'!$E:$E,"Inventory"))</f>
        <v/>
      </c>
      <c r="H795" s="44" t="str">
        <f t="shared" si="24"/>
        <v/>
      </c>
      <c r="I795" s="33"/>
      <c r="J795" s="34" t="str">
        <f t="shared" si="25"/>
        <v/>
      </c>
      <c r="K795" s="46"/>
    </row>
    <row r="796" spans="1:11" ht="23.1" customHeight="1">
      <c r="A796" s="170" t="str">
        <f>IF($B796="","",MAX($A$3:A795)+1)</f>
        <v/>
      </c>
      <c r="B796" s="176"/>
      <c r="C796" s="177"/>
      <c r="D796" s="279"/>
      <c r="E796" s="178"/>
      <c r="F796" s="172" t="str">
        <f>IF($B796="","",SUMIFS('Daily Inward'!$G:$G,'Daily Inward'!$C:$C,$B796,'Daily Inward'!$E:$E,"Inventory"))</f>
        <v/>
      </c>
      <c r="G796" s="44" t="str">
        <f>IF($B796="","",SUMIFS('Daily Issuance'!$G:$G,'Daily Issuance'!$C:$C,$B796,'Daily Issuance'!$E:$E,"Inventory"))</f>
        <v/>
      </c>
      <c r="H796" s="44" t="str">
        <f t="shared" si="24"/>
        <v/>
      </c>
      <c r="I796" s="33"/>
      <c r="J796" s="34" t="str">
        <f t="shared" si="25"/>
        <v/>
      </c>
      <c r="K796" s="46"/>
    </row>
    <row r="797" spans="1:11" ht="23.1" customHeight="1">
      <c r="A797" s="170" t="str">
        <f>IF($B797="","",MAX($A$3:A796)+1)</f>
        <v/>
      </c>
      <c r="B797" s="176"/>
      <c r="C797" s="177"/>
      <c r="D797" s="279"/>
      <c r="E797" s="178"/>
      <c r="F797" s="172" t="str">
        <f>IF($B797="","",SUMIFS('Daily Inward'!$G:$G,'Daily Inward'!$C:$C,$B797,'Daily Inward'!$E:$E,"Inventory"))</f>
        <v/>
      </c>
      <c r="G797" s="44" t="str">
        <f>IF($B797="","",SUMIFS('Daily Issuance'!$G:$G,'Daily Issuance'!$C:$C,$B797,'Daily Issuance'!$E:$E,"Inventory"))</f>
        <v/>
      </c>
      <c r="H797" s="44" t="str">
        <f t="shared" si="24"/>
        <v/>
      </c>
      <c r="I797" s="33"/>
      <c r="J797" s="34" t="str">
        <f t="shared" si="25"/>
        <v/>
      </c>
      <c r="K797" s="46"/>
    </row>
    <row r="798" spans="1:11" ht="23.1" customHeight="1">
      <c r="A798" s="170" t="str">
        <f>IF($B798="","",MAX($A$3:A797)+1)</f>
        <v/>
      </c>
      <c r="B798" s="176"/>
      <c r="C798" s="177"/>
      <c r="D798" s="279"/>
      <c r="E798" s="178"/>
      <c r="F798" s="172" t="str">
        <f>IF($B798="","",SUMIFS('Daily Inward'!$G:$G,'Daily Inward'!$C:$C,$B798,'Daily Inward'!$E:$E,"Inventory"))</f>
        <v/>
      </c>
      <c r="G798" s="44" t="str">
        <f>IF($B798="","",SUMIFS('Daily Issuance'!$G:$G,'Daily Issuance'!$C:$C,$B798,'Daily Issuance'!$E:$E,"Inventory"))</f>
        <v/>
      </c>
      <c r="H798" s="44" t="str">
        <f t="shared" si="24"/>
        <v/>
      </c>
      <c r="I798" s="33"/>
      <c r="J798" s="34" t="str">
        <f t="shared" si="25"/>
        <v/>
      </c>
      <c r="K798" s="46"/>
    </row>
    <row r="799" spans="1:11" ht="23.1" customHeight="1">
      <c r="A799" s="170" t="str">
        <f>IF($B799="","",MAX($A$3:A798)+1)</f>
        <v/>
      </c>
      <c r="B799" s="176"/>
      <c r="C799" s="177"/>
      <c r="D799" s="279"/>
      <c r="E799" s="178"/>
      <c r="F799" s="172" t="str">
        <f>IF($B799="","",SUMIFS('Daily Inward'!$G:$G,'Daily Inward'!$C:$C,$B799,'Daily Inward'!$E:$E,"Inventory"))</f>
        <v/>
      </c>
      <c r="G799" s="44" t="str">
        <f>IF($B799="","",SUMIFS('Daily Issuance'!$G:$G,'Daily Issuance'!$C:$C,$B799,'Daily Issuance'!$E:$E,"Inventory"))</f>
        <v/>
      </c>
      <c r="H799" s="44" t="str">
        <f t="shared" si="24"/>
        <v/>
      </c>
      <c r="I799" s="33"/>
      <c r="J799" s="34" t="str">
        <f t="shared" si="25"/>
        <v/>
      </c>
      <c r="K799" s="46"/>
    </row>
    <row r="800" spans="1:11" ht="23.1" customHeight="1">
      <c r="A800" s="170" t="str">
        <f>IF($B800="","",MAX($A$3:A799)+1)</f>
        <v/>
      </c>
      <c r="B800" s="176"/>
      <c r="C800" s="177"/>
      <c r="D800" s="279"/>
      <c r="E800" s="178"/>
      <c r="F800" s="172" t="str">
        <f>IF($B800="","",SUMIFS('Daily Inward'!$G:$G,'Daily Inward'!$C:$C,$B800,'Daily Inward'!$E:$E,"Inventory"))</f>
        <v/>
      </c>
      <c r="G800" s="44" t="str">
        <f>IF($B800="","",SUMIFS('Daily Issuance'!$G:$G,'Daily Issuance'!$C:$C,$B800,'Daily Issuance'!$E:$E,"Inventory"))</f>
        <v/>
      </c>
      <c r="H800" s="44" t="str">
        <f t="shared" si="24"/>
        <v/>
      </c>
      <c r="I800" s="33"/>
      <c r="J800" s="34" t="str">
        <f t="shared" si="25"/>
        <v/>
      </c>
      <c r="K800" s="46"/>
    </row>
    <row r="801" spans="1:11" ht="23.1" customHeight="1">
      <c r="A801" s="170" t="str">
        <f>IF($B801="","",MAX($A$3:A800)+1)</f>
        <v/>
      </c>
      <c r="B801" s="176"/>
      <c r="C801" s="177"/>
      <c r="D801" s="279"/>
      <c r="E801" s="178"/>
      <c r="F801" s="172" t="str">
        <f>IF($B801="","",SUMIFS('Daily Inward'!$G:$G,'Daily Inward'!$C:$C,$B801,'Daily Inward'!$E:$E,"Inventory"))</f>
        <v/>
      </c>
      <c r="G801" s="44" t="str">
        <f>IF($B801="","",SUMIFS('Daily Issuance'!$G:$G,'Daily Issuance'!$C:$C,$B801,'Daily Issuance'!$E:$E,"Inventory"))</f>
        <v/>
      </c>
      <c r="H801" s="44" t="str">
        <f t="shared" si="24"/>
        <v/>
      </c>
      <c r="I801" s="33"/>
      <c r="J801" s="34" t="str">
        <f t="shared" si="25"/>
        <v/>
      </c>
      <c r="K801" s="46"/>
    </row>
    <row r="802" spans="1:11" ht="23.1" customHeight="1">
      <c r="A802" s="170" t="str">
        <f>IF($B802="","",MAX($A$3:A801)+1)</f>
        <v/>
      </c>
      <c r="B802" s="176"/>
      <c r="C802" s="177"/>
      <c r="D802" s="279"/>
      <c r="E802" s="178"/>
      <c r="F802" s="172" t="str">
        <f>IF($B802="","",SUMIFS('Daily Inward'!$G:$G,'Daily Inward'!$C:$C,$B802,'Daily Inward'!$E:$E,"Inventory"))</f>
        <v/>
      </c>
      <c r="G802" s="44" t="str">
        <f>IF($B802="","",SUMIFS('Daily Issuance'!$G:$G,'Daily Issuance'!$C:$C,$B802,'Daily Issuance'!$E:$E,"Inventory"))</f>
        <v/>
      </c>
      <c r="H802" s="44" t="str">
        <f t="shared" si="24"/>
        <v/>
      </c>
      <c r="I802" s="33"/>
      <c r="J802" s="34" t="str">
        <f t="shared" si="25"/>
        <v/>
      </c>
      <c r="K802" s="46"/>
    </row>
    <row r="803" spans="1:11" ht="23.1" customHeight="1">
      <c r="A803" s="170" t="str">
        <f>IF($B803="","",MAX($A$3:A802)+1)</f>
        <v/>
      </c>
      <c r="B803" s="176"/>
      <c r="C803" s="177"/>
      <c r="D803" s="279"/>
      <c r="E803" s="178"/>
      <c r="F803" s="172" t="str">
        <f>IF($B803="","",SUMIFS('Daily Inward'!$G:$G,'Daily Inward'!$C:$C,$B803,'Daily Inward'!$E:$E,"Inventory"))</f>
        <v/>
      </c>
      <c r="G803" s="44" t="str">
        <f>IF($B803="","",SUMIFS('Daily Issuance'!$G:$G,'Daily Issuance'!$C:$C,$B803,'Daily Issuance'!$E:$E,"Inventory"))</f>
        <v/>
      </c>
      <c r="H803" s="44" t="str">
        <f t="shared" si="24"/>
        <v/>
      </c>
      <c r="I803" s="33"/>
      <c r="J803" s="34" t="str">
        <f t="shared" si="25"/>
        <v/>
      </c>
      <c r="K803" s="46"/>
    </row>
    <row r="804" spans="1:11" ht="23.1" customHeight="1">
      <c r="A804" s="170" t="str">
        <f>IF($B804="","",MAX($A$3:A803)+1)</f>
        <v/>
      </c>
      <c r="B804" s="176"/>
      <c r="C804" s="177"/>
      <c r="D804" s="279"/>
      <c r="E804" s="178"/>
      <c r="F804" s="172" t="str">
        <f>IF($B804="","",SUMIFS('Daily Inward'!$G:$G,'Daily Inward'!$C:$C,$B804,'Daily Inward'!$E:$E,"Inventory"))</f>
        <v/>
      </c>
      <c r="G804" s="44" t="str">
        <f>IF($B804="","",SUMIFS('Daily Issuance'!$G:$G,'Daily Issuance'!$C:$C,$B804,'Daily Issuance'!$E:$E,"Inventory"))</f>
        <v/>
      </c>
      <c r="H804" s="44" t="str">
        <f t="shared" si="24"/>
        <v/>
      </c>
      <c r="I804" s="33"/>
      <c r="J804" s="34" t="str">
        <f t="shared" si="25"/>
        <v/>
      </c>
      <c r="K804" s="46"/>
    </row>
    <row r="805" spans="1:11" ht="23.1" customHeight="1">
      <c r="A805" s="170" t="str">
        <f>IF($B805="","",MAX($A$3:A804)+1)</f>
        <v/>
      </c>
      <c r="B805" s="176"/>
      <c r="C805" s="177"/>
      <c r="D805" s="279"/>
      <c r="E805" s="178"/>
      <c r="F805" s="172" t="str">
        <f>IF($B805="","",SUMIFS('Daily Inward'!$G:$G,'Daily Inward'!$C:$C,$B805,'Daily Inward'!$E:$E,"Inventory"))</f>
        <v/>
      </c>
      <c r="G805" s="44" t="str">
        <f>IF($B805="","",SUMIFS('Daily Issuance'!$G:$G,'Daily Issuance'!$C:$C,$B805,'Daily Issuance'!$E:$E,"Inventory"))</f>
        <v/>
      </c>
      <c r="H805" s="44" t="str">
        <f t="shared" si="24"/>
        <v/>
      </c>
      <c r="I805" s="33"/>
      <c r="J805" s="34" t="str">
        <f t="shared" si="25"/>
        <v/>
      </c>
      <c r="K805" s="46"/>
    </row>
    <row r="806" spans="1:11" ht="23.1" customHeight="1">
      <c r="A806" s="170" t="str">
        <f>IF($B806="","",MAX($A$3:A805)+1)</f>
        <v/>
      </c>
      <c r="B806" s="176"/>
      <c r="C806" s="177"/>
      <c r="D806" s="279"/>
      <c r="E806" s="178"/>
      <c r="F806" s="172" t="str">
        <f>IF($B806="","",SUMIFS('Daily Inward'!$G:$G,'Daily Inward'!$C:$C,$B806,'Daily Inward'!$E:$E,"Inventory"))</f>
        <v/>
      </c>
      <c r="G806" s="44" t="str">
        <f>IF($B806="","",SUMIFS('Daily Issuance'!$G:$G,'Daily Issuance'!$C:$C,$B806,'Daily Issuance'!$E:$E,"Inventory"))</f>
        <v/>
      </c>
      <c r="H806" s="44" t="str">
        <f t="shared" si="24"/>
        <v/>
      </c>
      <c r="I806" s="33"/>
      <c r="J806" s="34" t="str">
        <f t="shared" si="25"/>
        <v/>
      </c>
      <c r="K806" s="46"/>
    </row>
    <row r="807" spans="1:11" ht="23.1" customHeight="1">
      <c r="A807" s="170" t="str">
        <f>IF($B807="","",MAX($A$3:A806)+1)</f>
        <v/>
      </c>
      <c r="B807" s="176"/>
      <c r="C807" s="177"/>
      <c r="D807" s="279"/>
      <c r="E807" s="178"/>
      <c r="F807" s="172" t="str">
        <f>IF($B807="","",SUMIFS('Daily Inward'!$G:$G,'Daily Inward'!$C:$C,$B807,'Daily Inward'!$E:$E,"Inventory"))</f>
        <v/>
      </c>
      <c r="G807" s="44" t="str">
        <f>IF($B807="","",SUMIFS('Daily Issuance'!$G:$G,'Daily Issuance'!$C:$C,$B807,'Daily Issuance'!$E:$E,"Inventory"))</f>
        <v/>
      </c>
      <c r="H807" s="44" t="str">
        <f t="shared" si="24"/>
        <v/>
      </c>
      <c r="I807" s="33"/>
      <c r="J807" s="34" t="str">
        <f t="shared" si="25"/>
        <v/>
      </c>
      <c r="K807" s="46"/>
    </row>
    <row r="808" spans="1:11" ht="23.1" customHeight="1">
      <c r="A808" s="170" t="str">
        <f>IF($B808="","",MAX($A$3:A807)+1)</f>
        <v/>
      </c>
      <c r="B808" s="176"/>
      <c r="C808" s="177"/>
      <c r="D808" s="279"/>
      <c r="E808" s="178"/>
      <c r="F808" s="172" t="str">
        <f>IF($B808="","",SUMIFS('Daily Inward'!$G:$G,'Daily Inward'!$C:$C,$B808,'Daily Inward'!$E:$E,"Inventory"))</f>
        <v/>
      </c>
      <c r="G808" s="44" t="str">
        <f>IF($B808="","",SUMIFS('Daily Issuance'!$G:$G,'Daily Issuance'!$C:$C,$B808,'Daily Issuance'!$E:$E,"Inventory"))</f>
        <v/>
      </c>
      <c r="H808" s="44" t="str">
        <f t="shared" si="24"/>
        <v/>
      </c>
      <c r="I808" s="33"/>
      <c r="J808" s="34" t="str">
        <f t="shared" si="25"/>
        <v/>
      </c>
      <c r="K808" s="46"/>
    </row>
    <row r="809" spans="1:11" ht="23.1" customHeight="1">
      <c r="A809" s="170" t="str">
        <f>IF($B809="","",MAX($A$3:A808)+1)</f>
        <v/>
      </c>
      <c r="B809" s="176"/>
      <c r="C809" s="177"/>
      <c r="D809" s="279"/>
      <c r="E809" s="178"/>
      <c r="F809" s="172" t="str">
        <f>IF($B809="","",SUMIFS('Daily Inward'!$G:$G,'Daily Inward'!$C:$C,$B809,'Daily Inward'!$E:$E,"Inventory"))</f>
        <v/>
      </c>
      <c r="G809" s="44" t="str">
        <f>IF($B809="","",SUMIFS('Daily Issuance'!$G:$G,'Daily Issuance'!$C:$C,$B809,'Daily Issuance'!$E:$E,"Inventory"))</f>
        <v/>
      </c>
      <c r="H809" s="44" t="str">
        <f t="shared" si="24"/>
        <v/>
      </c>
      <c r="I809" s="33"/>
      <c r="J809" s="34" t="str">
        <f t="shared" si="25"/>
        <v/>
      </c>
      <c r="K809" s="46"/>
    </row>
    <row r="810" spans="1:11" ht="23.1" customHeight="1">
      <c r="A810" s="170" t="str">
        <f>IF($B810="","",MAX($A$3:A809)+1)</f>
        <v/>
      </c>
      <c r="B810" s="176"/>
      <c r="C810" s="177"/>
      <c r="D810" s="279"/>
      <c r="E810" s="178"/>
      <c r="F810" s="172" t="str">
        <f>IF($B810="","",SUMIFS('Daily Inward'!$G:$G,'Daily Inward'!$C:$C,$B810,'Daily Inward'!$E:$E,"Inventory"))</f>
        <v/>
      </c>
      <c r="G810" s="44" t="str">
        <f>IF($B810="","",SUMIFS('Daily Issuance'!$G:$G,'Daily Issuance'!$C:$C,$B810,'Daily Issuance'!$E:$E,"Inventory"))</f>
        <v/>
      </c>
      <c r="H810" s="44" t="str">
        <f t="shared" si="24"/>
        <v/>
      </c>
      <c r="I810" s="33"/>
      <c r="J810" s="34" t="str">
        <f t="shared" si="25"/>
        <v/>
      </c>
      <c r="K810" s="46"/>
    </row>
    <row r="811" spans="1:11" ht="23.1" customHeight="1">
      <c r="A811" s="170" t="str">
        <f>IF($B811="","",MAX($A$3:A810)+1)</f>
        <v/>
      </c>
      <c r="B811" s="176"/>
      <c r="C811" s="177"/>
      <c r="D811" s="279"/>
      <c r="E811" s="178"/>
      <c r="F811" s="172" t="str">
        <f>IF($B811="","",SUMIFS('Daily Inward'!$G:$G,'Daily Inward'!$C:$C,$B811,'Daily Inward'!$E:$E,"Inventory"))</f>
        <v/>
      </c>
      <c r="G811" s="44" t="str">
        <f>IF($B811="","",SUMIFS('Daily Issuance'!$G:$G,'Daily Issuance'!$C:$C,$B811,'Daily Issuance'!$E:$E,"Inventory"))</f>
        <v/>
      </c>
      <c r="H811" s="44" t="str">
        <f t="shared" si="24"/>
        <v/>
      </c>
      <c r="I811" s="33"/>
      <c r="J811" s="34" t="str">
        <f t="shared" si="25"/>
        <v/>
      </c>
      <c r="K811" s="46"/>
    </row>
    <row r="812" spans="1:11" ht="23.1" customHeight="1">
      <c r="A812" s="170" t="str">
        <f>IF($B812="","",MAX($A$3:A811)+1)</f>
        <v/>
      </c>
      <c r="B812" s="176"/>
      <c r="C812" s="177"/>
      <c r="D812" s="279"/>
      <c r="E812" s="178"/>
      <c r="F812" s="172" t="str">
        <f>IF($B812="","",SUMIFS('Daily Inward'!$G:$G,'Daily Inward'!$C:$C,$B812,'Daily Inward'!$E:$E,"Inventory"))</f>
        <v/>
      </c>
      <c r="G812" s="44" t="str">
        <f>IF($B812="","",SUMIFS('Daily Issuance'!$G:$G,'Daily Issuance'!$C:$C,$B812,'Daily Issuance'!$E:$E,"Inventory"))</f>
        <v/>
      </c>
      <c r="H812" s="44" t="str">
        <f t="shared" si="24"/>
        <v/>
      </c>
      <c r="I812" s="33"/>
      <c r="J812" s="34" t="str">
        <f t="shared" si="25"/>
        <v/>
      </c>
      <c r="K812" s="46"/>
    </row>
    <row r="813" spans="1:11" ht="23.1" customHeight="1">
      <c r="A813" s="170" t="str">
        <f>IF($B813="","",MAX($A$3:A812)+1)</f>
        <v/>
      </c>
      <c r="B813" s="176"/>
      <c r="C813" s="177"/>
      <c r="D813" s="279"/>
      <c r="E813" s="178"/>
      <c r="F813" s="172" t="str">
        <f>IF($B813="","",SUMIFS('Daily Inward'!$G:$G,'Daily Inward'!$C:$C,$B813,'Daily Inward'!$E:$E,"Inventory"))</f>
        <v/>
      </c>
      <c r="G813" s="44" t="str">
        <f>IF($B813="","",SUMIFS('Daily Issuance'!$G:$G,'Daily Issuance'!$C:$C,$B813,'Daily Issuance'!$E:$E,"Inventory"))</f>
        <v/>
      </c>
      <c r="H813" s="44" t="str">
        <f t="shared" si="24"/>
        <v/>
      </c>
      <c r="I813" s="33"/>
      <c r="J813" s="34" t="str">
        <f t="shared" si="25"/>
        <v/>
      </c>
      <c r="K813" s="46"/>
    </row>
    <row r="814" spans="1:11" ht="23.1" customHeight="1">
      <c r="A814" s="170" t="str">
        <f>IF($B814="","",MAX($A$3:A813)+1)</f>
        <v/>
      </c>
      <c r="B814" s="176"/>
      <c r="C814" s="177"/>
      <c r="D814" s="279"/>
      <c r="E814" s="178"/>
      <c r="F814" s="172" t="str">
        <f>IF($B814="","",SUMIFS('Daily Inward'!$G:$G,'Daily Inward'!$C:$C,$B814,'Daily Inward'!$E:$E,"Inventory"))</f>
        <v/>
      </c>
      <c r="G814" s="44" t="str">
        <f>IF($B814="","",SUMIFS('Daily Issuance'!$G:$G,'Daily Issuance'!$C:$C,$B814,'Daily Issuance'!$E:$E,"Inventory"))</f>
        <v/>
      </c>
      <c r="H814" s="44" t="str">
        <f t="shared" si="24"/>
        <v/>
      </c>
      <c r="I814" s="33"/>
      <c r="J814" s="34" t="str">
        <f t="shared" si="25"/>
        <v/>
      </c>
      <c r="K814" s="46"/>
    </row>
    <row r="815" spans="1:11" ht="23.1" customHeight="1">
      <c r="A815" s="170" t="str">
        <f>IF($B815="","",MAX($A$3:A814)+1)</f>
        <v/>
      </c>
      <c r="B815" s="176"/>
      <c r="C815" s="177"/>
      <c r="D815" s="279"/>
      <c r="E815" s="178"/>
      <c r="F815" s="172" t="str">
        <f>IF($B815="","",SUMIFS('Daily Inward'!$G:$G,'Daily Inward'!$C:$C,$B815,'Daily Inward'!$E:$E,"Inventory"))</f>
        <v/>
      </c>
      <c r="G815" s="44" t="str">
        <f>IF($B815="","",SUMIFS('Daily Issuance'!$G:$G,'Daily Issuance'!$C:$C,$B815,'Daily Issuance'!$E:$E,"Inventory"))</f>
        <v/>
      </c>
      <c r="H815" s="44" t="str">
        <f t="shared" si="24"/>
        <v/>
      </c>
      <c r="I815" s="33"/>
      <c r="J815" s="34" t="str">
        <f t="shared" si="25"/>
        <v/>
      </c>
      <c r="K815" s="46"/>
    </row>
    <row r="816" spans="1:11" ht="23.1" customHeight="1">
      <c r="A816" s="170" t="str">
        <f>IF($B816="","",MAX($A$3:A815)+1)</f>
        <v/>
      </c>
      <c r="B816" s="176"/>
      <c r="C816" s="177"/>
      <c r="D816" s="279"/>
      <c r="E816" s="178"/>
      <c r="F816" s="172" t="str">
        <f>IF($B816="","",SUMIFS('Daily Inward'!$G:$G,'Daily Inward'!$C:$C,$B816,'Daily Inward'!$E:$E,"Inventory"))</f>
        <v/>
      </c>
      <c r="G816" s="44" t="str">
        <f>IF($B816="","",SUMIFS('Daily Issuance'!$G:$G,'Daily Issuance'!$C:$C,$B816,'Daily Issuance'!$E:$E,"Inventory"))</f>
        <v/>
      </c>
      <c r="H816" s="44" t="str">
        <f t="shared" si="24"/>
        <v/>
      </c>
      <c r="I816" s="33"/>
      <c r="J816" s="34" t="str">
        <f t="shared" si="25"/>
        <v/>
      </c>
      <c r="K816" s="46"/>
    </row>
    <row r="817" spans="1:11" ht="23.1" customHeight="1">
      <c r="A817" s="170" t="str">
        <f>IF($B817="","",MAX($A$3:A816)+1)</f>
        <v/>
      </c>
      <c r="B817" s="176"/>
      <c r="C817" s="177"/>
      <c r="D817" s="279"/>
      <c r="E817" s="178"/>
      <c r="F817" s="172" t="str">
        <f>IF($B817="","",SUMIFS('Daily Inward'!$G:$G,'Daily Inward'!$C:$C,$B817,'Daily Inward'!$E:$E,"Inventory"))</f>
        <v/>
      </c>
      <c r="G817" s="44" t="str">
        <f>IF($B817="","",SUMIFS('Daily Issuance'!$G:$G,'Daily Issuance'!$C:$C,$B817,'Daily Issuance'!$E:$E,"Inventory"))</f>
        <v/>
      </c>
      <c r="H817" s="44" t="str">
        <f t="shared" si="24"/>
        <v/>
      </c>
      <c r="I817" s="33"/>
      <c r="J817" s="34" t="str">
        <f t="shared" si="25"/>
        <v/>
      </c>
      <c r="K817" s="46"/>
    </row>
    <row r="818" spans="1:11" ht="23.1" customHeight="1">
      <c r="A818" s="170" t="str">
        <f>IF($B818="","",MAX($A$3:A817)+1)</f>
        <v/>
      </c>
      <c r="B818" s="176"/>
      <c r="C818" s="177"/>
      <c r="D818" s="279"/>
      <c r="E818" s="178"/>
      <c r="F818" s="172" t="str">
        <f>IF($B818="","",SUMIFS('Daily Inward'!$G:$G,'Daily Inward'!$C:$C,$B818,'Daily Inward'!$E:$E,"Inventory"))</f>
        <v/>
      </c>
      <c r="G818" s="44" t="str">
        <f>IF($B818="","",SUMIFS('Daily Issuance'!$G:$G,'Daily Issuance'!$C:$C,$B818,'Daily Issuance'!$E:$E,"Inventory"))</f>
        <v/>
      </c>
      <c r="H818" s="44" t="str">
        <f t="shared" si="24"/>
        <v/>
      </c>
      <c r="I818" s="33"/>
      <c r="J818" s="34" t="str">
        <f t="shared" si="25"/>
        <v/>
      </c>
      <c r="K818" s="46"/>
    </row>
    <row r="819" spans="1:11" ht="23.1" customHeight="1">
      <c r="A819" s="170" t="str">
        <f>IF($B819="","",MAX($A$3:A818)+1)</f>
        <v/>
      </c>
      <c r="B819" s="176"/>
      <c r="C819" s="177"/>
      <c r="D819" s="279"/>
      <c r="E819" s="178"/>
      <c r="F819" s="172" t="str">
        <f>IF($B819="","",SUMIFS('Daily Inward'!$G:$G,'Daily Inward'!$C:$C,$B819,'Daily Inward'!$E:$E,"Inventory"))</f>
        <v/>
      </c>
      <c r="G819" s="44" t="str">
        <f>IF($B819="","",SUMIFS('Daily Issuance'!$G:$G,'Daily Issuance'!$C:$C,$B819,'Daily Issuance'!$E:$E,"Inventory"))</f>
        <v/>
      </c>
      <c r="H819" s="44" t="str">
        <f t="shared" si="24"/>
        <v/>
      </c>
      <c r="I819" s="33"/>
      <c r="J819" s="34" t="str">
        <f t="shared" si="25"/>
        <v/>
      </c>
      <c r="K819" s="46"/>
    </row>
    <row r="820" spans="1:11" ht="23.1" customHeight="1">
      <c r="A820" s="170" t="str">
        <f>IF($B820="","",MAX($A$3:A819)+1)</f>
        <v/>
      </c>
      <c r="B820" s="176"/>
      <c r="C820" s="177"/>
      <c r="D820" s="279"/>
      <c r="E820" s="178"/>
      <c r="F820" s="172" t="str">
        <f>IF($B820="","",SUMIFS('Daily Inward'!$G:$G,'Daily Inward'!$C:$C,$B820,'Daily Inward'!$E:$E,"Inventory"))</f>
        <v/>
      </c>
      <c r="G820" s="44" t="str">
        <f>IF($B820="","",SUMIFS('Daily Issuance'!$G:$G,'Daily Issuance'!$C:$C,$B820,'Daily Issuance'!$E:$E,"Inventory"))</f>
        <v/>
      </c>
      <c r="H820" s="44" t="str">
        <f t="shared" si="24"/>
        <v/>
      </c>
      <c r="I820" s="33"/>
      <c r="J820" s="34" t="str">
        <f t="shared" si="25"/>
        <v/>
      </c>
      <c r="K820" s="46"/>
    </row>
    <row r="821" spans="1:11" ht="23.1" customHeight="1">
      <c r="A821" s="170" t="str">
        <f>IF($B821="","",MAX($A$3:A820)+1)</f>
        <v/>
      </c>
      <c r="B821" s="176"/>
      <c r="C821" s="177"/>
      <c r="D821" s="279"/>
      <c r="E821" s="178"/>
      <c r="F821" s="172" t="str">
        <f>IF($B821="","",SUMIFS('Daily Inward'!$G:$G,'Daily Inward'!$C:$C,$B821,'Daily Inward'!$E:$E,"Inventory"))</f>
        <v/>
      </c>
      <c r="G821" s="44" t="str">
        <f>IF($B821="","",SUMIFS('Daily Issuance'!$G:$G,'Daily Issuance'!$C:$C,$B821,'Daily Issuance'!$E:$E,"Inventory"))</f>
        <v/>
      </c>
      <c r="H821" s="44" t="str">
        <f t="shared" si="24"/>
        <v/>
      </c>
      <c r="I821" s="33"/>
      <c r="J821" s="34" t="str">
        <f t="shared" si="25"/>
        <v/>
      </c>
      <c r="K821" s="46"/>
    </row>
    <row r="822" spans="1:11" ht="23.1" customHeight="1">
      <c r="A822" s="170" t="str">
        <f>IF($B822="","",MAX($A$3:A821)+1)</f>
        <v/>
      </c>
      <c r="B822" s="176"/>
      <c r="C822" s="177"/>
      <c r="D822" s="279"/>
      <c r="E822" s="178"/>
      <c r="F822" s="172" t="str">
        <f>IF($B822="","",SUMIFS('Daily Inward'!$G:$G,'Daily Inward'!$C:$C,$B822,'Daily Inward'!$E:$E,"Inventory"))</f>
        <v/>
      </c>
      <c r="G822" s="44" t="str">
        <f>IF($B822="","",SUMIFS('Daily Issuance'!$G:$G,'Daily Issuance'!$C:$C,$B822,'Daily Issuance'!$E:$E,"Inventory"))</f>
        <v/>
      </c>
      <c r="H822" s="44" t="str">
        <f t="shared" si="24"/>
        <v/>
      </c>
      <c r="I822" s="33"/>
      <c r="J822" s="34" t="str">
        <f t="shared" si="25"/>
        <v/>
      </c>
      <c r="K822" s="46"/>
    </row>
    <row r="823" spans="1:11" ht="23.1" customHeight="1">
      <c r="A823" s="170" t="str">
        <f>IF($B823="","",MAX($A$3:A822)+1)</f>
        <v/>
      </c>
      <c r="B823" s="176"/>
      <c r="C823" s="177"/>
      <c r="D823" s="279"/>
      <c r="E823" s="178"/>
      <c r="F823" s="172" t="str">
        <f>IF($B823="","",SUMIFS('Daily Inward'!$G:$G,'Daily Inward'!$C:$C,$B823,'Daily Inward'!$E:$E,"Inventory"))</f>
        <v/>
      </c>
      <c r="G823" s="44" t="str">
        <f>IF($B823="","",SUMIFS('Daily Issuance'!$G:$G,'Daily Issuance'!$C:$C,$B823,'Daily Issuance'!$E:$E,"Inventory"))</f>
        <v/>
      </c>
      <c r="H823" s="44" t="str">
        <f t="shared" si="24"/>
        <v/>
      </c>
      <c r="I823" s="33"/>
      <c r="J823" s="34" t="str">
        <f t="shared" si="25"/>
        <v/>
      </c>
      <c r="K823" s="46"/>
    </row>
    <row r="824" spans="1:11" ht="23.1" customHeight="1">
      <c r="A824" s="170" t="str">
        <f>IF($B824="","",MAX($A$3:A823)+1)</f>
        <v/>
      </c>
      <c r="B824" s="176"/>
      <c r="C824" s="177"/>
      <c r="D824" s="279"/>
      <c r="E824" s="178"/>
      <c r="F824" s="172" t="str">
        <f>IF($B824="","",SUMIFS('Daily Inward'!$G:$G,'Daily Inward'!$C:$C,$B824,'Daily Inward'!$E:$E,"Inventory"))</f>
        <v/>
      </c>
      <c r="G824" s="44" t="str">
        <f>IF($B824="","",SUMIFS('Daily Issuance'!$G:$G,'Daily Issuance'!$C:$C,$B824,'Daily Issuance'!$E:$E,"Inventory"))</f>
        <v/>
      </c>
      <c r="H824" s="44" t="str">
        <f t="shared" si="24"/>
        <v/>
      </c>
      <c r="I824" s="33"/>
      <c r="J824" s="34" t="str">
        <f t="shared" si="25"/>
        <v/>
      </c>
      <c r="K824" s="46"/>
    </row>
    <row r="825" spans="1:11" ht="23.1" customHeight="1">
      <c r="A825" s="170" t="str">
        <f>IF($B825="","",MAX($A$3:A824)+1)</f>
        <v/>
      </c>
      <c r="B825" s="176"/>
      <c r="C825" s="177"/>
      <c r="D825" s="279"/>
      <c r="E825" s="178"/>
      <c r="F825" s="172" t="str">
        <f>IF($B825="","",SUMIFS('Daily Inward'!$G:$G,'Daily Inward'!$C:$C,$B825,'Daily Inward'!$E:$E,"Inventory"))</f>
        <v/>
      </c>
      <c r="G825" s="44" t="str">
        <f>IF($B825="","",SUMIFS('Daily Issuance'!$G:$G,'Daily Issuance'!$C:$C,$B825,'Daily Issuance'!$E:$E,"Inventory"))</f>
        <v/>
      </c>
      <c r="H825" s="44" t="str">
        <f t="shared" si="24"/>
        <v/>
      </c>
      <c r="I825" s="33"/>
      <c r="J825" s="34" t="str">
        <f t="shared" si="25"/>
        <v/>
      </c>
      <c r="K825" s="46"/>
    </row>
    <row r="826" spans="1:11" ht="23.1" customHeight="1">
      <c r="A826" s="170" t="str">
        <f>IF($B826="","",MAX($A$3:A825)+1)</f>
        <v/>
      </c>
      <c r="B826" s="176"/>
      <c r="C826" s="177"/>
      <c r="D826" s="279"/>
      <c r="E826" s="178"/>
      <c r="F826" s="172" t="str">
        <f>IF($B826="","",SUMIFS('Daily Inward'!$G:$G,'Daily Inward'!$C:$C,$B826,'Daily Inward'!$E:$E,"Inventory"))</f>
        <v/>
      </c>
      <c r="G826" s="44" t="str">
        <f>IF($B826="","",SUMIFS('Daily Issuance'!$G:$G,'Daily Issuance'!$C:$C,$B826,'Daily Issuance'!$E:$E,"Inventory"))</f>
        <v/>
      </c>
      <c r="H826" s="44" t="str">
        <f t="shared" si="24"/>
        <v/>
      </c>
      <c r="I826" s="33"/>
      <c r="J826" s="34" t="str">
        <f t="shared" si="25"/>
        <v/>
      </c>
      <c r="K826" s="46"/>
    </row>
    <row r="827" spans="1:11" ht="23.1" customHeight="1">
      <c r="A827" s="170" t="str">
        <f>IF($B827="","",MAX($A$3:A826)+1)</f>
        <v/>
      </c>
      <c r="B827" s="176"/>
      <c r="C827" s="177"/>
      <c r="D827" s="279"/>
      <c r="E827" s="178"/>
      <c r="F827" s="172" t="str">
        <f>IF($B827="","",SUMIFS('Daily Inward'!$G:$G,'Daily Inward'!$C:$C,$B827,'Daily Inward'!$E:$E,"Inventory"))</f>
        <v/>
      </c>
      <c r="G827" s="44" t="str">
        <f>IF($B827="","",SUMIFS('Daily Issuance'!$G:$G,'Daily Issuance'!$C:$C,$B827,'Daily Issuance'!$E:$E,"Inventory"))</f>
        <v/>
      </c>
      <c r="H827" s="44" t="str">
        <f t="shared" si="24"/>
        <v/>
      </c>
      <c r="I827" s="33"/>
      <c r="J827" s="34" t="str">
        <f t="shared" si="25"/>
        <v/>
      </c>
      <c r="K827" s="46"/>
    </row>
    <row r="828" spans="1:11" ht="23.1" customHeight="1">
      <c r="A828" s="170" t="str">
        <f>IF($B828="","",MAX($A$3:A827)+1)</f>
        <v/>
      </c>
      <c r="B828" s="176"/>
      <c r="C828" s="177"/>
      <c r="D828" s="279"/>
      <c r="E828" s="178"/>
      <c r="F828" s="172" t="str">
        <f>IF($B828="","",SUMIFS('Daily Inward'!$G:$G,'Daily Inward'!$C:$C,$B828,'Daily Inward'!$E:$E,"Inventory"))</f>
        <v/>
      </c>
      <c r="G828" s="44" t="str">
        <f>IF($B828="","",SUMIFS('Daily Issuance'!$G:$G,'Daily Issuance'!$C:$C,$B828,'Daily Issuance'!$E:$E,"Inventory"))</f>
        <v/>
      </c>
      <c r="H828" s="44" t="str">
        <f t="shared" si="24"/>
        <v/>
      </c>
      <c r="I828" s="33"/>
      <c r="J828" s="34" t="str">
        <f t="shared" si="25"/>
        <v/>
      </c>
      <c r="K828" s="46"/>
    </row>
    <row r="829" spans="1:11" ht="23.1" customHeight="1">
      <c r="A829" s="170" t="str">
        <f>IF($B829="","",MAX($A$3:A828)+1)</f>
        <v/>
      </c>
      <c r="B829" s="176"/>
      <c r="C829" s="177"/>
      <c r="D829" s="279"/>
      <c r="E829" s="178"/>
      <c r="F829" s="172" t="str">
        <f>IF($B829="","",SUMIFS('Daily Inward'!$G:$G,'Daily Inward'!$C:$C,$B829,'Daily Inward'!$E:$E,"Inventory"))</f>
        <v/>
      </c>
      <c r="G829" s="44" t="str">
        <f>IF($B829="","",SUMIFS('Daily Issuance'!$G:$G,'Daily Issuance'!$C:$C,$B829,'Daily Issuance'!$E:$E,"Inventory"))</f>
        <v/>
      </c>
      <c r="H829" s="44" t="str">
        <f t="shared" si="24"/>
        <v/>
      </c>
      <c r="I829" s="33"/>
      <c r="J829" s="34" t="str">
        <f t="shared" si="25"/>
        <v/>
      </c>
      <c r="K829" s="46"/>
    </row>
    <row r="830" spans="1:11" ht="23.1" customHeight="1">
      <c r="A830" s="170" t="str">
        <f>IF($B830="","",MAX($A$3:A829)+1)</f>
        <v/>
      </c>
      <c r="B830" s="176"/>
      <c r="C830" s="177"/>
      <c r="D830" s="279"/>
      <c r="E830" s="178"/>
      <c r="F830" s="172" t="str">
        <f>IF($B830="","",SUMIFS('Daily Inward'!$G:$G,'Daily Inward'!$C:$C,$B830,'Daily Inward'!$E:$E,"Inventory"))</f>
        <v/>
      </c>
      <c r="G830" s="44" t="str">
        <f>IF($B830="","",SUMIFS('Daily Issuance'!$G:$G,'Daily Issuance'!$C:$C,$B830,'Daily Issuance'!$E:$E,"Inventory"))</f>
        <v/>
      </c>
      <c r="H830" s="44" t="str">
        <f t="shared" si="24"/>
        <v/>
      </c>
      <c r="I830" s="33"/>
      <c r="J830" s="34" t="str">
        <f t="shared" si="25"/>
        <v/>
      </c>
      <c r="K830" s="46"/>
    </row>
    <row r="831" spans="1:11" ht="23.1" customHeight="1">
      <c r="A831" s="170" t="str">
        <f>IF($B831="","",MAX($A$3:A830)+1)</f>
        <v/>
      </c>
      <c r="B831" s="176"/>
      <c r="C831" s="177"/>
      <c r="D831" s="279"/>
      <c r="E831" s="178"/>
      <c r="F831" s="172" t="str">
        <f>IF($B831="","",SUMIFS('Daily Inward'!$G:$G,'Daily Inward'!$C:$C,$B831,'Daily Inward'!$E:$E,"Inventory"))</f>
        <v/>
      </c>
      <c r="G831" s="44" t="str">
        <f>IF($B831="","",SUMIFS('Daily Issuance'!$G:$G,'Daily Issuance'!$C:$C,$B831,'Daily Issuance'!$E:$E,"Inventory"))</f>
        <v/>
      </c>
      <c r="H831" s="44" t="str">
        <f t="shared" si="24"/>
        <v/>
      </c>
      <c r="I831" s="33"/>
      <c r="J831" s="34" t="str">
        <f t="shared" si="25"/>
        <v/>
      </c>
      <c r="K831" s="46"/>
    </row>
    <row r="832" spans="1:11" ht="23.1" customHeight="1">
      <c r="A832" s="170" t="str">
        <f>IF($B832="","",MAX($A$3:A831)+1)</f>
        <v/>
      </c>
      <c r="B832" s="176"/>
      <c r="C832" s="177"/>
      <c r="D832" s="279"/>
      <c r="E832" s="178"/>
      <c r="F832" s="172" t="str">
        <f>IF($B832="","",SUMIFS('Daily Inward'!$G:$G,'Daily Inward'!$C:$C,$B832,'Daily Inward'!$E:$E,"Inventory"))</f>
        <v/>
      </c>
      <c r="G832" s="44" t="str">
        <f>IF($B832="","",SUMIFS('Daily Issuance'!$G:$G,'Daily Issuance'!$C:$C,$B832,'Daily Issuance'!$E:$E,"Inventory"))</f>
        <v/>
      </c>
      <c r="H832" s="44" t="str">
        <f t="shared" si="24"/>
        <v/>
      </c>
      <c r="I832" s="33"/>
      <c r="J832" s="34" t="str">
        <f t="shared" si="25"/>
        <v/>
      </c>
      <c r="K832" s="46"/>
    </row>
    <row r="833" spans="1:11" ht="23.1" customHeight="1">
      <c r="A833" s="170" t="str">
        <f>IF($B833="","",MAX($A$3:A832)+1)</f>
        <v/>
      </c>
      <c r="B833" s="176"/>
      <c r="C833" s="177"/>
      <c r="D833" s="279"/>
      <c r="E833" s="178"/>
      <c r="F833" s="172" t="str">
        <f>IF($B833="","",SUMIFS('Daily Inward'!$G:$G,'Daily Inward'!$C:$C,$B833,'Daily Inward'!$E:$E,"Inventory"))</f>
        <v/>
      </c>
      <c r="G833" s="44" t="str">
        <f>IF($B833="","",SUMIFS('Daily Issuance'!$G:$G,'Daily Issuance'!$C:$C,$B833,'Daily Issuance'!$E:$E,"Inventory"))</f>
        <v/>
      </c>
      <c r="H833" s="44" t="str">
        <f t="shared" si="24"/>
        <v/>
      </c>
      <c r="I833" s="33"/>
      <c r="J833" s="34" t="str">
        <f t="shared" si="25"/>
        <v/>
      </c>
      <c r="K833" s="46"/>
    </row>
    <row r="834" spans="1:11" ht="23.1" customHeight="1">
      <c r="A834" s="170" t="str">
        <f>IF($B834="","",MAX($A$3:A833)+1)</f>
        <v/>
      </c>
      <c r="B834" s="176"/>
      <c r="C834" s="177"/>
      <c r="D834" s="279"/>
      <c r="E834" s="178"/>
      <c r="F834" s="172" t="str">
        <f>IF($B834="","",SUMIFS('Daily Inward'!$G:$G,'Daily Inward'!$C:$C,$B834,'Daily Inward'!$E:$E,"Inventory"))</f>
        <v/>
      </c>
      <c r="G834" s="44" t="str">
        <f>IF($B834="","",SUMIFS('Daily Issuance'!$G:$G,'Daily Issuance'!$C:$C,$B834,'Daily Issuance'!$E:$E,"Inventory"))</f>
        <v/>
      </c>
      <c r="H834" s="44" t="str">
        <f t="shared" si="24"/>
        <v/>
      </c>
      <c r="I834" s="33"/>
      <c r="J834" s="34" t="str">
        <f t="shared" si="25"/>
        <v/>
      </c>
      <c r="K834" s="46"/>
    </row>
    <row r="835" spans="1:11" ht="23.1" customHeight="1">
      <c r="A835" s="170" t="str">
        <f>IF($B835="","",MAX($A$3:A834)+1)</f>
        <v/>
      </c>
      <c r="B835" s="176"/>
      <c r="C835" s="177"/>
      <c r="D835" s="279"/>
      <c r="E835" s="178"/>
      <c r="F835" s="172" t="str">
        <f>IF($B835="","",SUMIFS('Daily Inward'!$G:$G,'Daily Inward'!$C:$C,$B835,'Daily Inward'!$E:$E,"Inventory"))</f>
        <v/>
      </c>
      <c r="G835" s="44" t="str">
        <f>IF($B835="","",SUMIFS('Daily Issuance'!$G:$G,'Daily Issuance'!$C:$C,$B835,'Daily Issuance'!$E:$E,"Inventory"))</f>
        <v/>
      </c>
      <c r="H835" s="44" t="str">
        <f t="shared" ref="H835:H898" si="26">IF($B835="","",N(E835)+N(F835)-N(G835))</f>
        <v/>
      </c>
      <c r="I835" s="33"/>
      <c r="J835" s="34" t="str">
        <f t="shared" ref="J835:J898" si="27">IF($B835="","",H835*I835)</f>
        <v/>
      </c>
      <c r="K835" s="46"/>
    </row>
    <row r="836" spans="1:11" ht="23.1" customHeight="1">
      <c r="A836" s="170" t="str">
        <f>IF($B836="","",MAX($A$3:A835)+1)</f>
        <v/>
      </c>
      <c r="B836" s="176"/>
      <c r="C836" s="177"/>
      <c r="D836" s="279"/>
      <c r="E836" s="178"/>
      <c r="F836" s="172" t="str">
        <f>IF($B836="","",SUMIFS('Daily Inward'!$G:$G,'Daily Inward'!$C:$C,$B836,'Daily Inward'!$E:$E,"Inventory"))</f>
        <v/>
      </c>
      <c r="G836" s="44" t="str">
        <f>IF($B836="","",SUMIFS('Daily Issuance'!$G:$G,'Daily Issuance'!$C:$C,$B836,'Daily Issuance'!$E:$E,"Inventory"))</f>
        <v/>
      </c>
      <c r="H836" s="44" t="str">
        <f t="shared" si="26"/>
        <v/>
      </c>
      <c r="I836" s="33"/>
      <c r="J836" s="34" t="str">
        <f t="shared" si="27"/>
        <v/>
      </c>
      <c r="K836" s="46"/>
    </row>
    <row r="837" spans="1:11" ht="23.1" customHeight="1">
      <c r="A837" s="170" t="str">
        <f>IF($B837="","",MAX($A$3:A836)+1)</f>
        <v/>
      </c>
      <c r="B837" s="176"/>
      <c r="C837" s="177"/>
      <c r="D837" s="279"/>
      <c r="E837" s="178"/>
      <c r="F837" s="172" t="str">
        <f>IF($B837="","",SUMIFS('Daily Inward'!$G:$G,'Daily Inward'!$C:$C,$B837,'Daily Inward'!$E:$E,"Inventory"))</f>
        <v/>
      </c>
      <c r="G837" s="44" t="str">
        <f>IF($B837="","",SUMIFS('Daily Issuance'!$G:$G,'Daily Issuance'!$C:$C,$B837,'Daily Issuance'!$E:$E,"Inventory"))</f>
        <v/>
      </c>
      <c r="H837" s="44" t="str">
        <f t="shared" si="26"/>
        <v/>
      </c>
      <c r="I837" s="33"/>
      <c r="J837" s="34" t="str">
        <f t="shared" si="27"/>
        <v/>
      </c>
      <c r="K837" s="46"/>
    </row>
    <row r="838" spans="1:11" ht="23.1" customHeight="1">
      <c r="A838" s="170" t="str">
        <f>IF($B838="","",MAX($A$3:A837)+1)</f>
        <v/>
      </c>
      <c r="B838" s="176"/>
      <c r="C838" s="177"/>
      <c r="D838" s="279"/>
      <c r="E838" s="178"/>
      <c r="F838" s="172" t="str">
        <f>IF($B838="","",SUMIFS('Daily Inward'!$G:$G,'Daily Inward'!$C:$C,$B838,'Daily Inward'!$E:$E,"Inventory"))</f>
        <v/>
      </c>
      <c r="G838" s="44" t="str">
        <f>IF($B838="","",SUMIFS('Daily Issuance'!$G:$G,'Daily Issuance'!$C:$C,$B838,'Daily Issuance'!$E:$E,"Inventory"))</f>
        <v/>
      </c>
      <c r="H838" s="44" t="str">
        <f t="shared" si="26"/>
        <v/>
      </c>
      <c r="I838" s="33"/>
      <c r="J838" s="34" t="str">
        <f t="shared" si="27"/>
        <v/>
      </c>
      <c r="K838" s="46"/>
    </row>
    <row r="839" spans="1:11" ht="23.1" customHeight="1">
      <c r="A839" s="170" t="str">
        <f>IF($B839="","",MAX($A$3:A838)+1)</f>
        <v/>
      </c>
      <c r="B839" s="176"/>
      <c r="C839" s="177"/>
      <c r="D839" s="279"/>
      <c r="E839" s="178"/>
      <c r="F839" s="172" t="str">
        <f>IF($B839="","",SUMIFS('Daily Inward'!$G:$G,'Daily Inward'!$C:$C,$B839,'Daily Inward'!$E:$E,"Inventory"))</f>
        <v/>
      </c>
      <c r="G839" s="44" t="str">
        <f>IF($B839="","",SUMIFS('Daily Issuance'!$G:$G,'Daily Issuance'!$C:$C,$B839,'Daily Issuance'!$E:$E,"Inventory"))</f>
        <v/>
      </c>
      <c r="H839" s="44" t="str">
        <f t="shared" si="26"/>
        <v/>
      </c>
      <c r="I839" s="33"/>
      <c r="J839" s="34" t="str">
        <f t="shared" si="27"/>
        <v/>
      </c>
      <c r="K839" s="46"/>
    </row>
    <row r="840" spans="1:11" ht="23.1" customHeight="1">
      <c r="A840" s="170" t="str">
        <f>IF($B840="","",MAX($A$3:A839)+1)</f>
        <v/>
      </c>
      <c r="B840" s="176"/>
      <c r="C840" s="177"/>
      <c r="D840" s="279"/>
      <c r="E840" s="178"/>
      <c r="F840" s="172" t="str">
        <f>IF($B840="","",SUMIFS('Daily Inward'!$G:$G,'Daily Inward'!$C:$C,$B840,'Daily Inward'!$E:$E,"Inventory"))</f>
        <v/>
      </c>
      <c r="G840" s="44" t="str">
        <f>IF($B840="","",SUMIFS('Daily Issuance'!$G:$G,'Daily Issuance'!$C:$C,$B840,'Daily Issuance'!$E:$E,"Inventory"))</f>
        <v/>
      </c>
      <c r="H840" s="44" t="str">
        <f t="shared" si="26"/>
        <v/>
      </c>
      <c r="I840" s="33"/>
      <c r="J840" s="34" t="str">
        <f t="shared" si="27"/>
        <v/>
      </c>
      <c r="K840" s="46"/>
    </row>
    <row r="841" spans="1:11" ht="23.1" customHeight="1">
      <c r="A841" s="170" t="str">
        <f>IF($B841="","",MAX($A$3:A840)+1)</f>
        <v/>
      </c>
      <c r="B841" s="176"/>
      <c r="C841" s="177"/>
      <c r="D841" s="279"/>
      <c r="E841" s="178"/>
      <c r="F841" s="172" t="str">
        <f>IF($B841="","",SUMIFS('Daily Inward'!$G:$G,'Daily Inward'!$C:$C,$B841,'Daily Inward'!$E:$E,"Inventory"))</f>
        <v/>
      </c>
      <c r="G841" s="44" t="str">
        <f>IF($B841="","",SUMIFS('Daily Issuance'!$G:$G,'Daily Issuance'!$C:$C,$B841,'Daily Issuance'!$E:$E,"Inventory"))</f>
        <v/>
      </c>
      <c r="H841" s="44" t="str">
        <f t="shared" si="26"/>
        <v/>
      </c>
      <c r="I841" s="33"/>
      <c r="J841" s="34" t="str">
        <f t="shared" si="27"/>
        <v/>
      </c>
      <c r="K841" s="46"/>
    </row>
    <row r="842" spans="1:11" ht="23.1" customHeight="1">
      <c r="A842" s="170" t="str">
        <f>IF($B842="","",MAX($A$3:A841)+1)</f>
        <v/>
      </c>
      <c r="B842" s="176"/>
      <c r="C842" s="177"/>
      <c r="D842" s="279"/>
      <c r="E842" s="178"/>
      <c r="F842" s="172" t="str">
        <f>IF($B842="","",SUMIFS('Daily Inward'!$G:$G,'Daily Inward'!$C:$C,$B842,'Daily Inward'!$E:$E,"Inventory"))</f>
        <v/>
      </c>
      <c r="G842" s="44" t="str">
        <f>IF($B842="","",SUMIFS('Daily Issuance'!$G:$G,'Daily Issuance'!$C:$C,$B842,'Daily Issuance'!$E:$E,"Inventory"))</f>
        <v/>
      </c>
      <c r="H842" s="44" t="str">
        <f t="shared" si="26"/>
        <v/>
      </c>
      <c r="I842" s="33"/>
      <c r="J842" s="34" t="str">
        <f t="shared" si="27"/>
        <v/>
      </c>
      <c r="K842" s="46"/>
    </row>
    <row r="843" spans="1:11" ht="23.1" customHeight="1">
      <c r="A843" s="170" t="str">
        <f>IF($B843="","",MAX($A$3:A842)+1)</f>
        <v/>
      </c>
      <c r="B843" s="176"/>
      <c r="C843" s="177"/>
      <c r="D843" s="279"/>
      <c r="E843" s="178"/>
      <c r="F843" s="172" t="str">
        <f>IF($B843="","",SUMIFS('Daily Inward'!$G:$G,'Daily Inward'!$C:$C,$B843,'Daily Inward'!$E:$E,"Inventory"))</f>
        <v/>
      </c>
      <c r="G843" s="44" t="str">
        <f>IF($B843="","",SUMIFS('Daily Issuance'!$G:$G,'Daily Issuance'!$C:$C,$B843,'Daily Issuance'!$E:$E,"Inventory"))</f>
        <v/>
      </c>
      <c r="H843" s="44" t="str">
        <f t="shared" si="26"/>
        <v/>
      </c>
      <c r="I843" s="33"/>
      <c r="J843" s="34" t="str">
        <f t="shared" si="27"/>
        <v/>
      </c>
      <c r="K843" s="46"/>
    </row>
    <row r="844" spans="1:11" ht="23.1" customHeight="1">
      <c r="A844" s="170" t="str">
        <f>IF($B844="","",MAX($A$3:A843)+1)</f>
        <v/>
      </c>
      <c r="B844" s="176"/>
      <c r="C844" s="177"/>
      <c r="D844" s="279"/>
      <c r="E844" s="178"/>
      <c r="F844" s="172" t="str">
        <f>IF($B844="","",SUMIFS('Daily Inward'!$G:$G,'Daily Inward'!$C:$C,$B844,'Daily Inward'!$E:$E,"Inventory"))</f>
        <v/>
      </c>
      <c r="G844" s="44" t="str">
        <f>IF($B844="","",SUMIFS('Daily Issuance'!$G:$G,'Daily Issuance'!$C:$C,$B844,'Daily Issuance'!$E:$E,"Inventory"))</f>
        <v/>
      </c>
      <c r="H844" s="44" t="str">
        <f t="shared" si="26"/>
        <v/>
      </c>
      <c r="I844" s="33"/>
      <c r="J844" s="34" t="str">
        <f t="shared" si="27"/>
        <v/>
      </c>
      <c r="K844" s="46"/>
    </row>
    <row r="845" spans="1:11" ht="23.1" customHeight="1">
      <c r="A845" s="170" t="str">
        <f>IF($B845="","",MAX($A$3:A844)+1)</f>
        <v/>
      </c>
      <c r="B845" s="176"/>
      <c r="C845" s="177"/>
      <c r="D845" s="279"/>
      <c r="E845" s="178"/>
      <c r="F845" s="172" t="str">
        <f>IF($B845="","",SUMIFS('Daily Inward'!$G:$G,'Daily Inward'!$C:$C,$B845,'Daily Inward'!$E:$E,"Inventory"))</f>
        <v/>
      </c>
      <c r="G845" s="44" t="str">
        <f>IF($B845="","",SUMIFS('Daily Issuance'!$G:$G,'Daily Issuance'!$C:$C,$B845,'Daily Issuance'!$E:$E,"Inventory"))</f>
        <v/>
      </c>
      <c r="H845" s="44" t="str">
        <f t="shared" si="26"/>
        <v/>
      </c>
      <c r="I845" s="33"/>
      <c r="J845" s="34" t="str">
        <f t="shared" si="27"/>
        <v/>
      </c>
      <c r="K845" s="46"/>
    </row>
    <row r="846" spans="1:11" ht="23.1" customHeight="1">
      <c r="A846" s="170" t="str">
        <f>IF($B846="","",MAX($A$3:A845)+1)</f>
        <v/>
      </c>
      <c r="B846" s="176"/>
      <c r="C846" s="177"/>
      <c r="D846" s="279"/>
      <c r="E846" s="178"/>
      <c r="F846" s="172" t="str">
        <f>IF($B846="","",SUMIFS('Daily Inward'!$G:$G,'Daily Inward'!$C:$C,$B846,'Daily Inward'!$E:$E,"Inventory"))</f>
        <v/>
      </c>
      <c r="G846" s="44" t="str">
        <f>IF($B846="","",SUMIFS('Daily Issuance'!$G:$G,'Daily Issuance'!$C:$C,$B846,'Daily Issuance'!$E:$E,"Inventory"))</f>
        <v/>
      </c>
      <c r="H846" s="44" t="str">
        <f t="shared" si="26"/>
        <v/>
      </c>
      <c r="I846" s="33"/>
      <c r="J846" s="34" t="str">
        <f t="shared" si="27"/>
        <v/>
      </c>
      <c r="K846" s="46"/>
    </row>
    <row r="847" spans="1:11" ht="23.1" customHeight="1">
      <c r="A847" s="170" t="str">
        <f>IF($B847="","",MAX($A$3:A846)+1)</f>
        <v/>
      </c>
      <c r="B847" s="176"/>
      <c r="C847" s="177"/>
      <c r="D847" s="279"/>
      <c r="E847" s="178"/>
      <c r="F847" s="172" t="str">
        <f>IF($B847="","",SUMIFS('Daily Inward'!$G:$G,'Daily Inward'!$C:$C,$B847,'Daily Inward'!$E:$E,"Inventory"))</f>
        <v/>
      </c>
      <c r="G847" s="44" t="str">
        <f>IF($B847="","",SUMIFS('Daily Issuance'!$G:$G,'Daily Issuance'!$C:$C,$B847,'Daily Issuance'!$E:$E,"Inventory"))</f>
        <v/>
      </c>
      <c r="H847" s="44" t="str">
        <f t="shared" si="26"/>
        <v/>
      </c>
      <c r="I847" s="33"/>
      <c r="J847" s="34" t="str">
        <f t="shared" si="27"/>
        <v/>
      </c>
      <c r="K847" s="46"/>
    </row>
    <row r="848" spans="1:11" ht="23.1" customHeight="1">
      <c r="A848" s="170" t="str">
        <f>IF($B848="","",MAX($A$3:A847)+1)</f>
        <v/>
      </c>
      <c r="B848" s="176"/>
      <c r="C848" s="177"/>
      <c r="D848" s="279"/>
      <c r="E848" s="178"/>
      <c r="F848" s="172" t="str">
        <f>IF($B848="","",SUMIFS('Daily Inward'!$G:$G,'Daily Inward'!$C:$C,$B848,'Daily Inward'!$E:$E,"Inventory"))</f>
        <v/>
      </c>
      <c r="G848" s="44" t="str">
        <f>IF($B848="","",SUMIFS('Daily Issuance'!$G:$G,'Daily Issuance'!$C:$C,$B848,'Daily Issuance'!$E:$E,"Inventory"))</f>
        <v/>
      </c>
      <c r="H848" s="44" t="str">
        <f t="shared" si="26"/>
        <v/>
      </c>
      <c r="I848" s="33"/>
      <c r="J848" s="34" t="str">
        <f t="shared" si="27"/>
        <v/>
      </c>
      <c r="K848" s="46"/>
    </row>
    <row r="849" spans="1:11" ht="23.1" customHeight="1">
      <c r="A849" s="170" t="str">
        <f>IF($B849="","",MAX($A$3:A848)+1)</f>
        <v/>
      </c>
      <c r="B849" s="176"/>
      <c r="C849" s="177"/>
      <c r="D849" s="279"/>
      <c r="E849" s="178"/>
      <c r="F849" s="172" t="str">
        <f>IF($B849="","",SUMIFS('Daily Inward'!$G:$G,'Daily Inward'!$C:$C,$B849,'Daily Inward'!$E:$E,"Inventory"))</f>
        <v/>
      </c>
      <c r="G849" s="44" t="str">
        <f>IF($B849="","",SUMIFS('Daily Issuance'!$G:$G,'Daily Issuance'!$C:$C,$B849,'Daily Issuance'!$E:$E,"Inventory"))</f>
        <v/>
      </c>
      <c r="H849" s="44" t="str">
        <f t="shared" si="26"/>
        <v/>
      </c>
      <c r="I849" s="33"/>
      <c r="J849" s="34" t="str">
        <f t="shared" si="27"/>
        <v/>
      </c>
      <c r="K849" s="46"/>
    </row>
    <row r="850" spans="1:11" ht="23.1" customHeight="1">
      <c r="A850" s="170" t="str">
        <f>IF($B850="","",MAX($A$3:A849)+1)</f>
        <v/>
      </c>
      <c r="B850" s="176"/>
      <c r="C850" s="177"/>
      <c r="D850" s="279"/>
      <c r="E850" s="178"/>
      <c r="F850" s="172" t="str">
        <f>IF($B850="","",SUMIFS('Daily Inward'!$G:$G,'Daily Inward'!$C:$C,$B850,'Daily Inward'!$E:$E,"Inventory"))</f>
        <v/>
      </c>
      <c r="G850" s="44" t="str">
        <f>IF($B850="","",SUMIFS('Daily Issuance'!$G:$G,'Daily Issuance'!$C:$C,$B850,'Daily Issuance'!$E:$E,"Inventory"))</f>
        <v/>
      </c>
      <c r="H850" s="44" t="str">
        <f t="shared" si="26"/>
        <v/>
      </c>
      <c r="I850" s="33"/>
      <c r="J850" s="34" t="str">
        <f t="shared" si="27"/>
        <v/>
      </c>
      <c r="K850" s="46"/>
    </row>
    <row r="851" spans="1:11" ht="23.1" customHeight="1">
      <c r="A851" s="170" t="str">
        <f>IF($B851="","",MAX($A$3:A850)+1)</f>
        <v/>
      </c>
      <c r="B851" s="176"/>
      <c r="C851" s="177"/>
      <c r="D851" s="279"/>
      <c r="E851" s="178"/>
      <c r="F851" s="172" t="str">
        <f>IF($B851="","",SUMIFS('Daily Inward'!$G:$G,'Daily Inward'!$C:$C,$B851,'Daily Inward'!$E:$E,"Inventory"))</f>
        <v/>
      </c>
      <c r="G851" s="44" t="str">
        <f>IF($B851="","",SUMIFS('Daily Issuance'!$G:$G,'Daily Issuance'!$C:$C,$B851,'Daily Issuance'!$E:$E,"Inventory"))</f>
        <v/>
      </c>
      <c r="H851" s="44" t="str">
        <f t="shared" si="26"/>
        <v/>
      </c>
      <c r="I851" s="33"/>
      <c r="J851" s="34" t="str">
        <f t="shared" si="27"/>
        <v/>
      </c>
      <c r="K851" s="46"/>
    </row>
    <row r="852" spans="1:11" ht="23.1" customHeight="1">
      <c r="A852" s="170" t="str">
        <f>IF($B852="","",MAX($A$3:A851)+1)</f>
        <v/>
      </c>
      <c r="B852" s="176"/>
      <c r="C852" s="177"/>
      <c r="D852" s="279"/>
      <c r="E852" s="178"/>
      <c r="F852" s="172" t="str">
        <f>IF($B852="","",SUMIFS('Daily Inward'!$G:$G,'Daily Inward'!$C:$C,$B852,'Daily Inward'!$E:$E,"Inventory"))</f>
        <v/>
      </c>
      <c r="G852" s="44" t="str">
        <f>IF($B852="","",SUMIFS('Daily Issuance'!$G:$G,'Daily Issuance'!$C:$C,$B852,'Daily Issuance'!$E:$E,"Inventory"))</f>
        <v/>
      </c>
      <c r="H852" s="44" t="str">
        <f t="shared" si="26"/>
        <v/>
      </c>
      <c r="I852" s="33"/>
      <c r="J852" s="34" t="str">
        <f t="shared" si="27"/>
        <v/>
      </c>
      <c r="K852" s="46"/>
    </row>
    <row r="853" spans="1:11" ht="23.1" customHeight="1">
      <c r="A853" s="170" t="str">
        <f>IF($B853="","",MAX($A$3:A852)+1)</f>
        <v/>
      </c>
      <c r="B853" s="176"/>
      <c r="C853" s="177"/>
      <c r="D853" s="279"/>
      <c r="E853" s="178"/>
      <c r="F853" s="172" t="str">
        <f>IF($B853="","",SUMIFS('Daily Inward'!$G:$G,'Daily Inward'!$C:$C,$B853,'Daily Inward'!$E:$E,"Inventory"))</f>
        <v/>
      </c>
      <c r="G853" s="44" t="str">
        <f>IF($B853="","",SUMIFS('Daily Issuance'!$G:$G,'Daily Issuance'!$C:$C,$B853,'Daily Issuance'!$E:$E,"Inventory"))</f>
        <v/>
      </c>
      <c r="H853" s="44" t="str">
        <f t="shared" si="26"/>
        <v/>
      </c>
      <c r="I853" s="33"/>
      <c r="J853" s="34" t="str">
        <f t="shared" si="27"/>
        <v/>
      </c>
      <c r="K853" s="46"/>
    </row>
    <row r="854" spans="1:11" ht="23.1" customHeight="1">
      <c r="A854" s="170" t="str">
        <f>IF($B854="","",MAX($A$3:A853)+1)</f>
        <v/>
      </c>
      <c r="B854" s="176"/>
      <c r="C854" s="177"/>
      <c r="D854" s="279"/>
      <c r="E854" s="178"/>
      <c r="F854" s="172" t="str">
        <f>IF($B854="","",SUMIFS('Daily Inward'!$G:$G,'Daily Inward'!$C:$C,$B854,'Daily Inward'!$E:$E,"Inventory"))</f>
        <v/>
      </c>
      <c r="G854" s="44" t="str">
        <f>IF($B854="","",SUMIFS('Daily Issuance'!$G:$G,'Daily Issuance'!$C:$C,$B854,'Daily Issuance'!$E:$E,"Inventory"))</f>
        <v/>
      </c>
      <c r="H854" s="44" t="str">
        <f t="shared" si="26"/>
        <v/>
      </c>
      <c r="I854" s="33"/>
      <c r="J854" s="34" t="str">
        <f t="shared" si="27"/>
        <v/>
      </c>
      <c r="K854" s="46"/>
    </row>
    <row r="855" spans="1:11" ht="23.1" customHeight="1">
      <c r="A855" s="170" t="str">
        <f>IF($B855="","",MAX($A$3:A854)+1)</f>
        <v/>
      </c>
      <c r="B855" s="176"/>
      <c r="C855" s="177"/>
      <c r="D855" s="279"/>
      <c r="E855" s="178"/>
      <c r="F855" s="172" t="str">
        <f>IF($B855="","",SUMIFS('Daily Inward'!$G:$G,'Daily Inward'!$C:$C,$B855,'Daily Inward'!$E:$E,"Inventory"))</f>
        <v/>
      </c>
      <c r="G855" s="44" t="str">
        <f>IF($B855="","",SUMIFS('Daily Issuance'!$G:$G,'Daily Issuance'!$C:$C,$B855,'Daily Issuance'!$E:$E,"Inventory"))</f>
        <v/>
      </c>
      <c r="H855" s="44" t="str">
        <f t="shared" si="26"/>
        <v/>
      </c>
      <c r="I855" s="33"/>
      <c r="J855" s="34" t="str">
        <f t="shared" si="27"/>
        <v/>
      </c>
      <c r="K855" s="46"/>
    </row>
    <row r="856" spans="1:11" ht="23.1" customHeight="1">
      <c r="A856" s="170" t="str">
        <f>IF($B856="","",MAX($A$3:A855)+1)</f>
        <v/>
      </c>
      <c r="B856" s="176"/>
      <c r="C856" s="177"/>
      <c r="D856" s="279"/>
      <c r="E856" s="178"/>
      <c r="F856" s="172" t="str">
        <f>IF($B856="","",SUMIFS('Daily Inward'!$G:$G,'Daily Inward'!$C:$C,$B856,'Daily Inward'!$E:$E,"Inventory"))</f>
        <v/>
      </c>
      <c r="G856" s="44" t="str">
        <f>IF($B856="","",SUMIFS('Daily Issuance'!$G:$G,'Daily Issuance'!$C:$C,$B856,'Daily Issuance'!$E:$E,"Inventory"))</f>
        <v/>
      </c>
      <c r="H856" s="44" t="str">
        <f t="shared" si="26"/>
        <v/>
      </c>
      <c r="I856" s="33"/>
      <c r="J856" s="34" t="str">
        <f t="shared" si="27"/>
        <v/>
      </c>
      <c r="K856" s="46"/>
    </row>
    <row r="857" spans="1:11" ht="23.1" customHeight="1">
      <c r="A857" s="170" t="str">
        <f>IF($B857="","",MAX($A$3:A856)+1)</f>
        <v/>
      </c>
      <c r="B857" s="176"/>
      <c r="C857" s="177"/>
      <c r="D857" s="279"/>
      <c r="E857" s="178"/>
      <c r="F857" s="172" t="str">
        <f>IF($B857="","",SUMIFS('Daily Inward'!$G:$G,'Daily Inward'!$C:$C,$B857,'Daily Inward'!$E:$E,"Inventory"))</f>
        <v/>
      </c>
      <c r="G857" s="44" t="str">
        <f>IF($B857="","",SUMIFS('Daily Issuance'!$G:$G,'Daily Issuance'!$C:$C,$B857,'Daily Issuance'!$E:$E,"Inventory"))</f>
        <v/>
      </c>
      <c r="H857" s="44" t="str">
        <f t="shared" si="26"/>
        <v/>
      </c>
      <c r="I857" s="33"/>
      <c r="J857" s="34" t="str">
        <f t="shared" si="27"/>
        <v/>
      </c>
      <c r="K857" s="46"/>
    </row>
    <row r="858" spans="1:11" ht="23.1" customHeight="1">
      <c r="A858" s="170" t="str">
        <f>IF($B858="","",MAX($A$3:A857)+1)</f>
        <v/>
      </c>
      <c r="B858" s="176"/>
      <c r="C858" s="177"/>
      <c r="D858" s="279"/>
      <c r="E858" s="178"/>
      <c r="F858" s="172" t="str">
        <f>IF($B858="","",SUMIFS('Daily Inward'!$G:$G,'Daily Inward'!$C:$C,$B858,'Daily Inward'!$E:$E,"Inventory"))</f>
        <v/>
      </c>
      <c r="G858" s="44" t="str">
        <f>IF($B858="","",SUMIFS('Daily Issuance'!$G:$G,'Daily Issuance'!$C:$C,$B858,'Daily Issuance'!$E:$E,"Inventory"))</f>
        <v/>
      </c>
      <c r="H858" s="44" t="str">
        <f t="shared" si="26"/>
        <v/>
      </c>
      <c r="I858" s="33"/>
      <c r="J858" s="34" t="str">
        <f t="shared" si="27"/>
        <v/>
      </c>
      <c r="K858" s="46"/>
    </row>
    <row r="859" spans="1:11" ht="23.1" customHeight="1">
      <c r="A859" s="170" t="str">
        <f>IF($B859="","",MAX($A$3:A858)+1)</f>
        <v/>
      </c>
      <c r="B859" s="176"/>
      <c r="C859" s="177"/>
      <c r="D859" s="279"/>
      <c r="E859" s="178"/>
      <c r="F859" s="172" t="str">
        <f>IF($B859="","",SUMIFS('Daily Inward'!$G:$G,'Daily Inward'!$C:$C,$B859,'Daily Inward'!$E:$E,"Inventory"))</f>
        <v/>
      </c>
      <c r="G859" s="44" t="str">
        <f>IF($B859="","",SUMIFS('Daily Issuance'!$G:$G,'Daily Issuance'!$C:$C,$B859,'Daily Issuance'!$E:$E,"Inventory"))</f>
        <v/>
      </c>
      <c r="H859" s="44" t="str">
        <f t="shared" si="26"/>
        <v/>
      </c>
      <c r="I859" s="33"/>
      <c r="J859" s="34" t="str">
        <f t="shared" si="27"/>
        <v/>
      </c>
      <c r="K859" s="46"/>
    </row>
    <row r="860" spans="1:11" ht="23.1" customHeight="1">
      <c r="A860" s="170" t="str">
        <f>IF($B860="","",MAX($A$3:A859)+1)</f>
        <v/>
      </c>
      <c r="B860" s="176"/>
      <c r="C860" s="177"/>
      <c r="D860" s="279"/>
      <c r="E860" s="178"/>
      <c r="F860" s="172" t="str">
        <f>IF($B860="","",SUMIFS('Daily Inward'!$G:$G,'Daily Inward'!$C:$C,$B860,'Daily Inward'!$E:$E,"Inventory"))</f>
        <v/>
      </c>
      <c r="G860" s="44" t="str">
        <f>IF($B860="","",SUMIFS('Daily Issuance'!$G:$G,'Daily Issuance'!$C:$C,$B860,'Daily Issuance'!$E:$E,"Inventory"))</f>
        <v/>
      </c>
      <c r="H860" s="44" t="str">
        <f t="shared" si="26"/>
        <v/>
      </c>
      <c r="I860" s="33"/>
      <c r="J860" s="34" t="str">
        <f t="shared" si="27"/>
        <v/>
      </c>
      <c r="K860" s="46"/>
    </row>
    <row r="861" spans="1:11" ht="23.1" customHeight="1">
      <c r="A861" s="170" t="str">
        <f>IF($B861="","",MAX($A$3:A860)+1)</f>
        <v/>
      </c>
      <c r="B861" s="176"/>
      <c r="C861" s="177"/>
      <c r="D861" s="279"/>
      <c r="E861" s="178"/>
      <c r="F861" s="172" t="str">
        <f>IF($B861="","",SUMIFS('Daily Inward'!$G:$G,'Daily Inward'!$C:$C,$B861,'Daily Inward'!$E:$E,"Inventory"))</f>
        <v/>
      </c>
      <c r="G861" s="44" t="str">
        <f>IF($B861="","",SUMIFS('Daily Issuance'!$G:$G,'Daily Issuance'!$C:$C,$B861,'Daily Issuance'!$E:$E,"Inventory"))</f>
        <v/>
      </c>
      <c r="H861" s="44" t="str">
        <f t="shared" si="26"/>
        <v/>
      </c>
      <c r="I861" s="33"/>
      <c r="J861" s="34" t="str">
        <f t="shared" si="27"/>
        <v/>
      </c>
      <c r="K861" s="46"/>
    </row>
    <row r="862" spans="1:11" ht="23.1" customHeight="1">
      <c r="A862" s="170" t="str">
        <f>IF($B862="","",MAX($A$3:A861)+1)</f>
        <v/>
      </c>
      <c r="B862" s="176"/>
      <c r="C862" s="177"/>
      <c r="D862" s="279"/>
      <c r="E862" s="178"/>
      <c r="F862" s="172" t="str">
        <f>IF($B862="","",SUMIFS('Daily Inward'!$G:$G,'Daily Inward'!$C:$C,$B862,'Daily Inward'!$E:$E,"Inventory"))</f>
        <v/>
      </c>
      <c r="G862" s="44" t="str">
        <f>IF($B862="","",SUMIFS('Daily Issuance'!$G:$G,'Daily Issuance'!$C:$C,$B862,'Daily Issuance'!$E:$E,"Inventory"))</f>
        <v/>
      </c>
      <c r="H862" s="44" t="str">
        <f t="shared" si="26"/>
        <v/>
      </c>
      <c r="I862" s="33"/>
      <c r="J862" s="34" t="str">
        <f t="shared" si="27"/>
        <v/>
      </c>
      <c r="K862" s="46"/>
    </row>
    <row r="863" spans="1:11" ht="23.1" customHeight="1">
      <c r="A863" s="170" t="str">
        <f>IF($B863="","",MAX($A$3:A862)+1)</f>
        <v/>
      </c>
      <c r="B863" s="176"/>
      <c r="C863" s="177"/>
      <c r="D863" s="279"/>
      <c r="E863" s="178"/>
      <c r="F863" s="172" t="str">
        <f>IF($B863="","",SUMIFS('Daily Inward'!$G:$G,'Daily Inward'!$C:$C,$B863,'Daily Inward'!$E:$E,"Inventory"))</f>
        <v/>
      </c>
      <c r="G863" s="44" t="str">
        <f>IF($B863="","",SUMIFS('Daily Issuance'!$G:$G,'Daily Issuance'!$C:$C,$B863,'Daily Issuance'!$E:$E,"Inventory"))</f>
        <v/>
      </c>
      <c r="H863" s="44" t="str">
        <f t="shared" si="26"/>
        <v/>
      </c>
      <c r="I863" s="33"/>
      <c r="J863" s="34" t="str">
        <f t="shared" si="27"/>
        <v/>
      </c>
      <c r="K863" s="46"/>
    </row>
    <row r="864" spans="1:11" ht="23.1" customHeight="1">
      <c r="A864" s="170" t="str">
        <f>IF($B864="","",MAX($A$3:A863)+1)</f>
        <v/>
      </c>
      <c r="B864" s="176"/>
      <c r="C864" s="177"/>
      <c r="D864" s="279"/>
      <c r="E864" s="178"/>
      <c r="F864" s="172" t="str">
        <f>IF($B864="","",SUMIFS('Daily Inward'!$G:$G,'Daily Inward'!$C:$C,$B864,'Daily Inward'!$E:$E,"Inventory"))</f>
        <v/>
      </c>
      <c r="G864" s="44" t="str">
        <f>IF($B864="","",SUMIFS('Daily Issuance'!$G:$G,'Daily Issuance'!$C:$C,$B864,'Daily Issuance'!$E:$E,"Inventory"))</f>
        <v/>
      </c>
      <c r="H864" s="44" t="str">
        <f t="shared" si="26"/>
        <v/>
      </c>
      <c r="I864" s="33"/>
      <c r="J864" s="34" t="str">
        <f t="shared" si="27"/>
        <v/>
      </c>
      <c r="K864" s="46"/>
    </row>
    <row r="865" spans="1:11" ht="23.1" customHeight="1">
      <c r="A865" s="170" t="str">
        <f>IF($B865="","",MAX($A$3:A864)+1)</f>
        <v/>
      </c>
      <c r="B865" s="176"/>
      <c r="C865" s="177"/>
      <c r="D865" s="279"/>
      <c r="E865" s="178"/>
      <c r="F865" s="172" t="str">
        <f>IF($B865="","",SUMIFS('Daily Inward'!$G:$G,'Daily Inward'!$C:$C,$B865,'Daily Inward'!$E:$E,"Inventory"))</f>
        <v/>
      </c>
      <c r="G865" s="44" t="str">
        <f>IF($B865="","",SUMIFS('Daily Issuance'!$G:$G,'Daily Issuance'!$C:$C,$B865,'Daily Issuance'!$E:$E,"Inventory"))</f>
        <v/>
      </c>
      <c r="H865" s="44" t="str">
        <f t="shared" si="26"/>
        <v/>
      </c>
      <c r="I865" s="33"/>
      <c r="J865" s="34" t="str">
        <f t="shared" si="27"/>
        <v/>
      </c>
      <c r="K865" s="46"/>
    </row>
    <row r="866" spans="1:11" ht="23.1" customHeight="1">
      <c r="A866" s="170" t="str">
        <f>IF($B866="","",MAX($A$3:A865)+1)</f>
        <v/>
      </c>
      <c r="B866" s="176"/>
      <c r="C866" s="177"/>
      <c r="D866" s="279"/>
      <c r="E866" s="178"/>
      <c r="F866" s="172" t="str">
        <f>IF($B866="","",SUMIFS('Daily Inward'!$G:$G,'Daily Inward'!$C:$C,$B866,'Daily Inward'!$E:$E,"Inventory"))</f>
        <v/>
      </c>
      <c r="G866" s="44" t="str">
        <f>IF($B866="","",SUMIFS('Daily Issuance'!$G:$G,'Daily Issuance'!$C:$C,$B866,'Daily Issuance'!$E:$E,"Inventory"))</f>
        <v/>
      </c>
      <c r="H866" s="44" t="str">
        <f t="shared" si="26"/>
        <v/>
      </c>
      <c r="I866" s="33"/>
      <c r="J866" s="34" t="str">
        <f t="shared" si="27"/>
        <v/>
      </c>
      <c r="K866" s="46"/>
    </row>
    <row r="867" spans="1:11" ht="23.1" customHeight="1">
      <c r="A867" s="170" t="str">
        <f>IF($B867="","",MAX($A$3:A866)+1)</f>
        <v/>
      </c>
      <c r="B867" s="176"/>
      <c r="C867" s="177"/>
      <c r="D867" s="279"/>
      <c r="E867" s="178"/>
      <c r="F867" s="172" t="str">
        <f>IF($B867="","",SUMIFS('Daily Inward'!$G:$G,'Daily Inward'!$C:$C,$B867,'Daily Inward'!$E:$E,"Inventory"))</f>
        <v/>
      </c>
      <c r="G867" s="44" t="str">
        <f>IF($B867="","",SUMIFS('Daily Issuance'!$G:$G,'Daily Issuance'!$C:$C,$B867,'Daily Issuance'!$E:$E,"Inventory"))</f>
        <v/>
      </c>
      <c r="H867" s="44" t="str">
        <f t="shared" si="26"/>
        <v/>
      </c>
      <c r="I867" s="33"/>
      <c r="J867" s="34" t="str">
        <f t="shared" si="27"/>
        <v/>
      </c>
      <c r="K867" s="46"/>
    </row>
    <row r="868" spans="1:11" ht="23.1" customHeight="1">
      <c r="A868" s="170" t="str">
        <f>IF($B868="","",MAX($A$3:A867)+1)</f>
        <v/>
      </c>
      <c r="B868" s="176"/>
      <c r="C868" s="177"/>
      <c r="D868" s="279"/>
      <c r="E868" s="178"/>
      <c r="F868" s="172" t="str">
        <f>IF($B868="","",SUMIFS('Daily Inward'!$G:$G,'Daily Inward'!$C:$C,$B868,'Daily Inward'!$E:$E,"Inventory"))</f>
        <v/>
      </c>
      <c r="G868" s="44" t="str">
        <f>IF($B868="","",SUMIFS('Daily Issuance'!$G:$G,'Daily Issuance'!$C:$C,$B868,'Daily Issuance'!$E:$E,"Inventory"))</f>
        <v/>
      </c>
      <c r="H868" s="44" t="str">
        <f t="shared" si="26"/>
        <v/>
      </c>
      <c r="I868" s="33"/>
      <c r="J868" s="34" t="str">
        <f t="shared" si="27"/>
        <v/>
      </c>
      <c r="K868" s="46"/>
    </row>
    <row r="869" spans="1:11" ht="23.1" customHeight="1">
      <c r="A869" s="170" t="str">
        <f>IF($B869="","",MAX($A$3:A868)+1)</f>
        <v/>
      </c>
      <c r="B869" s="176"/>
      <c r="C869" s="177"/>
      <c r="D869" s="279"/>
      <c r="E869" s="178"/>
      <c r="F869" s="172" t="str">
        <f>IF($B869="","",SUMIFS('Daily Inward'!$G:$G,'Daily Inward'!$C:$C,$B869,'Daily Inward'!$E:$E,"Inventory"))</f>
        <v/>
      </c>
      <c r="G869" s="44" t="str">
        <f>IF($B869="","",SUMIFS('Daily Issuance'!$G:$G,'Daily Issuance'!$C:$C,$B869,'Daily Issuance'!$E:$E,"Inventory"))</f>
        <v/>
      </c>
      <c r="H869" s="44" t="str">
        <f t="shared" si="26"/>
        <v/>
      </c>
      <c r="I869" s="33"/>
      <c r="J869" s="34" t="str">
        <f t="shared" si="27"/>
        <v/>
      </c>
      <c r="K869" s="46"/>
    </row>
    <row r="870" spans="1:11" ht="23.1" customHeight="1">
      <c r="A870" s="170" t="str">
        <f>IF($B870="","",MAX($A$3:A869)+1)</f>
        <v/>
      </c>
      <c r="B870" s="176"/>
      <c r="C870" s="177"/>
      <c r="D870" s="279"/>
      <c r="E870" s="178"/>
      <c r="F870" s="172" t="str">
        <f>IF($B870="","",SUMIFS('Daily Inward'!$G:$G,'Daily Inward'!$C:$C,$B870,'Daily Inward'!$E:$E,"Inventory"))</f>
        <v/>
      </c>
      <c r="G870" s="44" t="str">
        <f>IF($B870="","",SUMIFS('Daily Issuance'!$G:$G,'Daily Issuance'!$C:$C,$B870,'Daily Issuance'!$E:$E,"Inventory"))</f>
        <v/>
      </c>
      <c r="H870" s="44" t="str">
        <f t="shared" si="26"/>
        <v/>
      </c>
      <c r="I870" s="33"/>
      <c r="J870" s="34" t="str">
        <f t="shared" si="27"/>
        <v/>
      </c>
      <c r="K870" s="46"/>
    </row>
    <row r="871" spans="1:11" ht="23.1" customHeight="1">
      <c r="A871" s="170" t="str">
        <f>IF($B871="","",MAX($A$3:A870)+1)</f>
        <v/>
      </c>
      <c r="B871" s="176"/>
      <c r="C871" s="177"/>
      <c r="D871" s="279"/>
      <c r="E871" s="178"/>
      <c r="F871" s="172" t="str">
        <f>IF($B871="","",SUMIFS('Daily Inward'!$G:$G,'Daily Inward'!$C:$C,$B871,'Daily Inward'!$E:$E,"Inventory"))</f>
        <v/>
      </c>
      <c r="G871" s="44" t="str">
        <f>IF($B871="","",SUMIFS('Daily Issuance'!$G:$G,'Daily Issuance'!$C:$C,$B871,'Daily Issuance'!$E:$E,"Inventory"))</f>
        <v/>
      </c>
      <c r="H871" s="44" t="str">
        <f t="shared" si="26"/>
        <v/>
      </c>
      <c r="I871" s="33"/>
      <c r="J871" s="34" t="str">
        <f t="shared" si="27"/>
        <v/>
      </c>
      <c r="K871" s="46"/>
    </row>
    <row r="872" spans="1:11" ht="23.1" customHeight="1">
      <c r="A872" s="170" t="str">
        <f>IF($B872="","",MAX($A$3:A871)+1)</f>
        <v/>
      </c>
      <c r="B872" s="176"/>
      <c r="C872" s="177"/>
      <c r="D872" s="279"/>
      <c r="E872" s="178"/>
      <c r="F872" s="172" t="str">
        <f>IF($B872="","",SUMIFS('Daily Inward'!$G:$G,'Daily Inward'!$C:$C,$B872,'Daily Inward'!$E:$E,"Inventory"))</f>
        <v/>
      </c>
      <c r="G872" s="44" t="str">
        <f>IF($B872="","",SUMIFS('Daily Issuance'!$G:$G,'Daily Issuance'!$C:$C,$B872,'Daily Issuance'!$E:$E,"Inventory"))</f>
        <v/>
      </c>
      <c r="H872" s="44" t="str">
        <f t="shared" si="26"/>
        <v/>
      </c>
      <c r="I872" s="33"/>
      <c r="J872" s="34" t="str">
        <f t="shared" si="27"/>
        <v/>
      </c>
      <c r="K872" s="46"/>
    </row>
    <row r="873" spans="1:11" ht="23.1" customHeight="1">
      <c r="A873" s="170" t="str">
        <f>IF($B873="","",MAX($A$3:A872)+1)</f>
        <v/>
      </c>
      <c r="B873" s="176"/>
      <c r="C873" s="177"/>
      <c r="D873" s="279"/>
      <c r="E873" s="178"/>
      <c r="F873" s="172" t="str">
        <f>IF($B873="","",SUMIFS('Daily Inward'!$G:$G,'Daily Inward'!$C:$C,$B873,'Daily Inward'!$E:$E,"Inventory"))</f>
        <v/>
      </c>
      <c r="G873" s="44" t="str">
        <f>IF($B873="","",SUMIFS('Daily Issuance'!$G:$G,'Daily Issuance'!$C:$C,$B873,'Daily Issuance'!$E:$E,"Inventory"))</f>
        <v/>
      </c>
      <c r="H873" s="44" t="str">
        <f t="shared" si="26"/>
        <v/>
      </c>
      <c r="I873" s="33"/>
      <c r="J873" s="34" t="str">
        <f t="shared" si="27"/>
        <v/>
      </c>
      <c r="K873" s="46"/>
    </row>
    <row r="874" spans="1:11" ht="23.1" customHeight="1">
      <c r="A874" s="170" t="str">
        <f>IF($B874="","",MAX($A$3:A873)+1)</f>
        <v/>
      </c>
      <c r="B874" s="176"/>
      <c r="C874" s="177"/>
      <c r="D874" s="279"/>
      <c r="E874" s="178"/>
      <c r="F874" s="172" t="str">
        <f>IF($B874="","",SUMIFS('Daily Inward'!$G:$G,'Daily Inward'!$C:$C,$B874,'Daily Inward'!$E:$E,"Inventory"))</f>
        <v/>
      </c>
      <c r="G874" s="44" t="str">
        <f>IF($B874="","",SUMIFS('Daily Issuance'!$G:$G,'Daily Issuance'!$C:$C,$B874,'Daily Issuance'!$E:$E,"Inventory"))</f>
        <v/>
      </c>
      <c r="H874" s="44" t="str">
        <f t="shared" si="26"/>
        <v/>
      </c>
      <c r="I874" s="33"/>
      <c r="J874" s="34" t="str">
        <f t="shared" si="27"/>
        <v/>
      </c>
      <c r="K874" s="46"/>
    </row>
    <row r="875" spans="1:11" ht="23.1" customHeight="1">
      <c r="A875" s="170" t="str">
        <f>IF($B875="","",MAX($A$3:A874)+1)</f>
        <v/>
      </c>
      <c r="B875" s="176"/>
      <c r="C875" s="177"/>
      <c r="D875" s="279"/>
      <c r="E875" s="178"/>
      <c r="F875" s="172" t="str">
        <f>IF($B875="","",SUMIFS('Daily Inward'!$G:$G,'Daily Inward'!$C:$C,$B875,'Daily Inward'!$E:$E,"Inventory"))</f>
        <v/>
      </c>
      <c r="G875" s="44" t="str">
        <f>IF($B875="","",SUMIFS('Daily Issuance'!$G:$G,'Daily Issuance'!$C:$C,$B875,'Daily Issuance'!$E:$E,"Inventory"))</f>
        <v/>
      </c>
      <c r="H875" s="44" t="str">
        <f t="shared" si="26"/>
        <v/>
      </c>
      <c r="I875" s="33"/>
      <c r="J875" s="34" t="str">
        <f t="shared" si="27"/>
        <v/>
      </c>
      <c r="K875" s="46"/>
    </row>
    <row r="876" spans="1:11" ht="23.1" customHeight="1">
      <c r="A876" s="170" t="str">
        <f>IF($B876="","",MAX($A$3:A875)+1)</f>
        <v/>
      </c>
      <c r="B876" s="176"/>
      <c r="C876" s="177"/>
      <c r="D876" s="279"/>
      <c r="E876" s="178"/>
      <c r="F876" s="172" t="str">
        <f>IF($B876="","",SUMIFS('Daily Inward'!$G:$G,'Daily Inward'!$C:$C,$B876,'Daily Inward'!$E:$E,"Inventory"))</f>
        <v/>
      </c>
      <c r="G876" s="44" t="str">
        <f>IF($B876="","",SUMIFS('Daily Issuance'!$G:$G,'Daily Issuance'!$C:$C,$B876,'Daily Issuance'!$E:$E,"Inventory"))</f>
        <v/>
      </c>
      <c r="H876" s="44" t="str">
        <f t="shared" si="26"/>
        <v/>
      </c>
      <c r="I876" s="33"/>
      <c r="J876" s="34" t="str">
        <f t="shared" si="27"/>
        <v/>
      </c>
      <c r="K876" s="46"/>
    </row>
    <row r="877" spans="1:11" ht="23.1" customHeight="1">
      <c r="A877" s="170" t="str">
        <f>IF($B877="","",MAX($A$3:A876)+1)</f>
        <v/>
      </c>
      <c r="B877" s="176"/>
      <c r="C877" s="177"/>
      <c r="D877" s="279"/>
      <c r="E877" s="178"/>
      <c r="F877" s="172" t="str">
        <f>IF($B877="","",SUMIFS('Daily Inward'!$G:$G,'Daily Inward'!$C:$C,$B877,'Daily Inward'!$E:$E,"Inventory"))</f>
        <v/>
      </c>
      <c r="G877" s="44" t="str">
        <f>IF($B877="","",SUMIFS('Daily Issuance'!$G:$G,'Daily Issuance'!$C:$C,$B877,'Daily Issuance'!$E:$E,"Inventory"))</f>
        <v/>
      </c>
      <c r="H877" s="44" t="str">
        <f t="shared" si="26"/>
        <v/>
      </c>
      <c r="I877" s="33"/>
      <c r="J877" s="34" t="str">
        <f t="shared" si="27"/>
        <v/>
      </c>
      <c r="K877" s="46"/>
    </row>
    <row r="878" spans="1:11" ht="23.1" customHeight="1">
      <c r="A878" s="170" t="str">
        <f>IF($B878="","",MAX($A$3:A877)+1)</f>
        <v/>
      </c>
      <c r="B878" s="176"/>
      <c r="C878" s="177"/>
      <c r="D878" s="279"/>
      <c r="E878" s="178"/>
      <c r="F878" s="172" t="str">
        <f>IF($B878="","",SUMIFS('Daily Inward'!$G:$G,'Daily Inward'!$C:$C,$B878,'Daily Inward'!$E:$E,"Inventory"))</f>
        <v/>
      </c>
      <c r="G878" s="44" t="str">
        <f>IF($B878="","",SUMIFS('Daily Issuance'!$G:$G,'Daily Issuance'!$C:$C,$B878,'Daily Issuance'!$E:$E,"Inventory"))</f>
        <v/>
      </c>
      <c r="H878" s="44" t="str">
        <f t="shared" si="26"/>
        <v/>
      </c>
      <c r="I878" s="33"/>
      <c r="J878" s="34" t="str">
        <f t="shared" si="27"/>
        <v/>
      </c>
      <c r="K878" s="46"/>
    </row>
    <row r="879" spans="1:11" ht="23.1" customHeight="1">
      <c r="A879" s="170" t="str">
        <f>IF($B879="","",MAX($A$3:A878)+1)</f>
        <v/>
      </c>
      <c r="B879" s="176"/>
      <c r="C879" s="177"/>
      <c r="D879" s="279"/>
      <c r="E879" s="178"/>
      <c r="F879" s="172" t="str">
        <f>IF($B879="","",SUMIFS('Daily Inward'!$G:$G,'Daily Inward'!$C:$C,$B879,'Daily Inward'!$E:$E,"Inventory"))</f>
        <v/>
      </c>
      <c r="G879" s="44" t="str">
        <f>IF($B879="","",SUMIFS('Daily Issuance'!$G:$G,'Daily Issuance'!$C:$C,$B879,'Daily Issuance'!$E:$E,"Inventory"))</f>
        <v/>
      </c>
      <c r="H879" s="44" t="str">
        <f t="shared" si="26"/>
        <v/>
      </c>
      <c r="I879" s="33"/>
      <c r="J879" s="34" t="str">
        <f t="shared" si="27"/>
        <v/>
      </c>
      <c r="K879" s="46"/>
    </row>
    <row r="880" spans="1:11" ht="23.1" customHeight="1">
      <c r="A880" s="170" t="str">
        <f>IF($B880="","",MAX($A$3:A879)+1)</f>
        <v/>
      </c>
      <c r="B880" s="176"/>
      <c r="C880" s="177"/>
      <c r="D880" s="279"/>
      <c r="E880" s="178"/>
      <c r="F880" s="172" t="str">
        <f>IF($B880="","",SUMIFS('Daily Inward'!$G:$G,'Daily Inward'!$C:$C,$B880,'Daily Inward'!$E:$E,"Inventory"))</f>
        <v/>
      </c>
      <c r="G880" s="44" t="str">
        <f>IF($B880="","",SUMIFS('Daily Issuance'!$G:$G,'Daily Issuance'!$C:$C,$B880,'Daily Issuance'!$E:$E,"Inventory"))</f>
        <v/>
      </c>
      <c r="H880" s="44" t="str">
        <f t="shared" si="26"/>
        <v/>
      </c>
      <c r="I880" s="33"/>
      <c r="J880" s="34" t="str">
        <f t="shared" si="27"/>
        <v/>
      </c>
      <c r="K880" s="46"/>
    </row>
    <row r="881" spans="1:11" ht="23.1" customHeight="1">
      <c r="A881" s="170" t="str">
        <f>IF($B881="","",MAX($A$3:A880)+1)</f>
        <v/>
      </c>
      <c r="B881" s="176"/>
      <c r="C881" s="177"/>
      <c r="D881" s="279"/>
      <c r="E881" s="178"/>
      <c r="F881" s="172" t="str">
        <f>IF($B881="","",SUMIFS('Daily Inward'!$G:$G,'Daily Inward'!$C:$C,$B881,'Daily Inward'!$E:$E,"Inventory"))</f>
        <v/>
      </c>
      <c r="G881" s="44" t="str">
        <f>IF($B881="","",SUMIFS('Daily Issuance'!$G:$G,'Daily Issuance'!$C:$C,$B881,'Daily Issuance'!$E:$E,"Inventory"))</f>
        <v/>
      </c>
      <c r="H881" s="44" t="str">
        <f t="shared" si="26"/>
        <v/>
      </c>
      <c r="I881" s="33"/>
      <c r="J881" s="34" t="str">
        <f t="shared" si="27"/>
        <v/>
      </c>
      <c r="K881" s="46"/>
    </row>
    <row r="882" spans="1:11" ht="23.1" customHeight="1">
      <c r="A882" s="170" t="str">
        <f>IF($B882="","",MAX($A$3:A881)+1)</f>
        <v/>
      </c>
      <c r="B882" s="176"/>
      <c r="C882" s="177"/>
      <c r="D882" s="279"/>
      <c r="E882" s="178"/>
      <c r="F882" s="172" t="str">
        <f>IF($B882="","",SUMIFS('Daily Inward'!$G:$G,'Daily Inward'!$C:$C,$B882,'Daily Inward'!$E:$E,"Inventory"))</f>
        <v/>
      </c>
      <c r="G882" s="44" t="str">
        <f>IF($B882="","",SUMIFS('Daily Issuance'!$G:$G,'Daily Issuance'!$C:$C,$B882,'Daily Issuance'!$E:$E,"Inventory"))</f>
        <v/>
      </c>
      <c r="H882" s="44" t="str">
        <f t="shared" si="26"/>
        <v/>
      </c>
      <c r="I882" s="33"/>
      <c r="J882" s="34" t="str">
        <f t="shared" si="27"/>
        <v/>
      </c>
      <c r="K882" s="46"/>
    </row>
    <row r="883" spans="1:11" ht="23.1" customHeight="1">
      <c r="A883" s="170" t="str">
        <f>IF($B883="","",MAX($A$3:A882)+1)</f>
        <v/>
      </c>
      <c r="B883" s="176"/>
      <c r="C883" s="177"/>
      <c r="D883" s="279"/>
      <c r="E883" s="178"/>
      <c r="F883" s="172" t="str">
        <f>IF($B883="","",SUMIFS('Daily Inward'!$G:$G,'Daily Inward'!$C:$C,$B883,'Daily Inward'!$E:$E,"Inventory"))</f>
        <v/>
      </c>
      <c r="G883" s="44" t="str">
        <f>IF($B883="","",SUMIFS('Daily Issuance'!$G:$G,'Daily Issuance'!$C:$C,$B883,'Daily Issuance'!$E:$E,"Inventory"))</f>
        <v/>
      </c>
      <c r="H883" s="44" t="str">
        <f t="shared" si="26"/>
        <v/>
      </c>
      <c r="I883" s="33"/>
      <c r="J883" s="34" t="str">
        <f t="shared" si="27"/>
        <v/>
      </c>
      <c r="K883" s="46"/>
    </row>
    <row r="884" spans="1:11" ht="23.1" customHeight="1">
      <c r="A884" s="170" t="str">
        <f>IF($B884="","",MAX($A$3:A883)+1)</f>
        <v/>
      </c>
      <c r="B884" s="176"/>
      <c r="C884" s="177"/>
      <c r="D884" s="279"/>
      <c r="E884" s="178"/>
      <c r="F884" s="172" t="str">
        <f>IF($B884="","",SUMIFS('Daily Inward'!$G:$G,'Daily Inward'!$C:$C,$B884,'Daily Inward'!$E:$E,"Inventory"))</f>
        <v/>
      </c>
      <c r="G884" s="44" t="str">
        <f>IF($B884="","",SUMIFS('Daily Issuance'!$G:$G,'Daily Issuance'!$C:$C,$B884,'Daily Issuance'!$E:$E,"Inventory"))</f>
        <v/>
      </c>
      <c r="H884" s="44" t="str">
        <f t="shared" si="26"/>
        <v/>
      </c>
      <c r="I884" s="33"/>
      <c r="J884" s="34" t="str">
        <f t="shared" si="27"/>
        <v/>
      </c>
      <c r="K884" s="46"/>
    </row>
    <row r="885" spans="1:11" ht="23.1" customHeight="1">
      <c r="A885" s="170" t="str">
        <f>IF($B885="","",MAX($A$3:A884)+1)</f>
        <v/>
      </c>
      <c r="B885" s="176"/>
      <c r="C885" s="177"/>
      <c r="D885" s="279"/>
      <c r="E885" s="178"/>
      <c r="F885" s="172" t="str">
        <f>IF($B885="","",SUMIFS('Daily Inward'!$G:$G,'Daily Inward'!$C:$C,$B885,'Daily Inward'!$E:$E,"Inventory"))</f>
        <v/>
      </c>
      <c r="G885" s="44" t="str">
        <f>IF($B885="","",SUMIFS('Daily Issuance'!$G:$G,'Daily Issuance'!$C:$C,$B885,'Daily Issuance'!$E:$E,"Inventory"))</f>
        <v/>
      </c>
      <c r="H885" s="44" t="str">
        <f t="shared" si="26"/>
        <v/>
      </c>
      <c r="I885" s="33"/>
      <c r="J885" s="34" t="str">
        <f t="shared" si="27"/>
        <v/>
      </c>
      <c r="K885" s="46"/>
    </row>
    <row r="886" spans="1:11" ht="23.1" customHeight="1">
      <c r="A886" s="170" t="str">
        <f>IF($B886="","",MAX($A$3:A885)+1)</f>
        <v/>
      </c>
      <c r="B886" s="176"/>
      <c r="C886" s="177"/>
      <c r="D886" s="279"/>
      <c r="E886" s="178"/>
      <c r="F886" s="172" t="str">
        <f>IF($B886="","",SUMIFS('Daily Inward'!$G:$G,'Daily Inward'!$C:$C,$B886,'Daily Inward'!$E:$E,"Inventory"))</f>
        <v/>
      </c>
      <c r="G886" s="44" t="str">
        <f>IF($B886="","",SUMIFS('Daily Issuance'!$G:$G,'Daily Issuance'!$C:$C,$B886,'Daily Issuance'!$E:$E,"Inventory"))</f>
        <v/>
      </c>
      <c r="H886" s="44" t="str">
        <f t="shared" si="26"/>
        <v/>
      </c>
      <c r="I886" s="33"/>
      <c r="J886" s="34" t="str">
        <f t="shared" si="27"/>
        <v/>
      </c>
      <c r="K886" s="46"/>
    </row>
    <row r="887" spans="1:11" ht="23.1" customHeight="1">
      <c r="A887" s="170" t="str">
        <f>IF($B887="","",MAX($A$3:A886)+1)</f>
        <v/>
      </c>
      <c r="B887" s="176"/>
      <c r="C887" s="177"/>
      <c r="D887" s="279"/>
      <c r="E887" s="178"/>
      <c r="F887" s="172" t="str">
        <f>IF($B887="","",SUMIFS('Daily Inward'!$G:$G,'Daily Inward'!$C:$C,$B887,'Daily Inward'!$E:$E,"Inventory"))</f>
        <v/>
      </c>
      <c r="G887" s="44" t="str">
        <f>IF($B887="","",SUMIFS('Daily Issuance'!$G:$G,'Daily Issuance'!$C:$C,$B887,'Daily Issuance'!$E:$E,"Inventory"))</f>
        <v/>
      </c>
      <c r="H887" s="44" t="str">
        <f t="shared" si="26"/>
        <v/>
      </c>
      <c r="I887" s="33"/>
      <c r="J887" s="34" t="str">
        <f t="shared" si="27"/>
        <v/>
      </c>
      <c r="K887" s="46"/>
    </row>
    <row r="888" spans="1:11" ht="23.1" customHeight="1">
      <c r="A888" s="170" t="str">
        <f>IF($B888="","",MAX($A$3:A887)+1)</f>
        <v/>
      </c>
      <c r="B888" s="176"/>
      <c r="C888" s="177"/>
      <c r="D888" s="279"/>
      <c r="E888" s="178"/>
      <c r="F888" s="172" t="str">
        <f>IF($B888="","",SUMIFS('Daily Inward'!$G:$G,'Daily Inward'!$C:$C,$B888,'Daily Inward'!$E:$E,"Inventory"))</f>
        <v/>
      </c>
      <c r="G888" s="44" t="str">
        <f>IF($B888="","",SUMIFS('Daily Issuance'!$G:$G,'Daily Issuance'!$C:$C,$B888,'Daily Issuance'!$E:$E,"Inventory"))</f>
        <v/>
      </c>
      <c r="H888" s="44" t="str">
        <f t="shared" si="26"/>
        <v/>
      </c>
      <c r="I888" s="33"/>
      <c r="J888" s="34" t="str">
        <f t="shared" si="27"/>
        <v/>
      </c>
      <c r="K888" s="46"/>
    </row>
    <row r="889" spans="1:11" ht="23.1" customHeight="1">
      <c r="A889" s="170" t="str">
        <f>IF($B889="","",MAX($A$3:A888)+1)</f>
        <v/>
      </c>
      <c r="B889" s="176"/>
      <c r="C889" s="177"/>
      <c r="D889" s="279"/>
      <c r="E889" s="178"/>
      <c r="F889" s="172" t="str">
        <f>IF($B889="","",SUMIFS('Daily Inward'!$G:$G,'Daily Inward'!$C:$C,$B889,'Daily Inward'!$E:$E,"Inventory"))</f>
        <v/>
      </c>
      <c r="G889" s="44" t="str">
        <f>IF($B889="","",SUMIFS('Daily Issuance'!$G:$G,'Daily Issuance'!$C:$C,$B889,'Daily Issuance'!$E:$E,"Inventory"))</f>
        <v/>
      </c>
      <c r="H889" s="44" t="str">
        <f t="shared" si="26"/>
        <v/>
      </c>
      <c r="I889" s="33"/>
      <c r="J889" s="34" t="str">
        <f t="shared" si="27"/>
        <v/>
      </c>
      <c r="K889" s="46"/>
    </row>
    <row r="890" spans="1:11" ht="23.1" customHeight="1">
      <c r="A890" s="170" t="str">
        <f>IF($B890="","",MAX($A$3:A889)+1)</f>
        <v/>
      </c>
      <c r="B890" s="176"/>
      <c r="C890" s="177"/>
      <c r="D890" s="279"/>
      <c r="E890" s="178"/>
      <c r="F890" s="172" t="str">
        <f>IF($B890="","",SUMIFS('Daily Inward'!$G:$G,'Daily Inward'!$C:$C,$B890,'Daily Inward'!$E:$E,"Inventory"))</f>
        <v/>
      </c>
      <c r="G890" s="44" t="str">
        <f>IF($B890="","",SUMIFS('Daily Issuance'!$G:$G,'Daily Issuance'!$C:$C,$B890,'Daily Issuance'!$E:$E,"Inventory"))</f>
        <v/>
      </c>
      <c r="H890" s="44" t="str">
        <f t="shared" si="26"/>
        <v/>
      </c>
      <c r="I890" s="33"/>
      <c r="J890" s="34" t="str">
        <f t="shared" si="27"/>
        <v/>
      </c>
      <c r="K890" s="46"/>
    </row>
    <row r="891" spans="1:11" ht="23.1" customHeight="1">
      <c r="A891" s="170" t="str">
        <f>IF($B891="","",MAX($A$3:A890)+1)</f>
        <v/>
      </c>
      <c r="B891" s="176"/>
      <c r="C891" s="177"/>
      <c r="D891" s="279"/>
      <c r="E891" s="178"/>
      <c r="F891" s="172" t="str">
        <f>IF($B891="","",SUMIFS('Daily Inward'!$G:$G,'Daily Inward'!$C:$C,$B891,'Daily Inward'!$E:$E,"Inventory"))</f>
        <v/>
      </c>
      <c r="G891" s="44" t="str">
        <f>IF($B891="","",SUMIFS('Daily Issuance'!$G:$G,'Daily Issuance'!$C:$C,$B891,'Daily Issuance'!$E:$E,"Inventory"))</f>
        <v/>
      </c>
      <c r="H891" s="44" t="str">
        <f t="shared" si="26"/>
        <v/>
      </c>
      <c r="I891" s="33"/>
      <c r="J891" s="34" t="str">
        <f t="shared" si="27"/>
        <v/>
      </c>
      <c r="K891" s="46"/>
    </row>
    <row r="892" spans="1:11" ht="23.1" customHeight="1">
      <c r="A892" s="170" t="str">
        <f>IF($B892="","",MAX($A$3:A891)+1)</f>
        <v/>
      </c>
      <c r="B892" s="176"/>
      <c r="C892" s="177"/>
      <c r="D892" s="279"/>
      <c r="E892" s="178"/>
      <c r="F892" s="172" t="str">
        <f>IF($B892="","",SUMIFS('Daily Inward'!$G:$G,'Daily Inward'!$C:$C,$B892,'Daily Inward'!$E:$E,"Inventory"))</f>
        <v/>
      </c>
      <c r="G892" s="44" t="str">
        <f>IF($B892="","",SUMIFS('Daily Issuance'!$G:$G,'Daily Issuance'!$C:$C,$B892,'Daily Issuance'!$E:$E,"Inventory"))</f>
        <v/>
      </c>
      <c r="H892" s="44" t="str">
        <f t="shared" si="26"/>
        <v/>
      </c>
      <c r="I892" s="33"/>
      <c r="J892" s="34" t="str">
        <f t="shared" si="27"/>
        <v/>
      </c>
      <c r="K892" s="46"/>
    </row>
    <row r="893" spans="1:11" ht="23.1" customHeight="1">
      <c r="A893" s="170" t="str">
        <f>IF($B893="","",MAX($A$3:A892)+1)</f>
        <v/>
      </c>
      <c r="B893" s="176"/>
      <c r="C893" s="177"/>
      <c r="D893" s="279"/>
      <c r="E893" s="178"/>
      <c r="F893" s="172" t="str">
        <f>IF($B893="","",SUMIFS('Daily Inward'!$G:$G,'Daily Inward'!$C:$C,$B893,'Daily Inward'!$E:$E,"Inventory"))</f>
        <v/>
      </c>
      <c r="G893" s="44" t="str">
        <f>IF($B893="","",SUMIFS('Daily Issuance'!$G:$G,'Daily Issuance'!$C:$C,$B893,'Daily Issuance'!$E:$E,"Inventory"))</f>
        <v/>
      </c>
      <c r="H893" s="44" t="str">
        <f t="shared" si="26"/>
        <v/>
      </c>
      <c r="I893" s="33"/>
      <c r="J893" s="34" t="str">
        <f t="shared" si="27"/>
        <v/>
      </c>
      <c r="K893" s="46"/>
    </row>
    <row r="894" spans="1:11" ht="23.1" customHeight="1">
      <c r="A894" s="170" t="str">
        <f>IF($B894="","",MAX($A$3:A893)+1)</f>
        <v/>
      </c>
      <c r="B894" s="176"/>
      <c r="C894" s="177"/>
      <c r="D894" s="279"/>
      <c r="E894" s="178"/>
      <c r="F894" s="172" t="str">
        <f>IF($B894="","",SUMIFS('Daily Inward'!$G:$G,'Daily Inward'!$C:$C,$B894,'Daily Inward'!$E:$E,"Inventory"))</f>
        <v/>
      </c>
      <c r="G894" s="44" t="str">
        <f>IF($B894="","",SUMIFS('Daily Issuance'!$G:$G,'Daily Issuance'!$C:$C,$B894,'Daily Issuance'!$E:$E,"Inventory"))</f>
        <v/>
      </c>
      <c r="H894" s="44" t="str">
        <f t="shared" si="26"/>
        <v/>
      </c>
      <c r="I894" s="33"/>
      <c r="J894" s="34" t="str">
        <f t="shared" si="27"/>
        <v/>
      </c>
      <c r="K894" s="46"/>
    </row>
    <row r="895" spans="1:11" ht="23.1" customHeight="1">
      <c r="A895" s="170" t="str">
        <f>IF($B895="","",MAX($A$3:A894)+1)</f>
        <v/>
      </c>
      <c r="B895" s="176"/>
      <c r="C895" s="177"/>
      <c r="D895" s="279"/>
      <c r="E895" s="178"/>
      <c r="F895" s="172" t="str">
        <f>IF($B895="","",SUMIFS('Daily Inward'!$G:$G,'Daily Inward'!$C:$C,$B895,'Daily Inward'!$E:$E,"Inventory"))</f>
        <v/>
      </c>
      <c r="G895" s="44" t="str">
        <f>IF($B895="","",SUMIFS('Daily Issuance'!$G:$G,'Daily Issuance'!$C:$C,$B895,'Daily Issuance'!$E:$E,"Inventory"))</f>
        <v/>
      </c>
      <c r="H895" s="44" t="str">
        <f t="shared" si="26"/>
        <v/>
      </c>
      <c r="I895" s="33"/>
      <c r="J895" s="34" t="str">
        <f t="shared" si="27"/>
        <v/>
      </c>
      <c r="K895" s="46"/>
    </row>
    <row r="896" spans="1:11" ht="23.1" customHeight="1">
      <c r="A896" s="170" t="str">
        <f>IF($B896="","",MAX($A$3:A895)+1)</f>
        <v/>
      </c>
      <c r="B896" s="176"/>
      <c r="C896" s="177"/>
      <c r="D896" s="279"/>
      <c r="E896" s="178"/>
      <c r="F896" s="172" t="str">
        <f>IF($B896="","",SUMIFS('Daily Inward'!$G:$G,'Daily Inward'!$C:$C,$B896,'Daily Inward'!$E:$E,"Inventory"))</f>
        <v/>
      </c>
      <c r="G896" s="44" t="str">
        <f>IF($B896="","",SUMIFS('Daily Issuance'!$G:$G,'Daily Issuance'!$C:$C,$B896,'Daily Issuance'!$E:$E,"Inventory"))</f>
        <v/>
      </c>
      <c r="H896" s="44" t="str">
        <f t="shared" si="26"/>
        <v/>
      </c>
      <c r="I896" s="33"/>
      <c r="J896" s="34" t="str">
        <f t="shared" si="27"/>
        <v/>
      </c>
      <c r="K896" s="46"/>
    </row>
    <row r="897" spans="1:11" ht="23.1" customHeight="1">
      <c r="A897" s="170" t="str">
        <f>IF($B897="","",MAX($A$3:A896)+1)</f>
        <v/>
      </c>
      <c r="B897" s="176"/>
      <c r="C897" s="177"/>
      <c r="D897" s="279"/>
      <c r="E897" s="178"/>
      <c r="F897" s="172" t="str">
        <f>IF($B897="","",SUMIFS('Daily Inward'!$G:$G,'Daily Inward'!$C:$C,$B897,'Daily Inward'!$E:$E,"Inventory"))</f>
        <v/>
      </c>
      <c r="G897" s="44" t="str">
        <f>IF($B897="","",SUMIFS('Daily Issuance'!$G:$G,'Daily Issuance'!$C:$C,$B897,'Daily Issuance'!$E:$E,"Inventory"))</f>
        <v/>
      </c>
      <c r="H897" s="44" t="str">
        <f t="shared" si="26"/>
        <v/>
      </c>
      <c r="I897" s="33"/>
      <c r="J897" s="34" t="str">
        <f t="shared" si="27"/>
        <v/>
      </c>
      <c r="K897" s="46"/>
    </row>
    <row r="898" spans="1:11" ht="23.1" customHeight="1">
      <c r="A898" s="170" t="str">
        <f>IF($B898="","",MAX($A$3:A897)+1)</f>
        <v/>
      </c>
      <c r="B898" s="176"/>
      <c r="C898" s="177"/>
      <c r="D898" s="279"/>
      <c r="E898" s="178"/>
      <c r="F898" s="172" t="str">
        <f>IF($B898="","",SUMIFS('Daily Inward'!$G:$G,'Daily Inward'!$C:$C,$B898,'Daily Inward'!$E:$E,"Inventory"))</f>
        <v/>
      </c>
      <c r="G898" s="44" t="str">
        <f>IF($B898="","",SUMIFS('Daily Issuance'!$G:$G,'Daily Issuance'!$C:$C,$B898,'Daily Issuance'!$E:$E,"Inventory"))</f>
        <v/>
      </c>
      <c r="H898" s="44" t="str">
        <f t="shared" si="26"/>
        <v/>
      </c>
      <c r="I898" s="33"/>
      <c r="J898" s="34" t="str">
        <f t="shared" si="27"/>
        <v/>
      </c>
      <c r="K898" s="46"/>
    </row>
    <row r="899" spans="1:11" ht="23.1" customHeight="1">
      <c r="A899" s="170" t="str">
        <f>IF($B899="","",MAX($A$3:A898)+1)</f>
        <v/>
      </c>
      <c r="B899" s="176"/>
      <c r="C899" s="177"/>
      <c r="D899" s="279"/>
      <c r="E899" s="178"/>
      <c r="F899" s="172" t="str">
        <f>IF($B899="","",SUMIFS('Daily Inward'!$G:$G,'Daily Inward'!$C:$C,$B899,'Daily Inward'!$E:$E,"Inventory"))</f>
        <v/>
      </c>
      <c r="G899" s="44" t="str">
        <f>IF($B899="","",SUMIFS('Daily Issuance'!$G:$G,'Daily Issuance'!$C:$C,$B899,'Daily Issuance'!$E:$E,"Inventory"))</f>
        <v/>
      </c>
      <c r="H899" s="44" t="str">
        <f t="shared" ref="H899:H962" si="28">IF($B899="","",N(E899)+N(F899)-N(G899))</f>
        <v/>
      </c>
      <c r="I899" s="33"/>
      <c r="J899" s="34" t="str">
        <f t="shared" ref="J899:J962" si="29">IF($B899="","",H899*I899)</f>
        <v/>
      </c>
      <c r="K899" s="46"/>
    </row>
    <row r="900" spans="1:11" ht="23.1" customHeight="1">
      <c r="A900" s="170" t="str">
        <f>IF($B900="","",MAX($A$3:A899)+1)</f>
        <v/>
      </c>
      <c r="B900" s="176"/>
      <c r="C900" s="177"/>
      <c r="D900" s="279"/>
      <c r="E900" s="178"/>
      <c r="F900" s="172" t="str">
        <f>IF($B900="","",SUMIFS('Daily Inward'!$G:$G,'Daily Inward'!$C:$C,$B900,'Daily Inward'!$E:$E,"Inventory"))</f>
        <v/>
      </c>
      <c r="G900" s="44" t="str">
        <f>IF($B900="","",SUMIFS('Daily Issuance'!$G:$G,'Daily Issuance'!$C:$C,$B900,'Daily Issuance'!$E:$E,"Inventory"))</f>
        <v/>
      </c>
      <c r="H900" s="44" t="str">
        <f t="shared" si="28"/>
        <v/>
      </c>
      <c r="I900" s="33"/>
      <c r="J900" s="34" t="str">
        <f t="shared" si="29"/>
        <v/>
      </c>
      <c r="K900" s="46"/>
    </row>
    <row r="901" spans="1:11" ht="23.1" customHeight="1">
      <c r="A901" s="170" t="str">
        <f>IF($B901="","",MAX($A$3:A900)+1)</f>
        <v/>
      </c>
      <c r="B901" s="176"/>
      <c r="C901" s="177"/>
      <c r="D901" s="279"/>
      <c r="E901" s="178"/>
      <c r="F901" s="172" t="str">
        <f>IF($B901="","",SUMIFS('Daily Inward'!$G:$G,'Daily Inward'!$C:$C,$B901,'Daily Inward'!$E:$E,"Inventory"))</f>
        <v/>
      </c>
      <c r="G901" s="44" t="str">
        <f>IF($B901="","",SUMIFS('Daily Issuance'!$G:$G,'Daily Issuance'!$C:$C,$B901,'Daily Issuance'!$E:$E,"Inventory"))</f>
        <v/>
      </c>
      <c r="H901" s="44" t="str">
        <f t="shared" si="28"/>
        <v/>
      </c>
      <c r="I901" s="33"/>
      <c r="J901" s="34" t="str">
        <f t="shared" si="29"/>
        <v/>
      </c>
      <c r="K901" s="46"/>
    </row>
    <row r="902" spans="1:11" ht="23.1" customHeight="1">
      <c r="A902" s="170" t="str">
        <f>IF($B902="","",MAX($A$3:A901)+1)</f>
        <v/>
      </c>
      <c r="B902" s="176"/>
      <c r="C902" s="177"/>
      <c r="D902" s="279"/>
      <c r="E902" s="178"/>
      <c r="F902" s="172" t="str">
        <f>IF($B902="","",SUMIFS('Daily Inward'!$G:$G,'Daily Inward'!$C:$C,$B902,'Daily Inward'!$E:$E,"Inventory"))</f>
        <v/>
      </c>
      <c r="G902" s="44" t="str">
        <f>IF($B902="","",SUMIFS('Daily Issuance'!$G:$G,'Daily Issuance'!$C:$C,$B902,'Daily Issuance'!$E:$E,"Inventory"))</f>
        <v/>
      </c>
      <c r="H902" s="44" t="str">
        <f t="shared" si="28"/>
        <v/>
      </c>
      <c r="I902" s="33"/>
      <c r="J902" s="34" t="str">
        <f t="shared" si="29"/>
        <v/>
      </c>
      <c r="K902" s="46"/>
    </row>
    <row r="903" spans="1:11" ht="23.1" customHeight="1">
      <c r="A903" s="170" t="str">
        <f>IF($B903="","",MAX($A$3:A902)+1)</f>
        <v/>
      </c>
      <c r="B903" s="176"/>
      <c r="C903" s="177"/>
      <c r="D903" s="279"/>
      <c r="E903" s="178"/>
      <c r="F903" s="172" t="str">
        <f>IF($B903="","",SUMIFS('Daily Inward'!$G:$G,'Daily Inward'!$C:$C,$B903,'Daily Inward'!$E:$E,"Inventory"))</f>
        <v/>
      </c>
      <c r="G903" s="44" t="str">
        <f>IF($B903="","",SUMIFS('Daily Issuance'!$G:$G,'Daily Issuance'!$C:$C,$B903,'Daily Issuance'!$E:$E,"Inventory"))</f>
        <v/>
      </c>
      <c r="H903" s="44" t="str">
        <f t="shared" si="28"/>
        <v/>
      </c>
      <c r="I903" s="33"/>
      <c r="J903" s="34" t="str">
        <f t="shared" si="29"/>
        <v/>
      </c>
      <c r="K903" s="46"/>
    </row>
    <row r="904" spans="1:11" ht="23.1" customHeight="1">
      <c r="A904" s="170" t="str">
        <f>IF($B904="","",MAX($A$3:A903)+1)</f>
        <v/>
      </c>
      <c r="B904" s="176"/>
      <c r="C904" s="177"/>
      <c r="D904" s="279"/>
      <c r="E904" s="178"/>
      <c r="F904" s="172" t="str">
        <f>IF($B904="","",SUMIFS('Daily Inward'!$G:$G,'Daily Inward'!$C:$C,$B904,'Daily Inward'!$E:$E,"Inventory"))</f>
        <v/>
      </c>
      <c r="G904" s="44" t="str">
        <f>IF($B904="","",SUMIFS('Daily Issuance'!$G:$G,'Daily Issuance'!$C:$C,$B904,'Daily Issuance'!$E:$E,"Inventory"))</f>
        <v/>
      </c>
      <c r="H904" s="44" t="str">
        <f t="shared" si="28"/>
        <v/>
      </c>
      <c r="I904" s="33"/>
      <c r="J904" s="34" t="str">
        <f t="shared" si="29"/>
        <v/>
      </c>
      <c r="K904" s="46"/>
    </row>
    <row r="905" spans="1:11" ht="23.1" customHeight="1">
      <c r="A905" s="170" t="str">
        <f>IF($B905="","",MAX($A$3:A904)+1)</f>
        <v/>
      </c>
      <c r="B905" s="176"/>
      <c r="C905" s="177"/>
      <c r="D905" s="279"/>
      <c r="E905" s="178"/>
      <c r="F905" s="172" t="str">
        <f>IF($B905="","",SUMIFS('Daily Inward'!$G:$G,'Daily Inward'!$C:$C,$B905,'Daily Inward'!$E:$E,"Inventory"))</f>
        <v/>
      </c>
      <c r="G905" s="44" t="str">
        <f>IF($B905="","",SUMIFS('Daily Issuance'!$G:$G,'Daily Issuance'!$C:$C,$B905,'Daily Issuance'!$E:$E,"Inventory"))</f>
        <v/>
      </c>
      <c r="H905" s="44" t="str">
        <f t="shared" si="28"/>
        <v/>
      </c>
      <c r="I905" s="33"/>
      <c r="J905" s="34" t="str">
        <f t="shared" si="29"/>
        <v/>
      </c>
      <c r="K905" s="46"/>
    </row>
    <row r="906" spans="1:11" ht="23.1" customHeight="1">
      <c r="A906" s="170" t="str">
        <f>IF($B906="","",MAX($A$3:A905)+1)</f>
        <v/>
      </c>
      <c r="B906" s="176"/>
      <c r="C906" s="177"/>
      <c r="D906" s="279"/>
      <c r="E906" s="178"/>
      <c r="F906" s="172" t="str">
        <f>IF($B906="","",SUMIFS('Daily Inward'!$G:$G,'Daily Inward'!$C:$C,$B906,'Daily Inward'!$E:$E,"Inventory"))</f>
        <v/>
      </c>
      <c r="G906" s="44" t="str">
        <f>IF($B906="","",SUMIFS('Daily Issuance'!$G:$G,'Daily Issuance'!$C:$C,$B906,'Daily Issuance'!$E:$E,"Inventory"))</f>
        <v/>
      </c>
      <c r="H906" s="44" t="str">
        <f t="shared" si="28"/>
        <v/>
      </c>
      <c r="I906" s="33"/>
      <c r="J906" s="34" t="str">
        <f t="shared" si="29"/>
        <v/>
      </c>
      <c r="K906" s="46"/>
    </row>
    <row r="907" spans="1:11" ht="23.1" customHeight="1">
      <c r="A907" s="170" t="str">
        <f>IF($B907="","",MAX($A$3:A906)+1)</f>
        <v/>
      </c>
      <c r="B907" s="176"/>
      <c r="C907" s="177"/>
      <c r="D907" s="279"/>
      <c r="E907" s="178"/>
      <c r="F907" s="172" t="str">
        <f>IF($B907="","",SUMIFS('Daily Inward'!$G:$G,'Daily Inward'!$C:$C,$B907,'Daily Inward'!$E:$E,"Inventory"))</f>
        <v/>
      </c>
      <c r="G907" s="44" t="str">
        <f>IF($B907="","",SUMIFS('Daily Issuance'!$G:$G,'Daily Issuance'!$C:$C,$B907,'Daily Issuance'!$E:$E,"Inventory"))</f>
        <v/>
      </c>
      <c r="H907" s="44" t="str">
        <f t="shared" si="28"/>
        <v/>
      </c>
      <c r="I907" s="33"/>
      <c r="J907" s="34" t="str">
        <f t="shared" si="29"/>
        <v/>
      </c>
      <c r="K907" s="46"/>
    </row>
    <row r="908" spans="1:11" ht="23.1" customHeight="1">
      <c r="A908" s="170" t="str">
        <f>IF($B908="","",MAX($A$3:A907)+1)</f>
        <v/>
      </c>
      <c r="B908" s="176"/>
      <c r="C908" s="177"/>
      <c r="D908" s="279"/>
      <c r="E908" s="178"/>
      <c r="F908" s="172" t="str">
        <f>IF($B908="","",SUMIFS('Daily Inward'!$G:$G,'Daily Inward'!$C:$C,$B908,'Daily Inward'!$E:$E,"Inventory"))</f>
        <v/>
      </c>
      <c r="G908" s="44" t="str">
        <f>IF($B908="","",SUMIFS('Daily Issuance'!$G:$G,'Daily Issuance'!$C:$C,$B908,'Daily Issuance'!$E:$E,"Inventory"))</f>
        <v/>
      </c>
      <c r="H908" s="44" t="str">
        <f t="shared" si="28"/>
        <v/>
      </c>
      <c r="I908" s="33"/>
      <c r="J908" s="34" t="str">
        <f t="shared" si="29"/>
        <v/>
      </c>
      <c r="K908" s="46"/>
    </row>
    <row r="909" spans="1:11" ht="23.1" customHeight="1">
      <c r="A909" s="170" t="str">
        <f>IF($B909="","",MAX($A$3:A908)+1)</f>
        <v/>
      </c>
      <c r="B909" s="176"/>
      <c r="C909" s="177"/>
      <c r="D909" s="279"/>
      <c r="E909" s="178"/>
      <c r="F909" s="172" t="str">
        <f>IF($B909="","",SUMIFS('Daily Inward'!$G:$G,'Daily Inward'!$C:$C,$B909,'Daily Inward'!$E:$E,"Inventory"))</f>
        <v/>
      </c>
      <c r="G909" s="44" t="str">
        <f>IF($B909="","",SUMIFS('Daily Issuance'!$G:$G,'Daily Issuance'!$C:$C,$B909,'Daily Issuance'!$E:$E,"Inventory"))</f>
        <v/>
      </c>
      <c r="H909" s="44" t="str">
        <f t="shared" si="28"/>
        <v/>
      </c>
      <c r="I909" s="33"/>
      <c r="J909" s="34" t="str">
        <f t="shared" si="29"/>
        <v/>
      </c>
      <c r="K909" s="46"/>
    </row>
    <row r="910" spans="1:11" ht="23.1" customHeight="1">
      <c r="A910" s="170" t="str">
        <f>IF($B910="","",MAX($A$3:A909)+1)</f>
        <v/>
      </c>
      <c r="B910" s="176"/>
      <c r="C910" s="177"/>
      <c r="D910" s="279"/>
      <c r="E910" s="178"/>
      <c r="F910" s="172" t="str">
        <f>IF($B910="","",SUMIFS('Daily Inward'!$G:$G,'Daily Inward'!$C:$C,$B910,'Daily Inward'!$E:$E,"Inventory"))</f>
        <v/>
      </c>
      <c r="G910" s="44" t="str">
        <f>IF($B910="","",SUMIFS('Daily Issuance'!$G:$G,'Daily Issuance'!$C:$C,$B910,'Daily Issuance'!$E:$E,"Inventory"))</f>
        <v/>
      </c>
      <c r="H910" s="44" t="str">
        <f t="shared" si="28"/>
        <v/>
      </c>
      <c r="I910" s="33"/>
      <c r="J910" s="34" t="str">
        <f t="shared" si="29"/>
        <v/>
      </c>
      <c r="K910" s="46"/>
    </row>
    <row r="911" spans="1:11" ht="23.1" customHeight="1">
      <c r="A911" s="170" t="str">
        <f>IF($B911="","",MAX($A$3:A910)+1)</f>
        <v/>
      </c>
      <c r="B911" s="176"/>
      <c r="C911" s="177"/>
      <c r="D911" s="279"/>
      <c r="E911" s="178"/>
      <c r="F911" s="172" t="str">
        <f>IF($B911="","",SUMIFS('Daily Inward'!$G:$G,'Daily Inward'!$C:$C,$B911,'Daily Inward'!$E:$E,"Inventory"))</f>
        <v/>
      </c>
      <c r="G911" s="44" t="str">
        <f>IF($B911="","",SUMIFS('Daily Issuance'!$G:$G,'Daily Issuance'!$C:$C,$B911,'Daily Issuance'!$E:$E,"Inventory"))</f>
        <v/>
      </c>
      <c r="H911" s="44" t="str">
        <f t="shared" si="28"/>
        <v/>
      </c>
      <c r="I911" s="33"/>
      <c r="J911" s="34" t="str">
        <f t="shared" si="29"/>
        <v/>
      </c>
      <c r="K911" s="46"/>
    </row>
    <row r="912" spans="1:11" ht="23.1" customHeight="1">
      <c r="A912" s="170" t="str">
        <f>IF($B912="","",MAX($A$3:A911)+1)</f>
        <v/>
      </c>
      <c r="B912" s="176"/>
      <c r="C912" s="177"/>
      <c r="D912" s="279"/>
      <c r="E912" s="178"/>
      <c r="F912" s="172" t="str">
        <f>IF($B912="","",SUMIFS('Daily Inward'!$G:$G,'Daily Inward'!$C:$C,$B912,'Daily Inward'!$E:$E,"Inventory"))</f>
        <v/>
      </c>
      <c r="G912" s="44" t="str">
        <f>IF($B912="","",SUMIFS('Daily Issuance'!$G:$G,'Daily Issuance'!$C:$C,$B912,'Daily Issuance'!$E:$E,"Inventory"))</f>
        <v/>
      </c>
      <c r="H912" s="44" t="str">
        <f t="shared" si="28"/>
        <v/>
      </c>
      <c r="I912" s="33"/>
      <c r="J912" s="34" t="str">
        <f t="shared" si="29"/>
        <v/>
      </c>
      <c r="K912" s="46"/>
    </row>
    <row r="913" spans="1:11" ht="23.1" customHeight="1">
      <c r="A913" s="170" t="str">
        <f>IF($B913="","",MAX($A$3:A912)+1)</f>
        <v/>
      </c>
      <c r="B913" s="176"/>
      <c r="C913" s="177"/>
      <c r="D913" s="279"/>
      <c r="E913" s="178"/>
      <c r="F913" s="172" t="str">
        <f>IF($B913="","",SUMIFS('Daily Inward'!$G:$G,'Daily Inward'!$C:$C,$B913,'Daily Inward'!$E:$E,"Inventory"))</f>
        <v/>
      </c>
      <c r="G913" s="44" t="str">
        <f>IF($B913="","",SUMIFS('Daily Issuance'!$G:$G,'Daily Issuance'!$C:$C,$B913,'Daily Issuance'!$E:$E,"Inventory"))</f>
        <v/>
      </c>
      <c r="H913" s="44" t="str">
        <f t="shared" si="28"/>
        <v/>
      </c>
      <c r="I913" s="33"/>
      <c r="J913" s="34" t="str">
        <f t="shared" si="29"/>
        <v/>
      </c>
      <c r="K913" s="46"/>
    </row>
    <row r="914" spans="1:11" ht="23.1" customHeight="1">
      <c r="A914" s="170" t="str">
        <f>IF($B914="","",MAX($A$3:A913)+1)</f>
        <v/>
      </c>
      <c r="B914" s="176"/>
      <c r="C914" s="177"/>
      <c r="D914" s="279"/>
      <c r="E914" s="178"/>
      <c r="F914" s="172" t="str">
        <f>IF($B914="","",SUMIFS('Daily Inward'!$G:$G,'Daily Inward'!$C:$C,$B914,'Daily Inward'!$E:$E,"Inventory"))</f>
        <v/>
      </c>
      <c r="G914" s="44" t="str">
        <f>IF($B914="","",SUMIFS('Daily Issuance'!$G:$G,'Daily Issuance'!$C:$C,$B914,'Daily Issuance'!$E:$E,"Inventory"))</f>
        <v/>
      </c>
      <c r="H914" s="44" t="str">
        <f t="shared" si="28"/>
        <v/>
      </c>
      <c r="I914" s="33"/>
      <c r="J914" s="34" t="str">
        <f t="shared" si="29"/>
        <v/>
      </c>
      <c r="K914" s="46"/>
    </row>
    <row r="915" spans="1:11" ht="23.1" customHeight="1">
      <c r="A915" s="170" t="str">
        <f>IF($B915="","",MAX($A$3:A914)+1)</f>
        <v/>
      </c>
      <c r="B915" s="176"/>
      <c r="C915" s="177"/>
      <c r="D915" s="279"/>
      <c r="E915" s="178"/>
      <c r="F915" s="172" t="str">
        <f>IF($B915="","",SUMIFS('Daily Inward'!$G:$G,'Daily Inward'!$C:$C,$B915,'Daily Inward'!$E:$E,"Inventory"))</f>
        <v/>
      </c>
      <c r="G915" s="44" t="str">
        <f>IF($B915="","",SUMIFS('Daily Issuance'!$G:$G,'Daily Issuance'!$C:$C,$B915,'Daily Issuance'!$E:$E,"Inventory"))</f>
        <v/>
      </c>
      <c r="H915" s="44" t="str">
        <f t="shared" si="28"/>
        <v/>
      </c>
      <c r="I915" s="33"/>
      <c r="J915" s="34" t="str">
        <f t="shared" si="29"/>
        <v/>
      </c>
      <c r="K915" s="46"/>
    </row>
    <row r="916" spans="1:11" ht="23.1" customHeight="1">
      <c r="A916" s="170" t="str">
        <f>IF($B916="","",MAX($A$3:A915)+1)</f>
        <v/>
      </c>
      <c r="B916" s="176"/>
      <c r="C916" s="177"/>
      <c r="D916" s="279"/>
      <c r="E916" s="178"/>
      <c r="F916" s="172" t="str">
        <f>IF($B916="","",SUMIFS('Daily Inward'!$G:$G,'Daily Inward'!$C:$C,$B916,'Daily Inward'!$E:$E,"Inventory"))</f>
        <v/>
      </c>
      <c r="G916" s="44" t="str">
        <f>IF($B916="","",SUMIFS('Daily Issuance'!$G:$G,'Daily Issuance'!$C:$C,$B916,'Daily Issuance'!$E:$E,"Inventory"))</f>
        <v/>
      </c>
      <c r="H916" s="44" t="str">
        <f t="shared" si="28"/>
        <v/>
      </c>
      <c r="I916" s="33"/>
      <c r="J916" s="34" t="str">
        <f t="shared" si="29"/>
        <v/>
      </c>
      <c r="K916" s="46"/>
    </row>
    <row r="917" spans="1:11" ht="23.1" customHeight="1">
      <c r="A917" s="170" t="str">
        <f>IF($B917="","",MAX($A$3:A916)+1)</f>
        <v/>
      </c>
      <c r="B917" s="176"/>
      <c r="C917" s="177"/>
      <c r="D917" s="279"/>
      <c r="E917" s="178"/>
      <c r="F917" s="172" t="str">
        <f>IF($B917="","",SUMIFS('Daily Inward'!$G:$G,'Daily Inward'!$C:$C,$B917,'Daily Inward'!$E:$E,"Inventory"))</f>
        <v/>
      </c>
      <c r="G917" s="44" t="str">
        <f>IF($B917="","",SUMIFS('Daily Issuance'!$G:$G,'Daily Issuance'!$C:$C,$B917,'Daily Issuance'!$E:$E,"Inventory"))</f>
        <v/>
      </c>
      <c r="H917" s="44" t="str">
        <f t="shared" si="28"/>
        <v/>
      </c>
      <c r="I917" s="33"/>
      <c r="J917" s="34" t="str">
        <f t="shared" si="29"/>
        <v/>
      </c>
      <c r="K917" s="46"/>
    </row>
    <row r="918" spans="1:11" ht="23.1" customHeight="1">
      <c r="A918" s="170" t="str">
        <f>IF($B918="","",MAX($A$3:A917)+1)</f>
        <v/>
      </c>
      <c r="B918" s="176"/>
      <c r="C918" s="177"/>
      <c r="D918" s="279"/>
      <c r="E918" s="178"/>
      <c r="F918" s="172" t="str">
        <f>IF($B918="","",SUMIFS('Daily Inward'!$G:$G,'Daily Inward'!$C:$C,$B918,'Daily Inward'!$E:$E,"Inventory"))</f>
        <v/>
      </c>
      <c r="G918" s="44" t="str">
        <f>IF($B918="","",SUMIFS('Daily Issuance'!$G:$G,'Daily Issuance'!$C:$C,$B918,'Daily Issuance'!$E:$E,"Inventory"))</f>
        <v/>
      </c>
      <c r="H918" s="44" t="str">
        <f t="shared" si="28"/>
        <v/>
      </c>
      <c r="I918" s="33"/>
      <c r="J918" s="34" t="str">
        <f t="shared" si="29"/>
        <v/>
      </c>
      <c r="K918" s="46"/>
    </row>
    <row r="919" spans="1:11" ht="23.1" customHeight="1">
      <c r="A919" s="170" t="str">
        <f>IF($B919="","",MAX($A$3:A918)+1)</f>
        <v/>
      </c>
      <c r="B919" s="176"/>
      <c r="C919" s="177"/>
      <c r="D919" s="279"/>
      <c r="E919" s="178"/>
      <c r="F919" s="172" t="str">
        <f>IF($B919="","",SUMIFS('Daily Inward'!$G:$G,'Daily Inward'!$C:$C,$B919,'Daily Inward'!$E:$E,"Inventory"))</f>
        <v/>
      </c>
      <c r="G919" s="44" t="str">
        <f>IF($B919="","",SUMIFS('Daily Issuance'!$G:$G,'Daily Issuance'!$C:$C,$B919,'Daily Issuance'!$E:$E,"Inventory"))</f>
        <v/>
      </c>
      <c r="H919" s="44" t="str">
        <f t="shared" si="28"/>
        <v/>
      </c>
      <c r="I919" s="33"/>
      <c r="J919" s="34" t="str">
        <f t="shared" si="29"/>
        <v/>
      </c>
      <c r="K919" s="46"/>
    </row>
    <row r="920" spans="1:11" ht="23.1" customHeight="1">
      <c r="A920" s="170" t="str">
        <f>IF($B920="","",MAX($A$3:A919)+1)</f>
        <v/>
      </c>
      <c r="B920" s="176"/>
      <c r="C920" s="177"/>
      <c r="D920" s="279"/>
      <c r="E920" s="178"/>
      <c r="F920" s="172" t="str">
        <f>IF($B920="","",SUMIFS('Daily Inward'!$G:$G,'Daily Inward'!$C:$C,$B920,'Daily Inward'!$E:$E,"Inventory"))</f>
        <v/>
      </c>
      <c r="G920" s="44" t="str">
        <f>IF($B920="","",SUMIFS('Daily Issuance'!$G:$G,'Daily Issuance'!$C:$C,$B920,'Daily Issuance'!$E:$E,"Inventory"))</f>
        <v/>
      </c>
      <c r="H920" s="44" t="str">
        <f t="shared" si="28"/>
        <v/>
      </c>
      <c r="I920" s="33"/>
      <c r="J920" s="34" t="str">
        <f t="shared" si="29"/>
        <v/>
      </c>
      <c r="K920" s="46"/>
    </row>
    <row r="921" spans="1:11" ht="23.1" customHeight="1">
      <c r="A921" s="170" t="str">
        <f>IF($B921="","",MAX($A$3:A920)+1)</f>
        <v/>
      </c>
      <c r="B921" s="176"/>
      <c r="C921" s="177"/>
      <c r="D921" s="279"/>
      <c r="E921" s="178"/>
      <c r="F921" s="172" t="str">
        <f>IF($B921="","",SUMIFS('Daily Inward'!$G:$G,'Daily Inward'!$C:$C,$B921,'Daily Inward'!$E:$E,"Inventory"))</f>
        <v/>
      </c>
      <c r="G921" s="44" t="str">
        <f>IF($B921="","",SUMIFS('Daily Issuance'!$G:$G,'Daily Issuance'!$C:$C,$B921,'Daily Issuance'!$E:$E,"Inventory"))</f>
        <v/>
      </c>
      <c r="H921" s="44" t="str">
        <f t="shared" si="28"/>
        <v/>
      </c>
      <c r="I921" s="33"/>
      <c r="J921" s="34" t="str">
        <f t="shared" si="29"/>
        <v/>
      </c>
      <c r="K921" s="46"/>
    </row>
    <row r="922" spans="1:11" ht="23.1" customHeight="1">
      <c r="A922" s="170" t="str">
        <f>IF($B922="","",MAX($A$3:A921)+1)</f>
        <v/>
      </c>
      <c r="B922" s="176"/>
      <c r="C922" s="177"/>
      <c r="D922" s="279"/>
      <c r="E922" s="178"/>
      <c r="F922" s="172" t="str">
        <f>IF($B922="","",SUMIFS('Daily Inward'!$G:$G,'Daily Inward'!$C:$C,$B922,'Daily Inward'!$E:$E,"Inventory"))</f>
        <v/>
      </c>
      <c r="G922" s="44" t="str">
        <f>IF($B922="","",SUMIFS('Daily Issuance'!$G:$G,'Daily Issuance'!$C:$C,$B922,'Daily Issuance'!$E:$E,"Inventory"))</f>
        <v/>
      </c>
      <c r="H922" s="44" t="str">
        <f t="shared" si="28"/>
        <v/>
      </c>
      <c r="I922" s="33"/>
      <c r="J922" s="34" t="str">
        <f t="shared" si="29"/>
        <v/>
      </c>
      <c r="K922" s="46"/>
    </row>
    <row r="923" spans="1:11" ht="23.1" customHeight="1">
      <c r="A923" s="170" t="str">
        <f>IF($B923="","",MAX($A$3:A922)+1)</f>
        <v/>
      </c>
      <c r="B923" s="176"/>
      <c r="C923" s="177"/>
      <c r="D923" s="279"/>
      <c r="E923" s="178"/>
      <c r="F923" s="172" t="str">
        <f>IF($B923="","",SUMIFS('Daily Inward'!$G:$G,'Daily Inward'!$C:$C,$B923,'Daily Inward'!$E:$E,"Inventory"))</f>
        <v/>
      </c>
      <c r="G923" s="44" t="str">
        <f>IF($B923="","",SUMIFS('Daily Issuance'!$G:$G,'Daily Issuance'!$C:$C,$B923,'Daily Issuance'!$E:$E,"Inventory"))</f>
        <v/>
      </c>
      <c r="H923" s="44" t="str">
        <f t="shared" si="28"/>
        <v/>
      </c>
      <c r="I923" s="33"/>
      <c r="J923" s="34" t="str">
        <f t="shared" si="29"/>
        <v/>
      </c>
      <c r="K923" s="46"/>
    </row>
    <row r="924" spans="1:11" ht="23.1" customHeight="1">
      <c r="A924" s="170" t="str">
        <f>IF($B924="","",MAX($A$3:A923)+1)</f>
        <v/>
      </c>
      <c r="B924" s="176"/>
      <c r="C924" s="177"/>
      <c r="D924" s="279"/>
      <c r="E924" s="178"/>
      <c r="F924" s="172" t="str">
        <f>IF($B924="","",SUMIFS('Daily Inward'!$G:$G,'Daily Inward'!$C:$C,$B924,'Daily Inward'!$E:$E,"Inventory"))</f>
        <v/>
      </c>
      <c r="G924" s="44" t="str">
        <f>IF($B924="","",SUMIFS('Daily Issuance'!$G:$G,'Daily Issuance'!$C:$C,$B924,'Daily Issuance'!$E:$E,"Inventory"))</f>
        <v/>
      </c>
      <c r="H924" s="44" t="str">
        <f t="shared" si="28"/>
        <v/>
      </c>
      <c r="I924" s="33"/>
      <c r="J924" s="34" t="str">
        <f t="shared" si="29"/>
        <v/>
      </c>
      <c r="K924" s="46"/>
    </row>
    <row r="925" spans="1:11" ht="23.1" customHeight="1">
      <c r="A925" s="170" t="str">
        <f>IF($B925="","",MAX($A$3:A924)+1)</f>
        <v/>
      </c>
      <c r="B925" s="176"/>
      <c r="C925" s="177"/>
      <c r="D925" s="279"/>
      <c r="E925" s="178"/>
      <c r="F925" s="172" t="str">
        <f>IF($B925="","",SUMIFS('Daily Inward'!$G:$G,'Daily Inward'!$C:$C,$B925,'Daily Inward'!$E:$E,"Inventory"))</f>
        <v/>
      </c>
      <c r="G925" s="44" t="str">
        <f>IF($B925="","",SUMIFS('Daily Issuance'!$G:$G,'Daily Issuance'!$C:$C,$B925,'Daily Issuance'!$E:$E,"Inventory"))</f>
        <v/>
      </c>
      <c r="H925" s="44" t="str">
        <f t="shared" si="28"/>
        <v/>
      </c>
      <c r="I925" s="33"/>
      <c r="J925" s="34" t="str">
        <f t="shared" si="29"/>
        <v/>
      </c>
      <c r="K925" s="46"/>
    </row>
    <row r="926" spans="1:11" ht="23.1" customHeight="1">
      <c r="A926" s="170" t="str">
        <f>IF($B926="","",MAX($A$3:A925)+1)</f>
        <v/>
      </c>
      <c r="B926" s="176"/>
      <c r="C926" s="177"/>
      <c r="D926" s="279"/>
      <c r="E926" s="178"/>
      <c r="F926" s="172" t="str">
        <f>IF($B926="","",SUMIFS('Daily Inward'!$G:$G,'Daily Inward'!$C:$C,$B926,'Daily Inward'!$E:$E,"Inventory"))</f>
        <v/>
      </c>
      <c r="G926" s="44" t="str">
        <f>IF($B926="","",SUMIFS('Daily Issuance'!$G:$G,'Daily Issuance'!$C:$C,$B926,'Daily Issuance'!$E:$E,"Inventory"))</f>
        <v/>
      </c>
      <c r="H926" s="44" t="str">
        <f t="shared" si="28"/>
        <v/>
      </c>
      <c r="I926" s="33"/>
      <c r="J926" s="34" t="str">
        <f t="shared" si="29"/>
        <v/>
      </c>
      <c r="K926" s="46"/>
    </row>
    <row r="927" spans="1:11" ht="23.1" customHeight="1">
      <c r="A927" s="170" t="str">
        <f>IF($B927="","",MAX($A$3:A926)+1)</f>
        <v/>
      </c>
      <c r="B927" s="176"/>
      <c r="C927" s="177"/>
      <c r="D927" s="279"/>
      <c r="E927" s="178"/>
      <c r="F927" s="172" t="str">
        <f>IF($B927="","",SUMIFS('Daily Inward'!$G:$G,'Daily Inward'!$C:$C,$B927,'Daily Inward'!$E:$E,"Inventory"))</f>
        <v/>
      </c>
      <c r="G927" s="44" t="str">
        <f>IF($B927="","",SUMIFS('Daily Issuance'!$G:$G,'Daily Issuance'!$C:$C,$B927,'Daily Issuance'!$E:$E,"Inventory"))</f>
        <v/>
      </c>
      <c r="H927" s="44" t="str">
        <f t="shared" si="28"/>
        <v/>
      </c>
      <c r="I927" s="33"/>
      <c r="J927" s="34" t="str">
        <f t="shared" si="29"/>
        <v/>
      </c>
      <c r="K927" s="46"/>
    </row>
    <row r="928" spans="1:11" ht="23.1" customHeight="1">
      <c r="A928" s="170" t="str">
        <f>IF($B928="","",MAX($A$3:A927)+1)</f>
        <v/>
      </c>
      <c r="B928" s="176"/>
      <c r="C928" s="177"/>
      <c r="D928" s="279"/>
      <c r="E928" s="178"/>
      <c r="F928" s="172" t="str">
        <f>IF($B928="","",SUMIFS('Daily Inward'!$G:$G,'Daily Inward'!$C:$C,$B928,'Daily Inward'!$E:$E,"Inventory"))</f>
        <v/>
      </c>
      <c r="G928" s="44" t="str">
        <f>IF($B928="","",SUMIFS('Daily Issuance'!$G:$G,'Daily Issuance'!$C:$C,$B928,'Daily Issuance'!$E:$E,"Inventory"))</f>
        <v/>
      </c>
      <c r="H928" s="44" t="str">
        <f t="shared" si="28"/>
        <v/>
      </c>
      <c r="I928" s="33"/>
      <c r="J928" s="34" t="str">
        <f t="shared" si="29"/>
        <v/>
      </c>
      <c r="K928" s="46"/>
    </row>
    <row r="929" spans="1:11" ht="23.1" customHeight="1">
      <c r="A929" s="170" t="str">
        <f>IF($B929="","",MAX($A$3:A928)+1)</f>
        <v/>
      </c>
      <c r="B929" s="176"/>
      <c r="C929" s="177"/>
      <c r="D929" s="279"/>
      <c r="E929" s="178"/>
      <c r="F929" s="172" t="str">
        <f>IF($B929="","",SUMIFS('Daily Inward'!$G:$G,'Daily Inward'!$C:$C,$B929,'Daily Inward'!$E:$E,"Inventory"))</f>
        <v/>
      </c>
      <c r="G929" s="44" t="str">
        <f>IF($B929="","",SUMIFS('Daily Issuance'!$G:$G,'Daily Issuance'!$C:$C,$B929,'Daily Issuance'!$E:$E,"Inventory"))</f>
        <v/>
      </c>
      <c r="H929" s="44" t="str">
        <f t="shared" si="28"/>
        <v/>
      </c>
      <c r="I929" s="33"/>
      <c r="J929" s="34" t="str">
        <f t="shared" si="29"/>
        <v/>
      </c>
      <c r="K929" s="46"/>
    </row>
    <row r="930" spans="1:11" ht="23.1" customHeight="1">
      <c r="A930" s="170" t="str">
        <f>IF($B930="","",MAX($A$3:A929)+1)</f>
        <v/>
      </c>
      <c r="B930" s="176"/>
      <c r="C930" s="177"/>
      <c r="D930" s="279"/>
      <c r="E930" s="178"/>
      <c r="F930" s="172" t="str">
        <f>IF($B930="","",SUMIFS('Daily Inward'!$G:$G,'Daily Inward'!$C:$C,$B930,'Daily Inward'!$E:$E,"Inventory"))</f>
        <v/>
      </c>
      <c r="G930" s="44" t="str">
        <f>IF($B930="","",SUMIFS('Daily Issuance'!$G:$G,'Daily Issuance'!$C:$C,$B930,'Daily Issuance'!$E:$E,"Inventory"))</f>
        <v/>
      </c>
      <c r="H930" s="44" t="str">
        <f t="shared" si="28"/>
        <v/>
      </c>
      <c r="I930" s="33"/>
      <c r="J930" s="34" t="str">
        <f t="shared" si="29"/>
        <v/>
      </c>
      <c r="K930" s="46"/>
    </row>
    <row r="931" spans="1:11" ht="23.1" customHeight="1">
      <c r="A931" s="170" t="str">
        <f>IF($B931="","",MAX($A$3:A930)+1)</f>
        <v/>
      </c>
      <c r="B931" s="176"/>
      <c r="C931" s="177"/>
      <c r="D931" s="279"/>
      <c r="E931" s="178"/>
      <c r="F931" s="172" t="str">
        <f>IF($B931="","",SUMIFS('Daily Inward'!$G:$G,'Daily Inward'!$C:$C,$B931,'Daily Inward'!$E:$E,"Inventory"))</f>
        <v/>
      </c>
      <c r="G931" s="44" t="str">
        <f>IF($B931="","",SUMIFS('Daily Issuance'!$G:$G,'Daily Issuance'!$C:$C,$B931,'Daily Issuance'!$E:$E,"Inventory"))</f>
        <v/>
      </c>
      <c r="H931" s="44" t="str">
        <f t="shared" si="28"/>
        <v/>
      </c>
      <c r="I931" s="33"/>
      <c r="J931" s="34" t="str">
        <f t="shared" si="29"/>
        <v/>
      </c>
      <c r="K931" s="46"/>
    </row>
    <row r="932" spans="1:11" ht="23.1" customHeight="1">
      <c r="A932" s="170" t="str">
        <f>IF($B932="","",MAX($A$3:A931)+1)</f>
        <v/>
      </c>
      <c r="B932" s="176"/>
      <c r="C932" s="177"/>
      <c r="D932" s="279"/>
      <c r="E932" s="178"/>
      <c r="F932" s="172" t="str">
        <f>IF($B932="","",SUMIFS('Daily Inward'!$G:$G,'Daily Inward'!$C:$C,$B932,'Daily Inward'!$E:$E,"Inventory"))</f>
        <v/>
      </c>
      <c r="G932" s="44" t="str">
        <f>IF($B932="","",SUMIFS('Daily Issuance'!$G:$G,'Daily Issuance'!$C:$C,$B932,'Daily Issuance'!$E:$E,"Inventory"))</f>
        <v/>
      </c>
      <c r="H932" s="44" t="str">
        <f t="shared" si="28"/>
        <v/>
      </c>
      <c r="I932" s="33"/>
      <c r="J932" s="34" t="str">
        <f t="shared" si="29"/>
        <v/>
      </c>
      <c r="K932" s="46"/>
    </row>
    <row r="933" spans="1:11" ht="23.1" customHeight="1">
      <c r="A933" s="170" t="str">
        <f>IF($B933="","",MAX($A$3:A932)+1)</f>
        <v/>
      </c>
      <c r="B933" s="176"/>
      <c r="C933" s="177"/>
      <c r="D933" s="279"/>
      <c r="E933" s="178"/>
      <c r="F933" s="172" t="str">
        <f>IF($B933="","",SUMIFS('Daily Inward'!$G:$G,'Daily Inward'!$C:$C,$B933,'Daily Inward'!$E:$E,"Inventory"))</f>
        <v/>
      </c>
      <c r="G933" s="44" t="str">
        <f>IF($B933="","",SUMIFS('Daily Issuance'!$G:$G,'Daily Issuance'!$C:$C,$B933,'Daily Issuance'!$E:$E,"Inventory"))</f>
        <v/>
      </c>
      <c r="H933" s="44" t="str">
        <f t="shared" si="28"/>
        <v/>
      </c>
      <c r="I933" s="33"/>
      <c r="J933" s="34" t="str">
        <f t="shared" si="29"/>
        <v/>
      </c>
      <c r="K933" s="46"/>
    </row>
    <row r="934" spans="1:11" ht="23.1" customHeight="1">
      <c r="A934" s="170" t="str">
        <f>IF($B934="","",MAX($A$3:A933)+1)</f>
        <v/>
      </c>
      <c r="B934" s="176"/>
      <c r="C934" s="177"/>
      <c r="D934" s="279"/>
      <c r="E934" s="178"/>
      <c r="F934" s="172" t="str">
        <f>IF($B934="","",SUMIFS('Daily Inward'!$G:$G,'Daily Inward'!$C:$C,$B934,'Daily Inward'!$E:$E,"Inventory"))</f>
        <v/>
      </c>
      <c r="G934" s="44" t="str">
        <f>IF($B934="","",SUMIFS('Daily Issuance'!$G:$G,'Daily Issuance'!$C:$C,$B934,'Daily Issuance'!$E:$E,"Inventory"))</f>
        <v/>
      </c>
      <c r="H934" s="44" t="str">
        <f t="shared" si="28"/>
        <v/>
      </c>
      <c r="I934" s="33"/>
      <c r="J934" s="34" t="str">
        <f t="shared" si="29"/>
        <v/>
      </c>
      <c r="K934" s="46"/>
    </row>
    <row r="935" spans="1:11" ht="23.1" customHeight="1">
      <c r="A935" s="170" t="str">
        <f>IF($B935="","",MAX($A$3:A934)+1)</f>
        <v/>
      </c>
      <c r="B935" s="176"/>
      <c r="C935" s="177"/>
      <c r="D935" s="279"/>
      <c r="E935" s="178"/>
      <c r="F935" s="172" t="str">
        <f>IF($B935="","",SUMIFS('Daily Inward'!$G:$G,'Daily Inward'!$C:$C,$B935,'Daily Inward'!$E:$E,"Inventory"))</f>
        <v/>
      </c>
      <c r="G935" s="44" t="str">
        <f>IF($B935="","",SUMIFS('Daily Issuance'!$G:$G,'Daily Issuance'!$C:$C,$B935,'Daily Issuance'!$E:$E,"Inventory"))</f>
        <v/>
      </c>
      <c r="H935" s="44" t="str">
        <f t="shared" si="28"/>
        <v/>
      </c>
      <c r="I935" s="33"/>
      <c r="J935" s="34" t="str">
        <f t="shared" si="29"/>
        <v/>
      </c>
      <c r="K935" s="46"/>
    </row>
    <row r="936" spans="1:11" ht="23.1" customHeight="1">
      <c r="A936" s="170" t="str">
        <f>IF($B936="","",MAX($A$3:A935)+1)</f>
        <v/>
      </c>
      <c r="B936" s="176"/>
      <c r="C936" s="177"/>
      <c r="D936" s="279"/>
      <c r="E936" s="178"/>
      <c r="F936" s="172" t="str">
        <f>IF($B936="","",SUMIFS('Daily Inward'!$G:$G,'Daily Inward'!$C:$C,$B936,'Daily Inward'!$E:$E,"Inventory"))</f>
        <v/>
      </c>
      <c r="G936" s="44" t="str">
        <f>IF($B936="","",SUMIFS('Daily Issuance'!$G:$G,'Daily Issuance'!$C:$C,$B936,'Daily Issuance'!$E:$E,"Inventory"))</f>
        <v/>
      </c>
      <c r="H936" s="44" t="str">
        <f t="shared" si="28"/>
        <v/>
      </c>
      <c r="I936" s="33"/>
      <c r="J936" s="34" t="str">
        <f t="shared" si="29"/>
        <v/>
      </c>
      <c r="K936" s="46"/>
    </row>
    <row r="937" spans="1:11" ht="23.1" customHeight="1">
      <c r="A937" s="170" t="str">
        <f>IF($B937="","",MAX($A$3:A936)+1)</f>
        <v/>
      </c>
      <c r="B937" s="176"/>
      <c r="C937" s="177"/>
      <c r="D937" s="279"/>
      <c r="E937" s="178"/>
      <c r="F937" s="172" t="str">
        <f>IF($B937="","",SUMIFS('Daily Inward'!$G:$G,'Daily Inward'!$C:$C,$B937,'Daily Inward'!$E:$E,"Inventory"))</f>
        <v/>
      </c>
      <c r="G937" s="44" t="str">
        <f>IF($B937="","",SUMIFS('Daily Issuance'!$G:$G,'Daily Issuance'!$C:$C,$B937,'Daily Issuance'!$E:$E,"Inventory"))</f>
        <v/>
      </c>
      <c r="H937" s="44" t="str">
        <f t="shared" si="28"/>
        <v/>
      </c>
      <c r="I937" s="33"/>
      <c r="J937" s="34" t="str">
        <f t="shared" si="29"/>
        <v/>
      </c>
      <c r="K937" s="46"/>
    </row>
    <row r="938" spans="1:11" ht="23.1" customHeight="1">
      <c r="A938" s="170" t="str">
        <f>IF($B938="","",MAX($A$3:A937)+1)</f>
        <v/>
      </c>
      <c r="B938" s="176"/>
      <c r="C938" s="177"/>
      <c r="D938" s="279"/>
      <c r="E938" s="178"/>
      <c r="F938" s="172" t="str">
        <f>IF($B938="","",SUMIFS('Daily Inward'!$G:$G,'Daily Inward'!$C:$C,$B938,'Daily Inward'!$E:$E,"Inventory"))</f>
        <v/>
      </c>
      <c r="G938" s="44" t="str">
        <f>IF($B938="","",SUMIFS('Daily Issuance'!$G:$G,'Daily Issuance'!$C:$C,$B938,'Daily Issuance'!$E:$E,"Inventory"))</f>
        <v/>
      </c>
      <c r="H938" s="44" t="str">
        <f t="shared" si="28"/>
        <v/>
      </c>
      <c r="I938" s="33"/>
      <c r="J938" s="34" t="str">
        <f t="shared" si="29"/>
        <v/>
      </c>
      <c r="K938" s="46"/>
    </row>
    <row r="939" spans="1:11" ht="23.1" customHeight="1">
      <c r="A939" s="170" t="str">
        <f>IF($B939="","",MAX($A$3:A938)+1)</f>
        <v/>
      </c>
      <c r="B939" s="176"/>
      <c r="C939" s="177"/>
      <c r="D939" s="279"/>
      <c r="E939" s="178"/>
      <c r="F939" s="172" t="str">
        <f>IF($B939="","",SUMIFS('Daily Inward'!$G:$G,'Daily Inward'!$C:$C,$B939,'Daily Inward'!$E:$E,"Inventory"))</f>
        <v/>
      </c>
      <c r="G939" s="44" t="str">
        <f>IF($B939="","",SUMIFS('Daily Issuance'!$G:$G,'Daily Issuance'!$C:$C,$B939,'Daily Issuance'!$E:$E,"Inventory"))</f>
        <v/>
      </c>
      <c r="H939" s="44" t="str">
        <f t="shared" si="28"/>
        <v/>
      </c>
      <c r="I939" s="33"/>
      <c r="J939" s="34" t="str">
        <f t="shared" si="29"/>
        <v/>
      </c>
      <c r="K939" s="46"/>
    </row>
    <row r="940" spans="1:11" ht="23.1" customHeight="1">
      <c r="A940" s="170" t="str">
        <f>IF($B940="","",MAX($A$3:A939)+1)</f>
        <v/>
      </c>
      <c r="B940" s="176"/>
      <c r="C940" s="177"/>
      <c r="D940" s="279"/>
      <c r="E940" s="178"/>
      <c r="F940" s="172" t="str">
        <f>IF($B940="","",SUMIFS('Daily Inward'!$G:$G,'Daily Inward'!$C:$C,$B940,'Daily Inward'!$E:$E,"Inventory"))</f>
        <v/>
      </c>
      <c r="G940" s="44" t="str">
        <f>IF($B940="","",SUMIFS('Daily Issuance'!$G:$G,'Daily Issuance'!$C:$C,$B940,'Daily Issuance'!$E:$E,"Inventory"))</f>
        <v/>
      </c>
      <c r="H940" s="44" t="str">
        <f t="shared" si="28"/>
        <v/>
      </c>
      <c r="I940" s="33"/>
      <c r="J940" s="34" t="str">
        <f t="shared" si="29"/>
        <v/>
      </c>
      <c r="K940" s="46"/>
    </row>
    <row r="941" spans="1:11" ht="23.1" customHeight="1">
      <c r="A941" s="170" t="str">
        <f>IF($B941="","",MAX($A$3:A940)+1)</f>
        <v/>
      </c>
      <c r="B941" s="176"/>
      <c r="C941" s="177"/>
      <c r="D941" s="279"/>
      <c r="E941" s="178"/>
      <c r="F941" s="172" t="str">
        <f>IF($B941="","",SUMIFS('Daily Inward'!$G:$G,'Daily Inward'!$C:$C,$B941,'Daily Inward'!$E:$E,"Inventory"))</f>
        <v/>
      </c>
      <c r="G941" s="44" t="str">
        <f>IF($B941="","",SUMIFS('Daily Issuance'!$G:$G,'Daily Issuance'!$C:$C,$B941,'Daily Issuance'!$E:$E,"Inventory"))</f>
        <v/>
      </c>
      <c r="H941" s="44" t="str">
        <f t="shared" si="28"/>
        <v/>
      </c>
      <c r="I941" s="33"/>
      <c r="J941" s="34" t="str">
        <f t="shared" si="29"/>
        <v/>
      </c>
      <c r="K941" s="46"/>
    </row>
    <row r="942" spans="1:11" ht="23.1" customHeight="1">
      <c r="A942" s="170" t="str">
        <f>IF($B942="","",MAX($A$3:A941)+1)</f>
        <v/>
      </c>
      <c r="B942" s="176"/>
      <c r="C942" s="177"/>
      <c r="D942" s="279"/>
      <c r="E942" s="178"/>
      <c r="F942" s="172" t="str">
        <f>IF($B942="","",SUMIFS('Daily Inward'!$G:$G,'Daily Inward'!$C:$C,$B942,'Daily Inward'!$E:$E,"Inventory"))</f>
        <v/>
      </c>
      <c r="G942" s="44" t="str">
        <f>IF($B942="","",SUMIFS('Daily Issuance'!$G:$G,'Daily Issuance'!$C:$C,$B942,'Daily Issuance'!$E:$E,"Inventory"))</f>
        <v/>
      </c>
      <c r="H942" s="44" t="str">
        <f t="shared" si="28"/>
        <v/>
      </c>
      <c r="I942" s="33"/>
      <c r="J942" s="34" t="str">
        <f t="shared" si="29"/>
        <v/>
      </c>
      <c r="K942" s="46"/>
    </row>
    <row r="943" spans="1:11" ht="23.1" customHeight="1">
      <c r="A943" s="170" t="str">
        <f>IF($B943="","",MAX($A$3:A942)+1)</f>
        <v/>
      </c>
      <c r="B943" s="176"/>
      <c r="C943" s="177"/>
      <c r="D943" s="279"/>
      <c r="E943" s="178"/>
      <c r="F943" s="172" t="str">
        <f>IF($B943="","",SUMIFS('Daily Inward'!$G:$G,'Daily Inward'!$C:$C,$B943,'Daily Inward'!$E:$E,"Inventory"))</f>
        <v/>
      </c>
      <c r="G943" s="44" t="str">
        <f>IF($B943="","",SUMIFS('Daily Issuance'!$G:$G,'Daily Issuance'!$C:$C,$B943,'Daily Issuance'!$E:$E,"Inventory"))</f>
        <v/>
      </c>
      <c r="H943" s="44" t="str">
        <f t="shared" si="28"/>
        <v/>
      </c>
      <c r="I943" s="33"/>
      <c r="J943" s="34" t="str">
        <f t="shared" si="29"/>
        <v/>
      </c>
      <c r="K943" s="46"/>
    </row>
    <row r="944" spans="1:11" ht="23.1" customHeight="1">
      <c r="A944" s="170" t="str">
        <f>IF($B944="","",MAX($A$3:A943)+1)</f>
        <v/>
      </c>
      <c r="B944" s="176"/>
      <c r="C944" s="177"/>
      <c r="D944" s="279"/>
      <c r="E944" s="178"/>
      <c r="F944" s="172" t="str">
        <f>IF($B944="","",SUMIFS('Daily Inward'!$G:$G,'Daily Inward'!$C:$C,$B944,'Daily Inward'!$E:$E,"Inventory"))</f>
        <v/>
      </c>
      <c r="G944" s="44" t="str">
        <f>IF($B944="","",SUMIFS('Daily Issuance'!$G:$G,'Daily Issuance'!$C:$C,$B944,'Daily Issuance'!$E:$E,"Inventory"))</f>
        <v/>
      </c>
      <c r="H944" s="44" t="str">
        <f t="shared" si="28"/>
        <v/>
      </c>
      <c r="I944" s="33"/>
      <c r="J944" s="34" t="str">
        <f t="shared" si="29"/>
        <v/>
      </c>
      <c r="K944" s="46"/>
    </row>
    <row r="945" spans="1:11" ht="23.1" customHeight="1">
      <c r="A945" s="170" t="str">
        <f>IF($B945="","",MAX($A$3:A944)+1)</f>
        <v/>
      </c>
      <c r="B945" s="176"/>
      <c r="C945" s="177"/>
      <c r="D945" s="279"/>
      <c r="E945" s="178"/>
      <c r="F945" s="172" t="str">
        <f>IF($B945="","",SUMIFS('Daily Inward'!$G:$G,'Daily Inward'!$C:$C,$B945,'Daily Inward'!$E:$E,"Inventory"))</f>
        <v/>
      </c>
      <c r="G945" s="44" t="str">
        <f>IF($B945="","",SUMIFS('Daily Issuance'!$G:$G,'Daily Issuance'!$C:$C,$B945,'Daily Issuance'!$E:$E,"Inventory"))</f>
        <v/>
      </c>
      <c r="H945" s="44" t="str">
        <f t="shared" si="28"/>
        <v/>
      </c>
      <c r="I945" s="33"/>
      <c r="J945" s="34" t="str">
        <f t="shared" si="29"/>
        <v/>
      </c>
      <c r="K945" s="46"/>
    </row>
    <row r="946" spans="1:11" ht="23.1" customHeight="1">
      <c r="A946" s="170" t="str">
        <f>IF($B946="","",MAX($A$3:A945)+1)</f>
        <v/>
      </c>
      <c r="B946" s="176"/>
      <c r="C946" s="177"/>
      <c r="D946" s="279"/>
      <c r="E946" s="178"/>
      <c r="F946" s="172" t="str">
        <f>IF($B946="","",SUMIFS('Daily Inward'!$G:$G,'Daily Inward'!$C:$C,$B946,'Daily Inward'!$E:$E,"Inventory"))</f>
        <v/>
      </c>
      <c r="G946" s="44" t="str">
        <f>IF($B946="","",SUMIFS('Daily Issuance'!$G:$G,'Daily Issuance'!$C:$C,$B946,'Daily Issuance'!$E:$E,"Inventory"))</f>
        <v/>
      </c>
      <c r="H946" s="44" t="str">
        <f t="shared" si="28"/>
        <v/>
      </c>
      <c r="I946" s="33"/>
      <c r="J946" s="34" t="str">
        <f t="shared" si="29"/>
        <v/>
      </c>
      <c r="K946" s="46"/>
    </row>
    <row r="947" spans="1:11" ht="23.1" customHeight="1">
      <c r="A947" s="170" t="str">
        <f>IF($B947="","",MAX($A$3:A946)+1)</f>
        <v/>
      </c>
      <c r="B947" s="176"/>
      <c r="C947" s="177"/>
      <c r="D947" s="279"/>
      <c r="E947" s="178"/>
      <c r="F947" s="172" t="str">
        <f>IF($B947="","",SUMIFS('Daily Inward'!$G:$G,'Daily Inward'!$C:$C,$B947,'Daily Inward'!$E:$E,"Inventory"))</f>
        <v/>
      </c>
      <c r="G947" s="44" t="str">
        <f>IF($B947="","",SUMIFS('Daily Issuance'!$G:$G,'Daily Issuance'!$C:$C,$B947,'Daily Issuance'!$E:$E,"Inventory"))</f>
        <v/>
      </c>
      <c r="H947" s="44" t="str">
        <f t="shared" si="28"/>
        <v/>
      </c>
      <c r="I947" s="33"/>
      <c r="J947" s="34" t="str">
        <f t="shared" si="29"/>
        <v/>
      </c>
      <c r="K947" s="46"/>
    </row>
    <row r="948" spans="1:11" ht="23.1" customHeight="1">
      <c r="A948" s="170" t="str">
        <f>IF($B948="","",MAX($A$3:A947)+1)</f>
        <v/>
      </c>
      <c r="B948" s="176"/>
      <c r="C948" s="177"/>
      <c r="D948" s="279"/>
      <c r="E948" s="178"/>
      <c r="F948" s="172" t="str">
        <f>IF($B948="","",SUMIFS('Daily Inward'!$G:$G,'Daily Inward'!$C:$C,$B948,'Daily Inward'!$E:$E,"Inventory"))</f>
        <v/>
      </c>
      <c r="G948" s="44" t="str">
        <f>IF($B948="","",SUMIFS('Daily Issuance'!$G:$G,'Daily Issuance'!$C:$C,$B948,'Daily Issuance'!$E:$E,"Inventory"))</f>
        <v/>
      </c>
      <c r="H948" s="44" t="str">
        <f t="shared" si="28"/>
        <v/>
      </c>
      <c r="I948" s="33"/>
      <c r="J948" s="34" t="str">
        <f t="shared" si="29"/>
        <v/>
      </c>
      <c r="K948" s="46"/>
    </row>
    <row r="949" spans="1:11" ht="23.1" customHeight="1">
      <c r="A949" s="170" t="str">
        <f>IF($B949="","",MAX($A$3:A948)+1)</f>
        <v/>
      </c>
      <c r="B949" s="176"/>
      <c r="C949" s="177"/>
      <c r="D949" s="279"/>
      <c r="E949" s="178"/>
      <c r="F949" s="172" t="str">
        <f>IF($B949="","",SUMIFS('Daily Inward'!$G:$G,'Daily Inward'!$C:$C,$B949,'Daily Inward'!$E:$E,"Inventory"))</f>
        <v/>
      </c>
      <c r="G949" s="44" t="str">
        <f>IF($B949="","",SUMIFS('Daily Issuance'!$G:$G,'Daily Issuance'!$C:$C,$B949,'Daily Issuance'!$E:$E,"Inventory"))</f>
        <v/>
      </c>
      <c r="H949" s="44" t="str">
        <f t="shared" si="28"/>
        <v/>
      </c>
      <c r="I949" s="33"/>
      <c r="J949" s="34" t="str">
        <f t="shared" si="29"/>
        <v/>
      </c>
      <c r="K949" s="46"/>
    </row>
    <row r="950" spans="1:11" ht="23.1" customHeight="1">
      <c r="A950" s="170" t="str">
        <f>IF($B950="","",MAX($A$3:A949)+1)</f>
        <v/>
      </c>
      <c r="B950" s="176"/>
      <c r="C950" s="177"/>
      <c r="D950" s="279"/>
      <c r="E950" s="178"/>
      <c r="F950" s="172" t="str">
        <f>IF($B950="","",SUMIFS('Daily Inward'!$G:$G,'Daily Inward'!$C:$C,$B950,'Daily Inward'!$E:$E,"Inventory"))</f>
        <v/>
      </c>
      <c r="G950" s="44" t="str">
        <f>IF($B950="","",SUMIFS('Daily Issuance'!$G:$G,'Daily Issuance'!$C:$C,$B950,'Daily Issuance'!$E:$E,"Inventory"))</f>
        <v/>
      </c>
      <c r="H950" s="44" t="str">
        <f t="shared" si="28"/>
        <v/>
      </c>
      <c r="I950" s="33"/>
      <c r="J950" s="34" t="str">
        <f t="shared" si="29"/>
        <v/>
      </c>
      <c r="K950" s="46"/>
    </row>
    <row r="951" spans="1:11" ht="23.1" customHeight="1">
      <c r="A951" s="170" t="str">
        <f>IF($B951="","",MAX($A$3:A950)+1)</f>
        <v/>
      </c>
      <c r="B951" s="176"/>
      <c r="C951" s="177"/>
      <c r="D951" s="279"/>
      <c r="E951" s="178"/>
      <c r="F951" s="172" t="str">
        <f>IF($B951="","",SUMIFS('Daily Inward'!$G:$G,'Daily Inward'!$C:$C,$B951,'Daily Inward'!$E:$E,"Inventory"))</f>
        <v/>
      </c>
      <c r="G951" s="44" t="str">
        <f>IF($B951="","",SUMIFS('Daily Issuance'!$G:$G,'Daily Issuance'!$C:$C,$B951,'Daily Issuance'!$E:$E,"Inventory"))</f>
        <v/>
      </c>
      <c r="H951" s="44" t="str">
        <f t="shared" si="28"/>
        <v/>
      </c>
      <c r="I951" s="33"/>
      <c r="J951" s="34" t="str">
        <f t="shared" si="29"/>
        <v/>
      </c>
      <c r="K951" s="46"/>
    </row>
    <row r="952" spans="1:11" ht="23.1" customHeight="1">
      <c r="A952" s="170" t="str">
        <f>IF($B952="","",MAX($A$3:A951)+1)</f>
        <v/>
      </c>
      <c r="B952" s="176"/>
      <c r="C952" s="177"/>
      <c r="D952" s="279"/>
      <c r="E952" s="178"/>
      <c r="F952" s="172" t="str">
        <f>IF($B952="","",SUMIFS('Daily Inward'!$G:$G,'Daily Inward'!$C:$C,$B952,'Daily Inward'!$E:$E,"Inventory"))</f>
        <v/>
      </c>
      <c r="G952" s="44" t="str">
        <f>IF($B952="","",SUMIFS('Daily Issuance'!$G:$G,'Daily Issuance'!$C:$C,$B952,'Daily Issuance'!$E:$E,"Inventory"))</f>
        <v/>
      </c>
      <c r="H952" s="44" t="str">
        <f t="shared" si="28"/>
        <v/>
      </c>
      <c r="I952" s="33"/>
      <c r="J952" s="34" t="str">
        <f t="shared" si="29"/>
        <v/>
      </c>
      <c r="K952" s="46"/>
    </row>
    <row r="953" spans="1:11" ht="23.1" customHeight="1">
      <c r="A953" s="170" t="str">
        <f>IF($B953="","",MAX($A$3:A952)+1)</f>
        <v/>
      </c>
      <c r="B953" s="176"/>
      <c r="C953" s="177"/>
      <c r="D953" s="279"/>
      <c r="E953" s="178"/>
      <c r="F953" s="172" t="str">
        <f>IF($B953="","",SUMIFS('Daily Inward'!$G:$G,'Daily Inward'!$C:$C,$B953,'Daily Inward'!$E:$E,"Inventory"))</f>
        <v/>
      </c>
      <c r="G953" s="44" t="str">
        <f>IF($B953="","",SUMIFS('Daily Issuance'!$G:$G,'Daily Issuance'!$C:$C,$B953,'Daily Issuance'!$E:$E,"Inventory"))</f>
        <v/>
      </c>
      <c r="H953" s="44" t="str">
        <f t="shared" si="28"/>
        <v/>
      </c>
      <c r="I953" s="33"/>
      <c r="J953" s="34" t="str">
        <f t="shared" si="29"/>
        <v/>
      </c>
      <c r="K953" s="46"/>
    </row>
    <row r="954" spans="1:11" ht="23.1" customHeight="1">
      <c r="A954" s="170" t="str">
        <f>IF($B954="","",MAX($A$3:A953)+1)</f>
        <v/>
      </c>
      <c r="B954" s="176"/>
      <c r="C954" s="177"/>
      <c r="D954" s="279"/>
      <c r="E954" s="178"/>
      <c r="F954" s="172" t="str">
        <f>IF($B954="","",SUMIFS('Daily Inward'!$G:$G,'Daily Inward'!$C:$C,$B954,'Daily Inward'!$E:$E,"Inventory"))</f>
        <v/>
      </c>
      <c r="G954" s="44" t="str">
        <f>IF($B954="","",SUMIFS('Daily Issuance'!$G:$G,'Daily Issuance'!$C:$C,$B954,'Daily Issuance'!$E:$E,"Inventory"))</f>
        <v/>
      </c>
      <c r="H954" s="44" t="str">
        <f t="shared" si="28"/>
        <v/>
      </c>
      <c r="I954" s="33"/>
      <c r="J954" s="34" t="str">
        <f t="shared" si="29"/>
        <v/>
      </c>
      <c r="K954" s="46"/>
    </row>
    <row r="955" spans="1:11" ht="23.1" customHeight="1">
      <c r="A955" s="170" t="str">
        <f>IF($B955="","",MAX($A$3:A954)+1)</f>
        <v/>
      </c>
      <c r="B955" s="176"/>
      <c r="C955" s="177"/>
      <c r="D955" s="279"/>
      <c r="E955" s="178"/>
      <c r="F955" s="172" t="str">
        <f>IF($B955="","",SUMIFS('Daily Inward'!$G:$G,'Daily Inward'!$C:$C,$B955,'Daily Inward'!$E:$E,"Inventory"))</f>
        <v/>
      </c>
      <c r="G955" s="44" t="str">
        <f>IF($B955="","",SUMIFS('Daily Issuance'!$G:$G,'Daily Issuance'!$C:$C,$B955,'Daily Issuance'!$E:$E,"Inventory"))</f>
        <v/>
      </c>
      <c r="H955" s="44" t="str">
        <f t="shared" si="28"/>
        <v/>
      </c>
      <c r="I955" s="33"/>
      <c r="J955" s="34" t="str">
        <f t="shared" si="29"/>
        <v/>
      </c>
      <c r="K955" s="46"/>
    </row>
    <row r="956" spans="1:11" ht="23.1" customHeight="1">
      <c r="A956" s="170" t="str">
        <f>IF($B956="","",MAX($A$3:A955)+1)</f>
        <v/>
      </c>
      <c r="B956" s="176"/>
      <c r="C956" s="177"/>
      <c r="D956" s="279"/>
      <c r="E956" s="178"/>
      <c r="F956" s="172" t="str">
        <f>IF($B956="","",SUMIFS('Daily Inward'!$G:$G,'Daily Inward'!$C:$C,$B956,'Daily Inward'!$E:$E,"Inventory"))</f>
        <v/>
      </c>
      <c r="G956" s="44" t="str">
        <f>IF($B956="","",SUMIFS('Daily Issuance'!$G:$G,'Daily Issuance'!$C:$C,$B956,'Daily Issuance'!$E:$E,"Inventory"))</f>
        <v/>
      </c>
      <c r="H956" s="44" t="str">
        <f t="shared" si="28"/>
        <v/>
      </c>
      <c r="I956" s="33"/>
      <c r="J956" s="34" t="str">
        <f t="shared" si="29"/>
        <v/>
      </c>
      <c r="K956" s="46"/>
    </row>
    <row r="957" spans="1:11" ht="23.1" customHeight="1">
      <c r="A957" s="170" t="str">
        <f>IF($B957="","",MAX($A$3:A956)+1)</f>
        <v/>
      </c>
      <c r="B957" s="176"/>
      <c r="C957" s="177"/>
      <c r="D957" s="279"/>
      <c r="E957" s="178"/>
      <c r="F957" s="172" t="str">
        <f>IF($B957="","",SUMIFS('Daily Inward'!$G:$G,'Daily Inward'!$C:$C,$B957,'Daily Inward'!$E:$E,"Inventory"))</f>
        <v/>
      </c>
      <c r="G957" s="44" t="str">
        <f>IF($B957="","",SUMIFS('Daily Issuance'!$G:$G,'Daily Issuance'!$C:$C,$B957,'Daily Issuance'!$E:$E,"Inventory"))</f>
        <v/>
      </c>
      <c r="H957" s="44" t="str">
        <f t="shared" si="28"/>
        <v/>
      </c>
      <c r="I957" s="33"/>
      <c r="J957" s="34" t="str">
        <f t="shared" si="29"/>
        <v/>
      </c>
      <c r="K957" s="46"/>
    </row>
    <row r="958" spans="1:11" ht="23.1" customHeight="1">
      <c r="A958" s="170" t="str">
        <f>IF($B958="","",MAX($A$3:A957)+1)</f>
        <v/>
      </c>
      <c r="B958" s="176"/>
      <c r="C958" s="177"/>
      <c r="D958" s="279"/>
      <c r="E958" s="178"/>
      <c r="F958" s="172" t="str">
        <f>IF($B958="","",SUMIFS('Daily Inward'!$G:$G,'Daily Inward'!$C:$C,$B958,'Daily Inward'!$E:$E,"Inventory"))</f>
        <v/>
      </c>
      <c r="G958" s="44" t="str">
        <f>IF($B958="","",SUMIFS('Daily Issuance'!$G:$G,'Daily Issuance'!$C:$C,$B958,'Daily Issuance'!$E:$E,"Inventory"))</f>
        <v/>
      </c>
      <c r="H958" s="44" t="str">
        <f t="shared" si="28"/>
        <v/>
      </c>
      <c r="I958" s="33"/>
      <c r="J958" s="34" t="str">
        <f t="shared" si="29"/>
        <v/>
      </c>
      <c r="K958" s="46"/>
    </row>
    <row r="959" spans="1:11" ht="23.1" customHeight="1">
      <c r="A959" s="170" t="str">
        <f>IF($B959="","",MAX($A$3:A958)+1)</f>
        <v/>
      </c>
      <c r="B959" s="176"/>
      <c r="C959" s="177"/>
      <c r="D959" s="279"/>
      <c r="E959" s="178"/>
      <c r="F959" s="172" t="str">
        <f>IF($B959="","",SUMIFS('Daily Inward'!$G:$G,'Daily Inward'!$C:$C,$B959,'Daily Inward'!$E:$E,"Inventory"))</f>
        <v/>
      </c>
      <c r="G959" s="44" t="str">
        <f>IF($B959="","",SUMIFS('Daily Issuance'!$G:$G,'Daily Issuance'!$C:$C,$B959,'Daily Issuance'!$E:$E,"Inventory"))</f>
        <v/>
      </c>
      <c r="H959" s="44" t="str">
        <f t="shared" si="28"/>
        <v/>
      </c>
      <c r="I959" s="33"/>
      <c r="J959" s="34" t="str">
        <f t="shared" si="29"/>
        <v/>
      </c>
      <c r="K959" s="46"/>
    </row>
    <row r="960" spans="1:11" ht="23.1" customHeight="1">
      <c r="A960" s="170" t="str">
        <f>IF($B960="","",MAX($A$3:A959)+1)</f>
        <v/>
      </c>
      <c r="B960" s="176"/>
      <c r="C960" s="177"/>
      <c r="D960" s="279"/>
      <c r="E960" s="178"/>
      <c r="F960" s="172" t="str">
        <f>IF($B960="","",SUMIFS('Daily Inward'!$G:$G,'Daily Inward'!$C:$C,$B960,'Daily Inward'!$E:$E,"Inventory"))</f>
        <v/>
      </c>
      <c r="G960" s="44" t="str">
        <f>IF($B960="","",SUMIFS('Daily Issuance'!$G:$G,'Daily Issuance'!$C:$C,$B960,'Daily Issuance'!$E:$E,"Inventory"))</f>
        <v/>
      </c>
      <c r="H960" s="44" t="str">
        <f t="shared" si="28"/>
        <v/>
      </c>
      <c r="I960" s="33"/>
      <c r="J960" s="34" t="str">
        <f t="shared" si="29"/>
        <v/>
      </c>
      <c r="K960" s="46"/>
    </row>
    <row r="961" spans="1:11" ht="23.1" customHeight="1">
      <c r="A961" s="170" t="str">
        <f>IF($B961="","",MAX($A$3:A960)+1)</f>
        <v/>
      </c>
      <c r="B961" s="176"/>
      <c r="C961" s="177"/>
      <c r="D961" s="279"/>
      <c r="E961" s="178"/>
      <c r="F961" s="172" t="str">
        <f>IF($B961="","",SUMIFS('Daily Inward'!$G:$G,'Daily Inward'!$C:$C,$B961,'Daily Inward'!$E:$E,"Inventory"))</f>
        <v/>
      </c>
      <c r="G961" s="44" t="str">
        <f>IF($B961="","",SUMIFS('Daily Issuance'!$G:$G,'Daily Issuance'!$C:$C,$B961,'Daily Issuance'!$E:$E,"Inventory"))</f>
        <v/>
      </c>
      <c r="H961" s="44" t="str">
        <f t="shared" si="28"/>
        <v/>
      </c>
      <c r="I961" s="33"/>
      <c r="J961" s="34" t="str">
        <f t="shared" si="29"/>
        <v/>
      </c>
      <c r="K961" s="46"/>
    </row>
    <row r="962" spans="1:11" ht="23.1" customHeight="1">
      <c r="A962" s="170" t="str">
        <f>IF($B962="","",MAX($A$3:A961)+1)</f>
        <v/>
      </c>
      <c r="B962" s="176"/>
      <c r="C962" s="177"/>
      <c r="D962" s="279"/>
      <c r="E962" s="178"/>
      <c r="F962" s="172" t="str">
        <f>IF($B962="","",SUMIFS('Daily Inward'!$G:$G,'Daily Inward'!$C:$C,$B962,'Daily Inward'!$E:$E,"Inventory"))</f>
        <v/>
      </c>
      <c r="G962" s="44" t="str">
        <f>IF($B962="","",SUMIFS('Daily Issuance'!$G:$G,'Daily Issuance'!$C:$C,$B962,'Daily Issuance'!$E:$E,"Inventory"))</f>
        <v/>
      </c>
      <c r="H962" s="44" t="str">
        <f t="shared" si="28"/>
        <v/>
      </c>
      <c r="I962" s="33"/>
      <c r="J962" s="34" t="str">
        <f t="shared" si="29"/>
        <v/>
      </c>
      <c r="K962" s="46"/>
    </row>
    <row r="963" spans="1:11" ht="23.1" customHeight="1">
      <c r="A963" s="170" t="str">
        <f>IF($B963="","",MAX($A$3:A962)+1)</f>
        <v/>
      </c>
      <c r="B963" s="176"/>
      <c r="C963" s="177"/>
      <c r="D963" s="279"/>
      <c r="E963" s="178"/>
      <c r="F963" s="172" t="str">
        <f>IF($B963="","",SUMIFS('Daily Inward'!$G:$G,'Daily Inward'!$C:$C,$B963,'Daily Inward'!$E:$E,"Inventory"))</f>
        <v/>
      </c>
      <c r="G963" s="44" t="str">
        <f>IF($B963="","",SUMIFS('Daily Issuance'!$G:$G,'Daily Issuance'!$C:$C,$B963,'Daily Issuance'!$E:$E,"Inventory"))</f>
        <v/>
      </c>
      <c r="H963" s="44" t="str">
        <f t="shared" ref="H963:H1002" si="30">IF($B963="","",N(E963)+N(F963)-N(G963))</f>
        <v/>
      </c>
      <c r="I963" s="33"/>
      <c r="J963" s="34" t="str">
        <f t="shared" ref="J963:J1002" si="31">IF($B963="","",H963*I963)</f>
        <v/>
      </c>
      <c r="K963" s="46"/>
    </row>
    <row r="964" spans="1:11" ht="23.1" customHeight="1">
      <c r="A964" s="170" t="str">
        <f>IF($B964="","",MAX($A$3:A963)+1)</f>
        <v/>
      </c>
      <c r="B964" s="176"/>
      <c r="C964" s="177"/>
      <c r="D964" s="279"/>
      <c r="E964" s="178"/>
      <c r="F964" s="172" t="str">
        <f>IF($B964="","",SUMIFS('Daily Inward'!$G:$G,'Daily Inward'!$C:$C,$B964,'Daily Inward'!$E:$E,"Inventory"))</f>
        <v/>
      </c>
      <c r="G964" s="44" t="str">
        <f>IF($B964="","",SUMIFS('Daily Issuance'!$G:$G,'Daily Issuance'!$C:$C,$B964,'Daily Issuance'!$E:$E,"Inventory"))</f>
        <v/>
      </c>
      <c r="H964" s="44" t="str">
        <f t="shared" si="30"/>
        <v/>
      </c>
      <c r="I964" s="33"/>
      <c r="J964" s="34" t="str">
        <f t="shared" si="31"/>
        <v/>
      </c>
      <c r="K964" s="46"/>
    </row>
    <row r="965" spans="1:11" ht="23.1" customHeight="1">
      <c r="A965" s="170" t="str">
        <f>IF($B965="","",MAX($A$3:A964)+1)</f>
        <v/>
      </c>
      <c r="B965" s="176"/>
      <c r="C965" s="177"/>
      <c r="D965" s="279"/>
      <c r="E965" s="178"/>
      <c r="F965" s="172" t="str">
        <f>IF($B965="","",SUMIFS('Daily Inward'!$G:$G,'Daily Inward'!$C:$C,$B965,'Daily Inward'!$E:$E,"Inventory"))</f>
        <v/>
      </c>
      <c r="G965" s="44" t="str">
        <f>IF($B965="","",SUMIFS('Daily Issuance'!$G:$G,'Daily Issuance'!$C:$C,$B965,'Daily Issuance'!$E:$E,"Inventory"))</f>
        <v/>
      </c>
      <c r="H965" s="44" t="str">
        <f t="shared" si="30"/>
        <v/>
      </c>
      <c r="I965" s="33"/>
      <c r="J965" s="34" t="str">
        <f t="shared" si="31"/>
        <v/>
      </c>
      <c r="K965" s="46"/>
    </row>
    <row r="966" spans="1:11" ht="23.1" customHeight="1">
      <c r="A966" s="170" t="str">
        <f>IF($B966="","",MAX($A$3:A965)+1)</f>
        <v/>
      </c>
      <c r="B966" s="176"/>
      <c r="C966" s="177"/>
      <c r="D966" s="279"/>
      <c r="E966" s="178"/>
      <c r="F966" s="172" t="str">
        <f>IF($B966="","",SUMIFS('Daily Inward'!$G:$G,'Daily Inward'!$C:$C,$B966,'Daily Inward'!$E:$E,"Inventory"))</f>
        <v/>
      </c>
      <c r="G966" s="44" t="str">
        <f>IF($B966="","",SUMIFS('Daily Issuance'!$G:$G,'Daily Issuance'!$C:$C,$B966,'Daily Issuance'!$E:$E,"Inventory"))</f>
        <v/>
      </c>
      <c r="H966" s="44" t="str">
        <f t="shared" si="30"/>
        <v/>
      </c>
      <c r="I966" s="33"/>
      <c r="J966" s="34" t="str">
        <f t="shared" si="31"/>
        <v/>
      </c>
      <c r="K966" s="46"/>
    </row>
    <row r="967" spans="1:11" ht="23.1" customHeight="1">
      <c r="A967" s="170" t="str">
        <f>IF($B967="","",MAX($A$3:A966)+1)</f>
        <v/>
      </c>
      <c r="B967" s="176"/>
      <c r="C967" s="177"/>
      <c r="D967" s="279"/>
      <c r="E967" s="178"/>
      <c r="F967" s="172" t="str">
        <f>IF($B967="","",SUMIFS('Daily Inward'!$G:$G,'Daily Inward'!$C:$C,$B967,'Daily Inward'!$E:$E,"Inventory"))</f>
        <v/>
      </c>
      <c r="G967" s="44" t="str">
        <f>IF($B967="","",SUMIFS('Daily Issuance'!$G:$G,'Daily Issuance'!$C:$C,$B967,'Daily Issuance'!$E:$E,"Inventory"))</f>
        <v/>
      </c>
      <c r="H967" s="44" t="str">
        <f t="shared" si="30"/>
        <v/>
      </c>
      <c r="I967" s="33"/>
      <c r="J967" s="34" t="str">
        <f t="shared" si="31"/>
        <v/>
      </c>
      <c r="K967" s="46"/>
    </row>
    <row r="968" spans="1:11" ht="23.1" customHeight="1">
      <c r="A968" s="170" t="str">
        <f>IF($B968="","",MAX($A$3:A967)+1)</f>
        <v/>
      </c>
      <c r="B968" s="176"/>
      <c r="C968" s="177"/>
      <c r="D968" s="279"/>
      <c r="E968" s="178"/>
      <c r="F968" s="172" t="str">
        <f>IF($B968="","",SUMIFS('Daily Inward'!$G:$G,'Daily Inward'!$C:$C,$B968,'Daily Inward'!$E:$E,"Inventory"))</f>
        <v/>
      </c>
      <c r="G968" s="44" t="str">
        <f>IF($B968="","",SUMIFS('Daily Issuance'!$G:$G,'Daily Issuance'!$C:$C,$B968,'Daily Issuance'!$E:$E,"Inventory"))</f>
        <v/>
      </c>
      <c r="H968" s="44" t="str">
        <f t="shared" si="30"/>
        <v/>
      </c>
      <c r="I968" s="33"/>
      <c r="J968" s="34" t="str">
        <f t="shared" si="31"/>
        <v/>
      </c>
      <c r="K968" s="46"/>
    </row>
    <row r="969" spans="1:11" ht="23.1" customHeight="1">
      <c r="A969" s="170" t="str">
        <f>IF($B969="","",MAX($A$3:A968)+1)</f>
        <v/>
      </c>
      <c r="B969" s="176"/>
      <c r="C969" s="177"/>
      <c r="D969" s="279"/>
      <c r="E969" s="178"/>
      <c r="F969" s="172" t="str">
        <f>IF($B969="","",SUMIFS('Daily Inward'!$G:$G,'Daily Inward'!$C:$C,$B969,'Daily Inward'!$E:$E,"Inventory"))</f>
        <v/>
      </c>
      <c r="G969" s="44" t="str">
        <f>IF($B969="","",SUMIFS('Daily Issuance'!$G:$G,'Daily Issuance'!$C:$C,$B969,'Daily Issuance'!$E:$E,"Inventory"))</f>
        <v/>
      </c>
      <c r="H969" s="44" t="str">
        <f t="shared" si="30"/>
        <v/>
      </c>
      <c r="I969" s="33"/>
      <c r="J969" s="34" t="str">
        <f t="shared" si="31"/>
        <v/>
      </c>
      <c r="K969" s="46"/>
    </row>
    <row r="970" spans="1:11" ht="23.1" customHeight="1">
      <c r="A970" s="170" t="str">
        <f>IF($B970="","",MAX($A$3:A969)+1)</f>
        <v/>
      </c>
      <c r="B970" s="176"/>
      <c r="C970" s="177"/>
      <c r="D970" s="279"/>
      <c r="E970" s="178"/>
      <c r="F970" s="172" t="str">
        <f>IF($B970="","",SUMIFS('Daily Inward'!$G:$G,'Daily Inward'!$C:$C,$B970,'Daily Inward'!$E:$E,"Inventory"))</f>
        <v/>
      </c>
      <c r="G970" s="44" t="str">
        <f>IF($B970="","",SUMIFS('Daily Issuance'!$G:$G,'Daily Issuance'!$C:$C,$B970,'Daily Issuance'!$E:$E,"Inventory"))</f>
        <v/>
      </c>
      <c r="H970" s="44" t="str">
        <f t="shared" si="30"/>
        <v/>
      </c>
      <c r="I970" s="33"/>
      <c r="J970" s="34" t="str">
        <f t="shared" si="31"/>
        <v/>
      </c>
      <c r="K970" s="46"/>
    </row>
    <row r="971" spans="1:11" ht="23.1" customHeight="1">
      <c r="A971" s="170" t="str">
        <f>IF($B971="","",MAX($A$3:A970)+1)</f>
        <v/>
      </c>
      <c r="B971" s="176"/>
      <c r="C971" s="177"/>
      <c r="D971" s="279"/>
      <c r="E971" s="178"/>
      <c r="F971" s="172" t="str">
        <f>IF($B971="","",SUMIFS('Daily Inward'!$G:$G,'Daily Inward'!$C:$C,$B971,'Daily Inward'!$E:$E,"Inventory"))</f>
        <v/>
      </c>
      <c r="G971" s="44" t="str">
        <f>IF($B971="","",SUMIFS('Daily Issuance'!$G:$G,'Daily Issuance'!$C:$C,$B971,'Daily Issuance'!$E:$E,"Inventory"))</f>
        <v/>
      </c>
      <c r="H971" s="44" t="str">
        <f t="shared" si="30"/>
        <v/>
      </c>
      <c r="I971" s="33"/>
      <c r="J971" s="34" t="str">
        <f t="shared" si="31"/>
        <v/>
      </c>
      <c r="K971" s="46"/>
    </row>
    <row r="972" spans="1:11" ht="23.1" customHeight="1">
      <c r="A972" s="170" t="str">
        <f>IF($B972="","",MAX($A$3:A971)+1)</f>
        <v/>
      </c>
      <c r="B972" s="176"/>
      <c r="C972" s="177"/>
      <c r="D972" s="279"/>
      <c r="E972" s="178"/>
      <c r="F972" s="172" t="str">
        <f>IF($B972="","",SUMIFS('Daily Inward'!$G:$G,'Daily Inward'!$C:$C,$B972,'Daily Inward'!$E:$E,"Inventory"))</f>
        <v/>
      </c>
      <c r="G972" s="44" t="str">
        <f>IF($B972="","",SUMIFS('Daily Issuance'!$G:$G,'Daily Issuance'!$C:$C,$B972,'Daily Issuance'!$E:$E,"Inventory"))</f>
        <v/>
      </c>
      <c r="H972" s="44" t="str">
        <f t="shared" si="30"/>
        <v/>
      </c>
      <c r="I972" s="33"/>
      <c r="J972" s="34" t="str">
        <f t="shared" si="31"/>
        <v/>
      </c>
      <c r="K972" s="46"/>
    </row>
    <row r="973" spans="1:11" ht="23.1" customHeight="1">
      <c r="A973" s="170" t="str">
        <f>IF($B973="","",MAX($A$3:A972)+1)</f>
        <v/>
      </c>
      <c r="B973" s="176"/>
      <c r="C973" s="177"/>
      <c r="D973" s="279"/>
      <c r="E973" s="178"/>
      <c r="F973" s="172" t="str">
        <f>IF($B973="","",SUMIFS('Daily Inward'!$G:$G,'Daily Inward'!$C:$C,$B973,'Daily Inward'!$E:$E,"Inventory"))</f>
        <v/>
      </c>
      <c r="G973" s="44" t="str">
        <f>IF($B973="","",SUMIFS('Daily Issuance'!$G:$G,'Daily Issuance'!$C:$C,$B973,'Daily Issuance'!$E:$E,"Inventory"))</f>
        <v/>
      </c>
      <c r="H973" s="44" t="str">
        <f t="shared" si="30"/>
        <v/>
      </c>
      <c r="I973" s="33"/>
      <c r="J973" s="34" t="str">
        <f t="shared" si="31"/>
        <v/>
      </c>
      <c r="K973" s="46"/>
    </row>
    <row r="974" spans="1:11" ht="23.1" customHeight="1">
      <c r="A974" s="170" t="str">
        <f>IF($B974="","",MAX($A$3:A973)+1)</f>
        <v/>
      </c>
      <c r="B974" s="176"/>
      <c r="C974" s="177"/>
      <c r="D974" s="279"/>
      <c r="E974" s="178"/>
      <c r="F974" s="172" t="str">
        <f>IF($B974="","",SUMIFS('Daily Inward'!$G:$G,'Daily Inward'!$C:$C,$B974,'Daily Inward'!$E:$E,"Inventory"))</f>
        <v/>
      </c>
      <c r="G974" s="44" t="str">
        <f>IF($B974="","",SUMIFS('Daily Issuance'!$G:$G,'Daily Issuance'!$C:$C,$B974,'Daily Issuance'!$E:$E,"Inventory"))</f>
        <v/>
      </c>
      <c r="H974" s="44" t="str">
        <f t="shared" si="30"/>
        <v/>
      </c>
      <c r="I974" s="33"/>
      <c r="J974" s="34" t="str">
        <f t="shared" si="31"/>
        <v/>
      </c>
      <c r="K974" s="46"/>
    </row>
    <row r="975" spans="1:11" ht="23.1" customHeight="1">
      <c r="A975" s="170" t="str">
        <f>IF($B975="","",MAX($A$3:A974)+1)</f>
        <v/>
      </c>
      <c r="B975" s="176"/>
      <c r="C975" s="177"/>
      <c r="D975" s="279"/>
      <c r="E975" s="178"/>
      <c r="F975" s="172" t="str">
        <f>IF($B975="","",SUMIFS('Daily Inward'!$G:$G,'Daily Inward'!$C:$C,$B975,'Daily Inward'!$E:$E,"Inventory"))</f>
        <v/>
      </c>
      <c r="G975" s="44" t="str">
        <f>IF($B975="","",SUMIFS('Daily Issuance'!$G:$G,'Daily Issuance'!$C:$C,$B975,'Daily Issuance'!$E:$E,"Inventory"))</f>
        <v/>
      </c>
      <c r="H975" s="44" t="str">
        <f t="shared" si="30"/>
        <v/>
      </c>
      <c r="I975" s="33"/>
      <c r="J975" s="34" t="str">
        <f t="shared" si="31"/>
        <v/>
      </c>
      <c r="K975" s="46"/>
    </row>
    <row r="976" spans="1:11" ht="23.1" customHeight="1">
      <c r="A976" s="170" t="str">
        <f>IF($B976="","",MAX($A$3:A975)+1)</f>
        <v/>
      </c>
      <c r="B976" s="176"/>
      <c r="C976" s="177"/>
      <c r="D976" s="279"/>
      <c r="E976" s="178"/>
      <c r="F976" s="172" t="str">
        <f>IF($B976="","",SUMIFS('Daily Inward'!$G:$G,'Daily Inward'!$C:$C,$B976,'Daily Inward'!$E:$E,"Inventory"))</f>
        <v/>
      </c>
      <c r="G976" s="44" t="str">
        <f>IF($B976="","",SUMIFS('Daily Issuance'!$G:$G,'Daily Issuance'!$C:$C,$B976,'Daily Issuance'!$E:$E,"Inventory"))</f>
        <v/>
      </c>
      <c r="H976" s="44" t="str">
        <f t="shared" si="30"/>
        <v/>
      </c>
      <c r="I976" s="33"/>
      <c r="J976" s="34" t="str">
        <f t="shared" si="31"/>
        <v/>
      </c>
      <c r="K976" s="46"/>
    </row>
    <row r="977" spans="1:11" ht="23.1" customHeight="1">
      <c r="A977" s="170" t="str">
        <f>IF($B977="","",MAX($A$3:A976)+1)</f>
        <v/>
      </c>
      <c r="B977" s="176"/>
      <c r="C977" s="177"/>
      <c r="D977" s="279"/>
      <c r="E977" s="178"/>
      <c r="F977" s="172" t="str">
        <f>IF($B977="","",SUMIFS('Daily Inward'!$G:$G,'Daily Inward'!$C:$C,$B977,'Daily Inward'!$E:$E,"Inventory"))</f>
        <v/>
      </c>
      <c r="G977" s="44" t="str">
        <f>IF($B977="","",SUMIFS('Daily Issuance'!$G:$G,'Daily Issuance'!$C:$C,$B977,'Daily Issuance'!$E:$E,"Inventory"))</f>
        <v/>
      </c>
      <c r="H977" s="44" t="str">
        <f t="shared" si="30"/>
        <v/>
      </c>
      <c r="I977" s="33"/>
      <c r="J977" s="34" t="str">
        <f t="shared" si="31"/>
        <v/>
      </c>
      <c r="K977" s="46"/>
    </row>
    <row r="978" spans="1:11" ht="23.1" customHeight="1">
      <c r="A978" s="170" t="str">
        <f>IF($B978="","",MAX($A$3:A977)+1)</f>
        <v/>
      </c>
      <c r="B978" s="176"/>
      <c r="C978" s="177"/>
      <c r="D978" s="279"/>
      <c r="E978" s="178"/>
      <c r="F978" s="172" t="str">
        <f>IF($B978="","",SUMIFS('Daily Inward'!$G:$G,'Daily Inward'!$C:$C,$B978,'Daily Inward'!$E:$E,"Inventory"))</f>
        <v/>
      </c>
      <c r="G978" s="44" t="str">
        <f>IF($B978="","",SUMIFS('Daily Issuance'!$G:$G,'Daily Issuance'!$C:$C,$B978,'Daily Issuance'!$E:$E,"Inventory"))</f>
        <v/>
      </c>
      <c r="H978" s="44" t="str">
        <f t="shared" si="30"/>
        <v/>
      </c>
      <c r="I978" s="33"/>
      <c r="J978" s="34" t="str">
        <f t="shared" si="31"/>
        <v/>
      </c>
      <c r="K978" s="46"/>
    </row>
    <row r="979" spans="1:11" ht="23.1" customHeight="1">
      <c r="A979" s="170" t="str">
        <f>IF($B979="","",MAX($A$3:A978)+1)</f>
        <v/>
      </c>
      <c r="B979" s="176"/>
      <c r="C979" s="177"/>
      <c r="D979" s="279"/>
      <c r="E979" s="178"/>
      <c r="F979" s="172" t="str">
        <f>IF($B979="","",SUMIFS('Daily Inward'!$G:$G,'Daily Inward'!$C:$C,$B979,'Daily Inward'!$E:$E,"Inventory"))</f>
        <v/>
      </c>
      <c r="G979" s="44" t="str">
        <f>IF($B979="","",SUMIFS('Daily Issuance'!$G:$G,'Daily Issuance'!$C:$C,$B979,'Daily Issuance'!$E:$E,"Inventory"))</f>
        <v/>
      </c>
      <c r="H979" s="44" t="str">
        <f t="shared" si="30"/>
        <v/>
      </c>
      <c r="I979" s="33"/>
      <c r="J979" s="34" t="str">
        <f t="shared" si="31"/>
        <v/>
      </c>
      <c r="K979" s="46"/>
    </row>
    <row r="980" spans="1:11" ht="23.1" customHeight="1">
      <c r="A980" s="170" t="str">
        <f>IF($B980="","",MAX($A$3:A979)+1)</f>
        <v/>
      </c>
      <c r="B980" s="176"/>
      <c r="C980" s="177"/>
      <c r="D980" s="279"/>
      <c r="E980" s="178"/>
      <c r="F980" s="172" t="str">
        <f>IF($B980="","",SUMIFS('Daily Inward'!$G:$G,'Daily Inward'!$C:$C,$B980,'Daily Inward'!$E:$E,"Inventory"))</f>
        <v/>
      </c>
      <c r="G980" s="44" t="str">
        <f>IF($B980="","",SUMIFS('Daily Issuance'!$G:$G,'Daily Issuance'!$C:$C,$B980,'Daily Issuance'!$E:$E,"Inventory"))</f>
        <v/>
      </c>
      <c r="H980" s="44" t="str">
        <f t="shared" si="30"/>
        <v/>
      </c>
      <c r="I980" s="33"/>
      <c r="J980" s="34" t="str">
        <f t="shared" si="31"/>
        <v/>
      </c>
      <c r="K980" s="46"/>
    </row>
    <row r="981" spans="1:11" ht="23.1" customHeight="1">
      <c r="A981" s="170" t="str">
        <f>IF($B981="","",MAX($A$3:A980)+1)</f>
        <v/>
      </c>
      <c r="B981" s="176"/>
      <c r="C981" s="177"/>
      <c r="D981" s="279"/>
      <c r="E981" s="178"/>
      <c r="F981" s="172" t="str">
        <f>IF($B981="","",SUMIFS('Daily Inward'!$G:$G,'Daily Inward'!$C:$C,$B981,'Daily Inward'!$E:$E,"Inventory"))</f>
        <v/>
      </c>
      <c r="G981" s="44" t="str">
        <f>IF($B981="","",SUMIFS('Daily Issuance'!$G:$G,'Daily Issuance'!$C:$C,$B981,'Daily Issuance'!$E:$E,"Inventory"))</f>
        <v/>
      </c>
      <c r="H981" s="44" t="str">
        <f t="shared" si="30"/>
        <v/>
      </c>
      <c r="I981" s="33"/>
      <c r="J981" s="34" t="str">
        <f t="shared" si="31"/>
        <v/>
      </c>
      <c r="K981" s="46"/>
    </row>
    <row r="982" spans="1:11" ht="23.1" customHeight="1">
      <c r="A982" s="170" t="str">
        <f>IF($B982="","",MAX($A$3:A981)+1)</f>
        <v/>
      </c>
      <c r="B982" s="176"/>
      <c r="C982" s="177"/>
      <c r="D982" s="279"/>
      <c r="E982" s="178"/>
      <c r="F982" s="172" t="str">
        <f>IF($B982="","",SUMIFS('Daily Inward'!$G:$G,'Daily Inward'!$C:$C,$B982,'Daily Inward'!$E:$E,"Inventory"))</f>
        <v/>
      </c>
      <c r="G982" s="44" t="str">
        <f>IF($B982="","",SUMIFS('Daily Issuance'!$G:$G,'Daily Issuance'!$C:$C,$B982,'Daily Issuance'!$E:$E,"Inventory"))</f>
        <v/>
      </c>
      <c r="H982" s="44" t="str">
        <f t="shared" si="30"/>
        <v/>
      </c>
      <c r="I982" s="33"/>
      <c r="J982" s="34" t="str">
        <f t="shared" si="31"/>
        <v/>
      </c>
      <c r="K982" s="46"/>
    </row>
    <row r="983" spans="1:11" ht="23.1" customHeight="1">
      <c r="A983" s="170" t="str">
        <f>IF($B983="","",MAX($A$3:A982)+1)</f>
        <v/>
      </c>
      <c r="B983" s="176"/>
      <c r="C983" s="177"/>
      <c r="D983" s="279"/>
      <c r="E983" s="178"/>
      <c r="F983" s="172" t="str">
        <f>IF($B983="","",SUMIFS('Daily Inward'!$G:$G,'Daily Inward'!$C:$C,$B983,'Daily Inward'!$E:$E,"Inventory"))</f>
        <v/>
      </c>
      <c r="G983" s="44" t="str">
        <f>IF($B983="","",SUMIFS('Daily Issuance'!$G:$G,'Daily Issuance'!$C:$C,$B983,'Daily Issuance'!$E:$E,"Inventory"))</f>
        <v/>
      </c>
      <c r="H983" s="44" t="str">
        <f t="shared" si="30"/>
        <v/>
      </c>
      <c r="I983" s="33"/>
      <c r="J983" s="34" t="str">
        <f t="shared" si="31"/>
        <v/>
      </c>
      <c r="K983" s="46"/>
    </row>
    <row r="984" spans="1:11" ht="23.1" customHeight="1">
      <c r="A984" s="170" t="str">
        <f>IF($B984="","",MAX($A$3:A983)+1)</f>
        <v/>
      </c>
      <c r="B984" s="176"/>
      <c r="C984" s="177"/>
      <c r="D984" s="279"/>
      <c r="E984" s="178"/>
      <c r="F984" s="172" t="str">
        <f>IF($B984="","",SUMIFS('Daily Inward'!$G:$G,'Daily Inward'!$C:$C,$B984,'Daily Inward'!$E:$E,"Inventory"))</f>
        <v/>
      </c>
      <c r="G984" s="44" t="str">
        <f>IF($B984="","",SUMIFS('Daily Issuance'!$G:$G,'Daily Issuance'!$C:$C,$B984,'Daily Issuance'!$E:$E,"Inventory"))</f>
        <v/>
      </c>
      <c r="H984" s="44" t="str">
        <f t="shared" si="30"/>
        <v/>
      </c>
      <c r="I984" s="33"/>
      <c r="J984" s="34" t="str">
        <f t="shared" si="31"/>
        <v/>
      </c>
      <c r="K984" s="46"/>
    </row>
    <row r="985" spans="1:11" ht="23.1" customHeight="1">
      <c r="A985" s="170" t="str">
        <f>IF($B985="","",MAX($A$3:A984)+1)</f>
        <v/>
      </c>
      <c r="B985" s="176"/>
      <c r="C985" s="177"/>
      <c r="D985" s="279"/>
      <c r="E985" s="178"/>
      <c r="F985" s="172" t="str">
        <f>IF($B985="","",SUMIFS('Daily Inward'!$G:$G,'Daily Inward'!$C:$C,$B985,'Daily Inward'!$E:$E,"Inventory"))</f>
        <v/>
      </c>
      <c r="G985" s="44" t="str">
        <f>IF($B985="","",SUMIFS('Daily Issuance'!$G:$G,'Daily Issuance'!$C:$C,$B985,'Daily Issuance'!$E:$E,"Inventory"))</f>
        <v/>
      </c>
      <c r="H985" s="44" t="str">
        <f t="shared" si="30"/>
        <v/>
      </c>
      <c r="I985" s="33"/>
      <c r="J985" s="34" t="str">
        <f t="shared" si="31"/>
        <v/>
      </c>
      <c r="K985" s="46"/>
    </row>
    <row r="986" spans="1:11" ht="23.1" customHeight="1">
      <c r="A986" s="170" t="str">
        <f>IF($B986="","",MAX($A$3:A985)+1)</f>
        <v/>
      </c>
      <c r="B986" s="176"/>
      <c r="C986" s="177"/>
      <c r="D986" s="279"/>
      <c r="E986" s="178"/>
      <c r="F986" s="172" t="str">
        <f>IF($B986="","",SUMIFS('Daily Inward'!$G:$G,'Daily Inward'!$C:$C,$B986,'Daily Inward'!$E:$E,"Inventory"))</f>
        <v/>
      </c>
      <c r="G986" s="44" t="str">
        <f>IF($B986="","",SUMIFS('Daily Issuance'!$G:$G,'Daily Issuance'!$C:$C,$B986,'Daily Issuance'!$E:$E,"Inventory"))</f>
        <v/>
      </c>
      <c r="H986" s="44" t="str">
        <f t="shared" si="30"/>
        <v/>
      </c>
      <c r="I986" s="33"/>
      <c r="J986" s="34" t="str">
        <f t="shared" si="31"/>
        <v/>
      </c>
      <c r="K986" s="46"/>
    </row>
    <row r="987" spans="1:11" ht="23.1" customHeight="1">
      <c r="A987" s="170" t="str">
        <f>IF($B987="","",MAX($A$3:A986)+1)</f>
        <v/>
      </c>
      <c r="B987" s="176"/>
      <c r="C987" s="177"/>
      <c r="D987" s="279"/>
      <c r="E987" s="178"/>
      <c r="F987" s="172" t="str">
        <f>IF($B987="","",SUMIFS('Daily Inward'!$G:$G,'Daily Inward'!$C:$C,$B987,'Daily Inward'!$E:$E,"Inventory"))</f>
        <v/>
      </c>
      <c r="G987" s="44" t="str">
        <f>IF($B987="","",SUMIFS('Daily Issuance'!$G:$G,'Daily Issuance'!$C:$C,$B987,'Daily Issuance'!$E:$E,"Inventory"))</f>
        <v/>
      </c>
      <c r="H987" s="44" t="str">
        <f t="shared" si="30"/>
        <v/>
      </c>
      <c r="I987" s="33"/>
      <c r="J987" s="34" t="str">
        <f t="shared" si="31"/>
        <v/>
      </c>
      <c r="K987" s="46"/>
    </row>
    <row r="988" spans="1:11" ht="23.1" customHeight="1">
      <c r="A988" s="170" t="str">
        <f>IF($B988="","",MAX($A$3:A987)+1)</f>
        <v/>
      </c>
      <c r="B988" s="176"/>
      <c r="C988" s="177"/>
      <c r="D988" s="279"/>
      <c r="E988" s="178"/>
      <c r="F988" s="172" t="str">
        <f>IF($B988="","",SUMIFS('Daily Inward'!$G:$G,'Daily Inward'!$C:$C,$B988,'Daily Inward'!$E:$E,"Inventory"))</f>
        <v/>
      </c>
      <c r="G988" s="44" t="str">
        <f>IF($B988="","",SUMIFS('Daily Issuance'!$G:$G,'Daily Issuance'!$C:$C,$B988,'Daily Issuance'!$E:$E,"Inventory"))</f>
        <v/>
      </c>
      <c r="H988" s="44" t="str">
        <f t="shared" si="30"/>
        <v/>
      </c>
      <c r="I988" s="33"/>
      <c r="J988" s="34" t="str">
        <f t="shared" si="31"/>
        <v/>
      </c>
      <c r="K988" s="46"/>
    </row>
    <row r="989" spans="1:11" ht="23.1" customHeight="1">
      <c r="A989" s="170" t="str">
        <f>IF($B989="","",MAX($A$3:A988)+1)</f>
        <v/>
      </c>
      <c r="B989" s="176"/>
      <c r="C989" s="177"/>
      <c r="D989" s="279"/>
      <c r="E989" s="178"/>
      <c r="F989" s="172" t="str">
        <f>IF($B989="","",SUMIFS('Daily Inward'!$G:$G,'Daily Inward'!$C:$C,$B989,'Daily Inward'!$E:$E,"Inventory"))</f>
        <v/>
      </c>
      <c r="G989" s="44" t="str">
        <f>IF($B989="","",SUMIFS('Daily Issuance'!$G:$G,'Daily Issuance'!$C:$C,$B989,'Daily Issuance'!$E:$E,"Inventory"))</f>
        <v/>
      </c>
      <c r="H989" s="44" t="str">
        <f t="shared" si="30"/>
        <v/>
      </c>
      <c r="I989" s="33"/>
      <c r="J989" s="34" t="str">
        <f t="shared" si="31"/>
        <v/>
      </c>
      <c r="K989" s="46"/>
    </row>
    <row r="990" spans="1:11" ht="23.1" customHeight="1">
      <c r="A990" s="170" t="str">
        <f>IF($B990="","",MAX($A$3:A989)+1)</f>
        <v/>
      </c>
      <c r="B990" s="176"/>
      <c r="C990" s="177"/>
      <c r="D990" s="279"/>
      <c r="E990" s="178"/>
      <c r="F990" s="172" t="str">
        <f>IF($B990="","",SUMIFS('Daily Inward'!$G:$G,'Daily Inward'!$C:$C,$B990,'Daily Inward'!$E:$E,"Inventory"))</f>
        <v/>
      </c>
      <c r="G990" s="44" t="str">
        <f>IF($B990="","",SUMIFS('Daily Issuance'!$G:$G,'Daily Issuance'!$C:$C,$B990,'Daily Issuance'!$E:$E,"Inventory"))</f>
        <v/>
      </c>
      <c r="H990" s="44" t="str">
        <f t="shared" si="30"/>
        <v/>
      </c>
      <c r="I990" s="33"/>
      <c r="J990" s="34" t="str">
        <f t="shared" si="31"/>
        <v/>
      </c>
      <c r="K990" s="46"/>
    </row>
    <row r="991" spans="1:11" ht="23.1" customHeight="1">
      <c r="A991" s="170" t="str">
        <f>IF($B991="","",MAX($A$3:A990)+1)</f>
        <v/>
      </c>
      <c r="B991" s="176"/>
      <c r="C991" s="177"/>
      <c r="D991" s="279"/>
      <c r="E991" s="178"/>
      <c r="F991" s="172" t="str">
        <f>IF($B991="","",SUMIFS('Daily Inward'!$G:$G,'Daily Inward'!$C:$C,$B991,'Daily Inward'!$E:$E,"Inventory"))</f>
        <v/>
      </c>
      <c r="G991" s="44" t="str">
        <f>IF($B991="","",SUMIFS('Daily Issuance'!$G:$G,'Daily Issuance'!$C:$C,$B991,'Daily Issuance'!$E:$E,"Inventory"))</f>
        <v/>
      </c>
      <c r="H991" s="44" t="str">
        <f t="shared" si="30"/>
        <v/>
      </c>
      <c r="I991" s="33"/>
      <c r="J991" s="34" t="str">
        <f t="shared" si="31"/>
        <v/>
      </c>
      <c r="K991" s="46"/>
    </row>
    <row r="992" spans="1:11" ht="23.1" customHeight="1">
      <c r="A992" s="170" t="str">
        <f>IF($B992="","",MAX($A$3:A991)+1)</f>
        <v/>
      </c>
      <c r="B992" s="176"/>
      <c r="C992" s="177"/>
      <c r="D992" s="279"/>
      <c r="E992" s="178"/>
      <c r="F992" s="172" t="str">
        <f>IF($B992="","",SUMIFS('Daily Inward'!$G:$G,'Daily Inward'!$C:$C,$B992,'Daily Inward'!$E:$E,"Inventory"))</f>
        <v/>
      </c>
      <c r="G992" s="44" t="str">
        <f>IF($B992="","",SUMIFS('Daily Issuance'!$G:$G,'Daily Issuance'!$C:$C,$B992,'Daily Issuance'!$E:$E,"Inventory"))</f>
        <v/>
      </c>
      <c r="H992" s="44" t="str">
        <f t="shared" si="30"/>
        <v/>
      </c>
      <c r="I992" s="33"/>
      <c r="J992" s="34" t="str">
        <f t="shared" si="31"/>
        <v/>
      </c>
      <c r="K992" s="46"/>
    </row>
    <row r="993" spans="1:11" ht="23.1" customHeight="1">
      <c r="A993" s="170" t="str">
        <f>IF($B993="","",MAX($A$3:A992)+1)</f>
        <v/>
      </c>
      <c r="B993" s="176"/>
      <c r="C993" s="177"/>
      <c r="D993" s="279"/>
      <c r="E993" s="178"/>
      <c r="F993" s="172" t="str">
        <f>IF($B993="","",SUMIFS('Daily Inward'!$G:$G,'Daily Inward'!$C:$C,$B993,'Daily Inward'!$E:$E,"Inventory"))</f>
        <v/>
      </c>
      <c r="G993" s="44" t="str">
        <f>IF($B993="","",SUMIFS('Daily Issuance'!$G:$G,'Daily Issuance'!$C:$C,$B993,'Daily Issuance'!$E:$E,"Inventory"))</f>
        <v/>
      </c>
      <c r="H993" s="44" t="str">
        <f t="shared" si="30"/>
        <v/>
      </c>
      <c r="I993" s="33"/>
      <c r="J993" s="34" t="str">
        <f t="shared" si="31"/>
        <v/>
      </c>
      <c r="K993" s="46"/>
    </row>
    <row r="994" spans="1:11" ht="23.1" customHeight="1">
      <c r="A994" s="170" t="str">
        <f>IF($B994="","",MAX($A$3:A993)+1)</f>
        <v/>
      </c>
      <c r="B994" s="176"/>
      <c r="C994" s="177"/>
      <c r="D994" s="279"/>
      <c r="E994" s="178"/>
      <c r="F994" s="172" t="str">
        <f>IF($B994="","",SUMIFS('Daily Inward'!$G:$G,'Daily Inward'!$C:$C,$B994,'Daily Inward'!$E:$E,"Inventory"))</f>
        <v/>
      </c>
      <c r="G994" s="44" t="str">
        <f>IF($B994="","",SUMIFS('Daily Issuance'!$G:$G,'Daily Issuance'!$C:$C,$B994,'Daily Issuance'!$E:$E,"Inventory"))</f>
        <v/>
      </c>
      <c r="H994" s="44" t="str">
        <f t="shared" si="30"/>
        <v/>
      </c>
      <c r="I994" s="33"/>
      <c r="J994" s="34" t="str">
        <f t="shared" si="31"/>
        <v/>
      </c>
      <c r="K994" s="46"/>
    </row>
    <row r="995" spans="1:11" ht="23.1" customHeight="1">
      <c r="A995" s="170" t="str">
        <f>IF($B995="","",MAX($A$3:A994)+1)</f>
        <v/>
      </c>
      <c r="B995" s="176"/>
      <c r="C995" s="177"/>
      <c r="D995" s="279"/>
      <c r="E995" s="178"/>
      <c r="F995" s="172" t="str">
        <f>IF($B995="","",SUMIFS('Daily Inward'!$G:$G,'Daily Inward'!$C:$C,$B995,'Daily Inward'!$E:$E,"Inventory"))</f>
        <v/>
      </c>
      <c r="G995" s="44" t="str">
        <f>IF($B995="","",SUMIFS('Daily Issuance'!$G:$G,'Daily Issuance'!$C:$C,$B995,'Daily Issuance'!$E:$E,"Inventory"))</f>
        <v/>
      </c>
      <c r="H995" s="44" t="str">
        <f t="shared" si="30"/>
        <v/>
      </c>
      <c r="I995" s="33"/>
      <c r="J995" s="34" t="str">
        <f t="shared" si="31"/>
        <v/>
      </c>
      <c r="K995" s="46"/>
    </row>
    <row r="996" spans="1:11" ht="23.1" customHeight="1">
      <c r="A996" s="170" t="str">
        <f>IF($B996="","",MAX($A$3:A995)+1)</f>
        <v/>
      </c>
      <c r="B996" s="176"/>
      <c r="C996" s="177"/>
      <c r="D996" s="279"/>
      <c r="E996" s="178"/>
      <c r="F996" s="172" t="str">
        <f>IF($B996="","",SUMIFS('Daily Inward'!$G:$G,'Daily Inward'!$C:$C,$B996,'Daily Inward'!$E:$E,"Inventory"))</f>
        <v/>
      </c>
      <c r="G996" s="44" t="str">
        <f>IF($B996="","",SUMIFS('Daily Issuance'!$G:$G,'Daily Issuance'!$C:$C,$B996,'Daily Issuance'!$E:$E,"Inventory"))</f>
        <v/>
      </c>
      <c r="H996" s="44" t="str">
        <f t="shared" si="30"/>
        <v/>
      </c>
      <c r="I996" s="33"/>
      <c r="J996" s="34" t="str">
        <f t="shared" si="31"/>
        <v/>
      </c>
      <c r="K996" s="46"/>
    </row>
    <row r="997" spans="1:11" ht="23.1" customHeight="1">
      <c r="A997" s="170" t="str">
        <f>IF($B997="","",MAX($A$3:A996)+1)</f>
        <v/>
      </c>
      <c r="B997" s="176"/>
      <c r="C997" s="177"/>
      <c r="D997" s="279"/>
      <c r="E997" s="178"/>
      <c r="F997" s="172" t="str">
        <f>IF($B997="","",SUMIFS('Daily Inward'!$G:$G,'Daily Inward'!$C:$C,$B997,'Daily Inward'!$E:$E,"Inventory"))</f>
        <v/>
      </c>
      <c r="G997" s="44" t="str">
        <f>IF($B997="","",SUMIFS('Daily Issuance'!$G:$G,'Daily Issuance'!$C:$C,$B997,'Daily Issuance'!$E:$E,"Inventory"))</f>
        <v/>
      </c>
      <c r="H997" s="44" t="str">
        <f t="shared" si="30"/>
        <v/>
      </c>
      <c r="I997" s="33"/>
      <c r="J997" s="34" t="str">
        <f t="shared" si="31"/>
        <v/>
      </c>
      <c r="K997" s="46"/>
    </row>
    <row r="998" spans="1:11" ht="23.1" customHeight="1">
      <c r="A998" s="170" t="str">
        <f>IF($B998="","",MAX($A$3:A997)+1)</f>
        <v/>
      </c>
      <c r="B998" s="176"/>
      <c r="C998" s="177"/>
      <c r="D998" s="279"/>
      <c r="E998" s="178"/>
      <c r="F998" s="172" t="str">
        <f>IF($B998="","",SUMIFS('Daily Inward'!$G:$G,'Daily Inward'!$C:$C,$B998,'Daily Inward'!$E:$E,"Inventory"))</f>
        <v/>
      </c>
      <c r="G998" s="44" t="str">
        <f>IF($B998="","",SUMIFS('Daily Issuance'!$G:$G,'Daily Issuance'!$C:$C,$B998,'Daily Issuance'!$E:$E,"Inventory"))</f>
        <v/>
      </c>
      <c r="H998" s="44" t="str">
        <f t="shared" si="30"/>
        <v/>
      </c>
      <c r="I998" s="33"/>
      <c r="J998" s="34" t="str">
        <f t="shared" si="31"/>
        <v/>
      </c>
      <c r="K998" s="46"/>
    </row>
    <row r="999" spans="1:11" ht="23.1" customHeight="1">
      <c r="A999" s="170" t="str">
        <f>IF($B999="","",MAX($A$3:A998)+1)</f>
        <v/>
      </c>
      <c r="B999" s="176"/>
      <c r="C999" s="177"/>
      <c r="D999" s="279"/>
      <c r="E999" s="178"/>
      <c r="F999" s="172" t="str">
        <f>IF($B999="","",SUMIFS('Daily Inward'!$G:$G,'Daily Inward'!$C:$C,$B999,'Daily Inward'!$E:$E,"Inventory"))</f>
        <v/>
      </c>
      <c r="G999" s="44" t="str">
        <f>IF($B999="","",SUMIFS('Daily Issuance'!$G:$G,'Daily Issuance'!$C:$C,$B999,'Daily Issuance'!$E:$E,"Inventory"))</f>
        <v/>
      </c>
      <c r="H999" s="44" t="str">
        <f t="shared" si="30"/>
        <v/>
      </c>
      <c r="I999" s="33"/>
      <c r="J999" s="34" t="str">
        <f t="shared" si="31"/>
        <v/>
      </c>
      <c r="K999" s="46"/>
    </row>
    <row r="1000" spans="1:11" ht="23.1" customHeight="1">
      <c r="A1000" s="170" t="str">
        <f>IF($B1000="","",MAX($A$3:A999)+1)</f>
        <v/>
      </c>
      <c r="B1000" s="176"/>
      <c r="C1000" s="177"/>
      <c r="D1000" s="279"/>
      <c r="E1000" s="178"/>
      <c r="F1000" s="172" t="str">
        <f>IF($B1000="","",SUMIFS('Daily Inward'!$G:$G,'Daily Inward'!$C:$C,$B1000,'Daily Inward'!$E:$E,"Inventory"))</f>
        <v/>
      </c>
      <c r="G1000" s="44" t="str">
        <f>IF($B1000="","",SUMIFS('Daily Issuance'!$G:$G,'Daily Issuance'!$C:$C,$B1000,'Daily Issuance'!$E:$E,"Inventory"))</f>
        <v/>
      </c>
      <c r="H1000" s="44" t="str">
        <f t="shared" si="30"/>
        <v/>
      </c>
      <c r="I1000" s="33"/>
      <c r="J1000" s="34" t="str">
        <f t="shared" si="31"/>
        <v/>
      </c>
      <c r="K1000" s="46"/>
    </row>
    <row r="1001" spans="1:11" ht="23.1" customHeight="1">
      <c r="A1001" s="170" t="str">
        <f>IF($B1001="","",MAX($A$3:A1000)+1)</f>
        <v/>
      </c>
      <c r="B1001" s="176"/>
      <c r="C1001" s="177"/>
      <c r="D1001" s="279"/>
      <c r="E1001" s="178"/>
      <c r="F1001" s="172" t="str">
        <f>IF($B1001="","",SUMIFS('Daily Inward'!$G:$G,'Daily Inward'!$C:$C,$B1001,'Daily Inward'!$E:$E,"Inventory"))</f>
        <v/>
      </c>
      <c r="G1001" s="44" t="str">
        <f>IF($B1001="","",SUMIFS('Daily Issuance'!$G:$G,'Daily Issuance'!$C:$C,$B1001,'Daily Issuance'!$E:$E,"Inventory"))</f>
        <v/>
      </c>
      <c r="H1001" s="44" t="str">
        <f t="shared" si="30"/>
        <v/>
      </c>
      <c r="I1001" s="33"/>
      <c r="J1001" s="34" t="str">
        <f t="shared" si="31"/>
        <v/>
      </c>
      <c r="K1001" s="46"/>
    </row>
    <row r="1002" spans="1:11" ht="23.1" customHeight="1">
      <c r="A1002" s="170" t="str">
        <f>IF($B1002="","",MAX($A$3:A1001)+1)</f>
        <v/>
      </c>
      <c r="B1002" s="176"/>
      <c r="C1002" s="177"/>
      <c r="D1002" s="279"/>
      <c r="E1002" s="178"/>
      <c r="F1002" s="172" t="str">
        <f>IF($B1002="","",SUMIFS('Daily Inward'!$G:$G,'Daily Inward'!$C:$C,$B1002,'Daily Inward'!$E:$E,"Inventory"))</f>
        <v/>
      </c>
      <c r="G1002" s="44" t="str">
        <f>IF($B1002="","",SUMIFS('Daily Issuance'!$G:$G,'Daily Issuance'!$C:$C,$B1002,'Daily Issuance'!$E:$E,"Inventory"))</f>
        <v/>
      </c>
      <c r="H1002" s="44" t="str">
        <f t="shared" si="30"/>
        <v/>
      </c>
      <c r="I1002" s="33"/>
      <c r="J1002" s="34" t="str">
        <f t="shared" si="31"/>
        <v/>
      </c>
      <c r="K1002" s="46"/>
    </row>
  </sheetData>
  <mergeCells count="2">
    <mergeCell ref="A2:K2"/>
    <mergeCell ref="A1:K1"/>
  </mergeCells>
  <conditionalFormatting sqref="H4:H1002">
    <cfRule type="expression" dxfId="114" priority="1">
      <formula>AND($H4&lt;&gt;"",OR($H4=0,$H4=1))</formula>
    </cfRule>
  </conditionalFormatting>
  <conditionalFormatting sqref="H4:H1002">
    <cfRule type="expression" dxfId="113" priority="2">
      <formula>AND($H4&lt;&gt;"",$H4&lt;&gt;0,$H4&lt;&gt;1)</formula>
    </cfRule>
  </conditionalFormatting>
  <pageMargins left="0.25" right="0.25" top="0.75" bottom="0.75" header="0.3" footer="0.3"/>
  <pageSetup paperSize="5" scale="1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4472C4"/>
  </sheetPr>
  <dimension ref="A1:K997"/>
  <sheetViews>
    <sheetView showGridLines="0" zoomScaleNormal="100" workbookViewId="0">
      <pane ySplit="3" topLeftCell="A361" activePane="bottomLeft" state="frozen"/>
      <selection pane="bottomLeft" activeCell="C637" sqref="C637"/>
    </sheetView>
  </sheetViews>
  <sheetFormatPr defaultColWidth="9.140625" defaultRowHeight="15" customHeight="1"/>
  <cols>
    <col min="1" max="1" width="9.5703125" style="10" customWidth="1"/>
    <col min="2" max="2" width="13.28515625" style="16" customWidth="1"/>
    <col min="3" max="3" width="49.5703125" style="49" customWidth="1"/>
    <col min="4" max="4" width="11" style="286" customWidth="1"/>
    <col min="5" max="5" width="15.5703125" style="12" customWidth="1"/>
    <col min="6" max="7" width="16.42578125" style="12" customWidth="1"/>
    <col min="8" max="8" width="16.42578125" style="8" customWidth="1"/>
    <col min="9" max="9" width="19.140625" style="12" customWidth="1"/>
    <col min="10" max="10" width="20.5703125" style="12" customWidth="1"/>
    <col min="11" max="11" width="24.7109375" style="10" customWidth="1"/>
    <col min="12" max="12" width="9.140625" style="2" customWidth="1"/>
    <col min="13" max="16384" width="9.140625" style="2"/>
  </cols>
  <sheetData>
    <row r="1" spans="1:11" ht="30" customHeight="1" thickTop="1" thickBot="1">
      <c r="A1" s="468" t="s">
        <v>570</v>
      </c>
      <c r="B1" s="469"/>
      <c r="C1" s="469"/>
      <c r="D1" s="469"/>
      <c r="E1" s="469"/>
      <c r="F1" s="469"/>
      <c r="G1" s="469"/>
      <c r="H1" s="469"/>
      <c r="I1" s="469"/>
      <c r="J1" s="469"/>
      <c r="K1" s="470"/>
    </row>
    <row r="2" spans="1:11" ht="24" customHeight="1" thickTop="1" thickBot="1">
      <c r="A2" s="471" t="s">
        <v>1</v>
      </c>
      <c r="B2" s="472"/>
      <c r="C2" s="472"/>
      <c r="D2" s="472"/>
      <c r="E2" s="472"/>
      <c r="F2" s="472"/>
      <c r="G2" s="472"/>
      <c r="H2" s="472"/>
      <c r="I2" s="472"/>
      <c r="J2" s="472"/>
      <c r="K2" s="473"/>
    </row>
    <row r="3" spans="1:11" ht="24" customHeight="1" thickTop="1" thickBot="1">
      <c r="A3" s="173" t="s">
        <v>90</v>
      </c>
      <c r="B3" s="182" t="s">
        <v>91</v>
      </c>
      <c r="C3" s="191" t="s">
        <v>92</v>
      </c>
      <c r="D3" s="182" t="s">
        <v>93</v>
      </c>
      <c r="E3" s="182" t="s">
        <v>94</v>
      </c>
      <c r="F3" s="184" t="s">
        <v>95</v>
      </c>
      <c r="G3" s="174" t="s">
        <v>96</v>
      </c>
      <c r="H3" s="190" t="s">
        <v>97</v>
      </c>
      <c r="I3" s="174" t="s">
        <v>98</v>
      </c>
      <c r="J3" s="174" t="s">
        <v>99</v>
      </c>
      <c r="K3" s="175" t="s">
        <v>100</v>
      </c>
    </row>
    <row r="4" spans="1:11" s="24" customFormat="1" ht="23.1" customHeight="1" thickTop="1">
      <c r="A4" s="169">
        <f>IF($B4="","",MAX($A$3:A3)+1)</f>
        <v>1</v>
      </c>
      <c r="B4" s="179">
        <v>1618</v>
      </c>
      <c r="C4" s="180" t="s">
        <v>571</v>
      </c>
      <c r="D4" s="284" t="s">
        <v>102</v>
      </c>
      <c r="E4" s="280">
        <v>2</v>
      </c>
      <c r="F4" s="282">
        <f>IF($B4="","",SUMIFS('Daily Inward'!$G:$G,'Daily Inward'!$C:$C,$B4,'Daily Inward'!$E:$E,"Non Inventory"))</f>
        <v>0</v>
      </c>
      <c r="G4" s="50">
        <f>IF($B4="","",SUMIFS('Daily Issuance'!$G:$G,'Daily Issuance'!$C:$C,$B4,'Daily Issuance'!$E:$E,"Non Inventory"))</f>
        <v>0</v>
      </c>
      <c r="H4" s="50">
        <f t="shared" ref="H4:H67" si="0">IF($B4="","",N(E4)+N(F4)-N(G4))</f>
        <v>2</v>
      </c>
      <c r="I4" s="185">
        <v>8800</v>
      </c>
      <c r="J4" s="186">
        <f t="shared" ref="J4:J67" si="1">IF($B4="","",H4*I4)</f>
        <v>17600</v>
      </c>
      <c r="K4" s="45"/>
    </row>
    <row r="5" spans="1:11" s="24" customFormat="1" ht="23.1" customHeight="1">
      <c r="A5" s="170">
        <f>IF($B5="","",MAX($A$3:A4)+1)</f>
        <v>2</v>
      </c>
      <c r="B5" s="176">
        <v>1621</v>
      </c>
      <c r="C5" s="177" t="s">
        <v>572</v>
      </c>
      <c r="D5" s="285" t="s">
        <v>102</v>
      </c>
      <c r="E5" s="281">
        <v>9</v>
      </c>
      <c r="F5" s="283">
        <f>IF($B5="","",SUMIFS('Daily Inward'!$G:$G,'Daily Inward'!$C:$C,$B5,'Daily Inward'!$E:$E,"Non Inventory"))</f>
        <v>0</v>
      </c>
      <c r="G5" s="51">
        <f>IF($B5="","",SUMIFS('Daily Issuance'!$G:$G,'Daily Issuance'!$C:$C,$B5,'Daily Issuance'!$E:$E,"Non Inventory"))</f>
        <v>0</v>
      </c>
      <c r="H5" s="51">
        <f t="shared" si="0"/>
        <v>9</v>
      </c>
      <c r="I5" s="187">
        <v>650</v>
      </c>
      <c r="J5" s="188">
        <f t="shared" si="1"/>
        <v>5850</v>
      </c>
      <c r="K5" s="46"/>
    </row>
    <row r="6" spans="1:11" s="24" customFormat="1" ht="23.1" customHeight="1">
      <c r="A6" s="170">
        <f>IF($B6="","",MAX($A$3:A5)+1)</f>
        <v>3</v>
      </c>
      <c r="B6" s="176">
        <v>1635</v>
      </c>
      <c r="C6" s="177" t="s">
        <v>573</v>
      </c>
      <c r="D6" s="285" t="s">
        <v>102</v>
      </c>
      <c r="E6" s="281">
        <v>1</v>
      </c>
      <c r="F6" s="283">
        <f>IF($B6="","",SUMIFS('Daily Inward'!$G:$G,'Daily Inward'!$C:$C,$B6,'Daily Inward'!$E:$E,"Non Inventory"))</f>
        <v>0</v>
      </c>
      <c r="G6" s="51">
        <f>IF($B6="","",SUMIFS('Daily Issuance'!$G:$G,'Daily Issuance'!$C:$C,$B6,'Daily Issuance'!$E:$E,"Non Inventory"))</f>
        <v>0</v>
      </c>
      <c r="H6" s="51">
        <f t="shared" si="0"/>
        <v>1</v>
      </c>
      <c r="I6" s="187">
        <v>10625</v>
      </c>
      <c r="J6" s="188">
        <f t="shared" si="1"/>
        <v>10625</v>
      </c>
      <c r="K6" s="46"/>
    </row>
    <row r="7" spans="1:11" s="24" customFormat="1" ht="23.1" customHeight="1">
      <c r="A7" s="170">
        <f>IF($B7="","",MAX($A$3:A6)+1)</f>
        <v>4</v>
      </c>
      <c r="B7" s="176">
        <v>1947</v>
      </c>
      <c r="C7" s="177" t="s">
        <v>574</v>
      </c>
      <c r="D7" s="285" t="s">
        <v>112</v>
      </c>
      <c r="E7" s="281">
        <v>5</v>
      </c>
      <c r="F7" s="283">
        <f>IF($B7="","",SUMIFS('Daily Inward'!$G:$G,'Daily Inward'!$C:$C,$B7,'Daily Inward'!$E:$E,"Non Inventory"))</f>
        <v>6</v>
      </c>
      <c r="G7" s="51">
        <f>IF($B7="","",SUMIFS('Daily Issuance'!$G:$G,'Daily Issuance'!$C:$C,$B7,'Daily Issuance'!$E:$E,"Non Inventory"))</f>
        <v>0</v>
      </c>
      <c r="H7" s="51">
        <f t="shared" si="0"/>
        <v>11</v>
      </c>
      <c r="I7" s="187">
        <v>1250</v>
      </c>
      <c r="J7" s="188">
        <f t="shared" si="1"/>
        <v>13750</v>
      </c>
      <c r="K7" s="46"/>
    </row>
    <row r="8" spans="1:11" s="24" customFormat="1" ht="23.1" customHeight="1">
      <c r="A8" s="170">
        <f>IF($B8="","",MAX($A$3:A7)+1)</f>
        <v>5</v>
      </c>
      <c r="B8" s="176">
        <v>2453</v>
      </c>
      <c r="C8" s="177" t="s">
        <v>575</v>
      </c>
      <c r="D8" s="285" t="s">
        <v>102</v>
      </c>
      <c r="E8" s="281">
        <v>4</v>
      </c>
      <c r="F8" s="283">
        <f>IF($B8="","",SUMIFS('Daily Inward'!$G:$G,'Daily Inward'!$C:$C,$B8,'Daily Inward'!$E:$E,"Non Inventory"))</f>
        <v>0</v>
      </c>
      <c r="G8" s="51">
        <f>IF($B8="","",SUMIFS('Daily Issuance'!$G:$G,'Daily Issuance'!$C:$C,$B8,'Daily Issuance'!$E:$E,"Non Inventory"))</f>
        <v>0</v>
      </c>
      <c r="H8" s="51">
        <f t="shared" si="0"/>
        <v>4</v>
      </c>
      <c r="I8" s="187">
        <v>150</v>
      </c>
      <c r="J8" s="188">
        <f t="shared" si="1"/>
        <v>600</v>
      </c>
      <c r="K8" s="46"/>
    </row>
    <row r="9" spans="1:11" s="24" customFormat="1" ht="23.1" customHeight="1">
      <c r="A9" s="170">
        <f>IF($B9="","",MAX($A$3:A8)+1)</f>
        <v>6</v>
      </c>
      <c r="B9" s="176">
        <v>2455</v>
      </c>
      <c r="C9" s="177" t="s">
        <v>171</v>
      </c>
      <c r="D9" s="285" t="s">
        <v>102</v>
      </c>
      <c r="E9" s="281">
        <v>5</v>
      </c>
      <c r="F9" s="283">
        <f>IF($B9="","",SUMIFS('Daily Inward'!$G:$G,'Daily Inward'!$C:$C,$B9,'Daily Inward'!$E:$E,"Non Inventory"))</f>
        <v>0</v>
      </c>
      <c r="G9" s="51">
        <f>IF($B9="","",SUMIFS('Daily Issuance'!$G:$G,'Daily Issuance'!$C:$C,$B9,'Daily Issuance'!$E:$E,"Non Inventory"))</f>
        <v>0</v>
      </c>
      <c r="H9" s="51">
        <f t="shared" si="0"/>
        <v>5</v>
      </c>
      <c r="I9" s="187">
        <v>216</v>
      </c>
      <c r="J9" s="188">
        <f t="shared" si="1"/>
        <v>1080</v>
      </c>
      <c r="K9" s="46"/>
    </row>
    <row r="10" spans="1:11" s="24" customFormat="1" ht="23.1" customHeight="1">
      <c r="A10" s="170">
        <f>IF($B10="","",MAX($A$3:A9)+1)</f>
        <v>7</v>
      </c>
      <c r="B10" s="176">
        <v>2624</v>
      </c>
      <c r="C10" s="177" t="s">
        <v>576</v>
      </c>
      <c r="D10" s="285" t="s">
        <v>102</v>
      </c>
      <c r="E10" s="281">
        <v>4</v>
      </c>
      <c r="F10" s="283">
        <f>IF($B10="","",SUMIFS('Daily Inward'!$G:$G,'Daily Inward'!$C:$C,$B10,'Daily Inward'!$E:$E,"Non Inventory"))</f>
        <v>0</v>
      </c>
      <c r="G10" s="51">
        <f>IF($B10="","",SUMIFS('Daily Issuance'!$G:$G,'Daily Issuance'!$C:$C,$B10,'Daily Issuance'!$E:$E,"Non Inventory"))</f>
        <v>0</v>
      </c>
      <c r="H10" s="51">
        <f t="shared" si="0"/>
        <v>4</v>
      </c>
      <c r="I10" s="187">
        <v>1000</v>
      </c>
      <c r="J10" s="188">
        <f t="shared" si="1"/>
        <v>4000</v>
      </c>
      <c r="K10" s="46"/>
    </row>
    <row r="11" spans="1:11" s="24" customFormat="1" ht="23.1" customHeight="1">
      <c r="A11" s="170">
        <f>IF($B11="","",MAX($A$3:A10)+1)</f>
        <v>8</v>
      </c>
      <c r="B11" s="176">
        <v>2630</v>
      </c>
      <c r="C11" s="177" t="s">
        <v>577</v>
      </c>
      <c r="D11" s="285" t="s">
        <v>102</v>
      </c>
      <c r="E11" s="281">
        <v>8</v>
      </c>
      <c r="F11" s="283">
        <f>IF($B11="","",SUMIFS('Daily Inward'!$G:$G,'Daily Inward'!$C:$C,$B11,'Daily Inward'!$E:$E,"Non Inventory"))</f>
        <v>0</v>
      </c>
      <c r="G11" s="51">
        <f>IF($B11="","",SUMIFS('Daily Issuance'!$G:$G,'Daily Issuance'!$C:$C,$B11,'Daily Issuance'!$E:$E,"Non Inventory"))</f>
        <v>0</v>
      </c>
      <c r="H11" s="51">
        <f t="shared" si="0"/>
        <v>8</v>
      </c>
      <c r="I11" s="187">
        <v>80</v>
      </c>
      <c r="J11" s="188">
        <f t="shared" si="1"/>
        <v>640</v>
      </c>
      <c r="K11" s="46"/>
    </row>
    <row r="12" spans="1:11" s="24" customFormat="1" ht="23.1" customHeight="1">
      <c r="A12" s="170">
        <f>IF($B12="","",MAX($A$3:A11)+1)</f>
        <v>9</v>
      </c>
      <c r="B12" s="176">
        <v>3088</v>
      </c>
      <c r="C12" s="177" t="s">
        <v>578</v>
      </c>
      <c r="D12" s="285" t="s">
        <v>112</v>
      </c>
      <c r="E12" s="281">
        <v>3</v>
      </c>
      <c r="F12" s="283">
        <f>IF($B12="","",SUMIFS('Daily Inward'!$G:$G,'Daily Inward'!$C:$C,$B12,'Daily Inward'!$E:$E,"Non Inventory"))</f>
        <v>0</v>
      </c>
      <c r="G12" s="51">
        <f>IF($B12="","",SUMIFS('Daily Issuance'!$G:$G,'Daily Issuance'!$C:$C,$B12,'Daily Issuance'!$E:$E,"Non Inventory"))</f>
        <v>0</v>
      </c>
      <c r="H12" s="51">
        <f t="shared" si="0"/>
        <v>3</v>
      </c>
      <c r="I12" s="187">
        <v>1450</v>
      </c>
      <c r="J12" s="188">
        <f t="shared" si="1"/>
        <v>4350</v>
      </c>
      <c r="K12" s="46"/>
    </row>
    <row r="13" spans="1:11" s="24" customFormat="1" ht="23.1" customHeight="1">
      <c r="A13" s="170">
        <f>IF($B13="","",MAX($A$3:A12)+1)</f>
        <v>10</v>
      </c>
      <c r="B13" s="176">
        <v>3089</v>
      </c>
      <c r="C13" s="177" t="s">
        <v>579</v>
      </c>
      <c r="D13" s="285" t="s">
        <v>112</v>
      </c>
      <c r="E13" s="281">
        <v>3</v>
      </c>
      <c r="F13" s="283">
        <f>IF($B13="","",SUMIFS('Daily Inward'!$G:$G,'Daily Inward'!$C:$C,$B13,'Daily Inward'!$E:$E,"Non Inventory"))</f>
        <v>0</v>
      </c>
      <c r="G13" s="51">
        <f>IF($B13="","",SUMIFS('Daily Issuance'!$G:$G,'Daily Issuance'!$C:$C,$B13,'Daily Issuance'!$E:$E,"Non Inventory"))</f>
        <v>0</v>
      </c>
      <c r="H13" s="51">
        <f t="shared" si="0"/>
        <v>3</v>
      </c>
      <c r="I13" s="187">
        <v>120</v>
      </c>
      <c r="J13" s="188">
        <f t="shared" si="1"/>
        <v>360</v>
      </c>
      <c r="K13" s="46"/>
    </row>
    <row r="14" spans="1:11" s="24" customFormat="1" ht="23.1" customHeight="1">
      <c r="A14" s="170">
        <f>IF($B14="","",MAX($A$3:A13)+1)</f>
        <v>11</v>
      </c>
      <c r="B14" s="176">
        <v>3090</v>
      </c>
      <c r="C14" s="177" t="s">
        <v>580</v>
      </c>
      <c r="D14" s="285" t="s">
        <v>112</v>
      </c>
      <c r="E14" s="281">
        <v>8</v>
      </c>
      <c r="F14" s="283">
        <f>IF($B14="","",SUMIFS('Daily Inward'!$G:$G,'Daily Inward'!$C:$C,$B14,'Daily Inward'!$E:$E,"Non Inventory"))</f>
        <v>0</v>
      </c>
      <c r="G14" s="51">
        <f>IF($B14="","",SUMIFS('Daily Issuance'!$G:$G,'Daily Issuance'!$C:$C,$B14,'Daily Issuance'!$E:$E,"Non Inventory"))</f>
        <v>0</v>
      </c>
      <c r="H14" s="51">
        <f t="shared" si="0"/>
        <v>8</v>
      </c>
      <c r="I14" s="187">
        <v>950</v>
      </c>
      <c r="J14" s="188">
        <f t="shared" si="1"/>
        <v>7600</v>
      </c>
      <c r="K14" s="46"/>
    </row>
    <row r="15" spans="1:11" s="24" customFormat="1" ht="23.1" customHeight="1">
      <c r="A15" s="170">
        <f>IF($B15="","",MAX($A$3:A14)+1)</f>
        <v>12</v>
      </c>
      <c r="B15" s="176">
        <v>3091</v>
      </c>
      <c r="C15" s="177" t="s">
        <v>581</v>
      </c>
      <c r="D15" s="285" t="s">
        <v>112</v>
      </c>
      <c r="E15" s="281">
        <v>3</v>
      </c>
      <c r="F15" s="283">
        <f>IF($B15="","",SUMIFS('Daily Inward'!$G:$G,'Daily Inward'!$C:$C,$B15,'Daily Inward'!$E:$E,"Non Inventory"))</f>
        <v>0</v>
      </c>
      <c r="G15" s="51">
        <f>IF($B15="","",SUMIFS('Daily Issuance'!$G:$G,'Daily Issuance'!$C:$C,$B15,'Daily Issuance'!$E:$E,"Non Inventory"))</f>
        <v>0</v>
      </c>
      <c r="H15" s="51">
        <f t="shared" si="0"/>
        <v>3</v>
      </c>
      <c r="I15" s="187">
        <v>240</v>
      </c>
      <c r="J15" s="188">
        <f t="shared" si="1"/>
        <v>720</v>
      </c>
      <c r="K15" s="46"/>
    </row>
    <row r="16" spans="1:11" s="24" customFormat="1" ht="23.1" customHeight="1">
      <c r="A16" s="170">
        <f>IF($B16="","",MAX($A$3:A15)+1)</f>
        <v>13</v>
      </c>
      <c r="B16" s="176">
        <v>3099</v>
      </c>
      <c r="C16" s="177" t="s">
        <v>582</v>
      </c>
      <c r="D16" s="285" t="s">
        <v>112</v>
      </c>
      <c r="E16" s="281">
        <v>2</v>
      </c>
      <c r="F16" s="283">
        <f>IF($B16="","",SUMIFS('Daily Inward'!$G:$G,'Daily Inward'!$C:$C,$B16,'Daily Inward'!$E:$E,"Non Inventory"))</f>
        <v>0</v>
      </c>
      <c r="G16" s="51">
        <f>IF($B16="","",SUMIFS('Daily Issuance'!$G:$G,'Daily Issuance'!$C:$C,$B16,'Daily Issuance'!$E:$E,"Non Inventory"))</f>
        <v>0</v>
      </c>
      <c r="H16" s="51">
        <f t="shared" si="0"/>
        <v>2</v>
      </c>
      <c r="I16" s="187">
        <v>95</v>
      </c>
      <c r="J16" s="188">
        <f t="shared" si="1"/>
        <v>190</v>
      </c>
      <c r="K16" s="46"/>
    </row>
    <row r="17" spans="1:11" s="24" customFormat="1" ht="23.1" customHeight="1">
      <c r="A17" s="170">
        <f>IF($B17="","",MAX($A$3:A16)+1)</f>
        <v>14</v>
      </c>
      <c r="B17" s="176">
        <v>3100</v>
      </c>
      <c r="C17" s="177" t="s">
        <v>583</v>
      </c>
      <c r="D17" s="285" t="s">
        <v>112</v>
      </c>
      <c r="E17" s="281">
        <v>8</v>
      </c>
      <c r="F17" s="283">
        <f>IF($B17="","",SUMIFS('Daily Inward'!$G:$G,'Daily Inward'!$C:$C,$B17,'Daily Inward'!$E:$E,"Non Inventory"))</f>
        <v>0</v>
      </c>
      <c r="G17" s="51">
        <f>IF($B17="","",SUMIFS('Daily Issuance'!$G:$G,'Daily Issuance'!$C:$C,$B17,'Daily Issuance'!$E:$E,"Non Inventory"))</f>
        <v>0</v>
      </c>
      <c r="H17" s="51">
        <f t="shared" si="0"/>
        <v>8</v>
      </c>
      <c r="I17" s="187">
        <v>196</v>
      </c>
      <c r="J17" s="188">
        <f t="shared" si="1"/>
        <v>1568</v>
      </c>
      <c r="K17" s="46"/>
    </row>
    <row r="18" spans="1:11" s="24" customFormat="1" ht="23.1" customHeight="1">
      <c r="A18" s="170">
        <f>IF($B18="","",MAX($A$3:A17)+1)</f>
        <v>15</v>
      </c>
      <c r="B18" s="176">
        <v>3101</v>
      </c>
      <c r="C18" s="177" t="s">
        <v>584</v>
      </c>
      <c r="D18" s="285" t="s">
        <v>112</v>
      </c>
      <c r="E18" s="281">
        <v>4</v>
      </c>
      <c r="F18" s="283">
        <f>IF($B18="","",SUMIFS('Daily Inward'!$G:$G,'Daily Inward'!$C:$C,$B18,'Daily Inward'!$E:$E,"Non Inventory"))</f>
        <v>0</v>
      </c>
      <c r="G18" s="51">
        <f>IF($B18="","",SUMIFS('Daily Issuance'!$G:$G,'Daily Issuance'!$C:$C,$B18,'Daily Issuance'!$E:$E,"Non Inventory"))</f>
        <v>0</v>
      </c>
      <c r="H18" s="51">
        <f t="shared" si="0"/>
        <v>4</v>
      </c>
      <c r="I18" s="187">
        <v>280</v>
      </c>
      <c r="J18" s="188">
        <f t="shared" si="1"/>
        <v>1120</v>
      </c>
      <c r="K18" s="46"/>
    </row>
    <row r="19" spans="1:11" s="24" customFormat="1" ht="23.1" customHeight="1">
      <c r="A19" s="170">
        <f>IF($B19="","",MAX($A$3:A18)+1)</f>
        <v>16</v>
      </c>
      <c r="B19" s="176">
        <v>3168</v>
      </c>
      <c r="C19" s="177" t="s">
        <v>585</v>
      </c>
      <c r="D19" s="285" t="s">
        <v>102</v>
      </c>
      <c r="E19" s="281">
        <v>24</v>
      </c>
      <c r="F19" s="283">
        <f>IF($B19="","",SUMIFS('Daily Inward'!$G:$G,'Daily Inward'!$C:$C,$B19,'Daily Inward'!$E:$E,"Non Inventory"))</f>
        <v>0</v>
      </c>
      <c r="G19" s="51">
        <f>IF($B19="","",SUMIFS('Daily Issuance'!$G:$G,'Daily Issuance'!$C:$C,$B19,'Daily Issuance'!$E:$E,"Non Inventory"))</f>
        <v>0</v>
      </c>
      <c r="H19" s="51">
        <f t="shared" si="0"/>
        <v>24</v>
      </c>
      <c r="I19" s="187">
        <v>60</v>
      </c>
      <c r="J19" s="188">
        <f t="shared" si="1"/>
        <v>1440</v>
      </c>
      <c r="K19" s="46"/>
    </row>
    <row r="20" spans="1:11" s="24" customFormat="1" ht="23.1" customHeight="1">
      <c r="A20" s="170">
        <f>IF($B20="","",MAX($A$3:A19)+1)</f>
        <v>17</v>
      </c>
      <c r="B20" s="176">
        <v>3170</v>
      </c>
      <c r="C20" s="177" t="s">
        <v>586</v>
      </c>
      <c r="D20" s="285" t="s">
        <v>102</v>
      </c>
      <c r="E20" s="281">
        <v>1</v>
      </c>
      <c r="F20" s="283">
        <f>IF($B20="","",SUMIFS('Daily Inward'!$G:$G,'Daily Inward'!$C:$C,$B20,'Daily Inward'!$E:$E,"Non Inventory"))</f>
        <v>0</v>
      </c>
      <c r="G20" s="51">
        <f>IF($B20="","",SUMIFS('Daily Issuance'!$G:$G,'Daily Issuance'!$C:$C,$B20,'Daily Issuance'!$E:$E,"Non Inventory"))</f>
        <v>0</v>
      </c>
      <c r="H20" s="51">
        <f t="shared" si="0"/>
        <v>1</v>
      </c>
      <c r="I20" s="187">
        <v>508</v>
      </c>
      <c r="J20" s="188">
        <f t="shared" si="1"/>
        <v>508</v>
      </c>
      <c r="K20" s="46"/>
    </row>
    <row r="21" spans="1:11" s="24" customFormat="1" ht="23.1" customHeight="1">
      <c r="A21" s="170">
        <f>IF($B21="","",MAX($A$3:A20)+1)</f>
        <v>18</v>
      </c>
      <c r="B21" s="176">
        <v>3173</v>
      </c>
      <c r="C21" s="177" t="s">
        <v>587</v>
      </c>
      <c r="D21" s="285" t="s">
        <v>102</v>
      </c>
      <c r="E21" s="281">
        <v>30</v>
      </c>
      <c r="F21" s="283">
        <f>IF($B21="","",SUMIFS('Daily Inward'!$G:$G,'Daily Inward'!$C:$C,$B21,'Daily Inward'!$E:$E,"Non Inventory"))</f>
        <v>0</v>
      </c>
      <c r="G21" s="51">
        <f>IF($B21="","",SUMIFS('Daily Issuance'!$G:$G,'Daily Issuance'!$C:$C,$B21,'Daily Issuance'!$E:$E,"Non Inventory"))</f>
        <v>1</v>
      </c>
      <c r="H21" s="51">
        <f t="shared" si="0"/>
        <v>29</v>
      </c>
      <c r="I21" s="187">
        <v>40</v>
      </c>
      <c r="J21" s="188">
        <f t="shared" si="1"/>
        <v>1160</v>
      </c>
      <c r="K21" s="46"/>
    </row>
    <row r="22" spans="1:11" s="24" customFormat="1" ht="23.1" customHeight="1">
      <c r="A22" s="170">
        <f>IF($B22="","",MAX($A$3:A21)+1)</f>
        <v>19</v>
      </c>
      <c r="B22" s="176">
        <v>3234</v>
      </c>
      <c r="C22" s="177" t="s">
        <v>588</v>
      </c>
      <c r="D22" s="285" t="s">
        <v>589</v>
      </c>
      <c r="E22" s="281">
        <v>2</v>
      </c>
      <c r="F22" s="283">
        <f>IF($B22="","",SUMIFS('Daily Inward'!$G:$G,'Daily Inward'!$C:$C,$B22,'Daily Inward'!$E:$E,"Non Inventory"))</f>
        <v>0</v>
      </c>
      <c r="G22" s="51">
        <f>IF($B22="","",SUMIFS('Daily Issuance'!$G:$G,'Daily Issuance'!$C:$C,$B22,'Daily Issuance'!$E:$E,"Non Inventory"))</f>
        <v>0</v>
      </c>
      <c r="H22" s="51">
        <f t="shared" si="0"/>
        <v>2</v>
      </c>
      <c r="I22" s="187">
        <v>14875</v>
      </c>
      <c r="J22" s="188">
        <f t="shared" si="1"/>
        <v>29750</v>
      </c>
      <c r="K22" s="46"/>
    </row>
    <row r="23" spans="1:11" s="24" customFormat="1" ht="23.1" customHeight="1">
      <c r="A23" s="170">
        <f>IF($B23="","",MAX($A$3:A22)+1)</f>
        <v>20</v>
      </c>
      <c r="B23" s="176">
        <v>3268</v>
      </c>
      <c r="C23" s="177" t="s">
        <v>590</v>
      </c>
      <c r="D23" s="285" t="s">
        <v>112</v>
      </c>
      <c r="E23" s="281">
        <v>8</v>
      </c>
      <c r="F23" s="283">
        <f>IF($B23="","",SUMIFS('Daily Inward'!$G:$G,'Daily Inward'!$C:$C,$B23,'Daily Inward'!$E:$E,"Non Inventory"))</f>
        <v>0</v>
      </c>
      <c r="G23" s="51">
        <f>IF($B23="","",SUMIFS('Daily Issuance'!$G:$G,'Daily Issuance'!$C:$C,$B23,'Daily Issuance'!$E:$E,"Non Inventory"))</f>
        <v>0</v>
      </c>
      <c r="H23" s="51">
        <f t="shared" si="0"/>
        <v>8</v>
      </c>
      <c r="I23" s="187">
        <v>4750</v>
      </c>
      <c r="J23" s="188">
        <f t="shared" si="1"/>
        <v>38000</v>
      </c>
      <c r="K23" s="46"/>
    </row>
    <row r="24" spans="1:11" s="24" customFormat="1" ht="23.1" customHeight="1">
      <c r="A24" s="170">
        <f>IF($B24="","",MAX($A$3:A23)+1)</f>
        <v>21</v>
      </c>
      <c r="B24" s="176">
        <v>3299</v>
      </c>
      <c r="C24" s="177" t="s">
        <v>591</v>
      </c>
      <c r="D24" s="285" t="s">
        <v>112</v>
      </c>
      <c r="E24" s="281">
        <v>6</v>
      </c>
      <c r="F24" s="283">
        <f>IF($B24="","",SUMIFS('Daily Inward'!$G:$G,'Daily Inward'!$C:$C,$B24,'Daily Inward'!$E:$E,"Non Inventory"))</f>
        <v>0</v>
      </c>
      <c r="G24" s="51">
        <f>IF($B24="","",SUMIFS('Daily Issuance'!$G:$G,'Daily Issuance'!$C:$C,$B24,'Daily Issuance'!$E:$E,"Non Inventory"))</f>
        <v>1</v>
      </c>
      <c r="H24" s="51">
        <f t="shared" si="0"/>
        <v>5</v>
      </c>
      <c r="I24" s="187">
        <v>212</v>
      </c>
      <c r="J24" s="188">
        <f t="shared" si="1"/>
        <v>1060</v>
      </c>
      <c r="K24" s="46"/>
    </row>
    <row r="25" spans="1:11" s="24" customFormat="1" ht="23.1" customHeight="1">
      <c r="A25" s="170">
        <f>IF($B25="","",MAX($A$3:A24)+1)</f>
        <v>22</v>
      </c>
      <c r="B25" s="176">
        <v>3335</v>
      </c>
      <c r="C25" s="177" t="s">
        <v>592</v>
      </c>
      <c r="D25" s="285" t="s">
        <v>1046</v>
      </c>
      <c r="E25" s="281">
        <v>2</v>
      </c>
      <c r="F25" s="283">
        <f>IF($B25="","",SUMIFS('Daily Inward'!$G:$G,'Daily Inward'!$C:$C,$B25,'Daily Inward'!$E:$E,"Non Inventory"))</f>
        <v>0</v>
      </c>
      <c r="G25" s="51">
        <f>IF($B25="","",SUMIFS('Daily Issuance'!$G:$G,'Daily Issuance'!$C:$C,$B25,'Daily Issuance'!$E:$E,"Non Inventory"))</f>
        <v>2</v>
      </c>
      <c r="H25" s="51">
        <f t="shared" si="0"/>
        <v>0</v>
      </c>
      <c r="I25" s="187">
        <v>3200</v>
      </c>
      <c r="J25" s="188">
        <f t="shared" si="1"/>
        <v>0</v>
      </c>
      <c r="K25" s="46"/>
    </row>
    <row r="26" spans="1:11" s="24" customFormat="1" ht="23.1" customHeight="1">
      <c r="A26" s="170">
        <f>IF($B26="","",MAX($A$3:A25)+1)</f>
        <v>23</v>
      </c>
      <c r="B26" s="176">
        <v>3395</v>
      </c>
      <c r="C26" s="177" t="s">
        <v>593</v>
      </c>
      <c r="D26" s="285" t="s">
        <v>102</v>
      </c>
      <c r="E26" s="281">
        <v>3</v>
      </c>
      <c r="F26" s="283">
        <f>IF($B26="","",SUMIFS('Daily Inward'!$G:$G,'Daily Inward'!$C:$C,$B26,'Daily Inward'!$E:$E,"Non Inventory"))</f>
        <v>0</v>
      </c>
      <c r="G26" s="51">
        <f>IF($B26="","",SUMIFS('Daily Issuance'!$G:$G,'Daily Issuance'!$C:$C,$B26,'Daily Issuance'!$E:$E,"Non Inventory"))</f>
        <v>0</v>
      </c>
      <c r="H26" s="51">
        <f t="shared" si="0"/>
        <v>3</v>
      </c>
      <c r="I26" s="187">
        <v>3500</v>
      </c>
      <c r="J26" s="188">
        <f t="shared" si="1"/>
        <v>10500</v>
      </c>
      <c r="K26" s="46"/>
    </row>
    <row r="27" spans="1:11" s="24" customFormat="1" ht="23.1" customHeight="1">
      <c r="A27" s="170">
        <f>IF($B27="","",MAX($A$3:A26)+1)</f>
        <v>24</v>
      </c>
      <c r="B27" s="176">
        <v>3397</v>
      </c>
      <c r="C27" s="177" t="s">
        <v>594</v>
      </c>
      <c r="D27" s="285" t="s">
        <v>102</v>
      </c>
      <c r="E27" s="281">
        <v>3</v>
      </c>
      <c r="F27" s="283">
        <f>IF($B27="","",SUMIFS('Daily Inward'!$G:$G,'Daily Inward'!$C:$C,$B27,'Daily Inward'!$E:$E,"Non Inventory"))</f>
        <v>0</v>
      </c>
      <c r="G27" s="51">
        <f>IF($B27="","",SUMIFS('Daily Issuance'!$G:$G,'Daily Issuance'!$C:$C,$B27,'Daily Issuance'!$E:$E,"Non Inventory"))</f>
        <v>0</v>
      </c>
      <c r="H27" s="51">
        <f t="shared" si="0"/>
        <v>3</v>
      </c>
      <c r="I27" s="187">
        <v>185</v>
      </c>
      <c r="J27" s="188">
        <f t="shared" si="1"/>
        <v>555</v>
      </c>
      <c r="K27" s="46"/>
    </row>
    <row r="28" spans="1:11" s="24" customFormat="1" ht="23.1" customHeight="1">
      <c r="A28" s="170">
        <f>IF($B28="","",MAX($A$3:A27)+1)</f>
        <v>25</v>
      </c>
      <c r="B28" s="176">
        <v>3406</v>
      </c>
      <c r="C28" s="177" t="s">
        <v>595</v>
      </c>
      <c r="D28" s="285" t="s">
        <v>102</v>
      </c>
      <c r="E28" s="281">
        <v>1</v>
      </c>
      <c r="F28" s="283">
        <f>IF($B28="","",SUMIFS('Daily Inward'!$G:$G,'Daily Inward'!$C:$C,$B28,'Daily Inward'!$E:$E,"Non Inventory"))</f>
        <v>0</v>
      </c>
      <c r="G28" s="51">
        <f>IF($B28="","",SUMIFS('Daily Issuance'!$G:$G,'Daily Issuance'!$C:$C,$B28,'Daily Issuance'!$E:$E,"Non Inventory"))</f>
        <v>0</v>
      </c>
      <c r="H28" s="51">
        <f t="shared" si="0"/>
        <v>1</v>
      </c>
      <c r="I28" s="187">
        <v>5995</v>
      </c>
      <c r="J28" s="188">
        <f t="shared" si="1"/>
        <v>5995</v>
      </c>
      <c r="K28" s="46"/>
    </row>
    <row r="29" spans="1:11" s="24" customFormat="1" ht="23.1" customHeight="1">
      <c r="A29" s="170">
        <f>IF($B29="","",MAX($A$3:A28)+1)</f>
        <v>26</v>
      </c>
      <c r="B29" s="176">
        <v>3439</v>
      </c>
      <c r="C29" s="177" t="s">
        <v>596</v>
      </c>
      <c r="D29" s="285" t="s">
        <v>102</v>
      </c>
      <c r="E29" s="281">
        <v>8</v>
      </c>
      <c r="F29" s="283">
        <f>IF($B29="","",SUMIFS('Daily Inward'!$G:$G,'Daily Inward'!$C:$C,$B29,'Daily Inward'!$E:$E,"Non Inventory"))</f>
        <v>0</v>
      </c>
      <c r="G29" s="51">
        <f>IF($B29="","",SUMIFS('Daily Issuance'!$G:$G,'Daily Issuance'!$C:$C,$B29,'Daily Issuance'!$E:$E,"Non Inventory"))</f>
        <v>1</v>
      </c>
      <c r="H29" s="51">
        <f t="shared" si="0"/>
        <v>7</v>
      </c>
      <c r="I29" s="187">
        <v>300</v>
      </c>
      <c r="J29" s="188">
        <f t="shared" si="1"/>
        <v>2100</v>
      </c>
      <c r="K29" s="46"/>
    </row>
    <row r="30" spans="1:11" s="24" customFormat="1" ht="23.1" customHeight="1">
      <c r="A30" s="170">
        <f>IF($B30="","",MAX($A$3:A29)+1)</f>
        <v>27</v>
      </c>
      <c r="B30" s="176">
        <v>3474</v>
      </c>
      <c r="C30" s="177" t="s">
        <v>597</v>
      </c>
      <c r="D30" s="285" t="s">
        <v>589</v>
      </c>
      <c r="E30" s="281"/>
      <c r="F30" s="283">
        <f>IF($B30="","",SUMIFS('Daily Inward'!$G:$G,'Daily Inward'!$C:$C,$B30,'Daily Inward'!$E:$E,"Non Inventory"))</f>
        <v>2</v>
      </c>
      <c r="G30" s="51">
        <f>IF($B30="","",SUMIFS('Daily Issuance'!$G:$G,'Daily Issuance'!$C:$C,$B30,'Daily Issuance'!$E:$E,"Non Inventory"))</f>
        <v>0</v>
      </c>
      <c r="H30" s="51">
        <f t="shared" si="0"/>
        <v>2</v>
      </c>
      <c r="I30" s="187">
        <v>8500</v>
      </c>
      <c r="J30" s="188">
        <f t="shared" si="1"/>
        <v>17000</v>
      </c>
      <c r="K30" s="46"/>
    </row>
    <row r="31" spans="1:11" s="24" customFormat="1" ht="23.1" customHeight="1">
      <c r="A31" s="170">
        <f>IF($B31="","",MAX($A$3:A30)+1)</f>
        <v>28</v>
      </c>
      <c r="B31" s="176">
        <v>3480</v>
      </c>
      <c r="C31" s="177" t="s">
        <v>598</v>
      </c>
      <c r="D31" s="285" t="s">
        <v>102</v>
      </c>
      <c r="E31" s="281">
        <v>5</v>
      </c>
      <c r="F31" s="283">
        <f>IF($B31="","",SUMIFS('Daily Inward'!$G:$G,'Daily Inward'!$C:$C,$B31,'Daily Inward'!$E:$E,"Non Inventory"))</f>
        <v>0</v>
      </c>
      <c r="G31" s="51">
        <f>IF($B31="","",SUMIFS('Daily Issuance'!$G:$G,'Daily Issuance'!$C:$C,$B31,'Daily Issuance'!$E:$E,"Non Inventory"))</f>
        <v>0</v>
      </c>
      <c r="H31" s="51">
        <f t="shared" si="0"/>
        <v>5</v>
      </c>
      <c r="I31" s="187">
        <v>380</v>
      </c>
      <c r="J31" s="188">
        <f t="shared" si="1"/>
        <v>1900</v>
      </c>
      <c r="K31" s="46"/>
    </row>
    <row r="32" spans="1:11" s="24" customFormat="1" ht="23.1" customHeight="1">
      <c r="A32" s="170">
        <f>IF($B32="","",MAX($A$3:A31)+1)</f>
        <v>29</v>
      </c>
      <c r="B32" s="176">
        <v>3482</v>
      </c>
      <c r="C32" s="177" t="s">
        <v>599</v>
      </c>
      <c r="D32" s="285" t="s">
        <v>102</v>
      </c>
      <c r="E32" s="281">
        <v>30</v>
      </c>
      <c r="F32" s="283">
        <f>IF($B32="","",SUMIFS('Daily Inward'!$G:$G,'Daily Inward'!$C:$C,$B32,'Daily Inward'!$E:$E,"Non Inventory"))</f>
        <v>0</v>
      </c>
      <c r="G32" s="51">
        <f>IF($B32="","",SUMIFS('Daily Issuance'!$G:$G,'Daily Issuance'!$C:$C,$B32,'Daily Issuance'!$E:$E,"Non Inventory"))</f>
        <v>0</v>
      </c>
      <c r="H32" s="51">
        <f t="shared" si="0"/>
        <v>30</v>
      </c>
      <c r="I32" s="187">
        <v>120</v>
      </c>
      <c r="J32" s="188">
        <f t="shared" si="1"/>
        <v>3600</v>
      </c>
      <c r="K32" s="46"/>
    </row>
    <row r="33" spans="1:11" s="24" customFormat="1" ht="23.1" customHeight="1">
      <c r="A33" s="170">
        <f>IF($B33="","",MAX($A$3:A32)+1)</f>
        <v>30</v>
      </c>
      <c r="B33" s="176">
        <v>3483</v>
      </c>
      <c r="C33" s="177" t="s">
        <v>600</v>
      </c>
      <c r="D33" s="285" t="s">
        <v>112</v>
      </c>
      <c r="E33" s="281">
        <v>17</v>
      </c>
      <c r="F33" s="283">
        <f>IF($B33="","",SUMIFS('Daily Inward'!$G:$G,'Daily Inward'!$C:$C,$B33,'Daily Inward'!$E:$E,"Non Inventory"))</f>
        <v>0</v>
      </c>
      <c r="G33" s="51">
        <f>IF($B33="","",SUMIFS('Daily Issuance'!$G:$G,'Daily Issuance'!$C:$C,$B33,'Daily Issuance'!$E:$E,"Non Inventory"))</f>
        <v>0</v>
      </c>
      <c r="H33" s="51">
        <f t="shared" si="0"/>
        <v>17</v>
      </c>
      <c r="I33" s="187">
        <v>160</v>
      </c>
      <c r="J33" s="188">
        <f t="shared" si="1"/>
        <v>2720</v>
      </c>
      <c r="K33" s="46"/>
    </row>
    <row r="34" spans="1:11" s="24" customFormat="1" ht="23.1" customHeight="1">
      <c r="A34" s="170">
        <f>IF($B34="","",MAX($A$3:A33)+1)</f>
        <v>31</v>
      </c>
      <c r="B34" s="176">
        <v>3484</v>
      </c>
      <c r="C34" s="177" t="s">
        <v>601</v>
      </c>
      <c r="D34" s="285" t="s">
        <v>112</v>
      </c>
      <c r="E34" s="281">
        <v>23</v>
      </c>
      <c r="F34" s="283">
        <f>IF($B34="","",SUMIFS('Daily Inward'!$G:$G,'Daily Inward'!$C:$C,$B34,'Daily Inward'!$E:$E,"Non Inventory"))</f>
        <v>0</v>
      </c>
      <c r="G34" s="51">
        <f>IF($B34="","",SUMIFS('Daily Issuance'!$G:$G,'Daily Issuance'!$C:$C,$B34,'Daily Issuance'!$E:$E,"Non Inventory"))</f>
        <v>2</v>
      </c>
      <c r="H34" s="51">
        <f t="shared" si="0"/>
        <v>21</v>
      </c>
      <c r="I34" s="187">
        <v>350</v>
      </c>
      <c r="J34" s="188">
        <f t="shared" si="1"/>
        <v>7350</v>
      </c>
      <c r="K34" s="46"/>
    </row>
    <row r="35" spans="1:11" s="24" customFormat="1" ht="23.1" customHeight="1">
      <c r="A35" s="170">
        <f>IF($B35="","",MAX($A$3:A34)+1)</f>
        <v>32</v>
      </c>
      <c r="B35" s="176">
        <v>3486</v>
      </c>
      <c r="C35" s="177" t="s">
        <v>602</v>
      </c>
      <c r="D35" s="285" t="s">
        <v>102</v>
      </c>
      <c r="E35" s="281">
        <v>3</v>
      </c>
      <c r="F35" s="283">
        <f>IF($B35="","",SUMIFS('Daily Inward'!$G:$G,'Daily Inward'!$C:$C,$B35,'Daily Inward'!$E:$E,"Non Inventory"))</f>
        <v>0</v>
      </c>
      <c r="G35" s="51">
        <f>IF($B35="","",SUMIFS('Daily Issuance'!$G:$G,'Daily Issuance'!$C:$C,$B35,'Daily Issuance'!$E:$E,"Non Inventory"))</f>
        <v>0</v>
      </c>
      <c r="H35" s="51">
        <f t="shared" si="0"/>
        <v>3</v>
      </c>
      <c r="I35" s="187">
        <v>3740</v>
      </c>
      <c r="J35" s="188">
        <f t="shared" si="1"/>
        <v>11220</v>
      </c>
      <c r="K35" s="46"/>
    </row>
    <row r="36" spans="1:11" s="24" customFormat="1" ht="23.1" customHeight="1">
      <c r="A36" s="170">
        <f>IF($B36="","",MAX($A$3:A35)+1)</f>
        <v>33</v>
      </c>
      <c r="B36" s="176">
        <v>3487</v>
      </c>
      <c r="C36" s="177" t="s">
        <v>603</v>
      </c>
      <c r="D36" s="285" t="s">
        <v>604</v>
      </c>
      <c r="E36" s="281">
        <v>10</v>
      </c>
      <c r="F36" s="283">
        <f>IF($B36="","",SUMIFS('Daily Inward'!$G:$G,'Daily Inward'!$C:$C,$B36,'Daily Inward'!$E:$E,"Non Inventory"))</f>
        <v>0</v>
      </c>
      <c r="G36" s="51">
        <f>IF($B36="","",SUMIFS('Daily Issuance'!$G:$G,'Daily Issuance'!$C:$C,$B36,'Daily Issuance'!$E:$E,"Non Inventory"))</f>
        <v>0</v>
      </c>
      <c r="H36" s="51">
        <f t="shared" si="0"/>
        <v>10</v>
      </c>
      <c r="I36" s="187">
        <v>297</v>
      </c>
      <c r="J36" s="188">
        <f t="shared" si="1"/>
        <v>2970</v>
      </c>
      <c r="K36" s="46"/>
    </row>
    <row r="37" spans="1:11" s="24" customFormat="1" ht="23.1" customHeight="1">
      <c r="A37" s="170">
        <f>IF($B37="","",MAX($A$3:A36)+1)</f>
        <v>34</v>
      </c>
      <c r="B37" s="176">
        <v>3490</v>
      </c>
      <c r="C37" s="177" t="s">
        <v>605</v>
      </c>
      <c r="D37" s="285" t="s">
        <v>102</v>
      </c>
      <c r="E37" s="281">
        <v>10</v>
      </c>
      <c r="F37" s="283">
        <f>IF($B37="","",SUMIFS('Daily Inward'!$G:$G,'Daily Inward'!$C:$C,$B37,'Daily Inward'!$E:$E,"Non Inventory"))</f>
        <v>0</v>
      </c>
      <c r="G37" s="51">
        <f>IF($B37="","",SUMIFS('Daily Issuance'!$G:$G,'Daily Issuance'!$C:$C,$B37,'Daily Issuance'!$E:$E,"Non Inventory"))</f>
        <v>3</v>
      </c>
      <c r="H37" s="51">
        <f t="shared" si="0"/>
        <v>7</v>
      </c>
      <c r="I37" s="187">
        <v>330</v>
      </c>
      <c r="J37" s="188">
        <f t="shared" si="1"/>
        <v>2310</v>
      </c>
      <c r="K37" s="46"/>
    </row>
    <row r="38" spans="1:11" s="24" customFormat="1" ht="23.1" customHeight="1">
      <c r="A38" s="170">
        <f>IF($B38="","",MAX($A$3:A37)+1)</f>
        <v>35</v>
      </c>
      <c r="B38" s="176">
        <v>3499</v>
      </c>
      <c r="C38" s="177" t="s">
        <v>606</v>
      </c>
      <c r="D38" s="285" t="s">
        <v>102</v>
      </c>
      <c r="E38" s="281">
        <v>1</v>
      </c>
      <c r="F38" s="283">
        <f>IF($B38="","",SUMIFS('Daily Inward'!$G:$G,'Daily Inward'!$C:$C,$B38,'Daily Inward'!$E:$E,"Non Inventory"))</f>
        <v>0</v>
      </c>
      <c r="G38" s="51">
        <f>IF($B38="","",SUMIFS('Daily Issuance'!$G:$G,'Daily Issuance'!$C:$C,$B38,'Daily Issuance'!$E:$E,"Non Inventory"))</f>
        <v>0</v>
      </c>
      <c r="H38" s="51">
        <f t="shared" si="0"/>
        <v>1</v>
      </c>
      <c r="I38" s="187">
        <v>8100</v>
      </c>
      <c r="J38" s="188">
        <f t="shared" si="1"/>
        <v>8100</v>
      </c>
      <c r="K38" s="46"/>
    </row>
    <row r="39" spans="1:11" s="24" customFormat="1" ht="23.1" customHeight="1">
      <c r="A39" s="170">
        <f>IF($B39="","",MAX($A$3:A38)+1)</f>
        <v>36</v>
      </c>
      <c r="B39" s="176">
        <v>3550</v>
      </c>
      <c r="C39" s="177" t="s">
        <v>607</v>
      </c>
      <c r="D39" s="285" t="s">
        <v>112</v>
      </c>
      <c r="E39" s="281">
        <v>26</v>
      </c>
      <c r="F39" s="283">
        <f>IF($B39="","",SUMIFS('Daily Inward'!$G:$G,'Daily Inward'!$C:$C,$B39,'Daily Inward'!$E:$E,"Non Inventory"))</f>
        <v>0</v>
      </c>
      <c r="G39" s="51">
        <f>IF($B39="","",SUMIFS('Daily Issuance'!$G:$G,'Daily Issuance'!$C:$C,$B39,'Daily Issuance'!$E:$E,"Non Inventory"))</f>
        <v>0</v>
      </c>
      <c r="H39" s="51">
        <f t="shared" si="0"/>
        <v>26</v>
      </c>
      <c r="I39" s="187">
        <v>1550</v>
      </c>
      <c r="J39" s="188">
        <f t="shared" si="1"/>
        <v>40300</v>
      </c>
      <c r="K39" s="46"/>
    </row>
    <row r="40" spans="1:11" s="24" customFormat="1" ht="23.1" customHeight="1">
      <c r="A40" s="170">
        <f>IF($B40="","",MAX($A$3:A39)+1)</f>
        <v>37</v>
      </c>
      <c r="B40" s="176">
        <v>3563</v>
      </c>
      <c r="C40" s="177" t="s">
        <v>608</v>
      </c>
      <c r="D40" s="285" t="s">
        <v>102</v>
      </c>
      <c r="E40" s="281">
        <v>8</v>
      </c>
      <c r="F40" s="283">
        <f>IF($B40="","",SUMIFS('Daily Inward'!$G:$G,'Daily Inward'!$C:$C,$B40,'Daily Inward'!$E:$E,"Non Inventory"))</f>
        <v>0</v>
      </c>
      <c r="G40" s="51">
        <f>IF($B40="","",SUMIFS('Daily Issuance'!$G:$G,'Daily Issuance'!$C:$C,$B40,'Daily Issuance'!$E:$E,"Non Inventory"))</f>
        <v>0</v>
      </c>
      <c r="H40" s="51">
        <f t="shared" si="0"/>
        <v>8</v>
      </c>
      <c r="I40" s="187">
        <v>1850</v>
      </c>
      <c r="J40" s="188">
        <f t="shared" si="1"/>
        <v>14800</v>
      </c>
      <c r="K40" s="46"/>
    </row>
    <row r="41" spans="1:11" s="24" customFormat="1" ht="23.1" customHeight="1">
      <c r="A41" s="170">
        <f>IF($B41="","",MAX($A$3:A40)+1)</f>
        <v>38</v>
      </c>
      <c r="B41" s="176">
        <v>3591</v>
      </c>
      <c r="C41" s="177" t="s">
        <v>609</v>
      </c>
      <c r="D41" s="285" t="s">
        <v>102</v>
      </c>
      <c r="E41" s="281">
        <v>25</v>
      </c>
      <c r="F41" s="283">
        <f>IF($B41="","",SUMIFS('Daily Inward'!$G:$G,'Daily Inward'!$C:$C,$B41,'Daily Inward'!$E:$E,"Non Inventory"))</f>
        <v>0</v>
      </c>
      <c r="G41" s="51">
        <f>IF($B41="","",SUMIFS('Daily Issuance'!$G:$G,'Daily Issuance'!$C:$C,$B41,'Daily Issuance'!$E:$E,"Non Inventory"))</f>
        <v>0</v>
      </c>
      <c r="H41" s="51">
        <f t="shared" si="0"/>
        <v>25</v>
      </c>
      <c r="I41" s="187">
        <v>70</v>
      </c>
      <c r="J41" s="188">
        <f t="shared" si="1"/>
        <v>1750</v>
      </c>
      <c r="K41" s="46"/>
    </row>
    <row r="42" spans="1:11" s="24" customFormat="1" ht="23.1" customHeight="1">
      <c r="A42" s="170">
        <f>IF($B42="","",MAX($A$3:A41)+1)</f>
        <v>39</v>
      </c>
      <c r="B42" s="176">
        <v>3594</v>
      </c>
      <c r="C42" s="177" t="s">
        <v>610</v>
      </c>
      <c r="D42" s="285" t="s">
        <v>102</v>
      </c>
      <c r="E42" s="281">
        <v>0</v>
      </c>
      <c r="F42" s="283">
        <f>IF($B42="","",SUMIFS('Daily Inward'!$G:$G,'Daily Inward'!$C:$C,$B42,'Daily Inward'!$E:$E,"Non Inventory"))</f>
        <v>0</v>
      </c>
      <c r="G42" s="51">
        <f>IF($B42="","",SUMIFS('Daily Issuance'!$G:$G,'Daily Issuance'!$C:$C,$B42,'Daily Issuance'!$E:$E,"Non Inventory"))</f>
        <v>0</v>
      </c>
      <c r="H42" s="51">
        <f t="shared" si="0"/>
        <v>0</v>
      </c>
      <c r="I42" s="187">
        <v>225</v>
      </c>
      <c r="J42" s="188">
        <f t="shared" si="1"/>
        <v>0</v>
      </c>
      <c r="K42" s="46"/>
    </row>
    <row r="43" spans="1:11" s="24" customFormat="1" ht="23.1" customHeight="1">
      <c r="A43" s="170">
        <f>IF($B43="","",MAX($A$3:A42)+1)</f>
        <v>40</v>
      </c>
      <c r="B43" s="176">
        <v>3596</v>
      </c>
      <c r="C43" s="177" t="s">
        <v>611</v>
      </c>
      <c r="D43" s="285" t="s">
        <v>102</v>
      </c>
      <c r="E43" s="281">
        <v>3</v>
      </c>
      <c r="F43" s="283">
        <f>IF($B43="","",SUMIFS('Daily Inward'!$G:$G,'Daily Inward'!$C:$C,$B43,'Daily Inward'!$E:$E,"Non Inventory"))</f>
        <v>0</v>
      </c>
      <c r="G43" s="51">
        <f>IF($B43="","",SUMIFS('Daily Issuance'!$G:$G,'Daily Issuance'!$C:$C,$B43,'Daily Issuance'!$E:$E,"Non Inventory"))</f>
        <v>0</v>
      </c>
      <c r="H43" s="51">
        <f t="shared" si="0"/>
        <v>3</v>
      </c>
      <c r="I43" s="187">
        <v>380</v>
      </c>
      <c r="J43" s="188">
        <f t="shared" si="1"/>
        <v>1140</v>
      </c>
      <c r="K43" s="46"/>
    </row>
    <row r="44" spans="1:11" s="24" customFormat="1" ht="23.1" customHeight="1">
      <c r="A44" s="170">
        <f>IF($B44="","",MAX($A$3:A43)+1)</f>
        <v>41</v>
      </c>
      <c r="B44" s="176">
        <v>3598</v>
      </c>
      <c r="C44" s="177" t="s">
        <v>612</v>
      </c>
      <c r="D44" s="285" t="s">
        <v>102</v>
      </c>
      <c r="E44" s="281">
        <v>26</v>
      </c>
      <c r="F44" s="283">
        <f>IF($B44="","",SUMIFS('Daily Inward'!$G:$G,'Daily Inward'!$C:$C,$B44,'Daily Inward'!$E:$E,"Non Inventory"))</f>
        <v>0</v>
      </c>
      <c r="G44" s="51">
        <f>IF($B44="","",SUMIFS('Daily Issuance'!$G:$G,'Daily Issuance'!$C:$C,$B44,'Daily Issuance'!$E:$E,"Non Inventory"))</f>
        <v>0</v>
      </c>
      <c r="H44" s="51">
        <f t="shared" si="0"/>
        <v>26</v>
      </c>
      <c r="I44" s="187">
        <v>105</v>
      </c>
      <c r="J44" s="188">
        <f t="shared" si="1"/>
        <v>2730</v>
      </c>
      <c r="K44" s="46"/>
    </row>
    <row r="45" spans="1:11" s="24" customFormat="1" ht="23.1" customHeight="1">
      <c r="A45" s="170">
        <f>IF($B45="","",MAX($A$3:A44)+1)</f>
        <v>42</v>
      </c>
      <c r="B45" s="176">
        <v>3618</v>
      </c>
      <c r="C45" s="177" t="s">
        <v>613</v>
      </c>
      <c r="D45" s="285" t="s">
        <v>102</v>
      </c>
      <c r="E45" s="281">
        <v>5</v>
      </c>
      <c r="F45" s="283">
        <f>IF($B45="","",SUMIFS('Daily Inward'!$G:$G,'Daily Inward'!$C:$C,$B45,'Daily Inward'!$E:$E,"Non Inventory"))</f>
        <v>0</v>
      </c>
      <c r="G45" s="51">
        <f>IF($B45="","",SUMIFS('Daily Issuance'!$G:$G,'Daily Issuance'!$C:$C,$B45,'Daily Issuance'!$E:$E,"Non Inventory"))</f>
        <v>0</v>
      </c>
      <c r="H45" s="51">
        <f t="shared" si="0"/>
        <v>5</v>
      </c>
      <c r="I45" s="187">
        <v>70</v>
      </c>
      <c r="J45" s="188">
        <f t="shared" si="1"/>
        <v>350</v>
      </c>
      <c r="K45" s="46"/>
    </row>
    <row r="46" spans="1:11" s="24" customFormat="1" ht="23.1" customHeight="1">
      <c r="A46" s="170">
        <f>IF($B46="","",MAX($A$3:A45)+1)</f>
        <v>43</v>
      </c>
      <c r="B46" s="176">
        <v>3728</v>
      </c>
      <c r="C46" s="177" t="s">
        <v>614</v>
      </c>
      <c r="D46" s="285" t="s">
        <v>615</v>
      </c>
      <c r="E46" s="281">
        <v>1.5</v>
      </c>
      <c r="F46" s="283">
        <f>IF($B46="","",SUMIFS('Daily Inward'!$G:$G,'Daily Inward'!$C:$C,$B46,'Daily Inward'!$E:$E,"Non Inventory"))</f>
        <v>0</v>
      </c>
      <c r="G46" s="51">
        <f>IF($B46="","",SUMIFS('Daily Issuance'!$G:$G,'Daily Issuance'!$C:$C,$B46,'Daily Issuance'!$E:$E,"Non Inventory"))</f>
        <v>0</v>
      </c>
      <c r="H46" s="51">
        <f t="shared" si="0"/>
        <v>1.5</v>
      </c>
      <c r="I46" s="187">
        <v>125</v>
      </c>
      <c r="J46" s="188">
        <f t="shared" si="1"/>
        <v>187.5</v>
      </c>
      <c r="K46" s="46"/>
    </row>
    <row r="47" spans="1:11" s="24" customFormat="1" ht="23.1" customHeight="1">
      <c r="A47" s="170">
        <f>IF($B47="","",MAX($A$3:A46)+1)</f>
        <v>44</v>
      </c>
      <c r="B47" s="176">
        <v>3758</v>
      </c>
      <c r="C47" s="177" t="s">
        <v>616</v>
      </c>
      <c r="D47" s="285" t="s">
        <v>102</v>
      </c>
      <c r="E47" s="281">
        <v>1</v>
      </c>
      <c r="F47" s="283">
        <f>IF($B47="","",SUMIFS('Daily Inward'!$G:$G,'Daily Inward'!$C:$C,$B47,'Daily Inward'!$E:$E,"Non Inventory"))</f>
        <v>0</v>
      </c>
      <c r="G47" s="51">
        <f>IF($B47="","",SUMIFS('Daily Issuance'!$G:$G,'Daily Issuance'!$C:$C,$B47,'Daily Issuance'!$E:$E,"Non Inventory"))</f>
        <v>0</v>
      </c>
      <c r="H47" s="51">
        <f t="shared" si="0"/>
        <v>1</v>
      </c>
      <c r="I47" s="187">
        <v>324</v>
      </c>
      <c r="J47" s="188">
        <f t="shared" si="1"/>
        <v>324</v>
      </c>
      <c r="K47" s="46"/>
    </row>
    <row r="48" spans="1:11" s="24" customFormat="1" ht="23.1" customHeight="1">
      <c r="A48" s="170">
        <f>IF($B48="","",MAX($A$3:A47)+1)</f>
        <v>45</v>
      </c>
      <c r="B48" s="176">
        <v>3759</v>
      </c>
      <c r="C48" s="177" t="s">
        <v>617</v>
      </c>
      <c r="D48" s="285" t="s">
        <v>102</v>
      </c>
      <c r="E48" s="281">
        <v>7</v>
      </c>
      <c r="F48" s="283">
        <f>IF($B48="","",SUMIFS('Daily Inward'!$G:$G,'Daily Inward'!$C:$C,$B48,'Daily Inward'!$E:$E,"Non Inventory"))</f>
        <v>0</v>
      </c>
      <c r="G48" s="51">
        <f>IF($B48="","",SUMIFS('Daily Issuance'!$G:$G,'Daily Issuance'!$C:$C,$B48,'Daily Issuance'!$E:$E,"Non Inventory"))</f>
        <v>0</v>
      </c>
      <c r="H48" s="51">
        <f t="shared" si="0"/>
        <v>7</v>
      </c>
      <c r="I48" s="187">
        <v>300</v>
      </c>
      <c r="J48" s="188">
        <f t="shared" si="1"/>
        <v>2100</v>
      </c>
      <c r="K48" s="46"/>
    </row>
    <row r="49" spans="1:11" s="24" customFormat="1" ht="23.1" customHeight="1">
      <c r="A49" s="170">
        <f>IF($B49="","",MAX($A$3:A48)+1)</f>
        <v>46</v>
      </c>
      <c r="B49" s="176">
        <v>3779</v>
      </c>
      <c r="C49" s="177" t="s">
        <v>618</v>
      </c>
      <c r="D49" s="285" t="s">
        <v>102</v>
      </c>
      <c r="E49" s="281">
        <v>3</v>
      </c>
      <c r="F49" s="283">
        <f>IF($B49="","",SUMIFS('Daily Inward'!$G:$G,'Daily Inward'!$C:$C,$B49,'Daily Inward'!$E:$E,"Non Inventory"))</f>
        <v>0</v>
      </c>
      <c r="G49" s="51">
        <f>IF($B49="","",SUMIFS('Daily Issuance'!$G:$G,'Daily Issuance'!$C:$C,$B49,'Daily Issuance'!$E:$E,"Non Inventory"))</f>
        <v>0</v>
      </c>
      <c r="H49" s="51">
        <f t="shared" si="0"/>
        <v>3</v>
      </c>
      <c r="I49" s="187">
        <v>280</v>
      </c>
      <c r="J49" s="188">
        <f t="shared" si="1"/>
        <v>840</v>
      </c>
      <c r="K49" s="46"/>
    </row>
    <row r="50" spans="1:11" s="24" customFormat="1" ht="23.1" customHeight="1">
      <c r="A50" s="170">
        <f>IF($B50="","",MAX($A$3:A49)+1)</f>
        <v>47</v>
      </c>
      <c r="B50" s="176">
        <v>3813</v>
      </c>
      <c r="C50" s="177" t="s">
        <v>619</v>
      </c>
      <c r="D50" s="285" t="s">
        <v>102</v>
      </c>
      <c r="E50" s="281">
        <v>1</v>
      </c>
      <c r="F50" s="283">
        <f>IF($B50="","",SUMIFS('Daily Inward'!$G:$G,'Daily Inward'!$C:$C,$B50,'Daily Inward'!$E:$E,"Non Inventory"))</f>
        <v>0</v>
      </c>
      <c r="G50" s="51">
        <f>IF($B50="","",SUMIFS('Daily Issuance'!$G:$G,'Daily Issuance'!$C:$C,$B50,'Daily Issuance'!$E:$E,"Non Inventory"))</f>
        <v>0</v>
      </c>
      <c r="H50" s="51">
        <f t="shared" si="0"/>
        <v>1</v>
      </c>
      <c r="I50" s="187">
        <v>750</v>
      </c>
      <c r="J50" s="188">
        <f t="shared" si="1"/>
        <v>750</v>
      </c>
      <c r="K50" s="46"/>
    </row>
    <row r="51" spans="1:11" s="24" customFormat="1" ht="23.1" customHeight="1">
      <c r="A51" s="170">
        <f>IF($B51="","",MAX($A$3:A50)+1)</f>
        <v>48</v>
      </c>
      <c r="B51" s="176">
        <v>3814</v>
      </c>
      <c r="C51" s="177" t="s">
        <v>620</v>
      </c>
      <c r="D51" s="285" t="s">
        <v>102</v>
      </c>
      <c r="E51" s="281">
        <v>1</v>
      </c>
      <c r="F51" s="283">
        <f>IF($B51="","",SUMIFS('Daily Inward'!$G:$G,'Daily Inward'!$C:$C,$B51,'Daily Inward'!$E:$E,"Non Inventory"))</f>
        <v>0</v>
      </c>
      <c r="G51" s="51">
        <f>IF($B51="","",SUMIFS('Daily Issuance'!$G:$G,'Daily Issuance'!$C:$C,$B51,'Daily Issuance'!$E:$E,"Non Inventory"))</f>
        <v>0</v>
      </c>
      <c r="H51" s="51">
        <f t="shared" si="0"/>
        <v>1</v>
      </c>
      <c r="I51" s="187">
        <v>280</v>
      </c>
      <c r="J51" s="188">
        <f t="shared" si="1"/>
        <v>280</v>
      </c>
      <c r="K51" s="46"/>
    </row>
    <row r="52" spans="1:11" s="24" customFormat="1" ht="23.1" customHeight="1">
      <c r="A52" s="170">
        <f>IF($B52="","",MAX($A$3:A51)+1)</f>
        <v>49</v>
      </c>
      <c r="B52" s="176">
        <v>3817</v>
      </c>
      <c r="C52" s="177" t="s">
        <v>621</v>
      </c>
      <c r="D52" s="285" t="s">
        <v>102</v>
      </c>
      <c r="E52" s="281">
        <v>8</v>
      </c>
      <c r="F52" s="283">
        <f>IF($B52="","",SUMIFS('Daily Inward'!$G:$G,'Daily Inward'!$C:$C,$B52,'Daily Inward'!$E:$E,"Non Inventory"))</f>
        <v>0</v>
      </c>
      <c r="G52" s="51">
        <f>IF($B52="","",SUMIFS('Daily Issuance'!$G:$G,'Daily Issuance'!$C:$C,$B52,'Daily Issuance'!$E:$E,"Non Inventory"))</f>
        <v>0</v>
      </c>
      <c r="H52" s="51">
        <f t="shared" si="0"/>
        <v>8</v>
      </c>
      <c r="I52" s="187">
        <v>220</v>
      </c>
      <c r="J52" s="188">
        <f t="shared" si="1"/>
        <v>1760</v>
      </c>
      <c r="K52" s="46"/>
    </row>
    <row r="53" spans="1:11" s="24" customFormat="1" ht="23.1" customHeight="1">
      <c r="A53" s="170">
        <f>IF($B53="","",MAX($A$3:A52)+1)</f>
        <v>50</v>
      </c>
      <c r="B53" s="176">
        <v>3845</v>
      </c>
      <c r="C53" s="177" t="s">
        <v>622</v>
      </c>
      <c r="D53" s="285" t="s">
        <v>102</v>
      </c>
      <c r="E53" s="281">
        <v>8</v>
      </c>
      <c r="F53" s="283">
        <f>IF($B53="","",SUMIFS('Daily Inward'!$G:$G,'Daily Inward'!$C:$C,$B53,'Daily Inward'!$E:$E,"Non Inventory"))</f>
        <v>0</v>
      </c>
      <c r="G53" s="51">
        <f>IF($B53="","",SUMIFS('Daily Issuance'!$G:$G,'Daily Issuance'!$C:$C,$B53,'Daily Issuance'!$E:$E,"Non Inventory"))</f>
        <v>0</v>
      </c>
      <c r="H53" s="51">
        <f t="shared" si="0"/>
        <v>8</v>
      </c>
      <c r="I53" s="187">
        <v>450</v>
      </c>
      <c r="J53" s="188">
        <f t="shared" si="1"/>
        <v>3600</v>
      </c>
      <c r="K53" s="46"/>
    </row>
    <row r="54" spans="1:11" s="24" customFormat="1" ht="23.1" customHeight="1">
      <c r="A54" s="170">
        <f>IF($B54="","",MAX($A$3:A53)+1)</f>
        <v>51</v>
      </c>
      <c r="B54" s="176">
        <v>3848</v>
      </c>
      <c r="C54" s="177" t="s">
        <v>623</v>
      </c>
      <c r="D54" s="285" t="s">
        <v>102</v>
      </c>
      <c r="E54" s="281">
        <v>31</v>
      </c>
      <c r="F54" s="283">
        <f>IF($B54="","",SUMIFS('Daily Inward'!$G:$G,'Daily Inward'!$C:$C,$B54,'Daily Inward'!$E:$E,"Non Inventory"))</f>
        <v>0</v>
      </c>
      <c r="G54" s="51">
        <f>IF($B54="","",SUMIFS('Daily Issuance'!$G:$G,'Daily Issuance'!$C:$C,$B54,'Daily Issuance'!$E:$E,"Non Inventory"))</f>
        <v>0</v>
      </c>
      <c r="H54" s="51">
        <f t="shared" si="0"/>
        <v>31</v>
      </c>
      <c r="I54" s="187">
        <v>337</v>
      </c>
      <c r="J54" s="188">
        <f t="shared" si="1"/>
        <v>10447</v>
      </c>
      <c r="K54" s="46"/>
    </row>
    <row r="55" spans="1:11" s="24" customFormat="1" ht="23.1" customHeight="1">
      <c r="A55" s="170">
        <f>IF($B55="","",MAX($A$3:A54)+1)</f>
        <v>52</v>
      </c>
      <c r="B55" s="176">
        <v>3930</v>
      </c>
      <c r="C55" s="177" t="s">
        <v>624</v>
      </c>
      <c r="D55" s="285" t="s">
        <v>102</v>
      </c>
      <c r="E55" s="281">
        <v>3</v>
      </c>
      <c r="F55" s="283">
        <f>IF($B55="","",SUMIFS('Daily Inward'!$G:$G,'Daily Inward'!$C:$C,$B55,'Daily Inward'!$E:$E,"Non Inventory"))</f>
        <v>0</v>
      </c>
      <c r="G55" s="51">
        <f>IF($B55="","",SUMIFS('Daily Issuance'!$G:$G,'Daily Issuance'!$C:$C,$B55,'Daily Issuance'!$E:$E,"Non Inventory"))</f>
        <v>1</v>
      </c>
      <c r="H55" s="51">
        <f t="shared" si="0"/>
        <v>2</v>
      </c>
      <c r="I55" s="187">
        <v>13150</v>
      </c>
      <c r="J55" s="188">
        <f t="shared" si="1"/>
        <v>26300</v>
      </c>
      <c r="K55" s="46"/>
    </row>
    <row r="56" spans="1:11" s="24" customFormat="1" ht="23.1" customHeight="1">
      <c r="A56" s="170">
        <f>IF($B56="","",MAX($A$3:A55)+1)</f>
        <v>53</v>
      </c>
      <c r="B56" s="176">
        <v>3986</v>
      </c>
      <c r="C56" s="177" t="s">
        <v>625</v>
      </c>
      <c r="D56" s="285" t="s">
        <v>102</v>
      </c>
      <c r="E56" s="281">
        <v>4</v>
      </c>
      <c r="F56" s="283">
        <f>IF($B56="","",SUMIFS('Daily Inward'!$G:$G,'Daily Inward'!$C:$C,$B56,'Daily Inward'!$E:$E,"Non Inventory"))</f>
        <v>0</v>
      </c>
      <c r="G56" s="51">
        <f>IF($B56="","",SUMIFS('Daily Issuance'!$G:$G,'Daily Issuance'!$C:$C,$B56,'Daily Issuance'!$E:$E,"Non Inventory"))</f>
        <v>0</v>
      </c>
      <c r="H56" s="51">
        <f t="shared" si="0"/>
        <v>4</v>
      </c>
      <c r="I56" s="187">
        <v>3500</v>
      </c>
      <c r="J56" s="188">
        <f t="shared" si="1"/>
        <v>14000</v>
      </c>
      <c r="K56" s="46"/>
    </row>
    <row r="57" spans="1:11" s="24" customFormat="1" ht="23.1" customHeight="1">
      <c r="A57" s="170">
        <f>IF($B57="","",MAX($A$3:A56)+1)</f>
        <v>54</v>
      </c>
      <c r="B57" s="176">
        <v>4001</v>
      </c>
      <c r="C57" s="177" t="s">
        <v>626</v>
      </c>
      <c r="D57" s="285" t="s">
        <v>102</v>
      </c>
      <c r="E57" s="281">
        <v>4</v>
      </c>
      <c r="F57" s="283">
        <f>IF($B57="","",SUMIFS('Daily Inward'!$G:$G,'Daily Inward'!$C:$C,$B57,'Daily Inward'!$E:$E,"Non Inventory"))</f>
        <v>0</v>
      </c>
      <c r="G57" s="51">
        <f>IF($B57="","",SUMIFS('Daily Issuance'!$G:$G,'Daily Issuance'!$C:$C,$B57,'Daily Issuance'!$E:$E,"Non Inventory"))</f>
        <v>0</v>
      </c>
      <c r="H57" s="51">
        <f t="shared" si="0"/>
        <v>4</v>
      </c>
      <c r="I57" s="187">
        <v>1550</v>
      </c>
      <c r="J57" s="188">
        <f t="shared" si="1"/>
        <v>6200</v>
      </c>
      <c r="K57" s="46"/>
    </row>
    <row r="58" spans="1:11" s="24" customFormat="1" ht="23.1" customHeight="1">
      <c r="A58" s="170">
        <f>IF($B58="","",MAX($A$3:A57)+1)</f>
        <v>55</v>
      </c>
      <c r="B58" s="176">
        <v>4191</v>
      </c>
      <c r="C58" s="177" t="s">
        <v>627</v>
      </c>
      <c r="D58" s="285" t="s">
        <v>628</v>
      </c>
      <c r="E58" s="281">
        <v>5</v>
      </c>
      <c r="F58" s="283">
        <f>IF($B58="","",SUMIFS('Daily Inward'!$G:$G,'Daily Inward'!$C:$C,$B58,'Daily Inward'!$E:$E,"Non Inventory"))</f>
        <v>0</v>
      </c>
      <c r="G58" s="51">
        <f>IF($B58="","",SUMIFS('Daily Issuance'!$G:$G,'Daily Issuance'!$C:$C,$B58,'Daily Issuance'!$E:$E,"Non Inventory"))</f>
        <v>0</v>
      </c>
      <c r="H58" s="51">
        <f t="shared" si="0"/>
        <v>5</v>
      </c>
      <c r="I58" s="187">
        <v>410</v>
      </c>
      <c r="J58" s="188">
        <f t="shared" si="1"/>
        <v>2050</v>
      </c>
      <c r="K58" s="46"/>
    </row>
    <row r="59" spans="1:11" s="24" customFormat="1" ht="23.1" customHeight="1">
      <c r="A59" s="170">
        <f>IF($B59="","",MAX($A$3:A58)+1)</f>
        <v>56</v>
      </c>
      <c r="B59" s="176">
        <v>4518</v>
      </c>
      <c r="C59" s="177" t="s">
        <v>629</v>
      </c>
      <c r="D59" s="285" t="s">
        <v>102</v>
      </c>
      <c r="E59" s="281">
        <v>14</v>
      </c>
      <c r="F59" s="283">
        <f>IF($B59="","",SUMIFS('Daily Inward'!$G:$G,'Daily Inward'!$C:$C,$B59,'Daily Inward'!$E:$E,"Non Inventory"))</f>
        <v>0</v>
      </c>
      <c r="G59" s="51">
        <f>IF($B59="","",SUMIFS('Daily Issuance'!$G:$G,'Daily Issuance'!$C:$C,$B59,'Daily Issuance'!$E:$E,"Non Inventory"))</f>
        <v>0</v>
      </c>
      <c r="H59" s="51">
        <f t="shared" si="0"/>
        <v>14</v>
      </c>
      <c r="I59" s="187">
        <v>65</v>
      </c>
      <c r="J59" s="188">
        <f t="shared" si="1"/>
        <v>910</v>
      </c>
      <c r="K59" s="46"/>
    </row>
    <row r="60" spans="1:11" s="24" customFormat="1" ht="23.1" customHeight="1">
      <c r="A60" s="170">
        <f>IF($B60="","",MAX($A$3:A59)+1)</f>
        <v>57</v>
      </c>
      <c r="B60" s="176">
        <v>4722</v>
      </c>
      <c r="C60" s="177" t="s">
        <v>630</v>
      </c>
      <c r="D60" s="285" t="s">
        <v>112</v>
      </c>
      <c r="E60" s="281">
        <v>270</v>
      </c>
      <c r="F60" s="283">
        <f>IF($B60="","",SUMIFS('Daily Inward'!$G:$G,'Daily Inward'!$C:$C,$B60,'Daily Inward'!$E:$E,"Non Inventory"))</f>
        <v>0</v>
      </c>
      <c r="G60" s="51">
        <f>IF($B60="","",SUMIFS('Daily Issuance'!$G:$G,'Daily Issuance'!$C:$C,$B60,'Daily Issuance'!$E:$E,"Non Inventory"))</f>
        <v>0</v>
      </c>
      <c r="H60" s="51">
        <f t="shared" si="0"/>
        <v>270</v>
      </c>
      <c r="I60" s="187"/>
      <c r="J60" s="188">
        <f t="shared" si="1"/>
        <v>0</v>
      </c>
      <c r="K60" s="46"/>
    </row>
    <row r="61" spans="1:11" s="24" customFormat="1" ht="23.1" customHeight="1">
      <c r="A61" s="170">
        <f>IF($B61="","",MAX($A$3:A60)+1)</f>
        <v>58</v>
      </c>
      <c r="B61" s="176">
        <v>4724</v>
      </c>
      <c r="C61" s="177" t="s">
        <v>631</v>
      </c>
      <c r="D61" s="285" t="s">
        <v>112</v>
      </c>
      <c r="E61" s="281">
        <v>490</v>
      </c>
      <c r="F61" s="283">
        <f>IF($B61="","",SUMIFS('Daily Inward'!$G:$G,'Daily Inward'!$C:$C,$B61,'Daily Inward'!$E:$E,"Non Inventory"))</f>
        <v>0</v>
      </c>
      <c r="G61" s="51">
        <f>IF($B61="","",SUMIFS('Daily Issuance'!$G:$G,'Daily Issuance'!$C:$C,$B61,'Daily Issuance'!$E:$E,"Non Inventory"))</f>
        <v>0</v>
      </c>
      <c r="H61" s="51">
        <f t="shared" si="0"/>
        <v>490</v>
      </c>
      <c r="I61" s="187"/>
      <c r="J61" s="188">
        <f t="shared" si="1"/>
        <v>0</v>
      </c>
      <c r="K61" s="46"/>
    </row>
    <row r="62" spans="1:11" s="24" customFormat="1" ht="23.1" customHeight="1">
      <c r="A62" s="170">
        <f>IF($B62="","",MAX($A$3:A61)+1)</f>
        <v>59</v>
      </c>
      <c r="B62" s="176">
        <v>4772</v>
      </c>
      <c r="C62" s="177" t="s">
        <v>632</v>
      </c>
      <c r="D62" s="285" t="s">
        <v>112</v>
      </c>
      <c r="E62" s="281">
        <v>1</v>
      </c>
      <c r="F62" s="283">
        <f>IF($B62="","",SUMIFS('Daily Inward'!$G:$G,'Daily Inward'!$C:$C,$B62,'Daily Inward'!$E:$E,"Non Inventory"))</f>
        <v>0</v>
      </c>
      <c r="G62" s="51">
        <f>IF($B62="","",SUMIFS('Daily Issuance'!$G:$G,'Daily Issuance'!$C:$C,$B62,'Daily Issuance'!$E:$E,"Non Inventory"))</f>
        <v>0</v>
      </c>
      <c r="H62" s="51">
        <f t="shared" si="0"/>
        <v>1</v>
      </c>
      <c r="I62" s="187"/>
      <c r="J62" s="188">
        <f t="shared" si="1"/>
        <v>0</v>
      </c>
      <c r="K62" s="46"/>
    </row>
    <row r="63" spans="1:11" s="24" customFormat="1" ht="23.1" customHeight="1">
      <c r="A63" s="170">
        <f>IF($B63="","",MAX($A$3:A62)+1)</f>
        <v>60</v>
      </c>
      <c r="B63" s="176">
        <v>4778</v>
      </c>
      <c r="C63" s="177" t="s">
        <v>633</v>
      </c>
      <c r="D63" s="285" t="s">
        <v>112</v>
      </c>
      <c r="E63" s="281">
        <v>0</v>
      </c>
      <c r="F63" s="283">
        <f>IF($B63="","",SUMIFS('Daily Inward'!$G:$G,'Daily Inward'!$C:$C,$B63,'Daily Inward'!$E:$E,"Non Inventory"))</f>
        <v>12</v>
      </c>
      <c r="G63" s="51">
        <f>IF($B63="","",SUMIFS('Daily Issuance'!$G:$G,'Daily Issuance'!$C:$C,$B63,'Daily Issuance'!$E:$E,"Non Inventory"))</f>
        <v>0</v>
      </c>
      <c r="H63" s="51">
        <f t="shared" si="0"/>
        <v>12</v>
      </c>
      <c r="I63" s="187">
        <v>210</v>
      </c>
      <c r="J63" s="188">
        <f t="shared" si="1"/>
        <v>2520</v>
      </c>
      <c r="K63" s="46"/>
    </row>
    <row r="64" spans="1:11" s="24" customFormat="1" ht="23.1" customHeight="1">
      <c r="A64" s="170">
        <f>IF($B64="","",MAX($A$3:A63)+1)</f>
        <v>61</v>
      </c>
      <c r="B64" s="176">
        <v>4780</v>
      </c>
      <c r="C64" s="177" t="s">
        <v>634</v>
      </c>
      <c r="D64" s="285" t="s">
        <v>112</v>
      </c>
      <c r="E64" s="281">
        <v>7</v>
      </c>
      <c r="F64" s="283">
        <f>IF($B64="","",SUMIFS('Daily Inward'!$G:$G,'Daily Inward'!$C:$C,$B64,'Daily Inward'!$E:$E,"Non Inventory"))</f>
        <v>30</v>
      </c>
      <c r="G64" s="51">
        <f>IF($B64="","",SUMIFS('Daily Issuance'!$G:$G,'Daily Issuance'!$C:$C,$B64,'Daily Issuance'!$E:$E,"Non Inventory"))</f>
        <v>2</v>
      </c>
      <c r="H64" s="51">
        <f t="shared" si="0"/>
        <v>35</v>
      </c>
      <c r="I64" s="187">
        <v>180</v>
      </c>
      <c r="J64" s="188">
        <f t="shared" si="1"/>
        <v>6300</v>
      </c>
      <c r="K64" s="46"/>
    </row>
    <row r="65" spans="1:11" s="24" customFormat="1" ht="23.1" customHeight="1">
      <c r="A65" s="170">
        <f>IF($B65="","",MAX($A$3:A64)+1)</f>
        <v>62</v>
      </c>
      <c r="B65" s="176">
        <v>4781</v>
      </c>
      <c r="C65" s="177" t="s">
        <v>635</v>
      </c>
      <c r="D65" s="285" t="s">
        <v>615</v>
      </c>
      <c r="E65" s="281">
        <v>2</v>
      </c>
      <c r="F65" s="283">
        <f>IF($B65="","",SUMIFS('Daily Inward'!$G:$G,'Daily Inward'!$C:$C,$B65,'Daily Inward'!$E:$E,"Non Inventory"))</f>
        <v>0</v>
      </c>
      <c r="G65" s="51">
        <f>IF($B65="","",SUMIFS('Daily Issuance'!$G:$G,'Daily Issuance'!$C:$C,$B65,'Daily Issuance'!$E:$E,"Non Inventory"))</f>
        <v>1.5</v>
      </c>
      <c r="H65" s="51">
        <f t="shared" si="0"/>
        <v>0.5</v>
      </c>
      <c r="I65" s="187">
        <v>3250</v>
      </c>
      <c r="J65" s="188">
        <f t="shared" si="1"/>
        <v>1625</v>
      </c>
      <c r="K65" s="46"/>
    </row>
    <row r="66" spans="1:11" s="24" customFormat="1" ht="23.1" customHeight="1">
      <c r="A66" s="170">
        <f>IF($B66="","",MAX($A$3:A65)+1)</f>
        <v>63</v>
      </c>
      <c r="B66" s="176">
        <v>4786</v>
      </c>
      <c r="C66" s="177" t="s">
        <v>636</v>
      </c>
      <c r="D66" s="285" t="s">
        <v>112</v>
      </c>
      <c r="E66" s="281">
        <v>29</v>
      </c>
      <c r="F66" s="283">
        <f>IF($B66="","",SUMIFS('Daily Inward'!$G:$G,'Daily Inward'!$C:$C,$B66,'Daily Inward'!$E:$E,"Non Inventory"))</f>
        <v>0</v>
      </c>
      <c r="G66" s="51">
        <f>IF($B66="","",SUMIFS('Daily Issuance'!$G:$G,'Daily Issuance'!$C:$C,$B66,'Daily Issuance'!$E:$E,"Non Inventory"))</f>
        <v>0</v>
      </c>
      <c r="H66" s="51">
        <f t="shared" si="0"/>
        <v>29</v>
      </c>
      <c r="I66" s="187">
        <v>75</v>
      </c>
      <c r="J66" s="188">
        <f t="shared" si="1"/>
        <v>2175</v>
      </c>
      <c r="K66" s="46"/>
    </row>
    <row r="67" spans="1:11" s="24" customFormat="1" ht="23.1" customHeight="1">
      <c r="A67" s="170">
        <f>IF($B67="","",MAX($A$3:A66)+1)</f>
        <v>64</v>
      </c>
      <c r="B67" s="176">
        <v>4809</v>
      </c>
      <c r="C67" s="177" t="s">
        <v>637</v>
      </c>
      <c r="D67" s="285" t="s">
        <v>112</v>
      </c>
      <c r="E67" s="281">
        <v>1</v>
      </c>
      <c r="F67" s="283">
        <f>IF($B67="","",SUMIFS('Daily Inward'!$G:$G,'Daily Inward'!$C:$C,$B67,'Daily Inward'!$E:$E,"Non Inventory"))</f>
        <v>0</v>
      </c>
      <c r="G67" s="51">
        <f>IF($B67="","",SUMIFS('Daily Issuance'!$G:$G,'Daily Issuance'!$C:$C,$B67,'Daily Issuance'!$E:$E,"Non Inventory"))</f>
        <v>0</v>
      </c>
      <c r="H67" s="51">
        <f t="shared" si="0"/>
        <v>1</v>
      </c>
      <c r="I67" s="187">
        <v>3500</v>
      </c>
      <c r="J67" s="188">
        <f t="shared" si="1"/>
        <v>3500</v>
      </c>
      <c r="K67" s="46"/>
    </row>
    <row r="68" spans="1:11" s="24" customFormat="1" ht="23.1" customHeight="1">
      <c r="A68" s="170">
        <f>IF($B68="","",MAX($A$3:A67)+1)</f>
        <v>65</v>
      </c>
      <c r="B68" s="176">
        <v>4829</v>
      </c>
      <c r="C68" s="177" t="s">
        <v>638</v>
      </c>
      <c r="D68" s="285" t="s">
        <v>112</v>
      </c>
      <c r="E68" s="281">
        <v>1</v>
      </c>
      <c r="F68" s="283">
        <f>IF($B68="","",SUMIFS('Daily Inward'!$G:$G,'Daily Inward'!$C:$C,$B68,'Daily Inward'!$E:$E,"Non Inventory"))</f>
        <v>0</v>
      </c>
      <c r="G68" s="51">
        <f>IF($B68="","",SUMIFS('Daily Issuance'!$G:$G,'Daily Issuance'!$C:$C,$B68,'Daily Issuance'!$E:$E,"Non Inventory"))</f>
        <v>0</v>
      </c>
      <c r="H68" s="51">
        <f t="shared" ref="H68:H131" si="2">IF($B68="","",N(E68)+N(F68)-N(G68))</f>
        <v>1</v>
      </c>
      <c r="I68" s="187">
        <v>26500</v>
      </c>
      <c r="J68" s="188">
        <f t="shared" ref="J68:J131" si="3">IF($B68="","",H68*I68)</f>
        <v>26500</v>
      </c>
      <c r="K68" s="46"/>
    </row>
    <row r="69" spans="1:11" s="24" customFormat="1" ht="23.1" customHeight="1">
      <c r="A69" s="170">
        <f>IF($B69="","",MAX($A$3:A68)+1)</f>
        <v>66</v>
      </c>
      <c r="B69" s="176">
        <v>4832</v>
      </c>
      <c r="C69" s="177" t="s">
        <v>639</v>
      </c>
      <c r="D69" s="285" t="s">
        <v>112</v>
      </c>
      <c r="E69" s="281">
        <v>1</v>
      </c>
      <c r="F69" s="283">
        <f>IF($B69="","",SUMIFS('Daily Inward'!$G:$G,'Daily Inward'!$C:$C,$B69,'Daily Inward'!$E:$E,"Non Inventory"))</f>
        <v>0</v>
      </c>
      <c r="G69" s="51">
        <f>IF($B69="","",SUMIFS('Daily Issuance'!$G:$G,'Daily Issuance'!$C:$C,$B69,'Daily Issuance'!$E:$E,"Non Inventory"))</f>
        <v>0</v>
      </c>
      <c r="H69" s="51">
        <f t="shared" si="2"/>
        <v>1</v>
      </c>
      <c r="I69" s="187">
        <v>110</v>
      </c>
      <c r="J69" s="188">
        <f t="shared" si="3"/>
        <v>110</v>
      </c>
      <c r="K69" s="46"/>
    </row>
    <row r="70" spans="1:11" s="24" customFormat="1" ht="23.1" customHeight="1">
      <c r="A70" s="170">
        <f>IF($B70="","",MAX($A$3:A69)+1)</f>
        <v>67</v>
      </c>
      <c r="B70" s="176">
        <v>4850</v>
      </c>
      <c r="C70" s="177" t="s">
        <v>640</v>
      </c>
      <c r="D70" s="285" t="s">
        <v>112</v>
      </c>
      <c r="E70" s="281">
        <v>1</v>
      </c>
      <c r="F70" s="283">
        <f>IF($B70="","",SUMIFS('Daily Inward'!$G:$G,'Daily Inward'!$C:$C,$B70,'Daily Inward'!$E:$E,"Non Inventory"))</f>
        <v>0</v>
      </c>
      <c r="G70" s="51">
        <f>IF($B70="","",SUMIFS('Daily Issuance'!$G:$G,'Daily Issuance'!$C:$C,$B70,'Daily Issuance'!$E:$E,"Non Inventory"))</f>
        <v>0</v>
      </c>
      <c r="H70" s="51">
        <f t="shared" si="2"/>
        <v>1</v>
      </c>
      <c r="I70" s="187">
        <v>31000</v>
      </c>
      <c r="J70" s="188">
        <f t="shared" si="3"/>
        <v>31000</v>
      </c>
      <c r="K70" s="46"/>
    </row>
    <row r="71" spans="1:11" s="24" customFormat="1" ht="23.1" customHeight="1">
      <c r="A71" s="170">
        <f>IF($B71="","",MAX($A$3:A70)+1)</f>
        <v>68</v>
      </c>
      <c r="B71" s="176">
        <v>4852</v>
      </c>
      <c r="C71" s="177" t="s">
        <v>641</v>
      </c>
      <c r="D71" s="285" t="s">
        <v>112</v>
      </c>
      <c r="E71" s="281">
        <v>2</v>
      </c>
      <c r="F71" s="283">
        <f>IF($B71="","",SUMIFS('Daily Inward'!$G:$G,'Daily Inward'!$C:$C,$B71,'Daily Inward'!$E:$E,"Non Inventory"))</f>
        <v>0</v>
      </c>
      <c r="G71" s="51">
        <f>IF($B71="","",SUMIFS('Daily Issuance'!$G:$G,'Daily Issuance'!$C:$C,$B71,'Daily Issuance'!$E:$E,"Non Inventory"))</f>
        <v>0</v>
      </c>
      <c r="H71" s="51">
        <f t="shared" si="2"/>
        <v>2</v>
      </c>
      <c r="I71" s="187">
        <v>550</v>
      </c>
      <c r="J71" s="188">
        <f t="shared" si="3"/>
        <v>1100</v>
      </c>
      <c r="K71" s="46"/>
    </row>
    <row r="72" spans="1:11" s="24" customFormat="1" ht="23.1" customHeight="1">
      <c r="A72" s="170">
        <f>IF($B72="","",MAX($A$3:A71)+1)</f>
        <v>69</v>
      </c>
      <c r="B72" s="176">
        <v>4853</v>
      </c>
      <c r="C72" s="177" t="s">
        <v>642</v>
      </c>
      <c r="D72" s="285" t="s">
        <v>615</v>
      </c>
      <c r="E72" s="281">
        <v>1</v>
      </c>
      <c r="F72" s="283">
        <f>IF($B72="","",SUMIFS('Daily Inward'!$G:$G,'Daily Inward'!$C:$C,$B72,'Daily Inward'!$E:$E,"Non Inventory"))</f>
        <v>0</v>
      </c>
      <c r="G72" s="51">
        <f>IF($B72="","",SUMIFS('Daily Issuance'!$G:$G,'Daily Issuance'!$C:$C,$B72,'Daily Issuance'!$E:$E,"Non Inventory"))</f>
        <v>0</v>
      </c>
      <c r="H72" s="51">
        <f t="shared" si="2"/>
        <v>1</v>
      </c>
      <c r="I72" s="187">
        <v>200</v>
      </c>
      <c r="J72" s="188">
        <f t="shared" si="3"/>
        <v>200</v>
      </c>
      <c r="K72" s="46"/>
    </row>
    <row r="73" spans="1:11" s="24" customFormat="1" ht="23.1" customHeight="1">
      <c r="A73" s="170">
        <f>IF($B73="","",MAX($A$3:A72)+1)</f>
        <v>70</v>
      </c>
      <c r="B73" s="176">
        <v>4910</v>
      </c>
      <c r="C73" s="177" t="s">
        <v>643</v>
      </c>
      <c r="D73" s="285" t="s">
        <v>112</v>
      </c>
      <c r="E73" s="281">
        <v>4</v>
      </c>
      <c r="F73" s="283">
        <f>IF($B73="","",SUMIFS('Daily Inward'!$G:$G,'Daily Inward'!$C:$C,$B73,'Daily Inward'!$E:$E,"Non Inventory"))</f>
        <v>0</v>
      </c>
      <c r="G73" s="51">
        <f>IF($B73="","",SUMIFS('Daily Issuance'!$G:$G,'Daily Issuance'!$C:$C,$B73,'Daily Issuance'!$E:$E,"Non Inventory"))</f>
        <v>0</v>
      </c>
      <c r="H73" s="51">
        <f t="shared" si="2"/>
        <v>4</v>
      </c>
      <c r="I73" s="187">
        <v>7500</v>
      </c>
      <c r="J73" s="188">
        <f t="shared" si="3"/>
        <v>30000</v>
      </c>
      <c r="K73" s="46"/>
    </row>
    <row r="74" spans="1:11" s="24" customFormat="1" ht="23.1" customHeight="1">
      <c r="A74" s="170">
        <f>IF($B74="","",MAX($A$3:A73)+1)</f>
        <v>71</v>
      </c>
      <c r="B74" s="176">
        <v>5070</v>
      </c>
      <c r="C74" s="177" t="s">
        <v>644</v>
      </c>
      <c r="D74" s="285" t="s">
        <v>112</v>
      </c>
      <c r="E74" s="281">
        <v>32</v>
      </c>
      <c r="F74" s="283">
        <f>IF($B74="","",SUMIFS('Daily Inward'!$G:$G,'Daily Inward'!$C:$C,$B74,'Daily Inward'!$E:$E,"Non Inventory"))</f>
        <v>0</v>
      </c>
      <c r="G74" s="51">
        <f>IF($B74="","",SUMIFS('Daily Issuance'!$G:$G,'Daily Issuance'!$C:$C,$B74,'Daily Issuance'!$E:$E,"Non Inventory"))</f>
        <v>0</v>
      </c>
      <c r="H74" s="51">
        <f t="shared" si="2"/>
        <v>32</v>
      </c>
      <c r="I74" s="187">
        <v>195</v>
      </c>
      <c r="J74" s="188">
        <f t="shared" si="3"/>
        <v>6240</v>
      </c>
      <c r="K74" s="46"/>
    </row>
    <row r="75" spans="1:11" s="24" customFormat="1" ht="23.1" customHeight="1">
      <c r="A75" s="170">
        <f>IF($B75="","",MAX($A$3:A74)+1)</f>
        <v>72</v>
      </c>
      <c r="B75" s="176">
        <v>5071</v>
      </c>
      <c r="C75" s="177" t="s">
        <v>645</v>
      </c>
      <c r="D75" s="285" t="s">
        <v>112</v>
      </c>
      <c r="E75" s="281">
        <v>28</v>
      </c>
      <c r="F75" s="283">
        <f>IF($B75="","",SUMIFS('Daily Inward'!$G:$G,'Daily Inward'!$C:$C,$B75,'Daily Inward'!$E:$E,"Non Inventory"))</f>
        <v>0</v>
      </c>
      <c r="G75" s="51">
        <f>IF($B75="","",SUMIFS('Daily Issuance'!$G:$G,'Daily Issuance'!$C:$C,$B75,'Daily Issuance'!$E:$E,"Non Inventory"))</f>
        <v>0</v>
      </c>
      <c r="H75" s="51">
        <f t="shared" si="2"/>
        <v>28</v>
      </c>
      <c r="I75" s="187">
        <v>40</v>
      </c>
      <c r="J75" s="188">
        <f t="shared" si="3"/>
        <v>1120</v>
      </c>
      <c r="K75" s="46"/>
    </row>
    <row r="76" spans="1:11" s="24" customFormat="1" ht="23.1" customHeight="1">
      <c r="A76" s="170">
        <f>IF($B76="","",MAX($A$3:A75)+1)</f>
        <v>73</v>
      </c>
      <c r="B76" s="176">
        <v>5096</v>
      </c>
      <c r="C76" s="177" t="s">
        <v>646</v>
      </c>
      <c r="D76" s="285" t="s">
        <v>102</v>
      </c>
      <c r="E76" s="281">
        <v>1</v>
      </c>
      <c r="F76" s="283">
        <f>IF($B76="","",SUMIFS('Daily Inward'!$G:$G,'Daily Inward'!$C:$C,$B76,'Daily Inward'!$E:$E,"Non Inventory"))</f>
        <v>0</v>
      </c>
      <c r="G76" s="51">
        <f>IF($B76="","",SUMIFS('Daily Issuance'!$G:$G,'Daily Issuance'!$C:$C,$B76,'Daily Issuance'!$E:$E,"Non Inventory"))</f>
        <v>0</v>
      </c>
      <c r="H76" s="51">
        <f t="shared" si="2"/>
        <v>1</v>
      </c>
      <c r="I76" s="187">
        <v>400</v>
      </c>
      <c r="J76" s="188">
        <f t="shared" si="3"/>
        <v>400</v>
      </c>
      <c r="K76" s="46"/>
    </row>
    <row r="77" spans="1:11" s="24" customFormat="1" ht="23.1" customHeight="1">
      <c r="A77" s="170">
        <f>IF($B77="","",MAX($A$3:A76)+1)</f>
        <v>74</v>
      </c>
      <c r="B77" s="176">
        <v>5125</v>
      </c>
      <c r="C77" s="177" t="s">
        <v>647</v>
      </c>
      <c r="D77" s="285" t="s">
        <v>112</v>
      </c>
      <c r="E77" s="281">
        <v>34</v>
      </c>
      <c r="F77" s="283">
        <f>IF($B77="","",SUMIFS('Daily Inward'!$G:$G,'Daily Inward'!$C:$C,$B77,'Daily Inward'!$E:$E,"Non Inventory"))</f>
        <v>0</v>
      </c>
      <c r="G77" s="51">
        <f>IF($B77="","",SUMIFS('Daily Issuance'!$G:$G,'Daily Issuance'!$C:$C,$B77,'Daily Issuance'!$E:$E,"Non Inventory"))</f>
        <v>0</v>
      </c>
      <c r="H77" s="51">
        <f t="shared" si="2"/>
        <v>34</v>
      </c>
      <c r="I77" s="187">
        <v>16</v>
      </c>
      <c r="J77" s="188">
        <f t="shared" si="3"/>
        <v>544</v>
      </c>
      <c r="K77" s="46"/>
    </row>
    <row r="78" spans="1:11" s="24" customFormat="1" ht="23.1" customHeight="1">
      <c r="A78" s="170">
        <f>IF($B78="","",MAX($A$3:A77)+1)</f>
        <v>75</v>
      </c>
      <c r="B78" s="176">
        <v>5144</v>
      </c>
      <c r="C78" s="177" t="s">
        <v>648</v>
      </c>
      <c r="D78" s="285" t="s">
        <v>112</v>
      </c>
      <c r="E78" s="281">
        <v>1</v>
      </c>
      <c r="F78" s="283">
        <f>IF($B78="","",SUMIFS('Daily Inward'!$G:$G,'Daily Inward'!$C:$C,$B78,'Daily Inward'!$E:$E,"Non Inventory"))</f>
        <v>0</v>
      </c>
      <c r="G78" s="51">
        <f>IF($B78="","",SUMIFS('Daily Issuance'!$G:$G,'Daily Issuance'!$C:$C,$B78,'Daily Issuance'!$E:$E,"Non Inventory"))</f>
        <v>0</v>
      </c>
      <c r="H78" s="51">
        <f t="shared" si="2"/>
        <v>1</v>
      </c>
      <c r="I78" s="187">
        <v>6850</v>
      </c>
      <c r="J78" s="188">
        <f t="shared" si="3"/>
        <v>6850</v>
      </c>
      <c r="K78" s="46"/>
    </row>
    <row r="79" spans="1:11" s="24" customFormat="1" ht="23.1" customHeight="1">
      <c r="A79" s="170">
        <f>IF($B79="","",MAX($A$3:A78)+1)</f>
        <v>76</v>
      </c>
      <c r="B79" s="176">
        <v>5164</v>
      </c>
      <c r="C79" s="177" t="s">
        <v>649</v>
      </c>
      <c r="D79" s="285" t="s">
        <v>112</v>
      </c>
      <c r="E79" s="281">
        <v>1</v>
      </c>
      <c r="F79" s="283">
        <f>IF($B79="","",SUMIFS('Daily Inward'!$G:$G,'Daily Inward'!$C:$C,$B79,'Daily Inward'!$E:$E,"Non Inventory"))</f>
        <v>0</v>
      </c>
      <c r="G79" s="51">
        <f>IF($B79="","",SUMIFS('Daily Issuance'!$G:$G,'Daily Issuance'!$C:$C,$B79,'Daily Issuance'!$E:$E,"Non Inventory"))</f>
        <v>0</v>
      </c>
      <c r="H79" s="51">
        <f t="shared" si="2"/>
        <v>1</v>
      </c>
      <c r="I79" s="187">
        <v>325</v>
      </c>
      <c r="J79" s="188">
        <f t="shared" si="3"/>
        <v>325</v>
      </c>
      <c r="K79" s="46"/>
    </row>
    <row r="80" spans="1:11" s="24" customFormat="1" ht="23.1" customHeight="1">
      <c r="A80" s="170">
        <f>IF($B80="","",MAX($A$3:A79)+1)</f>
        <v>77</v>
      </c>
      <c r="B80" s="176">
        <v>5165</v>
      </c>
      <c r="C80" s="177" t="s">
        <v>650</v>
      </c>
      <c r="D80" s="285" t="s">
        <v>112</v>
      </c>
      <c r="E80" s="281">
        <v>0</v>
      </c>
      <c r="F80" s="283">
        <f>IF($B80="","",SUMIFS('Daily Inward'!$G:$G,'Daily Inward'!$C:$C,$B80,'Daily Inward'!$E:$E,"Non Inventory"))</f>
        <v>0</v>
      </c>
      <c r="G80" s="51">
        <f>IF($B80="","",SUMIFS('Daily Issuance'!$G:$G,'Daily Issuance'!$C:$C,$B80,'Daily Issuance'!$E:$E,"Non Inventory"))</f>
        <v>0</v>
      </c>
      <c r="H80" s="51">
        <f t="shared" si="2"/>
        <v>0</v>
      </c>
      <c r="I80" s="187">
        <v>350</v>
      </c>
      <c r="J80" s="188">
        <f t="shared" si="3"/>
        <v>0</v>
      </c>
      <c r="K80" s="46"/>
    </row>
    <row r="81" spans="1:11" s="24" customFormat="1" ht="23.1" customHeight="1">
      <c r="A81" s="170">
        <f>IF($B81="","",MAX($A$3:A80)+1)</f>
        <v>78</v>
      </c>
      <c r="B81" s="176">
        <v>5166</v>
      </c>
      <c r="C81" s="177" t="s">
        <v>651</v>
      </c>
      <c r="D81" s="285" t="s">
        <v>112</v>
      </c>
      <c r="E81" s="281">
        <v>20</v>
      </c>
      <c r="F81" s="283">
        <f>IF($B81="","",SUMIFS('Daily Inward'!$G:$G,'Daily Inward'!$C:$C,$B81,'Daily Inward'!$E:$E,"Non Inventory"))</f>
        <v>0</v>
      </c>
      <c r="G81" s="51">
        <f>IF($B81="","",SUMIFS('Daily Issuance'!$G:$G,'Daily Issuance'!$C:$C,$B81,'Daily Issuance'!$E:$E,"Non Inventory"))</f>
        <v>0</v>
      </c>
      <c r="H81" s="51">
        <f t="shared" si="2"/>
        <v>20</v>
      </c>
      <c r="I81" s="187">
        <v>148</v>
      </c>
      <c r="J81" s="188">
        <f t="shared" si="3"/>
        <v>2960</v>
      </c>
      <c r="K81" s="46"/>
    </row>
    <row r="82" spans="1:11" s="24" customFormat="1" ht="23.1" customHeight="1">
      <c r="A82" s="170">
        <f>IF($B82="","",MAX($A$3:A81)+1)</f>
        <v>79</v>
      </c>
      <c r="B82" s="176">
        <v>5170</v>
      </c>
      <c r="C82" s="177" t="s">
        <v>652</v>
      </c>
      <c r="D82" s="285" t="s">
        <v>112</v>
      </c>
      <c r="E82" s="281">
        <v>3</v>
      </c>
      <c r="F82" s="283">
        <f>IF($B82="","",SUMIFS('Daily Inward'!$G:$G,'Daily Inward'!$C:$C,$B82,'Daily Inward'!$E:$E,"Non Inventory"))</f>
        <v>0</v>
      </c>
      <c r="G82" s="51">
        <f>IF($B82="","",SUMIFS('Daily Issuance'!$G:$G,'Daily Issuance'!$C:$C,$B82,'Daily Issuance'!$E:$E,"Non Inventory"))</f>
        <v>0</v>
      </c>
      <c r="H82" s="51">
        <f t="shared" si="2"/>
        <v>3</v>
      </c>
      <c r="I82" s="187">
        <v>2500</v>
      </c>
      <c r="J82" s="188">
        <f t="shared" si="3"/>
        <v>7500</v>
      </c>
      <c r="K82" s="46"/>
    </row>
    <row r="83" spans="1:11" s="24" customFormat="1" ht="23.1" customHeight="1">
      <c r="A83" s="170">
        <f>IF($B83="","",MAX($A$3:A82)+1)</f>
        <v>80</v>
      </c>
      <c r="B83" s="176">
        <v>5197</v>
      </c>
      <c r="C83" s="177" t="s">
        <v>653</v>
      </c>
      <c r="D83" s="285" t="s">
        <v>112</v>
      </c>
      <c r="E83" s="281">
        <v>15</v>
      </c>
      <c r="F83" s="283">
        <f>IF($B83="","",SUMIFS('Daily Inward'!$G:$G,'Daily Inward'!$C:$C,$B83,'Daily Inward'!$E:$E,"Non Inventory"))</f>
        <v>0</v>
      </c>
      <c r="G83" s="51">
        <f>IF($B83="","",SUMIFS('Daily Issuance'!$G:$G,'Daily Issuance'!$C:$C,$B83,'Daily Issuance'!$E:$E,"Non Inventory"))</f>
        <v>1</v>
      </c>
      <c r="H83" s="51">
        <f t="shared" si="2"/>
        <v>14</v>
      </c>
      <c r="I83" s="187">
        <v>230</v>
      </c>
      <c r="J83" s="188">
        <f t="shared" si="3"/>
        <v>3220</v>
      </c>
      <c r="K83" s="46"/>
    </row>
    <row r="84" spans="1:11" s="24" customFormat="1" ht="23.1" customHeight="1">
      <c r="A84" s="170">
        <f>IF($B84="","",MAX($A$3:A83)+1)</f>
        <v>81</v>
      </c>
      <c r="B84" s="176">
        <v>5380</v>
      </c>
      <c r="C84" s="177" t="s">
        <v>654</v>
      </c>
      <c r="D84" s="285" t="s">
        <v>112</v>
      </c>
      <c r="E84" s="281">
        <v>250</v>
      </c>
      <c r="F84" s="283">
        <f>IF($B84="","",SUMIFS('Daily Inward'!$G:$G,'Daily Inward'!$C:$C,$B84,'Daily Inward'!$E:$E,"Non Inventory"))</f>
        <v>0</v>
      </c>
      <c r="G84" s="51">
        <f>IF($B84="","",SUMIFS('Daily Issuance'!$G:$G,'Daily Issuance'!$C:$C,$B84,'Daily Issuance'!$E:$E,"Non Inventory"))</f>
        <v>0</v>
      </c>
      <c r="H84" s="51">
        <f t="shared" si="2"/>
        <v>250</v>
      </c>
      <c r="I84" s="187"/>
      <c r="J84" s="188">
        <f t="shared" si="3"/>
        <v>0</v>
      </c>
      <c r="K84" s="46"/>
    </row>
    <row r="85" spans="1:11" s="24" customFormat="1" ht="23.1" customHeight="1">
      <c r="A85" s="170">
        <f>IF($B85="","",MAX($A$3:A84)+1)</f>
        <v>82</v>
      </c>
      <c r="B85" s="176">
        <v>5398</v>
      </c>
      <c r="C85" s="177" t="s">
        <v>655</v>
      </c>
      <c r="D85" s="285" t="s">
        <v>604</v>
      </c>
      <c r="E85" s="281">
        <v>76</v>
      </c>
      <c r="F85" s="283">
        <f>IF($B85="","",SUMIFS('Daily Inward'!$G:$G,'Daily Inward'!$C:$C,$B85,'Daily Inward'!$E:$E,"Non Inventory"))</f>
        <v>0</v>
      </c>
      <c r="G85" s="51">
        <f>IF($B85="","",SUMIFS('Daily Issuance'!$G:$G,'Daily Issuance'!$C:$C,$B85,'Daily Issuance'!$E:$E,"Non Inventory"))</f>
        <v>0</v>
      </c>
      <c r="H85" s="51">
        <f t="shared" si="2"/>
        <v>76</v>
      </c>
      <c r="I85" s="187">
        <v>100</v>
      </c>
      <c r="J85" s="188">
        <f t="shared" si="3"/>
        <v>7600</v>
      </c>
      <c r="K85" s="46"/>
    </row>
    <row r="86" spans="1:11" s="24" customFormat="1" ht="23.1" customHeight="1">
      <c r="A86" s="170">
        <f>IF($B86="","",MAX($A$3:A85)+1)</f>
        <v>83</v>
      </c>
      <c r="B86" s="176">
        <v>5401</v>
      </c>
      <c r="C86" s="177" t="s">
        <v>656</v>
      </c>
      <c r="D86" s="285" t="s">
        <v>112</v>
      </c>
      <c r="E86" s="281">
        <v>0</v>
      </c>
      <c r="F86" s="283">
        <f>IF($B86="","",SUMIFS('Daily Inward'!$G:$G,'Daily Inward'!$C:$C,$B86,'Daily Inward'!$E:$E,"Non Inventory"))</f>
        <v>0</v>
      </c>
      <c r="G86" s="51">
        <f>IF($B86="","",SUMIFS('Daily Issuance'!$G:$G,'Daily Issuance'!$C:$C,$B86,'Daily Issuance'!$E:$E,"Non Inventory"))</f>
        <v>0</v>
      </c>
      <c r="H86" s="51">
        <f t="shared" si="2"/>
        <v>0</v>
      </c>
      <c r="I86" s="187">
        <v>950</v>
      </c>
      <c r="J86" s="188">
        <f t="shared" si="3"/>
        <v>0</v>
      </c>
      <c r="K86" s="46"/>
    </row>
    <row r="87" spans="1:11" s="24" customFormat="1" ht="23.1" customHeight="1">
      <c r="A87" s="170">
        <f>IF($B87="","",MAX($A$3:A86)+1)</f>
        <v>84</v>
      </c>
      <c r="B87" s="176">
        <v>5417</v>
      </c>
      <c r="C87" s="177" t="s">
        <v>657</v>
      </c>
      <c r="D87" s="285" t="s">
        <v>112</v>
      </c>
      <c r="E87" s="281">
        <v>46</v>
      </c>
      <c r="F87" s="283">
        <f>IF($B87="","",SUMIFS('Daily Inward'!$G:$G,'Daily Inward'!$C:$C,$B87,'Daily Inward'!$E:$E,"Non Inventory"))</f>
        <v>0</v>
      </c>
      <c r="G87" s="51">
        <f>IF($B87="","",SUMIFS('Daily Issuance'!$G:$G,'Daily Issuance'!$C:$C,$B87,'Daily Issuance'!$E:$E,"Non Inventory"))</f>
        <v>0</v>
      </c>
      <c r="H87" s="51">
        <f t="shared" si="2"/>
        <v>46</v>
      </c>
      <c r="I87" s="187">
        <v>575</v>
      </c>
      <c r="J87" s="188">
        <f t="shared" si="3"/>
        <v>26450</v>
      </c>
      <c r="K87" s="46"/>
    </row>
    <row r="88" spans="1:11" s="24" customFormat="1" ht="23.1" customHeight="1">
      <c r="A88" s="170">
        <f>IF($B88="","",MAX($A$3:A87)+1)</f>
        <v>85</v>
      </c>
      <c r="B88" s="176">
        <v>5420</v>
      </c>
      <c r="C88" s="177" t="s">
        <v>658</v>
      </c>
      <c r="D88" s="285" t="s">
        <v>112</v>
      </c>
      <c r="E88" s="281">
        <v>7</v>
      </c>
      <c r="F88" s="283">
        <f>IF($B88="","",SUMIFS('Daily Inward'!$G:$G,'Daily Inward'!$C:$C,$B88,'Daily Inward'!$E:$E,"Non Inventory"))</f>
        <v>0</v>
      </c>
      <c r="G88" s="51">
        <f>IF($B88="","",SUMIFS('Daily Issuance'!$G:$G,'Daily Issuance'!$C:$C,$B88,'Daily Issuance'!$E:$E,"Non Inventory"))</f>
        <v>0</v>
      </c>
      <c r="H88" s="51">
        <f t="shared" si="2"/>
        <v>7</v>
      </c>
      <c r="I88" s="187">
        <v>160</v>
      </c>
      <c r="J88" s="188">
        <f t="shared" si="3"/>
        <v>1120</v>
      </c>
      <c r="K88" s="46"/>
    </row>
    <row r="89" spans="1:11" s="24" customFormat="1" ht="23.1" customHeight="1">
      <c r="A89" s="170">
        <f>IF($B89="","",MAX($A$3:A88)+1)</f>
        <v>86</v>
      </c>
      <c r="B89" s="176">
        <v>5422</v>
      </c>
      <c r="C89" s="177" t="s">
        <v>659</v>
      </c>
      <c r="D89" s="285" t="s">
        <v>112</v>
      </c>
      <c r="E89" s="281">
        <v>1</v>
      </c>
      <c r="F89" s="283">
        <f>IF($B89="","",SUMIFS('Daily Inward'!$G:$G,'Daily Inward'!$C:$C,$B89,'Daily Inward'!$E:$E,"Non Inventory"))</f>
        <v>0</v>
      </c>
      <c r="G89" s="51">
        <f>IF($B89="","",SUMIFS('Daily Issuance'!$G:$G,'Daily Issuance'!$C:$C,$B89,'Daily Issuance'!$E:$E,"Non Inventory"))</f>
        <v>0</v>
      </c>
      <c r="H89" s="51">
        <f t="shared" si="2"/>
        <v>1</v>
      </c>
      <c r="I89" s="187">
        <v>850</v>
      </c>
      <c r="J89" s="188">
        <f t="shared" si="3"/>
        <v>850</v>
      </c>
      <c r="K89" s="46"/>
    </row>
    <row r="90" spans="1:11" s="24" customFormat="1" ht="23.1" customHeight="1">
      <c r="A90" s="170">
        <f>IF($B90="","",MAX($A$3:A89)+1)</f>
        <v>87</v>
      </c>
      <c r="B90" s="176">
        <v>5423</v>
      </c>
      <c r="C90" s="177" t="s">
        <v>660</v>
      </c>
      <c r="D90" s="285" t="s">
        <v>112</v>
      </c>
      <c r="E90" s="281">
        <v>6</v>
      </c>
      <c r="F90" s="283">
        <f>IF($B90="","",SUMIFS('Daily Inward'!$G:$G,'Daily Inward'!$C:$C,$B90,'Daily Inward'!$E:$E,"Non Inventory"))</f>
        <v>0</v>
      </c>
      <c r="G90" s="51">
        <f>IF($B90="","",SUMIFS('Daily Issuance'!$G:$G,'Daily Issuance'!$C:$C,$B90,'Daily Issuance'!$E:$E,"Non Inventory"))</f>
        <v>0</v>
      </c>
      <c r="H90" s="51">
        <f t="shared" si="2"/>
        <v>6</v>
      </c>
      <c r="I90" s="187">
        <v>1550</v>
      </c>
      <c r="J90" s="188">
        <f t="shared" si="3"/>
        <v>9300</v>
      </c>
      <c r="K90" s="46"/>
    </row>
    <row r="91" spans="1:11" s="24" customFormat="1" ht="23.1" customHeight="1">
      <c r="A91" s="170">
        <f>IF($B91="","",MAX($A$3:A90)+1)</f>
        <v>88</v>
      </c>
      <c r="B91" s="176">
        <v>5444</v>
      </c>
      <c r="C91" s="177" t="s">
        <v>661</v>
      </c>
      <c r="D91" s="285" t="s">
        <v>112</v>
      </c>
      <c r="E91" s="281">
        <v>2328</v>
      </c>
      <c r="F91" s="283">
        <f>IF($B91="","",SUMIFS('Daily Inward'!$G:$G,'Daily Inward'!$C:$C,$B91,'Daily Inward'!$E:$E,"Non Inventory"))</f>
        <v>0</v>
      </c>
      <c r="G91" s="51">
        <f>IF($B91="","",SUMIFS('Daily Issuance'!$G:$G,'Daily Issuance'!$C:$C,$B91,'Daily Issuance'!$E:$E,"Non Inventory"))</f>
        <v>0</v>
      </c>
      <c r="H91" s="51">
        <f t="shared" si="2"/>
        <v>2328</v>
      </c>
      <c r="I91" s="187">
        <v>4</v>
      </c>
      <c r="J91" s="188">
        <f t="shared" si="3"/>
        <v>9312</v>
      </c>
      <c r="K91" s="46"/>
    </row>
    <row r="92" spans="1:11" s="24" customFormat="1" ht="23.1" customHeight="1">
      <c r="A92" s="170">
        <f>IF($B92="","",MAX($A$3:A91)+1)</f>
        <v>89</v>
      </c>
      <c r="B92" s="176">
        <v>5464</v>
      </c>
      <c r="C92" s="177" t="s">
        <v>662</v>
      </c>
      <c r="D92" s="285" t="s">
        <v>112</v>
      </c>
      <c r="E92" s="281">
        <v>10</v>
      </c>
      <c r="F92" s="283">
        <f>IF($B92="","",SUMIFS('Daily Inward'!$G:$G,'Daily Inward'!$C:$C,$B92,'Daily Inward'!$E:$E,"Non Inventory"))</f>
        <v>0</v>
      </c>
      <c r="G92" s="51">
        <f>IF($B92="","",SUMIFS('Daily Issuance'!$G:$G,'Daily Issuance'!$C:$C,$B92,'Daily Issuance'!$E:$E,"Non Inventory"))</f>
        <v>0</v>
      </c>
      <c r="H92" s="51">
        <f t="shared" si="2"/>
        <v>10</v>
      </c>
      <c r="I92" s="187">
        <v>714</v>
      </c>
      <c r="J92" s="188">
        <f t="shared" si="3"/>
        <v>7140</v>
      </c>
      <c r="K92" s="46"/>
    </row>
    <row r="93" spans="1:11" s="24" customFormat="1" ht="23.1" customHeight="1">
      <c r="A93" s="170">
        <f>IF($B93="","",MAX($A$3:A92)+1)</f>
        <v>90</v>
      </c>
      <c r="B93" s="176">
        <v>5533</v>
      </c>
      <c r="C93" s="177" t="s">
        <v>663</v>
      </c>
      <c r="D93" s="285" t="s">
        <v>112</v>
      </c>
      <c r="E93" s="281">
        <v>2</v>
      </c>
      <c r="F93" s="283">
        <f>IF($B93="","",SUMIFS('Daily Inward'!$G:$G,'Daily Inward'!$C:$C,$B93,'Daily Inward'!$E:$E,"Non Inventory"))</f>
        <v>0</v>
      </c>
      <c r="G93" s="51">
        <f>IF($B93="","",SUMIFS('Daily Issuance'!$G:$G,'Daily Issuance'!$C:$C,$B93,'Daily Issuance'!$E:$E,"Non Inventory"))</f>
        <v>0</v>
      </c>
      <c r="H93" s="51">
        <f t="shared" si="2"/>
        <v>2</v>
      </c>
      <c r="I93" s="187">
        <v>159</v>
      </c>
      <c r="J93" s="188">
        <f t="shared" si="3"/>
        <v>318</v>
      </c>
      <c r="K93" s="46"/>
    </row>
    <row r="94" spans="1:11" s="24" customFormat="1" ht="23.1" customHeight="1">
      <c r="A94" s="170">
        <f>IF($B94="","",MAX($A$3:A93)+1)</f>
        <v>91</v>
      </c>
      <c r="B94" s="176">
        <v>5539</v>
      </c>
      <c r="C94" s="177" t="s">
        <v>664</v>
      </c>
      <c r="D94" s="285" t="s">
        <v>112</v>
      </c>
      <c r="E94" s="281">
        <v>9</v>
      </c>
      <c r="F94" s="283">
        <f>IF($B94="","",SUMIFS('Daily Inward'!$G:$G,'Daily Inward'!$C:$C,$B94,'Daily Inward'!$E:$E,"Non Inventory"))</f>
        <v>0</v>
      </c>
      <c r="G94" s="51">
        <f>IF($B94="","",SUMIFS('Daily Issuance'!$G:$G,'Daily Issuance'!$C:$C,$B94,'Daily Issuance'!$E:$E,"Non Inventory"))</f>
        <v>3</v>
      </c>
      <c r="H94" s="51">
        <f t="shared" si="2"/>
        <v>6</v>
      </c>
      <c r="I94" s="187">
        <v>225</v>
      </c>
      <c r="J94" s="188">
        <f t="shared" si="3"/>
        <v>1350</v>
      </c>
      <c r="K94" s="46"/>
    </row>
    <row r="95" spans="1:11" s="24" customFormat="1" ht="23.1" customHeight="1">
      <c r="A95" s="170">
        <f>IF($B95="","",MAX($A$3:A94)+1)</f>
        <v>92</v>
      </c>
      <c r="B95" s="176">
        <v>5580</v>
      </c>
      <c r="C95" s="177" t="s">
        <v>665</v>
      </c>
      <c r="D95" s="285" t="s">
        <v>112</v>
      </c>
      <c r="E95" s="281">
        <v>5</v>
      </c>
      <c r="F95" s="283">
        <f>IF($B95="","",SUMIFS('Daily Inward'!$G:$G,'Daily Inward'!$C:$C,$B95,'Daily Inward'!$E:$E,"Non Inventory"))</f>
        <v>0</v>
      </c>
      <c r="G95" s="51">
        <f>IF($B95="","",SUMIFS('Daily Issuance'!$G:$G,'Daily Issuance'!$C:$C,$B95,'Daily Issuance'!$E:$E,"Non Inventory"))</f>
        <v>0</v>
      </c>
      <c r="H95" s="51">
        <f t="shared" si="2"/>
        <v>5</v>
      </c>
      <c r="I95" s="187">
        <v>85</v>
      </c>
      <c r="J95" s="188">
        <f t="shared" si="3"/>
        <v>425</v>
      </c>
      <c r="K95" s="46"/>
    </row>
    <row r="96" spans="1:11" s="24" customFormat="1" ht="23.1" customHeight="1">
      <c r="A96" s="170">
        <f>IF($B96="","",MAX($A$3:A95)+1)</f>
        <v>93</v>
      </c>
      <c r="B96" s="176">
        <v>5604</v>
      </c>
      <c r="C96" s="177" t="s">
        <v>666</v>
      </c>
      <c r="D96" s="285" t="s">
        <v>112</v>
      </c>
      <c r="E96" s="281">
        <v>38</v>
      </c>
      <c r="F96" s="283">
        <f>IF($B96="","",SUMIFS('Daily Inward'!$G:$G,'Daily Inward'!$C:$C,$B96,'Daily Inward'!$E:$E,"Non Inventory"))</f>
        <v>0</v>
      </c>
      <c r="G96" s="51">
        <f>IF($B96="","",SUMIFS('Daily Issuance'!$G:$G,'Daily Issuance'!$C:$C,$B96,'Daily Issuance'!$E:$E,"Non Inventory"))</f>
        <v>0</v>
      </c>
      <c r="H96" s="51">
        <f t="shared" si="2"/>
        <v>38</v>
      </c>
      <c r="I96" s="187">
        <v>230</v>
      </c>
      <c r="J96" s="188">
        <f t="shared" si="3"/>
        <v>8740</v>
      </c>
      <c r="K96" s="46"/>
    </row>
    <row r="97" spans="1:11" s="24" customFormat="1" ht="23.1" customHeight="1">
      <c r="A97" s="170">
        <f>IF($B97="","",MAX($A$3:A96)+1)</f>
        <v>94</v>
      </c>
      <c r="B97" s="176">
        <v>5610</v>
      </c>
      <c r="C97" s="177" t="s">
        <v>667</v>
      </c>
      <c r="D97" s="285" t="s">
        <v>112</v>
      </c>
      <c r="E97" s="281">
        <v>0</v>
      </c>
      <c r="F97" s="283">
        <f>IF($B97="","",SUMIFS('Daily Inward'!$G:$G,'Daily Inward'!$C:$C,$B97,'Daily Inward'!$E:$E,"Non Inventory"))</f>
        <v>30</v>
      </c>
      <c r="G97" s="51">
        <f>IF($B97="","",SUMIFS('Daily Issuance'!$G:$G,'Daily Issuance'!$C:$C,$B97,'Daily Issuance'!$E:$E,"Non Inventory"))</f>
        <v>0</v>
      </c>
      <c r="H97" s="51">
        <f t="shared" si="2"/>
        <v>30</v>
      </c>
      <c r="I97" s="187">
        <v>45</v>
      </c>
      <c r="J97" s="188">
        <f t="shared" si="3"/>
        <v>1350</v>
      </c>
      <c r="K97" s="46"/>
    </row>
    <row r="98" spans="1:11" s="24" customFormat="1" ht="23.1" customHeight="1">
      <c r="A98" s="170">
        <f>IF($B98="","",MAX($A$3:A97)+1)</f>
        <v>95</v>
      </c>
      <c r="B98" s="176">
        <v>5695</v>
      </c>
      <c r="C98" s="177" t="s">
        <v>668</v>
      </c>
      <c r="D98" s="285" t="s">
        <v>112</v>
      </c>
      <c r="E98" s="281">
        <v>0</v>
      </c>
      <c r="F98" s="283">
        <f>IF($B98="","",SUMIFS('Daily Inward'!$G:$G,'Daily Inward'!$C:$C,$B98,'Daily Inward'!$E:$E,"Non Inventory"))</f>
        <v>0</v>
      </c>
      <c r="G98" s="51">
        <f>IF($B98="","",SUMIFS('Daily Issuance'!$G:$G,'Daily Issuance'!$C:$C,$B98,'Daily Issuance'!$E:$E,"Non Inventory"))</f>
        <v>0</v>
      </c>
      <c r="H98" s="51">
        <f t="shared" si="2"/>
        <v>0</v>
      </c>
      <c r="I98" s="187">
        <v>110</v>
      </c>
      <c r="J98" s="188">
        <f t="shared" si="3"/>
        <v>0</v>
      </c>
      <c r="K98" s="46"/>
    </row>
    <row r="99" spans="1:11" s="24" customFormat="1" ht="23.1" customHeight="1">
      <c r="A99" s="170">
        <f>IF($B99="","",MAX($A$3:A98)+1)</f>
        <v>96</v>
      </c>
      <c r="B99" s="176">
        <v>5740</v>
      </c>
      <c r="C99" s="177" t="s">
        <v>669</v>
      </c>
      <c r="D99" s="285" t="s">
        <v>112</v>
      </c>
      <c r="E99" s="281">
        <v>9</v>
      </c>
      <c r="F99" s="283">
        <f>IF($B99="","",SUMIFS('Daily Inward'!$G:$G,'Daily Inward'!$C:$C,$B99,'Daily Inward'!$E:$E,"Non Inventory"))</f>
        <v>0</v>
      </c>
      <c r="G99" s="51">
        <f>IF($B99="","",SUMIFS('Daily Issuance'!$G:$G,'Daily Issuance'!$C:$C,$B99,'Daily Issuance'!$E:$E,"Non Inventory"))</f>
        <v>0</v>
      </c>
      <c r="H99" s="51">
        <f t="shared" si="2"/>
        <v>9</v>
      </c>
      <c r="I99" s="187">
        <v>300</v>
      </c>
      <c r="J99" s="188">
        <f t="shared" si="3"/>
        <v>2700</v>
      </c>
      <c r="K99" s="46"/>
    </row>
    <row r="100" spans="1:11" s="24" customFormat="1" ht="23.1" customHeight="1">
      <c r="A100" s="170">
        <f>IF($B100="","",MAX($A$3:A99)+1)</f>
        <v>97</v>
      </c>
      <c r="B100" s="176">
        <v>5741</v>
      </c>
      <c r="C100" s="177" t="s">
        <v>670</v>
      </c>
      <c r="D100" s="285" t="s">
        <v>112</v>
      </c>
      <c r="E100" s="281">
        <v>2</v>
      </c>
      <c r="F100" s="283">
        <f>IF($B100="","",SUMIFS('Daily Inward'!$G:$G,'Daily Inward'!$C:$C,$B100,'Daily Inward'!$E:$E,"Non Inventory"))</f>
        <v>0</v>
      </c>
      <c r="G100" s="51">
        <f>IF($B100="","",SUMIFS('Daily Issuance'!$G:$G,'Daily Issuance'!$C:$C,$B100,'Daily Issuance'!$E:$E,"Non Inventory"))</f>
        <v>0</v>
      </c>
      <c r="H100" s="51">
        <f t="shared" si="2"/>
        <v>2</v>
      </c>
      <c r="I100" s="187">
        <v>2</v>
      </c>
      <c r="J100" s="188">
        <f t="shared" si="3"/>
        <v>4</v>
      </c>
      <c r="K100" s="46"/>
    </row>
    <row r="101" spans="1:11" s="24" customFormat="1" ht="23.1" customHeight="1">
      <c r="A101" s="170">
        <f>IF($B101="","",MAX($A$3:A100)+1)</f>
        <v>98</v>
      </c>
      <c r="B101" s="176">
        <v>5746</v>
      </c>
      <c r="C101" s="177" t="s">
        <v>671</v>
      </c>
      <c r="D101" s="285" t="s">
        <v>672</v>
      </c>
      <c r="E101" s="281">
        <v>1</v>
      </c>
      <c r="F101" s="283">
        <f>IF($B101="","",SUMIFS('Daily Inward'!$G:$G,'Daily Inward'!$C:$C,$B101,'Daily Inward'!$E:$E,"Non Inventory"))</f>
        <v>0</v>
      </c>
      <c r="G101" s="51">
        <f>IF($B101="","",SUMIFS('Daily Issuance'!$G:$G,'Daily Issuance'!$C:$C,$B101,'Daily Issuance'!$E:$E,"Non Inventory"))</f>
        <v>0</v>
      </c>
      <c r="H101" s="51">
        <f t="shared" si="2"/>
        <v>1</v>
      </c>
      <c r="I101" s="187">
        <v>850</v>
      </c>
      <c r="J101" s="188">
        <f t="shared" si="3"/>
        <v>850</v>
      </c>
      <c r="K101" s="46"/>
    </row>
    <row r="102" spans="1:11" s="24" customFormat="1" ht="23.1" customHeight="1">
      <c r="A102" s="170">
        <f>IF($B102="","",MAX($A$3:A101)+1)</f>
        <v>99</v>
      </c>
      <c r="B102" s="176">
        <v>5813</v>
      </c>
      <c r="C102" s="177" t="s">
        <v>673</v>
      </c>
      <c r="D102" s="285" t="s">
        <v>112</v>
      </c>
      <c r="E102" s="281">
        <v>8</v>
      </c>
      <c r="F102" s="283">
        <f>IF($B102="","",SUMIFS('Daily Inward'!$G:$G,'Daily Inward'!$C:$C,$B102,'Daily Inward'!$E:$E,"Non Inventory"))</f>
        <v>0</v>
      </c>
      <c r="G102" s="51">
        <f>IF($B102="","",SUMIFS('Daily Issuance'!$G:$G,'Daily Issuance'!$C:$C,$B102,'Daily Issuance'!$E:$E,"Non Inventory"))</f>
        <v>1</v>
      </c>
      <c r="H102" s="51">
        <f t="shared" si="2"/>
        <v>7</v>
      </c>
      <c r="I102" s="187">
        <v>425</v>
      </c>
      <c r="J102" s="188">
        <f t="shared" si="3"/>
        <v>2975</v>
      </c>
      <c r="K102" s="46"/>
    </row>
    <row r="103" spans="1:11" s="24" customFormat="1" ht="23.1" customHeight="1">
      <c r="A103" s="170">
        <f>IF($B103="","",MAX($A$3:A102)+1)</f>
        <v>100</v>
      </c>
      <c r="B103" s="176">
        <v>5815</v>
      </c>
      <c r="C103" s="177" t="s">
        <v>674</v>
      </c>
      <c r="D103" s="285" t="s">
        <v>112</v>
      </c>
      <c r="E103" s="281">
        <v>1</v>
      </c>
      <c r="F103" s="283">
        <f>IF($B103="","",SUMIFS('Daily Inward'!$G:$G,'Daily Inward'!$C:$C,$B103,'Daily Inward'!$E:$E,"Non Inventory"))</f>
        <v>0</v>
      </c>
      <c r="G103" s="51">
        <f>IF($B103="","",SUMIFS('Daily Issuance'!$G:$G,'Daily Issuance'!$C:$C,$B103,'Daily Issuance'!$E:$E,"Non Inventory"))</f>
        <v>0</v>
      </c>
      <c r="H103" s="51">
        <f t="shared" si="2"/>
        <v>1</v>
      </c>
      <c r="I103" s="187">
        <v>4500</v>
      </c>
      <c r="J103" s="188">
        <f t="shared" si="3"/>
        <v>4500</v>
      </c>
      <c r="K103" s="46"/>
    </row>
    <row r="104" spans="1:11" s="24" customFormat="1" ht="23.1" customHeight="1">
      <c r="A104" s="170">
        <f>IF($B104="","",MAX($A$3:A103)+1)</f>
        <v>101</v>
      </c>
      <c r="B104" s="176">
        <v>5818</v>
      </c>
      <c r="C104" s="177" t="s">
        <v>675</v>
      </c>
      <c r="D104" s="285" t="s">
        <v>112</v>
      </c>
      <c r="E104" s="281">
        <v>0</v>
      </c>
      <c r="F104" s="283">
        <f>IF($B104="","",SUMIFS('Daily Inward'!$G:$G,'Daily Inward'!$C:$C,$B104,'Daily Inward'!$E:$E,"Non Inventory"))</f>
        <v>0</v>
      </c>
      <c r="G104" s="51">
        <f>IF($B104="","",SUMIFS('Daily Issuance'!$G:$G,'Daily Issuance'!$C:$C,$B104,'Daily Issuance'!$E:$E,"Non Inventory"))</f>
        <v>0</v>
      </c>
      <c r="H104" s="51">
        <f t="shared" si="2"/>
        <v>0</v>
      </c>
      <c r="I104" s="187">
        <v>1250</v>
      </c>
      <c r="J104" s="188">
        <f t="shared" si="3"/>
        <v>0</v>
      </c>
      <c r="K104" s="46"/>
    </row>
    <row r="105" spans="1:11" s="24" customFormat="1" ht="23.1" customHeight="1">
      <c r="A105" s="170">
        <f>IF($B105="","",MAX($A$3:A104)+1)</f>
        <v>102</v>
      </c>
      <c r="B105" s="176">
        <v>5821</v>
      </c>
      <c r="C105" s="177" t="s">
        <v>676</v>
      </c>
      <c r="D105" s="285" t="s">
        <v>112</v>
      </c>
      <c r="E105" s="281">
        <v>6</v>
      </c>
      <c r="F105" s="283">
        <f>IF($B105="","",SUMIFS('Daily Inward'!$G:$G,'Daily Inward'!$C:$C,$B105,'Daily Inward'!$E:$E,"Non Inventory"))</f>
        <v>0</v>
      </c>
      <c r="G105" s="51">
        <f>IF($B105="","",SUMIFS('Daily Issuance'!$G:$G,'Daily Issuance'!$C:$C,$B105,'Daily Issuance'!$E:$E,"Non Inventory"))</f>
        <v>0</v>
      </c>
      <c r="H105" s="51">
        <f t="shared" si="2"/>
        <v>6</v>
      </c>
      <c r="I105" s="187">
        <v>550</v>
      </c>
      <c r="J105" s="188">
        <f t="shared" si="3"/>
        <v>3300</v>
      </c>
      <c r="K105" s="46"/>
    </row>
    <row r="106" spans="1:11" s="24" customFormat="1" ht="23.1" customHeight="1">
      <c r="A106" s="170">
        <f>IF($B106="","",MAX($A$3:A105)+1)</f>
        <v>103</v>
      </c>
      <c r="B106" s="176">
        <v>5924</v>
      </c>
      <c r="C106" s="177" t="s">
        <v>677</v>
      </c>
      <c r="D106" s="285" t="s">
        <v>112</v>
      </c>
      <c r="E106" s="281">
        <v>8</v>
      </c>
      <c r="F106" s="283">
        <f>IF($B106="","",SUMIFS('Daily Inward'!$G:$G,'Daily Inward'!$C:$C,$B106,'Daily Inward'!$E:$E,"Non Inventory"))</f>
        <v>0</v>
      </c>
      <c r="G106" s="51">
        <f>IF($B106="","",SUMIFS('Daily Issuance'!$G:$G,'Daily Issuance'!$C:$C,$B106,'Daily Issuance'!$E:$E,"Non Inventory"))</f>
        <v>0</v>
      </c>
      <c r="H106" s="51">
        <f t="shared" si="2"/>
        <v>8</v>
      </c>
      <c r="I106" s="187">
        <v>150</v>
      </c>
      <c r="J106" s="188">
        <f t="shared" si="3"/>
        <v>1200</v>
      </c>
      <c r="K106" s="46"/>
    </row>
    <row r="107" spans="1:11" s="24" customFormat="1" ht="23.1" customHeight="1">
      <c r="A107" s="170">
        <f>IF($B107="","",MAX($A$3:A106)+1)</f>
        <v>104</v>
      </c>
      <c r="B107" s="176">
        <v>6014</v>
      </c>
      <c r="C107" s="177" t="s">
        <v>678</v>
      </c>
      <c r="D107" s="285" t="s">
        <v>112</v>
      </c>
      <c r="E107" s="281">
        <v>11</v>
      </c>
      <c r="F107" s="283">
        <f>IF($B107="","",SUMIFS('Daily Inward'!$G:$G,'Daily Inward'!$C:$C,$B107,'Daily Inward'!$E:$E,"Non Inventory"))</f>
        <v>0</v>
      </c>
      <c r="G107" s="51">
        <f>IF($B107="","",SUMIFS('Daily Issuance'!$G:$G,'Daily Issuance'!$C:$C,$B107,'Daily Issuance'!$E:$E,"Non Inventory"))</f>
        <v>2</v>
      </c>
      <c r="H107" s="51">
        <f t="shared" si="2"/>
        <v>9</v>
      </c>
      <c r="I107" s="187">
        <v>550</v>
      </c>
      <c r="J107" s="188">
        <f t="shared" si="3"/>
        <v>4950</v>
      </c>
      <c r="K107" s="46"/>
    </row>
    <row r="108" spans="1:11" s="24" customFormat="1" ht="23.1" customHeight="1">
      <c r="A108" s="170">
        <f>IF($B108="","",MAX($A$3:A107)+1)</f>
        <v>105</v>
      </c>
      <c r="B108" s="176">
        <v>6022</v>
      </c>
      <c r="C108" s="177" t="s">
        <v>679</v>
      </c>
      <c r="D108" s="285" t="s">
        <v>628</v>
      </c>
      <c r="E108" s="281">
        <v>22</v>
      </c>
      <c r="F108" s="283">
        <f>IF($B108="","",SUMIFS('Daily Inward'!$G:$G,'Daily Inward'!$C:$C,$B108,'Daily Inward'!$E:$E,"Non Inventory"))</f>
        <v>0</v>
      </c>
      <c r="G108" s="51">
        <f>IF($B108="","",SUMIFS('Daily Issuance'!$G:$G,'Daily Issuance'!$C:$C,$B108,'Daily Issuance'!$E:$E,"Non Inventory"))</f>
        <v>0</v>
      </c>
      <c r="H108" s="51">
        <f t="shared" si="2"/>
        <v>22</v>
      </c>
      <c r="I108" s="187">
        <v>605</v>
      </c>
      <c r="J108" s="188">
        <f t="shared" si="3"/>
        <v>13310</v>
      </c>
      <c r="K108" s="46"/>
    </row>
    <row r="109" spans="1:11" s="24" customFormat="1" ht="23.1" customHeight="1">
      <c r="A109" s="170">
        <f>IF($B109="","",MAX($A$3:A108)+1)</f>
        <v>106</v>
      </c>
      <c r="B109" s="176">
        <v>6056</v>
      </c>
      <c r="C109" s="177" t="s">
        <v>680</v>
      </c>
      <c r="D109" s="285" t="s">
        <v>112</v>
      </c>
      <c r="E109" s="281">
        <v>5</v>
      </c>
      <c r="F109" s="283">
        <f>IF($B109="","",SUMIFS('Daily Inward'!$G:$G,'Daily Inward'!$C:$C,$B109,'Daily Inward'!$E:$E,"Non Inventory"))</f>
        <v>0</v>
      </c>
      <c r="G109" s="51">
        <f>IF($B109="","",SUMIFS('Daily Issuance'!$G:$G,'Daily Issuance'!$C:$C,$B109,'Daily Issuance'!$E:$E,"Non Inventory"))</f>
        <v>1</v>
      </c>
      <c r="H109" s="51">
        <f t="shared" si="2"/>
        <v>4</v>
      </c>
      <c r="I109" s="187">
        <v>100</v>
      </c>
      <c r="J109" s="188">
        <f t="shared" si="3"/>
        <v>400</v>
      </c>
      <c r="K109" s="46"/>
    </row>
    <row r="110" spans="1:11" s="24" customFormat="1" ht="23.1" customHeight="1">
      <c r="A110" s="170">
        <f>IF($B110="","",MAX($A$3:A109)+1)</f>
        <v>107</v>
      </c>
      <c r="B110" s="176">
        <v>6212</v>
      </c>
      <c r="C110" s="177" t="s">
        <v>681</v>
      </c>
      <c r="D110" s="285" t="s">
        <v>628</v>
      </c>
      <c r="E110" s="281">
        <v>5</v>
      </c>
      <c r="F110" s="283">
        <f>IF($B110="","",SUMIFS('Daily Inward'!$G:$G,'Daily Inward'!$C:$C,$B110,'Daily Inward'!$E:$E,"Non Inventory"))</f>
        <v>0</v>
      </c>
      <c r="G110" s="51">
        <f>IF($B110="","",SUMIFS('Daily Issuance'!$G:$G,'Daily Issuance'!$C:$C,$B110,'Daily Issuance'!$E:$E,"Non Inventory"))</f>
        <v>3</v>
      </c>
      <c r="H110" s="51">
        <f t="shared" si="2"/>
        <v>2</v>
      </c>
      <c r="I110" s="187">
        <v>4850</v>
      </c>
      <c r="J110" s="188">
        <f t="shared" si="3"/>
        <v>9700</v>
      </c>
      <c r="K110" s="46"/>
    </row>
    <row r="111" spans="1:11" s="24" customFormat="1" ht="23.1" customHeight="1">
      <c r="A111" s="170">
        <f>IF($B111="","",MAX($A$3:A110)+1)</f>
        <v>108</v>
      </c>
      <c r="B111" s="176">
        <v>6263</v>
      </c>
      <c r="C111" s="177" t="s">
        <v>682</v>
      </c>
      <c r="D111" s="285" t="s">
        <v>628</v>
      </c>
      <c r="E111" s="281"/>
      <c r="F111" s="283">
        <f>IF($B111="","",SUMIFS('Daily Inward'!$G:$G,'Daily Inward'!$C:$C,$B111,'Daily Inward'!$E:$E,"Non Inventory"))</f>
        <v>6</v>
      </c>
      <c r="G111" s="51">
        <f>IF($B111="","",SUMIFS('Daily Issuance'!$G:$G,'Daily Issuance'!$C:$C,$B111,'Daily Issuance'!$E:$E,"Non Inventory"))</f>
        <v>1</v>
      </c>
      <c r="H111" s="51">
        <f t="shared" si="2"/>
        <v>5</v>
      </c>
      <c r="I111" s="187">
        <v>1750</v>
      </c>
      <c r="J111" s="188">
        <f t="shared" si="3"/>
        <v>8750</v>
      </c>
      <c r="K111" s="46"/>
    </row>
    <row r="112" spans="1:11" s="24" customFormat="1" ht="23.1" customHeight="1">
      <c r="A112" s="170">
        <f>IF($B112="","",MAX($A$3:A111)+1)</f>
        <v>109</v>
      </c>
      <c r="B112" s="176">
        <v>6298</v>
      </c>
      <c r="C112" s="177" t="s">
        <v>683</v>
      </c>
      <c r="D112" s="285" t="s">
        <v>112</v>
      </c>
      <c r="E112" s="281">
        <v>0</v>
      </c>
      <c r="F112" s="283">
        <f>IF($B112="","",SUMIFS('Daily Inward'!$G:$G,'Daily Inward'!$C:$C,$B112,'Daily Inward'!$E:$E,"Non Inventory"))</f>
        <v>0</v>
      </c>
      <c r="G112" s="51">
        <f>IF($B112="","",SUMIFS('Daily Issuance'!$G:$G,'Daily Issuance'!$C:$C,$B112,'Daily Issuance'!$E:$E,"Non Inventory"))</f>
        <v>0</v>
      </c>
      <c r="H112" s="51">
        <f t="shared" si="2"/>
        <v>0</v>
      </c>
      <c r="I112" s="187">
        <v>42</v>
      </c>
      <c r="J112" s="188">
        <f t="shared" si="3"/>
        <v>0</v>
      </c>
      <c r="K112" s="46"/>
    </row>
    <row r="113" spans="1:11" s="24" customFormat="1" ht="23.1" customHeight="1">
      <c r="A113" s="170">
        <f>IF($B113="","",MAX($A$3:A112)+1)</f>
        <v>110</v>
      </c>
      <c r="B113" s="176">
        <v>6300</v>
      </c>
      <c r="C113" s="177" t="s">
        <v>684</v>
      </c>
      <c r="D113" s="285" t="s">
        <v>112</v>
      </c>
      <c r="E113" s="281">
        <v>24</v>
      </c>
      <c r="F113" s="283">
        <f>IF($B113="","",SUMIFS('Daily Inward'!$G:$G,'Daily Inward'!$C:$C,$B113,'Daily Inward'!$E:$E,"Non Inventory"))</f>
        <v>0</v>
      </c>
      <c r="G113" s="51">
        <f>IF($B113="","",SUMIFS('Daily Issuance'!$G:$G,'Daily Issuance'!$C:$C,$B113,'Daily Issuance'!$E:$E,"Non Inventory"))</f>
        <v>2</v>
      </c>
      <c r="H113" s="51">
        <f t="shared" si="2"/>
        <v>22</v>
      </c>
      <c r="I113" s="187">
        <v>57</v>
      </c>
      <c r="J113" s="188">
        <f t="shared" si="3"/>
        <v>1254</v>
      </c>
      <c r="K113" s="46"/>
    </row>
    <row r="114" spans="1:11" s="24" customFormat="1" ht="23.1" customHeight="1">
      <c r="A114" s="170">
        <f>IF($B114="","",MAX($A$3:A113)+1)</f>
        <v>111</v>
      </c>
      <c r="B114" s="176">
        <v>6301</v>
      </c>
      <c r="C114" s="177" t="s">
        <v>685</v>
      </c>
      <c r="D114" s="285" t="s">
        <v>112</v>
      </c>
      <c r="E114" s="281">
        <v>3</v>
      </c>
      <c r="F114" s="283">
        <f>IF($B114="","",SUMIFS('Daily Inward'!$G:$G,'Daily Inward'!$C:$C,$B114,'Daily Inward'!$E:$E,"Non Inventory"))</f>
        <v>0</v>
      </c>
      <c r="G114" s="51">
        <f>IF($B114="","",SUMIFS('Daily Issuance'!$G:$G,'Daily Issuance'!$C:$C,$B114,'Daily Issuance'!$E:$E,"Non Inventory"))</f>
        <v>3</v>
      </c>
      <c r="H114" s="51">
        <f t="shared" si="2"/>
        <v>0</v>
      </c>
      <c r="I114" s="187">
        <v>57</v>
      </c>
      <c r="J114" s="188">
        <f t="shared" si="3"/>
        <v>0</v>
      </c>
      <c r="K114" s="46"/>
    </row>
    <row r="115" spans="1:11" s="24" customFormat="1" ht="23.1" customHeight="1">
      <c r="A115" s="170">
        <f>IF($B115="","",MAX($A$3:A114)+1)</f>
        <v>112</v>
      </c>
      <c r="B115" s="176">
        <v>6320</v>
      </c>
      <c r="C115" s="177" t="s">
        <v>686</v>
      </c>
      <c r="D115" s="285" t="s">
        <v>112</v>
      </c>
      <c r="E115" s="281">
        <v>143</v>
      </c>
      <c r="F115" s="283">
        <f>IF($B115="","",SUMIFS('Daily Inward'!$G:$G,'Daily Inward'!$C:$C,$B115,'Daily Inward'!$E:$E,"Non Inventory"))</f>
        <v>100</v>
      </c>
      <c r="G115" s="51">
        <f>IF($B115="","",SUMIFS('Daily Issuance'!$G:$G,'Daily Issuance'!$C:$C,$B115,'Daily Issuance'!$E:$E,"Non Inventory"))</f>
        <v>0</v>
      </c>
      <c r="H115" s="51">
        <f t="shared" si="2"/>
        <v>243</v>
      </c>
      <c r="I115" s="187">
        <v>7</v>
      </c>
      <c r="J115" s="188">
        <f t="shared" si="3"/>
        <v>1701</v>
      </c>
      <c r="K115" s="46"/>
    </row>
    <row r="116" spans="1:11" s="24" customFormat="1" ht="23.1" customHeight="1">
      <c r="A116" s="170">
        <f>IF($B116="","",MAX($A$3:A115)+1)</f>
        <v>113</v>
      </c>
      <c r="B116" s="176">
        <v>6321</v>
      </c>
      <c r="C116" s="177" t="s">
        <v>687</v>
      </c>
      <c r="D116" s="285" t="s">
        <v>112</v>
      </c>
      <c r="E116" s="281">
        <v>0</v>
      </c>
      <c r="F116" s="283">
        <f>IF($B116="","",SUMIFS('Daily Inward'!$G:$G,'Daily Inward'!$C:$C,$B116,'Daily Inward'!$E:$E,"Non Inventory"))</f>
        <v>100</v>
      </c>
      <c r="G116" s="51">
        <f>IF($B116="","",SUMIFS('Daily Issuance'!$G:$G,'Daily Issuance'!$C:$C,$B116,'Daily Issuance'!$E:$E,"Non Inventory"))</f>
        <v>0</v>
      </c>
      <c r="H116" s="51">
        <f t="shared" si="2"/>
        <v>100</v>
      </c>
      <c r="I116" s="187">
        <v>4</v>
      </c>
      <c r="J116" s="188">
        <f t="shared" si="3"/>
        <v>400</v>
      </c>
      <c r="K116" s="46"/>
    </row>
    <row r="117" spans="1:11" s="24" customFormat="1" ht="23.1" customHeight="1">
      <c r="A117" s="170">
        <f>IF($B117="","",MAX($A$3:A116)+1)</f>
        <v>114</v>
      </c>
      <c r="B117" s="176">
        <v>6330</v>
      </c>
      <c r="C117" s="177" t="s">
        <v>688</v>
      </c>
      <c r="D117" s="285" t="s">
        <v>112</v>
      </c>
      <c r="E117" s="281">
        <v>0</v>
      </c>
      <c r="F117" s="283">
        <f>IF($B117="","",SUMIFS('Daily Inward'!$G:$G,'Daily Inward'!$C:$C,$B117,'Daily Inward'!$E:$E,"Non Inventory"))</f>
        <v>0</v>
      </c>
      <c r="G117" s="51">
        <f>IF($B117="","",SUMIFS('Daily Issuance'!$G:$G,'Daily Issuance'!$C:$C,$B117,'Daily Issuance'!$E:$E,"Non Inventory"))</f>
        <v>0</v>
      </c>
      <c r="H117" s="51">
        <f t="shared" si="2"/>
        <v>0</v>
      </c>
      <c r="I117" s="187">
        <v>57</v>
      </c>
      <c r="J117" s="188">
        <f t="shared" si="3"/>
        <v>0</v>
      </c>
      <c r="K117" s="46"/>
    </row>
    <row r="118" spans="1:11" s="24" customFormat="1" ht="23.1" customHeight="1">
      <c r="A118" s="170">
        <f>IF($B118="","",MAX($A$3:A117)+1)</f>
        <v>115</v>
      </c>
      <c r="B118" s="176">
        <v>6403</v>
      </c>
      <c r="C118" s="177" t="s">
        <v>689</v>
      </c>
      <c r="D118" s="285" t="s">
        <v>112</v>
      </c>
      <c r="E118" s="281">
        <v>205</v>
      </c>
      <c r="F118" s="283">
        <f>IF($B118="","",SUMIFS('Daily Inward'!$G:$G,'Daily Inward'!$C:$C,$B118,'Daily Inward'!$E:$E,"Non Inventory"))</f>
        <v>0</v>
      </c>
      <c r="G118" s="51">
        <f>IF($B118="","",SUMIFS('Daily Issuance'!$G:$G,'Daily Issuance'!$C:$C,$B118,'Daily Issuance'!$E:$E,"Non Inventory"))</f>
        <v>0</v>
      </c>
      <c r="H118" s="51">
        <f t="shared" si="2"/>
        <v>205</v>
      </c>
      <c r="I118" s="187">
        <v>5</v>
      </c>
      <c r="J118" s="188">
        <f t="shared" si="3"/>
        <v>1025</v>
      </c>
      <c r="K118" s="46"/>
    </row>
    <row r="119" spans="1:11" s="24" customFormat="1" ht="23.1" customHeight="1">
      <c r="A119" s="170">
        <f>IF($B119="","",MAX($A$3:A118)+1)</f>
        <v>116</v>
      </c>
      <c r="B119" s="176">
        <v>6412</v>
      </c>
      <c r="C119" s="177" t="s">
        <v>690</v>
      </c>
      <c r="D119" s="285" t="s">
        <v>112</v>
      </c>
      <c r="E119" s="281">
        <v>51</v>
      </c>
      <c r="F119" s="283">
        <f>IF($B119="","",SUMIFS('Daily Inward'!$G:$G,'Daily Inward'!$C:$C,$B119,'Daily Inward'!$E:$E,"Non Inventory"))</f>
        <v>0</v>
      </c>
      <c r="G119" s="51">
        <f>IF($B119="","",SUMIFS('Daily Issuance'!$G:$G,'Daily Issuance'!$C:$C,$B119,'Daily Issuance'!$E:$E,"Non Inventory"))</f>
        <v>0</v>
      </c>
      <c r="H119" s="51">
        <f t="shared" si="2"/>
        <v>51</v>
      </c>
      <c r="I119" s="187">
        <v>17</v>
      </c>
      <c r="J119" s="188">
        <f t="shared" si="3"/>
        <v>867</v>
      </c>
      <c r="K119" s="46"/>
    </row>
    <row r="120" spans="1:11" s="24" customFormat="1" ht="23.1" customHeight="1">
      <c r="A120" s="170">
        <f>IF($B120="","",MAX($A$3:A119)+1)</f>
        <v>117</v>
      </c>
      <c r="B120" s="176">
        <v>6420</v>
      </c>
      <c r="C120" s="177" t="s">
        <v>691</v>
      </c>
      <c r="D120" s="285" t="s">
        <v>112</v>
      </c>
      <c r="E120" s="281">
        <v>60</v>
      </c>
      <c r="F120" s="283">
        <f>IF($B120="","",SUMIFS('Daily Inward'!$G:$G,'Daily Inward'!$C:$C,$B120,'Daily Inward'!$E:$E,"Non Inventory"))</f>
        <v>0</v>
      </c>
      <c r="G120" s="51">
        <f>IF($B120="","",SUMIFS('Daily Issuance'!$G:$G,'Daily Issuance'!$C:$C,$B120,'Daily Issuance'!$E:$E,"Non Inventory"))</f>
        <v>0</v>
      </c>
      <c r="H120" s="51">
        <f t="shared" si="2"/>
        <v>60</v>
      </c>
      <c r="I120" s="187">
        <v>7</v>
      </c>
      <c r="J120" s="188">
        <f t="shared" si="3"/>
        <v>420</v>
      </c>
      <c r="K120" s="46"/>
    </row>
    <row r="121" spans="1:11" s="24" customFormat="1" ht="23.1" customHeight="1">
      <c r="A121" s="170">
        <f>IF($B121="","",MAX($A$3:A120)+1)</f>
        <v>118</v>
      </c>
      <c r="B121" s="176">
        <v>6421</v>
      </c>
      <c r="C121" s="177" t="s">
        <v>692</v>
      </c>
      <c r="D121" s="285" t="s">
        <v>112</v>
      </c>
      <c r="E121" s="281">
        <v>48</v>
      </c>
      <c r="F121" s="283">
        <f>IF($B121="","",SUMIFS('Daily Inward'!$G:$G,'Daily Inward'!$C:$C,$B121,'Daily Inward'!$E:$E,"Non Inventory"))</f>
        <v>0</v>
      </c>
      <c r="G121" s="51">
        <f>IF($B121="","",SUMIFS('Daily Issuance'!$G:$G,'Daily Issuance'!$C:$C,$B121,'Daily Issuance'!$E:$E,"Non Inventory"))</f>
        <v>0</v>
      </c>
      <c r="H121" s="51">
        <f t="shared" si="2"/>
        <v>48</v>
      </c>
      <c r="I121" s="187">
        <v>18</v>
      </c>
      <c r="J121" s="188">
        <f t="shared" si="3"/>
        <v>864</v>
      </c>
      <c r="K121" s="46"/>
    </row>
    <row r="122" spans="1:11" s="24" customFormat="1" ht="23.1" customHeight="1">
      <c r="A122" s="170">
        <f>IF($B122="","",MAX($A$3:A121)+1)</f>
        <v>119</v>
      </c>
      <c r="B122" s="176">
        <v>6431</v>
      </c>
      <c r="C122" s="177" t="s">
        <v>693</v>
      </c>
      <c r="D122" s="285" t="s">
        <v>112</v>
      </c>
      <c r="E122" s="281">
        <v>5</v>
      </c>
      <c r="F122" s="283">
        <f>IF($B122="","",SUMIFS('Daily Inward'!$G:$G,'Daily Inward'!$C:$C,$B122,'Daily Inward'!$E:$E,"Non Inventory"))</f>
        <v>0</v>
      </c>
      <c r="G122" s="51">
        <f>IF($B122="","",SUMIFS('Daily Issuance'!$G:$G,'Daily Issuance'!$C:$C,$B122,'Daily Issuance'!$E:$E,"Non Inventory"))</f>
        <v>0</v>
      </c>
      <c r="H122" s="51">
        <f t="shared" si="2"/>
        <v>5</v>
      </c>
      <c r="I122" s="187">
        <v>180</v>
      </c>
      <c r="J122" s="188">
        <f t="shared" si="3"/>
        <v>900</v>
      </c>
      <c r="K122" s="46"/>
    </row>
    <row r="123" spans="1:11" s="24" customFormat="1" ht="23.1" customHeight="1">
      <c r="A123" s="170">
        <f>IF($B123="","",MAX($A$3:A122)+1)</f>
        <v>120</v>
      </c>
      <c r="B123" s="176">
        <v>6433</v>
      </c>
      <c r="C123" s="177" t="s">
        <v>694</v>
      </c>
      <c r="D123" s="285" t="s">
        <v>112</v>
      </c>
      <c r="E123" s="281">
        <v>70</v>
      </c>
      <c r="F123" s="283">
        <f>IF($B123="","",SUMIFS('Daily Inward'!$G:$G,'Daily Inward'!$C:$C,$B123,'Daily Inward'!$E:$E,"Non Inventory"))</f>
        <v>0</v>
      </c>
      <c r="G123" s="51">
        <f>IF($B123="","",SUMIFS('Daily Issuance'!$G:$G,'Daily Issuance'!$C:$C,$B123,'Daily Issuance'!$E:$E,"Non Inventory"))</f>
        <v>0</v>
      </c>
      <c r="H123" s="51">
        <f t="shared" si="2"/>
        <v>70</v>
      </c>
      <c r="I123" s="187">
        <v>9</v>
      </c>
      <c r="J123" s="188">
        <f t="shared" si="3"/>
        <v>630</v>
      </c>
      <c r="K123" s="46"/>
    </row>
    <row r="124" spans="1:11" s="24" customFormat="1" ht="23.1" customHeight="1">
      <c r="A124" s="170">
        <f>IF($B124="","",MAX($A$3:A123)+1)</f>
        <v>121</v>
      </c>
      <c r="B124" s="176">
        <v>6436</v>
      </c>
      <c r="C124" s="177" t="s">
        <v>695</v>
      </c>
      <c r="D124" s="285" t="s">
        <v>112</v>
      </c>
      <c r="E124" s="281">
        <v>124</v>
      </c>
      <c r="F124" s="283">
        <f>IF($B124="","",SUMIFS('Daily Inward'!$G:$G,'Daily Inward'!$C:$C,$B124,'Daily Inward'!$E:$E,"Non Inventory"))</f>
        <v>0</v>
      </c>
      <c r="G124" s="51">
        <f>IF($B124="","",SUMIFS('Daily Issuance'!$G:$G,'Daily Issuance'!$C:$C,$B124,'Daily Issuance'!$E:$E,"Non Inventory"))</f>
        <v>0</v>
      </c>
      <c r="H124" s="51">
        <f t="shared" si="2"/>
        <v>124</v>
      </c>
      <c r="I124" s="187">
        <v>22</v>
      </c>
      <c r="J124" s="188">
        <f t="shared" si="3"/>
        <v>2728</v>
      </c>
      <c r="K124" s="46"/>
    </row>
    <row r="125" spans="1:11" s="24" customFormat="1" ht="23.1" customHeight="1">
      <c r="A125" s="170">
        <f>IF($B125="","",MAX($A$3:A124)+1)</f>
        <v>122</v>
      </c>
      <c r="B125" s="176">
        <v>6440</v>
      </c>
      <c r="C125" s="177" t="s">
        <v>696</v>
      </c>
      <c r="D125" s="285" t="s">
        <v>112</v>
      </c>
      <c r="E125" s="281">
        <v>250</v>
      </c>
      <c r="F125" s="283">
        <f>IF($B125="","",SUMIFS('Daily Inward'!$G:$G,'Daily Inward'!$C:$C,$B125,'Daily Inward'!$E:$E,"Non Inventory"))</f>
        <v>0</v>
      </c>
      <c r="G125" s="51">
        <f>IF($B125="","",SUMIFS('Daily Issuance'!$G:$G,'Daily Issuance'!$C:$C,$B125,'Daily Issuance'!$E:$E,"Non Inventory"))</f>
        <v>0</v>
      </c>
      <c r="H125" s="51">
        <f t="shared" si="2"/>
        <v>250</v>
      </c>
      <c r="I125" s="187">
        <v>13</v>
      </c>
      <c r="J125" s="188">
        <f t="shared" si="3"/>
        <v>3250</v>
      </c>
      <c r="K125" s="46"/>
    </row>
    <row r="126" spans="1:11" s="24" customFormat="1" ht="23.1" customHeight="1">
      <c r="A126" s="170">
        <f>IF($B126="","",MAX($A$3:A125)+1)</f>
        <v>123</v>
      </c>
      <c r="B126" s="176">
        <v>6443</v>
      </c>
      <c r="C126" s="177" t="s">
        <v>697</v>
      </c>
      <c r="D126" s="285" t="s">
        <v>112</v>
      </c>
      <c r="E126" s="281">
        <v>40</v>
      </c>
      <c r="F126" s="283">
        <f>IF($B126="","",SUMIFS('Daily Inward'!$G:$G,'Daily Inward'!$C:$C,$B126,'Daily Inward'!$E:$E,"Non Inventory"))</f>
        <v>0</v>
      </c>
      <c r="G126" s="51">
        <f>IF($B126="","",SUMIFS('Daily Issuance'!$G:$G,'Daily Issuance'!$C:$C,$B126,'Daily Issuance'!$E:$E,"Non Inventory"))</f>
        <v>0</v>
      </c>
      <c r="H126" s="51">
        <f t="shared" si="2"/>
        <v>40</v>
      </c>
      <c r="I126" s="187">
        <v>30</v>
      </c>
      <c r="J126" s="188">
        <f t="shared" si="3"/>
        <v>1200</v>
      </c>
      <c r="K126" s="46"/>
    </row>
    <row r="127" spans="1:11" s="24" customFormat="1" ht="23.1" customHeight="1">
      <c r="A127" s="170">
        <f>IF($B127="","",MAX($A$3:A126)+1)</f>
        <v>124</v>
      </c>
      <c r="B127" s="176">
        <v>6509</v>
      </c>
      <c r="C127" s="177" t="s">
        <v>698</v>
      </c>
      <c r="D127" s="285" t="s">
        <v>338</v>
      </c>
      <c r="E127" s="281">
        <v>4</v>
      </c>
      <c r="F127" s="283">
        <f>IF($B127="","",SUMIFS('Daily Inward'!$G:$G,'Daily Inward'!$C:$C,$B127,'Daily Inward'!$E:$E,"Non Inventory"))</f>
        <v>0</v>
      </c>
      <c r="G127" s="51">
        <f>IF($B127="","",SUMIFS('Daily Issuance'!$G:$G,'Daily Issuance'!$C:$C,$B127,'Daily Issuance'!$E:$E,"Non Inventory"))</f>
        <v>0</v>
      </c>
      <c r="H127" s="51">
        <f t="shared" si="2"/>
        <v>4</v>
      </c>
      <c r="I127" s="187">
        <v>47</v>
      </c>
      <c r="J127" s="188">
        <f t="shared" si="3"/>
        <v>188</v>
      </c>
      <c r="K127" s="46"/>
    </row>
    <row r="128" spans="1:11" s="24" customFormat="1" ht="23.1" customHeight="1">
      <c r="A128" s="170">
        <f>IF($B128="","",MAX($A$3:A127)+1)</f>
        <v>125</v>
      </c>
      <c r="B128" s="176">
        <v>6532</v>
      </c>
      <c r="C128" s="177" t="s">
        <v>699</v>
      </c>
      <c r="D128" s="285" t="s">
        <v>112</v>
      </c>
      <c r="E128" s="281">
        <v>1</v>
      </c>
      <c r="F128" s="283">
        <f>IF($B128="","",SUMIFS('Daily Inward'!$G:$G,'Daily Inward'!$C:$C,$B128,'Daily Inward'!$E:$E,"Non Inventory"))</f>
        <v>0</v>
      </c>
      <c r="G128" s="51">
        <f>IF($B128="","",SUMIFS('Daily Issuance'!$G:$G,'Daily Issuance'!$C:$C,$B128,'Daily Issuance'!$E:$E,"Non Inventory"))</f>
        <v>0</v>
      </c>
      <c r="H128" s="51">
        <f t="shared" si="2"/>
        <v>1</v>
      </c>
      <c r="I128" s="187">
        <v>208</v>
      </c>
      <c r="J128" s="188">
        <f t="shared" si="3"/>
        <v>208</v>
      </c>
      <c r="K128" s="46"/>
    </row>
    <row r="129" spans="1:11" s="24" customFormat="1" ht="23.1" customHeight="1">
      <c r="A129" s="170">
        <f>IF($B129="","",MAX($A$3:A128)+1)</f>
        <v>126</v>
      </c>
      <c r="B129" s="176">
        <v>6609</v>
      </c>
      <c r="C129" s="177" t="s">
        <v>700</v>
      </c>
      <c r="D129" s="285" t="s">
        <v>112</v>
      </c>
      <c r="E129" s="281">
        <v>16</v>
      </c>
      <c r="F129" s="283">
        <f>IF($B129="","",SUMIFS('Daily Inward'!$G:$G,'Daily Inward'!$C:$C,$B129,'Daily Inward'!$E:$E,"Non Inventory"))</f>
        <v>0</v>
      </c>
      <c r="G129" s="51">
        <f>IF($B129="","",SUMIFS('Daily Issuance'!$G:$G,'Daily Issuance'!$C:$C,$B129,'Daily Issuance'!$E:$E,"Non Inventory"))</f>
        <v>0</v>
      </c>
      <c r="H129" s="51">
        <f t="shared" si="2"/>
        <v>16</v>
      </c>
      <c r="I129" s="187">
        <v>300</v>
      </c>
      <c r="J129" s="188">
        <f t="shared" si="3"/>
        <v>4800</v>
      </c>
      <c r="K129" s="46"/>
    </row>
    <row r="130" spans="1:11" s="24" customFormat="1" ht="23.1" customHeight="1">
      <c r="A130" s="170">
        <f>IF($B130="","",MAX($A$3:A129)+1)</f>
        <v>127</v>
      </c>
      <c r="B130" s="176">
        <v>6635</v>
      </c>
      <c r="C130" s="177" t="s">
        <v>701</v>
      </c>
      <c r="D130" s="285" t="s">
        <v>338</v>
      </c>
      <c r="E130" s="281">
        <v>20</v>
      </c>
      <c r="F130" s="283">
        <f>IF($B130="","",SUMIFS('Daily Inward'!$G:$G,'Daily Inward'!$C:$C,$B130,'Daily Inward'!$E:$E,"Non Inventory"))</f>
        <v>0</v>
      </c>
      <c r="G130" s="51">
        <f>IF($B130="","",SUMIFS('Daily Issuance'!$G:$G,'Daily Issuance'!$C:$C,$B130,'Daily Issuance'!$E:$E,"Non Inventory"))</f>
        <v>0</v>
      </c>
      <c r="H130" s="51">
        <f t="shared" si="2"/>
        <v>20</v>
      </c>
      <c r="I130" s="187">
        <v>408</v>
      </c>
      <c r="J130" s="188">
        <f t="shared" si="3"/>
        <v>8160</v>
      </c>
      <c r="K130" s="46"/>
    </row>
    <row r="131" spans="1:11" s="24" customFormat="1" ht="23.1" customHeight="1">
      <c r="A131" s="170">
        <f>IF($B131="","",MAX($A$3:A130)+1)</f>
        <v>128</v>
      </c>
      <c r="B131" s="176">
        <v>6700</v>
      </c>
      <c r="C131" s="177" t="s">
        <v>702</v>
      </c>
      <c r="D131" s="285" t="s">
        <v>112</v>
      </c>
      <c r="E131" s="281">
        <v>3</v>
      </c>
      <c r="F131" s="283">
        <f>IF($B131="","",SUMIFS('Daily Inward'!$G:$G,'Daily Inward'!$C:$C,$B131,'Daily Inward'!$E:$E,"Non Inventory"))</f>
        <v>0</v>
      </c>
      <c r="G131" s="51">
        <f>IF($B131="","",SUMIFS('Daily Issuance'!$G:$G,'Daily Issuance'!$C:$C,$B131,'Daily Issuance'!$E:$E,"Non Inventory"))</f>
        <v>0</v>
      </c>
      <c r="H131" s="51">
        <f t="shared" si="2"/>
        <v>3</v>
      </c>
      <c r="I131" s="187">
        <v>175</v>
      </c>
      <c r="J131" s="188">
        <f t="shared" si="3"/>
        <v>525</v>
      </c>
      <c r="K131" s="46"/>
    </row>
    <row r="132" spans="1:11" s="24" customFormat="1" ht="23.1" customHeight="1">
      <c r="A132" s="170">
        <f>IF($B132="","",MAX($A$3:A131)+1)</f>
        <v>129</v>
      </c>
      <c r="B132" s="176">
        <v>6792</v>
      </c>
      <c r="C132" s="177" t="s">
        <v>703</v>
      </c>
      <c r="D132" s="285" t="s">
        <v>112</v>
      </c>
      <c r="E132" s="281">
        <v>19</v>
      </c>
      <c r="F132" s="283">
        <f>IF($B132="","",SUMIFS('Daily Inward'!$G:$G,'Daily Inward'!$C:$C,$B132,'Daily Inward'!$E:$E,"Non Inventory"))</f>
        <v>0</v>
      </c>
      <c r="G132" s="51">
        <f>IF($B132="","",SUMIFS('Daily Issuance'!$G:$G,'Daily Issuance'!$C:$C,$B132,'Daily Issuance'!$E:$E,"Non Inventory"))</f>
        <v>0</v>
      </c>
      <c r="H132" s="51">
        <f t="shared" ref="H132:H195" si="4">IF($B132="","",N(E132)+N(F132)-N(G132))</f>
        <v>19</v>
      </c>
      <c r="I132" s="187">
        <v>235</v>
      </c>
      <c r="J132" s="188">
        <f t="shared" ref="J132:J195" si="5">IF($B132="","",H132*I132)</f>
        <v>4465</v>
      </c>
      <c r="K132" s="46"/>
    </row>
    <row r="133" spans="1:11" s="24" customFormat="1" ht="23.1" customHeight="1">
      <c r="A133" s="170">
        <f>IF($B133="","",MAX($A$3:A132)+1)</f>
        <v>130</v>
      </c>
      <c r="B133" s="176">
        <v>6864</v>
      </c>
      <c r="C133" s="177" t="s">
        <v>704</v>
      </c>
      <c r="D133" s="285" t="s">
        <v>338</v>
      </c>
      <c r="E133" s="281">
        <v>20</v>
      </c>
      <c r="F133" s="283">
        <f>IF($B133="","",SUMIFS('Daily Inward'!$G:$G,'Daily Inward'!$C:$C,$B133,'Daily Inward'!$E:$E,"Non Inventory"))</f>
        <v>0</v>
      </c>
      <c r="G133" s="51">
        <f>IF($B133="","",SUMIFS('Daily Issuance'!$G:$G,'Daily Issuance'!$C:$C,$B133,'Daily Issuance'!$E:$E,"Non Inventory"))</f>
        <v>0</v>
      </c>
      <c r="H133" s="51">
        <f t="shared" si="4"/>
        <v>20</v>
      </c>
      <c r="I133" s="187">
        <v>800</v>
      </c>
      <c r="J133" s="188">
        <f t="shared" si="5"/>
        <v>16000</v>
      </c>
      <c r="K133" s="46"/>
    </row>
    <row r="134" spans="1:11" s="24" customFormat="1" ht="23.1" customHeight="1">
      <c r="A134" s="170">
        <f>IF($B134="","",MAX($A$3:A133)+1)</f>
        <v>131</v>
      </c>
      <c r="B134" s="176">
        <v>6873</v>
      </c>
      <c r="C134" s="177" t="s">
        <v>705</v>
      </c>
      <c r="D134" s="285" t="s">
        <v>112</v>
      </c>
      <c r="E134" s="281">
        <v>5</v>
      </c>
      <c r="F134" s="283">
        <f>IF($B134="","",SUMIFS('Daily Inward'!$G:$G,'Daily Inward'!$C:$C,$B134,'Daily Inward'!$E:$E,"Non Inventory"))</f>
        <v>0</v>
      </c>
      <c r="G134" s="51">
        <f>IF($B134="","",SUMIFS('Daily Issuance'!$G:$G,'Daily Issuance'!$C:$C,$B134,'Daily Issuance'!$E:$E,"Non Inventory"))</f>
        <v>0</v>
      </c>
      <c r="H134" s="51">
        <f t="shared" si="4"/>
        <v>5</v>
      </c>
      <c r="I134" s="187">
        <v>1650</v>
      </c>
      <c r="J134" s="188">
        <f t="shared" si="5"/>
        <v>8250</v>
      </c>
      <c r="K134" s="46"/>
    </row>
    <row r="135" spans="1:11" s="24" customFormat="1" ht="23.1" customHeight="1">
      <c r="A135" s="170">
        <f>IF($B135="","",MAX($A$3:A134)+1)</f>
        <v>132</v>
      </c>
      <c r="B135" s="176">
        <v>6874</v>
      </c>
      <c r="C135" s="177" t="s">
        <v>706</v>
      </c>
      <c r="D135" s="285" t="s">
        <v>112</v>
      </c>
      <c r="E135" s="281">
        <v>6</v>
      </c>
      <c r="F135" s="283">
        <f>IF($B135="","",SUMIFS('Daily Inward'!$G:$G,'Daily Inward'!$C:$C,$B135,'Daily Inward'!$E:$E,"Non Inventory"))</f>
        <v>0</v>
      </c>
      <c r="G135" s="51">
        <f>IF($B135="","",SUMIFS('Daily Issuance'!$G:$G,'Daily Issuance'!$C:$C,$B135,'Daily Issuance'!$E:$E,"Non Inventory"))</f>
        <v>0</v>
      </c>
      <c r="H135" s="51">
        <f t="shared" si="4"/>
        <v>6</v>
      </c>
      <c r="I135" s="187">
        <v>1650</v>
      </c>
      <c r="J135" s="188">
        <f t="shared" si="5"/>
        <v>9900</v>
      </c>
      <c r="K135" s="46"/>
    </row>
    <row r="136" spans="1:11" s="24" customFormat="1" ht="23.1" customHeight="1">
      <c r="A136" s="170">
        <f>IF($B136="","",MAX($A$3:A135)+1)</f>
        <v>133</v>
      </c>
      <c r="B136" s="176">
        <v>6875</v>
      </c>
      <c r="C136" s="177" t="s">
        <v>707</v>
      </c>
      <c r="D136" s="285" t="s">
        <v>112</v>
      </c>
      <c r="E136" s="281">
        <v>7</v>
      </c>
      <c r="F136" s="283">
        <f>IF($B136="","",SUMIFS('Daily Inward'!$G:$G,'Daily Inward'!$C:$C,$B136,'Daily Inward'!$E:$E,"Non Inventory"))</f>
        <v>0</v>
      </c>
      <c r="G136" s="51">
        <f>IF($B136="","",SUMIFS('Daily Issuance'!$G:$G,'Daily Issuance'!$C:$C,$B136,'Daily Issuance'!$E:$E,"Non Inventory"))</f>
        <v>0</v>
      </c>
      <c r="H136" s="51">
        <f t="shared" si="4"/>
        <v>7</v>
      </c>
      <c r="I136" s="187">
        <v>1650</v>
      </c>
      <c r="J136" s="188">
        <f t="shared" si="5"/>
        <v>11550</v>
      </c>
      <c r="K136" s="46"/>
    </row>
    <row r="137" spans="1:11" s="24" customFormat="1" ht="23.1" customHeight="1">
      <c r="A137" s="170">
        <f>IF($B137="","",MAX($A$3:A136)+1)</f>
        <v>134</v>
      </c>
      <c r="B137" s="176">
        <v>6877</v>
      </c>
      <c r="C137" s="177" t="s">
        <v>708</v>
      </c>
      <c r="D137" s="285" t="s">
        <v>112</v>
      </c>
      <c r="E137" s="281">
        <v>62</v>
      </c>
      <c r="F137" s="283">
        <f>IF($B137="","",SUMIFS('Daily Inward'!$G:$G,'Daily Inward'!$C:$C,$B137,'Daily Inward'!$E:$E,"Non Inventory"))</f>
        <v>0</v>
      </c>
      <c r="G137" s="51">
        <f>IF($B137="","",SUMIFS('Daily Issuance'!$G:$G,'Daily Issuance'!$C:$C,$B137,'Daily Issuance'!$E:$E,"Non Inventory"))</f>
        <v>0</v>
      </c>
      <c r="H137" s="51">
        <f t="shared" si="4"/>
        <v>62</v>
      </c>
      <c r="I137" s="187">
        <v>9</v>
      </c>
      <c r="J137" s="188">
        <f t="shared" si="5"/>
        <v>558</v>
      </c>
      <c r="K137" s="46"/>
    </row>
    <row r="138" spans="1:11" s="24" customFormat="1" ht="23.1" customHeight="1">
      <c r="A138" s="170">
        <f>IF($B138="","",MAX($A$3:A137)+1)</f>
        <v>135</v>
      </c>
      <c r="B138" s="176">
        <v>6913</v>
      </c>
      <c r="C138" s="177" t="s">
        <v>709</v>
      </c>
      <c r="D138" s="285" t="s">
        <v>112</v>
      </c>
      <c r="E138" s="281">
        <v>150</v>
      </c>
      <c r="F138" s="283">
        <f>IF($B138="","",SUMIFS('Daily Inward'!$G:$G,'Daily Inward'!$C:$C,$B138,'Daily Inward'!$E:$E,"Non Inventory"))</f>
        <v>0</v>
      </c>
      <c r="G138" s="51">
        <f>IF($B138="","",SUMIFS('Daily Issuance'!$G:$G,'Daily Issuance'!$C:$C,$B138,'Daily Issuance'!$E:$E,"Non Inventory"))</f>
        <v>0</v>
      </c>
      <c r="H138" s="51">
        <f t="shared" si="4"/>
        <v>150</v>
      </c>
      <c r="I138" s="187">
        <v>73</v>
      </c>
      <c r="J138" s="188">
        <f t="shared" si="5"/>
        <v>10950</v>
      </c>
      <c r="K138" s="46"/>
    </row>
    <row r="139" spans="1:11" s="24" customFormat="1" ht="23.1" customHeight="1">
      <c r="A139" s="170">
        <f>IF($B139="","",MAX($A$3:A138)+1)</f>
        <v>136</v>
      </c>
      <c r="B139" s="176">
        <v>6914</v>
      </c>
      <c r="C139" s="177" t="s">
        <v>710</v>
      </c>
      <c r="D139" s="285" t="s">
        <v>112</v>
      </c>
      <c r="E139" s="281">
        <v>55</v>
      </c>
      <c r="F139" s="283">
        <f>IF($B139="","",SUMIFS('Daily Inward'!$G:$G,'Daily Inward'!$C:$C,$B139,'Daily Inward'!$E:$E,"Non Inventory"))</f>
        <v>0</v>
      </c>
      <c r="G139" s="51">
        <f>IF($B139="","",SUMIFS('Daily Issuance'!$G:$G,'Daily Issuance'!$C:$C,$B139,'Daily Issuance'!$E:$E,"Non Inventory"))</f>
        <v>0</v>
      </c>
      <c r="H139" s="51">
        <f t="shared" si="4"/>
        <v>55</v>
      </c>
      <c r="I139" s="187">
        <v>10</v>
      </c>
      <c r="J139" s="188">
        <f t="shared" si="5"/>
        <v>550</v>
      </c>
      <c r="K139" s="46"/>
    </row>
    <row r="140" spans="1:11" s="24" customFormat="1" ht="23.1" customHeight="1">
      <c r="A140" s="170">
        <f>IF($B140="","",MAX($A$3:A139)+1)</f>
        <v>137</v>
      </c>
      <c r="B140" s="176">
        <v>6921</v>
      </c>
      <c r="C140" s="177" t="s">
        <v>711</v>
      </c>
      <c r="D140" s="285" t="s">
        <v>112</v>
      </c>
      <c r="E140" s="281">
        <v>8</v>
      </c>
      <c r="F140" s="283">
        <f>IF($B140="","",SUMIFS('Daily Inward'!$G:$G,'Daily Inward'!$C:$C,$B140,'Daily Inward'!$E:$E,"Non Inventory"))</f>
        <v>0</v>
      </c>
      <c r="G140" s="51">
        <f>IF($B140="","",SUMIFS('Daily Issuance'!$G:$G,'Daily Issuance'!$C:$C,$B140,'Daily Issuance'!$E:$E,"Non Inventory"))</f>
        <v>0</v>
      </c>
      <c r="H140" s="51">
        <f t="shared" si="4"/>
        <v>8</v>
      </c>
      <c r="I140" s="187">
        <v>140</v>
      </c>
      <c r="J140" s="188">
        <f t="shared" si="5"/>
        <v>1120</v>
      </c>
      <c r="K140" s="46"/>
    </row>
    <row r="141" spans="1:11" s="24" customFormat="1" ht="23.1" customHeight="1">
      <c r="A141" s="170">
        <f>IF($B141="","",MAX($A$3:A140)+1)</f>
        <v>138</v>
      </c>
      <c r="B141" s="176">
        <v>7070</v>
      </c>
      <c r="C141" s="177" t="s">
        <v>712</v>
      </c>
      <c r="D141" s="285" t="s">
        <v>112</v>
      </c>
      <c r="E141" s="281">
        <v>1</v>
      </c>
      <c r="F141" s="283">
        <f>IF($B141="","",SUMIFS('Daily Inward'!$G:$G,'Daily Inward'!$C:$C,$B141,'Daily Inward'!$E:$E,"Non Inventory"))</f>
        <v>0</v>
      </c>
      <c r="G141" s="51">
        <f>IF($B141="","",SUMIFS('Daily Issuance'!$G:$G,'Daily Issuance'!$C:$C,$B141,'Daily Issuance'!$E:$E,"Non Inventory"))</f>
        <v>0</v>
      </c>
      <c r="H141" s="51">
        <f t="shared" si="4"/>
        <v>1</v>
      </c>
      <c r="I141" s="187">
        <v>19500</v>
      </c>
      <c r="J141" s="188">
        <f t="shared" si="5"/>
        <v>19500</v>
      </c>
      <c r="K141" s="46"/>
    </row>
    <row r="142" spans="1:11" s="24" customFormat="1" ht="23.1" customHeight="1">
      <c r="A142" s="170">
        <f>IF($B142="","",MAX($A$3:A141)+1)</f>
        <v>139</v>
      </c>
      <c r="B142" s="176">
        <v>9362</v>
      </c>
      <c r="C142" s="177" t="s">
        <v>713</v>
      </c>
      <c r="D142" s="285" t="s">
        <v>112</v>
      </c>
      <c r="E142" s="281">
        <v>2</v>
      </c>
      <c r="F142" s="283">
        <f>IF($B142="","",SUMIFS('Daily Inward'!$G:$G,'Daily Inward'!$C:$C,$B142,'Daily Inward'!$E:$E,"Non Inventory"))</f>
        <v>0</v>
      </c>
      <c r="G142" s="51">
        <f>IF($B142="","",SUMIFS('Daily Issuance'!$G:$G,'Daily Issuance'!$C:$C,$B142,'Daily Issuance'!$E:$E,"Non Inventory"))</f>
        <v>0</v>
      </c>
      <c r="H142" s="51">
        <f t="shared" si="4"/>
        <v>2</v>
      </c>
      <c r="I142" s="187">
        <v>650</v>
      </c>
      <c r="J142" s="188">
        <f t="shared" si="5"/>
        <v>1300</v>
      </c>
      <c r="K142" s="46"/>
    </row>
    <row r="143" spans="1:11" s="24" customFormat="1" ht="23.1" customHeight="1">
      <c r="A143" s="170">
        <f>IF($B143="","",MAX($A$3:A142)+1)</f>
        <v>140</v>
      </c>
      <c r="B143" s="176">
        <v>9366</v>
      </c>
      <c r="C143" s="177" t="s">
        <v>714</v>
      </c>
      <c r="D143" s="285" t="s">
        <v>112</v>
      </c>
      <c r="E143" s="281">
        <v>1</v>
      </c>
      <c r="F143" s="283">
        <f>IF($B143="","",SUMIFS('Daily Inward'!$G:$G,'Daily Inward'!$C:$C,$B143,'Daily Inward'!$E:$E,"Non Inventory"))</f>
        <v>0</v>
      </c>
      <c r="G143" s="51">
        <f>IF($B143="","",SUMIFS('Daily Issuance'!$G:$G,'Daily Issuance'!$C:$C,$B143,'Daily Issuance'!$E:$E,"Non Inventory"))</f>
        <v>0</v>
      </c>
      <c r="H143" s="51">
        <f t="shared" si="4"/>
        <v>1</v>
      </c>
      <c r="I143" s="187">
        <v>4750</v>
      </c>
      <c r="J143" s="188">
        <f t="shared" si="5"/>
        <v>4750</v>
      </c>
      <c r="K143" s="46"/>
    </row>
    <row r="144" spans="1:11" s="24" customFormat="1" ht="23.1" customHeight="1">
      <c r="A144" s="170">
        <f>IF($B144="","",MAX($A$3:A143)+1)</f>
        <v>141</v>
      </c>
      <c r="B144" s="176">
        <v>9513</v>
      </c>
      <c r="C144" s="177" t="s">
        <v>715</v>
      </c>
      <c r="D144" s="285" t="s">
        <v>112</v>
      </c>
      <c r="E144" s="281">
        <v>11</v>
      </c>
      <c r="F144" s="283">
        <f>IF($B144="","",SUMIFS('Daily Inward'!$G:$G,'Daily Inward'!$C:$C,$B144,'Daily Inward'!$E:$E,"Non Inventory"))</f>
        <v>0</v>
      </c>
      <c r="G144" s="51">
        <f>IF($B144="","",SUMIFS('Daily Issuance'!$G:$G,'Daily Issuance'!$C:$C,$B144,'Daily Issuance'!$E:$E,"Non Inventory"))</f>
        <v>0</v>
      </c>
      <c r="H144" s="51">
        <f t="shared" si="4"/>
        <v>11</v>
      </c>
      <c r="I144" s="187">
        <v>9</v>
      </c>
      <c r="J144" s="188">
        <f t="shared" si="5"/>
        <v>99</v>
      </c>
      <c r="K144" s="46"/>
    </row>
    <row r="145" spans="1:11" s="24" customFormat="1" ht="23.1" customHeight="1">
      <c r="A145" s="170">
        <f>IF($B145="","",MAX($A$3:A144)+1)</f>
        <v>142</v>
      </c>
      <c r="B145" s="176">
        <v>9516</v>
      </c>
      <c r="C145" s="177" t="s">
        <v>716</v>
      </c>
      <c r="D145" s="285" t="s">
        <v>112</v>
      </c>
      <c r="E145" s="281">
        <v>2</v>
      </c>
      <c r="F145" s="283">
        <f>IF($B145="","",SUMIFS('Daily Inward'!$G:$G,'Daily Inward'!$C:$C,$B145,'Daily Inward'!$E:$E,"Non Inventory"))</f>
        <v>0</v>
      </c>
      <c r="G145" s="51">
        <f>IF($B145="","",SUMIFS('Daily Issuance'!$G:$G,'Daily Issuance'!$C:$C,$B145,'Daily Issuance'!$E:$E,"Non Inventory"))</f>
        <v>0</v>
      </c>
      <c r="H145" s="51">
        <f t="shared" si="4"/>
        <v>2</v>
      </c>
      <c r="I145" s="187">
        <v>4500</v>
      </c>
      <c r="J145" s="188">
        <f t="shared" si="5"/>
        <v>9000</v>
      </c>
      <c r="K145" s="46"/>
    </row>
    <row r="146" spans="1:11" s="24" customFormat="1" ht="23.1" customHeight="1">
      <c r="A146" s="170">
        <f>IF($B146="","",MAX($A$3:A145)+1)</f>
        <v>143</v>
      </c>
      <c r="B146" s="176">
        <v>9566</v>
      </c>
      <c r="C146" s="177" t="s">
        <v>717</v>
      </c>
      <c r="D146" s="285" t="s">
        <v>112</v>
      </c>
      <c r="E146" s="281">
        <v>7</v>
      </c>
      <c r="F146" s="283">
        <f>IF($B146="","",SUMIFS('Daily Inward'!$G:$G,'Daily Inward'!$C:$C,$B146,'Daily Inward'!$E:$E,"Non Inventory"))</f>
        <v>0</v>
      </c>
      <c r="G146" s="51">
        <f>IF($B146="","",SUMIFS('Daily Issuance'!$G:$G,'Daily Issuance'!$C:$C,$B146,'Daily Issuance'!$E:$E,"Non Inventory"))</f>
        <v>0</v>
      </c>
      <c r="H146" s="51">
        <f t="shared" si="4"/>
        <v>7</v>
      </c>
      <c r="I146" s="187">
        <v>950</v>
      </c>
      <c r="J146" s="188">
        <f t="shared" si="5"/>
        <v>6650</v>
      </c>
      <c r="K146" s="46"/>
    </row>
    <row r="147" spans="1:11" s="24" customFormat="1" ht="23.1" customHeight="1">
      <c r="A147" s="170">
        <f>IF($B147="","",MAX($A$3:A146)+1)</f>
        <v>144</v>
      </c>
      <c r="B147" s="176">
        <v>9569</v>
      </c>
      <c r="C147" s="177" t="s">
        <v>718</v>
      </c>
      <c r="D147" s="285" t="s">
        <v>112</v>
      </c>
      <c r="E147" s="281">
        <v>14</v>
      </c>
      <c r="F147" s="283">
        <f>IF($B147="","",SUMIFS('Daily Inward'!$G:$G,'Daily Inward'!$C:$C,$B147,'Daily Inward'!$E:$E,"Non Inventory"))</f>
        <v>0</v>
      </c>
      <c r="G147" s="51">
        <f>IF($B147="","",SUMIFS('Daily Issuance'!$G:$G,'Daily Issuance'!$C:$C,$B147,'Daily Issuance'!$E:$E,"Non Inventory"))</f>
        <v>0</v>
      </c>
      <c r="H147" s="51">
        <f t="shared" si="4"/>
        <v>14</v>
      </c>
      <c r="I147" s="187">
        <v>11</v>
      </c>
      <c r="J147" s="188">
        <f t="shared" si="5"/>
        <v>154</v>
      </c>
      <c r="K147" s="46"/>
    </row>
    <row r="148" spans="1:11" s="24" customFormat="1" ht="23.1" customHeight="1">
      <c r="A148" s="170">
        <f>IF($B148="","",MAX($A$3:A147)+1)</f>
        <v>145</v>
      </c>
      <c r="B148" s="176">
        <v>9570</v>
      </c>
      <c r="C148" s="177" t="s">
        <v>719</v>
      </c>
      <c r="D148" s="285" t="s">
        <v>112</v>
      </c>
      <c r="E148" s="281">
        <v>12</v>
      </c>
      <c r="F148" s="283">
        <f>IF($B148="","",SUMIFS('Daily Inward'!$G:$G,'Daily Inward'!$C:$C,$B148,'Daily Inward'!$E:$E,"Non Inventory"))</f>
        <v>0</v>
      </c>
      <c r="G148" s="51">
        <f>IF($B148="","",SUMIFS('Daily Issuance'!$G:$G,'Daily Issuance'!$C:$C,$B148,'Daily Issuance'!$E:$E,"Non Inventory"))</f>
        <v>0</v>
      </c>
      <c r="H148" s="51">
        <f t="shared" si="4"/>
        <v>12</v>
      </c>
      <c r="I148" s="187">
        <v>13</v>
      </c>
      <c r="J148" s="188">
        <f t="shared" si="5"/>
        <v>156</v>
      </c>
      <c r="K148" s="46"/>
    </row>
    <row r="149" spans="1:11" s="24" customFormat="1" ht="23.1" customHeight="1">
      <c r="A149" s="170">
        <f>IF($B149="","",MAX($A$3:A148)+1)</f>
        <v>146</v>
      </c>
      <c r="B149" s="176">
        <v>9571</v>
      </c>
      <c r="C149" s="177" t="s">
        <v>720</v>
      </c>
      <c r="D149" s="285" t="s">
        <v>112</v>
      </c>
      <c r="E149" s="281">
        <v>13</v>
      </c>
      <c r="F149" s="283">
        <f>IF($B149="","",SUMIFS('Daily Inward'!$G:$G,'Daily Inward'!$C:$C,$B149,'Daily Inward'!$E:$E,"Non Inventory"))</f>
        <v>0</v>
      </c>
      <c r="G149" s="51">
        <f>IF($B149="","",SUMIFS('Daily Issuance'!$G:$G,'Daily Issuance'!$C:$C,$B149,'Daily Issuance'!$E:$E,"Non Inventory"))</f>
        <v>0</v>
      </c>
      <c r="H149" s="51">
        <f t="shared" si="4"/>
        <v>13</v>
      </c>
      <c r="I149" s="187">
        <v>14</v>
      </c>
      <c r="J149" s="188">
        <f t="shared" si="5"/>
        <v>182</v>
      </c>
      <c r="K149" s="46"/>
    </row>
    <row r="150" spans="1:11" s="24" customFormat="1" ht="23.1" customHeight="1">
      <c r="A150" s="170">
        <f>IF($B150="","",MAX($A$3:A149)+1)</f>
        <v>147</v>
      </c>
      <c r="B150" s="176">
        <v>9572</v>
      </c>
      <c r="C150" s="177" t="s">
        <v>721</v>
      </c>
      <c r="D150" s="285" t="s">
        <v>112</v>
      </c>
      <c r="E150" s="281">
        <v>11</v>
      </c>
      <c r="F150" s="283">
        <f>IF($B150="","",SUMIFS('Daily Inward'!$G:$G,'Daily Inward'!$C:$C,$B150,'Daily Inward'!$E:$E,"Non Inventory"))</f>
        <v>0</v>
      </c>
      <c r="G150" s="51">
        <f>IF($B150="","",SUMIFS('Daily Issuance'!$G:$G,'Daily Issuance'!$C:$C,$B150,'Daily Issuance'!$E:$E,"Non Inventory"))</f>
        <v>0</v>
      </c>
      <c r="H150" s="51">
        <f t="shared" si="4"/>
        <v>11</v>
      </c>
      <c r="I150" s="187">
        <v>15</v>
      </c>
      <c r="J150" s="188">
        <f t="shared" si="5"/>
        <v>165</v>
      </c>
      <c r="K150" s="46"/>
    </row>
    <row r="151" spans="1:11" s="24" customFormat="1" ht="23.1" customHeight="1">
      <c r="A151" s="170">
        <f>IF($B151="","",MAX($A$3:A150)+1)</f>
        <v>148</v>
      </c>
      <c r="B151" s="176">
        <v>9573</v>
      </c>
      <c r="C151" s="177" t="s">
        <v>722</v>
      </c>
      <c r="D151" s="285" t="s">
        <v>112</v>
      </c>
      <c r="E151" s="281">
        <v>2</v>
      </c>
      <c r="F151" s="283">
        <f>IF($B151="","",SUMIFS('Daily Inward'!$G:$G,'Daily Inward'!$C:$C,$B151,'Daily Inward'!$E:$E,"Non Inventory"))</f>
        <v>0</v>
      </c>
      <c r="G151" s="51">
        <f>IF($B151="","",SUMIFS('Daily Issuance'!$G:$G,'Daily Issuance'!$C:$C,$B151,'Daily Issuance'!$E:$E,"Non Inventory"))</f>
        <v>0</v>
      </c>
      <c r="H151" s="51">
        <f t="shared" si="4"/>
        <v>2</v>
      </c>
      <c r="I151" s="187">
        <v>510</v>
      </c>
      <c r="J151" s="188">
        <f t="shared" si="5"/>
        <v>1020</v>
      </c>
      <c r="K151" s="46"/>
    </row>
    <row r="152" spans="1:11" s="24" customFormat="1" ht="23.1" customHeight="1">
      <c r="A152" s="170">
        <f>IF($B152="","",MAX($A$3:A151)+1)</f>
        <v>149</v>
      </c>
      <c r="B152" s="176">
        <v>9612</v>
      </c>
      <c r="C152" s="177" t="s">
        <v>723</v>
      </c>
      <c r="D152" s="285" t="s">
        <v>112</v>
      </c>
      <c r="E152" s="281">
        <v>15</v>
      </c>
      <c r="F152" s="283">
        <f>IF($B152="","",SUMIFS('Daily Inward'!$G:$G,'Daily Inward'!$C:$C,$B152,'Daily Inward'!$E:$E,"Non Inventory"))</f>
        <v>0</v>
      </c>
      <c r="G152" s="51">
        <f>IF($B152="","",SUMIFS('Daily Issuance'!$G:$G,'Daily Issuance'!$C:$C,$B152,'Daily Issuance'!$E:$E,"Non Inventory"))</f>
        <v>0</v>
      </c>
      <c r="H152" s="51">
        <f t="shared" si="4"/>
        <v>15</v>
      </c>
      <c r="I152" s="187">
        <v>137</v>
      </c>
      <c r="J152" s="188">
        <f t="shared" si="5"/>
        <v>2055</v>
      </c>
      <c r="K152" s="46"/>
    </row>
    <row r="153" spans="1:11" s="24" customFormat="1" ht="23.1" customHeight="1">
      <c r="A153" s="170">
        <f>IF($B153="","",MAX($A$3:A152)+1)</f>
        <v>150</v>
      </c>
      <c r="B153" s="176">
        <v>9773</v>
      </c>
      <c r="C153" s="177" t="s">
        <v>724</v>
      </c>
      <c r="D153" s="285" t="s">
        <v>112</v>
      </c>
      <c r="E153" s="281">
        <v>2</v>
      </c>
      <c r="F153" s="283">
        <f>IF($B153="","",SUMIFS('Daily Inward'!$G:$G,'Daily Inward'!$C:$C,$B153,'Daily Inward'!$E:$E,"Non Inventory"))</f>
        <v>0</v>
      </c>
      <c r="G153" s="51">
        <f>IF($B153="","",SUMIFS('Daily Issuance'!$G:$G,'Daily Issuance'!$C:$C,$B153,'Daily Issuance'!$E:$E,"Non Inventory"))</f>
        <v>0</v>
      </c>
      <c r="H153" s="51">
        <f t="shared" si="4"/>
        <v>2</v>
      </c>
      <c r="I153" s="187">
        <v>480</v>
      </c>
      <c r="J153" s="188">
        <f t="shared" si="5"/>
        <v>960</v>
      </c>
      <c r="K153" s="46"/>
    </row>
    <row r="154" spans="1:11" s="24" customFormat="1" ht="23.1" customHeight="1">
      <c r="A154" s="170">
        <f>IF($B154="","",MAX($A$3:A153)+1)</f>
        <v>151</v>
      </c>
      <c r="B154" s="176">
        <v>9774</v>
      </c>
      <c r="C154" s="177" t="s">
        <v>725</v>
      </c>
      <c r="D154" s="285" t="s">
        <v>112</v>
      </c>
      <c r="E154" s="281">
        <v>5</v>
      </c>
      <c r="F154" s="283">
        <f>IF($B154="","",SUMIFS('Daily Inward'!$G:$G,'Daily Inward'!$C:$C,$B154,'Daily Inward'!$E:$E,"Non Inventory"))</f>
        <v>0</v>
      </c>
      <c r="G154" s="51">
        <f>IF($B154="","",SUMIFS('Daily Issuance'!$G:$G,'Daily Issuance'!$C:$C,$B154,'Daily Issuance'!$E:$E,"Non Inventory"))</f>
        <v>0</v>
      </c>
      <c r="H154" s="51">
        <f t="shared" si="4"/>
        <v>5</v>
      </c>
      <c r="I154" s="187">
        <v>480</v>
      </c>
      <c r="J154" s="188">
        <f t="shared" si="5"/>
        <v>2400</v>
      </c>
      <c r="K154" s="46"/>
    </row>
    <row r="155" spans="1:11" s="24" customFormat="1" ht="23.1" customHeight="1">
      <c r="A155" s="170">
        <f>IF($B155="","",MAX($A$3:A154)+1)</f>
        <v>152</v>
      </c>
      <c r="B155" s="176">
        <v>9839</v>
      </c>
      <c r="C155" s="177" t="s">
        <v>726</v>
      </c>
      <c r="D155" s="285" t="s">
        <v>112</v>
      </c>
      <c r="E155" s="281">
        <v>1</v>
      </c>
      <c r="F155" s="283">
        <f>IF($B155="","",SUMIFS('Daily Inward'!$G:$G,'Daily Inward'!$C:$C,$B155,'Daily Inward'!$E:$E,"Non Inventory"))</f>
        <v>0</v>
      </c>
      <c r="G155" s="51">
        <f>IF($B155="","",SUMIFS('Daily Issuance'!$G:$G,'Daily Issuance'!$C:$C,$B155,'Daily Issuance'!$E:$E,"Non Inventory"))</f>
        <v>0</v>
      </c>
      <c r="H155" s="51">
        <f t="shared" si="4"/>
        <v>1</v>
      </c>
      <c r="I155" s="187">
        <v>4750</v>
      </c>
      <c r="J155" s="188">
        <f t="shared" si="5"/>
        <v>4750</v>
      </c>
      <c r="K155" s="46"/>
    </row>
    <row r="156" spans="1:11" s="24" customFormat="1" ht="23.1" customHeight="1">
      <c r="A156" s="170">
        <f>IF($B156="","",MAX($A$3:A155)+1)</f>
        <v>153</v>
      </c>
      <c r="B156" s="176">
        <v>10035</v>
      </c>
      <c r="C156" s="177" t="s">
        <v>727</v>
      </c>
      <c r="D156" s="285" t="s">
        <v>112</v>
      </c>
      <c r="E156" s="281">
        <v>1</v>
      </c>
      <c r="F156" s="283">
        <f>IF($B156="","",SUMIFS('Daily Inward'!$G:$G,'Daily Inward'!$C:$C,$B156,'Daily Inward'!$E:$E,"Non Inventory"))</f>
        <v>0</v>
      </c>
      <c r="G156" s="51">
        <f>IF($B156="","",SUMIFS('Daily Issuance'!$G:$G,'Daily Issuance'!$C:$C,$B156,'Daily Issuance'!$E:$E,"Non Inventory"))</f>
        <v>0</v>
      </c>
      <c r="H156" s="51">
        <f t="shared" si="4"/>
        <v>1</v>
      </c>
      <c r="I156" s="187">
        <v>5120</v>
      </c>
      <c r="J156" s="188">
        <f t="shared" si="5"/>
        <v>5120</v>
      </c>
      <c r="K156" s="46"/>
    </row>
    <row r="157" spans="1:11" s="24" customFormat="1" ht="23.1" customHeight="1">
      <c r="A157" s="170">
        <f>IF($B157="","",MAX($A$3:A156)+1)</f>
        <v>154</v>
      </c>
      <c r="B157" s="176">
        <v>10055</v>
      </c>
      <c r="C157" s="177" t="s">
        <v>728</v>
      </c>
      <c r="D157" s="285" t="s">
        <v>112</v>
      </c>
      <c r="E157" s="281">
        <v>1</v>
      </c>
      <c r="F157" s="283">
        <f>IF($B157="","",SUMIFS('Daily Inward'!$G:$G,'Daily Inward'!$C:$C,$B157,'Daily Inward'!$E:$E,"Non Inventory"))</f>
        <v>0</v>
      </c>
      <c r="G157" s="51">
        <f>IF($B157="","",SUMIFS('Daily Issuance'!$G:$G,'Daily Issuance'!$C:$C,$B157,'Daily Issuance'!$E:$E,"Non Inventory"))</f>
        <v>0</v>
      </c>
      <c r="H157" s="51">
        <f t="shared" si="4"/>
        <v>1</v>
      </c>
      <c r="I157" s="187">
        <v>9500</v>
      </c>
      <c r="J157" s="188">
        <f t="shared" si="5"/>
        <v>9500</v>
      </c>
      <c r="K157" s="46"/>
    </row>
    <row r="158" spans="1:11" s="24" customFormat="1" ht="23.1" customHeight="1">
      <c r="A158" s="170">
        <f>IF($B158="","",MAX($A$3:A157)+1)</f>
        <v>155</v>
      </c>
      <c r="B158" s="176">
        <v>10175</v>
      </c>
      <c r="C158" s="177" t="s">
        <v>729</v>
      </c>
      <c r="D158" s="285" t="s">
        <v>112</v>
      </c>
      <c r="E158" s="281">
        <v>7</v>
      </c>
      <c r="F158" s="283">
        <f>IF($B158="","",SUMIFS('Daily Inward'!$G:$G,'Daily Inward'!$C:$C,$B158,'Daily Inward'!$E:$E,"Non Inventory"))</f>
        <v>0</v>
      </c>
      <c r="G158" s="51">
        <f>IF($B158="","",SUMIFS('Daily Issuance'!$G:$G,'Daily Issuance'!$C:$C,$B158,'Daily Issuance'!$E:$E,"Non Inventory"))</f>
        <v>2</v>
      </c>
      <c r="H158" s="51">
        <f t="shared" si="4"/>
        <v>5</v>
      </c>
      <c r="I158" s="187">
        <v>6500</v>
      </c>
      <c r="J158" s="188">
        <f t="shared" si="5"/>
        <v>32500</v>
      </c>
      <c r="K158" s="46"/>
    </row>
    <row r="159" spans="1:11" s="24" customFormat="1" ht="23.1" customHeight="1">
      <c r="A159" s="170">
        <f>IF($B159="","",MAX($A$3:A158)+1)</f>
        <v>156</v>
      </c>
      <c r="B159" s="176">
        <v>10267</v>
      </c>
      <c r="C159" s="177" t="s">
        <v>730</v>
      </c>
      <c r="D159" s="285" t="s">
        <v>112</v>
      </c>
      <c r="E159" s="281">
        <v>1</v>
      </c>
      <c r="F159" s="283">
        <f>IF($B159="","",SUMIFS('Daily Inward'!$G:$G,'Daily Inward'!$C:$C,$B159,'Daily Inward'!$E:$E,"Non Inventory"))</f>
        <v>0</v>
      </c>
      <c r="G159" s="51">
        <f>IF($B159="","",SUMIFS('Daily Issuance'!$G:$G,'Daily Issuance'!$C:$C,$B159,'Daily Issuance'!$E:$E,"Non Inventory"))</f>
        <v>0</v>
      </c>
      <c r="H159" s="51">
        <f t="shared" si="4"/>
        <v>1</v>
      </c>
      <c r="I159" s="187">
        <v>5000</v>
      </c>
      <c r="J159" s="188">
        <f t="shared" si="5"/>
        <v>5000</v>
      </c>
      <c r="K159" s="46"/>
    </row>
    <row r="160" spans="1:11" s="24" customFormat="1" ht="23.1" customHeight="1">
      <c r="A160" s="170">
        <f>IF($B160="","",MAX($A$3:A159)+1)</f>
        <v>157</v>
      </c>
      <c r="B160" s="176">
        <v>10320</v>
      </c>
      <c r="C160" s="177" t="s">
        <v>731</v>
      </c>
      <c r="D160" s="285" t="s">
        <v>112</v>
      </c>
      <c r="E160" s="281">
        <v>1</v>
      </c>
      <c r="F160" s="283">
        <f>IF($B160="","",SUMIFS('Daily Inward'!$G:$G,'Daily Inward'!$C:$C,$B160,'Daily Inward'!$E:$E,"Non Inventory"))</f>
        <v>0</v>
      </c>
      <c r="G160" s="51">
        <f>IF($B160="","",SUMIFS('Daily Issuance'!$G:$G,'Daily Issuance'!$C:$C,$B160,'Daily Issuance'!$E:$E,"Non Inventory"))</f>
        <v>0</v>
      </c>
      <c r="H160" s="51">
        <f t="shared" si="4"/>
        <v>1</v>
      </c>
      <c r="I160" s="187">
        <v>16900</v>
      </c>
      <c r="J160" s="188">
        <f t="shared" si="5"/>
        <v>16900</v>
      </c>
      <c r="K160" s="46"/>
    </row>
    <row r="161" spans="1:11" s="24" customFormat="1" ht="23.1" customHeight="1">
      <c r="A161" s="170">
        <f>IF($B161="","",MAX($A$3:A160)+1)</f>
        <v>158</v>
      </c>
      <c r="B161" s="176">
        <v>10330</v>
      </c>
      <c r="C161" s="177" t="s">
        <v>732</v>
      </c>
      <c r="D161" s="285" t="s">
        <v>112</v>
      </c>
      <c r="E161" s="281">
        <v>1</v>
      </c>
      <c r="F161" s="283">
        <f>IF($B161="","",SUMIFS('Daily Inward'!$G:$G,'Daily Inward'!$C:$C,$B161,'Daily Inward'!$E:$E,"Non Inventory"))</f>
        <v>0</v>
      </c>
      <c r="G161" s="51">
        <f>IF($B161="","",SUMIFS('Daily Issuance'!$G:$G,'Daily Issuance'!$C:$C,$B161,'Daily Issuance'!$E:$E,"Non Inventory"))</f>
        <v>0</v>
      </c>
      <c r="H161" s="51">
        <f t="shared" si="4"/>
        <v>1</v>
      </c>
      <c r="I161" s="187">
        <v>16900</v>
      </c>
      <c r="J161" s="188">
        <f t="shared" si="5"/>
        <v>16900</v>
      </c>
      <c r="K161" s="46"/>
    </row>
    <row r="162" spans="1:11" s="24" customFormat="1" ht="23.1" customHeight="1">
      <c r="A162" s="170">
        <f>IF($B162="","",MAX($A$3:A161)+1)</f>
        <v>159</v>
      </c>
      <c r="B162" s="176">
        <v>10334</v>
      </c>
      <c r="C162" s="177" t="s">
        <v>733</v>
      </c>
      <c r="D162" s="285" t="s">
        <v>112</v>
      </c>
      <c r="E162" s="281">
        <v>1</v>
      </c>
      <c r="F162" s="283">
        <f>IF($B162="","",SUMIFS('Daily Inward'!$G:$G,'Daily Inward'!$C:$C,$B162,'Daily Inward'!$E:$E,"Non Inventory"))</f>
        <v>0</v>
      </c>
      <c r="G162" s="51">
        <f>IF($B162="","",SUMIFS('Daily Issuance'!$G:$G,'Daily Issuance'!$C:$C,$B162,'Daily Issuance'!$E:$E,"Non Inventory"))</f>
        <v>0</v>
      </c>
      <c r="H162" s="51">
        <f t="shared" si="4"/>
        <v>1</v>
      </c>
      <c r="I162" s="187">
        <v>16900</v>
      </c>
      <c r="J162" s="188">
        <f t="shared" si="5"/>
        <v>16900</v>
      </c>
      <c r="K162" s="46"/>
    </row>
    <row r="163" spans="1:11" s="24" customFormat="1" ht="23.1" customHeight="1">
      <c r="A163" s="170">
        <f>IF($B163="","",MAX($A$3:A162)+1)</f>
        <v>160</v>
      </c>
      <c r="B163" s="176">
        <v>10335</v>
      </c>
      <c r="C163" s="177" t="s">
        <v>734</v>
      </c>
      <c r="D163" s="285" t="s">
        <v>112</v>
      </c>
      <c r="E163" s="281">
        <v>1</v>
      </c>
      <c r="F163" s="283">
        <f>IF($B163="","",SUMIFS('Daily Inward'!$G:$G,'Daily Inward'!$C:$C,$B163,'Daily Inward'!$E:$E,"Non Inventory"))</f>
        <v>0</v>
      </c>
      <c r="G163" s="51">
        <f>IF($B163="","",SUMIFS('Daily Issuance'!$G:$G,'Daily Issuance'!$C:$C,$B163,'Daily Issuance'!$E:$E,"Non Inventory"))</f>
        <v>0</v>
      </c>
      <c r="H163" s="51">
        <f t="shared" si="4"/>
        <v>1</v>
      </c>
      <c r="I163" s="187">
        <v>16900</v>
      </c>
      <c r="J163" s="188">
        <f t="shared" si="5"/>
        <v>16900</v>
      </c>
      <c r="K163" s="46"/>
    </row>
    <row r="164" spans="1:11" s="24" customFormat="1" ht="23.1" customHeight="1">
      <c r="A164" s="170">
        <f>IF($B164="","",MAX($A$3:A163)+1)</f>
        <v>161</v>
      </c>
      <c r="B164" s="176">
        <v>10337</v>
      </c>
      <c r="C164" s="177" t="s">
        <v>735</v>
      </c>
      <c r="D164" s="285" t="s">
        <v>112</v>
      </c>
      <c r="E164" s="281">
        <v>1</v>
      </c>
      <c r="F164" s="283">
        <f>IF($B164="","",SUMIFS('Daily Inward'!$G:$G,'Daily Inward'!$C:$C,$B164,'Daily Inward'!$E:$E,"Non Inventory"))</f>
        <v>0</v>
      </c>
      <c r="G164" s="51">
        <f>IF($B164="","",SUMIFS('Daily Issuance'!$G:$G,'Daily Issuance'!$C:$C,$B164,'Daily Issuance'!$E:$E,"Non Inventory"))</f>
        <v>0</v>
      </c>
      <c r="H164" s="51">
        <f t="shared" si="4"/>
        <v>1</v>
      </c>
      <c r="I164" s="187">
        <v>16900</v>
      </c>
      <c r="J164" s="188">
        <f t="shared" si="5"/>
        <v>16900</v>
      </c>
      <c r="K164" s="46"/>
    </row>
    <row r="165" spans="1:11" s="24" customFormat="1" ht="23.1" customHeight="1">
      <c r="A165" s="170">
        <f>IF($B165="","",MAX($A$3:A164)+1)</f>
        <v>162</v>
      </c>
      <c r="B165" s="176">
        <v>10339</v>
      </c>
      <c r="C165" s="177" t="s">
        <v>736</v>
      </c>
      <c r="D165" s="285" t="s">
        <v>112</v>
      </c>
      <c r="E165" s="281">
        <v>1</v>
      </c>
      <c r="F165" s="283">
        <f>IF($B165="","",SUMIFS('Daily Inward'!$G:$G,'Daily Inward'!$C:$C,$B165,'Daily Inward'!$E:$E,"Non Inventory"))</f>
        <v>0</v>
      </c>
      <c r="G165" s="51">
        <f>IF($B165="","",SUMIFS('Daily Issuance'!$G:$G,'Daily Issuance'!$C:$C,$B165,'Daily Issuance'!$E:$E,"Non Inventory"))</f>
        <v>0</v>
      </c>
      <c r="H165" s="51">
        <f t="shared" si="4"/>
        <v>1</v>
      </c>
      <c r="I165" s="187">
        <v>16900</v>
      </c>
      <c r="J165" s="188">
        <f t="shared" si="5"/>
        <v>16900</v>
      </c>
      <c r="K165" s="46"/>
    </row>
    <row r="166" spans="1:11" s="24" customFormat="1" ht="23.1" customHeight="1">
      <c r="A166" s="170">
        <f>IF($B166="","",MAX($A$3:A165)+1)</f>
        <v>163</v>
      </c>
      <c r="B166" s="176">
        <v>10340</v>
      </c>
      <c r="C166" s="177" t="s">
        <v>737</v>
      </c>
      <c r="D166" s="285" t="s">
        <v>112</v>
      </c>
      <c r="E166" s="281">
        <v>1</v>
      </c>
      <c r="F166" s="283">
        <f>IF($B166="","",SUMIFS('Daily Inward'!$G:$G,'Daily Inward'!$C:$C,$B166,'Daily Inward'!$E:$E,"Non Inventory"))</f>
        <v>0</v>
      </c>
      <c r="G166" s="51">
        <f>IF($B166="","",SUMIFS('Daily Issuance'!$G:$G,'Daily Issuance'!$C:$C,$B166,'Daily Issuance'!$E:$E,"Non Inventory"))</f>
        <v>0</v>
      </c>
      <c r="H166" s="51">
        <f t="shared" si="4"/>
        <v>1</v>
      </c>
      <c r="I166" s="187">
        <v>16900</v>
      </c>
      <c r="J166" s="188">
        <f t="shared" si="5"/>
        <v>16900</v>
      </c>
      <c r="K166" s="46"/>
    </row>
    <row r="167" spans="1:11" s="24" customFormat="1" ht="23.1" customHeight="1">
      <c r="A167" s="170">
        <f>IF($B167="","",MAX($A$3:A166)+1)</f>
        <v>164</v>
      </c>
      <c r="B167" s="176">
        <v>10402</v>
      </c>
      <c r="C167" s="177" t="s">
        <v>738</v>
      </c>
      <c r="D167" s="285" t="s">
        <v>112</v>
      </c>
      <c r="E167" s="281">
        <v>5</v>
      </c>
      <c r="F167" s="283">
        <f>IF($B167="","",SUMIFS('Daily Inward'!$G:$G,'Daily Inward'!$C:$C,$B167,'Daily Inward'!$E:$E,"Non Inventory"))</f>
        <v>0</v>
      </c>
      <c r="G167" s="51">
        <f>IF($B167="","",SUMIFS('Daily Issuance'!$G:$G,'Daily Issuance'!$C:$C,$B167,'Daily Issuance'!$E:$E,"Non Inventory"))</f>
        <v>0</v>
      </c>
      <c r="H167" s="51">
        <f t="shared" si="4"/>
        <v>5</v>
      </c>
      <c r="I167" s="187">
        <v>6000</v>
      </c>
      <c r="J167" s="188">
        <f t="shared" si="5"/>
        <v>30000</v>
      </c>
      <c r="K167" s="46"/>
    </row>
    <row r="168" spans="1:11" s="24" customFormat="1" ht="23.1" customHeight="1">
      <c r="A168" s="170">
        <f>IF($B168="","",MAX($A$3:A167)+1)</f>
        <v>165</v>
      </c>
      <c r="B168" s="176">
        <v>10695</v>
      </c>
      <c r="C168" s="177" t="s">
        <v>739</v>
      </c>
      <c r="D168" s="285" t="s">
        <v>112</v>
      </c>
      <c r="E168" s="281">
        <v>10</v>
      </c>
      <c r="F168" s="283">
        <f>IF($B168="","",SUMIFS('Daily Inward'!$G:$G,'Daily Inward'!$C:$C,$B168,'Daily Inward'!$E:$E,"Non Inventory"))</f>
        <v>0</v>
      </c>
      <c r="G168" s="51">
        <f>IF($B168="","",SUMIFS('Daily Issuance'!$G:$G,'Daily Issuance'!$C:$C,$B168,'Daily Issuance'!$E:$E,"Non Inventory"))</f>
        <v>0</v>
      </c>
      <c r="H168" s="51">
        <f t="shared" si="4"/>
        <v>10</v>
      </c>
      <c r="I168" s="187">
        <v>50</v>
      </c>
      <c r="J168" s="188">
        <f t="shared" si="5"/>
        <v>500</v>
      </c>
      <c r="K168" s="46"/>
    </row>
    <row r="169" spans="1:11" s="24" customFormat="1" ht="23.1" customHeight="1">
      <c r="A169" s="170">
        <f>IF($B169="","",MAX($A$3:A168)+1)</f>
        <v>166</v>
      </c>
      <c r="B169" s="176">
        <v>10731</v>
      </c>
      <c r="C169" s="177" t="s">
        <v>740</v>
      </c>
      <c r="D169" s="285" t="s">
        <v>112</v>
      </c>
      <c r="E169" s="281">
        <v>0</v>
      </c>
      <c r="F169" s="283">
        <f>IF($B169="","",SUMIFS('Daily Inward'!$G:$G,'Daily Inward'!$C:$C,$B169,'Daily Inward'!$E:$E,"Non Inventory"))</f>
        <v>0</v>
      </c>
      <c r="G169" s="51">
        <f>IF($B169="","",SUMIFS('Daily Issuance'!$G:$G,'Daily Issuance'!$C:$C,$B169,'Daily Issuance'!$E:$E,"Non Inventory"))</f>
        <v>0</v>
      </c>
      <c r="H169" s="51">
        <f t="shared" si="4"/>
        <v>0</v>
      </c>
      <c r="I169" s="187">
        <v>115</v>
      </c>
      <c r="J169" s="188">
        <f t="shared" si="5"/>
        <v>0</v>
      </c>
      <c r="K169" s="46"/>
    </row>
    <row r="170" spans="1:11" s="24" customFormat="1" ht="23.1" customHeight="1">
      <c r="A170" s="170">
        <f>IF($B170="","",MAX($A$3:A169)+1)</f>
        <v>167</v>
      </c>
      <c r="B170" s="176">
        <v>10764</v>
      </c>
      <c r="C170" s="177" t="s">
        <v>741</v>
      </c>
      <c r="D170" s="285" t="s">
        <v>112</v>
      </c>
      <c r="E170" s="281">
        <v>2</v>
      </c>
      <c r="F170" s="283">
        <f>IF($B170="","",SUMIFS('Daily Inward'!$G:$G,'Daily Inward'!$C:$C,$B170,'Daily Inward'!$E:$E,"Non Inventory"))</f>
        <v>0</v>
      </c>
      <c r="G170" s="51">
        <f>IF($B170="","",SUMIFS('Daily Issuance'!$G:$G,'Daily Issuance'!$C:$C,$B170,'Daily Issuance'!$E:$E,"Non Inventory"))</f>
        <v>0</v>
      </c>
      <c r="H170" s="51">
        <f t="shared" si="4"/>
        <v>2</v>
      </c>
      <c r="I170" s="187">
        <v>6500</v>
      </c>
      <c r="J170" s="188">
        <f t="shared" si="5"/>
        <v>13000</v>
      </c>
      <c r="K170" s="46"/>
    </row>
    <row r="171" spans="1:11" s="24" customFormat="1" ht="23.1" customHeight="1">
      <c r="A171" s="170">
        <f>IF($B171="","",MAX($A$3:A170)+1)</f>
        <v>168</v>
      </c>
      <c r="B171" s="176">
        <v>10862</v>
      </c>
      <c r="C171" s="177" t="s">
        <v>742</v>
      </c>
      <c r="D171" s="285" t="s">
        <v>604</v>
      </c>
      <c r="E171" s="281">
        <v>2</v>
      </c>
      <c r="F171" s="283">
        <f>IF($B171="","",SUMIFS('Daily Inward'!$G:$G,'Daily Inward'!$C:$C,$B171,'Daily Inward'!$E:$E,"Non Inventory"))</f>
        <v>0</v>
      </c>
      <c r="G171" s="51">
        <f>IF($B171="","",SUMIFS('Daily Issuance'!$G:$G,'Daily Issuance'!$C:$C,$B171,'Daily Issuance'!$E:$E,"Non Inventory"))</f>
        <v>0</v>
      </c>
      <c r="H171" s="51">
        <f t="shared" si="4"/>
        <v>2</v>
      </c>
      <c r="I171" s="187">
        <v>65</v>
      </c>
      <c r="J171" s="188">
        <f t="shared" si="5"/>
        <v>130</v>
      </c>
      <c r="K171" s="46"/>
    </row>
    <row r="172" spans="1:11" s="24" customFormat="1" ht="23.1" customHeight="1">
      <c r="A172" s="170">
        <f>IF($B172="","",MAX($A$3:A171)+1)</f>
        <v>169</v>
      </c>
      <c r="B172" s="176">
        <v>10907</v>
      </c>
      <c r="C172" s="177" t="s">
        <v>743</v>
      </c>
      <c r="D172" s="285" t="s">
        <v>628</v>
      </c>
      <c r="E172" s="281">
        <v>5</v>
      </c>
      <c r="F172" s="283">
        <f>IF($B172="","",SUMIFS('Daily Inward'!$G:$G,'Daily Inward'!$C:$C,$B172,'Daily Inward'!$E:$E,"Non Inventory"))</f>
        <v>0</v>
      </c>
      <c r="G172" s="51">
        <f>IF($B172="","",SUMIFS('Daily Issuance'!$G:$G,'Daily Issuance'!$C:$C,$B172,'Daily Issuance'!$E:$E,"Non Inventory"))</f>
        <v>0</v>
      </c>
      <c r="H172" s="51">
        <f t="shared" si="4"/>
        <v>5</v>
      </c>
      <c r="I172" s="187">
        <v>1750</v>
      </c>
      <c r="J172" s="188">
        <f t="shared" si="5"/>
        <v>8750</v>
      </c>
      <c r="K172" s="46"/>
    </row>
    <row r="173" spans="1:11" s="24" customFormat="1" ht="23.1" customHeight="1">
      <c r="A173" s="170">
        <f>IF($B173="","",MAX($A$3:A172)+1)</f>
        <v>170</v>
      </c>
      <c r="B173" s="176">
        <v>10961</v>
      </c>
      <c r="C173" s="177" t="s">
        <v>744</v>
      </c>
      <c r="D173" s="285" t="s">
        <v>112</v>
      </c>
      <c r="E173" s="281">
        <v>10</v>
      </c>
      <c r="F173" s="283">
        <f>IF($B173="","",SUMIFS('Daily Inward'!$G:$G,'Daily Inward'!$C:$C,$B173,'Daily Inward'!$E:$E,"Non Inventory"))</f>
        <v>0</v>
      </c>
      <c r="G173" s="51">
        <f>IF($B173="","",SUMIFS('Daily Issuance'!$G:$G,'Daily Issuance'!$C:$C,$B173,'Daily Issuance'!$E:$E,"Non Inventory"))</f>
        <v>0</v>
      </c>
      <c r="H173" s="51">
        <f t="shared" si="4"/>
        <v>10</v>
      </c>
      <c r="I173" s="187">
        <v>60</v>
      </c>
      <c r="J173" s="188">
        <f t="shared" si="5"/>
        <v>600</v>
      </c>
      <c r="K173" s="46"/>
    </row>
    <row r="174" spans="1:11" s="24" customFormat="1" ht="23.1" customHeight="1">
      <c r="A174" s="170">
        <f>IF($B174="","",MAX($A$3:A173)+1)</f>
        <v>171</v>
      </c>
      <c r="B174" s="176">
        <v>10967</v>
      </c>
      <c r="C174" s="177" t="s">
        <v>745</v>
      </c>
      <c r="D174" s="285" t="s">
        <v>112</v>
      </c>
      <c r="E174" s="281">
        <v>2</v>
      </c>
      <c r="F174" s="283">
        <f>IF($B174="","",SUMIFS('Daily Inward'!$G:$G,'Daily Inward'!$C:$C,$B174,'Daily Inward'!$E:$E,"Non Inventory"))</f>
        <v>0</v>
      </c>
      <c r="G174" s="51">
        <f>IF($B174="","",SUMIFS('Daily Issuance'!$G:$G,'Daily Issuance'!$C:$C,$B174,'Daily Issuance'!$E:$E,"Non Inventory"))</f>
        <v>0</v>
      </c>
      <c r="H174" s="51">
        <f t="shared" si="4"/>
        <v>2</v>
      </c>
      <c r="I174" s="187">
        <v>750</v>
      </c>
      <c r="J174" s="188">
        <f t="shared" si="5"/>
        <v>1500</v>
      </c>
      <c r="K174" s="46"/>
    </row>
    <row r="175" spans="1:11" s="24" customFormat="1" ht="23.1" customHeight="1">
      <c r="A175" s="170">
        <f>IF($B175="","",MAX($A$3:A174)+1)</f>
        <v>172</v>
      </c>
      <c r="B175" s="176">
        <v>11280</v>
      </c>
      <c r="C175" s="177" t="s">
        <v>746</v>
      </c>
      <c r="D175" s="285" t="s">
        <v>112</v>
      </c>
      <c r="E175" s="281">
        <v>8</v>
      </c>
      <c r="F175" s="283">
        <f>IF($B175="","",SUMIFS('Daily Inward'!$G:$G,'Daily Inward'!$C:$C,$B175,'Daily Inward'!$E:$E,"Non Inventory"))</f>
        <v>0</v>
      </c>
      <c r="G175" s="51">
        <f>IF($B175="","",SUMIFS('Daily Issuance'!$G:$G,'Daily Issuance'!$C:$C,$B175,'Daily Issuance'!$E:$E,"Non Inventory"))</f>
        <v>0</v>
      </c>
      <c r="H175" s="51">
        <f t="shared" si="4"/>
        <v>8</v>
      </c>
      <c r="I175" s="187">
        <v>1040</v>
      </c>
      <c r="J175" s="188">
        <f t="shared" si="5"/>
        <v>8320</v>
      </c>
      <c r="K175" s="46"/>
    </row>
    <row r="176" spans="1:11" s="24" customFormat="1" ht="23.1" customHeight="1">
      <c r="A176" s="170">
        <f>IF($B176="","",MAX($A$3:A175)+1)</f>
        <v>173</v>
      </c>
      <c r="B176" s="176">
        <v>11294</v>
      </c>
      <c r="C176" s="177" t="s">
        <v>747</v>
      </c>
      <c r="D176" s="285" t="s">
        <v>112</v>
      </c>
      <c r="E176" s="281">
        <v>12</v>
      </c>
      <c r="F176" s="283">
        <f>IF($B176="","",SUMIFS('Daily Inward'!$G:$G,'Daily Inward'!$C:$C,$B176,'Daily Inward'!$E:$E,"Non Inventory"))</f>
        <v>0</v>
      </c>
      <c r="G176" s="51">
        <f>IF($B176="","",SUMIFS('Daily Issuance'!$G:$G,'Daily Issuance'!$C:$C,$B176,'Daily Issuance'!$E:$E,"Non Inventory"))</f>
        <v>0</v>
      </c>
      <c r="H176" s="51">
        <f t="shared" si="4"/>
        <v>12</v>
      </c>
      <c r="I176" s="187">
        <v>4000</v>
      </c>
      <c r="J176" s="188">
        <f t="shared" si="5"/>
        <v>48000</v>
      </c>
      <c r="K176" s="46"/>
    </row>
    <row r="177" spans="1:11" s="24" customFormat="1" ht="23.1" customHeight="1">
      <c r="A177" s="170">
        <f>IF($B177="","",MAX($A$3:A176)+1)</f>
        <v>174</v>
      </c>
      <c r="B177" s="176">
        <v>11297</v>
      </c>
      <c r="C177" s="177" t="s">
        <v>748</v>
      </c>
      <c r="D177" s="285" t="s">
        <v>112</v>
      </c>
      <c r="E177" s="281">
        <v>24</v>
      </c>
      <c r="F177" s="283">
        <f>IF($B177="","",SUMIFS('Daily Inward'!$G:$G,'Daily Inward'!$C:$C,$B177,'Daily Inward'!$E:$E,"Non Inventory"))</f>
        <v>0</v>
      </c>
      <c r="G177" s="51">
        <f>IF($B177="","",SUMIFS('Daily Issuance'!$G:$G,'Daily Issuance'!$C:$C,$B177,'Daily Issuance'!$E:$E,"Non Inventory"))</f>
        <v>0</v>
      </c>
      <c r="H177" s="51">
        <f t="shared" si="4"/>
        <v>24</v>
      </c>
      <c r="I177" s="187">
        <v>170</v>
      </c>
      <c r="J177" s="188">
        <f t="shared" si="5"/>
        <v>4080</v>
      </c>
      <c r="K177" s="46"/>
    </row>
    <row r="178" spans="1:11" s="24" customFormat="1" ht="23.1" customHeight="1">
      <c r="A178" s="170">
        <f>IF($B178="","",MAX($A$3:A177)+1)</f>
        <v>175</v>
      </c>
      <c r="B178" s="176">
        <v>11350</v>
      </c>
      <c r="C178" s="177" t="s">
        <v>749</v>
      </c>
      <c r="D178" s="285" t="s">
        <v>112</v>
      </c>
      <c r="E178" s="281">
        <v>4</v>
      </c>
      <c r="F178" s="283">
        <f>IF($B178="","",SUMIFS('Daily Inward'!$G:$G,'Daily Inward'!$C:$C,$B178,'Daily Inward'!$E:$E,"Non Inventory"))</f>
        <v>0</v>
      </c>
      <c r="G178" s="51">
        <f>IF($B178="","",SUMIFS('Daily Issuance'!$G:$G,'Daily Issuance'!$C:$C,$B178,'Daily Issuance'!$E:$E,"Non Inventory"))</f>
        <v>0</v>
      </c>
      <c r="H178" s="51">
        <f t="shared" si="4"/>
        <v>4</v>
      </c>
      <c r="I178" s="187">
        <v>190</v>
      </c>
      <c r="J178" s="188">
        <f t="shared" si="5"/>
        <v>760</v>
      </c>
      <c r="K178" s="46"/>
    </row>
    <row r="179" spans="1:11" s="24" customFormat="1" ht="23.1" customHeight="1">
      <c r="A179" s="170">
        <f>IF($B179="","",MAX($A$3:A178)+1)</f>
        <v>176</v>
      </c>
      <c r="B179" s="176">
        <v>11444</v>
      </c>
      <c r="C179" s="177" t="s">
        <v>750</v>
      </c>
      <c r="D179" s="285" t="s">
        <v>112</v>
      </c>
      <c r="E179" s="281">
        <v>9</v>
      </c>
      <c r="F179" s="283">
        <f>IF($B179="","",SUMIFS('Daily Inward'!$G:$G,'Daily Inward'!$C:$C,$B179,'Daily Inward'!$E:$E,"Non Inventory"))</f>
        <v>0</v>
      </c>
      <c r="G179" s="51">
        <f>IF($B179="","",SUMIFS('Daily Issuance'!$G:$G,'Daily Issuance'!$C:$C,$B179,'Daily Issuance'!$E:$E,"Non Inventory"))</f>
        <v>0</v>
      </c>
      <c r="H179" s="51">
        <f t="shared" si="4"/>
        <v>9</v>
      </c>
      <c r="I179" s="187">
        <v>220</v>
      </c>
      <c r="J179" s="188">
        <f t="shared" si="5"/>
        <v>1980</v>
      </c>
      <c r="K179" s="46"/>
    </row>
    <row r="180" spans="1:11" s="24" customFormat="1" ht="23.1" customHeight="1">
      <c r="A180" s="170">
        <f>IF($B180="","",MAX($A$3:A179)+1)</f>
        <v>177</v>
      </c>
      <c r="B180" s="176">
        <v>11479</v>
      </c>
      <c r="C180" s="177" t="s">
        <v>751</v>
      </c>
      <c r="D180" s="285" t="s">
        <v>112</v>
      </c>
      <c r="E180" s="281">
        <v>14</v>
      </c>
      <c r="F180" s="283">
        <f>IF($B180="","",SUMIFS('Daily Inward'!$G:$G,'Daily Inward'!$C:$C,$B180,'Daily Inward'!$E:$E,"Non Inventory"))</f>
        <v>0</v>
      </c>
      <c r="G180" s="51">
        <f>IF($B180="","",SUMIFS('Daily Issuance'!$G:$G,'Daily Issuance'!$C:$C,$B180,'Daily Issuance'!$E:$E,"Non Inventory"))</f>
        <v>0</v>
      </c>
      <c r="H180" s="51">
        <f t="shared" si="4"/>
        <v>14</v>
      </c>
      <c r="I180" s="187">
        <v>15</v>
      </c>
      <c r="J180" s="188">
        <f t="shared" si="5"/>
        <v>210</v>
      </c>
      <c r="K180" s="46"/>
    </row>
    <row r="181" spans="1:11" s="24" customFormat="1" ht="23.1" customHeight="1">
      <c r="A181" s="170">
        <f>IF($B181="","",MAX($A$3:A180)+1)</f>
        <v>178</v>
      </c>
      <c r="B181" s="176">
        <v>11480</v>
      </c>
      <c r="C181" s="177" t="s">
        <v>752</v>
      </c>
      <c r="D181" s="285" t="s">
        <v>112</v>
      </c>
      <c r="E181" s="281">
        <v>6</v>
      </c>
      <c r="F181" s="283">
        <f>IF($B181="","",SUMIFS('Daily Inward'!$G:$G,'Daily Inward'!$C:$C,$B181,'Daily Inward'!$E:$E,"Non Inventory"))</f>
        <v>0</v>
      </c>
      <c r="G181" s="51">
        <f>IF($B181="","",SUMIFS('Daily Issuance'!$G:$G,'Daily Issuance'!$C:$C,$B181,'Daily Issuance'!$E:$E,"Non Inventory"))</f>
        <v>0</v>
      </c>
      <c r="H181" s="51">
        <f t="shared" si="4"/>
        <v>6</v>
      </c>
      <c r="I181" s="187">
        <v>150</v>
      </c>
      <c r="J181" s="188">
        <f t="shared" si="5"/>
        <v>900</v>
      </c>
      <c r="K181" s="46"/>
    </row>
    <row r="182" spans="1:11" s="24" customFormat="1" ht="23.1" customHeight="1">
      <c r="A182" s="170">
        <f>IF($B182="","",MAX($A$3:A181)+1)</f>
        <v>179</v>
      </c>
      <c r="B182" s="176">
        <v>11481</v>
      </c>
      <c r="C182" s="177" t="s">
        <v>753</v>
      </c>
      <c r="D182" s="285" t="s">
        <v>112</v>
      </c>
      <c r="E182" s="281">
        <v>5</v>
      </c>
      <c r="F182" s="283">
        <f>IF($B182="","",SUMIFS('Daily Inward'!$G:$G,'Daily Inward'!$C:$C,$B182,'Daily Inward'!$E:$E,"Non Inventory"))</f>
        <v>0</v>
      </c>
      <c r="G182" s="51">
        <f>IF($B182="","",SUMIFS('Daily Issuance'!$G:$G,'Daily Issuance'!$C:$C,$B182,'Daily Issuance'!$E:$E,"Non Inventory"))</f>
        <v>0</v>
      </c>
      <c r="H182" s="51">
        <f t="shared" si="4"/>
        <v>5</v>
      </c>
      <c r="I182" s="187">
        <v>180</v>
      </c>
      <c r="J182" s="188">
        <f t="shared" si="5"/>
        <v>900</v>
      </c>
      <c r="K182" s="46"/>
    </row>
    <row r="183" spans="1:11" s="24" customFormat="1" ht="23.1" customHeight="1">
      <c r="A183" s="170">
        <f>IF($B183="","",MAX($A$3:A182)+1)</f>
        <v>180</v>
      </c>
      <c r="B183" s="176">
        <v>11482</v>
      </c>
      <c r="C183" s="177" t="s">
        <v>754</v>
      </c>
      <c r="D183" s="285" t="s">
        <v>112</v>
      </c>
      <c r="E183" s="281">
        <v>16</v>
      </c>
      <c r="F183" s="283">
        <f>IF($B183="","",SUMIFS('Daily Inward'!$G:$G,'Daily Inward'!$C:$C,$B183,'Daily Inward'!$E:$E,"Non Inventory"))</f>
        <v>0</v>
      </c>
      <c r="G183" s="51">
        <f>IF($B183="","",SUMIFS('Daily Issuance'!$G:$G,'Daily Issuance'!$C:$C,$B183,'Daily Issuance'!$E:$E,"Non Inventory"))</f>
        <v>0</v>
      </c>
      <c r="H183" s="51">
        <f t="shared" si="4"/>
        <v>16</v>
      </c>
      <c r="I183" s="187">
        <v>156</v>
      </c>
      <c r="J183" s="188">
        <f t="shared" si="5"/>
        <v>2496</v>
      </c>
      <c r="K183" s="46"/>
    </row>
    <row r="184" spans="1:11" s="24" customFormat="1" ht="23.1" customHeight="1">
      <c r="A184" s="170">
        <f>IF($B184="","",MAX($A$3:A183)+1)</f>
        <v>181</v>
      </c>
      <c r="B184" s="176">
        <v>11495</v>
      </c>
      <c r="C184" s="177" t="s">
        <v>755</v>
      </c>
      <c r="D184" s="285" t="s">
        <v>112</v>
      </c>
      <c r="E184" s="281">
        <v>7</v>
      </c>
      <c r="F184" s="283">
        <f>IF($B184="","",SUMIFS('Daily Inward'!$G:$G,'Daily Inward'!$C:$C,$B184,'Daily Inward'!$E:$E,"Non Inventory"))</f>
        <v>0</v>
      </c>
      <c r="G184" s="51">
        <f>IF($B184="","",SUMIFS('Daily Issuance'!$G:$G,'Daily Issuance'!$C:$C,$B184,'Daily Issuance'!$E:$E,"Non Inventory"))</f>
        <v>0</v>
      </c>
      <c r="H184" s="51">
        <f t="shared" si="4"/>
        <v>7</v>
      </c>
      <c r="I184" s="187">
        <v>1100</v>
      </c>
      <c r="J184" s="188">
        <f t="shared" si="5"/>
        <v>7700</v>
      </c>
      <c r="K184" s="46"/>
    </row>
    <row r="185" spans="1:11" s="24" customFormat="1" ht="23.1" customHeight="1">
      <c r="A185" s="170">
        <f>IF($B185="","",MAX($A$3:A184)+1)</f>
        <v>182</v>
      </c>
      <c r="B185" s="176">
        <v>11533</v>
      </c>
      <c r="C185" s="177" t="s">
        <v>756</v>
      </c>
      <c r="D185" s="285" t="s">
        <v>112</v>
      </c>
      <c r="E185" s="281">
        <v>1</v>
      </c>
      <c r="F185" s="283">
        <f>IF($B185="","",SUMIFS('Daily Inward'!$G:$G,'Daily Inward'!$C:$C,$B185,'Daily Inward'!$E:$E,"Non Inventory"))</f>
        <v>0</v>
      </c>
      <c r="G185" s="51">
        <f>IF($B185="","",SUMIFS('Daily Issuance'!$G:$G,'Daily Issuance'!$C:$C,$B185,'Daily Issuance'!$E:$E,"Non Inventory"))</f>
        <v>0</v>
      </c>
      <c r="H185" s="51">
        <f t="shared" si="4"/>
        <v>1</v>
      </c>
      <c r="I185" s="187">
        <v>650</v>
      </c>
      <c r="J185" s="188">
        <f t="shared" si="5"/>
        <v>650</v>
      </c>
      <c r="K185" s="46"/>
    </row>
    <row r="186" spans="1:11" s="24" customFormat="1" ht="23.1" customHeight="1">
      <c r="A186" s="170">
        <f>IF($B186="","",MAX($A$3:A185)+1)</f>
        <v>183</v>
      </c>
      <c r="B186" s="176">
        <v>11551</v>
      </c>
      <c r="C186" s="177" t="s">
        <v>757</v>
      </c>
      <c r="D186" s="285" t="s">
        <v>112</v>
      </c>
      <c r="E186" s="281">
        <v>6</v>
      </c>
      <c r="F186" s="283">
        <f>IF($B186="","",SUMIFS('Daily Inward'!$G:$G,'Daily Inward'!$C:$C,$B186,'Daily Inward'!$E:$E,"Non Inventory"))</f>
        <v>0</v>
      </c>
      <c r="G186" s="51">
        <f>IF($B186="","",SUMIFS('Daily Issuance'!$G:$G,'Daily Issuance'!$C:$C,$B186,'Daily Issuance'!$E:$E,"Non Inventory"))</f>
        <v>0</v>
      </c>
      <c r="H186" s="51">
        <f t="shared" si="4"/>
        <v>6</v>
      </c>
      <c r="I186" s="187">
        <v>173</v>
      </c>
      <c r="J186" s="188">
        <f t="shared" si="5"/>
        <v>1038</v>
      </c>
      <c r="K186" s="46"/>
    </row>
    <row r="187" spans="1:11" s="24" customFormat="1" ht="23.1" customHeight="1">
      <c r="A187" s="170">
        <f>IF($B187="","",MAX($A$3:A186)+1)</f>
        <v>184</v>
      </c>
      <c r="B187" s="176">
        <v>11552</v>
      </c>
      <c r="C187" s="177" t="s">
        <v>758</v>
      </c>
      <c r="D187" s="285" t="s">
        <v>112</v>
      </c>
      <c r="E187" s="281">
        <v>7</v>
      </c>
      <c r="F187" s="283">
        <f>IF($B187="","",SUMIFS('Daily Inward'!$G:$G,'Daily Inward'!$C:$C,$B187,'Daily Inward'!$E:$E,"Non Inventory"))</f>
        <v>0</v>
      </c>
      <c r="G187" s="51">
        <f>IF($B187="","",SUMIFS('Daily Issuance'!$G:$G,'Daily Issuance'!$C:$C,$B187,'Daily Issuance'!$E:$E,"Non Inventory"))</f>
        <v>0</v>
      </c>
      <c r="H187" s="51">
        <f t="shared" si="4"/>
        <v>7</v>
      </c>
      <c r="I187" s="187">
        <v>140</v>
      </c>
      <c r="J187" s="188">
        <f t="shared" si="5"/>
        <v>980</v>
      </c>
      <c r="K187" s="46"/>
    </row>
    <row r="188" spans="1:11" s="24" customFormat="1" ht="23.1" customHeight="1">
      <c r="A188" s="170">
        <f>IF($B188="","",MAX($A$3:A187)+1)</f>
        <v>185</v>
      </c>
      <c r="B188" s="176">
        <v>11582</v>
      </c>
      <c r="C188" s="177" t="s">
        <v>759</v>
      </c>
      <c r="D188" s="285" t="s">
        <v>112</v>
      </c>
      <c r="E188" s="281">
        <v>7</v>
      </c>
      <c r="F188" s="283">
        <f>IF($B188="","",SUMIFS('Daily Inward'!$G:$G,'Daily Inward'!$C:$C,$B188,'Daily Inward'!$E:$E,"Non Inventory"))</f>
        <v>0</v>
      </c>
      <c r="G188" s="51">
        <f>IF($B188="","",SUMIFS('Daily Issuance'!$G:$G,'Daily Issuance'!$C:$C,$B188,'Daily Issuance'!$E:$E,"Non Inventory"))</f>
        <v>0</v>
      </c>
      <c r="H188" s="51">
        <f t="shared" si="4"/>
        <v>7</v>
      </c>
      <c r="I188" s="187">
        <v>1100</v>
      </c>
      <c r="J188" s="188">
        <f t="shared" si="5"/>
        <v>7700</v>
      </c>
      <c r="K188" s="46"/>
    </row>
    <row r="189" spans="1:11" s="24" customFormat="1" ht="23.1" customHeight="1">
      <c r="A189" s="170">
        <f>IF($B189="","",MAX($A$3:A188)+1)</f>
        <v>186</v>
      </c>
      <c r="B189" s="176">
        <v>11714</v>
      </c>
      <c r="C189" s="177" t="s">
        <v>760</v>
      </c>
      <c r="D189" s="285" t="s">
        <v>112</v>
      </c>
      <c r="E189" s="281">
        <v>310</v>
      </c>
      <c r="F189" s="283">
        <f>IF($B189="","",SUMIFS('Daily Inward'!$G:$G,'Daily Inward'!$C:$C,$B189,'Daily Inward'!$E:$E,"Non Inventory"))</f>
        <v>0</v>
      </c>
      <c r="G189" s="51">
        <f>IF($B189="","",SUMIFS('Daily Issuance'!$G:$G,'Daily Issuance'!$C:$C,$B189,'Daily Issuance'!$E:$E,"Non Inventory"))</f>
        <v>0</v>
      </c>
      <c r="H189" s="51">
        <f t="shared" si="4"/>
        <v>310</v>
      </c>
      <c r="I189" s="187">
        <v>35</v>
      </c>
      <c r="J189" s="188">
        <f t="shared" si="5"/>
        <v>10850</v>
      </c>
      <c r="K189" s="46"/>
    </row>
    <row r="190" spans="1:11" s="24" customFormat="1" ht="23.1" customHeight="1">
      <c r="A190" s="170">
        <f>IF($B190="","",MAX($A$3:A189)+1)</f>
        <v>187</v>
      </c>
      <c r="B190" s="176">
        <v>11839</v>
      </c>
      <c r="C190" s="177" t="s">
        <v>761</v>
      </c>
      <c r="D190" s="285" t="s">
        <v>112</v>
      </c>
      <c r="E190" s="281">
        <v>6</v>
      </c>
      <c r="F190" s="283">
        <f>IF($B190="","",SUMIFS('Daily Inward'!$G:$G,'Daily Inward'!$C:$C,$B190,'Daily Inward'!$E:$E,"Non Inventory"))</f>
        <v>0</v>
      </c>
      <c r="G190" s="51">
        <f>IF($B190="","",SUMIFS('Daily Issuance'!$G:$G,'Daily Issuance'!$C:$C,$B190,'Daily Issuance'!$E:$E,"Non Inventory"))</f>
        <v>0</v>
      </c>
      <c r="H190" s="51">
        <f t="shared" si="4"/>
        <v>6</v>
      </c>
      <c r="I190" s="187">
        <v>444</v>
      </c>
      <c r="J190" s="188">
        <f t="shared" si="5"/>
        <v>2664</v>
      </c>
      <c r="K190" s="46"/>
    </row>
    <row r="191" spans="1:11" s="24" customFormat="1" ht="23.1" customHeight="1">
      <c r="A191" s="170">
        <f>IF($B191="","",MAX($A$3:A190)+1)</f>
        <v>188</v>
      </c>
      <c r="B191" s="176">
        <v>11886</v>
      </c>
      <c r="C191" s="177" t="s">
        <v>762</v>
      </c>
      <c r="D191" s="285" t="s">
        <v>112</v>
      </c>
      <c r="E191" s="281">
        <v>27</v>
      </c>
      <c r="F191" s="283">
        <f>IF($B191="","",SUMIFS('Daily Inward'!$G:$G,'Daily Inward'!$C:$C,$B191,'Daily Inward'!$E:$E,"Non Inventory"))</f>
        <v>0</v>
      </c>
      <c r="G191" s="51">
        <f>IF($B191="","",SUMIFS('Daily Issuance'!$G:$G,'Daily Issuance'!$C:$C,$B191,'Daily Issuance'!$E:$E,"Non Inventory"))</f>
        <v>0</v>
      </c>
      <c r="H191" s="51">
        <f t="shared" si="4"/>
        <v>27</v>
      </c>
      <c r="I191" s="187">
        <v>150</v>
      </c>
      <c r="J191" s="188">
        <f t="shared" si="5"/>
        <v>4050</v>
      </c>
      <c r="K191" s="46"/>
    </row>
    <row r="192" spans="1:11" s="24" customFormat="1" ht="23.1" customHeight="1">
      <c r="A192" s="170">
        <f>IF($B192="","",MAX($A$3:A191)+1)</f>
        <v>189</v>
      </c>
      <c r="B192" s="176">
        <v>11937</v>
      </c>
      <c r="C192" s="177" t="s">
        <v>763</v>
      </c>
      <c r="D192" s="285" t="s">
        <v>112</v>
      </c>
      <c r="E192" s="281">
        <v>2</v>
      </c>
      <c r="F192" s="283">
        <f>IF($B192="","",SUMIFS('Daily Inward'!$G:$G,'Daily Inward'!$C:$C,$B192,'Daily Inward'!$E:$E,"Non Inventory"))</f>
        <v>0</v>
      </c>
      <c r="G192" s="51">
        <f>IF($B192="","",SUMIFS('Daily Issuance'!$G:$G,'Daily Issuance'!$C:$C,$B192,'Daily Issuance'!$E:$E,"Non Inventory"))</f>
        <v>0</v>
      </c>
      <c r="H192" s="51">
        <f t="shared" si="4"/>
        <v>2</v>
      </c>
      <c r="I192" s="187">
        <v>2250</v>
      </c>
      <c r="J192" s="188">
        <f t="shared" si="5"/>
        <v>4500</v>
      </c>
      <c r="K192" s="46"/>
    </row>
    <row r="193" spans="1:11" s="24" customFormat="1" ht="23.1" customHeight="1">
      <c r="A193" s="170">
        <f>IF($B193="","",MAX($A$3:A192)+1)</f>
        <v>190</v>
      </c>
      <c r="B193" s="176">
        <v>12112</v>
      </c>
      <c r="C193" s="177" t="s">
        <v>764</v>
      </c>
      <c r="D193" s="285" t="s">
        <v>112</v>
      </c>
      <c r="E193" s="281">
        <v>1</v>
      </c>
      <c r="F193" s="283">
        <f>IF($B193="","",SUMIFS('Daily Inward'!$G:$G,'Daily Inward'!$C:$C,$B193,'Daily Inward'!$E:$E,"Non Inventory"))</f>
        <v>0</v>
      </c>
      <c r="G193" s="51">
        <f>IF($B193="","",SUMIFS('Daily Issuance'!$G:$G,'Daily Issuance'!$C:$C,$B193,'Daily Issuance'!$E:$E,"Non Inventory"))</f>
        <v>0</v>
      </c>
      <c r="H193" s="51">
        <f t="shared" si="4"/>
        <v>1</v>
      </c>
      <c r="I193" s="187">
        <v>573</v>
      </c>
      <c r="J193" s="188">
        <f t="shared" si="5"/>
        <v>573</v>
      </c>
      <c r="K193" s="46"/>
    </row>
    <row r="194" spans="1:11" s="24" customFormat="1" ht="23.1" customHeight="1">
      <c r="A194" s="170">
        <f>IF($B194="","",MAX($A$3:A193)+1)</f>
        <v>191</v>
      </c>
      <c r="B194" s="176">
        <v>12303</v>
      </c>
      <c r="C194" s="177" t="s">
        <v>765</v>
      </c>
      <c r="D194" s="285" t="s">
        <v>112</v>
      </c>
      <c r="E194" s="281">
        <v>9</v>
      </c>
      <c r="F194" s="283">
        <f>IF($B194="","",SUMIFS('Daily Inward'!$G:$G,'Daily Inward'!$C:$C,$B194,'Daily Inward'!$E:$E,"Non Inventory"))</f>
        <v>0</v>
      </c>
      <c r="G194" s="51">
        <f>IF($B194="","",SUMIFS('Daily Issuance'!$G:$G,'Daily Issuance'!$C:$C,$B194,'Daily Issuance'!$E:$E,"Non Inventory"))</f>
        <v>0</v>
      </c>
      <c r="H194" s="51">
        <f t="shared" si="4"/>
        <v>9</v>
      </c>
      <c r="I194" s="187">
        <v>52</v>
      </c>
      <c r="J194" s="188">
        <f t="shared" si="5"/>
        <v>468</v>
      </c>
      <c r="K194" s="46"/>
    </row>
    <row r="195" spans="1:11" s="24" customFormat="1" ht="23.1" customHeight="1">
      <c r="A195" s="170">
        <f>IF($B195="","",MAX($A$3:A194)+1)</f>
        <v>192</v>
      </c>
      <c r="B195" s="176">
        <v>12323</v>
      </c>
      <c r="C195" s="177" t="s">
        <v>766</v>
      </c>
      <c r="D195" s="285" t="s">
        <v>112</v>
      </c>
      <c r="E195" s="281">
        <v>1</v>
      </c>
      <c r="F195" s="283">
        <f>IF($B195="","",SUMIFS('Daily Inward'!$G:$G,'Daily Inward'!$C:$C,$B195,'Daily Inward'!$E:$E,"Non Inventory"))</f>
        <v>0</v>
      </c>
      <c r="G195" s="51">
        <f>IF($B195="","",SUMIFS('Daily Issuance'!$G:$G,'Daily Issuance'!$C:$C,$B195,'Daily Issuance'!$E:$E,"Non Inventory"))</f>
        <v>0</v>
      </c>
      <c r="H195" s="51">
        <f t="shared" si="4"/>
        <v>1</v>
      </c>
      <c r="I195" s="187">
        <v>1500</v>
      </c>
      <c r="J195" s="188">
        <f t="shared" si="5"/>
        <v>1500</v>
      </c>
      <c r="K195" s="46"/>
    </row>
    <row r="196" spans="1:11" s="24" customFormat="1" ht="23.1" customHeight="1">
      <c r="A196" s="170">
        <f>IF($B196="","",MAX($A$3:A195)+1)</f>
        <v>193</v>
      </c>
      <c r="B196" s="176">
        <v>12652</v>
      </c>
      <c r="C196" s="177" t="s">
        <v>767</v>
      </c>
      <c r="D196" s="285" t="s">
        <v>112</v>
      </c>
      <c r="E196" s="281">
        <v>2</v>
      </c>
      <c r="F196" s="283">
        <f>IF($B196="","",SUMIFS('Daily Inward'!$G:$G,'Daily Inward'!$C:$C,$B196,'Daily Inward'!$E:$E,"Non Inventory"))</f>
        <v>0</v>
      </c>
      <c r="G196" s="51">
        <f>IF($B196="","",SUMIFS('Daily Issuance'!$G:$G,'Daily Issuance'!$C:$C,$B196,'Daily Issuance'!$E:$E,"Non Inventory"))</f>
        <v>0</v>
      </c>
      <c r="H196" s="51">
        <f t="shared" ref="H196:H259" si="6">IF($B196="","",N(E196)+N(F196)-N(G196))</f>
        <v>2</v>
      </c>
      <c r="I196" s="187">
        <v>1995</v>
      </c>
      <c r="J196" s="188">
        <f t="shared" ref="J196:J259" si="7">IF($B196="","",H196*I196)</f>
        <v>3990</v>
      </c>
      <c r="K196" s="46"/>
    </row>
    <row r="197" spans="1:11" s="24" customFormat="1" ht="23.1" customHeight="1">
      <c r="A197" s="170">
        <f>IF($B197="","",MAX($A$3:A196)+1)</f>
        <v>194</v>
      </c>
      <c r="B197" s="176">
        <v>12685</v>
      </c>
      <c r="C197" s="177" t="s">
        <v>768</v>
      </c>
      <c r="D197" s="285" t="s">
        <v>112</v>
      </c>
      <c r="E197" s="281">
        <v>2</v>
      </c>
      <c r="F197" s="283">
        <f>IF($B197="","",SUMIFS('Daily Inward'!$G:$G,'Daily Inward'!$C:$C,$B197,'Daily Inward'!$E:$E,"Non Inventory"))</f>
        <v>0</v>
      </c>
      <c r="G197" s="51">
        <f>IF($B197="","",SUMIFS('Daily Issuance'!$G:$G,'Daily Issuance'!$C:$C,$B197,'Daily Issuance'!$E:$E,"Non Inventory"))</f>
        <v>0</v>
      </c>
      <c r="H197" s="51">
        <f t="shared" si="6"/>
        <v>2</v>
      </c>
      <c r="I197" s="187">
        <v>3250</v>
      </c>
      <c r="J197" s="188">
        <f t="shared" si="7"/>
        <v>6500</v>
      </c>
      <c r="K197" s="46"/>
    </row>
    <row r="198" spans="1:11" s="24" customFormat="1" ht="23.1" customHeight="1">
      <c r="A198" s="170">
        <f>IF($B198="","",MAX($A$3:A197)+1)</f>
        <v>195</v>
      </c>
      <c r="B198" s="176">
        <v>12804</v>
      </c>
      <c r="C198" s="177" t="s">
        <v>769</v>
      </c>
      <c r="D198" s="285" t="s">
        <v>112</v>
      </c>
      <c r="E198" s="281">
        <v>4</v>
      </c>
      <c r="F198" s="283">
        <f>IF($B198="","",SUMIFS('Daily Inward'!$G:$G,'Daily Inward'!$C:$C,$B198,'Daily Inward'!$E:$E,"Non Inventory"))</f>
        <v>0</v>
      </c>
      <c r="G198" s="51">
        <f>IF($B198="","",SUMIFS('Daily Issuance'!$G:$G,'Daily Issuance'!$C:$C,$B198,'Daily Issuance'!$E:$E,"Non Inventory"))</f>
        <v>0</v>
      </c>
      <c r="H198" s="51">
        <f t="shared" si="6"/>
        <v>4</v>
      </c>
      <c r="I198" s="187">
        <v>1250</v>
      </c>
      <c r="J198" s="188">
        <f t="shared" si="7"/>
        <v>5000</v>
      </c>
      <c r="K198" s="46"/>
    </row>
    <row r="199" spans="1:11" s="24" customFormat="1" ht="23.1" customHeight="1">
      <c r="A199" s="170">
        <f>IF($B199="","",MAX($A$3:A198)+1)</f>
        <v>196</v>
      </c>
      <c r="B199" s="176">
        <v>12918</v>
      </c>
      <c r="C199" s="177" t="s">
        <v>770</v>
      </c>
      <c r="D199" s="285" t="s">
        <v>112</v>
      </c>
      <c r="E199" s="281">
        <v>2</v>
      </c>
      <c r="F199" s="283">
        <f>IF($B199="","",SUMIFS('Daily Inward'!$G:$G,'Daily Inward'!$C:$C,$B199,'Daily Inward'!$E:$E,"Non Inventory"))</f>
        <v>0</v>
      </c>
      <c r="G199" s="51">
        <f>IF($B199="","",SUMIFS('Daily Issuance'!$G:$G,'Daily Issuance'!$C:$C,$B199,'Daily Issuance'!$E:$E,"Non Inventory"))</f>
        <v>0</v>
      </c>
      <c r="H199" s="51">
        <f t="shared" si="6"/>
        <v>2</v>
      </c>
      <c r="I199" s="187">
        <v>750</v>
      </c>
      <c r="J199" s="188">
        <f t="shared" si="7"/>
        <v>1500</v>
      </c>
      <c r="K199" s="46"/>
    </row>
    <row r="200" spans="1:11" s="24" customFormat="1" ht="23.1" customHeight="1">
      <c r="A200" s="170">
        <f>IF($B200="","",MAX($A$3:A199)+1)</f>
        <v>197</v>
      </c>
      <c r="B200" s="176">
        <v>12968</v>
      </c>
      <c r="C200" s="177" t="s">
        <v>771</v>
      </c>
      <c r="D200" s="285" t="s">
        <v>112</v>
      </c>
      <c r="E200" s="281">
        <v>67</v>
      </c>
      <c r="F200" s="283">
        <f>IF($B200="","",SUMIFS('Daily Inward'!$G:$G,'Daily Inward'!$C:$C,$B200,'Daily Inward'!$E:$E,"Non Inventory"))</f>
        <v>0</v>
      </c>
      <c r="G200" s="51">
        <f>IF($B200="","",SUMIFS('Daily Issuance'!$G:$G,'Daily Issuance'!$C:$C,$B200,'Daily Issuance'!$E:$E,"Non Inventory"))</f>
        <v>0</v>
      </c>
      <c r="H200" s="51">
        <f t="shared" si="6"/>
        <v>67</v>
      </c>
      <c r="I200" s="187">
        <v>500</v>
      </c>
      <c r="J200" s="188">
        <f t="shared" si="7"/>
        <v>33500</v>
      </c>
      <c r="K200" s="46"/>
    </row>
    <row r="201" spans="1:11" s="24" customFormat="1" ht="23.1" customHeight="1">
      <c r="A201" s="170">
        <f>IF($B201="","",MAX($A$3:A200)+1)</f>
        <v>198</v>
      </c>
      <c r="B201" s="176">
        <v>12998</v>
      </c>
      <c r="C201" s="177" t="s">
        <v>772</v>
      </c>
      <c r="D201" s="285" t="s">
        <v>112</v>
      </c>
      <c r="E201" s="281">
        <v>3</v>
      </c>
      <c r="F201" s="283">
        <f>IF($B201="","",SUMIFS('Daily Inward'!$G:$G,'Daily Inward'!$C:$C,$B201,'Daily Inward'!$E:$E,"Non Inventory"))</f>
        <v>0</v>
      </c>
      <c r="G201" s="51">
        <f>IF($B201="","",SUMIFS('Daily Issuance'!$G:$G,'Daily Issuance'!$C:$C,$B201,'Daily Issuance'!$E:$E,"Non Inventory"))</f>
        <v>0</v>
      </c>
      <c r="H201" s="51">
        <f t="shared" si="6"/>
        <v>3</v>
      </c>
      <c r="I201" s="187">
        <v>4500</v>
      </c>
      <c r="J201" s="188">
        <f t="shared" si="7"/>
        <v>13500</v>
      </c>
      <c r="K201" s="46"/>
    </row>
    <row r="202" spans="1:11" s="24" customFormat="1" ht="23.1" customHeight="1">
      <c r="A202" s="170">
        <f>IF($B202="","",MAX($A$3:A201)+1)</f>
        <v>199</v>
      </c>
      <c r="B202" s="176">
        <v>13030</v>
      </c>
      <c r="C202" s="177" t="s">
        <v>773</v>
      </c>
      <c r="D202" s="285" t="s">
        <v>112</v>
      </c>
      <c r="E202" s="281">
        <v>17</v>
      </c>
      <c r="F202" s="283">
        <f>IF($B202="","",SUMIFS('Daily Inward'!$G:$G,'Daily Inward'!$C:$C,$B202,'Daily Inward'!$E:$E,"Non Inventory"))</f>
        <v>0</v>
      </c>
      <c r="G202" s="51">
        <f>IF($B202="","",SUMIFS('Daily Issuance'!$G:$G,'Daily Issuance'!$C:$C,$B202,'Daily Issuance'!$E:$E,"Non Inventory"))</f>
        <v>0</v>
      </c>
      <c r="H202" s="51">
        <f t="shared" si="6"/>
        <v>17</v>
      </c>
      <c r="I202" s="187">
        <v>495</v>
      </c>
      <c r="J202" s="188">
        <f t="shared" si="7"/>
        <v>8415</v>
      </c>
      <c r="K202" s="46"/>
    </row>
    <row r="203" spans="1:11" s="24" customFormat="1" ht="23.1" customHeight="1">
      <c r="A203" s="170">
        <f>IF($B203="","",MAX($A$3:A202)+1)</f>
        <v>200</v>
      </c>
      <c r="B203" s="176">
        <v>13119</v>
      </c>
      <c r="C203" s="177" t="s">
        <v>774</v>
      </c>
      <c r="D203" s="285" t="s">
        <v>112</v>
      </c>
      <c r="E203" s="281">
        <v>2</v>
      </c>
      <c r="F203" s="283">
        <f>IF($B203="","",SUMIFS('Daily Inward'!$G:$G,'Daily Inward'!$C:$C,$B203,'Daily Inward'!$E:$E,"Non Inventory"))</f>
        <v>0</v>
      </c>
      <c r="G203" s="51">
        <f>IF($B203="","",SUMIFS('Daily Issuance'!$G:$G,'Daily Issuance'!$C:$C,$B203,'Daily Issuance'!$E:$E,"Non Inventory"))</f>
        <v>0</v>
      </c>
      <c r="H203" s="51">
        <f t="shared" si="6"/>
        <v>2</v>
      </c>
      <c r="I203" s="187">
        <v>270</v>
      </c>
      <c r="J203" s="188">
        <f t="shared" si="7"/>
        <v>540</v>
      </c>
      <c r="K203" s="46"/>
    </row>
    <row r="204" spans="1:11" s="24" customFormat="1" ht="23.1" customHeight="1">
      <c r="A204" s="170">
        <f>IF($B204="","",MAX($A$3:A203)+1)</f>
        <v>201</v>
      </c>
      <c r="B204" s="176">
        <v>13132</v>
      </c>
      <c r="C204" s="177" t="s">
        <v>775</v>
      </c>
      <c r="D204" s="285" t="s">
        <v>112</v>
      </c>
      <c r="E204" s="281">
        <v>5</v>
      </c>
      <c r="F204" s="283">
        <f>IF($B204="","",SUMIFS('Daily Inward'!$G:$G,'Daily Inward'!$C:$C,$B204,'Daily Inward'!$E:$E,"Non Inventory"))</f>
        <v>0</v>
      </c>
      <c r="G204" s="51">
        <f>IF($B204="","",SUMIFS('Daily Issuance'!$G:$G,'Daily Issuance'!$C:$C,$B204,'Daily Issuance'!$E:$E,"Non Inventory"))</f>
        <v>0</v>
      </c>
      <c r="H204" s="51">
        <f t="shared" si="6"/>
        <v>5</v>
      </c>
      <c r="I204" s="187">
        <v>450</v>
      </c>
      <c r="J204" s="188">
        <f t="shared" si="7"/>
        <v>2250</v>
      </c>
      <c r="K204" s="46"/>
    </row>
    <row r="205" spans="1:11" s="24" customFormat="1" ht="23.1" customHeight="1">
      <c r="A205" s="170">
        <f>IF($B205="","",MAX($A$3:A204)+1)</f>
        <v>202</v>
      </c>
      <c r="B205" s="176">
        <v>13198</v>
      </c>
      <c r="C205" s="177" t="s">
        <v>776</v>
      </c>
      <c r="D205" s="285" t="s">
        <v>112</v>
      </c>
      <c r="E205" s="281">
        <v>41</v>
      </c>
      <c r="F205" s="283">
        <f>IF($B205="","",SUMIFS('Daily Inward'!$G:$G,'Daily Inward'!$C:$C,$B205,'Daily Inward'!$E:$E,"Non Inventory"))</f>
        <v>0</v>
      </c>
      <c r="G205" s="51">
        <f>IF($B205="","",SUMIFS('Daily Issuance'!$G:$G,'Daily Issuance'!$C:$C,$B205,'Daily Issuance'!$E:$E,"Non Inventory"))</f>
        <v>0</v>
      </c>
      <c r="H205" s="51">
        <f t="shared" si="6"/>
        <v>41</v>
      </c>
      <c r="I205" s="187">
        <v>5</v>
      </c>
      <c r="J205" s="188">
        <f t="shared" si="7"/>
        <v>205</v>
      </c>
      <c r="K205" s="46"/>
    </row>
    <row r="206" spans="1:11" s="24" customFormat="1" ht="23.1" customHeight="1">
      <c r="A206" s="170">
        <f>IF($B206="","",MAX($A$3:A205)+1)</f>
        <v>203</v>
      </c>
      <c r="B206" s="176">
        <v>13199</v>
      </c>
      <c r="C206" s="177" t="s">
        <v>777</v>
      </c>
      <c r="D206" s="285" t="s">
        <v>112</v>
      </c>
      <c r="E206" s="281">
        <v>33</v>
      </c>
      <c r="F206" s="283">
        <f>IF($B206="","",SUMIFS('Daily Inward'!$G:$G,'Daily Inward'!$C:$C,$B206,'Daily Inward'!$E:$E,"Non Inventory"))</f>
        <v>0</v>
      </c>
      <c r="G206" s="51">
        <f>IF($B206="","",SUMIFS('Daily Issuance'!$G:$G,'Daily Issuance'!$C:$C,$B206,'Daily Issuance'!$E:$E,"Non Inventory"))</f>
        <v>0</v>
      </c>
      <c r="H206" s="51">
        <f t="shared" si="6"/>
        <v>33</v>
      </c>
      <c r="I206" s="187">
        <v>5</v>
      </c>
      <c r="J206" s="188">
        <f t="shared" si="7"/>
        <v>165</v>
      </c>
      <c r="K206" s="46"/>
    </row>
    <row r="207" spans="1:11" s="24" customFormat="1" ht="23.1" customHeight="1">
      <c r="A207" s="170">
        <f>IF($B207="","",MAX($A$3:A206)+1)</f>
        <v>204</v>
      </c>
      <c r="B207" s="176">
        <v>13215</v>
      </c>
      <c r="C207" s="177" t="s">
        <v>778</v>
      </c>
      <c r="D207" s="285" t="s">
        <v>112</v>
      </c>
      <c r="E207" s="281">
        <v>1</v>
      </c>
      <c r="F207" s="283">
        <f>IF($B207="","",SUMIFS('Daily Inward'!$G:$G,'Daily Inward'!$C:$C,$B207,'Daily Inward'!$E:$E,"Non Inventory"))</f>
        <v>0</v>
      </c>
      <c r="G207" s="51">
        <f>IF($B207="","",SUMIFS('Daily Issuance'!$G:$G,'Daily Issuance'!$C:$C,$B207,'Daily Issuance'!$E:$E,"Non Inventory"))</f>
        <v>0</v>
      </c>
      <c r="H207" s="51">
        <f t="shared" si="6"/>
        <v>1</v>
      </c>
      <c r="I207" s="187">
        <v>35110</v>
      </c>
      <c r="J207" s="188">
        <f t="shared" si="7"/>
        <v>35110</v>
      </c>
      <c r="K207" s="46"/>
    </row>
    <row r="208" spans="1:11" s="24" customFormat="1" ht="23.1" customHeight="1">
      <c r="A208" s="170">
        <f>IF($B208="","",MAX($A$3:A207)+1)</f>
        <v>205</v>
      </c>
      <c r="B208" s="176">
        <v>13216</v>
      </c>
      <c r="C208" s="177" t="s">
        <v>779</v>
      </c>
      <c r="D208" s="285" t="s">
        <v>112</v>
      </c>
      <c r="E208" s="281">
        <v>1</v>
      </c>
      <c r="F208" s="283">
        <f>IF($B208="","",SUMIFS('Daily Inward'!$G:$G,'Daily Inward'!$C:$C,$B208,'Daily Inward'!$E:$E,"Non Inventory"))</f>
        <v>0</v>
      </c>
      <c r="G208" s="51">
        <f>IF($B208="","",SUMIFS('Daily Issuance'!$G:$G,'Daily Issuance'!$C:$C,$B208,'Daily Issuance'!$E:$E,"Non Inventory"))</f>
        <v>0</v>
      </c>
      <c r="H208" s="51">
        <f t="shared" si="6"/>
        <v>1</v>
      </c>
      <c r="I208" s="187" t="s">
        <v>780</v>
      </c>
      <c r="J208" s="188">
        <f t="shared" si="7"/>
        <v>23585</v>
      </c>
      <c r="K208" s="46"/>
    </row>
    <row r="209" spans="1:11" s="24" customFormat="1" ht="23.1" customHeight="1">
      <c r="A209" s="170">
        <f>IF($B209="","",MAX($A$3:A208)+1)</f>
        <v>206</v>
      </c>
      <c r="B209" s="176">
        <v>13366</v>
      </c>
      <c r="C209" s="177" t="s">
        <v>781</v>
      </c>
      <c r="D209" s="285" t="s">
        <v>112</v>
      </c>
      <c r="E209" s="281">
        <v>10</v>
      </c>
      <c r="F209" s="283">
        <f>IF($B209="","",SUMIFS('Daily Inward'!$G:$G,'Daily Inward'!$C:$C,$B209,'Daily Inward'!$E:$E,"Non Inventory"))</f>
        <v>0</v>
      </c>
      <c r="G209" s="51">
        <f>IF($B209="","",SUMIFS('Daily Issuance'!$G:$G,'Daily Issuance'!$C:$C,$B209,'Daily Issuance'!$E:$E,"Non Inventory"))</f>
        <v>0</v>
      </c>
      <c r="H209" s="51">
        <f t="shared" si="6"/>
        <v>10</v>
      </c>
      <c r="I209" s="187">
        <v>3500</v>
      </c>
      <c r="J209" s="188">
        <f t="shared" si="7"/>
        <v>35000</v>
      </c>
      <c r="K209" s="46"/>
    </row>
    <row r="210" spans="1:11" s="24" customFormat="1" ht="23.1" customHeight="1">
      <c r="A210" s="170">
        <f>IF($B210="","",MAX($A$3:A209)+1)</f>
        <v>207</v>
      </c>
      <c r="B210" s="176">
        <v>13508</v>
      </c>
      <c r="C210" s="177" t="s">
        <v>782</v>
      </c>
      <c r="D210" s="285" t="s">
        <v>112</v>
      </c>
      <c r="E210" s="281">
        <v>2</v>
      </c>
      <c r="F210" s="283">
        <f>IF($B210="","",SUMIFS('Daily Inward'!$G:$G,'Daily Inward'!$C:$C,$B210,'Daily Inward'!$E:$E,"Non Inventory"))</f>
        <v>0</v>
      </c>
      <c r="G210" s="51">
        <f>IF($B210="","",SUMIFS('Daily Issuance'!$G:$G,'Daily Issuance'!$C:$C,$B210,'Daily Issuance'!$E:$E,"Non Inventory"))</f>
        <v>0</v>
      </c>
      <c r="H210" s="51">
        <f t="shared" si="6"/>
        <v>2</v>
      </c>
      <c r="I210" s="187">
        <v>55000</v>
      </c>
      <c r="J210" s="188">
        <f t="shared" si="7"/>
        <v>110000</v>
      </c>
      <c r="K210" s="46"/>
    </row>
    <row r="211" spans="1:11" s="24" customFormat="1" ht="23.1" customHeight="1">
      <c r="A211" s="170">
        <f>IF($B211="","",MAX($A$3:A210)+1)</f>
        <v>208</v>
      </c>
      <c r="B211" s="176">
        <v>13524</v>
      </c>
      <c r="C211" s="177" t="s">
        <v>783</v>
      </c>
      <c r="D211" s="285" t="s">
        <v>112</v>
      </c>
      <c r="E211" s="281">
        <v>7</v>
      </c>
      <c r="F211" s="283">
        <f>IF($B211="","",SUMIFS('Daily Inward'!$G:$G,'Daily Inward'!$C:$C,$B211,'Daily Inward'!$E:$E,"Non Inventory"))</f>
        <v>0</v>
      </c>
      <c r="G211" s="51">
        <f>IF($B211="","",SUMIFS('Daily Issuance'!$G:$G,'Daily Issuance'!$C:$C,$B211,'Daily Issuance'!$E:$E,"Non Inventory"))</f>
        <v>0</v>
      </c>
      <c r="H211" s="51">
        <f t="shared" si="6"/>
        <v>7</v>
      </c>
      <c r="I211" s="187">
        <v>18</v>
      </c>
      <c r="J211" s="188">
        <f t="shared" si="7"/>
        <v>126</v>
      </c>
      <c r="K211" s="46"/>
    </row>
    <row r="212" spans="1:11" s="24" customFormat="1" ht="23.1" customHeight="1">
      <c r="A212" s="170">
        <f>IF($B212="","",MAX($A$3:A211)+1)</f>
        <v>209</v>
      </c>
      <c r="B212" s="176">
        <v>13660</v>
      </c>
      <c r="C212" s="177" t="s">
        <v>784</v>
      </c>
      <c r="D212" s="285" t="s">
        <v>112</v>
      </c>
      <c r="E212" s="281">
        <v>8</v>
      </c>
      <c r="F212" s="283">
        <f>IF($B212="","",SUMIFS('Daily Inward'!$G:$G,'Daily Inward'!$C:$C,$B212,'Daily Inward'!$E:$E,"Non Inventory"))</f>
        <v>0</v>
      </c>
      <c r="G212" s="51">
        <f>IF($B212="","",SUMIFS('Daily Issuance'!$G:$G,'Daily Issuance'!$C:$C,$B212,'Daily Issuance'!$E:$E,"Non Inventory"))</f>
        <v>4</v>
      </c>
      <c r="H212" s="51">
        <f t="shared" si="6"/>
        <v>4</v>
      </c>
      <c r="I212" s="187">
        <v>65</v>
      </c>
      <c r="J212" s="188">
        <f t="shared" si="7"/>
        <v>260</v>
      </c>
      <c r="K212" s="46"/>
    </row>
    <row r="213" spans="1:11" s="24" customFormat="1" ht="23.1" customHeight="1">
      <c r="A213" s="170">
        <f>IF($B213="","",MAX($A$3:A212)+1)</f>
        <v>210</v>
      </c>
      <c r="B213" s="176">
        <v>13661</v>
      </c>
      <c r="C213" s="177" t="s">
        <v>785</v>
      </c>
      <c r="D213" s="285" t="s">
        <v>112</v>
      </c>
      <c r="E213" s="281">
        <v>9</v>
      </c>
      <c r="F213" s="283">
        <f>IF($B213="","",SUMIFS('Daily Inward'!$G:$G,'Daily Inward'!$C:$C,$B213,'Daily Inward'!$E:$E,"Non Inventory"))</f>
        <v>0</v>
      </c>
      <c r="G213" s="51">
        <f>IF($B213="","",SUMIFS('Daily Issuance'!$G:$G,'Daily Issuance'!$C:$C,$B213,'Daily Issuance'!$E:$E,"Non Inventory"))</f>
        <v>0</v>
      </c>
      <c r="H213" s="51">
        <f t="shared" si="6"/>
        <v>9</v>
      </c>
      <c r="I213" s="187">
        <v>70</v>
      </c>
      <c r="J213" s="188">
        <f t="shared" si="7"/>
        <v>630</v>
      </c>
      <c r="K213" s="46"/>
    </row>
    <row r="214" spans="1:11" s="24" customFormat="1" ht="23.1" customHeight="1">
      <c r="A214" s="170">
        <f>IF($B214="","",MAX($A$3:A213)+1)</f>
        <v>211</v>
      </c>
      <c r="B214" s="176">
        <v>13811</v>
      </c>
      <c r="C214" s="177" t="s">
        <v>786</v>
      </c>
      <c r="D214" s="285" t="s">
        <v>112</v>
      </c>
      <c r="E214" s="281">
        <v>10</v>
      </c>
      <c r="F214" s="283">
        <f>IF($B214="","",SUMIFS('Daily Inward'!$G:$G,'Daily Inward'!$C:$C,$B214,'Daily Inward'!$E:$E,"Non Inventory"))</f>
        <v>0</v>
      </c>
      <c r="G214" s="51">
        <f>IF($B214="","",SUMIFS('Daily Issuance'!$G:$G,'Daily Issuance'!$C:$C,$B214,'Daily Issuance'!$E:$E,"Non Inventory"))</f>
        <v>0</v>
      </c>
      <c r="H214" s="51">
        <f t="shared" si="6"/>
        <v>10</v>
      </c>
      <c r="I214" s="187">
        <v>20</v>
      </c>
      <c r="J214" s="188">
        <f t="shared" si="7"/>
        <v>200</v>
      </c>
      <c r="K214" s="46"/>
    </row>
    <row r="215" spans="1:11" s="24" customFormat="1" ht="23.1" customHeight="1">
      <c r="A215" s="170">
        <f>IF($B215="","",MAX($A$3:A214)+1)</f>
        <v>212</v>
      </c>
      <c r="B215" s="176">
        <v>13949</v>
      </c>
      <c r="C215" s="177" t="s">
        <v>787</v>
      </c>
      <c r="D215" s="285" t="s">
        <v>112</v>
      </c>
      <c r="E215" s="281">
        <v>1</v>
      </c>
      <c r="F215" s="283">
        <f>IF($B215="","",SUMIFS('Daily Inward'!$G:$G,'Daily Inward'!$C:$C,$B215,'Daily Inward'!$E:$E,"Non Inventory"))</f>
        <v>0</v>
      </c>
      <c r="G215" s="51">
        <f>IF($B215="","",SUMIFS('Daily Issuance'!$G:$G,'Daily Issuance'!$C:$C,$B215,'Daily Issuance'!$E:$E,"Non Inventory"))</f>
        <v>0</v>
      </c>
      <c r="H215" s="51">
        <f t="shared" si="6"/>
        <v>1</v>
      </c>
      <c r="I215" s="187">
        <v>67500</v>
      </c>
      <c r="J215" s="188">
        <f t="shared" si="7"/>
        <v>67500</v>
      </c>
      <c r="K215" s="46"/>
    </row>
    <row r="216" spans="1:11" s="24" customFormat="1" ht="23.1" customHeight="1">
      <c r="A216" s="170">
        <f>IF($B216="","",MAX($A$3:A215)+1)</f>
        <v>213</v>
      </c>
      <c r="B216" s="176">
        <v>13951</v>
      </c>
      <c r="C216" s="177" t="s">
        <v>788</v>
      </c>
      <c r="D216" s="285" t="s">
        <v>112</v>
      </c>
      <c r="E216" s="281">
        <v>2</v>
      </c>
      <c r="F216" s="283">
        <f>IF($B216="","",SUMIFS('Daily Inward'!$G:$G,'Daily Inward'!$C:$C,$B216,'Daily Inward'!$E:$E,"Non Inventory"))</f>
        <v>0</v>
      </c>
      <c r="G216" s="51">
        <f>IF($B216="","",SUMIFS('Daily Issuance'!$G:$G,'Daily Issuance'!$C:$C,$B216,'Daily Issuance'!$E:$E,"Non Inventory"))</f>
        <v>0</v>
      </c>
      <c r="H216" s="51">
        <f t="shared" si="6"/>
        <v>2</v>
      </c>
      <c r="I216" s="187">
        <v>46480</v>
      </c>
      <c r="J216" s="188">
        <f t="shared" si="7"/>
        <v>92960</v>
      </c>
      <c r="K216" s="46"/>
    </row>
    <row r="217" spans="1:11" s="24" customFormat="1" ht="23.1" customHeight="1">
      <c r="A217" s="170">
        <f>IF($B217="","",MAX($A$3:A216)+1)</f>
        <v>214</v>
      </c>
      <c r="B217" s="176">
        <v>13952</v>
      </c>
      <c r="C217" s="177" t="s">
        <v>789</v>
      </c>
      <c r="D217" s="285" t="s">
        <v>112</v>
      </c>
      <c r="E217" s="281">
        <v>1</v>
      </c>
      <c r="F217" s="283">
        <f>IF($B217="","",SUMIFS('Daily Inward'!$G:$G,'Daily Inward'!$C:$C,$B217,'Daily Inward'!$E:$E,"Non Inventory"))</f>
        <v>0</v>
      </c>
      <c r="G217" s="51">
        <f>IF($B217="","",SUMIFS('Daily Issuance'!$G:$G,'Daily Issuance'!$C:$C,$B217,'Daily Issuance'!$E:$E,"Non Inventory"))</f>
        <v>0</v>
      </c>
      <c r="H217" s="51">
        <f t="shared" si="6"/>
        <v>1</v>
      </c>
      <c r="I217" s="187">
        <v>68000</v>
      </c>
      <c r="J217" s="188">
        <f t="shared" si="7"/>
        <v>68000</v>
      </c>
      <c r="K217" s="46"/>
    </row>
    <row r="218" spans="1:11" s="24" customFormat="1" ht="23.1" customHeight="1">
      <c r="A218" s="170">
        <f>IF($B218="","",MAX($A$3:A217)+1)</f>
        <v>215</v>
      </c>
      <c r="B218" s="176">
        <v>14012</v>
      </c>
      <c r="C218" s="177" t="s">
        <v>790</v>
      </c>
      <c r="D218" s="285" t="s">
        <v>112</v>
      </c>
      <c r="E218" s="281">
        <v>0</v>
      </c>
      <c r="F218" s="283">
        <f>IF($B218="","",SUMIFS('Daily Inward'!$G:$G,'Daily Inward'!$C:$C,$B218,'Daily Inward'!$E:$E,"Non Inventory"))</f>
        <v>0</v>
      </c>
      <c r="G218" s="51">
        <f>IF($B218="","",SUMIFS('Daily Issuance'!$G:$G,'Daily Issuance'!$C:$C,$B218,'Daily Issuance'!$E:$E,"Non Inventory"))</f>
        <v>0</v>
      </c>
      <c r="H218" s="51">
        <f t="shared" si="6"/>
        <v>0</v>
      </c>
      <c r="I218" s="187">
        <v>68000</v>
      </c>
      <c r="J218" s="188">
        <f t="shared" si="7"/>
        <v>0</v>
      </c>
      <c r="K218" s="46"/>
    </row>
    <row r="219" spans="1:11" s="24" customFormat="1" ht="23.1" customHeight="1">
      <c r="A219" s="170">
        <f>IF($B219="","",MAX($A$3:A218)+1)</f>
        <v>216</v>
      </c>
      <c r="B219" s="176">
        <v>14075</v>
      </c>
      <c r="C219" s="177" t="s">
        <v>791</v>
      </c>
      <c r="D219" s="285" t="s">
        <v>112</v>
      </c>
      <c r="E219" s="281">
        <v>1</v>
      </c>
      <c r="F219" s="283">
        <f>IF($B219="","",SUMIFS('Daily Inward'!$G:$G,'Daily Inward'!$C:$C,$B219,'Daily Inward'!$E:$E,"Non Inventory"))</f>
        <v>0</v>
      </c>
      <c r="G219" s="51">
        <f>IF($B219="","",SUMIFS('Daily Issuance'!$G:$G,'Daily Issuance'!$C:$C,$B219,'Daily Issuance'!$E:$E,"Non Inventory"))</f>
        <v>0</v>
      </c>
      <c r="H219" s="51">
        <f t="shared" si="6"/>
        <v>1</v>
      </c>
      <c r="I219" s="187">
        <v>1250</v>
      </c>
      <c r="J219" s="188">
        <f t="shared" si="7"/>
        <v>1250</v>
      </c>
      <c r="K219" s="46"/>
    </row>
    <row r="220" spans="1:11" s="24" customFormat="1" ht="23.1" customHeight="1">
      <c r="A220" s="170">
        <f>IF($B220="","",MAX($A$3:A219)+1)</f>
        <v>217</v>
      </c>
      <c r="B220" s="176">
        <v>14140</v>
      </c>
      <c r="C220" s="177" t="s">
        <v>792</v>
      </c>
      <c r="D220" s="285" t="s">
        <v>112</v>
      </c>
      <c r="E220" s="281">
        <v>1</v>
      </c>
      <c r="F220" s="283">
        <f>IF($B220="","",SUMIFS('Daily Inward'!$G:$G,'Daily Inward'!$C:$C,$B220,'Daily Inward'!$E:$E,"Non Inventory"))</f>
        <v>0</v>
      </c>
      <c r="G220" s="51">
        <f>IF($B220="","",SUMIFS('Daily Issuance'!$G:$G,'Daily Issuance'!$C:$C,$B220,'Daily Issuance'!$E:$E,"Non Inventory"))</f>
        <v>0</v>
      </c>
      <c r="H220" s="51">
        <f t="shared" si="6"/>
        <v>1</v>
      </c>
      <c r="I220" s="187">
        <v>7825</v>
      </c>
      <c r="J220" s="188">
        <f t="shared" si="7"/>
        <v>7825</v>
      </c>
      <c r="K220" s="46"/>
    </row>
    <row r="221" spans="1:11" s="24" customFormat="1" ht="23.1" customHeight="1">
      <c r="A221" s="170">
        <f>IF($B221="","",MAX($A$3:A220)+1)</f>
        <v>218</v>
      </c>
      <c r="B221" s="176">
        <v>14314</v>
      </c>
      <c r="C221" s="177" t="s">
        <v>793</v>
      </c>
      <c r="D221" s="285" t="s">
        <v>112</v>
      </c>
      <c r="E221" s="281">
        <v>7</v>
      </c>
      <c r="F221" s="283">
        <f>IF($B221="","",SUMIFS('Daily Inward'!$G:$G,'Daily Inward'!$C:$C,$B221,'Daily Inward'!$E:$E,"Non Inventory"))</f>
        <v>0</v>
      </c>
      <c r="G221" s="51">
        <f>IF($B221="","",SUMIFS('Daily Issuance'!$G:$G,'Daily Issuance'!$C:$C,$B221,'Daily Issuance'!$E:$E,"Non Inventory"))</f>
        <v>1</v>
      </c>
      <c r="H221" s="51">
        <f t="shared" si="6"/>
        <v>6</v>
      </c>
      <c r="I221" s="187">
        <v>175</v>
      </c>
      <c r="J221" s="188">
        <f t="shared" si="7"/>
        <v>1050</v>
      </c>
      <c r="K221" s="46"/>
    </row>
    <row r="222" spans="1:11" s="24" customFormat="1" ht="23.1" customHeight="1">
      <c r="A222" s="170">
        <f>IF($B222="","",MAX($A$3:A221)+1)</f>
        <v>219</v>
      </c>
      <c r="B222" s="176">
        <v>14315</v>
      </c>
      <c r="C222" s="177" t="s">
        <v>794</v>
      </c>
      <c r="D222" s="285" t="s">
        <v>112</v>
      </c>
      <c r="E222" s="281">
        <v>1</v>
      </c>
      <c r="F222" s="283">
        <f>IF($B222="","",SUMIFS('Daily Inward'!$G:$G,'Daily Inward'!$C:$C,$B222,'Daily Inward'!$E:$E,"Non Inventory"))</f>
        <v>0</v>
      </c>
      <c r="G222" s="51">
        <f>IF($B222="","",SUMIFS('Daily Issuance'!$G:$G,'Daily Issuance'!$C:$C,$B222,'Daily Issuance'!$E:$E,"Non Inventory"))</f>
        <v>0</v>
      </c>
      <c r="H222" s="51">
        <f t="shared" si="6"/>
        <v>1</v>
      </c>
      <c r="I222" s="187">
        <v>175</v>
      </c>
      <c r="J222" s="188">
        <f t="shared" si="7"/>
        <v>175</v>
      </c>
      <c r="K222" s="46"/>
    </row>
    <row r="223" spans="1:11" s="24" customFormat="1" ht="23.1" customHeight="1">
      <c r="A223" s="170">
        <f>IF($B223="","",MAX($A$3:A222)+1)</f>
        <v>220</v>
      </c>
      <c r="B223" s="176">
        <v>14357</v>
      </c>
      <c r="C223" s="177" t="s">
        <v>795</v>
      </c>
      <c r="D223" s="285" t="s">
        <v>338</v>
      </c>
      <c r="E223" s="281">
        <v>10</v>
      </c>
      <c r="F223" s="283">
        <f>IF($B223="","",SUMIFS('Daily Inward'!$G:$G,'Daily Inward'!$C:$C,$B223,'Daily Inward'!$E:$E,"Non Inventory"))</f>
        <v>0</v>
      </c>
      <c r="G223" s="51">
        <f>IF($B223="","",SUMIFS('Daily Issuance'!$G:$G,'Daily Issuance'!$C:$C,$B223,'Daily Issuance'!$E:$E,"Non Inventory"))</f>
        <v>0</v>
      </c>
      <c r="H223" s="51">
        <f t="shared" si="6"/>
        <v>10</v>
      </c>
      <c r="I223" s="187">
        <v>2240</v>
      </c>
      <c r="J223" s="188">
        <f t="shared" si="7"/>
        <v>22400</v>
      </c>
      <c r="K223" s="46"/>
    </row>
    <row r="224" spans="1:11" s="24" customFormat="1" ht="23.1" customHeight="1">
      <c r="A224" s="170">
        <f>IF($B224="","",MAX($A$3:A223)+1)</f>
        <v>221</v>
      </c>
      <c r="B224" s="176">
        <v>14423</v>
      </c>
      <c r="C224" s="177" t="s">
        <v>796</v>
      </c>
      <c r="D224" s="285" t="s">
        <v>112</v>
      </c>
      <c r="E224" s="281">
        <v>2</v>
      </c>
      <c r="F224" s="283">
        <f>IF($B224="","",SUMIFS('Daily Inward'!$G:$G,'Daily Inward'!$C:$C,$B224,'Daily Inward'!$E:$E,"Non Inventory"))</f>
        <v>0</v>
      </c>
      <c r="G224" s="51">
        <f>IF($B224="","",SUMIFS('Daily Issuance'!$G:$G,'Daily Issuance'!$C:$C,$B224,'Daily Issuance'!$E:$E,"Non Inventory"))</f>
        <v>0</v>
      </c>
      <c r="H224" s="51">
        <f t="shared" si="6"/>
        <v>2</v>
      </c>
      <c r="I224" s="187">
        <v>155</v>
      </c>
      <c r="J224" s="188">
        <f t="shared" si="7"/>
        <v>310</v>
      </c>
      <c r="K224" s="46"/>
    </row>
    <row r="225" spans="1:11" s="24" customFormat="1" ht="23.1" customHeight="1">
      <c r="A225" s="170">
        <f>IF($B225="","",MAX($A$3:A224)+1)</f>
        <v>222</v>
      </c>
      <c r="B225" s="176">
        <v>14458</v>
      </c>
      <c r="C225" s="177" t="s">
        <v>797</v>
      </c>
      <c r="D225" s="285" t="s">
        <v>672</v>
      </c>
      <c r="E225" s="281">
        <v>100</v>
      </c>
      <c r="F225" s="283">
        <f>IF($B225="","",SUMIFS('Daily Inward'!$G:$G,'Daily Inward'!$C:$C,$B225,'Daily Inward'!$E:$E,"Non Inventory"))</f>
        <v>0</v>
      </c>
      <c r="G225" s="51">
        <f>IF($B225="","",SUMIFS('Daily Issuance'!$G:$G,'Daily Issuance'!$C:$C,$B225,'Daily Issuance'!$E:$E,"Non Inventory"))</f>
        <v>0</v>
      </c>
      <c r="H225" s="51">
        <f t="shared" si="6"/>
        <v>100</v>
      </c>
      <c r="I225" s="187">
        <v>950</v>
      </c>
      <c r="J225" s="188">
        <f t="shared" si="7"/>
        <v>95000</v>
      </c>
      <c r="K225" s="46"/>
    </row>
    <row r="226" spans="1:11" s="24" customFormat="1" ht="23.1" customHeight="1">
      <c r="A226" s="170">
        <f>IF($B226="","",MAX($A$3:A225)+1)</f>
        <v>223</v>
      </c>
      <c r="B226" s="176">
        <v>14470</v>
      </c>
      <c r="C226" s="177" t="s">
        <v>798</v>
      </c>
      <c r="D226" s="285" t="s">
        <v>112</v>
      </c>
      <c r="E226" s="281">
        <v>4</v>
      </c>
      <c r="F226" s="283">
        <f>IF($B226="","",SUMIFS('Daily Inward'!$G:$G,'Daily Inward'!$C:$C,$B226,'Daily Inward'!$E:$E,"Non Inventory"))</f>
        <v>0</v>
      </c>
      <c r="G226" s="51">
        <f>IF($B226="","",SUMIFS('Daily Issuance'!$G:$G,'Daily Issuance'!$C:$C,$B226,'Daily Issuance'!$E:$E,"Non Inventory"))</f>
        <v>0</v>
      </c>
      <c r="H226" s="51">
        <f t="shared" si="6"/>
        <v>4</v>
      </c>
      <c r="I226" s="187">
        <v>22500</v>
      </c>
      <c r="J226" s="188">
        <f t="shared" si="7"/>
        <v>90000</v>
      </c>
      <c r="K226" s="46"/>
    </row>
    <row r="227" spans="1:11" s="24" customFormat="1" ht="23.1" customHeight="1">
      <c r="A227" s="170">
        <f>IF($B227="","",MAX($A$3:A226)+1)</f>
        <v>224</v>
      </c>
      <c r="B227" s="176">
        <v>14545</v>
      </c>
      <c r="C227" s="177" t="s">
        <v>799</v>
      </c>
      <c r="D227" s="285" t="s">
        <v>112</v>
      </c>
      <c r="E227" s="281">
        <v>0</v>
      </c>
      <c r="F227" s="283">
        <f>IF($B227="","",SUMIFS('Daily Inward'!$G:$G,'Daily Inward'!$C:$C,$B227,'Daily Inward'!$E:$E,"Non Inventory"))</f>
        <v>0</v>
      </c>
      <c r="G227" s="51">
        <f>IF($B227="","",SUMIFS('Daily Issuance'!$G:$G,'Daily Issuance'!$C:$C,$B227,'Daily Issuance'!$E:$E,"Non Inventory"))</f>
        <v>0</v>
      </c>
      <c r="H227" s="51">
        <f t="shared" si="6"/>
        <v>0</v>
      </c>
      <c r="I227" s="187">
        <v>1250</v>
      </c>
      <c r="J227" s="188">
        <f t="shared" si="7"/>
        <v>0</v>
      </c>
      <c r="K227" s="46"/>
    </row>
    <row r="228" spans="1:11" s="24" customFormat="1" ht="23.1" customHeight="1">
      <c r="A228" s="170">
        <f>IF($B228="","",MAX($A$3:A227)+1)</f>
        <v>225</v>
      </c>
      <c r="B228" s="176">
        <v>14577</v>
      </c>
      <c r="C228" s="177" t="s">
        <v>800</v>
      </c>
      <c r="D228" s="285" t="s">
        <v>112</v>
      </c>
      <c r="E228" s="281">
        <v>1</v>
      </c>
      <c r="F228" s="283">
        <f>IF($B228="","",SUMIFS('Daily Inward'!$G:$G,'Daily Inward'!$C:$C,$B228,'Daily Inward'!$E:$E,"Non Inventory"))</f>
        <v>0</v>
      </c>
      <c r="G228" s="51">
        <f>IF($B228="","",SUMIFS('Daily Issuance'!$G:$G,'Daily Issuance'!$C:$C,$B228,'Daily Issuance'!$E:$E,"Non Inventory"))</f>
        <v>0</v>
      </c>
      <c r="H228" s="51">
        <f t="shared" si="6"/>
        <v>1</v>
      </c>
      <c r="I228" s="187">
        <v>9800</v>
      </c>
      <c r="J228" s="188">
        <f t="shared" si="7"/>
        <v>9800</v>
      </c>
      <c r="K228" s="46"/>
    </row>
    <row r="229" spans="1:11" s="24" customFormat="1" ht="23.1" customHeight="1">
      <c r="A229" s="170">
        <f>IF($B229="","",MAX($A$3:A228)+1)</f>
        <v>226</v>
      </c>
      <c r="B229" s="176">
        <v>14818</v>
      </c>
      <c r="C229" s="177" t="s">
        <v>801</v>
      </c>
      <c r="D229" s="285" t="s">
        <v>112</v>
      </c>
      <c r="E229" s="281">
        <v>4</v>
      </c>
      <c r="F229" s="283">
        <f>IF($B229="","",SUMIFS('Daily Inward'!$G:$G,'Daily Inward'!$C:$C,$B229,'Daily Inward'!$E:$E,"Non Inventory"))</f>
        <v>0</v>
      </c>
      <c r="G229" s="51">
        <f>IF($B229="","",SUMIFS('Daily Issuance'!$G:$G,'Daily Issuance'!$C:$C,$B229,'Daily Issuance'!$E:$E,"Non Inventory"))</f>
        <v>0</v>
      </c>
      <c r="H229" s="51">
        <f t="shared" si="6"/>
        <v>4</v>
      </c>
      <c r="I229" s="187">
        <v>450</v>
      </c>
      <c r="J229" s="188">
        <f t="shared" si="7"/>
        <v>1800</v>
      </c>
      <c r="K229" s="46"/>
    </row>
    <row r="230" spans="1:11" s="24" customFormat="1" ht="23.1" customHeight="1">
      <c r="A230" s="170">
        <f>IF($B230="","",MAX($A$3:A229)+1)</f>
        <v>227</v>
      </c>
      <c r="B230" s="176">
        <v>15228</v>
      </c>
      <c r="C230" s="177" t="s">
        <v>802</v>
      </c>
      <c r="D230" s="285" t="s">
        <v>112</v>
      </c>
      <c r="E230" s="281">
        <v>2</v>
      </c>
      <c r="F230" s="283">
        <f>IF($B230="","",SUMIFS('Daily Inward'!$G:$G,'Daily Inward'!$C:$C,$B230,'Daily Inward'!$E:$E,"Non Inventory"))</f>
        <v>0</v>
      </c>
      <c r="G230" s="51">
        <f>IF($B230="","",SUMIFS('Daily Issuance'!$G:$G,'Daily Issuance'!$C:$C,$B230,'Daily Issuance'!$E:$E,"Non Inventory"))</f>
        <v>0</v>
      </c>
      <c r="H230" s="51">
        <f t="shared" si="6"/>
        <v>2</v>
      </c>
      <c r="I230" s="187">
        <v>5995</v>
      </c>
      <c r="J230" s="188">
        <f t="shared" si="7"/>
        <v>11990</v>
      </c>
      <c r="K230" s="46"/>
    </row>
    <row r="231" spans="1:11" s="24" customFormat="1" ht="23.1" customHeight="1">
      <c r="A231" s="170">
        <f>IF($B231="","",MAX($A$3:A230)+1)</f>
        <v>228</v>
      </c>
      <c r="B231" s="176">
        <v>15229</v>
      </c>
      <c r="C231" s="177" t="s">
        <v>803</v>
      </c>
      <c r="D231" s="285" t="s">
        <v>112</v>
      </c>
      <c r="E231" s="281">
        <v>7</v>
      </c>
      <c r="F231" s="283">
        <f>IF($B231="","",SUMIFS('Daily Inward'!$G:$G,'Daily Inward'!$C:$C,$B231,'Daily Inward'!$E:$E,"Non Inventory"))</f>
        <v>0</v>
      </c>
      <c r="G231" s="51">
        <f>IF($B231="","",SUMIFS('Daily Issuance'!$G:$G,'Daily Issuance'!$C:$C,$B231,'Daily Issuance'!$E:$E,"Non Inventory"))</f>
        <v>0</v>
      </c>
      <c r="H231" s="51">
        <f t="shared" si="6"/>
        <v>7</v>
      </c>
      <c r="I231" s="187">
        <v>2000</v>
      </c>
      <c r="J231" s="188">
        <f t="shared" si="7"/>
        <v>14000</v>
      </c>
      <c r="K231" s="46"/>
    </row>
    <row r="232" spans="1:11" s="24" customFormat="1" ht="23.1" customHeight="1">
      <c r="A232" s="170">
        <f>IF($B232="","",MAX($A$3:A231)+1)</f>
        <v>229</v>
      </c>
      <c r="B232" s="176">
        <v>15342</v>
      </c>
      <c r="C232" s="177" t="s">
        <v>804</v>
      </c>
      <c r="D232" s="285" t="s">
        <v>112</v>
      </c>
      <c r="E232" s="281">
        <v>15</v>
      </c>
      <c r="F232" s="283">
        <f>IF($B232="","",SUMIFS('Daily Inward'!$G:$G,'Daily Inward'!$C:$C,$B232,'Daily Inward'!$E:$E,"Non Inventory"))</f>
        <v>0</v>
      </c>
      <c r="G232" s="51">
        <f>IF($B232="","",SUMIFS('Daily Issuance'!$G:$G,'Daily Issuance'!$C:$C,$B232,'Daily Issuance'!$E:$E,"Non Inventory"))</f>
        <v>0</v>
      </c>
      <c r="H232" s="51">
        <f t="shared" si="6"/>
        <v>15</v>
      </c>
      <c r="I232" s="187">
        <v>134</v>
      </c>
      <c r="J232" s="188">
        <f t="shared" si="7"/>
        <v>2010</v>
      </c>
      <c r="K232" s="46"/>
    </row>
    <row r="233" spans="1:11" s="24" customFormat="1" ht="23.1" customHeight="1">
      <c r="A233" s="170">
        <f>IF($B233="","",MAX($A$3:A232)+1)</f>
        <v>230</v>
      </c>
      <c r="B233" s="176">
        <v>15343</v>
      </c>
      <c r="C233" s="177" t="s">
        <v>805</v>
      </c>
      <c r="D233" s="285" t="s">
        <v>112</v>
      </c>
      <c r="E233" s="281">
        <v>13</v>
      </c>
      <c r="F233" s="283">
        <f>IF($B233="","",SUMIFS('Daily Inward'!$G:$G,'Daily Inward'!$C:$C,$B233,'Daily Inward'!$E:$E,"Non Inventory"))</f>
        <v>0</v>
      </c>
      <c r="G233" s="51">
        <f>IF($B233="","",SUMIFS('Daily Issuance'!$G:$G,'Daily Issuance'!$C:$C,$B233,'Daily Issuance'!$E:$E,"Non Inventory"))</f>
        <v>0</v>
      </c>
      <c r="H233" s="51">
        <f t="shared" si="6"/>
        <v>13</v>
      </c>
      <c r="I233" s="187">
        <v>156</v>
      </c>
      <c r="J233" s="188">
        <f t="shared" si="7"/>
        <v>2028</v>
      </c>
      <c r="K233" s="46"/>
    </row>
    <row r="234" spans="1:11" s="24" customFormat="1" ht="23.1" customHeight="1">
      <c r="A234" s="170">
        <f>IF($B234="","",MAX($A$3:A233)+1)</f>
        <v>231</v>
      </c>
      <c r="B234" s="176">
        <v>15344</v>
      </c>
      <c r="C234" s="177" t="s">
        <v>806</v>
      </c>
      <c r="D234" s="285" t="s">
        <v>112</v>
      </c>
      <c r="E234" s="281">
        <v>14</v>
      </c>
      <c r="F234" s="283">
        <f>IF($B234="","",SUMIFS('Daily Inward'!$G:$G,'Daily Inward'!$C:$C,$B234,'Daily Inward'!$E:$E,"Non Inventory"))</f>
        <v>0</v>
      </c>
      <c r="G234" s="51">
        <f>IF($B234="","",SUMIFS('Daily Issuance'!$G:$G,'Daily Issuance'!$C:$C,$B234,'Daily Issuance'!$E:$E,"Non Inventory"))</f>
        <v>0</v>
      </c>
      <c r="H234" s="51">
        <f t="shared" si="6"/>
        <v>14</v>
      </c>
      <c r="I234" s="187">
        <v>44</v>
      </c>
      <c r="J234" s="188">
        <f t="shared" si="7"/>
        <v>616</v>
      </c>
      <c r="K234" s="46"/>
    </row>
    <row r="235" spans="1:11" s="24" customFormat="1" ht="23.1" customHeight="1">
      <c r="A235" s="170">
        <f>IF($B235="","",MAX($A$3:A234)+1)</f>
        <v>232</v>
      </c>
      <c r="B235" s="176">
        <v>15370</v>
      </c>
      <c r="C235" s="177" t="s">
        <v>807</v>
      </c>
      <c r="D235" s="285" t="s">
        <v>112</v>
      </c>
      <c r="E235" s="281">
        <v>5</v>
      </c>
      <c r="F235" s="283">
        <f>IF($B235="","",SUMIFS('Daily Inward'!$G:$G,'Daily Inward'!$C:$C,$B235,'Daily Inward'!$E:$E,"Non Inventory"))</f>
        <v>0</v>
      </c>
      <c r="G235" s="51">
        <f>IF($B235="","",SUMIFS('Daily Issuance'!$G:$G,'Daily Issuance'!$C:$C,$B235,'Daily Issuance'!$E:$E,"Non Inventory"))</f>
        <v>0</v>
      </c>
      <c r="H235" s="51">
        <f t="shared" si="6"/>
        <v>5</v>
      </c>
      <c r="I235" s="187">
        <v>3000</v>
      </c>
      <c r="J235" s="188">
        <f t="shared" si="7"/>
        <v>15000</v>
      </c>
      <c r="K235" s="46"/>
    </row>
    <row r="236" spans="1:11" s="24" customFormat="1" ht="23.1" customHeight="1">
      <c r="A236" s="170">
        <f>IF($B236="","",MAX($A$3:A235)+1)</f>
        <v>233</v>
      </c>
      <c r="B236" s="176">
        <v>15474</v>
      </c>
      <c r="C236" s="177" t="s">
        <v>808</v>
      </c>
      <c r="D236" s="285" t="s">
        <v>112</v>
      </c>
      <c r="E236" s="281">
        <v>1</v>
      </c>
      <c r="F236" s="283">
        <f>IF($B236="","",SUMIFS('Daily Inward'!$G:$G,'Daily Inward'!$C:$C,$B236,'Daily Inward'!$E:$E,"Non Inventory"))</f>
        <v>0</v>
      </c>
      <c r="G236" s="51">
        <f>IF($B236="","",SUMIFS('Daily Issuance'!$G:$G,'Daily Issuance'!$C:$C,$B236,'Daily Issuance'!$E:$E,"Non Inventory"))</f>
        <v>0</v>
      </c>
      <c r="H236" s="51">
        <f t="shared" si="6"/>
        <v>1</v>
      </c>
      <c r="I236" s="187">
        <v>166000</v>
      </c>
      <c r="J236" s="188">
        <f t="shared" si="7"/>
        <v>166000</v>
      </c>
      <c r="K236" s="46"/>
    </row>
    <row r="237" spans="1:11" s="24" customFormat="1" ht="23.1" customHeight="1">
      <c r="A237" s="170">
        <f>IF($B237="","",MAX($A$3:A236)+1)</f>
        <v>234</v>
      </c>
      <c r="B237" s="176">
        <v>15475</v>
      </c>
      <c r="C237" s="177" t="s">
        <v>809</v>
      </c>
      <c r="D237" s="285" t="s">
        <v>112</v>
      </c>
      <c r="E237" s="281">
        <v>1</v>
      </c>
      <c r="F237" s="283">
        <f>IF($B237="","",SUMIFS('Daily Inward'!$G:$G,'Daily Inward'!$C:$C,$B237,'Daily Inward'!$E:$E,"Non Inventory"))</f>
        <v>0</v>
      </c>
      <c r="G237" s="51">
        <f>IF($B237="","",SUMIFS('Daily Issuance'!$G:$G,'Daily Issuance'!$C:$C,$B237,'Daily Issuance'!$E:$E,"Non Inventory"))</f>
        <v>0</v>
      </c>
      <c r="H237" s="51">
        <f t="shared" si="6"/>
        <v>1</v>
      </c>
      <c r="I237" s="187">
        <v>56000</v>
      </c>
      <c r="J237" s="188">
        <f t="shared" si="7"/>
        <v>56000</v>
      </c>
      <c r="K237" s="46"/>
    </row>
    <row r="238" spans="1:11" s="24" customFormat="1" ht="23.1" customHeight="1">
      <c r="A238" s="170">
        <f>IF($B238="","",MAX($A$3:A237)+1)</f>
        <v>235</v>
      </c>
      <c r="B238" s="176">
        <v>15490</v>
      </c>
      <c r="C238" s="177" t="s">
        <v>810</v>
      </c>
      <c r="D238" s="285" t="s">
        <v>112</v>
      </c>
      <c r="E238" s="281">
        <v>0</v>
      </c>
      <c r="F238" s="283">
        <f>IF($B238="","",SUMIFS('Daily Inward'!$G:$G,'Daily Inward'!$C:$C,$B238,'Daily Inward'!$E:$E,"Non Inventory"))</f>
        <v>0</v>
      </c>
      <c r="G238" s="51">
        <f>IF($B238="","",SUMIFS('Daily Issuance'!$G:$G,'Daily Issuance'!$C:$C,$B238,'Daily Issuance'!$E:$E,"Non Inventory"))</f>
        <v>0</v>
      </c>
      <c r="H238" s="51">
        <f t="shared" si="6"/>
        <v>0</v>
      </c>
      <c r="I238" s="187">
        <v>12500</v>
      </c>
      <c r="J238" s="188">
        <f t="shared" si="7"/>
        <v>0</v>
      </c>
      <c r="K238" s="46"/>
    </row>
    <row r="239" spans="1:11" s="24" customFormat="1" ht="23.1" customHeight="1">
      <c r="A239" s="170">
        <f>IF($B239="","",MAX($A$3:A238)+1)</f>
        <v>236</v>
      </c>
      <c r="B239" s="176">
        <v>15559</v>
      </c>
      <c r="C239" s="177" t="s">
        <v>811</v>
      </c>
      <c r="D239" s="285" t="s">
        <v>112</v>
      </c>
      <c r="E239" s="281">
        <v>2</v>
      </c>
      <c r="F239" s="283">
        <f>IF($B239="","",SUMIFS('Daily Inward'!$G:$G,'Daily Inward'!$C:$C,$B239,'Daily Inward'!$E:$E,"Non Inventory"))</f>
        <v>0</v>
      </c>
      <c r="G239" s="51">
        <f>IF($B239="","",SUMIFS('Daily Issuance'!$G:$G,'Daily Issuance'!$C:$C,$B239,'Daily Issuance'!$E:$E,"Non Inventory"))</f>
        <v>0</v>
      </c>
      <c r="H239" s="51">
        <f t="shared" si="6"/>
        <v>2</v>
      </c>
      <c r="I239" s="187">
        <v>5000</v>
      </c>
      <c r="J239" s="188">
        <f t="shared" si="7"/>
        <v>10000</v>
      </c>
      <c r="K239" s="46"/>
    </row>
    <row r="240" spans="1:11" s="24" customFormat="1" ht="23.1" customHeight="1">
      <c r="A240" s="170">
        <f>IF($B240="","",MAX($A$3:A239)+1)</f>
        <v>237</v>
      </c>
      <c r="B240" s="176">
        <v>15559</v>
      </c>
      <c r="C240" s="177" t="s">
        <v>811</v>
      </c>
      <c r="D240" s="285" t="s">
        <v>112</v>
      </c>
      <c r="E240" s="281">
        <v>2</v>
      </c>
      <c r="F240" s="283">
        <f>IF($B240="","",SUMIFS('Daily Inward'!$G:$G,'Daily Inward'!$C:$C,$B240,'Daily Inward'!$E:$E,"Non Inventory"))</f>
        <v>0</v>
      </c>
      <c r="G240" s="51">
        <f>IF($B240="","",SUMIFS('Daily Issuance'!$G:$G,'Daily Issuance'!$C:$C,$B240,'Daily Issuance'!$E:$E,"Non Inventory"))</f>
        <v>0</v>
      </c>
      <c r="H240" s="51">
        <f t="shared" si="6"/>
        <v>2</v>
      </c>
      <c r="I240" s="187">
        <v>5000</v>
      </c>
      <c r="J240" s="188">
        <f t="shared" si="7"/>
        <v>10000</v>
      </c>
      <c r="K240" s="46"/>
    </row>
    <row r="241" spans="1:11" s="24" customFormat="1" ht="23.1" customHeight="1">
      <c r="A241" s="170">
        <f>IF($B241="","",MAX($A$3:A240)+1)</f>
        <v>238</v>
      </c>
      <c r="B241" s="176">
        <v>15835</v>
      </c>
      <c r="C241" s="177" t="s">
        <v>812</v>
      </c>
      <c r="D241" s="285" t="s">
        <v>112</v>
      </c>
      <c r="E241" s="281">
        <v>6</v>
      </c>
      <c r="F241" s="283">
        <f>IF($B241="","",SUMIFS('Daily Inward'!$G:$G,'Daily Inward'!$C:$C,$B241,'Daily Inward'!$E:$E,"Non Inventory"))</f>
        <v>0</v>
      </c>
      <c r="G241" s="51">
        <f>IF($B241="","",SUMIFS('Daily Issuance'!$G:$G,'Daily Issuance'!$C:$C,$B241,'Daily Issuance'!$E:$E,"Non Inventory"))</f>
        <v>0</v>
      </c>
      <c r="H241" s="51">
        <f t="shared" si="6"/>
        <v>6</v>
      </c>
      <c r="I241" s="187"/>
      <c r="J241" s="188">
        <f t="shared" si="7"/>
        <v>0</v>
      </c>
      <c r="K241" s="46"/>
    </row>
    <row r="242" spans="1:11" s="24" customFormat="1" ht="23.1" customHeight="1">
      <c r="A242" s="170">
        <f>IF($B242="","",MAX($A$3:A241)+1)</f>
        <v>239</v>
      </c>
      <c r="B242" s="176">
        <v>16002</v>
      </c>
      <c r="C242" s="177" t="s">
        <v>813</v>
      </c>
      <c r="D242" s="285" t="s">
        <v>112</v>
      </c>
      <c r="E242" s="281">
        <v>2</v>
      </c>
      <c r="F242" s="283">
        <f>IF($B242="","",SUMIFS('Daily Inward'!$G:$G,'Daily Inward'!$C:$C,$B242,'Daily Inward'!$E:$E,"Non Inventory"))</f>
        <v>0</v>
      </c>
      <c r="G242" s="51">
        <f>IF($B242="","",SUMIFS('Daily Issuance'!$G:$G,'Daily Issuance'!$C:$C,$B242,'Daily Issuance'!$E:$E,"Non Inventory"))</f>
        <v>0</v>
      </c>
      <c r="H242" s="51">
        <f t="shared" si="6"/>
        <v>2</v>
      </c>
      <c r="I242" s="187">
        <v>550</v>
      </c>
      <c r="J242" s="188">
        <f t="shared" si="7"/>
        <v>1100</v>
      </c>
      <c r="K242" s="46"/>
    </row>
    <row r="243" spans="1:11" s="24" customFormat="1" ht="23.1" customHeight="1">
      <c r="A243" s="170">
        <f>IF($B243="","",MAX($A$3:A242)+1)</f>
        <v>240</v>
      </c>
      <c r="B243" s="176">
        <v>16112</v>
      </c>
      <c r="C243" s="177" t="s">
        <v>814</v>
      </c>
      <c r="D243" s="285" t="s">
        <v>112</v>
      </c>
      <c r="E243" s="281">
        <v>1</v>
      </c>
      <c r="F243" s="283">
        <f>IF($B243="","",SUMIFS('Daily Inward'!$G:$G,'Daily Inward'!$C:$C,$B243,'Daily Inward'!$E:$E,"Non Inventory"))</f>
        <v>0</v>
      </c>
      <c r="G243" s="51">
        <f>IF($B243="","",SUMIFS('Daily Issuance'!$G:$G,'Daily Issuance'!$C:$C,$B243,'Daily Issuance'!$E:$E,"Non Inventory"))</f>
        <v>0</v>
      </c>
      <c r="H243" s="51">
        <f t="shared" si="6"/>
        <v>1</v>
      </c>
      <c r="I243" s="187">
        <v>52000</v>
      </c>
      <c r="J243" s="188">
        <f t="shared" si="7"/>
        <v>52000</v>
      </c>
      <c r="K243" s="46"/>
    </row>
    <row r="244" spans="1:11" s="24" customFormat="1" ht="23.1" customHeight="1">
      <c r="A244" s="170">
        <f>IF($B244="","",MAX($A$3:A243)+1)</f>
        <v>241</v>
      </c>
      <c r="B244" s="176">
        <v>16122</v>
      </c>
      <c r="C244" s="177" t="s">
        <v>815</v>
      </c>
      <c r="D244" s="285" t="s">
        <v>112</v>
      </c>
      <c r="E244" s="281">
        <v>2</v>
      </c>
      <c r="F244" s="283">
        <f>IF($B244="","",SUMIFS('Daily Inward'!$G:$G,'Daily Inward'!$C:$C,$B244,'Daily Inward'!$E:$E,"Non Inventory"))</f>
        <v>0</v>
      </c>
      <c r="G244" s="51">
        <f>IF($B244="","",SUMIFS('Daily Issuance'!$G:$G,'Daily Issuance'!$C:$C,$B244,'Daily Issuance'!$E:$E,"Non Inventory"))</f>
        <v>0</v>
      </c>
      <c r="H244" s="51">
        <f t="shared" si="6"/>
        <v>2</v>
      </c>
      <c r="I244" s="187">
        <v>38000</v>
      </c>
      <c r="J244" s="188">
        <f t="shared" si="7"/>
        <v>76000</v>
      </c>
      <c r="K244" s="46"/>
    </row>
    <row r="245" spans="1:11" s="24" customFormat="1" ht="23.1" customHeight="1">
      <c r="A245" s="170">
        <f>IF($B245="","",MAX($A$3:A244)+1)</f>
        <v>242</v>
      </c>
      <c r="B245" s="176">
        <v>16287</v>
      </c>
      <c r="C245" s="177" t="s">
        <v>816</v>
      </c>
      <c r="D245" s="285" t="s">
        <v>817</v>
      </c>
      <c r="E245" s="281">
        <v>0</v>
      </c>
      <c r="F245" s="283">
        <f>IF($B245="","",SUMIFS('Daily Inward'!$G:$G,'Daily Inward'!$C:$C,$B245,'Daily Inward'!$E:$E,"Non Inventory"))</f>
        <v>0</v>
      </c>
      <c r="G245" s="51">
        <f>IF($B245="","",SUMIFS('Daily Issuance'!$G:$G,'Daily Issuance'!$C:$C,$B245,'Daily Issuance'!$E:$E,"Non Inventory"))</f>
        <v>0</v>
      </c>
      <c r="H245" s="51">
        <f t="shared" si="6"/>
        <v>0</v>
      </c>
      <c r="I245" s="187">
        <v>250</v>
      </c>
      <c r="J245" s="188">
        <f t="shared" si="7"/>
        <v>0</v>
      </c>
      <c r="K245" s="46"/>
    </row>
    <row r="246" spans="1:11" s="24" customFormat="1" ht="23.1" customHeight="1">
      <c r="A246" s="170">
        <f>IF($B246="","",MAX($A$3:A245)+1)</f>
        <v>243</v>
      </c>
      <c r="B246" s="176">
        <v>16299</v>
      </c>
      <c r="C246" s="177" t="s">
        <v>818</v>
      </c>
      <c r="D246" s="285" t="s">
        <v>338</v>
      </c>
      <c r="E246" s="281">
        <v>23</v>
      </c>
      <c r="F246" s="283">
        <f>IF($B246="","",SUMIFS('Daily Inward'!$G:$G,'Daily Inward'!$C:$C,$B246,'Daily Inward'!$E:$E,"Non Inventory"))</f>
        <v>0</v>
      </c>
      <c r="G246" s="51">
        <f>IF($B246="","",SUMIFS('Daily Issuance'!$G:$G,'Daily Issuance'!$C:$C,$B246,'Daily Issuance'!$E:$E,"Non Inventory"))</f>
        <v>0</v>
      </c>
      <c r="H246" s="51">
        <f t="shared" si="6"/>
        <v>23</v>
      </c>
      <c r="I246" s="187">
        <v>700</v>
      </c>
      <c r="J246" s="188">
        <f t="shared" si="7"/>
        <v>16100</v>
      </c>
      <c r="K246" s="46"/>
    </row>
    <row r="247" spans="1:11" s="24" customFormat="1" ht="23.1" customHeight="1">
      <c r="A247" s="170">
        <f>IF($B247="","",MAX($A$3:A246)+1)</f>
        <v>244</v>
      </c>
      <c r="B247" s="176">
        <v>16326</v>
      </c>
      <c r="C247" s="177" t="s">
        <v>819</v>
      </c>
      <c r="D247" s="285" t="s">
        <v>112</v>
      </c>
      <c r="E247" s="281">
        <v>3</v>
      </c>
      <c r="F247" s="283">
        <f>IF($B247="","",SUMIFS('Daily Inward'!$G:$G,'Daily Inward'!$C:$C,$B247,'Daily Inward'!$E:$E,"Non Inventory"))</f>
        <v>0</v>
      </c>
      <c r="G247" s="51">
        <f>IF($B247="","",SUMIFS('Daily Issuance'!$G:$G,'Daily Issuance'!$C:$C,$B247,'Daily Issuance'!$E:$E,"Non Inventory"))</f>
        <v>0</v>
      </c>
      <c r="H247" s="51">
        <f t="shared" si="6"/>
        <v>3</v>
      </c>
      <c r="I247" s="187">
        <v>762</v>
      </c>
      <c r="J247" s="188">
        <f t="shared" si="7"/>
        <v>2286</v>
      </c>
      <c r="K247" s="46"/>
    </row>
    <row r="248" spans="1:11" s="24" customFormat="1" ht="23.1" customHeight="1">
      <c r="A248" s="170">
        <f>IF($B248="","",MAX($A$3:A247)+1)</f>
        <v>245</v>
      </c>
      <c r="B248" s="176">
        <v>16327</v>
      </c>
      <c r="C248" s="177" t="s">
        <v>820</v>
      </c>
      <c r="D248" s="285" t="s">
        <v>112</v>
      </c>
      <c r="E248" s="281">
        <v>4</v>
      </c>
      <c r="F248" s="283">
        <f>IF($B248="","",SUMIFS('Daily Inward'!$G:$G,'Daily Inward'!$C:$C,$B248,'Daily Inward'!$E:$E,"Non Inventory"))</f>
        <v>0</v>
      </c>
      <c r="G248" s="51">
        <f>IF($B248="","",SUMIFS('Daily Issuance'!$G:$G,'Daily Issuance'!$C:$C,$B248,'Daily Issuance'!$E:$E,"Non Inventory"))</f>
        <v>0</v>
      </c>
      <c r="H248" s="51">
        <f t="shared" si="6"/>
        <v>4</v>
      </c>
      <c r="I248" s="187">
        <v>1612</v>
      </c>
      <c r="J248" s="188">
        <f t="shared" si="7"/>
        <v>6448</v>
      </c>
      <c r="K248" s="46"/>
    </row>
    <row r="249" spans="1:11" s="24" customFormat="1" ht="23.1" customHeight="1">
      <c r="A249" s="170">
        <f>IF($B249="","",MAX($A$3:A248)+1)</f>
        <v>246</v>
      </c>
      <c r="B249" s="176">
        <v>16328</v>
      </c>
      <c r="C249" s="177" t="s">
        <v>821</v>
      </c>
      <c r="D249" s="285" t="s">
        <v>112</v>
      </c>
      <c r="E249" s="281">
        <v>3</v>
      </c>
      <c r="F249" s="283">
        <f>IF($B249="","",SUMIFS('Daily Inward'!$G:$G,'Daily Inward'!$C:$C,$B249,'Daily Inward'!$E:$E,"Non Inventory"))</f>
        <v>0</v>
      </c>
      <c r="G249" s="51">
        <f>IF($B249="","",SUMIFS('Daily Issuance'!$G:$G,'Daily Issuance'!$C:$C,$B249,'Daily Issuance'!$E:$E,"Non Inventory"))</f>
        <v>0</v>
      </c>
      <c r="H249" s="51">
        <f t="shared" si="6"/>
        <v>3</v>
      </c>
      <c r="I249" s="187">
        <v>956</v>
      </c>
      <c r="J249" s="188">
        <f t="shared" si="7"/>
        <v>2868</v>
      </c>
      <c r="K249" s="46"/>
    </row>
    <row r="250" spans="1:11" s="24" customFormat="1" ht="23.1" customHeight="1">
      <c r="A250" s="170">
        <f>IF($B250="","",MAX($A$3:A249)+1)</f>
        <v>247</v>
      </c>
      <c r="B250" s="176">
        <v>16329</v>
      </c>
      <c r="C250" s="177" t="s">
        <v>822</v>
      </c>
      <c r="D250" s="285" t="s">
        <v>112</v>
      </c>
      <c r="E250" s="281">
        <v>6</v>
      </c>
      <c r="F250" s="283">
        <f>IF($B250="","",SUMIFS('Daily Inward'!$G:$G,'Daily Inward'!$C:$C,$B250,'Daily Inward'!$E:$E,"Non Inventory"))</f>
        <v>0</v>
      </c>
      <c r="G250" s="51">
        <f>IF($B250="","",SUMIFS('Daily Issuance'!$G:$G,'Daily Issuance'!$C:$C,$B250,'Daily Issuance'!$E:$E,"Non Inventory"))</f>
        <v>0</v>
      </c>
      <c r="H250" s="51">
        <f t="shared" si="6"/>
        <v>6</v>
      </c>
      <c r="I250" s="187">
        <v>554</v>
      </c>
      <c r="J250" s="188">
        <f t="shared" si="7"/>
        <v>3324</v>
      </c>
      <c r="K250" s="46"/>
    </row>
    <row r="251" spans="1:11" s="24" customFormat="1" ht="23.1" customHeight="1">
      <c r="A251" s="170">
        <f>IF($B251="","",MAX($A$3:A250)+1)</f>
        <v>248</v>
      </c>
      <c r="B251" s="176">
        <v>16423</v>
      </c>
      <c r="C251" s="177" t="s">
        <v>823</v>
      </c>
      <c r="D251" s="285" t="s">
        <v>112</v>
      </c>
      <c r="E251" s="281">
        <v>281</v>
      </c>
      <c r="F251" s="283">
        <f>IF($B251="","",SUMIFS('Daily Inward'!$G:$G,'Daily Inward'!$C:$C,$B251,'Daily Inward'!$E:$E,"Non Inventory"))</f>
        <v>0</v>
      </c>
      <c r="G251" s="51">
        <f>IF($B251="","",SUMIFS('Daily Issuance'!$G:$G,'Daily Issuance'!$C:$C,$B251,'Daily Issuance'!$E:$E,"Non Inventory"))</f>
        <v>0</v>
      </c>
      <c r="H251" s="51">
        <f t="shared" si="6"/>
        <v>281</v>
      </c>
      <c r="I251" s="187">
        <v>2.5</v>
      </c>
      <c r="J251" s="188">
        <f t="shared" si="7"/>
        <v>702.5</v>
      </c>
      <c r="K251" s="46"/>
    </row>
    <row r="252" spans="1:11" s="24" customFormat="1" ht="23.1" customHeight="1">
      <c r="A252" s="170">
        <f>IF($B252="","",MAX($A$3:A251)+1)</f>
        <v>249</v>
      </c>
      <c r="B252" s="176">
        <v>16569</v>
      </c>
      <c r="C252" s="177" t="s">
        <v>824</v>
      </c>
      <c r="D252" s="285" t="s">
        <v>112</v>
      </c>
      <c r="E252" s="281">
        <v>5</v>
      </c>
      <c r="F252" s="283">
        <f>IF($B252="","",SUMIFS('Daily Inward'!$G:$G,'Daily Inward'!$C:$C,$B252,'Daily Inward'!$E:$E,"Non Inventory"))</f>
        <v>0</v>
      </c>
      <c r="G252" s="51">
        <f>IF($B252="","",SUMIFS('Daily Issuance'!$G:$G,'Daily Issuance'!$C:$C,$B252,'Daily Issuance'!$E:$E,"Non Inventory"))</f>
        <v>0</v>
      </c>
      <c r="H252" s="51">
        <f t="shared" si="6"/>
        <v>5</v>
      </c>
      <c r="I252" s="187">
        <v>440</v>
      </c>
      <c r="J252" s="188">
        <f t="shared" si="7"/>
        <v>2200</v>
      </c>
      <c r="K252" s="46"/>
    </row>
    <row r="253" spans="1:11" s="24" customFormat="1" ht="23.1" customHeight="1">
      <c r="A253" s="170">
        <f>IF($B253="","",MAX($A$3:A252)+1)</f>
        <v>250</v>
      </c>
      <c r="B253" s="176">
        <v>16570</v>
      </c>
      <c r="C253" s="177" t="s">
        <v>825</v>
      </c>
      <c r="D253" s="285" t="s">
        <v>112</v>
      </c>
      <c r="E253" s="281">
        <v>1</v>
      </c>
      <c r="F253" s="283">
        <f>IF($B253="","",SUMIFS('Daily Inward'!$G:$G,'Daily Inward'!$C:$C,$B253,'Daily Inward'!$E:$E,"Non Inventory"))</f>
        <v>0</v>
      </c>
      <c r="G253" s="51">
        <f>IF($B253="","",SUMIFS('Daily Issuance'!$G:$G,'Daily Issuance'!$C:$C,$B253,'Daily Issuance'!$E:$E,"Non Inventory"))</f>
        <v>0</v>
      </c>
      <c r="H253" s="51">
        <f t="shared" si="6"/>
        <v>1</v>
      </c>
      <c r="I253" s="187">
        <v>246491</v>
      </c>
      <c r="J253" s="188">
        <f t="shared" si="7"/>
        <v>246491</v>
      </c>
      <c r="K253" s="46"/>
    </row>
    <row r="254" spans="1:11" s="24" customFormat="1" ht="23.1" customHeight="1">
      <c r="A254" s="170">
        <f>IF($B254="","",MAX($A$3:A253)+1)</f>
        <v>251</v>
      </c>
      <c r="B254" s="176">
        <v>16581</v>
      </c>
      <c r="C254" s="177" t="s">
        <v>826</v>
      </c>
      <c r="D254" s="285" t="s">
        <v>112</v>
      </c>
      <c r="E254" s="281">
        <v>1</v>
      </c>
      <c r="F254" s="283">
        <f>IF($B254="","",SUMIFS('Daily Inward'!$G:$G,'Daily Inward'!$C:$C,$B254,'Daily Inward'!$E:$E,"Non Inventory"))</f>
        <v>0</v>
      </c>
      <c r="G254" s="51">
        <f>IF($B254="","",SUMIFS('Daily Issuance'!$G:$G,'Daily Issuance'!$C:$C,$B254,'Daily Issuance'!$E:$E,"Non Inventory"))</f>
        <v>0</v>
      </c>
      <c r="H254" s="51">
        <f t="shared" si="6"/>
        <v>1</v>
      </c>
      <c r="I254" s="187">
        <v>1900</v>
      </c>
      <c r="J254" s="188">
        <f t="shared" si="7"/>
        <v>1900</v>
      </c>
      <c r="K254" s="46"/>
    </row>
    <row r="255" spans="1:11" s="24" customFormat="1" ht="23.1" customHeight="1">
      <c r="A255" s="170">
        <f>IF($B255="","",MAX($A$3:A254)+1)</f>
        <v>252</v>
      </c>
      <c r="B255" s="176">
        <v>16641</v>
      </c>
      <c r="C255" s="177" t="s">
        <v>827</v>
      </c>
      <c r="D255" s="285" t="s">
        <v>112</v>
      </c>
      <c r="E255" s="281">
        <v>1</v>
      </c>
      <c r="F255" s="283">
        <f>IF($B255="","",SUMIFS('Daily Inward'!$G:$G,'Daily Inward'!$C:$C,$B255,'Daily Inward'!$E:$E,"Non Inventory"))</f>
        <v>0</v>
      </c>
      <c r="G255" s="51">
        <f>IF($B255="","",SUMIFS('Daily Issuance'!$G:$G,'Daily Issuance'!$C:$C,$B255,'Daily Issuance'!$E:$E,"Non Inventory"))</f>
        <v>0</v>
      </c>
      <c r="H255" s="51">
        <f t="shared" si="6"/>
        <v>1</v>
      </c>
      <c r="I255" s="187">
        <v>5800</v>
      </c>
      <c r="J255" s="188">
        <f t="shared" si="7"/>
        <v>5800</v>
      </c>
      <c r="K255" s="46"/>
    </row>
    <row r="256" spans="1:11" s="24" customFormat="1" ht="23.1" customHeight="1">
      <c r="A256" s="170">
        <f>IF($B256="","",MAX($A$3:A255)+1)</f>
        <v>253</v>
      </c>
      <c r="B256" s="176">
        <v>16688</v>
      </c>
      <c r="C256" s="177" t="s">
        <v>828</v>
      </c>
      <c r="D256" s="285" t="s">
        <v>112</v>
      </c>
      <c r="E256" s="281">
        <v>4</v>
      </c>
      <c r="F256" s="283">
        <f>IF($B256="","",SUMIFS('Daily Inward'!$G:$G,'Daily Inward'!$C:$C,$B256,'Daily Inward'!$E:$E,"Non Inventory"))</f>
        <v>0</v>
      </c>
      <c r="G256" s="51">
        <f>IF($B256="","",SUMIFS('Daily Issuance'!$G:$G,'Daily Issuance'!$C:$C,$B256,'Daily Issuance'!$E:$E,"Non Inventory"))</f>
        <v>0</v>
      </c>
      <c r="H256" s="51">
        <f t="shared" si="6"/>
        <v>4</v>
      </c>
      <c r="I256" s="187">
        <v>10500</v>
      </c>
      <c r="J256" s="188">
        <f t="shared" si="7"/>
        <v>42000</v>
      </c>
      <c r="K256" s="46"/>
    </row>
    <row r="257" spans="1:11" s="24" customFormat="1" ht="23.1" customHeight="1">
      <c r="A257" s="170">
        <f>IF($B257="","",MAX($A$3:A256)+1)</f>
        <v>254</v>
      </c>
      <c r="B257" s="176">
        <v>16689</v>
      </c>
      <c r="C257" s="177" t="s">
        <v>829</v>
      </c>
      <c r="D257" s="285" t="s">
        <v>112</v>
      </c>
      <c r="E257" s="281">
        <v>2</v>
      </c>
      <c r="F257" s="283">
        <f>IF($B257="","",SUMIFS('Daily Inward'!$G:$G,'Daily Inward'!$C:$C,$B257,'Daily Inward'!$E:$E,"Non Inventory"))</f>
        <v>0</v>
      </c>
      <c r="G257" s="51">
        <f>IF($B257="","",SUMIFS('Daily Issuance'!$G:$G,'Daily Issuance'!$C:$C,$B257,'Daily Issuance'!$E:$E,"Non Inventory"))</f>
        <v>0</v>
      </c>
      <c r="H257" s="51">
        <f t="shared" si="6"/>
        <v>2</v>
      </c>
      <c r="I257" s="187">
        <v>4500</v>
      </c>
      <c r="J257" s="188">
        <f t="shared" si="7"/>
        <v>9000</v>
      </c>
      <c r="K257" s="46"/>
    </row>
    <row r="258" spans="1:11" s="24" customFormat="1" ht="23.1" customHeight="1">
      <c r="A258" s="170">
        <f>IF($B258="","",MAX($A$3:A257)+1)</f>
        <v>255</v>
      </c>
      <c r="B258" s="176">
        <v>16691</v>
      </c>
      <c r="C258" s="177" t="s">
        <v>830</v>
      </c>
      <c r="D258" s="285" t="s">
        <v>112</v>
      </c>
      <c r="E258" s="281">
        <v>1</v>
      </c>
      <c r="F258" s="283">
        <f>IF($B258="","",SUMIFS('Daily Inward'!$G:$G,'Daily Inward'!$C:$C,$B258,'Daily Inward'!$E:$E,"Non Inventory"))</f>
        <v>0</v>
      </c>
      <c r="G258" s="51">
        <f>IF($B258="","",SUMIFS('Daily Issuance'!$G:$G,'Daily Issuance'!$C:$C,$B258,'Daily Issuance'!$E:$E,"Non Inventory"))</f>
        <v>0</v>
      </c>
      <c r="H258" s="51">
        <f t="shared" si="6"/>
        <v>1</v>
      </c>
      <c r="I258" s="187">
        <v>34500</v>
      </c>
      <c r="J258" s="188">
        <f t="shared" si="7"/>
        <v>34500</v>
      </c>
      <c r="K258" s="46"/>
    </row>
    <row r="259" spans="1:11" s="24" customFormat="1" ht="23.1" customHeight="1">
      <c r="A259" s="170">
        <f>IF($B259="","",MAX($A$3:A258)+1)</f>
        <v>256</v>
      </c>
      <c r="B259" s="176">
        <v>16780</v>
      </c>
      <c r="C259" s="177" t="s">
        <v>831</v>
      </c>
      <c r="D259" s="285" t="s">
        <v>112</v>
      </c>
      <c r="E259" s="281">
        <v>20</v>
      </c>
      <c r="F259" s="283">
        <f>IF($B259="","",SUMIFS('Daily Inward'!$G:$G,'Daily Inward'!$C:$C,$B259,'Daily Inward'!$E:$E,"Non Inventory"))</f>
        <v>0</v>
      </c>
      <c r="G259" s="51">
        <f>IF($B259="","",SUMIFS('Daily Issuance'!$G:$G,'Daily Issuance'!$C:$C,$B259,'Daily Issuance'!$E:$E,"Non Inventory"))</f>
        <v>3</v>
      </c>
      <c r="H259" s="51">
        <f t="shared" si="6"/>
        <v>17</v>
      </c>
      <c r="I259" s="187">
        <v>250</v>
      </c>
      <c r="J259" s="188">
        <f t="shared" si="7"/>
        <v>4250</v>
      </c>
      <c r="K259" s="46"/>
    </row>
    <row r="260" spans="1:11" s="24" customFormat="1" ht="23.1" customHeight="1">
      <c r="A260" s="170">
        <f>IF($B260="","",MAX($A$3:A259)+1)</f>
        <v>257</v>
      </c>
      <c r="B260" s="176">
        <v>16841</v>
      </c>
      <c r="C260" s="177" t="s">
        <v>832</v>
      </c>
      <c r="D260" s="285" t="s">
        <v>112</v>
      </c>
      <c r="E260" s="281">
        <v>27</v>
      </c>
      <c r="F260" s="283">
        <f>IF($B260="","",SUMIFS('Daily Inward'!$G:$G,'Daily Inward'!$C:$C,$B260,'Daily Inward'!$E:$E,"Non Inventory"))</f>
        <v>0</v>
      </c>
      <c r="G260" s="51">
        <f>IF($B260="","",SUMIFS('Daily Issuance'!$G:$G,'Daily Issuance'!$C:$C,$B260,'Daily Issuance'!$E:$E,"Non Inventory"))</f>
        <v>0</v>
      </c>
      <c r="H260" s="51">
        <f t="shared" ref="H260:H323" si="8">IF($B260="","",N(E260)+N(F260)-N(G260))</f>
        <v>27</v>
      </c>
      <c r="I260" s="187">
        <v>45</v>
      </c>
      <c r="J260" s="188">
        <f t="shared" ref="J260:J323" si="9">IF($B260="","",H260*I260)</f>
        <v>1215</v>
      </c>
      <c r="K260" s="46"/>
    </row>
    <row r="261" spans="1:11" s="24" customFormat="1" ht="23.1" customHeight="1">
      <c r="A261" s="170">
        <f>IF($B261="","",MAX($A$3:A260)+1)</f>
        <v>258</v>
      </c>
      <c r="B261" s="176">
        <v>16937</v>
      </c>
      <c r="C261" s="177" t="s">
        <v>833</v>
      </c>
      <c r="D261" s="285" t="s">
        <v>112</v>
      </c>
      <c r="E261" s="281">
        <v>1</v>
      </c>
      <c r="F261" s="283">
        <f>IF($B261="","",SUMIFS('Daily Inward'!$G:$G,'Daily Inward'!$C:$C,$B261,'Daily Inward'!$E:$E,"Non Inventory"))</f>
        <v>0</v>
      </c>
      <c r="G261" s="51">
        <f>IF($B261="","",SUMIFS('Daily Issuance'!$G:$G,'Daily Issuance'!$C:$C,$B261,'Daily Issuance'!$E:$E,"Non Inventory"))</f>
        <v>0</v>
      </c>
      <c r="H261" s="51">
        <f t="shared" si="8"/>
        <v>1</v>
      </c>
      <c r="I261" s="187">
        <v>26500</v>
      </c>
      <c r="J261" s="188">
        <f t="shared" si="9"/>
        <v>26500</v>
      </c>
      <c r="K261" s="46"/>
    </row>
    <row r="262" spans="1:11" s="24" customFormat="1" ht="23.1" customHeight="1">
      <c r="A262" s="170">
        <f>IF($B262="","",MAX($A$3:A261)+1)</f>
        <v>259</v>
      </c>
      <c r="B262" s="176">
        <v>16943</v>
      </c>
      <c r="C262" s="177" t="s">
        <v>834</v>
      </c>
      <c r="D262" s="285" t="s">
        <v>112</v>
      </c>
      <c r="E262" s="281">
        <v>1</v>
      </c>
      <c r="F262" s="283">
        <f>IF($B262="","",SUMIFS('Daily Inward'!$G:$G,'Daily Inward'!$C:$C,$B262,'Daily Inward'!$E:$E,"Non Inventory"))</f>
        <v>0</v>
      </c>
      <c r="G262" s="51">
        <f>IF($B262="","",SUMIFS('Daily Issuance'!$G:$G,'Daily Issuance'!$C:$C,$B262,'Daily Issuance'!$E:$E,"Non Inventory"))</f>
        <v>0</v>
      </c>
      <c r="H262" s="51">
        <f t="shared" si="8"/>
        <v>1</v>
      </c>
      <c r="I262" s="187">
        <v>3125</v>
      </c>
      <c r="J262" s="188">
        <f t="shared" si="9"/>
        <v>3125</v>
      </c>
      <c r="K262" s="46"/>
    </row>
    <row r="263" spans="1:11" s="24" customFormat="1" ht="23.1" customHeight="1">
      <c r="A263" s="170">
        <f>IF($B263="","",MAX($A$3:A262)+1)</f>
        <v>260</v>
      </c>
      <c r="B263" s="176">
        <v>17092</v>
      </c>
      <c r="C263" s="177" t="s">
        <v>835</v>
      </c>
      <c r="D263" s="285" t="s">
        <v>112</v>
      </c>
      <c r="E263" s="281">
        <v>79</v>
      </c>
      <c r="F263" s="283">
        <f>IF($B263="","",SUMIFS('Daily Inward'!$G:$G,'Daily Inward'!$C:$C,$B263,'Daily Inward'!$E:$E,"Non Inventory"))</f>
        <v>0</v>
      </c>
      <c r="G263" s="51">
        <f>IF($B263="","",SUMIFS('Daily Issuance'!$G:$G,'Daily Issuance'!$C:$C,$B263,'Daily Issuance'!$E:$E,"Non Inventory"))</f>
        <v>0</v>
      </c>
      <c r="H263" s="51">
        <f t="shared" si="8"/>
        <v>79</v>
      </c>
      <c r="I263" s="187">
        <v>40</v>
      </c>
      <c r="J263" s="188">
        <f t="shared" si="9"/>
        <v>3160</v>
      </c>
      <c r="K263" s="46"/>
    </row>
    <row r="264" spans="1:11" s="24" customFormat="1" ht="23.1" customHeight="1">
      <c r="A264" s="170">
        <f>IF($B264="","",MAX($A$3:A263)+1)</f>
        <v>261</v>
      </c>
      <c r="B264" s="176">
        <v>17119</v>
      </c>
      <c r="C264" s="177" t="s">
        <v>836</v>
      </c>
      <c r="D264" s="285" t="s">
        <v>112</v>
      </c>
      <c r="E264" s="281">
        <v>2</v>
      </c>
      <c r="F264" s="283">
        <f>IF($B264="","",SUMIFS('Daily Inward'!$G:$G,'Daily Inward'!$C:$C,$B264,'Daily Inward'!$E:$E,"Non Inventory"))</f>
        <v>0</v>
      </c>
      <c r="G264" s="51">
        <f>IF($B264="","",SUMIFS('Daily Issuance'!$G:$G,'Daily Issuance'!$C:$C,$B264,'Daily Issuance'!$E:$E,"Non Inventory"))</f>
        <v>0</v>
      </c>
      <c r="H264" s="51">
        <f t="shared" si="8"/>
        <v>2</v>
      </c>
      <c r="I264" s="187">
        <v>160</v>
      </c>
      <c r="J264" s="188">
        <f t="shared" si="9"/>
        <v>320</v>
      </c>
      <c r="K264" s="46"/>
    </row>
    <row r="265" spans="1:11" s="24" customFormat="1" ht="23.1" customHeight="1">
      <c r="A265" s="170">
        <f>IF($B265="","",MAX($A$3:A264)+1)</f>
        <v>262</v>
      </c>
      <c r="B265" s="176">
        <v>17299</v>
      </c>
      <c r="C265" s="177" t="s">
        <v>837</v>
      </c>
      <c r="D265" s="285" t="s">
        <v>112</v>
      </c>
      <c r="E265" s="281">
        <v>13</v>
      </c>
      <c r="F265" s="283">
        <f>IF($B265="","",SUMIFS('Daily Inward'!$G:$G,'Daily Inward'!$C:$C,$B265,'Daily Inward'!$E:$E,"Non Inventory"))</f>
        <v>0</v>
      </c>
      <c r="G265" s="51">
        <f>IF($B265="","",SUMIFS('Daily Issuance'!$G:$G,'Daily Issuance'!$C:$C,$B265,'Daily Issuance'!$E:$E,"Non Inventory"))</f>
        <v>1</v>
      </c>
      <c r="H265" s="51">
        <f t="shared" si="8"/>
        <v>12</v>
      </c>
      <c r="I265" s="187">
        <v>300</v>
      </c>
      <c r="J265" s="188">
        <f t="shared" si="9"/>
        <v>3600</v>
      </c>
      <c r="K265" s="46"/>
    </row>
    <row r="266" spans="1:11" s="24" customFormat="1" ht="23.1" customHeight="1">
      <c r="A266" s="170">
        <f>IF($B266="","",MAX($A$3:A265)+1)</f>
        <v>263</v>
      </c>
      <c r="B266" s="176">
        <v>17444</v>
      </c>
      <c r="C266" s="177" t="s">
        <v>838</v>
      </c>
      <c r="D266" s="285" t="s">
        <v>112</v>
      </c>
      <c r="E266" s="281">
        <v>6</v>
      </c>
      <c r="F266" s="283">
        <f>IF($B266="","",SUMIFS('Daily Inward'!$G:$G,'Daily Inward'!$C:$C,$B266,'Daily Inward'!$E:$E,"Non Inventory"))</f>
        <v>0</v>
      </c>
      <c r="G266" s="51">
        <f>IF($B266="","",SUMIFS('Daily Issuance'!$G:$G,'Daily Issuance'!$C:$C,$B266,'Daily Issuance'!$E:$E,"Non Inventory"))</f>
        <v>0</v>
      </c>
      <c r="H266" s="51">
        <f t="shared" si="8"/>
        <v>6</v>
      </c>
      <c r="I266" s="187">
        <v>380</v>
      </c>
      <c r="J266" s="188">
        <f t="shared" si="9"/>
        <v>2280</v>
      </c>
      <c r="K266" s="46"/>
    </row>
    <row r="267" spans="1:11" s="24" customFormat="1" ht="23.1" customHeight="1">
      <c r="A267" s="170">
        <f>IF($B267="","",MAX($A$3:A266)+1)</f>
        <v>264</v>
      </c>
      <c r="B267" s="176">
        <v>17660</v>
      </c>
      <c r="C267" s="177" t="s">
        <v>839</v>
      </c>
      <c r="D267" s="285" t="s">
        <v>112</v>
      </c>
      <c r="E267" s="281">
        <v>2</v>
      </c>
      <c r="F267" s="283">
        <f>IF($B267="","",SUMIFS('Daily Inward'!$G:$G,'Daily Inward'!$C:$C,$B267,'Daily Inward'!$E:$E,"Non Inventory"))</f>
        <v>0</v>
      </c>
      <c r="G267" s="51">
        <f>IF($B267="","",SUMIFS('Daily Issuance'!$G:$G,'Daily Issuance'!$C:$C,$B267,'Daily Issuance'!$E:$E,"Non Inventory"))</f>
        <v>0</v>
      </c>
      <c r="H267" s="51">
        <f t="shared" si="8"/>
        <v>2</v>
      </c>
      <c r="I267" s="187">
        <v>8000</v>
      </c>
      <c r="J267" s="188">
        <f t="shared" si="9"/>
        <v>16000</v>
      </c>
      <c r="K267" s="46"/>
    </row>
    <row r="268" spans="1:11" s="24" customFormat="1" ht="23.1" customHeight="1">
      <c r="A268" s="170">
        <f>IF($B268="","",MAX($A$3:A267)+1)</f>
        <v>265</v>
      </c>
      <c r="B268" s="176">
        <v>17724</v>
      </c>
      <c r="C268" s="177" t="s">
        <v>840</v>
      </c>
      <c r="D268" s="285" t="s">
        <v>112</v>
      </c>
      <c r="E268" s="281">
        <v>11</v>
      </c>
      <c r="F268" s="283">
        <f>IF($B268="","",SUMIFS('Daily Inward'!$G:$G,'Daily Inward'!$C:$C,$B268,'Daily Inward'!$E:$E,"Non Inventory"))</f>
        <v>0</v>
      </c>
      <c r="G268" s="51">
        <f>IF($B268="","",SUMIFS('Daily Issuance'!$G:$G,'Daily Issuance'!$C:$C,$B268,'Daily Issuance'!$E:$E,"Non Inventory"))</f>
        <v>0</v>
      </c>
      <c r="H268" s="51">
        <f t="shared" si="8"/>
        <v>11</v>
      </c>
      <c r="I268" s="187">
        <v>550</v>
      </c>
      <c r="J268" s="188">
        <f t="shared" si="9"/>
        <v>6050</v>
      </c>
      <c r="K268" s="46"/>
    </row>
    <row r="269" spans="1:11" s="24" customFormat="1" ht="23.1" customHeight="1">
      <c r="A269" s="170">
        <f>IF($B269="","",MAX($A$3:A268)+1)</f>
        <v>266</v>
      </c>
      <c r="B269" s="176">
        <v>17862</v>
      </c>
      <c r="C269" s="177" t="s">
        <v>841</v>
      </c>
      <c r="D269" s="285" t="s">
        <v>112</v>
      </c>
      <c r="E269" s="281">
        <v>10</v>
      </c>
      <c r="F269" s="283">
        <f>IF($B269="","",SUMIFS('Daily Inward'!$G:$G,'Daily Inward'!$C:$C,$B269,'Daily Inward'!$E:$E,"Non Inventory"))</f>
        <v>0</v>
      </c>
      <c r="G269" s="51">
        <f>IF($B269="","",SUMIFS('Daily Issuance'!$G:$G,'Daily Issuance'!$C:$C,$B269,'Daily Issuance'!$E:$E,"Non Inventory"))</f>
        <v>0</v>
      </c>
      <c r="H269" s="51">
        <f t="shared" si="8"/>
        <v>10</v>
      </c>
      <c r="I269" s="187">
        <v>382</v>
      </c>
      <c r="J269" s="188">
        <f t="shared" si="9"/>
        <v>3820</v>
      </c>
      <c r="K269" s="46"/>
    </row>
    <row r="270" spans="1:11" s="24" customFormat="1" ht="23.1" customHeight="1">
      <c r="A270" s="170">
        <f>IF($B270="","",MAX($A$3:A269)+1)</f>
        <v>267</v>
      </c>
      <c r="B270" s="176">
        <v>18003</v>
      </c>
      <c r="C270" s="177" t="s">
        <v>842</v>
      </c>
      <c r="D270" s="285" t="s">
        <v>112</v>
      </c>
      <c r="E270" s="281">
        <v>4</v>
      </c>
      <c r="F270" s="283">
        <f>IF($B270="","",SUMIFS('Daily Inward'!$G:$G,'Daily Inward'!$C:$C,$B270,'Daily Inward'!$E:$E,"Non Inventory"))</f>
        <v>0</v>
      </c>
      <c r="G270" s="51">
        <f>IF($B270="","",SUMIFS('Daily Issuance'!$G:$G,'Daily Issuance'!$C:$C,$B270,'Daily Issuance'!$E:$E,"Non Inventory"))</f>
        <v>0</v>
      </c>
      <c r="H270" s="51">
        <f t="shared" si="8"/>
        <v>4</v>
      </c>
      <c r="I270" s="187">
        <v>434</v>
      </c>
      <c r="J270" s="188">
        <f t="shared" si="9"/>
        <v>1736</v>
      </c>
      <c r="K270" s="46"/>
    </row>
    <row r="271" spans="1:11" s="24" customFormat="1" ht="23.1" customHeight="1">
      <c r="A271" s="170">
        <f>IF($B271="","",MAX($A$3:A270)+1)</f>
        <v>268</v>
      </c>
      <c r="B271" s="176">
        <v>18101</v>
      </c>
      <c r="C271" s="177" t="s">
        <v>843</v>
      </c>
      <c r="D271" s="285" t="s">
        <v>112</v>
      </c>
      <c r="E271" s="281">
        <v>6</v>
      </c>
      <c r="F271" s="283">
        <f>IF($B271="","",SUMIFS('Daily Inward'!$G:$G,'Daily Inward'!$C:$C,$B271,'Daily Inward'!$E:$E,"Non Inventory"))</f>
        <v>0</v>
      </c>
      <c r="G271" s="51">
        <f>IF($B271="","",SUMIFS('Daily Issuance'!$G:$G,'Daily Issuance'!$C:$C,$B271,'Daily Issuance'!$E:$E,"Non Inventory"))</f>
        <v>0</v>
      </c>
      <c r="H271" s="51">
        <f t="shared" si="8"/>
        <v>6</v>
      </c>
      <c r="I271" s="187">
        <v>410</v>
      </c>
      <c r="J271" s="188">
        <f t="shared" si="9"/>
        <v>2460</v>
      </c>
      <c r="K271" s="46"/>
    </row>
    <row r="272" spans="1:11" s="24" customFormat="1" ht="23.1" customHeight="1">
      <c r="A272" s="170">
        <f>IF($B272="","",MAX($A$3:A271)+1)</f>
        <v>269</v>
      </c>
      <c r="B272" s="176">
        <v>18183</v>
      </c>
      <c r="C272" s="177" t="s">
        <v>844</v>
      </c>
      <c r="D272" s="285" t="s">
        <v>112</v>
      </c>
      <c r="E272" s="281">
        <v>8</v>
      </c>
      <c r="F272" s="283">
        <f>IF($B272="","",SUMIFS('Daily Inward'!$G:$G,'Daily Inward'!$C:$C,$B272,'Daily Inward'!$E:$E,"Non Inventory"))</f>
        <v>0</v>
      </c>
      <c r="G272" s="51">
        <f>IF($B272="","",SUMIFS('Daily Issuance'!$G:$G,'Daily Issuance'!$C:$C,$B272,'Daily Issuance'!$E:$E,"Non Inventory"))</f>
        <v>0</v>
      </c>
      <c r="H272" s="51">
        <f t="shared" si="8"/>
        <v>8</v>
      </c>
      <c r="I272" s="187">
        <v>219</v>
      </c>
      <c r="J272" s="188">
        <f t="shared" si="9"/>
        <v>1752</v>
      </c>
      <c r="K272" s="46"/>
    </row>
    <row r="273" spans="1:11" s="24" customFormat="1" ht="23.1" customHeight="1">
      <c r="A273" s="170">
        <f>IF($B273="","",MAX($A$3:A272)+1)</f>
        <v>270</v>
      </c>
      <c r="B273" s="176">
        <v>18272</v>
      </c>
      <c r="C273" s="177" t="s">
        <v>845</v>
      </c>
      <c r="D273" s="285" t="s">
        <v>112</v>
      </c>
      <c r="E273" s="281">
        <v>5</v>
      </c>
      <c r="F273" s="283">
        <f>IF($B273="","",SUMIFS('Daily Inward'!$G:$G,'Daily Inward'!$C:$C,$B273,'Daily Inward'!$E:$E,"Non Inventory"))</f>
        <v>0</v>
      </c>
      <c r="G273" s="51">
        <f>IF($B273="","",SUMIFS('Daily Issuance'!$G:$G,'Daily Issuance'!$C:$C,$B273,'Daily Issuance'!$E:$E,"Non Inventory"))</f>
        <v>0</v>
      </c>
      <c r="H273" s="51">
        <f t="shared" si="8"/>
        <v>5</v>
      </c>
      <c r="I273" s="187">
        <v>2550</v>
      </c>
      <c r="J273" s="188">
        <f t="shared" si="9"/>
        <v>12750</v>
      </c>
      <c r="K273" s="46"/>
    </row>
    <row r="274" spans="1:11" s="24" customFormat="1" ht="23.1" customHeight="1">
      <c r="A274" s="170">
        <f>IF($B274="","",MAX($A$3:A273)+1)</f>
        <v>271</v>
      </c>
      <c r="B274" s="176">
        <v>18274</v>
      </c>
      <c r="C274" s="177" t="s">
        <v>846</v>
      </c>
      <c r="D274" s="285" t="s">
        <v>112</v>
      </c>
      <c r="E274" s="281">
        <v>1</v>
      </c>
      <c r="F274" s="283">
        <f>IF($B274="","",SUMIFS('Daily Inward'!$G:$G,'Daily Inward'!$C:$C,$B274,'Daily Inward'!$E:$E,"Non Inventory"))</f>
        <v>0</v>
      </c>
      <c r="G274" s="51">
        <f>IF($B274="","",SUMIFS('Daily Issuance'!$G:$G,'Daily Issuance'!$C:$C,$B274,'Daily Issuance'!$E:$E,"Non Inventory"))</f>
        <v>0</v>
      </c>
      <c r="H274" s="51">
        <f t="shared" si="8"/>
        <v>1</v>
      </c>
      <c r="I274" s="187">
        <v>8050</v>
      </c>
      <c r="J274" s="188">
        <f t="shared" si="9"/>
        <v>8050</v>
      </c>
      <c r="K274" s="46"/>
    </row>
    <row r="275" spans="1:11" s="24" customFormat="1" ht="23.1" customHeight="1">
      <c r="A275" s="170">
        <f>IF($B275="","",MAX($A$3:A274)+1)</f>
        <v>272</v>
      </c>
      <c r="B275" s="176">
        <v>18275</v>
      </c>
      <c r="C275" s="177" t="s">
        <v>847</v>
      </c>
      <c r="D275" s="285" t="s">
        <v>112</v>
      </c>
      <c r="E275" s="281">
        <v>2</v>
      </c>
      <c r="F275" s="283">
        <f>IF($B275="","",SUMIFS('Daily Inward'!$G:$G,'Daily Inward'!$C:$C,$B275,'Daily Inward'!$E:$E,"Non Inventory"))</f>
        <v>0</v>
      </c>
      <c r="G275" s="51">
        <f>IF($B275="","",SUMIFS('Daily Issuance'!$G:$G,'Daily Issuance'!$C:$C,$B275,'Daily Issuance'!$E:$E,"Non Inventory"))</f>
        <v>0</v>
      </c>
      <c r="H275" s="51">
        <f t="shared" si="8"/>
        <v>2</v>
      </c>
      <c r="I275" s="187">
        <v>4275</v>
      </c>
      <c r="J275" s="188">
        <f t="shared" si="9"/>
        <v>8550</v>
      </c>
      <c r="K275" s="46"/>
    </row>
    <row r="276" spans="1:11" s="24" customFormat="1" ht="23.1" customHeight="1">
      <c r="A276" s="170">
        <f>IF($B276="","",MAX($A$3:A275)+1)</f>
        <v>273</v>
      </c>
      <c r="B276" s="176">
        <v>18276</v>
      </c>
      <c r="C276" s="177" t="s">
        <v>848</v>
      </c>
      <c r="D276" s="285" t="s">
        <v>112</v>
      </c>
      <c r="E276" s="281">
        <v>20</v>
      </c>
      <c r="F276" s="283">
        <f>IF($B276="","",SUMIFS('Daily Inward'!$G:$G,'Daily Inward'!$C:$C,$B276,'Daily Inward'!$E:$E,"Non Inventory"))</f>
        <v>0</v>
      </c>
      <c r="G276" s="51">
        <f>IF($B276="","",SUMIFS('Daily Issuance'!$G:$G,'Daily Issuance'!$C:$C,$B276,'Daily Issuance'!$E:$E,"Non Inventory"))</f>
        <v>0</v>
      </c>
      <c r="H276" s="51">
        <f t="shared" si="8"/>
        <v>20</v>
      </c>
      <c r="I276" s="187">
        <v>525</v>
      </c>
      <c r="J276" s="188">
        <f t="shared" si="9"/>
        <v>10500</v>
      </c>
      <c r="K276" s="46"/>
    </row>
    <row r="277" spans="1:11" s="24" customFormat="1" ht="23.1" customHeight="1">
      <c r="A277" s="170">
        <f>IF($B277="","",MAX($A$3:A276)+1)</f>
        <v>274</v>
      </c>
      <c r="B277" s="176">
        <v>18278</v>
      </c>
      <c r="C277" s="177" t="s">
        <v>849</v>
      </c>
      <c r="D277" s="285" t="s">
        <v>112</v>
      </c>
      <c r="E277" s="281">
        <v>1</v>
      </c>
      <c r="F277" s="283">
        <f>IF($B277="","",SUMIFS('Daily Inward'!$G:$G,'Daily Inward'!$C:$C,$B277,'Daily Inward'!$E:$E,"Non Inventory"))</f>
        <v>0</v>
      </c>
      <c r="G277" s="51">
        <f>IF($B277="","",SUMIFS('Daily Issuance'!$G:$G,'Daily Issuance'!$C:$C,$B277,'Daily Issuance'!$E:$E,"Non Inventory"))</f>
        <v>0</v>
      </c>
      <c r="H277" s="51">
        <f t="shared" si="8"/>
        <v>1</v>
      </c>
      <c r="I277" s="187">
        <v>17225</v>
      </c>
      <c r="J277" s="188">
        <f t="shared" si="9"/>
        <v>17225</v>
      </c>
      <c r="K277" s="46"/>
    </row>
    <row r="278" spans="1:11" s="24" customFormat="1" ht="23.1" customHeight="1">
      <c r="A278" s="170">
        <f>IF($B278="","",MAX($A$3:A277)+1)</f>
        <v>275</v>
      </c>
      <c r="B278" s="176">
        <v>18356</v>
      </c>
      <c r="C278" s="177" t="s">
        <v>850</v>
      </c>
      <c r="D278" s="285" t="s">
        <v>112</v>
      </c>
      <c r="E278" s="281">
        <v>19</v>
      </c>
      <c r="F278" s="283">
        <f>IF($B278="","",SUMIFS('Daily Inward'!$G:$G,'Daily Inward'!$C:$C,$B278,'Daily Inward'!$E:$E,"Non Inventory"))</f>
        <v>0</v>
      </c>
      <c r="G278" s="51">
        <f>IF($B278="","",SUMIFS('Daily Issuance'!$G:$G,'Daily Issuance'!$C:$C,$B278,'Daily Issuance'!$E:$E,"Non Inventory"))</f>
        <v>0</v>
      </c>
      <c r="H278" s="51">
        <f t="shared" si="8"/>
        <v>19</v>
      </c>
      <c r="I278" s="187">
        <v>587</v>
      </c>
      <c r="J278" s="188">
        <f t="shared" si="9"/>
        <v>11153</v>
      </c>
      <c r="K278" s="46"/>
    </row>
    <row r="279" spans="1:11" s="24" customFormat="1" ht="23.1" customHeight="1">
      <c r="A279" s="170">
        <f>IF($B279="","",MAX($A$3:A278)+1)</f>
        <v>276</v>
      </c>
      <c r="B279" s="176">
        <v>18357</v>
      </c>
      <c r="C279" s="177" t="s">
        <v>851</v>
      </c>
      <c r="D279" s="285" t="s">
        <v>112</v>
      </c>
      <c r="E279" s="281">
        <v>6</v>
      </c>
      <c r="F279" s="283">
        <f>IF($B279="","",SUMIFS('Daily Inward'!$G:$G,'Daily Inward'!$C:$C,$B279,'Daily Inward'!$E:$E,"Non Inventory"))</f>
        <v>0</v>
      </c>
      <c r="G279" s="51">
        <f>IF($B279="","",SUMIFS('Daily Issuance'!$G:$G,'Daily Issuance'!$C:$C,$B279,'Daily Issuance'!$E:$E,"Non Inventory"))</f>
        <v>0</v>
      </c>
      <c r="H279" s="51">
        <f t="shared" si="8"/>
        <v>6</v>
      </c>
      <c r="I279" s="187">
        <v>722</v>
      </c>
      <c r="J279" s="188">
        <f t="shared" si="9"/>
        <v>4332</v>
      </c>
      <c r="K279" s="46"/>
    </row>
    <row r="280" spans="1:11" s="24" customFormat="1" ht="23.1" customHeight="1">
      <c r="A280" s="170">
        <f>IF($B280="","",MAX($A$3:A279)+1)</f>
        <v>277</v>
      </c>
      <c r="B280" s="176">
        <v>18473</v>
      </c>
      <c r="C280" s="177" t="s">
        <v>852</v>
      </c>
      <c r="D280" s="285" t="s">
        <v>112</v>
      </c>
      <c r="E280" s="281">
        <v>5</v>
      </c>
      <c r="F280" s="283">
        <f>IF($B280="","",SUMIFS('Daily Inward'!$G:$G,'Daily Inward'!$C:$C,$B280,'Daily Inward'!$E:$E,"Non Inventory"))</f>
        <v>0</v>
      </c>
      <c r="G280" s="51">
        <f>IF($B280="","",SUMIFS('Daily Issuance'!$G:$G,'Daily Issuance'!$C:$C,$B280,'Daily Issuance'!$E:$E,"Non Inventory"))</f>
        <v>0</v>
      </c>
      <c r="H280" s="51">
        <f t="shared" si="8"/>
        <v>5</v>
      </c>
      <c r="I280" s="187">
        <v>250</v>
      </c>
      <c r="J280" s="188">
        <f t="shared" si="9"/>
        <v>1250</v>
      </c>
      <c r="K280" s="46"/>
    </row>
    <row r="281" spans="1:11" s="24" customFormat="1" ht="23.1" customHeight="1">
      <c r="A281" s="170">
        <f>IF($B281="","",MAX($A$3:A280)+1)</f>
        <v>278</v>
      </c>
      <c r="B281" s="176">
        <v>18474</v>
      </c>
      <c r="C281" s="177" t="s">
        <v>853</v>
      </c>
      <c r="D281" s="285" t="s">
        <v>112</v>
      </c>
      <c r="E281" s="281">
        <v>1</v>
      </c>
      <c r="F281" s="283">
        <f>IF($B281="","",SUMIFS('Daily Inward'!$G:$G,'Daily Inward'!$C:$C,$B281,'Daily Inward'!$E:$E,"Non Inventory"))</f>
        <v>0</v>
      </c>
      <c r="G281" s="51">
        <f>IF($B281="","",SUMIFS('Daily Issuance'!$G:$G,'Daily Issuance'!$C:$C,$B281,'Daily Issuance'!$E:$E,"Non Inventory"))</f>
        <v>0</v>
      </c>
      <c r="H281" s="51">
        <f t="shared" si="8"/>
        <v>1</v>
      </c>
      <c r="I281" s="187">
        <v>2000</v>
      </c>
      <c r="J281" s="188">
        <f t="shared" si="9"/>
        <v>2000</v>
      </c>
      <c r="K281" s="46"/>
    </row>
    <row r="282" spans="1:11" s="24" customFormat="1" ht="23.1" customHeight="1">
      <c r="A282" s="170">
        <f>IF($B282="","",MAX($A$3:A281)+1)</f>
        <v>279</v>
      </c>
      <c r="B282" s="176">
        <v>18475</v>
      </c>
      <c r="C282" s="177" t="s">
        <v>854</v>
      </c>
      <c r="D282" s="285" t="s">
        <v>112</v>
      </c>
      <c r="E282" s="281">
        <v>6</v>
      </c>
      <c r="F282" s="283">
        <f>IF($B282="","",SUMIFS('Daily Inward'!$G:$G,'Daily Inward'!$C:$C,$B282,'Daily Inward'!$E:$E,"Non Inventory"))</f>
        <v>0</v>
      </c>
      <c r="G282" s="51">
        <f>IF($B282="","",SUMIFS('Daily Issuance'!$G:$G,'Daily Issuance'!$C:$C,$B282,'Daily Issuance'!$E:$E,"Non Inventory"))</f>
        <v>0</v>
      </c>
      <c r="H282" s="51">
        <f t="shared" si="8"/>
        <v>6</v>
      </c>
      <c r="I282" s="187">
        <v>1700</v>
      </c>
      <c r="J282" s="188">
        <f t="shared" si="9"/>
        <v>10200</v>
      </c>
      <c r="K282" s="46"/>
    </row>
    <row r="283" spans="1:11" s="24" customFormat="1" ht="23.1" customHeight="1">
      <c r="A283" s="170">
        <f>IF($B283="","",MAX($A$3:A282)+1)</f>
        <v>280</v>
      </c>
      <c r="B283" s="176">
        <v>18476</v>
      </c>
      <c r="C283" s="177" t="s">
        <v>855</v>
      </c>
      <c r="D283" s="285" t="s">
        <v>112</v>
      </c>
      <c r="E283" s="281">
        <v>7</v>
      </c>
      <c r="F283" s="283">
        <f>IF($B283="","",SUMIFS('Daily Inward'!$G:$G,'Daily Inward'!$C:$C,$B283,'Daily Inward'!$E:$E,"Non Inventory"))</f>
        <v>0</v>
      </c>
      <c r="G283" s="51">
        <f>IF($B283="","",SUMIFS('Daily Issuance'!$G:$G,'Daily Issuance'!$C:$C,$B283,'Daily Issuance'!$E:$E,"Non Inventory"))</f>
        <v>0</v>
      </c>
      <c r="H283" s="51">
        <f t="shared" si="8"/>
        <v>7</v>
      </c>
      <c r="I283" s="187">
        <v>1700</v>
      </c>
      <c r="J283" s="188">
        <f t="shared" si="9"/>
        <v>11900</v>
      </c>
      <c r="K283" s="46"/>
    </row>
    <row r="284" spans="1:11" s="24" customFormat="1" ht="23.1" customHeight="1">
      <c r="A284" s="170">
        <f>IF($B284="","",MAX($A$3:A283)+1)</f>
        <v>281</v>
      </c>
      <c r="B284" s="176">
        <v>18477</v>
      </c>
      <c r="C284" s="177" t="s">
        <v>856</v>
      </c>
      <c r="D284" s="285" t="s">
        <v>112</v>
      </c>
      <c r="E284" s="281">
        <v>7</v>
      </c>
      <c r="F284" s="283">
        <f>IF($B284="","",SUMIFS('Daily Inward'!$G:$G,'Daily Inward'!$C:$C,$B284,'Daily Inward'!$E:$E,"Non Inventory"))</f>
        <v>0</v>
      </c>
      <c r="G284" s="51">
        <f>IF($B284="","",SUMIFS('Daily Issuance'!$G:$G,'Daily Issuance'!$C:$C,$B284,'Daily Issuance'!$E:$E,"Non Inventory"))</f>
        <v>0</v>
      </c>
      <c r="H284" s="51">
        <f t="shared" si="8"/>
        <v>7</v>
      </c>
      <c r="I284" s="187">
        <v>200</v>
      </c>
      <c r="J284" s="188">
        <f t="shared" si="9"/>
        <v>1400</v>
      </c>
      <c r="K284" s="46"/>
    </row>
    <row r="285" spans="1:11" s="24" customFormat="1" ht="23.1" customHeight="1">
      <c r="A285" s="170">
        <f>IF($B285="","",MAX($A$3:A284)+1)</f>
        <v>282</v>
      </c>
      <c r="B285" s="176">
        <v>18619</v>
      </c>
      <c r="C285" s="177" t="s">
        <v>857</v>
      </c>
      <c r="D285" s="285" t="s">
        <v>112</v>
      </c>
      <c r="E285" s="281">
        <v>4</v>
      </c>
      <c r="F285" s="283">
        <f>IF($B285="","",SUMIFS('Daily Inward'!$G:$G,'Daily Inward'!$C:$C,$B285,'Daily Inward'!$E:$E,"Non Inventory"))</f>
        <v>0</v>
      </c>
      <c r="G285" s="51">
        <f>IF($B285="","",SUMIFS('Daily Issuance'!$G:$G,'Daily Issuance'!$C:$C,$B285,'Daily Issuance'!$E:$E,"Non Inventory"))</f>
        <v>0</v>
      </c>
      <c r="H285" s="51">
        <f t="shared" si="8"/>
        <v>4</v>
      </c>
      <c r="I285" s="187">
        <v>9959</v>
      </c>
      <c r="J285" s="188">
        <f t="shared" si="9"/>
        <v>39836</v>
      </c>
      <c r="K285" s="46"/>
    </row>
    <row r="286" spans="1:11" s="24" customFormat="1" ht="23.1" customHeight="1">
      <c r="A286" s="170">
        <f>IF($B286="","",MAX($A$3:A285)+1)</f>
        <v>283</v>
      </c>
      <c r="B286" s="176">
        <v>18794</v>
      </c>
      <c r="C286" s="177" t="s">
        <v>858</v>
      </c>
      <c r="D286" s="285" t="s">
        <v>112</v>
      </c>
      <c r="E286" s="281">
        <v>2</v>
      </c>
      <c r="F286" s="283">
        <f>IF($B286="","",SUMIFS('Daily Inward'!$G:$G,'Daily Inward'!$C:$C,$B286,'Daily Inward'!$E:$E,"Non Inventory"))</f>
        <v>0</v>
      </c>
      <c r="G286" s="51">
        <f>IF($B286="","",SUMIFS('Daily Issuance'!$G:$G,'Daily Issuance'!$C:$C,$B286,'Daily Issuance'!$E:$E,"Non Inventory"))</f>
        <v>0</v>
      </c>
      <c r="H286" s="51">
        <f t="shared" si="8"/>
        <v>2</v>
      </c>
      <c r="I286" s="187">
        <v>220</v>
      </c>
      <c r="J286" s="188">
        <f t="shared" si="9"/>
        <v>440</v>
      </c>
      <c r="K286" s="46"/>
    </row>
    <row r="287" spans="1:11" s="24" customFormat="1" ht="23.1" customHeight="1">
      <c r="A287" s="170">
        <f>IF($B287="","",MAX($A$3:A286)+1)</f>
        <v>284</v>
      </c>
      <c r="B287" s="176">
        <v>18842</v>
      </c>
      <c r="C287" s="177" t="s">
        <v>859</v>
      </c>
      <c r="D287" s="285" t="s">
        <v>338</v>
      </c>
      <c r="E287" s="281">
        <v>10</v>
      </c>
      <c r="F287" s="283">
        <f>IF($B287="","",SUMIFS('Daily Inward'!$G:$G,'Daily Inward'!$C:$C,$B287,'Daily Inward'!$E:$E,"Non Inventory"))</f>
        <v>0</v>
      </c>
      <c r="G287" s="51">
        <f>IF($B287="","",SUMIFS('Daily Issuance'!$G:$G,'Daily Issuance'!$C:$C,$B287,'Daily Issuance'!$E:$E,"Non Inventory"))</f>
        <v>0</v>
      </c>
      <c r="H287" s="51">
        <f t="shared" si="8"/>
        <v>10</v>
      </c>
      <c r="I287" s="187">
        <v>2800</v>
      </c>
      <c r="J287" s="188">
        <f t="shared" si="9"/>
        <v>28000</v>
      </c>
      <c r="K287" s="46"/>
    </row>
    <row r="288" spans="1:11" s="24" customFormat="1" ht="23.1" customHeight="1">
      <c r="A288" s="170">
        <f>IF($B288="","",MAX($A$3:A287)+1)</f>
        <v>285</v>
      </c>
      <c r="B288" s="176">
        <v>18977</v>
      </c>
      <c r="C288" s="177" t="s">
        <v>860</v>
      </c>
      <c r="D288" s="285" t="s">
        <v>112</v>
      </c>
      <c r="E288" s="281">
        <v>19</v>
      </c>
      <c r="F288" s="283">
        <f>IF($B288="","",SUMIFS('Daily Inward'!$G:$G,'Daily Inward'!$C:$C,$B288,'Daily Inward'!$E:$E,"Non Inventory"))</f>
        <v>0</v>
      </c>
      <c r="G288" s="51">
        <f>IF($B288="","",SUMIFS('Daily Issuance'!$G:$G,'Daily Issuance'!$C:$C,$B288,'Daily Issuance'!$E:$E,"Non Inventory"))</f>
        <v>0</v>
      </c>
      <c r="H288" s="51">
        <f t="shared" si="8"/>
        <v>19</v>
      </c>
      <c r="I288" s="187">
        <v>510</v>
      </c>
      <c r="J288" s="188">
        <f t="shared" si="9"/>
        <v>9690</v>
      </c>
      <c r="K288" s="46"/>
    </row>
    <row r="289" spans="1:11" s="24" customFormat="1" ht="23.1" customHeight="1">
      <c r="A289" s="170">
        <f>IF($B289="","",MAX($A$3:A288)+1)</f>
        <v>286</v>
      </c>
      <c r="B289" s="176">
        <v>18978</v>
      </c>
      <c r="C289" s="177" t="s">
        <v>861</v>
      </c>
      <c r="D289" s="285" t="s">
        <v>112</v>
      </c>
      <c r="E289" s="281">
        <v>40</v>
      </c>
      <c r="F289" s="283">
        <f>IF($B289="","",SUMIFS('Daily Inward'!$G:$G,'Daily Inward'!$C:$C,$B289,'Daily Inward'!$E:$E,"Non Inventory"))</f>
        <v>0</v>
      </c>
      <c r="G289" s="51">
        <f>IF($B289="","",SUMIFS('Daily Issuance'!$G:$G,'Daily Issuance'!$C:$C,$B289,'Daily Issuance'!$E:$E,"Non Inventory"))</f>
        <v>0</v>
      </c>
      <c r="H289" s="51">
        <f t="shared" si="8"/>
        <v>40</v>
      </c>
      <c r="I289" s="187">
        <v>120</v>
      </c>
      <c r="J289" s="188">
        <f t="shared" si="9"/>
        <v>4800</v>
      </c>
      <c r="K289" s="46"/>
    </row>
    <row r="290" spans="1:11" s="24" customFormat="1" ht="23.1" customHeight="1">
      <c r="A290" s="170">
        <f>IF($B290="","",MAX($A$3:A289)+1)</f>
        <v>287</v>
      </c>
      <c r="B290" s="176">
        <v>19203</v>
      </c>
      <c r="C290" s="177" t="s">
        <v>862</v>
      </c>
      <c r="D290" s="285" t="s">
        <v>112</v>
      </c>
      <c r="E290" s="281">
        <v>1</v>
      </c>
      <c r="F290" s="283">
        <f>IF($B290="","",SUMIFS('Daily Inward'!$G:$G,'Daily Inward'!$C:$C,$B290,'Daily Inward'!$E:$E,"Non Inventory"))</f>
        <v>0</v>
      </c>
      <c r="G290" s="51">
        <f>IF($B290="","",SUMIFS('Daily Issuance'!$G:$G,'Daily Issuance'!$C:$C,$B290,'Daily Issuance'!$E:$E,"Non Inventory"))</f>
        <v>0</v>
      </c>
      <c r="H290" s="51">
        <f t="shared" si="8"/>
        <v>1</v>
      </c>
      <c r="I290" s="187">
        <v>14950</v>
      </c>
      <c r="J290" s="188">
        <f t="shared" si="9"/>
        <v>14950</v>
      </c>
      <c r="K290" s="46"/>
    </row>
    <row r="291" spans="1:11" s="24" customFormat="1" ht="23.1" customHeight="1">
      <c r="A291" s="170">
        <f>IF($B291="","",MAX($A$3:A290)+1)</f>
        <v>288</v>
      </c>
      <c r="B291" s="176">
        <v>19421</v>
      </c>
      <c r="C291" s="177" t="s">
        <v>863</v>
      </c>
      <c r="D291" s="285" t="s">
        <v>112</v>
      </c>
      <c r="E291" s="281">
        <v>4</v>
      </c>
      <c r="F291" s="283">
        <f>IF($B291="","",SUMIFS('Daily Inward'!$G:$G,'Daily Inward'!$C:$C,$B291,'Daily Inward'!$E:$E,"Non Inventory"))</f>
        <v>0</v>
      </c>
      <c r="G291" s="51">
        <f>IF($B291="","",SUMIFS('Daily Issuance'!$G:$G,'Daily Issuance'!$C:$C,$B291,'Daily Issuance'!$E:$E,"Non Inventory"))</f>
        <v>2</v>
      </c>
      <c r="H291" s="51">
        <f t="shared" si="8"/>
        <v>2</v>
      </c>
      <c r="I291" s="187">
        <v>3000</v>
      </c>
      <c r="J291" s="188">
        <f t="shared" si="9"/>
        <v>6000</v>
      </c>
      <c r="K291" s="46"/>
    </row>
    <row r="292" spans="1:11" s="24" customFormat="1" ht="23.1" customHeight="1">
      <c r="A292" s="170">
        <f>IF($B292="","",MAX($A$3:A291)+1)</f>
        <v>289</v>
      </c>
      <c r="B292" s="176">
        <v>19422</v>
      </c>
      <c r="C292" s="177" t="s">
        <v>864</v>
      </c>
      <c r="D292" s="285" t="s">
        <v>112</v>
      </c>
      <c r="E292" s="281">
        <v>13</v>
      </c>
      <c r="F292" s="283">
        <f>IF($B292="","",SUMIFS('Daily Inward'!$G:$G,'Daily Inward'!$C:$C,$B292,'Daily Inward'!$E:$E,"Non Inventory"))</f>
        <v>0</v>
      </c>
      <c r="G292" s="51">
        <f>IF($B292="","",SUMIFS('Daily Issuance'!$G:$G,'Daily Issuance'!$C:$C,$B292,'Daily Issuance'!$E:$E,"Non Inventory"))</f>
        <v>0</v>
      </c>
      <c r="H292" s="51">
        <f t="shared" si="8"/>
        <v>13</v>
      </c>
      <c r="I292" s="187"/>
      <c r="J292" s="188">
        <f t="shared" si="9"/>
        <v>0</v>
      </c>
      <c r="K292" s="46"/>
    </row>
    <row r="293" spans="1:11" s="24" customFormat="1" ht="23.1" customHeight="1">
      <c r="A293" s="170">
        <f>IF($B293="","",MAX($A$3:A292)+1)</f>
        <v>290</v>
      </c>
      <c r="B293" s="176">
        <v>19423</v>
      </c>
      <c r="C293" s="177" t="s">
        <v>865</v>
      </c>
      <c r="D293" s="285" t="s">
        <v>112</v>
      </c>
      <c r="E293" s="281">
        <v>27</v>
      </c>
      <c r="F293" s="283">
        <f>IF($B293="","",SUMIFS('Daily Inward'!$G:$G,'Daily Inward'!$C:$C,$B293,'Daily Inward'!$E:$E,"Non Inventory"))</f>
        <v>0</v>
      </c>
      <c r="G293" s="51">
        <f>IF($B293="","",SUMIFS('Daily Issuance'!$G:$G,'Daily Issuance'!$C:$C,$B293,'Daily Issuance'!$E:$E,"Non Inventory"))</f>
        <v>0</v>
      </c>
      <c r="H293" s="51">
        <f t="shared" si="8"/>
        <v>27</v>
      </c>
      <c r="I293" s="187">
        <v>200</v>
      </c>
      <c r="J293" s="188">
        <f t="shared" si="9"/>
        <v>5400</v>
      </c>
      <c r="K293" s="46"/>
    </row>
    <row r="294" spans="1:11" s="24" customFormat="1" ht="23.1" customHeight="1">
      <c r="A294" s="170">
        <f>IF($B294="","",MAX($A$3:A293)+1)</f>
        <v>291</v>
      </c>
      <c r="B294" s="176">
        <v>19511</v>
      </c>
      <c r="C294" s="177" t="s">
        <v>866</v>
      </c>
      <c r="D294" s="285" t="s">
        <v>112</v>
      </c>
      <c r="E294" s="281">
        <v>0</v>
      </c>
      <c r="F294" s="283">
        <f>IF($B294="","",SUMIFS('Daily Inward'!$G:$G,'Daily Inward'!$C:$C,$B294,'Daily Inward'!$E:$E,"Non Inventory"))</f>
        <v>0</v>
      </c>
      <c r="G294" s="51">
        <f>IF($B294="","",SUMIFS('Daily Issuance'!$G:$G,'Daily Issuance'!$C:$C,$B294,'Daily Issuance'!$E:$E,"Non Inventory"))</f>
        <v>0</v>
      </c>
      <c r="H294" s="51">
        <f t="shared" si="8"/>
        <v>0</v>
      </c>
      <c r="I294" s="187">
        <v>4620</v>
      </c>
      <c r="J294" s="188">
        <f t="shared" si="9"/>
        <v>0</v>
      </c>
      <c r="K294" s="46"/>
    </row>
    <row r="295" spans="1:11" s="24" customFormat="1" ht="23.1" customHeight="1">
      <c r="A295" s="170">
        <f>IF($B295="","",MAX($A$3:A294)+1)</f>
        <v>292</v>
      </c>
      <c r="B295" s="176">
        <v>19603</v>
      </c>
      <c r="C295" s="177" t="s">
        <v>867</v>
      </c>
      <c r="D295" s="285" t="s">
        <v>112</v>
      </c>
      <c r="E295" s="281">
        <v>7</v>
      </c>
      <c r="F295" s="283">
        <f>IF($B295="","",SUMIFS('Daily Inward'!$G:$G,'Daily Inward'!$C:$C,$B295,'Daily Inward'!$E:$E,"Non Inventory"))</f>
        <v>0</v>
      </c>
      <c r="G295" s="51">
        <f>IF($B295="","",SUMIFS('Daily Issuance'!$G:$G,'Daily Issuance'!$C:$C,$B295,'Daily Issuance'!$E:$E,"Non Inventory"))</f>
        <v>0</v>
      </c>
      <c r="H295" s="51">
        <f t="shared" si="8"/>
        <v>7</v>
      </c>
      <c r="I295" s="187">
        <v>1200</v>
      </c>
      <c r="J295" s="188">
        <f t="shared" si="9"/>
        <v>8400</v>
      </c>
      <c r="K295" s="46"/>
    </row>
    <row r="296" spans="1:11" s="24" customFormat="1" ht="23.1" customHeight="1">
      <c r="A296" s="170">
        <f>IF($B296="","",MAX($A$3:A295)+1)</f>
        <v>293</v>
      </c>
      <c r="B296" s="176">
        <v>19612</v>
      </c>
      <c r="C296" s="177" t="s">
        <v>868</v>
      </c>
      <c r="D296" s="285" t="s">
        <v>112</v>
      </c>
      <c r="E296" s="281">
        <v>2</v>
      </c>
      <c r="F296" s="283">
        <f>IF($B296="","",SUMIFS('Daily Inward'!$G:$G,'Daily Inward'!$C:$C,$B296,'Daily Inward'!$E:$E,"Non Inventory"))</f>
        <v>0</v>
      </c>
      <c r="G296" s="51">
        <f>IF($B296="","",SUMIFS('Daily Issuance'!$G:$G,'Daily Issuance'!$C:$C,$B296,'Daily Issuance'!$E:$E,"Non Inventory"))</f>
        <v>0</v>
      </c>
      <c r="H296" s="51">
        <f t="shared" si="8"/>
        <v>2</v>
      </c>
      <c r="I296" s="187">
        <v>3500</v>
      </c>
      <c r="J296" s="188">
        <f t="shared" si="9"/>
        <v>7000</v>
      </c>
      <c r="K296" s="46"/>
    </row>
    <row r="297" spans="1:11" s="24" customFormat="1" ht="23.1" customHeight="1">
      <c r="A297" s="170">
        <f>IF($B297="","",MAX($A$3:A296)+1)</f>
        <v>294</v>
      </c>
      <c r="B297" s="176">
        <v>19693</v>
      </c>
      <c r="C297" s="177" t="s">
        <v>869</v>
      </c>
      <c r="D297" s="285" t="s">
        <v>112</v>
      </c>
      <c r="E297" s="281">
        <v>30</v>
      </c>
      <c r="F297" s="283">
        <f>IF($B297="","",SUMIFS('Daily Inward'!$G:$G,'Daily Inward'!$C:$C,$B297,'Daily Inward'!$E:$E,"Non Inventory"))</f>
        <v>0</v>
      </c>
      <c r="G297" s="51">
        <f>IF($B297="","",SUMIFS('Daily Issuance'!$G:$G,'Daily Issuance'!$C:$C,$B297,'Daily Issuance'!$E:$E,"Non Inventory"))</f>
        <v>0</v>
      </c>
      <c r="H297" s="51">
        <f t="shared" si="8"/>
        <v>30</v>
      </c>
      <c r="I297" s="187">
        <v>220</v>
      </c>
      <c r="J297" s="188">
        <f t="shared" si="9"/>
        <v>6600</v>
      </c>
      <c r="K297" s="46"/>
    </row>
    <row r="298" spans="1:11" s="24" customFormat="1" ht="23.1" customHeight="1">
      <c r="A298" s="170">
        <f>IF($B298="","",MAX($A$3:A297)+1)</f>
        <v>295</v>
      </c>
      <c r="B298" s="176">
        <v>19727</v>
      </c>
      <c r="C298" s="177" t="s">
        <v>870</v>
      </c>
      <c r="D298" s="285" t="s">
        <v>112</v>
      </c>
      <c r="E298" s="281">
        <v>0</v>
      </c>
      <c r="F298" s="283">
        <f>IF($B298="","",SUMIFS('Daily Inward'!$G:$G,'Daily Inward'!$C:$C,$B298,'Daily Inward'!$E:$E,"Non Inventory"))</f>
        <v>0</v>
      </c>
      <c r="G298" s="51">
        <f>IF($B298="","",SUMIFS('Daily Issuance'!$G:$G,'Daily Issuance'!$C:$C,$B298,'Daily Issuance'!$E:$E,"Non Inventory"))</f>
        <v>0</v>
      </c>
      <c r="H298" s="51">
        <f t="shared" si="8"/>
        <v>0</v>
      </c>
      <c r="I298" s="187">
        <v>650</v>
      </c>
      <c r="J298" s="188">
        <f t="shared" si="9"/>
        <v>0</v>
      </c>
      <c r="K298" s="46"/>
    </row>
    <row r="299" spans="1:11" s="24" customFormat="1" ht="23.1" customHeight="1">
      <c r="A299" s="170">
        <f>IF($B299="","",MAX($A$3:A298)+1)</f>
        <v>296</v>
      </c>
      <c r="B299" s="176">
        <v>19752</v>
      </c>
      <c r="C299" s="177" t="s">
        <v>871</v>
      </c>
      <c r="D299" s="285" t="s">
        <v>112</v>
      </c>
      <c r="E299" s="281">
        <v>1</v>
      </c>
      <c r="F299" s="283">
        <f>IF($B299="","",SUMIFS('Daily Inward'!$G:$G,'Daily Inward'!$C:$C,$B299,'Daily Inward'!$E:$E,"Non Inventory"))</f>
        <v>0</v>
      </c>
      <c r="G299" s="51">
        <f>IF($B299="","",SUMIFS('Daily Issuance'!$G:$G,'Daily Issuance'!$C:$C,$B299,'Daily Issuance'!$E:$E,"Non Inventory"))</f>
        <v>0</v>
      </c>
      <c r="H299" s="51">
        <f t="shared" si="8"/>
        <v>1</v>
      </c>
      <c r="I299" s="187">
        <v>36000</v>
      </c>
      <c r="J299" s="188">
        <f t="shared" si="9"/>
        <v>36000</v>
      </c>
      <c r="K299" s="46"/>
    </row>
    <row r="300" spans="1:11" s="24" customFormat="1" ht="23.1" customHeight="1">
      <c r="A300" s="170">
        <f>IF($B300="","",MAX($A$3:A299)+1)</f>
        <v>297</v>
      </c>
      <c r="B300" s="176">
        <v>19767</v>
      </c>
      <c r="C300" s="177" t="s">
        <v>872</v>
      </c>
      <c r="D300" s="285" t="s">
        <v>112</v>
      </c>
      <c r="E300" s="281">
        <v>4</v>
      </c>
      <c r="F300" s="283">
        <f>IF($B300="","",SUMIFS('Daily Inward'!$G:$G,'Daily Inward'!$C:$C,$B300,'Daily Inward'!$E:$E,"Non Inventory"))</f>
        <v>0</v>
      </c>
      <c r="G300" s="51">
        <f>IF($B300="","",SUMIFS('Daily Issuance'!$G:$G,'Daily Issuance'!$C:$C,$B300,'Daily Issuance'!$E:$E,"Non Inventory"))</f>
        <v>0</v>
      </c>
      <c r="H300" s="51">
        <f t="shared" si="8"/>
        <v>4</v>
      </c>
      <c r="I300" s="187">
        <v>437</v>
      </c>
      <c r="J300" s="188">
        <f t="shared" si="9"/>
        <v>1748</v>
      </c>
      <c r="K300" s="46"/>
    </row>
    <row r="301" spans="1:11" s="24" customFormat="1" ht="23.1" customHeight="1">
      <c r="A301" s="170">
        <f>IF($B301="","",MAX($A$3:A300)+1)</f>
        <v>298</v>
      </c>
      <c r="B301" s="176">
        <v>19819</v>
      </c>
      <c r="C301" s="177" t="s">
        <v>873</v>
      </c>
      <c r="D301" s="285" t="s">
        <v>112</v>
      </c>
      <c r="E301" s="281">
        <v>4</v>
      </c>
      <c r="F301" s="283">
        <f>IF($B301="","",SUMIFS('Daily Inward'!$G:$G,'Daily Inward'!$C:$C,$B301,'Daily Inward'!$E:$E,"Non Inventory"))</f>
        <v>0</v>
      </c>
      <c r="G301" s="51">
        <f>IF($B301="","",SUMIFS('Daily Issuance'!$G:$G,'Daily Issuance'!$C:$C,$B301,'Daily Issuance'!$E:$E,"Non Inventory"))</f>
        <v>0</v>
      </c>
      <c r="H301" s="51">
        <f t="shared" si="8"/>
        <v>4</v>
      </c>
      <c r="I301" s="187">
        <v>463</v>
      </c>
      <c r="J301" s="188">
        <f t="shared" si="9"/>
        <v>1852</v>
      </c>
      <c r="K301" s="46"/>
    </row>
    <row r="302" spans="1:11" s="24" customFormat="1" ht="23.1" customHeight="1">
      <c r="A302" s="170">
        <f>IF($B302="","",MAX($A$3:A301)+1)</f>
        <v>299</v>
      </c>
      <c r="B302" s="176">
        <v>19824</v>
      </c>
      <c r="C302" s="177" t="s">
        <v>874</v>
      </c>
      <c r="D302" s="285" t="s">
        <v>112</v>
      </c>
      <c r="E302" s="281">
        <v>12</v>
      </c>
      <c r="F302" s="283">
        <f>IF($B302="","",SUMIFS('Daily Inward'!$G:$G,'Daily Inward'!$C:$C,$B302,'Daily Inward'!$E:$E,"Non Inventory"))</f>
        <v>0</v>
      </c>
      <c r="G302" s="51">
        <f>IF($B302="","",SUMIFS('Daily Issuance'!$G:$G,'Daily Issuance'!$C:$C,$B302,'Daily Issuance'!$E:$E,"Non Inventory"))</f>
        <v>2</v>
      </c>
      <c r="H302" s="51">
        <f t="shared" si="8"/>
        <v>10</v>
      </c>
      <c r="I302" s="187">
        <v>2000</v>
      </c>
      <c r="J302" s="188">
        <f t="shared" si="9"/>
        <v>20000</v>
      </c>
      <c r="K302" s="46"/>
    </row>
    <row r="303" spans="1:11" s="24" customFormat="1" ht="23.1" customHeight="1">
      <c r="A303" s="170">
        <f>IF($B303="","",MAX($A$3:A302)+1)</f>
        <v>300</v>
      </c>
      <c r="B303" s="176">
        <v>19976</v>
      </c>
      <c r="C303" s="177" t="s">
        <v>875</v>
      </c>
      <c r="D303" s="285" t="s">
        <v>112</v>
      </c>
      <c r="E303" s="281">
        <v>15</v>
      </c>
      <c r="F303" s="283">
        <f>IF($B303="","",SUMIFS('Daily Inward'!$G:$G,'Daily Inward'!$C:$C,$B303,'Daily Inward'!$E:$E,"Non Inventory"))</f>
        <v>0</v>
      </c>
      <c r="G303" s="51">
        <f>IF($B303="","",SUMIFS('Daily Issuance'!$G:$G,'Daily Issuance'!$C:$C,$B303,'Daily Issuance'!$E:$E,"Non Inventory"))</f>
        <v>0</v>
      </c>
      <c r="H303" s="51">
        <f t="shared" si="8"/>
        <v>15</v>
      </c>
      <c r="I303" s="187">
        <v>300</v>
      </c>
      <c r="J303" s="188">
        <f t="shared" si="9"/>
        <v>4500</v>
      </c>
      <c r="K303" s="46"/>
    </row>
    <row r="304" spans="1:11" s="24" customFormat="1" ht="23.1" customHeight="1">
      <c r="A304" s="170">
        <f>IF($B304="","",MAX($A$3:A303)+1)</f>
        <v>301</v>
      </c>
      <c r="B304" s="176">
        <v>20091</v>
      </c>
      <c r="C304" s="177" t="s">
        <v>876</v>
      </c>
      <c r="D304" s="285" t="s">
        <v>112</v>
      </c>
      <c r="E304" s="281">
        <v>0</v>
      </c>
      <c r="F304" s="283">
        <f>IF($B304="","",SUMIFS('Daily Inward'!$G:$G,'Daily Inward'!$C:$C,$B304,'Daily Inward'!$E:$E,"Non Inventory"))</f>
        <v>0</v>
      </c>
      <c r="G304" s="51">
        <f>IF($B304="","",SUMIFS('Daily Issuance'!$G:$G,'Daily Issuance'!$C:$C,$B304,'Daily Issuance'!$E:$E,"Non Inventory"))</f>
        <v>0</v>
      </c>
      <c r="H304" s="51">
        <f t="shared" si="8"/>
        <v>0</v>
      </c>
      <c r="I304" s="187">
        <v>1500</v>
      </c>
      <c r="J304" s="188">
        <f t="shared" si="9"/>
        <v>0</v>
      </c>
      <c r="K304" s="46"/>
    </row>
    <row r="305" spans="1:11" s="24" customFormat="1" ht="23.1" customHeight="1">
      <c r="A305" s="170">
        <f>IF($B305="","",MAX($A$3:A304)+1)</f>
        <v>302</v>
      </c>
      <c r="B305" s="176">
        <v>10351</v>
      </c>
      <c r="C305" s="177" t="s">
        <v>877</v>
      </c>
      <c r="D305" s="285" t="s">
        <v>112</v>
      </c>
      <c r="E305" s="281">
        <v>3</v>
      </c>
      <c r="F305" s="283">
        <f>IF($B305="","",SUMIFS('Daily Inward'!$G:$G,'Daily Inward'!$C:$C,$B305,'Daily Inward'!$E:$E,"Non Inventory"))</f>
        <v>0</v>
      </c>
      <c r="G305" s="51">
        <f>IF($B305="","",SUMIFS('Daily Issuance'!$G:$G,'Daily Issuance'!$C:$C,$B305,'Daily Issuance'!$E:$E,"Non Inventory"))</f>
        <v>0</v>
      </c>
      <c r="H305" s="51">
        <f t="shared" si="8"/>
        <v>3</v>
      </c>
      <c r="I305" s="187">
        <v>251</v>
      </c>
      <c r="J305" s="188">
        <f t="shared" si="9"/>
        <v>753</v>
      </c>
      <c r="K305" s="46"/>
    </row>
    <row r="306" spans="1:11" s="24" customFormat="1" ht="23.1" customHeight="1">
      <c r="A306" s="170">
        <f>IF($B306="","",MAX($A$3:A305)+1)</f>
        <v>303</v>
      </c>
      <c r="B306" s="176">
        <v>20223</v>
      </c>
      <c r="C306" s="177" t="s">
        <v>878</v>
      </c>
      <c r="D306" s="285" t="s">
        <v>112</v>
      </c>
      <c r="E306" s="281">
        <v>22</v>
      </c>
      <c r="F306" s="283">
        <f>IF($B306="","",SUMIFS('Daily Inward'!$G:$G,'Daily Inward'!$C:$C,$B306,'Daily Inward'!$E:$E,"Non Inventory"))</f>
        <v>0</v>
      </c>
      <c r="G306" s="51">
        <f>IF($B306="","",SUMIFS('Daily Issuance'!$G:$G,'Daily Issuance'!$C:$C,$B306,'Daily Issuance'!$E:$E,"Non Inventory"))</f>
        <v>0</v>
      </c>
      <c r="H306" s="51">
        <f t="shared" si="8"/>
        <v>22</v>
      </c>
      <c r="I306" s="187">
        <v>187</v>
      </c>
      <c r="J306" s="188">
        <f t="shared" si="9"/>
        <v>4114</v>
      </c>
      <c r="K306" s="46"/>
    </row>
    <row r="307" spans="1:11" s="24" customFormat="1" ht="23.1" customHeight="1">
      <c r="A307" s="170">
        <f>IF($B307="","",MAX($A$3:A306)+1)</f>
        <v>304</v>
      </c>
      <c r="B307" s="176">
        <v>20224</v>
      </c>
      <c r="C307" s="177" t="s">
        <v>879</v>
      </c>
      <c r="D307" s="285" t="s">
        <v>112</v>
      </c>
      <c r="E307" s="281">
        <v>10</v>
      </c>
      <c r="F307" s="283">
        <f>IF($B307="","",SUMIFS('Daily Inward'!$G:$G,'Daily Inward'!$C:$C,$B307,'Daily Inward'!$E:$E,"Non Inventory"))</f>
        <v>0</v>
      </c>
      <c r="G307" s="51">
        <f>IF($B307="","",SUMIFS('Daily Issuance'!$G:$G,'Daily Issuance'!$C:$C,$B307,'Daily Issuance'!$E:$E,"Non Inventory"))</f>
        <v>0</v>
      </c>
      <c r="H307" s="51">
        <f t="shared" si="8"/>
        <v>10</v>
      </c>
      <c r="I307" s="187">
        <v>237</v>
      </c>
      <c r="J307" s="188">
        <f t="shared" si="9"/>
        <v>2370</v>
      </c>
      <c r="K307" s="46"/>
    </row>
    <row r="308" spans="1:11" s="24" customFormat="1" ht="23.1" customHeight="1">
      <c r="A308" s="170">
        <f>IF($B308="","",MAX($A$3:A307)+1)</f>
        <v>305</v>
      </c>
      <c r="B308" s="176">
        <v>20341</v>
      </c>
      <c r="C308" s="177" t="s">
        <v>880</v>
      </c>
      <c r="D308" s="285" t="s">
        <v>112</v>
      </c>
      <c r="E308" s="281">
        <v>22</v>
      </c>
      <c r="F308" s="283">
        <f>IF($B308="","",SUMIFS('Daily Inward'!$G:$G,'Daily Inward'!$C:$C,$B308,'Daily Inward'!$E:$E,"Non Inventory"))</f>
        <v>0</v>
      </c>
      <c r="G308" s="51">
        <f>IF($B308="","",SUMIFS('Daily Issuance'!$G:$G,'Daily Issuance'!$C:$C,$B308,'Daily Issuance'!$E:$E,"Non Inventory"))</f>
        <v>0</v>
      </c>
      <c r="H308" s="51">
        <f t="shared" si="8"/>
        <v>22</v>
      </c>
      <c r="I308" s="187">
        <v>45</v>
      </c>
      <c r="J308" s="188">
        <f t="shared" si="9"/>
        <v>990</v>
      </c>
      <c r="K308" s="46"/>
    </row>
    <row r="309" spans="1:11" s="24" customFormat="1" ht="23.1" customHeight="1">
      <c r="A309" s="170">
        <f>IF($B309="","",MAX($A$3:A308)+1)</f>
        <v>306</v>
      </c>
      <c r="B309" s="176">
        <v>20358</v>
      </c>
      <c r="C309" s="177" t="s">
        <v>881</v>
      </c>
      <c r="D309" s="285" t="s">
        <v>615</v>
      </c>
      <c r="E309" s="281">
        <v>23</v>
      </c>
      <c r="F309" s="283">
        <f>IF($B309="","",SUMIFS('Daily Inward'!$G:$G,'Daily Inward'!$C:$C,$B309,'Daily Inward'!$E:$E,"Non Inventory"))</f>
        <v>0</v>
      </c>
      <c r="G309" s="51">
        <f>IF($B309="","",SUMIFS('Daily Issuance'!$G:$G,'Daily Issuance'!$C:$C,$B309,'Daily Issuance'!$E:$E,"Non Inventory"))</f>
        <v>0</v>
      </c>
      <c r="H309" s="51">
        <f t="shared" si="8"/>
        <v>23</v>
      </c>
      <c r="I309" s="187">
        <v>720</v>
      </c>
      <c r="J309" s="188">
        <f t="shared" si="9"/>
        <v>16560</v>
      </c>
      <c r="K309" s="46"/>
    </row>
    <row r="310" spans="1:11" s="24" customFormat="1" ht="23.1" customHeight="1">
      <c r="A310" s="170">
        <f>IF($B310="","",MAX($A$3:A309)+1)</f>
        <v>307</v>
      </c>
      <c r="B310" s="176">
        <v>20431</v>
      </c>
      <c r="C310" s="177" t="s">
        <v>882</v>
      </c>
      <c r="D310" s="285" t="s">
        <v>615</v>
      </c>
      <c r="E310" s="281">
        <v>21</v>
      </c>
      <c r="F310" s="283">
        <f>IF($B310="","",SUMIFS('Daily Inward'!$G:$G,'Daily Inward'!$C:$C,$B310,'Daily Inward'!$E:$E,"Non Inventory"))</f>
        <v>0</v>
      </c>
      <c r="G310" s="51">
        <f>IF($B310="","",SUMIFS('Daily Issuance'!$G:$G,'Daily Issuance'!$C:$C,$B310,'Daily Issuance'!$E:$E,"Non Inventory"))</f>
        <v>0</v>
      </c>
      <c r="H310" s="51">
        <f t="shared" si="8"/>
        <v>21</v>
      </c>
      <c r="I310" s="187">
        <v>710</v>
      </c>
      <c r="J310" s="188">
        <f t="shared" si="9"/>
        <v>14910</v>
      </c>
      <c r="K310" s="46"/>
    </row>
    <row r="311" spans="1:11" s="24" customFormat="1" ht="23.1" customHeight="1">
      <c r="A311" s="170">
        <f>IF($B311="","",MAX($A$3:A310)+1)</f>
        <v>308</v>
      </c>
      <c r="B311" s="176">
        <v>20584</v>
      </c>
      <c r="C311" s="177" t="s">
        <v>883</v>
      </c>
      <c r="D311" s="285" t="s">
        <v>112</v>
      </c>
      <c r="E311" s="281">
        <v>1</v>
      </c>
      <c r="F311" s="283">
        <f>IF($B311="","",SUMIFS('Daily Inward'!$G:$G,'Daily Inward'!$C:$C,$B311,'Daily Inward'!$E:$E,"Non Inventory"))</f>
        <v>0</v>
      </c>
      <c r="G311" s="51">
        <f>IF($B311="","",SUMIFS('Daily Issuance'!$G:$G,'Daily Issuance'!$C:$C,$B311,'Daily Issuance'!$E:$E,"Non Inventory"))</f>
        <v>0</v>
      </c>
      <c r="H311" s="51">
        <f t="shared" si="8"/>
        <v>1</v>
      </c>
      <c r="I311" s="187">
        <v>500</v>
      </c>
      <c r="J311" s="188">
        <f t="shared" si="9"/>
        <v>500</v>
      </c>
      <c r="K311" s="46"/>
    </row>
    <row r="312" spans="1:11" s="24" customFormat="1" ht="23.1" customHeight="1">
      <c r="A312" s="170">
        <f>IF($B312="","",MAX($A$3:A311)+1)</f>
        <v>309</v>
      </c>
      <c r="B312" s="176">
        <v>20605</v>
      </c>
      <c r="C312" s="177" t="s">
        <v>884</v>
      </c>
      <c r="D312" s="285" t="s">
        <v>112</v>
      </c>
      <c r="E312" s="281">
        <v>2</v>
      </c>
      <c r="F312" s="283">
        <f>IF($B312="","",SUMIFS('Daily Inward'!$G:$G,'Daily Inward'!$C:$C,$B312,'Daily Inward'!$E:$E,"Non Inventory"))</f>
        <v>0</v>
      </c>
      <c r="G312" s="51">
        <f>IF($B312="","",SUMIFS('Daily Issuance'!$G:$G,'Daily Issuance'!$C:$C,$B312,'Daily Issuance'!$E:$E,"Non Inventory"))</f>
        <v>0</v>
      </c>
      <c r="H312" s="51">
        <f t="shared" si="8"/>
        <v>2</v>
      </c>
      <c r="I312" s="187">
        <v>10500</v>
      </c>
      <c r="J312" s="188">
        <f t="shared" si="9"/>
        <v>21000</v>
      </c>
      <c r="K312" s="46"/>
    </row>
    <row r="313" spans="1:11" s="24" customFormat="1" ht="23.1" customHeight="1">
      <c r="A313" s="170">
        <f>IF($B313="","",MAX($A$3:A312)+1)</f>
        <v>310</v>
      </c>
      <c r="B313" s="176">
        <v>20676</v>
      </c>
      <c r="C313" s="177" t="s">
        <v>885</v>
      </c>
      <c r="D313" s="285" t="s">
        <v>112</v>
      </c>
      <c r="E313" s="281">
        <v>3</v>
      </c>
      <c r="F313" s="283">
        <f>IF($B313="","",SUMIFS('Daily Inward'!$G:$G,'Daily Inward'!$C:$C,$B313,'Daily Inward'!$E:$E,"Non Inventory"))</f>
        <v>0</v>
      </c>
      <c r="G313" s="51">
        <f>IF($B313="","",SUMIFS('Daily Issuance'!$G:$G,'Daily Issuance'!$C:$C,$B313,'Daily Issuance'!$E:$E,"Non Inventory"))</f>
        <v>0</v>
      </c>
      <c r="H313" s="51">
        <f t="shared" si="8"/>
        <v>3</v>
      </c>
      <c r="I313" s="187">
        <v>750</v>
      </c>
      <c r="J313" s="188">
        <f t="shared" si="9"/>
        <v>2250</v>
      </c>
      <c r="K313" s="46"/>
    </row>
    <row r="314" spans="1:11" s="24" customFormat="1" ht="23.1" customHeight="1">
      <c r="A314" s="170">
        <f>IF($B314="","",MAX($A$3:A313)+1)</f>
        <v>311</v>
      </c>
      <c r="B314" s="176">
        <v>20690</v>
      </c>
      <c r="C314" s="177" t="s">
        <v>886</v>
      </c>
      <c r="D314" s="285" t="s">
        <v>112</v>
      </c>
      <c r="E314" s="281">
        <v>9</v>
      </c>
      <c r="F314" s="283">
        <f>IF($B314="","",SUMIFS('Daily Inward'!$G:$G,'Daily Inward'!$C:$C,$B314,'Daily Inward'!$E:$E,"Non Inventory"))</f>
        <v>0</v>
      </c>
      <c r="G314" s="51">
        <f>IF($B314="","",SUMIFS('Daily Issuance'!$G:$G,'Daily Issuance'!$C:$C,$B314,'Daily Issuance'!$E:$E,"Non Inventory"))</f>
        <v>0</v>
      </c>
      <c r="H314" s="51">
        <f t="shared" si="8"/>
        <v>9</v>
      </c>
      <c r="I314" s="187">
        <v>3500</v>
      </c>
      <c r="J314" s="188">
        <f t="shared" si="9"/>
        <v>31500</v>
      </c>
      <c r="K314" s="46"/>
    </row>
    <row r="315" spans="1:11" s="24" customFormat="1" ht="23.1" customHeight="1">
      <c r="A315" s="170">
        <f>IF($B315="","",MAX($A$3:A314)+1)</f>
        <v>312</v>
      </c>
      <c r="B315" s="176">
        <v>20784</v>
      </c>
      <c r="C315" s="177" t="s">
        <v>887</v>
      </c>
      <c r="D315" s="285" t="s">
        <v>112</v>
      </c>
      <c r="E315" s="281">
        <v>9</v>
      </c>
      <c r="F315" s="283">
        <f>IF($B315="","",SUMIFS('Daily Inward'!$G:$G,'Daily Inward'!$C:$C,$B315,'Daily Inward'!$E:$E,"Non Inventory"))</f>
        <v>0</v>
      </c>
      <c r="G315" s="51">
        <f>IF($B315="","",SUMIFS('Daily Issuance'!$G:$G,'Daily Issuance'!$C:$C,$B315,'Daily Issuance'!$E:$E,"Non Inventory"))</f>
        <v>0</v>
      </c>
      <c r="H315" s="51">
        <f t="shared" si="8"/>
        <v>9</v>
      </c>
      <c r="I315" s="187">
        <v>1122</v>
      </c>
      <c r="J315" s="188">
        <f t="shared" si="9"/>
        <v>10098</v>
      </c>
      <c r="K315" s="46"/>
    </row>
    <row r="316" spans="1:11" s="24" customFormat="1" ht="23.1" customHeight="1">
      <c r="A316" s="170">
        <f>IF($B316="","",MAX($A$3:A315)+1)</f>
        <v>313</v>
      </c>
      <c r="B316" s="176">
        <v>20823</v>
      </c>
      <c r="C316" s="177" t="s">
        <v>888</v>
      </c>
      <c r="D316" s="285" t="s">
        <v>112</v>
      </c>
      <c r="E316" s="281">
        <v>3</v>
      </c>
      <c r="F316" s="283">
        <f>IF($B316="","",SUMIFS('Daily Inward'!$G:$G,'Daily Inward'!$C:$C,$B316,'Daily Inward'!$E:$E,"Non Inventory"))</f>
        <v>0</v>
      </c>
      <c r="G316" s="51">
        <f>IF($B316="","",SUMIFS('Daily Issuance'!$G:$G,'Daily Issuance'!$C:$C,$B316,'Daily Issuance'!$E:$E,"Non Inventory"))</f>
        <v>0</v>
      </c>
      <c r="H316" s="51">
        <f t="shared" si="8"/>
        <v>3</v>
      </c>
      <c r="I316" s="187">
        <v>3000</v>
      </c>
      <c r="J316" s="188">
        <f t="shared" si="9"/>
        <v>9000</v>
      </c>
      <c r="K316" s="46"/>
    </row>
    <row r="317" spans="1:11" s="24" customFormat="1" ht="23.1" customHeight="1">
      <c r="A317" s="170">
        <f>IF($B317="","",MAX($A$3:A316)+1)</f>
        <v>314</v>
      </c>
      <c r="B317" s="176">
        <v>20830</v>
      </c>
      <c r="C317" s="177" t="s">
        <v>889</v>
      </c>
      <c r="D317" s="285" t="s">
        <v>112</v>
      </c>
      <c r="E317" s="281">
        <v>2</v>
      </c>
      <c r="F317" s="283">
        <f>IF($B317="","",SUMIFS('Daily Inward'!$G:$G,'Daily Inward'!$C:$C,$B317,'Daily Inward'!$E:$E,"Non Inventory"))</f>
        <v>0</v>
      </c>
      <c r="G317" s="51">
        <f>IF($B317="","",SUMIFS('Daily Issuance'!$G:$G,'Daily Issuance'!$C:$C,$B317,'Daily Issuance'!$E:$E,"Non Inventory"))</f>
        <v>0</v>
      </c>
      <c r="H317" s="51">
        <f t="shared" si="8"/>
        <v>2</v>
      </c>
      <c r="I317" s="187">
        <v>16975</v>
      </c>
      <c r="J317" s="188">
        <f t="shared" si="9"/>
        <v>33950</v>
      </c>
      <c r="K317" s="46"/>
    </row>
    <row r="318" spans="1:11" s="24" customFormat="1" ht="23.1" customHeight="1">
      <c r="A318" s="170">
        <f>IF($B318="","",MAX($A$3:A317)+1)</f>
        <v>315</v>
      </c>
      <c r="B318" s="176">
        <v>20831</v>
      </c>
      <c r="C318" s="177" t="s">
        <v>890</v>
      </c>
      <c r="D318" s="285" t="s">
        <v>112</v>
      </c>
      <c r="E318" s="281">
        <v>2</v>
      </c>
      <c r="F318" s="283">
        <f>IF($B318="","",SUMIFS('Daily Inward'!$G:$G,'Daily Inward'!$C:$C,$B318,'Daily Inward'!$E:$E,"Non Inventory"))</f>
        <v>0</v>
      </c>
      <c r="G318" s="51">
        <f>IF($B318="","",SUMIFS('Daily Issuance'!$G:$G,'Daily Issuance'!$C:$C,$B318,'Daily Issuance'!$E:$E,"Non Inventory"))</f>
        <v>0</v>
      </c>
      <c r="H318" s="51">
        <f t="shared" si="8"/>
        <v>2</v>
      </c>
      <c r="I318" s="187">
        <v>23765</v>
      </c>
      <c r="J318" s="188">
        <f t="shared" si="9"/>
        <v>47530</v>
      </c>
      <c r="K318" s="46"/>
    </row>
    <row r="319" spans="1:11" s="24" customFormat="1" ht="23.1" customHeight="1">
      <c r="A319" s="170">
        <f>IF($B319="","",MAX($A$3:A318)+1)</f>
        <v>316</v>
      </c>
      <c r="B319" s="176">
        <v>20832</v>
      </c>
      <c r="C319" s="177" t="s">
        <v>891</v>
      </c>
      <c r="D319" s="285" t="s">
        <v>112</v>
      </c>
      <c r="E319" s="281">
        <v>1</v>
      </c>
      <c r="F319" s="283">
        <f>IF($B319="","",SUMIFS('Daily Inward'!$G:$G,'Daily Inward'!$C:$C,$B319,'Daily Inward'!$E:$E,"Non Inventory"))</f>
        <v>0</v>
      </c>
      <c r="G319" s="51">
        <f>IF($B319="","",SUMIFS('Daily Issuance'!$G:$G,'Daily Issuance'!$C:$C,$B319,'Daily Issuance'!$E:$E,"Non Inventory"))</f>
        <v>0</v>
      </c>
      <c r="H319" s="51">
        <f t="shared" si="8"/>
        <v>1</v>
      </c>
      <c r="I319" s="187">
        <v>45600</v>
      </c>
      <c r="J319" s="188">
        <f t="shared" si="9"/>
        <v>45600</v>
      </c>
      <c r="K319" s="46"/>
    </row>
    <row r="320" spans="1:11" s="24" customFormat="1" ht="23.1" customHeight="1">
      <c r="A320" s="170">
        <f>IF($B320="","",MAX($A$3:A319)+1)</f>
        <v>317</v>
      </c>
      <c r="B320" s="176">
        <v>20842</v>
      </c>
      <c r="C320" s="177" t="s">
        <v>892</v>
      </c>
      <c r="D320" s="285" t="s">
        <v>112</v>
      </c>
      <c r="E320" s="281">
        <v>1</v>
      </c>
      <c r="F320" s="283">
        <f>IF($B320="","",SUMIFS('Daily Inward'!$G:$G,'Daily Inward'!$C:$C,$B320,'Daily Inward'!$E:$E,"Non Inventory"))</f>
        <v>0</v>
      </c>
      <c r="G320" s="51">
        <f>IF($B320="","",SUMIFS('Daily Issuance'!$G:$G,'Daily Issuance'!$C:$C,$B320,'Daily Issuance'!$E:$E,"Non Inventory"))</f>
        <v>0</v>
      </c>
      <c r="H320" s="51">
        <f t="shared" si="8"/>
        <v>1</v>
      </c>
      <c r="I320" s="187">
        <v>12943</v>
      </c>
      <c r="J320" s="188">
        <f t="shared" si="9"/>
        <v>12943</v>
      </c>
      <c r="K320" s="46"/>
    </row>
    <row r="321" spans="1:11" s="24" customFormat="1" ht="23.1" customHeight="1">
      <c r="A321" s="170">
        <f>IF($B321="","",MAX($A$3:A320)+1)</f>
        <v>318</v>
      </c>
      <c r="B321" s="176">
        <v>20844</v>
      </c>
      <c r="C321" s="177" t="s">
        <v>893</v>
      </c>
      <c r="D321" s="285" t="s">
        <v>112</v>
      </c>
      <c r="E321" s="281">
        <v>2</v>
      </c>
      <c r="F321" s="283">
        <f>IF($B321="","",SUMIFS('Daily Inward'!$G:$G,'Daily Inward'!$C:$C,$B321,'Daily Inward'!$E:$E,"Non Inventory"))</f>
        <v>0</v>
      </c>
      <c r="G321" s="51">
        <f>IF($B321="","",SUMIFS('Daily Issuance'!$G:$G,'Daily Issuance'!$C:$C,$B321,'Daily Issuance'!$E:$E,"Non Inventory"))</f>
        <v>0</v>
      </c>
      <c r="H321" s="51">
        <f t="shared" si="8"/>
        <v>2</v>
      </c>
      <c r="I321" s="187">
        <v>3467</v>
      </c>
      <c r="J321" s="188">
        <f t="shared" si="9"/>
        <v>6934</v>
      </c>
      <c r="K321" s="46"/>
    </row>
    <row r="322" spans="1:11" s="24" customFormat="1" ht="23.1" customHeight="1">
      <c r="A322" s="170">
        <f>IF($B322="","",MAX($A$3:A321)+1)</f>
        <v>319</v>
      </c>
      <c r="B322" s="176">
        <v>20846</v>
      </c>
      <c r="C322" s="177" t="s">
        <v>894</v>
      </c>
      <c r="D322" s="285" t="s">
        <v>112</v>
      </c>
      <c r="E322" s="281">
        <v>2</v>
      </c>
      <c r="F322" s="283">
        <f>IF($B322="","",SUMIFS('Daily Inward'!$G:$G,'Daily Inward'!$C:$C,$B322,'Daily Inward'!$E:$E,"Non Inventory"))</f>
        <v>0</v>
      </c>
      <c r="G322" s="51">
        <f>IF($B322="","",SUMIFS('Daily Issuance'!$G:$G,'Daily Issuance'!$C:$C,$B322,'Daily Issuance'!$E:$E,"Non Inventory"))</f>
        <v>0</v>
      </c>
      <c r="H322" s="51">
        <f t="shared" si="8"/>
        <v>2</v>
      </c>
      <c r="I322" s="187">
        <v>319</v>
      </c>
      <c r="J322" s="188">
        <f t="shared" si="9"/>
        <v>638</v>
      </c>
      <c r="K322" s="46"/>
    </row>
    <row r="323" spans="1:11" s="24" customFormat="1" ht="23.1" customHeight="1">
      <c r="A323" s="170">
        <f>IF($B323="","",MAX($A$3:A322)+1)</f>
        <v>320</v>
      </c>
      <c r="B323" s="176">
        <v>21035</v>
      </c>
      <c r="C323" s="177" t="s">
        <v>895</v>
      </c>
      <c r="D323" s="285" t="s">
        <v>112</v>
      </c>
      <c r="E323" s="281">
        <v>4</v>
      </c>
      <c r="F323" s="283">
        <f>IF($B323="","",SUMIFS('Daily Inward'!$G:$G,'Daily Inward'!$C:$C,$B323,'Daily Inward'!$E:$E,"Non Inventory"))</f>
        <v>0</v>
      </c>
      <c r="G323" s="51">
        <f>IF($B323="","",SUMIFS('Daily Issuance'!$G:$G,'Daily Issuance'!$C:$C,$B323,'Daily Issuance'!$E:$E,"Non Inventory"))</f>
        <v>0</v>
      </c>
      <c r="H323" s="51">
        <f t="shared" si="8"/>
        <v>4</v>
      </c>
      <c r="I323" s="187">
        <v>250</v>
      </c>
      <c r="J323" s="188">
        <f t="shared" si="9"/>
        <v>1000</v>
      </c>
      <c r="K323" s="46"/>
    </row>
    <row r="324" spans="1:11" s="24" customFormat="1" ht="23.1" customHeight="1">
      <c r="A324" s="170">
        <f>IF($B324="","",MAX($A$3:A323)+1)</f>
        <v>321</v>
      </c>
      <c r="B324" s="176">
        <v>21227</v>
      </c>
      <c r="C324" s="177" t="s">
        <v>896</v>
      </c>
      <c r="D324" s="285" t="s">
        <v>112</v>
      </c>
      <c r="E324" s="281">
        <v>1</v>
      </c>
      <c r="F324" s="283">
        <f>IF($B324="","",SUMIFS('Daily Inward'!$G:$G,'Daily Inward'!$C:$C,$B324,'Daily Inward'!$E:$E,"Non Inventory"))</f>
        <v>0</v>
      </c>
      <c r="G324" s="51">
        <f>IF($B324="","",SUMIFS('Daily Issuance'!$G:$G,'Daily Issuance'!$C:$C,$B324,'Daily Issuance'!$E:$E,"Non Inventory"))</f>
        <v>0</v>
      </c>
      <c r="H324" s="51">
        <f t="shared" ref="H324:H387" si="10">IF($B324="","",N(E324)+N(F324)-N(G324))</f>
        <v>1</v>
      </c>
      <c r="I324" s="187">
        <v>112000</v>
      </c>
      <c r="J324" s="188">
        <f t="shared" ref="J324:J387" si="11">IF($B324="","",H324*I324)</f>
        <v>112000</v>
      </c>
      <c r="K324" s="46"/>
    </row>
    <row r="325" spans="1:11" s="24" customFormat="1" ht="23.1" customHeight="1">
      <c r="A325" s="170">
        <f>IF($B325="","",MAX($A$3:A324)+1)</f>
        <v>322</v>
      </c>
      <c r="B325" s="176">
        <v>21340</v>
      </c>
      <c r="C325" s="177" t="s">
        <v>897</v>
      </c>
      <c r="D325" s="285" t="s">
        <v>615</v>
      </c>
      <c r="E325" s="281">
        <v>1</v>
      </c>
      <c r="F325" s="283">
        <f>IF($B325="","",SUMIFS('Daily Inward'!$G:$G,'Daily Inward'!$C:$C,$B325,'Daily Inward'!$E:$E,"Non Inventory"))</f>
        <v>0</v>
      </c>
      <c r="G325" s="51">
        <f>IF($B325="","",SUMIFS('Daily Issuance'!$G:$G,'Daily Issuance'!$C:$C,$B325,'Daily Issuance'!$E:$E,"Non Inventory"))</f>
        <v>0</v>
      </c>
      <c r="H325" s="51">
        <f t="shared" si="10"/>
        <v>1</v>
      </c>
      <c r="I325" s="187">
        <v>1050</v>
      </c>
      <c r="J325" s="188">
        <f t="shared" si="11"/>
        <v>1050</v>
      </c>
      <c r="K325" s="46"/>
    </row>
    <row r="326" spans="1:11" s="24" customFormat="1" ht="23.1" customHeight="1">
      <c r="A326" s="170">
        <f>IF($B326="","",MAX($A$3:A325)+1)</f>
        <v>323</v>
      </c>
      <c r="B326" s="176">
        <v>21424</v>
      </c>
      <c r="C326" s="177" t="s">
        <v>898</v>
      </c>
      <c r="D326" s="285" t="s">
        <v>112</v>
      </c>
      <c r="E326" s="281">
        <v>0</v>
      </c>
      <c r="F326" s="283">
        <f>IF($B326="","",SUMIFS('Daily Inward'!$G:$G,'Daily Inward'!$C:$C,$B326,'Daily Inward'!$E:$E,"Non Inventory"))</f>
        <v>0</v>
      </c>
      <c r="G326" s="51">
        <f>IF($B326="","",SUMIFS('Daily Issuance'!$G:$G,'Daily Issuance'!$C:$C,$B326,'Daily Issuance'!$E:$E,"Non Inventory"))</f>
        <v>0</v>
      </c>
      <c r="H326" s="51">
        <f t="shared" si="10"/>
        <v>0</v>
      </c>
      <c r="I326" s="187">
        <v>2035</v>
      </c>
      <c r="J326" s="188">
        <f t="shared" si="11"/>
        <v>0</v>
      </c>
      <c r="K326" s="46"/>
    </row>
    <row r="327" spans="1:11" s="24" customFormat="1" ht="23.1" customHeight="1">
      <c r="A327" s="170">
        <f>IF($B327="","",MAX($A$3:A326)+1)</f>
        <v>324</v>
      </c>
      <c r="B327" s="176">
        <v>21487</v>
      </c>
      <c r="C327" s="177" t="s">
        <v>899</v>
      </c>
      <c r="D327" s="285" t="s">
        <v>615</v>
      </c>
      <c r="E327" s="281">
        <v>29</v>
      </c>
      <c r="F327" s="283">
        <f>IF($B327="","",SUMIFS('Daily Inward'!$G:$G,'Daily Inward'!$C:$C,$B327,'Daily Inward'!$E:$E,"Non Inventory"))</f>
        <v>0</v>
      </c>
      <c r="G327" s="51">
        <f>IF($B327="","",SUMIFS('Daily Issuance'!$G:$G,'Daily Issuance'!$C:$C,$B327,'Daily Issuance'!$E:$E,"Non Inventory"))</f>
        <v>2</v>
      </c>
      <c r="H327" s="51">
        <f t="shared" si="10"/>
        <v>27</v>
      </c>
      <c r="I327" s="187">
        <v>3300</v>
      </c>
      <c r="J327" s="188">
        <f t="shared" si="11"/>
        <v>89100</v>
      </c>
      <c r="K327" s="46"/>
    </row>
    <row r="328" spans="1:11" s="24" customFormat="1" ht="23.1" customHeight="1">
      <c r="A328" s="170">
        <f>IF($B328="","",MAX($A$3:A327)+1)</f>
        <v>325</v>
      </c>
      <c r="B328" s="176">
        <v>21521</v>
      </c>
      <c r="C328" s="177" t="s">
        <v>900</v>
      </c>
      <c r="D328" s="285" t="s">
        <v>615</v>
      </c>
      <c r="E328" s="281">
        <v>5</v>
      </c>
      <c r="F328" s="283">
        <f>IF($B328="","",SUMIFS('Daily Inward'!$G:$G,'Daily Inward'!$C:$C,$B328,'Daily Inward'!$E:$E,"Non Inventory"))</f>
        <v>0</v>
      </c>
      <c r="G328" s="51">
        <f>IF($B328="","",SUMIFS('Daily Issuance'!$G:$G,'Daily Issuance'!$C:$C,$B328,'Daily Issuance'!$E:$E,"Non Inventory"))</f>
        <v>0</v>
      </c>
      <c r="H328" s="51">
        <f t="shared" si="10"/>
        <v>5</v>
      </c>
      <c r="I328" s="187">
        <v>3250</v>
      </c>
      <c r="J328" s="188">
        <f t="shared" si="11"/>
        <v>16250</v>
      </c>
      <c r="K328" s="46"/>
    </row>
    <row r="329" spans="1:11" s="24" customFormat="1" ht="23.1" customHeight="1">
      <c r="A329" s="170">
        <f>IF($B329="","",MAX($A$3:A328)+1)</f>
        <v>326</v>
      </c>
      <c r="B329" s="176">
        <v>21522</v>
      </c>
      <c r="C329" s="177" t="s">
        <v>901</v>
      </c>
      <c r="D329" s="285" t="s">
        <v>615</v>
      </c>
      <c r="E329" s="281">
        <v>0</v>
      </c>
      <c r="F329" s="283">
        <f>IF($B329="","",SUMIFS('Daily Inward'!$G:$G,'Daily Inward'!$C:$C,$B329,'Daily Inward'!$E:$E,"Non Inventory"))</f>
        <v>5</v>
      </c>
      <c r="G329" s="51">
        <f>IF($B329="","",SUMIFS('Daily Issuance'!$G:$G,'Daily Issuance'!$C:$C,$B329,'Daily Issuance'!$E:$E,"Non Inventory"))</f>
        <v>0</v>
      </c>
      <c r="H329" s="51">
        <f t="shared" si="10"/>
        <v>5</v>
      </c>
      <c r="I329" s="187">
        <v>7800</v>
      </c>
      <c r="J329" s="188">
        <f t="shared" si="11"/>
        <v>39000</v>
      </c>
      <c r="K329" s="46"/>
    </row>
    <row r="330" spans="1:11" s="24" customFormat="1" ht="23.1" customHeight="1">
      <c r="A330" s="170">
        <f>IF($B330="","",MAX($A$3:A329)+1)</f>
        <v>327</v>
      </c>
      <c r="B330" s="176">
        <v>21574</v>
      </c>
      <c r="C330" s="177" t="s">
        <v>902</v>
      </c>
      <c r="D330" s="285" t="s">
        <v>112</v>
      </c>
      <c r="E330" s="281">
        <v>5</v>
      </c>
      <c r="F330" s="283">
        <f>IF($B330="","",SUMIFS('Daily Inward'!$G:$G,'Daily Inward'!$C:$C,$B330,'Daily Inward'!$E:$E,"Non Inventory"))</f>
        <v>0</v>
      </c>
      <c r="G330" s="51">
        <f>IF($B330="","",SUMIFS('Daily Issuance'!$G:$G,'Daily Issuance'!$C:$C,$B330,'Daily Issuance'!$E:$E,"Non Inventory"))</f>
        <v>0</v>
      </c>
      <c r="H330" s="51">
        <f t="shared" si="10"/>
        <v>5</v>
      </c>
      <c r="I330" s="187">
        <v>5700</v>
      </c>
      <c r="J330" s="188">
        <f t="shared" si="11"/>
        <v>28500</v>
      </c>
      <c r="K330" s="46"/>
    </row>
    <row r="331" spans="1:11" s="24" customFormat="1" ht="23.1" customHeight="1">
      <c r="A331" s="170">
        <f>IF($B331="","",MAX($A$3:A330)+1)</f>
        <v>328</v>
      </c>
      <c r="B331" s="176">
        <v>21578</v>
      </c>
      <c r="C331" s="177" t="s">
        <v>903</v>
      </c>
      <c r="D331" s="285" t="s">
        <v>112</v>
      </c>
      <c r="E331" s="281">
        <v>42</v>
      </c>
      <c r="F331" s="283">
        <f>IF($B331="","",SUMIFS('Daily Inward'!$G:$G,'Daily Inward'!$C:$C,$B331,'Daily Inward'!$E:$E,"Non Inventory"))</f>
        <v>0</v>
      </c>
      <c r="G331" s="51">
        <f>IF($B331="","",SUMIFS('Daily Issuance'!$G:$G,'Daily Issuance'!$C:$C,$B331,'Daily Issuance'!$E:$E,"Non Inventory"))</f>
        <v>0</v>
      </c>
      <c r="H331" s="51">
        <f t="shared" si="10"/>
        <v>42</v>
      </c>
      <c r="I331" s="187">
        <v>350</v>
      </c>
      <c r="J331" s="188">
        <f t="shared" si="11"/>
        <v>14700</v>
      </c>
      <c r="K331" s="46"/>
    </row>
    <row r="332" spans="1:11" s="24" customFormat="1" ht="23.1" customHeight="1">
      <c r="A332" s="170">
        <f>IF($B332="","",MAX($A$3:A331)+1)</f>
        <v>329</v>
      </c>
      <c r="B332" s="176">
        <v>21596</v>
      </c>
      <c r="C332" s="177" t="s">
        <v>904</v>
      </c>
      <c r="D332" s="285" t="s">
        <v>112</v>
      </c>
      <c r="E332" s="281">
        <v>4</v>
      </c>
      <c r="F332" s="283">
        <f>IF($B332="","",SUMIFS('Daily Inward'!$G:$G,'Daily Inward'!$C:$C,$B332,'Daily Inward'!$E:$E,"Non Inventory"))</f>
        <v>0</v>
      </c>
      <c r="G332" s="51">
        <f>IF($B332="","",SUMIFS('Daily Issuance'!$G:$G,'Daily Issuance'!$C:$C,$B332,'Daily Issuance'!$E:$E,"Non Inventory"))</f>
        <v>0</v>
      </c>
      <c r="H332" s="51">
        <f t="shared" si="10"/>
        <v>4</v>
      </c>
      <c r="I332" s="187">
        <v>6200</v>
      </c>
      <c r="J332" s="188">
        <f t="shared" si="11"/>
        <v>24800</v>
      </c>
      <c r="K332" s="46"/>
    </row>
    <row r="333" spans="1:11" s="24" customFormat="1" ht="23.1" customHeight="1">
      <c r="A333" s="170">
        <f>IF($B333="","",MAX($A$3:A332)+1)</f>
        <v>330</v>
      </c>
      <c r="B333" s="176">
        <v>21597</v>
      </c>
      <c r="C333" s="177" t="s">
        <v>905</v>
      </c>
      <c r="D333" s="285" t="s">
        <v>112</v>
      </c>
      <c r="E333" s="281">
        <v>1</v>
      </c>
      <c r="F333" s="283">
        <f>IF($B333="","",SUMIFS('Daily Inward'!$G:$G,'Daily Inward'!$C:$C,$B333,'Daily Inward'!$E:$E,"Non Inventory"))</f>
        <v>0</v>
      </c>
      <c r="G333" s="51">
        <f>IF($B333="","",SUMIFS('Daily Issuance'!$G:$G,'Daily Issuance'!$C:$C,$B333,'Daily Issuance'!$E:$E,"Non Inventory"))</f>
        <v>0</v>
      </c>
      <c r="H333" s="51">
        <f t="shared" si="10"/>
        <v>1</v>
      </c>
      <c r="I333" s="187">
        <v>5200</v>
      </c>
      <c r="J333" s="188">
        <f t="shared" si="11"/>
        <v>5200</v>
      </c>
      <c r="K333" s="46"/>
    </row>
    <row r="334" spans="1:11" s="24" customFormat="1" ht="23.1" customHeight="1">
      <c r="A334" s="170">
        <f>IF($B334="","",MAX($A$3:A333)+1)</f>
        <v>331</v>
      </c>
      <c r="B334" s="176">
        <v>21607</v>
      </c>
      <c r="C334" s="177" t="s">
        <v>906</v>
      </c>
      <c r="D334" s="285" t="s">
        <v>112</v>
      </c>
      <c r="E334" s="281">
        <v>2</v>
      </c>
      <c r="F334" s="283">
        <f>IF($B334="","",SUMIFS('Daily Inward'!$G:$G,'Daily Inward'!$C:$C,$B334,'Daily Inward'!$E:$E,"Non Inventory"))</f>
        <v>0</v>
      </c>
      <c r="G334" s="51">
        <f>IF($B334="","",SUMIFS('Daily Issuance'!$G:$G,'Daily Issuance'!$C:$C,$B334,'Daily Issuance'!$E:$E,"Non Inventory"))</f>
        <v>0</v>
      </c>
      <c r="H334" s="51">
        <f t="shared" si="10"/>
        <v>2</v>
      </c>
      <c r="I334" s="187">
        <v>12000</v>
      </c>
      <c r="J334" s="188">
        <f t="shared" si="11"/>
        <v>24000</v>
      </c>
      <c r="K334" s="46"/>
    </row>
    <row r="335" spans="1:11" s="24" customFormat="1" ht="23.1" customHeight="1">
      <c r="A335" s="170">
        <f>IF($B335="","",MAX($A$3:A334)+1)</f>
        <v>332</v>
      </c>
      <c r="B335" s="176">
        <v>21714</v>
      </c>
      <c r="C335" s="177" t="s">
        <v>907</v>
      </c>
      <c r="D335" s="285" t="s">
        <v>908</v>
      </c>
      <c r="E335" s="281">
        <v>1</v>
      </c>
      <c r="F335" s="283">
        <f>IF($B335="","",SUMIFS('Daily Inward'!$G:$G,'Daily Inward'!$C:$C,$B335,'Daily Inward'!$E:$E,"Non Inventory"))</f>
        <v>0</v>
      </c>
      <c r="G335" s="51">
        <f>IF($B335="","",SUMIFS('Daily Issuance'!$G:$G,'Daily Issuance'!$C:$C,$B335,'Daily Issuance'!$E:$E,"Non Inventory"))</f>
        <v>0</v>
      </c>
      <c r="H335" s="51">
        <f t="shared" si="10"/>
        <v>1</v>
      </c>
      <c r="I335" s="187">
        <v>16500</v>
      </c>
      <c r="J335" s="188">
        <f t="shared" si="11"/>
        <v>16500</v>
      </c>
      <c r="K335" s="46"/>
    </row>
    <row r="336" spans="1:11" s="24" customFormat="1" ht="23.1" customHeight="1">
      <c r="A336" s="170">
        <f>IF($B336="","",MAX($A$3:A335)+1)</f>
        <v>333</v>
      </c>
      <c r="B336" s="176">
        <v>21715</v>
      </c>
      <c r="C336" s="177" t="s">
        <v>909</v>
      </c>
      <c r="D336" s="285" t="s">
        <v>112</v>
      </c>
      <c r="E336" s="281">
        <v>1</v>
      </c>
      <c r="F336" s="283">
        <f>IF($B336="","",SUMIFS('Daily Inward'!$G:$G,'Daily Inward'!$C:$C,$B336,'Daily Inward'!$E:$E,"Non Inventory"))</f>
        <v>0</v>
      </c>
      <c r="G336" s="51">
        <f>IF($B336="","",SUMIFS('Daily Issuance'!$G:$G,'Daily Issuance'!$C:$C,$B336,'Daily Issuance'!$E:$E,"Non Inventory"))</f>
        <v>0</v>
      </c>
      <c r="H336" s="51">
        <f t="shared" si="10"/>
        <v>1</v>
      </c>
      <c r="I336" s="187">
        <v>13500</v>
      </c>
      <c r="J336" s="188">
        <f t="shared" si="11"/>
        <v>13500</v>
      </c>
      <c r="K336" s="46"/>
    </row>
    <row r="337" spans="1:11" s="24" customFormat="1" ht="23.1" customHeight="1">
      <c r="A337" s="170">
        <f>IF($B337="","",MAX($A$3:A336)+1)</f>
        <v>334</v>
      </c>
      <c r="B337" s="176">
        <v>21716</v>
      </c>
      <c r="C337" s="177" t="s">
        <v>910</v>
      </c>
      <c r="D337" s="285" t="s">
        <v>112</v>
      </c>
      <c r="E337" s="281">
        <v>5</v>
      </c>
      <c r="F337" s="283">
        <f>IF($B337="","",SUMIFS('Daily Inward'!$G:$G,'Daily Inward'!$C:$C,$B337,'Daily Inward'!$E:$E,"Non Inventory"))</f>
        <v>0</v>
      </c>
      <c r="G337" s="51">
        <f>IF($B337="","",SUMIFS('Daily Issuance'!$G:$G,'Daily Issuance'!$C:$C,$B337,'Daily Issuance'!$E:$E,"Non Inventory"))</f>
        <v>0</v>
      </c>
      <c r="H337" s="51">
        <f t="shared" si="10"/>
        <v>5</v>
      </c>
      <c r="I337" s="187">
        <v>13500</v>
      </c>
      <c r="J337" s="188">
        <f t="shared" si="11"/>
        <v>67500</v>
      </c>
      <c r="K337" s="46"/>
    </row>
    <row r="338" spans="1:11" s="24" customFormat="1" ht="23.1" customHeight="1">
      <c r="A338" s="170">
        <f>IF($B338="","",MAX($A$3:A337)+1)</f>
        <v>335</v>
      </c>
      <c r="B338" s="176">
        <v>21756</v>
      </c>
      <c r="C338" s="177" t="s">
        <v>911</v>
      </c>
      <c r="D338" s="285" t="s">
        <v>112</v>
      </c>
      <c r="E338" s="281">
        <v>1</v>
      </c>
      <c r="F338" s="283">
        <f>IF($B338="","",SUMIFS('Daily Inward'!$G:$G,'Daily Inward'!$C:$C,$B338,'Daily Inward'!$E:$E,"Non Inventory"))</f>
        <v>0</v>
      </c>
      <c r="G338" s="51">
        <f>IF($B338="","",SUMIFS('Daily Issuance'!$G:$G,'Daily Issuance'!$C:$C,$B338,'Daily Issuance'!$E:$E,"Non Inventory"))</f>
        <v>0</v>
      </c>
      <c r="H338" s="51">
        <f t="shared" si="10"/>
        <v>1</v>
      </c>
      <c r="I338" s="187">
        <v>48500</v>
      </c>
      <c r="J338" s="188">
        <f t="shared" si="11"/>
        <v>48500</v>
      </c>
      <c r="K338" s="46"/>
    </row>
    <row r="339" spans="1:11" s="24" customFormat="1" ht="23.1" customHeight="1">
      <c r="A339" s="170">
        <f>IF($B339="","",MAX($A$3:A338)+1)</f>
        <v>336</v>
      </c>
      <c r="B339" s="176">
        <v>21765</v>
      </c>
      <c r="C339" s="177" t="s">
        <v>912</v>
      </c>
      <c r="D339" s="285" t="s">
        <v>112</v>
      </c>
      <c r="E339" s="281">
        <v>1</v>
      </c>
      <c r="F339" s="283">
        <f>IF($B339="","",SUMIFS('Daily Inward'!$G:$G,'Daily Inward'!$C:$C,$B339,'Daily Inward'!$E:$E,"Non Inventory"))</f>
        <v>0</v>
      </c>
      <c r="G339" s="51">
        <f>IF($B339="","",SUMIFS('Daily Issuance'!$G:$G,'Daily Issuance'!$C:$C,$B339,'Daily Issuance'!$E:$E,"Non Inventory"))</f>
        <v>0</v>
      </c>
      <c r="H339" s="51">
        <f t="shared" si="10"/>
        <v>1</v>
      </c>
      <c r="I339" s="187">
        <v>33925</v>
      </c>
      <c r="J339" s="188">
        <f t="shared" si="11"/>
        <v>33925</v>
      </c>
      <c r="K339" s="46"/>
    </row>
    <row r="340" spans="1:11" s="24" customFormat="1" ht="23.1" customHeight="1">
      <c r="A340" s="170">
        <f>IF($B340="","",MAX($A$3:A339)+1)</f>
        <v>337</v>
      </c>
      <c r="B340" s="176">
        <v>21809</v>
      </c>
      <c r="C340" s="177" t="s">
        <v>913</v>
      </c>
      <c r="D340" s="285" t="s">
        <v>112</v>
      </c>
      <c r="E340" s="281">
        <v>1</v>
      </c>
      <c r="F340" s="283">
        <f>IF($B340="","",SUMIFS('Daily Inward'!$G:$G,'Daily Inward'!$C:$C,$B340,'Daily Inward'!$E:$E,"Non Inventory"))</f>
        <v>0</v>
      </c>
      <c r="G340" s="51">
        <f>IF($B340="","",SUMIFS('Daily Issuance'!$G:$G,'Daily Issuance'!$C:$C,$B340,'Daily Issuance'!$E:$E,"Non Inventory"))</f>
        <v>0</v>
      </c>
      <c r="H340" s="51">
        <f t="shared" si="10"/>
        <v>1</v>
      </c>
      <c r="I340" s="187">
        <v>178000</v>
      </c>
      <c r="J340" s="188">
        <f t="shared" si="11"/>
        <v>178000</v>
      </c>
      <c r="K340" s="46"/>
    </row>
    <row r="341" spans="1:11" s="24" customFormat="1" ht="23.1" customHeight="1">
      <c r="A341" s="170">
        <f>IF($B341="","",MAX($A$3:A340)+1)</f>
        <v>338</v>
      </c>
      <c r="B341" s="176">
        <v>21810</v>
      </c>
      <c r="C341" s="177" t="s">
        <v>914</v>
      </c>
      <c r="D341" s="285" t="s">
        <v>112</v>
      </c>
      <c r="E341" s="281">
        <v>1</v>
      </c>
      <c r="F341" s="283">
        <f>IF($B341="","",SUMIFS('Daily Inward'!$G:$G,'Daily Inward'!$C:$C,$B341,'Daily Inward'!$E:$E,"Non Inventory"))</f>
        <v>0</v>
      </c>
      <c r="G341" s="51">
        <f>IF($B341="","",SUMIFS('Daily Issuance'!$G:$G,'Daily Issuance'!$C:$C,$B341,'Daily Issuance'!$E:$E,"Non Inventory"))</f>
        <v>0</v>
      </c>
      <c r="H341" s="51">
        <f t="shared" si="10"/>
        <v>1</v>
      </c>
      <c r="I341" s="187">
        <v>116000</v>
      </c>
      <c r="J341" s="188">
        <f t="shared" si="11"/>
        <v>116000</v>
      </c>
      <c r="K341" s="46"/>
    </row>
    <row r="342" spans="1:11" s="24" customFormat="1" ht="23.1" customHeight="1">
      <c r="A342" s="170">
        <f>IF($B342="","",MAX($A$3:A341)+1)</f>
        <v>339</v>
      </c>
      <c r="B342" s="176">
        <v>21811</v>
      </c>
      <c r="C342" s="177" t="s">
        <v>915</v>
      </c>
      <c r="D342" s="285" t="s">
        <v>112</v>
      </c>
      <c r="E342" s="281">
        <v>1</v>
      </c>
      <c r="F342" s="283">
        <f>IF($B342="","",SUMIFS('Daily Inward'!$G:$G,'Daily Inward'!$C:$C,$B342,'Daily Inward'!$E:$E,"Non Inventory"))</f>
        <v>0</v>
      </c>
      <c r="G342" s="51">
        <f>IF($B342="","",SUMIFS('Daily Issuance'!$G:$G,'Daily Issuance'!$C:$C,$B342,'Daily Issuance'!$E:$E,"Non Inventory"))</f>
        <v>0</v>
      </c>
      <c r="H342" s="51">
        <f t="shared" si="10"/>
        <v>1</v>
      </c>
      <c r="I342" s="187">
        <v>38000</v>
      </c>
      <c r="J342" s="188">
        <f t="shared" si="11"/>
        <v>38000</v>
      </c>
      <c r="K342" s="46"/>
    </row>
    <row r="343" spans="1:11" s="24" customFormat="1" ht="23.1" customHeight="1">
      <c r="A343" s="170">
        <f>IF($B343="","",MAX($A$3:A342)+1)</f>
        <v>340</v>
      </c>
      <c r="B343" s="176">
        <v>21812</v>
      </c>
      <c r="C343" s="177" t="s">
        <v>916</v>
      </c>
      <c r="D343" s="285" t="s">
        <v>112</v>
      </c>
      <c r="E343" s="281">
        <v>1</v>
      </c>
      <c r="F343" s="283">
        <f>IF($B343="","",SUMIFS('Daily Inward'!$G:$G,'Daily Inward'!$C:$C,$B343,'Daily Inward'!$E:$E,"Non Inventory"))</f>
        <v>0</v>
      </c>
      <c r="G343" s="51">
        <f>IF($B343="","",SUMIFS('Daily Issuance'!$G:$G,'Daily Issuance'!$C:$C,$B343,'Daily Issuance'!$E:$E,"Non Inventory"))</f>
        <v>0</v>
      </c>
      <c r="H343" s="51">
        <f t="shared" si="10"/>
        <v>1</v>
      </c>
      <c r="I343" s="187">
        <v>48000</v>
      </c>
      <c r="J343" s="188">
        <f t="shared" si="11"/>
        <v>48000</v>
      </c>
      <c r="K343" s="46"/>
    </row>
    <row r="344" spans="1:11" s="24" customFormat="1" ht="23.1" customHeight="1">
      <c r="A344" s="170">
        <f>IF($B344="","",MAX($A$3:A343)+1)</f>
        <v>341</v>
      </c>
      <c r="B344" s="176">
        <v>21813</v>
      </c>
      <c r="C344" s="177" t="s">
        <v>917</v>
      </c>
      <c r="D344" s="285" t="s">
        <v>112</v>
      </c>
      <c r="E344" s="281">
        <v>1</v>
      </c>
      <c r="F344" s="283">
        <f>IF($B344="","",SUMIFS('Daily Inward'!$G:$G,'Daily Inward'!$C:$C,$B344,'Daily Inward'!$E:$E,"Non Inventory"))</f>
        <v>0</v>
      </c>
      <c r="G344" s="51">
        <f>IF($B344="","",SUMIFS('Daily Issuance'!$G:$G,'Daily Issuance'!$C:$C,$B344,'Daily Issuance'!$E:$E,"Non Inventory"))</f>
        <v>0</v>
      </c>
      <c r="H344" s="51">
        <f t="shared" si="10"/>
        <v>1</v>
      </c>
      <c r="I344" s="187">
        <v>40500</v>
      </c>
      <c r="J344" s="188">
        <f t="shared" si="11"/>
        <v>40500</v>
      </c>
      <c r="K344" s="46"/>
    </row>
    <row r="345" spans="1:11" s="24" customFormat="1" ht="23.1" customHeight="1">
      <c r="A345" s="170">
        <f>IF($B345="","",MAX($A$3:A344)+1)</f>
        <v>342</v>
      </c>
      <c r="B345" s="176">
        <v>21814</v>
      </c>
      <c r="C345" s="177" t="s">
        <v>918</v>
      </c>
      <c r="D345" s="285" t="s">
        <v>112</v>
      </c>
      <c r="E345" s="281">
        <v>1</v>
      </c>
      <c r="F345" s="283">
        <f>IF($B345="","",SUMIFS('Daily Inward'!$G:$G,'Daily Inward'!$C:$C,$B345,'Daily Inward'!$E:$E,"Non Inventory"))</f>
        <v>0</v>
      </c>
      <c r="G345" s="51">
        <f>IF($B345="","",SUMIFS('Daily Issuance'!$G:$G,'Daily Issuance'!$C:$C,$B345,'Daily Issuance'!$E:$E,"Non Inventory"))</f>
        <v>0</v>
      </c>
      <c r="H345" s="51">
        <f t="shared" si="10"/>
        <v>1</v>
      </c>
      <c r="I345" s="187">
        <v>24500</v>
      </c>
      <c r="J345" s="188">
        <f t="shared" si="11"/>
        <v>24500</v>
      </c>
      <c r="K345" s="46"/>
    </row>
    <row r="346" spans="1:11" s="24" customFormat="1" ht="23.1" customHeight="1">
      <c r="A346" s="170">
        <f>IF($B346="","",MAX($A$3:A345)+1)</f>
        <v>343</v>
      </c>
      <c r="B346" s="176">
        <v>21817</v>
      </c>
      <c r="C346" s="177" t="s">
        <v>919</v>
      </c>
      <c r="D346" s="285" t="s">
        <v>112</v>
      </c>
      <c r="E346" s="281">
        <v>1</v>
      </c>
      <c r="F346" s="283">
        <f>IF($B346="","",SUMIFS('Daily Inward'!$G:$G,'Daily Inward'!$C:$C,$B346,'Daily Inward'!$E:$E,"Non Inventory"))</f>
        <v>0</v>
      </c>
      <c r="G346" s="51">
        <f>IF($B346="","",SUMIFS('Daily Issuance'!$G:$G,'Daily Issuance'!$C:$C,$B346,'Daily Issuance'!$E:$E,"Non Inventory"))</f>
        <v>0</v>
      </c>
      <c r="H346" s="51">
        <f t="shared" si="10"/>
        <v>1</v>
      </c>
      <c r="I346" s="187">
        <v>38000</v>
      </c>
      <c r="J346" s="188">
        <f t="shared" si="11"/>
        <v>38000</v>
      </c>
      <c r="K346" s="46"/>
    </row>
    <row r="347" spans="1:11" s="24" customFormat="1" ht="23.1" customHeight="1">
      <c r="A347" s="170">
        <f>IF($B347="","",MAX($A$3:A346)+1)</f>
        <v>344</v>
      </c>
      <c r="B347" s="176">
        <v>22101</v>
      </c>
      <c r="C347" s="177" t="s">
        <v>920</v>
      </c>
      <c r="D347" s="285" t="s">
        <v>112</v>
      </c>
      <c r="E347" s="281">
        <v>3</v>
      </c>
      <c r="F347" s="283">
        <f>IF($B347="","",SUMIFS('Daily Inward'!$G:$G,'Daily Inward'!$C:$C,$B347,'Daily Inward'!$E:$E,"Non Inventory"))</f>
        <v>0</v>
      </c>
      <c r="G347" s="51">
        <f>IF($B347="","",SUMIFS('Daily Issuance'!$G:$G,'Daily Issuance'!$C:$C,$B347,'Daily Issuance'!$E:$E,"Non Inventory"))</f>
        <v>0</v>
      </c>
      <c r="H347" s="51">
        <f t="shared" si="10"/>
        <v>3</v>
      </c>
      <c r="I347" s="187">
        <v>480</v>
      </c>
      <c r="J347" s="188">
        <f t="shared" si="11"/>
        <v>1440</v>
      </c>
      <c r="K347" s="46"/>
    </row>
    <row r="348" spans="1:11" s="24" customFormat="1" ht="23.1" customHeight="1">
      <c r="A348" s="170">
        <f>IF($B348="","",MAX($A$3:A347)+1)</f>
        <v>345</v>
      </c>
      <c r="B348" s="176">
        <v>22107</v>
      </c>
      <c r="C348" s="177" t="s">
        <v>921</v>
      </c>
      <c r="D348" s="285" t="s">
        <v>112</v>
      </c>
      <c r="E348" s="281">
        <v>36</v>
      </c>
      <c r="F348" s="283">
        <f>IF($B348="","",SUMIFS('Daily Inward'!$G:$G,'Daily Inward'!$C:$C,$B348,'Daily Inward'!$E:$E,"Non Inventory"))</f>
        <v>0</v>
      </c>
      <c r="G348" s="51">
        <f>IF($B348="","",SUMIFS('Daily Issuance'!$G:$G,'Daily Issuance'!$C:$C,$B348,'Daily Issuance'!$E:$E,"Non Inventory"))</f>
        <v>0</v>
      </c>
      <c r="H348" s="51">
        <f t="shared" si="10"/>
        <v>36</v>
      </c>
      <c r="I348" s="187">
        <v>200</v>
      </c>
      <c r="J348" s="188">
        <f t="shared" si="11"/>
        <v>7200</v>
      </c>
      <c r="K348" s="46"/>
    </row>
    <row r="349" spans="1:11" s="24" customFormat="1" ht="23.1" customHeight="1">
      <c r="A349" s="170">
        <f>IF($B349="","",MAX($A$3:A348)+1)</f>
        <v>346</v>
      </c>
      <c r="B349" s="176">
        <v>22164</v>
      </c>
      <c r="C349" s="177" t="s">
        <v>922</v>
      </c>
      <c r="D349" s="285" t="s">
        <v>112</v>
      </c>
      <c r="E349" s="281">
        <v>1</v>
      </c>
      <c r="F349" s="283">
        <f>IF($B349="","",SUMIFS('Daily Inward'!$G:$G,'Daily Inward'!$C:$C,$B349,'Daily Inward'!$E:$E,"Non Inventory"))</f>
        <v>0</v>
      </c>
      <c r="G349" s="51">
        <f>IF($B349="","",SUMIFS('Daily Issuance'!$G:$G,'Daily Issuance'!$C:$C,$B349,'Daily Issuance'!$E:$E,"Non Inventory"))</f>
        <v>0</v>
      </c>
      <c r="H349" s="51">
        <f t="shared" si="10"/>
        <v>1</v>
      </c>
      <c r="I349" s="187">
        <v>45092</v>
      </c>
      <c r="J349" s="188">
        <f t="shared" si="11"/>
        <v>45092</v>
      </c>
      <c r="K349" s="46"/>
    </row>
    <row r="350" spans="1:11" s="24" customFormat="1" ht="23.1" customHeight="1">
      <c r="A350" s="170">
        <f>IF($B350="","",MAX($A$3:A349)+1)</f>
        <v>347</v>
      </c>
      <c r="B350" s="176">
        <v>22165</v>
      </c>
      <c r="C350" s="177" t="s">
        <v>923</v>
      </c>
      <c r="D350" s="285" t="s">
        <v>112</v>
      </c>
      <c r="E350" s="281">
        <v>1</v>
      </c>
      <c r="F350" s="283">
        <f>IF($B350="","",SUMIFS('Daily Inward'!$G:$G,'Daily Inward'!$C:$C,$B350,'Daily Inward'!$E:$E,"Non Inventory"))</f>
        <v>0</v>
      </c>
      <c r="G350" s="51">
        <f>IF($B350="","",SUMIFS('Daily Issuance'!$G:$G,'Daily Issuance'!$C:$C,$B350,'Daily Issuance'!$E:$E,"Non Inventory"))</f>
        <v>0</v>
      </c>
      <c r="H350" s="51">
        <f t="shared" si="10"/>
        <v>1</v>
      </c>
      <c r="I350" s="187">
        <v>12862</v>
      </c>
      <c r="J350" s="188">
        <f t="shared" si="11"/>
        <v>12862</v>
      </c>
      <c r="K350" s="46"/>
    </row>
    <row r="351" spans="1:11" s="24" customFormat="1" ht="23.1" customHeight="1">
      <c r="A351" s="170">
        <f>IF($B351="","",MAX($A$3:A350)+1)</f>
        <v>348</v>
      </c>
      <c r="B351" s="176">
        <v>22870</v>
      </c>
      <c r="C351" s="177" t="s">
        <v>924</v>
      </c>
      <c r="D351" s="285" t="s">
        <v>112</v>
      </c>
      <c r="E351" s="281">
        <v>1</v>
      </c>
      <c r="F351" s="283">
        <f>IF($B351="","",SUMIFS('Daily Inward'!$G:$G,'Daily Inward'!$C:$C,$B351,'Daily Inward'!$E:$E,"Non Inventory"))</f>
        <v>0</v>
      </c>
      <c r="G351" s="51">
        <f>IF($B351="","",SUMIFS('Daily Issuance'!$G:$G,'Daily Issuance'!$C:$C,$B351,'Daily Issuance'!$E:$E,"Non Inventory"))</f>
        <v>0</v>
      </c>
      <c r="H351" s="51">
        <f t="shared" si="10"/>
        <v>1</v>
      </c>
      <c r="I351" s="187">
        <v>296000</v>
      </c>
      <c r="J351" s="188">
        <f t="shared" si="11"/>
        <v>296000</v>
      </c>
      <c r="K351" s="46"/>
    </row>
    <row r="352" spans="1:11" s="24" customFormat="1" ht="23.1" customHeight="1">
      <c r="A352" s="170">
        <f>IF($B352="","",MAX($A$3:A351)+1)</f>
        <v>349</v>
      </c>
      <c r="B352" s="176">
        <v>23043</v>
      </c>
      <c r="C352" s="177" t="s">
        <v>925</v>
      </c>
      <c r="D352" s="285" t="s">
        <v>112</v>
      </c>
      <c r="E352" s="281">
        <v>59</v>
      </c>
      <c r="F352" s="283">
        <f>IF($B352="","",SUMIFS('Daily Inward'!$G:$G,'Daily Inward'!$C:$C,$B352,'Daily Inward'!$E:$E,"Non Inventory"))</f>
        <v>0</v>
      </c>
      <c r="G352" s="51">
        <f>IF($B352="","",SUMIFS('Daily Issuance'!$G:$G,'Daily Issuance'!$C:$C,$B352,'Daily Issuance'!$E:$E,"Non Inventory"))</f>
        <v>0</v>
      </c>
      <c r="H352" s="51">
        <f t="shared" si="10"/>
        <v>59</v>
      </c>
      <c r="I352" s="187">
        <v>25</v>
      </c>
      <c r="J352" s="188">
        <f t="shared" si="11"/>
        <v>1475</v>
      </c>
      <c r="K352" s="46"/>
    </row>
    <row r="353" spans="1:11" s="24" customFormat="1" ht="23.1" customHeight="1">
      <c r="A353" s="170">
        <f>IF($B353="","",MAX($A$3:A352)+1)</f>
        <v>350</v>
      </c>
      <c r="B353" s="176">
        <v>23115</v>
      </c>
      <c r="C353" s="177" t="s">
        <v>926</v>
      </c>
      <c r="D353" s="285" t="s">
        <v>112</v>
      </c>
      <c r="E353" s="281">
        <v>4</v>
      </c>
      <c r="F353" s="283">
        <f>IF($B353="","",SUMIFS('Daily Inward'!$G:$G,'Daily Inward'!$C:$C,$B353,'Daily Inward'!$E:$E,"Non Inventory"))</f>
        <v>0</v>
      </c>
      <c r="G353" s="51">
        <f>IF($B353="","",SUMIFS('Daily Issuance'!$G:$G,'Daily Issuance'!$C:$C,$B353,'Daily Issuance'!$E:$E,"Non Inventory"))</f>
        <v>0</v>
      </c>
      <c r="H353" s="51">
        <f t="shared" si="10"/>
        <v>4</v>
      </c>
      <c r="I353" s="187">
        <v>18750</v>
      </c>
      <c r="J353" s="188">
        <f t="shared" si="11"/>
        <v>75000</v>
      </c>
      <c r="K353" s="46"/>
    </row>
    <row r="354" spans="1:11" s="24" customFormat="1" ht="23.1" customHeight="1">
      <c r="A354" s="170">
        <f>IF($B354="","",MAX($A$3:A353)+1)</f>
        <v>351</v>
      </c>
      <c r="B354" s="176">
        <v>23117</v>
      </c>
      <c r="C354" s="177" t="s">
        <v>927</v>
      </c>
      <c r="D354" s="285" t="s">
        <v>112</v>
      </c>
      <c r="E354" s="281">
        <v>1</v>
      </c>
      <c r="F354" s="283">
        <f>IF($B354="","",SUMIFS('Daily Inward'!$G:$G,'Daily Inward'!$C:$C,$B354,'Daily Inward'!$E:$E,"Non Inventory"))</f>
        <v>0</v>
      </c>
      <c r="G354" s="51">
        <f>IF($B354="","",SUMIFS('Daily Issuance'!$G:$G,'Daily Issuance'!$C:$C,$B354,'Daily Issuance'!$E:$E,"Non Inventory"))</f>
        <v>0</v>
      </c>
      <c r="H354" s="51">
        <f t="shared" si="10"/>
        <v>1</v>
      </c>
      <c r="I354" s="187">
        <v>23125</v>
      </c>
      <c r="J354" s="188">
        <f t="shared" si="11"/>
        <v>23125</v>
      </c>
      <c r="K354" s="46"/>
    </row>
    <row r="355" spans="1:11" s="24" customFormat="1" ht="23.1" customHeight="1">
      <c r="A355" s="170">
        <f>IF($B355="","",MAX($A$3:A354)+1)</f>
        <v>352</v>
      </c>
      <c r="B355" s="176">
        <v>23276</v>
      </c>
      <c r="C355" s="177" t="s">
        <v>928</v>
      </c>
      <c r="D355" s="285" t="s">
        <v>112</v>
      </c>
      <c r="E355" s="281">
        <v>1</v>
      </c>
      <c r="F355" s="283">
        <f>IF($B355="","",SUMIFS('Daily Inward'!$G:$G,'Daily Inward'!$C:$C,$B355,'Daily Inward'!$E:$E,"Non Inventory"))</f>
        <v>0</v>
      </c>
      <c r="G355" s="51">
        <f>IF($B355="","",SUMIFS('Daily Issuance'!$G:$G,'Daily Issuance'!$C:$C,$B355,'Daily Issuance'!$E:$E,"Non Inventory"))</f>
        <v>0</v>
      </c>
      <c r="H355" s="51">
        <f t="shared" si="10"/>
        <v>1</v>
      </c>
      <c r="I355" s="187">
        <v>8000</v>
      </c>
      <c r="J355" s="188">
        <f t="shared" si="11"/>
        <v>8000</v>
      </c>
      <c r="K355" s="46"/>
    </row>
    <row r="356" spans="1:11" s="24" customFormat="1" ht="23.1" customHeight="1">
      <c r="A356" s="170">
        <f>IF($B356="","",MAX($A$3:A355)+1)</f>
        <v>353</v>
      </c>
      <c r="B356" s="176">
        <v>23367</v>
      </c>
      <c r="C356" s="177" t="s">
        <v>929</v>
      </c>
      <c r="D356" s="285" t="s">
        <v>112</v>
      </c>
      <c r="E356" s="281">
        <v>1</v>
      </c>
      <c r="F356" s="283">
        <f>IF($B356="","",SUMIFS('Daily Inward'!$G:$G,'Daily Inward'!$C:$C,$B356,'Daily Inward'!$E:$E,"Non Inventory"))</f>
        <v>0</v>
      </c>
      <c r="G356" s="51">
        <f>IF($B356="","",SUMIFS('Daily Issuance'!$G:$G,'Daily Issuance'!$C:$C,$B356,'Daily Issuance'!$E:$E,"Non Inventory"))</f>
        <v>0</v>
      </c>
      <c r="H356" s="51">
        <f t="shared" si="10"/>
        <v>1</v>
      </c>
      <c r="I356" s="187">
        <v>7400</v>
      </c>
      <c r="J356" s="188">
        <f t="shared" si="11"/>
        <v>7400</v>
      </c>
      <c r="K356" s="46"/>
    </row>
    <row r="357" spans="1:11" s="24" customFormat="1" ht="23.1" customHeight="1">
      <c r="A357" s="170">
        <f>IF($B357="","",MAX($A$3:A356)+1)</f>
        <v>354</v>
      </c>
      <c r="B357" s="176">
        <v>23368</v>
      </c>
      <c r="C357" s="177" t="s">
        <v>930</v>
      </c>
      <c r="D357" s="285" t="s">
        <v>112</v>
      </c>
      <c r="E357" s="281">
        <v>4</v>
      </c>
      <c r="F357" s="283">
        <f>IF($B357="","",SUMIFS('Daily Inward'!$G:$G,'Daily Inward'!$C:$C,$B357,'Daily Inward'!$E:$E,"Non Inventory"))</f>
        <v>0</v>
      </c>
      <c r="G357" s="51">
        <f>IF($B357="","",SUMIFS('Daily Issuance'!$G:$G,'Daily Issuance'!$C:$C,$B357,'Daily Issuance'!$E:$E,"Non Inventory"))</f>
        <v>0</v>
      </c>
      <c r="H357" s="51">
        <f t="shared" si="10"/>
        <v>4</v>
      </c>
      <c r="I357" s="187">
        <v>8500</v>
      </c>
      <c r="J357" s="188">
        <f t="shared" si="11"/>
        <v>34000</v>
      </c>
      <c r="K357" s="46"/>
    </row>
    <row r="358" spans="1:11" s="24" customFormat="1" ht="23.1" customHeight="1">
      <c r="A358" s="170">
        <f>IF($B358="","",MAX($A$3:A357)+1)</f>
        <v>355</v>
      </c>
      <c r="B358" s="176">
        <v>23392</v>
      </c>
      <c r="C358" s="177" t="s">
        <v>931</v>
      </c>
      <c r="D358" s="285" t="s">
        <v>112</v>
      </c>
      <c r="E358" s="281">
        <v>1</v>
      </c>
      <c r="F358" s="283">
        <f>IF($B358="","",SUMIFS('Daily Inward'!$G:$G,'Daily Inward'!$C:$C,$B358,'Daily Inward'!$E:$E,"Non Inventory"))</f>
        <v>0</v>
      </c>
      <c r="G358" s="51">
        <f>IF($B358="","",SUMIFS('Daily Issuance'!$G:$G,'Daily Issuance'!$C:$C,$B358,'Daily Issuance'!$E:$E,"Non Inventory"))</f>
        <v>0</v>
      </c>
      <c r="H358" s="51">
        <f t="shared" si="10"/>
        <v>1</v>
      </c>
      <c r="I358" s="187">
        <v>236810</v>
      </c>
      <c r="J358" s="188">
        <f t="shared" si="11"/>
        <v>236810</v>
      </c>
      <c r="K358" s="46"/>
    </row>
    <row r="359" spans="1:11" s="24" customFormat="1" ht="23.1" customHeight="1">
      <c r="A359" s="170">
        <f>IF($B359="","",MAX($A$3:A358)+1)</f>
        <v>356</v>
      </c>
      <c r="B359" s="176">
        <v>23706</v>
      </c>
      <c r="C359" s="177" t="s">
        <v>932</v>
      </c>
      <c r="D359" s="285" t="s">
        <v>112</v>
      </c>
      <c r="E359" s="281">
        <v>9</v>
      </c>
      <c r="F359" s="283">
        <f>IF($B359="","",SUMIFS('Daily Inward'!$G:$G,'Daily Inward'!$C:$C,$B359,'Daily Inward'!$E:$E,"Non Inventory"))</f>
        <v>0</v>
      </c>
      <c r="G359" s="51">
        <f>IF($B359="","",SUMIFS('Daily Issuance'!$G:$G,'Daily Issuance'!$C:$C,$B359,'Daily Issuance'!$E:$E,"Non Inventory"))</f>
        <v>0</v>
      </c>
      <c r="H359" s="51">
        <f t="shared" si="10"/>
        <v>9</v>
      </c>
      <c r="I359" s="187">
        <v>170</v>
      </c>
      <c r="J359" s="188">
        <f t="shared" si="11"/>
        <v>1530</v>
      </c>
      <c r="K359" s="46"/>
    </row>
    <row r="360" spans="1:11" s="24" customFormat="1" ht="23.1" customHeight="1">
      <c r="A360" s="170">
        <f>IF($B360="","",MAX($A$3:A359)+1)</f>
        <v>357</v>
      </c>
      <c r="B360" s="176">
        <v>24020</v>
      </c>
      <c r="C360" s="177" t="s">
        <v>933</v>
      </c>
      <c r="D360" s="285" t="s">
        <v>112</v>
      </c>
      <c r="E360" s="281">
        <v>3</v>
      </c>
      <c r="F360" s="283">
        <f>IF($B360="","",SUMIFS('Daily Inward'!$G:$G,'Daily Inward'!$C:$C,$B360,'Daily Inward'!$E:$E,"Non Inventory"))</f>
        <v>0</v>
      </c>
      <c r="G360" s="51">
        <f>IF($B360="","",SUMIFS('Daily Issuance'!$G:$G,'Daily Issuance'!$C:$C,$B360,'Daily Issuance'!$E:$E,"Non Inventory"))</f>
        <v>0</v>
      </c>
      <c r="H360" s="51">
        <f t="shared" si="10"/>
        <v>3</v>
      </c>
      <c r="I360" s="187"/>
      <c r="J360" s="188">
        <f t="shared" si="11"/>
        <v>0</v>
      </c>
      <c r="K360" s="46"/>
    </row>
    <row r="361" spans="1:11" s="24" customFormat="1" ht="23.1" customHeight="1">
      <c r="A361" s="170">
        <f>IF($B361="","",MAX($A$3:A360)+1)</f>
        <v>358</v>
      </c>
      <c r="B361" s="176">
        <v>24021</v>
      </c>
      <c r="C361" s="177" t="s">
        <v>934</v>
      </c>
      <c r="D361" s="285" t="s">
        <v>112</v>
      </c>
      <c r="E361" s="281">
        <v>2</v>
      </c>
      <c r="F361" s="283">
        <f>IF($B361="","",SUMIFS('Daily Inward'!$G:$G,'Daily Inward'!$C:$C,$B361,'Daily Inward'!$E:$E,"Non Inventory"))</f>
        <v>0</v>
      </c>
      <c r="G361" s="51">
        <f>IF($B361="","",SUMIFS('Daily Issuance'!$G:$G,'Daily Issuance'!$C:$C,$B361,'Daily Issuance'!$E:$E,"Non Inventory"))</f>
        <v>0</v>
      </c>
      <c r="H361" s="51">
        <f t="shared" si="10"/>
        <v>2</v>
      </c>
      <c r="I361" s="187"/>
      <c r="J361" s="188">
        <f t="shared" si="11"/>
        <v>0</v>
      </c>
      <c r="K361" s="46"/>
    </row>
    <row r="362" spans="1:11" s="24" customFormat="1" ht="23.1" customHeight="1">
      <c r="A362" s="170">
        <f>IF($B362="","",MAX($A$3:A361)+1)</f>
        <v>359</v>
      </c>
      <c r="B362" s="176">
        <v>24164</v>
      </c>
      <c r="C362" s="177" t="s">
        <v>935</v>
      </c>
      <c r="D362" s="285" t="s">
        <v>112</v>
      </c>
      <c r="E362" s="281">
        <v>18</v>
      </c>
      <c r="F362" s="283">
        <f>IF($B362="","",SUMIFS('Daily Inward'!$G:$G,'Daily Inward'!$C:$C,$B362,'Daily Inward'!$E:$E,"Non Inventory"))</f>
        <v>0</v>
      </c>
      <c r="G362" s="51">
        <f>IF($B362="","",SUMIFS('Daily Issuance'!$G:$G,'Daily Issuance'!$C:$C,$B362,'Daily Issuance'!$E:$E,"Non Inventory"))</f>
        <v>1</v>
      </c>
      <c r="H362" s="51">
        <f t="shared" si="10"/>
        <v>17</v>
      </c>
      <c r="I362" s="187">
        <v>950</v>
      </c>
      <c r="J362" s="188">
        <f t="shared" si="11"/>
        <v>16150</v>
      </c>
      <c r="K362" s="46"/>
    </row>
    <row r="363" spans="1:11" s="24" customFormat="1" ht="23.1" customHeight="1">
      <c r="A363" s="170">
        <f>IF($B363="","",MAX($A$3:A362)+1)</f>
        <v>360</v>
      </c>
      <c r="B363" s="176">
        <v>24190</v>
      </c>
      <c r="C363" s="177" t="s">
        <v>936</v>
      </c>
      <c r="D363" s="285" t="s">
        <v>112</v>
      </c>
      <c r="E363" s="281">
        <v>136</v>
      </c>
      <c r="F363" s="283">
        <f>IF($B363="","",SUMIFS('Daily Inward'!$G:$G,'Daily Inward'!$C:$C,$B363,'Daily Inward'!$E:$E,"Non Inventory"))</f>
        <v>0</v>
      </c>
      <c r="G363" s="51">
        <f>IF($B363="","",SUMIFS('Daily Issuance'!$G:$G,'Daily Issuance'!$C:$C,$B363,'Daily Issuance'!$E:$E,"Non Inventory"))</f>
        <v>0</v>
      </c>
      <c r="H363" s="51">
        <f t="shared" si="10"/>
        <v>136</v>
      </c>
      <c r="I363" s="187">
        <v>8.6999999999999993</v>
      </c>
      <c r="J363" s="188">
        <f t="shared" si="11"/>
        <v>1183.1999999999998</v>
      </c>
      <c r="K363" s="46"/>
    </row>
    <row r="364" spans="1:11" s="24" customFormat="1" ht="23.1" customHeight="1">
      <c r="A364" s="170">
        <f>IF($B364="","",MAX($A$3:A363)+1)</f>
        <v>361</v>
      </c>
      <c r="B364" s="176">
        <v>24808</v>
      </c>
      <c r="C364" s="177" t="s">
        <v>937</v>
      </c>
      <c r="D364" s="285" t="s">
        <v>112</v>
      </c>
      <c r="E364" s="281">
        <v>7</v>
      </c>
      <c r="F364" s="283">
        <f>IF($B364="","",SUMIFS('Daily Inward'!$G:$G,'Daily Inward'!$C:$C,$B364,'Daily Inward'!$E:$E,"Non Inventory"))</f>
        <v>0</v>
      </c>
      <c r="G364" s="51">
        <f>IF($B364="","",SUMIFS('Daily Issuance'!$G:$G,'Daily Issuance'!$C:$C,$B364,'Daily Issuance'!$E:$E,"Non Inventory"))</f>
        <v>0</v>
      </c>
      <c r="H364" s="51">
        <f t="shared" si="10"/>
        <v>7</v>
      </c>
      <c r="I364" s="187">
        <v>3000</v>
      </c>
      <c r="J364" s="188">
        <f t="shared" si="11"/>
        <v>21000</v>
      </c>
      <c r="K364" s="46"/>
    </row>
    <row r="365" spans="1:11" s="24" customFormat="1" ht="23.1" customHeight="1">
      <c r="A365" s="170">
        <f>IF($B365="","",MAX($A$3:A364)+1)</f>
        <v>362</v>
      </c>
      <c r="B365" s="176">
        <v>25102</v>
      </c>
      <c r="C365" s="177" t="s">
        <v>938</v>
      </c>
      <c r="D365" s="285" t="s">
        <v>338</v>
      </c>
      <c r="E365" s="281">
        <v>96</v>
      </c>
      <c r="F365" s="283">
        <f>IF($B365="","",SUMIFS('Daily Inward'!$G:$G,'Daily Inward'!$C:$C,$B365,'Daily Inward'!$E:$E,"Non Inventory"))</f>
        <v>0</v>
      </c>
      <c r="G365" s="51">
        <f>IF($B365="","",SUMIFS('Daily Issuance'!$G:$G,'Daily Issuance'!$C:$C,$B365,'Daily Issuance'!$E:$E,"Non Inventory"))</f>
        <v>0</v>
      </c>
      <c r="H365" s="51">
        <f t="shared" si="10"/>
        <v>96</v>
      </c>
      <c r="I365" s="187">
        <v>22</v>
      </c>
      <c r="J365" s="188">
        <f t="shared" si="11"/>
        <v>2112</v>
      </c>
      <c r="K365" s="46"/>
    </row>
    <row r="366" spans="1:11" s="24" customFormat="1" ht="23.1" customHeight="1">
      <c r="A366" s="170">
        <f>IF($B366="","",MAX($A$3:A365)+1)</f>
        <v>363</v>
      </c>
      <c r="B366" s="176">
        <v>25103</v>
      </c>
      <c r="C366" s="177" t="s">
        <v>939</v>
      </c>
      <c r="D366" s="285" t="s">
        <v>338</v>
      </c>
      <c r="E366" s="281">
        <v>100</v>
      </c>
      <c r="F366" s="283">
        <f>IF($B366="","",SUMIFS('Daily Inward'!$G:$G,'Daily Inward'!$C:$C,$B366,'Daily Inward'!$E:$E,"Non Inventory"))</f>
        <v>0</v>
      </c>
      <c r="G366" s="51">
        <f>IF($B366="","",SUMIFS('Daily Issuance'!$G:$G,'Daily Issuance'!$C:$C,$B366,'Daily Issuance'!$E:$E,"Non Inventory"))</f>
        <v>0</v>
      </c>
      <c r="H366" s="51">
        <f t="shared" si="10"/>
        <v>100</v>
      </c>
      <c r="I366" s="187">
        <v>18</v>
      </c>
      <c r="J366" s="188">
        <f t="shared" si="11"/>
        <v>1800</v>
      </c>
      <c r="K366" s="46"/>
    </row>
    <row r="367" spans="1:11" s="24" customFormat="1" ht="23.1" customHeight="1">
      <c r="A367" s="170">
        <f>IF($B367="","",MAX($A$3:A366)+1)</f>
        <v>364</v>
      </c>
      <c r="B367" s="176">
        <v>25258</v>
      </c>
      <c r="C367" s="177" t="s">
        <v>940</v>
      </c>
      <c r="D367" s="285" t="s">
        <v>604</v>
      </c>
      <c r="E367" s="281">
        <v>17</v>
      </c>
      <c r="F367" s="283">
        <f>IF($B367="","",SUMIFS('Daily Inward'!$G:$G,'Daily Inward'!$C:$C,$B367,'Daily Inward'!$E:$E,"Non Inventory"))</f>
        <v>0</v>
      </c>
      <c r="G367" s="51">
        <f>IF($B367="","",SUMIFS('Daily Issuance'!$G:$G,'Daily Issuance'!$C:$C,$B367,'Daily Issuance'!$E:$E,"Non Inventory"))</f>
        <v>0</v>
      </c>
      <c r="H367" s="51">
        <f t="shared" si="10"/>
        <v>17</v>
      </c>
      <c r="I367" s="187">
        <v>57</v>
      </c>
      <c r="J367" s="188">
        <f t="shared" si="11"/>
        <v>969</v>
      </c>
      <c r="K367" s="46"/>
    </row>
    <row r="368" spans="1:11" s="24" customFormat="1" ht="23.1" customHeight="1">
      <c r="A368" s="170">
        <f>IF($B368="","",MAX($A$3:A367)+1)</f>
        <v>365</v>
      </c>
      <c r="B368" s="176">
        <v>25446</v>
      </c>
      <c r="C368" s="177" t="s">
        <v>941</v>
      </c>
      <c r="D368" s="285" t="s">
        <v>112</v>
      </c>
      <c r="E368" s="281">
        <v>1</v>
      </c>
      <c r="F368" s="283">
        <f>IF($B368="","",SUMIFS('Daily Inward'!$G:$G,'Daily Inward'!$C:$C,$B368,'Daily Inward'!$E:$E,"Non Inventory"))</f>
        <v>0</v>
      </c>
      <c r="G368" s="51">
        <f>IF($B368="","",SUMIFS('Daily Issuance'!$G:$G,'Daily Issuance'!$C:$C,$B368,'Daily Issuance'!$E:$E,"Non Inventory"))</f>
        <v>0</v>
      </c>
      <c r="H368" s="51">
        <f t="shared" si="10"/>
        <v>1</v>
      </c>
      <c r="I368" s="187">
        <v>750</v>
      </c>
      <c r="J368" s="188">
        <f t="shared" si="11"/>
        <v>750</v>
      </c>
      <c r="K368" s="46"/>
    </row>
    <row r="369" spans="1:11" s="24" customFormat="1" ht="23.1" customHeight="1">
      <c r="A369" s="170">
        <f>IF($B369="","",MAX($A$3:A368)+1)</f>
        <v>366</v>
      </c>
      <c r="B369" s="176">
        <v>25526</v>
      </c>
      <c r="C369" s="177" t="s">
        <v>942</v>
      </c>
      <c r="D369" s="285" t="s">
        <v>604</v>
      </c>
      <c r="E369" s="281">
        <v>58</v>
      </c>
      <c r="F369" s="283">
        <f>IF($B369="","",SUMIFS('Daily Inward'!$G:$G,'Daily Inward'!$C:$C,$B369,'Daily Inward'!$E:$E,"Non Inventory"))</f>
        <v>0</v>
      </c>
      <c r="G369" s="51">
        <f>IF($B369="","",SUMIFS('Daily Issuance'!$G:$G,'Daily Issuance'!$C:$C,$B369,'Daily Issuance'!$E:$E,"Non Inventory"))</f>
        <v>0</v>
      </c>
      <c r="H369" s="51">
        <f t="shared" si="10"/>
        <v>58</v>
      </c>
      <c r="I369" s="187">
        <v>418</v>
      </c>
      <c r="J369" s="188">
        <f t="shared" si="11"/>
        <v>24244</v>
      </c>
      <c r="K369" s="46"/>
    </row>
    <row r="370" spans="1:11" s="24" customFormat="1" ht="23.1" customHeight="1">
      <c r="A370" s="170">
        <f>IF($B370="","",MAX($A$3:A369)+1)</f>
        <v>367</v>
      </c>
      <c r="B370" s="176">
        <v>25585</v>
      </c>
      <c r="C370" s="177" t="s">
        <v>943</v>
      </c>
      <c r="D370" s="285" t="s">
        <v>112</v>
      </c>
      <c r="E370" s="281">
        <v>4</v>
      </c>
      <c r="F370" s="283">
        <f>IF($B370="","",SUMIFS('Daily Inward'!$G:$G,'Daily Inward'!$C:$C,$B370,'Daily Inward'!$E:$E,"Non Inventory"))</f>
        <v>0</v>
      </c>
      <c r="G370" s="51">
        <f>IF($B370="","",SUMIFS('Daily Issuance'!$G:$G,'Daily Issuance'!$C:$C,$B370,'Daily Issuance'!$E:$E,"Non Inventory"))</f>
        <v>0</v>
      </c>
      <c r="H370" s="51">
        <f t="shared" si="10"/>
        <v>4</v>
      </c>
      <c r="I370" s="187">
        <v>18500</v>
      </c>
      <c r="J370" s="188">
        <f t="shared" si="11"/>
        <v>74000</v>
      </c>
      <c r="K370" s="46"/>
    </row>
    <row r="371" spans="1:11" s="24" customFormat="1" ht="23.1" customHeight="1">
      <c r="A371" s="170">
        <f>IF($B371="","",MAX($A$3:A370)+1)</f>
        <v>368</v>
      </c>
      <c r="B371" s="176">
        <v>25771</v>
      </c>
      <c r="C371" s="177" t="s">
        <v>944</v>
      </c>
      <c r="D371" s="285" t="s">
        <v>112</v>
      </c>
      <c r="E371" s="281">
        <v>5</v>
      </c>
      <c r="F371" s="283">
        <f>IF($B371="","",SUMIFS('Daily Inward'!$G:$G,'Daily Inward'!$C:$C,$B371,'Daily Inward'!$E:$E,"Non Inventory"))</f>
        <v>0</v>
      </c>
      <c r="G371" s="51">
        <f>IF($B371="","",SUMIFS('Daily Issuance'!$G:$G,'Daily Issuance'!$C:$C,$B371,'Daily Issuance'!$E:$E,"Non Inventory"))</f>
        <v>0</v>
      </c>
      <c r="H371" s="51">
        <f t="shared" si="10"/>
        <v>5</v>
      </c>
      <c r="I371" s="187">
        <v>300</v>
      </c>
      <c r="J371" s="188">
        <f t="shared" si="11"/>
        <v>1500</v>
      </c>
      <c r="K371" s="46"/>
    </row>
    <row r="372" spans="1:11" s="24" customFormat="1" ht="23.1" customHeight="1">
      <c r="A372" s="170">
        <f>IF($B372="","",MAX($A$3:A371)+1)</f>
        <v>369</v>
      </c>
      <c r="B372" s="176">
        <v>26154</v>
      </c>
      <c r="C372" s="177" t="s">
        <v>945</v>
      </c>
      <c r="D372" s="285" t="s">
        <v>112</v>
      </c>
      <c r="E372" s="281">
        <v>1</v>
      </c>
      <c r="F372" s="283">
        <f>IF($B372="","",SUMIFS('Daily Inward'!$G:$G,'Daily Inward'!$C:$C,$B372,'Daily Inward'!$E:$E,"Non Inventory"))</f>
        <v>0</v>
      </c>
      <c r="G372" s="51">
        <f>IF($B372="","",SUMIFS('Daily Issuance'!$G:$G,'Daily Issuance'!$C:$C,$B372,'Daily Issuance'!$E:$E,"Non Inventory"))</f>
        <v>0</v>
      </c>
      <c r="H372" s="51">
        <f t="shared" si="10"/>
        <v>1</v>
      </c>
      <c r="I372" s="187">
        <v>24000</v>
      </c>
      <c r="J372" s="188">
        <f t="shared" si="11"/>
        <v>24000</v>
      </c>
      <c r="K372" s="46"/>
    </row>
    <row r="373" spans="1:11" s="24" customFormat="1" ht="23.1" customHeight="1">
      <c r="A373" s="170">
        <f>IF($B373="","",MAX($A$3:A372)+1)</f>
        <v>370</v>
      </c>
      <c r="B373" s="176">
        <v>26162</v>
      </c>
      <c r="C373" s="177" t="s">
        <v>946</v>
      </c>
      <c r="D373" s="285" t="s">
        <v>112</v>
      </c>
      <c r="E373" s="281">
        <v>1</v>
      </c>
      <c r="F373" s="283">
        <f>IF($B373="","",SUMIFS('Daily Inward'!$G:$G,'Daily Inward'!$C:$C,$B373,'Daily Inward'!$E:$E,"Non Inventory"))</f>
        <v>0</v>
      </c>
      <c r="G373" s="51">
        <f>IF($B373="","",SUMIFS('Daily Issuance'!$G:$G,'Daily Issuance'!$C:$C,$B373,'Daily Issuance'!$E:$E,"Non Inventory"))</f>
        <v>0</v>
      </c>
      <c r="H373" s="51">
        <f t="shared" si="10"/>
        <v>1</v>
      </c>
      <c r="I373" s="187"/>
      <c r="J373" s="188">
        <f t="shared" si="11"/>
        <v>0</v>
      </c>
      <c r="K373" s="46"/>
    </row>
    <row r="374" spans="1:11" s="24" customFormat="1" ht="23.1" customHeight="1">
      <c r="A374" s="170">
        <f>IF($B374="","",MAX($A$3:A373)+1)</f>
        <v>371</v>
      </c>
      <c r="B374" s="176">
        <v>26384</v>
      </c>
      <c r="C374" s="177" t="s">
        <v>947</v>
      </c>
      <c r="D374" s="285" t="s">
        <v>112</v>
      </c>
      <c r="E374" s="281">
        <v>6</v>
      </c>
      <c r="F374" s="283">
        <f>IF($B374="","",SUMIFS('Daily Inward'!$G:$G,'Daily Inward'!$C:$C,$B374,'Daily Inward'!$E:$E,"Non Inventory"))</f>
        <v>0</v>
      </c>
      <c r="G374" s="51">
        <f>IF($B374="","",SUMIFS('Daily Issuance'!$G:$G,'Daily Issuance'!$C:$C,$B374,'Daily Issuance'!$E:$E,"Non Inventory"))</f>
        <v>0</v>
      </c>
      <c r="H374" s="51">
        <f t="shared" si="10"/>
        <v>6</v>
      </c>
      <c r="I374" s="187">
        <v>9600</v>
      </c>
      <c r="J374" s="188">
        <f t="shared" si="11"/>
        <v>57600</v>
      </c>
      <c r="K374" s="46"/>
    </row>
    <row r="375" spans="1:11" s="24" customFormat="1" ht="23.1" customHeight="1">
      <c r="A375" s="170">
        <f>IF($B375="","",MAX($A$3:A374)+1)</f>
        <v>372</v>
      </c>
      <c r="B375" s="176">
        <v>26385</v>
      </c>
      <c r="C375" s="177" t="s">
        <v>948</v>
      </c>
      <c r="D375" s="285" t="s">
        <v>112</v>
      </c>
      <c r="E375" s="281">
        <v>6</v>
      </c>
      <c r="F375" s="283">
        <f>IF($B375="","",SUMIFS('Daily Inward'!$G:$G,'Daily Inward'!$C:$C,$B375,'Daily Inward'!$E:$E,"Non Inventory"))</f>
        <v>0</v>
      </c>
      <c r="G375" s="51">
        <f>IF($B375="","",SUMIFS('Daily Issuance'!$G:$G,'Daily Issuance'!$C:$C,$B375,'Daily Issuance'!$E:$E,"Non Inventory"))</f>
        <v>0</v>
      </c>
      <c r="H375" s="51">
        <f t="shared" si="10"/>
        <v>6</v>
      </c>
      <c r="I375" s="187">
        <v>6800</v>
      </c>
      <c r="J375" s="188">
        <f t="shared" si="11"/>
        <v>40800</v>
      </c>
      <c r="K375" s="46"/>
    </row>
    <row r="376" spans="1:11" s="24" customFormat="1" ht="23.1" customHeight="1">
      <c r="A376" s="170">
        <f>IF($B376="","",MAX($A$3:A375)+1)</f>
        <v>373</v>
      </c>
      <c r="B376" s="176">
        <v>26386</v>
      </c>
      <c r="C376" s="177" t="s">
        <v>949</v>
      </c>
      <c r="D376" s="285" t="s">
        <v>112</v>
      </c>
      <c r="E376" s="281">
        <v>12</v>
      </c>
      <c r="F376" s="283">
        <f>IF($B376="","",SUMIFS('Daily Inward'!$G:$G,'Daily Inward'!$C:$C,$B376,'Daily Inward'!$E:$E,"Non Inventory"))</f>
        <v>0</v>
      </c>
      <c r="G376" s="51">
        <f>IF($B376="","",SUMIFS('Daily Issuance'!$G:$G,'Daily Issuance'!$C:$C,$B376,'Daily Issuance'!$E:$E,"Non Inventory"))</f>
        <v>0</v>
      </c>
      <c r="H376" s="51">
        <f t="shared" si="10"/>
        <v>12</v>
      </c>
      <c r="I376" s="187">
        <v>230</v>
      </c>
      <c r="J376" s="188">
        <f t="shared" si="11"/>
        <v>2760</v>
      </c>
      <c r="K376" s="46"/>
    </row>
    <row r="377" spans="1:11" s="24" customFormat="1" ht="23.1" customHeight="1">
      <c r="A377" s="170">
        <f>IF($B377="","",MAX($A$3:A376)+1)</f>
        <v>374</v>
      </c>
      <c r="B377" s="176">
        <v>26387</v>
      </c>
      <c r="C377" s="177" t="s">
        <v>950</v>
      </c>
      <c r="D377" s="285" t="s">
        <v>112</v>
      </c>
      <c r="E377" s="281">
        <v>12</v>
      </c>
      <c r="F377" s="283">
        <f>IF($B377="","",SUMIFS('Daily Inward'!$G:$G,'Daily Inward'!$C:$C,$B377,'Daily Inward'!$E:$E,"Non Inventory"))</f>
        <v>0</v>
      </c>
      <c r="G377" s="51">
        <f>IF($B377="","",SUMIFS('Daily Issuance'!$G:$G,'Daily Issuance'!$C:$C,$B377,'Daily Issuance'!$E:$E,"Non Inventory"))</f>
        <v>0</v>
      </c>
      <c r="H377" s="51">
        <f t="shared" si="10"/>
        <v>12</v>
      </c>
      <c r="I377" s="187">
        <v>550</v>
      </c>
      <c r="J377" s="188">
        <f t="shared" si="11"/>
        <v>6600</v>
      </c>
      <c r="K377" s="46"/>
    </row>
    <row r="378" spans="1:11" s="24" customFormat="1" ht="23.1" customHeight="1">
      <c r="A378" s="170">
        <f>IF($B378="","",MAX($A$3:A377)+1)</f>
        <v>375</v>
      </c>
      <c r="B378" s="176">
        <v>26388</v>
      </c>
      <c r="C378" s="177" t="s">
        <v>951</v>
      </c>
      <c r="D378" s="285" t="s">
        <v>112</v>
      </c>
      <c r="E378" s="281">
        <v>0</v>
      </c>
      <c r="F378" s="283">
        <f>IF($B378="","",SUMIFS('Daily Inward'!$G:$G,'Daily Inward'!$C:$C,$B378,'Daily Inward'!$E:$E,"Non Inventory"))</f>
        <v>0</v>
      </c>
      <c r="G378" s="51">
        <f>IF($B378="","",SUMIFS('Daily Issuance'!$G:$G,'Daily Issuance'!$C:$C,$B378,'Daily Issuance'!$E:$E,"Non Inventory"))</f>
        <v>0</v>
      </c>
      <c r="H378" s="51">
        <f t="shared" si="10"/>
        <v>0</v>
      </c>
      <c r="I378" s="187">
        <v>145455</v>
      </c>
      <c r="J378" s="188">
        <f t="shared" si="11"/>
        <v>0</v>
      </c>
      <c r="K378" s="46"/>
    </row>
    <row r="379" spans="1:11" s="24" customFormat="1" ht="23.1" customHeight="1">
      <c r="A379" s="170">
        <f>IF($B379="","",MAX($A$3:A378)+1)</f>
        <v>376</v>
      </c>
      <c r="B379" s="176">
        <v>3515</v>
      </c>
      <c r="C379" s="177" t="s">
        <v>952</v>
      </c>
      <c r="D379" s="285" t="s">
        <v>102</v>
      </c>
      <c r="E379" s="281">
        <v>4</v>
      </c>
      <c r="F379" s="283">
        <f>IF($B379="","",SUMIFS('Daily Inward'!$G:$G,'Daily Inward'!$C:$C,$B379,'Daily Inward'!$E:$E,"Non Inventory"))</f>
        <v>0</v>
      </c>
      <c r="G379" s="51">
        <f>IF($B379="","",SUMIFS('Daily Issuance'!$G:$G,'Daily Issuance'!$C:$C,$B379,'Daily Issuance'!$E:$E,"Non Inventory"))</f>
        <v>1</v>
      </c>
      <c r="H379" s="51">
        <f t="shared" si="10"/>
        <v>3</v>
      </c>
      <c r="I379" s="187">
        <v>362</v>
      </c>
      <c r="J379" s="188">
        <f t="shared" si="11"/>
        <v>1086</v>
      </c>
      <c r="K379" s="46"/>
    </row>
    <row r="380" spans="1:11" s="24" customFormat="1" ht="23.1" customHeight="1">
      <c r="A380" s="170">
        <f>IF($B380="","",MAX($A$3:A379)+1)</f>
        <v>377</v>
      </c>
      <c r="B380" s="176">
        <v>3517</v>
      </c>
      <c r="C380" s="177" t="s">
        <v>953</v>
      </c>
      <c r="D380" s="285" t="s">
        <v>102</v>
      </c>
      <c r="E380" s="281">
        <v>3</v>
      </c>
      <c r="F380" s="283">
        <f>IF($B380="","",SUMIFS('Daily Inward'!$G:$G,'Daily Inward'!$C:$C,$B380,'Daily Inward'!$E:$E,"Non Inventory"))</f>
        <v>0</v>
      </c>
      <c r="G380" s="51">
        <f>IF($B380="","",SUMIFS('Daily Issuance'!$G:$G,'Daily Issuance'!$C:$C,$B380,'Daily Issuance'!$E:$E,"Non Inventory"))</f>
        <v>0</v>
      </c>
      <c r="H380" s="51">
        <f t="shared" si="10"/>
        <v>3</v>
      </c>
      <c r="I380" s="187">
        <v>1586</v>
      </c>
      <c r="J380" s="188">
        <f t="shared" si="11"/>
        <v>4758</v>
      </c>
      <c r="K380" s="46"/>
    </row>
    <row r="381" spans="1:11" s="24" customFormat="1" ht="23.1" customHeight="1">
      <c r="A381" s="170">
        <f>IF($B381="","",MAX($A$3:A380)+1)</f>
        <v>378</v>
      </c>
      <c r="B381" s="176">
        <v>3518</v>
      </c>
      <c r="C381" s="177" t="s">
        <v>954</v>
      </c>
      <c r="D381" s="285" t="s">
        <v>102</v>
      </c>
      <c r="E381" s="281">
        <v>20</v>
      </c>
      <c r="F381" s="283">
        <f>IF($B381="","",SUMIFS('Daily Inward'!$G:$G,'Daily Inward'!$C:$C,$B381,'Daily Inward'!$E:$E,"Non Inventory"))</f>
        <v>0</v>
      </c>
      <c r="G381" s="51">
        <f>IF($B381="","",SUMIFS('Daily Issuance'!$G:$G,'Daily Issuance'!$C:$C,$B381,'Daily Issuance'!$E:$E,"Non Inventory"))</f>
        <v>0</v>
      </c>
      <c r="H381" s="51">
        <f t="shared" si="10"/>
        <v>20</v>
      </c>
      <c r="I381" s="187">
        <v>425</v>
      </c>
      <c r="J381" s="188">
        <f t="shared" si="11"/>
        <v>8500</v>
      </c>
      <c r="K381" s="46"/>
    </row>
    <row r="382" spans="1:11" s="24" customFormat="1" ht="23.1" customHeight="1">
      <c r="A382" s="170">
        <f>IF($B382="","",MAX($A$3:A381)+1)</f>
        <v>379</v>
      </c>
      <c r="B382" s="176">
        <v>3317</v>
      </c>
      <c r="C382" s="177" t="s">
        <v>955</v>
      </c>
      <c r="D382" s="285" t="s">
        <v>672</v>
      </c>
      <c r="E382" s="281">
        <v>100</v>
      </c>
      <c r="F382" s="283">
        <f>IF($B382="","",SUMIFS('Daily Inward'!$G:$G,'Daily Inward'!$C:$C,$B382,'Daily Inward'!$E:$E,"Non Inventory"))</f>
        <v>0</v>
      </c>
      <c r="G382" s="51">
        <f>IF($B382="","",SUMIFS('Daily Issuance'!$G:$G,'Daily Issuance'!$C:$C,$B382,'Daily Issuance'!$E:$E,"Non Inventory"))</f>
        <v>0</v>
      </c>
      <c r="H382" s="51">
        <f t="shared" si="10"/>
        <v>100</v>
      </c>
      <c r="I382" s="187">
        <v>209</v>
      </c>
      <c r="J382" s="188">
        <f t="shared" si="11"/>
        <v>20900</v>
      </c>
      <c r="K382" s="46"/>
    </row>
    <row r="383" spans="1:11" s="24" customFormat="1" ht="23.1" customHeight="1">
      <c r="A383" s="170">
        <f>IF($B383="","",MAX($A$3:A382)+1)</f>
        <v>380</v>
      </c>
      <c r="B383" s="176">
        <v>3510</v>
      </c>
      <c r="C383" s="177" t="s">
        <v>956</v>
      </c>
      <c r="D383" s="285" t="s">
        <v>672</v>
      </c>
      <c r="E383" s="281">
        <v>70</v>
      </c>
      <c r="F383" s="283">
        <f>IF($B383="","",SUMIFS('Daily Inward'!$G:$G,'Daily Inward'!$C:$C,$B383,'Daily Inward'!$E:$E,"Non Inventory"))</f>
        <v>0</v>
      </c>
      <c r="G383" s="51">
        <f>IF($B383="","",SUMIFS('Daily Issuance'!$G:$G,'Daily Issuance'!$C:$C,$B383,'Daily Issuance'!$E:$E,"Non Inventory"))</f>
        <v>60</v>
      </c>
      <c r="H383" s="51">
        <f t="shared" si="10"/>
        <v>10</v>
      </c>
      <c r="I383" s="187">
        <v>950</v>
      </c>
      <c r="J383" s="188">
        <f t="shared" si="11"/>
        <v>9500</v>
      </c>
      <c r="K383" s="46"/>
    </row>
    <row r="384" spans="1:11" s="24" customFormat="1" ht="23.1" customHeight="1">
      <c r="A384" s="170">
        <f>IF($B384="","",MAX($A$3:A383)+1)</f>
        <v>381</v>
      </c>
      <c r="B384" s="176">
        <v>3511</v>
      </c>
      <c r="C384" s="177" t="s">
        <v>957</v>
      </c>
      <c r="D384" s="285" t="s">
        <v>672</v>
      </c>
      <c r="E384" s="281">
        <v>238</v>
      </c>
      <c r="F384" s="283">
        <f>IF($B384="","",SUMIFS('Daily Inward'!$G:$G,'Daily Inward'!$C:$C,$B384,'Daily Inward'!$E:$E,"Non Inventory"))</f>
        <v>0</v>
      </c>
      <c r="G384" s="51">
        <f>IF($B384="","",SUMIFS('Daily Issuance'!$G:$G,'Daily Issuance'!$C:$C,$B384,'Daily Issuance'!$E:$E,"Non Inventory"))</f>
        <v>0</v>
      </c>
      <c r="H384" s="51">
        <f t="shared" si="10"/>
        <v>238</v>
      </c>
      <c r="I384" s="187">
        <v>800</v>
      </c>
      <c r="J384" s="188">
        <f t="shared" si="11"/>
        <v>190400</v>
      </c>
      <c r="K384" s="46"/>
    </row>
    <row r="385" spans="1:11" s="24" customFormat="1" ht="23.1" customHeight="1">
      <c r="A385" s="170">
        <f>IF($B385="","",MAX($A$3:A384)+1)</f>
        <v>382</v>
      </c>
      <c r="B385" s="176">
        <v>4379</v>
      </c>
      <c r="C385" s="177" t="s">
        <v>958</v>
      </c>
      <c r="D385" s="285" t="s">
        <v>604</v>
      </c>
      <c r="E385" s="281">
        <v>18</v>
      </c>
      <c r="F385" s="283">
        <f>IF($B385="","",SUMIFS('Daily Inward'!$G:$G,'Daily Inward'!$C:$C,$B385,'Daily Inward'!$E:$E,"Non Inventory"))</f>
        <v>0</v>
      </c>
      <c r="G385" s="51">
        <f>IF($B385="","",SUMIFS('Daily Issuance'!$G:$G,'Daily Issuance'!$C:$C,$B385,'Daily Issuance'!$E:$E,"Non Inventory"))</f>
        <v>0</v>
      </c>
      <c r="H385" s="51">
        <f t="shared" si="10"/>
        <v>18</v>
      </c>
      <c r="I385" s="187">
        <v>2000</v>
      </c>
      <c r="J385" s="188">
        <f t="shared" si="11"/>
        <v>36000</v>
      </c>
      <c r="K385" s="46"/>
    </row>
    <row r="386" spans="1:11" s="24" customFormat="1" ht="23.1" customHeight="1">
      <c r="A386" s="170">
        <f>IF($B386="","",MAX($A$3:A385)+1)</f>
        <v>383</v>
      </c>
      <c r="B386" s="176">
        <v>5244</v>
      </c>
      <c r="C386" s="177" t="s">
        <v>959</v>
      </c>
      <c r="D386" s="285" t="s">
        <v>338</v>
      </c>
      <c r="E386" s="281">
        <v>5</v>
      </c>
      <c r="F386" s="283">
        <f>IF($B386="","",SUMIFS('Daily Inward'!$G:$G,'Daily Inward'!$C:$C,$B386,'Daily Inward'!$E:$E,"Non Inventory"))</f>
        <v>0</v>
      </c>
      <c r="G386" s="51">
        <f>IF($B386="","",SUMIFS('Daily Issuance'!$G:$G,'Daily Issuance'!$C:$C,$B386,'Daily Issuance'!$E:$E,"Non Inventory"))</f>
        <v>0</v>
      </c>
      <c r="H386" s="51">
        <f t="shared" si="10"/>
        <v>5</v>
      </c>
      <c r="I386" s="187">
        <v>300</v>
      </c>
      <c r="J386" s="188">
        <f t="shared" si="11"/>
        <v>1500</v>
      </c>
      <c r="K386" s="46"/>
    </row>
    <row r="387" spans="1:11" s="24" customFormat="1" ht="23.1" customHeight="1">
      <c r="A387" s="170">
        <f>IF($B387="","",MAX($A$3:A386)+1)</f>
        <v>384</v>
      </c>
      <c r="B387" s="176">
        <v>6989</v>
      </c>
      <c r="C387" s="177" t="s">
        <v>960</v>
      </c>
      <c r="D387" s="285" t="s">
        <v>112</v>
      </c>
      <c r="E387" s="281">
        <v>157</v>
      </c>
      <c r="F387" s="283">
        <f>IF($B387="","",SUMIFS('Daily Inward'!$G:$G,'Daily Inward'!$C:$C,$B387,'Daily Inward'!$E:$E,"Non Inventory"))</f>
        <v>0</v>
      </c>
      <c r="G387" s="51">
        <f>IF($B387="","",SUMIFS('Daily Issuance'!$G:$G,'Daily Issuance'!$C:$C,$B387,'Daily Issuance'!$E:$E,"Non Inventory"))</f>
        <v>0</v>
      </c>
      <c r="H387" s="51">
        <f t="shared" si="10"/>
        <v>157</v>
      </c>
      <c r="I387" s="187">
        <v>5</v>
      </c>
      <c r="J387" s="188">
        <f t="shared" si="11"/>
        <v>785</v>
      </c>
      <c r="K387" s="46"/>
    </row>
    <row r="388" spans="1:11" s="24" customFormat="1" ht="23.1" customHeight="1">
      <c r="A388" s="170">
        <f>IF($B388="","",MAX($A$3:A387)+1)</f>
        <v>385</v>
      </c>
      <c r="B388" s="176">
        <v>6991</v>
      </c>
      <c r="C388" s="177" t="s">
        <v>961</v>
      </c>
      <c r="D388" s="285" t="s">
        <v>112</v>
      </c>
      <c r="E388" s="281">
        <v>123</v>
      </c>
      <c r="F388" s="283">
        <f>IF($B388="","",SUMIFS('Daily Inward'!$G:$G,'Daily Inward'!$C:$C,$B388,'Daily Inward'!$E:$E,"Non Inventory"))</f>
        <v>0</v>
      </c>
      <c r="G388" s="51">
        <f>IF($B388="","",SUMIFS('Daily Issuance'!$G:$G,'Daily Issuance'!$C:$C,$B388,'Daily Issuance'!$E:$E,"Non Inventory"))</f>
        <v>0</v>
      </c>
      <c r="H388" s="51">
        <f t="shared" ref="H388:H451" si="12">IF($B388="","",N(E388)+N(F388)-N(G388))</f>
        <v>123</v>
      </c>
      <c r="I388" s="187">
        <v>7</v>
      </c>
      <c r="J388" s="188">
        <f t="shared" ref="J388:J451" si="13">IF($B388="","",H388*I388)</f>
        <v>861</v>
      </c>
      <c r="K388" s="46"/>
    </row>
    <row r="389" spans="1:11" s="24" customFormat="1" ht="23.1" customHeight="1">
      <c r="A389" s="170">
        <f>IF($B389="","",MAX($A$3:A388)+1)</f>
        <v>386</v>
      </c>
      <c r="B389" s="176">
        <v>6993</v>
      </c>
      <c r="C389" s="177" t="s">
        <v>962</v>
      </c>
      <c r="D389" s="285" t="s">
        <v>112</v>
      </c>
      <c r="E389" s="281">
        <v>4</v>
      </c>
      <c r="F389" s="283">
        <f>IF($B389="","",SUMIFS('Daily Inward'!$G:$G,'Daily Inward'!$C:$C,$B389,'Daily Inward'!$E:$E,"Non Inventory"))</f>
        <v>0</v>
      </c>
      <c r="G389" s="51">
        <f>IF($B389="","",SUMIFS('Daily Issuance'!$G:$G,'Daily Issuance'!$C:$C,$B389,'Daily Issuance'!$E:$E,"Non Inventory"))</f>
        <v>0</v>
      </c>
      <c r="H389" s="51">
        <f t="shared" si="12"/>
        <v>4</v>
      </c>
      <c r="I389" s="187">
        <v>360</v>
      </c>
      <c r="J389" s="188">
        <f t="shared" si="13"/>
        <v>1440</v>
      </c>
      <c r="K389" s="46"/>
    </row>
    <row r="390" spans="1:11" s="24" customFormat="1" ht="23.1" customHeight="1">
      <c r="A390" s="170">
        <f>IF($B390="","",MAX($A$3:A389)+1)</f>
        <v>387</v>
      </c>
      <c r="B390" s="176">
        <v>6994</v>
      </c>
      <c r="C390" s="177" t="s">
        <v>963</v>
      </c>
      <c r="D390" s="285" t="s">
        <v>112</v>
      </c>
      <c r="E390" s="281">
        <v>14</v>
      </c>
      <c r="F390" s="283">
        <f>IF($B390="","",SUMIFS('Daily Inward'!$G:$G,'Daily Inward'!$C:$C,$B390,'Daily Inward'!$E:$E,"Non Inventory"))</f>
        <v>0</v>
      </c>
      <c r="G390" s="51">
        <f>IF($B390="","",SUMIFS('Daily Issuance'!$G:$G,'Daily Issuance'!$C:$C,$B390,'Daily Issuance'!$E:$E,"Non Inventory"))</f>
        <v>0</v>
      </c>
      <c r="H390" s="51">
        <f t="shared" si="12"/>
        <v>14</v>
      </c>
      <c r="I390" s="187">
        <v>750</v>
      </c>
      <c r="J390" s="188">
        <f t="shared" si="13"/>
        <v>10500</v>
      </c>
      <c r="K390" s="46"/>
    </row>
    <row r="391" spans="1:11" s="24" customFormat="1" ht="23.1" customHeight="1">
      <c r="A391" s="170">
        <f>IF($B391="","",MAX($A$3:A390)+1)</f>
        <v>388</v>
      </c>
      <c r="B391" s="176">
        <v>7038</v>
      </c>
      <c r="C391" s="177" t="s">
        <v>964</v>
      </c>
      <c r="D391" s="285" t="s">
        <v>112</v>
      </c>
      <c r="E391" s="281">
        <v>15</v>
      </c>
      <c r="F391" s="283">
        <f>IF($B391="","",SUMIFS('Daily Inward'!$G:$G,'Daily Inward'!$C:$C,$B391,'Daily Inward'!$E:$E,"Non Inventory"))</f>
        <v>0</v>
      </c>
      <c r="G391" s="51">
        <f>IF($B391="","",SUMIFS('Daily Issuance'!$G:$G,'Daily Issuance'!$C:$C,$B391,'Daily Issuance'!$E:$E,"Non Inventory"))</f>
        <v>0</v>
      </c>
      <c r="H391" s="51">
        <f t="shared" si="12"/>
        <v>15</v>
      </c>
      <c r="I391" s="187">
        <v>54</v>
      </c>
      <c r="J391" s="188">
        <f t="shared" si="13"/>
        <v>810</v>
      </c>
      <c r="K391" s="46"/>
    </row>
    <row r="392" spans="1:11" s="24" customFormat="1" ht="23.1" customHeight="1">
      <c r="A392" s="170">
        <f>IF($B392="","",MAX($A$3:A391)+1)</f>
        <v>389</v>
      </c>
      <c r="B392" s="176">
        <v>7040</v>
      </c>
      <c r="C392" s="177" t="s">
        <v>965</v>
      </c>
      <c r="D392" s="285" t="s">
        <v>112</v>
      </c>
      <c r="E392" s="281">
        <v>15</v>
      </c>
      <c r="F392" s="283">
        <f>IF($B392="","",SUMIFS('Daily Inward'!$G:$G,'Daily Inward'!$C:$C,$B392,'Daily Inward'!$E:$E,"Non Inventory"))</f>
        <v>0</v>
      </c>
      <c r="G392" s="51">
        <f>IF($B392="","",SUMIFS('Daily Issuance'!$G:$G,'Daily Issuance'!$C:$C,$B392,'Daily Issuance'!$E:$E,"Non Inventory"))</f>
        <v>0</v>
      </c>
      <c r="H392" s="51">
        <f t="shared" si="12"/>
        <v>15</v>
      </c>
      <c r="I392" s="187">
        <v>54</v>
      </c>
      <c r="J392" s="188">
        <f t="shared" si="13"/>
        <v>810</v>
      </c>
      <c r="K392" s="46"/>
    </row>
    <row r="393" spans="1:11" s="24" customFormat="1" ht="23.1" customHeight="1">
      <c r="A393" s="170">
        <f>IF($B393="","",MAX($A$3:A392)+1)</f>
        <v>390</v>
      </c>
      <c r="B393" s="176">
        <v>7041</v>
      </c>
      <c r="C393" s="177" t="s">
        <v>966</v>
      </c>
      <c r="D393" s="285" t="s">
        <v>112</v>
      </c>
      <c r="E393" s="281">
        <v>15</v>
      </c>
      <c r="F393" s="283">
        <f>IF($B393="","",SUMIFS('Daily Inward'!$G:$G,'Daily Inward'!$C:$C,$B393,'Daily Inward'!$E:$E,"Non Inventory"))</f>
        <v>0</v>
      </c>
      <c r="G393" s="51">
        <f>IF($B393="","",SUMIFS('Daily Issuance'!$G:$G,'Daily Issuance'!$C:$C,$B393,'Daily Issuance'!$E:$E,"Non Inventory"))</f>
        <v>0</v>
      </c>
      <c r="H393" s="51">
        <f t="shared" si="12"/>
        <v>15</v>
      </c>
      <c r="I393" s="187">
        <v>54</v>
      </c>
      <c r="J393" s="188">
        <f t="shared" si="13"/>
        <v>810</v>
      </c>
      <c r="K393" s="46"/>
    </row>
    <row r="394" spans="1:11" s="24" customFormat="1" ht="23.1" customHeight="1">
      <c r="A394" s="170">
        <f>IF($B394="","",MAX($A$3:A393)+1)</f>
        <v>391</v>
      </c>
      <c r="B394" s="176">
        <v>7055</v>
      </c>
      <c r="C394" s="177" t="s">
        <v>967</v>
      </c>
      <c r="D394" s="285" t="s">
        <v>112</v>
      </c>
      <c r="E394" s="281">
        <v>9</v>
      </c>
      <c r="F394" s="283">
        <f>IF($B394="","",SUMIFS('Daily Inward'!$G:$G,'Daily Inward'!$C:$C,$B394,'Daily Inward'!$E:$E,"Non Inventory"))</f>
        <v>0</v>
      </c>
      <c r="G394" s="51">
        <f>IF($B394="","",SUMIFS('Daily Issuance'!$G:$G,'Daily Issuance'!$C:$C,$B394,'Daily Issuance'!$E:$E,"Non Inventory"))</f>
        <v>0</v>
      </c>
      <c r="H394" s="51">
        <f t="shared" si="12"/>
        <v>9</v>
      </c>
      <c r="I394" s="187">
        <v>250</v>
      </c>
      <c r="J394" s="188">
        <f t="shared" si="13"/>
        <v>2250</v>
      </c>
      <c r="K394" s="46"/>
    </row>
    <row r="395" spans="1:11" s="24" customFormat="1" ht="23.1" customHeight="1">
      <c r="A395" s="170">
        <f>IF($B395="","",MAX($A$3:A394)+1)</f>
        <v>392</v>
      </c>
      <c r="B395" s="176">
        <v>7056</v>
      </c>
      <c r="C395" s="177" t="s">
        <v>968</v>
      </c>
      <c r="D395" s="285" t="s">
        <v>112</v>
      </c>
      <c r="E395" s="281">
        <v>14</v>
      </c>
      <c r="F395" s="283">
        <f>IF($B395="","",SUMIFS('Daily Inward'!$G:$G,'Daily Inward'!$C:$C,$B395,'Daily Inward'!$E:$E,"Non Inventory"))</f>
        <v>0</v>
      </c>
      <c r="G395" s="51">
        <f>IF($B395="","",SUMIFS('Daily Issuance'!$G:$G,'Daily Issuance'!$C:$C,$B395,'Daily Issuance'!$E:$E,"Non Inventory"))</f>
        <v>2</v>
      </c>
      <c r="H395" s="51">
        <f t="shared" si="12"/>
        <v>12</v>
      </c>
      <c r="I395" s="187">
        <v>380</v>
      </c>
      <c r="J395" s="188">
        <f t="shared" si="13"/>
        <v>4560</v>
      </c>
      <c r="K395" s="46"/>
    </row>
    <row r="396" spans="1:11" s="24" customFormat="1" ht="23.1" customHeight="1">
      <c r="A396" s="170">
        <f>IF($B396="","",MAX($A$3:A395)+1)</f>
        <v>393</v>
      </c>
      <c r="B396" s="176">
        <v>7077</v>
      </c>
      <c r="C396" s="177" t="s">
        <v>969</v>
      </c>
      <c r="D396" s="285" t="s">
        <v>112</v>
      </c>
      <c r="E396" s="281">
        <v>0</v>
      </c>
      <c r="F396" s="283">
        <f>IF($B396="","",SUMIFS('Daily Inward'!$G:$G,'Daily Inward'!$C:$C,$B396,'Daily Inward'!$E:$E,"Non Inventory"))</f>
        <v>15</v>
      </c>
      <c r="G396" s="51">
        <f>IF($B396="","",SUMIFS('Daily Issuance'!$G:$G,'Daily Issuance'!$C:$C,$B396,'Daily Issuance'!$E:$E,"Non Inventory"))</f>
        <v>1</v>
      </c>
      <c r="H396" s="51">
        <f t="shared" si="12"/>
        <v>14</v>
      </c>
      <c r="I396" s="187">
        <v>95</v>
      </c>
      <c r="J396" s="188">
        <f t="shared" si="13"/>
        <v>1330</v>
      </c>
      <c r="K396" s="46"/>
    </row>
    <row r="397" spans="1:11" s="24" customFormat="1" ht="23.1" customHeight="1">
      <c r="A397" s="170">
        <f>IF($B397="","",MAX($A$3:A396)+1)</f>
        <v>394</v>
      </c>
      <c r="B397" s="176">
        <v>7098</v>
      </c>
      <c r="C397" s="177" t="s">
        <v>970</v>
      </c>
      <c r="D397" s="285" t="s">
        <v>112</v>
      </c>
      <c r="E397" s="281">
        <v>82</v>
      </c>
      <c r="F397" s="283">
        <f>IF($B397="","",SUMIFS('Daily Inward'!$G:$G,'Daily Inward'!$C:$C,$B397,'Daily Inward'!$E:$E,"Non Inventory"))</f>
        <v>0</v>
      </c>
      <c r="G397" s="51">
        <f>IF($B397="","",SUMIFS('Daily Issuance'!$G:$G,'Daily Issuance'!$C:$C,$B397,'Daily Issuance'!$E:$E,"Non Inventory"))</f>
        <v>0</v>
      </c>
      <c r="H397" s="51">
        <f t="shared" si="12"/>
        <v>82</v>
      </c>
      <c r="I397" s="187">
        <v>5</v>
      </c>
      <c r="J397" s="188">
        <f t="shared" si="13"/>
        <v>410</v>
      </c>
      <c r="K397" s="46"/>
    </row>
    <row r="398" spans="1:11" s="24" customFormat="1" ht="23.1" customHeight="1">
      <c r="A398" s="170">
        <f>IF($B398="","",MAX($A$3:A397)+1)</f>
        <v>395</v>
      </c>
      <c r="B398" s="176">
        <v>7103</v>
      </c>
      <c r="C398" s="177" t="s">
        <v>971</v>
      </c>
      <c r="D398" s="285" t="s">
        <v>112</v>
      </c>
      <c r="E398" s="281">
        <v>91</v>
      </c>
      <c r="F398" s="283">
        <f>IF($B398="","",SUMIFS('Daily Inward'!$G:$G,'Daily Inward'!$C:$C,$B398,'Daily Inward'!$E:$E,"Non Inventory"))</f>
        <v>0</v>
      </c>
      <c r="G398" s="51">
        <f>IF($B398="","",SUMIFS('Daily Issuance'!$G:$G,'Daily Issuance'!$C:$C,$B398,'Daily Issuance'!$E:$E,"Non Inventory"))</f>
        <v>0</v>
      </c>
      <c r="H398" s="51">
        <f t="shared" si="12"/>
        <v>91</v>
      </c>
      <c r="I398" s="187">
        <v>7</v>
      </c>
      <c r="J398" s="188">
        <f t="shared" si="13"/>
        <v>637</v>
      </c>
      <c r="K398" s="46"/>
    </row>
    <row r="399" spans="1:11" s="24" customFormat="1" ht="23.1" customHeight="1">
      <c r="A399" s="170">
        <f>IF($B399="","",MAX($A$3:A398)+1)</f>
        <v>396</v>
      </c>
      <c r="B399" s="176">
        <v>7170</v>
      </c>
      <c r="C399" s="177" t="s">
        <v>972</v>
      </c>
      <c r="D399" s="285" t="s">
        <v>112</v>
      </c>
      <c r="E399" s="281">
        <v>2</v>
      </c>
      <c r="F399" s="283">
        <f>IF($B399="","",SUMIFS('Daily Inward'!$G:$G,'Daily Inward'!$C:$C,$B399,'Daily Inward'!$E:$E,"Non Inventory"))</f>
        <v>0</v>
      </c>
      <c r="G399" s="51">
        <f>IF($B399="","",SUMIFS('Daily Issuance'!$G:$G,'Daily Issuance'!$C:$C,$B399,'Daily Issuance'!$E:$E,"Non Inventory"))</f>
        <v>0</v>
      </c>
      <c r="H399" s="51">
        <f t="shared" si="12"/>
        <v>2</v>
      </c>
      <c r="I399" s="187">
        <v>2700</v>
      </c>
      <c r="J399" s="188">
        <f t="shared" si="13"/>
        <v>5400</v>
      </c>
      <c r="K399" s="46"/>
    </row>
    <row r="400" spans="1:11" s="24" customFormat="1" ht="23.1" customHeight="1">
      <c r="A400" s="170">
        <f>IF($B400="","",MAX($A$3:A399)+1)</f>
        <v>397</v>
      </c>
      <c r="B400" s="176">
        <v>7190</v>
      </c>
      <c r="C400" s="177" t="s">
        <v>973</v>
      </c>
      <c r="D400" s="285" t="s">
        <v>112</v>
      </c>
      <c r="E400" s="281">
        <v>4</v>
      </c>
      <c r="F400" s="283">
        <f>IF($B400="","",SUMIFS('Daily Inward'!$G:$G,'Daily Inward'!$C:$C,$B400,'Daily Inward'!$E:$E,"Non Inventory"))</f>
        <v>0</v>
      </c>
      <c r="G400" s="51">
        <f>IF($B400="","",SUMIFS('Daily Issuance'!$G:$G,'Daily Issuance'!$C:$C,$B400,'Daily Issuance'!$E:$E,"Non Inventory"))</f>
        <v>0</v>
      </c>
      <c r="H400" s="51">
        <f t="shared" si="12"/>
        <v>4</v>
      </c>
      <c r="I400" s="187">
        <v>680</v>
      </c>
      <c r="J400" s="188">
        <f t="shared" si="13"/>
        <v>2720</v>
      </c>
      <c r="K400" s="46"/>
    </row>
    <row r="401" spans="1:11" s="24" customFormat="1" ht="23.1" customHeight="1">
      <c r="A401" s="170">
        <f>IF($B401="","",MAX($A$3:A400)+1)</f>
        <v>398</v>
      </c>
      <c r="B401" s="176">
        <v>7211</v>
      </c>
      <c r="C401" s="177" t="s">
        <v>974</v>
      </c>
      <c r="D401" s="285" t="s">
        <v>112</v>
      </c>
      <c r="E401" s="281">
        <v>46</v>
      </c>
      <c r="F401" s="283">
        <f>IF($B401="","",SUMIFS('Daily Inward'!$G:$G,'Daily Inward'!$C:$C,$B401,'Daily Inward'!$E:$E,"Non Inventory"))</f>
        <v>0</v>
      </c>
      <c r="G401" s="51">
        <f>IF($B401="","",SUMIFS('Daily Issuance'!$G:$G,'Daily Issuance'!$C:$C,$B401,'Daily Issuance'!$E:$E,"Non Inventory"))</f>
        <v>0</v>
      </c>
      <c r="H401" s="51">
        <f t="shared" si="12"/>
        <v>46</v>
      </c>
      <c r="I401" s="187">
        <v>30</v>
      </c>
      <c r="J401" s="188">
        <f t="shared" si="13"/>
        <v>1380</v>
      </c>
      <c r="K401" s="46"/>
    </row>
    <row r="402" spans="1:11" s="24" customFormat="1" ht="23.1" customHeight="1">
      <c r="A402" s="170">
        <f>IF($B402="","",MAX($A$3:A401)+1)</f>
        <v>399</v>
      </c>
      <c r="B402" s="176">
        <v>7212</v>
      </c>
      <c r="C402" s="177" t="s">
        <v>975</v>
      </c>
      <c r="D402" s="285" t="s">
        <v>112</v>
      </c>
      <c r="E402" s="281">
        <v>16</v>
      </c>
      <c r="F402" s="283">
        <f>IF($B402="","",SUMIFS('Daily Inward'!$G:$G,'Daily Inward'!$C:$C,$B402,'Daily Inward'!$E:$E,"Non Inventory"))</f>
        <v>0</v>
      </c>
      <c r="G402" s="51">
        <f>IF($B402="","",SUMIFS('Daily Issuance'!$G:$G,'Daily Issuance'!$C:$C,$B402,'Daily Issuance'!$E:$E,"Non Inventory"))</f>
        <v>0</v>
      </c>
      <c r="H402" s="51">
        <f t="shared" si="12"/>
        <v>16</v>
      </c>
      <c r="I402" s="187">
        <v>35</v>
      </c>
      <c r="J402" s="188">
        <f t="shared" si="13"/>
        <v>560</v>
      </c>
      <c r="K402" s="46"/>
    </row>
    <row r="403" spans="1:11" s="24" customFormat="1" ht="23.1" customHeight="1">
      <c r="A403" s="170">
        <f>IF($B403="","",MAX($A$3:A402)+1)</f>
        <v>400</v>
      </c>
      <c r="B403" s="176">
        <v>7213</v>
      </c>
      <c r="C403" s="177" t="s">
        <v>976</v>
      </c>
      <c r="D403" s="285" t="s">
        <v>112</v>
      </c>
      <c r="E403" s="281">
        <v>0</v>
      </c>
      <c r="F403" s="283">
        <f>IF($B403="","",SUMIFS('Daily Inward'!$G:$G,'Daily Inward'!$C:$C,$B403,'Daily Inward'!$E:$E,"Non Inventory"))</f>
        <v>0</v>
      </c>
      <c r="G403" s="51">
        <f>IF($B403="","",SUMIFS('Daily Issuance'!$G:$G,'Daily Issuance'!$C:$C,$B403,'Daily Issuance'!$E:$E,"Non Inventory"))</f>
        <v>0</v>
      </c>
      <c r="H403" s="51">
        <f t="shared" si="12"/>
        <v>0</v>
      </c>
      <c r="I403" s="187">
        <v>60</v>
      </c>
      <c r="J403" s="188">
        <f t="shared" si="13"/>
        <v>0</v>
      </c>
      <c r="K403" s="46"/>
    </row>
    <row r="404" spans="1:11" s="24" customFormat="1" ht="23.1" customHeight="1">
      <c r="A404" s="170">
        <f>IF($B404="","",MAX($A$3:A403)+1)</f>
        <v>401</v>
      </c>
      <c r="B404" s="176">
        <v>7267</v>
      </c>
      <c r="C404" s="177" t="s">
        <v>977</v>
      </c>
      <c r="D404" s="285" t="s">
        <v>112</v>
      </c>
      <c r="E404" s="281">
        <v>9</v>
      </c>
      <c r="F404" s="283">
        <f>IF($B404="","",SUMIFS('Daily Inward'!$G:$G,'Daily Inward'!$C:$C,$B404,'Daily Inward'!$E:$E,"Non Inventory"))</f>
        <v>0</v>
      </c>
      <c r="G404" s="51">
        <f>IF($B404="","",SUMIFS('Daily Issuance'!$G:$G,'Daily Issuance'!$C:$C,$B404,'Daily Issuance'!$E:$E,"Non Inventory"))</f>
        <v>0</v>
      </c>
      <c r="H404" s="51">
        <f t="shared" si="12"/>
        <v>9</v>
      </c>
      <c r="I404" s="187">
        <v>1500</v>
      </c>
      <c r="J404" s="188">
        <f t="shared" si="13"/>
        <v>13500</v>
      </c>
      <c r="K404" s="46"/>
    </row>
    <row r="405" spans="1:11" s="24" customFormat="1" ht="23.1" customHeight="1">
      <c r="A405" s="170">
        <f>IF($B405="","",MAX($A$3:A404)+1)</f>
        <v>402</v>
      </c>
      <c r="B405" s="176">
        <v>7273</v>
      </c>
      <c r="C405" s="177" t="s">
        <v>978</v>
      </c>
      <c r="D405" s="285" t="s">
        <v>112</v>
      </c>
      <c r="E405" s="281">
        <v>8</v>
      </c>
      <c r="F405" s="283">
        <f>IF($B405="","",SUMIFS('Daily Inward'!$G:$G,'Daily Inward'!$C:$C,$B405,'Daily Inward'!$E:$E,"Non Inventory"))</f>
        <v>0</v>
      </c>
      <c r="G405" s="51">
        <f>IF($B405="","",SUMIFS('Daily Issuance'!$G:$G,'Daily Issuance'!$C:$C,$B405,'Daily Issuance'!$E:$E,"Non Inventory"))</f>
        <v>0</v>
      </c>
      <c r="H405" s="51">
        <f t="shared" si="12"/>
        <v>8</v>
      </c>
      <c r="I405" s="187">
        <v>250</v>
      </c>
      <c r="J405" s="188">
        <f t="shared" si="13"/>
        <v>2000</v>
      </c>
      <c r="K405" s="46"/>
    </row>
    <row r="406" spans="1:11" s="24" customFormat="1" ht="23.1" customHeight="1">
      <c r="A406" s="170">
        <f>IF($B406="","",MAX($A$3:A405)+1)</f>
        <v>403</v>
      </c>
      <c r="B406" s="176">
        <v>7277</v>
      </c>
      <c r="C406" s="177" t="s">
        <v>979</v>
      </c>
      <c r="D406" s="285" t="s">
        <v>112</v>
      </c>
      <c r="E406" s="281">
        <v>15</v>
      </c>
      <c r="F406" s="283">
        <f>IF($B406="","",SUMIFS('Daily Inward'!$G:$G,'Daily Inward'!$C:$C,$B406,'Daily Inward'!$E:$E,"Non Inventory"))</f>
        <v>0</v>
      </c>
      <c r="G406" s="51">
        <f>IF($B406="","",SUMIFS('Daily Issuance'!$G:$G,'Daily Issuance'!$C:$C,$B406,'Daily Issuance'!$E:$E,"Non Inventory"))</f>
        <v>0</v>
      </c>
      <c r="H406" s="51">
        <f t="shared" si="12"/>
        <v>15</v>
      </c>
      <c r="I406" s="187">
        <v>650</v>
      </c>
      <c r="J406" s="188">
        <f t="shared" si="13"/>
        <v>9750</v>
      </c>
      <c r="K406" s="46"/>
    </row>
    <row r="407" spans="1:11" s="24" customFormat="1" ht="23.1" customHeight="1">
      <c r="A407" s="170">
        <f>IF($B407="","",MAX($A$3:A406)+1)</f>
        <v>404</v>
      </c>
      <c r="B407" s="176">
        <v>7356</v>
      </c>
      <c r="C407" s="177" t="s">
        <v>980</v>
      </c>
      <c r="D407" s="285" t="s">
        <v>112</v>
      </c>
      <c r="E407" s="281">
        <v>1</v>
      </c>
      <c r="F407" s="283">
        <f>IF($B407="","",SUMIFS('Daily Inward'!$G:$G,'Daily Inward'!$C:$C,$B407,'Daily Inward'!$E:$E,"Non Inventory"))</f>
        <v>0</v>
      </c>
      <c r="G407" s="51">
        <f>IF($B407="","",SUMIFS('Daily Issuance'!$G:$G,'Daily Issuance'!$C:$C,$B407,'Daily Issuance'!$E:$E,"Non Inventory"))</f>
        <v>0</v>
      </c>
      <c r="H407" s="51">
        <f t="shared" si="12"/>
        <v>1</v>
      </c>
      <c r="I407" s="187">
        <v>4750</v>
      </c>
      <c r="J407" s="188">
        <f t="shared" si="13"/>
        <v>4750</v>
      </c>
      <c r="K407" s="46"/>
    </row>
    <row r="408" spans="1:11" s="24" customFormat="1" ht="23.1" customHeight="1">
      <c r="A408" s="170">
        <f>IF($B408="","",MAX($A$3:A407)+1)</f>
        <v>405</v>
      </c>
      <c r="B408" s="176">
        <v>7399</v>
      </c>
      <c r="C408" s="177" t="s">
        <v>981</v>
      </c>
      <c r="D408" s="285" t="s">
        <v>628</v>
      </c>
      <c r="E408" s="281">
        <v>2</v>
      </c>
      <c r="F408" s="283">
        <f>IF($B408="","",SUMIFS('Daily Inward'!$G:$G,'Daily Inward'!$C:$C,$B408,'Daily Inward'!$E:$E,"Non Inventory"))</f>
        <v>0</v>
      </c>
      <c r="G408" s="51">
        <f>IF($B408="","",SUMIFS('Daily Issuance'!$G:$G,'Daily Issuance'!$C:$C,$B408,'Daily Issuance'!$E:$E,"Non Inventory"))</f>
        <v>1</v>
      </c>
      <c r="H408" s="51">
        <f t="shared" si="12"/>
        <v>1</v>
      </c>
      <c r="I408" s="187">
        <v>467</v>
      </c>
      <c r="J408" s="188">
        <f t="shared" si="13"/>
        <v>467</v>
      </c>
      <c r="K408" s="46"/>
    </row>
    <row r="409" spans="1:11" s="24" customFormat="1" ht="23.1" customHeight="1">
      <c r="A409" s="170">
        <f>IF($B409="","",MAX($A$3:A408)+1)</f>
        <v>406</v>
      </c>
      <c r="B409" s="176">
        <v>7417</v>
      </c>
      <c r="C409" s="177" t="s">
        <v>982</v>
      </c>
      <c r="D409" s="285" t="s">
        <v>628</v>
      </c>
      <c r="E409" s="281">
        <v>1</v>
      </c>
      <c r="F409" s="283">
        <f>IF($B409="","",SUMIFS('Daily Inward'!$G:$G,'Daily Inward'!$C:$C,$B409,'Daily Inward'!$E:$E,"Non Inventory"))</f>
        <v>0</v>
      </c>
      <c r="G409" s="51">
        <f>IF($B409="","",SUMIFS('Daily Issuance'!$G:$G,'Daily Issuance'!$C:$C,$B409,'Daily Issuance'!$E:$E,"Non Inventory"))</f>
        <v>0</v>
      </c>
      <c r="H409" s="51">
        <f t="shared" si="12"/>
        <v>1</v>
      </c>
      <c r="I409" s="187">
        <v>1100</v>
      </c>
      <c r="J409" s="188">
        <f t="shared" si="13"/>
        <v>1100</v>
      </c>
      <c r="K409" s="46"/>
    </row>
    <row r="410" spans="1:11" s="24" customFormat="1" ht="23.1" customHeight="1">
      <c r="A410" s="170">
        <f>IF($B410="","",MAX($A$3:A409)+1)</f>
        <v>407</v>
      </c>
      <c r="B410" s="176">
        <v>7419</v>
      </c>
      <c r="C410" s="177" t="s">
        <v>983</v>
      </c>
      <c r="D410" s="285" t="s">
        <v>628</v>
      </c>
      <c r="E410" s="281">
        <v>3</v>
      </c>
      <c r="F410" s="283">
        <f>IF($B410="","",SUMIFS('Daily Inward'!$G:$G,'Daily Inward'!$C:$C,$B410,'Daily Inward'!$E:$E,"Non Inventory"))</f>
        <v>0</v>
      </c>
      <c r="G410" s="51">
        <f>IF($B410="","",SUMIFS('Daily Issuance'!$G:$G,'Daily Issuance'!$C:$C,$B410,'Daily Issuance'!$E:$E,"Non Inventory"))</f>
        <v>0</v>
      </c>
      <c r="H410" s="51">
        <f t="shared" si="12"/>
        <v>3</v>
      </c>
      <c r="I410" s="187">
        <v>950</v>
      </c>
      <c r="J410" s="188">
        <f t="shared" si="13"/>
        <v>2850</v>
      </c>
      <c r="K410" s="46"/>
    </row>
    <row r="411" spans="1:11" s="24" customFormat="1" ht="23.1" customHeight="1">
      <c r="A411" s="170">
        <f>IF($B411="","",MAX($A$3:A410)+1)</f>
        <v>408</v>
      </c>
      <c r="B411" s="176">
        <v>7420</v>
      </c>
      <c r="C411" s="177" t="s">
        <v>984</v>
      </c>
      <c r="D411" s="285" t="s">
        <v>112</v>
      </c>
      <c r="E411" s="281">
        <v>11</v>
      </c>
      <c r="F411" s="283">
        <f>IF($B411="","",SUMIFS('Daily Inward'!$G:$G,'Daily Inward'!$C:$C,$B411,'Daily Inward'!$E:$E,"Non Inventory"))</f>
        <v>0</v>
      </c>
      <c r="G411" s="51">
        <f>IF($B411="","",SUMIFS('Daily Issuance'!$G:$G,'Daily Issuance'!$C:$C,$B411,'Daily Issuance'!$E:$E,"Non Inventory"))</f>
        <v>0</v>
      </c>
      <c r="H411" s="51">
        <f t="shared" si="12"/>
        <v>11</v>
      </c>
      <c r="I411" s="187">
        <v>338</v>
      </c>
      <c r="J411" s="188">
        <f t="shared" si="13"/>
        <v>3718</v>
      </c>
      <c r="K411" s="46"/>
    </row>
    <row r="412" spans="1:11" s="24" customFormat="1" ht="23.1" customHeight="1">
      <c r="A412" s="170">
        <f>IF($B412="","",MAX($A$3:A411)+1)</f>
        <v>409</v>
      </c>
      <c r="B412" s="176">
        <v>7421</v>
      </c>
      <c r="C412" s="177" t="s">
        <v>985</v>
      </c>
      <c r="D412" s="285" t="s">
        <v>112</v>
      </c>
      <c r="E412" s="281">
        <v>16</v>
      </c>
      <c r="F412" s="283">
        <f>IF($B412="","",SUMIFS('Daily Inward'!$G:$G,'Daily Inward'!$C:$C,$B412,'Daily Inward'!$E:$E,"Non Inventory"))</f>
        <v>0</v>
      </c>
      <c r="G412" s="51">
        <f>IF($B412="","",SUMIFS('Daily Issuance'!$G:$G,'Daily Issuance'!$C:$C,$B412,'Daily Issuance'!$E:$E,"Non Inventory"))</f>
        <v>0</v>
      </c>
      <c r="H412" s="51">
        <f t="shared" si="12"/>
        <v>16</v>
      </c>
      <c r="I412" s="187">
        <v>338</v>
      </c>
      <c r="J412" s="188">
        <f t="shared" si="13"/>
        <v>5408</v>
      </c>
      <c r="K412" s="46"/>
    </row>
    <row r="413" spans="1:11" s="24" customFormat="1" ht="23.1" customHeight="1">
      <c r="A413" s="170">
        <f>IF($B413="","",MAX($A$3:A412)+1)</f>
        <v>410</v>
      </c>
      <c r="B413" s="176">
        <v>7428</v>
      </c>
      <c r="C413" s="177" t="s">
        <v>986</v>
      </c>
      <c r="D413" s="285" t="s">
        <v>112</v>
      </c>
      <c r="E413" s="281">
        <v>26</v>
      </c>
      <c r="F413" s="283">
        <f>IF($B413="","",SUMIFS('Daily Inward'!$G:$G,'Daily Inward'!$C:$C,$B413,'Daily Inward'!$E:$E,"Non Inventory"))</f>
        <v>0</v>
      </c>
      <c r="G413" s="51">
        <f>IF($B413="","",SUMIFS('Daily Issuance'!$G:$G,'Daily Issuance'!$C:$C,$B413,'Daily Issuance'!$E:$E,"Non Inventory"))</f>
        <v>0</v>
      </c>
      <c r="H413" s="51">
        <f t="shared" si="12"/>
        <v>26</v>
      </c>
      <c r="I413" s="187">
        <v>45</v>
      </c>
      <c r="J413" s="188">
        <f t="shared" si="13"/>
        <v>1170</v>
      </c>
      <c r="K413" s="46"/>
    </row>
    <row r="414" spans="1:11" s="24" customFormat="1" ht="23.1" customHeight="1">
      <c r="A414" s="170">
        <f>IF($B414="","",MAX($A$3:A413)+1)</f>
        <v>411</v>
      </c>
      <c r="B414" s="176">
        <v>7429</v>
      </c>
      <c r="C414" s="177" t="s">
        <v>987</v>
      </c>
      <c r="D414" s="285" t="s">
        <v>112</v>
      </c>
      <c r="E414" s="281">
        <v>28</v>
      </c>
      <c r="F414" s="283">
        <f>IF($B414="","",SUMIFS('Daily Inward'!$G:$G,'Daily Inward'!$C:$C,$B414,'Daily Inward'!$E:$E,"Non Inventory"))</f>
        <v>0</v>
      </c>
      <c r="G414" s="51">
        <f>IF($B414="","",SUMIFS('Daily Issuance'!$G:$G,'Daily Issuance'!$C:$C,$B414,'Daily Issuance'!$E:$E,"Non Inventory"))</f>
        <v>0</v>
      </c>
      <c r="H414" s="51">
        <f t="shared" si="12"/>
        <v>28</v>
      </c>
      <c r="I414" s="187">
        <v>45</v>
      </c>
      <c r="J414" s="188">
        <f t="shared" si="13"/>
        <v>1260</v>
      </c>
      <c r="K414" s="46"/>
    </row>
    <row r="415" spans="1:11" s="24" customFormat="1" ht="23.1" customHeight="1">
      <c r="A415" s="170">
        <f>IF($B415="","",MAX($A$3:A414)+1)</f>
        <v>412</v>
      </c>
      <c r="B415" s="176">
        <v>7430</v>
      </c>
      <c r="C415" s="177" t="s">
        <v>988</v>
      </c>
      <c r="D415" s="285" t="s">
        <v>112</v>
      </c>
      <c r="E415" s="281">
        <v>6</v>
      </c>
      <c r="F415" s="283">
        <f>IF($B415="","",SUMIFS('Daily Inward'!$G:$G,'Daily Inward'!$C:$C,$B415,'Daily Inward'!$E:$E,"Non Inventory"))</f>
        <v>0</v>
      </c>
      <c r="G415" s="51">
        <f>IF($B415="","",SUMIFS('Daily Issuance'!$G:$G,'Daily Issuance'!$C:$C,$B415,'Daily Issuance'!$E:$E,"Non Inventory"))</f>
        <v>2</v>
      </c>
      <c r="H415" s="51">
        <f t="shared" si="12"/>
        <v>4</v>
      </c>
      <c r="I415" s="187">
        <v>45</v>
      </c>
      <c r="J415" s="188">
        <f t="shared" si="13"/>
        <v>180</v>
      </c>
      <c r="K415" s="46"/>
    </row>
    <row r="416" spans="1:11" s="24" customFormat="1" ht="23.1" customHeight="1">
      <c r="A416" s="170">
        <f>IF($B416="","",MAX($A$3:A415)+1)</f>
        <v>413</v>
      </c>
      <c r="B416" s="176">
        <v>7447</v>
      </c>
      <c r="C416" s="177" t="s">
        <v>989</v>
      </c>
      <c r="D416" s="285" t="s">
        <v>112</v>
      </c>
      <c r="E416" s="281">
        <v>1</v>
      </c>
      <c r="F416" s="283">
        <f>IF($B416="","",SUMIFS('Daily Inward'!$G:$G,'Daily Inward'!$C:$C,$B416,'Daily Inward'!$E:$E,"Non Inventory"))</f>
        <v>0</v>
      </c>
      <c r="G416" s="51">
        <f>IF($B416="","",SUMIFS('Daily Issuance'!$G:$G,'Daily Issuance'!$C:$C,$B416,'Daily Issuance'!$E:$E,"Non Inventory"))</f>
        <v>0</v>
      </c>
      <c r="H416" s="51">
        <f t="shared" si="12"/>
        <v>1</v>
      </c>
      <c r="I416" s="187">
        <v>1064</v>
      </c>
      <c r="J416" s="188">
        <f t="shared" si="13"/>
        <v>1064</v>
      </c>
      <c r="K416" s="46"/>
    </row>
    <row r="417" spans="1:11" s="24" customFormat="1" ht="23.1" customHeight="1">
      <c r="A417" s="170">
        <f>IF($B417="","",MAX($A$3:A416)+1)</f>
        <v>414</v>
      </c>
      <c r="B417" s="176">
        <v>7467</v>
      </c>
      <c r="C417" s="177" t="s">
        <v>990</v>
      </c>
      <c r="D417" s="285" t="s">
        <v>112</v>
      </c>
      <c r="E417" s="281">
        <v>4</v>
      </c>
      <c r="F417" s="283">
        <f>IF($B417="","",SUMIFS('Daily Inward'!$G:$G,'Daily Inward'!$C:$C,$B417,'Daily Inward'!$E:$E,"Non Inventory"))</f>
        <v>0</v>
      </c>
      <c r="G417" s="51">
        <f>IF($B417="","",SUMIFS('Daily Issuance'!$G:$G,'Daily Issuance'!$C:$C,$B417,'Daily Issuance'!$E:$E,"Non Inventory"))</f>
        <v>0</v>
      </c>
      <c r="H417" s="51">
        <f t="shared" si="12"/>
        <v>4</v>
      </c>
      <c r="I417" s="187">
        <v>242</v>
      </c>
      <c r="J417" s="188">
        <f t="shared" si="13"/>
        <v>968</v>
      </c>
      <c r="K417" s="46"/>
    </row>
    <row r="418" spans="1:11" s="24" customFormat="1" ht="23.1" customHeight="1">
      <c r="A418" s="170">
        <f>IF($B418="","",MAX($A$3:A417)+1)</f>
        <v>415</v>
      </c>
      <c r="B418" s="176">
        <v>7469</v>
      </c>
      <c r="C418" s="177" t="s">
        <v>991</v>
      </c>
      <c r="D418" s="285" t="s">
        <v>112</v>
      </c>
      <c r="E418" s="281">
        <v>4</v>
      </c>
      <c r="F418" s="283">
        <f>IF($B418="","",SUMIFS('Daily Inward'!$G:$G,'Daily Inward'!$C:$C,$B418,'Daily Inward'!$E:$E,"Non Inventory"))</f>
        <v>0</v>
      </c>
      <c r="G418" s="51">
        <f>IF($B418="","",SUMIFS('Daily Issuance'!$G:$G,'Daily Issuance'!$C:$C,$B418,'Daily Issuance'!$E:$E,"Non Inventory"))</f>
        <v>0</v>
      </c>
      <c r="H418" s="51">
        <f t="shared" si="12"/>
        <v>4</v>
      </c>
      <c r="I418" s="187">
        <v>230</v>
      </c>
      <c r="J418" s="188">
        <f t="shared" si="13"/>
        <v>920</v>
      </c>
      <c r="K418" s="46"/>
    </row>
    <row r="419" spans="1:11" s="24" customFormat="1" ht="23.1" customHeight="1">
      <c r="A419" s="170">
        <f>IF($B419="","",MAX($A$3:A418)+1)</f>
        <v>416</v>
      </c>
      <c r="B419" s="176">
        <v>7487</v>
      </c>
      <c r="C419" s="177" t="s">
        <v>992</v>
      </c>
      <c r="D419" s="285" t="s">
        <v>112</v>
      </c>
      <c r="E419" s="281">
        <v>10</v>
      </c>
      <c r="F419" s="283">
        <f>IF($B419="","",SUMIFS('Daily Inward'!$G:$G,'Daily Inward'!$C:$C,$B419,'Daily Inward'!$E:$E,"Non Inventory"))</f>
        <v>0</v>
      </c>
      <c r="G419" s="51">
        <f>IF($B419="","",SUMIFS('Daily Issuance'!$G:$G,'Daily Issuance'!$C:$C,$B419,'Daily Issuance'!$E:$E,"Non Inventory"))</f>
        <v>0</v>
      </c>
      <c r="H419" s="51">
        <f t="shared" si="12"/>
        <v>10</v>
      </c>
      <c r="I419" s="187">
        <v>50</v>
      </c>
      <c r="J419" s="188">
        <f t="shared" si="13"/>
        <v>500</v>
      </c>
      <c r="K419" s="46"/>
    </row>
    <row r="420" spans="1:11" s="24" customFormat="1" ht="23.1" customHeight="1">
      <c r="A420" s="170">
        <f>IF($B420="","",MAX($A$3:A419)+1)</f>
        <v>417</v>
      </c>
      <c r="B420" s="176">
        <v>7498</v>
      </c>
      <c r="C420" s="177" t="s">
        <v>993</v>
      </c>
      <c r="D420" s="285" t="s">
        <v>112</v>
      </c>
      <c r="E420" s="281">
        <v>18</v>
      </c>
      <c r="F420" s="283">
        <f>IF($B420="","",SUMIFS('Daily Inward'!$G:$G,'Daily Inward'!$C:$C,$B420,'Daily Inward'!$E:$E,"Non Inventory"))</f>
        <v>0</v>
      </c>
      <c r="G420" s="51">
        <f>IF($B420="","",SUMIFS('Daily Issuance'!$G:$G,'Daily Issuance'!$C:$C,$B420,'Daily Issuance'!$E:$E,"Non Inventory"))</f>
        <v>0</v>
      </c>
      <c r="H420" s="51">
        <f t="shared" si="12"/>
        <v>18</v>
      </c>
      <c r="I420" s="187">
        <v>350</v>
      </c>
      <c r="J420" s="188">
        <f t="shared" si="13"/>
        <v>6300</v>
      </c>
      <c r="K420" s="46"/>
    </row>
    <row r="421" spans="1:11" s="24" customFormat="1" ht="23.1" customHeight="1">
      <c r="A421" s="170">
        <f>IF($B421="","",MAX($A$3:A420)+1)</f>
        <v>418</v>
      </c>
      <c r="B421" s="176">
        <v>7500</v>
      </c>
      <c r="C421" s="177" t="s">
        <v>994</v>
      </c>
      <c r="D421" s="285" t="s">
        <v>112</v>
      </c>
      <c r="E421" s="281">
        <v>11</v>
      </c>
      <c r="F421" s="283">
        <f>IF($B421="","",SUMIFS('Daily Inward'!$G:$G,'Daily Inward'!$C:$C,$B421,'Daily Inward'!$E:$E,"Non Inventory"))</f>
        <v>0</v>
      </c>
      <c r="G421" s="51">
        <f>IF($B421="","",SUMIFS('Daily Issuance'!$G:$G,'Daily Issuance'!$C:$C,$B421,'Daily Issuance'!$E:$E,"Non Inventory"))</f>
        <v>0</v>
      </c>
      <c r="H421" s="51">
        <f t="shared" si="12"/>
        <v>11</v>
      </c>
      <c r="I421" s="187">
        <v>760</v>
      </c>
      <c r="J421" s="188">
        <f t="shared" si="13"/>
        <v>8360</v>
      </c>
      <c r="K421" s="46"/>
    </row>
    <row r="422" spans="1:11" s="24" customFormat="1" ht="23.1" customHeight="1">
      <c r="A422" s="170">
        <f>IF($B422="","",MAX($A$3:A421)+1)</f>
        <v>419</v>
      </c>
      <c r="B422" s="176">
        <v>7503</v>
      </c>
      <c r="C422" s="177" t="s">
        <v>995</v>
      </c>
      <c r="D422" s="285" t="s">
        <v>604</v>
      </c>
      <c r="E422" s="281">
        <v>71</v>
      </c>
      <c r="F422" s="283">
        <f>IF($B422="","",SUMIFS('Daily Inward'!$G:$G,'Daily Inward'!$C:$C,$B422,'Daily Inward'!$E:$E,"Non Inventory"))</f>
        <v>0</v>
      </c>
      <c r="G422" s="51">
        <f>IF($B422="","",SUMIFS('Daily Issuance'!$G:$G,'Daily Issuance'!$C:$C,$B422,'Daily Issuance'!$E:$E,"Non Inventory"))</f>
        <v>11</v>
      </c>
      <c r="H422" s="51">
        <f t="shared" si="12"/>
        <v>60</v>
      </c>
      <c r="I422" s="187">
        <v>124</v>
      </c>
      <c r="J422" s="188">
        <f t="shared" si="13"/>
        <v>7440</v>
      </c>
      <c r="K422" s="46"/>
    </row>
    <row r="423" spans="1:11" s="24" customFormat="1" ht="23.1" customHeight="1">
      <c r="A423" s="170">
        <f>IF($B423="","",MAX($A$3:A422)+1)</f>
        <v>420</v>
      </c>
      <c r="B423" s="176">
        <v>7504</v>
      </c>
      <c r="C423" s="177" t="s">
        <v>996</v>
      </c>
      <c r="D423" s="285" t="s">
        <v>604</v>
      </c>
      <c r="E423" s="281">
        <v>168</v>
      </c>
      <c r="F423" s="283">
        <f>IF($B423="","",SUMIFS('Daily Inward'!$G:$G,'Daily Inward'!$C:$C,$B423,'Daily Inward'!$E:$E,"Non Inventory"))</f>
        <v>0</v>
      </c>
      <c r="G423" s="51">
        <f>IF($B423="","",SUMIFS('Daily Issuance'!$G:$G,'Daily Issuance'!$C:$C,$B423,'Daily Issuance'!$E:$E,"Non Inventory"))</f>
        <v>2</v>
      </c>
      <c r="H423" s="51">
        <f t="shared" si="12"/>
        <v>166</v>
      </c>
      <c r="I423" s="187">
        <v>280</v>
      </c>
      <c r="J423" s="188">
        <f t="shared" si="13"/>
        <v>46480</v>
      </c>
      <c r="K423" s="46"/>
    </row>
    <row r="424" spans="1:11" s="24" customFormat="1" ht="23.1" customHeight="1">
      <c r="A424" s="170">
        <f>IF($B424="","",MAX($A$3:A423)+1)</f>
        <v>421</v>
      </c>
      <c r="B424" s="176">
        <v>7505</v>
      </c>
      <c r="C424" s="177" t="s">
        <v>997</v>
      </c>
      <c r="D424" s="285" t="s">
        <v>604</v>
      </c>
      <c r="E424" s="281">
        <v>13</v>
      </c>
      <c r="F424" s="283">
        <f>IF($B424="","",SUMIFS('Daily Inward'!$G:$G,'Daily Inward'!$C:$C,$B424,'Daily Inward'!$E:$E,"Non Inventory"))</f>
        <v>0</v>
      </c>
      <c r="G424" s="51">
        <f>IF($B424="","",SUMIFS('Daily Issuance'!$G:$G,'Daily Issuance'!$C:$C,$B424,'Daily Issuance'!$E:$E,"Non Inventory"))</f>
        <v>0</v>
      </c>
      <c r="H424" s="51">
        <f t="shared" si="12"/>
        <v>13</v>
      </c>
      <c r="I424" s="187">
        <v>335</v>
      </c>
      <c r="J424" s="188">
        <f t="shared" si="13"/>
        <v>4355</v>
      </c>
      <c r="K424" s="46"/>
    </row>
    <row r="425" spans="1:11" s="24" customFormat="1" ht="23.1" customHeight="1">
      <c r="A425" s="170">
        <f>IF($B425="","",MAX($A$3:A424)+1)</f>
        <v>422</v>
      </c>
      <c r="B425" s="176">
        <v>7565</v>
      </c>
      <c r="C425" s="177" t="s">
        <v>998</v>
      </c>
      <c r="D425" s="285" t="s">
        <v>112</v>
      </c>
      <c r="E425" s="281">
        <v>15</v>
      </c>
      <c r="F425" s="283">
        <f>IF($B425="","",SUMIFS('Daily Inward'!$G:$G,'Daily Inward'!$C:$C,$B425,'Daily Inward'!$E:$E,"Non Inventory"))</f>
        <v>0</v>
      </c>
      <c r="G425" s="51">
        <f>IF($B425="","",SUMIFS('Daily Issuance'!$G:$G,'Daily Issuance'!$C:$C,$B425,'Daily Issuance'!$E:$E,"Non Inventory"))</f>
        <v>0</v>
      </c>
      <c r="H425" s="51">
        <f t="shared" si="12"/>
        <v>15</v>
      </c>
      <c r="I425" s="187">
        <v>300</v>
      </c>
      <c r="J425" s="188">
        <f t="shared" si="13"/>
        <v>4500</v>
      </c>
      <c r="K425" s="46"/>
    </row>
    <row r="426" spans="1:11" s="24" customFormat="1" ht="23.1" customHeight="1">
      <c r="A426" s="170">
        <f>IF($B426="","",MAX($A$3:A425)+1)</f>
        <v>423</v>
      </c>
      <c r="B426" s="176">
        <v>7579</v>
      </c>
      <c r="C426" s="177" t="s">
        <v>999</v>
      </c>
      <c r="D426" s="285" t="s">
        <v>112</v>
      </c>
      <c r="E426" s="281">
        <v>27</v>
      </c>
      <c r="F426" s="283">
        <f>IF($B426="","",SUMIFS('Daily Inward'!$G:$G,'Daily Inward'!$C:$C,$B426,'Daily Inward'!$E:$E,"Non Inventory"))</f>
        <v>0</v>
      </c>
      <c r="G426" s="51">
        <f>IF($B426="","",SUMIFS('Daily Issuance'!$G:$G,'Daily Issuance'!$C:$C,$B426,'Daily Issuance'!$E:$E,"Non Inventory"))</f>
        <v>1</v>
      </c>
      <c r="H426" s="51">
        <f t="shared" si="12"/>
        <v>26</v>
      </c>
      <c r="I426" s="187">
        <v>350</v>
      </c>
      <c r="J426" s="188">
        <f t="shared" si="13"/>
        <v>9100</v>
      </c>
      <c r="K426" s="46"/>
    </row>
    <row r="427" spans="1:11" s="24" customFormat="1" ht="23.1" customHeight="1">
      <c r="A427" s="170">
        <f>IF($B427="","",MAX($A$3:A426)+1)</f>
        <v>424</v>
      </c>
      <c r="B427" s="176">
        <v>7583</v>
      </c>
      <c r="C427" s="177" t="s">
        <v>1000</v>
      </c>
      <c r="D427" s="285" t="s">
        <v>112</v>
      </c>
      <c r="E427" s="281">
        <v>11</v>
      </c>
      <c r="F427" s="283">
        <f>IF($B427="","",SUMIFS('Daily Inward'!$G:$G,'Daily Inward'!$C:$C,$B427,'Daily Inward'!$E:$E,"Non Inventory"))</f>
        <v>0</v>
      </c>
      <c r="G427" s="51">
        <f>IF($B427="","",SUMIFS('Daily Issuance'!$G:$G,'Daily Issuance'!$C:$C,$B427,'Daily Issuance'!$E:$E,"Non Inventory"))</f>
        <v>0</v>
      </c>
      <c r="H427" s="51">
        <f t="shared" si="12"/>
        <v>11</v>
      </c>
      <c r="I427" s="187">
        <v>80</v>
      </c>
      <c r="J427" s="188">
        <f t="shared" si="13"/>
        <v>880</v>
      </c>
      <c r="K427" s="46"/>
    </row>
    <row r="428" spans="1:11" s="24" customFormat="1" ht="23.1" customHeight="1">
      <c r="A428" s="170">
        <f>IF($B428="","",MAX($A$3:A427)+1)</f>
        <v>425</v>
      </c>
      <c r="B428" s="176">
        <v>7584</v>
      </c>
      <c r="C428" s="177" t="s">
        <v>1001</v>
      </c>
      <c r="D428" s="285" t="s">
        <v>112</v>
      </c>
      <c r="E428" s="281">
        <v>3</v>
      </c>
      <c r="F428" s="283">
        <f>IF($B428="","",SUMIFS('Daily Inward'!$G:$G,'Daily Inward'!$C:$C,$B428,'Daily Inward'!$E:$E,"Non Inventory"))</f>
        <v>0</v>
      </c>
      <c r="G428" s="51">
        <f>IF($B428="","",SUMIFS('Daily Issuance'!$G:$G,'Daily Issuance'!$C:$C,$B428,'Daily Issuance'!$E:$E,"Non Inventory"))</f>
        <v>1</v>
      </c>
      <c r="H428" s="51">
        <f t="shared" si="12"/>
        <v>2</v>
      </c>
      <c r="I428" s="187">
        <v>120</v>
      </c>
      <c r="J428" s="188">
        <f t="shared" si="13"/>
        <v>240</v>
      </c>
      <c r="K428" s="46"/>
    </row>
    <row r="429" spans="1:11" s="24" customFormat="1" ht="23.1" customHeight="1">
      <c r="A429" s="170">
        <f>IF($B429="","",MAX($A$3:A428)+1)</f>
        <v>426</v>
      </c>
      <c r="B429" s="176">
        <v>7587</v>
      </c>
      <c r="C429" s="177" t="s">
        <v>1002</v>
      </c>
      <c r="D429" s="285" t="s">
        <v>112</v>
      </c>
      <c r="E429" s="281">
        <v>1</v>
      </c>
      <c r="F429" s="283">
        <f>IF($B429="","",SUMIFS('Daily Inward'!$G:$G,'Daily Inward'!$C:$C,$B429,'Daily Inward'!$E:$E,"Non Inventory"))</f>
        <v>0</v>
      </c>
      <c r="G429" s="51">
        <f>IF($B429="","",SUMIFS('Daily Issuance'!$G:$G,'Daily Issuance'!$C:$C,$B429,'Daily Issuance'!$E:$E,"Non Inventory"))</f>
        <v>0</v>
      </c>
      <c r="H429" s="51">
        <f t="shared" si="12"/>
        <v>1</v>
      </c>
      <c r="I429" s="187">
        <v>190</v>
      </c>
      <c r="J429" s="188">
        <f t="shared" si="13"/>
        <v>190</v>
      </c>
      <c r="K429" s="46"/>
    </row>
    <row r="430" spans="1:11" s="24" customFormat="1" ht="23.1" customHeight="1">
      <c r="A430" s="170">
        <f>IF($B430="","",MAX($A$3:A429)+1)</f>
        <v>427</v>
      </c>
      <c r="B430" s="176">
        <v>7610</v>
      </c>
      <c r="C430" s="177" t="s">
        <v>1003</v>
      </c>
      <c r="D430" s="285" t="s">
        <v>112</v>
      </c>
      <c r="E430" s="281">
        <v>20</v>
      </c>
      <c r="F430" s="283">
        <f>IF($B430="","",SUMIFS('Daily Inward'!$G:$G,'Daily Inward'!$C:$C,$B430,'Daily Inward'!$E:$E,"Non Inventory"))</f>
        <v>0</v>
      </c>
      <c r="G430" s="51">
        <f>IF($B430="","",SUMIFS('Daily Issuance'!$G:$G,'Daily Issuance'!$C:$C,$B430,'Daily Issuance'!$E:$E,"Non Inventory"))</f>
        <v>0</v>
      </c>
      <c r="H430" s="51">
        <f t="shared" si="12"/>
        <v>20</v>
      </c>
      <c r="I430" s="187">
        <v>14950</v>
      </c>
      <c r="J430" s="188">
        <f t="shared" si="13"/>
        <v>299000</v>
      </c>
      <c r="K430" s="46"/>
    </row>
    <row r="431" spans="1:11" s="24" customFormat="1" ht="23.1" customHeight="1">
      <c r="A431" s="170">
        <f>IF($B431="","",MAX($A$3:A430)+1)</f>
        <v>428</v>
      </c>
      <c r="B431" s="176">
        <v>7641</v>
      </c>
      <c r="C431" s="177" t="s">
        <v>1004</v>
      </c>
      <c r="D431" s="285" t="s">
        <v>672</v>
      </c>
      <c r="E431" s="281"/>
      <c r="F431" s="283">
        <f>IF($B431="","",SUMIFS('Daily Inward'!$G:$G,'Daily Inward'!$C:$C,$B431,'Daily Inward'!$E:$E,"Non Inventory"))</f>
        <v>3</v>
      </c>
      <c r="G431" s="51">
        <f>IF($B431="","",SUMIFS('Daily Issuance'!$G:$G,'Daily Issuance'!$C:$C,$B431,'Daily Issuance'!$E:$E,"Non Inventory"))</f>
        <v>0</v>
      </c>
      <c r="H431" s="51">
        <f t="shared" si="12"/>
        <v>3</v>
      </c>
      <c r="I431" s="187">
        <v>2500</v>
      </c>
      <c r="J431" s="188">
        <f t="shared" si="13"/>
        <v>7500</v>
      </c>
      <c r="K431" s="46"/>
    </row>
    <row r="432" spans="1:11" s="24" customFormat="1" ht="23.1" customHeight="1">
      <c r="A432" s="170">
        <f>IF($B432="","",MAX($A$3:A431)+1)</f>
        <v>429</v>
      </c>
      <c r="B432" s="176">
        <v>7650</v>
      </c>
      <c r="C432" s="177" t="s">
        <v>1005</v>
      </c>
      <c r="D432" s="285" t="s">
        <v>112</v>
      </c>
      <c r="E432" s="281">
        <v>9</v>
      </c>
      <c r="F432" s="283">
        <f>IF($B432="","",SUMIFS('Daily Inward'!$G:$G,'Daily Inward'!$C:$C,$B432,'Daily Inward'!$E:$E,"Non Inventory"))</f>
        <v>0</v>
      </c>
      <c r="G432" s="51">
        <f>IF($B432="","",SUMIFS('Daily Issuance'!$G:$G,'Daily Issuance'!$C:$C,$B432,'Daily Issuance'!$E:$E,"Non Inventory"))</f>
        <v>0</v>
      </c>
      <c r="H432" s="51">
        <f t="shared" si="12"/>
        <v>9</v>
      </c>
      <c r="I432" s="187">
        <v>950</v>
      </c>
      <c r="J432" s="188">
        <f t="shared" si="13"/>
        <v>8550</v>
      </c>
      <c r="K432" s="46"/>
    </row>
    <row r="433" spans="1:11" s="24" customFormat="1" ht="23.1" customHeight="1">
      <c r="A433" s="170">
        <f>IF($B433="","",MAX($A$3:A432)+1)</f>
        <v>430</v>
      </c>
      <c r="B433" s="176">
        <v>7651</v>
      </c>
      <c r="C433" s="177" t="s">
        <v>1006</v>
      </c>
      <c r="D433" s="285" t="s">
        <v>112</v>
      </c>
      <c r="E433" s="281">
        <v>9</v>
      </c>
      <c r="F433" s="283">
        <f>IF($B433="","",SUMIFS('Daily Inward'!$G:$G,'Daily Inward'!$C:$C,$B433,'Daily Inward'!$E:$E,"Non Inventory"))</f>
        <v>0</v>
      </c>
      <c r="G433" s="51">
        <f>IF($B433="","",SUMIFS('Daily Issuance'!$G:$G,'Daily Issuance'!$C:$C,$B433,'Daily Issuance'!$E:$E,"Non Inventory"))</f>
        <v>0</v>
      </c>
      <c r="H433" s="51">
        <f t="shared" si="12"/>
        <v>9</v>
      </c>
      <c r="I433" s="187">
        <v>200</v>
      </c>
      <c r="J433" s="188">
        <f t="shared" si="13"/>
        <v>1800</v>
      </c>
      <c r="K433" s="46"/>
    </row>
    <row r="434" spans="1:11" s="24" customFormat="1" ht="23.1" customHeight="1">
      <c r="A434" s="170">
        <f>IF($B434="","",MAX($A$3:A433)+1)</f>
        <v>431</v>
      </c>
      <c r="B434" s="176">
        <v>7663</v>
      </c>
      <c r="C434" s="177" t="s">
        <v>1007</v>
      </c>
      <c r="D434" s="285" t="s">
        <v>112</v>
      </c>
      <c r="E434" s="281">
        <v>7</v>
      </c>
      <c r="F434" s="283">
        <f>IF($B434="","",SUMIFS('Daily Inward'!$G:$G,'Daily Inward'!$C:$C,$B434,'Daily Inward'!$E:$E,"Non Inventory"))</f>
        <v>0</v>
      </c>
      <c r="G434" s="51">
        <f>IF($B434="","",SUMIFS('Daily Issuance'!$G:$G,'Daily Issuance'!$C:$C,$B434,'Daily Issuance'!$E:$E,"Non Inventory"))</f>
        <v>0</v>
      </c>
      <c r="H434" s="51">
        <f t="shared" si="12"/>
        <v>7</v>
      </c>
      <c r="I434" s="187">
        <v>50</v>
      </c>
      <c r="J434" s="188">
        <f t="shared" si="13"/>
        <v>350</v>
      </c>
      <c r="K434" s="46"/>
    </row>
    <row r="435" spans="1:11" s="24" customFormat="1" ht="23.1" customHeight="1">
      <c r="A435" s="170">
        <f>IF($B435="","",MAX($A$3:A434)+1)</f>
        <v>432</v>
      </c>
      <c r="B435" s="176">
        <v>7807</v>
      </c>
      <c r="C435" s="177" t="s">
        <v>1008</v>
      </c>
      <c r="D435" s="285" t="s">
        <v>112</v>
      </c>
      <c r="E435" s="281">
        <v>6</v>
      </c>
      <c r="F435" s="283">
        <f>IF($B435="","",SUMIFS('Daily Inward'!$G:$G,'Daily Inward'!$C:$C,$B435,'Daily Inward'!$E:$E,"Non Inventory"))</f>
        <v>0</v>
      </c>
      <c r="G435" s="51">
        <f>IF($B435="","",SUMIFS('Daily Issuance'!$G:$G,'Daily Issuance'!$C:$C,$B435,'Daily Issuance'!$E:$E,"Non Inventory"))</f>
        <v>0</v>
      </c>
      <c r="H435" s="51">
        <f t="shared" si="12"/>
        <v>6</v>
      </c>
      <c r="I435" s="187">
        <v>1815</v>
      </c>
      <c r="J435" s="188">
        <f t="shared" si="13"/>
        <v>10890</v>
      </c>
      <c r="K435" s="46"/>
    </row>
    <row r="436" spans="1:11" s="24" customFormat="1" ht="23.1" customHeight="1">
      <c r="A436" s="170">
        <f>IF($B436="","",MAX($A$3:A435)+1)</f>
        <v>433</v>
      </c>
      <c r="B436" s="176">
        <v>7873</v>
      </c>
      <c r="C436" s="177" t="s">
        <v>1009</v>
      </c>
      <c r="D436" s="285" t="s">
        <v>112</v>
      </c>
      <c r="E436" s="281">
        <v>11</v>
      </c>
      <c r="F436" s="283">
        <f>IF($B436="","",SUMIFS('Daily Inward'!$G:$G,'Daily Inward'!$C:$C,$B436,'Daily Inward'!$E:$E,"Non Inventory"))</f>
        <v>0</v>
      </c>
      <c r="G436" s="51">
        <f>IF($B436="","",SUMIFS('Daily Issuance'!$G:$G,'Daily Issuance'!$C:$C,$B436,'Daily Issuance'!$E:$E,"Non Inventory"))</f>
        <v>0</v>
      </c>
      <c r="H436" s="51">
        <f t="shared" si="12"/>
        <v>11</v>
      </c>
      <c r="I436" s="187">
        <v>250</v>
      </c>
      <c r="J436" s="188">
        <f t="shared" si="13"/>
        <v>2750</v>
      </c>
      <c r="K436" s="46"/>
    </row>
    <row r="437" spans="1:11" s="24" customFormat="1" ht="23.1" customHeight="1">
      <c r="A437" s="170">
        <f>IF($B437="","",MAX($A$3:A436)+1)</f>
        <v>434</v>
      </c>
      <c r="B437" s="176">
        <v>7875</v>
      </c>
      <c r="C437" s="177" t="s">
        <v>1010</v>
      </c>
      <c r="D437" s="285" t="s">
        <v>112</v>
      </c>
      <c r="E437" s="281">
        <v>5</v>
      </c>
      <c r="F437" s="283">
        <f>IF($B437="","",SUMIFS('Daily Inward'!$G:$G,'Daily Inward'!$C:$C,$B437,'Daily Inward'!$E:$E,"Non Inventory"))</f>
        <v>0</v>
      </c>
      <c r="G437" s="51">
        <f>IF($B437="","",SUMIFS('Daily Issuance'!$G:$G,'Daily Issuance'!$C:$C,$B437,'Daily Issuance'!$E:$E,"Non Inventory"))</f>
        <v>0</v>
      </c>
      <c r="H437" s="51">
        <f t="shared" si="12"/>
        <v>5</v>
      </c>
      <c r="I437" s="187">
        <v>116</v>
      </c>
      <c r="J437" s="188">
        <f t="shared" si="13"/>
        <v>580</v>
      </c>
      <c r="K437" s="46"/>
    </row>
    <row r="438" spans="1:11" s="24" customFormat="1" ht="23.1" customHeight="1">
      <c r="A438" s="170">
        <f>IF($B438="","",MAX($A$3:A437)+1)</f>
        <v>435</v>
      </c>
      <c r="B438" s="176">
        <v>7879</v>
      </c>
      <c r="C438" s="177" t="s">
        <v>1011</v>
      </c>
      <c r="D438" s="285" t="s">
        <v>112</v>
      </c>
      <c r="E438" s="281">
        <v>11</v>
      </c>
      <c r="F438" s="283">
        <f>IF($B438="","",SUMIFS('Daily Inward'!$G:$G,'Daily Inward'!$C:$C,$B438,'Daily Inward'!$E:$E,"Non Inventory"))</f>
        <v>0</v>
      </c>
      <c r="G438" s="51">
        <f>IF($B438="","",SUMIFS('Daily Issuance'!$G:$G,'Daily Issuance'!$C:$C,$B438,'Daily Issuance'!$E:$E,"Non Inventory"))</f>
        <v>0</v>
      </c>
      <c r="H438" s="51">
        <f t="shared" si="12"/>
        <v>11</v>
      </c>
      <c r="I438" s="187">
        <v>350</v>
      </c>
      <c r="J438" s="188">
        <f t="shared" si="13"/>
        <v>3850</v>
      </c>
      <c r="K438" s="46"/>
    </row>
    <row r="439" spans="1:11" s="24" customFormat="1" ht="23.1" customHeight="1">
      <c r="A439" s="170">
        <f>IF($B439="","",MAX($A$3:A438)+1)</f>
        <v>436</v>
      </c>
      <c r="B439" s="176">
        <v>7887</v>
      </c>
      <c r="C439" s="177" t="s">
        <v>1012</v>
      </c>
      <c r="D439" s="285" t="s">
        <v>112</v>
      </c>
      <c r="E439" s="281">
        <v>12</v>
      </c>
      <c r="F439" s="283">
        <f>IF($B439="","",SUMIFS('Daily Inward'!$G:$G,'Daily Inward'!$C:$C,$B439,'Daily Inward'!$E:$E,"Non Inventory"))</f>
        <v>0</v>
      </c>
      <c r="G439" s="51">
        <f>IF($B439="","",SUMIFS('Daily Issuance'!$G:$G,'Daily Issuance'!$C:$C,$B439,'Daily Issuance'!$E:$E,"Non Inventory"))</f>
        <v>0</v>
      </c>
      <c r="H439" s="51">
        <f t="shared" si="12"/>
        <v>12</v>
      </c>
      <c r="I439" s="187">
        <v>300</v>
      </c>
      <c r="J439" s="188">
        <f t="shared" si="13"/>
        <v>3600</v>
      </c>
      <c r="K439" s="46"/>
    </row>
    <row r="440" spans="1:11" s="24" customFormat="1" ht="23.1" customHeight="1">
      <c r="A440" s="170">
        <f>IF($B440="","",MAX($A$3:A439)+1)</f>
        <v>437</v>
      </c>
      <c r="B440" s="176">
        <v>7902</v>
      </c>
      <c r="C440" s="177" t="s">
        <v>1013</v>
      </c>
      <c r="D440" s="285" t="s">
        <v>112</v>
      </c>
      <c r="E440" s="281">
        <v>1</v>
      </c>
      <c r="F440" s="283">
        <f>IF($B440="","",SUMIFS('Daily Inward'!$G:$G,'Daily Inward'!$C:$C,$B440,'Daily Inward'!$E:$E,"Non Inventory"))</f>
        <v>0</v>
      </c>
      <c r="G440" s="51">
        <f>IF($B440="","",SUMIFS('Daily Issuance'!$G:$G,'Daily Issuance'!$C:$C,$B440,'Daily Issuance'!$E:$E,"Non Inventory"))</f>
        <v>0</v>
      </c>
      <c r="H440" s="51">
        <f t="shared" si="12"/>
        <v>1</v>
      </c>
      <c r="I440" s="187">
        <v>434</v>
      </c>
      <c r="J440" s="188">
        <f t="shared" si="13"/>
        <v>434</v>
      </c>
      <c r="K440" s="46"/>
    </row>
    <row r="441" spans="1:11" s="24" customFormat="1" ht="23.1" customHeight="1">
      <c r="A441" s="170">
        <f>IF($B441="","",MAX($A$3:A440)+1)</f>
        <v>438</v>
      </c>
      <c r="B441" s="176">
        <v>7903</v>
      </c>
      <c r="C441" s="177" t="s">
        <v>1014</v>
      </c>
      <c r="D441" s="285" t="s">
        <v>112</v>
      </c>
      <c r="E441" s="281">
        <v>4</v>
      </c>
      <c r="F441" s="283">
        <f>IF($B441="","",SUMIFS('Daily Inward'!$G:$G,'Daily Inward'!$C:$C,$B441,'Daily Inward'!$E:$E,"Non Inventory"))</f>
        <v>0</v>
      </c>
      <c r="G441" s="51">
        <f>IF($B441="","",SUMIFS('Daily Issuance'!$G:$G,'Daily Issuance'!$C:$C,$B441,'Daily Issuance'!$E:$E,"Non Inventory"))</f>
        <v>0</v>
      </c>
      <c r="H441" s="51">
        <f t="shared" si="12"/>
        <v>4</v>
      </c>
      <c r="I441" s="187">
        <v>583</v>
      </c>
      <c r="J441" s="188">
        <f t="shared" si="13"/>
        <v>2332</v>
      </c>
      <c r="K441" s="46"/>
    </row>
    <row r="442" spans="1:11" s="24" customFormat="1" ht="23.1" customHeight="1">
      <c r="A442" s="170">
        <f>IF($B442="","",MAX($A$3:A441)+1)</f>
        <v>439</v>
      </c>
      <c r="B442" s="176">
        <v>7904</v>
      </c>
      <c r="C442" s="177" t="s">
        <v>1015</v>
      </c>
      <c r="D442" s="285" t="s">
        <v>112</v>
      </c>
      <c r="E442" s="281">
        <v>8</v>
      </c>
      <c r="F442" s="283">
        <f>IF($B442="","",SUMIFS('Daily Inward'!$G:$G,'Daily Inward'!$C:$C,$B442,'Daily Inward'!$E:$E,"Non Inventory"))</f>
        <v>0</v>
      </c>
      <c r="G442" s="51">
        <f>IF($B442="","",SUMIFS('Daily Issuance'!$G:$G,'Daily Issuance'!$C:$C,$B442,'Daily Issuance'!$E:$E,"Non Inventory"))</f>
        <v>0</v>
      </c>
      <c r="H442" s="51">
        <f t="shared" si="12"/>
        <v>8</v>
      </c>
      <c r="I442" s="187">
        <v>495</v>
      </c>
      <c r="J442" s="188">
        <f t="shared" si="13"/>
        <v>3960</v>
      </c>
      <c r="K442" s="46"/>
    </row>
    <row r="443" spans="1:11" s="24" customFormat="1" ht="23.1" customHeight="1">
      <c r="A443" s="170">
        <f>IF($B443="","",MAX($A$3:A442)+1)</f>
        <v>440</v>
      </c>
      <c r="B443" s="176">
        <v>7905</v>
      </c>
      <c r="C443" s="177" t="s">
        <v>1016</v>
      </c>
      <c r="D443" s="285" t="s">
        <v>112</v>
      </c>
      <c r="E443" s="281">
        <v>3</v>
      </c>
      <c r="F443" s="283">
        <f>IF($B443="","",SUMIFS('Daily Inward'!$G:$G,'Daily Inward'!$C:$C,$B443,'Daily Inward'!$E:$E,"Non Inventory"))</f>
        <v>0</v>
      </c>
      <c r="G443" s="51">
        <f>IF($B443="","",SUMIFS('Daily Issuance'!$G:$G,'Daily Issuance'!$C:$C,$B443,'Daily Issuance'!$E:$E,"Non Inventory"))</f>
        <v>0</v>
      </c>
      <c r="H443" s="51">
        <f t="shared" si="12"/>
        <v>3</v>
      </c>
      <c r="I443" s="187">
        <v>583</v>
      </c>
      <c r="J443" s="188">
        <f t="shared" si="13"/>
        <v>1749</v>
      </c>
      <c r="K443" s="46"/>
    </row>
    <row r="444" spans="1:11" s="24" customFormat="1" ht="23.1" customHeight="1">
      <c r="A444" s="170">
        <f>IF($B444="","",MAX($A$3:A443)+1)</f>
        <v>441</v>
      </c>
      <c r="B444" s="176">
        <v>7939</v>
      </c>
      <c r="C444" s="177" t="s">
        <v>1017</v>
      </c>
      <c r="D444" s="285" t="s">
        <v>112</v>
      </c>
      <c r="E444" s="281">
        <v>1</v>
      </c>
      <c r="F444" s="283">
        <f>IF($B444="","",SUMIFS('Daily Inward'!$G:$G,'Daily Inward'!$C:$C,$B444,'Daily Inward'!$E:$E,"Non Inventory"))</f>
        <v>0</v>
      </c>
      <c r="G444" s="51">
        <f>IF($B444="","",SUMIFS('Daily Issuance'!$G:$G,'Daily Issuance'!$C:$C,$B444,'Daily Issuance'!$E:$E,"Non Inventory"))</f>
        <v>0</v>
      </c>
      <c r="H444" s="51">
        <f t="shared" si="12"/>
        <v>1</v>
      </c>
      <c r="I444" s="187">
        <v>21000</v>
      </c>
      <c r="J444" s="188">
        <f t="shared" si="13"/>
        <v>21000</v>
      </c>
      <c r="K444" s="46"/>
    </row>
    <row r="445" spans="1:11" s="24" customFormat="1" ht="23.1" customHeight="1">
      <c r="A445" s="170">
        <f>IF($B445="","",MAX($A$3:A444)+1)</f>
        <v>442</v>
      </c>
      <c r="B445" s="176">
        <v>7968</v>
      </c>
      <c r="C445" s="177" t="s">
        <v>1018</v>
      </c>
      <c r="D445" s="285" t="s">
        <v>112</v>
      </c>
      <c r="E445" s="281">
        <v>5</v>
      </c>
      <c r="F445" s="283">
        <f>IF($B445="","",SUMIFS('Daily Inward'!$G:$G,'Daily Inward'!$C:$C,$B445,'Daily Inward'!$E:$E,"Non Inventory"))</f>
        <v>0</v>
      </c>
      <c r="G445" s="51">
        <f>IF($B445="","",SUMIFS('Daily Issuance'!$G:$G,'Daily Issuance'!$C:$C,$B445,'Daily Issuance'!$E:$E,"Non Inventory"))</f>
        <v>3</v>
      </c>
      <c r="H445" s="51">
        <f t="shared" si="12"/>
        <v>2</v>
      </c>
      <c r="I445" s="187">
        <v>432</v>
      </c>
      <c r="J445" s="188">
        <f t="shared" si="13"/>
        <v>864</v>
      </c>
      <c r="K445" s="46"/>
    </row>
    <row r="446" spans="1:11" s="24" customFormat="1" ht="23.1" customHeight="1">
      <c r="A446" s="170">
        <f>IF($B446="","",MAX($A$3:A445)+1)</f>
        <v>443</v>
      </c>
      <c r="B446" s="176">
        <v>8011</v>
      </c>
      <c r="C446" s="177" t="s">
        <v>1019</v>
      </c>
      <c r="D446" s="285" t="s">
        <v>112</v>
      </c>
      <c r="E446" s="281">
        <v>8</v>
      </c>
      <c r="F446" s="283">
        <f>IF($B446="","",SUMIFS('Daily Inward'!$G:$G,'Daily Inward'!$C:$C,$B446,'Daily Inward'!$E:$E,"Non Inventory"))</f>
        <v>0</v>
      </c>
      <c r="G446" s="51">
        <f>IF($B446="","",SUMIFS('Daily Issuance'!$G:$G,'Daily Issuance'!$C:$C,$B446,'Daily Issuance'!$E:$E,"Non Inventory"))</f>
        <v>0</v>
      </c>
      <c r="H446" s="51">
        <f t="shared" si="12"/>
        <v>8</v>
      </c>
      <c r="I446" s="187">
        <v>120</v>
      </c>
      <c r="J446" s="188">
        <f t="shared" si="13"/>
        <v>960</v>
      </c>
      <c r="K446" s="46"/>
    </row>
    <row r="447" spans="1:11" s="24" customFormat="1" ht="23.1" customHeight="1">
      <c r="A447" s="170">
        <f>IF($B447="","",MAX($A$3:A446)+1)</f>
        <v>444</v>
      </c>
      <c r="B447" s="176">
        <v>8042</v>
      </c>
      <c r="C447" s="177" t="s">
        <v>1020</v>
      </c>
      <c r="D447" s="285" t="s">
        <v>112</v>
      </c>
      <c r="E447" s="281">
        <v>6</v>
      </c>
      <c r="F447" s="283">
        <f>IF($B447="","",SUMIFS('Daily Inward'!$G:$G,'Daily Inward'!$C:$C,$B447,'Daily Inward'!$E:$E,"Non Inventory"))</f>
        <v>0</v>
      </c>
      <c r="G447" s="51">
        <f>IF($B447="","",SUMIFS('Daily Issuance'!$G:$G,'Daily Issuance'!$C:$C,$B447,'Daily Issuance'!$E:$E,"Non Inventory"))</f>
        <v>0</v>
      </c>
      <c r="H447" s="51">
        <f t="shared" si="12"/>
        <v>6</v>
      </c>
      <c r="I447" s="187">
        <v>7200</v>
      </c>
      <c r="J447" s="188">
        <f t="shared" si="13"/>
        <v>43200</v>
      </c>
      <c r="K447" s="46"/>
    </row>
    <row r="448" spans="1:11" s="24" customFormat="1" ht="23.1" customHeight="1">
      <c r="A448" s="170">
        <f>IF($B448="","",MAX($A$3:A447)+1)</f>
        <v>445</v>
      </c>
      <c r="B448" s="176">
        <v>8098</v>
      </c>
      <c r="C448" s="177" t="s">
        <v>1021</v>
      </c>
      <c r="D448" s="285" t="s">
        <v>112</v>
      </c>
      <c r="E448" s="281">
        <v>9</v>
      </c>
      <c r="F448" s="283">
        <f>IF($B448="","",SUMIFS('Daily Inward'!$G:$G,'Daily Inward'!$C:$C,$B448,'Daily Inward'!$E:$E,"Non Inventory"))</f>
        <v>0</v>
      </c>
      <c r="G448" s="51">
        <f>IF($B448="","",SUMIFS('Daily Issuance'!$G:$G,'Daily Issuance'!$C:$C,$B448,'Daily Issuance'!$E:$E,"Non Inventory"))</f>
        <v>0</v>
      </c>
      <c r="H448" s="51">
        <f t="shared" si="12"/>
        <v>9</v>
      </c>
      <c r="I448" s="187">
        <v>90</v>
      </c>
      <c r="J448" s="188">
        <f t="shared" si="13"/>
        <v>810</v>
      </c>
      <c r="K448" s="46"/>
    </row>
    <row r="449" spans="1:11" s="24" customFormat="1" ht="23.1" customHeight="1">
      <c r="A449" s="170">
        <f>IF($B449="","",MAX($A$3:A448)+1)</f>
        <v>446</v>
      </c>
      <c r="B449" s="176">
        <v>8100</v>
      </c>
      <c r="C449" s="177" t="s">
        <v>1022</v>
      </c>
      <c r="D449" s="285" t="s">
        <v>112</v>
      </c>
      <c r="E449" s="281">
        <v>9</v>
      </c>
      <c r="F449" s="283">
        <f>IF($B449="","",SUMIFS('Daily Inward'!$G:$G,'Daily Inward'!$C:$C,$B449,'Daily Inward'!$E:$E,"Non Inventory"))</f>
        <v>0</v>
      </c>
      <c r="G449" s="51">
        <f>IF($B449="","",SUMIFS('Daily Issuance'!$G:$G,'Daily Issuance'!$C:$C,$B449,'Daily Issuance'!$E:$E,"Non Inventory"))</f>
        <v>0</v>
      </c>
      <c r="H449" s="51">
        <f t="shared" si="12"/>
        <v>9</v>
      </c>
      <c r="I449" s="187">
        <v>165</v>
      </c>
      <c r="J449" s="188">
        <f t="shared" si="13"/>
        <v>1485</v>
      </c>
      <c r="K449" s="46"/>
    </row>
    <row r="450" spans="1:11" s="24" customFormat="1" ht="23.1" customHeight="1">
      <c r="A450" s="170">
        <f>IF($B450="","",MAX($A$3:A449)+1)</f>
        <v>447</v>
      </c>
      <c r="B450" s="176">
        <v>8181</v>
      </c>
      <c r="C450" s="177" t="s">
        <v>1023</v>
      </c>
      <c r="D450" s="285" t="s">
        <v>112</v>
      </c>
      <c r="E450" s="281">
        <v>18</v>
      </c>
      <c r="F450" s="283">
        <f>IF($B450="","",SUMIFS('Daily Inward'!$G:$G,'Daily Inward'!$C:$C,$B450,'Daily Inward'!$E:$E,"Non Inventory"))</f>
        <v>0</v>
      </c>
      <c r="G450" s="51">
        <f>IF($B450="","",SUMIFS('Daily Issuance'!$G:$G,'Daily Issuance'!$C:$C,$B450,'Daily Issuance'!$E:$E,"Non Inventory"))</f>
        <v>0</v>
      </c>
      <c r="H450" s="51">
        <f t="shared" si="12"/>
        <v>18</v>
      </c>
      <c r="I450" s="187">
        <v>245</v>
      </c>
      <c r="J450" s="188">
        <f t="shared" si="13"/>
        <v>4410</v>
      </c>
      <c r="K450" s="46"/>
    </row>
    <row r="451" spans="1:11" s="24" customFormat="1" ht="23.1" customHeight="1">
      <c r="A451" s="170">
        <f>IF($B451="","",MAX($A$3:A450)+1)</f>
        <v>448</v>
      </c>
      <c r="B451" s="176">
        <v>8310</v>
      </c>
      <c r="C451" s="177" t="s">
        <v>1024</v>
      </c>
      <c r="D451" s="285" t="s">
        <v>112</v>
      </c>
      <c r="E451" s="281">
        <v>14</v>
      </c>
      <c r="F451" s="283">
        <f>IF($B451="","",SUMIFS('Daily Inward'!$G:$G,'Daily Inward'!$C:$C,$B451,'Daily Inward'!$E:$E,"Non Inventory"))</f>
        <v>0</v>
      </c>
      <c r="G451" s="51">
        <f>IF($B451="","",SUMIFS('Daily Issuance'!$G:$G,'Daily Issuance'!$C:$C,$B451,'Daily Issuance'!$E:$E,"Non Inventory"))</f>
        <v>0</v>
      </c>
      <c r="H451" s="51">
        <f t="shared" si="12"/>
        <v>14</v>
      </c>
      <c r="I451" s="187">
        <v>338</v>
      </c>
      <c r="J451" s="188">
        <f t="shared" si="13"/>
        <v>4732</v>
      </c>
      <c r="K451" s="46"/>
    </row>
    <row r="452" spans="1:11" s="24" customFormat="1" ht="23.1" customHeight="1">
      <c r="A452" s="170">
        <f>IF($B452="","",MAX($A$3:A451)+1)</f>
        <v>449</v>
      </c>
      <c r="B452" s="176">
        <v>8377</v>
      </c>
      <c r="C452" s="177" t="s">
        <v>1025</v>
      </c>
      <c r="D452" s="285" t="s">
        <v>112</v>
      </c>
      <c r="E452" s="281">
        <v>0</v>
      </c>
      <c r="F452" s="283">
        <f>IF($B452="","",SUMIFS('Daily Inward'!$G:$G,'Daily Inward'!$C:$C,$B452,'Daily Inward'!$E:$E,"Non Inventory"))</f>
        <v>0</v>
      </c>
      <c r="G452" s="51">
        <f>IF($B452="","",SUMIFS('Daily Issuance'!$G:$G,'Daily Issuance'!$C:$C,$B452,'Daily Issuance'!$E:$E,"Non Inventory"))</f>
        <v>0</v>
      </c>
      <c r="H452" s="51">
        <f t="shared" ref="H452:H514" si="14">IF($B452="","",N(E452)+N(F452)-N(G452))</f>
        <v>0</v>
      </c>
      <c r="I452" s="187">
        <v>687</v>
      </c>
      <c r="J452" s="188">
        <f t="shared" ref="J452:J514" si="15">IF($B452="","",H452*I452)</f>
        <v>0</v>
      </c>
      <c r="K452" s="46"/>
    </row>
    <row r="453" spans="1:11" s="24" customFormat="1" ht="23.1" customHeight="1">
      <c r="A453" s="170">
        <f>IF($B453="","",MAX($A$3:A452)+1)</f>
        <v>450</v>
      </c>
      <c r="B453" s="176">
        <v>8379</v>
      </c>
      <c r="C453" s="177" t="s">
        <v>1026</v>
      </c>
      <c r="D453" s="285" t="s">
        <v>112</v>
      </c>
      <c r="E453" s="281">
        <v>48</v>
      </c>
      <c r="F453" s="283">
        <f>IF($B453="","",SUMIFS('Daily Inward'!$G:$G,'Daily Inward'!$C:$C,$B453,'Daily Inward'!$E:$E,"Non Inventory"))</f>
        <v>0</v>
      </c>
      <c r="G453" s="51">
        <f>IF($B453="","",SUMIFS('Daily Issuance'!$G:$G,'Daily Issuance'!$C:$C,$B453,'Daily Issuance'!$E:$E,"Non Inventory"))</f>
        <v>2</v>
      </c>
      <c r="H453" s="51">
        <f t="shared" si="14"/>
        <v>46</v>
      </c>
      <c r="I453" s="187">
        <v>180</v>
      </c>
      <c r="J453" s="188">
        <f t="shared" si="15"/>
        <v>8280</v>
      </c>
      <c r="K453" s="46"/>
    </row>
    <row r="454" spans="1:11" s="24" customFormat="1" ht="23.1" customHeight="1">
      <c r="A454" s="170">
        <f>IF($B454="","",MAX($A$3:A453)+1)</f>
        <v>451</v>
      </c>
      <c r="B454" s="176">
        <v>8383</v>
      </c>
      <c r="C454" s="177" t="s">
        <v>1027</v>
      </c>
      <c r="D454" s="285" t="s">
        <v>112</v>
      </c>
      <c r="E454" s="281">
        <v>1</v>
      </c>
      <c r="F454" s="283">
        <f>IF($B454="","",SUMIFS('Daily Inward'!$G:$G,'Daily Inward'!$C:$C,$B454,'Daily Inward'!$E:$E,"Non Inventory"))</f>
        <v>0</v>
      </c>
      <c r="G454" s="51">
        <f>IF($B454="","",SUMIFS('Daily Issuance'!$G:$G,'Daily Issuance'!$C:$C,$B454,'Daily Issuance'!$E:$E,"Non Inventory"))</f>
        <v>0</v>
      </c>
      <c r="H454" s="51">
        <f t="shared" si="14"/>
        <v>1</v>
      </c>
      <c r="I454" s="187">
        <v>450</v>
      </c>
      <c r="J454" s="188">
        <f t="shared" si="15"/>
        <v>450</v>
      </c>
      <c r="K454" s="46"/>
    </row>
    <row r="455" spans="1:11" s="24" customFormat="1" ht="23.1" customHeight="1">
      <c r="A455" s="170">
        <f>IF($B455="","",MAX($A$3:A454)+1)</f>
        <v>452</v>
      </c>
      <c r="B455" s="176">
        <v>8395</v>
      </c>
      <c r="C455" s="177" t="s">
        <v>1028</v>
      </c>
      <c r="D455" s="285" t="s">
        <v>112</v>
      </c>
      <c r="E455" s="281">
        <v>2</v>
      </c>
      <c r="F455" s="283">
        <f>IF($B455="","",SUMIFS('Daily Inward'!$G:$G,'Daily Inward'!$C:$C,$B455,'Daily Inward'!$E:$E,"Non Inventory"))</f>
        <v>1</v>
      </c>
      <c r="G455" s="51">
        <f>IF($B455="","",SUMIFS('Daily Issuance'!$G:$G,'Daily Issuance'!$C:$C,$B455,'Daily Issuance'!$E:$E,"Non Inventory"))</f>
        <v>0</v>
      </c>
      <c r="H455" s="51">
        <f t="shared" si="14"/>
        <v>3</v>
      </c>
      <c r="I455" s="187">
        <v>7500</v>
      </c>
      <c r="J455" s="188">
        <f t="shared" si="15"/>
        <v>22500</v>
      </c>
      <c r="K455" s="46"/>
    </row>
    <row r="456" spans="1:11" s="24" customFormat="1" ht="23.1" customHeight="1">
      <c r="A456" s="170">
        <f>IF($B456="","",MAX($A$3:A455)+1)</f>
        <v>453</v>
      </c>
      <c r="B456" s="176">
        <v>8424</v>
      </c>
      <c r="C456" s="177" t="s">
        <v>1029</v>
      </c>
      <c r="D456" s="285" t="s">
        <v>112</v>
      </c>
      <c r="E456" s="281">
        <v>87</v>
      </c>
      <c r="F456" s="283">
        <f>IF($B456="","",SUMIFS('Daily Inward'!$G:$G,'Daily Inward'!$C:$C,$B456,'Daily Inward'!$E:$E,"Non Inventory"))</f>
        <v>0</v>
      </c>
      <c r="G456" s="51">
        <f>IF($B456="","",SUMIFS('Daily Issuance'!$G:$G,'Daily Issuance'!$C:$C,$B456,'Daily Issuance'!$E:$E,"Non Inventory"))</f>
        <v>10</v>
      </c>
      <c r="H456" s="51">
        <f t="shared" si="14"/>
        <v>77</v>
      </c>
      <c r="I456" s="187">
        <v>7</v>
      </c>
      <c r="J456" s="188">
        <f t="shared" si="15"/>
        <v>539</v>
      </c>
      <c r="K456" s="46"/>
    </row>
    <row r="457" spans="1:11" s="24" customFormat="1" ht="23.1" customHeight="1">
      <c r="A457" s="170">
        <f>IF($B457="","",MAX($A$3:A456)+1)</f>
        <v>454</v>
      </c>
      <c r="B457" s="176">
        <v>8501</v>
      </c>
      <c r="C457" s="177" t="s">
        <v>1030</v>
      </c>
      <c r="D457" s="285" t="s">
        <v>112</v>
      </c>
      <c r="E457" s="281">
        <v>18</v>
      </c>
      <c r="F457" s="283">
        <f>IF($B457="","",SUMIFS('Daily Inward'!$G:$G,'Daily Inward'!$C:$C,$B457,'Daily Inward'!$E:$E,"Non Inventory"))</f>
        <v>0</v>
      </c>
      <c r="G457" s="51">
        <f>IF($B457="","",SUMIFS('Daily Issuance'!$G:$G,'Daily Issuance'!$C:$C,$B457,'Daily Issuance'!$E:$E,"Non Inventory"))</f>
        <v>0</v>
      </c>
      <c r="H457" s="51">
        <f t="shared" si="14"/>
        <v>18</v>
      </c>
      <c r="I457" s="187">
        <v>400</v>
      </c>
      <c r="J457" s="188">
        <f t="shared" si="15"/>
        <v>7200</v>
      </c>
      <c r="K457" s="46"/>
    </row>
    <row r="458" spans="1:11" s="24" customFormat="1" ht="23.1" customHeight="1">
      <c r="A458" s="170">
        <f>IF($B458="","",MAX($A$3:A457)+1)</f>
        <v>455</v>
      </c>
      <c r="B458" s="176">
        <v>8612</v>
      </c>
      <c r="C458" s="177" t="s">
        <v>1031</v>
      </c>
      <c r="D458" s="285" t="s">
        <v>338</v>
      </c>
      <c r="E458" s="281">
        <v>40</v>
      </c>
      <c r="F458" s="283">
        <f>IF($B458="","",SUMIFS('Daily Inward'!$G:$G,'Daily Inward'!$C:$C,$B458,'Daily Inward'!$E:$E,"Non Inventory"))</f>
        <v>0</v>
      </c>
      <c r="G458" s="51">
        <f>IF($B458="","",SUMIFS('Daily Issuance'!$G:$G,'Daily Issuance'!$C:$C,$B458,'Daily Issuance'!$E:$E,"Non Inventory"))</f>
        <v>0</v>
      </c>
      <c r="H458" s="51">
        <f t="shared" si="14"/>
        <v>40</v>
      </c>
      <c r="I458" s="187">
        <v>850</v>
      </c>
      <c r="J458" s="188">
        <f t="shared" si="15"/>
        <v>34000</v>
      </c>
      <c r="K458" s="46"/>
    </row>
    <row r="459" spans="1:11" s="24" customFormat="1" ht="23.1" customHeight="1">
      <c r="A459" s="170">
        <f>IF($B459="","",MAX($A$3:A458)+1)</f>
        <v>456</v>
      </c>
      <c r="B459" s="176">
        <v>8674</v>
      </c>
      <c r="C459" s="177" t="s">
        <v>1032</v>
      </c>
      <c r="D459" s="285" t="s">
        <v>112</v>
      </c>
      <c r="E459" s="281">
        <v>0</v>
      </c>
      <c r="F459" s="283">
        <f>IF($B459="","",SUMIFS('Daily Inward'!$G:$G,'Daily Inward'!$C:$C,$B459,'Daily Inward'!$E:$E,"Non Inventory"))</f>
        <v>20</v>
      </c>
      <c r="G459" s="51">
        <f>IF($B459="","",SUMIFS('Daily Issuance'!$G:$G,'Daily Issuance'!$C:$C,$B459,'Daily Issuance'!$E:$E,"Non Inventory"))</f>
        <v>0</v>
      </c>
      <c r="H459" s="51">
        <f t="shared" si="14"/>
        <v>20</v>
      </c>
      <c r="I459" s="187">
        <v>525</v>
      </c>
      <c r="J459" s="188">
        <f t="shared" si="15"/>
        <v>10500</v>
      </c>
      <c r="K459" s="46"/>
    </row>
    <row r="460" spans="1:11" s="24" customFormat="1" ht="23.1" customHeight="1">
      <c r="A460" s="170">
        <f>IF($B460="","",MAX($A$3:A459)+1)</f>
        <v>457</v>
      </c>
      <c r="B460" s="176">
        <v>8722</v>
      </c>
      <c r="C460" s="177" t="s">
        <v>1033</v>
      </c>
      <c r="D460" s="285" t="s">
        <v>112</v>
      </c>
      <c r="E460" s="281">
        <v>16</v>
      </c>
      <c r="F460" s="283">
        <f>IF($B460="","",SUMIFS('Daily Inward'!$G:$G,'Daily Inward'!$C:$C,$B460,'Daily Inward'!$E:$E,"Non Inventory"))</f>
        <v>0</v>
      </c>
      <c r="G460" s="51">
        <f>IF($B460="","",SUMIFS('Daily Issuance'!$G:$G,'Daily Issuance'!$C:$C,$B460,'Daily Issuance'!$E:$E,"Non Inventory"))</f>
        <v>2</v>
      </c>
      <c r="H460" s="51">
        <f t="shared" si="14"/>
        <v>14</v>
      </c>
      <c r="I460" s="187">
        <v>325</v>
      </c>
      <c r="J460" s="188">
        <f t="shared" si="15"/>
        <v>4550</v>
      </c>
      <c r="K460" s="46"/>
    </row>
    <row r="461" spans="1:11" s="24" customFormat="1" ht="23.1" customHeight="1">
      <c r="A461" s="170">
        <f>IF($B461="","",MAX($A$3:A460)+1)</f>
        <v>458</v>
      </c>
      <c r="B461" s="176">
        <v>8728</v>
      </c>
      <c r="C461" s="177" t="s">
        <v>1034</v>
      </c>
      <c r="D461" s="285" t="s">
        <v>112</v>
      </c>
      <c r="E461" s="281">
        <v>16</v>
      </c>
      <c r="F461" s="283">
        <f>IF($B461="","",SUMIFS('Daily Inward'!$G:$G,'Daily Inward'!$C:$C,$B461,'Daily Inward'!$E:$E,"Non Inventory"))</f>
        <v>0</v>
      </c>
      <c r="G461" s="51">
        <f>IF($B461="","",SUMIFS('Daily Issuance'!$G:$G,'Daily Issuance'!$C:$C,$B461,'Daily Issuance'!$E:$E,"Non Inventory"))</f>
        <v>0</v>
      </c>
      <c r="H461" s="51">
        <f t="shared" si="14"/>
        <v>16</v>
      </c>
      <c r="I461" s="187">
        <v>15</v>
      </c>
      <c r="J461" s="188">
        <f t="shared" si="15"/>
        <v>240</v>
      </c>
      <c r="K461" s="46"/>
    </row>
    <row r="462" spans="1:11" s="24" customFormat="1" ht="23.1" customHeight="1">
      <c r="A462" s="170">
        <f>IF($B462="","",MAX($A$3:A461)+1)</f>
        <v>459</v>
      </c>
      <c r="B462" s="176">
        <v>8729</v>
      </c>
      <c r="C462" s="177" t="s">
        <v>1035</v>
      </c>
      <c r="D462" s="285" t="s">
        <v>112</v>
      </c>
      <c r="E462" s="281">
        <v>18</v>
      </c>
      <c r="F462" s="283">
        <f>IF($B462="","",SUMIFS('Daily Inward'!$G:$G,'Daily Inward'!$C:$C,$B462,'Daily Inward'!$E:$E,"Non Inventory"))</f>
        <v>0</v>
      </c>
      <c r="G462" s="51">
        <f>IF($B462="","",SUMIFS('Daily Issuance'!$G:$G,'Daily Issuance'!$C:$C,$B462,'Daily Issuance'!$E:$E,"Non Inventory"))</f>
        <v>0</v>
      </c>
      <c r="H462" s="51">
        <f t="shared" si="14"/>
        <v>18</v>
      </c>
      <c r="I462" s="187">
        <v>15</v>
      </c>
      <c r="J462" s="188">
        <f t="shared" si="15"/>
        <v>270</v>
      </c>
      <c r="K462" s="46"/>
    </row>
    <row r="463" spans="1:11" s="24" customFormat="1" ht="23.1" customHeight="1">
      <c r="A463" s="170">
        <f>IF($B463="","",MAX($A$3:A462)+1)</f>
        <v>460</v>
      </c>
      <c r="B463" s="176">
        <v>8731</v>
      </c>
      <c r="C463" s="177" t="s">
        <v>1036</v>
      </c>
      <c r="D463" s="285" t="s">
        <v>112</v>
      </c>
      <c r="E463" s="281">
        <v>97</v>
      </c>
      <c r="F463" s="283">
        <f>IF($B463="","",SUMIFS('Daily Inward'!$G:$G,'Daily Inward'!$C:$C,$B463,'Daily Inward'!$E:$E,"Non Inventory"))</f>
        <v>0</v>
      </c>
      <c r="G463" s="51">
        <f>IF($B463="","",SUMIFS('Daily Issuance'!$G:$G,'Daily Issuance'!$C:$C,$B463,'Daily Issuance'!$E:$E,"Non Inventory"))</f>
        <v>0</v>
      </c>
      <c r="H463" s="51">
        <f t="shared" si="14"/>
        <v>97</v>
      </c>
      <c r="I463" s="187">
        <v>23.5</v>
      </c>
      <c r="J463" s="188">
        <f t="shared" si="15"/>
        <v>2279.5</v>
      </c>
      <c r="K463" s="46"/>
    </row>
    <row r="464" spans="1:11" s="24" customFormat="1" ht="23.1" customHeight="1">
      <c r="A464" s="170">
        <f>IF($B464="","",MAX($A$3:A463)+1)</f>
        <v>461</v>
      </c>
      <c r="B464" s="176">
        <v>8732</v>
      </c>
      <c r="C464" s="177" t="s">
        <v>1037</v>
      </c>
      <c r="D464" s="285" t="s">
        <v>112</v>
      </c>
      <c r="E464" s="281">
        <v>89</v>
      </c>
      <c r="F464" s="283">
        <f>IF($B464="","",SUMIFS('Daily Inward'!$G:$G,'Daily Inward'!$C:$C,$B464,'Daily Inward'!$E:$E,"Non Inventory"))</f>
        <v>0</v>
      </c>
      <c r="G464" s="51">
        <f>IF($B464="","",SUMIFS('Daily Issuance'!$G:$G,'Daily Issuance'!$C:$C,$B464,'Daily Issuance'!$E:$E,"Non Inventory"))</f>
        <v>0</v>
      </c>
      <c r="H464" s="51">
        <f t="shared" si="14"/>
        <v>89</v>
      </c>
      <c r="I464" s="187">
        <v>11</v>
      </c>
      <c r="J464" s="188">
        <f t="shared" si="15"/>
        <v>979</v>
      </c>
      <c r="K464" s="46"/>
    </row>
    <row r="465" spans="1:11" s="24" customFormat="1" ht="23.1" customHeight="1">
      <c r="A465" s="170">
        <f>IF($B465="","",MAX($A$3:A464)+1)</f>
        <v>462</v>
      </c>
      <c r="B465" s="176">
        <v>8733</v>
      </c>
      <c r="C465" s="177" t="s">
        <v>1038</v>
      </c>
      <c r="D465" s="285" t="s">
        <v>112</v>
      </c>
      <c r="E465" s="281">
        <v>116</v>
      </c>
      <c r="F465" s="283">
        <f>IF($B465="","",SUMIFS('Daily Inward'!$G:$G,'Daily Inward'!$C:$C,$B465,'Daily Inward'!$E:$E,"Non Inventory"))</f>
        <v>0</v>
      </c>
      <c r="G465" s="51">
        <f>IF($B465="","",SUMIFS('Daily Issuance'!$G:$G,'Daily Issuance'!$C:$C,$B465,'Daily Issuance'!$E:$E,"Non Inventory"))</f>
        <v>0</v>
      </c>
      <c r="H465" s="51">
        <f t="shared" si="14"/>
        <v>116</v>
      </c>
      <c r="I465" s="187">
        <v>31.3</v>
      </c>
      <c r="J465" s="188">
        <f t="shared" si="15"/>
        <v>3630.8</v>
      </c>
      <c r="K465" s="46"/>
    </row>
    <row r="466" spans="1:11" s="24" customFormat="1" ht="23.1" customHeight="1">
      <c r="A466" s="170">
        <f>IF($B466="","",MAX($A$3:A465)+1)</f>
        <v>463</v>
      </c>
      <c r="B466" s="176">
        <v>8755</v>
      </c>
      <c r="C466" s="177" t="s">
        <v>1039</v>
      </c>
      <c r="D466" s="285" t="s">
        <v>604</v>
      </c>
      <c r="E466" s="281">
        <v>0</v>
      </c>
      <c r="F466" s="283">
        <f>IF($B466="","",SUMIFS('Daily Inward'!$G:$G,'Daily Inward'!$C:$C,$B466,'Daily Inward'!$E:$E,"Non Inventory"))</f>
        <v>100</v>
      </c>
      <c r="G466" s="51">
        <f>IF($B466="","",SUMIFS('Daily Issuance'!$G:$G,'Daily Issuance'!$C:$C,$B466,'Daily Issuance'!$E:$E,"Non Inventory"))</f>
        <v>12</v>
      </c>
      <c r="H466" s="51">
        <f t="shared" si="14"/>
        <v>88</v>
      </c>
      <c r="I466" s="187">
        <v>7</v>
      </c>
      <c r="J466" s="188">
        <f t="shared" si="15"/>
        <v>616</v>
      </c>
      <c r="K466" s="46"/>
    </row>
    <row r="467" spans="1:11" s="24" customFormat="1" ht="23.1" customHeight="1">
      <c r="A467" s="170">
        <f>IF($B467="","",MAX($A$3:A466)+1)</f>
        <v>464</v>
      </c>
      <c r="B467" s="176">
        <v>8757</v>
      </c>
      <c r="C467" s="177" t="s">
        <v>1040</v>
      </c>
      <c r="D467" s="285" t="s">
        <v>604</v>
      </c>
      <c r="E467" s="281"/>
      <c r="F467" s="283">
        <f>IF($B467="","",SUMIFS('Daily Inward'!$G:$G,'Daily Inward'!$C:$C,$B467,'Daily Inward'!$E:$E,"Non Inventory"))</f>
        <v>20</v>
      </c>
      <c r="G467" s="51">
        <f>IF($B467="","",SUMIFS('Daily Issuance'!$G:$G,'Daily Issuance'!$C:$C,$B467,'Daily Issuance'!$E:$E,"Non Inventory"))</f>
        <v>12</v>
      </c>
      <c r="H467" s="51">
        <f t="shared" si="14"/>
        <v>8</v>
      </c>
      <c r="I467" s="187">
        <v>13</v>
      </c>
      <c r="J467" s="188">
        <f t="shared" si="15"/>
        <v>104</v>
      </c>
      <c r="K467" s="46"/>
    </row>
    <row r="468" spans="1:11" s="24" customFormat="1" ht="23.1" customHeight="1">
      <c r="A468" s="170">
        <f>IF($B468="","",MAX($A$3:A467)+1)</f>
        <v>465</v>
      </c>
      <c r="B468" s="176">
        <v>8759</v>
      </c>
      <c r="C468" s="177" t="s">
        <v>1041</v>
      </c>
      <c r="D468" s="285" t="s">
        <v>604</v>
      </c>
      <c r="E468" s="281">
        <v>28</v>
      </c>
      <c r="F468" s="283">
        <f>IF($B468="","",SUMIFS('Daily Inward'!$G:$G,'Daily Inward'!$C:$C,$B468,'Daily Inward'!$E:$E,"Non Inventory"))</f>
        <v>0</v>
      </c>
      <c r="G468" s="51">
        <f>IF($B468="","",SUMIFS('Daily Issuance'!$G:$G,'Daily Issuance'!$C:$C,$B468,'Daily Issuance'!$E:$E,"Non Inventory"))</f>
        <v>12</v>
      </c>
      <c r="H468" s="51">
        <f t="shared" si="14"/>
        <v>16</v>
      </c>
      <c r="I468" s="187">
        <v>45</v>
      </c>
      <c r="J468" s="188">
        <f t="shared" si="15"/>
        <v>720</v>
      </c>
      <c r="K468" s="46"/>
    </row>
    <row r="469" spans="1:11" s="24" customFormat="1" ht="23.1" customHeight="1">
      <c r="A469" s="170">
        <f>IF($B469="","",MAX($A$3:A468)+1)</f>
        <v>466</v>
      </c>
      <c r="B469" s="176">
        <v>8761</v>
      </c>
      <c r="C469" s="177" t="s">
        <v>1042</v>
      </c>
      <c r="D469" s="285" t="s">
        <v>604</v>
      </c>
      <c r="E469" s="281">
        <v>27</v>
      </c>
      <c r="F469" s="283">
        <f>IF($B469="","",SUMIFS('Daily Inward'!$G:$G,'Daily Inward'!$C:$C,$B469,'Daily Inward'!$E:$E,"Non Inventory"))</f>
        <v>0</v>
      </c>
      <c r="G469" s="51">
        <f>IF($B469="","",SUMIFS('Daily Issuance'!$G:$G,'Daily Issuance'!$C:$C,$B469,'Daily Issuance'!$E:$E,"Non Inventory"))</f>
        <v>0</v>
      </c>
      <c r="H469" s="51">
        <f t="shared" si="14"/>
        <v>27</v>
      </c>
      <c r="I469" s="187">
        <v>75</v>
      </c>
      <c r="J469" s="188">
        <f t="shared" si="15"/>
        <v>2025</v>
      </c>
      <c r="K469" s="46"/>
    </row>
    <row r="470" spans="1:11" s="24" customFormat="1" ht="23.1" customHeight="1">
      <c r="A470" s="170">
        <f>IF($B470="","",MAX($A$3:A469)+1)</f>
        <v>467</v>
      </c>
      <c r="B470" s="176">
        <v>8762</v>
      </c>
      <c r="C470" s="177" t="s">
        <v>1043</v>
      </c>
      <c r="D470" s="285" t="s">
        <v>604</v>
      </c>
      <c r="E470" s="281">
        <v>30</v>
      </c>
      <c r="F470" s="283">
        <f>IF($B470="","",SUMIFS('Daily Inward'!$G:$G,'Daily Inward'!$C:$C,$B470,'Daily Inward'!$E:$E,"Non Inventory"))</f>
        <v>0</v>
      </c>
      <c r="G470" s="51">
        <f>IF($B470="","",SUMIFS('Daily Issuance'!$G:$G,'Daily Issuance'!$C:$C,$B470,'Daily Issuance'!$E:$E,"Non Inventory"))</f>
        <v>0</v>
      </c>
      <c r="H470" s="51">
        <f t="shared" si="14"/>
        <v>30</v>
      </c>
      <c r="I470" s="187">
        <v>90</v>
      </c>
      <c r="J470" s="188">
        <f t="shared" si="15"/>
        <v>2700</v>
      </c>
      <c r="K470" s="46"/>
    </row>
    <row r="471" spans="1:11" s="24" customFormat="1" ht="23.1" customHeight="1">
      <c r="A471" s="170">
        <f>IF($B471="","",MAX($A$3:A470)+1)</f>
        <v>468</v>
      </c>
      <c r="B471" s="176">
        <v>8796</v>
      </c>
      <c r="C471" s="177" t="s">
        <v>1044</v>
      </c>
      <c r="D471" s="285" t="s">
        <v>112</v>
      </c>
      <c r="E471" s="281">
        <v>55</v>
      </c>
      <c r="F471" s="283">
        <f>IF($B471="","",SUMIFS('Daily Inward'!$G:$G,'Daily Inward'!$C:$C,$B471,'Daily Inward'!$E:$E,"Non Inventory"))</f>
        <v>0</v>
      </c>
      <c r="G471" s="51">
        <f>IF($B471="","",SUMIFS('Daily Issuance'!$G:$G,'Daily Issuance'!$C:$C,$B471,'Daily Issuance'!$E:$E,"Non Inventory"))</f>
        <v>0</v>
      </c>
      <c r="H471" s="51">
        <f t="shared" si="14"/>
        <v>55</v>
      </c>
      <c r="I471" s="187">
        <v>338</v>
      </c>
      <c r="J471" s="188">
        <f t="shared" si="15"/>
        <v>18590</v>
      </c>
      <c r="K471" s="46"/>
    </row>
    <row r="472" spans="1:11" s="24" customFormat="1" ht="23.1" customHeight="1">
      <c r="A472" s="170">
        <f>IF($B472="","",MAX($A$3:A471)+1)</f>
        <v>469</v>
      </c>
      <c r="B472" s="176">
        <v>8851</v>
      </c>
      <c r="C472" s="177" t="s">
        <v>1045</v>
      </c>
      <c r="D472" s="285" t="s">
        <v>1046</v>
      </c>
      <c r="E472" s="281">
        <v>1</v>
      </c>
      <c r="F472" s="283">
        <f>IF($B472="","",SUMIFS('Daily Inward'!$G:$G,'Daily Inward'!$C:$C,$B472,'Daily Inward'!$E:$E,"Non Inventory"))</f>
        <v>0</v>
      </c>
      <c r="G472" s="51">
        <f>IF($B472="","",SUMIFS('Daily Issuance'!$G:$G,'Daily Issuance'!$C:$C,$B472,'Daily Issuance'!$E:$E,"Non Inventory"))</f>
        <v>0</v>
      </c>
      <c r="H472" s="51">
        <f t="shared" si="14"/>
        <v>1</v>
      </c>
      <c r="I472" s="187">
        <v>9250</v>
      </c>
      <c r="J472" s="188">
        <f t="shared" si="15"/>
        <v>9250</v>
      </c>
      <c r="K472" s="46"/>
    </row>
    <row r="473" spans="1:11" s="24" customFormat="1" ht="23.1" customHeight="1">
      <c r="A473" s="170">
        <f>IF($B473="","",MAX($A$3:A472)+1)</f>
        <v>470</v>
      </c>
      <c r="B473" s="176">
        <v>8881</v>
      </c>
      <c r="C473" s="177" t="s">
        <v>1047</v>
      </c>
      <c r="D473" s="285" t="s">
        <v>112</v>
      </c>
      <c r="E473" s="281">
        <v>1</v>
      </c>
      <c r="F473" s="283">
        <f>IF($B473="","",SUMIFS('Daily Inward'!$G:$G,'Daily Inward'!$C:$C,$B473,'Daily Inward'!$E:$E,"Non Inventory"))</f>
        <v>0</v>
      </c>
      <c r="G473" s="51">
        <f>IF($B473="","",SUMIFS('Daily Issuance'!$G:$G,'Daily Issuance'!$C:$C,$B473,'Daily Issuance'!$E:$E,"Non Inventory"))</f>
        <v>0</v>
      </c>
      <c r="H473" s="51">
        <f t="shared" si="14"/>
        <v>1</v>
      </c>
      <c r="I473" s="187">
        <v>275</v>
      </c>
      <c r="J473" s="188">
        <f t="shared" si="15"/>
        <v>275</v>
      </c>
      <c r="K473" s="46"/>
    </row>
    <row r="474" spans="1:11" s="24" customFormat="1" ht="23.1" customHeight="1">
      <c r="A474" s="170">
        <f>IF($B474="","",MAX($A$3:A473)+1)</f>
        <v>471</v>
      </c>
      <c r="B474" s="176">
        <v>8907</v>
      </c>
      <c r="C474" s="177" t="s">
        <v>1048</v>
      </c>
      <c r="D474" s="285" t="s">
        <v>112</v>
      </c>
      <c r="E474" s="281">
        <v>9</v>
      </c>
      <c r="F474" s="283">
        <f>IF($B474="","",SUMIFS('Daily Inward'!$G:$G,'Daily Inward'!$C:$C,$B474,'Daily Inward'!$E:$E,"Non Inventory"))</f>
        <v>0</v>
      </c>
      <c r="G474" s="51">
        <f>IF($B474="","",SUMIFS('Daily Issuance'!$G:$G,'Daily Issuance'!$C:$C,$B474,'Daily Issuance'!$E:$E,"Non Inventory"))</f>
        <v>0</v>
      </c>
      <c r="H474" s="51">
        <f t="shared" si="14"/>
        <v>9</v>
      </c>
      <c r="I474" s="187">
        <v>440</v>
      </c>
      <c r="J474" s="188">
        <f t="shared" si="15"/>
        <v>3960</v>
      </c>
      <c r="K474" s="46"/>
    </row>
    <row r="475" spans="1:11" s="24" customFormat="1" ht="23.1" customHeight="1">
      <c r="A475" s="170">
        <f>IF($B475="","",MAX($A$3:A474)+1)</f>
        <v>472</v>
      </c>
      <c r="B475" s="176">
        <v>8995</v>
      </c>
      <c r="C475" s="177" t="s">
        <v>1049</v>
      </c>
      <c r="D475" s="285" t="s">
        <v>112</v>
      </c>
      <c r="E475" s="281">
        <v>2</v>
      </c>
      <c r="F475" s="283">
        <f>IF($B475="","",SUMIFS('Daily Inward'!$G:$G,'Daily Inward'!$C:$C,$B475,'Daily Inward'!$E:$E,"Non Inventory"))</f>
        <v>0</v>
      </c>
      <c r="G475" s="51">
        <f>IF($B475="","",SUMIFS('Daily Issuance'!$G:$G,'Daily Issuance'!$C:$C,$B475,'Daily Issuance'!$E:$E,"Non Inventory"))</f>
        <v>1</v>
      </c>
      <c r="H475" s="51">
        <f t="shared" si="14"/>
        <v>1</v>
      </c>
      <c r="I475" s="187">
        <v>33500</v>
      </c>
      <c r="J475" s="188">
        <f t="shared" si="15"/>
        <v>33500</v>
      </c>
      <c r="K475" s="46"/>
    </row>
    <row r="476" spans="1:11" s="24" customFormat="1" ht="23.1" customHeight="1">
      <c r="A476" s="170">
        <f>IF($B476="","",MAX($A$3:A475)+1)</f>
        <v>473</v>
      </c>
      <c r="B476" s="176">
        <v>9004</v>
      </c>
      <c r="C476" s="177" t="s">
        <v>1050</v>
      </c>
      <c r="D476" s="285" t="s">
        <v>112</v>
      </c>
      <c r="E476" s="281">
        <v>7</v>
      </c>
      <c r="F476" s="283">
        <f>IF($B476="","",SUMIFS('Daily Inward'!$G:$G,'Daily Inward'!$C:$C,$B476,'Daily Inward'!$E:$E,"Non Inventory"))</f>
        <v>0</v>
      </c>
      <c r="G476" s="51">
        <f>IF($B476="","",SUMIFS('Daily Issuance'!$G:$G,'Daily Issuance'!$C:$C,$B476,'Daily Issuance'!$E:$E,"Non Inventory"))</f>
        <v>0</v>
      </c>
      <c r="H476" s="51">
        <f t="shared" si="14"/>
        <v>7</v>
      </c>
      <c r="I476" s="187">
        <v>160</v>
      </c>
      <c r="J476" s="188">
        <f t="shared" si="15"/>
        <v>1120</v>
      </c>
      <c r="K476" s="46"/>
    </row>
    <row r="477" spans="1:11" s="24" customFormat="1" ht="23.1" customHeight="1">
      <c r="A477" s="170">
        <f>IF($B477="","",MAX($A$3:A476)+1)</f>
        <v>474</v>
      </c>
      <c r="B477" s="176">
        <v>9068</v>
      </c>
      <c r="C477" s="177" t="s">
        <v>1051</v>
      </c>
      <c r="D477" s="285" t="s">
        <v>112</v>
      </c>
      <c r="E477" s="281">
        <v>47</v>
      </c>
      <c r="F477" s="283">
        <f>IF($B477="","",SUMIFS('Daily Inward'!$G:$G,'Daily Inward'!$C:$C,$B477,'Daily Inward'!$E:$E,"Non Inventory"))</f>
        <v>0</v>
      </c>
      <c r="G477" s="51">
        <f>IF($B477="","",SUMIFS('Daily Issuance'!$G:$G,'Daily Issuance'!$C:$C,$B477,'Daily Issuance'!$E:$E,"Non Inventory"))</f>
        <v>0</v>
      </c>
      <c r="H477" s="51">
        <f t="shared" si="14"/>
        <v>47</v>
      </c>
      <c r="I477" s="187">
        <v>15</v>
      </c>
      <c r="J477" s="188">
        <f t="shared" si="15"/>
        <v>705</v>
      </c>
      <c r="K477" s="46"/>
    </row>
    <row r="478" spans="1:11" s="24" customFormat="1" ht="23.1" customHeight="1">
      <c r="A478" s="170">
        <f>IF($B478="","",MAX($A$3:A477)+1)</f>
        <v>475</v>
      </c>
      <c r="B478" s="176">
        <v>9071</v>
      </c>
      <c r="C478" s="177" t="s">
        <v>1052</v>
      </c>
      <c r="D478" s="285" t="s">
        <v>112</v>
      </c>
      <c r="E478" s="281">
        <v>296</v>
      </c>
      <c r="F478" s="283">
        <f>IF($B478="","",SUMIFS('Daily Inward'!$G:$G,'Daily Inward'!$C:$C,$B478,'Daily Inward'!$E:$E,"Non Inventory"))</f>
        <v>0</v>
      </c>
      <c r="G478" s="51">
        <f>IF($B478="","",SUMIFS('Daily Issuance'!$G:$G,'Daily Issuance'!$C:$C,$B478,'Daily Issuance'!$E:$E,"Non Inventory"))</f>
        <v>0</v>
      </c>
      <c r="H478" s="51">
        <f t="shared" si="14"/>
        <v>296</v>
      </c>
      <c r="I478" s="187">
        <v>7.5</v>
      </c>
      <c r="J478" s="188">
        <f t="shared" si="15"/>
        <v>2220</v>
      </c>
      <c r="K478" s="46"/>
    </row>
    <row r="479" spans="1:11" s="24" customFormat="1" ht="23.1" customHeight="1">
      <c r="A479" s="170">
        <f>IF($B479="","",MAX($A$3:A478)+1)</f>
        <v>476</v>
      </c>
      <c r="B479" s="176">
        <v>9074</v>
      </c>
      <c r="C479" s="177" t="s">
        <v>1053</v>
      </c>
      <c r="D479" s="285" t="s">
        <v>112</v>
      </c>
      <c r="E479" s="281">
        <v>200</v>
      </c>
      <c r="F479" s="283">
        <f>IF($B479="","",SUMIFS('Daily Inward'!$G:$G,'Daily Inward'!$C:$C,$B479,'Daily Inward'!$E:$E,"Non Inventory"))</f>
        <v>0</v>
      </c>
      <c r="G479" s="51">
        <f>IF($B479="","",SUMIFS('Daily Issuance'!$G:$G,'Daily Issuance'!$C:$C,$B479,'Daily Issuance'!$E:$E,"Non Inventory"))</f>
        <v>0</v>
      </c>
      <c r="H479" s="51">
        <f t="shared" si="14"/>
        <v>200</v>
      </c>
      <c r="I479" s="187">
        <v>34</v>
      </c>
      <c r="J479" s="188">
        <f t="shared" si="15"/>
        <v>6800</v>
      </c>
      <c r="K479" s="46"/>
    </row>
    <row r="480" spans="1:11" s="24" customFormat="1" ht="23.1" customHeight="1">
      <c r="A480" s="170">
        <f>IF($B480="","",MAX($A$3:A479)+1)</f>
        <v>477</v>
      </c>
      <c r="B480" s="176">
        <v>9112</v>
      </c>
      <c r="C480" s="177" t="s">
        <v>1054</v>
      </c>
      <c r="D480" s="285" t="s">
        <v>112</v>
      </c>
      <c r="E480" s="281">
        <v>131</v>
      </c>
      <c r="F480" s="283">
        <f>IF($B480="","",SUMIFS('Daily Inward'!$G:$G,'Daily Inward'!$C:$C,$B480,'Daily Inward'!$E:$E,"Non Inventory"))</f>
        <v>0</v>
      </c>
      <c r="G480" s="51">
        <f>IF($B480="","",SUMIFS('Daily Issuance'!$G:$G,'Daily Issuance'!$C:$C,$B480,'Daily Issuance'!$E:$E,"Non Inventory"))</f>
        <v>0</v>
      </c>
      <c r="H480" s="51">
        <f t="shared" si="14"/>
        <v>131</v>
      </c>
      <c r="I480" s="187">
        <v>65</v>
      </c>
      <c r="J480" s="188">
        <f t="shared" si="15"/>
        <v>8515</v>
      </c>
      <c r="K480" s="46"/>
    </row>
    <row r="481" spans="1:11" s="24" customFormat="1" ht="23.1" customHeight="1">
      <c r="A481" s="170">
        <f>IF($B481="","",MAX($A$3:A480)+1)</f>
        <v>478</v>
      </c>
      <c r="B481" s="176">
        <v>9127</v>
      </c>
      <c r="C481" s="177" t="s">
        <v>1055</v>
      </c>
      <c r="D481" s="285" t="s">
        <v>112</v>
      </c>
      <c r="E481" s="281">
        <v>100</v>
      </c>
      <c r="F481" s="283">
        <f>IF($B481="","",SUMIFS('Daily Inward'!$G:$G,'Daily Inward'!$C:$C,$B481,'Daily Inward'!$E:$E,"Non Inventory"))</f>
        <v>0</v>
      </c>
      <c r="G481" s="51">
        <f>IF($B481="","",SUMIFS('Daily Issuance'!$G:$G,'Daily Issuance'!$C:$C,$B481,'Daily Issuance'!$E:$E,"Non Inventory"))</f>
        <v>0</v>
      </c>
      <c r="H481" s="51">
        <f t="shared" si="14"/>
        <v>100</v>
      </c>
      <c r="I481" s="187">
        <v>6</v>
      </c>
      <c r="J481" s="188">
        <f t="shared" si="15"/>
        <v>600</v>
      </c>
      <c r="K481" s="46"/>
    </row>
    <row r="482" spans="1:11" s="24" customFormat="1" ht="23.1" customHeight="1">
      <c r="A482" s="170">
        <f>IF($B482="","",MAX($A$3:A481)+1)</f>
        <v>479</v>
      </c>
      <c r="B482" s="176">
        <v>9128</v>
      </c>
      <c r="C482" s="177" t="s">
        <v>1056</v>
      </c>
      <c r="D482" s="285" t="s">
        <v>112</v>
      </c>
      <c r="E482" s="281">
        <v>100</v>
      </c>
      <c r="F482" s="283">
        <f>IF($B482="","",SUMIFS('Daily Inward'!$G:$G,'Daily Inward'!$C:$C,$B482,'Daily Inward'!$E:$E,"Non Inventory"))</f>
        <v>0</v>
      </c>
      <c r="G482" s="51">
        <f>IF($B482="","",SUMIFS('Daily Issuance'!$G:$G,'Daily Issuance'!$C:$C,$B482,'Daily Issuance'!$E:$E,"Non Inventory"))</f>
        <v>0</v>
      </c>
      <c r="H482" s="51">
        <f t="shared" si="14"/>
        <v>100</v>
      </c>
      <c r="I482" s="187">
        <v>6</v>
      </c>
      <c r="J482" s="188">
        <f t="shared" si="15"/>
        <v>600</v>
      </c>
      <c r="K482" s="46"/>
    </row>
    <row r="483" spans="1:11" s="24" customFormat="1" ht="23.1" customHeight="1">
      <c r="A483" s="170">
        <f>IF($B483="","",MAX($A$3:A482)+1)</f>
        <v>480</v>
      </c>
      <c r="B483" s="176">
        <v>9130</v>
      </c>
      <c r="C483" s="177" t="s">
        <v>1057</v>
      </c>
      <c r="D483" s="285" t="s">
        <v>112</v>
      </c>
      <c r="E483" s="281">
        <v>26</v>
      </c>
      <c r="F483" s="283">
        <f>IF($B483="","",SUMIFS('Daily Inward'!$G:$G,'Daily Inward'!$C:$C,$B483,'Daily Inward'!$E:$E,"Non Inventory"))</f>
        <v>0</v>
      </c>
      <c r="G483" s="51">
        <f>IF($B483="","",SUMIFS('Daily Issuance'!$G:$G,'Daily Issuance'!$C:$C,$B483,'Daily Issuance'!$E:$E,"Non Inventory"))</f>
        <v>0</v>
      </c>
      <c r="H483" s="51">
        <f t="shared" si="14"/>
        <v>26</v>
      </c>
      <c r="I483" s="187">
        <v>34</v>
      </c>
      <c r="J483" s="188">
        <f t="shared" si="15"/>
        <v>884</v>
      </c>
      <c r="K483" s="46"/>
    </row>
    <row r="484" spans="1:11" s="24" customFormat="1" ht="23.1" customHeight="1">
      <c r="A484" s="170">
        <f>IF($B484="","",MAX($A$3:A483)+1)</f>
        <v>481</v>
      </c>
      <c r="B484" s="176">
        <v>9153</v>
      </c>
      <c r="C484" s="177" t="s">
        <v>1058</v>
      </c>
      <c r="D484" s="285" t="s">
        <v>112</v>
      </c>
      <c r="E484" s="281">
        <v>60</v>
      </c>
      <c r="F484" s="283">
        <f>IF($B484="","",SUMIFS('Daily Inward'!$G:$G,'Daily Inward'!$C:$C,$B484,'Daily Inward'!$E:$E,"Non Inventory"))</f>
        <v>0</v>
      </c>
      <c r="G484" s="51">
        <f>IF($B484="","",SUMIFS('Daily Issuance'!$G:$G,'Daily Issuance'!$C:$C,$B484,'Daily Issuance'!$E:$E,"Non Inventory"))</f>
        <v>0</v>
      </c>
      <c r="H484" s="51">
        <f t="shared" si="14"/>
        <v>60</v>
      </c>
      <c r="I484" s="187">
        <v>25</v>
      </c>
      <c r="J484" s="188">
        <f t="shared" si="15"/>
        <v>1500</v>
      </c>
      <c r="K484" s="46"/>
    </row>
    <row r="485" spans="1:11" s="24" customFormat="1" ht="23.1" customHeight="1">
      <c r="A485" s="170">
        <f>IF($B485="","",MAX($A$3:A484)+1)</f>
        <v>482</v>
      </c>
      <c r="B485" s="176">
        <v>9202</v>
      </c>
      <c r="C485" s="177" t="s">
        <v>1059</v>
      </c>
      <c r="D485" s="285" t="s">
        <v>112</v>
      </c>
      <c r="E485" s="281">
        <v>6</v>
      </c>
      <c r="F485" s="283">
        <f>IF($B485="","",SUMIFS('Daily Inward'!$G:$G,'Daily Inward'!$C:$C,$B485,'Daily Inward'!$E:$E,"Non Inventory"))</f>
        <v>0</v>
      </c>
      <c r="G485" s="51">
        <f>IF($B485="","",SUMIFS('Daily Issuance'!$G:$G,'Daily Issuance'!$C:$C,$B485,'Daily Issuance'!$E:$E,"Non Inventory"))</f>
        <v>0</v>
      </c>
      <c r="H485" s="51">
        <f t="shared" si="14"/>
        <v>6</v>
      </c>
      <c r="I485" s="187">
        <v>500</v>
      </c>
      <c r="J485" s="188">
        <f t="shared" si="15"/>
        <v>3000</v>
      </c>
      <c r="K485" s="46"/>
    </row>
    <row r="486" spans="1:11" s="24" customFormat="1" ht="23.1" customHeight="1">
      <c r="A486" s="170">
        <f>IF($B486="","",MAX($A$3:A485)+1)</f>
        <v>483</v>
      </c>
      <c r="B486" s="176">
        <v>9260</v>
      </c>
      <c r="C486" s="177" t="s">
        <v>1060</v>
      </c>
      <c r="D486" s="285" t="s">
        <v>112</v>
      </c>
      <c r="E486" s="281">
        <v>15</v>
      </c>
      <c r="F486" s="283">
        <f>IF($B486="","",SUMIFS('Daily Inward'!$G:$G,'Daily Inward'!$C:$C,$B486,'Daily Inward'!$E:$E,"Non Inventory"))</f>
        <v>0</v>
      </c>
      <c r="G486" s="51">
        <f>IF($B486="","",SUMIFS('Daily Issuance'!$G:$G,'Daily Issuance'!$C:$C,$B486,'Daily Issuance'!$E:$E,"Non Inventory"))</f>
        <v>0</v>
      </c>
      <c r="H486" s="51">
        <f t="shared" si="14"/>
        <v>15</v>
      </c>
      <c r="I486" s="187">
        <v>68</v>
      </c>
      <c r="J486" s="188">
        <f t="shared" si="15"/>
        <v>1020</v>
      </c>
      <c r="K486" s="46"/>
    </row>
    <row r="487" spans="1:11" s="24" customFormat="1" ht="23.1" customHeight="1">
      <c r="A487" s="170">
        <f>IF($B487="","",MAX($A$3:A486)+1)</f>
        <v>484</v>
      </c>
      <c r="B487" s="176">
        <v>9293</v>
      </c>
      <c r="C487" s="177" t="s">
        <v>1061</v>
      </c>
      <c r="D487" s="285" t="s">
        <v>112</v>
      </c>
      <c r="E487" s="281">
        <v>3</v>
      </c>
      <c r="F487" s="283">
        <f>IF($B487="","",SUMIFS('Daily Inward'!$G:$G,'Daily Inward'!$C:$C,$B487,'Daily Inward'!$E:$E,"Non Inventory"))</f>
        <v>0</v>
      </c>
      <c r="G487" s="51">
        <f>IF($B487="","",SUMIFS('Daily Issuance'!$G:$G,'Daily Issuance'!$C:$C,$B487,'Daily Issuance'!$E:$E,"Non Inventory"))</f>
        <v>0</v>
      </c>
      <c r="H487" s="51">
        <f t="shared" si="14"/>
        <v>3</v>
      </c>
      <c r="I487" s="187">
        <v>185</v>
      </c>
      <c r="J487" s="188">
        <f t="shared" si="15"/>
        <v>555</v>
      </c>
      <c r="K487" s="46"/>
    </row>
    <row r="488" spans="1:11" s="24" customFormat="1" ht="23.1" customHeight="1">
      <c r="A488" s="170">
        <f>IF($B488="","",MAX($A$3:A487)+1)</f>
        <v>485</v>
      </c>
      <c r="B488" s="176">
        <v>9310</v>
      </c>
      <c r="C488" s="177" t="s">
        <v>1062</v>
      </c>
      <c r="D488" s="285" t="s">
        <v>112</v>
      </c>
      <c r="E488" s="281">
        <v>0</v>
      </c>
      <c r="F488" s="283">
        <f>IF($B488="","",SUMIFS('Daily Inward'!$G:$G,'Daily Inward'!$C:$C,$B488,'Daily Inward'!$E:$E,"Non Inventory"))</f>
        <v>2</v>
      </c>
      <c r="G488" s="51">
        <f>IF($B488="","",SUMIFS('Daily Issuance'!$G:$G,'Daily Issuance'!$C:$C,$B488,'Daily Issuance'!$E:$E,"Non Inventory"))</f>
        <v>0</v>
      </c>
      <c r="H488" s="51">
        <f t="shared" si="14"/>
        <v>2</v>
      </c>
      <c r="I488" s="187">
        <v>4750</v>
      </c>
      <c r="J488" s="188">
        <f t="shared" si="15"/>
        <v>9500</v>
      </c>
      <c r="K488" s="46"/>
    </row>
    <row r="489" spans="1:11" s="24" customFormat="1" ht="23.1" customHeight="1">
      <c r="A489" s="170">
        <f>IF($B489="","",MAX($A$3:A488)+1)</f>
        <v>486</v>
      </c>
      <c r="B489" s="176">
        <v>9402</v>
      </c>
      <c r="C489" s="177" t="s">
        <v>1063</v>
      </c>
      <c r="D489" s="285" t="s">
        <v>112</v>
      </c>
      <c r="E489" s="281">
        <v>11</v>
      </c>
      <c r="F489" s="283">
        <f>IF($B489="","",SUMIFS('Daily Inward'!$G:$G,'Daily Inward'!$C:$C,$B489,'Daily Inward'!$E:$E,"Non Inventory"))</f>
        <v>0</v>
      </c>
      <c r="G489" s="51">
        <f>IF($B489="","",SUMIFS('Daily Issuance'!$G:$G,'Daily Issuance'!$C:$C,$B489,'Daily Issuance'!$E:$E,"Non Inventory"))</f>
        <v>1</v>
      </c>
      <c r="H489" s="51">
        <f t="shared" si="14"/>
        <v>10</v>
      </c>
      <c r="I489" s="187">
        <v>225</v>
      </c>
      <c r="J489" s="188">
        <f t="shared" si="15"/>
        <v>2250</v>
      </c>
      <c r="K489" s="46"/>
    </row>
    <row r="490" spans="1:11" s="24" customFormat="1" ht="23.1" customHeight="1">
      <c r="A490" s="170">
        <f>IF($B490="","",MAX($A$3:A489)+1)</f>
        <v>487</v>
      </c>
      <c r="B490" s="176">
        <v>9431</v>
      </c>
      <c r="C490" s="177" t="s">
        <v>1064</v>
      </c>
      <c r="D490" s="285" t="s">
        <v>112</v>
      </c>
      <c r="E490" s="281">
        <v>8</v>
      </c>
      <c r="F490" s="283">
        <f>IF($B490="","",SUMIFS('Daily Inward'!$G:$G,'Daily Inward'!$C:$C,$B490,'Daily Inward'!$E:$E,"Non Inventory"))</f>
        <v>0</v>
      </c>
      <c r="G490" s="51">
        <f>IF($B490="","",SUMIFS('Daily Issuance'!$G:$G,'Daily Issuance'!$C:$C,$B490,'Daily Issuance'!$E:$E,"Non Inventory"))</f>
        <v>0</v>
      </c>
      <c r="H490" s="51">
        <f t="shared" si="14"/>
        <v>8</v>
      </c>
      <c r="I490" s="187">
        <v>280</v>
      </c>
      <c r="J490" s="188">
        <f t="shared" si="15"/>
        <v>2240</v>
      </c>
      <c r="K490" s="46"/>
    </row>
    <row r="491" spans="1:11" s="24" customFormat="1" ht="23.1" customHeight="1">
      <c r="A491" s="170">
        <f>IF($B491="","",MAX($A$3:A490)+1)</f>
        <v>488</v>
      </c>
      <c r="B491" s="176">
        <v>9433</v>
      </c>
      <c r="C491" s="177" t="s">
        <v>1065</v>
      </c>
      <c r="D491" s="285" t="s">
        <v>112</v>
      </c>
      <c r="E491" s="281">
        <v>6</v>
      </c>
      <c r="F491" s="283">
        <f>IF($B491="","",SUMIFS('Daily Inward'!$G:$G,'Daily Inward'!$C:$C,$B491,'Daily Inward'!$E:$E,"Non Inventory"))</f>
        <v>0</v>
      </c>
      <c r="G491" s="51">
        <f>IF($B491="","",SUMIFS('Daily Issuance'!$G:$G,'Daily Issuance'!$C:$C,$B491,'Daily Issuance'!$E:$E,"Non Inventory"))</f>
        <v>0</v>
      </c>
      <c r="H491" s="51">
        <f t="shared" si="14"/>
        <v>6</v>
      </c>
      <c r="I491" s="187">
        <v>1500</v>
      </c>
      <c r="J491" s="188">
        <f t="shared" si="15"/>
        <v>9000</v>
      </c>
      <c r="K491" s="46"/>
    </row>
    <row r="492" spans="1:11" s="24" customFormat="1" ht="23.1" customHeight="1">
      <c r="A492" s="170">
        <f>IF($B492="","",MAX($A$3:A491)+1)</f>
        <v>489</v>
      </c>
      <c r="B492" s="176">
        <v>9439</v>
      </c>
      <c r="C492" s="177" t="s">
        <v>1066</v>
      </c>
      <c r="D492" s="285" t="s">
        <v>112</v>
      </c>
      <c r="E492" s="281">
        <v>2</v>
      </c>
      <c r="F492" s="283">
        <f>IF($B492="","",SUMIFS('Daily Inward'!$G:$G,'Daily Inward'!$C:$C,$B492,'Daily Inward'!$E:$E,"Non Inventory"))</f>
        <v>0</v>
      </c>
      <c r="G492" s="51">
        <f>IF($B492="","",SUMIFS('Daily Issuance'!$G:$G,'Daily Issuance'!$C:$C,$B492,'Daily Issuance'!$E:$E,"Non Inventory"))</f>
        <v>0</v>
      </c>
      <c r="H492" s="51">
        <f t="shared" si="14"/>
        <v>2</v>
      </c>
      <c r="I492" s="187">
        <v>11400</v>
      </c>
      <c r="J492" s="188">
        <f t="shared" si="15"/>
        <v>22800</v>
      </c>
      <c r="K492" s="46"/>
    </row>
    <row r="493" spans="1:11" s="24" customFormat="1" ht="23.1" customHeight="1">
      <c r="A493" s="170">
        <f>IF($B493="","",MAX($A$3:A492)+1)</f>
        <v>490</v>
      </c>
      <c r="B493" s="176">
        <v>9491</v>
      </c>
      <c r="C493" s="177" t="s">
        <v>1067</v>
      </c>
      <c r="D493" s="285" t="s">
        <v>112</v>
      </c>
      <c r="E493" s="281">
        <v>3</v>
      </c>
      <c r="F493" s="283">
        <f>IF($B493="","",SUMIFS('Daily Inward'!$G:$G,'Daily Inward'!$C:$C,$B493,'Daily Inward'!$E:$E,"Non Inventory"))</f>
        <v>0</v>
      </c>
      <c r="G493" s="51">
        <f>IF($B493="","",SUMIFS('Daily Issuance'!$G:$G,'Daily Issuance'!$C:$C,$B493,'Daily Issuance'!$E:$E,"Non Inventory"))</f>
        <v>0</v>
      </c>
      <c r="H493" s="51">
        <f t="shared" si="14"/>
        <v>3</v>
      </c>
      <c r="I493" s="187">
        <v>605</v>
      </c>
      <c r="J493" s="188">
        <f t="shared" si="15"/>
        <v>1815</v>
      </c>
      <c r="K493" s="46"/>
    </row>
    <row r="494" spans="1:11" s="24" customFormat="1" ht="23.1" customHeight="1">
      <c r="A494" s="170">
        <f>IF($B494="","",MAX($A$3:A493)+1)</f>
        <v>491</v>
      </c>
      <c r="B494" s="176">
        <v>9526</v>
      </c>
      <c r="C494" s="177" t="s">
        <v>1068</v>
      </c>
      <c r="D494" s="285" t="s">
        <v>112</v>
      </c>
      <c r="E494" s="281">
        <v>5</v>
      </c>
      <c r="F494" s="283">
        <f>IF($B494="","",SUMIFS('Daily Inward'!$G:$G,'Daily Inward'!$C:$C,$B494,'Daily Inward'!$E:$E,"Non Inventory"))</f>
        <v>0</v>
      </c>
      <c r="G494" s="51">
        <f>IF($B494="","",SUMIFS('Daily Issuance'!$G:$G,'Daily Issuance'!$C:$C,$B494,'Daily Issuance'!$E:$E,"Non Inventory"))</f>
        <v>0</v>
      </c>
      <c r="H494" s="51">
        <f t="shared" si="14"/>
        <v>5</v>
      </c>
      <c r="I494" s="187">
        <v>1950</v>
      </c>
      <c r="J494" s="188">
        <f t="shared" si="15"/>
        <v>9750</v>
      </c>
      <c r="K494" s="46"/>
    </row>
    <row r="495" spans="1:11" s="24" customFormat="1" ht="23.1" customHeight="1">
      <c r="A495" s="170">
        <f>IF($B495="","",MAX($A$3:A494)+1)</f>
        <v>492</v>
      </c>
      <c r="B495" s="176">
        <v>9567</v>
      </c>
      <c r="C495" s="177" t="s">
        <v>1069</v>
      </c>
      <c r="D495" s="285" t="s">
        <v>112</v>
      </c>
      <c r="E495" s="281">
        <v>0</v>
      </c>
      <c r="F495" s="283">
        <f>IF($B495="","",SUMIFS('Daily Inward'!$G:$G,'Daily Inward'!$C:$C,$B495,'Daily Inward'!$E:$E,"Non Inventory"))</f>
        <v>0</v>
      </c>
      <c r="G495" s="51">
        <f>IF($B495="","",SUMIFS('Daily Issuance'!$G:$G,'Daily Issuance'!$C:$C,$B495,'Daily Issuance'!$E:$E,"Non Inventory"))</f>
        <v>0</v>
      </c>
      <c r="H495" s="51">
        <f t="shared" si="14"/>
        <v>0</v>
      </c>
      <c r="I495" s="187">
        <v>4500</v>
      </c>
      <c r="J495" s="188">
        <f t="shared" si="15"/>
        <v>0</v>
      </c>
      <c r="K495" s="46"/>
    </row>
    <row r="496" spans="1:11" s="24" customFormat="1" ht="23.1" customHeight="1">
      <c r="A496" s="170">
        <f>IF($B496="","",MAX($A$3:A495)+1)</f>
        <v>493</v>
      </c>
      <c r="B496" s="176">
        <v>9579</v>
      </c>
      <c r="C496" s="177" t="s">
        <v>1070</v>
      </c>
      <c r="D496" s="285" t="s">
        <v>112</v>
      </c>
      <c r="E496" s="281">
        <v>16</v>
      </c>
      <c r="F496" s="283">
        <f>IF($B496="","",SUMIFS('Daily Inward'!$G:$G,'Daily Inward'!$C:$C,$B496,'Daily Inward'!$E:$E,"Non Inventory"))</f>
        <v>0</v>
      </c>
      <c r="G496" s="51">
        <f>IF($B496="","",SUMIFS('Daily Issuance'!$G:$G,'Daily Issuance'!$C:$C,$B496,'Daily Issuance'!$E:$E,"Non Inventory"))</f>
        <v>0</v>
      </c>
      <c r="H496" s="51">
        <f t="shared" si="14"/>
        <v>16</v>
      </c>
      <c r="I496" s="187">
        <v>350</v>
      </c>
      <c r="J496" s="188">
        <f t="shared" si="15"/>
        <v>5600</v>
      </c>
      <c r="K496" s="46"/>
    </row>
    <row r="497" spans="1:11" s="24" customFormat="1" ht="23.1" customHeight="1">
      <c r="A497" s="170">
        <f>IF($B497="","",MAX($A$3:A496)+1)</f>
        <v>494</v>
      </c>
      <c r="B497" s="176">
        <v>9595</v>
      </c>
      <c r="C497" s="177" t="s">
        <v>1071</v>
      </c>
      <c r="D497" s="285" t="s">
        <v>112</v>
      </c>
      <c r="E497" s="281">
        <v>5</v>
      </c>
      <c r="F497" s="283">
        <f>IF($B497="","",SUMIFS('Daily Inward'!$G:$G,'Daily Inward'!$C:$C,$B497,'Daily Inward'!$E:$E,"Non Inventory"))</f>
        <v>10</v>
      </c>
      <c r="G497" s="51">
        <f>IF($B497="","",SUMIFS('Daily Issuance'!$G:$G,'Daily Issuance'!$C:$C,$B497,'Daily Issuance'!$E:$E,"Non Inventory"))</f>
        <v>2</v>
      </c>
      <c r="H497" s="51">
        <f t="shared" si="14"/>
        <v>13</v>
      </c>
      <c r="I497" s="187">
        <v>320</v>
      </c>
      <c r="J497" s="188">
        <f t="shared" si="15"/>
        <v>4160</v>
      </c>
      <c r="K497" s="46"/>
    </row>
    <row r="498" spans="1:11" s="24" customFormat="1" ht="23.1" customHeight="1">
      <c r="A498" s="170">
        <f>IF($B498="","",MAX($A$3:A497)+1)</f>
        <v>495</v>
      </c>
      <c r="B498" s="176">
        <v>9754</v>
      </c>
      <c r="C498" s="177" t="s">
        <v>1072</v>
      </c>
      <c r="D498" s="285" t="s">
        <v>112</v>
      </c>
      <c r="E498" s="281">
        <v>30</v>
      </c>
      <c r="F498" s="283">
        <f>IF($B498="","",SUMIFS('Daily Inward'!$G:$G,'Daily Inward'!$C:$C,$B498,'Daily Inward'!$E:$E,"Non Inventory"))</f>
        <v>0</v>
      </c>
      <c r="G498" s="51">
        <f>IF($B498="","",SUMIFS('Daily Issuance'!$G:$G,'Daily Issuance'!$C:$C,$B498,'Daily Issuance'!$E:$E,"Non Inventory"))</f>
        <v>0</v>
      </c>
      <c r="H498" s="51">
        <f t="shared" si="14"/>
        <v>30</v>
      </c>
      <c r="I498" s="187">
        <v>1750</v>
      </c>
      <c r="J498" s="188">
        <f t="shared" si="15"/>
        <v>52500</v>
      </c>
      <c r="K498" s="46"/>
    </row>
    <row r="499" spans="1:11" s="24" customFormat="1" ht="23.1" customHeight="1">
      <c r="A499" s="170">
        <f>IF($B499="","",MAX($A$3:A498)+1)</f>
        <v>496</v>
      </c>
      <c r="B499" s="176">
        <v>9895</v>
      </c>
      <c r="C499" s="177" t="s">
        <v>1073</v>
      </c>
      <c r="D499" s="285" t="s">
        <v>112</v>
      </c>
      <c r="E499" s="281">
        <v>8</v>
      </c>
      <c r="F499" s="283">
        <f>IF($B499="","",SUMIFS('Daily Inward'!$G:$G,'Daily Inward'!$C:$C,$B499,'Daily Inward'!$E:$E,"Non Inventory"))</f>
        <v>0</v>
      </c>
      <c r="G499" s="51">
        <f>IF($B499="","",SUMIFS('Daily Issuance'!$G:$G,'Daily Issuance'!$C:$C,$B499,'Daily Issuance'!$E:$E,"Non Inventory"))</f>
        <v>0</v>
      </c>
      <c r="H499" s="51">
        <f t="shared" si="14"/>
        <v>8</v>
      </c>
      <c r="I499" s="187">
        <v>875</v>
      </c>
      <c r="J499" s="188">
        <f t="shared" si="15"/>
        <v>7000</v>
      </c>
      <c r="K499" s="46"/>
    </row>
    <row r="500" spans="1:11" s="24" customFormat="1" ht="23.1" customHeight="1">
      <c r="A500" s="170">
        <f>IF($B500="","",MAX($A$3:A499)+1)</f>
        <v>497</v>
      </c>
      <c r="B500" s="176">
        <v>10154</v>
      </c>
      <c r="C500" s="177" t="s">
        <v>1074</v>
      </c>
      <c r="D500" s="285" t="s">
        <v>112</v>
      </c>
      <c r="E500" s="281">
        <v>4</v>
      </c>
      <c r="F500" s="283">
        <f>IF($B500="","",SUMIFS('Daily Inward'!$G:$G,'Daily Inward'!$C:$C,$B500,'Daily Inward'!$E:$E,"Non Inventory"))</f>
        <v>0</v>
      </c>
      <c r="G500" s="51">
        <f>IF($B500="","",SUMIFS('Daily Issuance'!$G:$G,'Daily Issuance'!$C:$C,$B500,'Daily Issuance'!$E:$E,"Non Inventory"))</f>
        <v>0</v>
      </c>
      <c r="H500" s="51">
        <f t="shared" si="14"/>
        <v>4</v>
      </c>
      <c r="I500" s="187">
        <v>4500</v>
      </c>
      <c r="J500" s="188">
        <f t="shared" si="15"/>
        <v>18000</v>
      </c>
      <c r="K500" s="46"/>
    </row>
    <row r="501" spans="1:11" s="24" customFormat="1" ht="23.1" customHeight="1">
      <c r="A501" s="170">
        <f>IF($B501="","",MAX($A$3:A500)+1)</f>
        <v>498</v>
      </c>
      <c r="B501" s="176">
        <v>10177</v>
      </c>
      <c r="C501" s="177" t="s">
        <v>1075</v>
      </c>
      <c r="D501" s="285" t="s">
        <v>112</v>
      </c>
      <c r="E501" s="281">
        <v>8</v>
      </c>
      <c r="F501" s="283">
        <f>IF($B501="","",SUMIFS('Daily Inward'!$G:$G,'Daily Inward'!$C:$C,$B501,'Daily Inward'!$E:$E,"Non Inventory"))</f>
        <v>0</v>
      </c>
      <c r="G501" s="51">
        <f>IF($B501="","",SUMIFS('Daily Issuance'!$G:$G,'Daily Issuance'!$C:$C,$B501,'Daily Issuance'!$E:$E,"Non Inventory"))</f>
        <v>0</v>
      </c>
      <c r="H501" s="51">
        <f t="shared" si="14"/>
        <v>8</v>
      </c>
      <c r="I501" s="187">
        <v>450</v>
      </c>
      <c r="J501" s="188">
        <f t="shared" si="15"/>
        <v>3600</v>
      </c>
      <c r="K501" s="46"/>
    </row>
    <row r="502" spans="1:11" s="24" customFormat="1" ht="23.1" customHeight="1">
      <c r="A502" s="170">
        <f>IF($B502="","",MAX($A$3:A501)+1)</f>
        <v>499</v>
      </c>
      <c r="B502" s="176">
        <v>10454</v>
      </c>
      <c r="C502" s="177" t="s">
        <v>1076</v>
      </c>
      <c r="D502" s="285" t="s">
        <v>112</v>
      </c>
      <c r="E502" s="281">
        <v>23</v>
      </c>
      <c r="F502" s="283">
        <f>IF($B502="","",SUMIFS('Daily Inward'!$G:$G,'Daily Inward'!$C:$C,$B502,'Daily Inward'!$E:$E,"Non Inventory"))</f>
        <v>0</v>
      </c>
      <c r="G502" s="51">
        <f>IF($B502="","",SUMIFS('Daily Issuance'!$G:$G,'Daily Issuance'!$C:$C,$B502,'Daily Issuance'!$E:$E,"Non Inventory"))</f>
        <v>0</v>
      </c>
      <c r="H502" s="51">
        <f t="shared" si="14"/>
        <v>23</v>
      </c>
      <c r="I502" s="187">
        <v>396</v>
      </c>
      <c r="J502" s="188">
        <f t="shared" si="15"/>
        <v>9108</v>
      </c>
      <c r="K502" s="46"/>
    </row>
    <row r="503" spans="1:11" s="24" customFormat="1" ht="23.1" customHeight="1">
      <c r="A503" s="170">
        <f>IF($B503="","",MAX($A$3:A502)+1)</f>
        <v>500</v>
      </c>
      <c r="B503" s="176">
        <v>10504</v>
      </c>
      <c r="C503" s="177" t="s">
        <v>1077</v>
      </c>
      <c r="D503" s="285" t="s">
        <v>112</v>
      </c>
      <c r="E503" s="281">
        <v>67</v>
      </c>
      <c r="F503" s="283">
        <f>IF($B503="","",SUMIFS('Daily Inward'!$G:$G,'Daily Inward'!$C:$C,$B503,'Daily Inward'!$E:$E,"Non Inventory"))</f>
        <v>0</v>
      </c>
      <c r="G503" s="51">
        <f>IF($B503="","",SUMIFS('Daily Issuance'!$G:$G,'Daily Issuance'!$C:$C,$B503,'Daily Issuance'!$E:$E,"Non Inventory"))</f>
        <v>0</v>
      </c>
      <c r="H503" s="51">
        <f t="shared" si="14"/>
        <v>67</v>
      </c>
      <c r="I503" s="187">
        <v>11</v>
      </c>
      <c r="J503" s="188">
        <f t="shared" si="15"/>
        <v>737</v>
      </c>
      <c r="K503" s="46"/>
    </row>
    <row r="504" spans="1:11" s="24" customFormat="1" ht="23.1" customHeight="1">
      <c r="A504" s="170">
        <f>IF($B504="","",MAX($A$3:A503)+1)</f>
        <v>501</v>
      </c>
      <c r="B504" s="176">
        <v>10506</v>
      </c>
      <c r="C504" s="177" t="s">
        <v>1078</v>
      </c>
      <c r="D504" s="285" t="s">
        <v>112</v>
      </c>
      <c r="E504" s="281">
        <v>242</v>
      </c>
      <c r="F504" s="283">
        <f>IF($B504="","",SUMIFS('Daily Inward'!$G:$G,'Daily Inward'!$C:$C,$B504,'Daily Inward'!$E:$E,"Non Inventory"))</f>
        <v>0</v>
      </c>
      <c r="G504" s="51">
        <f>IF($B504="","",SUMIFS('Daily Issuance'!$G:$G,'Daily Issuance'!$C:$C,$B504,'Daily Issuance'!$E:$E,"Non Inventory"))</f>
        <v>0</v>
      </c>
      <c r="H504" s="51">
        <f t="shared" si="14"/>
        <v>242</v>
      </c>
      <c r="I504" s="187">
        <v>3</v>
      </c>
      <c r="J504" s="188">
        <f t="shared" si="15"/>
        <v>726</v>
      </c>
      <c r="K504" s="46"/>
    </row>
    <row r="505" spans="1:11" s="24" customFormat="1" ht="23.1" customHeight="1">
      <c r="A505" s="170">
        <f>IF($B505="","",MAX($A$3:A504)+1)</f>
        <v>502</v>
      </c>
      <c r="B505" s="176">
        <v>10507</v>
      </c>
      <c r="C505" s="177" t="s">
        <v>1079</v>
      </c>
      <c r="D505" s="285" t="s">
        <v>615</v>
      </c>
      <c r="E505" s="281">
        <v>0.6</v>
      </c>
      <c r="F505" s="283">
        <f>IF($B505="","",SUMIFS('Daily Inward'!$G:$G,'Daily Inward'!$C:$C,$B505,'Daily Inward'!$E:$E,"Non Inventory"))</f>
        <v>0</v>
      </c>
      <c r="G505" s="51">
        <f>IF($B505="","",SUMIFS('Daily Issuance'!$G:$G,'Daily Issuance'!$C:$C,$B505,'Daily Issuance'!$E:$E,"Non Inventory"))</f>
        <v>0</v>
      </c>
      <c r="H505" s="51">
        <f t="shared" si="14"/>
        <v>0.6</v>
      </c>
      <c r="I505" s="187">
        <v>9</v>
      </c>
      <c r="J505" s="188">
        <f t="shared" si="15"/>
        <v>5.3999999999999995</v>
      </c>
      <c r="K505" s="46"/>
    </row>
    <row r="506" spans="1:11" s="24" customFormat="1" ht="23.1" customHeight="1">
      <c r="A506" s="170">
        <f>IF($B506="","",MAX($A$3:A505)+1)</f>
        <v>503</v>
      </c>
      <c r="B506" s="176">
        <v>10545</v>
      </c>
      <c r="C506" s="177" t="s">
        <v>1080</v>
      </c>
      <c r="D506" s="285" t="s">
        <v>112</v>
      </c>
      <c r="E506" s="281">
        <v>8</v>
      </c>
      <c r="F506" s="283">
        <f>IF($B506="","",SUMIFS('Daily Inward'!$G:$G,'Daily Inward'!$C:$C,$B506,'Daily Inward'!$E:$E,"Non Inventory"))</f>
        <v>0</v>
      </c>
      <c r="G506" s="51">
        <f>IF($B506="","",SUMIFS('Daily Issuance'!$G:$G,'Daily Issuance'!$C:$C,$B506,'Daily Issuance'!$E:$E,"Non Inventory"))</f>
        <v>0</v>
      </c>
      <c r="H506" s="51">
        <f t="shared" si="14"/>
        <v>8</v>
      </c>
      <c r="I506" s="187">
        <v>290</v>
      </c>
      <c r="J506" s="188">
        <f t="shared" si="15"/>
        <v>2320</v>
      </c>
      <c r="K506" s="46"/>
    </row>
    <row r="507" spans="1:11" s="24" customFormat="1" ht="23.1" customHeight="1">
      <c r="A507" s="170">
        <f>IF($B507="","",MAX($A$3:A506)+1)</f>
        <v>504</v>
      </c>
      <c r="B507" s="176">
        <v>10579</v>
      </c>
      <c r="C507" s="177" t="s">
        <v>1081</v>
      </c>
      <c r="D507" s="285" t="s">
        <v>112</v>
      </c>
      <c r="E507" s="281">
        <v>0</v>
      </c>
      <c r="F507" s="283">
        <f>IF($B507="","",SUMIFS('Daily Inward'!$G:$G,'Daily Inward'!$C:$C,$B507,'Daily Inward'!$E:$E,"Non Inventory"))</f>
        <v>0</v>
      </c>
      <c r="G507" s="51">
        <f>IF($B507="","",SUMIFS('Daily Issuance'!$G:$G,'Daily Issuance'!$C:$C,$B507,'Daily Issuance'!$E:$E,"Non Inventory"))</f>
        <v>0</v>
      </c>
      <c r="H507" s="51">
        <f t="shared" si="14"/>
        <v>0</v>
      </c>
      <c r="I507" s="187">
        <v>1021</v>
      </c>
      <c r="J507" s="188">
        <f t="shared" si="15"/>
        <v>0</v>
      </c>
      <c r="K507" s="46"/>
    </row>
    <row r="508" spans="1:11" s="24" customFormat="1" ht="23.1" customHeight="1">
      <c r="A508" s="170">
        <f>IF($B508="","",MAX($A$3:A507)+1)</f>
        <v>505</v>
      </c>
      <c r="B508" s="176">
        <v>10584</v>
      </c>
      <c r="C508" s="177" t="s">
        <v>1082</v>
      </c>
      <c r="D508" s="285" t="s">
        <v>112</v>
      </c>
      <c r="E508" s="281">
        <v>2</v>
      </c>
      <c r="F508" s="283">
        <f>IF($B508="","",SUMIFS('Daily Inward'!$G:$G,'Daily Inward'!$C:$C,$B508,'Daily Inward'!$E:$E,"Non Inventory"))</f>
        <v>0</v>
      </c>
      <c r="G508" s="51">
        <f>IF($B508="","",SUMIFS('Daily Issuance'!$G:$G,'Daily Issuance'!$C:$C,$B508,'Daily Issuance'!$E:$E,"Non Inventory"))</f>
        <v>0</v>
      </c>
      <c r="H508" s="51">
        <f t="shared" si="14"/>
        <v>2</v>
      </c>
      <c r="I508" s="187">
        <v>3075</v>
      </c>
      <c r="J508" s="188">
        <f t="shared" si="15"/>
        <v>6150</v>
      </c>
      <c r="K508" s="46"/>
    </row>
    <row r="509" spans="1:11" s="24" customFormat="1" ht="23.1" customHeight="1">
      <c r="A509" s="170">
        <f>IF($B509="","",MAX($A$3:A508)+1)</f>
        <v>506</v>
      </c>
      <c r="B509" s="176">
        <v>10701</v>
      </c>
      <c r="C509" s="177" t="s">
        <v>1083</v>
      </c>
      <c r="D509" s="285" t="s">
        <v>112</v>
      </c>
      <c r="E509" s="281">
        <v>8</v>
      </c>
      <c r="F509" s="283">
        <f>IF($B509="","",SUMIFS('Daily Inward'!$G:$G,'Daily Inward'!$C:$C,$B509,'Daily Inward'!$E:$E,"Non Inventory"))</f>
        <v>0</v>
      </c>
      <c r="G509" s="51">
        <f>IF($B509="","",SUMIFS('Daily Issuance'!$G:$G,'Daily Issuance'!$C:$C,$B509,'Daily Issuance'!$E:$E,"Non Inventory"))</f>
        <v>2</v>
      </c>
      <c r="H509" s="51">
        <f t="shared" si="14"/>
        <v>6</v>
      </c>
      <c r="I509" s="187">
        <v>750</v>
      </c>
      <c r="J509" s="188">
        <f t="shared" si="15"/>
        <v>4500</v>
      </c>
      <c r="K509" s="46"/>
    </row>
    <row r="510" spans="1:11" s="24" customFormat="1" ht="23.1" customHeight="1">
      <c r="A510" s="170">
        <f>IF($B510="","",MAX($A$3:A509)+1)</f>
        <v>507</v>
      </c>
      <c r="B510" s="176">
        <v>10702</v>
      </c>
      <c r="C510" s="177" t="s">
        <v>1084</v>
      </c>
      <c r="D510" s="285" t="s">
        <v>112</v>
      </c>
      <c r="E510" s="281">
        <v>5</v>
      </c>
      <c r="F510" s="283">
        <f>IF($B510="","",SUMIFS('Daily Inward'!$G:$G,'Daily Inward'!$C:$C,$B510,'Daily Inward'!$E:$E,"Non Inventory"))</f>
        <v>0</v>
      </c>
      <c r="G510" s="51">
        <f>IF($B510="","",SUMIFS('Daily Issuance'!$G:$G,'Daily Issuance'!$C:$C,$B510,'Daily Issuance'!$E:$E,"Non Inventory"))</f>
        <v>0</v>
      </c>
      <c r="H510" s="51">
        <f t="shared" si="14"/>
        <v>5</v>
      </c>
      <c r="I510" s="187">
        <v>700</v>
      </c>
      <c r="J510" s="188">
        <f t="shared" si="15"/>
        <v>3500</v>
      </c>
      <c r="K510" s="46"/>
    </row>
    <row r="511" spans="1:11" s="24" customFormat="1" ht="23.1" customHeight="1">
      <c r="A511" s="170">
        <f>IF($B511="","",MAX($A$3:A510)+1)</f>
        <v>508</v>
      </c>
      <c r="B511" s="176">
        <v>10724</v>
      </c>
      <c r="C511" s="177" t="s">
        <v>1085</v>
      </c>
      <c r="D511" s="285" t="s">
        <v>112</v>
      </c>
      <c r="E511" s="281">
        <v>8</v>
      </c>
      <c r="F511" s="283">
        <f>IF($B511="","",SUMIFS('Daily Inward'!$G:$G,'Daily Inward'!$C:$C,$B511,'Daily Inward'!$E:$E,"Non Inventory"))</f>
        <v>0</v>
      </c>
      <c r="G511" s="51">
        <f>IF($B511="","",SUMIFS('Daily Issuance'!$G:$G,'Daily Issuance'!$C:$C,$B511,'Daily Issuance'!$E:$E,"Non Inventory"))</f>
        <v>1</v>
      </c>
      <c r="H511" s="51">
        <f t="shared" si="14"/>
        <v>7</v>
      </c>
      <c r="I511" s="187">
        <v>120</v>
      </c>
      <c r="J511" s="188">
        <f t="shared" si="15"/>
        <v>840</v>
      </c>
      <c r="K511" s="46"/>
    </row>
    <row r="512" spans="1:11" s="24" customFormat="1" ht="23.1" customHeight="1">
      <c r="A512" s="170">
        <f>IF($B512="","",MAX($A$3:A511)+1)</f>
        <v>509</v>
      </c>
      <c r="B512" s="176">
        <v>10725</v>
      </c>
      <c r="C512" s="177" t="s">
        <v>1086</v>
      </c>
      <c r="D512" s="285" t="s">
        <v>112</v>
      </c>
      <c r="E512" s="281">
        <v>6</v>
      </c>
      <c r="F512" s="283">
        <f>IF($B512="","",SUMIFS('Daily Inward'!$G:$G,'Daily Inward'!$C:$C,$B512,'Daily Inward'!$E:$E,"Non Inventory"))</f>
        <v>0</v>
      </c>
      <c r="G512" s="51">
        <f>IF($B512="","",SUMIFS('Daily Issuance'!$G:$G,'Daily Issuance'!$C:$C,$B512,'Daily Issuance'!$E:$E,"Non Inventory"))</f>
        <v>1</v>
      </c>
      <c r="H512" s="51">
        <f t="shared" si="14"/>
        <v>5</v>
      </c>
      <c r="I512" s="187">
        <v>195</v>
      </c>
      <c r="J512" s="188">
        <f t="shared" si="15"/>
        <v>975</v>
      </c>
      <c r="K512" s="46"/>
    </row>
    <row r="513" spans="1:11" s="24" customFormat="1" ht="23.1" customHeight="1">
      <c r="A513" s="170">
        <f>IF($B513="","",MAX($A$3:A512)+1)</f>
        <v>510</v>
      </c>
      <c r="B513" s="176">
        <v>10841</v>
      </c>
      <c r="C513" s="177" t="s">
        <v>1087</v>
      </c>
      <c r="D513" s="285" t="s">
        <v>112</v>
      </c>
      <c r="E513" s="281">
        <v>3</v>
      </c>
      <c r="F513" s="283">
        <f>IF($B513="","",SUMIFS('Daily Inward'!$G:$G,'Daily Inward'!$C:$C,$B513,'Daily Inward'!$E:$E,"Non Inventory"))</f>
        <v>0</v>
      </c>
      <c r="G513" s="51">
        <f>IF($B513="","",SUMIFS('Daily Issuance'!$G:$G,'Daily Issuance'!$C:$C,$B513,'Daily Issuance'!$E:$E,"Non Inventory"))</f>
        <v>0</v>
      </c>
      <c r="H513" s="51">
        <f t="shared" si="14"/>
        <v>3</v>
      </c>
      <c r="I513" s="187">
        <v>4800</v>
      </c>
      <c r="J513" s="188">
        <f t="shared" si="15"/>
        <v>14400</v>
      </c>
      <c r="K513" s="46"/>
    </row>
    <row r="514" spans="1:11" s="24" customFormat="1" ht="23.1" customHeight="1">
      <c r="A514" s="170">
        <f>IF($B514="","",MAX($A$3:A513)+1)</f>
        <v>511</v>
      </c>
      <c r="B514" s="176">
        <v>10952</v>
      </c>
      <c r="C514" s="177" t="s">
        <v>1088</v>
      </c>
      <c r="D514" s="285" t="s">
        <v>112</v>
      </c>
      <c r="E514" s="281">
        <v>8</v>
      </c>
      <c r="F514" s="283">
        <f>IF($B514="","",SUMIFS('Daily Inward'!$G:$G,'Daily Inward'!$C:$C,$B514,'Daily Inward'!$E:$E,"Non Inventory"))</f>
        <v>0</v>
      </c>
      <c r="G514" s="51">
        <f>IF($B514="","",SUMIFS('Daily Issuance'!$G:$G,'Daily Issuance'!$C:$C,$B514,'Daily Issuance'!$E:$E,"Non Inventory"))</f>
        <v>3</v>
      </c>
      <c r="H514" s="51">
        <f t="shared" si="14"/>
        <v>5</v>
      </c>
      <c r="I514" s="187">
        <v>1150</v>
      </c>
      <c r="J514" s="188">
        <f t="shared" si="15"/>
        <v>5750</v>
      </c>
      <c r="K514" s="46" t="s">
        <v>1089</v>
      </c>
    </row>
    <row r="515" spans="1:11" s="24" customFormat="1" ht="23.1" customHeight="1">
      <c r="A515" s="170">
        <f>IF($B515="","",MAX($A$3:A514)+1)</f>
        <v>512</v>
      </c>
      <c r="B515" s="176">
        <v>10971</v>
      </c>
      <c r="C515" s="177" t="s">
        <v>1090</v>
      </c>
      <c r="D515" s="285" t="s">
        <v>112</v>
      </c>
      <c r="E515" s="281">
        <v>3</v>
      </c>
      <c r="F515" s="283">
        <f>IF($B515="","",SUMIFS('Daily Inward'!$G:$G,'Daily Inward'!$C:$C,$B515,'Daily Inward'!$E:$E,"Non Inventory"))</f>
        <v>0</v>
      </c>
      <c r="G515" s="51">
        <f>IF($B515="","",SUMIFS('Daily Issuance'!$G:$G,'Daily Issuance'!$C:$C,$B515,'Daily Issuance'!$E:$E,"Non Inventory"))</f>
        <v>0</v>
      </c>
      <c r="H515" s="51">
        <f t="shared" ref="H515:H577" si="16">IF($B515="","",N(E515)+N(F515)-N(G515))</f>
        <v>3</v>
      </c>
      <c r="I515" s="187">
        <v>1620</v>
      </c>
      <c r="J515" s="188">
        <f t="shared" ref="J515:J577" si="17">IF($B515="","",H515*I515)</f>
        <v>4860</v>
      </c>
      <c r="K515" s="46"/>
    </row>
    <row r="516" spans="1:11" s="24" customFormat="1" ht="23.1" customHeight="1">
      <c r="A516" s="170">
        <f>IF($B516="","",MAX($A$3:A515)+1)</f>
        <v>513</v>
      </c>
      <c r="B516" s="176">
        <v>10997</v>
      </c>
      <c r="C516" s="177" t="s">
        <v>1091</v>
      </c>
      <c r="D516" s="285" t="s">
        <v>112</v>
      </c>
      <c r="E516" s="281">
        <v>4</v>
      </c>
      <c r="F516" s="283">
        <f>IF($B516="","",SUMIFS('Daily Inward'!$G:$G,'Daily Inward'!$C:$C,$B516,'Daily Inward'!$E:$E,"Non Inventory"))</f>
        <v>0</v>
      </c>
      <c r="G516" s="51">
        <f>IF($B516="","",SUMIFS('Daily Issuance'!$G:$G,'Daily Issuance'!$C:$C,$B516,'Daily Issuance'!$E:$E,"Non Inventory"))</f>
        <v>0</v>
      </c>
      <c r="H516" s="51">
        <f t="shared" si="16"/>
        <v>4</v>
      </c>
      <c r="I516" s="187">
        <v>1500</v>
      </c>
      <c r="J516" s="188">
        <f t="shared" si="17"/>
        <v>6000</v>
      </c>
      <c r="K516" s="46"/>
    </row>
    <row r="517" spans="1:11" s="24" customFormat="1" ht="23.1" customHeight="1">
      <c r="A517" s="170">
        <f>IF($B517="","",MAX($A$3:A516)+1)</f>
        <v>514</v>
      </c>
      <c r="B517" s="176">
        <v>11156</v>
      </c>
      <c r="C517" s="177" t="s">
        <v>1092</v>
      </c>
      <c r="D517" s="285" t="s">
        <v>112</v>
      </c>
      <c r="E517" s="281">
        <v>4</v>
      </c>
      <c r="F517" s="283">
        <f>IF($B517="","",SUMIFS('Daily Inward'!$G:$G,'Daily Inward'!$C:$C,$B517,'Daily Inward'!$E:$E,"Non Inventory"))</f>
        <v>0</v>
      </c>
      <c r="G517" s="51">
        <f>IF($B517="","",SUMIFS('Daily Issuance'!$G:$G,'Daily Issuance'!$C:$C,$B517,'Daily Issuance'!$E:$E,"Non Inventory"))</f>
        <v>3</v>
      </c>
      <c r="H517" s="51">
        <f t="shared" si="16"/>
        <v>1</v>
      </c>
      <c r="I517" s="187">
        <v>850</v>
      </c>
      <c r="J517" s="188">
        <f t="shared" si="17"/>
        <v>850</v>
      </c>
      <c r="K517" s="46"/>
    </row>
    <row r="518" spans="1:11" s="24" customFormat="1" ht="23.1" customHeight="1">
      <c r="A518" s="170">
        <f>IF($B518="","",MAX($A$3:A517)+1)</f>
        <v>515</v>
      </c>
      <c r="B518" s="176">
        <v>11363</v>
      </c>
      <c r="C518" s="177" t="s">
        <v>1093</v>
      </c>
      <c r="D518" s="285" t="s">
        <v>112</v>
      </c>
      <c r="E518" s="281">
        <v>13</v>
      </c>
      <c r="F518" s="283">
        <f>IF($B518="","",SUMIFS('Daily Inward'!$G:$G,'Daily Inward'!$C:$C,$B518,'Daily Inward'!$E:$E,"Non Inventory"))</f>
        <v>0</v>
      </c>
      <c r="G518" s="51">
        <f>IF($B518="","",SUMIFS('Daily Issuance'!$G:$G,'Daily Issuance'!$C:$C,$B518,'Daily Issuance'!$E:$E,"Non Inventory"))</f>
        <v>0</v>
      </c>
      <c r="H518" s="51">
        <f t="shared" si="16"/>
        <v>13</v>
      </c>
      <c r="I518" s="187">
        <v>440</v>
      </c>
      <c r="J518" s="188">
        <f t="shared" si="17"/>
        <v>5720</v>
      </c>
      <c r="K518" s="46"/>
    </row>
    <row r="519" spans="1:11" s="24" customFormat="1" ht="23.1" customHeight="1">
      <c r="A519" s="170">
        <f>IF($B519="","",MAX($A$3:A518)+1)</f>
        <v>516</v>
      </c>
      <c r="B519" s="176">
        <v>11364</v>
      </c>
      <c r="C519" s="177" t="s">
        <v>1094</v>
      </c>
      <c r="D519" s="285" t="s">
        <v>112</v>
      </c>
      <c r="E519" s="281">
        <v>161</v>
      </c>
      <c r="F519" s="283">
        <f>IF($B519="","",SUMIFS('Daily Inward'!$G:$G,'Daily Inward'!$C:$C,$B519,'Daily Inward'!$E:$E,"Non Inventory"))</f>
        <v>0</v>
      </c>
      <c r="G519" s="51">
        <f>IF($B519="","",SUMIFS('Daily Issuance'!$G:$G,'Daily Issuance'!$C:$C,$B519,'Daily Issuance'!$E:$E,"Non Inventory"))</f>
        <v>0</v>
      </c>
      <c r="H519" s="51">
        <f t="shared" si="16"/>
        <v>161</v>
      </c>
      <c r="I519" s="187">
        <v>300</v>
      </c>
      <c r="J519" s="188">
        <f t="shared" si="17"/>
        <v>48300</v>
      </c>
      <c r="K519" s="46"/>
    </row>
    <row r="520" spans="1:11" s="24" customFormat="1" ht="23.1" customHeight="1">
      <c r="A520" s="170">
        <f>IF($B520="","",MAX($A$3:A519)+1)</f>
        <v>517</v>
      </c>
      <c r="B520" s="176">
        <v>11415</v>
      </c>
      <c r="C520" s="177" t="s">
        <v>1095</v>
      </c>
      <c r="D520" s="285" t="s">
        <v>112</v>
      </c>
      <c r="E520" s="281">
        <v>22</v>
      </c>
      <c r="F520" s="283">
        <f>IF($B520="","",SUMIFS('Daily Inward'!$G:$G,'Daily Inward'!$C:$C,$B520,'Daily Inward'!$E:$E,"Non Inventory"))</f>
        <v>0</v>
      </c>
      <c r="G520" s="51">
        <f>IF($B520="","",SUMIFS('Daily Issuance'!$G:$G,'Daily Issuance'!$C:$C,$B520,'Daily Issuance'!$E:$E,"Non Inventory"))</f>
        <v>0</v>
      </c>
      <c r="H520" s="51">
        <f t="shared" si="16"/>
        <v>22</v>
      </c>
      <c r="I520" s="187">
        <v>180</v>
      </c>
      <c r="J520" s="188">
        <f t="shared" si="17"/>
        <v>3960</v>
      </c>
      <c r="K520" s="46"/>
    </row>
    <row r="521" spans="1:11" s="24" customFormat="1" ht="23.1" customHeight="1">
      <c r="A521" s="170">
        <f>IF($B521="","",MAX($A$3:A520)+1)</f>
        <v>518</v>
      </c>
      <c r="B521" s="176">
        <v>11995</v>
      </c>
      <c r="C521" s="177" t="s">
        <v>1096</v>
      </c>
      <c r="D521" s="285" t="s">
        <v>102</v>
      </c>
      <c r="E521" s="281">
        <v>94</v>
      </c>
      <c r="F521" s="283">
        <f>IF($B521="","",SUMIFS('Daily Inward'!$G:$G,'Daily Inward'!$C:$C,$B521,'Daily Inward'!$E:$E,"Non Inventory"))</f>
        <v>0</v>
      </c>
      <c r="G521" s="51">
        <f>IF($B521="","",SUMIFS('Daily Issuance'!$G:$G,'Daily Issuance'!$C:$C,$B521,'Daily Issuance'!$E:$E,"Non Inventory"))</f>
        <v>0</v>
      </c>
      <c r="H521" s="51">
        <f t="shared" si="16"/>
        <v>94</v>
      </c>
      <c r="I521" s="187">
        <v>488</v>
      </c>
      <c r="J521" s="188">
        <f t="shared" si="17"/>
        <v>45872</v>
      </c>
      <c r="K521" s="46"/>
    </row>
    <row r="522" spans="1:11" s="24" customFormat="1" ht="23.1" customHeight="1">
      <c r="A522" s="170">
        <f>IF($B522="","",MAX($A$3:A521)+1)</f>
        <v>519</v>
      </c>
      <c r="B522" s="176">
        <v>12013</v>
      </c>
      <c r="C522" s="177" t="s">
        <v>1097</v>
      </c>
      <c r="D522" s="285" t="s">
        <v>112</v>
      </c>
      <c r="E522" s="281">
        <v>1</v>
      </c>
      <c r="F522" s="283">
        <f>IF($B522="","",SUMIFS('Daily Inward'!$G:$G,'Daily Inward'!$C:$C,$B522,'Daily Inward'!$E:$E,"Non Inventory"))</f>
        <v>0</v>
      </c>
      <c r="G522" s="51">
        <f>IF($B522="","",SUMIFS('Daily Issuance'!$G:$G,'Daily Issuance'!$C:$C,$B522,'Daily Issuance'!$E:$E,"Non Inventory"))</f>
        <v>0</v>
      </c>
      <c r="H522" s="51">
        <f t="shared" si="16"/>
        <v>1</v>
      </c>
      <c r="I522" s="187">
        <v>2500</v>
      </c>
      <c r="J522" s="188">
        <f t="shared" si="17"/>
        <v>2500</v>
      </c>
      <c r="K522" s="46"/>
    </row>
    <row r="523" spans="1:11" s="24" customFormat="1" ht="23.1" customHeight="1">
      <c r="A523" s="170">
        <f>IF($B523="","",MAX($A$3:A522)+1)</f>
        <v>520</v>
      </c>
      <c r="B523" s="176">
        <v>12151</v>
      </c>
      <c r="C523" s="177" t="s">
        <v>1098</v>
      </c>
      <c r="D523" s="285" t="s">
        <v>112</v>
      </c>
      <c r="E523" s="281">
        <v>3</v>
      </c>
      <c r="F523" s="283">
        <f>IF($B523="","",SUMIFS('Daily Inward'!$G:$G,'Daily Inward'!$C:$C,$B523,'Daily Inward'!$E:$E,"Non Inventory"))</f>
        <v>0</v>
      </c>
      <c r="G523" s="51">
        <f>IF($B523="","",SUMIFS('Daily Issuance'!$G:$G,'Daily Issuance'!$C:$C,$B523,'Daily Issuance'!$E:$E,"Non Inventory"))</f>
        <v>0</v>
      </c>
      <c r="H523" s="51">
        <f t="shared" si="16"/>
        <v>3</v>
      </c>
      <c r="I523" s="187">
        <v>2450</v>
      </c>
      <c r="J523" s="188">
        <f t="shared" si="17"/>
        <v>7350</v>
      </c>
      <c r="K523" s="46"/>
    </row>
    <row r="524" spans="1:11" s="24" customFormat="1" ht="23.1" customHeight="1">
      <c r="A524" s="170">
        <f>IF($B524="","",MAX($A$3:A523)+1)</f>
        <v>521</v>
      </c>
      <c r="B524" s="176">
        <v>12910</v>
      </c>
      <c r="C524" s="177" t="s">
        <v>1099</v>
      </c>
      <c r="D524" s="285" t="s">
        <v>338</v>
      </c>
      <c r="E524" s="281">
        <v>33</v>
      </c>
      <c r="F524" s="283">
        <f>IF($B524="","",SUMIFS('Daily Inward'!$G:$G,'Daily Inward'!$C:$C,$B524,'Daily Inward'!$E:$E,"Non Inventory"))</f>
        <v>0</v>
      </c>
      <c r="G524" s="51">
        <f>IF($B524="","",SUMIFS('Daily Issuance'!$G:$G,'Daily Issuance'!$C:$C,$B524,'Daily Issuance'!$E:$E,"Non Inventory"))</f>
        <v>0</v>
      </c>
      <c r="H524" s="51">
        <f t="shared" si="16"/>
        <v>33</v>
      </c>
      <c r="I524" s="187">
        <v>106</v>
      </c>
      <c r="J524" s="188">
        <f t="shared" si="17"/>
        <v>3498</v>
      </c>
      <c r="K524" s="46"/>
    </row>
    <row r="525" spans="1:11" s="24" customFormat="1" ht="23.1" customHeight="1">
      <c r="A525" s="170">
        <f>IF($B525="","",MAX($A$3:A524)+1)</f>
        <v>522</v>
      </c>
      <c r="B525" s="176">
        <v>13185</v>
      </c>
      <c r="C525" s="177" t="s">
        <v>1100</v>
      </c>
      <c r="D525" s="285" t="s">
        <v>112</v>
      </c>
      <c r="E525" s="281">
        <v>2</v>
      </c>
      <c r="F525" s="283">
        <f>IF($B525="","",SUMIFS('Daily Inward'!$G:$G,'Daily Inward'!$C:$C,$B525,'Daily Inward'!$E:$E,"Non Inventory"))</f>
        <v>0</v>
      </c>
      <c r="G525" s="51">
        <f>IF($B525="","",SUMIFS('Daily Issuance'!$G:$G,'Daily Issuance'!$C:$C,$B525,'Daily Issuance'!$E:$E,"Non Inventory"))</f>
        <v>0</v>
      </c>
      <c r="H525" s="51">
        <f t="shared" si="16"/>
        <v>2</v>
      </c>
      <c r="I525" s="187">
        <v>77878</v>
      </c>
      <c r="J525" s="188">
        <f t="shared" si="17"/>
        <v>155756</v>
      </c>
      <c r="K525" s="46"/>
    </row>
    <row r="526" spans="1:11" s="24" customFormat="1" ht="23.1" customHeight="1">
      <c r="A526" s="170">
        <f>IF($B526="","",MAX($A$3:A525)+1)</f>
        <v>523</v>
      </c>
      <c r="B526" s="176">
        <v>15281</v>
      </c>
      <c r="C526" s="177" t="s">
        <v>1101</v>
      </c>
      <c r="D526" s="285" t="s">
        <v>112</v>
      </c>
      <c r="E526" s="281">
        <v>1</v>
      </c>
      <c r="F526" s="283">
        <f>IF($B526="","",SUMIFS('Daily Inward'!$G:$G,'Daily Inward'!$C:$C,$B526,'Daily Inward'!$E:$E,"Non Inventory"))</f>
        <v>0</v>
      </c>
      <c r="G526" s="51">
        <f>IF($B526="","",SUMIFS('Daily Issuance'!$G:$G,'Daily Issuance'!$C:$C,$B526,'Daily Issuance'!$E:$E,"Non Inventory"))</f>
        <v>0</v>
      </c>
      <c r="H526" s="51">
        <f t="shared" si="16"/>
        <v>1</v>
      </c>
      <c r="I526" s="187">
        <v>4750</v>
      </c>
      <c r="J526" s="188">
        <f t="shared" si="17"/>
        <v>4750</v>
      </c>
      <c r="K526" s="46"/>
    </row>
    <row r="527" spans="1:11" s="24" customFormat="1" ht="23.1" customHeight="1">
      <c r="A527" s="170">
        <f>IF($B527="","",MAX($A$3:A526)+1)</f>
        <v>524</v>
      </c>
      <c r="B527" s="176">
        <v>15544</v>
      </c>
      <c r="C527" s="177" t="s">
        <v>1102</v>
      </c>
      <c r="D527" s="285" t="s">
        <v>112</v>
      </c>
      <c r="E527" s="281">
        <v>2</v>
      </c>
      <c r="F527" s="283">
        <f>IF($B527="","",SUMIFS('Daily Inward'!$G:$G,'Daily Inward'!$C:$C,$B527,'Daily Inward'!$E:$E,"Non Inventory"))</f>
        <v>0</v>
      </c>
      <c r="G527" s="51">
        <f>IF($B527="","",SUMIFS('Daily Issuance'!$G:$G,'Daily Issuance'!$C:$C,$B527,'Daily Issuance'!$E:$E,"Non Inventory"))</f>
        <v>0</v>
      </c>
      <c r="H527" s="51">
        <f t="shared" si="16"/>
        <v>2</v>
      </c>
      <c r="I527" s="187">
        <v>2430</v>
      </c>
      <c r="J527" s="188">
        <f t="shared" si="17"/>
        <v>4860</v>
      </c>
      <c r="K527" s="46"/>
    </row>
    <row r="528" spans="1:11" s="24" customFormat="1" ht="23.1" customHeight="1">
      <c r="A528" s="170">
        <f>IF($B528="","",MAX($A$3:A527)+1)</f>
        <v>525</v>
      </c>
      <c r="B528" s="176">
        <v>19633</v>
      </c>
      <c r="C528" s="177" t="s">
        <v>1103</v>
      </c>
      <c r="D528" s="285" t="s">
        <v>112</v>
      </c>
      <c r="E528" s="281">
        <v>5</v>
      </c>
      <c r="F528" s="283">
        <f>IF($B528="","",SUMIFS('Daily Inward'!$G:$G,'Daily Inward'!$C:$C,$B528,'Daily Inward'!$E:$E,"Non Inventory"))</f>
        <v>0</v>
      </c>
      <c r="G528" s="51">
        <f>IF($B528="","",SUMIFS('Daily Issuance'!$G:$G,'Daily Issuance'!$C:$C,$B528,'Daily Issuance'!$E:$E,"Non Inventory"))</f>
        <v>0</v>
      </c>
      <c r="H528" s="51">
        <f t="shared" si="16"/>
        <v>5</v>
      </c>
      <c r="I528" s="187">
        <v>243</v>
      </c>
      <c r="J528" s="188">
        <f t="shared" si="17"/>
        <v>1215</v>
      </c>
      <c r="K528" s="46"/>
    </row>
    <row r="529" spans="1:11" s="24" customFormat="1" ht="23.1" customHeight="1">
      <c r="A529" s="170">
        <f>IF($B529="","",MAX($A$3:A528)+1)</f>
        <v>526</v>
      </c>
      <c r="B529" s="176">
        <v>21467</v>
      </c>
      <c r="C529" s="177" t="s">
        <v>1104</v>
      </c>
      <c r="D529" s="285" t="s">
        <v>112</v>
      </c>
      <c r="E529" s="281">
        <v>1</v>
      </c>
      <c r="F529" s="283">
        <f>IF($B529="","",SUMIFS('Daily Inward'!$G:$G,'Daily Inward'!$C:$C,$B529,'Daily Inward'!$E:$E,"Non Inventory"))</f>
        <v>0</v>
      </c>
      <c r="G529" s="51">
        <f>IF($B529="","",SUMIFS('Daily Issuance'!$G:$G,'Daily Issuance'!$C:$C,$B529,'Daily Issuance'!$E:$E,"Non Inventory"))</f>
        <v>0</v>
      </c>
      <c r="H529" s="51">
        <f t="shared" si="16"/>
        <v>1</v>
      </c>
      <c r="I529" s="187">
        <v>12500</v>
      </c>
      <c r="J529" s="188">
        <f t="shared" si="17"/>
        <v>12500</v>
      </c>
      <c r="K529" s="46"/>
    </row>
    <row r="530" spans="1:11" s="24" customFormat="1" ht="23.1" customHeight="1">
      <c r="A530" s="170">
        <f>IF($B530="","",MAX($A$3:A529)+1)</f>
        <v>527</v>
      </c>
      <c r="B530" s="176">
        <v>26622</v>
      </c>
      <c r="C530" s="177" t="s">
        <v>1105</v>
      </c>
      <c r="D530" s="285" t="s">
        <v>112</v>
      </c>
      <c r="E530" s="281">
        <v>7</v>
      </c>
      <c r="F530" s="283">
        <f>IF($B530="","",SUMIFS('Daily Inward'!$G:$G,'Daily Inward'!$C:$C,$B530,'Daily Inward'!$E:$E,"Non Inventory"))</f>
        <v>0</v>
      </c>
      <c r="G530" s="51">
        <f>IF($B530="","",SUMIFS('Daily Issuance'!$G:$G,'Daily Issuance'!$C:$C,$B530,'Daily Issuance'!$E:$E,"Non Inventory"))</f>
        <v>0</v>
      </c>
      <c r="H530" s="51">
        <f t="shared" si="16"/>
        <v>7</v>
      </c>
      <c r="I530" s="187">
        <v>90</v>
      </c>
      <c r="J530" s="188">
        <f t="shared" si="17"/>
        <v>630</v>
      </c>
      <c r="K530" s="46"/>
    </row>
    <row r="531" spans="1:11" s="24" customFormat="1" ht="23.1" customHeight="1">
      <c r="A531" s="170">
        <f>IF($B531="","",MAX($A$3:A530)+1)</f>
        <v>528</v>
      </c>
      <c r="B531" s="176">
        <v>26841</v>
      </c>
      <c r="C531" s="177" t="s">
        <v>1106</v>
      </c>
      <c r="D531" s="285" t="s">
        <v>338</v>
      </c>
      <c r="E531" s="281">
        <v>3</v>
      </c>
      <c r="F531" s="283">
        <f>IF($B531="","",SUMIFS('Daily Inward'!$G:$G,'Daily Inward'!$C:$C,$B531,'Daily Inward'!$E:$E,"Non Inventory"))</f>
        <v>0</v>
      </c>
      <c r="G531" s="51">
        <f>IF($B531="","",SUMIFS('Daily Issuance'!$G:$G,'Daily Issuance'!$C:$C,$B531,'Daily Issuance'!$E:$E,"Non Inventory"))</f>
        <v>0</v>
      </c>
      <c r="H531" s="51">
        <f t="shared" si="16"/>
        <v>3</v>
      </c>
      <c r="I531" s="187">
        <v>320</v>
      </c>
      <c r="J531" s="188">
        <f t="shared" si="17"/>
        <v>960</v>
      </c>
      <c r="K531" s="46"/>
    </row>
    <row r="532" spans="1:11" s="24" customFormat="1" ht="23.1" customHeight="1">
      <c r="A532" s="170">
        <f>IF($B532="","",MAX($A$3:A531)+1)</f>
        <v>529</v>
      </c>
      <c r="B532" s="176">
        <v>26842</v>
      </c>
      <c r="C532" s="177" t="s">
        <v>1107</v>
      </c>
      <c r="D532" s="285" t="s">
        <v>338</v>
      </c>
      <c r="E532" s="281">
        <v>3</v>
      </c>
      <c r="F532" s="283">
        <f>IF($B532="","",SUMIFS('Daily Inward'!$G:$G,'Daily Inward'!$C:$C,$B532,'Daily Inward'!$E:$E,"Non Inventory"))</f>
        <v>0</v>
      </c>
      <c r="G532" s="51">
        <f>IF($B532="","",SUMIFS('Daily Issuance'!$G:$G,'Daily Issuance'!$C:$C,$B532,'Daily Issuance'!$E:$E,"Non Inventory"))</f>
        <v>0</v>
      </c>
      <c r="H532" s="51">
        <f t="shared" si="16"/>
        <v>3</v>
      </c>
      <c r="I532" s="187">
        <v>480</v>
      </c>
      <c r="J532" s="188">
        <f t="shared" si="17"/>
        <v>1440</v>
      </c>
      <c r="K532" s="46"/>
    </row>
    <row r="533" spans="1:11" s="24" customFormat="1" ht="23.1" customHeight="1">
      <c r="A533" s="170">
        <f>IF($B533="","",MAX($A$3:A532)+1)</f>
        <v>530</v>
      </c>
      <c r="B533" s="176">
        <v>26843</v>
      </c>
      <c r="C533" s="177" t="s">
        <v>1108</v>
      </c>
      <c r="D533" s="285" t="s">
        <v>338</v>
      </c>
      <c r="E533" s="281">
        <v>3</v>
      </c>
      <c r="F533" s="283">
        <f>IF($B533="","",SUMIFS('Daily Inward'!$G:$G,'Daily Inward'!$C:$C,$B533,'Daily Inward'!$E:$E,"Non Inventory"))</f>
        <v>0</v>
      </c>
      <c r="G533" s="51">
        <f>IF($B533="","",SUMIFS('Daily Issuance'!$G:$G,'Daily Issuance'!$C:$C,$B533,'Daily Issuance'!$E:$E,"Non Inventory"))</f>
        <v>0</v>
      </c>
      <c r="H533" s="51">
        <f t="shared" si="16"/>
        <v>3</v>
      </c>
      <c r="I533" s="187">
        <v>1055</v>
      </c>
      <c r="J533" s="188">
        <f t="shared" si="17"/>
        <v>3165</v>
      </c>
      <c r="K533" s="46"/>
    </row>
    <row r="534" spans="1:11" s="24" customFormat="1" ht="23.1" customHeight="1">
      <c r="A534" s="170">
        <f>IF($B534="","",MAX($A$3:A533)+1)</f>
        <v>531</v>
      </c>
      <c r="B534" s="176">
        <v>26846</v>
      </c>
      <c r="C534" s="177" t="s">
        <v>1109</v>
      </c>
      <c r="D534" s="285" t="s">
        <v>338</v>
      </c>
      <c r="E534" s="281">
        <v>2</v>
      </c>
      <c r="F534" s="283">
        <f>IF($B534="","",SUMIFS('Daily Inward'!$G:$G,'Daily Inward'!$C:$C,$B534,'Daily Inward'!$E:$E,"Non Inventory"))</f>
        <v>0</v>
      </c>
      <c r="G534" s="51">
        <f>IF($B534="","",SUMIFS('Daily Issuance'!$G:$G,'Daily Issuance'!$C:$C,$B534,'Daily Issuance'!$E:$E,"Non Inventory"))</f>
        <v>0</v>
      </c>
      <c r="H534" s="51">
        <f t="shared" si="16"/>
        <v>2</v>
      </c>
      <c r="I534" s="187">
        <v>530</v>
      </c>
      <c r="J534" s="188">
        <f t="shared" si="17"/>
        <v>1060</v>
      </c>
      <c r="K534" s="46"/>
    </row>
    <row r="535" spans="1:11" s="24" customFormat="1" ht="23.1" customHeight="1">
      <c r="A535" s="170">
        <f>IF($B535="","",MAX($A$3:A534)+1)</f>
        <v>532</v>
      </c>
      <c r="B535" s="176">
        <v>26849</v>
      </c>
      <c r="C535" s="177" t="s">
        <v>1110</v>
      </c>
      <c r="D535" s="285" t="s">
        <v>338</v>
      </c>
      <c r="E535" s="281">
        <v>5</v>
      </c>
      <c r="F535" s="283">
        <f>IF($B535="","",SUMIFS('Daily Inward'!$G:$G,'Daily Inward'!$C:$C,$B535,'Daily Inward'!$E:$E,"Non Inventory"))</f>
        <v>0</v>
      </c>
      <c r="G535" s="51">
        <f>IF($B535="","",SUMIFS('Daily Issuance'!$G:$G,'Daily Issuance'!$C:$C,$B535,'Daily Issuance'!$E:$E,"Non Inventory"))</f>
        <v>0</v>
      </c>
      <c r="H535" s="51">
        <f t="shared" si="16"/>
        <v>5</v>
      </c>
      <c r="I535" s="187">
        <v>125</v>
      </c>
      <c r="J535" s="188">
        <f t="shared" si="17"/>
        <v>625</v>
      </c>
      <c r="K535" s="46"/>
    </row>
    <row r="536" spans="1:11" s="24" customFormat="1" ht="23.1" customHeight="1">
      <c r="A536" s="170">
        <f>IF($B536="","",MAX($A$3:A535)+1)</f>
        <v>533</v>
      </c>
      <c r="B536" s="176">
        <v>26851</v>
      </c>
      <c r="C536" s="177" t="s">
        <v>1111</v>
      </c>
      <c r="D536" s="285" t="s">
        <v>338</v>
      </c>
      <c r="E536" s="281">
        <v>5</v>
      </c>
      <c r="F536" s="283">
        <f>IF($B536="","",SUMIFS('Daily Inward'!$G:$G,'Daily Inward'!$C:$C,$B536,'Daily Inward'!$E:$E,"Non Inventory"))</f>
        <v>0</v>
      </c>
      <c r="G536" s="51">
        <f>IF($B536="","",SUMIFS('Daily Issuance'!$G:$G,'Daily Issuance'!$C:$C,$B536,'Daily Issuance'!$E:$E,"Non Inventory"))</f>
        <v>0</v>
      </c>
      <c r="H536" s="51">
        <f t="shared" si="16"/>
        <v>5</v>
      </c>
      <c r="I536" s="187">
        <v>200</v>
      </c>
      <c r="J536" s="188">
        <f t="shared" si="17"/>
        <v>1000</v>
      </c>
      <c r="K536" s="46"/>
    </row>
    <row r="537" spans="1:11" s="24" customFormat="1" ht="23.1" customHeight="1">
      <c r="A537" s="170">
        <f>IF($B537="","",MAX($A$3:A536)+1)</f>
        <v>534</v>
      </c>
      <c r="B537" s="176">
        <v>26852</v>
      </c>
      <c r="C537" s="177" t="s">
        <v>1112</v>
      </c>
      <c r="D537" s="285" t="s">
        <v>338</v>
      </c>
      <c r="E537" s="281">
        <v>5</v>
      </c>
      <c r="F537" s="283">
        <f>IF($B537="","",SUMIFS('Daily Inward'!$G:$G,'Daily Inward'!$C:$C,$B537,'Daily Inward'!$E:$E,"Non Inventory"))</f>
        <v>0</v>
      </c>
      <c r="G537" s="51">
        <f>IF($B537="","",SUMIFS('Daily Issuance'!$G:$G,'Daily Issuance'!$C:$C,$B537,'Daily Issuance'!$E:$E,"Non Inventory"))</f>
        <v>0</v>
      </c>
      <c r="H537" s="51">
        <f t="shared" si="16"/>
        <v>5</v>
      </c>
      <c r="I537" s="187">
        <v>520</v>
      </c>
      <c r="J537" s="188">
        <f t="shared" si="17"/>
        <v>2600</v>
      </c>
      <c r="K537" s="46"/>
    </row>
    <row r="538" spans="1:11" s="24" customFormat="1" ht="23.1" customHeight="1">
      <c r="A538" s="170">
        <f>IF($B538="","",MAX($A$3:A537)+1)</f>
        <v>535</v>
      </c>
      <c r="B538" s="176">
        <v>26853</v>
      </c>
      <c r="C538" s="177" t="s">
        <v>1113</v>
      </c>
      <c r="D538" s="285" t="s">
        <v>338</v>
      </c>
      <c r="E538" s="281">
        <v>5</v>
      </c>
      <c r="F538" s="283">
        <f>IF($B538="","",SUMIFS('Daily Inward'!$G:$G,'Daily Inward'!$C:$C,$B538,'Daily Inward'!$E:$E,"Non Inventory"))</f>
        <v>0</v>
      </c>
      <c r="G538" s="51">
        <f>IF($B538="","",SUMIFS('Daily Issuance'!$G:$G,'Daily Issuance'!$C:$C,$B538,'Daily Issuance'!$E:$E,"Non Inventory"))</f>
        <v>0</v>
      </c>
      <c r="H538" s="51">
        <f t="shared" si="16"/>
        <v>5</v>
      </c>
      <c r="I538" s="187">
        <v>725</v>
      </c>
      <c r="J538" s="188">
        <f t="shared" si="17"/>
        <v>3625</v>
      </c>
      <c r="K538" s="46"/>
    </row>
    <row r="539" spans="1:11" s="24" customFormat="1" ht="23.1" customHeight="1">
      <c r="A539" s="170">
        <f>IF($B539="","",MAX($A$3:A538)+1)</f>
        <v>536</v>
      </c>
      <c r="B539" s="176">
        <v>26855</v>
      </c>
      <c r="C539" s="177" t="s">
        <v>1114</v>
      </c>
      <c r="D539" s="285" t="s">
        <v>338</v>
      </c>
      <c r="E539" s="281">
        <v>3</v>
      </c>
      <c r="F539" s="283">
        <f>IF($B539="","",SUMIFS('Daily Inward'!$G:$G,'Daily Inward'!$C:$C,$B539,'Daily Inward'!$E:$E,"Non Inventory"))</f>
        <v>0</v>
      </c>
      <c r="G539" s="51">
        <f>IF($B539="","",SUMIFS('Daily Issuance'!$G:$G,'Daily Issuance'!$C:$C,$B539,'Daily Issuance'!$E:$E,"Non Inventory"))</f>
        <v>0</v>
      </c>
      <c r="H539" s="51">
        <f t="shared" si="16"/>
        <v>3</v>
      </c>
      <c r="I539" s="187">
        <v>875</v>
      </c>
      <c r="J539" s="188">
        <f t="shared" si="17"/>
        <v>2625</v>
      </c>
      <c r="K539" s="46"/>
    </row>
    <row r="540" spans="1:11" s="24" customFormat="1" ht="23.1" customHeight="1">
      <c r="A540" s="170">
        <f>IF($B540="","",MAX($A$3:A539)+1)</f>
        <v>537</v>
      </c>
      <c r="B540" s="176">
        <v>26856</v>
      </c>
      <c r="C540" s="177" t="s">
        <v>1115</v>
      </c>
      <c r="D540" s="285" t="s">
        <v>338</v>
      </c>
      <c r="E540" s="281">
        <v>3</v>
      </c>
      <c r="F540" s="283">
        <f>IF($B540="","",SUMIFS('Daily Inward'!$G:$G,'Daily Inward'!$C:$C,$B540,'Daily Inward'!$E:$E,"Non Inventory"))</f>
        <v>0</v>
      </c>
      <c r="G540" s="51">
        <f>IF($B540="","",SUMIFS('Daily Issuance'!$G:$G,'Daily Issuance'!$C:$C,$B540,'Daily Issuance'!$E:$E,"Non Inventory"))</f>
        <v>0</v>
      </c>
      <c r="H540" s="51">
        <f t="shared" si="16"/>
        <v>3</v>
      </c>
      <c r="I540" s="187">
        <v>1350</v>
      </c>
      <c r="J540" s="188">
        <f t="shared" si="17"/>
        <v>4050</v>
      </c>
      <c r="K540" s="46"/>
    </row>
    <row r="541" spans="1:11" s="24" customFormat="1" ht="23.1" customHeight="1">
      <c r="A541" s="170">
        <f>IF($B541="","",MAX($A$3:A540)+1)</f>
        <v>538</v>
      </c>
      <c r="B541" s="176">
        <v>7706</v>
      </c>
      <c r="C541" s="177" t="s">
        <v>1116</v>
      </c>
      <c r="D541" s="285" t="s">
        <v>112</v>
      </c>
      <c r="E541" s="281">
        <v>52</v>
      </c>
      <c r="F541" s="283">
        <f>IF($B541="","",SUMIFS('Daily Inward'!$G:$G,'Daily Inward'!$C:$C,$B541,'Daily Inward'!$E:$E,"Non Inventory"))</f>
        <v>0</v>
      </c>
      <c r="G541" s="51">
        <f>IF($B541="","",SUMIFS('Daily Issuance'!$G:$G,'Daily Issuance'!$C:$C,$B541,'Daily Issuance'!$E:$E,"Non Inventory"))</f>
        <v>2</v>
      </c>
      <c r="H541" s="51">
        <f t="shared" si="16"/>
        <v>50</v>
      </c>
      <c r="I541" s="187">
        <v>900</v>
      </c>
      <c r="J541" s="188">
        <f t="shared" si="17"/>
        <v>45000</v>
      </c>
      <c r="K541" s="46"/>
    </row>
    <row r="542" spans="1:11" s="24" customFormat="1" ht="23.1" customHeight="1">
      <c r="A542" s="170">
        <f>IF($B542="","",MAX($A$3:A541)+1)</f>
        <v>539</v>
      </c>
      <c r="B542" s="176">
        <v>8189</v>
      </c>
      <c r="C542" s="177" t="s">
        <v>1117</v>
      </c>
      <c r="D542" s="285" t="s">
        <v>112</v>
      </c>
      <c r="E542" s="281">
        <v>12</v>
      </c>
      <c r="F542" s="283">
        <f>IF($B542="","",SUMIFS('Daily Inward'!$G:$G,'Daily Inward'!$C:$C,$B542,'Daily Inward'!$E:$E,"Non Inventory"))</f>
        <v>0</v>
      </c>
      <c r="G542" s="51">
        <f>IF($B542="","",SUMIFS('Daily Issuance'!$G:$G,'Daily Issuance'!$C:$C,$B542,'Daily Issuance'!$E:$E,"Non Inventory"))</f>
        <v>0</v>
      </c>
      <c r="H542" s="51">
        <f t="shared" si="16"/>
        <v>12</v>
      </c>
      <c r="I542" s="187">
        <v>270</v>
      </c>
      <c r="J542" s="188">
        <f t="shared" si="17"/>
        <v>3240</v>
      </c>
      <c r="K542" s="46"/>
    </row>
    <row r="543" spans="1:11" s="24" customFormat="1" ht="23.1" customHeight="1">
      <c r="A543" s="170">
        <f>IF($B543="","",MAX($A$3:A542)+1)</f>
        <v>540</v>
      </c>
      <c r="B543" s="176">
        <v>12457</v>
      </c>
      <c r="C543" s="177" t="s">
        <v>1118</v>
      </c>
      <c r="D543" s="285" t="s">
        <v>338</v>
      </c>
      <c r="E543" s="281">
        <v>28</v>
      </c>
      <c r="F543" s="283">
        <f>IF($B543="","",SUMIFS('Daily Inward'!$G:$G,'Daily Inward'!$C:$C,$B543,'Daily Inward'!$E:$E,"Non Inventory"))</f>
        <v>0</v>
      </c>
      <c r="G543" s="51">
        <f>IF($B543="","",SUMIFS('Daily Issuance'!$G:$G,'Daily Issuance'!$C:$C,$B543,'Daily Issuance'!$E:$E,"Non Inventory"))</f>
        <v>0</v>
      </c>
      <c r="H543" s="51">
        <f t="shared" si="16"/>
        <v>28</v>
      </c>
      <c r="I543" s="187">
        <v>2650</v>
      </c>
      <c r="J543" s="188">
        <f t="shared" si="17"/>
        <v>74200</v>
      </c>
      <c r="K543" s="46"/>
    </row>
    <row r="544" spans="1:11" s="24" customFormat="1" ht="23.1" customHeight="1">
      <c r="A544" s="170">
        <f>IF($B544="","",MAX($A$3:A543)+1)</f>
        <v>541</v>
      </c>
      <c r="B544" s="176">
        <v>15173</v>
      </c>
      <c r="C544" s="177" t="s">
        <v>1119</v>
      </c>
      <c r="D544" s="285" t="s">
        <v>112</v>
      </c>
      <c r="E544" s="281">
        <v>14</v>
      </c>
      <c r="F544" s="283">
        <f>IF($B544="","",SUMIFS('Daily Inward'!$G:$G,'Daily Inward'!$C:$C,$B544,'Daily Inward'!$E:$E,"Non Inventory"))</f>
        <v>0</v>
      </c>
      <c r="G544" s="51">
        <f>IF($B544="","",SUMIFS('Daily Issuance'!$G:$G,'Daily Issuance'!$C:$C,$B544,'Daily Issuance'!$E:$E,"Non Inventory"))</f>
        <v>0</v>
      </c>
      <c r="H544" s="51">
        <f t="shared" si="16"/>
        <v>14</v>
      </c>
      <c r="I544" s="187">
        <v>420</v>
      </c>
      <c r="J544" s="188">
        <f t="shared" si="17"/>
        <v>5880</v>
      </c>
      <c r="K544" s="46"/>
    </row>
    <row r="545" spans="1:11" s="24" customFormat="1" ht="23.1" customHeight="1">
      <c r="A545" s="170">
        <f>IF($B545="","",MAX($A$3:A544)+1)</f>
        <v>542</v>
      </c>
      <c r="B545" s="176">
        <v>15221</v>
      </c>
      <c r="C545" s="177" t="s">
        <v>1120</v>
      </c>
      <c r="D545" s="285" t="s">
        <v>112</v>
      </c>
      <c r="E545" s="281">
        <v>1</v>
      </c>
      <c r="F545" s="283">
        <f>IF($B545="","",SUMIFS('Daily Inward'!$G:$G,'Daily Inward'!$C:$C,$B545,'Daily Inward'!$E:$E,"Non Inventory"))</f>
        <v>0</v>
      </c>
      <c r="G545" s="51">
        <f>IF($B545="","",SUMIFS('Daily Issuance'!$G:$G,'Daily Issuance'!$C:$C,$B545,'Daily Issuance'!$E:$E,"Non Inventory"))</f>
        <v>0</v>
      </c>
      <c r="H545" s="51">
        <f t="shared" si="16"/>
        <v>1</v>
      </c>
      <c r="I545" s="187">
        <v>8000</v>
      </c>
      <c r="J545" s="188">
        <f t="shared" si="17"/>
        <v>8000</v>
      </c>
      <c r="K545" s="46"/>
    </row>
    <row r="546" spans="1:11" s="24" customFormat="1" ht="23.1" customHeight="1">
      <c r="A546" s="170">
        <f>IF($B546="","",MAX($A$3:A545)+1)</f>
        <v>543</v>
      </c>
      <c r="B546" s="176">
        <v>16405</v>
      </c>
      <c r="C546" s="177" t="s">
        <v>1121</v>
      </c>
      <c r="D546" s="285" t="s">
        <v>615</v>
      </c>
      <c r="E546" s="281">
        <v>350</v>
      </c>
      <c r="F546" s="283">
        <f>IF($B546="","",SUMIFS('Daily Inward'!$G:$G,'Daily Inward'!$C:$C,$B546,'Daily Inward'!$E:$E,"Non Inventory"))</f>
        <v>400</v>
      </c>
      <c r="G546" s="51">
        <f>IF($B546="","",SUMIFS('Daily Issuance'!$G:$G,'Daily Issuance'!$C:$C,$B546,'Daily Issuance'!$E:$E,"Non Inventory"))</f>
        <v>0</v>
      </c>
      <c r="H546" s="51">
        <f t="shared" si="16"/>
        <v>750</v>
      </c>
      <c r="I546" s="187">
        <v>172</v>
      </c>
      <c r="J546" s="188">
        <f t="shared" si="17"/>
        <v>129000</v>
      </c>
      <c r="K546" s="46"/>
    </row>
    <row r="547" spans="1:11" s="24" customFormat="1" ht="23.1" customHeight="1">
      <c r="A547" s="170">
        <f>IF($B547="","",MAX($A$3:A546)+1)</f>
        <v>544</v>
      </c>
      <c r="B547" s="176">
        <v>16721</v>
      </c>
      <c r="C547" s="177" t="s">
        <v>1122</v>
      </c>
      <c r="D547" s="285" t="s">
        <v>338</v>
      </c>
      <c r="E547" s="281">
        <v>20</v>
      </c>
      <c r="F547" s="283">
        <f>IF($B547="","",SUMIFS('Daily Inward'!$G:$G,'Daily Inward'!$C:$C,$B547,'Daily Inward'!$E:$E,"Non Inventory"))</f>
        <v>0</v>
      </c>
      <c r="G547" s="51">
        <f>IF($B547="","",SUMIFS('Daily Issuance'!$G:$G,'Daily Issuance'!$C:$C,$B547,'Daily Issuance'!$E:$E,"Non Inventory"))</f>
        <v>0</v>
      </c>
      <c r="H547" s="51">
        <f t="shared" si="16"/>
        <v>20</v>
      </c>
      <c r="I547" s="187">
        <v>1170</v>
      </c>
      <c r="J547" s="188">
        <f t="shared" si="17"/>
        <v>23400</v>
      </c>
      <c r="K547" s="46"/>
    </row>
    <row r="548" spans="1:11" s="24" customFormat="1" ht="23.1" customHeight="1">
      <c r="A548" s="170">
        <f>IF($B548="","",MAX($A$3:A547)+1)</f>
        <v>545</v>
      </c>
      <c r="B548" s="176">
        <v>20226</v>
      </c>
      <c r="C548" s="177" t="s">
        <v>1123</v>
      </c>
      <c r="D548" s="285" t="s">
        <v>615</v>
      </c>
      <c r="E548" s="281">
        <v>200</v>
      </c>
      <c r="F548" s="283">
        <f>IF($B548="","",SUMIFS('Daily Inward'!$G:$G,'Daily Inward'!$C:$C,$B548,'Daily Inward'!$E:$E,"Non Inventory"))</f>
        <v>400</v>
      </c>
      <c r="G548" s="51">
        <f>IF($B548="","",SUMIFS('Daily Issuance'!$G:$G,'Daily Issuance'!$C:$C,$B548,'Daily Issuance'!$E:$E,"Non Inventory"))</f>
        <v>0</v>
      </c>
      <c r="H548" s="51">
        <f t="shared" si="16"/>
        <v>600</v>
      </c>
      <c r="I548" s="187">
        <v>375</v>
      </c>
      <c r="J548" s="188">
        <f t="shared" si="17"/>
        <v>225000</v>
      </c>
      <c r="K548" s="46"/>
    </row>
    <row r="549" spans="1:11" s="24" customFormat="1" ht="23.1" customHeight="1">
      <c r="A549" s="170">
        <f>IF($B549="","",MAX($A$3:A548)+1)</f>
        <v>546</v>
      </c>
      <c r="B549" s="176">
        <v>23014</v>
      </c>
      <c r="C549" s="177" t="s">
        <v>1124</v>
      </c>
      <c r="D549" s="285" t="s">
        <v>112</v>
      </c>
      <c r="E549" s="281">
        <v>3</v>
      </c>
      <c r="F549" s="283">
        <f>IF($B549="","",SUMIFS('Daily Inward'!$G:$G,'Daily Inward'!$C:$C,$B549,'Daily Inward'!$E:$E,"Non Inventory"))</f>
        <v>5</v>
      </c>
      <c r="G549" s="51">
        <f>IF($B549="","",SUMIFS('Daily Issuance'!$G:$G,'Daily Issuance'!$C:$C,$B549,'Daily Issuance'!$E:$E,"Non Inventory"))</f>
        <v>1</v>
      </c>
      <c r="H549" s="51">
        <f t="shared" si="16"/>
        <v>7</v>
      </c>
      <c r="I549" s="187">
        <v>3000</v>
      </c>
      <c r="J549" s="188">
        <f t="shared" si="17"/>
        <v>21000</v>
      </c>
      <c r="K549" s="46"/>
    </row>
    <row r="550" spans="1:11" s="24" customFormat="1" ht="23.1" customHeight="1">
      <c r="A550" s="170">
        <f>IF($B550="","",MAX($A$3:A549)+1)</f>
        <v>547</v>
      </c>
      <c r="B550" s="176">
        <v>24793</v>
      </c>
      <c r="C550" s="177" t="s">
        <v>1125</v>
      </c>
      <c r="D550" s="285" t="s">
        <v>112</v>
      </c>
      <c r="E550" s="281">
        <v>0</v>
      </c>
      <c r="F550" s="283">
        <f>IF($B550="","",SUMIFS('Daily Inward'!$G:$G,'Daily Inward'!$C:$C,$B550,'Daily Inward'!$E:$E,"Non Inventory"))</f>
        <v>0</v>
      </c>
      <c r="G550" s="51">
        <f>IF($B550="","",SUMIFS('Daily Issuance'!$G:$G,'Daily Issuance'!$C:$C,$B550,'Daily Issuance'!$E:$E,"Non Inventory"))</f>
        <v>0</v>
      </c>
      <c r="H550" s="51">
        <f t="shared" si="16"/>
        <v>0</v>
      </c>
      <c r="I550" s="187">
        <v>2000</v>
      </c>
      <c r="J550" s="188">
        <f t="shared" si="17"/>
        <v>0</v>
      </c>
      <c r="K550" s="46"/>
    </row>
    <row r="551" spans="1:11" s="24" customFormat="1" ht="23.1" customHeight="1">
      <c r="A551" s="170">
        <f>IF($B551="","",MAX($A$3:A550)+1)</f>
        <v>548</v>
      </c>
      <c r="B551" s="176">
        <v>24830</v>
      </c>
      <c r="C551" s="177" t="s">
        <v>1126</v>
      </c>
      <c r="D551" s="285" t="s">
        <v>338</v>
      </c>
      <c r="E551" s="281">
        <v>50</v>
      </c>
      <c r="F551" s="283">
        <f>IF($B551="","",SUMIFS('Daily Inward'!$G:$G,'Daily Inward'!$C:$C,$B551,'Daily Inward'!$E:$E,"Non Inventory"))</f>
        <v>0</v>
      </c>
      <c r="G551" s="51">
        <f>IF($B551="","",SUMIFS('Daily Issuance'!$G:$G,'Daily Issuance'!$C:$C,$B551,'Daily Issuance'!$E:$E,"Non Inventory"))</f>
        <v>0</v>
      </c>
      <c r="H551" s="51">
        <f t="shared" si="16"/>
        <v>50</v>
      </c>
      <c r="I551" s="187">
        <v>600</v>
      </c>
      <c r="J551" s="188">
        <f t="shared" si="17"/>
        <v>30000</v>
      </c>
      <c r="K551" s="46"/>
    </row>
    <row r="552" spans="1:11" s="24" customFormat="1" ht="23.1" customHeight="1">
      <c r="A552" s="170">
        <f>IF($B552="","",MAX($A$3:A551)+1)</f>
        <v>549</v>
      </c>
      <c r="B552" s="176">
        <v>25220</v>
      </c>
      <c r="C552" s="177" t="s">
        <v>1127</v>
      </c>
      <c r="D552" s="285" t="s">
        <v>112</v>
      </c>
      <c r="E552" s="281">
        <v>1</v>
      </c>
      <c r="F552" s="283">
        <f>IF($B552="","",SUMIFS('Daily Inward'!$G:$G,'Daily Inward'!$C:$C,$B552,'Daily Inward'!$E:$E,"Non Inventory"))</f>
        <v>0</v>
      </c>
      <c r="G552" s="51">
        <f>IF($B552="","",SUMIFS('Daily Issuance'!$G:$G,'Daily Issuance'!$C:$C,$B552,'Daily Issuance'!$E:$E,"Non Inventory"))</f>
        <v>0</v>
      </c>
      <c r="H552" s="51">
        <f t="shared" si="16"/>
        <v>1</v>
      </c>
      <c r="I552" s="187">
        <v>28750</v>
      </c>
      <c r="J552" s="188">
        <f t="shared" si="17"/>
        <v>28750</v>
      </c>
      <c r="K552" s="46"/>
    </row>
    <row r="553" spans="1:11" s="24" customFormat="1" ht="23.1" customHeight="1">
      <c r="A553" s="170">
        <f>IF($B553="","",MAX($A$3:A552)+1)</f>
        <v>550</v>
      </c>
      <c r="B553" s="176">
        <v>25692</v>
      </c>
      <c r="C553" s="177" t="s">
        <v>1128</v>
      </c>
      <c r="D553" s="285" t="s">
        <v>112</v>
      </c>
      <c r="E553" s="281">
        <v>1</v>
      </c>
      <c r="F553" s="283">
        <f>IF($B553="","",SUMIFS('Daily Inward'!$G:$G,'Daily Inward'!$C:$C,$B553,'Daily Inward'!$E:$E,"Non Inventory"))</f>
        <v>0</v>
      </c>
      <c r="G553" s="51">
        <f>IF($B553="","",SUMIFS('Daily Issuance'!$G:$G,'Daily Issuance'!$C:$C,$B553,'Daily Issuance'!$E:$E,"Non Inventory"))</f>
        <v>0</v>
      </c>
      <c r="H553" s="51">
        <f t="shared" si="16"/>
        <v>1</v>
      </c>
      <c r="I553" s="187">
        <v>45000</v>
      </c>
      <c r="J553" s="188">
        <f t="shared" si="17"/>
        <v>45000</v>
      </c>
      <c r="K553" s="46"/>
    </row>
    <row r="554" spans="1:11" s="24" customFormat="1" ht="23.1" customHeight="1">
      <c r="A554" s="170">
        <f>IF($B554="","",MAX($A$3:A553)+1)</f>
        <v>551</v>
      </c>
      <c r="B554" s="176">
        <v>8728</v>
      </c>
      <c r="C554" s="177" t="s">
        <v>1034</v>
      </c>
      <c r="D554" s="285" t="s">
        <v>112</v>
      </c>
      <c r="E554" s="281">
        <v>16</v>
      </c>
      <c r="F554" s="283">
        <f>IF($B554="","",SUMIFS('Daily Inward'!$G:$G,'Daily Inward'!$C:$C,$B554,'Daily Inward'!$E:$E,"Non Inventory"))</f>
        <v>0</v>
      </c>
      <c r="G554" s="51">
        <f>IF($B554="","",SUMIFS('Daily Issuance'!$G:$G,'Daily Issuance'!$C:$C,$B554,'Daily Issuance'!$E:$E,"Non Inventory"))</f>
        <v>0</v>
      </c>
      <c r="H554" s="51">
        <f t="shared" si="16"/>
        <v>16</v>
      </c>
      <c r="I554" s="187">
        <v>15</v>
      </c>
      <c r="J554" s="188">
        <f t="shared" si="17"/>
        <v>240</v>
      </c>
      <c r="K554" s="46"/>
    </row>
    <row r="555" spans="1:11" s="24" customFormat="1" ht="23.1" customHeight="1">
      <c r="A555" s="170">
        <f>IF($B555="","",MAX($A$3:A554)+1)</f>
        <v>552</v>
      </c>
      <c r="B555" s="176">
        <v>8729</v>
      </c>
      <c r="C555" s="177" t="s">
        <v>1035</v>
      </c>
      <c r="D555" s="285" t="s">
        <v>112</v>
      </c>
      <c r="E555" s="281">
        <v>18</v>
      </c>
      <c r="F555" s="283">
        <f>IF($B555="","",SUMIFS('Daily Inward'!$G:$G,'Daily Inward'!$C:$C,$B555,'Daily Inward'!$E:$E,"Non Inventory"))</f>
        <v>0</v>
      </c>
      <c r="G555" s="51">
        <f>IF($B555="","",SUMIFS('Daily Issuance'!$G:$G,'Daily Issuance'!$C:$C,$B555,'Daily Issuance'!$E:$E,"Non Inventory"))</f>
        <v>0</v>
      </c>
      <c r="H555" s="51">
        <f t="shared" si="16"/>
        <v>18</v>
      </c>
      <c r="I555" s="187">
        <v>15</v>
      </c>
      <c r="J555" s="188">
        <f t="shared" si="17"/>
        <v>270</v>
      </c>
      <c r="K555" s="46"/>
    </row>
    <row r="556" spans="1:11" s="24" customFormat="1" ht="23.1" customHeight="1">
      <c r="A556" s="170">
        <f>IF($B556="","",MAX($A$3:A555)+1)</f>
        <v>553</v>
      </c>
      <c r="B556" s="176">
        <v>8730</v>
      </c>
      <c r="C556" s="177" t="s">
        <v>1129</v>
      </c>
      <c r="D556" s="285" t="s">
        <v>112</v>
      </c>
      <c r="E556" s="281">
        <v>150</v>
      </c>
      <c r="F556" s="283">
        <f>IF($B556="","",SUMIFS('Daily Inward'!$G:$G,'Daily Inward'!$C:$C,$B556,'Daily Inward'!$E:$E,"Non Inventory"))</f>
        <v>0</v>
      </c>
      <c r="G556" s="51">
        <f>IF($B556="","",SUMIFS('Daily Issuance'!$G:$G,'Daily Issuance'!$C:$C,$B556,'Daily Issuance'!$E:$E,"Non Inventory"))</f>
        <v>15</v>
      </c>
      <c r="H556" s="51">
        <f t="shared" si="16"/>
        <v>135</v>
      </c>
      <c r="I556" s="187">
        <v>12</v>
      </c>
      <c r="J556" s="188">
        <f t="shared" si="17"/>
        <v>1620</v>
      </c>
      <c r="K556" s="46"/>
    </row>
    <row r="557" spans="1:11" s="24" customFormat="1" ht="23.1" customHeight="1">
      <c r="A557" s="170">
        <f>IF($B557="","",MAX($A$3:A556)+1)</f>
        <v>554</v>
      </c>
      <c r="B557" s="176">
        <v>8731</v>
      </c>
      <c r="C557" s="177" t="s">
        <v>1036</v>
      </c>
      <c r="D557" s="285" t="s">
        <v>112</v>
      </c>
      <c r="E557" s="281">
        <v>97</v>
      </c>
      <c r="F557" s="283">
        <f>IF($B557="","",SUMIFS('Daily Inward'!$G:$G,'Daily Inward'!$C:$C,$B557,'Daily Inward'!$E:$E,"Non Inventory"))</f>
        <v>0</v>
      </c>
      <c r="G557" s="51">
        <f>IF($B557="","",SUMIFS('Daily Issuance'!$G:$G,'Daily Issuance'!$C:$C,$B557,'Daily Issuance'!$E:$E,"Non Inventory"))</f>
        <v>0</v>
      </c>
      <c r="H557" s="51">
        <f t="shared" si="16"/>
        <v>97</v>
      </c>
      <c r="I557" s="187">
        <v>23.5</v>
      </c>
      <c r="J557" s="188">
        <f t="shared" si="17"/>
        <v>2279.5</v>
      </c>
      <c r="K557" s="46"/>
    </row>
    <row r="558" spans="1:11" s="24" customFormat="1" ht="23.1" customHeight="1">
      <c r="A558" s="170">
        <f>IF($B558="","",MAX($A$3:A557)+1)</f>
        <v>555</v>
      </c>
      <c r="B558" s="176">
        <v>8732</v>
      </c>
      <c r="C558" s="177" t="s">
        <v>1037</v>
      </c>
      <c r="D558" s="285" t="s">
        <v>112</v>
      </c>
      <c r="E558" s="281">
        <v>89</v>
      </c>
      <c r="F558" s="283">
        <f>IF($B558="","",SUMIFS('Daily Inward'!$G:$G,'Daily Inward'!$C:$C,$B558,'Daily Inward'!$E:$E,"Non Inventory"))</f>
        <v>0</v>
      </c>
      <c r="G558" s="51">
        <f>IF($B558="","",SUMIFS('Daily Issuance'!$G:$G,'Daily Issuance'!$C:$C,$B558,'Daily Issuance'!$E:$E,"Non Inventory"))</f>
        <v>0</v>
      </c>
      <c r="H558" s="51">
        <f t="shared" si="16"/>
        <v>89</v>
      </c>
      <c r="I558" s="187">
        <v>11</v>
      </c>
      <c r="J558" s="188">
        <f t="shared" si="17"/>
        <v>979</v>
      </c>
      <c r="K558" s="46"/>
    </row>
    <row r="559" spans="1:11" s="24" customFormat="1" ht="23.1" customHeight="1">
      <c r="A559" s="170">
        <f>IF($B559="","",MAX($A$3:A558)+1)</f>
        <v>556</v>
      </c>
      <c r="B559" s="176">
        <v>8761</v>
      </c>
      <c r="C559" s="177" t="s">
        <v>1042</v>
      </c>
      <c r="D559" s="285" t="s">
        <v>604</v>
      </c>
      <c r="E559" s="281">
        <v>27</v>
      </c>
      <c r="F559" s="283">
        <f>IF($B559="","",SUMIFS('Daily Inward'!$G:$G,'Daily Inward'!$C:$C,$B559,'Daily Inward'!$E:$E,"Non Inventory"))</f>
        <v>0</v>
      </c>
      <c r="G559" s="51">
        <f>IF($B559="","",SUMIFS('Daily Issuance'!$G:$G,'Daily Issuance'!$C:$C,$B559,'Daily Issuance'!$E:$E,"Non Inventory"))</f>
        <v>0</v>
      </c>
      <c r="H559" s="51">
        <f t="shared" si="16"/>
        <v>27</v>
      </c>
      <c r="I559" s="187">
        <v>75</v>
      </c>
      <c r="J559" s="188">
        <f t="shared" si="17"/>
        <v>2025</v>
      </c>
      <c r="K559" s="46"/>
    </row>
    <row r="560" spans="1:11" s="24" customFormat="1" ht="23.1" customHeight="1">
      <c r="A560" s="170">
        <f>IF($B560="","",MAX($A$3:A559)+1)</f>
        <v>557</v>
      </c>
      <c r="B560" s="176">
        <v>8762</v>
      </c>
      <c r="C560" s="177" t="s">
        <v>1043</v>
      </c>
      <c r="D560" s="285" t="s">
        <v>604</v>
      </c>
      <c r="E560" s="281">
        <v>30</v>
      </c>
      <c r="F560" s="283">
        <f>IF($B560="","",SUMIFS('Daily Inward'!$G:$G,'Daily Inward'!$C:$C,$B560,'Daily Inward'!$E:$E,"Non Inventory"))</f>
        <v>0</v>
      </c>
      <c r="G560" s="51">
        <f>IF($B560="","",SUMIFS('Daily Issuance'!$G:$G,'Daily Issuance'!$C:$C,$B560,'Daily Issuance'!$E:$E,"Non Inventory"))</f>
        <v>0</v>
      </c>
      <c r="H560" s="51">
        <f t="shared" si="16"/>
        <v>30</v>
      </c>
      <c r="I560" s="187">
        <v>90</v>
      </c>
      <c r="J560" s="188">
        <f t="shared" si="17"/>
        <v>2700</v>
      </c>
      <c r="K560" s="46"/>
    </row>
    <row r="561" spans="1:11" s="24" customFormat="1" ht="23.1" customHeight="1">
      <c r="A561" s="170">
        <f>IF($B561="","",MAX($A$3:A560)+1)</f>
        <v>558</v>
      </c>
      <c r="B561" s="176">
        <v>8907</v>
      </c>
      <c r="C561" s="177" t="s">
        <v>1048</v>
      </c>
      <c r="D561" s="285" t="s">
        <v>112</v>
      </c>
      <c r="E561" s="281">
        <v>9</v>
      </c>
      <c r="F561" s="283">
        <f>IF($B561="","",SUMIFS('Daily Inward'!$G:$G,'Daily Inward'!$C:$C,$B561,'Daily Inward'!$E:$E,"Non Inventory"))</f>
        <v>0</v>
      </c>
      <c r="G561" s="51">
        <f>IF($B561="","",SUMIFS('Daily Issuance'!$G:$G,'Daily Issuance'!$C:$C,$B561,'Daily Issuance'!$E:$E,"Non Inventory"))</f>
        <v>0</v>
      </c>
      <c r="H561" s="51">
        <f t="shared" si="16"/>
        <v>9</v>
      </c>
      <c r="I561" s="187">
        <v>440</v>
      </c>
      <c r="J561" s="188">
        <f t="shared" si="17"/>
        <v>3960</v>
      </c>
      <c r="K561" s="46"/>
    </row>
    <row r="562" spans="1:11" s="24" customFormat="1" ht="23.1" customHeight="1">
      <c r="A562" s="170">
        <f>IF($B562="","",MAX($A$3:A561)+1)</f>
        <v>559</v>
      </c>
      <c r="B562" s="176">
        <v>9068</v>
      </c>
      <c r="C562" s="177" t="s">
        <v>1051</v>
      </c>
      <c r="D562" s="285" t="s">
        <v>112</v>
      </c>
      <c r="E562" s="281">
        <v>47</v>
      </c>
      <c r="F562" s="283">
        <f>IF($B562="","",SUMIFS('Daily Inward'!$G:$G,'Daily Inward'!$C:$C,$B562,'Daily Inward'!$E:$E,"Non Inventory"))</f>
        <v>0</v>
      </c>
      <c r="G562" s="51">
        <f>IF($B562="","",SUMIFS('Daily Issuance'!$G:$G,'Daily Issuance'!$C:$C,$B562,'Daily Issuance'!$E:$E,"Non Inventory"))</f>
        <v>0</v>
      </c>
      <c r="H562" s="51">
        <f t="shared" si="16"/>
        <v>47</v>
      </c>
      <c r="I562" s="187">
        <v>15</v>
      </c>
      <c r="J562" s="188">
        <f t="shared" si="17"/>
        <v>705</v>
      </c>
      <c r="K562" s="46"/>
    </row>
    <row r="563" spans="1:11" s="24" customFormat="1" ht="23.1" customHeight="1">
      <c r="A563" s="170">
        <f>IF($B563="","",MAX($A$3:A562)+1)</f>
        <v>560</v>
      </c>
      <c r="B563" s="176">
        <v>9074</v>
      </c>
      <c r="C563" s="177" t="s">
        <v>1053</v>
      </c>
      <c r="D563" s="285" t="s">
        <v>112</v>
      </c>
      <c r="E563" s="281">
        <v>200</v>
      </c>
      <c r="F563" s="283">
        <f>IF($B563="","",SUMIFS('Daily Inward'!$G:$G,'Daily Inward'!$C:$C,$B563,'Daily Inward'!$E:$E,"Non Inventory"))</f>
        <v>0</v>
      </c>
      <c r="G563" s="51">
        <f>IF($B563="","",SUMIFS('Daily Issuance'!$G:$G,'Daily Issuance'!$C:$C,$B563,'Daily Issuance'!$E:$E,"Non Inventory"))</f>
        <v>0</v>
      </c>
      <c r="H563" s="51">
        <f t="shared" si="16"/>
        <v>200</v>
      </c>
      <c r="I563" s="187">
        <v>34</v>
      </c>
      <c r="J563" s="188">
        <f t="shared" si="17"/>
        <v>6800</v>
      </c>
      <c r="K563" s="46"/>
    </row>
    <row r="564" spans="1:11" s="24" customFormat="1" ht="23.1" customHeight="1">
      <c r="A564" s="170">
        <f>IF($B564="","",MAX($A$3:A563)+1)</f>
        <v>561</v>
      </c>
      <c r="B564" s="176">
        <v>9293</v>
      </c>
      <c r="C564" s="177" t="s">
        <v>1061</v>
      </c>
      <c r="D564" s="285" t="s">
        <v>112</v>
      </c>
      <c r="E564" s="281">
        <v>3</v>
      </c>
      <c r="F564" s="283">
        <f>IF($B564="","",SUMIFS('Daily Inward'!$G:$G,'Daily Inward'!$C:$C,$B564,'Daily Inward'!$E:$E,"Non Inventory"))</f>
        <v>0</v>
      </c>
      <c r="G564" s="51">
        <f>IF($B564="","",SUMIFS('Daily Issuance'!$G:$G,'Daily Issuance'!$C:$C,$B564,'Daily Issuance'!$E:$E,"Non Inventory"))</f>
        <v>0</v>
      </c>
      <c r="H564" s="51">
        <f t="shared" si="16"/>
        <v>3</v>
      </c>
      <c r="I564" s="187">
        <v>185</v>
      </c>
      <c r="J564" s="188">
        <f t="shared" si="17"/>
        <v>555</v>
      </c>
      <c r="K564" s="46"/>
    </row>
    <row r="565" spans="1:11" s="24" customFormat="1" ht="23.1" customHeight="1">
      <c r="A565" s="170">
        <f>IF($B565="","",MAX($A$3:A564)+1)</f>
        <v>562</v>
      </c>
      <c r="B565" s="176">
        <v>9431</v>
      </c>
      <c r="C565" s="177" t="s">
        <v>1064</v>
      </c>
      <c r="D565" s="285" t="s">
        <v>112</v>
      </c>
      <c r="E565" s="281">
        <v>8</v>
      </c>
      <c r="F565" s="283">
        <f>IF($B565="","",SUMIFS('Daily Inward'!$G:$G,'Daily Inward'!$C:$C,$B565,'Daily Inward'!$E:$E,"Non Inventory"))</f>
        <v>0</v>
      </c>
      <c r="G565" s="51">
        <f>IF($B565="","",SUMIFS('Daily Issuance'!$G:$G,'Daily Issuance'!$C:$C,$B565,'Daily Issuance'!$E:$E,"Non Inventory"))</f>
        <v>0</v>
      </c>
      <c r="H565" s="51">
        <f t="shared" si="16"/>
        <v>8</v>
      </c>
      <c r="I565" s="187">
        <v>280</v>
      </c>
      <c r="J565" s="188">
        <f t="shared" si="17"/>
        <v>2240</v>
      </c>
      <c r="K565" s="46"/>
    </row>
    <row r="566" spans="1:11" s="24" customFormat="1" ht="23.1" customHeight="1">
      <c r="A566" s="170">
        <f>IF($B566="","",MAX($A$3:A565)+1)</f>
        <v>563</v>
      </c>
      <c r="B566" s="176">
        <v>9491</v>
      </c>
      <c r="C566" s="177" t="s">
        <v>1067</v>
      </c>
      <c r="D566" s="285" t="s">
        <v>112</v>
      </c>
      <c r="E566" s="281">
        <v>3</v>
      </c>
      <c r="F566" s="283">
        <f>IF($B566="","",SUMIFS('Daily Inward'!$G:$G,'Daily Inward'!$C:$C,$B566,'Daily Inward'!$E:$E,"Non Inventory"))</f>
        <v>0</v>
      </c>
      <c r="G566" s="51">
        <f>IF($B566="","",SUMIFS('Daily Issuance'!$G:$G,'Daily Issuance'!$C:$C,$B566,'Daily Issuance'!$E:$E,"Non Inventory"))</f>
        <v>0</v>
      </c>
      <c r="H566" s="51">
        <f t="shared" si="16"/>
        <v>3</v>
      </c>
      <c r="I566" s="187">
        <v>605</v>
      </c>
      <c r="J566" s="188">
        <f t="shared" si="17"/>
        <v>1815</v>
      </c>
      <c r="K566" s="46"/>
    </row>
    <row r="567" spans="1:11" s="24" customFormat="1" ht="23.1" customHeight="1">
      <c r="A567" s="170">
        <f>IF($B567="","",MAX($A$3:A566)+1)</f>
        <v>564</v>
      </c>
      <c r="B567" s="176">
        <v>9562</v>
      </c>
      <c r="C567" s="177" t="s">
        <v>1130</v>
      </c>
      <c r="D567" s="285" t="s">
        <v>112</v>
      </c>
      <c r="E567" s="281">
        <v>6</v>
      </c>
      <c r="F567" s="283">
        <f>IF($B567="","",SUMIFS('Daily Inward'!$G:$G,'Daily Inward'!$C:$C,$B567,'Daily Inward'!$E:$E,"Non Inventory"))</f>
        <v>8</v>
      </c>
      <c r="G567" s="51">
        <f>IF($B567="","",SUMIFS('Daily Issuance'!$G:$G,'Daily Issuance'!$C:$C,$B567,'Daily Issuance'!$E:$E,"Non Inventory"))</f>
        <v>2</v>
      </c>
      <c r="H567" s="51">
        <f t="shared" si="16"/>
        <v>12</v>
      </c>
      <c r="I567" s="187">
        <v>450</v>
      </c>
      <c r="J567" s="188">
        <f t="shared" si="17"/>
        <v>5400</v>
      </c>
      <c r="K567" s="46"/>
    </row>
    <row r="568" spans="1:11" s="24" customFormat="1" ht="23.1" customHeight="1">
      <c r="A568" s="170">
        <f>IF($B568="","",MAX($A$3:A567)+1)</f>
        <v>565</v>
      </c>
      <c r="B568" s="176">
        <v>9579</v>
      </c>
      <c r="C568" s="177" t="s">
        <v>1070</v>
      </c>
      <c r="D568" s="285" t="s">
        <v>112</v>
      </c>
      <c r="E568" s="281">
        <v>16</v>
      </c>
      <c r="F568" s="283">
        <f>IF($B568="","",SUMIFS('Daily Inward'!$G:$G,'Daily Inward'!$C:$C,$B568,'Daily Inward'!$E:$E,"Non Inventory"))</f>
        <v>0</v>
      </c>
      <c r="G568" s="51">
        <f>IF($B568="","",SUMIFS('Daily Issuance'!$G:$G,'Daily Issuance'!$C:$C,$B568,'Daily Issuance'!$E:$E,"Non Inventory"))</f>
        <v>0</v>
      </c>
      <c r="H568" s="51">
        <f t="shared" si="16"/>
        <v>16</v>
      </c>
      <c r="I568" s="187">
        <v>350</v>
      </c>
      <c r="J568" s="188">
        <f t="shared" si="17"/>
        <v>5600</v>
      </c>
      <c r="K568" s="46"/>
    </row>
    <row r="569" spans="1:11" s="24" customFormat="1" ht="23.1" customHeight="1">
      <c r="A569" s="170">
        <f>IF($B569="","",MAX($A$3:A568)+1)</f>
        <v>566</v>
      </c>
      <c r="B569" s="176">
        <v>9765</v>
      </c>
      <c r="C569" s="177" t="s">
        <v>1131</v>
      </c>
      <c r="D569" s="285" t="s">
        <v>112</v>
      </c>
      <c r="E569" s="281">
        <v>16</v>
      </c>
      <c r="F569" s="283">
        <f>IF($B569="","",SUMIFS('Daily Inward'!$G:$G,'Daily Inward'!$C:$C,$B569,'Daily Inward'!$E:$E,"Non Inventory"))</f>
        <v>15</v>
      </c>
      <c r="G569" s="51">
        <f>IF($B569="","",SUMIFS('Daily Issuance'!$G:$G,'Daily Issuance'!$C:$C,$B569,'Daily Issuance'!$E:$E,"Non Inventory"))</f>
        <v>1</v>
      </c>
      <c r="H569" s="51">
        <f t="shared" si="16"/>
        <v>30</v>
      </c>
      <c r="I569" s="187">
        <v>280</v>
      </c>
      <c r="J569" s="188">
        <f t="shared" si="17"/>
        <v>8400</v>
      </c>
      <c r="K569" s="46"/>
    </row>
    <row r="570" spans="1:11" s="24" customFormat="1" ht="23.1" customHeight="1">
      <c r="A570" s="170">
        <f>IF($B570="","",MAX($A$3:A569)+1)</f>
        <v>567</v>
      </c>
      <c r="B570" s="176">
        <v>9895</v>
      </c>
      <c r="C570" s="177" t="s">
        <v>1073</v>
      </c>
      <c r="D570" s="285" t="s">
        <v>112</v>
      </c>
      <c r="E570" s="281">
        <v>9</v>
      </c>
      <c r="F570" s="283">
        <f>IF($B570="","",SUMIFS('Daily Inward'!$G:$G,'Daily Inward'!$C:$C,$B570,'Daily Inward'!$E:$E,"Non Inventory"))</f>
        <v>0</v>
      </c>
      <c r="G570" s="51">
        <f>IF($B570="","",SUMIFS('Daily Issuance'!$G:$G,'Daily Issuance'!$C:$C,$B570,'Daily Issuance'!$E:$E,"Non Inventory"))</f>
        <v>0</v>
      </c>
      <c r="H570" s="51">
        <f t="shared" si="16"/>
        <v>9</v>
      </c>
      <c r="I570" s="187">
        <v>875</v>
      </c>
      <c r="J570" s="188">
        <f t="shared" si="17"/>
        <v>7875</v>
      </c>
      <c r="K570" s="46"/>
    </row>
    <row r="571" spans="1:11" s="24" customFormat="1" ht="23.1" customHeight="1">
      <c r="A571" s="170">
        <f>IF($B571="","",MAX($A$3:A570)+1)</f>
        <v>568</v>
      </c>
      <c r="B571" s="176">
        <v>10150</v>
      </c>
      <c r="C571" s="177" t="s">
        <v>1132</v>
      </c>
      <c r="D571" s="285" t="s">
        <v>112</v>
      </c>
      <c r="E571" s="281">
        <v>15</v>
      </c>
      <c r="F571" s="283">
        <f>IF($B571="","",SUMIFS('Daily Inward'!$G:$G,'Daily Inward'!$C:$C,$B571,'Daily Inward'!$E:$E,"Non Inventory"))</f>
        <v>0</v>
      </c>
      <c r="G571" s="51">
        <f>IF($B571="","",SUMIFS('Daily Issuance'!$G:$G,'Daily Issuance'!$C:$C,$B571,'Daily Issuance'!$E:$E,"Non Inventory"))</f>
        <v>1</v>
      </c>
      <c r="H571" s="51">
        <f t="shared" si="16"/>
        <v>14</v>
      </c>
      <c r="I571" s="187">
        <v>2500</v>
      </c>
      <c r="J571" s="188">
        <f t="shared" si="17"/>
        <v>35000</v>
      </c>
      <c r="K571" s="46"/>
    </row>
    <row r="572" spans="1:11" s="24" customFormat="1" ht="23.1" customHeight="1">
      <c r="A572" s="170">
        <f>IF($B572="","",MAX($A$3:A571)+1)</f>
        <v>569</v>
      </c>
      <c r="B572" s="176">
        <v>10154</v>
      </c>
      <c r="C572" s="177" t="s">
        <v>1074</v>
      </c>
      <c r="D572" s="285" t="s">
        <v>112</v>
      </c>
      <c r="E572" s="281">
        <v>4</v>
      </c>
      <c r="F572" s="283">
        <f>IF($B572="","",SUMIFS('Daily Inward'!$G:$G,'Daily Inward'!$C:$C,$B572,'Daily Inward'!$E:$E,"Non Inventory"))</f>
        <v>0</v>
      </c>
      <c r="G572" s="51">
        <f>IF($B572="","",SUMIFS('Daily Issuance'!$G:$G,'Daily Issuance'!$C:$C,$B572,'Daily Issuance'!$E:$E,"Non Inventory"))</f>
        <v>0</v>
      </c>
      <c r="H572" s="51">
        <f t="shared" si="16"/>
        <v>4</v>
      </c>
      <c r="I572" s="187">
        <v>4500</v>
      </c>
      <c r="J572" s="188">
        <f t="shared" si="17"/>
        <v>18000</v>
      </c>
      <c r="K572" s="46"/>
    </row>
    <row r="573" spans="1:11" s="24" customFormat="1" ht="23.1" customHeight="1">
      <c r="A573" s="170">
        <f>IF($B573="","",MAX($A$3:A572)+1)</f>
        <v>570</v>
      </c>
      <c r="B573" s="176">
        <v>10177</v>
      </c>
      <c r="C573" s="177" t="s">
        <v>1075</v>
      </c>
      <c r="D573" s="285" t="s">
        <v>112</v>
      </c>
      <c r="E573" s="281">
        <v>8</v>
      </c>
      <c r="F573" s="283">
        <f>IF($B573="","",SUMIFS('Daily Inward'!$G:$G,'Daily Inward'!$C:$C,$B573,'Daily Inward'!$E:$E,"Non Inventory"))</f>
        <v>0</v>
      </c>
      <c r="G573" s="51">
        <f>IF($B573="","",SUMIFS('Daily Issuance'!$G:$G,'Daily Issuance'!$C:$C,$B573,'Daily Issuance'!$E:$E,"Non Inventory"))</f>
        <v>0</v>
      </c>
      <c r="H573" s="51">
        <f t="shared" si="16"/>
        <v>8</v>
      </c>
      <c r="I573" s="187">
        <v>850</v>
      </c>
      <c r="J573" s="188">
        <f t="shared" si="17"/>
        <v>6800</v>
      </c>
      <c r="K573" s="46"/>
    </row>
    <row r="574" spans="1:11" s="24" customFormat="1" ht="23.1" customHeight="1">
      <c r="A574" s="170">
        <f>IF($B574="","",MAX($A$3:A573)+1)</f>
        <v>571</v>
      </c>
      <c r="B574" s="176">
        <v>3533</v>
      </c>
      <c r="C574" s="177" t="s">
        <v>1133</v>
      </c>
      <c r="D574" s="285" t="s">
        <v>1134</v>
      </c>
      <c r="E574" s="281">
        <v>4</v>
      </c>
      <c r="F574" s="283">
        <f>IF($B574="","",SUMIFS('Daily Inward'!$G:$G,'Daily Inward'!$C:$C,$B574,'Daily Inward'!$E:$E,"Non Inventory"))</f>
        <v>0</v>
      </c>
      <c r="G574" s="51">
        <f>IF($B574="","",SUMIFS('Daily Issuance'!$G:$G,'Daily Issuance'!$C:$C,$B574,'Daily Issuance'!$E:$E,"Non Inventory"))</f>
        <v>0</v>
      </c>
      <c r="H574" s="51">
        <f t="shared" si="16"/>
        <v>4</v>
      </c>
      <c r="I574" s="187">
        <v>6500</v>
      </c>
      <c r="J574" s="188">
        <f t="shared" si="17"/>
        <v>26000</v>
      </c>
      <c r="K574" s="46"/>
    </row>
    <row r="575" spans="1:11" s="24" customFormat="1" ht="23.1" customHeight="1">
      <c r="A575" s="170">
        <f>IF($B575="","",MAX($A$3:A574)+1)</f>
        <v>572</v>
      </c>
      <c r="B575" s="176">
        <v>3815</v>
      </c>
      <c r="C575" s="177" t="s">
        <v>1135</v>
      </c>
      <c r="D575" s="285" t="s">
        <v>112</v>
      </c>
      <c r="E575" s="281">
        <v>1</v>
      </c>
      <c r="F575" s="283">
        <f>IF($B575="","",SUMIFS('Daily Inward'!$G:$G,'Daily Inward'!$C:$C,$B575,'Daily Inward'!$E:$E,"Non Inventory"))</f>
        <v>0</v>
      </c>
      <c r="G575" s="51">
        <f>IF($B575="","",SUMIFS('Daily Issuance'!$G:$G,'Daily Issuance'!$C:$C,$B575,'Daily Issuance'!$E:$E,"Non Inventory"))</f>
        <v>0</v>
      </c>
      <c r="H575" s="51">
        <f t="shared" si="16"/>
        <v>1</v>
      </c>
      <c r="I575" s="187">
        <v>24725</v>
      </c>
      <c r="J575" s="188">
        <f t="shared" si="17"/>
        <v>24725</v>
      </c>
      <c r="K575" s="46"/>
    </row>
    <row r="576" spans="1:11" s="24" customFormat="1" ht="23.1" customHeight="1">
      <c r="A576" s="170">
        <f>IF($B576="","",MAX($A$3:A575)+1)</f>
        <v>573</v>
      </c>
      <c r="B576" s="176">
        <v>4306</v>
      </c>
      <c r="C576" s="177" t="s">
        <v>1136</v>
      </c>
      <c r="D576" s="285" t="s">
        <v>338</v>
      </c>
      <c r="E576" s="281">
        <v>33.5</v>
      </c>
      <c r="F576" s="283">
        <f>IF($B576="","",SUMIFS('Daily Inward'!$G:$G,'Daily Inward'!$C:$C,$B576,'Daily Inward'!$E:$E,"Non Inventory"))</f>
        <v>0</v>
      </c>
      <c r="G576" s="51">
        <f>IF($B576="","",SUMIFS('Daily Issuance'!$G:$G,'Daily Issuance'!$C:$C,$B576,'Daily Issuance'!$E:$E,"Non Inventory"))</f>
        <v>0</v>
      </c>
      <c r="H576" s="51">
        <f t="shared" si="16"/>
        <v>33.5</v>
      </c>
      <c r="I576" s="187">
        <v>16</v>
      </c>
      <c r="J576" s="188">
        <f t="shared" si="17"/>
        <v>536</v>
      </c>
      <c r="K576" s="46"/>
    </row>
    <row r="577" spans="1:11" s="24" customFormat="1" ht="23.1" customHeight="1">
      <c r="A577" s="170">
        <f>IF($B577="","",MAX($A$3:A576)+1)</f>
        <v>574</v>
      </c>
      <c r="B577" s="176">
        <v>6633</v>
      </c>
      <c r="C577" s="177" t="s">
        <v>1137</v>
      </c>
      <c r="D577" s="285" t="s">
        <v>112</v>
      </c>
      <c r="E577" s="281">
        <v>2</v>
      </c>
      <c r="F577" s="283">
        <f>IF($B577="","",SUMIFS('Daily Inward'!$G:$G,'Daily Inward'!$C:$C,$B577,'Daily Inward'!$E:$E,"Non Inventory"))</f>
        <v>0</v>
      </c>
      <c r="G577" s="51">
        <f>IF($B577="","",SUMIFS('Daily Issuance'!$G:$G,'Daily Issuance'!$C:$C,$B577,'Daily Issuance'!$E:$E,"Non Inventory"))</f>
        <v>0</v>
      </c>
      <c r="H577" s="51">
        <f t="shared" si="16"/>
        <v>2</v>
      </c>
      <c r="I577" s="187">
        <v>79886</v>
      </c>
      <c r="J577" s="188">
        <f t="shared" si="17"/>
        <v>159772</v>
      </c>
      <c r="K577" s="46"/>
    </row>
    <row r="578" spans="1:11" s="24" customFormat="1" ht="23.1" customHeight="1">
      <c r="A578" s="170">
        <f>IF($B578="","",MAX($A$3:A577)+1)</f>
        <v>575</v>
      </c>
      <c r="B578" s="176">
        <v>9201</v>
      </c>
      <c r="C578" s="177" t="s">
        <v>1138</v>
      </c>
      <c r="D578" s="285" t="s">
        <v>338</v>
      </c>
      <c r="E578" s="281">
        <v>15</v>
      </c>
      <c r="F578" s="283">
        <f>IF($B578="","",SUMIFS('Daily Inward'!$G:$G,'Daily Inward'!$C:$C,$B578,'Daily Inward'!$E:$E,"Non Inventory"))</f>
        <v>0</v>
      </c>
      <c r="G578" s="51">
        <f>IF($B578="","",SUMIFS('Daily Issuance'!$G:$G,'Daily Issuance'!$C:$C,$B578,'Daily Issuance'!$E:$E,"Non Inventory"))</f>
        <v>0</v>
      </c>
      <c r="H578" s="51">
        <f t="shared" ref="H578:H637" si="18">IF($B578="","",N(E578)+N(F578)-N(G578))</f>
        <v>15</v>
      </c>
      <c r="I578" s="187">
        <v>790</v>
      </c>
      <c r="J578" s="188">
        <f t="shared" ref="J578:J637" si="19">IF($B578="","",H578*I578)</f>
        <v>11850</v>
      </c>
      <c r="K578" s="46"/>
    </row>
    <row r="579" spans="1:11" s="24" customFormat="1" ht="23.1" customHeight="1">
      <c r="A579" s="170">
        <f>IF($B579="","",MAX($A$3:A578)+1)</f>
        <v>576</v>
      </c>
      <c r="B579" s="176">
        <v>9504</v>
      </c>
      <c r="C579" s="177" t="s">
        <v>1139</v>
      </c>
      <c r="D579" s="285" t="s">
        <v>112</v>
      </c>
      <c r="E579" s="281">
        <v>1</v>
      </c>
      <c r="F579" s="283">
        <f>IF($B579="","",SUMIFS('Daily Inward'!$G:$G,'Daily Inward'!$C:$C,$B579,'Daily Inward'!$E:$E,"Non Inventory"))</f>
        <v>0</v>
      </c>
      <c r="G579" s="51">
        <f>IF($B579="","",SUMIFS('Daily Issuance'!$G:$G,'Daily Issuance'!$C:$C,$B579,'Daily Issuance'!$E:$E,"Non Inventory"))</f>
        <v>0</v>
      </c>
      <c r="H579" s="51">
        <f t="shared" si="18"/>
        <v>1</v>
      </c>
      <c r="I579" s="187">
        <v>4750</v>
      </c>
      <c r="J579" s="188">
        <f t="shared" si="19"/>
        <v>4750</v>
      </c>
      <c r="K579" s="46"/>
    </row>
    <row r="580" spans="1:11" s="24" customFormat="1" ht="23.1" customHeight="1">
      <c r="A580" s="170">
        <f>IF($B580="","",MAX($A$3:A579)+1)</f>
        <v>577</v>
      </c>
      <c r="B580" s="176">
        <v>9837</v>
      </c>
      <c r="C580" s="177" t="s">
        <v>1140</v>
      </c>
      <c r="D580" s="285" t="s">
        <v>338</v>
      </c>
      <c r="E580" s="281">
        <v>6</v>
      </c>
      <c r="F580" s="283">
        <f>IF($B580="","",SUMIFS('Daily Inward'!$G:$G,'Daily Inward'!$C:$C,$B580,'Daily Inward'!$E:$E,"Non Inventory"))</f>
        <v>20</v>
      </c>
      <c r="G580" s="51">
        <f>IF($B580="","",SUMIFS('Daily Issuance'!$G:$G,'Daily Issuance'!$C:$C,$B580,'Daily Issuance'!$E:$E,"Non Inventory"))</f>
        <v>1</v>
      </c>
      <c r="H580" s="51">
        <f t="shared" si="18"/>
        <v>25</v>
      </c>
      <c r="I580" s="187">
        <v>3200</v>
      </c>
      <c r="J580" s="188">
        <f t="shared" si="19"/>
        <v>80000</v>
      </c>
      <c r="K580" s="46"/>
    </row>
    <row r="581" spans="1:11" s="24" customFormat="1" ht="23.1" customHeight="1">
      <c r="A581" s="170">
        <f>IF($B581="","",MAX($A$3:A580)+1)</f>
        <v>578</v>
      </c>
      <c r="B581" s="176">
        <v>10804</v>
      </c>
      <c r="C581" s="177" t="s">
        <v>1141</v>
      </c>
      <c r="D581" s="285" t="s">
        <v>338</v>
      </c>
      <c r="E581" s="281">
        <v>20</v>
      </c>
      <c r="F581" s="283">
        <f>IF($B581="","",SUMIFS('Daily Inward'!$G:$G,'Daily Inward'!$C:$C,$B581,'Daily Inward'!$E:$E,"Non Inventory"))</f>
        <v>0</v>
      </c>
      <c r="G581" s="51">
        <f>IF($B581="","",SUMIFS('Daily Issuance'!$G:$G,'Daily Issuance'!$C:$C,$B581,'Daily Issuance'!$E:$E,"Non Inventory"))</f>
        <v>0</v>
      </c>
      <c r="H581" s="51">
        <f t="shared" si="18"/>
        <v>20</v>
      </c>
      <c r="I581" s="187">
        <v>2400</v>
      </c>
      <c r="J581" s="188">
        <f t="shared" si="19"/>
        <v>48000</v>
      </c>
      <c r="K581" s="46"/>
    </row>
    <row r="582" spans="1:11" s="24" customFormat="1" ht="23.1" customHeight="1">
      <c r="A582" s="170">
        <f>IF($B582="","",MAX($A$3:A581)+1)</f>
        <v>579</v>
      </c>
      <c r="B582" s="176">
        <v>11590</v>
      </c>
      <c r="C582" s="177" t="s">
        <v>1142</v>
      </c>
      <c r="D582" s="285" t="s">
        <v>338</v>
      </c>
      <c r="E582" s="281">
        <v>15</v>
      </c>
      <c r="F582" s="283">
        <f>IF($B582="","",SUMIFS('Daily Inward'!$G:$G,'Daily Inward'!$C:$C,$B582,'Daily Inward'!$E:$E,"Non Inventory"))</f>
        <v>0</v>
      </c>
      <c r="G582" s="51">
        <f>IF($B582="","",SUMIFS('Daily Issuance'!$G:$G,'Daily Issuance'!$C:$C,$B582,'Daily Issuance'!$E:$E,"Non Inventory"))</f>
        <v>0</v>
      </c>
      <c r="H582" s="51">
        <f t="shared" si="18"/>
        <v>15</v>
      </c>
      <c r="I582" s="187">
        <v>855</v>
      </c>
      <c r="J582" s="188">
        <f t="shared" si="19"/>
        <v>12825</v>
      </c>
      <c r="K582" s="46"/>
    </row>
    <row r="583" spans="1:11" s="24" customFormat="1" ht="23.1" customHeight="1">
      <c r="A583" s="170">
        <f>IF($B583="","",MAX($A$3:A582)+1)</f>
        <v>580</v>
      </c>
      <c r="B583" s="176">
        <v>14886</v>
      </c>
      <c r="C583" s="177" t="s">
        <v>1143</v>
      </c>
      <c r="D583" s="285" t="s">
        <v>338</v>
      </c>
      <c r="E583" s="281">
        <v>95</v>
      </c>
      <c r="F583" s="283">
        <f>IF($B583="","",SUMIFS('Daily Inward'!$G:$G,'Daily Inward'!$C:$C,$B583,'Daily Inward'!$E:$E,"Non Inventory"))</f>
        <v>0</v>
      </c>
      <c r="G583" s="51">
        <f>IF($B583="","",SUMIFS('Daily Issuance'!$G:$G,'Daily Issuance'!$C:$C,$B583,'Daily Issuance'!$E:$E,"Non Inventory"))</f>
        <v>0</v>
      </c>
      <c r="H583" s="51">
        <f t="shared" si="18"/>
        <v>95</v>
      </c>
      <c r="I583" s="187">
        <v>95</v>
      </c>
      <c r="J583" s="188">
        <f t="shared" si="19"/>
        <v>9025</v>
      </c>
      <c r="K583" s="46"/>
    </row>
    <row r="584" spans="1:11" s="24" customFormat="1" ht="23.1" customHeight="1">
      <c r="A584" s="170">
        <f>IF($B584="","",MAX($A$3:A583)+1)</f>
        <v>581</v>
      </c>
      <c r="B584" s="176">
        <v>16325</v>
      </c>
      <c r="C584" s="177" t="s">
        <v>1144</v>
      </c>
      <c r="D584" s="285" t="s">
        <v>338</v>
      </c>
      <c r="E584" s="281">
        <v>13</v>
      </c>
      <c r="F584" s="283">
        <f>IF($B584="","",SUMIFS('Daily Inward'!$G:$G,'Daily Inward'!$C:$C,$B584,'Daily Inward'!$E:$E,"Non Inventory"))</f>
        <v>0</v>
      </c>
      <c r="G584" s="51">
        <f>IF($B584="","",SUMIFS('Daily Issuance'!$G:$G,'Daily Issuance'!$C:$C,$B584,'Daily Issuance'!$E:$E,"Non Inventory"))</f>
        <v>0</v>
      </c>
      <c r="H584" s="51">
        <f t="shared" si="18"/>
        <v>13</v>
      </c>
      <c r="I584" s="187">
        <v>343</v>
      </c>
      <c r="J584" s="188">
        <f t="shared" si="19"/>
        <v>4459</v>
      </c>
      <c r="K584" s="46"/>
    </row>
    <row r="585" spans="1:11" s="24" customFormat="1" ht="23.1" customHeight="1">
      <c r="A585" s="170">
        <f>IF($B585="","",MAX($A$3:A584)+1)</f>
        <v>582</v>
      </c>
      <c r="B585" s="176">
        <v>16488</v>
      </c>
      <c r="C585" s="177" t="s">
        <v>1145</v>
      </c>
      <c r="D585" s="285" t="s">
        <v>672</v>
      </c>
      <c r="E585" s="281">
        <v>201</v>
      </c>
      <c r="F585" s="283">
        <f>IF($B585="","",SUMIFS('Daily Inward'!$G:$G,'Daily Inward'!$C:$C,$B585,'Daily Inward'!$E:$E,"Non Inventory"))</f>
        <v>0</v>
      </c>
      <c r="G585" s="51">
        <f>IF($B585="","",SUMIFS('Daily Issuance'!$G:$G,'Daily Issuance'!$C:$C,$B585,'Daily Issuance'!$E:$E,"Non Inventory"))</f>
        <v>0</v>
      </c>
      <c r="H585" s="51">
        <f t="shared" si="18"/>
        <v>201</v>
      </c>
      <c r="I585" s="187">
        <v>70</v>
      </c>
      <c r="J585" s="188">
        <f t="shared" si="19"/>
        <v>14070</v>
      </c>
      <c r="K585" s="46"/>
    </row>
    <row r="586" spans="1:11" s="24" customFormat="1" ht="23.1" customHeight="1">
      <c r="A586" s="170">
        <f>IF($B586="","",MAX($A$3:A585)+1)</f>
        <v>583</v>
      </c>
      <c r="B586" s="176">
        <v>18525</v>
      </c>
      <c r="C586" s="177" t="s">
        <v>1146</v>
      </c>
      <c r="D586" s="285" t="s">
        <v>615</v>
      </c>
      <c r="E586" s="281">
        <v>52</v>
      </c>
      <c r="F586" s="283">
        <f>IF($B586="","",SUMIFS('Daily Inward'!$G:$G,'Daily Inward'!$C:$C,$B586,'Daily Inward'!$E:$E,"Non Inventory"))</f>
        <v>0</v>
      </c>
      <c r="G586" s="51">
        <f>IF($B586="","",SUMIFS('Daily Issuance'!$G:$G,'Daily Issuance'!$C:$C,$B586,'Daily Issuance'!$E:$E,"Non Inventory"))</f>
        <v>0</v>
      </c>
      <c r="H586" s="51">
        <f t="shared" si="18"/>
        <v>52</v>
      </c>
      <c r="I586" s="187">
        <v>1575</v>
      </c>
      <c r="J586" s="188">
        <f t="shared" si="19"/>
        <v>81900</v>
      </c>
      <c r="K586" s="46"/>
    </row>
    <row r="587" spans="1:11" s="24" customFormat="1" ht="23.1" customHeight="1">
      <c r="A587" s="170">
        <f>IF($B587="","",MAX($A$3:A586)+1)</f>
        <v>584</v>
      </c>
      <c r="B587" s="176">
        <v>20901</v>
      </c>
      <c r="C587" s="177" t="s">
        <v>1147</v>
      </c>
      <c r="D587" s="285" t="s">
        <v>338</v>
      </c>
      <c r="E587" s="281">
        <v>2</v>
      </c>
      <c r="F587" s="283">
        <f>IF($B587="","",SUMIFS('Daily Inward'!$G:$G,'Daily Inward'!$C:$C,$B587,'Daily Inward'!$E:$E,"Non Inventory"))</f>
        <v>0</v>
      </c>
      <c r="G587" s="51">
        <f>IF($B587="","",SUMIFS('Daily Issuance'!$G:$G,'Daily Issuance'!$C:$C,$B587,'Daily Issuance'!$E:$E,"Non Inventory"))</f>
        <v>0</v>
      </c>
      <c r="H587" s="51">
        <f t="shared" si="18"/>
        <v>2</v>
      </c>
      <c r="I587" s="187">
        <v>150</v>
      </c>
      <c r="J587" s="188">
        <f t="shared" si="19"/>
        <v>300</v>
      </c>
      <c r="K587" s="46"/>
    </row>
    <row r="588" spans="1:11" s="24" customFormat="1" ht="23.1" customHeight="1">
      <c r="A588" s="170">
        <f>IF($B588="","",MAX($A$3:A587)+1)</f>
        <v>585</v>
      </c>
      <c r="B588" s="176">
        <v>21802</v>
      </c>
      <c r="C588" s="177" t="s">
        <v>1148</v>
      </c>
      <c r="D588" s="285" t="s">
        <v>338</v>
      </c>
      <c r="E588" s="281">
        <v>15</v>
      </c>
      <c r="F588" s="283">
        <f>IF($B588="","",SUMIFS('Daily Inward'!$G:$G,'Daily Inward'!$C:$C,$B588,'Daily Inward'!$E:$E,"Non Inventory"))</f>
        <v>0</v>
      </c>
      <c r="G588" s="51">
        <f>IF($B588="","",SUMIFS('Daily Issuance'!$G:$G,'Daily Issuance'!$C:$C,$B588,'Daily Issuance'!$E:$E,"Non Inventory"))</f>
        <v>0</v>
      </c>
      <c r="H588" s="51">
        <f t="shared" si="18"/>
        <v>15</v>
      </c>
      <c r="I588" s="187">
        <v>750</v>
      </c>
      <c r="J588" s="188">
        <f t="shared" si="19"/>
        <v>11250</v>
      </c>
      <c r="K588" s="46"/>
    </row>
    <row r="589" spans="1:11" s="24" customFormat="1" ht="23.1" customHeight="1">
      <c r="A589" s="170">
        <f>IF($B589="","",MAX($A$3:A588)+1)</f>
        <v>586</v>
      </c>
      <c r="B589" s="176">
        <v>27222</v>
      </c>
      <c r="C589" s="177" t="s">
        <v>1149</v>
      </c>
      <c r="D589" s="285" t="s">
        <v>112</v>
      </c>
      <c r="E589" s="281">
        <v>8</v>
      </c>
      <c r="F589" s="283">
        <f>IF($B589="","",SUMIFS('Daily Inward'!$G:$G,'Daily Inward'!$C:$C,$B589,'Daily Inward'!$E:$E,"Non Inventory"))</f>
        <v>0</v>
      </c>
      <c r="G589" s="51">
        <f>IF($B589="","",SUMIFS('Daily Issuance'!$G:$G,'Daily Issuance'!$C:$C,$B589,'Daily Issuance'!$E:$E,"Non Inventory"))</f>
        <v>0</v>
      </c>
      <c r="H589" s="51">
        <f t="shared" si="18"/>
        <v>8</v>
      </c>
      <c r="I589" s="187">
        <v>1315</v>
      </c>
      <c r="J589" s="188">
        <f t="shared" si="19"/>
        <v>10520</v>
      </c>
      <c r="K589" s="46"/>
    </row>
    <row r="590" spans="1:11" s="24" customFormat="1" ht="23.1" customHeight="1">
      <c r="A590" s="170">
        <f>IF($B590="","",MAX($A$3:A589)+1)</f>
        <v>587</v>
      </c>
      <c r="B590" s="176">
        <v>24072</v>
      </c>
      <c r="C590" s="177" t="s">
        <v>1150</v>
      </c>
      <c r="D590" s="285" t="s">
        <v>817</v>
      </c>
      <c r="E590" s="281">
        <v>5</v>
      </c>
      <c r="F590" s="283">
        <f>IF($B590="","",SUMIFS('Daily Inward'!$G:$G,'Daily Inward'!$C:$C,$B590,'Daily Inward'!$E:$E,"Non Inventory"))</f>
        <v>0</v>
      </c>
      <c r="G590" s="51">
        <f>IF($B590="","",SUMIFS('Daily Issuance'!$G:$G,'Daily Issuance'!$C:$C,$B590,'Daily Issuance'!$E:$E,"Non Inventory"))</f>
        <v>0</v>
      </c>
      <c r="H590" s="51">
        <f t="shared" si="18"/>
        <v>5</v>
      </c>
      <c r="I590" s="187">
        <v>4450</v>
      </c>
      <c r="J590" s="188">
        <f t="shared" si="19"/>
        <v>22250</v>
      </c>
      <c r="K590" s="46"/>
    </row>
    <row r="591" spans="1:11" s="24" customFormat="1" ht="23.1" customHeight="1">
      <c r="A591" s="170">
        <f>IF($B591="","",MAX($A$3:A590)+1)</f>
        <v>588</v>
      </c>
      <c r="B591" s="176">
        <v>6746</v>
      </c>
      <c r="C591" s="177" t="s">
        <v>1151</v>
      </c>
      <c r="D591" s="285" t="s">
        <v>615</v>
      </c>
      <c r="E591" s="281">
        <v>280</v>
      </c>
      <c r="F591" s="283">
        <f>IF($B591="","",SUMIFS('Daily Inward'!$G:$G,'Daily Inward'!$C:$C,$B591,'Daily Inward'!$E:$E,"Non Inventory"))</f>
        <v>0</v>
      </c>
      <c r="G591" s="51">
        <f>IF($B591="","",SUMIFS('Daily Issuance'!$G:$G,'Daily Issuance'!$C:$C,$B591,'Daily Issuance'!$E:$E,"Non Inventory"))</f>
        <v>0</v>
      </c>
      <c r="H591" s="51">
        <f t="shared" si="18"/>
        <v>280</v>
      </c>
      <c r="I591" s="187">
        <v>62</v>
      </c>
      <c r="J591" s="188">
        <f t="shared" si="19"/>
        <v>17360</v>
      </c>
      <c r="K591" s="46"/>
    </row>
    <row r="592" spans="1:11" s="24" customFormat="1" ht="23.1" customHeight="1">
      <c r="A592" s="170">
        <f>IF($B592="","",MAX($A$3:A591)+1)</f>
        <v>589</v>
      </c>
      <c r="B592" s="176">
        <v>25519</v>
      </c>
      <c r="C592" s="177" t="s">
        <v>1152</v>
      </c>
      <c r="D592" s="285" t="s">
        <v>112</v>
      </c>
      <c r="E592" s="281">
        <v>0</v>
      </c>
      <c r="F592" s="283">
        <f>IF($B592="","",SUMIFS('Daily Inward'!$G:$G,'Daily Inward'!$C:$C,$B592,'Daily Inward'!$E:$E,"Non Inventory"))</f>
        <v>1</v>
      </c>
      <c r="G592" s="51">
        <f>IF($B592="","",SUMIFS('Daily Issuance'!$G:$G,'Daily Issuance'!$C:$C,$B592,'Daily Issuance'!$E:$E,"Non Inventory"))</f>
        <v>0</v>
      </c>
      <c r="H592" s="51">
        <f t="shared" si="18"/>
        <v>1</v>
      </c>
      <c r="I592" s="187">
        <v>9200</v>
      </c>
      <c r="J592" s="188">
        <f t="shared" si="19"/>
        <v>9200</v>
      </c>
      <c r="K592" s="46"/>
    </row>
    <row r="593" spans="1:11" s="24" customFormat="1" ht="23.1" customHeight="1">
      <c r="A593" s="170">
        <f>IF($B593="","",MAX($A$3:A592)+1)</f>
        <v>590</v>
      </c>
      <c r="B593" s="176">
        <v>19525</v>
      </c>
      <c r="C593" s="177" t="s">
        <v>1153</v>
      </c>
      <c r="D593" s="285" t="s">
        <v>112</v>
      </c>
      <c r="E593" s="281">
        <v>1</v>
      </c>
      <c r="F593" s="283">
        <f>IF($B593="","",SUMIFS('Daily Inward'!$G:$G,'Daily Inward'!$C:$C,$B593,'Daily Inward'!$E:$E,"Non Inventory"))</f>
        <v>0</v>
      </c>
      <c r="G593" s="51">
        <f>IF($B593="","",SUMIFS('Daily Issuance'!$G:$G,'Daily Issuance'!$C:$C,$B593,'Daily Issuance'!$E:$E,"Non Inventory"))</f>
        <v>0</v>
      </c>
      <c r="H593" s="51">
        <f t="shared" si="18"/>
        <v>1</v>
      </c>
      <c r="I593" s="187">
        <v>2100</v>
      </c>
      <c r="J593" s="188">
        <f t="shared" si="19"/>
        <v>2100</v>
      </c>
      <c r="K593" s="46"/>
    </row>
    <row r="594" spans="1:11" s="24" customFormat="1" ht="23.1" customHeight="1">
      <c r="A594" s="170">
        <f>IF($B594="","",MAX($A$3:A593)+1)</f>
        <v>591</v>
      </c>
      <c r="B594" s="176">
        <v>14323</v>
      </c>
      <c r="C594" s="177" t="s">
        <v>1154</v>
      </c>
      <c r="D594" s="285" t="s">
        <v>112</v>
      </c>
      <c r="E594" s="281">
        <v>1</v>
      </c>
      <c r="F594" s="283">
        <f>IF($B594="","",SUMIFS('Daily Inward'!$G:$G,'Daily Inward'!$C:$C,$B594,'Daily Inward'!$E:$E,"Non Inventory"))</f>
        <v>0</v>
      </c>
      <c r="G594" s="51">
        <f>IF($B594="","",SUMIFS('Daily Issuance'!$G:$G,'Daily Issuance'!$C:$C,$B594,'Daily Issuance'!$E:$E,"Non Inventory"))</f>
        <v>0</v>
      </c>
      <c r="H594" s="51">
        <f t="shared" si="18"/>
        <v>1</v>
      </c>
      <c r="I594" s="187">
        <v>14000</v>
      </c>
      <c r="J594" s="188">
        <f t="shared" si="19"/>
        <v>14000</v>
      </c>
      <c r="K594" s="46"/>
    </row>
    <row r="595" spans="1:11" s="24" customFormat="1" ht="23.1" customHeight="1">
      <c r="A595" s="170">
        <f>IF($B595="","",MAX($A$3:A594)+1)</f>
        <v>592</v>
      </c>
      <c r="B595" s="176">
        <v>7363</v>
      </c>
      <c r="C595" s="177" t="s">
        <v>1155</v>
      </c>
      <c r="D595" s="285" t="s">
        <v>112</v>
      </c>
      <c r="E595" s="281">
        <v>1</v>
      </c>
      <c r="F595" s="283">
        <f>IF($B595="","",SUMIFS('Daily Inward'!$G:$G,'Daily Inward'!$C:$C,$B595,'Daily Inward'!$E:$E,"Non Inventory"))</f>
        <v>0</v>
      </c>
      <c r="G595" s="51">
        <f>IF($B595="","",SUMIFS('Daily Issuance'!$G:$G,'Daily Issuance'!$C:$C,$B595,'Daily Issuance'!$E:$E,"Non Inventory"))</f>
        <v>0</v>
      </c>
      <c r="H595" s="51">
        <f t="shared" si="18"/>
        <v>1</v>
      </c>
      <c r="I595" s="187">
        <v>3650</v>
      </c>
      <c r="J595" s="188">
        <f t="shared" si="19"/>
        <v>3650</v>
      </c>
      <c r="K595" s="46"/>
    </row>
    <row r="596" spans="1:11" s="24" customFormat="1" ht="23.1" customHeight="1">
      <c r="A596" s="170">
        <f>IF($B596="","",MAX($A$3:A595)+1)</f>
        <v>593</v>
      </c>
      <c r="B596" s="176">
        <v>5558</v>
      </c>
      <c r="C596" s="177" t="s">
        <v>1156</v>
      </c>
      <c r="D596" s="285" t="s">
        <v>112</v>
      </c>
      <c r="E596" s="281">
        <v>0</v>
      </c>
      <c r="F596" s="283">
        <f>IF($B596="","",SUMIFS('Daily Inward'!$G:$G,'Daily Inward'!$C:$C,$B596,'Daily Inward'!$E:$E,"Non Inventory"))</f>
        <v>0</v>
      </c>
      <c r="G596" s="51">
        <f>IF($B596="","",SUMIFS('Daily Issuance'!$G:$G,'Daily Issuance'!$C:$C,$B596,'Daily Issuance'!$E:$E,"Non Inventory"))</f>
        <v>0</v>
      </c>
      <c r="H596" s="51">
        <f t="shared" si="18"/>
        <v>0</v>
      </c>
      <c r="I596" s="187">
        <v>4150</v>
      </c>
      <c r="J596" s="188">
        <f t="shared" si="19"/>
        <v>0</v>
      </c>
      <c r="K596" s="46"/>
    </row>
    <row r="597" spans="1:11" s="24" customFormat="1" ht="23.1" customHeight="1">
      <c r="A597" s="170">
        <f>IF($B597="","",MAX($A$3:A596)+1)</f>
        <v>594</v>
      </c>
      <c r="B597" s="176">
        <v>19064</v>
      </c>
      <c r="C597" s="177" t="s">
        <v>1157</v>
      </c>
      <c r="D597" s="285" t="s">
        <v>615</v>
      </c>
      <c r="E597" s="281">
        <v>18</v>
      </c>
      <c r="F597" s="283">
        <f>IF($B597="","",SUMIFS('Daily Inward'!$G:$G,'Daily Inward'!$C:$C,$B597,'Daily Inward'!$E:$E,"Non Inventory"))</f>
        <v>0</v>
      </c>
      <c r="G597" s="51">
        <f>IF($B597="","",SUMIFS('Daily Issuance'!$G:$G,'Daily Issuance'!$C:$C,$B597,'Daily Issuance'!$E:$E,"Non Inventory"))</f>
        <v>0</v>
      </c>
      <c r="H597" s="51">
        <f t="shared" si="18"/>
        <v>18</v>
      </c>
      <c r="I597" s="187">
        <v>1850</v>
      </c>
      <c r="J597" s="188">
        <f t="shared" si="19"/>
        <v>33300</v>
      </c>
      <c r="K597" s="46"/>
    </row>
    <row r="598" spans="1:11" s="24" customFormat="1" ht="23.1" customHeight="1">
      <c r="A598" s="170">
        <f>IF($B598="","",MAX($A$3:A597)+1)</f>
        <v>595</v>
      </c>
      <c r="B598" s="176">
        <v>6530</v>
      </c>
      <c r="C598" s="177" t="s">
        <v>1158</v>
      </c>
      <c r="D598" s="285" t="s">
        <v>112</v>
      </c>
      <c r="E598" s="281">
        <v>6</v>
      </c>
      <c r="F598" s="283">
        <f>IF($B598="","",SUMIFS('Daily Inward'!$G:$G,'Daily Inward'!$C:$C,$B598,'Daily Inward'!$E:$E,"Non Inventory"))</f>
        <v>0</v>
      </c>
      <c r="G598" s="51">
        <f>IF($B598="","",SUMIFS('Daily Issuance'!$G:$G,'Daily Issuance'!$C:$C,$B598,'Daily Issuance'!$E:$E,"Non Inventory"))</f>
        <v>0</v>
      </c>
      <c r="H598" s="51">
        <f t="shared" si="18"/>
        <v>6</v>
      </c>
      <c r="I598" s="187">
        <v>286</v>
      </c>
      <c r="J598" s="188">
        <f t="shared" si="19"/>
        <v>1716</v>
      </c>
      <c r="K598" s="46"/>
    </row>
    <row r="599" spans="1:11" s="24" customFormat="1" ht="23.1" customHeight="1">
      <c r="A599" s="170">
        <f>IF($B599="","",MAX($A$3:A598)+1)</f>
        <v>596</v>
      </c>
      <c r="B599" s="176">
        <v>14658</v>
      </c>
      <c r="C599" s="177" t="s">
        <v>1159</v>
      </c>
      <c r="D599" s="285" t="s">
        <v>112</v>
      </c>
      <c r="E599" s="281">
        <v>1</v>
      </c>
      <c r="F599" s="283">
        <f>IF($B599="","",SUMIFS('Daily Inward'!$G:$G,'Daily Inward'!$C:$C,$B599,'Daily Inward'!$E:$E,"Non Inventory"))</f>
        <v>1</v>
      </c>
      <c r="G599" s="51">
        <f>IF($B599="","",SUMIFS('Daily Issuance'!$G:$G,'Daily Issuance'!$C:$C,$B599,'Daily Issuance'!$E:$E,"Non Inventory"))</f>
        <v>2</v>
      </c>
      <c r="H599" s="51">
        <f t="shared" si="18"/>
        <v>0</v>
      </c>
      <c r="I599" s="187">
        <v>42318</v>
      </c>
      <c r="J599" s="188">
        <f t="shared" si="19"/>
        <v>0</v>
      </c>
      <c r="K599" s="46"/>
    </row>
    <row r="600" spans="1:11" s="24" customFormat="1" ht="23.1" customHeight="1">
      <c r="A600" s="170">
        <f>IF($B600="","",MAX($A$3:A599)+1)</f>
        <v>597</v>
      </c>
      <c r="B600" s="176">
        <v>27049</v>
      </c>
      <c r="C600" s="177" t="s">
        <v>1160</v>
      </c>
      <c r="D600" s="285" t="s">
        <v>1311</v>
      </c>
      <c r="E600" s="281">
        <v>260</v>
      </c>
      <c r="F600" s="283">
        <f>IF($B600="","",SUMIFS('Daily Inward'!$G:$G,'Daily Inward'!$C:$C,$B600,'Daily Inward'!$E:$E,"Non Inventory"))</f>
        <v>0</v>
      </c>
      <c r="G600" s="51">
        <f>IF($B600="","",SUMIFS('Daily Issuance'!$G:$G,'Daily Issuance'!$C:$C,$B600,'Daily Issuance'!$E:$E,"Non Inventory"))</f>
        <v>66</v>
      </c>
      <c r="H600" s="51">
        <f t="shared" si="18"/>
        <v>194</v>
      </c>
      <c r="I600" s="187">
        <v>467</v>
      </c>
      <c r="J600" s="188">
        <f t="shared" si="19"/>
        <v>90598</v>
      </c>
      <c r="K600" s="46"/>
    </row>
    <row r="601" spans="1:11" s="24" customFormat="1" ht="23.1" customHeight="1">
      <c r="A601" s="170">
        <f>IF($B601="","",MAX($A$3:A600)+1)</f>
        <v>598</v>
      </c>
      <c r="B601" s="176">
        <v>6331</v>
      </c>
      <c r="C601" s="177" t="s">
        <v>1161</v>
      </c>
      <c r="D601" s="285" t="s">
        <v>112</v>
      </c>
      <c r="E601" s="281">
        <v>9</v>
      </c>
      <c r="F601" s="283">
        <f>IF($B601="","",SUMIFS('Daily Inward'!$G:$G,'Daily Inward'!$C:$C,$B601,'Daily Inward'!$E:$E,"Non Inventory"))</f>
        <v>0</v>
      </c>
      <c r="G601" s="51">
        <f>IF($B601="","",SUMIFS('Daily Issuance'!$G:$G,'Daily Issuance'!$C:$C,$B601,'Daily Issuance'!$E:$E,"Non Inventory"))</f>
        <v>3</v>
      </c>
      <c r="H601" s="51">
        <f t="shared" si="18"/>
        <v>6</v>
      </c>
      <c r="I601" s="187">
        <v>57</v>
      </c>
      <c r="J601" s="188">
        <f t="shared" si="19"/>
        <v>342</v>
      </c>
      <c r="K601" s="46"/>
    </row>
    <row r="602" spans="1:11" s="24" customFormat="1" ht="23.1" customHeight="1">
      <c r="A602" s="170">
        <f>IF($B602="","",MAX($A$3:A601)+1)</f>
        <v>599</v>
      </c>
      <c r="B602" s="176">
        <v>6302</v>
      </c>
      <c r="C602" s="177" t="s">
        <v>1162</v>
      </c>
      <c r="D602" s="285" t="s">
        <v>112</v>
      </c>
      <c r="E602" s="281">
        <v>9</v>
      </c>
      <c r="F602" s="283">
        <f>IF($B602="","",SUMIFS('Daily Inward'!$G:$G,'Daily Inward'!$C:$C,$B602,'Daily Inward'!$E:$E,"Non Inventory"))</f>
        <v>0</v>
      </c>
      <c r="G602" s="51">
        <f>IF($B602="","",SUMIFS('Daily Issuance'!$G:$G,'Daily Issuance'!$C:$C,$B602,'Daily Issuance'!$E:$E,"Non Inventory"))</f>
        <v>2</v>
      </c>
      <c r="H602" s="51">
        <f t="shared" si="18"/>
        <v>7</v>
      </c>
      <c r="I602" s="187">
        <v>57</v>
      </c>
      <c r="J602" s="188">
        <f t="shared" si="19"/>
        <v>399</v>
      </c>
      <c r="K602" s="46"/>
    </row>
    <row r="603" spans="1:11" s="24" customFormat="1" ht="23.1" customHeight="1">
      <c r="A603" s="170">
        <f>IF($B603="","",MAX($A$3:A602)+1)</f>
        <v>600</v>
      </c>
      <c r="B603" s="176">
        <v>12359</v>
      </c>
      <c r="C603" s="177" t="s">
        <v>1163</v>
      </c>
      <c r="D603" s="285" t="s">
        <v>112</v>
      </c>
      <c r="E603" s="281">
        <v>0</v>
      </c>
      <c r="F603" s="283">
        <f>IF($B603="","",SUMIFS('Daily Inward'!$G:$G,'Daily Inward'!$C:$C,$B603,'Daily Inward'!$E:$E,"Non Inventory"))</f>
        <v>6</v>
      </c>
      <c r="G603" s="51">
        <f>IF($B603="","",SUMIFS('Daily Issuance'!$G:$G,'Daily Issuance'!$C:$C,$B603,'Daily Issuance'!$E:$E,"Non Inventory"))</f>
        <v>0</v>
      </c>
      <c r="H603" s="51">
        <f t="shared" si="18"/>
        <v>6</v>
      </c>
      <c r="I603" s="187">
        <v>400</v>
      </c>
      <c r="J603" s="188">
        <f t="shared" si="19"/>
        <v>2400</v>
      </c>
      <c r="K603" s="46"/>
    </row>
    <row r="604" spans="1:11" s="24" customFormat="1" ht="23.1" customHeight="1">
      <c r="A604" s="170">
        <f>IF($B604="","",MAX($A$3:A603)+1)</f>
        <v>601</v>
      </c>
      <c r="B604" s="176">
        <v>6481</v>
      </c>
      <c r="C604" s="177" t="s">
        <v>1164</v>
      </c>
      <c r="D604" s="285" t="s">
        <v>112</v>
      </c>
      <c r="E604" s="281">
        <v>5</v>
      </c>
      <c r="F604" s="283">
        <f>IF($B604="","",SUMIFS('Daily Inward'!$G:$G,'Daily Inward'!$C:$C,$B604,'Daily Inward'!$E:$E,"Non Inventory"))</f>
        <v>0</v>
      </c>
      <c r="G604" s="51">
        <f>IF($B604="","",SUMIFS('Daily Issuance'!$G:$G,'Daily Issuance'!$C:$C,$B604,'Daily Issuance'!$E:$E,"Non Inventory"))</f>
        <v>0</v>
      </c>
      <c r="H604" s="51">
        <f t="shared" si="18"/>
        <v>5</v>
      </c>
      <c r="I604" s="187">
        <v>4750</v>
      </c>
      <c r="J604" s="188">
        <f t="shared" si="19"/>
        <v>23750</v>
      </c>
      <c r="K604" s="46"/>
    </row>
    <row r="605" spans="1:11" s="24" customFormat="1" ht="23.1" customHeight="1">
      <c r="A605" s="170">
        <f>IF($B605="","",MAX($A$3:A604)+1)</f>
        <v>602</v>
      </c>
      <c r="B605" s="176">
        <v>6062</v>
      </c>
      <c r="C605" s="177" t="s">
        <v>1165</v>
      </c>
      <c r="D605" s="285" t="s">
        <v>908</v>
      </c>
      <c r="E605" s="281">
        <v>3</v>
      </c>
      <c r="F605" s="283">
        <f>IF($B605="","",SUMIFS('Daily Inward'!$G:$G,'Daily Inward'!$C:$C,$B605,'Daily Inward'!$E:$E,"Non Inventory"))</f>
        <v>0</v>
      </c>
      <c r="G605" s="51">
        <f>IF($B605="","",SUMIFS('Daily Issuance'!$G:$G,'Daily Issuance'!$C:$C,$B605,'Daily Issuance'!$E:$E,"Non Inventory"))</f>
        <v>0</v>
      </c>
      <c r="H605" s="51">
        <f t="shared" si="18"/>
        <v>3</v>
      </c>
      <c r="I605" s="187">
        <v>4750</v>
      </c>
      <c r="J605" s="188">
        <f t="shared" si="19"/>
        <v>14250</v>
      </c>
      <c r="K605" s="46"/>
    </row>
    <row r="606" spans="1:11" s="24" customFormat="1" ht="23.1" customHeight="1">
      <c r="A606" s="170">
        <f>IF($B606="","",MAX($A$3:A605)+1)</f>
        <v>603</v>
      </c>
      <c r="B606" s="176">
        <v>12360</v>
      </c>
      <c r="C606" s="177" t="s">
        <v>1166</v>
      </c>
      <c r="D606" s="285" t="s">
        <v>112</v>
      </c>
      <c r="E606" s="281">
        <v>0</v>
      </c>
      <c r="F606" s="283">
        <f>IF($B606="","",SUMIFS('Daily Inward'!$G:$G,'Daily Inward'!$C:$C,$B606,'Daily Inward'!$E:$E,"Non Inventory"))</f>
        <v>3</v>
      </c>
      <c r="G606" s="51">
        <f>IF($B606="","",SUMIFS('Daily Issuance'!$G:$G,'Daily Issuance'!$C:$C,$B606,'Daily Issuance'!$E:$E,"Non Inventory"))</f>
        <v>0</v>
      </c>
      <c r="H606" s="51">
        <f t="shared" si="18"/>
        <v>3</v>
      </c>
      <c r="I606" s="187">
        <v>600</v>
      </c>
      <c r="J606" s="188">
        <f t="shared" si="19"/>
        <v>1800</v>
      </c>
      <c r="K606" s="46"/>
    </row>
    <row r="607" spans="1:11" s="24" customFormat="1" ht="23.1" customHeight="1">
      <c r="A607" s="170">
        <f>IF($B607="","",MAX($A$3:A606)+1)</f>
        <v>604</v>
      </c>
      <c r="B607" s="176">
        <v>4842</v>
      </c>
      <c r="C607" s="177" t="s">
        <v>1167</v>
      </c>
      <c r="D607" s="285" t="s">
        <v>672</v>
      </c>
      <c r="E607" s="281">
        <v>25</v>
      </c>
      <c r="F607" s="283">
        <f>IF($B607="","",SUMIFS('Daily Inward'!$G:$G,'Daily Inward'!$C:$C,$B607,'Daily Inward'!$E:$E,"Non Inventory"))</f>
        <v>0</v>
      </c>
      <c r="G607" s="51">
        <f>IF($B607="","",SUMIFS('Daily Issuance'!$G:$G,'Daily Issuance'!$C:$C,$B607,'Daily Issuance'!$E:$E,"Non Inventory"))</f>
        <v>0</v>
      </c>
      <c r="H607" s="51">
        <f t="shared" si="18"/>
        <v>25</v>
      </c>
      <c r="I607" s="187">
        <v>380</v>
      </c>
      <c r="J607" s="188">
        <f t="shared" si="19"/>
        <v>9500</v>
      </c>
      <c r="K607" s="46"/>
    </row>
    <row r="608" spans="1:11" s="24" customFormat="1" ht="23.1" customHeight="1">
      <c r="A608" s="170">
        <f>IF($B608="","",MAX($A$3:A607)+1)</f>
        <v>605</v>
      </c>
      <c r="B608" s="176">
        <v>3430</v>
      </c>
      <c r="C608" s="177" t="s">
        <v>1168</v>
      </c>
      <c r="D608" s="285" t="s">
        <v>102</v>
      </c>
      <c r="E608" s="281">
        <v>36</v>
      </c>
      <c r="F608" s="283">
        <f>IF($B608="","",SUMIFS('Daily Inward'!$G:$G,'Daily Inward'!$C:$C,$B608,'Daily Inward'!$E:$E,"Non Inventory"))</f>
        <v>40</v>
      </c>
      <c r="G608" s="51">
        <f>IF($B608="","",SUMIFS('Daily Issuance'!$G:$G,'Daily Issuance'!$C:$C,$B608,'Daily Issuance'!$E:$E,"Non Inventory"))</f>
        <v>0</v>
      </c>
      <c r="H608" s="51">
        <f t="shared" si="18"/>
        <v>76</v>
      </c>
      <c r="I608" s="187">
        <v>220</v>
      </c>
      <c r="J608" s="188">
        <f t="shared" si="19"/>
        <v>16720</v>
      </c>
      <c r="K608" s="46"/>
    </row>
    <row r="609" spans="1:11" s="24" customFormat="1" ht="23.1" customHeight="1">
      <c r="A609" s="170">
        <f>IF($B609="","",MAX($A$3:A608)+1)</f>
        <v>606</v>
      </c>
      <c r="B609" s="176">
        <v>9311</v>
      </c>
      <c r="C609" s="177" t="s">
        <v>1169</v>
      </c>
      <c r="D609" s="285" t="s">
        <v>112</v>
      </c>
      <c r="E609" s="281">
        <v>0</v>
      </c>
      <c r="F609" s="283">
        <f>IF($B609="","",SUMIFS('Daily Inward'!$G:$G,'Daily Inward'!$C:$C,$B609,'Daily Inward'!$E:$E,"Non Inventory"))</f>
        <v>0</v>
      </c>
      <c r="G609" s="51">
        <f>IF($B609="","",SUMIFS('Daily Issuance'!$G:$G,'Daily Issuance'!$C:$C,$B609,'Daily Issuance'!$E:$E,"Non Inventory"))</f>
        <v>0</v>
      </c>
      <c r="H609" s="51">
        <f t="shared" si="18"/>
        <v>0</v>
      </c>
      <c r="I609" s="187">
        <v>4750</v>
      </c>
      <c r="J609" s="188">
        <f t="shared" si="19"/>
        <v>0</v>
      </c>
      <c r="K609" s="46"/>
    </row>
    <row r="610" spans="1:11" s="24" customFormat="1" ht="23.1" customHeight="1">
      <c r="A610" s="170">
        <f>IF($B610="","",MAX($A$3:A609)+1)</f>
        <v>607</v>
      </c>
      <c r="B610" s="176">
        <v>12457</v>
      </c>
      <c r="C610" s="177" t="s">
        <v>1118</v>
      </c>
      <c r="D610" s="285" t="s">
        <v>338</v>
      </c>
      <c r="E610" s="281">
        <v>28</v>
      </c>
      <c r="F610" s="283">
        <f>IF($B610="","",SUMIFS('Daily Inward'!$G:$G,'Daily Inward'!$C:$C,$B610,'Daily Inward'!$E:$E,"Non Inventory"))</f>
        <v>0</v>
      </c>
      <c r="G610" s="51">
        <f>IF($B610="","",SUMIFS('Daily Issuance'!$G:$G,'Daily Issuance'!$C:$C,$B610,'Daily Issuance'!$E:$E,"Non Inventory"))</f>
        <v>0</v>
      </c>
      <c r="H610" s="51">
        <f t="shared" si="18"/>
        <v>28</v>
      </c>
      <c r="I610" s="187">
        <v>2650</v>
      </c>
      <c r="J610" s="188">
        <f t="shared" si="19"/>
        <v>74200</v>
      </c>
      <c r="K610" s="46"/>
    </row>
    <row r="611" spans="1:11" s="24" customFormat="1" ht="23.1" customHeight="1">
      <c r="A611" s="170">
        <f>IF($B611="","",MAX($A$3:A610)+1)</f>
        <v>608</v>
      </c>
      <c r="B611" s="176">
        <v>16683</v>
      </c>
      <c r="C611" s="177" t="s">
        <v>1170</v>
      </c>
      <c r="D611" s="285" t="s">
        <v>672</v>
      </c>
      <c r="E611" s="281">
        <v>160</v>
      </c>
      <c r="F611" s="283">
        <f>IF($B611="","",SUMIFS('Daily Inward'!$G:$G,'Daily Inward'!$C:$C,$B611,'Daily Inward'!$E:$E,"Non Inventory"))</f>
        <v>0</v>
      </c>
      <c r="G611" s="51">
        <f>IF($B611="","",SUMIFS('Daily Issuance'!$G:$G,'Daily Issuance'!$C:$C,$B611,'Daily Issuance'!$E:$E,"Non Inventory"))</f>
        <v>0</v>
      </c>
      <c r="H611" s="51">
        <f t="shared" si="18"/>
        <v>160</v>
      </c>
      <c r="I611" s="187">
        <v>90</v>
      </c>
      <c r="J611" s="188">
        <f t="shared" si="19"/>
        <v>14400</v>
      </c>
      <c r="K611" s="46"/>
    </row>
    <row r="612" spans="1:11" s="24" customFormat="1" ht="23.1" customHeight="1">
      <c r="A612" s="170">
        <f>IF($B612="","",MAX($A$3:A611)+1)</f>
        <v>609</v>
      </c>
      <c r="B612" s="176">
        <v>21140</v>
      </c>
      <c r="C612" s="177" t="s">
        <v>1171</v>
      </c>
      <c r="D612" s="285" t="s">
        <v>112</v>
      </c>
      <c r="E612" s="281">
        <v>1</v>
      </c>
      <c r="F612" s="283">
        <f>IF($B612="","",SUMIFS('Daily Inward'!$G:$G,'Daily Inward'!$C:$C,$B612,'Daily Inward'!$E:$E,"Non Inventory"))</f>
        <v>0</v>
      </c>
      <c r="G612" s="51">
        <f>IF($B612="","",SUMIFS('Daily Issuance'!$G:$G,'Daily Issuance'!$C:$C,$B612,'Daily Issuance'!$E:$E,"Non Inventory"))</f>
        <v>1</v>
      </c>
      <c r="H612" s="51">
        <f t="shared" si="18"/>
        <v>0</v>
      </c>
      <c r="I612" s="187">
        <v>30475</v>
      </c>
      <c r="J612" s="188">
        <f t="shared" si="19"/>
        <v>0</v>
      </c>
      <c r="K612" s="46" t="s">
        <v>1172</v>
      </c>
    </row>
    <row r="613" spans="1:11" s="24" customFormat="1" ht="23.1" customHeight="1">
      <c r="A613" s="170">
        <f>IF($B613="","",MAX($A$3:A612)+1)</f>
        <v>610</v>
      </c>
      <c r="B613" s="176">
        <v>14715</v>
      </c>
      <c r="C613" s="177" t="s">
        <v>1173</v>
      </c>
      <c r="D613" s="285" t="s">
        <v>112</v>
      </c>
      <c r="E613" s="281">
        <v>0</v>
      </c>
      <c r="F613" s="283">
        <f>IF($B613="","",SUMIFS('Daily Inward'!$G:$G,'Daily Inward'!$C:$C,$B613,'Daily Inward'!$E:$E,"Non Inventory"))</f>
        <v>2</v>
      </c>
      <c r="G613" s="51">
        <f>IF($B613="","",SUMIFS('Daily Issuance'!$G:$G,'Daily Issuance'!$C:$C,$B613,'Daily Issuance'!$E:$E,"Non Inventory"))</f>
        <v>2</v>
      </c>
      <c r="H613" s="51">
        <f t="shared" si="18"/>
        <v>0</v>
      </c>
      <c r="I613" s="187">
        <v>9000</v>
      </c>
      <c r="J613" s="188">
        <f t="shared" si="19"/>
        <v>0</v>
      </c>
      <c r="K613" s="46"/>
    </row>
    <row r="614" spans="1:11" s="24" customFormat="1" ht="23.1" customHeight="1">
      <c r="A614" s="170">
        <f>IF($B614="","",MAX($A$3:A613)+1)</f>
        <v>611</v>
      </c>
      <c r="B614" s="176">
        <v>11936</v>
      </c>
      <c r="C614" s="177" t="s">
        <v>1174</v>
      </c>
      <c r="D614" s="285" t="s">
        <v>112</v>
      </c>
      <c r="E614" s="281">
        <v>0</v>
      </c>
      <c r="F614" s="283">
        <f>IF($B614="","",SUMIFS('Daily Inward'!$G:$G,'Daily Inward'!$C:$C,$B614,'Daily Inward'!$E:$E,"Non Inventory"))</f>
        <v>3</v>
      </c>
      <c r="G614" s="51">
        <f>IF($B614="","",SUMIFS('Daily Issuance'!$G:$G,'Daily Issuance'!$C:$C,$B614,'Daily Issuance'!$E:$E,"Non Inventory"))</f>
        <v>0</v>
      </c>
      <c r="H614" s="51">
        <f t="shared" si="18"/>
        <v>3</v>
      </c>
      <c r="I614" s="187">
        <v>1900</v>
      </c>
      <c r="J614" s="188">
        <f t="shared" si="19"/>
        <v>5700</v>
      </c>
      <c r="K614" s="46"/>
    </row>
    <row r="615" spans="1:11" s="24" customFormat="1" ht="23.1" customHeight="1">
      <c r="A615" s="170">
        <f>IF($B615="","",MAX($A$3:A614)+1)</f>
        <v>612</v>
      </c>
      <c r="B615" s="176">
        <v>8330</v>
      </c>
      <c r="C615" s="177" t="s">
        <v>1175</v>
      </c>
      <c r="D615" s="285" t="s">
        <v>1046</v>
      </c>
      <c r="E615" s="281">
        <v>0</v>
      </c>
      <c r="F615" s="283">
        <f>IF($B615="","",SUMIFS('Daily Inward'!$G:$G,'Daily Inward'!$C:$C,$B615,'Daily Inward'!$E:$E,"Non Inventory"))</f>
        <v>6</v>
      </c>
      <c r="G615" s="51">
        <f>IF($B615="","",SUMIFS('Daily Issuance'!$G:$G,'Daily Issuance'!$C:$C,$B615,'Daily Issuance'!$E:$E,"Non Inventory"))</f>
        <v>0</v>
      </c>
      <c r="H615" s="51">
        <f t="shared" si="18"/>
        <v>6</v>
      </c>
      <c r="I615" s="187">
        <v>1180</v>
      </c>
      <c r="J615" s="188">
        <f t="shared" si="19"/>
        <v>7080</v>
      </c>
      <c r="K615" s="46"/>
    </row>
    <row r="616" spans="1:11" s="24" customFormat="1" ht="23.1" customHeight="1">
      <c r="A616" s="170">
        <f>IF($B616="","",MAX($A$3:A615)+1)</f>
        <v>613</v>
      </c>
      <c r="B616" s="176">
        <v>3651</v>
      </c>
      <c r="C616" s="177" t="s">
        <v>1176</v>
      </c>
      <c r="D616" s="285" t="s">
        <v>604</v>
      </c>
      <c r="E616" s="281">
        <v>0</v>
      </c>
      <c r="F616" s="283">
        <f>IF($B616="","",SUMIFS('Daily Inward'!$G:$G,'Daily Inward'!$C:$C,$B616,'Daily Inward'!$E:$E,"Non Inventory"))</f>
        <v>30</v>
      </c>
      <c r="G616" s="51">
        <f>IF($B616="","",SUMIFS('Daily Issuance'!$G:$G,'Daily Issuance'!$C:$C,$B616,'Daily Issuance'!$E:$E,"Non Inventory"))</f>
        <v>0</v>
      </c>
      <c r="H616" s="51">
        <f t="shared" si="18"/>
        <v>30</v>
      </c>
      <c r="I616" s="187">
        <v>370</v>
      </c>
      <c r="J616" s="188">
        <f t="shared" si="19"/>
        <v>11100</v>
      </c>
      <c r="K616" s="46"/>
    </row>
    <row r="617" spans="1:11" s="24" customFormat="1" ht="23.1" customHeight="1">
      <c r="A617" s="170">
        <f>IF($B617="","",MAX($A$3:A616)+1)</f>
        <v>614</v>
      </c>
      <c r="B617" s="176">
        <v>6401</v>
      </c>
      <c r="C617" s="177" t="s">
        <v>1177</v>
      </c>
      <c r="D617" s="285" t="s">
        <v>604</v>
      </c>
      <c r="E617" s="281">
        <v>0</v>
      </c>
      <c r="F617" s="283">
        <f>IF($B617="","",SUMIFS('Daily Inward'!$G:$G,'Daily Inward'!$C:$C,$B617,'Daily Inward'!$E:$E,"Non Inventory"))</f>
        <v>30</v>
      </c>
      <c r="G617" s="51">
        <f>IF($B617="","",SUMIFS('Daily Issuance'!$G:$G,'Daily Issuance'!$C:$C,$B617,'Daily Issuance'!$E:$E,"Non Inventory"))</f>
        <v>0</v>
      </c>
      <c r="H617" s="51">
        <f t="shared" si="18"/>
        <v>30</v>
      </c>
      <c r="I617" s="187">
        <v>1540</v>
      </c>
      <c r="J617" s="188">
        <f t="shared" si="19"/>
        <v>46200</v>
      </c>
      <c r="K617" s="46"/>
    </row>
    <row r="618" spans="1:11" s="24" customFormat="1" ht="23.1" customHeight="1">
      <c r="A618" s="170">
        <f>IF($B618="","",MAX($A$3:A617)+1)</f>
        <v>615</v>
      </c>
      <c r="B618" s="176">
        <v>6216</v>
      </c>
      <c r="C618" s="177" t="s">
        <v>1178</v>
      </c>
      <c r="D618" s="285" t="s">
        <v>604</v>
      </c>
      <c r="E618" s="281">
        <v>0</v>
      </c>
      <c r="F618" s="283">
        <f>IF($B618="","",SUMIFS('Daily Inward'!$G:$G,'Daily Inward'!$C:$C,$B618,'Daily Inward'!$E:$E,"Non Inventory"))</f>
        <v>30</v>
      </c>
      <c r="G618" s="51">
        <f>IF($B618="","",SUMIFS('Daily Issuance'!$G:$G,'Daily Issuance'!$C:$C,$B618,'Daily Issuance'!$E:$E,"Non Inventory"))</f>
        <v>0</v>
      </c>
      <c r="H618" s="51">
        <f t="shared" si="18"/>
        <v>30</v>
      </c>
      <c r="I618" s="187">
        <v>390</v>
      </c>
      <c r="J618" s="188">
        <f t="shared" si="19"/>
        <v>11700</v>
      </c>
      <c r="K618" s="46"/>
    </row>
    <row r="619" spans="1:11" s="24" customFormat="1" ht="23.1" customHeight="1">
      <c r="A619" s="170">
        <f>IF($B619="","",MAX($A$3:A618)+1)</f>
        <v>616</v>
      </c>
      <c r="B619" s="176">
        <v>6198</v>
      </c>
      <c r="C619" s="177" t="s">
        <v>1179</v>
      </c>
      <c r="D619" s="285" t="s">
        <v>604</v>
      </c>
      <c r="E619" s="281">
        <v>0</v>
      </c>
      <c r="F619" s="283">
        <f>IF($B619="","",SUMIFS('Daily Inward'!$G:$G,'Daily Inward'!$C:$C,$B619,'Daily Inward'!$E:$E,"Non Inventory"))</f>
        <v>30</v>
      </c>
      <c r="G619" s="51">
        <f>IF($B619="","",SUMIFS('Daily Issuance'!$G:$G,'Daily Issuance'!$C:$C,$B619,'Daily Issuance'!$E:$E,"Non Inventory"))</f>
        <v>0</v>
      </c>
      <c r="H619" s="51">
        <f t="shared" si="18"/>
        <v>30</v>
      </c>
      <c r="I619" s="187">
        <v>730</v>
      </c>
      <c r="J619" s="188">
        <f t="shared" si="19"/>
        <v>21900</v>
      </c>
      <c r="K619" s="46"/>
    </row>
    <row r="620" spans="1:11" s="24" customFormat="1" ht="23.1" customHeight="1">
      <c r="A620" s="170">
        <f>IF($B620="","",MAX($A$3:A619)+1)</f>
        <v>617</v>
      </c>
      <c r="B620" s="176">
        <v>15548</v>
      </c>
      <c r="C620" s="177" t="s">
        <v>1180</v>
      </c>
      <c r="D620" s="285" t="s">
        <v>604</v>
      </c>
      <c r="E620" s="281">
        <v>0</v>
      </c>
      <c r="F620" s="283">
        <f>IF($B620="","",SUMIFS('Daily Inward'!$G:$G,'Daily Inward'!$C:$C,$B620,'Daily Inward'!$E:$E,"Non Inventory"))</f>
        <v>30</v>
      </c>
      <c r="G620" s="51">
        <f>IF($B620="","",SUMIFS('Daily Issuance'!$G:$G,'Daily Issuance'!$C:$C,$B620,'Daily Issuance'!$E:$E,"Non Inventory"))</f>
        <v>0</v>
      </c>
      <c r="H620" s="51">
        <f t="shared" si="18"/>
        <v>30</v>
      </c>
      <c r="I620" s="187">
        <v>580</v>
      </c>
      <c r="J620" s="188">
        <f t="shared" si="19"/>
        <v>17400</v>
      </c>
      <c r="K620" s="46"/>
    </row>
    <row r="621" spans="1:11" s="24" customFormat="1" ht="23.1" customHeight="1">
      <c r="A621" s="170">
        <f>IF($B621="","",MAX($A$3:A620)+1)</f>
        <v>618</v>
      </c>
      <c r="B621" s="176">
        <v>10636</v>
      </c>
      <c r="C621" s="177" t="s">
        <v>1181</v>
      </c>
      <c r="D621" s="285" t="s">
        <v>112</v>
      </c>
      <c r="E621" s="281">
        <v>0</v>
      </c>
      <c r="F621" s="283">
        <f>IF($B621="","",SUMIFS('Daily Inward'!$G:$G,'Daily Inward'!$C:$C,$B621,'Daily Inward'!$E:$E,"Non Inventory"))</f>
        <v>15</v>
      </c>
      <c r="G621" s="51">
        <f>IF($B621="","",SUMIFS('Daily Issuance'!$G:$G,'Daily Issuance'!$C:$C,$B621,'Daily Issuance'!$E:$E,"Non Inventory"))</f>
        <v>3</v>
      </c>
      <c r="H621" s="51">
        <f t="shared" si="18"/>
        <v>12</v>
      </c>
      <c r="I621" s="187">
        <v>465</v>
      </c>
      <c r="J621" s="188">
        <f t="shared" si="19"/>
        <v>5580</v>
      </c>
      <c r="K621" s="46"/>
    </row>
    <row r="622" spans="1:11" s="24" customFormat="1" ht="23.1" customHeight="1">
      <c r="A622" s="170">
        <f>IF($B622="","",MAX($A$3:A621)+1)</f>
        <v>619</v>
      </c>
      <c r="B622" s="176">
        <v>4922</v>
      </c>
      <c r="C622" s="177" t="s">
        <v>1182</v>
      </c>
      <c r="D622" s="285" t="s">
        <v>112</v>
      </c>
      <c r="E622" s="281">
        <v>0</v>
      </c>
      <c r="F622" s="283">
        <f>IF($B622="","",SUMIFS('Daily Inward'!$G:$G,'Daily Inward'!$C:$C,$B622,'Daily Inward'!$E:$E,"Non Inventory"))</f>
        <v>15</v>
      </c>
      <c r="G622" s="51">
        <f>IF($B622="","",SUMIFS('Daily Issuance'!$G:$G,'Daily Issuance'!$C:$C,$B622,'Daily Issuance'!$E:$E,"Non Inventory"))</f>
        <v>1</v>
      </c>
      <c r="H622" s="51">
        <f t="shared" si="18"/>
        <v>14</v>
      </c>
      <c r="I622" s="187">
        <v>418</v>
      </c>
      <c r="J622" s="188">
        <f t="shared" si="19"/>
        <v>5852</v>
      </c>
      <c r="K622" s="46"/>
    </row>
    <row r="623" spans="1:11" s="24" customFormat="1" ht="23.1" customHeight="1">
      <c r="A623" s="170">
        <f>IF($B623="","",MAX($A$3:A622)+1)</f>
        <v>620</v>
      </c>
      <c r="B623" s="176">
        <v>6253</v>
      </c>
      <c r="C623" s="177" t="s">
        <v>1183</v>
      </c>
      <c r="D623" s="285" t="s">
        <v>112</v>
      </c>
      <c r="E623" s="281">
        <v>13</v>
      </c>
      <c r="F623" s="283">
        <f>IF($B623="","",SUMIFS('Daily Inward'!$G:$G,'Daily Inward'!$C:$C,$B623,'Daily Inward'!$E:$E,"Non Inventory"))</f>
        <v>0</v>
      </c>
      <c r="G623" s="51">
        <f>IF($B623="","",SUMIFS('Daily Issuance'!$G:$G,'Daily Issuance'!$C:$C,$B623,'Daily Issuance'!$E:$E,"Non Inventory"))</f>
        <v>8</v>
      </c>
      <c r="H623" s="51">
        <f t="shared" si="18"/>
        <v>5</v>
      </c>
      <c r="I623" s="187">
        <v>30</v>
      </c>
      <c r="J623" s="188">
        <f t="shared" si="19"/>
        <v>150</v>
      </c>
      <c r="K623" s="46"/>
    </row>
    <row r="624" spans="1:11" s="24" customFormat="1" ht="23.1" customHeight="1">
      <c r="A624" s="170">
        <f>IF($B624="","",MAX($A$3:A623)+1)</f>
        <v>621</v>
      </c>
      <c r="B624" s="176">
        <v>25588</v>
      </c>
      <c r="C624" s="177" t="s">
        <v>1315</v>
      </c>
      <c r="D624" s="285" t="s">
        <v>112</v>
      </c>
      <c r="E624" s="281">
        <v>0</v>
      </c>
      <c r="F624" s="283">
        <f>IF($B624="","",SUMIFS('Daily Inward'!$G:$G,'Daily Inward'!$C:$C,$B624,'Daily Inward'!$E:$E,"Non Inventory"))</f>
        <v>1</v>
      </c>
      <c r="G624" s="51">
        <f>IF($B624="","",SUMIFS('Daily Issuance'!$G:$G,'Daily Issuance'!$C:$C,$B624,'Daily Issuance'!$E:$E,"Non Inventory"))</f>
        <v>0</v>
      </c>
      <c r="H624" s="51">
        <f t="shared" si="18"/>
        <v>1</v>
      </c>
      <c r="I624" s="187">
        <v>17800</v>
      </c>
      <c r="J624" s="188">
        <f t="shared" si="19"/>
        <v>17800</v>
      </c>
      <c r="K624" s="46"/>
    </row>
    <row r="625" spans="1:11" s="24" customFormat="1" ht="23.1" customHeight="1">
      <c r="A625" s="170">
        <f>IF($B625="","",MAX($A$3:A624)+1)</f>
        <v>622</v>
      </c>
      <c r="B625" s="176">
        <v>14658</v>
      </c>
      <c r="C625" s="177" t="s">
        <v>1159</v>
      </c>
      <c r="D625" s="285" t="s">
        <v>112</v>
      </c>
      <c r="E625" s="281">
        <v>1</v>
      </c>
      <c r="F625" s="283">
        <f>IF($B625="","",SUMIFS('Daily Inward'!$G:$G,'Daily Inward'!$C:$C,$B625,'Daily Inward'!$E:$E,"Non Inventory"))</f>
        <v>1</v>
      </c>
      <c r="G625" s="51">
        <f>IF($B625="","",SUMIFS('Daily Issuance'!$G:$G,'Daily Issuance'!$C:$C,$B625,'Daily Issuance'!$E:$E,"Non Inventory"))</f>
        <v>2</v>
      </c>
      <c r="H625" s="51">
        <f t="shared" si="18"/>
        <v>0</v>
      </c>
      <c r="I625" s="187">
        <v>42318</v>
      </c>
      <c r="J625" s="188">
        <f t="shared" si="19"/>
        <v>0</v>
      </c>
      <c r="K625" s="46"/>
    </row>
    <row r="626" spans="1:11" s="24" customFormat="1" ht="23.1" customHeight="1">
      <c r="A626" s="170">
        <f>IF($B626="","",MAX($A$3:A625)+1)</f>
        <v>623</v>
      </c>
      <c r="B626" s="176">
        <v>3307</v>
      </c>
      <c r="C626" s="177" t="s">
        <v>1340</v>
      </c>
      <c r="D626" s="285" t="s">
        <v>112</v>
      </c>
      <c r="E626" s="281">
        <v>3</v>
      </c>
      <c r="F626" s="283">
        <f>IF($B626="","",SUMIFS('Daily Inward'!$G:$G,'Daily Inward'!$C:$C,$B626,'Daily Inward'!$E:$E,"Non Inventory"))</f>
        <v>0</v>
      </c>
      <c r="G626" s="51">
        <f>IF($B626="","",SUMIFS('Daily Issuance'!$G:$G,'Daily Issuance'!$C:$C,$B626,'Daily Issuance'!$E:$E,"Non Inventory"))</f>
        <v>3</v>
      </c>
      <c r="H626" s="51">
        <f t="shared" si="18"/>
        <v>0</v>
      </c>
      <c r="I626" s="187">
        <v>1010</v>
      </c>
      <c r="J626" s="188">
        <f t="shared" si="19"/>
        <v>0</v>
      </c>
      <c r="K626" s="46"/>
    </row>
    <row r="627" spans="1:11" s="24" customFormat="1" ht="23.1" customHeight="1">
      <c r="A627" s="170">
        <f>IF($B627="","",MAX($A$3:A626)+1)</f>
        <v>624</v>
      </c>
      <c r="B627" s="176">
        <v>4777</v>
      </c>
      <c r="C627" s="177" t="s">
        <v>1341</v>
      </c>
      <c r="D627" s="285" t="s">
        <v>112</v>
      </c>
      <c r="E627" s="281">
        <v>4</v>
      </c>
      <c r="F627" s="283">
        <f>IF($B627="","",SUMIFS('Daily Inward'!$G:$G,'Daily Inward'!$C:$C,$B627,'Daily Inward'!$E:$E,"Non Inventory"))</f>
        <v>0</v>
      </c>
      <c r="G627" s="51">
        <f>IF($B627="","",SUMIFS('Daily Issuance'!$G:$G,'Daily Issuance'!$C:$C,$B627,'Daily Issuance'!$E:$E,"Non Inventory"))</f>
        <v>4</v>
      </c>
      <c r="H627" s="51">
        <f t="shared" si="18"/>
        <v>0</v>
      </c>
      <c r="I627" s="187">
        <v>125</v>
      </c>
      <c r="J627" s="188">
        <f t="shared" si="19"/>
        <v>0</v>
      </c>
      <c r="K627" s="46"/>
    </row>
    <row r="628" spans="1:11" s="24" customFormat="1" ht="23.1" customHeight="1">
      <c r="A628" s="170">
        <f>IF($B628="","",MAX($A$3:A627)+1)</f>
        <v>625</v>
      </c>
      <c r="B628" s="176">
        <v>27500</v>
      </c>
      <c r="C628" s="177" t="s">
        <v>1356</v>
      </c>
      <c r="D628" s="285" t="s">
        <v>112</v>
      </c>
      <c r="E628" s="281"/>
      <c r="F628" s="283">
        <f>IF($B628="","",SUMIFS('Daily Inward'!$G:$G,'Daily Inward'!$C:$C,$B628,'Daily Inward'!$E:$E,"Non Inventory"))</f>
        <v>1</v>
      </c>
      <c r="G628" s="51">
        <f>IF($B628="","",SUMIFS('Daily Issuance'!$G:$G,'Daily Issuance'!$C:$C,$B628,'Daily Issuance'!$E:$E,"Non Inventory"))</f>
        <v>0</v>
      </c>
      <c r="H628" s="51">
        <f t="shared" si="18"/>
        <v>1</v>
      </c>
      <c r="I628" s="187">
        <v>15000</v>
      </c>
      <c r="J628" s="188">
        <f t="shared" si="19"/>
        <v>15000</v>
      </c>
      <c r="K628" s="46"/>
    </row>
    <row r="629" spans="1:11" s="24" customFormat="1" ht="23.1" customHeight="1">
      <c r="A629" s="170">
        <f>IF($B629="","",MAX($A$3:A628)+1)</f>
        <v>626</v>
      </c>
      <c r="B629" s="176">
        <v>17523</v>
      </c>
      <c r="C629" s="177" t="s">
        <v>1358</v>
      </c>
      <c r="D629" s="285" t="s">
        <v>112</v>
      </c>
      <c r="E629" s="281"/>
      <c r="F629" s="283">
        <f>IF($B629="","",SUMIFS('Daily Inward'!$G:$G,'Daily Inward'!$C:$C,$B629,'Daily Inward'!$E:$E,"Non Inventory"))</f>
        <v>6</v>
      </c>
      <c r="G629" s="51">
        <f>IF($B629="","",SUMIFS('Daily Issuance'!$G:$G,'Daily Issuance'!$C:$C,$B629,'Daily Issuance'!$E:$E,"Non Inventory"))</f>
        <v>0</v>
      </c>
      <c r="H629" s="51">
        <f t="shared" si="18"/>
        <v>6</v>
      </c>
      <c r="I629" s="187">
        <v>300</v>
      </c>
      <c r="J629" s="188">
        <f t="shared" si="19"/>
        <v>1800</v>
      </c>
      <c r="K629" s="46"/>
    </row>
    <row r="630" spans="1:11" s="24" customFormat="1" ht="23.1" customHeight="1">
      <c r="A630" s="170">
        <f>IF($B630="","",MAX($A$3:A629)+1)</f>
        <v>627</v>
      </c>
      <c r="B630" s="176">
        <v>18615</v>
      </c>
      <c r="C630" s="177" t="s">
        <v>1359</v>
      </c>
      <c r="D630" s="285" t="s">
        <v>112</v>
      </c>
      <c r="E630" s="281"/>
      <c r="F630" s="283">
        <f>IF($B630="","",SUMIFS('Daily Inward'!$G:$G,'Daily Inward'!$C:$C,$B630,'Daily Inward'!$E:$E,"Non Inventory"))</f>
        <v>6</v>
      </c>
      <c r="G630" s="51">
        <f>IF($B630="","",SUMIFS('Daily Issuance'!$G:$G,'Daily Issuance'!$C:$C,$B630,'Daily Issuance'!$E:$E,"Non Inventory"))</f>
        <v>1</v>
      </c>
      <c r="H630" s="51">
        <f t="shared" si="18"/>
        <v>5</v>
      </c>
      <c r="I630" s="187">
        <v>360</v>
      </c>
      <c r="J630" s="188">
        <f t="shared" si="19"/>
        <v>1800</v>
      </c>
      <c r="K630" s="46"/>
    </row>
    <row r="631" spans="1:11" s="24" customFormat="1" ht="23.1" customHeight="1">
      <c r="A631" s="170">
        <f>IF($B631="","",MAX($A$3:A630)+1)</f>
        <v>628</v>
      </c>
      <c r="B631" s="176">
        <v>17023</v>
      </c>
      <c r="C631" s="177" t="s">
        <v>1360</v>
      </c>
      <c r="D631" s="285" t="s">
        <v>112</v>
      </c>
      <c r="E631" s="281"/>
      <c r="F631" s="283">
        <f>IF($B631="","",SUMIFS('Daily Inward'!$G:$G,'Daily Inward'!$C:$C,$B631,'Daily Inward'!$E:$E,"Non Inventory"))</f>
        <v>6</v>
      </c>
      <c r="G631" s="51">
        <f>IF($B631="","",SUMIFS('Daily Issuance'!$G:$G,'Daily Issuance'!$C:$C,$B631,'Daily Issuance'!$E:$E,"Non Inventory"))</f>
        <v>0</v>
      </c>
      <c r="H631" s="51">
        <f t="shared" si="18"/>
        <v>6</v>
      </c>
      <c r="I631" s="187">
        <v>550</v>
      </c>
      <c r="J631" s="188">
        <f t="shared" si="19"/>
        <v>3300</v>
      </c>
      <c r="K631" s="46"/>
    </row>
    <row r="632" spans="1:11" s="24" customFormat="1" ht="23.1" customHeight="1">
      <c r="A632" s="170">
        <f>IF($B632="","",MAX($A$3:A631)+1)</f>
        <v>629</v>
      </c>
      <c r="B632" s="176">
        <v>8586</v>
      </c>
      <c r="C632" s="177" t="s">
        <v>1361</v>
      </c>
      <c r="D632" s="285" t="s">
        <v>112</v>
      </c>
      <c r="E632" s="281"/>
      <c r="F632" s="283">
        <f>IF($B632="","",SUMIFS('Daily Inward'!$G:$G,'Daily Inward'!$C:$C,$B632,'Daily Inward'!$E:$E,"Non Inventory"))</f>
        <v>6</v>
      </c>
      <c r="G632" s="51">
        <f>IF($B632="","",SUMIFS('Daily Issuance'!$G:$G,'Daily Issuance'!$C:$C,$B632,'Daily Issuance'!$E:$E,"Non Inventory"))</f>
        <v>1</v>
      </c>
      <c r="H632" s="51">
        <f t="shared" si="18"/>
        <v>5</v>
      </c>
      <c r="I632" s="187">
        <v>380</v>
      </c>
      <c r="J632" s="188">
        <f t="shared" si="19"/>
        <v>1900</v>
      </c>
      <c r="K632" s="46"/>
    </row>
    <row r="633" spans="1:11" s="24" customFormat="1" ht="23.1" customHeight="1">
      <c r="A633" s="170">
        <f>IF($B633="","",MAX($A$3:A632)+1)</f>
        <v>630</v>
      </c>
      <c r="B633" s="176">
        <v>18614</v>
      </c>
      <c r="C633" s="177" t="s">
        <v>1362</v>
      </c>
      <c r="D633" s="285" t="s">
        <v>112</v>
      </c>
      <c r="E633" s="281"/>
      <c r="F633" s="283">
        <f>IF($B633="","",SUMIFS('Daily Inward'!$G:$G,'Daily Inward'!$C:$C,$B633,'Daily Inward'!$E:$E,"Non Inventory"))</f>
        <v>6</v>
      </c>
      <c r="G633" s="51">
        <f>IF($B633="","",SUMIFS('Daily Issuance'!$G:$G,'Daily Issuance'!$C:$C,$B633,'Daily Issuance'!$E:$E,"Non Inventory"))</f>
        <v>0</v>
      </c>
      <c r="H633" s="51">
        <f t="shared" si="18"/>
        <v>6</v>
      </c>
      <c r="I633" s="187">
        <v>275</v>
      </c>
      <c r="J633" s="188">
        <f t="shared" si="19"/>
        <v>1650</v>
      </c>
      <c r="K633" s="46"/>
    </row>
    <row r="634" spans="1:11" s="24" customFormat="1" ht="23.1" customHeight="1">
      <c r="A634" s="170">
        <f>IF($B634="","",MAX($A$3:A633)+1)</f>
        <v>631</v>
      </c>
      <c r="B634" s="176">
        <v>18616</v>
      </c>
      <c r="C634" s="177" t="s">
        <v>1363</v>
      </c>
      <c r="D634" s="285" t="s">
        <v>112</v>
      </c>
      <c r="E634" s="281"/>
      <c r="F634" s="283">
        <f>IF($B634="","",SUMIFS('Daily Inward'!$G:$G,'Daily Inward'!$C:$C,$B634,'Daily Inward'!$E:$E,"Non Inventory"))</f>
        <v>3</v>
      </c>
      <c r="G634" s="51">
        <f>IF($B634="","",SUMIFS('Daily Issuance'!$G:$G,'Daily Issuance'!$C:$C,$B634,'Daily Issuance'!$E:$E,"Non Inventory"))</f>
        <v>0</v>
      </c>
      <c r="H634" s="51">
        <f t="shared" si="18"/>
        <v>3</v>
      </c>
      <c r="I634" s="187">
        <v>1200</v>
      </c>
      <c r="J634" s="188">
        <f t="shared" si="19"/>
        <v>3600</v>
      </c>
      <c r="K634" s="46"/>
    </row>
    <row r="635" spans="1:11" s="24" customFormat="1" ht="23.1" customHeight="1">
      <c r="A635" s="170">
        <f>IF($B635="","",MAX($A$3:A634)+1)</f>
        <v>632</v>
      </c>
      <c r="B635" s="176">
        <v>6957</v>
      </c>
      <c r="C635" s="177" t="s">
        <v>1364</v>
      </c>
      <c r="D635" s="285" t="s">
        <v>112</v>
      </c>
      <c r="E635" s="281"/>
      <c r="F635" s="283">
        <f>IF($B635="","",SUMIFS('Daily Inward'!$G:$G,'Daily Inward'!$C:$C,$B635,'Daily Inward'!$E:$E,"Non Inventory"))</f>
        <v>1</v>
      </c>
      <c r="G635" s="51">
        <f>IF($B635="","",SUMIFS('Daily Issuance'!$G:$G,'Daily Issuance'!$C:$C,$B635,'Daily Issuance'!$E:$E,"Non Inventory"))</f>
        <v>0</v>
      </c>
      <c r="H635" s="51">
        <f t="shared" si="18"/>
        <v>1</v>
      </c>
      <c r="I635" s="187">
        <v>1100</v>
      </c>
      <c r="J635" s="188">
        <f t="shared" si="19"/>
        <v>1100</v>
      </c>
      <c r="K635" s="46"/>
    </row>
    <row r="636" spans="1:11" s="24" customFormat="1" ht="23.1" customHeight="1">
      <c r="A636" s="170">
        <f>IF($B636="","",MAX($A$3:A635)+1)</f>
        <v>633</v>
      </c>
      <c r="B636" s="176">
        <v>6950</v>
      </c>
      <c r="C636" s="177" t="s">
        <v>1365</v>
      </c>
      <c r="D636" s="285" t="s">
        <v>112</v>
      </c>
      <c r="E636" s="281"/>
      <c r="F636" s="283">
        <f>IF($B636="","",SUMIFS('Daily Inward'!$G:$G,'Daily Inward'!$C:$C,$B636,'Daily Inward'!$E:$E,"Non Inventory"))</f>
        <v>1</v>
      </c>
      <c r="G636" s="51">
        <f>IF($B636="","",SUMIFS('Daily Issuance'!$G:$G,'Daily Issuance'!$C:$C,$B636,'Daily Issuance'!$E:$E,"Non Inventory"))</f>
        <v>0</v>
      </c>
      <c r="H636" s="51">
        <f t="shared" si="18"/>
        <v>1</v>
      </c>
      <c r="I636" s="187">
        <v>1350</v>
      </c>
      <c r="J636" s="188">
        <f t="shared" si="19"/>
        <v>1350</v>
      </c>
      <c r="K636" s="46"/>
    </row>
    <row r="637" spans="1:11" s="24" customFormat="1" ht="23.1" customHeight="1">
      <c r="A637" s="170">
        <f>IF($B637="","",MAX($A$3:A636)+1)</f>
        <v>634</v>
      </c>
      <c r="B637" s="176">
        <v>6951</v>
      </c>
      <c r="C637" s="177" t="s">
        <v>1366</v>
      </c>
      <c r="D637" s="285" t="s">
        <v>112</v>
      </c>
      <c r="E637" s="281"/>
      <c r="F637" s="283">
        <f>IF($B637="","",SUMIFS('Daily Inward'!$G:$G,'Daily Inward'!$C:$C,$B637,'Daily Inward'!$E:$E,"Non Inventory"))</f>
        <v>1</v>
      </c>
      <c r="G637" s="51">
        <f>IF($B637="","",SUMIFS('Daily Issuance'!$G:$G,'Daily Issuance'!$C:$C,$B637,'Daily Issuance'!$E:$E,"Non Inventory"))</f>
        <v>0</v>
      </c>
      <c r="H637" s="51">
        <f t="shared" si="18"/>
        <v>1</v>
      </c>
      <c r="I637" s="187">
        <v>1550</v>
      </c>
      <c r="J637" s="188">
        <f t="shared" si="19"/>
        <v>1550</v>
      </c>
      <c r="K637" s="46"/>
    </row>
    <row r="638" spans="1:11" s="24" customFormat="1" ht="23.1" customHeight="1">
      <c r="A638" s="170">
        <f>IF($B638="","",MAX($A$3:A637)+1)</f>
        <v>635</v>
      </c>
      <c r="B638" s="176">
        <v>6952</v>
      </c>
      <c r="C638" s="177" t="s">
        <v>1367</v>
      </c>
      <c r="D638" s="285" t="s">
        <v>112</v>
      </c>
      <c r="E638" s="281"/>
      <c r="F638" s="283">
        <f>IF($B638="","",SUMIFS('Daily Inward'!$G:$G,'Daily Inward'!$C:$C,$B638,'Daily Inward'!$E:$E,"Non Inventory"))</f>
        <v>1</v>
      </c>
      <c r="G638" s="51">
        <f>IF($B638="","",SUMIFS('Daily Issuance'!$G:$G,'Daily Issuance'!$C:$C,$B638,'Daily Issuance'!$E:$E,"Non Inventory"))</f>
        <v>0</v>
      </c>
      <c r="H638" s="51">
        <f t="shared" ref="H638:H701" si="20">IF($B638="","",N(E638)+N(F638)-N(G638))</f>
        <v>1</v>
      </c>
      <c r="I638" s="187">
        <v>2100</v>
      </c>
      <c r="J638" s="188">
        <f t="shared" ref="J638:J701" si="21">IF($B638="","",H638*I638)</f>
        <v>2100</v>
      </c>
      <c r="K638" s="46"/>
    </row>
    <row r="639" spans="1:11" s="24" customFormat="1" ht="23.1" customHeight="1">
      <c r="A639" s="170">
        <f>IF($B639="","",MAX($A$3:A638)+1)</f>
        <v>636</v>
      </c>
      <c r="B639" s="176">
        <v>6953</v>
      </c>
      <c r="C639" s="177" t="s">
        <v>1368</v>
      </c>
      <c r="D639" s="285" t="s">
        <v>112</v>
      </c>
      <c r="E639" s="281"/>
      <c r="F639" s="283">
        <f>IF($B639="","",SUMIFS('Daily Inward'!$G:$G,'Daily Inward'!$C:$C,$B639,'Daily Inward'!$E:$E,"Non Inventory"))</f>
        <v>1</v>
      </c>
      <c r="G639" s="51">
        <f>IF($B639="","",SUMIFS('Daily Issuance'!$G:$G,'Daily Issuance'!$C:$C,$B639,'Daily Issuance'!$E:$E,"Non Inventory"))</f>
        <v>0</v>
      </c>
      <c r="H639" s="51">
        <f t="shared" si="20"/>
        <v>1</v>
      </c>
      <c r="I639" s="187">
        <v>2275</v>
      </c>
      <c r="J639" s="188">
        <f t="shared" si="21"/>
        <v>2275</v>
      </c>
      <c r="K639" s="46"/>
    </row>
    <row r="640" spans="1:11" s="24" customFormat="1" ht="23.1" customHeight="1">
      <c r="A640" s="170">
        <f>IF($B640="","",MAX($A$3:A639)+1)</f>
        <v>637</v>
      </c>
      <c r="B640" s="176">
        <v>25215</v>
      </c>
      <c r="C640" s="177" t="s">
        <v>1369</v>
      </c>
      <c r="D640" s="285" t="s">
        <v>615</v>
      </c>
      <c r="E640" s="281"/>
      <c r="F640" s="283">
        <f>IF($B640="","",SUMIFS('Daily Inward'!$G:$G,'Daily Inward'!$C:$C,$B640,'Daily Inward'!$E:$E,"Non Inventory"))</f>
        <v>2</v>
      </c>
      <c r="G640" s="51">
        <f>IF($B640="","",SUMIFS('Daily Issuance'!$G:$G,'Daily Issuance'!$C:$C,$B640,'Daily Issuance'!$E:$E,"Non Inventory"))</f>
        <v>0</v>
      </c>
      <c r="H640" s="51">
        <f t="shared" si="20"/>
        <v>2</v>
      </c>
      <c r="I640" s="187">
        <v>9100</v>
      </c>
      <c r="J640" s="188">
        <f t="shared" si="21"/>
        <v>18200</v>
      </c>
      <c r="K640" s="46"/>
    </row>
    <row r="641" spans="1:11" s="24" customFormat="1" ht="23.1" customHeight="1">
      <c r="A641" s="170">
        <f>IF($B641="","",MAX($A$3:A640)+1)</f>
        <v>638</v>
      </c>
      <c r="B641" s="176">
        <v>25480</v>
      </c>
      <c r="C641" s="177" t="s">
        <v>1370</v>
      </c>
      <c r="D641" s="285" t="s">
        <v>1374</v>
      </c>
      <c r="E641" s="281"/>
      <c r="F641" s="283">
        <f>IF($B641="","",SUMIFS('Daily Inward'!$G:$G,'Daily Inward'!$C:$C,$B641,'Daily Inward'!$E:$E,"Non Inventory"))</f>
        <v>6</v>
      </c>
      <c r="G641" s="51">
        <f>IF($B641="","",SUMIFS('Daily Issuance'!$G:$G,'Daily Issuance'!$C:$C,$B641,'Daily Issuance'!$E:$E,"Non Inventory"))</f>
        <v>6</v>
      </c>
      <c r="H641" s="51">
        <f t="shared" si="20"/>
        <v>0</v>
      </c>
      <c r="I641" s="187">
        <v>380</v>
      </c>
      <c r="J641" s="188">
        <f t="shared" si="21"/>
        <v>0</v>
      </c>
      <c r="K641" s="46"/>
    </row>
    <row r="642" spans="1:11" s="24" customFormat="1" ht="23.1" customHeight="1">
      <c r="A642" s="170">
        <f>IF($B642="","",MAX($A$3:A641)+1)</f>
        <v>639</v>
      </c>
      <c r="B642" s="176">
        <v>25479</v>
      </c>
      <c r="C642" s="177" t="s">
        <v>1371</v>
      </c>
      <c r="D642" s="285" t="s">
        <v>1374</v>
      </c>
      <c r="E642" s="281"/>
      <c r="F642" s="283">
        <f>IF($B642="","",SUMIFS('Daily Inward'!$G:$G,'Daily Inward'!$C:$C,$B642,'Daily Inward'!$E:$E,"Non Inventory"))</f>
        <v>6</v>
      </c>
      <c r="G642" s="51">
        <f>IF($B642="","",SUMIFS('Daily Issuance'!$G:$G,'Daily Issuance'!$C:$C,$B642,'Daily Issuance'!$E:$E,"Non Inventory"))</f>
        <v>0</v>
      </c>
      <c r="H642" s="51">
        <f t="shared" si="20"/>
        <v>6</v>
      </c>
      <c r="I642" s="187">
        <v>300</v>
      </c>
      <c r="J642" s="188">
        <f t="shared" si="21"/>
        <v>1800</v>
      </c>
      <c r="K642" s="46"/>
    </row>
    <row r="643" spans="1:11" s="24" customFormat="1" ht="23.1" customHeight="1">
      <c r="A643" s="170">
        <f>IF($B643="","",MAX($A$3:A642)+1)</f>
        <v>640</v>
      </c>
      <c r="B643" s="176">
        <v>15259</v>
      </c>
      <c r="C643" s="177" t="s">
        <v>1372</v>
      </c>
      <c r="D643" s="285" t="s">
        <v>604</v>
      </c>
      <c r="E643" s="281"/>
      <c r="F643" s="283">
        <f>IF($B643="","",SUMIFS('Daily Inward'!$G:$G,'Daily Inward'!$C:$C,$B643,'Daily Inward'!$E:$E,"Non Inventory"))</f>
        <v>20</v>
      </c>
      <c r="G643" s="51">
        <f>IF($B643="","",SUMIFS('Daily Issuance'!$G:$G,'Daily Issuance'!$C:$C,$B643,'Daily Issuance'!$E:$E,"Non Inventory"))</f>
        <v>0</v>
      </c>
      <c r="H643" s="51">
        <f t="shared" si="20"/>
        <v>20</v>
      </c>
      <c r="I643" s="187">
        <v>22</v>
      </c>
      <c r="J643" s="188">
        <f t="shared" si="21"/>
        <v>440</v>
      </c>
      <c r="K643" s="46"/>
    </row>
    <row r="644" spans="1:11" s="24" customFormat="1" ht="23.1" customHeight="1">
      <c r="A644" s="170">
        <f>IF($B644="","",MAX($A$3:A643)+1)</f>
        <v>641</v>
      </c>
      <c r="B644" s="176">
        <v>10860</v>
      </c>
      <c r="C644" s="177" t="s">
        <v>1373</v>
      </c>
      <c r="D644" s="285" t="s">
        <v>604</v>
      </c>
      <c r="E644" s="281"/>
      <c r="F644" s="283">
        <f>IF($B644="","",SUMIFS('Daily Inward'!$G:$G,'Daily Inward'!$C:$C,$B644,'Daily Inward'!$E:$E,"Non Inventory"))</f>
        <v>20</v>
      </c>
      <c r="G644" s="51">
        <f>IF($B644="","",SUMIFS('Daily Issuance'!$G:$G,'Daily Issuance'!$C:$C,$B644,'Daily Issuance'!$E:$E,"Non Inventory"))</f>
        <v>0</v>
      </c>
      <c r="H644" s="51">
        <f t="shared" si="20"/>
        <v>20</v>
      </c>
      <c r="I644" s="187">
        <v>22</v>
      </c>
      <c r="J644" s="188">
        <f t="shared" si="21"/>
        <v>440</v>
      </c>
      <c r="K644" s="46"/>
    </row>
    <row r="645" spans="1:11" s="24" customFormat="1" ht="23.1" customHeight="1">
      <c r="A645" s="170">
        <f>IF($B645="","",MAX($A$3:A644)+1)</f>
        <v>642</v>
      </c>
      <c r="B645" s="176">
        <v>27523</v>
      </c>
      <c r="C645" s="177" t="s">
        <v>1375</v>
      </c>
      <c r="D645" s="285" t="s">
        <v>112</v>
      </c>
      <c r="E645" s="281"/>
      <c r="F645" s="283">
        <f>IF($B645="","",SUMIFS('Daily Inward'!$G:$G,'Daily Inward'!$C:$C,$B645,'Daily Inward'!$E:$E,"Non Inventory"))</f>
        <v>1</v>
      </c>
      <c r="G645" s="51">
        <f>IF($B645="","",SUMIFS('Daily Issuance'!$G:$G,'Daily Issuance'!$C:$C,$B645,'Daily Issuance'!$E:$E,"Non Inventory"))</f>
        <v>1</v>
      </c>
      <c r="H645" s="51">
        <f t="shared" si="20"/>
        <v>0</v>
      </c>
      <c r="I645" s="187">
        <v>33500</v>
      </c>
      <c r="J645" s="188">
        <f t="shared" si="21"/>
        <v>0</v>
      </c>
      <c r="K645" s="46"/>
    </row>
    <row r="646" spans="1:11" s="24" customFormat="1" ht="23.1" customHeight="1">
      <c r="A646" s="170">
        <f>IF($B646="","",MAX($A$3:A645)+1)</f>
        <v>643</v>
      </c>
      <c r="B646" s="176">
        <v>11011</v>
      </c>
      <c r="C646" s="177" t="s">
        <v>1384</v>
      </c>
      <c r="D646" s="285" t="s">
        <v>1385</v>
      </c>
      <c r="E646" s="281">
        <v>5</v>
      </c>
      <c r="F646" s="283">
        <f>IF($B646="","",SUMIFS('Daily Inward'!$G:$G,'Daily Inward'!$C:$C,$B646,'Daily Inward'!$E:$E,"Non Inventory"))</f>
        <v>0</v>
      </c>
      <c r="G646" s="51">
        <f>IF($B646="","",SUMIFS('Daily Issuance'!$G:$G,'Daily Issuance'!$C:$C,$B646,'Daily Issuance'!$E:$E,"Non Inventory"))</f>
        <v>1</v>
      </c>
      <c r="H646" s="51">
        <f t="shared" si="20"/>
        <v>4</v>
      </c>
      <c r="I646" s="187">
        <v>5200</v>
      </c>
      <c r="J646" s="188">
        <f t="shared" si="21"/>
        <v>20800</v>
      </c>
      <c r="K646" s="46"/>
    </row>
    <row r="647" spans="1:11" s="24" customFormat="1" ht="23.1" customHeight="1">
      <c r="A647" s="170">
        <f>IF($B647="","",MAX($A$3:A646)+1)</f>
        <v>644</v>
      </c>
      <c r="B647" s="176">
        <v>23994</v>
      </c>
      <c r="C647" s="177" t="s">
        <v>1389</v>
      </c>
      <c r="D647" s="285" t="s">
        <v>112</v>
      </c>
      <c r="E647" s="281">
        <v>1</v>
      </c>
      <c r="F647" s="283">
        <f>IF($B647="","",SUMIFS('Daily Inward'!$G:$G,'Daily Inward'!$C:$C,$B647,'Daily Inward'!$E:$E,"Non Inventory"))</f>
        <v>0</v>
      </c>
      <c r="G647" s="51">
        <f>IF($B647="","",SUMIFS('Daily Issuance'!$G:$G,'Daily Issuance'!$C:$C,$B647,'Daily Issuance'!$E:$E,"Non Inventory"))</f>
        <v>1</v>
      </c>
      <c r="H647" s="51">
        <f t="shared" si="20"/>
        <v>0</v>
      </c>
      <c r="I647" s="187">
        <v>4850</v>
      </c>
      <c r="J647" s="188">
        <f t="shared" si="21"/>
        <v>0</v>
      </c>
      <c r="K647" s="46"/>
    </row>
    <row r="648" spans="1:11" s="24" customFormat="1" ht="23.1" customHeight="1">
      <c r="A648" s="170">
        <f>IF($B648="","",MAX($A$3:A647)+1)</f>
        <v>645</v>
      </c>
      <c r="B648" s="176">
        <v>9834</v>
      </c>
      <c r="C648" s="177" t="s">
        <v>1392</v>
      </c>
      <c r="D648" s="285" t="s">
        <v>112</v>
      </c>
      <c r="E648" s="281"/>
      <c r="F648" s="283">
        <f>IF($B648="","",SUMIFS('Daily Inward'!$G:$G,'Daily Inward'!$C:$C,$B648,'Daily Inward'!$E:$E,"Non Inventory"))</f>
        <v>4</v>
      </c>
      <c r="G648" s="51">
        <f>IF($B648="","",SUMIFS('Daily Issuance'!$G:$G,'Daily Issuance'!$C:$C,$B648,'Daily Issuance'!$E:$E,"Non Inventory"))</f>
        <v>0</v>
      </c>
      <c r="H648" s="51">
        <f t="shared" si="20"/>
        <v>4</v>
      </c>
      <c r="I648" s="187">
        <v>4750</v>
      </c>
      <c r="J648" s="188">
        <f t="shared" si="21"/>
        <v>19000</v>
      </c>
      <c r="K648" s="46"/>
    </row>
    <row r="649" spans="1:11" s="24" customFormat="1" ht="23.1" customHeight="1">
      <c r="A649" s="170">
        <f>IF($B649="","",MAX($A$3:A648)+1)</f>
        <v>646</v>
      </c>
      <c r="B649" s="176">
        <v>12643</v>
      </c>
      <c r="C649" s="177" t="s">
        <v>1393</v>
      </c>
      <c r="D649" s="285" t="s">
        <v>112</v>
      </c>
      <c r="E649" s="281"/>
      <c r="F649" s="283">
        <f>IF($B649="","",SUMIFS('Daily Inward'!$G:$G,'Daily Inward'!$C:$C,$B649,'Daily Inward'!$E:$E,"Non Inventory"))</f>
        <v>2</v>
      </c>
      <c r="G649" s="51">
        <f>IF($B649="","",SUMIFS('Daily Issuance'!$G:$G,'Daily Issuance'!$C:$C,$B649,'Daily Issuance'!$E:$E,"Non Inventory"))</f>
        <v>0</v>
      </c>
      <c r="H649" s="51">
        <f t="shared" si="20"/>
        <v>2</v>
      </c>
      <c r="I649" s="187">
        <v>4750</v>
      </c>
      <c r="J649" s="188">
        <f t="shared" si="21"/>
        <v>9500</v>
      </c>
      <c r="K649" s="46"/>
    </row>
    <row r="650" spans="1:11" s="24" customFormat="1" ht="23.1" customHeight="1">
      <c r="A650" s="170">
        <f>IF($B650="","",MAX($A$3:A649)+1)</f>
        <v>647</v>
      </c>
      <c r="B650" s="176">
        <v>9194</v>
      </c>
      <c r="C650" s="177" t="s">
        <v>1396</v>
      </c>
      <c r="D650" s="285" t="s">
        <v>112</v>
      </c>
      <c r="E650" s="281">
        <v>3</v>
      </c>
      <c r="F650" s="283">
        <f>IF($B650="","",SUMIFS('Daily Inward'!$G:$G,'Daily Inward'!$C:$C,$B650,'Daily Inward'!$E:$E,"Non Inventory"))</f>
        <v>0</v>
      </c>
      <c r="G650" s="51">
        <f>IF($B650="","",SUMIFS('Daily Issuance'!$G:$G,'Daily Issuance'!$C:$C,$B650,'Daily Issuance'!$E:$E,"Non Inventory"))</f>
        <v>1</v>
      </c>
      <c r="H650" s="51">
        <f t="shared" si="20"/>
        <v>2</v>
      </c>
      <c r="I650" s="187">
        <v>450</v>
      </c>
      <c r="J650" s="188">
        <f t="shared" si="21"/>
        <v>900</v>
      </c>
      <c r="K650" s="46"/>
    </row>
    <row r="651" spans="1:11" s="24" customFormat="1" ht="23.1" customHeight="1">
      <c r="A651" s="170">
        <f>IF($B651="","",MAX($A$3:A650)+1)</f>
        <v>648</v>
      </c>
      <c r="B651" s="176">
        <v>3233</v>
      </c>
      <c r="C651" s="177" t="s">
        <v>1400</v>
      </c>
      <c r="D651" s="285" t="s">
        <v>604</v>
      </c>
      <c r="E651" s="281"/>
      <c r="F651" s="283">
        <f>IF($B651="","",SUMIFS('Daily Inward'!$G:$G,'Daily Inward'!$C:$C,$B651,'Daily Inward'!$E:$E,"Non Inventory"))</f>
        <v>90</v>
      </c>
      <c r="G651" s="51">
        <f>IF($B651="","",SUMIFS('Daily Issuance'!$G:$G,'Daily Issuance'!$C:$C,$B651,'Daily Issuance'!$E:$E,"Non Inventory"))</f>
        <v>0</v>
      </c>
      <c r="H651" s="51">
        <f t="shared" si="20"/>
        <v>90</v>
      </c>
      <c r="I651" s="187">
        <v>109</v>
      </c>
      <c r="J651" s="188">
        <f t="shared" si="21"/>
        <v>9810</v>
      </c>
      <c r="K651" s="46"/>
    </row>
    <row r="652" spans="1:11" s="24" customFormat="1" ht="23.1" customHeight="1">
      <c r="A652" s="170">
        <f>IF($B652="","",MAX($A$3:A651)+1)</f>
        <v>649</v>
      </c>
      <c r="B652" s="176">
        <v>2202</v>
      </c>
      <c r="C652" s="177" t="s">
        <v>1401</v>
      </c>
      <c r="D652" s="285" t="s">
        <v>604</v>
      </c>
      <c r="E652" s="281"/>
      <c r="F652" s="283">
        <f>IF($B652="","",SUMIFS('Daily Inward'!$G:$G,'Daily Inward'!$C:$C,$B652,'Daily Inward'!$E:$E,"Non Inventory"))</f>
        <v>90</v>
      </c>
      <c r="G652" s="51">
        <f>IF($B652="","",SUMIFS('Daily Issuance'!$G:$G,'Daily Issuance'!$C:$C,$B652,'Daily Issuance'!$E:$E,"Non Inventory"))</f>
        <v>0</v>
      </c>
      <c r="H652" s="51">
        <f t="shared" si="20"/>
        <v>90</v>
      </c>
      <c r="I652" s="187">
        <v>177</v>
      </c>
      <c r="J652" s="188">
        <f t="shared" si="21"/>
        <v>15930</v>
      </c>
      <c r="K652" s="46"/>
    </row>
    <row r="653" spans="1:11" s="24" customFormat="1" ht="23.1" customHeight="1">
      <c r="A653" s="170">
        <f>IF($B653="","",MAX($A$3:A652)+1)</f>
        <v>650</v>
      </c>
      <c r="B653" s="176">
        <v>23714</v>
      </c>
      <c r="C653" s="177" t="s">
        <v>1402</v>
      </c>
      <c r="D653" s="285" t="s">
        <v>604</v>
      </c>
      <c r="E653" s="281"/>
      <c r="F653" s="283">
        <f>IF($B653="","",SUMIFS('Daily Inward'!$G:$G,'Daily Inward'!$C:$C,$B653,'Daily Inward'!$E:$E,"Non Inventory"))</f>
        <v>90</v>
      </c>
      <c r="G653" s="51">
        <f>IF($B653="","",SUMIFS('Daily Issuance'!$G:$G,'Daily Issuance'!$C:$C,$B653,'Daily Issuance'!$E:$E,"Non Inventory"))</f>
        <v>0</v>
      </c>
      <c r="H653" s="51">
        <f t="shared" si="20"/>
        <v>90</v>
      </c>
      <c r="I653" s="187">
        <v>271</v>
      </c>
      <c r="J653" s="188">
        <f t="shared" si="21"/>
        <v>24390</v>
      </c>
      <c r="K653" s="46"/>
    </row>
    <row r="654" spans="1:11" s="24" customFormat="1" ht="23.1" customHeight="1">
      <c r="A654" s="170">
        <f>IF($B654="","",MAX($A$3:A653)+1)</f>
        <v>651</v>
      </c>
      <c r="B654" s="176">
        <v>10142</v>
      </c>
      <c r="C654" s="177" t="s">
        <v>1403</v>
      </c>
      <c r="D654" s="285" t="s">
        <v>112</v>
      </c>
      <c r="E654" s="281"/>
      <c r="F654" s="283">
        <f>IF($B654="","",SUMIFS('Daily Inward'!$G:$G,'Daily Inward'!$C:$C,$B654,'Daily Inward'!$E:$E,"Non Inventory"))</f>
        <v>10</v>
      </c>
      <c r="G654" s="51">
        <f>IF($B654="","",SUMIFS('Daily Issuance'!$G:$G,'Daily Issuance'!$C:$C,$B654,'Daily Issuance'!$E:$E,"Non Inventory"))</f>
        <v>4</v>
      </c>
      <c r="H654" s="51">
        <f t="shared" si="20"/>
        <v>6</v>
      </c>
      <c r="I654" s="187">
        <v>1200</v>
      </c>
      <c r="J654" s="188">
        <f t="shared" si="21"/>
        <v>7200</v>
      </c>
      <c r="K654" s="46"/>
    </row>
    <row r="655" spans="1:11" s="24" customFormat="1" ht="23.1" customHeight="1">
      <c r="A655" s="170">
        <f>IF($B655="","",MAX($A$3:A654)+1)</f>
        <v>652</v>
      </c>
      <c r="B655" s="176">
        <v>6728</v>
      </c>
      <c r="C655" s="177" t="s">
        <v>1404</v>
      </c>
      <c r="D655" s="285" t="s">
        <v>589</v>
      </c>
      <c r="E655" s="281"/>
      <c r="F655" s="283">
        <f>IF($B655="","",SUMIFS('Daily Inward'!$G:$G,'Daily Inward'!$C:$C,$B655,'Daily Inward'!$E:$E,"Non Inventory"))</f>
        <v>2</v>
      </c>
      <c r="G655" s="51">
        <f>IF($B655="","",SUMIFS('Daily Issuance'!$G:$G,'Daily Issuance'!$C:$C,$B655,'Daily Issuance'!$E:$E,"Non Inventory"))</f>
        <v>0</v>
      </c>
      <c r="H655" s="51">
        <f t="shared" si="20"/>
        <v>2</v>
      </c>
      <c r="I655" s="187">
        <v>18800</v>
      </c>
      <c r="J655" s="188">
        <f t="shared" si="21"/>
        <v>37600</v>
      </c>
      <c r="K655" s="46"/>
    </row>
    <row r="656" spans="1:11" s="24" customFormat="1" ht="23.1" customHeight="1">
      <c r="A656" s="170">
        <f>IF($B656="","",MAX($A$3:A655)+1)</f>
        <v>653</v>
      </c>
      <c r="B656" s="176">
        <v>13936</v>
      </c>
      <c r="C656" s="177" t="s">
        <v>1405</v>
      </c>
      <c r="D656" s="285" t="s">
        <v>112</v>
      </c>
      <c r="E656" s="281"/>
      <c r="F656" s="283">
        <f>IF($B656="","",SUMIFS('Daily Inward'!$G:$G,'Daily Inward'!$C:$C,$B656,'Daily Inward'!$E:$E,"Non Inventory"))</f>
        <v>2</v>
      </c>
      <c r="G656" s="51">
        <f>IF($B656="","",SUMIFS('Daily Issuance'!$G:$G,'Daily Issuance'!$C:$C,$B656,'Daily Issuance'!$E:$E,"Non Inventory"))</f>
        <v>0</v>
      </c>
      <c r="H656" s="51">
        <f t="shared" si="20"/>
        <v>2</v>
      </c>
      <c r="I656" s="187">
        <v>1150</v>
      </c>
      <c r="J656" s="188">
        <f t="shared" si="21"/>
        <v>2300</v>
      </c>
      <c r="K656" s="46"/>
    </row>
    <row r="657" spans="1:11" s="24" customFormat="1" ht="23.1" customHeight="1">
      <c r="A657" s="170">
        <f>IF($B657="","",MAX($A$3:A656)+1)</f>
        <v>654</v>
      </c>
      <c r="B657" s="176">
        <v>12300</v>
      </c>
      <c r="C657" s="177" t="s">
        <v>1353</v>
      </c>
      <c r="D657" s="285" t="s">
        <v>112</v>
      </c>
      <c r="E657" s="281"/>
      <c r="F657" s="283">
        <f>IF($B657="","",SUMIFS('Daily Inward'!$G:$G,'Daily Inward'!$C:$C,$B657,'Daily Inward'!$E:$E,"Non Inventory"))</f>
        <v>6</v>
      </c>
      <c r="G657" s="51">
        <f>IF($B657="","",SUMIFS('Daily Issuance'!$G:$G,'Daily Issuance'!$C:$C,$B657,'Daily Issuance'!$E:$E,"Non Inventory"))</f>
        <v>0</v>
      </c>
      <c r="H657" s="51">
        <f t="shared" si="20"/>
        <v>6</v>
      </c>
      <c r="I657" s="187">
        <v>450</v>
      </c>
      <c r="J657" s="188">
        <f t="shared" si="21"/>
        <v>2700</v>
      </c>
      <c r="K657" s="46"/>
    </row>
    <row r="658" spans="1:11" s="24" customFormat="1" ht="23.1" customHeight="1">
      <c r="A658" s="170">
        <f>IF($B658="","",MAX($A$3:A657)+1)</f>
        <v>655</v>
      </c>
      <c r="B658" s="176">
        <v>24198</v>
      </c>
      <c r="C658" s="177" t="s">
        <v>1406</v>
      </c>
      <c r="D658" s="285" t="s">
        <v>112</v>
      </c>
      <c r="E658" s="281"/>
      <c r="F658" s="283">
        <f>IF($B658="","",SUMIFS('Daily Inward'!$G:$G,'Daily Inward'!$C:$C,$B658,'Daily Inward'!$E:$E,"Non Inventory"))</f>
        <v>10</v>
      </c>
      <c r="G658" s="51">
        <f>IF($B658="","",SUMIFS('Daily Issuance'!$G:$G,'Daily Issuance'!$C:$C,$B658,'Daily Issuance'!$E:$E,"Non Inventory"))</f>
        <v>0</v>
      </c>
      <c r="H658" s="51">
        <f t="shared" si="20"/>
        <v>10</v>
      </c>
      <c r="I658" s="187">
        <v>130</v>
      </c>
      <c r="J658" s="188">
        <f t="shared" si="21"/>
        <v>1300</v>
      </c>
      <c r="K658" s="46"/>
    </row>
    <row r="659" spans="1:11" s="24" customFormat="1" ht="23.1" customHeight="1">
      <c r="A659" s="170">
        <f>IF($B659="","",MAX($A$3:A658)+1)</f>
        <v>656</v>
      </c>
      <c r="B659" s="176">
        <v>27558</v>
      </c>
      <c r="C659" s="177" t="s">
        <v>1407</v>
      </c>
      <c r="D659" s="285" t="s">
        <v>112</v>
      </c>
      <c r="E659" s="281"/>
      <c r="F659" s="283">
        <f>IF($B659="","",SUMIFS('Daily Inward'!$G:$G,'Daily Inward'!$C:$C,$B659,'Daily Inward'!$E:$E,"Non Inventory"))</f>
        <v>10</v>
      </c>
      <c r="G659" s="51">
        <f>IF($B659="","",SUMIFS('Daily Issuance'!$G:$G,'Daily Issuance'!$C:$C,$B659,'Daily Issuance'!$E:$E,"Non Inventory"))</f>
        <v>0</v>
      </c>
      <c r="H659" s="51">
        <f t="shared" si="20"/>
        <v>10</v>
      </c>
      <c r="I659" s="187">
        <v>55</v>
      </c>
      <c r="J659" s="188">
        <f t="shared" si="21"/>
        <v>550</v>
      </c>
      <c r="K659" s="46"/>
    </row>
    <row r="660" spans="1:11" s="24" customFormat="1" ht="23.1" customHeight="1">
      <c r="A660" s="170">
        <f>IF($B660="","",MAX($A$3:A659)+1)</f>
        <v>657</v>
      </c>
      <c r="B660" s="176">
        <v>14863</v>
      </c>
      <c r="C660" s="177" t="s">
        <v>1420</v>
      </c>
      <c r="D660" s="285" t="s">
        <v>112</v>
      </c>
      <c r="E660" s="281"/>
      <c r="F660" s="283">
        <f>IF($B660="","",SUMIFS('Daily Inward'!$G:$G,'Daily Inward'!$C:$C,$B660,'Daily Inward'!$E:$E,"Non Inventory"))</f>
        <v>10</v>
      </c>
      <c r="G660" s="51">
        <f>IF($B660="","",SUMIFS('Daily Issuance'!$G:$G,'Daily Issuance'!$C:$C,$B660,'Daily Issuance'!$E:$E,"Non Inventory"))</f>
        <v>1</v>
      </c>
      <c r="H660" s="51">
        <f t="shared" si="20"/>
        <v>9</v>
      </c>
      <c r="I660" s="187">
        <v>6800</v>
      </c>
      <c r="J660" s="188">
        <f t="shared" si="21"/>
        <v>61200</v>
      </c>
      <c r="K660" s="46" t="s">
        <v>1421</v>
      </c>
    </row>
    <row r="661" spans="1:11" s="24" customFormat="1" ht="23.1" customHeight="1">
      <c r="A661" s="170">
        <f>IF($B661="","",MAX($A$3:A660)+1)</f>
        <v>658</v>
      </c>
      <c r="B661" s="176">
        <v>98370</v>
      </c>
      <c r="C661" s="177" t="s">
        <v>1424</v>
      </c>
      <c r="D661" s="285" t="s">
        <v>112</v>
      </c>
      <c r="E661" s="281"/>
      <c r="F661" s="283">
        <f>IF($B661="","",SUMIFS('Daily Inward'!$G:$G,'Daily Inward'!$C:$C,$B661,'Daily Inward'!$E:$E,"Non Inventory"))</f>
        <v>500</v>
      </c>
      <c r="G661" s="51">
        <f>IF($B661="","",SUMIFS('Daily Issuance'!$G:$G,'Daily Issuance'!$C:$C,$B661,'Daily Issuance'!$E:$E,"Non Inventory"))</f>
        <v>60</v>
      </c>
      <c r="H661" s="51">
        <f t="shared" si="20"/>
        <v>440</v>
      </c>
      <c r="I661" s="187">
        <v>128</v>
      </c>
      <c r="J661" s="188">
        <f t="shared" si="21"/>
        <v>56320</v>
      </c>
      <c r="K661" s="46"/>
    </row>
    <row r="662" spans="1:11" s="24" customFormat="1" ht="23.1" customHeight="1">
      <c r="A662" s="170">
        <f>IF($B662="","",MAX($A$3:A661)+1)</f>
        <v>659</v>
      </c>
      <c r="B662" s="176">
        <v>16516</v>
      </c>
      <c r="C662" s="177" t="s">
        <v>1445</v>
      </c>
      <c r="D662" s="285" t="s">
        <v>112</v>
      </c>
      <c r="E662" s="281"/>
      <c r="F662" s="283">
        <f>IF($B662="","",SUMIFS('Daily Inward'!$G:$G,'Daily Inward'!$C:$C,$B662,'Daily Inward'!$E:$E,"Non Inventory"))</f>
        <v>5</v>
      </c>
      <c r="G662" s="51">
        <f>IF($B662="","",SUMIFS('Daily Issuance'!$G:$G,'Daily Issuance'!$C:$C,$B662,'Daily Issuance'!$E:$E,"Non Inventory"))</f>
        <v>5</v>
      </c>
      <c r="H662" s="51">
        <f t="shared" si="20"/>
        <v>0</v>
      </c>
      <c r="I662" s="187">
        <v>8714.0339999999997</v>
      </c>
      <c r="J662" s="188">
        <f t="shared" si="21"/>
        <v>0</v>
      </c>
      <c r="K662" s="46"/>
    </row>
    <row r="663" spans="1:11" s="24" customFormat="1" ht="23.1" customHeight="1">
      <c r="A663" s="170">
        <f>IF($B663="","",MAX($A$3:A662)+1)</f>
        <v>660</v>
      </c>
      <c r="B663" s="176">
        <v>10830</v>
      </c>
      <c r="C663" s="177" t="s">
        <v>1446</v>
      </c>
      <c r="D663" s="285" t="s">
        <v>112</v>
      </c>
      <c r="E663" s="281"/>
      <c r="F663" s="283">
        <f>IF($B663="","",SUMIFS('Daily Inward'!$G:$G,'Daily Inward'!$C:$C,$B663,'Daily Inward'!$E:$E,"Non Inventory"))</f>
        <v>2</v>
      </c>
      <c r="G663" s="51">
        <f>IF($B663="","",SUMIFS('Daily Issuance'!$G:$G,'Daily Issuance'!$C:$C,$B663,'Daily Issuance'!$E:$E,"Non Inventory"))</f>
        <v>2</v>
      </c>
      <c r="H663" s="51">
        <f t="shared" si="20"/>
        <v>0</v>
      </c>
      <c r="I663" s="187">
        <v>9028.85</v>
      </c>
      <c r="J663" s="188">
        <f t="shared" si="21"/>
        <v>0</v>
      </c>
      <c r="K663" s="46"/>
    </row>
    <row r="664" spans="1:11" s="24" customFormat="1" ht="23.1" customHeight="1">
      <c r="A664" s="170">
        <f>IF($B664="","",MAX($A$3:A663)+1)</f>
        <v>661</v>
      </c>
      <c r="B664" s="176">
        <v>10831</v>
      </c>
      <c r="C664" s="177" t="s">
        <v>1447</v>
      </c>
      <c r="D664" s="285" t="s">
        <v>112</v>
      </c>
      <c r="E664" s="281"/>
      <c r="F664" s="283">
        <f>IF($B664="","",SUMIFS('Daily Inward'!$G:$G,'Daily Inward'!$C:$C,$B664,'Daily Inward'!$E:$E,"Non Inventory"))</f>
        <v>2</v>
      </c>
      <c r="G664" s="51">
        <f>IF($B664="","",SUMIFS('Daily Issuance'!$G:$G,'Daily Issuance'!$C:$C,$B664,'Daily Issuance'!$E:$E,"Non Inventory"))</f>
        <v>2</v>
      </c>
      <c r="H664" s="51">
        <f t="shared" si="20"/>
        <v>0</v>
      </c>
      <c r="I664" s="187">
        <v>23739.17</v>
      </c>
      <c r="J664" s="188">
        <f t="shared" si="21"/>
        <v>0</v>
      </c>
      <c r="K664" s="46"/>
    </row>
    <row r="665" spans="1:11" s="24" customFormat="1" ht="23.1" customHeight="1">
      <c r="A665" s="170">
        <f>IF($B665="","",MAX($A$3:A664)+1)</f>
        <v>662</v>
      </c>
      <c r="B665" s="176">
        <v>10832</v>
      </c>
      <c r="C665" s="177" t="s">
        <v>1448</v>
      </c>
      <c r="D665" s="285" t="s">
        <v>112</v>
      </c>
      <c r="E665" s="281"/>
      <c r="F665" s="283">
        <f>IF($B665="","",SUMIFS('Daily Inward'!$G:$G,'Daily Inward'!$C:$C,$B665,'Daily Inward'!$E:$E,"Non Inventory"))</f>
        <v>2</v>
      </c>
      <c r="G665" s="51">
        <f>IF($B665="","",SUMIFS('Daily Issuance'!$G:$G,'Daily Issuance'!$C:$C,$B665,'Daily Issuance'!$E:$E,"Non Inventory"))</f>
        <v>2</v>
      </c>
      <c r="H665" s="51">
        <f t="shared" si="20"/>
        <v>0</v>
      </c>
      <c r="I665" s="187">
        <v>7242.96</v>
      </c>
      <c r="J665" s="188">
        <f t="shared" si="21"/>
        <v>0</v>
      </c>
      <c r="K665" s="46"/>
    </row>
    <row r="666" spans="1:11" s="24" customFormat="1" ht="23.1" customHeight="1">
      <c r="A666" s="170">
        <f>IF($B666="","",MAX($A$3:A665)+1)</f>
        <v>663</v>
      </c>
      <c r="B666" s="176">
        <v>10833</v>
      </c>
      <c r="C666" s="177" t="s">
        <v>1449</v>
      </c>
      <c r="D666" s="285" t="s">
        <v>112</v>
      </c>
      <c r="E666" s="281"/>
      <c r="F666" s="283">
        <f>IF($B666="","",SUMIFS('Daily Inward'!$G:$G,'Daily Inward'!$C:$C,$B666,'Daily Inward'!$E:$E,"Non Inventory"))</f>
        <v>2</v>
      </c>
      <c r="G666" s="51">
        <f>IF($B666="","",SUMIFS('Daily Issuance'!$G:$G,'Daily Issuance'!$C:$C,$B666,'Daily Issuance'!$E:$E,"Non Inventory"))</f>
        <v>2</v>
      </c>
      <c r="H666" s="51">
        <f t="shared" si="20"/>
        <v>0</v>
      </c>
      <c r="I666" s="187">
        <v>38742.99</v>
      </c>
      <c r="J666" s="188">
        <f t="shared" si="21"/>
        <v>0</v>
      </c>
      <c r="K666" s="46"/>
    </row>
    <row r="667" spans="1:11" s="24" customFormat="1" ht="23.1" customHeight="1">
      <c r="A667" s="170">
        <f>IF($B667="","",MAX($A$3:A666)+1)</f>
        <v>664</v>
      </c>
      <c r="B667" s="176">
        <v>23649</v>
      </c>
      <c r="C667" s="177" t="s">
        <v>1450</v>
      </c>
      <c r="D667" s="285" t="s">
        <v>112</v>
      </c>
      <c r="E667" s="281"/>
      <c r="F667" s="283">
        <f>IF($B667="","",SUMIFS('Daily Inward'!$G:$G,'Daily Inward'!$C:$C,$B667,'Daily Inward'!$E:$E,"Non Inventory"))</f>
        <v>1</v>
      </c>
      <c r="G667" s="51">
        <f>IF($B667="","",SUMIFS('Daily Issuance'!$G:$G,'Daily Issuance'!$C:$C,$B667,'Daily Issuance'!$E:$E,"Non Inventory"))</f>
        <v>1</v>
      </c>
      <c r="H667" s="51">
        <f t="shared" si="20"/>
        <v>0</v>
      </c>
      <c r="I667" s="187">
        <v>237182.7</v>
      </c>
      <c r="J667" s="188">
        <f t="shared" si="21"/>
        <v>0</v>
      </c>
      <c r="K667" s="46"/>
    </row>
    <row r="668" spans="1:11" s="24" customFormat="1" ht="23.1" customHeight="1">
      <c r="A668" s="170">
        <f>IF($B668="","",MAX($A$3:A667)+1)</f>
        <v>665</v>
      </c>
      <c r="B668" s="176">
        <v>27434</v>
      </c>
      <c r="C668" s="177" t="s">
        <v>1533</v>
      </c>
      <c r="D668" s="285" t="s">
        <v>112</v>
      </c>
      <c r="E668" s="281"/>
      <c r="F668" s="283">
        <f>IF($B668="","",SUMIFS('Daily Inward'!$G:$G,'Daily Inward'!$C:$C,$B668,'Daily Inward'!$E:$E,"Non Inventory"))</f>
        <v>3</v>
      </c>
      <c r="G668" s="51">
        <f>IF($B668="","",SUMIFS('Daily Issuance'!$G:$G,'Daily Issuance'!$C:$C,$B668,'Daily Issuance'!$E:$E,"Non Inventory"))</f>
        <v>3</v>
      </c>
      <c r="H668" s="51">
        <f t="shared" si="20"/>
        <v>0</v>
      </c>
      <c r="I668" s="187">
        <v>47000</v>
      </c>
      <c r="J668" s="188">
        <f t="shared" si="21"/>
        <v>0</v>
      </c>
      <c r="K668" s="46"/>
    </row>
    <row r="669" spans="1:11" s="24" customFormat="1" ht="23.1" customHeight="1">
      <c r="A669" s="170">
        <f>IF($B669="","",MAX($A$3:A668)+1)</f>
        <v>666</v>
      </c>
      <c r="B669" s="176">
        <v>9896</v>
      </c>
      <c r="C669" s="177" t="s">
        <v>1547</v>
      </c>
      <c r="D669" s="285" t="s">
        <v>112</v>
      </c>
      <c r="E669" s="281">
        <v>1</v>
      </c>
      <c r="F669" s="283">
        <f>IF($B669="","",SUMIFS('Daily Inward'!$G:$G,'Daily Inward'!$C:$C,$B669,'Daily Inward'!$E:$E,"Non Inventory"))</f>
        <v>0</v>
      </c>
      <c r="G669" s="51">
        <f>IF($B669="","",SUMIFS('Daily Issuance'!$G:$G,'Daily Issuance'!$C:$C,$B669,'Daily Issuance'!$E:$E,"Non Inventory"))</f>
        <v>1</v>
      </c>
      <c r="H669" s="51">
        <f t="shared" si="20"/>
        <v>0</v>
      </c>
      <c r="I669" s="187">
        <v>1482</v>
      </c>
      <c r="J669" s="188">
        <f t="shared" si="21"/>
        <v>0</v>
      </c>
      <c r="K669" s="46"/>
    </row>
    <row r="670" spans="1:11" s="24" customFormat="1" ht="23.1" customHeight="1">
      <c r="A670" s="170">
        <f>IF($B670="","",MAX($A$3:A669)+1)</f>
        <v>667</v>
      </c>
      <c r="B670" s="176">
        <v>15037</v>
      </c>
      <c r="C670" s="177" t="s">
        <v>1548</v>
      </c>
      <c r="D670" s="285" t="s">
        <v>112</v>
      </c>
      <c r="E670" s="281">
        <v>1</v>
      </c>
      <c r="F670" s="283">
        <f>IF($B670="","",SUMIFS('Daily Inward'!$G:$G,'Daily Inward'!$C:$C,$B670,'Daily Inward'!$E:$E,"Non Inventory"))</f>
        <v>0</v>
      </c>
      <c r="G670" s="51">
        <f>IF($B670="","",SUMIFS('Daily Issuance'!$G:$G,'Daily Issuance'!$C:$C,$B670,'Daily Issuance'!$E:$E,"Non Inventory"))</f>
        <v>1</v>
      </c>
      <c r="H670" s="51">
        <f t="shared" si="20"/>
        <v>0</v>
      </c>
      <c r="I670" s="187">
        <v>7100</v>
      </c>
      <c r="J670" s="188">
        <f t="shared" si="21"/>
        <v>0</v>
      </c>
      <c r="K670" s="46"/>
    </row>
    <row r="671" spans="1:11" s="24" customFormat="1" ht="23.1" customHeight="1">
      <c r="A671" s="170">
        <f>IF($B671="","",MAX($A$3:A670)+1)</f>
        <v>668</v>
      </c>
      <c r="B671" s="176">
        <v>15035</v>
      </c>
      <c r="C671" s="177" t="s">
        <v>1549</v>
      </c>
      <c r="D671" s="285" t="s">
        <v>112</v>
      </c>
      <c r="E671" s="281">
        <v>1</v>
      </c>
      <c r="F671" s="283">
        <f>IF($B671="","",SUMIFS('Daily Inward'!$G:$G,'Daily Inward'!$C:$C,$B671,'Daily Inward'!$E:$E,"Non Inventory"))</f>
        <v>0</v>
      </c>
      <c r="G671" s="51">
        <f>IF($B671="","",SUMIFS('Daily Issuance'!$G:$G,'Daily Issuance'!$C:$C,$B671,'Daily Issuance'!$E:$E,"Non Inventory"))</f>
        <v>1</v>
      </c>
      <c r="H671" s="51">
        <f t="shared" si="20"/>
        <v>0</v>
      </c>
      <c r="I671" s="187">
        <v>5550</v>
      </c>
      <c r="J671" s="188">
        <f t="shared" si="21"/>
        <v>0</v>
      </c>
      <c r="K671" s="46"/>
    </row>
    <row r="672" spans="1:11" s="24" customFormat="1" ht="23.1" customHeight="1">
      <c r="A672" s="170">
        <f>IF($B672="","",MAX($A$3:A671)+1)</f>
        <v>669</v>
      </c>
      <c r="B672" s="176">
        <v>15036</v>
      </c>
      <c r="C672" s="177" t="s">
        <v>1550</v>
      </c>
      <c r="D672" s="285" t="s">
        <v>112</v>
      </c>
      <c r="E672" s="281">
        <v>1</v>
      </c>
      <c r="F672" s="283">
        <f>IF($B672="","",SUMIFS('Daily Inward'!$G:$G,'Daily Inward'!$C:$C,$B672,'Daily Inward'!$E:$E,"Non Inventory"))</f>
        <v>0</v>
      </c>
      <c r="G672" s="51">
        <f>IF($B672="","",SUMIFS('Daily Issuance'!$G:$G,'Daily Issuance'!$C:$C,$B672,'Daily Issuance'!$E:$E,"Non Inventory"))</f>
        <v>1</v>
      </c>
      <c r="H672" s="51">
        <f t="shared" si="20"/>
        <v>0</v>
      </c>
      <c r="I672" s="187">
        <v>6100</v>
      </c>
      <c r="J672" s="188">
        <f t="shared" si="21"/>
        <v>0</v>
      </c>
      <c r="K672" s="46"/>
    </row>
    <row r="673" spans="1:11" s="24" customFormat="1" ht="23.1" customHeight="1">
      <c r="A673" s="170">
        <f>IF($B673="","",MAX($A$3:A672)+1)</f>
        <v>670</v>
      </c>
      <c r="B673" s="176">
        <v>7347</v>
      </c>
      <c r="C673" s="177" t="s">
        <v>1551</v>
      </c>
      <c r="D673" s="285" t="s">
        <v>112</v>
      </c>
      <c r="E673" s="281">
        <v>1</v>
      </c>
      <c r="F673" s="283">
        <f>IF($B673="","",SUMIFS('Daily Inward'!$G:$G,'Daily Inward'!$C:$C,$B673,'Daily Inward'!$E:$E,"Non Inventory"))</f>
        <v>0</v>
      </c>
      <c r="G673" s="51">
        <f>IF($B673="","",SUMIFS('Daily Issuance'!$G:$G,'Daily Issuance'!$C:$C,$B673,'Daily Issuance'!$E:$E,"Non Inventory"))</f>
        <v>1</v>
      </c>
      <c r="H673" s="51">
        <f t="shared" si="20"/>
        <v>0</v>
      </c>
      <c r="I673" s="187">
        <v>130</v>
      </c>
      <c r="J673" s="188">
        <f t="shared" si="21"/>
        <v>0</v>
      </c>
      <c r="K673" s="46"/>
    </row>
    <row r="674" spans="1:11" s="24" customFormat="1" ht="23.1" customHeight="1">
      <c r="A674" s="170">
        <f>IF($B674="","",MAX($A$3:A673)+1)</f>
        <v>671</v>
      </c>
      <c r="B674" s="176">
        <v>3466</v>
      </c>
      <c r="C674" s="177" t="s">
        <v>1567</v>
      </c>
      <c r="D674" s="285" t="s">
        <v>112</v>
      </c>
      <c r="E674" s="281"/>
      <c r="F674" s="283">
        <f>IF($B674="","",SUMIFS('Daily Inward'!$G:$G,'Daily Inward'!$C:$C,$B674,'Daily Inward'!$E:$E,"Non Inventory"))</f>
        <v>3</v>
      </c>
      <c r="G674" s="51">
        <f>IF($B674="","",SUMIFS('Daily Issuance'!$G:$G,'Daily Issuance'!$C:$C,$B674,'Daily Issuance'!$E:$E,"Non Inventory"))</f>
        <v>3</v>
      </c>
      <c r="H674" s="51">
        <f t="shared" si="20"/>
        <v>0</v>
      </c>
      <c r="I674" s="187">
        <v>879</v>
      </c>
      <c r="J674" s="188">
        <f t="shared" si="21"/>
        <v>0</v>
      </c>
      <c r="K674" s="46"/>
    </row>
    <row r="675" spans="1:11" s="24" customFormat="1" ht="23.1" customHeight="1">
      <c r="A675" s="170">
        <f>IF($B675="","",MAX($A$3:A674)+1)</f>
        <v>672</v>
      </c>
      <c r="B675" s="176">
        <v>26959</v>
      </c>
      <c r="C675" s="177" t="s">
        <v>1615</v>
      </c>
      <c r="D675" s="285" t="s">
        <v>112</v>
      </c>
      <c r="E675" s="281">
        <v>1</v>
      </c>
      <c r="F675" s="283">
        <f>IF($B675="","",SUMIFS('Daily Inward'!$G:$G,'Daily Inward'!$C:$C,$B675,'Daily Inward'!$E:$E,"Non Inventory"))</f>
        <v>0</v>
      </c>
      <c r="G675" s="51">
        <f>IF($B675="","",SUMIFS('Daily Issuance'!$G:$G,'Daily Issuance'!$C:$C,$B675,'Daily Issuance'!$E:$E,"Non Inventory"))</f>
        <v>1</v>
      </c>
      <c r="H675" s="51">
        <f t="shared" si="20"/>
        <v>0</v>
      </c>
      <c r="I675" s="187">
        <v>5500</v>
      </c>
      <c r="J675" s="188">
        <f t="shared" si="21"/>
        <v>0</v>
      </c>
      <c r="K675" s="46"/>
    </row>
    <row r="676" spans="1:11" s="24" customFormat="1" ht="23.1" customHeight="1">
      <c r="A676" s="170">
        <f>IF($B676="","",MAX($A$3:A675)+1)</f>
        <v>673</v>
      </c>
      <c r="B676" s="176">
        <v>13702</v>
      </c>
      <c r="C676" s="177" t="s">
        <v>1630</v>
      </c>
      <c r="D676" s="285" t="s">
        <v>112</v>
      </c>
      <c r="E676" s="281">
        <v>4</v>
      </c>
      <c r="F676" s="283">
        <f>IF($B676="","",SUMIFS('Daily Inward'!$G:$G,'Daily Inward'!$C:$C,$B676,'Daily Inward'!$E:$E,"Non Inventory"))</f>
        <v>0</v>
      </c>
      <c r="G676" s="51">
        <f>IF($B676="","",SUMIFS('Daily Issuance'!$G:$G,'Daily Issuance'!$C:$C,$B676,'Daily Issuance'!$E:$E,"Non Inventory"))</f>
        <v>2</v>
      </c>
      <c r="H676" s="51">
        <f t="shared" si="20"/>
        <v>2</v>
      </c>
      <c r="I676" s="187">
        <v>3500</v>
      </c>
      <c r="J676" s="188">
        <f t="shared" si="21"/>
        <v>7000</v>
      </c>
      <c r="K676" s="46"/>
    </row>
    <row r="677" spans="1:11" s="24" customFormat="1" ht="23.1" customHeight="1">
      <c r="A677" s="170">
        <f>IF($B677="","",MAX($A$3:A676)+1)</f>
        <v>674</v>
      </c>
      <c r="B677" s="208">
        <v>7770</v>
      </c>
      <c r="C677" s="349" t="s">
        <v>1646</v>
      </c>
      <c r="D677" s="285" t="s">
        <v>102</v>
      </c>
      <c r="E677" s="281"/>
      <c r="F677" s="283">
        <f>IF($B677="","",SUMIFS('Daily Inward'!$G:$G,'Daily Inward'!$C:$C,$B677,'Daily Inward'!$E:$E,"Non Inventory"))</f>
        <v>2</v>
      </c>
      <c r="G677" s="51">
        <f>IF($B677="","",SUMIFS('Daily Issuance'!$G:$G,'Daily Issuance'!$C:$C,$B677,'Daily Issuance'!$E:$E,"Non Inventory"))</f>
        <v>0</v>
      </c>
      <c r="H677" s="51">
        <f t="shared" si="20"/>
        <v>2</v>
      </c>
      <c r="I677" s="350">
        <v>400</v>
      </c>
      <c r="J677" s="188">
        <f t="shared" si="21"/>
        <v>800</v>
      </c>
      <c r="K677" s="46"/>
    </row>
    <row r="678" spans="1:11" s="24" customFormat="1" ht="23.1" customHeight="1">
      <c r="A678" s="170">
        <f>IF($B678="","",MAX($A$3:A677)+1)</f>
        <v>675</v>
      </c>
      <c r="B678" s="208">
        <v>3332</v>
      </c>
      <c r="C678" s="349" t="s">
        <v>1647</v>
      </c>
      <c r="D678" s="285" t="s">
        <v>102</v>
      </c>
      <c r="E678" s="281"/>
      <c r="F678" s="283">
        <f>IF($B678="","",SUMIFS('Daily Inward'!$G:$G,'Daily Inward'!$C:$C,$B678,'Daily Inward'!$E:$E,"Non Inventory"))</f>
        <v>3</v>
      </c>
      <c r="G678" s="51">
        <f>IF($B678="","",SUMIFS('Daily Issuance'!$G:$G,'Daily Issuance'!$C:$C,$B678,'Daily Issuance'!$E:$E,"Non Inventory"))</f>
        <v>3</v>
      </c>
      <c r="H678" s="51">
        <f t="shared" si="20"/>
        <v>0</v>
      </c>
      <c r="I678" s="350">
        <v>700</v>
      </c>
      <c r="J678" s="188">
        <f t="shared" si="21"/>
        <v>0</v>
      </c>
      <c r="K678" s="46"/>
    </row>
    <row r="679" spans="1:11" s="24" customFormat="1" ht="23.1" customHeight="1">
      <c r="A679" s="170">
        <f>IF($B679="","",MAX($A$3:A678)+1)</f>
        <v>676</v>
      </c>
      <c r="B679" s="208">
        <v>24243</v>
      </c>
      <c r="C679" s="349" t="s">
        <v>1648</v>
      </c>
      <c r="D679" s="285" t="s">
        <v>112</v>
      </c>
      <c r="E679" s="281"/>
      <c r="F679" s="283">
        <f>IF($B679="","",SUMIFS('Daily Inward'!$G:$G,'Daily Inward'!$C:$C,$B679,'Daily Inward'!$E:$E,"Non Inventory"))</f>
        <v>2</v>
      </c>
      <c r="G679" s="51">
        <f>IF($B679="","",SUMIFS('Daily Issuance'!$G:$G,'Daily Issuance'!$C:$C,$B679,'Daily Issuance'!$E:$E,"Non Inventory"))</f>
        <v>2</v>
      </c>
      <c r="H679" s="51">
        <f t="shared" si="20"/>
        <v>0</v>
      </c>
      <c r="I679" s="350">
        <v>200</v>
      </c>
      <c r="J679" s="188">
        <f t="shared" si="21"/>
        <v>0</v>
      </c>
      <c r="K679" s="46"/>
    </row>
    <row r="680" spans="1:11" s="24" customFormat="1" ht="23.1" customHeight="1">
      <c r="A680" s="170">
        <f>IF($B680="","",MAX($A$3:A679)+1)</f>
        <v>677</v>
      </c>
      <c r="B680" s="208">
        <v>24242</v>
      </c>
      <c r="C680" s="349" t="s">
        <v>1649</v>
      </c>
      <c r="D680" s="285" t="s">
        <v>112</v>
      </c>
      <c r="E680" s="281"/>
      <c r="F680" s="283">
        <f>IF($B680="","",SUMIFS('Daily Inward'!$G:$G,'Daily Inward'!$C:$C,$B680,'Daily Inward'!$E:$E,"Non Inventory"))</f>
        <v>2</v>
      </c>
      <c r="G680" s="51">
        <f>IF($B680="","",SUMIFS('Daily Issuance'!$G:$G,'Daily Issuance'!$C:$C,$B680,'Daily Issuance'!$E:$E,"Non Inventory"))</f>
        <v>2</v>
      </c>
      <c r="H680" s="51">
        <f t="shared" si="20"/>
        <v>0</v>
      </c>
      <c r="I680" s="350">
        <v>200</v>
      </c>
      <c r="J680" s="188">
        <f t="shared" si="21"/>
        <v>0</v>
      </c>
      <c r="K680" s="46"/>
    </row>
    <row r="681" spans="1:11" s="24" customFormat="1" ht="23.1" customHeight="1">
      <c r="A681" s="170">
        <f>IF($B681="","",MAX($A$3:A680)+1)</f>
        <v>678</v>
      </c>
      <c r="B681" s="208">
        <v>8530</v>
      </c>
      <c r="C681" s="349" t="s">
        <v>1650</v>
      </c>
      <c r="D681" s="285" t="s">
        <v>112</v>
      </c>
      <c r="E681" s="281"/>
      <c r="F681" s="283">
        <f>IF($B681="","",SUMIFS('Daily Inward'!$G:$G,'Daily Inward'!$C:$C,$B681,'Daily Inward'!$E:$E,"Non Inventory"))</f>
        <v>2</v>
      </c>
      <c r="G681" s="51">
        <f>IF($B681="","",SUMIFS('Daily Issuance'!$G:$G,'Daily Issuance'!$C:$C,$B681,'Daily Issuance'!$E:$E,"Non Inventory"))</f>
        <v>0</v>
      </c>
      <c r="H681" s="51">
        <f t="shared" si="20"/>
        <v>2</v>
      </c>
      <c r="I681" s="350">
        <v>400</v>
      </c>
      <c r="J681" s="188">
        <f t="shared" si="21"/>
        <v>800</v>
      </c>
      <c r="K681" s="46"/>
    </row>
    <row r="682" spans="1:11" s="24" customFormat="1" ht="23.1" customHeight="1">
      <c r="A682" s="170">
        <f>IF($B682="","",MAX($A$3:A681)+1)</f>
        <v>679</v>
      </c>
      <c r="B682" s="208">
        <v>10014</v>
      </c>
      <c r="C682" s="349" t="s">
        <v>1651</v>
      </c>
      <c r="D682" s="285" t="s">
        <v>112</v>
      </c>
      <c r="E682" s="281"/>
      <c r="F682" s="283">
        <f>IF($B682="","",SUMIFS('Daily Inward'!$G:$G,'Daily Inward'!$C:$C,$B682,'Daily Inward'!$E:$E,"Non Inventory"))</f>
        <v>1</v>
      </c>
      <c r="G682" s="51">
        <f>IF($B682="","",SUMIFS('Daily Issuance'!$G:$G,'Daily Issuance'!$C:$C,$B682,'Daily Issuance'!$E:$E,"Non Inventory"))</f>
        <v>1</v>
      </c>
      <c r="H682" s="51">
        <f t="shared" si="20"/>
        <v>0</v>
      </c>
      <c r="I682" s="350">
        <v>525</v>
      </c>
      <c r="J682" s="188">
        <f t="shared" si="21"/>
        <v>0</v>
      </c>
      <c r="K682" s="46"/>
    </row>
    <row r="683" spans="1:11" s="24" customFormat="1" ht="23.1" customHeight="1">
      <c r="A683" s="170">
        <f>IF($B683="","",MAX($A$3:A682)+1)</f>
        <v>680</v>
      </c>
      <c r="B683" s="208">
        <v>10012</v>
      </c>
      <c r="C683" s="349" t="s">
        <v>1652</v>
      </c>
      <c r="D683" s="285" t="s">
        <v>112</v>
      </c>
      <c r="E683" s="281"/>
      <c r="F683" s="283">
        <f>IF($B683="","",SUMIFS('Daily Inward'!$G:$G,'Daily Inward'!$C:$C,$B683,'Daily Inward'!$E:$E,"Non Inventory"))</f>
        <v>1</v>
      </c>
      <c r="G683" s="51">
        <f>IF($B683="","",SUMIFS('Daily Issuance'!$G:$G,'Daily Issuance'!$C:$C,$B683,'Daily Issuance'!$E:$E,"Non Inventory"))</f>
        <v>1</v>
      </c>
      <c r="H683" s="51">
        <f t="shared" si="20"/>
        <v>0</v>
      </c>
      <c r="I683" s="350">
        <v>525</v>
      </c>
      <c r="J683" s="188">
        <f t="shared" si="21"/>
        <v>0</v>
      </c>
      <c r="K683" s="46"/>
    </row>
    <row r="684" spans="1:11" s="24" customFormat="1" ht="23.1" customHeight="1">
      <c r="A684" s="170">
        <f>IF($B684="","",MAX($A$3:A683)+1)</f>
        <v>681</v>
      </c>
      <c r="B684" s="208">
        <v>25984</v>
      </c>
      <c r="C684" s="349" t="s">
        <v>1653</v>
      </c>
      <c r="D684" s="285" t="s">
        <v>112</v>
      </c>
      <c r="E684" s="281"/>
      <c r="F684" s="283">
        <f>IF($B684="","",SUMIFS('Daily Inward'!$G:$G,'Daily Inward'!$C:$C,$B684,'Daily Inward'!$E:$E,"Non Inventory"))</f>
        <v>0</v>
      </c>
      <c r="G684" s="51">
        <f>IF($B684="","",SUMIFS('Daily Issuance'!$G:$G,'Daily Issuance'!$C:$C,$B684,'Daily Issuance'!$E:$E,"Non Inventory"))</f>
        <v>0</v>
      </c>
      <c r="H684" s="51">
        <f t="shared" si="20"/>
        <v>0</v>
      </c>
      <c r="I684" s="350">
        <v>95</v>
      </c>
      <c r="J684" s="188">
        <f t="shared" si="21"/>
        <v>0</v>
      </c>
      <c r="K684" s="46"/>
    </row>
    <row r="685" spans="1:11" s="24" customFormat="1" ht="23.1" customHeight="1">
      <c r="A685" s="170">
        <f>IF($B685="","",MAX($A$3:A684)+1)</f>
        <v>682</v>
      </c>
      <c r="B685" s="208">
        <v>25255</v>
      </c>
      <c r="C685" s="349" t="s">
        <v>1654</v>
      </c>
      <c r="D685" s="285" t="s">
        <v>112</v>
      </c>
      <c r="E685" s="281"/>
      <c r="F685" s="283">
        <f>IF($B685="","",SUMIFS('Daily Inward'!$G:$G,'Daily Inward'!$C:$C,$B685,'Daily Inward'!$E:$E,"Non Inventory"))</f>
        <v>3</v>
      </c>
      <c r="G685" s="51">
        <f>IF($B685="","",SUMIFS('Daily Issuance'!$G:$G,'Daily Issuance'!$C:$C,$B685,'Daily Issuance'!$E:$E,"Non Inventory"))</f>
        <v>0</v>
      </c>
      <c r="H685" s="51">
        <f t="shared" si="20"/>
        <v>3</v>
      </c>
      <c r="I685" s="350">
        <v>350</v>
      </c>
      <c r="J685" s="188">
        <f t="shared" si="21"/>
        <v>1050</v>
      </c>
      <c r="K685" s="46"/>
    </row>
    <row r="686" spans="1:11" s="24" customFormat="1" ht="23.1" customHeight="1">
      <c r="A686" s="170">
        <f>IF($B686="","",MAX($A$3:A685)+1)</f>
        <v>683</v>
      </c>
      <c r="B686" s="208">
        <v>25255</v>
      </c>
      <c r="C686" s="349" t="s">
        <v>1654</v>
      </c>
      <c r="D686" s="285" t="s">
        <v>112</v>
      </c>
      <c r="E686" s="281"/>
      <c r="F686" s="283">
        <f>IF($B686="","",SUMIFS('Daily Inward'!$G:$G,'Daily Inward'!$C:$C,$B686,'Daily Inward'!$E:$E,"Non Inventory"))</f>
        <v>3</v>
      </c>
      <c r="G686" s="51">
        <f>IF($B686="","",SUMIFS('Daily Issuance'!$G:$G,'Daily Issuance'!$C:$C,$B686,'Daily Issuance'!$E:$E,"Non Inventory"))</f>
        <v>0</v>
      </c>
      <c r="H686" s="51">
        <f t="shared" si="20"/>
        <v>3</v>
      </c>
      <c r="I686" s="350">
        <v>350</v>
      </c>
      <c r="J686" s="188">
        <f t="shared" si="21"/>
        <v>1050</v>
      </c>
      <c r="K686" s="46"/>
    </row>
    <row r="687" spans="1:11" s="24" customFormat="1" ht="23.1" customHeight="1">
      <c r="A687" s="170">
        <f>IF($B687="","",MAX($A$3:A686)+1)</f>
        <v>684</v>
      </c>
      <c r="B687" s="208">
        <v>2208</v>
      </c>
      <c r="C687" s="349" t="s">
        <v>1655</v>
      </c>
      <c r="D687" s="285" t="s">
        <v>112</v>
      </c>
      <c r="E687" s="281"/>
      <c r="F687" s="283">
        <f>IF($B687="","",SUMIFS('Daily Inward'!$G:$G,'Daily Inward'!$C:$C,$B687,'Daily Inward'!$E:$E,"Non Inventory"))</f>
        <v>3</v>
      </c>
      <c r="G687" s="51">
        <f>IF($B687="","",SUMIFS('Daily Issuance'!$G:$G,'Daily Issuance'!$C:$C,$B687,'Daily Issuance'!$E:$E,"Non Inventory"))</f>
        <v>3</v>
      </c>
      <c r="H687" s="51">
        <f t="shared" si="20"/>
        <v>0</v>
      </c>
      <c r="I687" s="350">
        <v>710</v>
      </c>
      <c r="J687" s="188">
        <f t="shared" si="21"/>
        <v>0</v>
      </c>
      <c r="K687" s="46"/>
    </row>
    <row r="688" spans="1:11" s="24" customFormat="1" ht="23.1" customHeight="1">
      <c r="A688" s="170">
        <f>IF($B688="","",MAX($A$3:A687)+1)</f>
        <v>685</v>
      </c>
      <c r="B688" s="208">
        <v>5916</v>
      </c>
      <c r="C688" s="349" t="s">
        <v>1656</v>
      </c>
      <c r="D688" s="285" t="s">
        <v>112</v>
      </c>
      <c r="E688" s="281"/>
      <c r="F688" s="283">
        <f>IF($B688="","",SUMIFS('Daily Inward'!$G:$G,'Daily Inward'!$C:$C,$B688,'Daily Inward'!$E:$E,"Non Inventory"))</f>
        <v>3</v>
      </c>
      <c r="G688" s="51">
        <f>IF($B688="","",SUMIFS('Daily Issuance'!$G:$G,'Daily Issuance'!$C:$C,$B688,'Daily Issuance'!$E:$E,"Non Inventory"))</f>
        <v>3</v>
      </c>
      <c r="H688" s="51">
        <f t="shared" si="20"/>
        <v>0</v>
      </c>
      <c r="I688" s="350">
        <v>710</v>
      </c>
      <c r="J688" s="188">
        <f t="shared" si="21"/>
        <v>0</v>
      </c>
      <c r="K688" s="46"/>
    </row>
    <row r="689" spans="1:11" s="24" customFormat="1" ht="23.1" customHeight="1">
      <c r="A689" s="170">
        <f>IF($B689="","",MAX($A$3:A688)+1)</f>
        <v>686</v>
      </c>
      <c r="B689" s="208">
        <v>6044</v>
      </c>
      <c r="C689" s="349" t="s">
        <v>1657</v>
      </c>
      <c r="D689" s="285" t="s">
        <v>1046</v>
      </c>
      <c r="E689" s="281"/>
      <c r="F689" s="283">
        <f>IF($B689="","",SUMIFS('Daily Inward'!$G:$G,'Daily Inward'!$C:$C,$B689,'Daily Inward'!$E:$E,"Non Inventory"))</f>
        <v>1</v>
      </c>
      <c r="G689" s="51">
        <f>IF($B689="","",SUMIFS('Daily Issuance'!$G:$G,'Daily Issuance'!$C:$C,$B689,'Daily Issuance'!$E:$E,"Non Inventory"))</f>
        <v>0</v>
      </c>
      <c r="H689" s="51">
        <f t="shared" si="20"/>
        <v>1</v>
      </c>
      <c r="I689" s="350">
        <v>850</v>
      </c>
      <c r="J689" s="188">
        <f t="shared" si="21"/>
        <v>850</v>
      </c>
      <c r="K689" s="46"/>
    </row>
    <row r="690" spans="1:11" s="24" customFormat="1" ht="23.1" customHeight="1">
      <c r="A690" s="170">
        <f>IF($B690="","",MAX($A$3:A689)+1)</f>
        <v>687</v>
      </c>
      <c r="B690" s="208">
        <v>5104</v>
      </c>
      <c r="C690" s="349" t="s">
        <v>1658</v>
      </c>
      <c r="D690" s="285" t="s">
        <v>1046</v>
      </c>
      <c r="E690" s="281"/>
      <c r="F690" s="283">
        <f>IF($B690="","",SUMIFS('Daily Inward'!$G:$G,'Daily Inward'!$C:$C,$B690,'Daily Inward'!$E:$E,"Non Inventory"))</f>
        <v>1</v>
      </c>
      <c r="G690" s="51">
        <f>IF($B690="","",SUMIFS('Daily Issuance'!$G:$G,'Daily Issuance'!$C:$C,$B690,'Daily Issuance'!$E:$E,"Non Inventory"))</f>
        <v>0</v>
      </c>
      <c r="H690" s="51">
        <f t="shared" si="20"/>
        <v>1</v>
      </c>
      <c r="I690" s="350">
        <v>975</v>
      </c>
      <c r="J690" s="188">
        <f t="shared" si="21"/>
        <v>975</v>
      </c>
      <c r="K690" s="46"/>
    </row>
    <row r="691" spans="1:11" s="24" customFormat="1" ht="23.1" customHeight="1">
      <c r="A691" s="170">
        <f>IF($B691="","",MAX($A$3:A690)+1)</f>
        <v>688</v>
      </c>
      <c r="B691" s="176">
        <v>25266</v>
      </c>
      <c r="C691" s="177" t="s">
        <v>1666</v>
      </c>
      <c r="D691" s="285" t="s">
        <v>615</v>
      </c>
      <c r="E691" s="281"/>
      <c r="F691" s="283">
        <f>IF($B691="","",SUMIFS('Daily Inward'!$G:$G,'Daily Inward'!$C:$C,$B691,'Daily Inward'!$E:$E,"Non Inventory"))</f>
        <v>2.5</v>
      </c>
      <c r="G691" s="51">
        <f>IF($B691="","",SUMIFS('Daily Issuance'!$G:$G,'Daily Issuance'!$C:$C,$B691,'Daily Issuance'!$E:$E,"Non Inventory"))</f>
        <v>2.5</v>
      </c>
      <c r="H691" s="51">
        <f t="shared" si="20"/>
        <v>0</v>
      </c>
      <c r="I691" s="187">
        <v>5700</v>
      </c>
      <c r="J691" s="188">
        <f t="shared" si="21"/>
        <v>0</v>
      </c>
      <c r="K691" s="46"/>
    </row>
    <row r="692" spans="1:11" s="24" customFormat="1" ht="23.1" customHeight="1">
      <c r="A692" s="170">
        <f>IF($B692="","",MAX($A$3:A691)+1)</f>
        <v>689</v>
      </c>
      <c r="B692" s="176">
        <v>27529</v>
      </c>
      <c r="C692" s="177" t="s">
        <v>1667</v>
      </c>
      <c r="D692" s="285" t="s">
        <v>112</v>
      </c>
      <c r="E692" s="281"/>
      <c r="F692" s="283">
        <f>IF($B692="","",SUMIFS('Daily Inward'!$G:$G,'Daily Inward'!$C:$C,$B692,'Daily Inward'!$E:$E,"Non Inventory"))</f>
        <v>2</v>
      </c>
      <c r="G692" s="51">
        <f>IF($B692="","",SUMIFS('Daily Issuance'!$G:$G,'Daily Issuance'!$C:$C,$B692,'Daily Issuance'!$E:$E,"Non Inventory"))</f>
        <v>1</v>
      </c>
      <c r="H692" s="51">
        <f t="shared" si="20"/>
        <v>1</v>
      </c>
      <c r="I692" s="187">
        <v>15000</v>
      </c>
      <c r="J692" s="188">
        <f t="shared" si="21"/>
        <v>15000</v>
      </c>
      <c r="K692" s="46"/>
    </row>
    <row r="693" spans="1:11" s="24" customFormat="1" ht="23.1" customHeight="1">
      <c r="A693" s="170">
        <f>IF($B693="","",MAX($A$3:A692)+1)</f>
        <v>690</v>
      </c>
      <c r="B693" s="176">
        <v>16125</v>
      </c>
      <c r="C693" s="177" t="s">
        <v>1760</v>
      </c>
      <c r="D693" s="285" t="s">
        <v>112</v>
      </c>
      <c r="E693" s="281"/>
      <c r="F693" s="283">
        <f>IF($B693="","",SUMIFS('Daily Inward'!$G:$G,'Daily Inward'!$C:$C,$B693,'Daily Inward'!$E:$E,"Non Inventory"))</f>
        <v>1</v>
      </c>
      <c r="G693" s="51">
        <f>IF($B693="","",SUMIFS('Daily Issuance'!$G:$G,'Daily Issuance'!$C:$C,$B693,'Daily Issuance'!$E:$E,"Non Inventory"))</f>
        <v>1</v>
      </c>
      <c r="H693" s="51">
        <f t="shared" si="20"/>
        <v>0</v>
      </c>
      <c r="I693" s="187">
        <v>8400</v>
      </c>
      <c r="J693" s="188">
        <f t="shared" si="21"/>
        <v>0</v>
      </c>
      <c r="K693" s="46"/>
    </row>
    <row r="694" spans="1:11" s="24" customFormat="1" ht="23.1" customHeight="1">
      <c r="A694" s="170">
        <f>IF($B694="","",MAX($A$3:A693)+1)</f>
        <v>691</v>
      </c>
      <c r="B694" s="176">
        <v>16126</v>
      </c>
      <c r="C694" s="177" t="s">
        <v>1761</v>
      </c>
      <c r="D694" s="285" t="s">
        <v>112</v>
      </c>
      <c r="E694" s="281"/>
      <c r="F694" s="283">
        <f>IF($B694="","",SUMIFS('Daily Inward'!$G:$G,'Daily Inward'!$C:$C,$B694,'Daily Inward'!$E:$E,"Non Inventory"))</f>
        <v>1</v>
      </c>
      <c r="G694" s="51">
        <f>IF($B694="","",SUMIFS('Daily Issuance'!$G:$G,'Daily Issuance'!$C:$C,$B694,'Daily Issuance'!$E:$E,"Non Inventory"))</f>
        <v>1</v>
      </c>
      <c r="H694" s="51">
        <f t="shared" si="20"/>
        <v>0</v>
      </c>
      <c r="I694" s="187">
        <v>5850</v>
      </c>
      <c r="J694" s="188">
        <f t="shared" si="21"/>
        <v>0</v>
      </c>
      <c r="K694" s="46"/>
    </row>
    <row r="695" spans="1:11" s="24" customFormat="1" ht="23.1" customHeight="1">
      <c r="A695" s="170">
        <f>IF($B695="","",MAX($A$3:A694)+1)</f>
        <v>692</v>
      </c>
      <c r="B695" s="176">
        <v>16127</v>
      </c>
      <c r="C695" s="177" t="s">
        <v>1762</v>
      </c>
      <c r="D695" s="285" t="s">
        <v>112</v>
      </c>
      <c r="E695" s="281"/>
      <c r="F695" s="283">
        <f>IF($B695="","",SUMIFS('Daily Inward'!$G:$G,'Daily Inward'!$C:$C,$B695,'Daily Inward'!$E:$E,"Non Inventory"))</f>
        <v>1</v>
      </c>
      <c r="G695" s="51">
        <f>IF($B695="","",SUMIFS('Daily Issuance'!$G:$G,'Daily Issuance'!$C:$C,$B695,'Daily Issuance'!$E:$E,"Non Inventory"))</f>
        <v>1</v>
      </c>
      <c r="H695" s="51">
        <f t="shared" si="20"/>
        <v>0</v>
      </c>
      <c r="I695" s="187">
        <v>28500</v>
      </c>
      <c r="J695" s="188">
        <f t="shared" si="21"/>
        <v>0</v>
      </c>
      <c r="K695" s="46"/>
    </row>
    <row r="696" spans="1:11" s="24" customFormat="1" ht="23.1" customHeight="1">
      <c r="A696" s="170">
        <f>IF($B696="","",MAX($A$3:A695)+1)</f>
        <v>693</v>
      </c>
      <c r="B696" s="176">
        <v>3876</v>
      </c>
      <c r="C696" s="177" t="s">
        <v>1763</v>
      </c>
      <c r="D696" s="285" t="s">
        <v>672</v>
      </c>
      <c r="E696" s="281"/>
      <c r="F696" s="283">
        <f>IF($B696="","",SUMIFS('Daily Inward'!$G:$G,'Daily Inward'!$C:$C,$B696,'Daily Inward'!$E:$E,"Non Inventory"))</f>
        <v>20</v>
      </c>
      <c r="G696" s="51">
        <f>IF($B696="","",SUMIFS('Daily Issuance'!$G:$G,'Daily Issuance'!$C:$C,$B696,'Daily Issuance'!$E:$E,"Non Inventory"))</f>
        <v>20</v>
      </c>
      <c r="H696" s="51">
        <f t="shared" si="20"/>
        <v>0</v>
      </c>
      <c r="I696" s="187">
        <v>1300</v>
      </c>
      <c r="J696" s="188">
        <f t="shared" si="21"/>
        <v>0</v>
      </c>
      <c r="K696" s="46"/>
    </row>
    <row r="697" spans="1:11" s="24" customFormat="1" ht="23.1" customHeight="1">
      <c r="A697" s="170" t="str">
        <f>IF($B697="","",MAX($A$3:A696)+1)</f>
        <v/>
      </c>
      <c r="B697" s="176"/>
      <c r="C697" s="177"/>
      <c r="D697" s="285"/>
      <c r="E697" s="281"/>
      <c r="F697" s="283" t="str">
        <f>IF($B697="","",SUMIFS('Daily Inward'!$G:$G,'Daily Inward'!$C:$C,$B697,'Daily Inward'!$E:$E,"Non Inventory"))</f>
        <v/>
      </c>
      <c r="G697" s="51" t="str">
        <f>IF($B697="","",SUMIFS('Daily Issuance'!$G:$G,'Daily Issuance'!$C:$C,$B697,'Daily Issuance'!$E:$E,"Non Inventory"))</f>
        <v/>
      </c>
      <c r="H697" s="51" t="str">
        <f t="shared" si="20"/>
        <v/>
      </c>
      <c r="I697" s="187"/>
      <c r="J697" s="188" t="str">
        <f t="shared" si="21"/>
        <v/>
      </c>
      <c r="K697" s="46"/>
    </row>
    <row r="698" spans="1:11" s="24" customFormat="1" ht="23.1" customHeight="1">
      <c r="A698" s="170" t="str">
        <f>IF($B698="","",MAX($A$3:A697)+1)</f>
        <v/>
      </c>
      <c r="B698" s="176"/>
      <c r="C698" s="177"/>
      <c r="D698" s="285"/>
      <c r="E698" s="281"/>
      <c r="F698" s="283" t="str">
        <f>IF($B698="","",SUMIFS('Daily Inward'!$G:$G,'Daily Inward'!$C:$C,$B698,'Daily Inward'!$E:$E,"Non Inventory"))</f>
        <v/>
      </c>
      <c r="G698" s="51" t="str">
        <f>IF($B698="","",SUMIFS('Daily Issuance'!$G:$G,'Daily Issuance'!$C:$C,$B698,'Daily Issuance'!$E:$E,"Non Inventory"))</f>
        <v/>
      </c>
      <c r="H698" s="51" t="str">
        <f t="shared" si="20"/>
        <v/>
      </c>
      <c r="I698" s="187"/>
      <c r="J698" s="188" t="str">
        <f t="shared" si="21"/>
        <v/>
      </c>
      <c r="K698" s="46"/>
    </row>
    <row r="699" spans="1:11" s="24" customFormat="1" ht="23.1" customHeight="1">
      <c r="A699" s="170" t="str">
        <f>IF($B699="","",MAX($A$3:A698)+1)</f>
        <v/>
      </c>
      <c r="B699" s="176"/>
      <c r="C699" s="177"/>
      <c r="D699" s="285"/>
      <c r="E699" s="281"/>
      <c r="F699" s="283" t="str">
        <f>IF($B699="","",SUMIFS('Daily Inward'!$G:$G,'Daily Inward'!$C:$C,$B699,'Daily Inward'!$E:$E,"Non Inventory"))</f>
        <v/>
      </c>
      <c r="G699" s="51" t="str">
        <f>IF($B699="","",SUMIFS('Daily Issuance'!$G:$G,'Daily Issuance'!$C:$C,$B699,'Daily Issuance'!$E:$E,"Non Inventory"))</f>
        <v/>
      </c>
      <c r="H699" s="51" t="str">
        <f t="shared" si="20"/>
        <v/>
      </c>
      <c r="I699" s="187"/>
      <c r="J699" s="188" t="str">
        <f t="shared" si="21"/>
        <v/>
      </c>
      <c r="K699" s="46"/>
    </row>
    <row r="700" spans="1:11" s="24" customFormat="1" ht="23.1" customHeight="1">
      <c r="A700" s="170" t="str">
        <f>IF($B700="","",MAX($A$3:A699)+1)</f>
        <v/>
      </c>
      <c r="B700" s="176"/>
      <c r="C700" s="177"/>
      <c r="D700" s="285"/>
      <c r="E700" s="281"/>
      <c r="F700" s="283" t="str">
        <f>IF($B700="","",SUMIFS('Daily Inward'!$G:$G,'Daily Inward'!$C:$C,$B700,'Daily Inward'!$E:$E,"Non Inventory"))</f>
        <v/>
      </c>
      <c r="G700" s="51" t="str">
        <f>IF($B700="","",SUMIFS('Daily Issuance'!$G:$G,'Daily Issuance'!$C:$C,$B700,'Daily Issuance'!$E:$E,"Non Inventory"))</f>
        <v/>
      </c>
      <c r="H700" s="51" t="str">
        <f t="shared" si="20"/>
        <v/>
      </c>
      <c r="I700" s="187"/>
      <c r="J700" s="188" t="str">
        <f t="shared" si="21"/>
        <v/>
      </c>
      <c r="K700" s="46"/>
    </row>
    <row r="701" spans="1:11" s="24" customFormat="1" ht="23.1" customHeight="1">
      <c r="A701" s="170" t="str">
        <f>IF($B701="","",MAX($A$3:A700)+1)</f>
        <v/>
      </c>
      <c r="B701" s="176"/>
      <c r="C701" s="177"/>
      <c r="D701" s="285"/>
      <c r="E701" s="281"/>
      <c r="F701" s="283" t="str">
        <f>IF($B701="","",SUMIFS('Daily Inward'!$G:$G,'Daily Inward'!$C:$C,$B701,'Daily Inward'!$E:$E,"Non Inventory"))</f>
        <v/>
      </c>
      <c r="G701" s="51" t="str">
        <f>IF($B701="","",SUMIFS('Daily Issuance'!$G:$G,'Daily Issuance'!$C:$C,$B701,'Daily Issuance'!$E:$E,"Non Inventory"))</f>
        <v/>
      </c>
      <c r="H701" s="51" t="str">
        <f t="shared" si="20"/>
        <v/>
      </c>
      <c r="I701" s="187"/>
      <c r="J701" s="188" t="str">
        <f t="shared" si="21"/>
        <v/>
      </c>
      <c r="K701" s="46"/>
    </row>
    <row r="702" spans="1:11" s="24" customFormat="1" ht="23.1" customHeight="1">
      <c r="A702" s="170" t="str">
        <f>IF($B702="","",MAX($A$3:A701)+1)</f>
        <v/>
      </c>
      <c r="B702" s="176"/>
      <c r="C702" s="177"/>
      <c r="D702" s="285"/>
      <c r="E702" s="281"/>
      <c r="F702" s="283" t="str">
        <f>IF($B702="","",SUMIFS('Daily Inward'!$G:$G,'Daily Inward'!$C:$C,$B702,'Daily Inward'!$E:$E,"Non Inventory"))</f>
        <v/>
      </c>
      <c r="G702" s="51" t="str">
        <f>IF($B702="","",SUMIFS('Daily Issuance'!$G:$G,'Daily Issuance'!$C:$C,$B702,'Daily Issuance'!$E:$E,"Non Inventory"))</f>
        <v/>
      </c>
      <c r="H702" s="51" t="str">
        <f t="shared" ref="H702:H765" si="22">IF($B702="","",N(E702)+N(F702)-N(G702))</f>
        <v/>
      </c>
      <c r="I702" s="187"/>
      <c r="J702" s="188" t="str">
        <f t="shared" ref="J702:J765" si="23">IF($B702="","",H702*I702)</f>
        <v/>
      </c>
      <c r="K702" s="46"/>
    </row>
    <row r="703" spans="1:11" s="24" customFormat="1" ht="23.1" customHeight="1">
      <c r="A703" s="170" t="str">
        <f>IF($B703="","",MAX($A$3:A702)+1)</f>
        <v/>
      </c>
      <c r="B703" s="176"/>
      <c r="C703" s="177"/>
      <c r="D703" s="285"/>
      <c r="E703" s="281"/>
      <c r="F703" s="283" t="str">
        <f>IF($B703="","",SUMIFS('Daily Inward'!$G:$G,'Daily Inward'!$C:$C,$B703,'Daily Inward'!$E:$E,"Non Inventory"))</f>
        <v/>
      </c>
      <c r="G703" s="51" t="str">
        <f>IF($B703="","",SUMIFS('Daily Issuance'!$G:$G,'Daily Issuance'!$C:$C,$B703,'Daily Issuance'!$E:$E,"Non Inventory"))</f>
        <v/>
      </c>
      <c r="H703" s="51" t="str">
        <f t="shared" si="22"/>
        <v/>
      </c>
      <c r="I703" s="187"/>
      <c r="J703" s="188" t="str">
        <f t="shared" si="23"/>
        <v/>
      </c>
      <c r="K703" s="46"/>
    </row>
    <row r="704" spans="1:11" s="24" customFormat="1" ht="23.1" customHeight="1">
      <c r="A704" s="170" t="str">
        <f>IF($B704="","",MAX($A$3:A703)+1)</f>
        <v/>
      </c>
      <c r="B704" s="176"/>
      <c r="C704" s="177"/>
      <c r="D704" s="285"/>
      <c r="E704" s="281"/>
      <c r="F704" s="283" t="str">
        <f>IF($B704="","",SUMIFS('Daily Inward'!$G:$G,'Daily Inward'!$C:$C,$B704,'Daily Inward'!$E:$E,"Non Inventory"))</f>
        <v/>
      </c>
      <c r="G704" s="51" t="str">
        <f>IF($B704="","",SUMIFS('Daily Issuance'!$G:$G,'Daily Issuance'!$C:$C,$B704,'Daily Issuance'!$E:$E,"Non Inventory"))</f>
        <v/>
      </c>
      <c r="H704" s="51" t="str">
        <f t="shared" si="22"/>
        <v/>
      </c>
      <c r="I704" s="187"/>
      <c r="J704" s="188" t="str">
        <f t="shared" si="23"/>
        <v/>
      </c>
      <c r="K704" s="46"/>
    </row>
    <row r="705" spans="1:11" s="24" customFormat="1" ht="23.1" customHeight="1">
      <c r="A705" s="170" t="str">
        <f>IF($B705="","",MAX($A$3:A704)+1)</f>
        <v/>
      </c>
      <c r="B705" s="176"/>
      <c r="C705" s="177"/>
      <c r="D705" s="285"/>
      <c r="E705" s="281"/>
      <c r="F705" s="283" t="str">
        <f>IF($B705="","",SUMIFS('Daily Inward'!$G:$G,'Daily Inward'!$C:$C,$B705,'Daily Inward'!$E:$E,"Non Inventory"))</f>
        <v/>
      </c>
      <c r="G705" s="51" t="str">
        <f>IF($B705="","",SUMIFS('Daily Issuance'!$G:$G,'Daily Issuance'!$C:$C,$B705,'Daily Issuance'!$E:$E,"Non Inventory"))</f>
        <v/>
      </c>
      <c r="H705" s="51" t="str">
        <f t="shared" si="22"/>
        <v/>
      </c>
      <c r="I705" s="187"/>
      <c r="J705" s="188" t="str">
        <f t="shared" si="23"/>
        <v/>
      </c>
      <c r="K705" s="46"/>
    </row>
    <row r="706" spans="1:11" s="24" customFormat="1" ht="23.1" customHeight="1">
      <c r="A706" s="170" t="str">
        <f>IF($B706="","",MAX($A$3:A705)+1)</f>
        <v/>
      </c>
      <c r="B706" s="176"/>
      <c r="C706" s="177"/>
      <c r="D706" s="285"/>
      <c r="E706" s="281"/>
      <c r="F706" s="283" t="str">
        <f>IF($B706="","",SUMIFS('Daily Inward'!$G:$G,'Daily Inward'!$C:$C,$B706,'Daily Inward'!$E:$E,"Non Inventory"))</f>
        <v/>
      </c>
      <c r="G706" s="51" t="str">
        <f>IF($B706="","",SUMIFS('Daily Issuance'!$G:$G,'Daily Issuance'!$C:$C,$B706,'Daily Issuance'!$E:$E,"Non Inventory"))</f>
        <v/>
      </c>
      <c r="H706" s="51" t="str">
        <f t="shared" si="22"/>
        <v/>
      </c>
      <c r="I706" s="187"/>
      <c r="J706" s="188" t="str">
        <f t="shared" si="23"/>
        <v/>
      </c>
      <c r="K706" s="46"/>
    </row>
    <row r="707" spans="1:11" s="24" customFormat="1" ht="23.1" customHeight="1">
      <c r="A707" s="170" t="str">
        <f>IF($B707="","",MAX($A$3:A706)+1)</f>
        <v/>
      </c>
      <c r="B707" s="176"/>
      <c r="C707" s="177"/>
      <c r="D707" s="285"/>
      <c r="E707" s="281"/>
      <c r="F707" s="283" t="str">
        <f>IF($B707="","",SUMIFS('Daily Inward'!$G:$G,'Daily Inward'!$C:$C,$B707,'Daily Inward'!$E:$E,"Non Inventory"))</f>
        <v/>
      </c>
      <c r="G707" s="51" t="str">
        <f>IF($B707="","",SUMIFS('Daily Issuance'!$G:$G,'Daily Issuance'!$C:$C,$B707,'Daily Issuance'!$E:$E,"Non Inventory"))</f>
        <v/>
      </c>
      <c r="H707" s="51" t="str">
        <f t="shared" si="22"/>
        <v/>
      </c>
      <c r="I707" s="187"/>
      <c r="J707" s="188" t="str">
        <f t="shared" si="23"/>
        <v/>
      </c>
      <c r="K707" s="46"/>
    </row>
    <row r="708" spans="1:11" s="24" customFormat="1" ht="23.1" customHeight="1">
      <c r="A708" s="170" t="str">
        <f>IF($B708="","",MAX($A$3:A707)+1)</f>
        <v/>
      </c>
      <c r="B708" s="176"/>
      <c r="C708" s="177"/>
      <c r="D708" s="285"/>
      <c r="E708" s="281"/>
      <c r="F708" s="283" t="str">
        <f>IF($B708="","",SUMIFS('Daily Inward'!$G:$G,'Daily Inward'!$C:$C,$B708,'Daily Inward'!$E:$E,"Non Inventory"))</f>
        <v/>
      </c>
      <c r="G708" s="51" t="str">
        <f>IF($B708="","",SUMIFS('Daily Issuance'!$G:$G,'Daily Issuance'!$C:$C,$B708,'Daily Issuance'!$E:$E,"Non Inventory"))</f>
        <v/>
      </c>
      <c r="H708" s="51" t="str">
        <f t="shared" si="22"/>
        <v/>
      </c>
      <c r="I708" s="187"/>
      <c r="J708" s="188" t="str">
        <f t="shared" si="23"/>
        <v/>
      </c>
      <c r="K708" s="46"/>
    </row>
    <row r="709" spans="1:11" s="24" customFormat="1" ht="23.1" customHeight="1">
      <c r="A709" s="170" t="str">
        <f>IF($B709="","",MAX($A$3:A708)+1)</f>
        <v/>
      </c>
      <c r="B709" s="176"/>
      <c r="C709" s="177"/>
      <c r="D709" s="285"/>
      <c r="E709" s="281"/>
      <c r="F709" s="283" t="str">
        <f>IF($B709="","",SUMIFS('Daily Inward'!$G:$G,'Daily Inward'!$C:$C,$B709,'Daily Inward'!$E:$E,"Non Inventory"))</f>
        <v/>
      </c>
      <c r="G709" s="51" t="str">
        <f>IF($B709="","",SUMIFS('Daily Issuance'!$G:$G,'Daily Issuance'!$C:$C,$B709,'Daily Issuance'!$E:$E,"Non Inventory"))</f>
        <v/>
      </c>
      <c r="H709" s="51" t="str">
        <f t="shared" si="22"/>
        <v/>
      </c>
      <c r="I709" s="187"/>
      <c r="J709" s="188" t="str">
        <f t="shared" si="23"/>
        <v/>
      </c>
      <c r="K709" s="46"/>
    </row>
    <row r="710" spans="1:11" s="24" customFormat="1" ht="23.1" customHeight="1">
      <c r="A710" s="170" t="str">
        <f>IF($B710="","",MAX($A$3:A709)+1)</f>
        <v/>
      </c>
      <c r="B710" s="176"/>
      <c r="C710" s="177"/>
      <c r="D710" s="285"/>
      <c r="E710" s="281"/>
      <c r="F710" s="283" t="str">
        <f>IF($B710="","",SUMIFS('Daily Inward'!$G:$G,'Daily Inward'!$C:$C,$B710,'Daily Inward'!$E:$E,"Non Inventory"))</f>
        <v/>
      </c>
      <c r="G710" s="51" t="str">
        <f>IF($B710="","",SUMIFS('Daily Issuance'!$G:$G,'Daily Issuance'!$C:$C,$B710,'Daily Issuance'!$E:$E,"Non Inventory"))</f>
        <v/>
      </c>
      <c r="H710" s="51" t="str">
        <f t="shared" si="22"/>
        <v/>
      </c>
      <c r="I710" s="187"/>
      <c r="J710" s="188" t="str">
        <f t="shared" si="23"/>
        <v/>
      </c>
      <c r="K710" s="46"/>
    </row>
    <row r="711" spans="1:11" s="24" customFormat="1" ht="23.1" customHeight="1">
      <c r="A711" s="170" t="str">
        <f>IF($B711="","",MAX($A$3:A710)+1)</f>
        <v/>
      </c>
      <c r="B711" s="176"/>
      <c r="C711" s="177"/>
      <c r="D711" s="285"/>
      <c r="E711" s="281"/>
      <c r="F711" s="283" t="str">
        <f>IF($B711="","",SUMIFS('Daily Inward'!$G:$G,'Daily Inward'!$C:$C,$B711,'Daily Inward'!$E:$E,"Non Inventory"))</f>
        <v/>
      </c>
      <c r="G711" s="51" t="str">
        <f>IF($B711="","",SUMIFS('Daily Issuance'!$G:$G,'Daily Issuance'!$C:$C,$B711,'Daily Issuance'!$E:$E,"Non Inventory"))</f>
        <v/>
      </c>
      <c r="H711" s="51" t="str">
        <f t="shared" si="22"/>
        <v/>
      </c>
      <c r="I711" s="187"/>
      <c r="J711" s="188" t="str">
        <f t="shared" si="23"/>
        <v/>
      </c>
      <c r="K711" s="46"/>
    </row>
    <row r="712" spans="1:11" s="24" customFormat="1" ht="23.1" customHeight="1">
      <c r="A712" s="170" t="str">
        <f>IF($B712="","",MAX($A$3:A711)+1)</f>
        <v/>
      </c>
      <c r="B712" s="176"/>
      <c r="C712" s="177"/>
      <c r="D712" s="285"/>
      <c r="E712" s="281"/>
      <c r="F712" s="283" t="str">
        <f>IF($B712="","",SUMIFS('Daily Inward'!$G:$G,'Daily Inward'!$C:$C,$B712,'Daily Inward'!$E:$E,"Non Inventory"))</f>
        <v/>
      </c>
      <c r="G712" s="51" t="str">
        <f>IF($B712="","",SUMIFS('Daily Issuance'!$G:$G,'Daily Issuance'!$C:$C,$B712,'Daily Issuance'!$E:$E,"Non Inventory"))</f>
        <v/>
      </c>
      <c r="H712" s="51" t="str">
        <f t="shared" si="22"/>
        <v/>
      </c>
      <c r="I712" s="187"/>
      <c r="J712" s="188" t="str">
        <f t="shared" si="23"/>
        <v/>
      </c>
      <c r="K712" s="46"/>
    </row>
    <row r="713" spans="1:11" s="24" customFormat="1" ht="23.1" customHeight="1">
      <c r="A713" s="170" t="str">
        <f>IF($B713="","",MAX($A$3:A712)+1)</f>
        <v/>
      </c>
      <c r="B713" s="176"/>
      <c r="C713" s="177"/>
      <c r="D713" s="285"/>
      <c r="E713" s="281"/>
      <c r="F713" s="283" t="str">
        <f>IF($B713="","",SUMIFS('Daily Inward'!$G:$G,'Daily Inward'!$C:$C,$B713,'Daily Inward'!$E:$E,"Non Inventory"))</f>
        <v/>
      </c>
      <c r="G713" s="51" t="str">
        <f>IF($B713="","",SUMIFS('Daily Issuance'!$G:$G,'Daily Issuance'!$C:$C,$B713,'Daily Issuance'!$E:$E,"Non Inventory"))</f>
        <v/>
      </c>
      <c r="H713" s="51" t="str">
        <f t="shared" si="22"/>
        <v/>
      </c>
      <c r="I713" s="187"/>
      <c r="J713" s="188" t="str">
        <f t="shared" si="23"/>
        <v/>
      </c>
      <c r="K713" s="46"/>
    </row>
    <row r="714" spans="1:11" s="24" customFormat="1" ht="23.1" customHeight="1">
      <c r="A714" s="170" t="str">
        <f>IF($B714="","",MAX($A$3:A713)+1)</f>
        <v/>
      </c>
      <c r="B714" s="176"/>
      <c r="C714" s="177"/>
      <c r="D714" s="285"/>
      <c r="E714" s="281"/>
      <c r="F714" s="283" t="str">
        <f>IF($B714="","",SUMIFS('Daily Inward'!$G:$G,'Daily Inward'!$C:$C,$B714,'Daily Inward'!$E:$E,"Non Inventory"))</f>
        <v/>
      </c>
      <c r="G714" s="51" t="str">
        <f>IF($B714="","",SUMIFS('Daily Issuance'!$G:$G,'Daily Issuance'!$C:$C,$B714,'Daily Issuance'!$E:$E,"Non Inventory"))</f>
        <v/>
      </c>
      <c r="H714" s="51" t="str">
        <f t="shared" si="22"/>
        <v/>
      </c>
      <c r="I714" s="187"/>
      <c r="J714" s="188" t="str">
        <f t="shared" si="23"/>
        <v/>
      </c>
      <c r="K714" s="46"/>
    </row>
    <row r="715" spans="1:11" s="24" customFormat="1" ht="23.1" customHeight="1">
      <c r="A715" s="170" t="str">
        <f>IF($B715="","",MAX($A$3:A714)+1)</f>
        <v/>
      </c>
      <c r="B715" s="176"/>
      <c r="C715" s="177"/>
      <c r="D715" s="285"/>
      <c r="E715" s="281"/>
      <c r="F715" s="283" t="str">
        <f>IF($B715="","",SUMIFS('Daily Inward'!$G:$G,'Daily Inward'!$C:$C,$B715,'Daily Inward'!$E:$E,"Non Inventory"))</f>
        <v/>
      </c>
      <c r="G715" s="51" t="str">
        <f>IF($B715="","",SUMIFS('Daily Issuance'!$G:$G,'Daily Issuance'!$C:$C,$B715,'Daily Issuance'!$E:$E,"Non Inventory"))</f>
        <v/>
      </c>
      <c r="H715" s="51" t="str">
        <f t="shared" si="22"/>
        <v/>
      </c>
      <c r="I715" s="187"/>
      <c r="J715" s="188" t="str">
        <f t="shared" si="23"/>
        <v/>
      </c>
      <c r="K715" s="46"/>
    </row>
    <row r="716" spans="1:11" s="24" customFormat="1" ht="23.1" customHeight="1">
      <c r="A716" s="170" t="str">
        <f>IF($B716="","",MAX($A$3:A715)+1)</f>
        <v/>
      </c>
      <c r="B716" s="176"/>
      <c r="C716" s="177"/>
      <c r="D716" s="285"/>
      <c r="E716" s="281"/>
      <c r="F716" s="283" t="str">
        <f>IF($B716="","",SUMIFS('Daily Inward'!$G:$G,'Daily Inward'!$C:$C,$B716,'Daily Inward'!$E:$E,"Non Inventory"))</f>
        <v/>
      </c>
      <c r="G716" s="51" t="str">
        <f>IF($B716="","",SUMIFS('Daily Issuance'!$G:$G,'Daily Issuance'!$C:$C,$B716,'Daily Issuance'!$E:$E,"Non Inventory"))</f>
        <v/>
      </c>
      <c r="H716" s="51" t="str">
        <f t="shared" si="22"/>
        <v/>
      </c>
      <c r="I716" s="187"/>
      <c r="J716" s="188" t="str">
        <f t="shared" si="23"/>
        <v/>
      </c>
      <c r="K716" s="46"/>
    </row>
    <row r="717" spans="1:11" s="24" customFormat="1" ht="23.1" customHeight="1">
      <c r="A717" s="170" t="str">
        <f>IF($B717="","",MAX($A$3:A716)+1)</f>
        <v/>
      </c>
      <c r="B717" s="176"/>
      <c r="C717" s="177"/>
      <c r="D717" s="285"/>
      <c r="E717" s="281"/>
      <c r="F717" s="283" t="str">
        <f>IF($B717="","",SUMIFS('Daily Inward'!$G:$G,'Daily Inward'!$C:$C,$B717,'Daily Inward'!$E:$E,"Non Inventory"))</f>
        <v/>
      </c>
      <c r="G717" s="51" t="str">
        <f>IF($B717="","",SUMIFS('Daily Issuance'!$G:$G,'Daily Issuance'!$C:$C,$B717,'Daily Issuance'!$E:$E,"Non Inventory"))</f>
        <v/>
      </c>
      <c r="H717" s="51" t="str">
        <f t="shared" si="22"/>
        <v/>
      </c>
      <c r="I717" s="187"/>
      <c r="J717" s="188" t="str">
        <f t="shared" si="23"/>
        <v/>
      </c>
      <c r="K717" s="46"/>
    </row>
    <row r="718" spans="1:11" s="24" customFormat="1" ht="23.1" customHeight="1">
      <c r="A718" s="170" t="str">
        <f>IF($B718="","",MAX($A$3:A717)+1)</f>
        <v/>
      </c>
      <c r="B718" s="176"/>
      <c r="C718" s="177"/>
      <c r="D718" s="285"/>
      <c r="E718" s="281"/>
      <c r="F718" s="283" t="str">
        <f>IF($B718="","",SUMIFS('Daily Inward'!$G:$G,'Daily Inward'!$C:$C,$B718,'Daily Inward'!$E:$E,"Non Inventory"))</f>
        <v/>
      </c>
      <c r="G718" s="51" t="str">
        <f>IF($B718="","",SUMIFS('Daily Issuance'!$G:$G,'Daily Issuance'!$C:$C,$B718,'Daily Issuance'!$E:$E,"Non Inventory"))</f>
        <v/>
      </c>
      <c r="H718" s="51" t="str">
        <f t="shared" si="22"/>
        <v/>
      </c>
      <c r="I718" s="187"/>
      <c r="J718" s="188" t="str">
        <f t="shared" si="23"/>
        <v/>
      </c>
      <c r="K718" s="46"/>
    </row>
    <row r="719" spans="1:11" s="24" customFormat="1" ht="23.1" customHeight="1">
      <c r="A719" s="170" t="str">
        <f>IF($B719="","",MAX($A$3:A718)+1)</f>
        <v/>
      </c>
      <c r="B719" s="176"/>
      <c r="C719" s="177"/>
      <c r="D719" s="285"/>
      <c r="E719" s="281"/>
      <c r="F719" s="283" t="str">
        <f>IF($B719="","",SUMIFS('Daily Inward'!$G:$G,'Daily Inward'!$C:$C,$B719,'Daily Inward'!$E:$E,"Non Inventory"))</f>
        <v/>
      </c>
      <c r="G719" s="51" t="str">
        <f>IF($B719="","",SUMIFS('Daily Issuance'!$G:$G,'Daily Issuance'!$C:$C,$B719,'Daily Issuance'!$E:$E,"Non Inventory"))</f>
        <v/>
      </c>
      <c r="H719" s="51" t="str">
        <f t="shared" si="22"/>
        <v/>
      </c>
      <c r="I719" s="187"/>
      <c r="J719" s="188" t="str">
        <f t="shared" si="23"/>
        <v/>
      </c>
      <c r="K719" s="46"/>
    </row>
    <row r="720" spans="1:11" s="24" customFormat="1" ht="23.1" customHeight="1">
      <c r="A720" s="170" t="str">
        <f>IF($B720="","",MAX($A$3:A719)+1)</f>
        <v/>
      </c>
      <c r="B720" s="176"/>
      <c r="C720" s="177"/>
      <c r="D720" s="285"/>
      <c r="E720" s="281"/>
      <c r="F720" s="283" t="str">
        <f>IF($B720="","",SUMIFS('Daily Inward'!$G:$G,'Daily Inward'!$C:$C,$B720,'Daily Inward'!$E:$E,"Non Inventory"))</f>
        <v/>
      </c>
      <c r="G720" s="51" t="str">
        <f>IF($B720="","",SUMIFS('Daily Issuance'!$G:$G,'Daily Issuance'!$C:$C,$B720,'Daily Issuance'!$E:$E,"Non Inventory"))</f>
        <v/>
      </c>
      <c r="H720" s="51" t="str">
        <f t="shared" si="22"/>
        <v/>
      </c>
      <c r="I720" s="187"/>
      <c r="J720" s="188" t="str">
        <f t="shared" si="23"/>
        <v/>
      </c>
      <c r="K720" s="46"/>
    </row>
    <row r="721" spans="1:11" s="24" customFormat="1" ht="23.1" customHeight="1">
      <c r="A721" s="170" t="str">
        <f>IF($B721="","",MAX($A$3:A720)+1)</f>
        <v/>
      </c>
      <c r="B721" s="176"/>
      <c r="C721" s="177"/>
      <c r="D721" s="285"/>
      <c r="E721" s="281"/>
      <c r="F721" s="283" t="str">
        <f>IF($B721="","",SUMIFS('Daily Inward'!$G:$G,'Daily Inward'!$C:$C,$B721,'Daily Inward'!$E:$E,"Non Inventory"))</f>
        <v/>
      </c>
      <c r="G721" s="51" t="str">
        <f>IF($B721="","",SUMIFS('Daily Issuance'!$G:$G,'Daily Issuance'!$C:$C,$B721,'Daily Issuance'!$E:$E,"Non Inventory"))</f>
        <v/>
      </c>
      <c r="H721" s="51" t="str">
        <f t="shared" si="22"/>
        <v/>
      </c>
      <c r="I721" s="187"/>
      <c r="J721" s="188" t="str">
        <f t="shared" si="23"/>
        <v/>
      </c>
      <c r="K721" s="46"/>
    </row>
    <row r="722" spans="1:11" s="24" customFormat="1" ht="23.1" customHeight="1">
      <c r="A722" s="170" t="str">
        <f>IF($B722="","",MAX($A$3:A721)+1)</f>
        <v/>
      </c>
      <c r="B722" s="176"/>
      <c r="C722" s="177"/>
      <c r="D722" s="285"/>
      <c r="E722" s="281"/>
      <c r="F722" s="283" t="str">
        <f>IF($B722="","",SUMIFS('Daily Inward'!$G:$G,'Daily Inward'!$C:$C,$B722,'Daily Inward'!$E:$E,"Non Inventory"))</f>
        <v/>
      </c>
      <c r="G722" s="51" t="str">
        <f>IF($B722="","",SUMIFS('Daily Issuance'!$G:$G,'Daily Issuance'!$C:$C,$B722,'Daily Issuance'!$E:$E,"Non Inventory"))</f>
        <v/>
      </c>
      <c r="H722" s="51" t="str">
        <f t="shared" si="22"/>
        <v/>
      </c>
      <c r="I722" s="187"/>
      <c r="J722" s="188" t="str">
        <f t="shared" si="23"/>
        <v/>
      </c>
      <c r="K722" s="46"/>
    </row>
    <row r="723" spans="1:11" s="24" customFormat="1" ht="23.1" customHeight="1">
      <c r="A723" s="170" t="str">
        <f>IF($B723="","",MAX($A$3:A722)+1)</f>
        <v/>
      </c>
      <c r="B723" s="176"/>
      <c r="C723" s="177"/>
      <c r="D723" s="285"/>
      <c r="E723" s="281"/>
      <c r="F723" s="283" t="str">
        <f>IF($B723="","",SUMIFS('Daily Inward'!$G:$G,'Daily Inward'!$C:$C,$B723,'Daily Inward'!$E:$E,"Non Inventory"))</f>
        <v/>
      </c>
      <c r="G723" s="51" t="str">
        <f>IF($B723="","",SUMIFS('Daily Issuance'!$G:$G,'Daily Issuance'!$C:$C,$B723,'Daily Issuance'!$E:$E,"Non Inventory"))</f>
        <v/>
      </c>
      <c r="H723" s="51" t="str">
        <f t="shared" si="22"/>
        <v/>
      </c>
      <c r="I723" s="187"/>
      <c r="J723" s="188" t="str">
        <f t="shared" si="23"/>
        <v/>
      </c>
      <c r="K723" s="46"/>
    </row>
    <row r="724" spans="1:11" s="24" customFormat="1" ht="23.1" customHeight="1">
      <c r="A724" s="170" t="str">
        <f>IF($B724="","",MAX($A$3:A723)+1)</f>
        <v/>
      </c>
      <c r="B724" s="176"/>
      <c r="C724" s="177"/>
      <c r="D724" s="285"/>
      <c r="E724" s="281"/>
      <c r="F724" s="283" t="str">
        <f>IF($B724="","",SUMIFS('Daily Inward'!$G:$G,'Daily Inward'!$C:$C,$B724,'Daily Inward'!$E:$E,"Non Inventory"))</f>
        <v/>
      </c>
      <c r="G724" s="51" t="str">
        <f>IF($B724="","",SUMIFS('Daily Issuance'!$G:$G,'Daily Issuance'!$C:$C,$B724,'Daily Issuance'!$E:$E,"Non Inventory"))</f>
        <v/>
      </c>
      <c r="H724" s="51" t="str">
        <f t="shared" si="22"/>
        <v/>
      </c>
      <c r="I724" s="187"/>
      <c r="J724" s="188" t="str">
        <f t="shared" si="23"/>
        <v/>
      </c>
      <c r="K724" s="46"/>
    </row>
    <row r="725" spans="1:11" s="24" customFormat="1" ht="23.1" customHeight="1">
      <c r="A725" s="170" t="str">
        <f>IF($B725="","",MAX($A$3:A724)+1)</f>
        <v/>
      </c>
      <c r="B725" s="176"/>
      <c r="C725" s="177"/>
      <c r="D725" s="285"/>
      <c r="E725" s="281"/>
      <c r="F725" s="283" t="str">
        <f>IF($B725="","",SUMIFS('Daily Inward'!$G:$G,'Daily Inward'!$C:$C,$B725,'Daily Inward'!$E:$E,"Non Inventory"))</f>
        <v/>
      </c>
      <c r="G725" s="51" t="str">
        <f>IF($B725="","",SUMIFS('Daily Issuance'!$G:$G,'Daily Issuance'!$C:$C,$B725,'Daily Issuance'!$E:$E,"Non Inventory"))</f>
        <v/>
      </c>
      <c r="H725" s="51" t="str">
        <f t="shared" si="22"/>
        <v/>
      </c>
      <c r="I725" s="187"/>
      <c r="J725" s="188" t="str">
        <f t="shared" si="23"/>
        <v/>
      </c>
      <c r="K725" s="46"/>
    </row>
    <row r="726" spans="1:11" s="24" customFormat="1" ht="23.1" customHeight="1">
      <c r="A726" s="170" t="str">
        <f>IF($B726="","",MAX($A$3:A725)+1)</f>
        <v/>
      </c>
      <c r="B726" s="176"/>
      <c r="C726" s="177"/>
      <c r="D726" s="285"/>
      <c r="E726" s="281"/>
      <c r="F726" s="283" t="str">
        <f>IF($B726="","",SUMIFS('Daily Inward'!$G:$G,'Daily Inward'!$C:$C,$B726,'Daily Inward'!$E:$E,"Non Inventory"))</f>
        <v/>
      </c>
      <c r="G726" s="51" t="str">
        <f>IF($B726="","",SUMIFS('Daily Issuance'!$G:$G,'Daily Issuance'!$C:$C,$B726,'Daily Issuance'!$E:$E,"Non Inventory"))</f>
        <v/>
      </c>
      <c r="H726" s="51" t="str">
        <f t="shared" si="22"/>
        <v/>
      </c>
      <c r="I726" s="187"/>
      <c r="J726" s="188" t="str">
        <f t="shared" si="23"/>
        <v/>
      </c>
      <c r="K726" s="46"/>
    </row>
    <row r="727" spans="1:11" s="24" customFormat="1" ht="23.1" customHeight="1">
      <c r="A727" s="170" t="str">
        <f>IF($B727="","",MAX($A$3:A726)+1)</f>
        <v/>
      </c>
      <c r="B727" s="176"/>
      <c r="C727" s="177"/>
      <c r="D727" s="285"/>
      <c r="E727" s="281"/>
      <c r="F727" s="283" t="str">
        <f>IF($B727="","",SUMIFS('Daily Inward'!$G:$G,'Daily Inward'!$C:$C,$B727,'Daily Inward'!$E:$E,"Non Inventory"))</f>
        <v/>
      </c>
      <c r="G727" s="51" t="str">
        <f>IF($B727="","",SUMIFS('Daily Issuance'!$G:$G,'Daily Issuance'!$C:$C,$B727,'Daily Issuance'!$E:$E,"Non Inventory"))</f>
        <v/>
      </c>
      <c r="H727" s="51" t="str">
        <f t="shared" si="22"/>
        <v/>
      </c>
      <c r="I727" s="187"/>
      <c r="J727" s="188" t="str">
        <f t="shared" si="23"/>
        <v/>
      </c>
      <c r="K727" s="46"/>
    </row>
    <row r="728" spans="1:11" s="24" customFormat="1" ht="23.1" customHeight="1">
      <c r="A728" s="170" t="str">
        <f>IF($B728="","",MAX($A$3:A727)+1)</f>
        <v/>
      </c>
      <c r="B728" s="176"/>
      <c r="C728" s="177"/>
      <c r="D728" s="285"/>
      <c r="E728" s="281"/>
      <c r="F728" s="283" t="str">
        <f>IF($B728="","",SUMIFS('Daily Inward'!$G:$G,'Daily Inward'!$C:$C,$B728,'Daily Inward'!$E:$E,"Non Inventory"))</f>
        <v/>
      </c>
      <c r="G728" s="51" t="str">
        <f>IF($B728="","",SUMIFS('Daily Issuance'!$G:$G,'Daily Issuance'!$C:$C,$B728,'Daily Issuance'!$E:$E,"Non Inventory"))</f>
        <v/>
      </c>
      <c r="H728" s="51" t="str">
        <f t="shared" si="22"/>
        <v/>
      </c>
      <c r="I728" s="187"/>
      <c r="J728" s="188" t="str">
        <f t="shared" si="23"/>
        <v/>
      </c>
      <c r="K728" s="46"/>
    </row>
    <row r="729" spans="1:11" s="24" customFormat="1" ht="23.1" customHeight="1">
      <c r="A729" s="170" t="str">
        <f>IF($B729="","",MAX($A$3:A728)+1)</f>
        <v/>
      </c>
      <c r="B729" s="176"/>
      <c r="C729" s="177"/>
      <c r="D729" s="285"/>
      <c r="E729" s="281"/>
      <c r="F729" s="283" t="str">
        <f>IF($B729="","",SUMIFS('Daily Inward'!$G:$G,'Daily Inward'!$C:$C,$B729,'Daily Inward'!$E:$E,"Non Inventory"))</f>
        <v/>
      </c>
      <c r="G729" s="51" t="str">
        <f>IF($B729="","",SUMIFS('Daily Issuance'!$G:$G,'Daily Issuance'!$C:$C,$B729,'Daily Issuance'!$E:$E,"Non Inventory"))</f>
        <v/>
      </c>
      <c r="H729" s="51" t="str">
        <f t="shared" si="22"/>
        <v/>
      </c>
      <c r="I729" s="187"/>
      <c r="J729" s="188" t="str">
        <f t="shared" si="23"/>
        <v/>
      </c>
      <c r="K729" s="46"/>
    </row>
    <row r="730" spans="1:11" s="24" customFormat="1" ht="23.1" customHeight="1">
      <c r="A730" s="170" t="str">
        <f>IF($B730="","",MAX($A$3:A729)+1)</f>
        <v/>
      </c>
      <c r="B730" s="176"/>
      <c r="C730" s="177"/>
      <c r="D730" s="285"/>
      <c r="E730" s="281"/>
      <c r="F730" s="283" t="str">
        <f>IF($B730="","",SUMIFS('Daily Inward'!$G:$G,'Daily Inward'!$C:$C,$B730,'Daily Inward'!$E:$E,"Non Inventory"))</f>
        <v/>
      </c>
      <c r="G730" s="51" t="str">
        <f>IF($B730="","",SUMIFS('Daily Issuance'!$G:$G,'Daily Issuance'!$C:$C,$B730,'Daily Issuance'!$E:$E,"Non Inventory"))</f>
        <v/>
      </c>
      <c r="H730" s="51" t="str">
        <f t="shared" si="22"/>
        <v/>
      </c>
      <c r="I730" s="187"/>
      <c r="J730" s="188" t="str">
        <f t="shared" si="23"/>
        <v/>
      </c>
      <c r="K730" s="46"/>
    </row>
    <row r="731" spans="1:11" s="24" customFormat="1" ht="23.1" customHeight="1">
      <c r="A731" s="170" t="str">
        <f>IF($B731="","",MAX($A$3:A730)+1)</f>
        <v/>
      </c>
      <c r="B731" s="176"/>
      <c r="C731" s="177"/>
      <c r="D731" s="285"/>
      <c r="E731" s="281"/>
      <c r="F731" s="283" t="str">
        <f>IF($B731="","",SUMIFS('Daily Inward'!$G:$G,'Daily Inward'!$C:$C,$B731,'Daily Inward'!$E:$E,"Non Inventory"))</f>
        <v/>
      </c>
      <c r="G731" s="51" t="str">
        <f>IF($B731="","",SUMIFS('Daily Issuance'!$G:$G,'Daily Issuance'!$C:$C,$B731,'Daily Issuance'!$E:$E,"Non Inventory"))</f>
        <v/>
      </c>
      <c r="H731" s="51" t="str">
        <f t="shared" si="22"/>
        <v/>
      </c>
      <c r="I731" s="187"/>
      <c r="J731" s="188" t="str">
        <f t="shared" si="23"/>
        <v/>
      </c>
      <c r="K731" s="46"/>
    </row>
    <row r="732" spans="1:11" s="24" customFormat="1" ht="23.1" customHeight="1">
      <c r="A732" s="170" t="str">
        <f>IF($B732="","",MAX($A$3:A731)+1)</f>
        <v/>
      </c>
      <c r="B732" s="176"/>
      <c r="C732" s="177"/>
      <c r="D732" s="285"/>
      <c r="E732" s="281"/>
      <c r="F732" s="283" t="str">
        <f>IF($B732="","",SUMIFS('Daily Inward'!$G:$G,'Daily Inward'!$C:$C,$B732,'Daily Inward'!$E:$E,"Non Inventory"))</f>
        <v/>
      </c>
      <c r="G732" s="51" t="str">
        <f>IF($B732="","",SUMIFS('Daily Issuance'!$G:$G,'Daily Issuance'!$C:$C,$B732,'Daily Issuance'!$E:$E,"Non Inventory"))</f>
        <v/>
      </c>
      <c r="H732" s="51" t="str">
        <f t="shared" si="22"/>
        <v/>
      </c>
      <c r="I732" s="187"/>
      <c r="J732" s="188" t="str">
        <f t="shared" si="23"/>
        <v/>
      </c>
      <c r="K732" s="46"/>
    </row>
    <row r="733" spans="1:11" s="24" customFormat="1" ht="23.1" customHeight="1">
      <c r="A733" s="170" t="str">
        <f>IF($B733="","",MAX($A$3:A732)+1)</f>
        <v/>
      </c>
      <c r="B733" s="176"/>
      <c r="C733" s="177"/>
      <c r="D733" s="285"/>
      <c r="E733" s="281"/>
      <c r="F733" s="283" t="str">
        <f>IF($B733="","",SUMIFS('Daily Inward'!$G:$G,'Daily Inward'!$C:$C,$B733,'Daily Inward'!$E:$E,"Non Inventory"))</f>
        <v/>
      </c>
      <c r="G733" s="51" t="str">
        <f>IF($B733="","",SUMIFS('Daily Issuance'!$G:$G,'Daily Issuance'!$C:$C,$B733,'Daily Issuance'!$E:$E,"Non Inventory"))</f>
        <v/>
      </c>
      <c r="H733" s="51" t="str">
        <f t="shared" si="22"/>
        <v/>
      </c>
      <c r="I733" s="187"/>
      <c r="J733" s="188" t="str">
        <f t="shared" si="23"/>
        <v/>
      </c>
      <c r="K733" s="46"/>
    </row>
    <row r="734" spans="1:11" s="24" customFormat="1" ht="23.1" customHeight="1">
      <c r="A734" s="170" t="str">
        <f>IF($B734="","",MAX($A$3:A733)+1)</f>
        <v/>
      </c>
      <c r="B734" s="176"/>
      <c r="C734" s="177"/>
      <c r="D734" s="285"/>
      <c r="E734" s="281"/>
      <c r="F734" s="283" t="str">
        <f>IF($B734="","",SUMIFS('Daily Inward'!$G:$G,'Daily Inward'!$C:$C,$B734,'Daily Inward'!$E:$E,"Non Inventory"))</f>
        <v/>
      </c>
      <c r="G734" s="51" t="str">
        <f>IF($B734="","",SUMIFS('Daily Issuance'!$G:$G,'Daily Issuance'!$C:$C,$B734,'Daily Issuance'!$E:$E,"Non Inventory"))</f>
        <v/>
      </c>
      <c r="H734" s="51" t="str">
        <f t="shared" si="22"/>
        <v/>
      </c>
      <c r="I734" s="187"/>
      <c r="J734" s="188" t="str">
        <f t="shared" si="23"/>
        <v/>
      </c>
      <c r="K734" s="46"/>
    </row>
    <row r="735" spans="1:11" s="24" customFormat="1" ht="23.1" customHeight="1">
      <c r="A735" s="170" t="str">
        <f>IF($B735="","",MAX($A$3:A734)+1)</f>
        <v/>
      </c>
      <c r="B735" s="176"/>
      <c r="C735" s="177"/>
      <c r="D735" s="285"/>
      <c r="E735" s="281"/>
      <c r="F735" s="283" t="str">
        <f>IF($B735="","",SUMIFS('Daily Inward'!$G:$G,'Daily Inward'!$C:$C,$B735,'Daily Inward'!$E:$E,"Non Inventory"))</f>
        <v/>
      </c>
      <c r="G735" s="51" t="str">
        <f>IF($B735="","",SUMIFS('Daily Issuance'!$G:$G,'Daily Issuance'!$C:$C,$B735,'Daily Issuance'!$E:$E,"Non Inventory"))</f>
        <v/>
      </c>
      <c r="H735" s="51" t="str">
        <f t="shared" si="22"/>
        <v/>
      </c>
      <c r="I735" s="187"/>
      <c r="J735" s="188" t="str">
        <f t="shared" si="23"/>
        <v/>
      </c>
      <c r="K735" s="46"/>
    </row>
    <row r="736" spans="1:11" s="24" customFormat="1" ht="23.1" customHeight="1">
      <c r="A736" s="170" t="str">
        <f>IF($B736="","",MAX($A$3:A735)+1)</f>
        <v/>
      </c>
      <c r="B736" s="176"/>
      <c r="C736" s="177"/>
      <c r="D736" s="285"/>
      <c r="E736" s="281"/>
      <c r="F736" s="283" t="str">
        <f>IF($B736="","",SUMIFS('Daily Inward'!$G:$G,'Daily Inward'!$C:$C,$B736,'Daily Inward'!$E:$E,"Non Inventory"))</f>
        <v/>
      </c>
      <c r="G736" s="51" t="str">
        <f>IF($B736="","",SUMIFS('Daily Issuance'!$G:$G,'Daily Issuance'!$C:$C,$B736,'Daily Issuance'!$E:$E,"Non Inventory"))</f>
        <v/>
      </c>
      <c r="H736" s="51" t="str">
        <f t="shared" si="22"/>
        <v/>
      </c>
      <c r="I736" s="187"/>
      <c r="J736" s="188" t="str">
        <f t="shared" si="23"/>
        <v/>
      </c>
      <c r="K736" s="46"/>
    </row>
    <row r="737" spans="1:11" s="24" customFormat="1" ht="23.1" customHeight="1">
      <c r="A737" s="170" t="str">
        <f>IF($B737="","",MAX($A$3:A736)+1)</f>
        <v/>
      </c>
      <c r="B737" s="176"/>
      <c r="C737" s="177"/>
      <c r="D737" s="285"/>
      <c r="E737" s="281"/>
      <c r="F737" s="283" t="str">
        <f>IF($B737="","",SUMIFS('Daily Inward'!$G:$G,'Daily Inward'!$C:$C,$B737,'Daily Inward'!$E:$E,"Non Inventory"))</f>
        <v/>
      </c>
      <c r="G737" s="51" t="str">
        <f>IF($B737="","",SUMIFS('Daily Issuance'!$G:$G,'Daily Issuance'!$C:$C,$B737,'Daily Issuance'!$E:$E,"Non Inventory"))</f>
        <v/>
      </c>
      <c r="H737" s="51" t="str">
        <f t="shared" si="22"/>
        <v/>
      </c>
      <c r="I737" s="187"/>
      <c r="J737" s="188" t="str">
        <f t="shared" si="23"/>
        <v/>
      </c>
      <c r="K737" s="46"/>
    </row>
    <row r="738" spans="1:11" s="24" customFormat="1" ht="23.1" customHeight="1">
      <c r="A738" s="170" t="str">
        <f>IF($B738="","",MAX($A$3:A737)+1)</f>
        <v/>
      </c>
      <c r="B738" s="176"/>
      <c r="C738" s="177"/>
      <c r="D738" s="285"/>
      <c r="E738" s="281"/>
      <c r="F738" s="283" t="str">
        <f>IF($B738="","",SUMIFS('Daily Inward'!$G:$G,'Daily Inward'!$C:$C,$B738,'Daily Inward'!$E:$E,"Non Inventory"))</f>
        <v/>
      </c>
      <c r="G738" s="51" t="str">
        <f>IF($B738="","",SUMIFS('Daily Issuance'!$G:$G,'Daily Issuance'!$C:$C,$B738,'Daily Issuance'!$E:$E,"Non Inventory"))</f>
        <v/>
      </c>
      <c r="H738" s="51" t="str">
        <f t="shared" si="22"/>
        <v/>
      </c>
      <c r="I738" s="187"/>
      <c r="J738" s="188" t="str">
        <f t="shared" si="23"/>
        <v/>
      </c>
      <c r="K738" s="46"/>
    </row>
    <row r="739" spans="1:11" s="24" customFormat="1" ht="23.1" customHeight="1">
      <c r="A739" s="170" t="str">
        <f>IF($B739="","",MAX($A$3:A738)+1)</f>
        <v/>
      </c>
      <c r="B739" s="176"/>
      <c r="C739" s="177"/>
      <c r="D739" s="285"/>
      <c r="E739" s="281"/>
      <c r="F739" s="283" t="str">
        <f>IF($B739="","",SUMIFS('Daily Inward'!$G:$G,'Daily Inward'!$C:$C,$B739,'Daily Inward'!$E:$E,"Non Inventory"))</f>
        <v/>
      </c>
      <c r="G739" s="51" t="str">
        <f>IF($B739="","",SUMIFS('Daily Issuance'!$G:$G,'Daily Issuance'!$C:$C,$B739,'Daily Issuance'!$E:$E,"Non Inventory"))</f>
        <v/>
      </c>
      <c r="H739" s="51" t="str">
        <f t="shared" si="22"/>
        <v/>
      </c>
      <c r="I739" s="187"/>
      <c r="J739" s="188" t="str">
        <f t="shared" si="23"/>
        <v/>
      </c>
      <c r="K739" s="46"/>
    </row>
    <row r="740" spans="1:11" s="24" customFormat="1" ht="23.1" customHeight="1">
      <c r="A740" s="170" t="str">
        <f>IF($B740="","",MAX($A$3:A739)+1)</f>
        <v/>
      </c>
      <c r="B740" s="176"/>
      <c r="C740" s="177"/>
      <c r="D740" s="285"/>
      <c r="E740" s="281"/>
      <c r="F740" s="283" t="str">
        <f>IF($B740="","",SUMIFS('Daily Inward'!$G:$G,'Daily Inward'!$C:$C,$B740,'Daily Inward'!$E:$E,"Non Inventory"))</f>
        <v/>
      </c>
      <c r="G740" s="51" t="str">
        <f>IF($B740="","",SUMIFS('Daily Issuance'!$G:$G,'Daily Issuance'!$C:$C,$B740,'Daily Issuance'!$E:$E,"Non Inventory"))</f>
        <v/>
      </c>
      <c r="H740" s="51" t="str">
        <f t="shared" si="22"/>
        <v/>
      </c>
      <c r="I740" s="187"/>
      <c r="J740" s="188" t="str">
        <f t="shared" si="23"/>
        <v/>
      </c>
      <c r="K740" s="46"/>
    </row>
    <row r="741" spans="1:11" s="24" customFormat="1" ht="23.1" customHeight="1">
      <c r="A741" s="170" t="str">
        <f>IF($B741="","",MAX($A$3:A740)+1)</f>
        <v/>
      </c>
      <c r="B741" s="176"/>
      <c r="C741" s="177"/>
      <c r="D741" s="285"/>
      <c r="E741" s="281"/>
      <c r="F741" s="283" t="str">
        <f>IF($B741="","",SUMIFS('Daily Inward'!$G:$G,'Daily Inward'!$C:$C,$B741,'Daily Inward'!$E:$E,"Non Inventory"))</f>
        <v/>
      </c>
      <c r="G741" s="51" t="str">
        <f>IF($B741="","",SUMIFS('Daily Issuance'!$G:$G,'Daily Issuance'!$C:$C,$B741,'Daily Issuance'!$E:$E,"Non Inventory"))</f>
        <v/>
      </c>
      <c r="H741" s="51" t="str">
        <f t="shared" si="22"/>
        <v/>
      </c>
      <c r="I741" s="187"/>
      <c r="J741" s="188" t="str">
        <f t="shared" si="23"/>
        <v/>
      </c>
      <c r="K741" s="46"/>
    </row>
    <row r="742" spans="1:11" s="24" customFormat="1" ht="23.1" customHeight="1">
      <c r="A742" s="170" t="str">
        <f>IF($B742="","",MAX($A$3:A741)+1)</f>
        <v/>
      </c>
      <c r="B742" s="176"/>
      <c r="C742" s="177"/>
      <c r="D742" s="285"/>
      <c r="E742" s="281"/>
      <c r="F742" s="283" t="str">
        <f>IF($B742="","",SUMIFS('Daily Inward'!$G:$G,'Daily Inward'!$C:$C,$B742,'Daily Inward'!$E:$E,"Non Inventory"))</f>
        <v/>
      </c>
      <c r="G742" s="51" t="str">
        <f>IF($B742="","",SUMIFS('Daily Issuance'!$G:$G,'Daily Issuance'!$C:$C,$B742,'Daily Issuance'!$E:$E,"Non Inventory"))</f>
        <v/>
      </c>
      <c r="H742" s="51" t="str">
        <f t="shared" si="22"/>
        <v/>
      </c>
      <c r="I742" s="187"/>
      <c r="J742" s="188" t="str">
        <f t="shared" si="23"/>
        <v/>
      </c>
      <c r="K742" s="46"/>
    </row>
    <row r="743" spans="1:11" s="24" customFormat="1" ht="23.1" customHeight="1">
      <c r="A743" s="170" t="str">
        <f>IF($B743="","",MAX($A$3:A742)+1)</f>
        <v/>
      </c>
      <c r="B743" s="176"/>
      <c r="C743" s="177"/>
      <c r="D743" s="285"/>
      <c r="E743" s="281"/>
      <c r="F743" s="283" t="str">
        <f>IF($B743="","",SUMIFS('Daily Inward'!$G:$G,'Daily Inward'!$C:$C,$B743,'Daily Inward'!$E:$E,"Non Inventory"))</f>
        <v/>
      </c>
      <c r="G743" s="51" t="str">
        <f>IF($B743="","",SUMIFS('Daily Issuance'!$G:$G,'Daily Issuance'!$C:$C,$B743,'Daily Issuance'!$E:$E,"Non Inventory"))</f>
        <v/>
      </c>
      <c r="H743" s="51" t="str">
        <f t="shared" si="22"/>
        <v/>
      </c>
      <c r="I743" s="187"/>
      <c r="J743" s="188" t="str">
        <f t="shared" si="23"/>
        <v/>
      </c>
      <c r="K743" s="46"/>
    </row>
    <row r="744" spans="1:11" s="24" customFormat="1" ht="23.1" customHeight="1">
      <c r="A744" s="170" t="str">
        <f>IF($B744="","",MAX($A$3:A743)+1)</f>
        <v/>
      </c>
      <c r="B744" s="176"/>
      <c r="C744" s="177"/>
      <c r="D744" s="285"/>
      <c r="E744" s="281"/>
      <c r="F744" s="283" t="str">
        <f>IF($B744="","",SUMIFS('Daily Inward'!$G:$G,'Daily Inward'!$C:$C,$B744,'Daily Inward'!$E:$E,"Non Inventory"))</f>
        <v/>
      </c>
      <c r="G744" s="51" t="str">
        <f>IF($B744="","",SUMIFS('Daily Issuance'!$G:$G,'Daily Issuance'!$C:$C,$B744,'Daily Issuance'!$E:$E,"Non Inventory"))</f>
        <v/>
      </c>
      <c r="H744" s="51" t="str">
        <f t="shared" si="22"/>
        <v/>
      </c>
      <c r="I744" s="187"/>
      <c r="J744" s="188" t="str">
        <f t="shared" si="23"/>
        <v/>
      </c>
      <c r="K744" s="46"/>
    </row>
    <row r="745" spans="1:11" s="24" customFormat="1" ht="23.1" customHeight="1">
      <c r="A745" s="170" t="str">
        <f>IF($B745="","",MAX($A$3:A744)+1)</f>
        <v/>
      </c>
      <c r="B745" s="176"/>
      <c r="C745" s="177"/>
      <c r="D745" s="285"/>
      <c r="E745" s="281"/>
      <c r="F745" s="283" t="str">
        <f>IF($B745="","",SUMIFS('Daily Inward'!$G:$G,'Daily Inward'!$C:$C,$B745,'Daily Inward'!$E:$E,"Non Inventory"))</f>
        <v/>
      </c>
      <c r="G745" s="51" t="str">
        <f>IF($B745="","",SUMIFS('Daily Issuance'!$G:$G,'Daily Issuance'!$C:$C,$B745,'Daily Issuance'!$E:$E,"Non Inventory"))</f>
        <v/>
      </c>
      <c r="H745" s="51" t="str">
        <f t="shared" si="22"/>
        <v/>
      </c>
      <c r="I745" s="187"/>
      <c r="J745" s="188" t="str">
        <f t="shared" si="23"/>
        <v/>
      </c>
      <c r="K745" s="46"/>
    </row>
    <row r="746" spans="1:11" s="24" customFormat="1" ht="23.1" customHeight="1">
      <c r="A746" s="170" t="str">
        <f>IF($B746="","",MAX($A$3:A745)+1)</f>
        <v/>
      </c>
      <c r="B746" s="176"/>
      <c r="C746" s="177"/>
      <c r="D746" s="285"/>
      <c r="E746" s="281"/>
      <c r="F746" s="283" t="str">
        <f>IF($B746="","",SUMIFS('Daily Inward'!$G:$G,'Daily Inward'!$C:$C,$B746,'Daily Inward'!$E:$E,"Non Inventory"))</f>
        <v/>
      </c>
      <c r="G746" s="51" t="str">
        <f>IF($B746="","",SUMIFS('Daily Issuance'!$G:$G,'Daily Issuance'!$C:$C,$B746,'Daily Issuance'!$E:$E,"Non Inventory"))</f>
        <v/>
      </c>
      <c r="H746" s="51" t="str">
        <f t="shared" si="22"/>
        <v/>
      </c>
      <c r="I746" s="187"/>
      <c r="J746" s="188" t="str">
        <f t="shared" si="23"/>
        <v/>
      </c>
      <c r="K746" s="46"/>
    </row>
    <row r="747" spans="1:11" s="24" customFormat="1" ht="23.1" customHeight="1">
      <c r="A747" s="170" t="str">
        <f>IF($B747="","",MAX($A$3:A746)+1)</f>
        <v/>
      </c>
      <c r="B747" s="176"/>
      <c r="C747" s="177"/>
      <c r="D747" s="285"/>
      <c r="E747" s="281"/>
      <c r="F747" s="283" t="str">
        <f>IF($B747="","",SUMIFS('Daily Inward'!$G:$G,'Daily Inward'!$C:$C,$B747,'Daily Inward'!$E:$E,"Non Inventory"))</f>
        <v/>
      </c>
      <c r="G747" s="51" t="str">
        <f>IF($B747="","",SUMIFS('Daily Issuance'!$G:$G,'Daily Issuance'!$C:$C,$B747,'Daily Issuance'!$E:$E,"Non Inventory"))</f>
        <v/>
      </c>
      <c r="H747" s="51" t="str">
        <f t="shared" si="22"/>
        <v/>
      </c>
      <c r="I747" s="187"/>
      <c r="J747" s="188" t="str">
        <f t="shared" si="23"/>
        <v/>
      </c>
      <c r="K747" s="46"/>
    </row>
    <row r="748" spans="1:11" s="24" customFormat="1" ht="23.1" customHeight="1">
      <c r="A748" s="170" t="str">
        <f>IF($B748="","",MAX($A$3:A747)+1)</f>
        <v/>
      </c>
      <c r="B748" s="176"/>
      <c r="C748" s="177"/>
      <c r="D748" s="285"/>
      <c r="E748" s="281"/>
      <c r="F748" s="283" t="str">
        <f>IF($B748="","",SUMIFS('Daily Inward'!$G:$G,'Daily Inward'!$C:$C,$B748,'Daily Inward'!$E:$E,"Non Inventory"))</f>
        <v/>
      </c>
      <c r="G748" s="51" t="str">
        <f>IF($B748="","",SUMIFS('Daily Issuance'!$G:$G,'Daily Issuance'!$C:$C,$B748,'Daily Issuance'!$E:$E,"Non Inventory"))</f>
        <v/>
      </c>
      <c r="H748" s="51" t="str">
        <f t="shared" si="22"/>
        <v/>
      </c>
      <c r="I748" s="187"/>
      <c r="J748" s="188" t="str">
        <f t="shared" si="23"/>
        <v/>
      </c>
      <c r="K748" s="46"/>
    </row>
    <row r="749" spans="1:11" s="24" customFormat="1" ht="23.1" customHeight="1">
      <c r="A749" s="170" t="str">
        <f>IF($B749="","",MAX($A$3:A748)+1)</f>
        <v/>
      </c>
      <c r="B749" s="176"/>
      <c r="C749" s="177"/>
      <c r="D749" s="285"/>
      <c r="E749" s="281"/>
      <c r="F749" s="283" t="str">
        <f>IF($B749="","",SUMIFS('Daily Inward'!$G:$G,'Daily Inward'!$C:$C,$B749,'Daily Inward'!$E:$E,"Non Inventory"))</f>
        <v/>
      </c>
      <c r="G749" s="51" t="str">
        <f>IF($B749="","",SUMIFS('Daily Issuance'!$G:$G,'Daily Issuance'!$C:$C,$B749,'Daily Issuance'!$E:$E,"Non Inventory"))</f>
        <v/>
      </c>
      <c r="H749" s="51" t="str">
        <f t="shared" si="22"/>
        <v/>
      </c>
      <c r="I749" s="187"/>
      <c r="J749" s="188" t="str">
        <f t="shared" si="23"/>
        <v/>
      </c>
      <c r="K749" s="46"/>
    </row>
    <row r="750" spans="1:11" s="24" customFormat="1" ht="23.1" customHeight="1">
      <c r="A750" s="170" t="str">
        <f>IF($B750="","",MAX($A$3:A749)+1)</f>
        <v/>
      </c>
      <c r="B750" s="176"/>
      <c r="C750" s="177"/>
      <c r="D750" s="285"/>
      <c r="E750" s="281"/>
      <c r="F750" s="283" t="str">
        <f>IF($B750="","",SUMIFS('Daily Inward'!$G:$G,'Daily Inward'!$C:$C,$B750,'Daily Inward'!$E:$E,"Non Inventory"))</f>
        <v/>
      </c>
      <c r="G750" s="51" t="str">
        <f>IF($B750="","",SUMIFS('Daily Issuance'!$G:$G,'Daily Issuance'!$C:$C,$B750,'Daily Issuance'!$E:$E,"Non Inventory"))</f>
        <v/>
      </c>
      <c r="H750" s="51" t="str">
        <f t="shared" si="22"/>
        <v/>
      </c>
      <c r="I750" s="187"/>
      <c r="J750" s="188" t="str">
        <f t="shared" si="23"/>
        <v/>
      </c>
      <c r="K750" s="46"/>
    </row>
    <row r="751" spans="1:11" s="24" customFormat="1" ht="23.1" customHeight="1">
      <c r="A751" s="170" t="str">
        <f>IF($B751="","",MAX($A$3:A750)+1)</f>
        <v/>
      </c>
      <c r="B751" s="176"/>
      <c r="C751" s="177"/>
      <c r="D751" s="285"/>
      <c r="E751" s="281"/>
      <c r="F751" s="283" t="str">
        <f>IF($B751="","",SUMIFS('Daily Inward'!$G:$G,'Daily Inward'!$C:$C,$B751,'Daily Inward'!$E:$E,"Non Inventory"))</f>
        <v/>
      </c>
      <c r="G751" s="51" t="str">
        <f>IF($B751="","",SUMIFS('Daily Issuance'!$G:$G,'Daily Issuance'!$C:$C,$B751,'Daily Issuance'!$E:$E,"Non Inventory"))</f>
        <v/>
      </c>
      <c r="H751" s="51" t="str">
        <f t="shared" si="22"/>
        <v/>
      </c>
      <c r="I751" s="187"/>
      <c r="J751" s="188" t="str">
        <f t="shared" si="23"/>
        <v/>
      </c>
      <c r="K751" s="46"/>
    </row>
    <row r="752" spans="1:11" s="24" customFormat="1" ht="23.1" customHeight="1">
      <c r="A752" s="170" t="str">
        <f>IF($B752="","",MAX($A$3:A751)+1)</f>
        <v/>
      </c>
      <c r="B752" s="176"/>
      <c r="C752" s="177"/>
      <c r="D752" s="285"/>
      <c r="E752" s="281"/>
      <c r="F752" s="283" t="str">
        <f>IF($B752="","",SUMIFS('Daily Inward'!$G:$G,'Daily Inward'!$C:$C,$B752,'Daily Inward'!$E:$E,"Non Inventory"))</f>
        <v/>
      </c>
      <c r="G752" s="51" t="str">
        <f>IF($B752="","",SUMIFS('Daily Issuance'!$G:$G,'Daily Issuance'!$C:$C,$B752,'Daily Issuance'!$E:$E,"Non Inventory"))</f>
        <v/>
      </c>
      <c r="H752" s="51" t="str">
        <f t="shared" si="22"/>
        <v/>
      </c>
      <c r="I752" s="187"/>
      <c r="J752" s="188" t="str">
        <f t="shared" si="23"/>
        <v/>
      </c>
      <c r="K752" s="46"/>
    </row>
    <row r="753" spans="1:11" s="24" customFormat="1" ht="23.1" customHeight="1">
      <c r="A753" s="170" t="str">
        <f>IF($B753="","",MAX($A$3:A752)+1)</f>
        <v/>
      </c>
      <c r="B753" s="176"/>
      <c r="C753" s="177"/>
      <c r="D753" s="285"/>
      <c r="E753" s="281"/>
      <c r="F753" s="283" t="str">
        <f>IF($B753="","",SUMIFS('Daily Inward'!$G:$G,'Daily Inward'!$C:$C,$B753,'Daily Inward'!$E:$E,"Non Inventory"))</f>
        <v/>
      </c>
      <c r="G753" s="51" t="str">
        <f>IF($B753="","",SUMIFS('Daily Issuance'!$G:$G,'Daily Issuance'!$C:$C,$B753,'Daily Issuance'!$E:$E,"Non Inventory"))</f>
        <v/>
      </c>
      <c r="H753" s="51" t="str">
        <f t="shared" si="22"/>
        <v/>
      </c>
      <c r="I753" s="187"/>
      <c r="J753" s="188" t="str">
        <f t="shared" si="23"/>
        <v/>
      </c>
      <c r="K753" s="46"/>
    </row>
    <row r="754" spans="1:11" s="24" customFormat="1" ht="23.1" customHeight="1">
      <c r="A754" s="170" t="str">
        <f>IF($B754="","",MAX($A$3:A753)+1)</f>
        <v/>
      </c>
      <c r="B754" s="176"/>
      <c r="C754" s="177"/>
      <c r="D754" s="285"/>
      <c r="E754" s="281"/>
      <c r="F754" s="283" t="str">
        <f>IF($B754="","",SUMIFS('Daily Inward'!$G:$G,'Daily Inward'!$C:$C,$B754,'Daily Inward'!$E:$E,"Non Inventory"))</f>
        <v/>
      </c>
      <c r="G754" s="51" t="str">
        <f>IF($B754="","",SUMIFS('Daily Issuance'!$G:$G,'Daily Issuance'!$C:$C,$B754,'Daily Issuance'!$E:$E,"Non Inventory"))</f>
        <v/>
      </c>
      <c r="H754" s="51" t="str">
        <f t="shared" si="22"/>
        <v/>
      </c>
      <c r="I754" s="187"/>
      <c r="J754" s="188" t="str">
        <f t="shared" si="23"/>
        <v/>
      </c>
      <c r="K754" s="46"/>
    </row>
    <row r="755" spans="1:11" s="24" customFormat="1" ht="23.1" customHeight="1">
      <c r="A755" s="170" t="str">
        <f>IF($B755="","",MAX($A$3:A754)+1)</f>
        <v/>
      </c>
      <c r="B755" s="176"/>
      <c r="C755" s="177"/>
      <c r="D755" s="285"/>
      <c r="E755" s="281"/>
      <c r="F755" s="283" t="str">
        <f>IF($B755="","",SUMIFS('Daily Inward'!$G:$G,'Daily Inward'!$C:$C,$B755,'Daily Inward'!$E:$E,"Non Inventory"))</f>
        <v/>
      </c>
      <c r="G755" s="51" t="str">
        <f>IF($B755="","",SUMIFS('Daily Issuance'!$G:$G,'Daily Issuance'!$C:$C,$B755,'Daily Issuance'!$E:$E,"Non Inventory"))</f>
        <v/>
      </c>
      <c r="H755" s="51" t="str">
        <f t="shared" si="22"/>
        <v/>
      </c>
      <c r="I755" s="187"/>
      <c r="J755" s="188" t="str">
        <f t="shared" si="23"/>
        <v/>
      </c>
      <c r="K755" s="46"/>
    </row>
    <row r="756" spans="1:11" s="24" customFormat="1" ht="23.1" customHeight="1">
      <c r="A756" s="170" t="str">
        <f>IF($B756="","",MAX($A$3:A755)+1)</f>
        <v/>
      </c>
      <c r="B756" s="176"/>
      <c r="C756" s="177"/>
      <c r="D756" s="285"/>
      <c r="E756" s="281"/>
      <c r="F756" s="283" t="str">
        <f>IF($B756="","",SUMIFS('Daily Inward'!$G:$G,'Daily Inward'!$C:$C,$B756,'Daily Inward'!$E:$E,"Non Inventory"))</f>
        <v/>
      </c>
      <c r="G756" s="51" t="str">
        <f>IF($B756="","",SUMIFS('Daily Issuance'!$G:$G,'Daily Issuance'!$C:$C,$B756,'Daily Issuance'!$E:$E,"Non Inventory"))</f>
        <v/>
      </c>
      <c r="H756" s="51" t="str">
        <f t="shared" si="22"/>
        <v/>
      </c>
      <c r="I756" s="187"/>
      <c r="J756" s="188" t="str">
        <f t="shared" si="23"/>
        <v/>
      </c>
      <c r="K756" s="46"/>
    </row>
    <row r="757" spans="1:11" s="24" customFormat="1" ht="23.1" customHeight="1">
      <c r="A757" s="170" t="str">
        <f>IF($B757="","",MAX($A$3:A756)+1)</f>
        <v/>
      </c>
      <c r="B757" s="176"/>
      <c r="C757" s="177"/>
      <c r="D757" s="285"/>
      <c r="E757" s="281"/>
      <c r="F757" s="283" t="str">
        <f>IF($B757="","",SUMIFS('Daily Inward'!$G:$G,'Daily Inward'!$C:$C,$B757,'Daily Inward'!$E:$E,"Non Inventory"))</f>
        <v/>
      </c>
      <c r="G757" s="51" t="str">
        <f>IF($B757="","",SUMIFS('Daily Issuance'!$G:$G,'Daily Issuance'!$C:$C,$B757,'Daily Issuance'!$E:$E,"Non Inventory"))</f>
        <v/>
      </c>
      <c r="H757" s="51" t="str">
        <f t="shared" si="22"/>
        <v/>
      </c>
      <c r="I757" s="187"/>
      <c r="J757" s="188" t="str">
        <f t="shared" si="23"/>
        <v/>
      </c>
      <c r="K757" s="46"/>
    </row>
    <row r="758" spans="1:11" s="24" customFormat="1" ht="23.1" customHeight="1">
      <c r="A758" s="170" t="str">
        <f>IF($B758="","",MAX($A$3:A757)+1)</f>
        <v/>
      </c>
      <c r="B758" s="176"/>
      <c r="C758" s="177"/>
      <c r="D758" s="285"/>
      <c r="E758" s="281"/>
      <c r="F758" s="283" t="str">
        <f>IF($B758="","",SUMIFS('Daily Inward'!$G:$G,'Daily Inward'!$C:$C,$B758,'Daily Inward'!$E:$E,"Non Inventory"))</f>
        <v/>
      </c>
      <c r="G758" s="51" t="str">
        <f>IF($B758="","",SUMIFS('Daily Issuance'!$G:$G,'Daily Issuance'!$C:$C,$B758,'Daily Issuance'!$E:$E,"Non Inventory"))</f>
        <v/>
      </c>
      <c r="H758" s="51" t="str">
        <f t="shared" si="22"/>
        <v/>
      </c>
      <c r="I758" s="187"/>
      <c r="J758" s="188" t="str">
        <f t="shared" si="23"/>
        <v/>
      </c>
      <c r="K758" s="46"/>
    </row>
    <row r="759" spans="1:11" s="24" customFormat="1" ht="23.1" customHeight="1">
      <c r="A759" s="170" t="str">
        <f>IF($B759="","",MAX($A$3:A758)+1)</f>
        <v/>
      </c>
      <c r="B759" s="176"/>
      <c r="C759" s="177"/>
      <c r="D759" s="285"/>
      <c r="E759" s="281"/>
      <c r="F759" s="283" t="str">
        <f>IF($B759="","",SUMIFS('Daily Inward'!$G:$G,'Daily Inward'!$C:$C,$B759,'Daily Inward'!$E:$E,"Non Inventory"))</f>
        <v/>
      </c>
      <c r="G759" s="51" t="str">
        <f>IF($B759="","",SUMIFS('Daily Issuance'!$G:$G,'Daily Issuance'!$C:$C,$B759,'Daily Issuance'!$E:$E,"Non Inventory"))</f>
        <v/>
      </c>
      <c r="H759" s="51" t="str">
        <f t="shared" si="22"/>
        <v/>
      </c>
      <c r="I759" s="187"/>
      <c r="J759" s="188" t="str">
        <f t="shared" si="23"/>
        <v/>
      </c>
      <c r="K759" s="46"/>
    </row>
    <row r="760" spans="1:11" s="24" customFormat="1" ht="23.1" customHeight="1">
      <c r="A760" s="170" t="str">
        <f>IF($B760="","",MAX($A$3:A759)+1)</f>
        <v/>
      </c>
      <c r="B760" s="176"/>
      <c r="C760" s="177"/>
      <c r="D760" s="285"/>
      <c r="E760" s="281"/>
      <c r="F760" s="283" t="str">
        <f>IF($B760="","",SUMIFS('Daily Inward'!$G:$G,'Daily Inward'!$C:$C,$B760,'Daily Inward'!$E:$E,"Non Inventory"))</f>
        <v/>
      </c>
      <c r="G760" s="51" t="str">
        <f>IF($B760="","",SUMIFS('Daily Issuance'!$G:$G,'Daily Issuance'!$C:$C,$B760,'Daily Issuance'!$E:$E,"Non Inventory"))</f>
        <v/>
      </c>
      <c r="H760" s="51" t="str">
        <f t="shared" si="22"/>
        <v/>
      </c>
      <c r="I760" s="187"/>
      <c r="J760" s="188" t="str">
        <f t="shared" si="23"/>
        <v/>
      </c>
      <c r="K760" s="46"/>
    </row>
    <row r="761" spans="1:11" s="24" customFormat="1" ht="23.1" customHeight="1">
      <c r="A761" s="170" t="str">
        <f>IF($B761="","",MAX($A$3:A760)+1)</f>
        <v/>
      </c>
      <c r="B761" s="176"/>
      <c r="C761" s="177"/>
      <c r="D761" s="285"/>
      <c r="E761" s="281"/>
      <c r="F761" s="283" t="str">
        <f>IF($B761="","",SUMIFS('Daily Inward'!$G:$G,'Daily Inward'!$C:$C,$B761,'Daily Inward'!$E:$E,"Non Inventory"))</f>
        <v/>
      </c>
      <c r="G761" s="51" t="str">
        <f>IF($B761="","",SUMIFS('Daily Issuance'!$G:$G,'Daily Issuance'!$C:$C,$B761,'Daily Issuance'!$E:$E,"Non Inventory"))</f>
        <v/>
      </c>
      <c r="H761" s="51" t="str">
        <f t="shared" si="22"/>
        <v/>
      </c>
      <c r="I761" s="187"/>
      <c r="J761" s="188" t="str">
        <f t="shared" si="23"/>
        <v/>
      </c>
      <c r="K761" s="46"/>
    </row>
    <row r="762" spans="1:11" s="24" customFormat="1" ht="23.1" customHeight="1">
      <c r="A762" s="170" t="str">
        <f>IF($B762="","",MAX($A$3:A761)+1)</f>
        <v/>
      </c>
      <c r="B762" s="176"/>
      <c r="C762" s="177"/>
      <c r="D762" s="285"/>
      <c r="E762" s="281"/>
      <c r="F762" s="283" t="str">
        <f>IF($B762="","",SUMIFS('Daily Inward'!$G:$G,'Daily Inward'!$C:$C,$B762,'Daily Inward'!$E:$E,"Non Inventory"))</f>
        <v/>
      </c>
      <c r="G762" s="51" t="str">
        <f>IF($B762="","",SUMIFS('Daily Issuance'!$G:$G,'Daily Issuance'!$C:$C,$B762,'Daily Issuance'!$E:$E,"Non Inventory"))</f>
        <v/>
      </c>
      <c r="H762" s="51" t="str">
        <f t="shared" si="22"/>
        <v/>
      </c>
      <c r="I762" s="187"/>
      <c r="J762" s="188" t="str">
        <f t="shared" si="23"/>
        <v/>
      </c>
      <c r="K762" s="46"/>
    </row>
    <row r="763" spans="1:11" s="24" customFormat="1" ht="23.1" customHeight="1">
      <c r="A763" s="170" t="str">
        <f>IF($B763="","",MAX($A$3:A762)+1)</f>
        <v/>
      </c>
      <c r="B763" s="176"/>
      <c r="C763" s="177"/>
      <c r="D763" s="285"/>
      <c r="E763" s="281"/>
      <c r="F763" s="283" t="str">
        <f>IF($B763="","",SUMIFS('Daily Inward'!$G:$G,'Daily Inward'!$C:$C,$B763,'Daily Inward'!$E:$E,"Non Inventory"))</f>
        <v/>
      </c>
      <c r="G763" s="51" t="str">
        <f>IF($B763="","",SUMIFS('Daily Issuance'!$G:$G,'Daily Issuance'!$C:$C,$B763,'Daily Issuance'!$E:$E,"Non Inventory"))</f>
        <v/>
      </c>
      <c r="H763" s="51" t="str">
        <f t="shared" si="22"/>
        <v/>
      </c>
      <c r="I763" s="187"/>
      <c r="J763" s="188" t="str">
        <f t="shared" si="23"/>
        <v/>
      </c>
      <c r="K763" s="46"/>
    </row>
    <row r="764" spans="1:11" s="24" customFormat="1" ht="23.1" customHeight="1">
      <c r="A764" s="170" t="str">
        <f>IF($B764="","",MAX($A$3:A763)+1)</f>
        <v/>
      </c>
      <c r="B764" s="176"/>
      <c r="C764" s="177"/>
      <c r="D764" s="285"/>
      <c r="E764" s="281"/>
      <c r="F764" s="283" t="str">
        <f>IF($B764="","",SUMIFS('Daily Inward'!$G:$G,'Daily Inward'!$C:$C,$B764,'Daily Inward'!$E:$E,"Non Inventory"))</f>
        <v/>
      </c>
      <c r="G764" s="51" t="str">
        <f>IF($B764="","",SUMIFS('Daily Issuance'!$G:$G,'Daily Issuance'!$C:$C,$B764,'Daily Issuance'!$E:$E,"Non Inventory"))</f>
        <v/>
      </c>
      <c r="H764" s="51" t="str">
        <f t="shared" si="22"/>
        <v/>
      </c>
      <c r="I764" s="187"/>
      <c r="J764" s="188" t="str">
        <f t="shared" si="23"/>
        <v/>
      </c>
      <c r="K764" s="46"/>
    </row>
    <row r="765" spans="1:11" s="24" customFormat="1" ht="23.1" customHeight="1">
      <c r="A765" s="170" t="str">
        <f>IF($B765="","",MAX($A$3:A764)+1)</f>
        <v/>
      </c>
      <c r="B765" s="176"/>
      <c r="C765" s="177"/>
      <c r="D765" s="285"/>
      <c r="E765" s="281"/>
      <c r="F765" s="283" t="str">
        <f>IF($B765="","",SUMIFS('Daily Inward'!$G:$G,'Daily Inward'!$C:$C,$B765,'Daily Inward'!$E:$E,"Non Inventory"))</f>
        <v/>
      </c>
      <c r="G765" s="51" t="str">
        <f>IF($B765="","",SUMIFS('Daily Issuance'!$G:$G,'Daily Issuance'!$C:$C,$B765,'Daily Issuance'!$E:$E,"Non Inventory"))</f>
        <v/>
      </c>
      <c r="H765" s="51" t="str">
        <f t="shared" si="22"/>
        <v/>
      </c>
      <c r="I765" s="187"/>
      <c r="J765" s="188" t="str">
        <f t="shared" si="23"/>
        <v/>
      </c>
      <c r="K765" s="46"/>
    </row>
    <row r="766" spans="1:11" s="24" customFormat="1" ht="23.1" customHeight="1">
      <c r="A766" s="170" t="str">
        <f>IF($B766="","",MAX($A$3:A765)+1)</f>
        <v/>
      </c>
      <c r="B766" s="176"/>
      <c r="C766" s="177"/>
      <c r="D766" s="285"/>
      <c r="E766" s="281"/>
      <c r="F766" s="283" t="str">
        <f>IF($B766="","",SUMIFS('Daily Inward'!$G:$G,'Daily Inward'!$C:$C,$B766,'Daily Inward'!$E:$E,"Non Inventory"))</f>
        <v/>
      </c>
      <c r="G766" s="51" t="str">
        <f>IF($B766="","",SUMIFS('Daily Issuance'!$G:$G,'Daily Issuance'!$C:$C,$B766,'Daily Issuance'!$E:$E,"Non Inventory"))</f>
        <v/>
      </c>
      <c r="H766" s="51" t="str">
        <f t="shared" ref="H766:H829" si="24">IF($B766="","",N(E766)+N(F766)-N(G766))</f>
        <v/>
      </c>
      <c r="I766" s="187"/>
      <c r="J766" s="188" t="str">
        <f t="shared" ref="J766:J829" si="25">IF($B766="","",H766*I766)</f>
        <v/>
      </c>
      <c r="K766" s="46"/>
    </row>
    <row r="767" spans="1:11" s="24" customFormat="1" ht="23.1" customHeight="1">
      <c r="A767" s="170" t="str">
        <f>IF($B767="","",MAX($A$3:A766)+1)</f>
        <v/>
      </c>
      <c r="B767" s="176"/>
      <c r="C767" s="177"/>
      <c r="D767" s="285"/>
      <c r="E767" s="281"/>
      <c r="F767" s="283" t="str">
        <f>IF($B767="","",SUMIFS('Daily Inward'!$G:$G,'Daily Inward'!$C:$C,$B767,'Daily Inward'!$E:$E,"Non Inventory"))</f>
        <v/>
      </c>
      <c r="G767" s="51" t="str">
        <f>IF($B767="","",SUMIFS('Daily Issuance'!$G:$G,'Daily Issuance'!$C:$C,$B767,'Daily Issuance'!$E:$E,"Non Inventory"))</f>
        <v/>
      </c>
      <c r="H767" s="51" t="str">
        <f t="shared" si="24"/>
        <v/>
      </c>
      <c r="I767" s="187"/>
      <c r="J767" s="188" t="str">
        <f t="shared" si="25"/>
        <v/>
      </c>
      <c r="K767" s="46"/>
    </row>
    <row r="768" spans="1:11" s="24" customFormat="1" ht="23.1" customHeight="1">
      <c r="A768" s="170" t="str">
        <f>IF($B768="","",MAX($A$3:A767)+1)</f>
        <v/>
      </c>
      <c r="B768" s="176"/>
      <c r="C768" s="177"/>
      <c r="D768" s="285"/>
      <c r="E768" s="281"/>
      <c r="F768" s="283" t="str">
        <f>IF($B768="","",SUMIFS('Daily Inward'!$G:$G,'Daily Inward'!$C:$C,$B768,'Daily Inward'!$E:$E,"Non Inventory"))</f>
        <v/>
      </c>
      <c r="G768" s="51" t="str">
        <f>IF($B768="","",SUMIFS('Daily Issuance'!$G:$G,'Daily Issuance'!$C:$C,$B768,'Daily Issuance'!$E:$E,"Non Inventory"))</f>
        <v/>
      </c>
      <c r="H768" s="51" t="str">
        <f t="shared" si="24"/>
        <v/>
      </c>
      <c r="I768" s="187"/>
      <c r="J768" s="188" t="str">
        <f t="shared" si="25"/>
        <v/>
      </c>
      <c r="K768" s="46"/>
    </row>
    <row r="769" spans="1:11" s="24" customFormat="1" ht="23.1" customHeight="1">
      <c r="A769" s="170" t="str">
        <f>IF($B769="","",MAX($A$3:A768)+1)</f>
        <v/>
      </c>
      <c r="B769" s="176"/>
      <c r="C769" s="177"/>
      <c r="D769" s="285"/>
      <c r="E769" s="281"/>
      <c r="F769" s="283" t="str">
        <f>IF($B769="","",SUMIFS('Daily Inward'!$G:$G,'Daily Inward'!$C:$C,$B769,'Daily Inward'!$E:$E,"Non Inventory"))</f>
        <v/>
      </c>
      <c r="G769" s="51" t="str">
        <f>IF($B769="","",SUMIFS('Daily Issuance'!$G:$G,'Daily Issuance'!$C:$C,$B769,'Daily Issuance'!$E:$E,"Non Inventory"))</f>
        <v/>
      </c>
      <c r="H769" s="51" t="str">
        <f t="shared" si="24"/>
        <v/>
      </c>
      <c r="I769" s="187"/>
      <c r="J769" s="188" t="str">
        <f t="shared" si="25"/>
        <v/>
      </c>
      <c r="K769" s="46"/>
    </row>
    <row r="770" spans="1:11" s="24" customFormat="1" ht="23.1" customHeight="1">
      <c r="A770" s="170" t="str">
        <f>IF($B770="","",MAX($A$3:A769)+1)</f>
        <v/>
      </c>
      <c r="B770" s="176"/>
      <c r="C770" s="177"/>
      <c r="D770" s="285"/>
      <c r="E770" s="281"/>
      <c r="F770" s="283" t="str">
        <f>IF($B770="","",SUMIFS('Daily Inward'!$G:$G,'Daily Inward'!$C:$C,$B770,'Daily Inward'!$E:$E,"Non Inventory"))</f>
        <v/>
      </c>
      <c r="G770" s="51" t="str">
        <f>IF($B770="","",SUMIFS('Daily Issuance'!$G:$G,'Daily Issuance'!$C:$C,$B770,'Daily Issuance'!$E:$E,"Non Inventory"))</f>
        <v/>
      </c>
      <c r="H770" s="51" t="str">
        <f t="shared" si="24"/>
        <v/>
      </c>
      <c r="I770" s="187"/>
      <c r="J770" s="188" t="str">
        <f t="shared" si="25"/>
        <v/>
      </c>
      <c r="K770" s="46"/>
    </row>
    <row r="771" spans="1:11" s="24" customFormat="1" ht="23.1" customHeight="1">
      <c r="A771" s="170" t="str">
        <f>IF($B771="","",MAX($A$3:A770)+1)</f>
        <v/>
      </c>
      <c r="B771" s="176"/>
      <c r="C771" s="177"/>
      <c r="D771" s="285"/>
      <c r="E771" s="281"/>
      <c r="F771" s="283" t="str">
        <f>IF($B771="","",SUMIFS('Daily Inward'!$G:$G,'Daily Inward'!$C:$C,$B771,'Daily Inward'!$E:$E,"Non Inventory"))</f>
        <v/>
      </c>
      <c r="G771" s="51" t="str">
        <f>IF($B771="","",SUMIFS('Daily Issuance'!$G:$G,'Daily Issuance'!$C:$C,$B771,'Daily Issuance'!$E:$E,"Non Inventory"))</f>
        <v/>
      </c>
      <c r="H771" s="51" t="str">
        <f t="shared" si="24"/>
        <v/>
      </c>
      <c r="I771" s="187"/>
      <c r="J771" s="188" t="str">
        <f t="shared" si="25"/>
        <v/>
      </c>
      <c r="K771" s="46"/>
    </row>
    <row r="772" spans="1:11" s="24" customFormat="1" ht="23.1" customHeight="1">
      <c r="A772" s="170" t="str">
        <f>IF($B772="","",MAX($A$3:A771)+1)</f>
        <v/>
      </c>
      <c r="B772" s="176"/>
      <c r="C772" s="177"/>
      <c r="D772" s="285"/>
      <c r="E772" s="281"/>
      <c r="F772" s="283" t="str">
        <f>IF($B772="","",SUMIFS('Daily Inward'!$G:$G,'Daily Inward'!$C:$C,$B772,'Daily Inward'!$E:$E,"Non Inventory"))</f>
        <v/>
      </c>
      <c r="G772" s="51" t="str">
        <f>IF($B772="","",SUMIFS('Daily Issuance'!$G:$G,'Daily Issuance'!$C:$C,$B772,'Daily Issuance'!$E:$E,"Non Inventory"))</f>
        <v/>
      </c>
      <c r="H772" s="51" t="str">
        <f t="shared" si="24"/>
        <v/>
      </c>
      <c r="I772" s="187"/>
      <c r="J772" s="188" t="str">
        <f t="shared" si="25"/>
        <v/>
      </c>
      <c r="K772" s="46"/>
    </row>
    <row r="773" spans="1:11" s="24" customFormat="1" ht="23.1" customHeight="1">
      <c r="A773" s="170" t="str">
        <f>IF($B773="","",MAX($A$3:A772)+1)</f>
        <v/>
      </c>
      <c r="B773" s="176"/>
      <c r="C773" s="177"/>
      <c r="D773" s="285"/>
      <c r="E773" s="281"/>
      <c r="F773" s="283" t="str">
        <f>IF($B773="","",SUMIFS('Daily Inward'!$G:$G,'Daily Inward'!$C:$C,$B773,'Daily Inward'!$E:$E,"Non Inventory"))</f>
        <v/>
      </c>
      <c r="G773" s="51" t="str">
        <f>IF($B773="","",SUMIFS('Daily Issuance'!$G:$G,'Daily Issuance'!$C:$C,$B773,'Daily Issuance'!$E:$E,"Non Inventory"))</f>
        <v/>
      </c>
      <c r="H773" s="51" t="str">
        <f t="shared" si="24"/>
        <v/>
      </c>
      <c r="I773" s="187"/>
      <c r="J773" s="188" t="str">
        <f t="shared" si="25"/>
        <v/>
      </c>
      <c r="K773" s="46"/>
    </row>
    <row r="774" spans="1:11" s="24" customFormat="1" ht="23.1" customHeight="1">
      <c r="A774" s="170" t="str">
        <f>IF($B774="","",MAX($A$3:A773)+1)</f>
        <v/>
      </c>
      <c r="B774" s="176"/>
      <c r="C774" s="177"/>
      <c r="D774" s="285"/>
      <c r="E774" s="281"/>
      <c r="F774" s="283" t="str">
        <f>IF($B774="","",SUMIFS('Daily Inward'!$G:$G,'Daily Inward'!$C:$C,$B774,'Daily Inward'!$E:$E,"Non Inventory"))</f>
        <v/>
      </c>
      <c r="G774" s="51" t="str">
        <f>IF($B774="","",SUMIFS('Daily Issuance'!$G:$G,'Daily Issuance'!$C:$C,$B774,'Daily Issuance'!$E:$E,"Non Inventory"))</f>
        <v/>
      </c>
      <c r="H774" s="51" t="str">
        <f t="shared" si="24"/>
        <v/>
      </c>
      <c r="I774" s="187"/>
      <c r="J774" s="188" t="str">
        <f t="shared" si="25"/>
        <v/>
      </c>
      <c r="K774" s="46"/>
    </row>
    <row r="775" spans="1:11" s="24" customFormat="1" ht="23.1" customHeight="1">
      <c r="A775" s="170" t="str">
        <f>IF($B775="","",MAX($A$3:A774)+1)</f>
        <v/>
      </c>
      <c r="B775" s="176"/>
      <c r="C775" s="177"/>
      <c r="D775" s="285"/>
      <c r="E775" s="281"/>
      <c r="F775" s="283" t="str">
        <f>IF($B775="","",SUMIFS('Daily Inward'!$G:$G,'Daily Inward'!$C:$C,$B775,'Daily Inward'!$E:$E,"Non Inventory"))</f>
        <v/>
      </c>
      <c r="G775" s="51" t="str">
        <f>IF($B775="","",SUMIFS('Daily Issuance'!$G:$G,'Daily Issuance'!$C:$C,$B775,'Daily Issuance'!$E:$E,"Non Inventory"))</f>
        <v/>
      </c>
      <c r="H775" s="51" t="str">
        <f t="shared" si="24"/>
        <v/>
      </c>
      <c r="I775" s="187"/>
      <c r="J775" s="188" t="str">
        <f t="shared" si="25"/>
        <v/>
      </c>
      <c r="K775" s="46"/>
    </row>
    <row r="776" spans="1:11" s="24" customFormat="1" ht="23.1" customHeight="1">
      <c r="A776" s="170" t="str">
        <f>IF($B776="","",MAX($A$3:A775)+1)</f>
        <v/>
      </c>
      <c r="B776" s="176"/>
      <c r="C776" s="177"/>
      <c r="D776" s="285"/>
      <c r="E776" s="281"/>
      <c r="F776" s="283" t="str">
        <f>IF($B776="","",SUMIFS('Daily Inward'!$G:$G,'Daily Inward'!$C:$C,$B776,'Daily Inward'!$E:$E,"Non Inventory"))</f>
        <v/>
      </c>
      <c r="G776" s="51" t="str">
        <f>IF($B776="","",SUMIFS('Daily Issuance'!$G:$G,'Daily Issuance'!$C:$C,$B776,'Daily Issuance'!$E:$E,"Non Inventory"))</f>
        <v/>
      </c>
      <c r="H776" s="51" t="str">
        <f t="shared" si="24"/>
        <v/>
      </c>
      <c r="I776" s="187"/>
      <c r="J776" s="188" t="str">
        <f t="shared" si="25"/>
        <v/>
      </c>
      <c r="K776" s="46"/>
    </row>
    <row r="777" spans="1:11" s="24" customFormat="1" ht="23.1" customHeight="1">
      <c r="A777" s="170" t="str">
        <f>IF($B777="","",MAX($A$3:A776)+1)</f>
        <v/>
      </c>
      <c r="B777" s="176"/>
      <c r="C777" s="177"/>
      <c r="D777" s="285"/>
      <c r="E777" s="281"/>
      <c r="F777" s="283" t="str">
        <f>IF($B777="","",SUMIFS('Daily Inward'!$G:$G,'Daily Inward'!$C:$C,$B777,'Daily Inward'!$E:$E,"Non Inventory"))</f>
        <v/>
      </c>
      <c r="G777" s="51" t="str">
        <f>IF($B777="","",SUMIFS('Daily Issuance'!$G:$G,'Daily Issuance'!$C:$C,$B777,'Daily Issuance'!$E:$E,"Non Inventory"))</f>
        <v/>
      </c>
      <c r="H777" s="51" t="str">
        <f t="shared" si="24"/>
        <v/>
      </c>
      <c r="I777" s="187"/>
      <c r="J777" s="188" t="str">
        <f t="shared" si="25"/>
        <v/>
      </c>
      <c r="K777" s="46"/>
    </row>
    <row r="778" spans="1:11" s="24" customFormat="1" ht="23.1" customHeight="1">
      <c r="A778" s="170" t="str">
        <f>IF($B778="","",MAX($A$3:A777)+1)</f>
        <v/>
      </c>
      <c r="B778" s="176"/>
      <c r="C778" s="177"/>
      <c r="D778" s="285"/>
      <c r="E778" s="281"/>
      <c r="F778" s="283" t="str">
        <f>IF($B778="","",SUMIFS('Daily Inward'!$G:$G,'Daily Inward'!$C:$C,$B778,'Daily Inward'!$E:$E,"Non Inventory"))</f>
        <v/>
      </c>
      <c r="G778" s="51" t="str">
        <f>IF($B778="","",SUMIFS('Daily Issuance'!$G:$G,'Daily Issuance'!$C:$C,$B778,'Daily Issuance'!$E:$E,"Non Inventory"))</f>
        <v/>
      </c>
      <c r="H778" s="51" t="str">
        <f t="shared" si="24"/>
        <v/>
      </c>
      <c r="I778" s="187"/>
      <c r="J778" s="188" t="str">
        <f t="shared" si="25"/>
        <v/>
      </c>
      <c r="K778" s="46"/>
    </row>
    <row r="779" spans="1:11" s="24" customFormat="1" ht="23.1" customHeight="1">
      <c r="A779" s="170" t="str">
        <f>IF($B779="","",MAX($A$3:A778)+1)</f>
        <v/>
      </c>
      <c r="B779" s="176"/>
      <c r="C779" s="177"/>
      <c r="D779" s="285"/>
      <c r="E779" s="281"/>
      <c r="F779" s="283" t="str">
        <f>IF($B779="","",SUMIFS('Daily Inward'!$G:$G,'Daily Inward'!$C:$C,$B779,'Daily Inward'!$E:$E,"Non Inventory"))</f>
        <v/>
      </c>
      <c r="G779" s="51" t="str">
        <f>IF($B779="","",SUMIFS('Daily Issuance'!$G:$G,'Daily Issuance'!$C:$C,$B779,'Daily Issuance'!$E:$E,"Non Inventory"))</f>
        <v/>
      </c>
      <c r="H779" s="51" t="str">
        <f t="shared" si="24"/>
        <v/>
      </c>
      <c r="I779" s="187"/>
      <c r="J779" s="188" t="str">
        <f t="shared" si="25"/>
        <v/>
      </c>
      <c r="K779" s="46"/>
    </row>
    <row r="780" spans="1:11" s="24" customFormat="1" ht="23.1" customHeight="1">
      <c r="A780" s="170" t="str">
        <f>IF($B780="","",MAX($A$3:A779)+1)</f>
        <v/>
      </c>
      <c r="B780" s="176"/>
      <c r="C780" s="177"/>
      <c r="D780" s="285"/>
      <c r="E780" s="281"/>
      <c r="F780" s="283" t="str">
        <f>IF($B780="","",SUMIFS('Daily Inward'!$G:$G,'Daily Inward'!$C:$C,$B780,'Daily Inward'!$E:$E,"Non Inventory"))</f>
        <v/>
      </c>
      <c r="G780" s="51" t="str">
        <f>IF($B780="","",SUMIFS('Daily Issuance'!$G:$G,'Daily Issuance'!$C:$C,$B780,'Daily Issuance'!$E:$E,"Non Inventory"))</f>
        <v/>
      </c>
      <c r="H780" s="51" t="str">
        <f t="shared" si="24"/>
        <v/>
      </c>
      <c r="I780" s="187"/>
      <c r="J780" s="188" t="str">
        <f t="shared" si="25"/>
        <v/>
      </c>
      <c r="K780" s="46"/>
    </row>
    <row r="781" spans="1:11" s="24" customFormat="1" ht="23.1" customHeight="1">
      <c r="A781" s="170" t="str">
        <f>IF($B781="","",MAX($A$3:A780)+1)</f>
        <v/>
      </c>
      <c r="B781" s="176"/>
      <c r="C781" s="177"/>
      <c r="D781" s="285"/>
      <c r="E781" s="281"/>
      <c r="F781" s="283" t="str">
        <f>IF($B781="","",SUMIFS('Daily Inward'!$G:$G,'Daily Inward'!$C:$C,$B781,'Daily Inward'!$E:$E,"Non Inventory"))</f>
        <v/>
      </c>
      <c r="G781" s="51" t="str">
        <f>IF($B781="","",SUMIFS('Daily Issuance'!$G:$G,'Daily Issuance'!$C:$C,$B781,'Daily Issuance'!$E:$E,"Non Inventory"))</f>
        <v/>
      </c>
      <c r="H781" s="51" t="str">
        <f t="shared" si="24"/>
        <v/>
      </c>
      <c r="I781" s="187"/>
      <c r="J781" s="188" t="str">
        <f t="shared" si="25"/>
        <v/>
      </c>
      <c r="K781" s="46"/>
    </row>
    <row r="782" spans="1:11" s="24" customFormat="1" ht="23.1" customHeight="1">
      <c r="A782" s="170" t="str">
        <f>IF($B782="","",MAX($A$3:A781)+1)</f>
        <v/>
      </c>
      <c r="B782" s="176"/>
      <c r="C782" s="177"/>
      <c r="D782" s="285"/>
      <c r="E782" s="281"/>
      <c r="F782" s="283" t="str">
        <f>IF($B782="","",SUMIFS('Daily Inward'!$G:$G,'Daily Inward'!$C:$C,$B782,'Daily Inward'!$E:$E,"Non Inventory"))</f>
        <v/>
      </c>
      <c r="G782" s="51" t="str">
        <f>IF($B782="","",SUMIFS('Daily Issuance'!$G:$G,'Daily Issuance'!$C:$C,$B782,'Daily Issuance'!$E:$E,"Non Inventory"))</f>
        <v/>
      </c>
      <c r="H782" s="51" t="str">
        <f t="shared" si="24"/>
        <v/>
      </c>
      <c r="I782" s="187"/>
      <c r="J782" s="188" t="str">
        <f t="shared" si="25"/>
        <v/>
      </c>
      <c r="K782" s="46"/>
    </row>
    <row r="783" spans="1:11" s="24" customFormat="1" ht="23.1" customHeight="1">
      <c r="A783" s="170" t="str">
        <f>IF($B783="","",MAX($A$3:A782)+1)</f>
        <v/>
      </c>
      <c r="B783" s="176"/>
      <c r="C783" s="177"/>
      <c r="D783" s="285"/>
      <c r="E783" s="281"/>
      <c r="F783" s="283" t="str">
        <f>IF($B783="","",SUMIFS('Daily Inward'!$G:$G,'Daily Inward'!$C:$C,$B783,'Daily Inward'!$E:$E,"Non Inventory"))</f>
        <v/>
      </c>
      <c r="G783" s="51" t="str">
        <f>IF($B783="","",SUMIFS('Daily Issuance'!$G:$G,'Daily Issuance'!$C:$C,$B783,'Daily Issuance'!$E:$E,"Non Inventory"))</f>
        <v/>
      </c>
      <c r="H783" s="51" t="str">
        <f t="shared" si="24"/>
        <v/>
      </c>
      <c r="I783" s="187"/>
      <c r="J783" s="188" t="str">
        <f t="shared" si="25"/>
        <v/>
      </c>
      <c r="K783" s="46"/>
    </row>
    <row r="784" spans="1:11" s="24" customFormat="1" ht="23.1" customHeight="1">
      <c r="A784" s="170" t="str">
        <f>IF($B784="","",MAX($A$3:A783)+1)</f>
        <v/>
      </c>
      <c r="B784" s="176"/>
      <c r="C784" s="177"/>
      <c r="D784" s="285"/>
      <c r="E784" s="281"/>
      <c r="F784" s="283" t="str">
        <f>IF($B784="","",SUMIFS('Daily Inward'!$G:$G,'Daily Inward'!$C:$C,$B784,'Daily Inward'!$E:$E,"Non Inventory"))</f>
        <v/>
      </c>
      <c r="G784" s="51" t="str">
        <f>IF($B784="","",SUMIFS('Daily Issuance'!$G:$G,'Daily Issuance'!$C:$C,$B784,'Daily Issuance'!$E:$E,"Non Inventory"))</f>
        <v/>
      </c>
      <c r="H784" s="51" t="str">
        <f t="shared" si="24"/>
        <v/>
      </c>
      <c r="I784" s="187"/>
      <c r="J784" s="188" t="str">
        <f t="shared" si="25"/>
        <v/>
      </c>
      <c r="K784" s="46"/>
    </row>
    <row r="785" spans="1:11" s="24" customFormat="1" ht="23.1" customHeight="1">
      <c r="A785" s="170" t="str">
        <f>IF($B785="","",MAX($A$3:A784)+1)</f>
        <v/>
      </c>
      <c r="B785" s="176"/>
      <c r="C785" s="177"/>
      <c r="D785" s="285"/>
      <c r="E785" s="281"/>
      <c r="F785" s="283" t="str">
        <f>IF($B785="","",SUMIFS('Daily Inward'!$G:$G,'Daily Inward'!$C:$C,$B785,'Daily Inward'!$E:$E,"Non Inventory"))</f>
        <v/>
      </c>
      <c r="G785" s="51" t="str">
        <f>IF($B785="","",SUMIFS('Daily Issuance'!$G:$G,'Daily Issuance'!$C:$C,$B785,'Daily Issuance'!$E:$E,"Non Inventory"))</f>
        <v/>
      </c>
      <c r="H785" s="51" t="str">
        <f t="shared" si="24"/>
        <v/>
      </c>
      <c r="I785" s="187"/>
      <c r="J785" s="188" t="str">
        <f t="shared" si="25"/>
        <v/>
      </c>
      <c r="K785" s="46"/>
    </row>
    <row r="786" spans="1:11" s="24" customFormat="1" ht="23.1" customHeight="1">
      <c r="A786" s="170" t="str">
        <f>IF($B786="","",MAX($A$3:A785)+1)</f>
        <v/>
      </c>
      <c r="B786" s="176"/>
      <c r="C786" s="177"/>
      <c r="D786" s="285"/>
      <c r="E786" s="281"/>
      <c r="F786" s="283" t="str">
        <f>IF($B786="","",SUMIFS('Daily Inward'!$G:$G,'Daily Inward'!$C:$C,$B786,'Daily Inward'!$E:$E,"Non Inventory"))</f>
        <v/>
      </c>
      <c r="G786" s="51" t="str">
        <f>IF($B786="","",SUMIFS('Daily Issuance'!$G:$G,'Daily Issuance'!$C:$C,$B786,'Daily Issuance'!$E:$E,"Non Inventory"))</f>
        <v/>
      </c>
      <c r="H786" s="51" t="str">
        <f t="shared" si="24"/>
        <v/>
      </c>
      <c r="I786" s="187"/>
      <c r="J786" s="188" t="str">
        <f t="shared" si="25"/>
        <v/>
      </c>
      <c r="K786" s="46"/>
    </row>
    <row r="787" spans="1:11" s="24" customFormat="1" ht="23.1" customHeight="1">
      <c r="A787" s="170" t="str">
        <f>IF($B787="","",MAX($A$3:A786)+1)</f>
        <v/>
      </c>
      <c r="B787" s="176"/>
      <c r="C787" s="177"/>
      <c r="D787" s="285"/>
      <c r="E787" s="281"/>
      <c r="F787" s="283" t="str">
        <f>IF($B787="","",SUMIFS('Daily Inward'!$G:$G,'Daily Inward'!$C:$C,$B787,'Daily Inward'!$E:$E,"Non Inventory"))</f>
        <v/>
      </c>
      <c r="G787" s="51" t="str">
        <f>IF($B787="","",SUMIFS('Daily Issuance'!$G:$G,'Daily Issuance'!$C:$C,$B787,'Daily Issuance'!$E:$E,"Non Inventory"))</f>
        <v/>
      </c>
      <c r="H787" s="51" t="str">
        <f t="shared" si="24"/>
        <v/>
      </c>
      <c r="I787" s="187"/>
      <c r="J787" s="188" t="str">
        <f t="shared" si="25"/>
        <v/>
      </c>
      <c r="K787" s="46"/>
    </row>
    <row r="788" spans="1:11" s="24" customFormat="1" ht="23.1" customHeight="1">
      <c r="A788" s="170" t="str">
        <f>IF($B788="","",MAX($A$3:A787)+1)</f>
        <v/>
      </c>
      <c r="B788" s="176"/>
      <c r="C788" s="177"/>
      <c r="D788" s="285"/>
      <c r="E788" s="281"/>
      <c r="F788" s="283" t="str">
        <f>IF($B788="","",SUMIFS('Daily Inward'!$G:$G,'Daily Inward'!$C:$C,$B788,'Daily Inward'!$E:$E,"Non Inventory"))</f>
        <v/>
      </c>
      <c r="G788" s="51" t="str">
        <f>IF($B788="","",SUMIFS('Daily Issuance'!$G:$G,'Daily Issuance'!$C:$C,$B788,'Daily Issuance'!$E:$E,"Non Inventory"))</f>
        <v/>
      </c>
      <c r="H788" s="51" t="str">
        <f t="shared" si="24"/>
        <v/>
      </c>
      <c r="I788" s="187"/>
      <c r="J788" s="188" t="str">
        <f t="shared" si="25"/>
        <v/>
      </c>
      <c r="K788" s="46"/>
    </row>
    <row r="789" spans="1:11" s="24" customFormat="1" ht="23.1" customHeight="1">
      <c r="A789" s="170" t="str">
        <f>IF($B789="","",MAX($A$3:A788)+1)</f>
        <v/>
      </c>
      <c r="B789" s="176"/>
      <c r="C789" s="177"/>
      <c r="D789" s="285"/>
      <c r="E789" s="281"/>
      <c r="F789" s="283" t="str">
        <f>IF($B789="","",SUMIFS('Daily Inward'!$G:$G,'Daily Inward'!$C:$C,$B789,'Daily Inward'!$E:$E,"Non Inventory"))</f>
        <v/>
      </c>
      <c r="G789" s="51" t="str">
        <f>IF($B789="","",SUMIFS('Daily Issuance'!$G:$G,'Daily Issuance'!$C:$C,$B789,'Daily Issuance'!$E:$E,"Non Inventory"))</f>
        <v/>
      </c>
      <c r="H789" s="51" t="str">
        <f t="shared" si="24"/>
        <v/>
      </c>
      <c r="I789" s="187"/>
      <c r="J789" s="188" t="str">
        <f t="shared" si="25"/>
        <v/>
      </c>
      <c r="K789" s="46"/>
    </row>
    <row r="790" spans="1:11" s="24" customFormat="1" ht="23.1" customHeight="1">
      <c r="A790" s="170" t="str">
        <f>IF($B790="","",MAX($A$3:A789)+1)</f>
        <v/>
      </c>
      <c r="B790" s="176"/>
      <c r="C790" s="177"/>
      <c r="D790" s="285"/>
      <c r="E790" s="281"/>
      <c r="F790" s="283" t="str">
        <f>IF($B790="","",SUMIFS('Daily Inward'!$G:$G,'Daily Inward'!$C:$C,$B790,'Daily Inward'!$E:$E,"Non Inventory"))</f>
        <v/>
      </c>
      <c r="G790" s="51" t="str">
        <f>IF($B790="","",SUMIFS('Daily Issuance'!$G:$G,'Daily Issuance'!$C:$C,$B790,'Daily Issuance'!$E:$E,"Non Inventory"))</f>
        <v/>
      </c>
      <c r="H790" s="51" t="str">
        <f t="shared" si="24"/>
        <v/>
      </c>
      <c r="I790" s="187"/>
      <c r="J790" s="188" t="str">
        <f t="shared" si="25"/>
        <v/>
      </c>
      <c r="K790" s="46"/>
    </row>
    <row r="791" spans="1:11" s="24" customFormat="1" ht="23.1" customHeight="1">
      <c r="A791" s="170" t="str">
        <f>IF($B791="","",MAX($A$3:A790)+1)</f>
        <v/>
      </c>
      <c r="B791" s="176"/>
      <c r="C791" s="177"/>
      <c r="D791" s="285"/>
      <c r="E791" s="281"/>
      <c r="F791" s="283" t="str">
        <f>IF($B791="","",SUMIFS('Daily Inward'!$G:$G,'Daily Inward'!$C:$C,$B791,'Daily Inward'!$E:$E,"Non Inventory"))</f>
        <v/>
      </c>
      <c r="G791" s="51" t="str">
        <f>IF($B791="","",SUMIFS('Daily Issuance'!$G:$G,'Daily Issuance'!$C:$C,$B791,'Daily Issuance'!$E:$E,"Non Inventory"))</f>
        <v/>
      </c>
      <c r="H791" s="51" t="str">
        <f t="shared" si="24"/>
        <v/>
      </c>
      <c r="I791" s="187"/>
      <c r="J791" s="188" t="str">
        <f t="shared" si="25"/>
        <v/>
      </c>
      <c r="K791" s="46"/>
    </row>
    <row r="792" spans="1:11" s="24" customFormat="1" ht="23.1" customHeight="1">
      <c r="A792" s="170" t="str">
        <f>IF($B792="","",MAX($A$3:A791)+1)</f>
        <v/>
      </c>
      <c r="B792" s="176"/>
      <c r="C792" s="177"/>
      <c r="D792" s="285"/>
      <c r="E792" s="281"/>
      <c r="F792" s="283" t="str">
        <f>IF($B792="","",SUMIFS('Daily Inward'!$G:$G,'Daily Inward'!$C:$C,$B792,'Daily Inward'!$E:$E,"Non Inventory"))</f>
        <v/>
      </c>
      <c r="G792" s="51" t="str">
        <f>IF($B792="","",SUMIFS('Daily Issuance'!$G:$G,'Daily Issuance'!$C:$C,$B792,'Daily Issuance'!$E:$E,"Non Inventory"))</f>
        <v/>
      </c>
      <c r="H792" s="51" t="str">
        <f t="shared" si="24"/>
        <v/>
      </c>
      <c r="I792" s="187"/>
      <c r="J792" s="188" t="str">
        <f t="shared" si="25"/>
        <v/>
      </c>
      <c r="K792" s="46"/>
    </row>
    <row r="793" spans="1:11" s="24" customFormat="1" ht="23.1" customHeight="1">
      <c r="A793" s="170" t="str">
        <f>IF($B793="","",MAX($A$3:A792)+1)</f>
        <v/>
      </c>
      <c r="B793" s="176"/>
      <c r="C793" s="177"/>
      <c r="D793" s="285"/>
      <c r="E793" s="281"/>
      <c r="F793" s="283" t="str">
        <f>IF($B793="","",SUMIFS('Daily Inward'!$G:$G,'Daily Inward'!$C:$C,$B793,'Daily Inward'!$E:$E,"Non Inventory"))</f>
        <v/>
      </c>
      <c r="G793" s="51" t="str">
        <f>IF($B793="","",SUMIFS('Daily Issuance'!$G:$G,'Daily Issuance'!$C:$C,$B793,'Daily Issuance'!$E:$E,"Non Inventory"))</f>
        <v/>
      </c>
      <c r="H793" s="51" t="str">
        <f t="shared" si="24"/>
        <v/>
      </c>
      <c r="I793" s="187"/>
      <c r="J793" s="188" t="str">
        <f t="shared" si="25"/>
        <v/>
      </c>
      <c r="K793" s="46"/>
    </row>
    <row r="794" spans="1:11" s="24" customFormat="1" ht="23.1" customHeight="1">
      <c r="A794" s="170" t="str">
        <f>IF($B794="","",MAX($A$3:A793)+1)</f>
        <v/>
      </c>
      <c r="B794" s="176"/>
      <c r="C794" s="177"/>
      <c r="D794" s="285"/>
      <c r="E794" s="281"/>
      <c r="F794" s="283" t="str">
        <f>IF($B794="","",SUMIFS('Daily Inward'!$G:$G,'Daily Inward'!$C:$C,$B794,'Daily Inward'!$E:$E,"Non Inventory"))</f>
        <v/>
      </c>
      <c r="G794" s="51" t="str">
        <f>IF($B794="","",SUMIFS('Daily Issuance'!$G:$G,'Daily Issuance'!$C:$C,$B794,'Daily Issuance'!$E:$E,"Non Inventory"))</f>
        <v/>
      </c>
      <c r="H794" s="51" t="str">
        <f t="shared" si="24"/>
        <v/>
      </c>
      <c r="I794" s="187"/>
      <c r="J794" s="188" t="str">
        <f t="shared" si="25"/>
        <v/>
      </c>
      <c r="K794" s="46"/>
    </row>
    <row r="795" spans="1:11" s="24" customFormat="1" ht="23.1" customHeight="1">
      <c r="A795" s="170" t="str">
        <f>IF($B795="","",MAX($A$3:A794)+1)</f>
        <v/>
      </c>
      <c r="B795" s="176"/>
      <c r="C795" s="177"/>
      <c r="D795" s="285"/>
      <c r="E795" s="281"/>
      <c r="F795" s="283" t="str">
        <f>IF($B795="","",SUMIFS('Daily Inward'!$G:$G,'Daily Inward'!$C:$C,$B795,'Daily Inward'!$E:$E,"Non Inventory"))</f>
        <v/>
      </c>
      <c r="G795" s="51" t="str">
        <f>IF($B795="","",SUMIFS('Daily Issuance'!$G:$G,'Daily Issuance'!$C:$C,$B795,'Daily Issuance'!$E:$E,"Non Inventory"))</f>
        <v/>
      </c>
      <c r="H795" s="51" t="str">
        <f t="shared" si="24"/>
        <v/>
      </c>
      <c r="I795" s="187"/>
      <c r="J795" s="188" t="str">
        <f t="shared" si="25"/>
        <v/>
      </c>
      <c r="K795" s="46"/>
    </row>
    <row r="796" spans="1:11" s="24" customFormat="1" ht="23.1" customHeight="1">
      <c r="A796" s="170" t="str">
        <f>IF($B796="","",MAX($A$3:A795)+1)</f>
        <v/>
      </c>
      <c r="B796" s="176"/>
      <c r="C796" s="177"/>
      <c r="D796" s="285"/>
      <c r="E796" s="281"/>
      <c r="F796" s="283" t="str">
        <f>IF($B796="","",SUMIFS('Daily Inward'!$G:$G,'Daily Inward'!$C:$C,$B796,'Daily Inward'!$E:$E,"Non Inventory"))</f>
        <v/>
      </c>
      <c r="G796" s="51" t="str">
        <f>IF($B796="","",SUMIFS('Daily Issuance'!$G:$G,'Daily Issuance'!$C:$C,$B796,'Daily Issuance'!$E:$E,"Non Inventory"))</f>
        <v/>
      </c>
      <c r="H796" s="51" t="str">
        <f t="shared" si="24"/>
        <v/>
      </c>
      <c r="I796" s="187"/>
      <c r="J796" s="188" t="str">
        <f t="shared" si="25"/>
        <v/>
      </c>
      <c r="K796" s="46"/>
    </row>
    <row r="797" spans="1:11" s="24" customFormat="1" ht="23.1" customHeight="1">
      <c r="A797" s="170" t="str">
        <f>IF($B797="","",MAX($A$3:A796)+1)</f>
        <v/>
      </c>
      <c r="B797" s="176"/>
      <c r="C797" s="177"/>
      <c r="D797" s="285"/>
      <c r="E797" s="281"/>
      <c r="F797" s="283" t="str">
        <f>IF($B797="","",SUMIFS('Daily Inward'!$G:$G,'Daily Inward'!$C:$C,$B797,'Daily Inward'!$E:$E,"Non Inventory"))</f>
        <v/>
      </c>
      <c r="G797" s="51" t="str">
        <f>IF($B797="","",SUMIFS('Daily Issuance'!$G:$G,'Daily Issuance'!$C:$C,$B797,'Daily Issuance'!$E:$E,"Non Inventory"))</f>
        <v/>
      </c>
      <c r="H797" s="51" t="str">
        <f t="shared" si="24"/>
        <v/>
      </c>
      <c r="I797" s="187"/>
      <c r="J797" s="188" t="str">
        <f t="shared" si="25"/>
        <v/>
      </c>
      <c r="K797" s="46"/>
    </row>
    <row r="798" spans="1:11" s="24" customFormat="1" ht="23.1" customHeight="1">
      <c r="A798" s="170" t="str">
        <f>IF($B798="","",MAX($A$3:A797)+1)</f>
        <v/>
      </c>
      <c r="B798" s="176"/>
      <c r="C798" s="177"/>
      <c r="D798" s="285"/>
      <c r="E798" s="281"/>
      <c r="F798" s="283" t="str">
        <f>IF($B798="","",SUMIFS('Daily Inward'!$G:$G,'Daily Inward'!$C:$C,$B798,'Daily Inward'!$E:$E,"Non Inventory"))</f>
        <v/>
      </c>
      <c r="G798" s="51" t="str">
        <f>IF($B798="","",SUMIFS('Daily Issuance'!$G:$G,'Daily Issuance'!$C:$C,$B798,'Daily Issuance'!$E:$E,"Non Inventory"))</f>
        <v/>
      </c>
      <c r="H798" s="51" t="str">
        <f t="shared" si="24"/>
        <v/>
      </c>
      <c r="I798" s="187"/>
      <c r="J798" s="188" t="str">
        <f t="shared" si="25"/>
        <v/>
      </c>
      <c r="K798" s="46"/>
    </row>
    <row r="799" spans="1:11" s="24" customFormat="1" ht="23.1" customHeight="1">
      <c r="A799" s="170" t="str">
        <f>IF($B799="","",MAX($A$3:A798)+1)</f>
        <v/>
      </c>
      <c r="B799" s="176"/>
      <c r="C799" s="177"/>
      <c r="D799" s="285"/>
      <c r="E799" s="281"/>
      <c r="F799" s="283" t="str">
        <f>IF($B799="","",SUMIFS('Daily Inward'!$G:$G,'Daily Inward'!$C:$C,$B799,'Daily Inward'!$E:$E,"Non Inventory"))</f>
        <v/>
      </c>
      <c r="G799" s="51" t="str">
        <f>IF($B799="","",SUMIFS('Daily Issuance'!$G:$G,'Daily Issuance'!$C:$C,$B799,'Daily Issuance'!$E:$E,"Non Inventory"))</f>
        <v/>
      </c>
      <c r="H799" s="51" t="str">
        <f t="shared" si="24"/>
        <v/>
      </c>
      <c r="I799" s="187"/>
      <c r="J799" s="188" t="str">
        <f t="shared" si="25"/>
        <v/>
      </c>
      <c r="K799" s="46"/>
    </row>
    <row r="800" spans="1:11" s="24" customFormat="1" ht="23.1" customHeight="1">
      <c r="A800" s="170" t="str">
        <f>IF($B800="","",MAX($A$3:A799)+1)</f>
        <v/>
      </c>
      <c r="B800" s="176"/>
      <c r="C800" s="177"/>
      <c r="D800" s="285"/>
      <c r="E800" s="281"/>
      <c r="F800" s="283" t="str">
        <f>IF($B800="","",SUMIFS('Daily Inward'!$G:$G,'Daily Inward'!$C:$C,$B800,'Daily Inward'!$E:$E,"Non Inventory"))</f>
        <v/>
      </c>
      <c r="G800" s="51" t="str">
        <f>IF($B800="","",SUMIFS('Daily Issuance'!$G:$G,'Daily Issuance'!$C:$C,$B800,'Daily Issuance'!$E:$E,"Non Inventory"))</f>
        <v/>
      </c>
      <c r="H800" s="51" t="str">
        <f t="shared" si="24"/>
        <v/>
      </c>
      <c r="I800" s="187"/>
      <c r="J800" s="188" t="str">
        <f t="shared" si="25"/>
        <v/>
      </c>
      <c r="K800" s="46"/>
    </row>
    <row r="801" spans="1:11" s="24" customFormat="1" ht="23.1" customHeight="1">
      <c r="A801" s="170" t="str">
        <f>IF($B801="","",MAX($A$3:A800)+1)</f>
        <v/>
      </c>
      <c r="B801" s="176"/>
      <c r="C801" s="177"/>
      <c r="D801" s="285"/>
      <c r="E801" s="281"/>
      <c r="F801" s="283" t="str">
        <f>IF($B801="","",SUMIFS('Daily Inward'!$G:$G,'Daily Inward'!$C:$C,$B801,'Daily Inward'!$E:$E,"Non Inventory"))</f>
        <v/>
      </c>
      <c r="G801" s="51" t="str">
        <f>IF($B801="","",SUMIFS('Daily Issuance'!$G:$G,'Daily Issuance'!$C:$C,$B801,'Daily Issuance'!$E:$E,"Non Inventory"))</f>
        <v/>
      </c>
      <c r="H801" s="51" t="str">
        <f t="shared" si="24"/>
        <v/>
      </c>
      <c r="I801" s="187"/>
      <c r="J801" s="188" t="str">
        <f t="shared" si="25"/>
        <v/>
      </c>
      <c r="K801" s="46"/>
    </row>
    <row r="802" spans="1:11" s="24" customFormat="1" ht="23.1" customHeight="1">
      <c r="A802" s="170" t="str">
        <f>IF($B802="","",MAX($A$3:A801)+1)</f>
        <v/>
      </c>
      <c r="B802" s="176"/>
      <c r="C802" s="177"/>
      <c r="D802" s="285"/>
      <c r="E802" s="281"/>
      <c r="F802" s="283" t="str">
        <f>IF($B802="","",SUMIFS('Daily Inward'!$G:$G,'Daily Inward'!$C:$C,$B802,'Daily Inward'!$E:$E,"Non Inventory"))</f>
        <v/>
      </c>
      <c r="G802" s="51" t="str">
        <f>IF($B802="","",SUMIFS('Daily Issuance'!$G:$G,'Daily Issuance'!$C:$C,$B802,'Daily Issuance'!$E:$E,"Non Inventory"))</f>
        <v/>
      </c>
      <c r="H802" s="51" t="str">
        <f t="shared" si="24"/>
        <v/>
      </c>
      <c r="I802" s="187"/>
      <c r="J802" s="188" t="str">
        <f t="shared" si="25"/>
        <v/>
      </c>
      <c r="K802" s="46"/>
    </row>
    <row r="803" spans="1:11" s="24" customFormat="1" ht="23.1" customHeight="1">
      <c r="A803" s="170" t="str">
        <f>IF($B803="","",MAX($A$3:A802)+1)</f>
        <v/>
      </c>
      <c r="B803" s="176"/>
      <c r="C803" s="177"/>
      <c r="D803" s="285"/>
      <c r="E803" s="281"/>
      <c r="F803" s="283" t="str">
        <f>IF($B803="","",SUMIFS('Daily Inward'!$G:$G,'Daily Inward'!$C:$C,$B803,'Daily Inward'!$E:$E,"Non Inventory"))</f>
        <v/>
      </c>
      <c r="G803" s="51" t="str">
        <f>IF($B803="","",SUMIFS('Daily Issuance'!$G:$G,'Daily Issuance'!$C:$C,$B803,'Daily Issuance'!$E:$E,"Non Inventory"))</f>
        <v/>
      </c>
      <c r="H803" s="51" t="str">
        <f t="shared" si="24"/>
        <v/>
      </c>
      <c r="I803" s="187"/>
      <c r="J803" s="188" t="str">
        <f t="shared" si="25"/>
        <v/>
      </c>
      <c r="K803" s="46"/>
    </row>
    <row r="804" spans="1:11" s="24" customFormat="1" ht="23.1" customHeight="1">
      <c r="A804" s="170" t="str">
        <f>IF($B804="","",MAX($A$3:A803)+1)</f>
        <v/>
      </c>
      <c r="B804" s="176"/>
      <c r="C804" s="177"/>
      <c r="D804" s="285"/>
      <c r="E804" s="281"/>
      <c r="F804" s="283" t="str">
        <f>IF($B804="","",SUMIFS('Daily Inward'!$G:$G,'Daily Inward'!$C:$C,$B804,'Daily Inward'!$E:$E,"Non Inventory"))</f>
        <v/>
      </c>
      <c r="G804" s="51" t="str">
        <f>IF($B804="","",SUMIFS('Daily Issuance'!$G:$G,'Daily Issuance'!$C:$C,$B804,'Daily Issuance'!$E:$E,"Non Inventory"))</f>
        <v/>
      </c>
      <c r="H804" s="51" t="str">
        <f t="shared" si="24"/>
        <v/>
      </c>
      <c r="I804" s="187"/>
      <c r="J804" s="188" t="str">
        <f t="shared" si="25"/>
        <v/>
      </c>
      <c r="K804" s="46"/>
    </row>
    <row r="805" spans="1:11" s="24" customFormat="1" ht="23.1" customHeight="1">
      <c r="A805" s="170" t="str">
        <f>IF($B805="","",MAX($A$3:A804)+1)</f>
        <v/>
      </c>
      <c r="B805" s="176"/>
      <c r="C805" s="177"/>
      <c r="D805" s="285"/>
      <c r="E805" s="281"/>
      <c r="F805" s="283" t="str">
        <f>IF($B805="","",SUMIFS('Daily Inward'!$G:$G,'Daily Inward'!$C:$C,$B805,'Daily Inward'!$E:$E,"Non Inventory"))</f>
        <v/>
      </c>
      <c r="G805" s="51" t="str">
        <f>IF($B805="","",SUMIFS('Daily Issuance'!$G:$G,'Daily Issuance'!$C:$C,$B805,'Daily Issuance'!$E:$E,"Non Inventory"))</f>
        <v/>
      </c>
      <c r="H805" s="51" t="str">
        <f t="shared" si="24"/>
        <v/>
      </c>
      <c r="I805" s="187"/>
      <c r="J805" s="188" t="str">
        <f t="shared" si="25"/>
        <v/>
      </c>
      <c r="K805" s="46"/>
    </row>
    <row r="806" spans="1:11" s="24" customFormat="1" ht="23.1" customHeight="1">
      <c r="A806" s="170" t="str">
        <f>IF($B806="","",MAX($A$3:A805)+1)</f>
        <v/>
      </c>
      <c r="B806" s="176"/>
      <c r="C806" s="177"/>
      <c r="D806" s="285"/>
      <c r="E806" s="281"/>
      <c r="F806" s="283" t="str">
        <f>IF($B806="","",SUMIFS('Daily Inward'!$G:$G,'Daily Inward'!$C:$C,$B806,'Daily Inward'!$E:$E,"Non Inventory"))</f>
        <v/>
      </c>
      <c r="G806" s="51" t="str">
        <f>IF($B806="","",SUMIFS('Daily Issuance'!$G:$G,'Daily Issuance'!$C:$C,$B806,'Daily Issuance'!$E:$E,"Non Inventory"))</f>
        <v/>
      </c>
      <c r="H806" s="51" t="str">
        <f t="shared" si="24"/>
        <v/>
      </c>
      <c r="I806" s="187"/>
      <c r="J806" s="188" t="str">
        <f t="shared" si="25"/>
        <v/>
      </c>
      <c r="K806" s="46"/>
    </row>
    <row r="807" spans="1:11" s="24" customFormat="1" ht="23.1" customHeight="1">
      <c r="A807" s="170" t="str">
        <f>IF($B807="","",MAX($A$3:A806)+1)</f>
        <v/>
      </c>
      <c r="B807" s="176"/>
      <c r="C807" s="177"/>
      <c r="D807" s="285"/>
      <c r="E807" s="281"/>
      <c r="F807" s="283" t="str">
        <f>IF($B807="","",SUMIFS('Daily Inward'!$G:$G,'Daily Inward'!$C:$C,$B807,'Daily Inward'!$E:$E,"Non Inventory"))</f>
        <v/>
      </c>
      <c r="G807" s="51" t="str">
        <f>IF($B807="","",SUMIFS('Daily Issuance'!$G:$G,'Daily Issuance'!$C:$C,$B807,'Daily Issuance'!$E:$E,"Non Inventory"))</f>
        <v/>
      </c>
      <c r="H807" s="51" t="str">
        <f t="shared" si="24"/>
        <v/>
      </c>
      <c r="I807" s="187"/>
      <c r="J807" s="188" t="str">
        <f t="shared" si="25"/>
        <v/>
      </c>
      <c r="K807" s="46"/>
    </row>
    <row r="808" spans="1:11" s="24" customFormat="1" ht="23.1" customHeight="1">
      <c r="A808" s="170" t="str">
        <f>IF($B808="","",MAX($A$3:A807)+1)</f>
        <v/>
      </c>
      <c r="B808" s="176"/>
      <c r="C808" s="177"/>
      <c r="D808" s="285"/>
      <c r="E808" s="281"/>
      <c r="F808" s="283" t="str">
        <f>IF($B808="","",SUMIFS('Daily Inward'!$G:$G,'Daily Inward'!$C:$C,$B808,'Daily Inward'!$E:$E,"Non Inventory"))</f>
        <v/>
      </c>
      <c r="G808" s="51" t="str">
        <f>IF($B808="","",SUMIFS('Daily Issuance'!$G:$G,'Daily Issuance'!$C:$C,$B808,'Daily Issuance'!$E:$E,"Non Inventory"))</f>
        <v/>
      </c>
      <c r="H808" s="51" t="str">
        <f t="shared" si="24"/>
        <v/>
      </c>
      <c r="I808" s="187"/>
      <c r="J808" s="188" t="str">
        <f t="shared" si="25"/>
        <v/>
      </c>
      <c r="K808" s="46"/>
    </row>
    <row r="809" spans="1:11" s="24" customFormat="1" ht="23.1" customHeight="1">
      <c r="A809" s="170" t="str">
        <f>IF($B809="","",MAX($A$3:A808)+1)</f>
        <v/>
      </c>
      <c r="B809" s="176"/>
      <c r="C809" s="177"/>
      <c r="D809" s="285"/>
      <c r="E809" s="281"/>
      <c r="F809" s="283" t="str">
        <f>IF($B809="","",SUMIFS('Daily Inward'!$G:$G,'Daily Inward'!$C:$C,$B809,'Daily Inward'!$E:$E,"Non Inventory"))</f>
        <v/>
      </c>
      <c r="G809" s="51" t="str">
        <f>IF($B809="","",SUMIFS('Daily Issuance'!$G:$G,'Daily Issuance'!$C:$C,$B809,'Daily Issuance'!$E:$E,"Non Inventory"))</f>
        <v/>
      </c>
      <c r="H809" s="51" t="str">
        <f t="shared" si="24"/>
        <v/>
      </c>
      <c r="I809" s="187"/>
      <c r="J809" s="188" t="str">
        <f t="shared" si="25"/>
        <v/>
      </c>
      <c r="K809" s="46"/>
    </row>
    <row r="810" spans="1:11" s="24" customFormat="1" ht="23.1" customHeight="1">
      <c r="A810" s="170" t="str">
        <f>IF($B810="","",MAX($A$3:A809)+1)</f>
        <v/>
      </c>
      <c r="B810" s="176"/>
      <c r="C810" s="177"/>
      <c r="D810" s="285"/>
      <c r="E810" s="281"/>
      <c r="F810" s="283" t="str">
        <f>IF($B810="","",SUMIFS('Daily Inward'!$G:$G,'Daily Inward'!$C:$C,$B810,'Daily Inward'!$E:$E,"Non Inventory"))</f>
        <v/>
      </c>
      <c r="G810" s="51" t="str">
        <f>IF($B810="","",SUMIFS('Daily Issuance'!$G:$G,'Daily Issuance'!$C:$C,$B810,'Daily Issuance'!$E:$E,"Non Inventory"))</f>
        <v/>
      </c>
      <c r="H810" s="51" t="str">
        <f t="shared" si="24"/>
        <v/>
      </c>
      <c r="I810" s="187"/>
      <c r="J810" s="188" t="str">
        <f t="shared" si="25"/>
        <v/>
      </c>
      <c r="K810" s="46"/>
    </row>
    <row r="811" spans="1:11" s="24" customFormat="1" ht="23.1" customHeight="1">
      <c r="A811" s="170" t="str">
        <f>IF($B811="","",MAX($A$3:A810)+1)</f>
        <v/>
      </c>
      <c r="B811" s="176"/>
      <c r="C811" s="177"/>
      <c r="D811" s="285"/>
      <c r="E811" s="281"/>
      <c r="F811" s="283" t="str">
        <f>IF($B811="","",SUMIFS('Daily Inward'!$G:$G,'Daily Inward'!$C:$C,$B811,'Daily Inward'!$E:$E,"Non Inventory"))</f>
        <v/>
      </c>
      <c r="G811" s="51" t="str">
        <f>IF($B811="","",SUMIFS('Daily Issuance'!$G:$G,'Daily Issuance'!$C:$C,$B811,'Daily Issuance'!$E:$E,"Non Inventory"))</f>
        <v/>
      </c>
      <c r="H811" s="51" t="str">
        <f t="shared" si="24"/>
        <v/>
      </c>
      <c r="I811" s="187"/>
      <c r="J811" s="188" t="str">
        <f t="shared" si="25"/>
        <v/>
      </c>
      <c r="K811" s="46"/>
    </row>
    <row r="812" spans="1:11" s="24" customFormat="1" ht="23.1" customHeight="1">
      <c r="A812" s="170" t="str">
        <f>IF($B812="","",MAX($A$3:A811)+1)</f>
        <v/>
      </c>
      <c r="B812" s="176"/>
      <c r="C812" s="177"/>
      <c r="D812" s="285"/>
      <c r="E812" s="281"/>
      <c r="F812" s="283" t="str">
        <f>IF($B812="","",SUMIFS('Daily Inward'!$G:$G,'Daily Inward'!$C:$C,$B812,'Daily Inward'!$E:$E,"Non Inventory"))</f>
        <v/>
      </c>
      <c r="G812" s="51" t="str">
        <f>IF($B812="","",SUMIFS('Daily Issuance'!$G:$G,'Daily Issuance'!$C:$C,$B812,'Daily Issuance'!$E:$E,"Non Inventory"))</f>
        <v/>
      </c>
      <c r="H812" s="51" t="str">
        <f t="shared" si="24"/>
        <v/>
      </c>
      <c r="I812" s="187"/>
      <c r="J812" s="188" t="str">
        <f t="shared" si="25"/>
        <v/>
      </c>
      <c r="K812" s="46"/>
    </row>
    <row r="813" spans="1:11" s="24" customFormat="1" ht="23.1" customHeight="1">
      <c r="A813" s="170" t="str">
        <f>IF($B813="","",MAX($A$3:A812)+1)</f>
        <v/>
      </c>
      <c r="B813" s="176"/>
      <c r="C813" s="177"/>
      <c r="D813" s="285"/>
      <c r="E813" s="281"/>
      <c r="F813" s="283" t="str">
        <f>IF($B813="","",SUMIFS('Daily Inward'!$G:$G,'Daily Inward'!$C:$C,$B813,'Daily Inward'!$E:$E,"Non Inventory"))</f>
        <v/>
      </c>
      <c r="G813" s="51" t="str">
        <f>IF($B813="","",SUMIFS('Daily Issuance'!$G:$G,'Daily Issuance'!$C:$C,$B813,'Daily Issuance'!$E:$E,"Non Inventory"))</f>
        <v/>
      </c>
      <c r="H813" s="51" t="str">
        <f t="shared" si="24"/>
        <v/>
      </c>
      <c r="I813" s="187"/>
      <c r="J813" s="188" t="str">
        <f t="shared" si="25"/>
        <v/>
      </c>
      <c r="K813" s="46"/>
    </row>
    <row r="814" spans="1:11" s="24" customFormat="1" ht="23.1" customHeight="1">
      <c r="A814" s="170" t="str">
        <f>IF($B814="","",MAX($A$3:A813)+1)</f>
        <v/>
      </c>
      <c r="B814" s="176"/>
      <c r="C814" s="177"/>
      <c r="D814" s="285"/>
      <c r="E814" s="281"/>
      <c r="F814" s="283" t="str">
        <f>IF($B814="","",SUMIFS('Daily Inward'!$G:$G,'Daily Inward'!$C:$C,$B814,'Daily Inward'!$E:$E,"Non Inventory"))</f>
        <v/>
      </c>
      <c r="G814" s="51" t="str">
        <f>IF($B814="","",SUMIFS('Daily Issuance'!$G:$G,'Daily Issuance'!$C:$C,$B814,'Daily Issuance'!$E:$E,"Non Inventory"))</f>
        <v/>
      </c>
      <c r="H814" s="51" t="str">
        <f t="shared" si="24"/>
        <v/>
      </c>
      <c r="I814" s="187"/>
      <c r="J814" s="188" t="str">
        <f t="shared" si="25"/>
        <v/>
      </c>
      <c r="K814" s="46"/>
    </row>
    <row r="815" spans="1:11" s="24" customFormat="1" ht="23.1" customHeight="1">
      <c r="A815" s="170" t="str">
        <f>IF($B815="","",MAX($A$3:A814)+1)</f>
        <v/>
      </c>
      <c r="B815" s="176"/>
      <c r="C815" s="177"/>
      <c r="D815" s="285"/>
      <c r="E815" s="281"/>
      <c r="F815" s="283" t="str">
        <f>IF($B815="","",SUMIFS('Daily Inward'!$G:$G,'Daily Inward'!$C:$C,$B815,'Daily Inward'!$E:$E,"Non Inventory"))</f>
        <v/>
      </c>
      <c r="G815" s="51" t="str">
        <f>IF($B815="","",SUMIFS('Daily Issuance'!$G:$G,'Daily Issuance'!$C:$C,$B815,'Daily Issuance'!$E:$E,"Non Inventory"))</f>
        <v/>
      </c>
      <c r="H815" s="51" t="str">
        <f t="shared" si="24"/>
        <v/>
      </c>
      <c r="I815" s="187"/>
      <c r="J815" s="188" t="str">
        <f t="shared" si="25"/>
        <v/>
      </c>
      <c r="K815" s="46"/>
    </row>
    <row r="816" spans="1:11" s="24" customFormat="1" ht="23.1" customHeight="1">
      <c r="A816" s="170" t="str">
        <f>IF($B816="","",MAX($A$3:A815)+1)</f>
        <v/>
      </c>
      <c r="B816" s="176"/>
      <c r="C816" s="177"/>
      <c r="D816" s="285"/>
      <c r="E816" s="281"/>
      <c r="F816" s="283" t="str">
        <f>IF($B816="","",SUMIFS('Daily Inward'!$G:$G,'Daily Inward'!$C:$C,$B816,'Daily Inward'!$E:$E,"Non Inventory"))</f>
        <v/>
      </c>
      <c r="G816" s="51" t="str">
        <f>IF($B816="","",SUMIFS('Daily Issuance'!$G:$G,'Daily Issuance'!$C:$C,$B816,'Daily Issuance'!$E:$E,"Non Inventory"))</f>
        <v/>
      </c>
      <c r="H816" s="51" t="str">
        <f t="shared" si="24"/>
        <v/>
      </c>
      <c r="I816" s="187"/>
      <c r="J816" s="188" t="str">
        <f t="shared" si="25"/>
        <v/>
      </c>
      <c r="K816" s="46"/>
    </row>
    <row r="817" spans="1:11" s="24" customFormat="1" ht="23.1" customHeight="1">
      <c r="A817" s="170" t="str">
        <f>IF($B817="","",MAX($A$3:A816)+1)</f>
        <v/>
      </c>
      <c r="B817" s="176"/>
      <c r="C817" s="177"/>
      <c r="D817" s="285"/>
      <c r="E817" s="281"/>
      <c r="F817" s="283" t="str">
        <f>IF($B817="","",SUMIFS('Daily Inward'!$G:$G,'Daily Inward'!$C:$C,$B817,'Daily Inward'!$E:$E,"Non Inventory"))</f>
        <v/>
      </c>
      <c r="G817" s="51" t="str">
        <f>IF($B817="","",SUMIFS('Daily Issuance'!$G:$G,'Daily Issuance'!$C:$C,$B817,'Daily Issuance'!$E:$E,"Non Inventory"))</f>
        <v/>
      </c>
      <c r="H817" s="51" t="str">
        <f t="shared" si="24"/>
        <v/>
      </c>
      <c r="I817" s="187"/>
      <c r="J817" s="188" t="str">
        <f t="shared" si="25"/>
        <v/>
      </c>
      <c r="K817" s="46"/>
    </row>
    <row r="818" spans="1:11" s="24" customFormat="1" ht="23.1" customHeight="1">
      <c r="A818" s="170" t="str">
        <f>IF($B818="","",MAX($A$3:A817)+1)</f>
        <v/>
      </c>
      <c r="B818" s="176"/>
      <c r="C818" s="177"/>
      <c r="D818" s="285"/>
      <c r="E818" s="281"/>
      <c r="F818" s="283" t="str">
        <f>IF($B818="","",SUMIFS('Daily Inward'!$G:$G,'Daily Inward'!$C:$C,$B818,'Daily Inward'!$E:$E,"Non Inventory"))</f>
        <v/>
      </c>
      <c r="G818" s="51" t="str">
        <f>IF($B818="","",SUMIFS('Daily Issuance'!$G:$G,'Daily Issuance'!$C:$C,$B818,'Daily Issuance'!$E:$E,"Non Inventory"))</f>
        <v/>
      </c>
      <c r="H818" s="51" t="str">
        <f t="shared" si="24"/>
        <v/>
      </c>
      <c r="I818" s="187"/>
      <c r="J818" s="188" t="str">
        <f t="shared" si="25"/>
        <v/>
      </c>
      <c r="K818" s="46"/>
    </row>
    <row r="819" spans="1:11" s="24" customFormat="1" ht="23.1" customHeight="1">
      <c r="A819" s="170" t="str">
        <f>IF($B819="","",MAX($A$3:A818)+1)</f>
        <v/>
      </c>
      <c r="B819" s="176"/>
      <c r="C819" s="177"/>
      <c r="D819" s="285"/>
      <c r="E819" s="281"/>
      <c r="F819" s="283" t="str">
        <f>IF($B819="","",SUMIFS('Daily Inward'!$G:$G,'Daily Inward'!$C:$C,$B819,'Daily Inward'!$E:$E,"Non Inventory"))</f>
        <v/>
      </c>
      <c r="G819" s="51" t="str">
        <f>IF($B819="","",SUMIFS('Daily Issuance'!$G:$G,'Daily Issuance'!$C:$C,$B819,'Daily Issuance'!$E:$E,"Non Inventory"))</f>
        <v/>
      </c>
      <c r="H819" s="51" t="str">
        <f t="shared" si="24"/>
        <v/>
      </c>
      <c r="I819" s="187"/>
      <c r="J819" s="188" t="str">
        <f t="shared" si="25"/>
        <v/>
      </c>
      <c r="K819" s="46"/>
    </row>
    <row r="820" spans="1:11" s="24" customFormat="1" ht="23.1" customHeight="1">
      <c r="A820" s="170" t="str">
        <f>IF($B820="","",MAX($A$3:A819)+1)</f>
        <v/>
      </c>
      <c r="B820" s="176"/>
      <c r="C820" s="177"/>
      <c r="D820" s="285"/>
      <c r="E820" s="281"/>
      <c r="F820" s="283" t="str">
        <f>IF($B820="","",SUMIFS('Daily Inward'!$G:$G,'Daily Inward'!$C:$C,$B820,'Daily Inward'!$E:$E,"Non Inventory"))</f>
        <v/>
      </c>
      <c r="G820" s="51" t="str">
        <f>IF($B820="","",SUMIFS('Daily Issuance'!$G:$G,'Daily Issuance'!$C:$C,$B820,'Daily Issuance'!$E:$E,"Non Inventory"))</f>
        <v/>
      </c>
      <c r="H820" s="51" t="str">
        <f t="shared" si="24"/>
        <v/>
      </c>
      <c r="I820" s="187"/>
      <c r="J820" s="188" t="str">
        <f t="shared" si="25"/>
        <v/>
      </c>
      <c r="K820" s="46"/>
    </row>
    <row r="821" spans="1:11" s="24" customFormat="1" ht="23.1" customHeight="1">
      <c r="A821" s="170" t="str">
        <f>IF($B821="","",MAX($A$3:A820)+1)</f>
        <v/>
      </c>
      <c r="B821" s="176"/>
      <c r="C821" s="177"/>
      <c r="D821" s="285"/>
      <c r="E821" s="281"/>
      <c r="F821" s="283" t="str">
        <f>IF($B821="","",SUMIFS('Daily Inward'!$G:$G,'Daily Inward'!$C:$C,$B821,'Daily Inward'!$E:$E,"Non Inventory"))</f>
        <v/>
      </c>
      <c r="G821" s="51" t="str">
        <f>IF($B821="","",SUMIFS('Daily Issuance'!$G:$G,'Daily Issuance'!$C:$C,$B821,'Daily Issuance'!$E:$E,"Non Inventory"))</f>
        <v/>
      </c>
      <c r="H821" s="51" t="str">
        <f t="shared" si="24"/>
        <v/>
      </c>
      <c r="I821" s="187"/>
      <c r="J821" s="188" t="str">
        <f t="shared" si="25"/>
        <v/>
      </c>
      <c r="K821" s="46"/>
    </row>
    <row r="822" spans="1:11" s="24" customFormat="1" ht="23.1" customHeight="1">
      <c r="A822" s="170" t="str">
        <f>IF($B822="","",MAX($A$3:A821)+1)</f>
        <v/>
      </c>
      <c r="B822" s="176"/>
      <c r="C822" s="177"/>
      <c r="D822" s="285"/>
      <c r="E822" s="281"/>
      <c r="F822" s="283" t="str">
        <f>IF($B822="","",SUMIFS('Daily Inward'!$G:$G,'Daily Inward'!$C:$C,$B822,'Daily Inward'!$E:$E,"Non Inventory"))</f>
        <v/>
      </c>
      <c r="G822" s="51" t="str">
        <f>IF($B822="","",SUMIFS('Daily Issuance'!$G:$G,'Daily Issuance'!$C:$C,$B822,'Daily Issuance'!$E:$E,"Non Inventory"))</f>
        <v/>
      </c>
      <c r="H822" s="51" t="str">
        <f t="shared" si="24"/>
        <v/>
      </c>
      <c r="I822" s="187"/>
      <c r="J822" s="188" t="str">
        <f t="shared" si="25"/>
        <v/>
      </c>
      <c r="K822" s="46"/>
    </row>
    <row r="823" spans="1:11" s="24" customFormat="1" ht="23.1" customHeight="1">
      <c r="A823" s="170" t="str">
        <f>IF($B823="","",MAX($A$3:A822)+1)</f>
        <v/>
      </c>
      <c r="B823" s="176"/>
      <c r="C823" s="177"/>
      <c r="D823" s="285"/>
      <c r="E823" s="281"/>
      <c r="F823" s="283" t="str">
        <f>IF($B823="","",SUMIFS('Daily Inward'!$G:$G,'Daily Inward'!$C:$C,$B823,'Daily Inward'!$E:$E,"Non Inventory"))</f>
        <v/>
      </c>
      <c r="G823" s="51" t="str">
        <f>IF($B823="","",SUMIFS('Daily Issuance'!$G:$G,'Daily Issuance'!$C:$C,$B823,'Daily Issuance'!$E:$E,"Non Inventory"))</f>
        <v/>
      </c>
      <c r="H823" s="51" t="str">
        <f t="shared" si="24"/>
        <v/>
      </c>
      <c r="I823" s="187"/>
      <c r="J823" s="188" t="str">
        <f t="shared" si="25"/>
        <v/>
      </c>
      <c r="K823" s="46"/>
    </row>
    <row r="824" spans="1:11" s="24" customFormat="1" ht="23.1" customHeight="1">
      <c r="A824" s="170" t="str">
        <f>IF($B824="","",MAX($A$3:A823)+1)</f>
        <v/>
      </c>
      <c r="B824" s="176"/>
      <c r="C824" s="177"/>
      <c r="D824" s="285"/>
      <c r="E824" s="281"/>
      <c r="F824" s="283" t="str">
        <f>IF($B824="","",SUMIFS('Daily Inward'!$G:$G,'Daily Inward'!$C:$C,$B824,'Daily Inward'!$E:$E,"Non Inventory"))</f>
        <v/>
      </c>
      <c r="G824" s="51" t="str">
        <f>IF($B824="","",SUMIFS('Daily Issuance'!$G:$G,'Daily Issuance'!$C:$C,$B824,'Daily Issuance'!$E:$E,"Non Inventory"))</f>
        <v/>
      </c>
      <c r="H824" s="51" t="str">
        <f t="shared" si="24"/>
        <v/>
      </c>
      <c r="I824" s="187"/>
      <c r="J824" s="188" t="str">
        <f t="shared" si="25"/>
        <v/>
      </c>
      <c r="K824" s="46"/>
    </row>
    <row r="825" spans="1:11" s="24" customFormat="1" ht="23.1" customHeight="1">
      <c r="A825" s="170" t="str">
        <f>IF($B825="","",MAX($A$3:A824)+1)</f>
        <v/>
      </c>
      <c r="B825" s="176"/>
      <c r="C825" s="177"/>
      <c r="D825" s="285"/>
      <c r="E825" s="281"/>
      <c r="F825" s="283" t="str">
        <f>IF($B825="","",SUMIFS('Daily Inward'!$G:$G,'Daily Inward'!$C:$C,$B825,'Daily Inward'!$E:$E,"Non Inventory"))</f>
        <v/>
      </c>
      <c r="G825" s="51" t="str">
        <f>IF($B825="","",SUMIFS('Daily Issuance'!$G:$G,'Daily Issuance'!$C:$C,$B825,'Daily Issuance'!$E:$E,"Non Inventory"))</f>
        <v/>
      </c>
      <c r="H825" s="51" t="str">
        <f t="shared" si="24"/>
        <v/>
      </c>
      <c r="I825" s="187"/>
      <c r="J825" s="188" t="str">
        <f t="shared" si="25"/>
        <v/>
      </c>
      <c r="K825" s="46"/>
    </row>
    <row r="826" spans="1:11" s="24" customFormat="1" ht="23.1" customHeight="1">
      <c r="A826" s="170" t="str">
        <f>IF($B826="","",MAX($A$3:A825)+1)</f>
        <v/>
      </c>
      <c r="B826" s="176"/>
      <c r="C826" s="177"/>
      <c r="D826" s="285"/>
      <c r="E826" s="281"/>
      <c r="F826" s="283" t="str">
        <f>IF($B826="","",SUMIFS('Daily Inward'!$G:$G,'Daily Inward'!$C:$C,$B826,'Daily Inward'!$E:$E,"Non Inventory"))</f>
        <v/>
      </c>
      <c r="G826" s="51" t="str">
        <f>IF($B826="","",SUMIFS('Daily Issuance'!$G:$G,'Daily Issuance'!$C:$C,$B826,'Daily Issuance'!$E:$E,"Non Inventory"))</f>
        <v/>
      </c>
      <c r="H826" s="51" t="str">
        <f t="shared" si="24"/>
        <v/>
      </c>
      <c r="I826" s="187"/>
      <c r="J826" s="188" t="str">
        <f t="shared" si="25"/>
        <v/>
      </c>
      <c r="K826" s="46"/>
    </row>
    <row r="827" spans="1:11" s="24" customFormat="1" ht="23.1" customHeight="1">
      <c r="A827" s="170" t="str">
        <f>IF($B827="","",MAX($A$3:A826)+1)</f>
        <v/>
      </c>
      <c r="B827" s="176"/>
      <c r="C827" s="177"/>
      <c r="D827" s="285"/>
      <c r="E827" s="281"/>
      <c r="F827" s="283" t="str">
        <f>IF($B827="","",SUMIFS('Daily Inward'!$G:$G,'Daily Inward'!$C:$C,$B827,'Daily Inward'!$E:$E,"Non Inventory"))</f>
        <v/>
      </c>
      <c r="G827" s="51" t="str">
        <f>IF($B827="","",SUMIFS('Daily Issuance'!$G:$G,'Daily Issuance'!$C:$C,$B827,'Daily Issuance'!$E:$E,"Non Inventory"))</f>
        <v/>
      </c>
      <c r="H827" s="51" t="str">
        <f t="shared" si="24"/>
        <v/>
      </c>
      <c r="I827" s="187"/>
      <c r="J827" s="188" t="str">
        <f t="shared" si="25"/>
        <v/>
      </c>
      <c r="K827" s="46"/>
    </row>
    <row r="828" spans="1:11" s="24" customFormat="1" ht="23.1" customHeight="1">
      <c r="A828" s="170" t="str">
        <f>IF($B828="","",MAX($A$3:A827)+1)</f>
        <v/>
      </c>
      <c r="B828" s="176"/>
      <c r="C828" s="177"/>
      <c r="D828" s="285"/>
      <c r="E828" s="281"/>
      <c r="F828" s="283" t="str">
        <f>IF($B828="","",SUMIFS('Daily Inward'!$G:$G,'Daily Inward'!$C:$C,$B828,'Daily Inward'!$E:$E,"Non Inventory"))</f>
        <v/>
      </c>
      <c r="G828" s="51" t="str">
        <f>IF($B828="","",SUMIFS('Daily Issuance'!$G:$G,'Daily Issuance'!$C:$C,$B828,'Daily Issuance'!$E:$E,"Non Inventory"))</f>
        <v/>
      </c>
      <c r="H828" s="51" t="str">
        <f t="shared" si="24"/>
        <v/>
      </c>
      <c r="I828" s="187"/>
      <c r="J828" s="188" t="str">
        <f t="shared" si="25"/>
        <v/>
      </c>
      <c r="K828" s="46"/>
    </row>
    <row r="829" spans="1:11" s="24" customFormat="1" ht="23.1" customHeight="1">
      <c r="A829" s="170" t="str">
        <f>IF($B829="","",MAX($A$3:A828)+1)</f>
        <v/>
      </c>
      <c r="B829" s="176"/>
      <c r="C829" s="177"/>
      <c r="D829" s="285"/>
      <c r="E829" s="281"/>
      <c r="F829" s="283" t="str">
        <f>IF($B829="","",SUMIFS('Daily Inward'!$G:$G,'Daily Inward'!$C:$C,$B829,'Daily Inward'!$E:$E,"Non Inventory"))</f>
        <v/>
      </c>
      <c r="G829" s="51" t="str">
        <f>IF($B829="","",SUMIFS('Daily Issuance'!$G:$G,'Daily Issuance'!$C:$C,$B829,'Daily Issuance'!$E:$E,"Non Inventory"))</f>
        <v/>
      </c>
      <c r="H829" s="51" t="str">
        <f t="shared" si="24"/>
        <v/>
      </c>
      <c r="I829" s="187"/>
      <c r="J829" s="188" t="str">
        <f t="shared" si="25"/>
        <v/>
      </c>
      <c r="K829" s="46"/>
    </row>
    <row r="830" spans="1:11" s="24" customFormat="1" ht="23.1" customHeight="1">
      <c r="A830" s="170" t="str">
        <f>IF($B830="","",MAX($A$3:A829)+1)</f>
        <v/>
      </c>
      <c r="B830" s="176"/>
      <c r="C830" s="177"/>
      <c r="D830" s="285"/>
      <c r="E830" s="281"/>
      <c r="F830" s="283" t="str">
        <f>IF($B830="","",SUMIFS('Daily Inward'!$G:$G,'Daily Inward'!$C:$C,$B830,'Daily Inward'!$E:$E,"Non Inventory"))</f>
        <v/>
      </c>
      <c r="G830" s="51" t="str">
        <f>IF($B830="","",SUMIFS('Daily Issuance'!$G:$G,'Daily Issuance'!$C:$C,$B830,'Daily Issuance'!$E:$E,"Non Inventory"))</f>
        <v/>
      </c>
      <c r="H830" s="51" t="str">
        <f t="shared" ref="H830:H893" si="26">IF($B830="","",N(E830)+N(F830)-N(G830))</f>
        <v/>
      </c>
      <c r="I830" s="187"/>
      <c r="J830" s="188" t="str">
        <f t="shared" ref="J830:J893" si="27">IF($B830="","",H830*I830)</f>
        <v/>
      </c>
      <c r="K830" s="46"/>
    </row>
    <row r="831" spans="1:11" s="24" customFormat="1" ht="23.1" customHeight="1">
      <c r="A831" s="170" t="str">
        <f>IF($B831="","",MAX($A$3:A830)+1)</f>
        <v/>
      </c>
      <c r="B831" s="176"/>
      <c r="C831" s="177"/>
      <c r="D831" s="285"/>
      <c r="E831" s="281"/>
      <c r="F831" s="283" t="str">
        <f>IF($B831="","",SUMIFS('Daily Inward'!$G:$G,'Daily Inward'!$C:$C,$B831,'Daily Inward'!$E:$E,"Non Inventory"))</f>
        <v/>
      </c>
      <c r="G831" s="51" t="str">
        <f>IF($B831="","",SUMIFS('Daily Issuance'!$G:$G,'Daily Issuance'!$C:$C,$B831,'Daily Issuance'!$E:$E,"Non Inventory"))</f>
        <v/>
      </c>
      <c r="H831" s="51" t="str">
        <f t="shared" si="26"/>
        <v/>
      </c>
      <c r="I831" s="187"/>
      <c r="J831" s="188" t="str">
        <f t="shared" si="27"/>
        <v/>
      </c>
      <c r="K831" s="46"/>
    </row>
    <row r="832" spans="1:11" s="24" customFormat="1" ht="23.1" customHeight="1">
      <c r="A832" s="170" t="str">
        <f>IF($B832="","",MAX($A$3:A831)+1)</f>
        <v/>
      </c>
      <c r="B832" s="176"/>
      <c r="C832" s="177"/>
      <c r="D832" s="285"/>
      <c r="E832" s="281"/>
      <c r="F832" s="283" t="str">
        <f>IF($B832="","",SUMIFS('Daily Inward'!$G:$G,'Daily Inward'!$C:$C,$B832,'Daily Inward'!$E:$E,"Non Inventory"))</f>
        <v/>
      </c>
      <c r="G832" s="51" t="str">
        <f>IF($B832="","",SUMIFS('Daily Issuance'!$G:$G,'Daily Issuance'!$C:$C,$B832,'Daily Issuance'!$E:$E,"Non Inventory"))</f>
        <v/>
      </c>
      <c r="H832" s="51" t="str">
        <f t="shared" si="26"/>
        <v/>
      </c>
      <c r="I832" s="187"/>
      <c r="J832" s="188" t="str">
        <f t="shared" si="27"/>
        <v/>
      </c>
      <c r="K832" s="46"/>
    </row>
    <row r="833" spans="1:11" s="24" customFormat="1" ht="23.1" customHeight="1">
      <c r="A833" s="170" t="str">
        <f>IF($B833="","",MAX($A$3:A832)+1)</f>
        <v/>
      </c>
      <c r="B833" s="176"/>
      <c r="C833" s="177"/>
      <c r="D833" s="285"/>
      <c r="E833" s="281"/>
      <c r="F833" s="283" t="str">
        <f>IF($B833="","",SUMIFS('Daily Inward'!$G:$G,'Daily Inward'!$C:$C,$B833,'Daily Inward'!$E:$E,"Non Inventory"))</f>
        <v/>
      </c>
      <c r="G833" s="51" t="str">
        <f>IF($B833="","",SUMIFS('Daily Issuance'!$G:$G,'Daily Issuance'!$C:$C,$B833,'Daily Issuance'!$E:$E,"Non Inventory"))</f>
        <v/>
      </c>
      <c r="H833" s="51" t="str">
        <f t="shared" si="26"/>
        <v/>
      </c>
      <c r="I833" s="187"/>
      <c r="J833" s="188" t="str">
        <f t="shared" si="27"/>
        <v/>
      </c>
      <c r="K833" s="46"/>
    </row>
    <row r="834" spans="1:11" s="24" customFormat="1" ht="23.1" customHeight="1">
      <c r="A834" s="170" t="str">
        <f>IF($B834="","",MAX($A$3:A833)+1)</f>
        <v/>
      </c>
      <c r="B834" s="176"/>
      <c r="C834" s="177"/>
      <c r="D834" s="285"/>
      <c r="E834" s="281"/>
      <c r="F834" s="283" t="str">
        <f>IF($B834="","",SUMIFS('Daily Inward'!$G:$G,'Daily Inward'!$C:$C,$B834,'Daily Inward'!$E:$E,"Non Inventory"))</f>
        <v/>
      </c>
      <c r="G834" s="51" t="str">
        <f>IF($B834="","",SUMIFS('Daily Issuance'!$G:$G,'Daily Issuance'!$C:$C,$B834,'Daily Issuance'!$E:$E,"Non Inventory"))</f>
        <v/>
      </c>
      <c r="H834" s="51" t="str">
        <f t="shared" si="26"/>
        <v/>
      </c>
      <c r="I834" s="187"/>
      <c r="J834" s="188" t="str">
        <f t="shared" si="27"/>
        <v/>
      </c>
      <c r="K834" s="46"/>
    </row>
    <row r="835" spans="1:11" s="24" customFormat="1" ht="23.1" customHeight="1">
      <c r="A835" s="170" t="str">
        <f>IF($B835="","",MAX($A$3:A834)+1)</f>
        <v/>
      </c>
      <c r="B835" s="176"/>
      <c r="C835" s="177"/>
      <c r="D835" s="285"/>
      <c r="E835" s="281"/>
      <c r="F835" s="283" t="str">
        <f>IF($B835="","",SUMIFS('Daily Inward'!$G:$G,'Daily Inward'!$C:$C,$B835,'Daily Inward'!$E:$E,"Non Inventory"))</f>
        <v/>
      </c>
      <c r="G835" s="51" t="str">
        <f>IF($B835="","",SUMIFS('Daily Issuance'!$G:$G,'Daily Issuance'!$C:$C,$B835,'Daily Issuance'!$E:$E,"Non Inventory"))</f>
        <v/>
      </c>
      <c r="H835" s="51" t="str">
        <f t="shared" si="26"/>
        <v/>
      </c>
      <c r="I835" s="187"/>
      <c r="J835" s="188" t="str">
        <f t="shared" si="27"/>
        <v/>
      </c>
      <c r="K835" s="46"/>
    </row>
    <row r="836" spans="1:11" s="24" customFormat="1" ht="23.1" customHeight="1">
      <c r="A836" s="170" t="str">
        <f>IF($B836="","",MAX($A$3:A835)+1)</f>
        <v/>
      </c>
      <c r="B836" s="176"/>
      <c r="C836" s="177"/>
      <c r="D836" s="285"/>
      <c r="E836" s="281"/>
      <c r="F836" s="283" t="str">
        <f>IF($B836="","",SUMIFS('Daily Inward'!$G:$G,'Daily Inward'!$C:$C,$B836,'Daily Inward'!$E:$E,"Non Inventory"))</f>
        <v/>
      </c>
      <c r="G836" s="51" t="str">
        <f>IF($B836="","",SUMIFS('Daily Issuance'!$G:$G,'Daily Issuance'!$C:$C,$B836,'Daily Issuance'!$E:$E,"Non Inventory"))</f>
        <v/>
      </c>
      <c r="H836" s="51" t="str">
        <f t="shared" si="26"/>
        <v/>
      </c>
      <c r="I836" s="187"/>
      <c r="J836" s="188" t="str">
        <f t="shared" si="27"/>
        <v/>
      </c>
      <c r="K836" s="46"/>
    </row>
    <row r="837" spans="1:11" s="24" customFormat="1" ht="23.1" customHeight="1">
      <c r="A837" s="170" t="str">
        <f>IF($B837="","",MAX($A$3:A836)+1)</f>
        <v/>
      </c>
      <c r="B837" s="176"/>
      <c r="C837" s="177"/>
      <c r="D837" s="285"/>
      <c r="E837" s="281"/>
      <c r="F837" s="283" t="str">
        <f>IF($B837="","",SUMIFS('Daily Inward'!$G:$G,'Daily Inward'!$C:$C,$B837,'Daily Inward'!$E:$E,"Non Inventory"))</f>
        <v/>
      </c>
      <c r="G837" s="51" t="str">
        <f>IF($B837="","",SUMIFS('Daily Issuance'!$G:$G,'Daily Issuance'!$C:$C,$B837,'Daily Issuance'!$E:$E,"Non Inventory"))</f>
        <v/>
      </c>
      <c r="H837" s="51" t="str">
        <f t="shared" si="26"/>
        <v/>
      </c>
      <c r="I837" s="187"/>
      <c r="J837" s="188" t="str">
        <f t="shared" si="27"/>
        <v/>
      </c>
      <c r="K837" s="46"/>
    </row>
    <row r="838" spans="1:11" s="24" customFormat="1" ht="23.1" customHeight="1">
      <c r="A838" s="170" t="str">
        <f>IF($B838="","",MAX($A$3:A837)+1)</f>
        <v/>
      </c>
      <c r="B838" s="176"/>
      <c r="C838" s="177"/>
      <c r="D838" s="285"/>
      <c r="E838" s="281"/>
      <c r="F838" s="283" t="str">
        <f>IF($B838="","",SUMIFS('Daily Inward'!$G:$G,'Daily Inward'!$C:$C,$B838,'Daily Inward'!$E:$E,"Non Inventory"))</f>
        <v/>
      </c>
      <c r="G838" s="51" t="str">
        <f>IF($B838="","",SUMIFS('Daily Issuance'!$G:$G,'Daily Issuance'!$C:$C,$B838,'Daily Issuance'!$E:$E,"Non Inventory"))</f>
        <v/>
      </c>
      <c r="H838" s="51" t="str">
        <f t="shared" si="26"/>
        <v/>
      </c>
      <c r="I838" s="187"/>
      <c r="J838" s="188" t="str">
        <f t="shared" si="27"/>
        <v/>
      </c>
      <c r="K838" s="46"/>
    </row>
    <row r="839" spans="1:11" s="24" customFormat="1" ht="23.1" customHeight="1">
      <c r="A839" s="170" t="str">
        <f>IF($B839="","",MAX($A$3:A838)+1)</f>
        <v/>
      </c>
      <c r="B839" s="176"/>
      <c r="C839" s="177"/>
      <c r="D839" s="285"/>
      <c r="E839" s="281"/>
      <c r="F839" s="283" t="str">
        <f>IF($B839="","",SUMIFS('Daily Inward'!$G:$G,'Daily Inward'!$C:$C,$B839,'Daily Inward'!$E:$E,"Non Inventory"))</f>
        <v/>
      </c>
      <c r="G839" s="51" t="str">
        <f>IF($B839="","",SUMIFS('Daily Issuance'!$G:$G,'Daily Issuance'!$C:$C,$B839,'Daily Issuance'!$E:$E,"Non Inventory"))</f>
        <v/>
      </c>
      <c r="H839" s="51" t="str">
        <f t="shared" si="26"/>
        <v/>
      </c>
      <c r="I839" s="187"/>
      <c r="J839" s="188" t="str">
        <f t="shared" si="27"/>
        <v/>
      </c>
      <c r="K839" s="46"/>
    </row>
    <row r="840" spans="1:11" s="24" customFormat="1" ht="23.1" customHeight="1">
      <c r="A840" s="170" t="str">
        <f>IF($B840="","",MAX($A$3:A839)+1)</f>
        <v/>
      </c>
      <c r="B840" s="176"/>
      <c r="C840" s="177"/>
      <c r="D840" s="285"/>
      <c r="E840" s="281"/>
      <c r="F840" s="283" t="str">
        <f>IF($B840="","",SUMIFS('Daily Inward'!$G:$G,'Daily Inward'!$C:$C,$B840,'Daily Inward'!$E:$E,"Non Inventory"))</f>
        <v/>
      </c>
      <c r="G840" s="51" t="str">
        <f>IF($B840="","",SUMIFS('Daily Issuance'!$G:$G,'Daily Issuance'!$C:$C,$B840,'Daily Issuance'!$E:$E,"Non Inventory"))</f>
        <v/>
      </c>
      <c r="H840" s="51" t="str">
        <f t="shared" si="26"/>
        <v/>
      </c>
      <c r="I840" s="187"/>
      <c r="J840" s="188" t="str">
        <f t="shared" si="27"/>
        <v/>
      </c>
      <c r="K840" s="46"/>
    </row>
    <row r="841" spans="1:11" s="24" customFormat="1" ht="23.1" customHeight="1">
      <c r="A841" s="170" t="str">
        <f>IF($B841="","",MAX($A$3:A840)+1)</f>
        <v/>
      </c>
      <c r="B841" s="176"/>
      <c r="C841" s="177"/>
      <c r="D841" s="285"/>
      <c r="E841" s="281"/>
      <c r="F841" s="283" t="str">
        <f>IF($B841="","",SUMIFS('Daily Inward'!$G:$G,'Daily Inward'!$C:$C,$B841,'Daily Inward'!$E:$E,"Non Inventory"))</f>
        <v/>
      </c>
      <c r="G841" s="51" t="str">
        <f>IF($B841="","",SUMIFS('Daily Issuance'!$G:$G,'Daily Issuance'!$C:$C,$B841,'Daily Issuance'!$E:$E,"Non Inventory"))</f>
        <v/>
      </c>
      <c r="H841" s="51" t="str">
        <f t="shared" si="26"/>
        <v/>
      </c>
      <c r="I841" s="187"/>
      <c r="J841" s="188" t="str">
        <f t="shared" si="27"/>
        <v/>
      </c>
      <c r="K841" s="46"/>
    </row>
    <row r="842" spans="1:11" s="24" customFormat="1" ht="23.1" customHeight="1">
      <c r="A842" s="170" t="str">
        <f>IF($B842="","",MAX($A$3:A841)+1)</f>
        <v/>
      </c>
      <c r="B842" s="176"/>
      <c r="C842" s="177"/>
      <c r="D842" s="285"/>
      <c r="E842" s="281"/>
      <c r="F842" s="283" t="str">
        <f>IF($B842="","",SUMIFS('Daily Inward'!$G:$G,'Daily Inward'!$C:$C,$B842,'Daily Inward'!$E:$E,"Non Inventory"))</f>
        <v/>
      </c>
      <c r="G842" s="51" t="str">
        <f>IF($B842="","",SUMIFS('Daily Issuance'!$G:$G,'Daily Issuance'!$C:$C,$B842,'Daily Issuance'!$E:$E,"Non Inventory"))</f>
        <v/>
      </c>
      <c r="H842" s="51" t="str">
        <f t="shared" si="26"/>
        <v/>
      </c>
      <c r="I842" s="187"/>
      <c r="J842" s="188" t="str">
        <f t="shared" si="27"/>
        <v/>
      </c>
      <c r="K842" s="46"/>
    </row>
    <row r="843" spans="1:11" s="24" customFormat="1" ht="23.1" customHeight="1">
      <c r="A843" s="170" t="str">
        <f>IF($B843="","",MAX($A$3:A842)+1)</f>
        <v/>
      </c>
      <c r="B843" s="176"/>
      <c r="C843" s="177"/>
      <c r="D843" s="285"/>
      <c r="E843" s="281"/>
      <c r="F843" s="283" t="str">
        <f>IF($B843="","",SUMIFS('Daily Inward'!$G:$G,'Daily Inward'!$C:$C,$B843,'Daily Inward'!$E:$E,"Non Inventory"))</f>
        <v/>
      </c>
      <c r="G843" s="51" t="str">
        <f>IF($B843="","",SUMIFS('Daily Issuance'!$G:$G,'Daily Issuance'!$C:$C,$B843,'Daily Issuance'!$E:$E,"Non Inventory"))</f>
        <v/>
      </c>
      <c r="H843" s="51" t="str">
        <f t="shared" si="26"/>
        <v/>
      </c>
      <c r="I843" s="187"/>
      <c r="J843" s="188" t="str">
        <f t="shared" si="27"/>
        <v/>
      </c>
      <c r="K843" s="46"/>
    </row>
    <row r="844" spans="1:11" s="24" customFormat="1" ht="23.1" customHeight="1">
      <c r="A844" s="170" t="str">
        <f>IF($B844="","",MAX($A$3:A843)+1)</f>
        <v/>
      </c>
      <c r="B844" s="176"/>
      <c r="C844" s="177"/>
      <c r="D844" s="285"/>
      <c r="E844" s="281"/>
      <c r="F844" s="283" t="str">
        <f>IF($B844="","",SUMIFS('Daily Inward'!$G:$G,'Daily Inward'!$C:$C,$B844,'Daily Inward'!$E:$E,"Non Inventory"))</f>
        <v/>
      </c>
      <c r="G844" s="51" t="str">
        <f>IF($B844="","",SUMIFS('Daily Issuance'!$G:$G,'Daily Issuance'!$C:$C,$B844,'Daily Issuance'!$E:$E,"Non Inventory"))</f>
        <v/>
      </c>
      <c r="H844" s="51" t="str">
        <f t="shared" si="26"/>
        <v/>
      </c>
      <c r="I844" s="187"/>
      <c r="J844" s="188" t="str">
        <f t="shared" si="27"/>
        <v/>
      </c>
      <c r="K844" s="46"/>
    </row>
    <row r="845" spans="1:11" s="24" customFormat="1" ht="23.1" customHeight="1">
      <c r="A845" s="170" t="str">
        <f>IF($B845="","",MAX($A$3:A844)+1)</f>
        <v/>
      </c>
      <c r="B845" s="176"/>
      <c r="C845" s="177"/>
      <c r="D845" s="285"/>
      <c r="E845" s="281"/>
      <c r="F845" s="283" t="str">
        <f>IF($B845="","",SUMIFS('Daily Inward'!$G:$G,'Daily Inward'!$C:$C,$B845,'Daily Inward'!$E:$E,"Non Inventory"))</f>
        <v/>
      </c>
      <c r="G845" s="51" t="str">
        <f>IF($B845="","",SUMIFS('Daily Issuance'!$G:$G,'Daily Issuance'!$C:$C,$B845,'Daily Issuance'!$E:$E,"Non Inventory"))</f>
        <v/>
      </c>
      <c r="H845" s="51" t="str">
        <f t="shared" si="26"/>
        <v/>
      </c>
      <c r="I845" s="187"/>
      <c r="J845" s="188" t="str">
        <f t="shared" si="27"/>
        <v/>
      </c>
      <c r="K845" s="46"/>
    </row>
    <row r="846" spans="1:11" s="24" customFormat="1" ht="23.1" customHeight="1">
      <c r="A846" s="170" t="str">
        <f>IF($B846="","",MAX($A$3:A845)+1)</f>
        <v/>
      </c>
      <c r="B846" s="176"/>
      <c r="C846" s="177"/>
      <c r="D846" s="285"/>
      <c r="E846" s="281"/>
      <c r="F846" s="283" t="str">
        <f>IF($B846="","",SUMIFS('Daily Inward'!$G:$G,'Daily Inward'!$C:$C,$B846,'Daily Inward'!$E:$E,"Non Inventory"))</f>
        <v/>
      </c>
      <c r="G846" s="51" t="str">
        <f>IF($B846="","",SUMIFS('Daily Issuance'!$G:$G,'Daily Issuance'!$C:$C,$B846,'Daily Issuance'!$E:$E,"Non Inventory"))</f>
        <v/>
      </c>
      <c r="H846" s="51" t="str">
        <f t="shared" si="26"/>
        <v/>
      </c>
      <c r="I846" s="187"/>
      <c r="J846" s="188" t="str">
        <f t="shared" si="27"/>
        <v/>
      </c>
      <c r="K846" s="46"/>
    </row>
    <row r="847" spans="1:11" s="24" customFormat="1" ht="23.1" customHeight="1">
      <c r="A847" s="170" t="str">
        <f>IF($B847="","",MAX($A$3:A846)+1)</f>
        <v/>
      </c>
      <c r="B847" s="176"/>
      <c r="C847" s="177"/>
      <c r="D847" s="285"/>
      <c r="E847" s="281"/>
      <c r="F847" s="283" t="str">
        <f>IF($B847="","",SUMIFS('Daily Inward'!$G:$G,'Daily Inward'!$C:$C,$B847,'Daily Inward'!$E:$E,"Non Inventory"))</f>
        <v/>
      </c>
      <c r="G847" s="51" t="str">
        <f>IF($B847="","",SUMIFS('Daily Issuance'!$G:$G,'Daily Issuance'!$C:$C,$B847,'Daily Issuance'!$E:$E,"Non Inventory"))</f>
        <v/>
      </c>
      <c r="H847" s="51" t="str">
        <f t="shared" si="26"/>
        <v/>
      </c>
      <c r="I847" s="187"/>
      <c r="J847" s="188" t="str">
        <f t="shared" si="27"/>
        <v/>
      </c>
      <c r="K847" s="46"/>
    </row>
    <row r="848" spans="1:11" s="24" customFormat="1" ht="23.1" customHeight="1">
      <c r="A848" s="170" t="str">
        <f>IF($B848="","",MAX($A$3:A847)+1)</f>
        <v/>
      </c>
      <c r="B848" s="176"/>
      <c r="C848" s="177"/>
      <c r="D848" s="285"/>
      <c r="E848" s="281"/>
      <c r="F848" s="283" t="str">
        <f>IF($B848="","",SUMIFS('Daily Inward'!$G:$G,'Daily Inward'!$C:$C,$B848,'Daily Inward'!$E:$E,"Non Inventory"))</f>
        <v/>
      </c>
      <c r="G848" s="51" t="str">
        <f>IF($B848="","",SUMIFS('Daily Issuance'!$G:$G,'Daily Issuance'!$C:$C,$B848,'Daily Issuance'!$E:$E,"Non Inventory"))</f>
        <v/>
      </c>
      <c r="H848" s="51" t="str">
        <f t="shared" si="26"/>
        <v/>
      </c>
      <c r="I848" s="187"/>
      <c r="J848" s="188" t="str">
        <f t="shared" si="27"/>
        <v/>
      </c>
      <c r="K848" s="46"/>
    </row>
    <row r="849" spans="1:11" s="24" customFormat="1" ht="23.1" customHeight="1">
      <c r="A849" s="170" t="str">
        <f>IF($B849="","",MAX($A$3:A848)+1)</f>
        <v/>
      </c>
      <c r="B849" s="176"/>
      <c r="C849" s="177"/>
      <c r="D849" s="285"/>
      <c r="E849" s="281"/>
      <c r="F849" s="283" t="str">
        <f>IF($B849="","",SUMIFS('Daily Inward'!$G:$G,'Daily Inward'!$C:$C,$B849,'Daily Inward'!$E:$E,"Non Inventory"))</f>
        <v/>
      </c>
      <c r="G849" s="51" t="str">
        <f>IF($B849="","",SUMIFS('Daily Issuance'!$G:$G,'Daily Issuance'!$C:$C,$B849,'Daily Issuance'!$E:$E,"Non Inventory"))</f>
        <v/>
      </c>
      <c r="H849" s="51" t="str">
        <f t="shared" si="26"/>
        <v/>
      </c>
      <c r="I849" s="187"/>
      <c r="J849" s="188" t="str">
        <f t="shared" si="27"/>
        <v/>
      </c>
      <c r="K849" s="46"/>
    </row>
    <row r="850" spans="1:11" s="24" customFormat="1" ht="23.1" customHeight="1">
      <c r="A850" s="170" t="str">
        <f>IF($B850="","",MAX($A$3:A849)+1)</f>
        <v/>
      </c>
      <c r="B850" s="176"/>
      <c r="C850" s="177"/>
      <c r="D850" s="285"/>
      <c r="E850" s="281"/>
      <c r="F850" s="283" t="str">
        <f>IF($B850="","",SUMIFS('Daily Inward'!$G:$G,'Daily Inward'!$C:$C,$B850,'Daily Inward'!$E:$E,"Non Inventory"))</f>
        <v/>
      </c>
      <c r="G850" s="51" t="str">
        <f>IF($B850="","",SUMIFS('Daily Issuance'!$G:$G,'Daily Issuance'!$C:$C,$B850,'Daily Issuance'!$E:$E,"Non Inventory"))</f>
        <v/>
      </c>
      <c r="H850" s="51" t="str">
        <f t="shared" si="26"/>
        <v/>
      </c>
      <c r="I850" s="187"/>
      <c r="J850" s="188" t="str">
        <f t="shared" si="27"/>
        <v/>
      </c>
      <c r="K850" s="46"/>
    </row>
    <row r="851" spans="1:11" s="24" customFormat="1" ht="23.1" customHeight="1">
      <c r="A851" s="170" t="str">
        <f>IF($B851="","",MAX($A$3:A850)+1)</f>
        <v/>
      </c>
      <c r="B851" s="176"/>
      <c r="C851" s="177"/>
      <c r="D851" s="285"/>
      <c r="E851" s="281"/>
      <c r="F851" s="283" t="str">
        <f>IF($B851="","",SUMIFS('Daily Inward'!$G:$G,'Daily Inward'!$C:$C,$B851,'Daily Inward'!$E:$E,"Non Inventory"))</f>
        <v/>
      </c>
      <c r="G851" s="51" t="str">
        <f>IF($B851="","",SUMIFS('Daily Issuance'!$G:$G,'Daily Issuance'!$C:$C,$B851,'Daily Issuance'!$E:$E,"Non Inventory"))</f>
        <v/>
      </c>
      <c r="H851" s="51" t="str">
        <f t="shared" si="26"/>
        <v/>
      </c>
      <c r="I851" s="187"/>
      <c r="J851" s="188" t="str">
        <f t="shared" si="27"/>
        <v/>
      </c>
      <c r="K851" s="46"/>
    </row>
    <row r="852" spans="1:11" s="24" customFormat="1" ht="23.1" customHeight="1">
      <c r="A852" s="170" t="str">
        <f>IF($B852="","",MAX($A$3:A851)+1)</f>
        <v/>
      </c>
      <c r="B852" s="176"/>
      <c r="C852" s="177"/>
      <c r="D852" s="285"/>
      <c r="E852" s="281"/>
      <c r="F852" s="283" t="str">
        <f>IF($B852="","",SUMIFS('Daily Inward'!$G:$G,'Daily Inward'!$C:$C,$B852,'Daily Inward'!$E:$E,"Non Inventory"))</f>
        <v/>
      </c>
      <c r="G852" s="51" t="str">
        <f>IF($B852="","",SUMIFS('Daily Issuance'!$G:$G,'Daily Issuance'!$C:$C,$B852,'Daily Issuance'!$E:$E,"Non Inventory"))</f>
        <v/>
      </c>
      <c r="H852" s="51" t="str">
        <f t="shared" si="26"/>
        <v/>
      </c>
      <c r="I852" s="187"/>
      <c r="J852" s="188" t="str">
        <f t="shared" si="27"/>
        <v/>
      </c>
      <c r="K852" s="46"/>
    </row>
    <row r="853" spans="1:11" s="24" customFormat="1" ht="23.1" customHeight="1">
      <c r="A853" s="170" t="str">
        <f>IF($B853="","",MAX($A$3:A852)+1)</f>
        <v/>
      </c>
      <c r="B853" s="176"/>
      <c r="C853" s="177"/>
      <c r="D853" s="285"/>
      <c r="E853" s="281"/>
      <c r="F853" s="283" t="str">
        <f>IF($B853="","",SUMIFS('Daily Inward'!$G:$G,'Daily Inward'!$C:$C,$B853,'Daily Inward'!$E:$E,"Non Inventory"))</f>
        <v/>
      </c>
      <c r="G853" s="51" t="str">
        <f>IF($B853="","",SUMIFS('Daily Issuance'!$G:$G,'Daily Issuance'!$C:$C,$B853,'Daily Issuance'!$E:$E,"Non Inventory"))</f>
        <v/>
      </c>
      <c r="H853" s="51" t="str">
        <f t="shared" si="26"/>
        <v/>
      </c>
      <c r="I853" s="187"/>
      <c r="J853" s="188" t="str">
        <f t="shared" si="27"/>
        <v/>
      </c>
      <c r="K853" s="46"/>
    </row>
    <row r="854" spans="1:11" s="24" customFormat="1" ht="23.1" customHeight="1">
      <c r="A854" s="170" t="str">
        <f>IF($B854="","",MAX($A$3:A853)+1)</f>
        <v/>
      </c>
      <c r="B854" s="176"/>
      <c r="C854" s="177"/>
      <c r="D854" s="285"/>
      <c r="E854" s="281"/>
      <c r="F854" s="283" t="str">
        <f>IF($B854="","",SUMIFS('Daily Inward'!$G:$G,'Daily Inward'!$C:$C,$B854,'Daily Inward'!$E:$E,"Non Inventory"))</f>
        <v/>
      </c>
      <c r="G854" s="51" t="str">
        <f>IF($B854="","",SUMIFS('Daily Issuance'!$G:$G,'Daily Issuance'!$C:$C,$B854,'Daily Issuance'!$E:$E,"Non Inventory"))</f>
        <v/>
      </c>
      <c r="H854" s="51" t="str">
        <f t="shared" si="26"/>
        <v/>
      </c>
      <c r="I854" s="187"/>
      <c r="J854" s="188" t="str">
        <f t="shared" si="27"/>
        <v/>
      </c>
      <c r="K854" s="46"/>
    </row>
    <row r="855" spans="1:11" s="24" customFormat="1" ht="23.1" customHeight="1">
      <c r="A855" s="170" t="str">
        <f>IF($B855="","",MAX($A$3:A854)+1)</f>
        <v/>
      </c>
      <c r="B855" s="176"/>
      <c r="C855" s="177"/>
      <c r="D855" s="285"/>
      <c r="E855" s="281"/>
      <c r="F855" s="283" t="str">
        <f>IF($B855="","",SUMIFS('Daily Inward'!$G:$G,'Daily Inward'!$C:$C,$B855,'Daily Inward'!$E:$E,"Non Inventory"))</f>
        <v/>
      </c>
      <c r="G855" s="51" t="str">
        <f>IF($B855="","",SUMIFS('Daily Issuance'!$G:$G,'Daily Issuance'!$C:$C,$B855,'Daily Issuance'!$E:$E,"Non Inventory"))</f>
        <v/>
      </c>
      <c r="H855" s="51" t="str">
        <f t="shared" si="26"/>
        <v/>
      </c>
      <c r="I855" s="187"/>
      <c r="J855" s="188" t="str">
        <f t="shared" si="27"/>
        <v/>
      </c>
      <c r="K855" s="46"/>
    </row>
    <row r="856" spans="1:11" s="24" customFormat="1" ht="23.1" customHeight="1">
      <c r="A856" s="170" t="str">
        <f>IF($B856="","",MAX($A$3:A855)+1)</f>
        <v/>
      </c>
      <c r="B856" s="176"/>
      <c r="C856" s="177"/>
      <c r="D856" s="285"/>
      <c r="E856" s="281"/>
      <c r="F856" s="283" t="str">
        <f>IF($B856="","",SUMIFS('Daily Inward'!$G:$G,'Daily Inward'!$C:$C,$B856,'Daily Inward'!$E:$E,"Non Inventory"))</f>
        <v/>
      </c>
      <c r="G856" s="51" t="str">
        <f>IF($B856="","",SUMIFS('Daily Issuance'!$G:$G,'Daily Issuance'!$C:$C,$B856,'Daily Issuance'!$E:$E,"Non Inventory"))</f>
        <v/>
      </c>
      <c r="H856" s="51" t="str">
        <f t="shared" si="26"/>
        <v/>
      </c>
      <c r="I856" s="187"/>
      <c r="J856" s="188" t="str">
        <f t="shared" si="27"/>
        <v/>
      </c>
      <c r="K856" s="46"/>
    </row>
    <row r="857" spans="1:11" s="24" customFormat="1" ht="23.1" customHeight="1">
      <c r="A857" s="170" t="str">
        <f>IF($B857="","",MAX($A$3:A856)+1)</f>
        <v/>
      </c>
      <c r="B857" s="176"/>
      <c r="C857" s="177"/>
      <c r="D857" s="285"/>
      <c r="E857" s="281"/>
      <c r="F857" s="283" t="str">
        <f>IF($B857="","",SUMIFS('Daily Inward'!$G:$G,'Daily Inward'!$C:$C,$B857,'Daily Inward'!$E:$E,"Non Inventory"))</f>
        <v/>
      </c>
      <c r="G857" s="51" t="str">
        <f>IF($B857="","",SUMIFS('Daily Issuance'!$G:$G,'Daily Issuance'!$C:$C,$B857,'Daily Issuance'!$E:$E,"Non Inventory"))</f>
        <v/>
      </c>
      <c r="H857" s="51" t="str">
        <f t="shared" si="26"/>
        <v/>
      </c>
      <c r="I857" s="187"/>
      <c r="J857" s="188" t="str">
        <f t="shared" si="27"/>
        <v/>
      </c>
      <c r="K857" s="46"/>
    </row>
    <row r="858" spans="1:11" s="24" customFormat="1" ht="23.1" customHeight="1">
      <c r="A858" s="170" t="str">
        <f>IF($B858="","",MAX($A$3:A857)+1)</f>
        <v/>
      </c>
      <c r="B858" s="176"/>
      <c r="C858" s="177"/>
      <c r="D858" s="285"/>
      <c r="E858" s="281"/>
      <c r="F858" s="283" t="str">
        <f>IF($B858="","",SUMIFS('Daily Inward'!$G:$G,'Daily Inward'!$C:$C,$B858,'Daily Inward'!$E:$E,"Non Inventory"))</f>
        <v/>
      </c>
      <c r="G858" s="51" t="str">
        <f>IF($B858="","",SUMIFS('Daily Issuance'!$G:$G,'Daily Issuance'!$C:$C,$B858,'Daily Issuance'!$E:$E,"Non Inventory"))</f>
        <v/>
      </c>
      <c r="H858" s="51" t="str">
        <f t="shared" si="26"/>
        <v/>
      </c>
      <c r="I858" s="187"/>
      <c r="J858" s="188" t="str">
        <f t="shared" si="27"/>
        <v/>
      </c>
      <c r="K858" s="46"/>
    </row>
    <row r="859" spans="1:11" s="24" customFormat="1" ht="23.1" customHeight="1">
      <c r="A859" s="170" t="str">
        <f>IF($B859="","",MAX($A$3:A858)+1)</f>
        <v/>
      </c>
      <c r="B859" s="176"/>
      <c r="C859" s="177"/>
      <c r="D859" s="285"/>
      <c r="E859" s="281"/>
      <c r="F859" s="283" t="str">
        <f>IF($B859="","",SUMIFS('Daily Inward'!$G:$G,'Daily Inward'!$C:$C,$B859,'Daily Inward'!$E:$E,"Non Inventory"))</f>
        <v/>
      </c>
      <c r="G859" s="51" t="str">
        <f>IF($B859="","",SUMIFS('Daily Issuance'!$G:$G,'Daily Issuance'!$C:$C,$B859,'Daily Issuance'!$E:$E,"Non Inventory"))</f>
        <v/>
      </c>
      <c r="H859" s="51" t="str">
        <f t="shared" si="26"/>
        <v/>
      </c>
      <c r="I859" s="187"/>
      <c r="J859" s="188" t="str">
        <f t="shared" si="27"/>
        <v/>
      </c>
      <c r="K859" s="46"/>
    </row>
    <row r="860" spans="1:11" s="24" customFormat="1" ht="23.1" customHeight="1">
      <c r="A860" s="170" t="str">
        <f>IF($B860="","",MAX($A$3:A859)+1)</f>
        <v/>
      </c>
      <c r="B860" s="176"/>
      <c r="C860" s="177"/>
      <c r="D860" s="285"/>
      <c r="E860" s="281"/>
      <c r="F860" s="283" t="str">
        <f>IF($B860="","",SUMIFS('Daily Inward'!$G:$G,'Daily Inward'!$C:$C,$B860,'Daily Inward'!$E:$E,"Non Inventory"))</f>
        <v/>
      </c>
      <c r="G860" s="51" t="str">
        <f>IF($B860="","",SUMIFS('Daily Issuance'!$G:$G,'Daily Issuance'!$C:$C,$B860,'Daily Issuance'!$E:$E,"Non Inventory"))</f>
        <v/>
      </c>
      <c r="H860" s="51" t="str">
        <f t="shared" si="26"/>
        <v/>
      </c>
      <c r="I860" s="187"/>
      <c r="J860" s="188" t="str">
        <f t="shared" si="27"/>
        <v/>
      </c>
      <c r="K860" s="46"/>
    </row>
    <row r="861" spans="1:11" s="24" customFormat="1" ht="23.1" customHeight="1">
      <c r="A861" s="170" t="str">
        <f>IF($B861="","",MAX($A$3:A860)+1)</f>
        <v/>
      </c>
      <c r="B861" s="176"/>
      <c r="C861" s="177"/>
      <c r="D861" s="285"/>
      <c r="E861" s="281"/>
      <c r="F861" s="283" t="str">
        <f>IF($B861="","",SUMIFS('Daily Inward'!$G:$G,'Daily Inward'!$C:$C,$B861,'Daily Inward'!$E:$E,"Non Inventory"))</f>
        <v/>
      </c>
      <c r="G861" s="51" t="str">
        <f>IF($B861="","",SUMIFS('Daily Issuance'!$G:$G,'Daily Issuance'!$C:$C,$B861,'Daily Issuance'!$E:$E,"Non Inventory"))</f>
        <v/>
      </c>
      <c r="H861" s="51" t="str">
        <f t="shared" si="26"/>
        <v/>
      </c>
      <c r="I861" s="187"/>
      <c r="J861" s="188" t="str">
        <f t="shared" si="27"/>
        <v/>
      </c>
      <c r="K861" s="46"/>
    </row>
    <row r="862" spans="1:11" s="24" customFormat="1" ht="23.1" customHeight="1">
      <c r="A862" s="170" t="str">
        <f>IF($B862="","",MAX($A$3:A861)+1)</f>
        <v/>
      </c>
      <c r="B862" s="176"/>
      <c r="C862" s="177"/>
      <c r="D862" s="285"/>
      <c r="E862" s="281"/>
      <c r="F862" s="283" t="str">
        <f>IF($B862="","",SUMIFS('Daily Inward'!$G:$G,'Daily Inward'!$C:$C,$B862,'Daily Inward'!$E:$E,"Non Inventory"))</f>
        <v/>
      </c>
      <c r="G862" s="51" t="str">
        <f>IF($B862="","",SUMIFS('Daily Issuance'!$G:$G,'Daily Issuance'!$C:$C,$B862,'Daily Issuance'!$E:$E,"Non Inventory"))</f>
        <v/>
      </c>
      <c r="H862" s="51" t="str">
        <f t="shared" si="26"/>
        <v/>
      </c>
      <c r="I862" s="187"/>
      <c r="J862" s="188" t="str">
        <f t="shared" si="27"/>
        <v/>
      </c>
      <c r="K862" s="46"/>
    </row>
    <row r="863" spans="1:11" s="24" customFormat="1" ht="23.1" customHeight="1">
      <c r="A863" s="170" t="str">
        <f>IF($B863="","",MAX($A$3:A862)+1)</f>
        <v/>
      </c>
      <c r="B863" s="176"/>
      <c r="C863" s="177"/>
      <c r="D863" s="285"/>
      <c r="E863" s="281"/>
      <c r="F863" s="283" t="str">
        <f>IF($B863="","",SUMIFS('Daily Inward'!$G:$G,'Daily Inward'!$C:$C,$B863,'Daily Inward'!$E:$E,"Non Inventory"))</f>
        <v/>
      </c>
      <c r="G863" s="51" t="str">
        <f>IF($B863="","",SUMIFS('Daily Issuance'!$G:$G,'Daily Issuance'!$C:$C,$B863,'Daily Issuance'!$E:$E,"Non Inventory"))</f>
        <v/>
      </c>
      <c r="H863" s="51" t="str">
        <f t="shared" si="26"/>
        <v/>
      </c>
      <c r="I863" s="187"/>
      <c r="J863" s="188" t="str">
        <f t="shared" si="27"/>
        <v/>
      </c>
      <c r="K863" s="46"/>
    </row>
    <row r="864" spans="1:11" s="24" customFormat="1" ht="23.1" customHeight="1">
      <c r="A864" s="170" t="str">
        <f>IF($B864="","",MAX($A$3:A863)+1)</f>
        <v/>
      </c>
      <c r="B864" s="176"/>
      <c r="C864" s="177"/>
      <c r="D864" s="285"/>
      <c r="E864" s="281"/>
      <c r="F864" s="283" t="str">
        <f>IF($B864="","",SUMIFS('Daily Inward'!$G:$G,'Daily Inward'!$C:$C,$B864,'Daily Inward'!$E:$E,"Non Inventory"))</f>
        <v/>
      </c>
      <c r="G864" s="51" t="str">
        <f>IF($B864="","",SUMIFS('Daily Issuance'!$G:$G,'Daily Issuance'!$C:$C,$B864,'Daily Issuance'!$E:$E,"Non Inventory"))</f>
        <v/>
      </c>
      <c r="H864" s="51" t="str">
        <f t="shared" si="26"/>
        <v/>
      </c>
      <c r="I864" s="187"/>
      <c r="J864" s="188" t="str">
        <f t="shared" si="27"/>
        <v/>
      </c>
      <c r="K864" s="46"/>
    </row>
    <row r="865" spans="1:11" s="24" customFormat="1" ht="23.1" customHeight="1">
      <c r="A865" s="170" t="str">
        <f>IF($B865="","",MAX($A$3:A864)+1)</f>
        <v/>
      </c>
      <c r="B865" s="176"/>
      <c r="C865" s="177"/>
      <c r="D865" s="285"/>
      <c r="E865" s="281"/>
      <c r="F865" s="283" t="str">
        <f>IF($B865="","",SUMIFS('Daily Inward'!$G:$G,'Daily Inward'!$C:$C,$B865,'Daily Inward'!$E:$E,"Non Inventory"))</f>
        <v/>
      </c>
      <c r="G865" s="51" t="str">
        <f>IF($B865="","",SUMIFS('Daily Issuance'!$G:$G,'Daily Issuance'!$C:$C,$B865,'Daily Issuance'!$E:$E,"Non Inventory"))</f>
        <v/>
      </c>
      <c r="H865" s="51" t="str">
        <f t="shared" si="26"/>
        <v/>
      </c>
      <c r="I865" s="187"/>
      <c r="J865" s="188" t="str">
        <f t="shared" si="27"/>
        <v/>
      </c>
      <c r="K865" s="46"/>
    </row>
    <row r="866" spans="1:11" s="24" customFormat="1" ht="23.1" customHeight="1">
      <c r="A866" s="170" t="str">
        <f>IF($B866="","",MAX($A$3:A865)+1)</f>
        <v/>
      </c>
      <c r="B866" s="176"/>
      <c r="C866" s="177"/>
      <c r="D866" s="285"/>
      <c r="E866" s="281"/>
      <c r="F866" s="283" t="str">
        <f>IF($B866="","",SUMIFS('Daily Inward'!$G:$G,'Daily Inward'!$C:$C,$B866,'Daily Inward'!$E:$E,"Non Inventory"))</f>
        <v/>
      </c>
      <c r="G866" s="51" t="str">
        <f>IF($B866="","",SUMIFS('Daily Issuance'!$G:$G,'Daily Issuance'!$C:$C,$B866,'Daily Issuance'!$E:$E,"Non Inventory"))</f>
        <v/>
      </c>
      <c r="H866" s="51" t="str">
        <f t="shared" si="26"/>
        <v/>
      </c>
      <c r="I866" s="187"/>
      <c r="J866" s="188" t="str">
        <f t="shared" si="27"/>
        <v/>
      </c>
      <c r="K866" s="46"/>
    </row>
    <row r="867" spans="1:11" s="24" customFormat="1" ht="23.1" customHeight="1">
      <c r="A867" s="170" t="str">
        <f>IF($B867="","",MAX($A$3:A866)+1)</f>
        <v/>
      </c>
      <c r="B867" s="176"/>
      <c r="C867" s="177"/>
      <c r="D867" s="285"/>
      <c r="E867" s="281"/>
      <c r="F867" s="283" t="str">
        <f>IF($B867="","",SUMIFS('Daily Inward'!$G:$G,'Daily Inward'!$C:$C,$B867,'Daily Inward'!$E:$E,"Non Inventory"))</f>
        <v/>
      </c>
      <c r="G867" s="51" t="str">
        <f>IF($B867="","",SUMIFS('Daily Issuance'!$G:$G,'Daily Issuance'!$C:$C,$B867,'Daily Issuance'!$E:$E,"Non Inventory"))</f>
        <v/>
      </c>
      <c r="H867" s="51" t="str">
        <f t="shared" si="26"/>
        <v/>
      </c>
      <c r="I867" s="187"/>
      <c r="J867" s="188" t="str">
        <f t="shared" si="27"/>
        <v/>
      </c>
      <c r="K867" s="46"/>
    </row>
    <row r="868" spans="1:11" s="24" customFormat="1" ht="23.1" customHeight="1">
      <c r="A868" s="170" t="str">
        <f>IF($B868="","",MAX($A$3:A867)+1)</f>
        <v/>
      </c>
      <c r="B868" s="176"/>
      <c r="C868" s="177"/>
      <c r="D868" s="285"/>
      <c r="E868" s="281"/>
      <c r="F868" s="283" t="str">
        <f>IF($B868="","",SUMIFS('Daily Inward'!$G:$G,'Daily Inward'!$C:$C,$B868,'Daily Inward'!$E:$E,"Non Inventory"))</f>
        <v/>
      </c>
      <c r="G868" s="51" t="str">
        <f>IF($B868="","",SUMIFS('Daily Issuance'!$G:$G,'Daily Issuance'!$C:$C,$B868,'Daily Issuance'!$E:$E,"Non Inventory"))</f>
        <v/>
      </c>
      <c r="H868" s="51" t="str">
        <f t="shared" si="26"/>
        <v/>
      </c>
      <c r="I868" s="187"/>
      <c r="J868" s="188" t="str">
        <f t="shared" si="27"/>
        <v/>
      </c>
      <c r="K868" s="46"/>
    </row>
    <row r="869" spans="1:11" s="24" customFormat="1" ht="23.1" customHeight="1">
      <c r="A869" s="170" t="str">
        <f>IF($B869="","",MAX($A$3:A868)+1)</f>
        <v/>
      </c>
      <c r="B869" s="176"/>
      <c r="C869" s="177"/>
      <c r="D869" s="285"/>
      <c r="E869" s="281"/>
      <c r="F869" s="283" t="str">
        <f>IF($B869="","",SUMIFS('Daily Inward'!$G:$G,'Daily Inward'!$C:$C,$B869,'Daily Inward'!$E:$E,"Non Inventory"))</f>
        <v/>
      </c>
      <c r="G869" s="51" t="str">
        <f>IF($B869="","",SUMIFS('Daily Issuance'!$G:$G,'Daily Issuance'!$C:$C,$B869,'Daily Issuance'!$E:$E,"Non Inventory"))</f>
        <v/>
      </c>
      <c r="H869" s="51" t="str">
        <f t="shared" si="26"/>
        <v/>
      </c>
      <c r="I869" s="187"/>
      <c r="J869" s="188" t="str">
        <f t="shared" si="27"/>
        <v/>
      </c>
      <c r="K869" s="46"/>
    </row>
    <row r="870" spans="1:11" s="24" customFormat="1" ht="23.1" customHeight="1">
      <c r="A870" s="170" t="str">
        <f>IF($B870="","",MAX($A$3:A869)+1)</f>
        <v/>
      </c>
      <c r="B870" s="176"/>
      <c r="C870" s="177"/>
      <c r="D870" s="285"/>
      <c r="E870" s="281"/>
      <c r="F870" s="283" t="str">
        <f>IF($B870="","",SUMIFS('Daily Inward'!$G:$G,'Daily Inward'!$C:$C,$B870,'Daily Inward'!$E:$E,"Non Inventory"))</f>
        <v/>
      </c>
      <c r="G870" s="51" t="str">
        <f>IF($B870="","",SUMIFS('Daily Issuance'!$G:$G,'Daily Issuance'!$C:$C,$B870,'Daily Issuance'!$E:$E,"Non Inventory"))</f>
        <v/>
      </c>
      <c r="H870" s="51" t="str">
        <f t="shared" si="26"/>
        <v/>
      </c>
      <c r="I870" s="187"/>
      <c r="J870" s="188" t="str">
        <f t="shared" si="27"/>
        <v/>
      </c>
      <c r="K870" s="46"/>
    </row>
    <row r="871" spans="1:11" s="24" customFormat="1" ht="23.1" customHeight="1">
      <c r="A871" s="170" t="str">
        <f>IF($B871="","",MAX($A$3:A870)+1)</f>
        <v/>
      </c>
      <c r="B871" s="176"/>
      <c r="C871" s="177"/>
      <c r="D871" s="285"/>
      <c r="E871" s="281"/>
      <c r="F871" s="283" t="str">
        <f>IF($B871="","",SUMIFS('Daily Inward'!$G:$G,'Daily Inward'!$C:$C,$B871,'Daily Inward'!$E:$E,"Non Inventory"))</f>
        <v/>
      </c>
      <c r="G871" s="51" t="str">
        <f>IF($B871="","",SUMIFS('Daily Issuance'!$G:$G,'Daily Issuance'!$C:$C,$B871,'Daily Issuance'!$E:$E,"Non Inventory"))</f>
        <v/>
      </c>
      <c r="H871" s="51" t="str">
        <f t="shared" si="26"/>
        <v/>
      </c>
      <c r="I871" s="187"/>
      <c r="J871" s="188" t="str">
        <f t="shared" si="27"/>
        <v/>
      </c>
      <c r="K871" s="46"/>
    </row>
    <row r="872" spans="1:11" s="24" customFormat="1" ht="23.1" customHeight="1">
      <c r="A872" s="170" t="str">
        <f>IF($B872="","",MAX($A$3:A871)+1)</f>
        <v/>
      </c>
      <c r="B872" s="176"/>
      <c r="C872" s="177"/>
      <c r="D872" s="285"/>
      <c r="E872" s="281"/>
      <c r="F872" s="283" t="str">
        <f>IF($B872="","",SUMIFS('Daily Inward'!$G:$G,'Daily Inward'!$C:$C,$B872,'Daily Inward'!$E:$E,"Non Inventory"))</f>
        <v/>
      </c>
      <c r="G872" s="51" t="str">
        <f>IF($B872="","",SUMIFS('Daily Issuance'!$G:$G,'Daily Issuance'!$C:$C,$B872,'Daily Issuance'!$E:$E,"Non Inventory"))</f>
        <v/>
      </c>
      <c r="H872" s="51" t="str">
        <f t="shared" si="26"/>
        <v/>
      </c>
      <c r="I872" s="187"/>
      <c r="J872" s="188" t="str">
        <f t="shared" si="27"/>
        <v/>
      </c>
      <c r="K872" s="46"/>
    </row>
    <row r="873" spans="1:11" s="24" customFormat="1" ht="23.1" customHeight="1">
      <c r="A873" s="170" t="str">
        <f>IF($B873="","",MAX($A$3:A872)+1)</f>
        <v/>
      </c>
      <c r="B873" s="176"/>
      <c r="C873" s="177"/>
      <c r="D873" s="285"/>
      <c r="E873" s="281"/>
      <c r="F873" s="283" t="str">
        <f>IF($B873="","",SUMIFS('Daily Inward'!$G:$G,'Daily Inward'!$C:$C,$B873,'Daily Inward'!$E:$E,"Non Inventory"))</f>
        <v/>
      </c>
      <c r="G873" s="51" t="str">
        <f>IF($B873="","",SUMIFS('Daily Issuance'!$G:$G,'Daily Issuance'!$C:$C,$B873,'Daily Issuance'!$E:$E,"Non Inventory"))</f>
        <v/>
      </c>
      <c r="H873" s="51" t="str">
        <f t="shared" si="26"/>
        <v/>
      </c>
      <c r="I873" s="187"/>
      <c r="J873" s="188" t="str">
        <f t="shared" si="27"/>
        <v/>
      </c>
      <c r="K873" s="46"/>
    </row>
    <row r="874" spans="1:11" s="24" customFormat="1" ht="23.1" customHeight="1">
      <c r="A874" s="170" t="str">
        <f>IF($B874="","",MAX($A$3:A873)+1)</f>
        <v/>
      </c>
      <c r="B874" s="176"/>
      <c r="C874" s="177"/>
      <c r="D874" s="285"/>
      <c r="E874" s="281"/>
      <c r="F874" s="283" t="str">
        <f>IF($B874="","",SUMIFS('Daily Inward'!$G:$G,'Daily Inward'!$C:$C,$B874,'Daily Inward'!$E:$E,"Non Inventory"))</f>
        <v/>
      </c>
      <c r="G874" s="51" t="str">
        <f>IF($B874="","",SUMIFS('Daily Issuance'!$G:$G,'Daily Issuance'!$C:$C,$B874,'Daily Issuance'!$E:$E,"Non Inventory"))</f>
        <v/>
      </c>
      <c r="H874" s="51" t="str">
        <f t="shared" si="26"/>
        <v/>
      </c>
      <c r="I874" s="187"/>
      <c r="J874" s="188" t="str">
        <f t="shared" si="27"/>
        <v/>
      </c>
      <c r="K874" s="46"/>
    </row>
    <row r="875" spans="1:11" s="24" customFormat="1" ht="23.1" customHeight="1">
      <c r="A875" s="170" t="str">
        <f>IF($B875="","",MAX($A$3:A874)+1)</f>
        <v/>
      </c>
      <c r="B875" s="176"/>
      <c r="C875" s="177"/>
      <c r="D875" s="285"/>
      <c r="E875" s="281"/>
      <c r="F875" s="283" t="str">
        <f>IF($B875="","",SUMIFS('Daily Inward'!$G:$G,'Daily Inward'!$C:$C,$B875,'Daily Inward'!$E:$E,"Non Inventory"))</f>
        <v/>
      </c>
      <c r="G875" s="51" t="str">
        <f>IF($B875="","",SUMIFS('Daily Issuance'!$G:$G,'Daily Issuance'!$C:$C,$B875,'Daily Issuance'!$E:$E,"Non Inventory"))</f>
        <v/>
      </c>
      <c r="H875" s="51" t="str">
        <f t="shared" si="26"/>
        <v/>
      </c>
      <c r="I875" s="187"/>
      <c r="J875" s="188" t="str">
        <f t="shared" si="27"/>
        <v/>
      </c>
      <c r="K875" s="46"/>
    </row>
    <row r="876" spans="1:11" s="24" customFormat="1" ht="23.1" customHeight="1">
      <c r="A876" s="170" t="str">
        <f>IF($B876="","",MAX($A$3:A875)+1)</f>
        <v/>
      </c>
      <c r="B876" s="176"/>
      <c r="C876" s="177"/>
      <c r="D876" s="285"/>
      <c r="E876" s="281"/>
      <c r="F876" s="283" t="str">
        <f>IF($B876="","",SUMIFS('Daily Inward'!$G:$G,'Daily Inward'!$C:$C,$B876,'Daily Inward'!$E:$E,"Non Inventory"))</f>
        <v/>
      </c>
      <c r="G876" s="51" t="str">
        <f>IF($B876="","",SUMIFS('Daily Issuance'!$G:$G,'Daily Issuance'!$C:$C,$B876,'Daily Issuance'!$E:$E,"Non Inventory"))</f>
        <v/>
      </c>
      <c r="H876" s="51" t="str">
        <f t="shared" si="26"/>
        <v/>
      </c>
      <c r="I876" s="187"/>
      <c r="J876" s="188" t="str">
        <f t="shared" si="27"/>
        <v/>
      </c>
      <c r="K876" s="46"/>
    </row>
    <row r="877" spans="1:11" s="24" customFormat="1" ht="23.1" customHeight="1">
      <c r="A877" s="170" t="str">
        <f>IF($B877="","",MAX($A$3:A876)+1)</f>
        <v/>
      </c>
      <c r="B877" s="176"/>
      <c r="C877" s="177"/>
      <c r="D877" s="285"/>
      <c r="E877" s="281"/>
      <c r="F877" s="283" t="str">
        <f>IF($B877="","",SUMIFS('Daily Inward'!$G:$G,'Daily Inward'!$C:$C,$B877,'Daily Inward'!$E:$E,"Non Inventory"))</f>
        <v/>
      </c>
      <c r="G877" s="51" t="str">
        <f>IF($B877="","",SUMIFS('Daily Issuance'!$G:$G,'Daily Issuance'!$C:$C,$B877,'Daily Issuance'!$E:$E,"Non Inventory"))</f>
        <v/>
      </c>
      <c r="H877" s="51" t="str">
        <f t="shared" si="26"/>
        <v/>
      </c>
      <c r="I877" s="187"/>
      <c r="J877" s="188" t="str">
        <f t="shared" si="27"/>
        <v/>
      </c>
      <c r="K877" s="46"/>
    </row>
    <row r="878" spans="1:11" s="24" customFormat="1" ht="23.1" customHeight="1">
      <c r="A878" s="170" t="str">
        <f>IF($B878="","",MAX($A$3:A877)+1)</f>
        <v/>
      </c>
      <c r="B878" s="176"/>
      <c r="C878" s="177"/>
      <c r="D878" s="285"/>
      <c r="E878" s="281"/>
      <c r="F878" s="283" t="str">
        <f>IF($B878="","",SUMIFS('Daily Inward'!$G:$G,'Daily Inward'!$C:$C,$B878,'Daily Inward'!$E:$E,"Non Inventory"))</f>
        <v/>
      </c>
      <c r="G878" s="51" t="str">
        <f>IF($B878="","",SUMIFS('Daily Issuance'!$G:$G,'Daily Issuance'!$C:$C,$B878,'Daily Issuance'!$E:$E,"Non Inventory"))</f>
        <v/>
      </c>
      <c r="H878" s="51" t="str">
        <f t="shared" si="26"/>
        <v/>
      </c>
      <c r="I878" s="187"/>
      <c r="J878" s="188" t="str">
        <f t="shared" si="27"/>
        <v/>
      </c>
      <c r="K878" s="46"/>
    </row>
    <row r="879" spans="1:11" s="24" customFormat="1" ht="23.1" customHeight="1">
      <c r="A879" s="170" t="str">
        <f>IF($B879="","",MAX($A$3:A878)+1)</f>
        <v/>
      </c>
      <c r="B879" s="176"/>
      <c r="C879" s="177"/>
      <c r="D879" s="285"/>
      <c r="E879" s="281"/>
      <c r="F879" s="283" t="str">
        <f>IF($B879="","",SUMIFS('Daily Inward'!$G:$G,'Daily Inward'!$C:$C,$B879,'Daily Inward'!$E:$E,"Non Inventory"))</f>
        <v/>
      </c>
      <c r="G879" s="51" t="str">
        <f>IF($B879="","",SUMIFS('Daily Issuance'!$G:$G,'Daily Issuance'!$C:$C,$B879,'Daily Issuance'!$E:$E,"Non Inventory"))</f>
        <v/>
      </c>
      <c r="H879" s="51" t="str">
        <f t="shared" si="26"/>
        <v/>
      </c>
      <c r="I879" s="187"/>
      <c r="J879" s="188" t="str">
        <f t="shared" si="27"/>
        <v/>
      </c>
      <c r="K879" s="46"/>
    </row>
    <row r="880" spans="1:11" s="24" customFormat="1" ht="23.1" customHeight="1">
      <c r="A880" s="170" t="str">
        <f>IF($B880="","",MAX($A$3:A879)+1)</f>
        <v/>
      </c>
      <c r="B880" s="176"/>
      <c r="C880" s="177"/>
      <c r="D880" s="285"/>
      <c r="E880" s="281"/>
      <c r="F880" s="283" t="str">
        <f>IF($B880="","",SUMIFS('Daily Inward'!$G:$G,'Daily Inward'!$C:$C,$B880,'Daily Inward'!$E:$E,"Non Inventory"))</f>
        <v/>
      </c>
      <c r="G880" s="51" t="str">
        <f>IF($B880="","",SUMIFS('Daily Issuance'!$G:$G,'Daily Issuance'!$C:$C,$B880,'Daily Issuance'!$E:$E,"Non Inventory"))</f>
        <v/>
      </c>
      <c r="H880" s="51" t="str">
        <f t="shared" si="26"/>
        <v/>
      </c>
      <c r="I880" s="187"/>
      <c r="J880" s="188" t="str">
        <f t="shared" si="27"/>
        <v/>
      </c>
      <c r="K880" s="46"/>
    </row>
    <row r="881" spans="1:11" s="24" customFormat="1" ht="23.1" customHeight="1">
      <c r="A881" s="170" t="str">
        <f>IF($B881="","",MAX($A$3:A880)+1)</f>
        <v/>
      </c>
      <c r="B881" s="176"/>
      <c r="C881" s="177"/>
      <c r="D881" s="285"/>
      <c r="E881" s="281"/>
      <c r="F881" s="283" t="str">
        <f>IF($B881="","",SUMIFS('Daily Inward'!$G:$G,'Daily Inward'!$C:$C,$B881,'Daily Inward'!$E:$E,"Non Inventory"))</f>
        <v/>
      </c>
      <c r="G881" s="51" t="str">
        <f>IF($B881="","",SUMIFS('Daily Issuance'!$G:$G,'Daily Issuance'!$C:$C,$B881,'Daily Issuance'!$E:$E,"Non Inventory"))</f>
        <v/>
      </c>
      <c r="H881" s="51" t="str">
        <f t="shared" si="26"/>
        <v/>
      </c>
      <c r="I881" s="187"/>
      <c r="J881" s="188" t="str">
        <f t="shared" si="27"/>
        <v/>
      </c>
      <c r="K881" s="46"/>
    </row>
    <row r="882" spans="1:11" s="24" customFormat="1" ht="23.1" customHeight="1">
      <c r="A882" s="170" t="str">
        <f>IF($B882="","",MAX($A$3:A881)+1)</f>
        <v/>
      </c>
      <c r="B882" s="176"/>
      <c r="C882" s="177"/>
      <c r="D882" s="285"/>
      <c r="E882" s="281"/>
      <c r="F882" s="283" t="str">
        <f>IF($B882="","",SUMIFS('Daily Inward'!$G:$G,'Daily Inward'!$C:$C,$B882,'Daily Inward'!$E:$E,"Non Inventory"))</f>
        <v/>
      </c>
      <c r="G882" s="51" t="str">
        <f>IF($B882="","",SUMIFS('Daily Issuance'!$G:$G,'Daily Issuance'!$C:$C,$B882,'Daily Issuance'!$E:$E,"Non Inventory"))</f>
        <v/>
      </c>
      <c r="H882" s="51" t="str">
        <f t="shared" si="26"/>
        <v/>
      </c>
      <c r="I882" s="187"/>
      <c r="J882" s="188" t="str">
        <f t="shared" si="27"/>
        <v/>
      </c>
      <c r="K882" s="46"/>
    </row>
    <row r="883" spans="1:11" s="24" customFormat="1" ht="23.1" customHeight="1">
      <c r="A883" s="170" t="str">
        <f>IF($B883="","",MAX($A$3:A882)+1)</f>
        <v/>
      </c>
      <c r="B883" s="176"/>
      <c r="C883" s="177"/>
      <c r="D883" s="285"/>
      <c r="E883" s="281"/>
      <c r="F883" s="283" t="str">
        <f>IF($B883="","",SUMIFS('Daily Inward'!$G:$G,'Daily Inward'!$C:$C,$B883,'Daily Inward'!$E:$E,"Non Inventory"))</f>
        <v/>
      </c>
      <c r="G883" s="51" t="str">
        <f>IF($B883="","",SUMIFS('Daily Issuance'!$G:$G,'Daily Issuance'!$C:$C,$B883,'Daily Issuance'!$E:$E,"Non Inventory"))</f>
        <v/>
      </c>
      <c r="H883" s="51" t="str">
        <f t="shared" si="26"/>
        <v/>
      </c>
      <c r="I883" s="187"/>
      <c r="J883" s="188" t="str">
        <f t="shared" si="27"/>
        <v/>
      </c>
      <c r="K883" s="46"/>
    </row>
    <row r="884" spans="1:11" s="24" customFormat="1" ht="23.1" customHeight="1">
      <c r="A884" s="170" t="str">
        <f>IF($B884="","",MAX($A$3:A883)+1)</f>
        <v/>
      </c>
      <c r="B884" s="176"/>
      <c r="C884" s="177"/>
      <c r="D884" s="285"/>
      <c r="E884" s="281"/>
      <c r="F884" s="283" t="str">
        <f>IF($B884="","",SUMIFS('Daily Inward'!$G:$G,'Daily Inward'!$C:$C,$B884,'Daily Inward'!$E:$E,"Non Inventory"))</f>
        <v/>
      </c>
      <c r="G884" s="51" t="str">
        <f>IF($B884="","",SUMIFS('Daily Issuance'!$G:$G,'Daily Issuance'!$C:$C,$B884,'Daily Issuance'!$E:$E,"Non Inventory"))</f>
        <v/>
      </c>
      <c r="H884" s="51" t="str">
        <f t="shared" si="26"/>
        <v/>
      </c>
      <c r="I884" s="187"/>
      <c r="J884" s="188" t="str">
        <f t="shared" si="27"/>
        <v/>
      </c>
      <c r="K884" s="46"/>
    </row>
    <row r="885" spans="1:11" s="24" customFormat="1" ht="23.1" customHeight="1">
      <c r="A885" s="170" t="str">
        <f>IF($B885="","",MAX($A$3:A884)+1)</f>
        <v/>
      </c>
      <c r="B885" s="176"/>
      <c r="C885" s="177"/>
      <c r="D885" s="285"/>
      <c r="E885" s="281"/>
      <c r="F885" s="283" t="str">
        <f>IF($B885="","",SUMIFS('Daily Inward'!$G:$G,'Daily Inward'!$C:$C,$B885,'Daily Inward'!$E:$E,"Non Inventory"))</f>
        <v/>
      </c>
      <c r="G885" s="51" t="str">
        <f>IF($B885="","",SUMIFS('Daily Issuance'!$G:$G,'Daily Issuance'!$C:$C,$B885,'Daily Issuance'!$E:$E,"Non Inventory"))</f>
        <v/>
      </c>
      <c r="H885" s="51" t="str">
        <f t="shared" si="26"/>
        <v/>
      </c>
      <c r="I885" s="187"/>
      <c r="J885" s="188" t="str">
        <f t="shared" si="27"/>
        <v/>
      </c>
      <c r="K885" s="46"/>
    </row>
    <row r="886" spans="1:11" s="24" customFormat="1" ht="23.1" customHeight="1">
      <c r="A886" s="170" t="str">
        <f>IF($B886="","",MAX($A$3:A885)+1)</f>
        <v/>
      </c>
      <c r="B886" s="176"/>
      <c r="C886" s="177"/>
      <c r="D886" s="285"/>
      <c r="E886" s="281"/>
      <c r="F886" s="283" t="str">
        <f>IF($B886="","",SUMIFS('Daily Inward'!$G:$G,'Daily Inward'!$C:$C,$B886,'Daily Inward'!$E:$E,"Non Inventory"))</f>
        <v/>
      </c>
      <c r="G886" s="51" t="str">
        <f>IF($B886="","",SUMIFS('Daily Issuance'!$G:$G,'Daily Issuance'!$C:$C,$B886,'Daily Issuance'!$E:$E,"Non Inventory"))</f>
        <v/>
      </c>
      <c r="H886" s="51" t="str">
        <f t="shared" si="26"/>
        <v/>
      </c>
      <c r="I886" s="187"/>
      <c r="J886" s="188" t="str">
        <f t="shared" si="27"/>
        <v/>
      </c>
      <c r="K886" s="46"/>
    </row>
    <row r="887" spans="1:11" s="24" customFormat="1" ht="23.1" customHeight="1">
      <c r="A887" s="170" t="str">
        <f>IF($B887="","",MAX($A$3:A886)+1)</f>
        <v/>
      </c>
      <c r="B887" s="176"/>
      <c r="C887" s="177"/>
      <c r="D887" s="285"/>
      <c r="E887" s="281"/>
      <c r="F887" s="283" t="str">
        <f>IF($B887="","",SUMIFS('Daily Inward'!$G:$G,'Daily Inward'!$C:$C,$B887,'Daily Inward'!$E:$E,"Non Inventory"))</f>
        <v/>
      </c>
      <c r="G887" s="51" t="str">
        <f>IF($B887="","",SUMIFS('Daily Issuance'!$G:$G,'Daily Issuance'!$C:$C,$B887,'Daily Issuance'!$E:$E,"Non Inventory"))</f>
        <v/>
      </c>
      <c r="H887" s="51" t="str">
        <f t="shared" si="26"/>
        <v/>
      </c>
      <c r="I887" s="187"/>
      <c r="J887" s="188" t="str">
        <f t="shared" si="27"/>
        <v/>
      </c>
      <c r="K887" s="46"/>
    </row>
    <row r="888" spans="1:11" s="24" customFormat="1" ht="23.1" customHeight="1">
      <c r="A888" s="170" t="str">
        <f>IF($B888="","",MAX($A$3:A887)+1)</f>
        <v/>
      </c>
      <c r="B888" s="176"/>
      <c r="C888" s="177"/>
      <c r="D888" s="285"/>
      <c r="E888" s="281"/>
      <c r="F888" s="283" t="str">
        <f>IF($B888="","",SUMIFS('Daily Inward'!$G:$G,'Daily Inward'!$C:$C,$B888,'Daily Inward'!$E:$E,"Non Inventory"))</f>
        <v/>
      </c>
      <c r="G888" s="51" t="str">
        <f>IF($B888="","",SUMIFS('Daily Issuance'!$G:$G,'Daily Issuance'!$C:$C,$B888,'Daily Issuance'!$E:$E,"Non Inventory"))</f>
        <v/>
      </c>
      <c r="H888" s="51" t="str">
        <f t="shared" si="26"/>
        <v/>
      </c>
      <c r="I888" s="187"/>
      <c r="J888" s="188" t="str">
        <f t="shared" si="27"/>
        <v/>
      </c>
      <c r="K888" s="46"/>
    </row>
    <row r="889" spans="1:11" s="24" customFormat="1" ht="23.1" customHeight="1">
      <c r="A889" s="170" t="str">
        <f>IF($B889="","",MAX($A$3:A888)+1)</f>
        <v/>
      </c>
      <c r="B889" s="176"/>
      <c r="C889" s="177"/>
      <c r="D889" s="285"/>
      <c r="E889" s="281"/>
      <c r="F889" s="283" t="str">
        <f>IF($B889="","",SUMIFS('Daily Inward'!$G:$G,'Daily Inward'!$C:$C,$B889,'Daily Inward'!$E:$E,"Non Inventory"))</f>
        <v/>
      </c>
      <c r="G889" s="51" t="str">
        <f>IF($B889="","",SUMIFS('Daily Issuance'!$G:$G,'Daily Issuance'!$C:$C,$B889,'Daily Issuance'!$E:$E,"Non Inventory"))</f>
        <v/>
      </c>
      <c r="H889" s="51" t="str">
        <f t="shared" si="26"/>
        <v/>
      </c>
      <c r="I889" s="187"/>
      <c r="J889" s="188" t="str">
        <f t="shared" si="27"/>
        <v/>
      </c>
      <c r="K889" s="46"/>
    </row>
    <row r="890" spans="1:11" s="24" customFormat="1" ht="23.1" customHeight="1">
      <c r="A890" s="170" t="str">
        <f>IF($B890="","",MAX($A$3:A889)+1)</f>
        <v/>
      </c>
      <c r="B890" s="176"/>
      <c r="C890" s="177"/>
      <c r="D890" s="285"/>
      <c r="E890" s="281"/>
      <c r="F890" s="283" t="str">
        <f>IF($B890="","",SUMIFS('Daily Inward'!$G:$G,'Daily Inward'!$C:$C,$B890,'Daily Inward'!$E:$E,"Non Inventory"))</f>
        <v/>
      </c>
      <c r="G890" s="51" t="str">
        <f>IF($B890="","",SUMIFS('Daily Issuance'!$G:$G,'Daily Issuance'!$C:$C,$B890,'Daily Issuance'!$E:$E,"Non Inventory"))</f>
        <v/>
      </c>
      <c r="H890" s="51" t="str">
        <f t="shared" si="26"/>
        <v/>
      </c>
      <c r="I890" s="187"/>
      <c r="J890" s="188" t="str">
        <f t="shared" si="27"/>
        <v/>
      </c>
      <c r="K890" s="46"/>
    </row>
    <row r="891" spans="1:11" s="24" customFormat="1" ht="23.1" customHeight="1">
      <c r="A891" s="170" t="str">
        <f>IF($B891="","",MAX($A$3:A890)+1)</f>
        <v/>
      </c>
      <c r="B891" s="176"/>
      <c r="C891" s="177"/>
      <c r="D891" s="285"/>
      <c r="E891" s="281"/>
      <c r="F891" s="283" t="str">
        <f>IF($B891="","",SUMIFS('Daily Inward'!$G:$G,'Daily Inward'!$C:$C,$B891,'Daily Inward'!$E:$E,"Non Inventory"))</f>
        <v/>
      </c>
      <c r="G891" s="51" t="str">
        <f>IF($B891="","",SUMIFS('Daily Issuance'!$G:$G,'Daily Issuance'!$C:$C,$B891,'Daily Issuance'!$E:$E,"Non Inventory"))</f>
        <v/>
      </c>
      <c r="H891" s="51" t="str">
        <f t="shared" si="26"/>
        <v/>
      </c>
      <c r="I891" s="187"/>
      <c r="J891" s="188" t="str">
        <f t="shared" si="27"/>
        <v/>
      </c>
      <c r="K891" s="46"/>
    </row>
    <row r="892" spans="1:11" s="24" customFormat="1" ht="23.1" customHeight="1">
      <c r="A892" s="170" t="str">
        <f>IF($B892="","",MAX($A$3:A891)+1)</f>
        <v/>
      </c>
      <c r="B892" s="176"/>
      <c r="C892" s="177"/>
      <c r="D892" s="285"/>
      <c r="E892" s="281"/>
      <c r="F892" s="283" t="str">
        <f>IF($B892="","",SUMIFS('Daily Inward'!$G:$G,'Daily Inward'!$C:$C,$B892,'Daily Inward'!$E:$E,"Non Inventory"))</f>
        <v/>
      </c>
      <c r="G892" s="51" t="str">
        <f>IF($B892="","",SUMIFS('Daily Issuance'!$G:$G,'Daily Issuance'!$C:$C,$B892,'Daily Issuance'!$E:$E,"Non Inventory"))</f>
        <v/>
      </c>
      <c r="H892" s="51" t="str">
        <f t="shared" si="26"/>
        <v/>
      </c>
      <c r="I892" s="187"/>
      <c r="J892" s="188" t="str">
        <f t="shared" si="27"/>
        <v/>
      </c>
      <c r="K892" s="46"/>
    </row>
    <row r="893" spans="1:11" s="24" customFormat="1" ht="23.1" customHeight="1">
      <c r="A893" s="170" t="str">
        <f>IF($B893="","",MAX($A$3:A892)+1)</f>
        <v/>
      </c>
      <c r="B893" s="176"/>
      <c r="C893" s="177"/>
      <c r="D893" s="285"/>
      <c r="E893" s="281"/>
      <c r="F893" s="283" t="str">
        <f>IF($B893="","",SUMIFS('Daily Inward'!$G:$G,'Daily Inward'!$C:$C,$B893,'Daily Inward'!$E:$E,"Non Inventory"))</f>
        <v/>
      </c>
      <c r="G893" s="51" t="str">
        <f>IF($B893="","",SUMIFS('Daily Issuance'!$G:$G,'Daily Issuance'!$C:$C,$B893,'Daily Issuance'!$E:$E,"Non Inventory"))</f>
        <v/>
      </c>
      <c r="H893" s="51" t="str">
        <f t="shared" si="26"/>
        <v/>
      </c>
      <c r="I893" s="187"/>
      <c r="J893" s="188" t="str">
        <f t="shared" si="27"/>
        <v/>
      </c>
      <c r="K893" s="46"/>
    </row>
    <row r="894" spans="1:11" s="24" customFormat="1" ht="23.1" customHeight="1">
      <c r="A894" s="170" t="str">
        <f>IF($B894="","",MAX($A$3:A893)+1)</f>
        <v/>
      </c>
      <c r="B894" s="176"/>
      <c r="C894" s="177"/>
      <c r="D894" s="285"/>
      <c r="E894" s="281"/>
      <c r="F894" s="283" t="str">
        <f>IF($B894="","",SUMIFS('Daily Inward'!$G:$G,'Daily Inward'!$C:$C,$B894,'Daily Inward'!$E:$E,"Non Inventory"))</f>
        <v/>
      </c>
      <c r="G894" s="51" t="str">
        <f>IF($B894="","",SUMIFS('Daily Issuance'!$G:$G,'Daily Issuance'!$C:$C,$B894,'Daily Issuance'!$E:$E,"Non Inventory"))</f>
        <v/>
      </c>
      <c r="H894" s="51" t="str">
        <f t="shared" ref="H894:H957" si="28">IF($B894="","",N(E894)+N(F894)-N(G894))</f>
        <v/>
      </c>
      <c r="I894" s="187"/>
      <c r="J894" s="188" t="str">
        <f t="shared" ref="J894:J957" si="29">IF($B894="","",H894*I894)</f>
        <v/>
      </c>
      <c r="K894" s="46"/>
    </row>
    <row r="895" spans="1:11" s="24" customFormat="1" ht="23.1" customHeight="1">
      <c r="A895" s="170" t="str">
        <f>IF($B895="","",MAX($A$3:A894)+1)</f>
        <v/>
      </c>
      <c r="B895" s="176"/>
      <c r="C895" s="177"/>
      <c r="D895" s="285"/>
      <c r="E895" s="281"/>
      <c r="F895" s="283" t="str">
        <f>IF($B895="","",SUMIFS('Daily Inward'!$G:$G,'Daily Inward'!$C:$C,$B895,'Daily Inward'!$E:$E,"Non Inventory"))</f>
        <v/>
      </c>
      <c r="G895" s="51" t="str">
        <f>IF($B895="","",SUMIFS('Daily Issuance'!$G:$G,'Daily Issuance'!$C:$C,$B895,'Daily Issuance'!$E:$E,"Non Inventory"))</f>
        <v/>
      </c>
      <c r="H895" s="51" t="str">
        <f t="shared" si="28"/>
        <v/>
      </c>
      <c r="I895" s="187"/>
      <c r="J895" s="188" t="str">
        <f t="shared" si="29"/>
        <v/>
      </c>
      <c r="K895" s="46"/>
    </row>
    <row r="896" spans="1:11" s="24" customFormat="1" ht="23.1" customHeight="1">
      <c r="A896" s="170" t="str">
        <f>IF($B896="","",MAX($A$3:A895)+1)</f>
        <v/>
      </c>
      <c r="B896" s="176"/>
      <c r="C896" s="177"/>
      <c r="D896" s="285"/>
      <c r="E896" s="281"/>
      <c r="F896" s="283" t="str">
        <f>IF($B896="","",SUMIFS('Daily Inward'!$G:$G,'Daily Inward'!$C:$C,$B896,'Daily Inward'!$E:$E,"Non Inventory"))</f>
        <v/>
      </c>
      <c r="G896" s="51" t="str">
        <f>IF($B896="","",SUMIFS('Daily Issuance'!$G:$G,'Daily Issuance'!$C:$C,$B896,'Daily Issuance'!$E:$E,"Non Inventory"))</f>
        <v/>
      </c>
      <c r="H896" s="51" t="str">
        <f t="shared" si="28"/>
        <v/>
      </c>
      <c r="I896" s="187"/>
      <c r="J896" s="188" t="str">
        <f t="shared" si="29"/>
        <v/>
      </c>
      <c r="K896" s="46"/>
    </row>
    <row r="897" spans="1:11" s="24" customFormat="1" ht="23.1" customHeight="1">
      <c r="A897" s="170" t="str">
        <f>IF($B897="","",MAX($A$3:A896)+1)</f>
        <v/>
      </c>
      <c r="B897" s="176"/>
      <c r="C897" s="177"/>
      <c r="D897" s="285"/>
      <c r="E897" s="281"/>
      <c r="F897" s="283" t="str">
        <f>IF($B897="","",SUMIFS('Daily Inward'!$G:$G,'Daily Inward'!$C:$C,$B897,'Daily Inward'!$E:$E,"Non Inventory"))</f>
        <v/>
      </c>
      <c r="G897" s="51" t="str">
        <f>IF($B897="","",SUMIFS('Daily Issuance'!$G:$G,'Daily Issuance'!$C:$C,$B897,'Daily Issuance'!$E:$E,"Non Inventory"))</f>
        <v/>
      </c>
      <c r="H897" s="51" t="str">
        <f t="shared" si="28"/>
        <v/>
      </c>
      <c r="I897" s="187"/>
      <c r="J897" s="188" t="str">
        <f t="shared" si="29"/>
        <v/>
      </c>
      <c r="K897" s="46"/>
    </row>
    <row r="898" spans="1:11" s="24" customFormat="1" ht="23.1" customHeight="1">
      <c r="A898" s="170" t="str">
        <f>IF($B898="","",MAX($A$3:A897)+1)</f>
        <v/>
      </c>
      <c r="B898" s="176"/>
      <c r="C898" s="177"/>
      <c r="D898" s="285"/>
      <c r="E898" s="281"/>
      <c r="F898" s="283" t="str">
        <f>IF($B898="","",SUMIFS('Daily Inward'!$G:$G,'Daily Inward'!$C:$C,$B898,'Daily Inward'!$E:$E,"Non Inventory"))</f>
        <v/>
      </c>
      <c r="G898" s="51" t="str">
        <f>IF($B898="","",SUMIFS('Daily Issuance'!$G:$G,'Daily Issuance'!$C:$C,$B898,'Daily Issuance'!$E:$E,"Non Inventory"))</f>
        <v/>
      </c>
      <c r="H898" s="51" t="str">
        <f t="shared" si="28"/>
        <v/>
      </c>
      <c r="I898" s="187"/>
      <c r="J898" s="188" t="str">
        <f t="shared" si="29"/>
        <v/>
      </c>
      <c r="K898" s="46"/>
    </row>
    <row r="899" spans="1:11" s="24" customFormat="1" ht="23.1" customHeight="1">
      <c r="A899" s="170" t="str">
        <f>IF($B899="","",MAX($A$3:A898)+1)</f>
        <v/>
      </c>
      <c r="B899" s="176"/>
      <c r="C899" s="177"/>
      <c r="D899" s="285"/>
      <c r="E899" s="281"/>
      <c r="F899" s="283" t="str">
        <f>IF($B899="","",SUMIFS('Daily Inward'!$G:$G,'Daily Inward'!$C:$C,$B899,'Daily Inward'!$E:$E,"Non Inventory"))</f>
        <v/>
      </c>
      <c r="G899" s="51" t="str">
        <f>IF($B899="","",SUMIFS('Daily Issuance'!$G:$G,'Daily Issuance'!$C:$C,$B899,'Daily Issuance'!$E:$E,"Non Inventory"))</f>
        <v/>
      </c>
      <c r="H899" s="51" t="str">
        <f t="shared" si="28"/>
        <v/>
      </c>
      <c r="I899" s="187"/>
      <c r="J899" s="188" t="str">
        <f t="shared" si="29"/>
        <v/>
      </c>
      <c r="K899" s="46"/>
    </row>
    <row r="900" spans="1:11" s="24" customFormat="1" ht="23.1" customHeight="1">
      <c r="A900" s="170" t="str">
        <f>IF($B900="","",MAX($A$3:A899)+1)</f>
        <v/>
      </c>
      <c r="B900" s="176"/>
      <c r="C900" s="177"/>
      <c r="D900" s="285"/>
      <c r="E900" s="281"/>
      <c r="F900" s="283" t="str">
        <f>IF($B900="","",SUMIFS('Daily Inward'!$G:$G,'Daily Inward'!$C:$C,$B900,'Daily Inward'!$E:$E,"Non Inventory"))</f>
        <v/>
      </c>
      <c r="G900" s="51" t="str">
        <f>IF($B900="","",SUMIFS('Daily Issuance'!$G:$G,'Daily Issuance'!$C:$C,$B900,'Daily Issuance'!$E:$E,"Non Inventory"))</f>
        <v/>
      </c>
      <c r="H900" s="51" t="str">
        <f t="shared" si="28"/>
        <v/>
      </c>
      <c r="I900" s="187"/>
      <c r="J900" s="188" t="str">
        <f t="shared" si="29"/>
        <v/>
      </c>
      <c r="K900" s="46"/>
    </row>
    <row r="901" spans="1:11" s="24" customFormat="1" ht="23.1" customHeight="1">
      <c r="A901" s="170" t="str">
        <f>IF($B901="","",MAX($A$3:A900)+1)</f>
        <v/>
      </c>
      <c r="B901" s="176"/>
      <c r="C901" s="177"/>
      <c r="D901" s="285"/>
      <c r="E901" s="281"/>
      <c r="F901" s="283" t="str">
        <f>IF($B901="","",SUMIFS('Daily Inward'!$G:$G,'Daily Inward'!$C:$C,$B901,'Daily Inward'!$E:$E,"Non Inventory"))</f>
        <v/>
      </c>
      <c r="G901" s="51" t="str">
        <f>IF($B901="","",SUMIFS('Daily Issuance'!$G:$G,'Daily Issuance'!$C:$C,$B901,'Daily Issuance'!$E:$E,"Non Inventory"))</f>
        <v/>
      </c>
      <c r="H901" s="51" t="str">
        <f t="shared" si="28"/>
        <v/>
      </c>
      <c r="I901" s="187"/>
      <c r="J901" s="188" t="str">
        <f t="shared" si="29"/>
        <v/>
      </c>
      <c r="K901" s="46"/>
    </row>
    <row r="902" spans="1:11" s="24" customFormat="1" ht="23.1" customHeight="1">
      <c r="A902" s="170" t="str">
        <f>IF($B902="","",MAX($A$3:A901)+1)</f>
        <v/>
      </c>
      <c r="B902" s="176"/>
      <c r="C902" s="177"/>
      <c r="D902" s="285"/>
      <c r="E902" s="281"/>
      <c r="F902" s="283" t="str">
        <f>IF($B902="","",SUMIFS('Daily Inward'!$G:$G,'Daily Inward'!$C:$C,$B902,'Daily Inward'!$E:$E,"Non Inventory"))</f>
        <v/>
      </c>
      <c r="G902" s="51" t="str">
        <f>IF($B902="","",SUMIFS('Daily Issuance'!$G:$G,'Daily Issuance'!$C:$C,$B902,'Daily Issuance'!$E:$E,"Non Inventory"))</f>
        <v/>
      </c>
      <c r="H902" s="51" t="str">
        <f t="shared" si="28"/>
        <v/>
      </c>
      <c r="I902" s="187"/>
      <c r="J902" s="188" t="str">
        <f t="shared" si="29"/>
        <v/>
      </c>
      <c r="K902" s="46"/>
    </row>
    <row r="903" spans="1:11" s="24" customFormat="1" ht="23.1" customHeight="1">
      <c r="A903" s="170" t="str">
        <f>IF($B903="","",MAX($A$3:A902)+1)</f>
        <v/>
      </c>
      <c r="B903" s="176"/>
      <c r="C903" s="177"/>
      <c r="D903" s="285"/>
      <c r="E903" s="281"/>
      <c r="F903" s="283" t="str">
        <f>IF($B903="","",SUMIFS('Daily Inward'!$G:$G,'Daily Inward'!$C:$C,$B903,'Daily Inward'!$E:$E,"Non Inventory"))</f>
        <v/>
      </c>
      <c r="G903" s="51" t="str">
        <f>IF($B903="","",SUMIFS('Daily Issuance'!$G:$G,'Daily Issuance'!$C:$C,$B903,'Daily Issuance'!$E:$E,"Non Inventory"))</f>
        <v/>
      </c>
      <c r="H903" s="51" t="str">
        <f t="shared" si="28"/>
        <v/>
      </c>
      <c r="I903" s="187"/>
      <c r="J903" s="188" t="str">
        <f t="shared" si="29"/>
        <v/>
      </c>
      <c r="K903" s="46"/>
    </row>
    <row r="904" spans="1:11" s="24" customFormat="1" ht="23.1" customHeight="1">
      <c r="A904" s="170" t="str">
        <f>IF($B904="","",MAX($A$3:A903)+1)</f>
        <v/>
      </c>
      <c r="B904" s="176"/>
      <c r="C904" s="177"/>
      <c r="D904" s="285"/>
      <c r="E904" s="281"/>
      <c r="F904" s="283" t="str">
        <f>IF($B904="","",SUMIFS('Daily Inward'!$G:$G,'Daily Inward'!$C:$C,$B904,'Daily Inward'!$E:$E,"Non Inventory"))</f>
        <v/>
      </c>
      <c r="G904" s="51" t="str">
        <f>IF($B904="","",SUMIFS('Daily Issuance'!$G:$G,'Daily Issuance'!$C:$C,$B904,'Daily Issuance'!$E:$E,"Non Inventory"))</f>
        <v/>
      </c>
      <c r="H904" s="51" t="str">
        <f t="shared" si="28"/>
        <v/>
      </c>
      <c r="I904" s="187"/>
      <c r="J904" s="188" t="str">
        <f t="shared" si="29"/>
        <v/>
      </c>
      <c r="K904" s="46"/>
    </row>
    <row r="905" spans="1:11" s="24" customFormat="1" ht="23.1" customHeight="1">
      <c r="A905" s="170" t="str">
        <f>IF($B905="","",MAX($A$3:A904)+1)</f>
        <v/>
      </c>
      <c r="B905" s="176"/>
      <c r="C905" s="177"/>
      <c r="D905" s="285"/>
      <c r="E905" s="281"/>
      <c r="F905" s="283" t="str">
        <f>IF($B905="","",SUMIFS('Daily Inward'!$G:$G,'Daily Inward'!$C:$C,$B905,'Daily Inward'!$E:$E,"Non Inventory"))</f>
        <v/>
      </c>
      <c r="G905" s="51" t="str">
        <f>IF($B905="","",SUMIFS('Daily Issuance'!$G:$G,'Daily Issuance'!$C:$C,$B905,'Daily Issuance'!$E:$E,"Non Inventory"))</f>
        <v/>
      </c>
      <c r="H905" s="51" t="str">
        <f t="shared" si="28"/>
        <v/>
      </c>
      <c r="I905" s="187"/>
      <c r="J905" s="188" t="str">
        <f t="shared" si="29"/>
        <v/>
      </c>
      <c r="K905" s="46"/>
    </row>
    <row r="906" spans="1:11" s="24" customFormat="1" ht="23.1" customHeight="1">
      <c r="A906" s="170" t="str">
        <f>IF($B906="","",MAX($A$3:A905)+1)</f>
        <v/>
      </c>
      <c r="B906" s="176"/>
      <c r="C906" s="177"/>
      <c r="D906" s="285"/>
      <c r="E906" s="281"/>
      <c r="F906" s="283" t="str">
        <f>IF($B906="","",SUMIFS('Daily Inward'!$G:$G,'Daily Inward'!$C:$C,$B906,'Daily Inward'!$E:$E,"Non Inventory"))</f>
        <v/>
      </c>
      <c r="G906" s="51" t="str">
        <f>IF($B906="","",SUMIFS('Daily Issuance'!$G:$G,'Daily Issuance'!$C:$C,$B906,'Daily Issuance'!$E:$E,"Non Inventory"))</f>
        <v/>
      </c>
      <c r="H906" s="51" t="str">
        <f t="shared" si="28"/>
        <v/>
      </c>
      <c r="I906" s="187"/>
      <c r="J906" s="188" t="str">
        <f t="shared" si="29"/>
        <v/>
      </c>
      <c r="K906" s="46"/>
    </row>
    <row r="907" spans="1:11" s="24" customFormat="1" ht="23.1" customHeight="1">
      <c r="A907" s="170" t="str">
        <f>IF($B907="","",MAX($A$3:A906)+1)</f>
        <v/>
      </c>
      <c r="B907" s="176"/>
      <c r="C907" s="177"/>
      <c r="D907" s="285"/>
      <c r="E907" s="281"/>
      <c r="F907" s="283" t="str">
        <f>IF($B907="","",SUMIFS('Daily Inward'!$G:$G,'Daily Inward'!$C:$C,$B907,'Daily Inward'!$E:$E,"Non Inventory"))</f>
        <v/>
      </c>
      <c r="G907" s="51" t="str">
        <f>IF($B907="","",SUMIFS('Daily Issuance'!$G:$G,'Daily Issuance'!$C:$C,$B907,'Daily Issuance'!$E:$E,"Non Inventory"))</f>
        <v/>
      </c>
      <c r="H907" s="51" t="str">
        <f t="shared" si="28"/>
        <v/>
      </c>
      <c r="I907" s="187"/>
      <c r="J907" s="188" t="str">
        <f t="shared" si="29"/>
        <v/>
      </c>
      <c r="K907" s="46"/>
    </row>
    <row r="908" spans="1:11" s="24" customFormat="1" ht="23.1" customHeight="1">
      <c r="A908" s="170" t="str">
        <f>IF($B908="","",MAX($A$3:A907)+1)</f>
        <v/>
      </c>
      <c r="B908" s="176"/>
      <c r="C908" s="177"/>
      <c r="D908" s="285"/>
      <c r="E908" s="281"/>
      <c r="F908" s="283" t="str">
        <f>IF($B908="","",SUMIFS('Daily Inward'!$G:$G,'Daily Inward'!$C:$C,$B908,'Daily Inward'!$E:$E,"Non Inventory"))</f>
        <v/>
      </c>
      <c r="G908" s="51" t="str">
        <f>IF($B908="","",SUMIFS('Daily Issuance'!$G:$G,'Daily Issuance'!$C:$C,$B908,'Daily Issuance'!$E:$E,"Non Inventory"))</f>
        <v/>
      </c>
      <c r="H908" s="51" t="str">
        <f t="shared" si="28"/>
        <v/>
      </c>
      <c r="I908" s="187"/>
      <c r="J908" s="188" t="str">
        <f t="shared" si="29"/>
        <v/>
      </c>
      <c r="K908" s="46"/>
    </row>
    <row r="909" spans="1:11" s="24" customFormat="1" ht="23.1" customHeight="1">
      <c r="A909" s="170" t="str">
        <f>IF($B909="","",MAX($A$3:A908)+1)</f>
        <v/>
      </c>
      <c r="B909" s="176"/>
      <c r="C909" s="177"/>
      <c r="D909" s="285"/>
      <c r="E909" s="281"/>
      <c r="F909" s="283" t="str">
        <f>IF($B909="","",SUMIFS('Daily Inward'!$G:$G,'Daily Inward'!$C:$C,$B909,'Daily Inward'!$E:$E,"Non Inventory"))</f>
        <v/>
      </c>
      <c r="G909" s="51" t="str">
        <f>IF($B909="","",SUMIFS('Daily Issuance'!$G:$G,'Daily Issuance'!$C:$C,$B909,'Daily Issuance'!$E:$E,"Non Inventory"))</f>
        <v/>
      </c>
      <c r="H909" s="51" t="str">
        <f t="shared" si="28"/>
        <v/>
      </c>
      <c r="I909" s="187"/>
      <c r="J909" s="188" t="str">
        <f t="shared" si="29"/>
        <v/>
      </c>
      <c r="K909" s="46"/>
    </row>
    <row r="910" spans="1:11" s="24" customFormat="1" ht="23.1" customHeight="1">
      <c r="A910" s="170" t="str">
        <f>IF($B910="","",MAX($A$3:A909)+1)</f>
        <v/>
      </c>
      <c r="B910" s="176"/>
      <c r="C910" s="177"/>
      <c r="D910" s="285"/>
      <c r="E910" s="281"/>
      <c r="F910" s="283" t="str">
        <f>IF($B910="","",SUMIFS('Daily Inward'!$G:$G,'Daily Inward'!$C:$C,$B910,'Daily Inward'!$E:$E,"Non Inventory"))</f>
        <v/>
      </c>
      <c r="G910" s="51" t="str">
        <f>IF($B910="","",SUMIFS('Daily Issuance'!$G:$G,'Daily Issuance'!$C:$C,$B910,'Daily Issuance'!$E:$E,"Non Inventory"))</f>
        <v/>
      </c>
      <c r="H910" s="51" t="str">
        <f t="shared" si="28"/>
        <v/>
      </c>
      <c r="I910" s="187"/>
      <c r="J910" s="188" t="str">
        <f t="shared" si="29"/>
        <v/>
      </c>
      <c r="K910" s="46"/>
    </row>
    <row r="911" spans="1:11" s="24" customFormat="1" ht="23.1" customHeight="1">
      <c r="A911" s="170" t="str">
        <f>IF($B911="","",MAX($A$3:A910)+1)</f>
        <v/>
      </c>
      <c r="B911" s="176"/>
      <c r="C911" s="177"/>
      <c r="D911" s="285"/>
      <c r="E911" s="281"/>
      <c r="F911" s="283" t="str">
        <f>IF($B911="","",SUMIFS('Daily Inward'!$G:$G,'Daily Inward'!$C:$C,$B911,'Daily Inward'!$E:$E,"Non Inventory"))</f>
        <v/>
      </c>
      <c r="G911" s="51" t="str">
        <f>IF($B911="","",SUMIFS('Daily Issuance'!$G:$G,'Daily Issuance'!$C:$C,$B911,'Daily Issuance'!$E:$E,"Non Inventory"))</f>
        <v/>
      </c>
      <c r="H911" s="51" t="str">
        <f t="shared" si="28"/>
        <v/>
      </c>
      <c r="I911" s="187"/>
      <c r="J911" s="188" t="str">
        <f t="shared" si="29"/>
        <v/>
      </c>
      <c r="K911" s="46"/>
    </row>
    <row r="912" spans="1:11" s="24" customFormat="1" ht="23.1" customHeight="1">
      <c r="A912" s="170" t="str">
        <f>IF($B912="","",MAX($A$3:A911)+1)</f>
        <v/>
      </c>
      <c r="B912" s="176"/>
      <c r="C912" s="177"/>
      <c r="D912" s="285"/>
      <c r="E912" s="281"/>
      <c r="F912" s="283" t="str">
        <f>IF($B912="","",SUMIFS('Daily Inward'!$G:$G,'Daily Inward'!$C:$C,$B912,'Daily Inward'!$E:$E,"Non Inventory"))</f>
        <v/>
      </c>
      <c r="G912" s="51" t="str">
        <f>IF($B912="","",SUMIFS('Daily Issuance'!$G:$G,'Daily Issuance'!$C:$C,$B912,'Daily Issuance'!$E:$E,"Non Inventory"))</f>
        <v/>
      </c>
      <c r="H912" s="51" t="str">
        <f t="shared" si="28"/>
        <v/>
      </c>
      <c r="I912" s="187"/>
      <c r="J912" s="188" t="str">
        <f t="shared" si="29"/>
        <v/>
      </c>
      <c r="K912" s="46"/>
    </row>
    <row r="913" spans="1:11" s="24" customFormat="1" ht="23.1" customHeight="1">
      <c r="A913" s="170" t="str">
        <f>IF($B913="","",MAX($A$3:A912)+1)</f>
        <v/>
      </c>
      <c r="B913" s="176"/>
      <c r="C913" s="177"/>
      <c r="D913" s="285"/>
      <c r="E913" s="281"/>
      <c r="F913" s="283" t="str">
        <f>IF($B913="","",SUMIFS('Daily Inward'!$G:$G,'Daily Inward'!$C:$C,$B913,'Daily Inward'!$E:$E,"Non Inventory"))</f>
        <v/>
      </c>
      <c r="G913" s="51" t="str">
        <f>IF($B913="","",SUMIFS('Daily Issuance'!$G:$G,'Daily Issuance'!$C:$C,$B913,'Daily Issuance'!$E:$E,"Non Inventory"))</f>
        <v/>
      </c>
      <c r="H913" s="51" t="str">
        <f t="shared" si="28"/>
        <v/>
      </c>
      <c r="I913" s="187"/>
      <c r="J913" s="188" t="str">
        <f t="shared" si="29"/>
        <v/>
      </c>
      <c r="K913" s="46"/>
    </row>
    <row r="914" spans="1:11" s="24" customFormat="1" ht="23.1" customHeight="1">
      <c r="A914" s="170" t="str">
        <f>IF($B914="","",MAX($A$3:A913)+1)</f>
        <v/>
      </c>
      <c r="B914" s="176"/>
      <c r="C914" s="177"/>
      <c r="D914" s="285"/>
      <c r="E914" s="281"/>
      <c r="F914" s="283" t="str">
        <f>IF($B914="","",SUMIFS('Daily Inward'!$G:$G,'Daily Inward'!$C:$C,$B914,'Daily Inward'!$E:$E,"Non Inventory"))</f>
        <v/>
      </c>
      <c r="G914" s="51" t="str">
        <f>IF($B914="","",SUMIFS('Daily Issuance'!$G:$G,'Daily Issuance'!$C:$C,$B914,'Daily Issuance'!$E:$E,"Non Inventory"))</f>
        <v/>
      </c>
      <c r="H914" s="51" t="str">
        <f t="shared" si="28"/>
        <v/>
      </c>
      <c r="I914" s="187"/>
      <c r="J914" s="188" t="str">
        <f t="shared" si="29"/>
        <v/>
      </c>
      <c r="K914" s="46"/>
    </row>
    <row r="915" spans="1:11" s="24" customFormat="1" ht="23.1" customHeight="1">
      <c r="A915" s="170" t="str">
        <f>IF($B915="","",MAX($A$3:A914)+1)</f>
        <v/>
      </c>
      <c r="B915" s="176"/>
      <c r="C915" s="177"/>
      <c r="D915" s="285"/>
      <c r="E915" s="281"/>
      <c r="F915" s="283" t="str">
        <f>IF($B915="","",SUMIFS('Daily Inward'!$G:$G,'Daily Inward'!$C:$C,$B915,'Daily Inward'!$E:$E,"Non Inventory"))</f>
        <v/>
      </c>
      <c r="G915" s="51" t="str">
        <f>IF($B915="","",SUMIFS('Daily Issuance'!$G:$G,'Daily Issuance'!$C:$C,$B915,'Daily Issuance'!$E:$E,"Non Inventory"))</f>
        <v/>
      </c>
      <c r="H915" s="51" t="str">
        <f t="shared" si="28"/>
        <v/>
      </c>
      <c r="I915" s="187"/>
      <c r="J915" s="188" t="str">
        <f t="shared" si="29"/>
        <v/>
      </c>
      <c r="K915" s="46"/>
    </row>
    <row r="916" spans="1:11" s="24" customFormat="1" ht="23.1" customHeight="1">
      <c r="A916" s="170" t="str">
        <f>IF($B916="","",MAX($A$3:A915)+1)</f>
        <v/>
      </c>
      <c r="B916" s="176"/>
      <c r="C916" s="177"/>
      <c r="D916" s="285"/>
      <c r="E916" s="281"/>
      <c r="F916" s="283" t="str">
        <f>IF($B916="","",SUMIFS('Daily Inward'!$G:$G,'Daily Inward'!$C:$C,$B916,'Daily Inward'!$E:$E,"Non Inventory"))</f>
        <v/>
      </c>
      <c r="G916" s="51" t="str">
        <f>IF($B916="","",SUMIFS('Daily Issuance'!$G:$G,'Daily Issuance'!$C:$C,$B916,'Daily Issuance'!$E:$E,"Non Inventory"))</f>
        <v/>
      </c>
      <c r="H916" s="51" t="str">
        <f t="shared" si="28"/>
        <v/>
      </c>
      <c r="I916" s="187"/>
      <c r="J916" s="188" t="str">
        <f t="shared" si="29"/>
        <v/>
      </c>
      <c r="K916" s="46"/>
    </row>
    <row r="917" spans="1:11" s="24" customFormat="1" ht="23.1" customHeight="1">
      <c r="A917" s="170" t="str">
        <f>IF($B917="","",MAX($A$3:A916)+1)</f>
        <v/>
      </c>
      <c r="B917" s="176"/>
      <c r="C917" s="177"/>
      <c r="D917" s="285"/>
      <c r="E917" s="281"/>
      <c r="F917" s="283" t="str">
        <f>IF($B917="","",SUMIFS('Daily Inward'!$G:$G,'Daily Inward'!$C:$C,$B917,'Daily Inward'!$E:$E,"Non Inventory"))</f>
        <v/>
      </c>
      <c r="G917" s="51" t="str">
        <f>IF($B917="","",SUMIFS('Daily Issuance'!$G:$G,'Daily Issuance'!$C:$C,$B917,'Daily Issuance'!$E:$E,"Non Inventory"))</f>
        <v/>
      </c>
      <c r="H917" s="51" t="str">
        <f t="shared" si="28"/>
        <v/>
      </c>
      <c r="I917" s="187"/>
      <c r="J917" s="188" t="str">
        <f t="shared" si="29"/>
        <v/>
      </c>
      <c r="K917" s="46"/>
    </row>
    <row r="918" spans="1:11" s="24" customFormat="1" ht="23.1" customHeight="1">
      <c r="A918" s="170" t="str">
        <f>IF($B918="","",MAX($A$3:A917)+1)</f>
        <v/>
      </c>
      <c r="B918" s="176"/>
      <c r="C918" s="177"/>
      <c r="D918" s="285"/>
      <c r="E918" s="281"/>
      <c r="F918" s="283" t="str">
        <f>IF($B918="","",SUMIFS('Daily Inward'!$G:$G,'Daily Inward'!$C:$C,$B918,'Daily Inward'!$E:$E,"Non Inventory"))</f>
        <v/>
      </c>
      <c r="G918" s="51" t="str">
        <f>IF($B918="","",SUMIFS('Daily Issuance'!$G:$G,'Daily Issuance'!$C:$C,$B918,'Daily Issuance'!$E:$E,"Non Inventory"))</f>
        <v/>
      </c>
      <c r="H918" s="51" t="str">
        <f t="shared" si="28"/>
        <v/>
      </c>
      <c r="I918" s="187"/>
      <c r="J918" s="188" t="str">
        <f t="shared" si="29"/>
        <v/>
      </c>
      <c r="K918" s="46"/>
    </row>
    <row r="919" spans="1:11" s="24" customFormat="1" ht="23.1" customHeight="1">
      <c r="A919" s="170" t="str">
        <f>IF($B919="","",MAX($A$3:A918)+1)</f>
        <v/>
      </c>
      <c r="B919" s="176"/>
      <c r="C919" s="177"/>
      <c r="D919" s="285"/>
      <c r="E919" s="281"/>
      <c r="F919" s="283" t="str">
        <f>IF($B919="","",SUMIFS('Daily Inward'!$G:$G,'Daily Inward'!$C:$C,$B919,'Daily Inward'!$E:$E,"Non Inventory"))</f>
        <v/>
      </c>
      <c r="G919" s="51" t="str">
        <f>IF($B919="","",SUMIFS('Daily Issuance'!$G:$G,'Daily Issuance'!$C:$C,$B919,'Daily Issuance'!$E:$E,"Non Inventory"))</f>
        <v/>
      </c>
      <c r="H919" s="51" t="str">
        <f t="shared" si="28"/>
        <v/>
      </c>
      <c r="I919" s="187"/>
      <c r="J919" s="188" t="str">
        <f t="shared" si="29"/>
        <v/>
      </c>
      <c r="K919" s="46"/>
    </row>
    <row r="920" spans="1:11" s="24" customFormat="1" ht="23.1" customHeight="1">
      <c r="A920" s="170" t="str">
        <f>IF($B920="","",MAX($A$3:A919)+1)</f>
        <v/>
      </c>
      <c r="B920" s="176"/>
      <c r="C920" s="177"/>
      <c r="D920" s="285"/>
      <c r="E920" s="281"/>
      <c r="F920" s="283" t="str">
        <f>IF($B920="","",SUMIFS('Daily Inward'!$G:$G,'Daily Inward'!$C:$C,$B920,'Daily Inward'!$E:$E,"Non Inventory"))</f>
        <v/>
      </c>
      <c r="G920" s="51" t="str">
        <f>IF($B920="","",SUMIFS('Daily Issuance'!$G:$G,'Daily Issuance'!$C:$C,$B920,'Daily Issuance'!$E:$E,"Non Inventory"))</f>
        <v/>
      </c>
      <c r="H920" s="51" t="str">
        <f t="shared" si="28"/>
        <v/>
      </c>
      <c r="I920" s="187"/>
      <c r="J920" s="188" t="str">
        <f t="shared" si="29"/>
        <v/>
      </c>
      <c r="K920" s="46"/>
    </row>
    <row r="921" spans="1:11" s="24" customFormat="1" ht="23.1" customHeight="1">
      <c r="A921" s="170" t="str">
        <f>IF($B921="","",MAX($A$3:A920)+1)</f>
        <v/>
      </c>
      <c r="B921" s="176"/>
      <c r="C921" s="177"/>
      <c r="D921" s="285"/>
      <c r="E921" s="281"/>
      <c r="F921" s="283" t="str">
        <f>IF($B921="","",SUMIFS('Daily Inward'!$G:$G,'Daily Inward'!$C:$C,$B921,'Daily Inward'!$E:$E,"Non Inventory"))</f>
        <v/>
      </c>
      <c r="G921" s="51" t="str">
        <f>IF($B921="","",SUMIFS('Daily Issuance'!$G:$G,'Daily Issuance'!$C:$C,$B921,'Daily Issuance'!$E:$E,"Non Inventory"))</f>
        <v/>
      </c>
      <c r="H921" s="51" t="str">
        <f t="shared" si="28"/>
        <v/>
      </c>
      <c r="I921" s="187"/>
      <c r="J921" s="188" t="str">
        <f t="shared" si="29"/>
        <v/>
      </c>
      <c r="K921" s="46"/>
    </row>
    <row r="922" spans="1:11" s="24" customFormat="1" ht="23.1" customHeight="1">
      <c r="A922" s="170" t="str">
        <f>IF($B922="","",MAX($A$3:A921)+1)</f>
        <v/>
      </c>
      <c r="B922" s="176"/>
      <c r="C922" s="177"/>
      <c r="D922" s="285"/>
      <c r="E922" s="281"/>
      <c r="F922" s="283" t="str">
        <f>IF($B922="","",SUMIFS('Daily Inward'!$G:$G,'Daily Inward'!$C:$C,$B922,'Daily Inward'!$E:$E,"Non Inventory"))</f>
        <v/>
      </c>
      <c r="G922" s="51" t="str">
        <f>IF($B922="","",SUMIFS('Daily Issuance'!$G:$G,'Daily Issuance'!$C:$C,$B922,'Daily Issuance'!$E:$E,"Non Inventory"))</f>
        <v/>
      </c>
      <c r="H922" s="51" t="str">
        <f t="shared" si="28"/>
        <v/>
      </c>
      <c r="I922" s="187"/>
      <c r="J922" s="188" t="str">
        <f t="shared" si="29"/>
        <v/>
      </c>
      <c r="K922" s="46"/>
    </row>
    <row r="923" spans="1:11" s="24" customFormat="1" ht="23.1" customHeight="1">
      <c r="A923" s="170" t="str">
        <f>IF($B923="","",MAX($A$3:A922)+1)</f>
        <v/>
      </c>
      <c r="B923" s="176"/>
      <c r="C923" s="177"/>
      <c r="D923" s="285"/>
      <c r="E923" s="281"/>
      <c r="F923" s="283" t="str">
        <f>IF($B923="","",SUMIFS('Daily Inward'!$G:$G,'Daily Inward'!$C:$C,$B923,'Daily Inward'!$E:$E,"Non Inventory"))</f>
        <v/>
      </c>
      <c r="G923" s="51" t="str">
        <f>IF($B923="","",SUMIFS('Daily Issuance'!$G:$G,'Daily Issuance'!$C:$C,$B923,'Daily Issuance'!$E:$E,"Non Inventory"))</f>
        <v/>
      </c>
      <c r="H923" s="51" t="str">
        <f t="shared" si="28"/>
        <v/>
      </c>
      <c r="I923" s="187"/>
      <c r="J923" s="188" t="str">
        <f t="shared" si="29"/>
        <v/>
      </c>
      <c r="K923" s="46"/>
    </row>
    <row r="924" spans="1:11" s="24" customFormat="1" ht="23.1" customHeight="1">
      <c r="A924" s="170" t="str">
        <f>IF($B924="","",MAX($A$3:A923)+1)</f>
        <v/>
      </c>
      <c r="B924" s="176"/>
      <c r="C924" s="177"/>
      <c r="D924" s="285"/>
      <c r="E924" s="281"/>
      <c r="F924" s="283" t="str">
        <f>IF($B924="","",SUMIFS('Daily Inward'!$G:$G,'Daily Inward'!$C:$C,$B924,'Daily Inward'!$E:$E,"Non Inventory"))</f>
        <v/>
      </c>
      <c r="G924" s="51" t="str">
        <f>IF($B924="","",SUMIFS('Daily Issuance'!$G:$G,'Daily Issuance'!$C:$C,$B924,'Daily Issuance'!$E:$E,"Non Inventory"))</f>
        <v/>
      </c>
      <c r="H924" s="51" t="str">
        <f t="shared" si="28"/>
        <v/>
      </c>
      <c r="I924" s="187"/>
      <c r="J924" s="188" t="str">
        <f t="shared" si="29"/>
        <v/>
      </c>
      <c r="K924" s="46"/>
    </row>
    <row r="925" spans="1:11" s="24" customFormat="1" ht="23.1" customHeight="1">
      <c r="A925" s="170" t="str">
        <f>IF($B925="","",MAX($A$3:A924)+1)</f>
        <v/>
      </c>
      <c r="B925" s="176"/>
      <c r="C925" s="177"/>
      <c r="D925" s="285"/>
      <c r="E925" s="281"/>
      <c r="F925" s="283" t="str">
        <f>IF($B925="","",SUMIFS('Daily Inward'!$G:$G,'Daily Inward'!$C:$C,$B925,'Daily Inward'!$E:$E,"Non Inventory"))</f>
        <v/>
      </c>
      <c r="G925" s="51" t="str">
        <f>IF($B925="","",SUMIFS('Daily Issuance'!$G:$G,'Daily Issuance'!$C:$C,$B925,'Daily Issuance'!$E:$E,"Non Inventory"))</f>
        <v/>
      </c>
      <c r="H925" s="51" t="str">
        <f t="shared" si="28"/>
        <v/>
      </c>
      <c r="I925" s="187"/>
      <c r="J925" s="188" t="str">
        <f t="shared" si="29"/>
        <v/>
      </c>
      <c r="K925" s="46"/>
    </row>
    <row r="926" spans="1:11" s="24" customFormat="1" ht="23.1" customHeight="1">
      <c r="A926" s="170" t="str">
        <f>IF($B926="","",MAX($A$3:A925)+1)</f>
        <v/>
      </c>
      <c r="B926" s="176"/>
      <c r="C926" s="177"/>
      <c r="D926" s="285"/>
      <c r="E926" s="281"/>
      <c r="F926" s="283" t="str">
        <f>IF($B926="","",SUMIFS('Daily Inward'!$G:$G,'Daily Inward'!$C:$C,$B926,'Daily Inward'!$E:$E,"Non Inventory"))</f>
        <v/>
      </c>
      <c r="G926" s="51" t="str">
        <f>IF($B926="","",SUMIFS('Daily Issuance'!$G:$G,'Daily Issuance'!$C:$C,$B926,'Daily Issuance'!$E:$E,"Non Inventory"))</f>
        <v/>
      </c>
      <c r="H926" s="51" t="str">
        <f t="shared" si="28"/>
        <v/>
      </c>
      <c r="I926" s="187"/>
      <c r="J926" s="188" t="str">
        <f t="shared" si="29"/>
        <v/>
      </c>
      <c r="K926" s="46"/>
    </row>
    <row r="927" spans="1:11" s="24" customFormat="1" ht="23.1" customHeight="1">
      <c r="A927" s="170" t="str">
        <f>IF($B927="","",MAX($A$3:A926)+1)</f>
        <v/>
      </c>
      <c r="B927" s="176"/>
      <c r="C927" s="177"/>
      <c r="D927" s="285"/>
      <c r="E927" s="281"/>
      <c r="F927" s="283" t="str">
        <f>IF($B927="","",SUMIFS('Daily Inward'!$G:$G,'Daily Inward'!$C:$C,$B927,'Daily Inward'!$E:$E,"Non Inventory"))</f>
        <v/>
      </c>
      <c r="G927" s="51" t="str">
        <f>IF($B927="","",SUMIFS('Daily Issuance'!$G:$G,'Daily Issuance'!$C:$C,$B927,'Daily Issuance'!$E:$E,"Non Inventory"))</f>
        <v/>
      </c>
      <c r="H927" s="51" t="str">
        <f t="shared" si="28"/>
        <v/>
      </c>
      <c r="I927" s="187"/>
      <c r="J927" s="188" t="str">
        <f t="shared" si="29"/>
        <v/>
      </c>
      <c r="K927" s="46"/>
    </row>
    <row r="928" spans="1:11" s="24" customFormat="1" ht="23.1" customHeight="1">
      <c r="A928" s="170" t="str">
        <f>IF($B928="","",MAX($A$3:A927)+1)</f>
        <v/>
      </c>
      <c r="B928" s="176"/>
      <c r="C928" s="177"/>
      <c r="D928" s="285"/>
      <c r="E928" s="281"/>
      <c r="F928" s="283" t="str">
        <f>IF($B928="","",SUMIFS('Daily Inward'!$G:$G,'Daily Inward'!$C:$C,$B928,'Daily Inward'!$E:$E,"Non Inventory"))</f>
        <v/>
      </c>
      <c r="G928" s="51" t="str">
        <f>IF($B928="","",SUMIFS('Daily Issuance'!$G:$G,'Daily Issuance'!$C:$C,$B928,'Daily Issuance'!$E:$E,"Non Inventory"))</f>
        <v/>
      </c>
      <c r="H928" s="51" t="str">
        <f t="shared" si="28"/>
        <v/>
      </c>
      <c r="I928" s="187"/>
      <c r="J928" s="188" t="str">
        <f t="shared" si="29"/>
        <v/>
      </c>
      <c r="K928" s="46"/>
    </row>
    <row r="929" spans="1:11" s="24" customFormat="1" ht="23.1" customHeight="1">
      <c r="A929" s="170" t="str">
        <f>IF($B929="","",MAX($A$3:A928)+1)</f>
        <v/>
      </c>
      <c r="B929" s="176"/>
      <c r="C929" s="177"/>
      <c r="D929" s="285"/>
      <c r="E929" s="281"/>
      <c r="F929" s="283" t="str">
        <f>IF($B929="","",SUMIFS('Daily Inward'!$G:$G,'Daily Inward'!$C:$C,$B929,'Daily Inward'!$E:$E,"Non Inventory"))</f>
        <v/>
      </c>
      <c r="G929" s="51" t="str">
        <f>IF($B929="","",SUMIFS('Daily Issuance'!$G:$G,'Daily Issuance'!$C:$C,$B929,'Daily Issuance'!$E:$E,"Non Inventory"))</f>
        <v/>
      </c>
      <c r="H929" s="51" t="str">
        <f t="shared" si="28"/>
        <v/>
      </c>
      <c r="I929" s="187"/>
      <c r="J929" s="188" t="str">
        <f t="shared" si="29"/>
        <v/>
      </c>
      <c r="K929" s="46"/>
    </row>
    <row r="930" spans="1:11" s="24" customFormat="1" ht="23.1" customHeight="1">
      <c r="A930" s="170" t="str">
        <f>IF($B930="","",MAX($A$3:A929)+1)</f>
        <v/>
      </c>
      <c r="B930" s="176"/>
      <c r="C930" s="177"/>
      <c r="D930" s="285"/>
      <c r="E930" s="281"/>
      <c r="F930" s="283" t="str">
        <f>IF($B930="","",SUMIFS('Daily Inward'!$G:$G,'Daily Inward'!$C:$C,$B930,'Daily Inward'!$E:$E,"Non Inventory"))</f>
        <v/>
      </c>
      <c r="G930" s="51" t="str">
        <f>IF($B930="","",SUMIFS('Daily Issuance'!$G:$G,'Daily Issuance'!$C:$C,$B930,'Daily Issuance'!$E:$E,"Non Inventory"))</f>
        <v/>
      </c>
      <c r="H930" s="51" t="str">
        <f t="shared" si="28"/>
        <v/>
      </c>
      <c r="I930" s="187"/>
      <c r="J930" s="188" t="str">
        <f t="shared" si="29"/>
        <v/>
      </c>
      <c r="K930" s="46"/>
    </row>
    <row r="931" spans="1:11" s="24" customFormat="1" ht="23.1" customHeight="1">
      <c r="A931" s="170" t="str">
        <f>IF($B931="","",MAX($A$3:A930)+1)</f>
        <v/>
      </c>
      <c r="B931" s="176"/>
      <c r="C931" s="177"/>
      <c r="D931" s="285"/>
      <c r="E931" s="281"/>
      <c r="F931" s="283" t="str">
        <f>IF($B931="","",SUMIFS('Daily Inward'!$G:$G,'Daily Inward'!$C:$C,$B931,'Daily Inward'!$E:$E,"Non Inventory"))</f>
        <v/>
      </c>
      <c r="G931" s="51" t="str">
        <f>IF($B931="","",SUMIFS('Daily Issuance'!$G:$G,'Daily Issuance'!$C:$C,$B931,'Daily Issuance'!$E:$E,"Non Inventory"))</f>
        <v/>
      </c>
      <c r="H931" s="51" t="str">
        <f t="shared" si="28"/>
        <v/>
      </c>
      <c r="I931" s="187"/>
      <c r="J931" s="188" t="str">
        <f t="shared" si="29"/>
        <v/>
      </c>
      <c r="K931" s="46"/>
    </row>
    <row r="932" spans="1:11" s="24" customFormat="1" ht="23.1" customHeight="1">
      <c r="A932" s="170" t="str">
        <f>IF($B932="","",MAX($A$3:A931)+1)</f>
        <v/>
      </c>
      <c r="B932" s="176"/>
      <c r="C932" s="177"/>
      <c r="D932" s="285"/>
      <c r="E932" s="281"/>
      <c r="F932" s="283" t="str">
        <f>IF($B932="","",SUMIFS('Daily Inward'!$G:$G,'Daily Inward'!$C:$C,$B932,'Daily Inward'!$E:$E,"Non Inventory"))</f>
        <v/>
      </c>
      <c r="G932" s="51" t="str">
        <f>IF($B932="","",SUMIFS('Daily Issuance'!$G:$G,'Daily Issuance'!$C:$C,$B932,'Daily Issuance'!$E:$E,"Non Inventory"))</f>
        <v/>
      </c>
      <c r="H932" s="51" t="str">
        <f t="shared" si="28"/>
        <v/>
      </c>
      <c r="I932" s="187"/>
      <c r="J932" s="188" t="str">
        <f t="shared" si="29"/>
        <v/>
      </c>
      <c r="K932" s="46"/>
    </row>
    <row r="933" spans="1:11" s="24" customFormat="1" ht="23.1" customHeight="1">
      <c r="A933" s="170" t="str">
        <f>IF($B933="","",MAX($A$3:A932)+1)</f>
        <v/>
      </c>
      <c r="B933" s="176"/>
      <c r="C933" s="177"/>
      <c r="D933" s="285"/>
      <c r="E933" s="281"/>
      <c r="F933" s="283" t="str">
        <f>IF($B933="","",SUMIFS('Daily Inward'!$G:$G,'Daily Inward'!$C:$C,$B933,'Daily Inward'!$E:$E,"Non Inventory"))</f>
        <v/>
      </c>
      <c r="G933" s="51" t="str">
        <f>IF($B933="","",SUMIFS('Daily Issuance'!$G:$G,'Daily Issuance'!$C:$C,$B933,'Daily Issuance'!$E:$E,"Non Inventory"))</f>
        <v/>
      </c>
      <c r="H933" s="51" t="str">
        <f t="shared" si="28"/>
        <v/>
      </c>
      <c r="I933" s="187"/>
      <c r="J933" s="188" t="str">
        <f t="shared" si="29"/>
        <v/>
      </c>
      <c r="K933" s="46"/>
    </row>
    <row r="934" spans="1:11" s="24" customFormat="1" ht="23.1" customHeight="1">
      <c r="A934" s="170" t="str">
        <f>IF($B934="","",MAX($A$3:A933)+1)</f>
        <v/>
      </c>
      <c r="B934" s="176"/>
      <c r="C934" s="177"/>
      <c r="D934" s="285"/>
      <c r="E934" s="281"/>
      <c r="F934" s="283" t="str">
        <f>IF($B934="","",SUMIFS('Daily Inward'!$G:$G,'Daily Inward'!$C:$C,$B934,'Daily Inward'!$E:$E,"Non Inventory"))</f>
        <v/>
      </c>
      <c r="G934" s="51" t="str">
        <f>IF($B934="","",SUMIFS('Daily Issuance'!$G:$G,'Daily Issuance'!$C:$C,$B934,'Daily Issuance'!$E:$E,"Non Inventory"))</f>
        <v/>
      </c>
      <c r="H934" s="51" t="str">
        <f t="shared" si="28"/>
        <v/>
      </c>
      <c r="I934" s="187"/>
      <c r="J934" s="188" t="str">
        <f t="shared" si="29"/>
        <v/>
      </c>
      <c r="K934" s="46"/>
    </row>
    <row r="935" spans="1:11" s="24" customFormat="1" ht="23.1" customHeight="1">
      <c r="A935" s="170" t="str">
        <f>IF($B935="","",MAX($A$3:A934)+1)</f>
        <v/>
      </c>
      <c r="B935" s="176"/>
      <c r="C935" s="177"/>
      <c r="D935" s="285"/>
      <c r="E935" s="281"/>
      <c r="F935" s="283" t="str">
        <f>IF($B935="","",SUMIFS('Daily Inward'!$G:$G,'Daily Inward'!$C:$C,$B935,'Daily Inward'!$E:$E,"Non Inventory"))</f>
        <v/>
      </c>
      <c r="G935" s="51" t="str">
        <f>IF($B935="","",SUMIFS('Daily Issuance'!$G:$G,'Daily Issuance'!$C:$C,$B935,'Daily Issuance'!$E:$E,"Non Inventory"))</f>
        <v/>
      </c>
      <c r="H935" s="51" t="str">
        <f t="shared" si="28"/>
        <v/>
      </c>
      <c r="I935" s="187"/>
      <c r="J935" s="188" t="str">
        <f t="shared" si="29"/>
        <v/>
      </c>
      <c r="K935" s="46"/>
    </row>
    <row r="936" spans="1:11" s="24" customFormat="1" ht="23.1" customHeight="1">
      <c r="A936" s="170" t="str">
        <f>IF($B936="","",MAX($A$3:A935)+1)</f>
        <v/>
      </c>
      <c r="B936" s="176"/>
      <c r="C936" s="177"/>
      <c r="D936" s="285"/>
      <c r="E936" s="281"/>
      <c r="F936" s="283" t="str">
        <f>IF($B936="","",SUMIFS('Daily Inward'!$G:$G,'Daily Inward'!$C:$C,$B936,'Daily Inward'!$E:$E,"Non Inventory"))</f>
        <v/>
      </c>
      <c r="G936" s="51" t="str">
        <f>IF($B936="","",SUMIFS('Daily Issuance'!$G:$G,'Daily Issuance'!$C:$C,$B936,'Daily Issuance'!$E:$E,"Non Inventory"))</f>
        <v/>
      </c>
      <c r="H936" s="51" t="str">
        <f t="shared" si="28"/>
        <v/>
      </c>
      <c r="I936" s="187"/>
      <c r="J936" s="188" t="str">
        <f t="shared" si="29"/>
        <v/>
      </c>
      <c r="K936" s="46"/>
    </row>
    <row r="937" spans="1:11" s="24" customFormat="1" ht="23.1" customHeight="1">
      <c r="A937" s="170" t="str">
        <f>IF($B937="","",MAX($A$3:A936)+1)</f>
        <v/>
      </c>
      <c r="B937" s="176"/>
      <c r="C937" s="177"/>
      <c r="D937" s="285"/>
      <c r="E937" s="281"/>
      <c r="F937" s="283" t="str">
        <f>IF($B937="","",SUMIFS('Daily Inward'!$G:$G,'Daily Inward'!$C:$C,$B937,'Daily Inward'!$E:$E,"Non Inventory"))</f>
        <v/>
      </c>
      <c r="G937" s="51" t="str">
        <f>IF($B937="","",SUMIFS('Daily Issuance'!$G:$G,'Daily Issuance'!$C:$C,$B937,'Daily Issuance'!$E:$E,"Non Inventory"))</f>
        <v/>
      </c>
      <c r="H937" s="51" t="str">
        <f t="shared" si="28"/>
        <v/>
      </c>
      <c r="I937" s="187"/>
      <c r="J937" s="188" t="str">
        <f t="shared" si="29"/>
        <v/>
      </c>
      <c r="K937" s="46"/>
    </row>
    <row r="938" spans="1:11" s="24" customFormat="1" ht="23.1" customHeight="1">
      <c r="A938" s="170" t="str">
        <f>IF($B938="","",MAX($A$3:A937)+1)</f>
        <v/>
      </c>
      <c r="B938" s="176"/>
      <c r="C938" s="177"/>
      <c r="D938" s="285"/>
      <c r="E938" s="281"/>
      <c r="F938" s="283" t="str">
        <f>IF($B938="","",SUMIFS('Daily Inward'!$G:$G,'Daily Inward'!$C:$C,$B938,'Daily Inward'!$E:$E,"Non Inventory"))</f>
        <v/>
      </c>
      <c r="G938" s="51" t="str">
        <f>IF($B938="","",SUMIFS('Daily Issuance'!$G:$G,'Daily Issuance'!$C:$C,$B938,'Daily Issuance'!$E:$E,"Non Inventory"))</f>
        <v/>
      </c>
      <c r="H938" s="51" t="str">
        <f t="shared" si="28"/>
        <v/>
      </c>
      <c r="I938" s="187"/>
      <c r="J938" s="188" t="str">
        <f t="shared" si="29"/>
        <v/>
      </c>
      <c r="K938" s="46"/>
    </row>
    <row r="939" spans="1:11" s="24" customFormat="1" ht="23.1" customHeight="1">
      <c r="A939" s="170" t="str">
        <f>IF($B939="","",MAX($A$3:A938)+1)</f>
        <v/>
      </c>
      <c r="B939" s="176"/>
      <c r="C939" s="177"/>
      <c r="D939" s="285"/>
      <c r="E939" s="281"/>
      <c r="F939" s="283" t="str">
        <f>IF($B939="","",SUMIFS('Daily Inward'!$G:$G,'Daily Inward'!$C:$C,$B939,'Daily Inward'!$E:$E,"Non Inventory"))</f>
        <v/>
      </c>
      <c r="G939" s="51" t="str">
        <f>IF($B939="","",SUMIFS('Daily Issuance'!$G:$G,'Daily Issuance'!$C:$C,$B939,'Daily Issuance'!$E:$E,"Non Inventory"))</f>
        <v/>
      </c>
      <c r="H939" s="51" t="str">
        <f t="shared" si="28"/>
        <v/>
      </c>
      <c r="I939" s="187"/>
      <c r="J939" s="188" t="str">
        <f t="shared" si="29"/>
        <v/>
      </c>
      <c r="K939" s="46"/>
    </row>
    <row r="940" spans="1:11" s="24" customFormat="1" ht="23.1" customHeight="1">
      <c r="A940" s="170" t="str">
        <f>IF($B940="","",MAX($A$3:A939)+1)</f>
        <v/>
      </c>
      <c r="B940" s="176"/>
      <c r="C940" s="177"/>
      <c r="D940" s="285"/>
      <c r="E940" s="281"/>
      <c r="F940" s="283" t="str">
        <f>IF($B940="","",SUMIFS('Daily Inward'!$G:$G,'Daily Inward'!$C:$C,$B940,'Daily Inward'!$E:$E,"Non Inventory"))</f>
        <v/>
      </c>
      <c r="G940" s="51" t="str">
        <f>IF($B940="","",SUMIFS('Daily Issuance'!$G:$G,'Daily Issuance'!$C:$C,$B940,'Daily Issuance'!$E:$E,"Non Inventory"))</f>
        <v/>
      </c>
      <c r="H940" s="51" t="str">
        <f t="shared" si="28"/>
        <v/>
      </c>
      <c r="I940" s="187"/>
      <c r="J940" s="188" t="str">
        <f t="shared" si="29"/>
        <v/>
      </c>
      <c r="K940" s="46"/>
    </row>
    <row r="941" spans="1:11" s="24" customFormat="1" ht="23.1" customHeight="1">
      <c r="A941" s="170" t="str">
        <f>IF($B941="","",MAX($A$3:A940)+1)</f>
        <v/>
      </c>
      <c r="B941" s="176"/>
      <c r="C941" s="177"/>
      <c r="D941" s="285"/>
      <c r="E941" s="281"/>
      <c r="F941" s="283" t="str">
        <f>IF($B941="","",SUMIFS('Daily Inward'!$G:$G,'Daily Inward'!$C:$C,$B941,'Daily Inward'!$E:$E,"Non Inventory"))</f>
        <v/>
      </c>
      <c r="G941" s="51" t="str">
        <f>IF($B941="","",SUMIFS('Daily Issuance'!$G:$G,'Daily Issuance'!$C:$C,$B941,'Daily Issuance'!$E:$E,"Non Inventory"))</f>
        <v/>
      </c>
      <c r="H941" s="51" t="str">
        <f t="shared" si="28"/>
        <v/>
      </c>
      <c r="I941" s="187"/>
      <c r="J941" s="188" t="str">
        <f t="shared" si="29"/>
        <v/>
      </c>
      <c r="K941" s="46"/>
    </row>
    <row r="942" spans="1:11" s="24" customFormat="1" ht="23.1" customHeight="1">
      <c r="A942" s="170" t="str">
        <f>IF($B942="","",MAX($A$3:A941)+1)</f>
        <v/>
      </c>
      <c r="B942" s="176"/>
      <c r="C942" s="177"/>
      <c r="D942" s="285"/>
      <c r="E942" s="281"/>
      <c r="F942" s="283" t="str">
        <f>IF($B942="","",SUMIFS('Daily Inward'!$G:$G,'Daily Inward'!$C:$C,$B942,'Daily Inward'!$E:$E,"Non Inventory"))</f>
        <v/>
      </c>
      <c r="G942" s="51" t="str">
        <f>IF($B942="","",SUMIFS('Daily Issuance'!$G:$G,'Daily Issuance'!$C:$C,$B942,'Daily Issuance'!$E:$E,"Non Inventory"))</f>
        <v/>
      </c>
      <c r="H942" s="51" t="str">
        <f t="shared" si="28"/>
        <v/>
      </c>
      <c r="I942" s="187"/>
      <c r="J942" s="188" t="str">
        <f t="shared" si="29"/>
        <v/>
      </c>
      <c r="K942" s="46"/>
    </row>
    <row r="943" spans="1:11" s="24" customFormat="1" ht="23.1" customHeight="1">
      <c r="A943" s="170" t="str">
        <f>IF($B943="","",MAX($A$3:A942)+1)</f>
        <v/>
      </c>
      <c r="B943" s="176"/>
      <c r="C943" s="177"/>
      <c r="D943" s="285"/>
      <c r="E943" s="281"/>
      <c r="F943" s="283" t="str">
        <f>IF($B943="","",SUMIFS('Daily Inward'!$G:$G,'Daily Inward'!$C:$C,$B943,'Daily Inward'!$E:$E,"Non Inventory"))</f>
        <v/>
      </c>
      <c r="G943" s="51" t="str">
        <f>IF($B943="","",SUMIFS('Daily Issuance'!$G:$G,'Daily Issuance'!$C:$C,$B943,'Daily Issuance'!$E:$E,"Non Inventory"))</f>
        <v/>
      </c>
      <c r="H943" s="51" t="str">
        <f t="shared" si="28"/>
        <v/>
      </c>
      <c r="I943" s="187"/>
      <c r="J943" s="188" t="str">
        <f t="shared" si="29"/>
        <v/>
      </c>
      <c r="K943" s="46"/>
    </row>
    <row r="944" spans="1:11" s="24" customFormat="1" ht="23.1" customHeight="1">
      <c r="A944" s="170" t="str">
        <f>IF($B944="","",MAX($A$3:A943)+1)</f>
        <v/>
      </c>
      <c r="B944" s="176"/>
      <c r="C944" s="177"/>
      <c r="D944" s="285"/>
      <c r="E944" s="281"/>
      <c r="F944" s="283" t="str">
        <f>IF($B944="","",SUMIFS('Daily Inward'!$G:$G,'Daily Inward'!$C:$C,$B944,'Daily Inward'!$E:$E,"Non Inventory"))</f>
        <v/>
      </c>
      <c r="G944" s="51" t="str">
        <f>IF($B944="","",SUMIFS('Daily Issuance'!$G:$G,'Daily Issuance'!$C:$C,$B944,'Daily Issuance'!$E:$E,"Non Inventory"))</f>
        <v/>
      </c>
      <c r="H944" s="51" t="str">
        <f t="shared" si="28"/>
        <v/>
      </c>
      <c r="I944" s="187"/>
      <c r="J944" s="188" t="str">
        <f t="shared" si="29"/>
        <v/>
      </c>
      <c r="K944" s="46"/>
    </row>
    <row r="945" spans="1:11" s="24" customFormat="1" ht="23.1" customHeight="1">
      <c r="A945" s="170" t="str">
        <f>IF($B945="","",MAX($A$3:A944)+1)</f>
        <v/>
      </c>
      <c r="B945" s="176"/>
      <c r="C945" s="177"/>
      <c r="D945" s="285"/>
      <c r="E945" s="281"/>
      <c r="F945" s="283" t="str">
        <f>IF($B945="","",SUMIFS('Daily Inward'!$G:$G,'Daily Inward'!$C:$C,$B945,'Daily Inward'!$E:$E,"Non Inventory"))</f>
        <v/>
      </c>
      <c r="G945" s="51" t="str">
        <f>IF($B945="","",SUMIFS('Daily Issuance'!$G:$G,'Daily Issuance'!$C:$C,$B945,'Daily Issuance'!$E:$E,"Non Inventory"))</f>
        <v/>
      </c>
      <c r="H945" s="51" t="str">
        <f t="shared" si="28"/>
        <v/>
      </c>
      <c r="I945" s="187"/>
      <c r="J945" s="188" t="str">
        <f t="shared" si="29"/>
        <v/>
      </c>
      <c r="K945" s="46"/>
    </row>
    <row r="946" spans="1:11" s="24" customFormat="1" ht="23.1" customHeight="1">
      <c r="A946" s="170" t="str">
        <f>IF($B946="","",MAX($A$3:A945)+1)</f>
        <v/>
      </c>
      <c r="B946" s="176"/>
      <c r="C946" s="177"/>
      <c r="D946" s="285"/>
      <c r="E946" s="281"/>
      <c r="F946" s="283" t="str">
        <f>IF($B946="","",SUMIFS('Daily Inward'!$G:$G,'Daily Inward'!$C:$C,$B946,'Daily Inward'!$E:$E,"Non Inventory"))</f>
        <v/>
      </c>
      <c r="G946" s="51" t="str">
        <f>IF($B946="","",SUMIFS('Daily Issuance'!$G:$G,'Daily Issuance'!$C:$C,$B946,'Daily Issuance'!$E:$E,"Non Inventory"))</f>
        <v/>
      </c>
      <c r="H946" s="51" t="str">
        <f t="shared" si="28"/>
        <v/>
      </c>
      <c r="I946" s="187"/>
      <c r="J946" s="188" t="str">
        <f t="shared" si="29"/>
        <v/>
      </c>
      <c r="K946" s="46"/>
    </row>
    <row r="947" spans="1:11" s="24" customFormat="1" ht="23.1" customHeight="1">
      <c r="A947" s="170" t="str">
        <f>IF($B947="","",MAX($A$3:A946)+1)</f>
        <v/>
      </c>
      <c r="B947" s="176"/>
      <c r="C947" s="177"/>
      <c r="D947" s="285"/>
      <c r="E947" s="281"/>
      <c r="F947" s="283" t="str">
        <f>IF($B947="","",SUMIFS('Daily Inward'!$G:$G,'Daily Inward'!$C:$C,$B947,'Daily Inward'!$E:$E,"Non Inventory"))</f>
        <v/>
      </c>
      <c r="G947" s="51" t="str">
        <f>IF($B947="","",SUMIFS('Daily Issuance'!$G:$G,'Daily Issuance'!$C:$C,$B947,'Daily Issuance'!$E:$E,"Non Inventory"))</f>
        <v/>
      </c>
      <c r="H947" s="51" t="str">
        <f t="shared" si="28"/>
        <v/>
      </c>
      <c r="I947" s="187"/>
      <c r="J947" s="188" t="str">
        <f t="shared" si="29"/>
        <v/>
      </c>
      <c r="K947" s="46"/>
    </row>
    <row r="948" spans="1:11" s="24" customFormat="1" ht="23.1" customHeight="1">
      <c r="A948" s="170" t="str">
        <f>IF($B948="","",MAX($A$3:A947)+1)</f>
        <v/>
      </c>
      <c r="B948" s="176"/>
      <c r="C948" s="177"/>
      <c r="D948" s="285"/>
      <c r="E948" s="281"/>
      <c r="F948" s="283" t="str">
        <f>IF($B948="","",SUMIFS('Daily Inward'!$G:$G,'Daily Inward'!$C:$C,$B948,'Daily Inward'!$E:$E,"Non Inventory"))</f>
        <v/>
      </c>
      <c r="G948" s="51" t="str">
        <f>IF($B948="","",SUMIFS('Daily Issuance'!$G:$G,'Daily Issuance'!$C:$C,$B948,'Daily Issuance'!$E:$E,"Non Inventory"))</f>
        <v/>
      </c>
      <c r="H948" s="51" t="str">
        <f t="shared" si="28"/>
        <v/>
      </c>
      <c r="I948" s="187"/>
      <c r="J948" s="188" t="str">
        <f t="shared" si="29"/>
        <v/>
      </c>
      <c r="K948" s="46"/>
    </row>
    <row r="949" spans="1:11" s="24" customFormat="1" ht="23.1" customHeight="1">
      <c r="A949" s="170" t="str">
        <f>IF($B949="","",MAX($A$3:A948)+1)</f>
        <v/>
      </c>
      <c r="B949" s="176"/>
      <c r="C949" s="177"/>
      <c r="D949" s="285"/>
      <c r="E949" s="281"/>
      <c r="F949" s="283" t="str">
        <f>IF($B949="","",SUMIFS('Daily Inward'!$G:$G,'Daily Inward'!$C:$C,$B949,'Daily Inward'!$E:$E,"Non Inventory"))</f>
        <v/>
      </c>
      <c r="G949" s="51" t="str">
        <f>IF($B949="","",SUMIFS('Daily Issuance'!$G:$G,'Daily Issuance'!$C:$C,$B949,'Daily Issuance'!$E:$E,"Non Inventory"))</f>
        <v/>
      </c>
      <c r="H949" s="51" t="str">
        <f t="shared" si="28"/>
        <v/>
      </c>
      <c r="I949" s="187"/>
      <c r="J949" s="188" t="str">
        <f t="shared" si="29"/>
        <v/>
      </c>
      <c r="K949" s="46"/>
    </row>
    <row r="950" spans="1:11" s="24" customFormat="1" ht="23.1" customHeight="1">
      <c r="A950" s="170" t="str">
        <f>IF($B950="","",MAX($A$3:A949)+1)</f>
        <v/>
      </c>
      <c r="B950" s="176"/>
      <c r="C950" s="177"/>
      <c r="D950" s="285"/>
      <c r="E950" s="281"/>
      <c r="F950" s="283" t="str">
        <f>IF($B950="","",SUMIFS('Daily Inward'!$G:$G,'Daily Inward'!$C:$C,$B950,'Daily Inward'!$E:$E,"Non Inventory"))</f>
        <v/>
      </c>
      <c r="G950" s="51" t="str">
        <f>IF($B950="","",SUMIFS('Daily Issuance'!$G:$G,'Daily Issuance'!$C:$C,$B950,'Daily Issuance'!$E:$E,"Non Inventory"))</f>
        <v/>
      </c>
      <c r="H950" s="51" t="str">
        <f t="shared" si="28"/>
        <v/>
      </c>
      <c r="I950" s="187"/>
      <c r="J950" s="188" t="str">
        <f t="shared" si="29"/>
        <v/>
      </c>
      <c r="K950" s="46"/>
    </row>
    <row r="951" spans="1:11" s="24" customFormat="1" ht="23.1" customHeight="1">
      <c r="A951" s="170" t="str">
        <f>IF($B951="","",MAX($A$3:A950)+1)</f>
        <v/>
      </c>
      <c r="B951" s="176"/>
      <c r="C951" s="177"/>
      <c r="D951" s="285"/>
      <c r="E951" s="281"/>
      <c r="F951" s="283" t="str">
        <f>IF($B951="","",SUMIFS('Daily Inward'!$G:$G,'Daily Inward'!$C:$C,$B951,'Daily Inward'!$E:$E,"Non Inventory"))</f>
        <v/>
      </c>
      <c r="G951" s="51" t="str">
        <f>IF($B951="","",SUMIFS('Daily Issuance'!$G:$G,'Daily Issuance'!$C:$C,$B951,'Daily Issuance'!$E:$E,"Non Inventory"))</f>
        <v/>
      </c>
      <c r="H951" s="51" t="str">
        <f t="shared" si="28"/>
        <v/>
      </c>
      <c r="I951" s="187"/>
      <c r="J951" s="188" t="str">
        <f t="shared" si="29"/>
        <v/>
      </c>
      <c r="K951" s="46"/>
    </row>
    <row r="952" spans="1:11" s="24" customFormat="1" ht="23.1" customHeight="1">
      <c r="A952" s="170" t="str">
        <f>IF($B952="","",MAX($A$3:A951)+1)</f>
        <v/>
      </c>
      <c r="B952" s="176"/>
      <c r="C952" s="177"/>
      <c r="D952" s="285"/>
      <c r="E952" s="281"/>
      <c r="F952" s="283" t="str">
        <f>IF($B952="","",SUMIFS('Daily Inward'!$G:$G,'Daily Inward'!$C:$C,$B952,'Daily Inward'!$E:$E,"Non Inventory"))</f>
        <v/>
      </c>
      <c r="G952" s="51" t="str">
        <f>IF($B952="","",SUMIFS('Daily Issuance'!$G:$G,'Daily Issuance'!$C:$C,$B952,'Daily Issuance'!$E:$E,"Non Inventory"))</f>
        <v/>
      </c>
      <c r="H952" s="51" t="str">
        <f t="shared" si="28"/>
        <v/>
      </c>
      <c r="I952" s="187"/>
      <c r="J952" s="188" t="str">
        <f t="shared" si="29"/>
        <v/>
      </c>
      <c r="K952" s="46"/>
    </row>
    <row r="953" spans="1:11" s="24" customFormat="1" ht="23.1" customHeight="1">
      <c r="A953" s="170" t="str">
        <f>IF($B953="","",MAX($A$3:A952)+1)</f>
        <v/>
      </c>
      <c r="B953" s="176"/>
      <c r="C953" s="177"/>
      <c r="D953" s="285"/>
      <c r="E953" s="281"/>
      <c r="F953" s="283" t="str">
        <f>IF($B953="","",SUMIFS('Daily Inward'!$G:$G,'Daily Inward'!$C:$C,$B953,'Daily Inward'!$E:$E,"Non Inventory"))</f>
        <v/>
      </c>
      <c r="G953" s="51" t="str">
        <f>IF($B953="","",SUMIFS('Daily Issuance'!$G:$G,'Daily Issuance'!$C:$C,$B953,'Daily Issuance'!$E:$E,"Non Inventory"))</f>
        <v/>
      </c>
      <c r="H953" s="51" t="str">
        <f t="shared" si="28"/>
        <v/>
      </c>
      <c r="I953" s="187"/>
      <c r="J953" s="188" t="str">
        <f t="shared" si="29"/>
        <v/>
      </c>
      <c r="K953" s="46"/>
    </row>
    <row r="954" spans="1:11" s="24" customFormat="1" ht="23.1" customHeight="1">
      <c r="A954" s="170" t="str">
        <f>IF($B954="","",MAX($A$3:A953)+1)</f>
        <v/>
      </c>
      <c r="B954" s="176"/>
      <c r="C954" s="177"/>
      <c r="D954" s="285"/>
      <c r="E954" s="281"/>
      <c r="F954" s="283" t="str">
        <f>IF($B954="","",SUMIFS('Daily Inward'!$G:$G,'Daily Inward'!$C:$C,$B954,'Daily Inward'!$E:$E,"Non Inventory"))</f>
        <v/>
      </c>
      <c r="G954" s="51" t="str">
        <f>IF($B954="","",SUMIFS('Daily Issuance'!$G:$G,'Daily Issuance'!$C:$C,$B954,'Daily Issuance'!$E:$E,"Non Inventory"))</f>
        <v/>
      </c>
      <c r="H954" s="51" t="str">
        <f t="shared" si="28"/>
        <v/>
      </c>
      <c r="I954" s="187"/>
      <c r="J954" s="188" t="str">
        <f t="shared" si="29"/>
        <v/>
      </c>
      <c r="K954" s="46"/>
    </row>
    <row r="955" spans="1:11" s="24" customFormat="1" ht="23.1" customHeight="1">
      <c r="A955" s="170" t="str">
        <f>IF($B955="","",MAX($A$3:A954)+1)</f>
        <v/>
      </c>
      <c r="B955" s="176"/>
      <c r="C955" s="177"/>
      <c r="D955" s="285"/>
      <c r="E955" s="281"/>
      <c r="F955" s="283" t="str">
        <f>IF($B955="","",SUMIFS('Daily Inward'!$G:$G,'Daily Inward'!$C:$C,$B955,'Daily Inward'!$E:$E,"Non Inventory"))</f>
        <v/>
      </c>
      <c r="G955" s="51" t="str">
        <f>IF($B955="","",SUMIFS('Daily Issuance'!$G:$G,'Daily Issuance'!$C:$C,$B955,'Daily Issuance'!$E:$E,"Non Inventory"))</f>
        <v/>
      </c>
      <c r="H955" s="51" t="str">
        <f t="shared" si="28"/>
        <v/>
      </c>
      <c r="I955" s="187"/>
      <c r="J955" s="188" t="str">
        <f t="shared" si="29"/>
        <v/>
      </c>
      <c r="K955" s="46"/>
    </row>
    <row r="956" spans="1:11" s="24" customFormat="1" ht="23.1" customHeight="1">
      <c r="A956" s="170" t="str">
        <f>IF($B956="","",MAX($A$3:A955)+1)</f>
        <v/>
      </c>
      <c r="B956" s="176"/>
      <c r="C956" s="177"/>
      <c r="D956" s="285"/>
      <c r="E956" s="281"/>
      <c r="F956" s="283" t="str">
        <f>IF($B956="","",SUMIFS('Daily Inward'!$G:$G,'Daily Inward'!$C:$C,$B956,'Daily Inward'!$E:$E,"Non Inventory"))</f>
        <v/>
      </c>
      <c r="G956" s="51" t="str">
        <f>IF($B956="","",SUMIFS('Daily Issuance'!$G:$G,'Daily Issuance'!$C:$C,$B956,'Daily Issuance'!$E:$E,"Non Inventory"))</f>
        <v/>
      </c>
      <c r="H956" s="51" t="str">
        <f t="shared" si="28"/>
        <v/>
      </c>
      <c r="I956" s="187"/>
      <c r="J956" s="188" t="str">
        <f t="shared" si="29"/>
        <v/>
      </c>
      <c r="K956" s="46"/>
    </row>
    <row r="957" spans="1:11" s="24" customFormat="1" ht="23.1" customHeight="1">
      <c r="A957" s="170" t="str">
        <f>IF($B957="","",MAX($A$3:A956)+1)</f>
        <v/>
      </c>
      <c r="B957" s="176"/>
      <c r="C957" s="177"/>
      <c r="D957" s="285"/>
      <c r="E957" s="281"/>
      <c r="F957" s="283" t="str">
        <f>IF($B957="","",SUMIFS('Daily Inward'!$G:$G,'Daily Inward'!$C:$C,$B957,'Daily Inward'!$E:$E,"Non Inventory"))</f>
        <v/>
      </c>
      <c r="G957" s="51" t="str">
        <f>IF($B957="","",SUMIFS('Daily Issuance'!$G:$G,'Daily Issuance'!$C:$C,$B957,'Daily Issuance'!$E:$E,"Non Inventory"))</f>
        <v/>
      </c>
      <c r="H957" s="51" t="str">
        <f t="shared" si="28"/>
        <v/>
      </c>
      <c r="I957" s="187"/>
      <c r="J957" s="188" t="str">
        <f t="shared" si="29"/>
        <v/>
      </c>
      <c r="K957" s="46"/>
    </row>
    <row r="958" spans="1:11" s="24" customFormat="1" ht="23.1" customHeight="1">
      <c r="A958" s="170" t="str">
        <f>IF($B958="","",MAX($A$3:A957)+1)</f>
        <v/>
      </c>
      <c r="B958" s="176"/>
      <c r="C958" s="177"/>
      <c r="D958" s="285"/>
      <c r="E958" s="281"/>
      <c r="F958" s="283" t="str">
        <f>IF($B958="","",SUMIFS('Daily Inward'!$G:$G,'Daily Inward'!$C:$C,$B958,'Daily Inward'!$E:$E,"Non Inventory"))</f>
        <v/>
      </c>
      <c r="G958" s="51" t="str">
        <f>IF($B958="","",SUMIFS('Daily Issuance'!$G:$G,'Daily Issuance'!$C:$C,$B958,'Daily Issuance'!$E:$E,"Non Inventory"))</f>
        <v/>
      </c>
      <c r="H958" s="51" t="str">
        <f t="shared" ref="H958:H997" si="30">IF($B958="","",N(E958)+N(F958)-N(G958))</f>
        <v/>
      </c>
      <c r="I958" s="187"/>
      <c r="J958" s="188" t="str">
        <f t="shared" ref="J958:J997" si="31">IF($B958="","",H958*I958)</f>
        <v/>
      </c>
      <c r="K958" s="46"/>
    </row>
    <row r="959" spans="1:11" s="24" customFormat="1" ht="23.1" customHeight="1">
      <c r="A959" s="170" t="str">
        <f>IF($B959="","",MAX($A$3:A958)+1)</f>
        <v/>
      </c>
      <c r="B959" s="176"/>
      <c r="C959" s="177"/>
      <c r="D959" s="285"/>
      <c r="E959" s="281"/>
      <c r="F959" s="283" t="str">
        <f>IF($B959="","",SUMIFS('Daily Inward'!$G:$G,'Daily Inward'!$C:$C,$B959,'Daily Inward'!$E:$E,"Non Inventory"))</f>
        <v/>
      </c>
      <c r="G959" s="51" t="str">
        <f>IF($B959="","",SUMIFS('Daily Issuance'!$G:$G,'Daily Issuance'!$C:$C,$B959,'Daily Issuance'!$E:$E,"Non Inventory"))</f>
        <v/>
      </c>
      <c r="H959" s="51" t="str">
        <f t="shared" si="30"/>
        <v/>
      </c>
      <c r="I959" s="187"/>
      <c r="J959" s="188" t="str">
        <f t="shared" si="31"/>
        <v/>
      </c>
      <c r="K959" s="46"/>
    </row>
    <row r="960" spans="1:11" s="24" customFormat="1" ht="23.1" customHeight="1">
      <c r="A960" s="170" t="str">
        <f>IF($B960="","",MAX($A$3:A959)+1)</f>
        <v/>
      </c>
      <c r="B960" s="176"/>
      <c r="C960" s="177"/>
      <c r="D960" s="285"/>
      <c r="E960" s="281"/>
      <c r="F960" s="283" t="str">
        <f>IF($B960="","",SUMIFS('Daily Inward'!$G:$G,'Daily Inward'!$C:$C,$B960,'Daily Inward'!$E:$E,"Non Inventory"))</f>
        <v/>
      </c>
      <c r="G960" s="51" t="str">
        <f>IF($B960="","",SUMIFS('Daily Issuance'!$G:$G,'Daily Issuance'!$C:$C,$B960,'Daily Issuance'!$E:$E,"Non Inventory"))</f>
        <v/>
      </c>
      <c r="H960" s="51" t="str">
        <f t="shared" si="30"/>
        <v/>
      </c>
      <c r="I960" s="187"/>
      <c r="J960" s="188" t="str">
        <f t="shared" si="31"/>
        <v/>
      </c>
      <c r="K960" s="46"/>
    </row>
    <row r="961" spans="1:11" s="24" customFormat="1" ht="23.1" customHeight="1">
      <c r="A961" s="170" t="str">
        <f>IF($B961="","",MAX($A$3:A960)+1)</f>
        <v/>
      </c>
      <c r="B961" s="176"/>
      <c r="C961" s="177"/>
      <c r="D961" s="285"/>
      <c r="E961" s="281"/>
      <c r="F961" s="283" t="str">
        <f>IF($B961="","",SUMIFS('Daily Inward'!$G:$G,'Daily Inward'!$C:$C,$B961,'Daily Inward'!$E:$E,"Non Inventory"))</f>
        <v/>
      </c>
      <c r="G961" s="51" t="str">
        <f>IF($B961="","",SUMIFS('Daily Issuance'!$G:$G,'Daily Issuance'!$C:$C,$B961,'Daily Issuance'!$E:$E,"Non Inventory"))</f>
        <v/>
      </c>
      <c r="H961" s="51" t="str">
        <f t="shared" si="30"/>
        <v/>
      </c>
      <c r="I961" s="187"/>
      <c r="J961" s="188" t="str">
        <f t="shared" si="31"/>
        <v/>
      </c>
      <c r="K961" s="46"/>
    </row>
    <row r="962" spans="1:11" s="24" customFormat="1" ht="23.1" customHeight="1">
      <c r="A962" s="170" t="str">
        <f>IF($B962="","",MAX($A$3:A961)+1)</f>
        <v/>
      </c>
      <c r="B962" s="176"/>
      <c r="C962" s="177"/>
      <c r="D962" s="285"/>
      <c r="E962" s="281"/>
      <c r="F962" s="283" t="str">
        <f>IF($B962="","",SUMIFS('Daily Inward'!$G:$G,'Daily Inward'!$C:$C,$B962,'Daily Inward'!$E:$E,"Non Inventory"))</f>
        <v/>
      </c>
      <c r="G962" s="51" t="str">
        <f>IF($B962="","",SUMIFS('Daily Issuance'!$G:$G,'Daily Issuance'!$C:$C,$B962,'Daily Issuance'!$E:$E,"Non Inventory"))</f>
        <v/>
      </c>
      <c r="H962" s="51" t="str">
        <f t="shared" si="30"/>
        <v/>
      </c>
      <c r="I962" s="187"/>
      <c r="J962" s="188" t="str">
        <f t="shared" si="31"/>
        <v/>
      </c>
      <c r="K962" s="46"/>
    </row>
    <row r="963" spans="1:11" s="24" customFormat="1" ht="23.1" customHeight="1">
      <c r="A963" s="170" t="str">
        <f>IF($B963="","",MAX($A$3:A962)+1)</f>
        <v/>
      </c>
      <c r="B963" s="176"/>
      <c r="C963" s="177"/>
      <c r="D963" s="285"/>
      <c r="E963" s="281"/>
      <c r="F963" s="283" t="str">
        <f>IF($B963="","",SUMIFS('Daily Inward'!$G:$G,'Daily Inward'!$C:$C,$B963,'Daily Inward'!$E:$E,"Non Inventory"))</f>
        <v/>
      </c>
      <c r="G963" s="51" t="str">
        <f>IF($B963="","",SUMIFS('Daily Issuance'!$G:$G,'Daily Issuance'!$C:$C,$B963,'Daily Issuance'!$E:$E,"Non Inventory"))</f>
        <v/>
      </c>
      <c r="H963" s="51" t="str">
        <f t="shared" si="30"/>
        <v/>
      </c>
      <c r="I963" s="187"/>
      <c r="J963" s="188" t="str">
        <f t="shared" si="31"/>
        <v/>
      </c>
      <c r="K963" s="46"/>
    </row>
    <row r="964" spans="1:11" s="24" customFormat="1" ht="23.1" customHeight="1">
      <c r="A964" s="170" t="str">
        <f>IF($B964="","",MAX($A$3:A963)+1)</f>
        <v/>
      </c>
      <c r="B964" s="176"/>
      <c r="C964" s="177"/>
      <c r="D964" s="285"/>
      <c r="E964" s="281"/>
      <c r="F964" s="283" t="str">
        <f>IF($B964="","",SUMIFS('Daily Inward'!$G:$G,'Daily Inward'!$C:$C,$B964,'Daily Inward'!$E:$E,"Non Inventory"))</f>
        <v/>
      </c>
      <c r="G964" s="51" t="str">
        <f>IF($B964="","",SUMIFS('Daily Issuance'!$G:$G,'Daily Issuance'!$C:$C,$B964,'Daily Issuance'!$E:$E,"Non Inventory"))</f>
        <v/>
      </c>
      <c r="H964" s="51" t="str">
        <f t="shared" si="30"/>
        <v/>
      </c>
      <c r="I964" s="187"/>
      <c r="J964" s="188" t="str">
        <f t="shared" si="31"/>
        <v/>
      </c>
      <c r="K964" s="46"/>
    </row>
    <row r="965" spans="1:11" s="24" customFormat="1" ht="23.1" customHeight="1">
      <c r="A965" s="170" t="str">
        <f>IF($B965="","",MAX($A$3:A964)+1)</f>
        <v/>
      </c>
      <c r="B965" s="176"/>
      <c r="C965" s="177"/>
      <c r="D965" s="285"/>
      <c r="E965" s="281"/>
      <c r="F965" s="283" t="str">
        <f>IF($B965="","",SUMIFS('Daily Inward'!$G:$G,'Daily Inward'!$C:$C,$B965,'Daily Inward'!$E:$E,"Non Inventory"))</f>
        <v/>
      </c>
      <c r="G965" s="51" t="str">
        <f>IF($B965="","",SUMIFS('Daily Issuance'!$G:$G,'Daily Issuance'!$C:$C,$B965,'Daily Issuance'!$E:$E,"Non Inventory"))</f>
        <v/>
      </c>
      <c r="H965" s="51" t="str">
        <f t="shared" si="30"/>
        <v/>
      </c>
      <c r="I965" s="187"/>
      <c r="J965" s="188" t="str">
        <f t="shared" si="31"/>
        <v/>
      </c>
      <c r="K965" s="46"/>
    </row>
    <row r="966" spans="1:11" s="24" customFormat="1" ht="23.1" customHeight="1">
      <c r="A966" s="170" t="str">
        <f>IF($B966="","",MAX($A$3:A965)+1)</f>
        <v/>
      </c>
      <c r="B966" s="176"/>
      <c r="C966" s="177"/>
      <c r="D966" s="285"/>
      <c r="E966" s="281"/>
      <c r="F966" s="283" t="str">
        <f>IF($B966="","",SUMIFS('Daily Inward'!$G:$G,'Daily Inward'!$C:$C,$B966,'Daily Inward'!$E:$E,"Non Inventory"))</f>
        <v/>
      </c>
      <c r="G966" s="51" t="str">
        <f>IF($B966="","",SUMIFS('Daily Issuance'!$G:$G,'Daily Issuance'!$C:$C,$B966,'Daily Issuance'!$E:$E,"Non Inventory"))</f>
        <v/>
      </c>
      <c r="H966" s="51" t="str">
        <f t="shared" si="30"/>
        <v/>
      </c>
      <c r="I966" s="187"/>
      <c r="J966" s="188" t="str">
        <f t="shared" si="31"/>
        <v/>
      </c>
      <c r="K966" s="46"/>
    </row>
    <row r="967" spans="1:11" s="24" customFormat="1" ht="23.1" customHeight="1">
      <c r="A967" s="170" t="str">
        <f>IF($B967="","",MAX($A$3:A966)+1)</f>
        <v/>
      </c>
      <c r="B967" s="176"/>
      <c r="C967" s="177"/>
      <c r="D967" s="285"/>
      <c r="E967" s="281"/>
      <c r="F967" s="283" t="str">
        <f>IF($B967="","",SUMIFS('Daily Inward'!$G:$G,'Daily Inward'!$C:$C,$B967,'Daily Inward'!$E:$E,"Non Inventory"))</f>
        <v/>
      </c>
      <c r="G967" s="51" t="str">
        <f>IF($B967="","",SUMIFS('Daily Issuance'!$G:$G,'Daily Issuance'!$C:$C,$B967,'Daily Issuance'!$E:$E,"Non Inventory"))</f>
        <v/>
      </c>
      <c r="H967" s="51" t="str">
        <f t="shared" si="30"/>
        <v/>
      </c>
      <c r="I967" s="187"/>
      <c r="J967" s="188" t="str">
        <f t="shared" si="31"/>
        <v/>
      </c>
      <c r="K967" s="46"/>
    </row>
    <row r="968" spans="1:11" s="24" customFormat="1" ht="23.1" customHeight="1">
      <c r="A968" s="170" t="str">
        <f>IF($B968="","",MAX($A$3:A967)+1)</f>
        <v/>
      </c>
      <c r="B968" s="176"/>
      <c r="C968" s="177"/>
      <c r="D968" s="285"/>
      <c r="E968" s="281"/>
      <c r="F968" s="283" t="str">
        <f>IF($B968="","",SUMIFS('Daily Inward'!$G:$G,'Daily Inward'!$C:$C,$B968,'Daily Inward'!$E:$E,"Non Inventory"))</f>
        <v/>
      </c>
      <c r="G968" s="51" t="str">
        <f>IF($B968="","",SUMIFS('Daily Issuance'!$G:$G,'Daily Issuance'!$C:$C,$B968,'Daily Issuance'!$E:$E,"Non Inventory"))</f>
        <v/>
      </c>
      <c r="H968" s="51" t="str">
        <f t="shared" si="30"/>
        <v/>
      </c>
      <c r="I968" s="187"/>
      <c r="J968" s="188" t="str">
        <f t="shared" si="31"/>
        <v/>
      </c>
      <c r="K968" s="46"/>
    </row>
    <row r="969" spans="1:11" s="24" customFormat="1" ht="23.1" customHeight="1">
      <c r="A969" s="170" t="str">
        <f>IF($B969="","",MAX($A$3:A968)+1)</f>
        <v/>
      </c>
      <c r="B969" s="176"/>
      <c r="C969" s="177"/>
      <c r="D969" s="285"/>
      <c r="E969" s="281"/>
      <c r="F969" s="283" t="str">
        <f>IF($B969="","",SUMIFS('Daily Inward'!$G:$G,'Daily Inward'!$C:$C,$B969,'Daily Inward'!$E:$E,"Non Inventory"))</f>
        <v/>
      </c>
      <c r="G969" s="51" t="str">
        <f>IF($B969="","",SUMIFS('Daily Issuance'!$G:$G,'Daily Issuance'!$C:$C,$B969,'Daily Issuance'!$E:$E,"Non Inventory"))</f>
        <v/>
      </c>
      <c r="H969" s="51" t="str">
        <f t="shared" si="30"/>
        <v/>
      </c>
      <c r="I969" s="187"/>
      <c r="J969" s="188" t="str">
        <f t="shared" si="31"/>
        <v/>
      </c>
      <c r="K969" s="46"/>
    </row>
    <row r="970" spans="1:11" s="24" customFormat="1" ht="23.1" customHeight="1">
      <c r="A970" s="170" t="str">
        <f>IF($B970="","",MAX($A$3:A969)+1)</f>
        <v/>
      </c>
      <c r="B970" s="176"/>
      <c r="C970" s="177"/>
      <c r="D970" s="285"/>
      <c r="E970" s="281"/>
      <c r="F970" s="283" t="str">
        <f>IF($B970="","",SUMIFS('Daily Inward'!$G:$G,'Daily Inward'!$C:$C,$B970,'Daily Inward'!$E:$E,"Non Inventory"))</f>
        <v/>
      </c>
      <c r="G970" s="51" t="str">
        <f>IF($B970="","",SUMIFS('Daily Issuance'!$G:$G,'Daily Issuance'!$C:$C,$B970,'Daily Issuance'!$E:$E,"Non Inventory"))</f>
        <v/>
      </c>
      <c r="H970" s="51" t="str">
        <f t="shared" si="30"/>
        <v/>
      </c>
      <c r="I970" s="187"/>
      <c r="J970" s="188" t="str">
        <f t="shared" si="31"/>
        <v/>
      </c>
      <c r="K970" s="46"/>
    </row>
    <row r="971" spans="1:11" s="24" customFormat="1" ht="23.1" customHeight="1">
      <c r="A971" s="170" t="str">
        <f>IF($B971="","",MAX($A$3:A970)+1)</f>
        <v/>
      </c>
      <c r="B971" s="176"/>
      <c r="C971" s="177"/>
      <c r="D971" s="285"/>
      <c r="E971" s="281"/>
      <c r="F971" s="283" t="str">
        <f>IF($B971="","",SUMIFS('Daily Inward'!$G:$G,'Daily Inward'!$C:$C,$B971,'Daily Inward'!$E:$E,"Non Inventory"))</f>
        <v/>
      </c>
      <c r="G971" s="51" t="str">
        <f>IF($B971="","",SUMIFS('Daily Issuance'!$G:$G,'Daily Issuance'!$C:$C,$B971,'Daily Issuance'!$E:$E,"Non Inventory"))</f>
        <v/>
      </c>
      <c r="H971" s="51" t="str">
        <f t="shared" si="30"/>
        <v/>
      </c>
      <c r="I971" s="187"/>
      <c r="J971" s="188" t="str">
        <f t="shared" si="31"/>
        <v/>
      </c>
      <c r="K971" s="46"/>
    </row>
    <row r="972" spans="1:11" s="24" customFormat="1" ht="23.1" customHeight="1">
      <c r="A972" s="170" t="str">
        <f>IF($B972="","",MAX($A$3:A971)+1)</f>
        <v/>
      </c>
      <c r="B972" s="176"/>
      <c r="C972" s="177"/>
      <c r="D972" s="285"/>
      <c r="E972" s="281"/>
      <c r="F972" s="283" t="str">
        <f>IF($B972="","",SUMIFS('Daily Inward'!$G:$G,'Daily Inward'!$C:$C,$B972,'Daily Inward'!$E:$E,"Non Inventory"))</f>
        <v/>
      </c>
      <c r="G972" s="51" t="str">
        <f>IF($B972="","",SUMIFS('Daily Issuance'!$G:$G,'Daily Issuance'!$C:$C,$B972,'Daily Issuance'!$E:$E,"Non Inventory"))</f>
        <v/>
      </c>
      <c r="H972" s="51" t="str">
        <f t="shared" si="30"/>
        <v/>
      </c>
      <c r="I972" s="187"/>
      <c r="J972" s="188" t="str">
        <f t="shared" si="31"/>
        <v/>
      </c>
      <c r="K972" s="46"/>
    </row>
    <row r="973" spans="1:11" s="24" customFormat="1" ht="23.1" customHeight="1">
      <c r="A973" s="170" t="str">
        <f>IF($B973="","",MAX($A$3:A972)+1)</f>
        <v/>
      </c>
      <c r="B973" s="176"/>
      <c r="C973" s="177"/>
      <c r="D973" s="285"/>
      <c r="E973" s="281"/>
      <c r="F973" s="283" t="str">
        <f>IF($B973="","",SUMIFS('Daily Inward'!$G:$G,'Daily Inward'!$C:$C,$B973,'Daily Inward'!$E:$E,"Non Inventory"))</f>
        <v/>
      </c>
      <c r="G973" s="51" t="str">
        <f>IF($B973="","",SUMIFS('Daily Issuance'!$G:$G,'Daily Issuance'!$C:$C,$B973,'Daily Issuance'!$E:$E,"Non Inventory"))</f>
        <v/>
      </c>
      <c r="H973" s="51" t="str">
        <f t="shared" si="30"/>
        <v/>
      </c>
      <c r="I973" s="187"/>
      <c r="J973" s="188" t="str">
        <f t="shared" si="31"/>
        <v/>
      </c>
      <c r="K973" s="46"/>
    </row>
    <row r="974" spans="1:11" s="24" customFormat="1" ht="23.1" customHeight="1">
      <c r="A974" s="170" t="str">
        <f>IF($B974="","",MAX($A$3:A973)+1)</f>
        <v/>
      </c>
      <c r="B974" s="176"/>
      <c r="C974" s="177"/>
      <c r="D974" s="285"/>
      <c r="E974" s="281"/>
      <c r="F974" s="283" t="str">
        <f>IF($B974="","",SUMIFS('Daily Inward'!$G:$G,'Daily Inward'!$C:$C,$B974,'Daily Inward'!$E:$E,"Non Inventory"))</f>
        <v/>
      </c>
      <c r="G974" s="51" t="str">
        <f>IF($B974="","",SUMIFS('Daily Issuance'!$G:$G,'Daily Issuance'!$C:$C,$B974,'Daily Issuance'!$E:$E,"Non Inventory"))</f>
        <v/>
      </c>
      <c r="H974" s="51" t="str">
        <f t="shared" si="30"/>
        <v/>
      </c>
      <c r="I974" s="187"/>
      <c r="J974" s="188" t="str">
        <f t="shared" si="31"/>
        <v/>
      </c>
      <c r="K974" s="46"/>
    </row>
    <row r="975" spans="1:11" s="24" customFormat="1" ht="23.1" customHeight="1">
      <c r="A975" s="170" t="str">
        <f>IF($B975="","",MAX($A$3:A974)+1)</f>
        <v/>
      </c>
      <c r="B975" s="176"/>
      <c r="C975" s="177"/>
      <c r="D975" s="285"/>
      <c r="E975" s="281"/>
      <c r="F975" s="283" t="str">
        <f>IF($B975="","",SUMIFS('Daily Inward'!$G:$G,'Daily Inward'!$C:$C,$B975,'Daily Inward'!$E:$E,"Non Inventory"))</f>
        <v/>
      </c>
      <c r="G975" s="51" t="str">
        <f>IF($B975="","",SUMIFS('Daily Issuance'!$G:$G,'Daily Issuance'!$C:$C,$B975,'Daily Issuance'!$E:$E,"Non Inventory"))</f>
        <v/>
      </c>
      <c r="H975" s="51" t="str">
        <f t="shared" si="30"/>
        <v/>
      </c>
      <c r="I975" s="187"/>
      <c r="J975" s="188" t="str">
        <f t="shared" si="31"/>
        <v/>
      </c>
      <c r="K975" s="46"/>
    </row>
    <row r="976" spans="1:11" s="24" customFormat="1" ht="23.1" customHeight="1">
      <c r="A976" s="170" t="str">
        <f>IF($B976="","",MAX($A$3:A975)+1)</f>
        <v/>
      </c>
      <c r="B976" s="176"/>
      <c r="C976" s="177"/>
      <c r="D976" s="285"/>
      <c r="E976" s="281"/>
      <c r="F976" s="283" t="str">
        <f>IF($B976="","",SUMIFS('Daily Inward'!$G:$G,'Daily Inward'!$C:$C,$B976,'Daily Inward'!$E:$E,"Non Inventory"))</f>
        <v/>
      </c>
      <c r="G976" s="51" t="str">
        <f>IF($B976="","",SUMIFS('Daily Issuance'!$G:$G,'Daily Issuance'!$C:$C,$B976,'Daily Issuance'!$E:$E,"Non Inventory"))</f>
        <v/>
      </c>
      <c r="H976" s="51" t="str">
        <f t="shared" si="30"/>
        <v/>
      </c>
      <c r="I976" s="187"/>
      <c r="J976" s="188" t="str">
        <f t="shared" si="31"/>
        <v/>
      </c>
      <c r="K976" s="46"/>
    </row>
    <row r="977" spans="1:11" s="24" customFormat="1" ht="23.1" customHeight="1">
      <c r="A977" s="170" t="str">
        <f>IF($B977="","",MAX($A$3:A976)+1)</f>
        <v/>
      </c>
      <c r="B977" s="176"/>
      <c r="C977" s="177"/>
      <c r="D977" s="285"/>
      <c r="E977" s="281"/>
      <c r="F977" s="283" t="str">
        <f>IF($B977="","",SUMIFS('Daily Inward'!$G:$G,'Daily Inward'!$C:$C,$B977,'Daily Inward'!$E:$E,"Non Inventory"))</f>
        <v/>
      </c>
      <c r="G977" s="51" t="str">
        <f>IF($B977="","",SUMIFS('Daily Issuance'!$G:$G,'Daily Issuance'!$C:$C,$B977,'Daily Issuance'!$E:$E,"Non Inventory"))</f>
        <v/>
      </c>
      <c r="H977" s="51" t="str">
        <f t="shared" si="30"/>
        <v/>
      </c>
      <c r="I977" s="187"/>
      <c r="J977" s="188" t="str">
        <f t="shared" si="31"/>
        <v/>
      </c>
      <c r="K977" s="46"/>
    </row>
    <row r="978" spans="1:11" s="24" customFormat="1" ht="23.1" customHeight="1">
      <c r="A978" s="170" t="str">
        <f>IF($B978="","",MAX($A$3:A977)+1)</f>
        <v/>
      </c>
      <c r="B978" s="176"/>
      <c r="C978" s="177"/>
      <c r="D978" s="285"/>
      <c r="E978" s="281"/>
      <c r="F978" s="283" t="str">
        <f>IF($B978="","",SUMIFS('Daily Inward'!$G:$G,'Daily Inward'!$C:$C,$B978,'Daily Inward'!$E:$E,"Non Inventory"))</f>
        <v/>
      </c>
      <c r="G978" s="51" t="str">
        <f>IF($B978="","",SUMIFS('Daily Issuance'!$G:$G,'Daily Issuance'!$C:$C,$B978,'Daily Issuance'!$E:$E,"Non Inventory"))</f>
        <v/>
      </c>
      <c r="H978" s="51" t="str">
        <f t="shared" si="30"/>
        <v/>
      </c>
      <c r="I978" s="187"/>
      <c r="J978" s="188" t="str">
        <f t="shared" si="31"/>
        <v/>
      </c>
      <c r="K978" s="46"/>
    </row>
    <row r="979" spans="1:11" s="24" customFormat="1" ht="23.1" customHeight="1">
      <c r="A979" s="170" t="str">
        <f>IF($B979="","",MAX($A$3:A978)+1)</f>
        <v/>
      </c>
      <c r="B979" s="176"/>
      <c r="C979" s="177"/>
      <c r="D979" s="285"/>
      <c r="E979" s="281"/>
      <c r="F979" s="283" t="str">
        <f>IF($B979="","",SUMIFS('Daily Inward'!$G:$G,'Daily Inward'!$C:$C,$B979,'Daily Inward'!$E:$E,"Non Inventory"))</f>
        <v/>
      </c>
      <c r="G979" s="51" t="str">
        <f>IF($B979="","",SUMIFS('Daily Issuance'!$G:$G,'Daily Issuance'!$C:$C,$B979,'Daily Issuance'!$E:$E,"Non Inventory"))</f>
        <v/>
      </c>
      <c r="H979" s="51" t="str">
        <f t="shared" si="30"/>
        <v/>
      </c>
      <c r="I979" s="187"/>
      <c r="J979" s="188" t="str">
        <f t="shared" si="31"/>
        <v/>
      </c>
      <c r="K979" s="46"/>
    </row>
    <row r="980" spans="1:11" s="24" customFormat="1" ht="23.1" customHeight="1">
      <c r="A980" s="170" t="str">
        <f>IF($B980="","",MAX($A$3:A979)+1)</f>
        <v/>
      </c>
      <c r="B980" s="176"/>
      <c r="C980" s="177"/>
      <c r="D980" s="285"/>
      <c r="E980" s="281"/>
      <c r="F980" s="283" t="str">
        <f>IF($B980="","",SUMIFS('Daily Inward'!$G:$G,'Daily Inward'!$C:$C,$B980,'Daily Inward'!$E:$E,"Non Inventory"))</f>
        <v/>
      </c>
      <c r="G980" s="51" t="str">
        <f>IF($B980="","",SUMIFS('Daily Issuance'!$G:$G,'Daily Issuance'!$C:$C,$B980,'Daily Issuance'!$E:$E,"Non Inventory"))</f>
        <v/>
      </c>
      <c r="H980" s="51" t="str">
        <f t="shared" si="30"/>
        <v/>
      </c>
      <c r="I980" s="187"/>
      <c r="J980" s="188" t="str">
        <f t="shared" si="31"/>
        <v/>
      </c>
      <c r="K980" s="46"/>
    </row>
    <row r="981" spans="1:11" s="24" customFormat="1" ht="23.1" customHeight="1">
      <c r="A981" s="170" t="str">
        <f>IF($B981="","",MAX($A$3:A980)+1)</f>
        <v/>
      </c>
      <c r="B981" s="176"/>
      <c r="C981" s="177"/>
      <c r="D981" s="285"/>
      <c r="E981" s="281"/>
      <c r="F981" s="283" t="str">
        <f>IF($B981="","",SUMIFS('Daily Inward'!$G:$G,'Daily Inward'!$C:$C,$B981,'Daily Inward'!$E:$E,"Non Inventory"))</f>
        <v/>
      </c>
      <c r="G981" s="51" t="str">
        <f>IF($B981="","",SUMIFS('Daily Issuance'!$G:$G,'Daily Issuance'!$C:$C,$B981,'Daily Issuance'!$E:$E,"Non Inventory"))</f>
        <v/>
      </c>
      <c r="H981" s="51" t="str">
        <f t="shared" si="30"/>
        <v/>
      </c>
      <c r="I981" s="187"/>
      <c r="J981" s="188" t="str">
        <f t="shared" si="31"/>
        <v/>
      </c>
      <c r="K981" s="46"/>
    </row>
    <row r="982" spans="1:11" s="24" customFormat="1" ht="23.1" customHeight="1">
      <c r="A982" s="170" t="str">
        <f>IF($B982="","",MAX($A$3:A981)+1)</f>
        <v/>
      </c>
      <c r="B982" s="176"/>
      <c r="C982" s="177"/>
      <c r="D982" s="285"/>
      <c r="E982" s="281"/>
      <c r="F982" s="283" t="str">
        <f>IF($B982="","",SUMIFS('Daily Inward'!$G:$G,'Daily Inward'!$C:$C,$B982,'Daily Inward'!$E:$E,"Non Inventory"))</f>
        <v/>
      </c>
      <c r="G982" s="51" t="str">
        <f>IF($B982="","",SUMIFS('Daily Issuance'!$G:$G,'Daily Issuance'!$C:$C,$B982,'Daily Issuance'!$E:$E,"Non Inventory"))</f>
        <v/>
      </c>
      <c r="H982" s="51" t="str">
        <f t="shared" si="30"/>
        <v/>
      </c>
      <c r="I982" s="187"/>
      <c r="J982" s="188" t="str">
        <f t="shared" si="31"/>
        <v/>
      </c>
      <c r="K982" s="46"/>
    </row>
    <row r="983" spans="1:11" s="24" customFormat="1" ht="23.1" customHeight="1">
      <c r="A983" s="170" t="str">
        <f>IF($B983="","",MAX($A$3:A982)+1)</f>
        <v/>
      </c>
      <c r="B983" s="176"/>
      <c r="C983" s="177"/>
      <c r="D983" s="285"/>
      <c r="E983" s="281"/>
      <c r="F983" s="283" t="str">
        <f>IF($B983="","",SUMIFS('Daily Inward'!$G:$G,'Daily Inward'!$C:$C,$B983,'Daily Inward'!$E:$E,"Non Inventory"))</f>
        <v/>
      </c>
      <c r="G983" s="51" t="str">
        <f>IF($B983="","",SUMIFS('Daily Issuance'!$G:$G,'Daily Issuance'!$C:$C,$B983,'Daily Issuance'!$E:$E,"Non Inventory"))</f>
        <v/>
      </c>
      <c r="H983" s="51" t="str">
        <f t="shared" si="30"/>
        <v/>
      </c>
      <c r="I983" s="187"/>
      <c r="J983" s="188" t="str">
        <f t="shared" si="31"/>
        <v/>
      </c>
      <c r="K983" s="46"/>
    </row>
    <row r="984" spans="1:11" s="24" customFormat="1" ht="23.1" customHeight="1">
      <c r="A984" s="170" t="str">
        <f>IF($B984="","",MAX($A$3:A983)+1)</f>
        <v/>
      </c>
      <c r="B984" s="176"/>
      <c r="C984" s="177"/>
      <c r="D984" s="285"/>
      <c r="E984" s="281"/>
      <c r="F984" s="283" t="str">
        <f>IF($B984="","",SUMIFS('Daily Inward'!$G:$G,'Daily Inward'!$C:$C,$B984,'Daily Inward'!$E:$E,"Non Inventory"))</f>
        <v/>
      </c>
      <c r="G984" s="51" t="str">
        <f>IF($B984="","",SUMIFS('Daily Issuance'!$G:$G,'Daily Issuance'!$C:$C,$B984,'Daily Issuance'!$E:$E,"Non Inventory"))</f>
        <v/>
      </c>
      <c r="H984" s="51" t="str">
        <f t="shared" si="30"/>
        <v/>
      </c>
      <c r="I984" s="187"/>
      <c r="J984" s="188" t="str">
        <f t="shared" si="31"/>
        <v/>
      </c>
      <c r="K984" s="46"/>
    </row>
    <row r="985" spans="1:11" s="24" customFormat="1" ht="23.1" customHeight="1">
      <c r="A985" s="170" t="str">
        <f>IF($B985="","",MAX($A$3:A984)+1)</f>
        <v/>
      </c>
      <c r="B985" s="176"/>
      <c r="C985" s="177"/>
      <c r="D985" s="285"/>
      <c r="E985" s="281"/>
      <c r="F985" s="283" t="str">
        <f>IF($B985="","",SUMIFS('Daily Inward'!$G:$G,'Daily Inward'!$C:$C,$B985,'Daily Inward'!$E:$E,"Non Inventory"))</f>
        <v/>
      </c>
      <c r="G985" s="51" t="str">
        <f>IF($B985="","",SUMIFS('Daily Issuance'!$G:$G,'Daily Issuance'!$C:$C,$B985,'Daily Issuance'!$E:$E,"Non Inventory"))</f>
        <v/>
      </c>
      <c r="H985" s="51" t="str">
        <f t="shared" si="30"/>
        <v/>
      </c>
      <c r="I985" s="187"/>
      <c r="J985" s="188" t="str">
        <f t="shared" si="31"/>
        <v/>
      </c>
      <c r="K985" s="46"/>
    </row>
    <row r="986" spans="1:11" s="24" customFormat="1" ht="23.1" customHeight="1">
      <c r="A986" s="170" t="str">
        <f>IF($B986="","",MAX($A$3:A985)+1)</f>
        <v/>
      </c>
      <c r="B986" s="176"/>
      <c r="C986" s="177"/>
      <c r="D986" s="285"/>
      <c r="E986" s="281"/>
      <c r="F986" s="283" t="str">
        <f>IF($B986="","",SUMIFS('Daily Inward'!$G:$G,'Daily Inward'!$C:$C,$B986,'Daily Inward'!$E:$E,"Non Inventory"))</f>
        <v/>
      </c>
      <c r="G986" s="51" t="str">
        <f>IF($B986="","",SUMIFS('Daily Issuance'!$G:$G,'Daily Issuance'!$C:$C,$B986,'Daily Issuance'!$E:$E,"Non Inventory"))</f>
        <v/>
      </c>
      <c r="H986" s="51" t="str">
        <f t="shared" si="30"/>
        <v/>
      </c>
      <c r="I986" s="187"/>
      <c r="J986" s="188" t="str">
        <f t="shared" si="31"/>
        <v/>
      </c>
      <c r="K986" s="46"/>
    </row>
    <row r="987" spans="1:11" s="24" customFormat="1" ht="23.1" customHeight="1">
      <c r="A987" s="170" t="str">
        <f>IF($B987="","",MAX($A$3:A986)+1)</f>
        <v/>
      </c>
      <c r="B987" s="176"/>
      <c r="C987" s="177"/>
      <c r="D987" s="285"/>
      <c r="E987" s="281"/>
      <c r="F987" s="283" t="str">
        <f>IF($B987="","",SUMIFS('Daily Inward'!$G:$G,'Daily Inward'!$C:$C,$B987,'Daily Inward'!$E:$E,"Non Inventory"))</f>
        <v/>
      </c>
      <c r="G987" s="51" t="str">
        <f>IF($B987="","",SUMIFS('Daily Issuance'!$G:$G,'Daily Issuance'!$C:$C,$B987,'Daily Issuance'!$E:$E,"Non Inventory"))</f>
        <v/>
      </c>
      <c r="H987" s="51" t="str">
        <f t="shared" si="30"/>
        <v/>
      </c>
      <c r="I987" s="187"/>
      <c r="J987" s="188" t="str">
        <f t="shared" si="31"/>
        <v/>
      </c>
      <c r="K987" s="46"/>
    </row>
    <row r="988" spans="1:11" s="24" customFormat="1" ht="23.1" customHeight="1">
      <c r="A988" s="170" t="str">
        <f>IF($B988="","",MAX($A$3:A987)+1)</f>
        <v/>
      </c>
      <c r="B988" s="176"/>
      <c r="C988" s="177"/>
      <c r="D988" s="285"/>
      <c r="E988" s="281"/>
      <c r="F988" s="283" t="str">
        <f>IF($B988="","",SUMIFS('Daily Inward'!$G:$G,'Daily Inward'!$C:$C,$B988,'Daily Inward'!$E:$E,"Non Inventory"))</f>
        <v/>
      </c>
      <c r="G988" s="51" t="str">
        <f>IF($B988="","",SUMIFS('Daily Issuance'!$G:$G,'Daily Issuance'!$C:$C,$B988,'Daily Issuance'!$E:$E,"Non Inventory"))</f>
        <v/>
      </c>
      <c r="H988" s="51" t="str">
        <f t="shared" si="30"/>
        <v/>
      </c>
      <c r="I988" s="187"/>
      <c r="J988" s="188" t="str">
        <f t="shared" si="31"/>
        <v/>
      </c>
      <c r="K988" s="46"/>
    </row>
    <row r="989" spans="1:11" s="24" customFormat="1" ht="23.1" customHeight="1">
      <c r="A989" s="170" t="str">
        <f>IF($B989="","",MAX($A$3:A988)+1)</f>
        <v/>
      </c>
      <c r="B989" s="176"/>
      <c r="C989" s="177"/>
      <c r="D989" s="285"/>
      <c r="E989" s="281"/>
      <c r="F989" s="283" t="str">
        <f>IF($B989="","",SUMIFS('Daily Inward'!$G:$G,'Daily Inward'!$C:$C,$B989,'Daily Inward'!$E:$E,"Non Inventory"))</f>
        <v/>
      </c>
      <c r="G989" s="51" t="str">
        <f>IF($B989="","",SUMIFS('Daily Issuance'!$G:$G,'Daily Issuance'!$C:$C,$B989,'Daily Issuance'!$E:$E,"Non Inventory"))</f>
        <v/>
      </c>
      <c r="H989" s="51" t="str">
        <f t="shared" si="30"/>
        <v/>
      </c>
      <c r="I989" s="187"/>
      <c r="J989" s="188" t="str">
        <f t="shared" si="31"/>
        <v/>
      </c>
      <c r="K989" s="46"/>
    </row>
    <row r="990" spans="1:11" s="24" customFormat="1" ht="23.1" customHeight="1">
      <c r="A990" s="170" t="str">
        <f>IF($B990="","",MAX($A$3:A989)+1)</f>
        <v/>
      </c>
      <c r="B990" s="176"/>
      <c r="C990" s="177"/>
      <c r="D990" s="285"/>
      <c r="E990" s="281"/>
      <c r="F990" s="283" t="str">
        <f>IF($B990="","",SUMIFS('Daily Inward'!$G:$G,'Daily Inward'!$C:$C,$B990,'Daily Inward'!$E:$E,"Non Inventory"))</f>
        <v/>
      </c>
      <c r="G990" s="51" t="str">
        <f>IF($B990="","",SUMIFS('Daily Issuance'!$G:$G,'Daily Issuance'!$C:$C,$B990,'Daily Issuance'!$E:$E,"Non Inventory"))</f>
        <v/>
      </c>
      <c r="H990" s="51" t="str">
        <f t="shared" si="30"/>
        <v/>
      </c>
      <c r="I990" s="187"/>
      <c r="J990" s="188" t="str">
        <f t="shared" si="31"/>
        <v/>
      </c>
      <c r="K990" s="46"/>
    </row>
    <row r="991" spans="1:11" s="24" customFormat="1" ht="23.1" customHeight="1">
      <c r="A991" s="170" t="str">
        <f>IF($B991="","",MAX($A$3:A990)+1)</f>
        <v/>
      </c>
      <c r="B991" s="176"/>
      <c r="C991" s="177"/>
      <c r="D991" s="285"/>
      <c r="E991" s="281"/>
      <c r="F991" s="283" t="str">
        <f>IF($B991="","",SUMIFS('Daily Inward'!$G:$G,'Daily Inward'!$C:$C,$B991,'Daily Inward'!$E:$E,"Non Inventory"))</f>
        <v/>
      </c>
      <c r="G991" s="51" t="str">
        <f>IF($B991="","",SUMIFS('Daily Issuance'!$G:$G,'Daily Issuance'!$C:$C,$B991,'Daily Issuance'!$E:$E,"Non Inventory"))</f>
        <v/>
      </c>
      <c r="H991" s="51" t="str">
        <f t="shared" si="30"/>
        <v/>
      </c>
      <c r="I991" s="187"/>
      <c r="J991" s="188" t="str">
        <f t="shared" si="31"/>
        <v/>
      </c>
      <c r="K991" s="46"/>
    </row>
    <row r="992" spans="1:11" s="24" customFormat="1" ht="23.1" customHeight="1">
      <c r="A992" s="170" t="str">
        <f>IF($B992="","",MAX($A$3:A991)+1)</f>
        <v/>
      </c>
      <c r="B992" s="176"/>
      <c r="C992" s="177"/>
      <c r="D992" s="285"/>
      <c r="E992" s="281"/>
      <c r="F992" s="283" t="str">
        <f>IF($B992="","",SUMIFS('Daily Inward'!$G:$G,'Daily Inward'!$C:$C,$B992,'Daily Inward'!$E:$E,"Non Inventory"))</f>
        <v/>
      </c>
      <c r="G992" s="51" t="str">
        <f>IF($B992="","",SUMIFS('Daily Issuance'!$G:$G,'Daily Issuance'!$C:$C,$B992,'Daily Issuance'!$E:$E,"Non Inventory"))</f>
        <v/>
      </c>
      <c r="H992" s="51" t="str">
        <f t="shared" si="30"/>
        <v/>
      </c>
      <c r="I992" s="187"/>
      <c r="J992" s="188" t="str">
        <f t="shared" si="31"/>
        <v/>
      </c>
      <c r="K992" s="46"/>
    </row>
    <row r="993" spans="1:11" s="24" customFormat="1" ht="23.1" customHeight="1">
      <c r="A993" s="170" t="str">
        <f>IF($B993="","",MAX($A$3:A992)+1)</f>
        <v/>
      </c>
      <c r="B993" s="176"/>
      <c r="C993" s="177"/>
      <c r="D993" s="285"/>
      <c r="E993" s="281"/>
      <c r="F993" s="283" t="str">
        <f>IF($B993="","",SUMIFS('Daily Inward'!$G:$G,'Daily Inward'!$C:$C,$B993,'Daily Inward'!$E:$E,"Non Inventory"))</f>
        <v/>
      </c>
      <c r="G993" s="51" t="str">
        <f>IF($B993="","",SUMIFS('Daily Issuance'!$G:$G,'Daily Issuance'!$C:$C,$B993,'Daily Issuance'!$E:$E,"Non Inventory"))</f>
        <v/>
      </c>
      <c r="H993" s="51" t="str">
        <f t="shared" si="30"/>
        <v/>
      </c>
      <c r="I993" s="187"/>
      <c r="J993" s="188" t="str">
        <f t="shared" si="31"/>
        <v/>
      </c>
      <c r="K993" s="46"/>
    </row>
    <row r="994" spans="1:11" s="24" customFormat="1" ht="23.1" customHeight="1">
      <c r="A994" s="170" t="str">
        <f>IF($B994="","",MAX($A$3:A993)+1)</f>
        <v/>
      </c>
      <c r="B994" s="176"/>
      <c r="C994" s="177"/>
      <c r="D994" s="285"/>
      <c r="E994" s="281"/>
      <c r="F994" s="283" t="str">
        <f>IF($B994="","",SUMIFS('Daily Inward'!$G:$G,'Daily Inward'!$C:$C,$B994,'Daily Inward'!$E:$E,"Non Inventory"))</f>
        <v/>
      </c>
      <c r="G994" s="51" t="str">
        <f>IF($B994="","",SUMIFS('Daily Issuance'!$G:$G,'Daily Issuance'!$C:$C,$B994,'Daily Issuance'!$E:$E,"Non Inventory"))</f>
        <v/>
      </c>
      <c r="H994" s="51" t="str">
        <f t="shared" si="30"/>
        <v/>
      </c>
      <c r="I994" s="187"/>
      <c r="J994" s="188" t="str">
        <f t="shared" si="31"/>
        <v/>
      </c>
      <c r="K994" s="46"/>
    </row>
    <row r="995" spans="1:11" s="24" customFormat="1" ht="23.1" customHeight="1">
      <c r="A995" s="170" t="str">
        <f>IF($B995="","",MAX($A$3:A994)+1)</f>
        <v/>
      </c>
      <c r="B995" s="176"/>
      <c r="C995" s="177"/>
      <c r="D995" s="285"/>
      <c r="E995" s="281"/>
      <c r="F995" s="283" t="str">
        <f>IF($B995="","",SUMIFS('Daily Inward'!$G:$G,'Daily Inward'!$C:$C,$B995,'Daily Inward'!$E:$E,"Non Inventory"))</f>
        <v/>
      </c>
      <c r="G995" s="51" t="str">
        <f>IF($B995="","",SUMIFS('Daily Issuance'!$G:$G,'Daily Issuance'!$C:$C,$B995,'Daily Issuance'!$E:$E,"Non Inventory"))</f>
        <v/>
      </c>
      <c r="H995" s="51" t="str">
        <f t="shared" si="30"/>
        <v/>
      </c>
      <c r="I995" s="187"/>
      <c r="J995" s="188" t="str">
        <f t="shared" si="31"/>
        <v/>
      </c>
      <c r="K995" s="46"/>
    </row>
    <row r="996" spans="1:11" s="24" customFormat="1" ht="23.1" customHeight="1">
      <c r="A996" s="170" t="str">
        <f>IF($B996="","",MAX($A$3:A995)+1)</f>
        <v/>
      </c>
      <c r="B996" s="176"/>
      <c r="C996" s="177"/>
      <c r="D996" s="285"/>
      <c r="E996" s="281"/>
      <c r="F996" s="283" t="str">
        <f>IF($B996="","",SUMIFS('Daily Inward'!$G:$G,'Daily Inward'!$C:$C,$B996,'Daily Inward'!$E:$E,"Non Inventory"))</f>
        <v/>
      </c>
      <c r="G996" s="51" t="str">
        <f>IF($B996="","",SUMIFS('Daily Issuance'!$G:$G,'Daily Issuance'!$C:$C,$B996,'Daily Issuance'!$E:$E,"Non Inventory"))</f>
        <v/>
      </c>
      <c r="H996" s="51" t="str">
        <f t="shared" si="30"/>
        <v/>
      </c>
      <c r="I996" s="187"/>
      <c r="J996" s="188" t="str">
        <f t="shared" si="31"/>
        <v/>
      </c>
      <c r="K996" s="46"/>
    </row>
    <row r="997" spans="1:11" s="24" customFormat="1" ht="23.1" customHeight="1">
      <c r="A997" s="170" t="str">
        <f>IF($B997="","",MAX($A$3:A996)+1)</f>
        <v/>
      </c>
      <c r="B997" s="176"/>
      <c r="C997" s="177"/>
      <c r="D997" s="285"/>
      <c r="E997" s="281"/>
      <c r="F997" s="283" t="str">
        <f>IF($B997="","",SUMIFS('Daily Inward'!$G:$G,'Daily Inward'!$C:$C,$B997,'Daily Inward'!$E:$E,"Non Inventory"))</f>
        <v/>
      </c>
      <c r="G997" s="51" t="str">
        <f>IF($B997="","",SUMIFS('Daily Issuance'!$G:$G,'Daily Issuance'!$C:$C,$B997,'Daily Issuance'!$E:$E,"Non Inventory"))</f>
        <v/>
      </c>
      <c r="H997" s="51" t="str">
        <f t="shared" si="30"/>
        <v/>
      </c>
      <c r="I997" s="187"/>
      <c r="J997" s="188" t="str">
        <f t="shared" si="31"/>
        <v/>
      </c>
      <c r="K997" s="46"/>
    </row>
  </sheetData>
  <mergeCells count="2">
    <mergeCell ref="A2:K2"/>
    <mergeCell ref="A1:K1"/>
  </mergeCells>
  <conditionalFormatting sqref="H4:H997">
    <cfRule type="expression" dxfId="98" priority="1">
      <formula>AND($H4&lt;&gt;"",OR($H4=0,$H4=1))</formula>
    </cfRule>
  </conditionalFormatting>
  <conditionalFormatting sqref="H4:H997">
    <cfRule type="expression" dxfId="97" priority="2">
      <formula>AND($H4&lt;&gt;"",$H4&lt;&gt;0,$H4&lt;&gt;1)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4472C4"/>
  </sheetPr>
  <dimension ref="A1:K1003"/>
  <sheetViews>
    <sheetView showGridLines="0" workbookViewId="0">
      <pane ySplit="3" topLeftCell="A4" activePane="bottomLeft" state="frozen"/>
      <selection pane="bottomLeft" activeCell="B9" sqref="B9"/>
    </sheetView>
  </sheetViews>
  <sheetFormatPr defaultRowHeight="15"/>
  <cols>
    <col min="1" max="1" width="7.7109375" style="40" customWidth="1"/>
    <col min="2" max="2" width="17.28515625" style="37" customWidth="1"/>
    <col min="3" max="3" width="64.42578125" style="342" customWidth="1"/>
    <col min="4" max="4" width="9.28515625" style="37" customWidth="1"/>
    <col min="5" max="5" width="15.5703125" style="40" customWidth="1"/>
    <col min="6" max="7" width="16.42578125" style="40" customWidth="1"/>
    <col min="8" max="8" width="16.42578125" style="1" customWidth="1"/>
    <col min="9" max="9" width="19.140625" style="40" customWidth="1"/>
    <col min="10" max="10" width="20.5703125" style="1" customWidth="1"/>
    <col min="11" max="11" width="24.7109375" style="37" customWidth="1"/>
  </cols>
  <sheetData>
    <row r="1" spans="1:11" ht="30" customHeight="1" thickTop="1" thickBot="1">
      <c r="A1" s="468" t="s">
        <v>1317</v>
      </c>
      <c r="B1" s="469"/>
      <c r="C1" s="469"/>
      <c r="D1" s="469"/>
      <c r="E1" s="469"/>
      <c r="F1" s="469"/>
      <c r="G1" s="469"/>
      <c r="H1" s="469"/>
      <c r="I1" s="469"/>
      <c r="J1" s="469"/>
      <c r="K1" s="470"/>
    </row>
    <row r="2" spans="1:11" ht="24" customHeight="1" thickTop="1" thickBot="1">
      <c r="A2" s="474" t="s">
        <v>1</v>
      </c>
      <c r="B2" s="475"/>
      <c r="C2" s="475"/>
      <c r="D2" s="475"/>
      <c r="E2" s="475"/>
      <c r="F2" s="475"/>
      <c r="G2" s="475"/>
      <c r="H2" s="475"/>
      <c r="I2" s="475"/>
      <c r="J2" s="475"/>
      <c r="K2" s="476"/>
    </row>
    <row r="3" spans="1:11" ht="24" customHeight="1" thickTop="1" thickBot="1">
      <c r="A3" s="343" t="s">
        <v>90</v>
      </c>
      <c r="B3" s="344" t="s">
        <v>1319</v>
      </c>
      <c r="C3" s="333" t="s">
        <v>1318</v>
      </c>
      <c r="D3" s="332" t="s">
        <v>93</v>
      </c>
      <c r="E3" s="332" t="s">
        <v>94</v>
      </c>
      <c r="F3" s="334" t="s">
        <v>95</v>
      </c>
      <c r="G3" s="335" t="s">
        <v>96</v>
      </c>
      <c r="H3" s="174" t="s">
        <v>97</v>
      </c>
      <c r="I3" s="174" t="s">
        <v>98</v>
      </c>
      <c r="J3" s="174" t="s">
        <v>99</v>
      </c>
      <c r="K3" s="175" t="s">
        <v>100</v>
      </c>
    </row>
    <row r="4" spans="1:11" ht="23.1" customHeight="1" thickTop="1">
      <c r="A4" s="347">
        <f>IF($B4="","",MAX($A$3:A3)+1)</f>
        <v>1</v>
      </c>
      <c r="B4" s="345">
        <v>21865</v>
      </c>
      <c r="C4" s="336" t="s">
        <v>1321</v>
      </c>
      <c r="D4" s="337" t="s">
        <v>112</v>
      </c>
      <c r="E4" s="346"/>
      <c r="F4" s="338">
        <f>IF($B4="","",SUM(SUMIFS('Daily Inward'!$G:$G,'Daily Inward'!$C:$C,$B4,'Daily Inward'!$E:$E,{"Inventory","Services"})))</f>
        <v>2</v>
      </c>
      <c r="G4" s="339">
        <f>IF($B4="","",SUM(SUMIFS('Daily Issuance'!$G:$G,'Daily Issuance'!$C:$C,$B4,'Daily Issuance'!$E:$E,{"Inventory","Services"})))</f>
        <v>2</v>
      </c>
      <c r="H4" s="41">
        <f t="shared" ref="H4:H67" si="0">IF($B4="","",N(E4)+N(F4)-N(G4))</f>
        <v>0</v>
      </c>
      <c r="I4" s="38">
        <v>220000</v>
      </c>
      <c r="J4" s="35">
        <f t="shared" ref="J4:J67" si="1">IF($B4="","",H4*I4)</f>
        <v>0</v>
      </c>
      <c r="K4" s="47" t="s">
        <v>1320</v>
      </c>
    </row>
    <row r="5" spans="1:11" ht="23.1" customHeight="1">
      <c r="A5" s="348">
        <f>IF($B5="","",MAX($A$3:A4)+1)</f>
        <v>2</v>
      </c>
      <c r="B5" s="253">
        <v>21845</v>
      </c>
      <c r="C5" s="249" t="s">
        <v>1378</v>
      </c>
      <c r="D5" s="263" t="s">
        <v>1379</v>
      </c>
      <c r="E5" s="251"/>
      <c r="F5" s="340">
        <f>IF($B5="","",SUM(SUMIFS('Daily Inward'!$G:$G,'Daily Inward'!$C:$C,$B5,'Daily Inward'!$E:$E,{"Inventory","Services"})))</f>
        <v>2</v>
      </c>
      <c r="G5" s="341">
        <f>IF($B5="","",SUM(SUMIFS('Daily Issuance'!$G:$G,'Daily Issuance'!$C:$C,$B5,'Daily Issuance'!$E:$E,{"Inventory","Services"})))</f>
        <v>2</v>
      </c>
      <c r="H5" s="42">
        <f t="shared" si="0"/>
        <v>0</v>
      </c>
      <c r="I5" s="39">
        <v>160000</v>
      </c>
      <c r="J5" s="36">
        <f t="shared" si="1"/>
        <v>0</v>
      </c>
      <c r="K5" s="48" t="s">
        <v>1380</v>
      </c>
    </row>
    <row r="6" spans="1:11" ht="23.1" customHeight="1">
      <c r="A6" s="348">
        <f>IF($B6="","",MAX($A$3:A5)+1)</f>
        <v>3</v>
      </c>
      <c r="B6" s="253">
        <v>21799</v>
      </c>
      <c r="C6" s="249" t="s">
        <v>1411</v>
      </c>
      <c r="D6" s="263" t="s">
        <v>112</v>
      </c>
      <c r="E6" s="251"/>
      <c r="F6" s="340">
        <f>IF($B6="","",SUM(SUMIFS('Daily Inward'!$G:$G,'Daily Inward'!$C:$C,$B6,'Daily Inward'!$E:$E,{"Inventory","Services"})))</f>
        <v>1</v>
      </c>
      <c r="G6" s="341">
        <f>IF($B6="","",SUM(SUMIFS('Daily Issuance'!$G:$G,'Daily Issuance'!$C:$C,$B6,'Daily Issuance'!$E:$E,{"Inventory","Services"})))</f>
        <v>1</v>
      </c>
      <c r="H6" s="42">
        <f t="shared" si="0"/>
        <v>0</v>
      </c>
      <c r="I6" s="39">
        <v>378500</v>
      </c>
      <c r="J6" s="36">
        <f t="shared" si="1"/>
        <v>0</v>
      </c>
      <c r="K6" s="48" t="s">
        <v>1412</v>
      </c>
    </row>
    <row r="7" spans="1:11" ht="23.1" customHeight="1">
      <c r="A7" s="348">
        <f>IF($B7="","",MAX($A$3:A6)+1)</f>
        <v>4</v>
      </c>
      <c r="B7" s="253">
        <v>21794</v>
      </c>
      <c r="C7" s="249" t="s">
        <v>1643</v>
      </c>
      <c r="D7" s="263" t="s">
        <v>1379</v>
      </c>
      <c r="E7" s="251"/>
      <c r="F7" s="340">
        <f>IF($B7="","",SUM(SUMIFS('Daily Inward'!$G:$G,'Daily Inward'!$C:$C,$B7,'Daily Inward'!$E:$E,{"Inventory","Services"})))</f>
        <v>3</v>
      </c>
      <c r="G7" s="341">
        <f>IF($B7="","",SUM(SUMIFS('Daily Issuance'!$G:$G,'Daily Issuance'!$C:$C,$B7,'Daily Issuance'!$E:$E,{"Inventory","Services"})))</f>
        <v>3</v>
      </c>
      <c r="H7" s="42">
        <f t="shared" si="0"/>
        <v>0</v>
      </c>
      <c r="I7" s="39">
        <v>8900</v>
      </c>
      <c r="J7" s="36">
        <f t="shared" si="1"/>
        <v>0</v>
      </c>
      <c r="K7" s="48" t="s">
        <v>1645</v>
      </c>
    </row>
    <row r="8" spans="1:11" ht="23.1" customHeight="1">
      <c r="A8" s="348">
        <f>IF($B8="","",MAX($A$3:A7)+1)</f>
        <v>5</v>
      </c>
      <c r="B8" s="253">
        <v>217990</v>
      </c>
      <c r="C8" s="249" t="s">
        <v>1758</v>
      </c>
      <c r="D8" s="263" t="s">
        <v>112</v>
      </c>
      <c r="E8" s="251"/>
      <c r="F8" s="340">
        <f>IF($B8="","",SUM(SUMIFS('Daily Inward'!$G:$G,'Daily Inward'!$C:$C,$B8,'Daily Inward'!$E:$E,{"Inventory","Services"})))</f>
        <v>1</v>
      </c>
      <c r="G8" s="341">
        <f>IF($B8="","",SUM(SUMIFS('Daily Issuance'!$G:$G,'Daily Issuance'!$C:$C,$B8,'Daily Issuance'!$E:$E,{"Inventory","Services"})))</f>
        <v>1</v>
      </c>
      <c r="H8" s="42">
        <f t="shared" si="0"/>
        <v>0</v>
      </c>
      <c r="I8" s="39">
        <v>18000</v>
      </c>
      <c r="J8" s="36">
        <f t="shared" si="1"/>
        <v>0</v>
      </c>
      <c r="K8" s="48" t="s">
        <v>1759</v>
      </c>
    </row>
    <row r="9" spans="1:11" ht="23.1" customHeight="1">
      <c r="A9" s="348" t="str">
        <f>IF($B9="","",MAX($A$3:A8)+1)</f>
        <v/>
      </c>
      <c r="B9" s="253"/>
      <c r="C9" s="249"/>
      <c r="D9" s="263"/>
      <c r="E9" s="251"/>
      <c r="F9" s="340" t="str">
        <f>IF($B9="","",SUM(SUMIFS('Daily Inward'!$G:$G,'Daily Inward'!$C:$C,$B9,'Daily Inward'!$E:$E,{"Inventory","Services"})))</f>
        <v/>
      </c>
      <c r="G9" s="341" t="str">
        <f>IF($B9="","",SUM(SUMIFS('Daily Issuance'!$G:$G,'Daily Issuance'!$C:$C,$B9,'Daily Issuance'!$E:$E,{"Inventory","Services"})))</f>
        <v/>
      </c>
      <c r="H9" s="42" t="str">
        <f t="shared" si="0"/>
        <v/>
      </c>
      <c r="I9" s="39"/>
      <c r="J9" s="36" t="str">
        <f t="shared" si="1"/>
        <v/>
      </c>
      <c r="K9" s="48"/>
    </row>
    <row r="10" spans="1:11" ht="23.1" customHeight="1">
      <c r="A10" s="348" t="str">
        <f>IF($B10="","",MAX($A$3:A9)+1)</f>
        <v/>
      </c>
      <c r="B10" s="253"/>
      <c r="C10" s="249"/>
      <c r="D10" s="263"/>
      <c r="E10" s="251"/>
      <c r="F10" s="340" t="str">
        <f>IF($B10="","",SUM(SUMIFS('Daily Inward'!$G:$G,'Daily Inward'!$C:$C,$B10,'Daily Inward'!$E:$E,{"Inventory","Services"})))</f>
        <v/>
      </c>
      <c r="G10" s="341" t="str">
        <f>IF($B10="","",SUM(SUMIFS('Daily Issuance'!$G:$G,'Daily Issuance'!$C:$C,$B10,'Daily Issuance'!$E:$E,{"Inventory","Services"})))</f>
        <v/>
      </c>
      <c r="H10" s="42" t="str">
        <f t="shared" si="0"/>
        <v/>
      </c>
      <c r="I10" s="39"/>
      <c r="J10" s="36" t="str">
        <f t="shared" si="1"/>
        <v/>
      </c>
      <c r="K10" s="48"/>
    </row>
    <row r="11" spans="1:11" ht="23.1" customHeight="1">
      <c r="A11" s="348" t="str">
        <f>IF($B11="","",MAX($A$3:A10)+1)</f>
        <v/>
      </c>
      <c r="B11" s="253"/>
      <c r="C11" s="249"/>
      <c r="D11" s="263"/>
      <c r="E11" s="251"/>
      <c r="F11" s="340" t="str">
        <f>IF($B11="","",SUM(SUMIFS('Daily Inward'!$G:$G,'Daily Inward'!$C:$C,$B11,'Daily Inward'!$E:$E,{"Inventory","Services"})))</f>
        <v/>
      </c>
      <c r="G11" s="341" t="str">
        <f>IF($B11="","",SUM(SUMIFS('Daily Issuance'!$G:$G,'Daily Issuance'!$C:$C,$B11,'Daily Issuance'!$E:$E,{"Inventory","Services"})))</f>
        <v/>
      </c>
      <c r="H11" s="42" t="str">
        <f t="shared" si="0"/>
        <v/>
      </c>
      <c r="I11" s="39"/>
      <c r="J11" s="36" t="str">
        <f t="shared" si="1"/>
        <v/>
      </c>
      <c r="K11" s="48"/>
    </row>
    <row r="12" spans="1:11" ht="23.1" customHeight="1">
      <c r="A12" s="348" t="str">
        <f>IF($B12="","",MAX($A$3:A11)+1)</f>
        <v/>
      </c>
      <c r="B12" s="253"/>
      <c r="C12" s="249"/>
      <c r="D12" s="263"/>
      <c r="E12" s="251"/>
      <c r="F12" s="340" t="str">
        <f>IF($B12="","",SUM(SUMIFS('Daily Inward'!$G:$G,'Daily Inward'!$C:$C,$B12,'Daily Inward'!$E:$E,{"Inventory","Services"})))</f>
        <v/>
      </c>
      <c r="G12" s="341" t="str">
        <f>IF($B12="","",SUM(SUMIFS('Daily Issuance'!$G:$G,'Daily Issuance'!$C:$C,$B12,'Daily Issuance'!$E:$E,{"Inventory","Services"})))</f>
        <v/>
      </c>
      <c r="H12" s="42" t="str">
        <f t="shared" si="0"/>
        <v/>
      </c>
      <c r="I12" s="39"/>
      <c r="J12" s="36" t="str">
        <f t="shared" si="1"/>
        <v/>
      </c>
      <c r="K12" s="48"/>
    </row>
    <row r="13" spans="1:11" ht="23.1" customHeight="1">
      <c r="A13" s="348" t="str">
        <f>IF($B13="","",MAX($A$3:A12)+1)</f>
        <v/>
      </c>
      <c r="B13" s="253"/>
      <c r="C13" s="249"/>
      <c r="D13" s="263"/>
      <c r="E13" s="251"/>
      <c r="F13" s="340" t="str">
        <f>IF($B13="","",SUM(SUMIFS('Daily Inward'!$G:$G,'Daily Inward'!$C:$C,$B13,'Daily Inward'!$E:$E,{"Inventory","Services"})))</f>
        <v/>
      </c>
      <c r="G13" s="341" t="str">
        <f>IF($B13="","",SUM(SUMIFS('Daily Issuance'!$G:$G,'Daily Issuance'!$C:$C,$B13,'Daily Issuance'!$E:$E,{"Inventory","Services"})))</f>
        <v/>
      </c>
      <c r="H13" s="42" t="str">
        <f t="shared" si="0"/>
        <v/>
      </c>
      <c r="I13" s="39"/>
      <c r="J13" s="36" t="str">
        <f t="shared" si="1"/>
        <v/>
      </c>
      <c r="K13" s="48"/>
    </row>
    <row r="14" spans="1:11" ht="23.1" customHeight="1">
      <c r="A14" s="348" t="str">
        <f>IF($B14="","",MAX($A$3:A13)+1)</f>
        <v/>
      </c>
      <c r="B14" s="253"/>
      <c r="C14" s="249"/>
      <c r="D14" s="263"/>
      <c r="E14" s="251"/>
      <c r="F14" s="340" t="str">
        <f>IF($B14="","",SUM(SUMIFS('Daily Inward'!$G:$G,'Daily Inward'!$C:$C,$B14,'Daily Inward'!$E:$E,{"Inventory","Services"})))</f>
        <v/>
      </c>
      <c r="G14" s="341" t="str">
        <f>IF($B14="","",SUM(SUMIFS('Daily Issuance'!$G:$G,'Daily Issuance'!$C:$C,$B14,'Daily Issuance'!$E:$E,{"Inventory","Services"})))</f>
        <v/>
      </c>
      <c r="H14" s="42" t="str">
        <f t="shared" si="0"/>
        <v/>
      </c>
      <c r="I14" s="39"/>
      <c r="J14" s="36" t="str">
        <f t="shared" si="1"/>
        <v/>
      </c>
      <c r="K14" s="48"/>
    </row>
    <row r="15" spans="1:11" ht="23.1" customHeight="1">
      <c r="A15" s="348" t="str">
        <f>IF($B15="","",MAX($A$3:A14)+1)</f>
        <v/>
      </c>
      <c r="B15" s="253"/>
      <c r="C15" s="249"/>
      <c r="D15" s="263"/>
      <c r="E15" s="251"/>
      <c r="F15" s="340" t="str">
        <f>IF($B15="","",SUM(SUMIFS('Daily Inward'!$G:$G,'Daily Inward'!$C:$C,$B15,'Daily Inward'!$E:$E,{"Inventory","Services"})))</f>
        <v/>
      </c>
      <c r="G15" s="341" t="str">
        <f>IF($B15="","",SUM(SUMIFS('Daily Issuance'!$G:$G,'Daily Issuance'!$C:$C,$B15,'Daily Issuance'!$E:$E,{"Inventory","Services"})))</f>
        <v/>
      </c>
      <c r="H15" s="42" t="str">
        <f t="shared" si="0"/>
        <v/>
      </c>
      <c r="I15" s="39"/>
      <c r="J15" s="36" t="str">
        <f t="shared" si="1"/>
        <v/>
      </c>
      <c r="K15" s="48"/>
    </row>
    <row r="16" spans="1:11" ht="23.1" customHeight="1">
      <c r="A16" s="348" t="str">
        <f>IF($B16="","",MAX($A$3:A15)+1)</f>
        <v/>
      </c>
      <c r="B16" s="253"/>
      <c r="C16" s="249"/>
      <c r="D16" s="263"/>
      <c r="E16" s="251"/>
      <c r="F16" s="340" t="str">
        <f>IF($B16="","",SUM(SUMIFS('Daily Inward'!$G:$G,'Daily Inward'!$C:$C,$B16,'Daily Inward'!$E:$E,{"Inventory","Services"})))</f>
        <v/>
      </c>
      <c r="G16" s="341" t="str">
        <f>IF($B16="","",SUM(SUMIFS('Daily Issuance'!$G:$G,'Daily Issuance'!$C:$C,$B16,'Daily Issuance'!$E:$E,{"Inventory","Services"})))</f>
        <v/>
      </c>
      <c r="H16" s="42" t="str">
        <f t="shared" si="0"/>
        <v/>
      </c>
      <c r="I16" s="39"/>
      <c r="J16" s="36" t="str">
        <f t="shared" si="1"/>
        <v/>
      </c>
      <c r="K16" s="48"/>
    </row>
    <row r="17" spans="1:11" ht="23.1" customHeight="1">
      <c r="A17" s="348" t="str">
        <f>IF($B17="","",MAX($A$3:A16)+1)</f>
        <v/>
      </c>
      <c r="B17" s="253"/>
      <c r="C17" s="249"/>
      <c r="D17" s="263"/>
      <c r="E17" s="251"/>
      <c r="F17" s="340" t="str">
        <f>IF($B17="","",SUM(SUMIFS('Daily Inward'!$G:$G,'Daily Inward'!$C:$C,$B17,'Daily Inward'!$E:$E,{"Inventory","Services"})))</f>
        <v/>
      </c>
      <c r="G17" s="341" t="str">
        <f>IF($B17="","",SUM(SUMIFS('Daily Issuance'!$G:$G,'Daily Issuance'!$C:$C,$B17,'Daily Issuance'!$E:$E,{"Inventory","Services"})))</f>
        <v/>
      </c>
      <c r="H17" s="42" t="str">
        <f t="shared" si="0"/>
        <v/>
      </c>
      <c r="I17" s="39"/>
      <c r="J17" s="36" t="str">
        <f t="shared" si="1"/>
        <v/>
      </c>
      <c r="K17" s="48"/>
    </row>
    <row r="18" spans="1:11" ht="23.1" customHeight="1">
      <c r="A18" s="348" t="str">
        <f>IF($B18="","",MAX($A$3:A17)+1)</f>
        <v/>
      </c>
      <c r="B18" s="253"/>
      <c r="C18" s="249"/>
      <c r="D18" s="263"/>
      <c r="E18" s="251"/>
      <c r="F18" s="340" t="str">
        <f>IF($B18="","",SUM(SUMIFS('Daily Inward'!$G:$G,'Daily Inward'!$C:$C,$B18,'Daily Inward'!$E:$E,{"Inventory","Services"})))</f>
        <v/>
      </c>
      <c r="G18" s="341" t="str">
        <f>IF($B18="","",SUM(SUMIFS('Daily Issuance'!$G:$G,'Daily Issuance'!$C:$C,$B18,'Daily Issuance'!$E:$E,{"Inventory","Services"})))</f>
        <v/>
      </c>
      <c r="H18" s="42" t="str">
        <f t="shared" si="0"/>
        <v/>
      </c>
      <c r="I18" s="39"/>
      <c r="J18" s="36" t="str">
        <f t="shared" si="1"/>
        <v/>
      </c>
      <c r="K18" s="48"/>
    </row>
    <row r="19" spans="1:11" ht="23.1" customHeight="1">
      <c r="A19" s="348" t="str">
        <f>IF($B19="","",MAX($A$3:A18)+1)</f>
        <v/>
      </c>
      <c r="B19" s="253"/>
      <c r="C19" s="249"/>
      <c r="D19" s="263"/>
      <c r="E19" s="251"/>
      <c r="F19" s="340" t="str">
        <f>IF($B19="","",SUM(SUMIFS('Daily Inward'!$G:$G,'Daily Inward'!$C:$C,$B19,'Daily Inward'!$E:$E,{"Inventory","Services"})))</f>
        <v/>
      </c>
      <c r="G19" s="341" t="str">
        <f>IF($B19="","",SUM(SUMIFS('Daily Issuance'!$G:$G,'Daily Issuance'!$C:$C,$B19,'Daily Issuance'!$E:$E,{"Inventory","Services"})))</f>
        <v/>
      </c>
      <c r="H19" s="42" t="str">
        <f t="shared" si="0"/>
        <v/>
      </c>
      <c r="I19" s="39"/>
      <c r="J19" s="36" t="str">
        <f t="shared" si="1"/>
        <v/>
      </c>
      <c r="K19" s="48"/>
    </row>
    <row r="20" spans="1:11" ht="23.1" customHeight="1">
      <c r="A20" s="348" t="str">
        <f>IF($B20="","",MAX($A$3:A19)+1)</f>
        <v/>
      </c>
      <c r="B20" s="253"/>
      <c r="C20" s="249"/>
      <c r="D20" s="263"/>
      <c r="E20" s="251"/>
      <c r="F20" s="340" t="str">
        <f>IF($B20="","",SUM(SUMIFS('Daily Inward'!$G:$G,'Daily Inward'!$C:$C,$B20,'Daily Inward'!$E:$E,{"Inventory","Services"})))</f>
        <v/>
      </c>
      <c r="G20" s="341" t="str">
        <f>IF($B20="","",SUM(SUMIFS('Daily Issuance'!$G:$G,'Daily Issuance'!$C:$C,$B20,'Daily Issuance'!$E:$E,{"Inventory","Services"})))</f>
        <v/>
      </c>
      <c r="H20" s="42" t="str">
        <f t="shared" si="0"/>
        <v/>
      </c>
      <c r="I20" s="39"/>
      <c r="J20" s="36" t="str">
        <f t="shared" si="1"/>
        <v/>
      </c>
      <c r="K20" s="48"/>
    </row>
    <row r="21" spans="1:11" ht="23.1" customHeight="1">
      <c r="A21" s="348" t="str">
        <f>IF($B21="","",MAX($A$3:A20)+1)</f>
        <v/>
      </c>
      <c r="B21" s="253"/>
      <c r="C21" s="249"/>
      <c r="D21" s="263"/>
      <c r="E21" s="251"/>
      <c r="F21" s="340" t="str">
        <f>IF($B21="","",SUM(SUMIFS('Daily Inward'!$G:$G,'Daily Inward'!$C:$C,$B21,'Daily Inward'!$E:$E,{"Inventory","Services"})))</f>
        <v/>
      </c>
      <c r="G21" s="341" t="str">
        <f>IF($B21="","",SUM(SUMIFS('Daily Issuance'!$G:$G,'Daily Issuance'!$C:$C,$B21,'Daily Issuance'!$E:$E,{"Inventory","Services"})))</f>
        <v/>
      </c>
      <c r="H21" s="42" t="str">
        <f t="shared" si="0"/>
        <v/>
      </c>
      <c r="I21" s="39"/>
      <c r="J21" s="36" t="str">
        <f t="shared" si="1"/>
        <v/>
      </c>
      <c r="K21" s="48"/>
    </row>
    <row r="22" spans="1:11" ht="23.1" customHeight="1">
      <c r="A22" s="348" t="str">
        <f>IF($B22="","",MAX($A$3:A21)+1)</f>
        <v/>
      </c>
      <c r="B22" s="253"/>
      <c r="C22" s="249"/>
      <c r="D22" s="263"/>
      <c r="E22" s="251"/>
      <c r="F22" s="340" t="str">
        <f>IF($B22="","",SUM(SUMIFS('Daily Inward'!$G:$G,'Daily Inward'!$C:$C,$B22,'Daily Inward'!$E:$E,{"Inventory","Services"})))</f>
        <v/>
      </c>
      <c r="G22" s="341" t="str">
        <f>IF($B22="","",SUM(SUMIFS('Daily Issuance'!$G:$G,'Daily Issuance'!$C:$C,$B22,'Daily Issuance'!$E:$E,{"Inventory","Services"})))</f>
        <v/>
      </c>
      <c r="H22" s="42" t="str">
        <f t="shared" si="0"/>
        <v/>
      </c>
      <c r="I22" s="39"/>
      <c r="J22" s="36" t="str">
        <f t="shared" si="1"/>
        <v/>
      </c>
      <c r="K22" s="48"/>
    </row>
    <row r="23" spans="1:11" ht="23.1" customHeight="1">
      <c r="A23" s="348" t="str">
        <f>IF($B23="","",MAX($A$3:A22)+1)</f>
        <v/>
      </c>
      <c r="B23" s="253"/>
      <c r="C23" s="249"/>
      <c r="D23" s="263"/>
      <c r="E23" s="251"/>
      <c r="F23" s="340" t="str">
        <f>IF($B23="","",SUM(SUMIFS('Daily Inward'!$G:$G,'Daily Inward'!$C:$C,$B23,'Daily Inward'!$E:$E,{"Inventory","Services"})))</f>
        <v/>
      </c>
      <c r="G23" s="341" t="str">
        <f>IF($B23="","",SUM(SUMIFS('Daily Issuance'!$G:$G,'Daily Issuance'!$C:$C,$B23,'Daily Issuance'!$E:$E,{"Inventory","Services"})))</f>
        <v/>
      </c>
      <c r="H23" s="42" t="str">
        <f t="shared" si="0"/>
        <v/>
      </c>
      <c r="I23" s="39"/>
      <c r="J23" s="36" t="str">
        <f t="shared" si="1"/>
        <v/>
      </c>
      <c r="K23" s="48"/>
    </row>
    <row r="24" spans="1:11" ht="23.1" customHeight="1">
      <c r="A24" s="348" t="str">
        <f>IF($B24="","",MAX($A$3:A23)+1)</f>
        <v/>
      </c>
      <c r="B24" s="253"/>
      <c r="C24" s="249"/>
      <c r="D24" s="263"/>
      <c r="E24" s="251"/>
      <c r="F24" s="340" t="str">
        <f>IF($B24="","",SUM(SUMIFS('Daily Inward'!$G:$G,'Daily Inward'!$C:$C,$B24,'Daily Inward'!$E:$E,{"Inventory","Services"})))</f>
        <v/>
      </c>
      <c r="G24" s="341" t="str">
        <f>IF($B24="","",SUM(SUMIFS('Daily Issuance'!$G:$G,'Daily Issuance'!$C:$C,$B24,'Daily Issuance'!$E:$E,{"Inventory","Services"})))</f>
        <v/>
      </c>
      <c r="H24" s="42" t="str">
        <f t="shared" si="0"/>
        <v/>
      </c>
      <c r="I24" s="39"/>
      <c r="J24" s="36" t="str">
        <f t="shared" si="1"/>
        <v/>
      </c>
      <c r="K24" s="48"/>
    </row>
    <row r="25" spans="1:11" ht="23.1" customHeight="1">
      <c r="A25" s="348" t="str">
        <f>IF($B25="","",MAX($A$3:A24)+1)</f>
        <v/>
      </c>
      <c r="B25" s="253"/>
      <c r="C25" s="249"/>
      <c r="D25" s="263"/>
      <c r="E25" s="251"/>
      <c r="F25" s="340" t="str">
        <f>IF($B25="","",SUM(SUMIFS('Daily Inward'!$G:$G,'Daily Inward'!$C:$C,$B25,'Daily Inward'!$E:$E,{"Inventory","Services"})))</f>
        <v/>
      </c>
      <c r="G25" s="341" t="str">
        <f>IF($B25="","",SUM(SUMIFS('Daily Issuance'!$G:$G,'Daily Issuance'!$C:$C,$B25,'Daily Issuance'!$E:$E,{"Inventory","Services"})))</f>
        <v/>
      </c>
      <c r="H25" s="42" t="str">
        <f t="shared" si="0"/>
        <v/>
      </c>
      <c r="I25" s="39"/>
      <c r="J25" s="36" t="str">
        <f t="shared" si="1"/>
        <v/>
      </c>
      <c r="K25" s="48"/>
    </row>
    <row r="26" spans="1:11" ht="23.1" customHeight="1">
      <c r="A26" s="348" t="str">
        <f>IF($B26="","",MAX($A$3:A25)+1)</f>
        <v/>
      </c>
      <c r="B26" s="253"/>
      <c r="C26" s="249"/>
      <c r="D26" s="263"/>
      <c r="E26" s="251"/>
      <c r="F26" s="340" t="str">
        <f>IF($B26="","",SUM(SUMIFS('Daily Inward'!$G:$G,'Daily Inward'!$C:$C,$B26,'Daily Inward'!$E:$E,{"Inventory","Services"})))</f>
        <v/>
      </c>
      <c r="G26" s="341" t="str">
        <f>IF($B26="","",SUM(SUMIFS('Daily Issuance'!$G:$G,'Daily Issuance'!$C:$C,$B26,'Daily Issuance'!$E:$E,{"Inventory","Services"})))</f>
        <v/>
      </c>
      <c r="H26" s="42" t="str">
        <f t="shared" si="0"/>
        <v/>
      </c>
      <c r="I26" s="39"/>
      <c r="J26" s="36" t="str">
        <f t="shared" si="1"/>
        <v/>
      </c>
      <c r="K26" s="48"/>
    </row>
    <row r="27" spans="1:11" ht="23.1" customHeight="1">
      <c r="A27" s="348" t="str">
        <f>IF($B27="","",MAX($A$3:A26)+1)</f>
        <v/>
      </c>
      <c r="B27" s="253"/>
      <c r="C27" s="249"/>
      <c r="D27" s="263"/>
      <c r="E27" s="251"/>
      <c r="F27" s="340" t="str">
        <f>IF($B27="","",SUM(SUMIFS('Daily Inward'!$G:$G,'Daily Inward'!$C:$C,$B27,'Daily Inward'!$E:$E,{"Inventory","Services"})))</f>
        <v/>
      </c>
      <c r="G27" s="341" t="str">
        <f>IF($B27="","",SUM(SUMIFS('Daily Issuance'!$G:$G,'Daily Issuance'!$C:$C,$B27,'Daily Issuance'!$E:$E,{"Inventory","Services"})))</f>
        <v/>
      </c>
      <c r="H27" s="42" t="str">
        <f t="shared" si="0"/>
        <v/>
      </c>
      <c r="I27" s="39"/>
      <c r="J27" s="36" t="str">
        <f t="shared" si="1"/>
        <v/>
      </c>
      <c r="K27" s="48"/>
    </row>
    <row r="28" spans="1:11" ht="23.1" customHeight="1">
      <c r="A28" s="348" t="str">
        <f>IF($B28="","",MAX($A$3:A27)+1)</f>
        <v/>
      </c>
      <c r="B28" s="253"/>
      <c r="C28" s="249"/>
      <c r="D28" s="263"/>
      <c r="E28" s="251"/>
      <c r="F28" s="340" t="str">
        <f>IF($B28="","",SUM(SUMIFS('Daily Inward'!$G:$G,'Daily Inward'!$C:$C,$B28,'Daily Inward'!$E:$E,{"Inventory","Services"})))</f>
        <v/>
      </c>
      <c r="G28" s="341" t="str">
        <f>IF($B28="","",SUM(SUMIFS('Daily Issuance'!$G:$G,'Daily Issuance'!$C:$C,$B28,'Daily Issuance'!$E:$E,{"Inventory","Services"})))</f>
        <v/>
      </c>
      <c r="H28" s="42" t="str">
        <f t="shared" si="0"/>
        <v/>
      </c>
      <c r="I28" s="39"/>
      <c r="J28" s="36" t="str">
        <f t="shared" si="1"/>
        <v/>
      </c>
      <c r="K28" s="48"/>
    </row>
    <row r="29" spans="1:11" ht="23.1" customHeight="1">
      <c r="A29" s="348" t="str">
        <f>IF($B29="","",MAX($A$3:A28)+1)</f>
        <v/>
      </c>
      <c r="B29" s="253"/>
      <c r="C29" s="249"/>
      <c r="D29" s="263"/>
      <c r="E29" s="251"/>
      <c r="F29" s="340" t="str">
        <f>IF($B29="","",SUM(SUMIFS('Daily Inward'!$G:$G,'Daily Inward'!$C:$C,$B29,'Daily Inward'!$E:$E,{"Inventory","Services"})))</f>
        <v/>
      </c>
      <c r="G29" s="341" t="str">
        <f>IF($B29="","",SUM(SUMIFS('Daily Issuance'!$G:$G,'Daily Issuance'!$C:$C,$B29,'Daily Issuance'!$E:$E,{"Inventory","Services"})))</f>
        <v/>
      </c>
      <c r="H29" s="42" t="str">
        <f t="shared" si="0"/>
        <v/>
      </c>
      <c r="I29" s="39"/>
      <c r="J29" s="36" t="str">
        <f t="shared" si="1"/>
        <v/>
      </c>
      <c r="K29" s="48"/>
    </row>
    <row r="30" spans="1:11" ht="23.1" customHeight="1">
      <c r="A30" s="348" t="str">
        <f>IF($B30="","",MAX($A$3:A29)+1)</f>
        <v/>
      </c>
      <c r="B30" s="253"/>
      <c r="C30" s="249"/>
      <c r="D30" s="263"/>
      <c r="E30" s="251"/>
      <c r="F30" s="340" t="str">
        <f>IF($B30="","",SUM(SUMIFS('Daily Inward'!$G:$G,'Daily Inward'!$C:$C,$B30,'Daily Inward'!$E:$E,{"Inventory","Services"})))</f>
        <v/>
      </c>
      <c r="G30" s="341" t="str">
        <f>IF($B30="","",SUM(SUMIFS('Daily Issuance'!$G:$G,'Daily Issuance'!$C:$C,$B30,'Daily Issuance'!$E:$E,{"Inventory","Services"})))</f>
        <v/>
      </c>
      <c r="H30" s="42" t="str">
        <f t="shared" si="0"/>
        <v/>
      </c>
      <c r="I30" s="39"/>
      <c r="J30" s="36" t="str">
        <f t="shared" si="1"/>
        <v/>
      </c>
      <c r="K30" s="48"/>
    </row>
    <row r="31" spans="1:11" ht="23.1" customHeight="1">
      <c r="A31" s="348" t="str">
        <f>IF($B31="","",MAX($A$3:A30)+1)</f>
        <v/>
      </c>
      <c r="B31" s="253"/>
      <c r="C31" s="249"/>
      <c r="D31" s="263"/>
      <c r="E31" s="251"/>
      <c r="F31" s="340" t="str">
        <f>IF($B31="","",SUM(SUMIFS('Daily Inward'!$G:$G,'Daily Inward'!$C:$C,$B31,'Daily Inward'!$E:$E,{"Inventory","Services"})))</f>
        <v/>
      </c>
      <c r="G31" s="341" t="str">
        <f>IF($B31="","",SUM(SUMIFS('Daily Issuance'!$G:$G,'Daily Issuance'!$C:$C,$B31,'Daily Issuance'!$E:$E,{"Inventory","Services"})))</f>
        <v/>
      </c>
      <c r="H31" s="42" t="str">
        <f t="shared" si="0"/>
        <v/>
      </c>
      <c r="I31" s="39"/>
      <c r="J31" s="36" t="str">
        <f t="shared" si="1"/>
        <v/>
      </c>
      <c r="K31" s="48"/>
    </row>
    <row r="32" spans="1:11" ht="23.1" customHeight="1">
      <c r="A32" s="348" t="str">
        <f>IF($B32="","",MAX($A$3:A31)+1)</f>
        <v/>
      </c>
      <c r="B32" s="253"/>
      <c r="C32" s="249"/>
      <c r="D32" s="263"/>
      <c r="E32" s="251"/>
      <c r="F32" s="340" t="str">
        <f>IF($B32="","",SUM(SUMIFS('Daily Inward'!$G:$G,'Daily Inward'!$C:$C,$B32,'Daily Inward'!$E:$E,{"Inventory","Services"})))</f>
        <v/>
      </c>
      <c r="G32" s="341" t="str">
        <f>IF($B32="","",SUM(SUMIFS('Daily Issuance'!$G:$G,'Daily Issuance'!$C:$C,$B32,'Daily Issuance'!$E:$E,{"Inventory","Services"})))</f>
        <v/>
      </c>
      <c r="H32" s="42" t="str">
        <f t="shared" si="0"/>
        <v/>
      </c>
      <c r="I32" s="39"/>
      <c r="J32" s="36" t="str">
        <f t="shared" si="1"/>
        <v/>
      </c>
      <c r="K32" s="48"/>
    </row>
    <row r="33" spans="1:11" ht="23.1" customHeight="1">
      <c r="A33" s="348" t="str">
        <f>IF($B33="","",MAX($A$3:A32)+1)</f>
        <v/>
      </c>
      <c r="B33" s="253"/>
      <c r="C33" s="249"/>
      <c r="D33" s="263"/>
      <c r="E33" s="251"/>
      <c r="F33" s="340" t="str">
        <f>IF($B33="","",SUM(SUMIFS('Daily Inward'!$G:$G,'Daily Inward'!$C:$C,$B33,'Daily Inward'!$E:$E,{"Inventory","Services"})))</f>
        <v/>
      </c>
      <c r="G33" s="341" t="str">
        <f>IF($B33="","",SUM(SUMIFS('Daily Issuance'!$G:$G,'Daily Issuance'!$C:$C,$B33,'Daily Issuance'!$E:$E,{"Inventory","Services"})))</f>
        <v/>
      </c>
      <c r="H33" s="42" t="str">
        <f t="shared" si="0"/>
        <v/>
      </c>
      <c r="I33" s="39"/>
      <c r="J33" s="36" t="str">
        <f t="shared" si="1"/>
        <v/>
      </c>
      <c r="K33" s="48"/>
    </row>
    <row r="34" spans="1:11" ht="23.1" customHeight="1">
      <c r="A34" s="348" t="str">
        <f>IF($B34="","",MAX($A$3:A33)+1)</f>
        <v/>
      </c>
      <c r="B34" s="253"/>
      <c r="C34" s="249"/>
      <c r="D34" s="263"/>
      <c r="E34" s="251"/>
      <c r="F34" s="340" t="str">
        <f>IF($B34="","",SUM(SUMIFS('Daily Inward'!$G:$G,'Daily Inward'!$C:$C,$B34,'Daily Inward'!$E:$E,{"Inventory","Services"})))</f>
        <v/>
      </c>
      <c r="G34" s="341" t="str">
        <f>IF($B34="","",SUM(SUMIFS('Daily Issuance'!$G:$G,'Daily Issuance'!$C:$C,$B34,'Daily Issuance'!$E:$E,{"Inventory","Services"})))</f>
        <v/>
      </c>
      <c r="H34" s="42" t="str">
        <f t="shared" si="0"/>
        <v/>
      </c>
      <c r="I34" s="39"/>
      <c r="J34" s="36" t="str">
        <f t="shared" si="1"/>
        <v/>
      </c>
      <c r="K34" s="48"/>
    </row>
    <row r="35" spans="1:11" ht="23.1" customHeight="1">
      <c r="A35" s="348" t="str">
        <f>IF($B35="","",MAX($A$3:A34)+1)</f>
        <v/>
      </c>
      <c r="B35" s="253"/>
      <c r="C35" s="249"/>
      <c r="D35" s="263"/>
      <c r="E35" s="251"/>
      <c r="F35" s="340" t="str">
        <f>IF($B35="","",SUM(SUMIFS('Daily Inward'!$G:$G,'Daily Inward'!$C:$C,$B35,'Daily Inward'!$E:$E,{"Inventory","Services"})))</f>
        <v/>
      </c>
      <c r="G35" s="341" t="str">
        <f>IF($B35="","",SUM(SUMIFS('Daily Issuance'!$G:$G,'Daily Issuance'!$C:$C,$B35,'Daily Issuance'!$E:$E,{"Inventory","Services"})))</f>
        <v/>
      </c>
      <c r="H35" s="42" t="str">
        <f t="shared" si="0"/>
        <v/>
      </c>
      <c r="I35" s="39"/>
      <c r="J35" s="36" t="str">
        <f t="shared" si="1"/>
        <v/>
      </c>
      <c r="K35" s="48"/>
    </row>
    <row r="36" spans="1:11" ht="23.1" customHeight="1">
      <c r="A36" s="348" t="str">
        <f>IF($B36="","",MAX($A$3:A35)+1)</f>
        <v/>
      </c>
      <c r="B36" s="253"/>
      <c r="C36" s="249"/>
      <c r="D36" s="263"/>
      <c r="E36" s="251"/>
      <c r="F36" s="340" t="str">
        <f>IF($B36="","",SUM(SUMIFS('Daily Inward'!$G:$G,'Daily Inward'!$C:$C,$B36,'Daily Inward'!$E:$E,{"Inventory","Services"})))</f>
        <v/>
      </c>
      <c r="G36" s="341" t="str">
        <f>IF($B36="","",SUM(SUMIFS('Daily Issuance'!$G:$G,'Daily Issuance'!$C:$C,$B36,'Daily Issuance'!$E:$E,{"Inventory","Services"})))</f>
        <v/>
      </c>
      <c r="H36" s="42" t="str">
        <f t="shared" si="0"/>
        <v/>
      </c>
      <c r="I36" s="39"/>
      <c r="J36" s="36" t="str">
        <f t="shared" si="1"/>
        <v/>
      </c>
      <c r="K36" s="48"/>
    </row>
    <row r="37" spans="1:11" ht="23.1" customHeight="1">
      <c r="A37" s="348" t="str">
        <f>IF($B37="","",MAX($A$3:A36)+1)</f>
        <v/>
      </c>
      <c r="B37" s="253"/>
      <c r="C37" s="249"/>
      <c r="D37" s="263"/>
      <c r="E37" s="251"/>
      <c r="F37" s="340" t="str">
        <f>IF($B37="","",SUM(SUMIFS('Daily Inward'!$G:$G,'Daily Inward'!$C:$C,$B37,'Daily Inward'!$E:$E,{"Inventory","Services"})))</f>
        <v/>
      </c>
      <c r="G37" s="341" t="str">
        <f>IF($B37="","",SUM(SUMIFS('Daily Issuance'!$G:$G,'Daily Issuance'!$C:$C,$B37,'Daily Issuance'!$E:$E,{"Inventory","Services"})))</f>
        <v/>
      </c>
      <c r="H37" s="42" t="str">
        <f t="shared" si="0"/>
        <v/>
      </c>
      <c r="I37" s="39"/>
      <c r="J37" s="36" t="str">
        <f t="shared" si="1"/>
        <v/>
      </c>
      <c r="K37" s="48"/>
    </row>
    <row r="38" spans="1:11" ht="23.1" customHeight="1">
      <c r="A38" s="348" t="str">
        <f>IF($B38="","",MAX($A$3:A37)+1)</f>
        <v/>
      </c>
      <c r="B38" s="253"/>
      <c r="C38" s="249"/>
      <c r="D38" s="263"/>
      <c r="E38" s="251"/>
      <c r="F38" s="340" t="str">
        <f>IF($B38="","",SUM(SUMIFS('Daily Inward'!$G:$G,'Daily Inward'!$C:$C,$B38,'Daily Inward'!$E:$E,{"Inventory","Services"})))</f>
        <v/>
      </c>
      <c r="G38" s="341" t="str">
        <f>IF($B38="","",SUM(SUMIFS('Daily Issuance'!$G:$G,'Daily Issuance'!$C:$C,$B38,'Daily Issuance'!$E:$E,{"Inventory","Services"})))</f>
        <v/>
      </c>
      <c r="H38" s="42" t="str">
        <f t="shared" si="0"/>
        <v/>
      </c>
      <c r="I38" s="39"/>
      <c r="J38" s="36" t="str">
        <f t="shared" si="1"/>
        <v/>
      </c>
      <c r="K38" s="48"/>
    </row>
    <row r="39" spans="1:11" ht="23.1" customHeight="1">
      <c r="A39" s="348" t="str">
        <f>IF($B39="","",MAX($A$3:A38)+1)</f>
        <v/>
      </c>
      <c r="B39" s="253"/>
      <c r="C39" s="249"/>
      <c r="D39" s="263"/>
      <c r="E39" s="251"/>
      <c r="F39" s="340" t="str">
        <f>IF($B39="","",SUM(SUMIFS('Daily Inward'!$G:$G,'Daily Inward'!$C:$C,$B39,'Daily Inward'!$E:$E,{"Inventory","Services"})))</f>
        <v/>
      </c>
      <c r="G39" s="341" t="str">
        <f>IF($B39="","",SUM(SUMIFS('Daily Issuance'!$G:$G,'Daily Issuance'!$C:$C,$B39,'Daily Issuance'!$E:$E,{"Inventory","Services"})))</f>
        <v/>
      </c>
      <c r="H39" s="42" t="str">
        <f t="shared" si="0"/>
        <v/>
      </c>
      <c r="I39" s="39"/>
      <c r="J39" s="36" t="str">
        <f t="shared" si="1"/>
        <v/>
      </c>
      <c r="K39" s="48"/>
    </row>
    <row r="40" spans="1:11" ht="23.1" customHeight="1">
      <c r="A40" s="348" t="str">
        <f>IF($B40="","",MAX($A$3:A39)+1)</f>
        <v/>
      </c>
      <c r="B40" s="253"/>
      <c r="C40" s="249"/>
      <c r="D40" s="263"/>
      <c r="E40" s="251"/>
      <c r="F40" s="340" t="str">
        <f>IF($B40="","",SUM(SUMIFS('Daily Inward'!$G:$G,'Daily Inward'!$C:$C,$B40,'Daily Inward'!$E:$E,{"Inventory","Services"})))</f>
        <v/>
      </c>
      <c r="G40" s="341" t="str">
        <f>IF($B40="","",SUM(SUMIFS('Daily Issuance'!$G:$G,'Daily Issuance'!$C:$C,$B40,'Daily Issuance'!$E:$E,{"Inventory","Services"})))</f>
        <v/>
      </c>
      <c r="H40" s="42" t="str">
        <f t="shared" si="0"/>
        <v/>
      </c>
      <c r="I40" s="39"/>
      <c r="J40" s="36" t="str">
        <f t="shared" si="1"/>
        <v/>
      </c>
      <c r="K40" s="48"/>
    </row>
    <row r="41" spans="1:11" ht="23.1" customHeight="1">
      <c r="A41" s="348" t="str">
        <f>IF($B41="","",MAX($A$3:A40)+1)</f>
        <v/>
      </c>
      <c r="B41" s="253"/>
      <c r="C41" s="249"/>
      <c r="D41" s="263"/>
      <c r="E41" s="251"/>
      <c r="F41" s="340" t="str">
        <f>IF($B41="","",SUM(SUMIFS('Daily Inward'!$G:$G,'Daily Inward'!$C:$C,$B41,'Daily Inward'!$E:$E,{"Inventory","Services"})))</f>
        <v/>
      </c>
      <c r="G41" s="341" t="str">
        <f>IF($B41="","",SUM(SUMIFS('Daily Issuance'!$G:$G,'Daily Issuance'!$C:$C,$B41,'Daily Issuance'!$E:$E,{"Inventory","Services"})))</f>
        <v/>
      </c>
      <c r="H41" s="42" t="str">
        <f t="shared" si="0"/>
        <v/>
      </c>
      <c r="I41" s="39"/>
      <c r="J41" s="36" t="str">
        <f t="shared" si="1"/>
        <v/>
      </c>
      <c r="K41" s="48"/>
    </row>
    <row r="42" spans="1:11" ht="23.1" customHeight="1">
      <c r="A42" s="348" t="str">
        <f>IF($B42="","",MAX($A$3:A41)+1)</f>
        <v/>
      </c>
      <c r="B42" s="253"/>
      <c r="C42" s="249"/>
      <c r="D42" s="263"/>
      <c r="E42" s="251"/>
      <c r="F42" s="340" t="str">
        <f>IF($B42="","",SUM(SUMIFS('Daily Inward'!$G:$G,'Daily Inward'!$C:$C,$B42,'Daily Inward'!$E:$E,{"Inventory","Services"})))</f>
        <v/>
      </c>
      <c r="G42" s="341" t="str">
        <f>IF($B42="","",SUM(SUMIFS('Daily Issuance'!$G:$G,'Daily Issuance'!$C:$C,$B42,'Daily Issuance'!$E:$E,{"Inventory","Services"})))</f>
        <v/>
      </c>
      <c r="H42" s="42" t="str">
        <f t="shared" si="0"/>
        <v/>
      </c>
      <c r="I42" s="39"/>
      <c r="J42" s="36" t="str">
        <f t="shared" si="1"/>
        <v/>
      </c>
      <c r="K42" s="48"/>
    </row>
    <row r="43" spans="1:11" ht="23.1" customHeight="1">
      <c r="A43" s="348" t="str">
        <f>IF($B43="","",MAX($A$3:A42)+1)</f>
        <v/>
      </c>
      <c r="B43" s="253"/>
      <c r="C43" s="249"/>
      <c r="D43" s="263"/>
      <c r="E43" s="251"/>
      <c r="F43" s="340" t="str">
        <f>IF($B43="","",SUM(SUMIFS('Daily Inward'!$G:$G,'Daily Inward'!$C:$C,$B43,'Daily Inward'!$E:$E,{"Inventory","Services"})))</f>
        <v/>
      </c>
      <c r="G43" s="341" t="str">
        <f>IF($B43="","",SUM(SUMIFS('Daily Issuance'!$G:$G,'Daily Issuance'!$C:$C,$B43,'Daily Issuance'!$E:$E,{"Inventory","Services"})))</f>
        <v/>
      </c>
      <c r="H43" s="42" t="str">
        <f t="shared" si="0"/>
        <v/>
      </c>
      <c r="I43" s="39"/>
      <c r="J43" s="36" t="str">
        <f t="shared" si="1"/>
        <v/>
      </c>
      <c r="K43" s="48"/>
    </row>
    <row r="44" spans="1:11" ht="23.1" customHeight="1">
      <c r="A44" s="348" t="str">
        <f>IF($B44="","",MAX($A$3:A43)+1)</f>
        <v/>
      </c>
      <c r="B44" s="253"/>
      <c r="C44" s="249"/>
      <c r="D44" s="263"/>
      <c r="E44" s="251"/>
      <c r="F44" s="340" t="str">
        <f>IF($B44="","",SUM(SUMIFS('Daily Inward'!$G:$G,'Daily Inward'!$C:$C,$B44,'Daily Inward'!$E:$E,{"Inventory","Services"})))</f>
        <v/>
      </c>
      <c r="G44" s="341" t="str">
        <f>IF($B44="","",SUM(SUMIFS('Daily Issuance'!$G:$G,'Daily Issuance'!$C:$C,$B44,'Daily Issuance'!$E:$E,{"Inventory","Services"})))</f>
        <v/>
      </c>
      <c r="H44" s="42" t="str">
        <f t="shared" si="0"/>
        <v/>
      </c>
      <c r="I44" s="39"/>
      <c r="J44" s="36" t="str">
        <f t="shared" si="1"/>
        <v/>
      </c>
      <c r="K44" s="48"/>
    </row>
    <row r="45" spans="1:11" ht="23.1" customHeight="1">
      <c r="A45" s="348" t="str">
        <f>IF($B45="","",MAX($A$3:A44)+1)</f>
        <v/>
      </c>
      <c r="B45" s="253"/>
      <c r="C45" s="249"/>
      <c r="D45" s="263"/>
      <c r="E45" s="251"/>
      <c r="F45" s="340" t="str">
        <f>IF($B45="","",SUM(SUMIFS('Daily Inward'!$G:$G,'Daily Inward'!$C:$C,$B45,'Daily Inward'!$E:$E,{"Inventory","Services"})))</f>
        <v/>
      </c>
      <c r="G45" s="341" t="str">
        <f>IF($B45="","",SUM(SUMIFS('Daily Issuance'!$G:$G,'Daily Issuance'!$C:$C,$B45,'Daily Issuance'!$E:$E,{"Inventory","Services"})))</f>
        <v/>
      </c>
      <c r="H45" s="42" t="str">
        <f t="shared" si="0"/>
        <v/>
      </c>
      <c r="I45" s="39"/>
      <c r="J45" s="36" t="str">
        <f t="shared" si="1"/>
        <v/>
      </c>
      <c r="K45" s="48"/>
    </row>
    <row r="46" spans="1:11" ht="23.1" customHeight="1">
      <c r="A46" s="348" t="str">
        <f>IF($B46="","",MAX($A$3:A45)+1)</f>
        <v/>
      </c>
      <c r="B46" s="253"/>
      <c r="C46" s="249"/>
      <c r="D46" s="263"/>
      <c r="E46" s="251"/>
      <c r="F46" s="340" t="str">
        <f>IF($B46="","",SUM(SUMIFS('Daily Inward'!$G:$G,'Daily Inward'!$C:$C,$B46,'Daily Inward'!$E:$E,{"Inventory","Services"})))</f>
        <v/>
      </c>
      <c r="G46" s="341" t="str">
        <f>IF($B46="","",SUM(SUMIFS('Daily Issuance'!$G:$G,'Daily Issuance'!$C:$C,$B46,'Daily Issuance'!$E:$E,{"Inventory","Services"})))</f>
        <v/>
      </c>
      <c r="H46" s="42" t="str">
        <f t="shared" si="0"/>
        <v/>
      </c>
      <c r="I46" s="39"/>
      <c r="J46" s="36" t="str">
        <f t="shared" si="1"/>
        <v/>
      </c>
      <c r="K46" s="48"/>
    </row>
    <row r="47" spans="1:11" ht="23.1" customHeight="1">
      <c r="A47" s="348" t="str">
        <f>IF($B47="","",MAX($A$3:A46)+1)</f>
        <v/>
      </c>
      <c r="B47" s="253"/>
      <c r="C47" s="249"/>
      <c r="D47" s="263"/>
      <c r="E47" s="251"/>
      <c r="F47" s="340" t="str">
        <f>IF($B47="","",SUM(SUMIFS('Daily Inward'!$G:$G,'Daily Inward'!$C:$C,$B47,'Daily Inward'!$E:$E,{"Inventory","Services"})))</f>
        <v/>
      </c>
      <c r="G47" s="341" t="str">
        <f>IF($B47="","",SUM(SUMIFS('Daily Issuance'!$G:$G,'Daily Issuance'!$C:$C,$B47,'Daily Issuance'!$E:$E,{"Inventory","Services"})))</f>
        <v/>
      </c>
      <c r="H47" s="42" t="str">
        <f t="shared" si="0"/>
        <v/>
      </c>
      <c r="I47" s="39"/>
      <c r="J47" s="36" t="str">
        <f t="shared" si="1"/>
        <v/>
      </c>
      <c r="K47" s="48"/>
    </row>
    <row r="48" spans="1:11" ht="23.1" customHeight="1">
      <c r="A48" s="348" t="str">
        <f>IF($B48="","",MAX($A$3:A47)+1)</f>
        <v/>
      </c>
      <c r="B48" s="253"/>
      <c r="C48" s="249"/>
      <c r="D48" s="263"/>
      <c r="E48" s="251"/>
      <c r="F48" s="340" t="str">
        <f>IF($B48="","",SUM(SUMIFS('Daily Inward'!$G:$G,'Daily Inward'!$C:$C,$B48,'Daily Inward'!$E:$E,{"Inventory","Services"})))</f>
        <v/>
      </c>
      <c r="G48" s="341" t="str">
        <f>IF($B48="","",SUM(SUMIFS('Daily Issuance'!$G:$G,'Daily Issuance'!$C:$C,$B48,'Daily Issuance'!$E:$E,{"Inventory","Services"})))</f>
        <v/>
      </c>
      <c r="H48" s="42" t="str">
        <f t="shared" si="0"/>
        <v/>
      </c>
      <c r="I48" s="39"/>
      <c r="J48" s="36" t="str">
        <f t="shared" si="1"/>
        <v/>
      </c>
      <c r="K48" s="48"/>
    </row>
    <row r="49" spans="1:11" ht="23.1" customHeight="1">
      <c r="A49" s="348" t="str">
        <f>IF($B49="","",MAX($A$3:A48)+1)</f>
        <v/>
      </c>
      <c r="B49" s="253"/>
      <c r="C49" s="249"/>
      <c r="D49" s="263"/>
      <c r="E49" s="251"/>
      <c r="F49" s="340" t="str">
        <f>IF($B49="","",SUM(SUMIFS('Daily Inward'!$G:$G,'Daily Inward'!$C:$C,$B49,'Daily Inward'!$E:$E,{"Inventory","Services"})))</f>
        <v/>
      </c>
      <c r="G49" s="341" t="str">
        <f>IF($B49="","",SUM(SUMIFS('Daily Issuance'!$G:$G,'Daily Issuance'!$C:$C,$B49,'Daily Issuance'!$E:$E,{"Inventory","Services"})))</f>
        <v/>
      </c>
      <c r="H49" s="42" t="str">
        <f t="shared" si="0"/>
        <v/>
      </c>
      <c r="I49" s="39"/>
      <c r="J49" s="36" t="str">
        <f t="shared" si="1"/>
        <v/>
      </c>
      <c r="K49" s="48"/>
    </row>
    <row r="50" spans="1:11" ht="23.1" customHeight="1">
      <c r="A50" s="348" t="str">
        <f>IF($B50="","",MAX($A$3:A49)+1)</f>
        <v/>
      </c>
      <c r="B50" s="253"/>
      <c r="C50" s="249"/>
      <c r="D50" s="263"/>
      <c r="E50" s="251"/>
      <c r="F50" s="340" t="str">
        <f>IF($B50="","",SUM(SUMIFS('Daily Inward'!$G:$G,'Daily Inward'!$C:$C,$B50,'Daily Inward'!$E:$E,{"Inventory","Services"})))</f>
        <v/>
      </c>
      <c r="G50" s="341" t="str">
        <f>IF($B50="","",SUM(SUMIFS('Daily Issuance'!$G:$G,'Daily Issuance'!$C:$C,$B50,'Daily Issuance'!$E:$E,{"Inventory","Services"})))</f>
        <v/>
      </c>
      <c r="H50" s="42" t="str">
        <f t="shared" si="0"/>
        <v/>
      </c>
      <c r="I50" s="39"/>
      <c r="J50" s="36" t="str">
        <f t="shared" si="1"/>
        <v/>
      </c>
      <c r="K50" s="48"/>
    </row>
    <row r="51" spans="1:11" ht="23.1" customHeight="1">
      <c r="A51" s="348" t="str">
        <f>IF($B51="","",MAX($A$3:A50)+1)</f>
        <v/>
      </c>
      <c r="B51" s="253"/>
      <c r="C51" s="249"/>
      <c r="D51" s="263"/>
      <c r="E51" s="251"/>
      <c r="F51" s="340" t="str">
        <f>IF($B51="","",SUM(SUMIFS('Daily Inward'!$G:$G,'Daily Inward'!$C:$C,$B51,'Daily Inward'!$E:$E,{"Inventory","Services"})))</f>
        <v/>
      </c>
      <c r="G51" s="341" t="str">
        <f>IF($B51="","",SUM(SUMIFS('Daily Issuance'!$G:$G,'Daily Issuance'!$C:$C,$B51,'Daily Issuance'!$E:$E,{"Inventory","Services"})))</f>
        <v/>
      </c>
      <c r="H51" s="42" t="str">
        <f t="shared" si="0"/>
        <v/>
      </c>
      <c r="I51" s="39"/>
      <c r="J51" s="36" t="str">
        <f t="shared" si="1"/>
        <v/>
      </c>
      <c r="K51" s="48"/>
    </row>
    <row r="52" spans="1:11" ht="23.1" customHeight="1">
      <c r="A52" s="348" t="str">
        <f>IF($B52="","",MAX($A$3:A51)+1)</f>
        <v/>
      </c>
      <c r="B52" s="253"/>
      <c r="C52" s="249"/>
      <c r="D52" s="263"/>
      <c r="E52" s="251"/>
      <c r="F52" s="340" t="str">
        <f>IF($B52="","",SUM(SUMIFS('Daily Inward'!$G:$G,'Daily Inward'!$C:$C,$B52,'Daily Inward'!$E:$E,{"Inventory","Services"})))</f>
        <v/>
      </c>
      <c r="G52" s="341" t="str">
        <f>IF($B52="","",SUM(SUMIFS('Daily Issuance'!$G:$G,'Daily Issuance'!$C:$C,$B52,'Daily Issuance'!$E:$E,{"Inventory","Services"})))</f>
        <v/>
      </c>
      <c r="H52" s="42" t="str">
        <f t="shared" si="0"/>
        <v/>
      </c>
      <c r="I52" s="39"/>
      <c r="J52" s="36" t="str">
        <f t="shared" si="1"/>
        <v/>
      </c>
      <c r="K52" s="48"/>
    </row>
    <row r="53" spans="1:11" ht="23.1" customHeight="1">
      <c r="A53" s="348" t="str">
        <f>IF($B53="","",MAX($A$3:A52)+1)</f>
        <v/>
      </c>
      <c r="B53" s="253"/>
      <c r="C53" s="249"/>
      <c r="D53" s="263"/>
      <c r="E53" s="251"/>
      <c r="F53" s="340" t="str">
        <f>IF($B53="","",SUM(SUMIFS('Daily Inward'!$G:$G,'Daily Inward'!$C:$C,$B53,'Daily Inward'!$E:$E,{"Inventory","Services"})))</f>
        <v/>
      </c>
      <c r="G53" s="341" t="str">
        <f>IF($B53="","",SUM(SUMIFS('Daily Issuance'!$G:$G,'Daily Issuance'!$C:$C,$B53,'Daily Issuance'!$E:$E,{"Inventory","Services"})))</f>
        <v/>
      </c>
      <c r="H53" s="42" t="str">
        <f t="shared" si="0"/>
        <v/>
      </c>
      <c r="I53" s="39"/>
      <c r="J53" s="36" t="str">
        <f t="shared" si="1"/>
        <v/>
      </c>
      <c r="K53" s="48"/>
    </row>
    <row r="54" spans="1:11" ht="23.1" customHeight="1">
      <c r="A54" s="348" t="str">
        <f>IF($B54="","",MAX($A$3:A53)+1)</f>
        <v/>
      </c>
      <c r="B54" s="253"/>
      <c r="C54" s="249"/>
      <c r="D54" s="263"/>
      <c r="E54" s="251"/>
      <c r="F54" s="340" t="str">
        <f>IF($B54="","",SUM(SUMIFS('Daily Inward'!$G:$G,'Daily Inward'!$C:$C,$B54,'Daily Inward'!$E:$E,{"Inventory","Services"})))</f>
        <v/>
      </c>
      <c r="G54" s="341" t="str">
        <f>IF($B54="","",SUM(SUMIFS('Daily Issuance'!$G:$G,'Daily Issuance'!$C:$C,$B54,'Daily Issuance'!$E:$E,{"Inventory","Services"})))</f>
        <v/>
      </c>
      <c r="H54" s="42" t="str">
        <f t="shared" si="0"/>
        <v/>
      </c>
      <c r="I54" s="39"/>
      <c r="J54" s="36" t="str">
        <f t="shared" si="1"/>
        <v/>
      </c>
      <c r="K54" s="48"/>
    </row>
    <row r="55" spans="1:11" ht="23.1" customHeight="1">
      <c r="A55" s="348" t="str">
        <f>IF($B55="","",MAX($A$3:A54)+1)</f>
        <v/>
      </c>
      <c r="B55" s="253"/>
      <c r="C55" s="249"/>
      <c r="D55" s="263"/>
      <c r="E55" s="251"/>
      <c r="F55" s="340" t="str">
        <f>IF($B55="","",SUM(SUMIFS('Daily Inward'!$G:$G,'Daily Inward'!$C:$C,$B55,'Daily Inward'!$E:$E,{"Inventory","Services"})))</f>
        <v/>
      </c>
      <c r="G55" s="341" t="str">
        <f>IF($B55="","",SUM(SUMIFS('Daily Issuance'!$G:$G,'Daily Issuance'!$C:$C,$B55,'Daily Issuance'!$E:$E,{"Inventory","Services"})))</f>
        <v/>
      </c>
      <c r="H55" s="42" t="str">
        <f t="shared" si="0"/>
        <v/>
      </c>
      <c r="I55" s="39"/>
      <c r="J55" s="36" t="str">
        <f t="shared" si="1"/>
        <v/>
      </c>
      <c r="K55" s="48"/>
    </row>
    <row r="56" spans="1:11" ht="23.1" customHeight="1">
      <c r="A56" s="348" t="str">
        <f>IF($B56="","",MAX($A$3:A55)+1)</f>
        <v/>
      </c>
      <c r="B56" s="253"/>
      <c r="C56" s="249"/>
      <c r="D56" s="263"/>
      <c r="E56" s="251"/>
      <c r="F56" s="340" t="str">
        <f>IF($B56="","",SUM(SUMIFS('Daily Inward'!$G:$G,'Daily Inward'!$C:$C,$B56,'Daily Inward'!$E:$E,{"Inventory","Services"})))</f>
        <v/>
      </c>
      <c r="G56" s="341" t="str">
        <f>IF($B56="","",SUM(SUMIFS('Daily Issuance'!$G:$G,'Daily Issuance'!$C:$C,$B56,'Daily Issuance'!$E:$E,{"Inventory","Services"})))</f>
        <v/>
      </c>
      <c r="H56" s="42" t="str">
        <f t="shared" si="0"/>
        <v/>
      </c>
      <c r="I56" s="39"/>
      <c r="J56" s="36" t="str">
        <f t="shared" si="1"/>
        <v/>
      </c>
      <c r="K56" s="48"/>
    </row>
    <row r="57" spans="1:11" ht="23.1" customHeight="1">
      <c r="A57" s="348" t="str">
        <f>IF($B57="","",MAX($A$3:A56)+1)</f>
        <v/>
      </c>
      <c r="B57" s="253"/>
      <c r="C57" s="249"/>
      <c r="D57" s="263"/>
      <c r="E57" s="251"/>
      <c r="F57" s="340" t="str">
        <f>IF($B57="","",SUM(SUMIFS('Daily Inward'!$G:$G,'Daily Inward'!$C:$C,$B57,'Daily Inward'!$E:$E,{"Inventory","Services"})))</f>
        <v/>
      </c>
      <c r="G57" s="341" t="str">
        <f>IF($B57="","",SUM(SUMIFS('Daily Issuance'!$G:$G,'Daily Issuance'!$C:$C,$B57,'Daily Issuance'!$E:$E,{"Inventory","Services"})))</f>
        <v/>
      </c>
      <c r="H57" s="42" t="str">
        <f t="shared" si="0"/>
        <v/>
      </c>
      <c r="I57" s="39"/>
      <c r="J57" s="36" t="str">
        <f t="shared" si="1"/>
        <v/>
      </c>
      <c r="K57" s="48"/>
    </row>
    <row r="58" spans="1:11" ht="23.1" customHeight="1">
      <c r="A58" s="348" t="str">
        <f>IF($B58="","",MAX($A$3:A57)+1)</f>
        <v/>
      </c>
      <c r="B58" s="253"/>
      <c r="C58" s="249"/>
      <c r="D58" s="263"/>
      <c r="E58" s="251"/>
      <c r="F58" s="340" t="str">
        <f>IF($B58="","",SUM(SUMIFS('Daily Inward'!$G:$G,'Daily Inward'!$C:$C,$B58,'Daily Inward'!$E:$E,{"Inventory","Services"})))</f>
        <v/>
      </c>
      <c r="G58" s="341" t="str">
        <f>IF($B58="","",SUM(SUMIFS('Daily Issuance'!$G:$G,'Daily Issuance'!$C:$C,$B58,'Daily Issuance'!$E:$E,{"Inventory","Services"})))</f>
        <v/>
      </c>
      <c r="H58" s="42" t="str">
        <f t="shared" si="0"/>
        <v/>
      </c>
      <c r="I58" s="39"/>
      <c r="J58" s="36" t="str">
        <f t="shared" si="1"/>
        <v/>
      </c>
      <c r="K58" s="48"/>
    </row>
    <row r="59" spans="1:11" ht="23.1" customHeight="1">
      <c r="A59" s="348" t="str">
        <f>IF($B59="","",MAX($A$3:A58)+1)</f>
        <v/>
      </c>
      <c r="B59" s="253"/>
      <c r="C59" s="249"/>
      <c r="D59" s="263"/>
      <c r="E59" s="251"/>
      <c r="F59" s="340" t="str">
        <f>IF($B59="","",SUM(SUMIFS('Daily Inward'!$G:$G,'Daily Inward'!$C:$C,$B59,'Daily Inward'!$E:$E,{"Inventory","Services"})))</f>
        <v/>
      </c>
      <c r="G59" s="341" t="str">
        <f>IF($B59="","",SUM(SUMIFS('Daily Issuance'!$G:$G,'Daily Issuance'!$C:$C,$B59,'Daily Issuance'!$E:$E,{"Inventory","Services"})))</f>
        <v/>
      </c>
      <c r="H59" s="42" t="str">
        <f t="shared" si="0"/>
        <v/>
      </c>
      <c r="I59" s="39"/>
      <c r="J59" s="36" t="str">
        <f t="shared" si="1"/>
        <v/>
      </c>
      <c r="K59" s="48"/>
    </row>
    <row r="60" spans="1:11" ht="23.1" customHeight="1">
      <c r="A60" s="348" t="str">
        <f>IF($B60="","",MAX($A$3:A59)+1)</f>
        <v/>
      </c>
      <c r="B60" s="253"/>
      <c r="C60" s="249"/>
      <c r="D60" s="263"/>
      <c r="E60" s="251"/>
      <c r="F60" s="340" t="str">
        <f>IF($B60="","",SUM(SUMIFS('Daily Inward'!$G:$G,'Daily Inward'!$C:$C,$B60,'Daily Inward'!$E:$E,{"Inventory","Services"})))</f>
        <v/>
      </c>
      <c r="G60" s="341" t="str">
        <f>IF($B60="","",SUM(SUMIFS('Daily Issuance'!$G:$G,'Daily Issuance'!$C:$C,$B60,'Daily Issuance'!$E:$E,{"Inventory","Services"})))</f>
        <v/>
      </c>
      <c r="H60" s="42" t="str">
        <f t="shared" si="0"/>
        <v/>
      </c>
      <c r="I60" s="39"/>
      <c r="J60" s="36" t="str">
        <f t="shared" si="1"/>
        <v/>
      </c>
      <c r="K60" s="48"/>
    </row>
    <row r="61" spans="1:11" ht="23.1" customHeight="1">
      <c r="A61" s="348" t="str">
        <f>IF($B61="","",MAX($A$3:A60)+1)</f>
        <v/>
      </c>
      <c r="B61" s="253"/>
      <c r="C61" s="249"/>
      <c r="D61" s="263"/>
      <c r="E61" s="251"/>
      <c r="F61" s="340" t="str">
        <f>IF($B61="","",SUM(SUMIFS('Daily Inward'!$G:$G,'Daily Inward'!$C:$C,$B61,'Daily Inward'!$E:$E,{"Inventory","Services"})))</f>
        <v/>
      </c>
      <c r="G61" s="341" t="str">
        <f>IF($B61="","",SUM(SUMIFS('Daily Issuance'!$G:$G,'Daily Issuance'!$C:$C,$B61,'Daily Issuance'!$E:$E,{"Inventory","Services"})))</f>
        <v/>
      </c>
      <c r="H61" s="42" t="str">
        <f t="shared" si="0"/>
        <v/>
      </c>
      <c r="I61" s="39"/>
      <c r="J61" s="36" t="str">
        <f t="shared" si="1"/>
        <v/>
      </c>
      <c r="K61" s="48"/>
    </row>
    <row r="62" spans="1:11" ht="23.1" customHeight="1">
      <c r="A62" s="348" t="str">
        <f>IF($B62="","",MAX($A$3:A61)+1)</f>
        <v/>
      </c>
      <c r="B62" s="253"/>
      <c r="C62" s="249"/>
      <c r="D62" s="263"/>
      <c r="E62" s="251"/>
      <c r="F62" s="340" t="str">
        <f>IF($B62="","",SUM(SUMIFS('Daily Inward'!$G:$G,'Daily Inward'!$C:$C,$B62,'Daily Inward'!$E:$E,{"Inventory","Services"})))</f>
        <v/>
      </c>
      <c r="G62" s="341" t="str">
        <f>IF($B62="","",SUM(SUMIFS('Daily Issuance'!$G:$G,'Daily Issuance'!$C:$C,$B62,'Daily Issuance'!$E:$E,{"Inventory","Services"})))</f>
        <v/>
      </c>
      <c r="H62" s="42" t="str">
        <f t="shared" si="0"/>
        <v/>
      </c>
      <c r="I62" s="39"/>
      <c r="J62" s="36" t="str">
        <f t="shared" si="1"/>
        <v/>
      </c>
      <c r="K62" s="48"/>
    </row>
    <row r="63" spans="1:11" ht="23.1" customHeight="1">
      <c r="A63" s="348" t="str">
        <f>IF($B63="","",MAX($A$3:A62)+1)</f>
        <v/>
      </c>
      <c r="B63" s="253"/>
      <c r="C63" s="249"/>
      <c r="D63" s="263"/>
      <c r="E63" s="251"/>
      <c r="F63" s="340" t="str">
        <f>IF($B63="","",SUM(SUMIFS('Daily Inward'!$G:$G,'Daily Inward'!$C:$C,$B63,'Daily Inward'!$E:$E,{"Inventory","Services"})))</f>
        <v/>
      </c>
      <c r="G63" s="341" t="str">
        <f>IF($B63="","",SUM(SUMIFS('Daily Issuance'!$G:$G,'Daily Issuance'!$C:$C,$B63,'Daily Issuance'!$E:$E,{"Inventory","Services"})))</f>
        <v/>
      </c>
      <c r="H63" s="42" t="str">
        <f t="shared" si="0"/>
        <v/>
      </c>
      <c r="I63" s="39"/>
      <c r="J63" s="36" t="str">
        <f t="shared" si="1"/>
        <v/>
      </c>
      <c r="K63" s="48"/>
    </row>
    <row r="64" spans="1:11" ht="23.1" customHeight="1">
      <c r="A64" s="348" t="str">
        <f>IF($B64="","",MAX($A$3:A63)+1)</f>
        <v/>
      </c>
      <c r="B64" s="253"/>
      <c r="C64" s="249"/>
      <c r="D64" s="263"/>
      <c r="E64" s="251"/>
      <c r="F64" s="340" t="str">
        <f>IF($B64="","",SUM(SUMIFS('Daily Inward'!$G:$G,'Daily Inward'!$C:$C,$B64,'Daily Inward'!$E:$E,{"Inventory","Services"})))</f>
        <v/>
      </c>
      <c r="G64" s="341" t="str">
        <f>IF($B64="","",SUM(SUMIFS('Daily Issuance'!$G:$G,'Daily Issuance'!$C:$C,$B64,'Daily Issuance'!$E:$E,{"Inventory","Services"})))</f>
        <v/>
      </c>
      <c r="H64" s="42" t="str">
        <f t="shared" si="0"/>
        <v/>
      </c>
      <c r="I64" s="39"/>
      <c r="J64" s="36" t="str">
        <f t="shared" si="1"/>
        <v/>
      </c>
      <c r="K64" s="48"/>
    </row>
    <row r="65" spans="1:11" ht="23.1" customHeight="1">
      <c r="A65" s="348" t="str">
        <f>IF($B65="","",MAX($A$3:A64)+1)</f>
        <v/>
      </c>
      <c r="B65" s="253"/>
      <c r="C65" s="249"/>
      <c r="D65" s="263"/>
      <c r="E65" s="251"/>
      <c r="F65" s="340" t="str">
        <f>IF($B65="","",SUM(SUMIFS('Daily Inward'!$G:$G,'Daily Inward'!$C:$C,$B65,'Daily Inward'!$E:$E,{"Inventory","Services"})))</f>
        <v/>
      </c>
      <c r="G65" s="341" t="str">
        <f>IF($B65="","",SUM(SUMIFS('Daily Issuance'!$G:$G,'Daily Issuance'!$C:$C,$B65,'Daily Issuance'!$E:$E,{"Inventory","Services"})))</f>
        <v/>
      </c>
      <c r="H65" s="42" t="str">
        <f t="shared" si="0"/>
        <v/>
      </c>
      <c r="I65" s="39"/>
      <c r="J65" s="36" t="str">
        <f t="shared" si="1"/>
        <v/>
      </c>
      <c r="K65" s="48"/>
    </row>
    <row r="66" spans="1:11" ht="23.1" customHeight="1">
      <c r="A66" s="348" t="str">
        <f>IF($B66="","",MAX($A$3:A65)+1)</f>
        <v/>
      </c>
      <c r="B66" s="253"/>
      <c r="C66" s="249"/>
      <c r="D66" s="263"/>
      <c r="E66" s="251"/>
      <c r="F66" s="340" t="str">
        <f>IF($B66="","",SUM(SUMIFS('Daily Inward'!$G:$G,'Daily Inward'!$C:$C,$B66,'Daily Inward'!$E:$E,{"Inventory","Services"})))</f>
        <v/>
      </c>
      <c r="G66" s="341" t="str">
        <f>IF($B66="","",SUM(SUMIFS('Daily Issuance'!$G:$G,'Daily Issuance'!$C:$C,$B66,'Daily Issuance'!$E:$E,{"Inventory","Services"})))</f>
        <v/>
      </c>
      <c r="H66" s="42" t="str">
        <f t="shared" si="0"/>
        <v/>
      </c>
      <c r="I66" s="39"/>
      <c r="J66" s="36" t="str">
        <f t="shared" si="1"/>
        <v/>
      </c>
      <c r="K66" s="48"/>
    </row>
    <row r="67" spans="1:11" ht="23.1" customHeight="1">
      <c r="A67" s="348" t="str">
        <f>IF($B67="","",MAX($A$3:A66)+1)</f>
        <v/>
      </c>
      <c r="B67" s="253"/>
      <c r="C67" s="249"/>
      <c r="D67" s="263"/>
      <c r="E67" s="251"/>
      <c r="F67" s="340" t="str">
        <f>IF($B67="","",SUM(SUMIFS('Daily Inward'!$G:$G,'Daily Inward'!$C:$C,$B67,'Daily Inward'!$E:$E,{"Inventory","Services"})))</f>
        <v/>
      </c>
      <c r="G67" s="341" t="str">
        <f>IF($B67="","",SUM(SUMIFS('Daily Issuance'!$G:$G,'Daily Issuance'!$C:$C,$B67,'Daily Issuance'!$E:$E,{"Inventory","Services"})))</f>
        <v/>
      </c>
      <c r="H67" s="42" t="str">
        <f t="shared" si="0"/>
        <v/>
      </c>
      <c r="I67" s="39"/>
      <c r="J67" s="36" t="str">
        <f t="shared" si="1"/>
        <v/>
      </c>
      <c r="K67" s="48"/>
    </row>
    <row r="68" spans="1:11" ht="23.1" customHeight="1">
      <c r="A68" s="348" t="str">
        <f>IF($B68="","",MAX($A$3:A67)+1)</f>
        <v/>
      </c>
      <c r="B68" s="253"/>
      <c r="C68" s="249"/>
      <c r="D68" s="263"/>
      <c r="E68" s="251"/>
      <c r="F68" s="340" t="str">
        <f>IF($B68="","",SUM(SUMIFS('Daily Inward'!$G:$G,'Daily Inward'!$C:$C,$B68,'Daily Inward'!$E:$E,{"Inventory","Services"})))</f>
        <v/>
      </c>
      <c r="G68" s="341" t="str">
        <f>IF($B68="","",SUM(SUMIFS('Daily Issuance'!$G:$G,'Daily Issuance'!$C:$C,$B68,'Daily Issuance'!$E:$E,{"Inventory","Services"})))</f>
        <v/>
      </c>
      <c r="H68" s="42" t="str">
        <f t="shared" ref="H68:H131" si="2">IF($B68="","",N(E68)+N(F68)-N(G68))</f>
        <v/>
      </c>
      <c r="I68" s="39"/>
      <c r="J68" s="36" t="str">
        <f t="shared" ref="J68:J131" si="3">IF($B68="","",H68*I68)</f>
        <v/>
      </c>
      <c r="K68" s="48"/>
    </row>
    <row r="69" spans="1:11" ht="23.1" customHeight="1">
      <c r="A69" s="348" t="str">
        <f>IF($B69="","",MAX($A$3:A68)+1)</f>
        <v/>
      </c>
      <c r="B69" s="253"/>
      <c r="C69" s="249"/>
      <c r="D69" s="263"/>
      <c r="E69" s="251"/>
      <c r="F69" s="340" t="str">
        <f>IF($B69="","",SUM(SUMIFS('Daily Inward'!$G:$G,'Daily Inward'!$C:$C,$B69,'Daily Inward'!$E:$E,{"Inventory","Services"})))</f>
        <v/>
      </c>
      <c r="G69" s="341" t="str">
        <f>IF($B69="","",SUM(SUMIFS('Daily Issuance'!$G:$G,'Daily Issuance'!$C:$C,$B69,'Daily Issuance'!$E:$E,{"Inventory","Services"})))</f>
        <v/>
      </c>
      <c r="H69" s="42" t="str">
        <f t="shared" si="2"/>
        <v/>
      </c>
      <c r="I69" s="39"/>
      <c r="J69" s="36" t="str">
        <f t="shared" si="3"/>
        <v/>
      </c>
      <c r="K69" s="48"/>
    </row>
    <row r="70" spans="1:11" ht="23.1" customHeight="1">
      <c r="A70" s="348" t="str">
        <f>IF($B70="","",MAX($A$3:A69)+1)</f>
        <v/>
      </c>
      <c r="B70" s="253"/>
      <c r="C70" s="249"/>
      <c r="D70" s="263"/>
      <c r="E70" s="251"/>
      <c r="F70" s="340" t="str">
        <f>IF($B70="","",SUM(SUMIFS('Daily Inward'!$G:$G,'Daily Inward'!$C:$C,$B70,'Daily Inward'!$E:$E,{"Inventory","Services"})))</f>
        <v/>
      </c>
      <c r="G70" s="341" t="str">
        <f>IF($B70="","",SUM(SUMIFS('Daily Issuance'!$G:$G,'Daily Issuance'!$C:$C,$B70,'Daily Issuance'!$E:$E,{"Inventory","Services"})))</f>
        <v/>
      </c>
      <c r="H70" s="42" t="str">
        <f t="shared" si="2"/>
        <v/>
      </c>
      <c r="I70" s="39"/>
      <c r="J70" s="36" t="str">
        <f t="shared" si="3"/>
        <v/>
      </c>
      <c r="K70" s="48"/>
    </row>
    <row r="71" spans="1:11" ht="23.1" customHeight="1">
      <c r="A71" s="348" t="str">
        <f>IF($B71="","",MAX($A$3:A70)+1)</f>
        <v/>
      </c>
      <c r="B71" s="253"/>
      <c r="C71" s="249"/>
      <c r="D71" s="263"/>
      <c r="E71" s="251"/>
      <c r="F71" s="340" t="str">
        <f>IF($B71="","",SUM(SUMIFS('Daily Inward'!$G:$G,'Daily Inward'!$C:$C,$B71,'Daily Inward'!$E:$E,{"Inventory","Services"})))</f>
        <v/>
      </c>
      <c r="G71" s="341" t="str">
        <f>IF($B71="","",SUM(SUMIFS('Daily Issuance'!$G:$G,'Daily Issuance'!$C:$C,$B71,'Daily Issuance'!$E:$E,{"Inventory","Services"})))</f>
        <v/>
      </c>
      <c r="H71" s="42" t="str">
        <f t="shared" si="2"/>
        <v/>
      </c>
      <c r="I71" s="39"/>
      <c r="J71" s="36" t="str">
        <f t="shared" si="3"/>
        <v/>
      </c>
      <c r="K71" s="48"/>
    </row>
    <row r="72" spans="1:11" ht="23.1" customHeight="1">
      <c r="A72" s="348" t="str">
        <f>IF($B72="","",MAX($A$3:A71)+1)</f>
        <v/>
      </c>
      <c r="B72" s="253"/>
      <c r="C72" s="249"/>
      <c r="D72" s="263"/>
      <c r="E72" s="251"/>
      <c r="F72" s="340" t="str">
        <f>IF($B72="","",SUM(SUMIFS('Daily Inward'!$G:$G,'Daily Inward'!$C:$C,$B72,'Daily Inward'!$E:$E,{"Inventory","Services"})))</f>
        <v/>
      </c>
      <c r="G72" s="341" t="str">
        <f>IF($B72="","",SUM(SUMIFS('Daily Issuance'!$G:$G,'Daily Issuance'!$C:$C,$B72,'Daily Issuance'!$E:$E,{"Inventory","Services"})))</f>
        <v/>
      </c>
      <c r="H72" s="42" t="str">
        <f t="shared" si="2"/>
        <v/>
      </c>
      <c r="I72" s="39"/>
      <c r="J72" s="36" t="str">
        <f t="shared" si="3"/>
        <v/>
      </c>
      <c r="K72" s="48"/>
    </row>
    <row r="73" spans="1:11" ht="23.1" customHeight="1">
      <c r="A73" s="348" t="str">
        <f>IF($B73="","",MAX($A$3:A72)+1)</f>
        <v/>
      </c>
      <c r="B73" s="253"/>
      <c r="C73" s="249"/>
      <c r="D73" s="263"/>
      <c r="E73" s="251"/>
      <c r="F73" s="340" t="str">
        <f>IF($B73="","",SUM(SUMIFS('Daily Inward'!$G:$G,'Daily Inward'!$C:$C,$B73,'Daily Inward'!$E:$E,{"Inventory","Services"})))</f>
        <v/>
      </c>
      <c r="G73" s="341" t="str">
        <f>IF($B73="","",SUM(SUMIFS('Daily Issuance'!$G:$G,'Daily Issuance'!$C:$C,$B73,'Daily Issuance'!$E:$E,{"Inventory","Services"})))</f>
        <v/>
      </c>
      <c r="H73" s="42" t="str">
        <f t="shared" si="2"/>
        <v/>
      </c>
      <c r="I73" s="39"/>
      <c r="J73" s="36" t="str">
        <f t="shared" si="3"/>
        <v/>
      </c>
      <c r="K73" s="48"/>
    </row>
    <row r="74" spans="1:11" ht="23.1" customHeight="1">
      <c r="A74" s="348" t="str">
        <f>IF($B74="","",MAX($A$3:A73)+1)</f>
        <v/>
      </c>
      <c r="B74" s="253"/>
      <c r="C74" s="249"/>
      <c r="D74" s="263"/>
      <c r="E74" s="251"/>
      <c r="F74" s="340" t="str">
        <f>IF($B74="","",SUM(SUMIFS('Daily Inward'!$G:$G,'Daily Inward'!$C:$C,$B74,'Daily Inward'!$E:$E,{"Inventory","Services"})))</f>
        <v/>
      </c>
      <c r="G74" s="341" t="str">
        <f>IF($B74="","",SUM(SUMIFS('Daily Issuance'!$G:$G,'Daily Issuance'!$C:$C,$B74,'Daily Issuance'!$E:$E,{"Inventory","Services"})))</f>
        <v/>
      </c>
      <c r="H74" s="42" t="str">
        <f t="shared" si="2"/>
        <v/>
      </c>
      <c r="I74" s="39"/>
      <c r="J74" s="36" t="str">
        <f t="shared" si="3"/>
        <v/>
      </c>
      <c r="K74" s="48"/>
    </row>
    <row r="75" spans="1:11" ht="23.1" customHeight="1">
      <c r="A75" s="348" t="str">
        <f>IF($B75="","",MAX($A$3:A74)+1)</f>
        <v/>
      </c>
      <c r="B75" s="253"/>
      <c r="C75" s="249"/>
      <c r="D75" s="263"/>
      <c r="E75" s="251"/>
      <c r="F75" s="340" t="str">
        <f>IF($B75="","",SUM(SUMIFS('Daily Inward'!$G:$G,'Daily Inward'!$C:$C,$B75,'Daily Inward'!$E:$E,{"Inventory","Services"})))</f>
        <v/>
      </c>
      <c r="G75" s="341" t="str">
        <f>IF($B75="","",SUM(SUMIFS('Daily Issuance'!$G:$G,'Daily Issuance'!$C:$C,$B75,'Daily Issuance'!$E:$E,{"Inventory","Services"})))</f>
        <v/>
      </c>
      <c r="H75" s="42" t="str">
        <f t="shared" si="2"/>
        <v/>
      </c>
      <c r="I75" s="39"/>
      <c r="J75" s="36" t="str">
        <f t="shared" si="3"/>
        <v/>
      </c>
      <c r="K75" s="48"/>
    </row>
    <row r="76" spans="1:11" ht="23.1" customHeight="1">
      <c r="A76" s="348" t="str">
        <f>IF($B76="","",MAX($A$3:A75)+1)</f>
        <v/>
      </c>
      <c r="B76" s="253"/>
      <c r="C76" s="249"/>
      <c r="D76" s="263"/>
      <c r="E76" s="251"/>
      <c r="F76" s="340" t="str">
        <f>IF($B76="","",SUM(SUMIFS('Daily Inward'!$G:$G,'Daily Inward'!$C:$C,$B76,'Daily Inward'!$E:$E,{"Inventory","Services"})))</f>
        <v/>
      </c>
      <c r="G76" s="341" t="str">
        <f>IF($B76="","",SUM(SUMIFS('Daily Issuance'!$G:$G,'Daily Issuance'!$C:$C,$B76,'Daily Issuance'!$E:$E,{"Inventory","Services"})))</f>
        <v/>
      </c>
      <c r="H76" s="42" t="str">
        <f t="shared" si="2"/>
        <v/>
      </c>
      <c r="I76" s="39"/>
      <c r="J76" s="36" t="str">
        <f t="shared" si="3"/>
        <v/>
      </c>
      <c r="K76" s="48"/>
    </row>
    <row r="77" spans="1:11" ht="23.1" customHeight="1">
      <c r="A77" s="348" t="str">
        <f>IF($B77="","",MAX($A$3:A76)+1)</f>
        <v/>
      </c>
      <c r="B77" s="253"/>
      <c r="C77" s="249"/>
      <c r="D77" s="263"/>
      <c r="E77" s="251"/>
      <c r="F77" s="340" t="str">
        <f>IF($B77="","",SUM(SUMIFS('Daily Inward'!$G:$G,'Daily Inward'!$C:$C,$B77,'Daily Inward'!$E:$E,{"Inventory","Services"})))</f>
        <v/>
      </c>
      <c r="G77" s="341" t="str">
        <f>IF($B77="","",SUM(SUMIFS('Daily Issuance'!$G:$G,'Daily Issuance'!$C:$C,$B77,'Daily Issuance'!$E:$E,{"Inventory","Services"})))</f>
        <v/>
      </c>
      <c r="H77" s="42" t="str">
        <f t="shared" si="2"/>
        <v/>
      </c>
      <c r="I77" s="39"/>
      <c r="J77" s="36" t="str">
        <f t="shared" si="3"/>
        <v/>
      </c>
      <c r="K77" s="48"/>
    </row>
    <row r="78" spans="1:11" ht="23.1" customHeight="1">
      <c r="A78" s="348" t="str">
        <f>IF($B78="","",MAX($A$3:A77)+1)</f>
        <v/>
      </c>
      <c r="B78" s="253"/>
      <c r="C78" s="249"/>
      <c r="D78" s="263"/>
      <c r="E78" s="251"/>
      <c r="F78" s="340" t="str">
        <f>IF($B78="","",SUM(SUMIFS('Daily Inward'!$G:$G,'Daily Inward'!$C:$C,$B78,'Daily Inward'!$E:$E,{"Inventory","Services"})))</f>
        <v/>
      </c>
      <c r="G78" s="341" t="str">
        <f>IF($B78="","",SUM(SUMIFS('Daily Issuance'!$G:$G,'Daily Issuance'!$C:$C,$B78,'Daily Issuance'!$E:$E,{"Inventory","Services"})))</f>
        <v/>
      </c>
      <c r="H78" s="42" t="str">
        <f t="shared" si="2"/>
        <v/>
      </c>
      <c r="I78" s="39"/>
      <c r="J78" s="36" t="str">
        <f t="shared" si="3"/>
        <v/>
      </c>
      <c r="K78" s="48"/>
    </row>
    <row r="79" spans="1:11" ht="23.1" customHeight="1">
      <c r="A79" s="348" t="str">
        <f>IF($B79="","",MAX($A$3:A78)+1)</f>
        <v/>
      </c>
      <c r="B79" s="253"/>
      <c r="C79" s="249"/>
      <c r="D79" s="263"/>
      <c r="E79" s="251"/>
      <c r="F79" s="340" t="str">
        <f>IF($B79="","",SUM(SUMIFS('Daily Inward'!$G:$G,'Daily Inward'!$C:$C,$B79,'Daily Inward'!$E:$E,{"Inventory","Services"})))</f>
        <v/>
      </c>
      <c r="G79" s="341" t="str">
        <f>IF($B79="","",SUM(SUMIFS('Daily Issuance'!$G:$G,'Daily Issuance'!$C:$C,$B79,'Daily Issuance'!$E:$E,{"Inventory","Services"})))</f>
        <v/>
      </c>
      <c r="H79" s="42" t="str">
        <f t="shared" si="2"/>
        <v/>
      </c>
      <c r="I79" s="39"/>
      <c r="J79" s="36" t="str">
        <f t="shared" si="3"/>
        <v/>
      </c>
      <c r="K79" s="48"/>
    </row>
    <row r="80" spans="1:11" ht="23.1" customHeight="1">
      <c r="A80" s="348" t="str">
        <f>IF($B80="","",MAX($A$3:A79)+1)</f>
        <v/>
      </c>
      <c r="B80" s="253"/>
      <c r="C80" s="249"/>
      <c r="D80" s="263"/>
      <c r="E80" s="251"/>
      <c r="F80" s="340" t="str">
        <f>IF($B80="","",SUM(SUMIFS('Daily Inward'!$G:$G,'Daily Inward'!$C:$C,$B80,'Daily Inward'!$E:$E,{"Inventory","Services"})))</f>
        <v/>
      </c>
      <c r="G80" s="341" t="str">
        <f>IF($B80="","",SUM(SUMIFS('Daily Issuance'!$G:$G,'Daily Issuance'!$C:$C,$B80,'Daily Issuance'!$E:$E,{"Inventory","Services"})))</f>
        <v/>
      </c>
      <c r="H80" s="42" t="str">
        <f t="shared" si="2"/>
        <v/>
      </c>
      <c r="I80" s="39"/>
      <c r="J80" s="36" t="str">
        <f t="shared" si="3"/>
        <v/>
      </c>
      <c r="K80" s="48"/>
    </row>
    <row r="81" spans="1:11" ht="23.1" customHeight="1">
      <c r="A81" s="348" t="str">
        <f>IF($B81="","",MAX($A$3:A80)+1)</f>
        <v/>
      </c>
      <c r="B81" s="253"/>
      <c r="C81" s="249"/>
      <c r="D81" s="263"/>
      <c r="E81" s="251"/>
      <c r="F81" s="340" t="str">
        <f>IF($B81="","",SUM(SUMIFS('Daily Inward'!$G:$G,'Daily Inward'!$C:$C,$B81,'Daily Inward'!$E:$E,{"Inventory","Services"})))</f>
        <v/>
      </c>
      <c r="G81" s="341" t="str">
        <f>IF($B81="","",SUM(SUMIFS('Daily Issuance'!$G:$G,'Daily Issuance'!$C:$C,$B81,'Daily Issuance'!$E:$E,{"Inventory","Services"})))</f>
        <v/>
      </c>
      <c r="H81" s="42" t="str">
        <f t="shared" si="2"/>
        <v/>
      </c>
      <c r="I81" s="39"/>
      <c r="J81" s="36" t="str">
        <f t="shared" si="3"/>
        <v/>
      </c>
      <c r="K81" s="48"/>
    </row>
    <row r="82" spans="1:11" ht="23.1" customHeight="1">
      <c r="A82" s="348" t="str">
        <f>IF($B82="","",MAX($A$3:A81)+1)</f>
        <v/>
      </c>
      <c r="B82" s="253"/>
      <c r="C82" s="249"/>
      <c r="D82" s="263"/>
      <c r="E82" s="251"/>
      <c r="F82" s="340" t="str">
        <f>IF($B82="","",SUM(SUMIFS('Daily Inward'!$G:$G,'Daily Inward'!$C:$C,$B82,'Daily Inward'!$E:$E,{"Inventory","Services"})))</f>
        <v/>
      </c>
      <c r="G82" s="341" t="str">
        <f>IF($B82="","",SUM(SUMIFS('Daily Issuance'!$G:$G,'Daily Issuance'!$C:$C,$B82,'Daily Issuance'!$E:$E,{"Inventory","Services"})))</f>
        <v/>
      </c>
      <c r="H82" s="42" t="str">
        <f t="shared" si="2"/>
        <v/>
      </c>
      <c r="I82" s="39"/>
      <c r="J82" s="36" t="str">
        <f t="shared" si="3"/>
        <v/>
      </c>
      <c r="K82" s="48"/>
    </row>
    <row r="83" spans="1:11" ht="23.1" customHeight="1">
      <c r="A83" s="348" t="str">
        <f>IF($B83="","",MAX($A$3:A82)+1)</f>
        <v/>
      </c>
      <c r="B83" s="253"/>
      <c r="C83" s="249"/>
      <c r="D83" s="263"/>
      <c r="E83" s="251"/>
      <c r="F83" s="340" t="str">
        <f>IF($B83="","",SUM(SUMIFS('Daily Inward'!$G:$G,'Daily Inward'!$C:$C,$B83,'Daily Inward'!$E:$E,{"Inventory","Services"})))</f>
        <v/>
      </c>
      <c r="G83" s="341" t="str">
        <f>IF($B83="","",SUM(SUMIFS('Daily Issuance'!$G:$G,'Daily Issuance'!$C:$C,$B83,'Daily Issuance'!$E:$E,{"Inventory","Services"})))</f>
        <v/>
      </c>
      <c r="H83" s="42" t="str">
        <f t="shared" si="2"/>
        <v/>
      </c>
      <c r="I83" s="39"/>
      <c r="J83" s="36" t="str">
        <f t="shared" si="3"/>
        <v/>
      </c>
      <c r="K83" s="48"/>
    </row>
    <row r="84" spans="1:11" ht="23.1" customHeight="1">
      <c r="A84" s="348" t="str">
        <f>IF($B84="","",MAX($A$3:A83)+1)</f>
        <v/>
      </c>
      <c r="B84" s="253"/>
      <c r="C84" s="249"/>
      <c r="D84" s="263"/>
      <c r="E84" s="251"/>
      <c r="F84" s="340" t="str">
        <f>IF($B84="","",SUM(SUMIFS('Daily Inward'!$G:$G,'Daily Inward'!$C:$C,$B84,'Daily Inward'!$E:$E,{"Inventory","Services"})))</f>
        <v/>
      </c>
      <c r="G84" s="341" t="str">
        <f>IF($B84="","",SUM(SUMIFS('Daily Issuance'!$G:$G,'Daily Issuance'!$C:$C,$B84,'Daily Issuance'!$E:$E,{"Inventory","Services"})))</f>
        <v/>
      </c>
      <c r="H84" s="42" t="str">
        <f t="shared" si="2"/>
        <v/>
      </c>
      <c r="I84" s="39"/>
      <c r="J84" s="36" t="str">
        <f t="shared" si="3"/>
        <v/>
      </c>
      <c r="K84" s="48"/>
    </row>
    <row r="85" spans="1:11" ht="23.1" customHeight="1">
      <c r="A85" s="348" t="str">
        <f>IF($B85="","",MAX($A$3:A84)+1)</f>
        <v/>
      </c>
      <c r="B85" s="253"/>
      <c r="C85" s="249"/>
      <c r="D85" s="263"/>
      <c r="E85" s="251"/>
      <c r="F85" s="340" t="str">
        <f>IF($B85="","",SUM(SUMIFS('Daily Inward'!$G:$G,'Daily Inward'!$C:$C,$B85,'Daily Inward'!$E:$E,{"Inventory","Services"})))</f>
        <v/>
      </c>
      <c r="G85" s="341" t="str">
        <f>IF($B85="","",SUM(SUMIFS('Daily Issuance'!$G:$G,'Daily Issuance'!$C:$C,$B85,'Daily Issuance'!$E:$E,{"Inventory","Services"})))</f>
        <v/>
      </c>
      <c r="H85" s="42" t="str">
        <f t="shared" si="2"/>
        <v/>
      </c>
      <c r="I85" s="39"/>
      <c r="J85" s="36" t="str">
        <f t="shared" si="3"/>
        <v/>
      </c>
      <c r="K85" s="48"/>
    </row>
    <row r="86" spans="1:11" ht="23.1" customHeight="1">
      <c r="A86" s="348" t="str">
        <f>IF($B86="","",MAX($A$3:A85)+1)</f>
        <v/>
      </c>
      <c r="B86" s="253"/>
      <c r="C86" s="249"/>
      <c r="D86" s="263"/>
      <c r="E86" s="251"/>
      <c r="F86" s="340" t="str">
        <f>IF($B86="","",SUM(SUMIFS('Daily Inward'!$G:$G,'Daily Inward'!$C:$C,$B86,'Daily Inward'!$E:$E,{"Inventory","Services"})))</f>
        <v/>
      </c>
      <c r="G86" s="341" t="str">
        <f>IF($B86="","",SUM(SUMIFS('Daily Issuance'!$G:$G,'Daily Issuance'!$C:$C,$B86,'Daily Issuance'!$E:$E,{"Inventory","Services"})))</f>
        <v/>
      </c>
      <c r="H86" s="42" t="str">
        <f t="shared" si="2"/>
        <v/>
      </c>
      <c r="I86" s="39"/>
      <c r="J86" s="36" t="str">
        <f t="shared" si="3"/>
        <v/>
      </c>
      <c r="K86" s="48"/>
    </row>
    <row r="87" spans="1:11" ht="23.1" customHeight="1">
      <c r="A87" s="348" t="str">
        <f>IF($B87="","",MAX($A$3:A86)+1)</f>
        <v/>
      </c>
      <c r="B87" s="253"/>
      <c r="C87" s="249"/>
      <c r="D87" s="263"/>
      <c r="E87" s="251"/>
      <c r="F87" s="340" t="str">
        <f>IF($B87="","",SUM(SUMIFS('Daily Inward'!$G:$G,'Daily Inward'!$C:$C,$B87,'Daily Inward'!$E:$E,{"Inventory","Services"})))</f>
        <v/>
      </c>
      <c r="G87" s="341" t="str">
        <f>IF($B87="","",SUM(SUMIFS('Daily Issuance'!$G:$G,'Daily Issuance'!$C:$C,$B87,'Daily Issuance'!$E:$E,{"Inventory","Services"})))</f>
        <v/>
      </c>
      <c r="H87" s="42" t="str">
        <f t="shared" si="2"/>
        <v/>
      </c>
      <c r="I87" s="39"/>
      <c r="J87" s="36" t="str">
        <f t="shared" si="3"/>
        <v/>
      </c>
      <c r="K87" s="48"/>
    </row>
    <row r="88" spans="1:11" ht="23.1" customHeight="1">
      <c r="A88" s="348" t="str">
        <f>IF($B88="","",MAX($A$3:A87)+1)</f>
        <v/>
      </c>
      <c r="B88" s="253"/>
      <c r="C88" s="249"/>
      <c r="D88" s="263"/>
      <c r="E88" s="251"/>
      <c r="F88" s="340" t="str">
        <f>IF($B88="","",SUM(SUMIFS('Daily Inward'!$G:$G,'Daily Inward'!$C:$C,$B88,'Daily Inward'!$E:$E,{"Inventory","Services"})))</f>
        <v/>
      </c>
      <c r="G88" s="341" t="str">
        <f>IF($B88="","",SUM(SUMIFS('Daily Issuance'!$G:$G,'Daily Issuance'!$C:$C,$B88,'Daily Issuance'!$E:$E,{"Inventory","Services"})))</f>
        <v/>
      </c>
      <c r="H88" s="42" t="str">
        <f t="shared" si="2"/>
        <v/>
      </c>
      <c r="I88" s="39"/>
      <c r="J88" s="36" t="str">
        <f t="shared" si="3"/>
        <v/>
      </c>
      <c r="K88" s="48"/>
    </row>
    <row r="89" spans="1:11" ht="23.1" customHeight="1">
      <c r="A89" s="348" t="str">
        <f>IF($B89="","",MAX($A$3:A88)+1)</f>
        <v/>
      </c>
      <c r="B89" s="253"/>
      <c r="C89" s="249"/>
      <c r="D89" s="263"/>
      <c r="E89" s="251"/>
      <c r="F89" s="340" t="str">
        <f>IF($B89="","",SUM(SUMIFS('Daily Inward'!$G:$G,'Daily Inward'!$C:$C,$B89,'Daily Inward'!$E:$E,{"Inventory","Services"})))</f>
        <v/>
      </c>
      <c r="G89" s="341" t="str">
        <f>IF($B89="","",SUM(SUMIFS('Daily Issuance'!$G:$G,'Daily Issuance'!$C:$C,$B89,'Daily Issuance'!$E:$E,{"Inventory","Services"})))</f>
        <v/>
      </c>
      <c r="H89" s="42" t="str">
        <f t="shared" si="2"/>
        <v/>
      </c>
      <c r="I89" s="39"/>
      <c r="J89" s="36" t="str">
        <f t="shared" si="3"/>
        <v/>
      </c>
      <c r="K89" s="48"/>
    </row>
    <row r="90" spans="1:11" ht="23.1" customHeight="1">
      <c r="A90" s="348" t="str">
        <f>IF($B90="","",MAX($A$3:A89)+1)</f>
        <v/>
      </c>
      <c r="B90" s="253"/>
      <c r="C90" s="249"/>
      <c r="D90" s="263"/>
      <c r="E90" s="251"/>
      <c r="F90" s="340" t="str">
        <f>IF($B90="","",SUM(SUMIFS('Daily Inward'!$G:$G,'Daily Inward'!$C:$C,$B90,'Daily Inward'!$E:$E,{"Inventory","Services"})))</f>
        <v/>
      </c>
      <c r="G90" s="341" t="str">
        <f>IF($B90="","",SUM(SUMIFS('Daily Issuance'!$G:$G,'Daily Issuance'!$C:$C,$B90,'Daily Issuance'!$E:$E,{"Inventory","Services"})))</f>
        <v/>
      </c>
      <c r="H90" s="42" t="str">
        <f t="shared" si="2"/>
        <v/>
      </c>
      <c r="I90" s="39"/>
      <c r="J90" s="36" t="str">
        <f t="shared" si="3"/>
        <v/>
      </c>
      <c r="K90" s="48"/>
    </row>
    <row r="91" spans="1:11" ht="23.1" customHeight="1">
      <c r="A91" s="348" t="str">
        <f>IF($B91="","",MAX($A$3:A90)+1)</f>
        <v/>
      </c>
      <c r="B91" s="253"/>
      <c r="C91" s="249"/>
      <c r="D91" s="263"/>
      <c r="E91" s="251"/>
      <c r="F91" s="340" t="str">
        <f>IF($B91="","",SUM(SUMIFS('Daily Inward'!$G:$G,'Daily Inward'!$C:$C,$B91,'Daily Inward'!$E:$E,{"Inventory","Services"})))</f>
        <v/>
      </c>
      <c r="G91" s="341" t="str">
        <f>IF($B91="","",SUM(SUMIFS('Daily Issuance'!$G:$G,'Daily Issuance'!$C:$C,$B91,'Daily Issuance'!$E:$E,{"Inventory","Services"})))</f>
        <v/>
      </c>
      <c r="H91" s="42" t="str">
        <f t="shared" si="2"/>
        <v/>
      </c>
      <c r="I91" s="39"/>
      <c r="J91" s="36" t="str">
        <f t="shared" si="3"/>
        <v/>
      </c>
      <c r="K91" s="48"/>
    </row>
    <row r="92" spans="1:11" ht="23.1" customHeight="1">
      <c r="A92" s="348" t="str">
        <f>IF($B92="","",MAX($A$3:A91)+1)</f>
        <v/>
      </c>
      <c r="B92" s="253"/>
      <c r="C92" s="249"/>
      <c r="D92" s="263"/>
      <c r="E92" s="251"/>
      <c r="F92" s="340" t="str">
        <f>IF($B92="","",SUM(SUMIFS('Daily Inward'!$G:$G,'Daily Inward'!$C:$C,$B92,'Daily Inward'!$E:$E,{"Inventory","Services"})))</f>
        <v/>
      </c>
      <c r="G92" s="341" t="str">
        <f>IF($B92="","",SUM(SUMIFS('Daily Issuance'!$G:$G,'Daily Issuance'!$C:$C,$B92,'Daily Issuance'!$E:$E,{"Inventory","Services"})))</f>
        <v/>
      </c>
      <c r="H92" s="42" t="str">
        <f t="shared" si="2"/>
        <v/>
      </c>
      <c r="I92" s="39"/>
      <c r="J92" s="36" t="str">
        <f t="shared" si="3"/>
        <v/>
      </c>
      <c r="K92" s="48"/>
    </row>
    <row r="93" spans="1:11" ht="23.1" customHeight="1">
      <c r="A93" s="348" t="str">
        <f>IF($B93="","",MAX($A$3:A92)+1)</f>
        <v/>
      </c>
      <c r="B93" s="253"/>
      <c r="C93" s="249"/>
      <c r="D93" s="263"/>
      <c r="E93" s="251"/>
      <c r="F93" s="340" t="str">
        <f>IF($B93="","",SUM(SUMIFS('Daily Inward'!$G:$G,'Daily Inward'!$C:$C,$B93,'Daily Inward'!$E:$E,{"Inventory","Services"})))</f>
        <v/>
      </c>
      <c r="G93" s="341" t="str">
        <f>IF($B93="","",SUM(SUMIFS('Daily Issuance'!$G:$G,'Daily Issuance'!$C:$C,$B93,'Daily Issuance'!$E:$E,{"Inventory","Services"})))</f>
        <v/>
      </c>
      <c r="H93" s="42" t="str">
        <f t="shared" si="2"/>
        <v/>
      </c>
      <c r="I93" s="39"/>
      <c r="J93" s="36" t="str">
        <f t="shared" si="3"/>
        <v/>
      </c>
      <c r="K93" s="48"/>
    </row>
    <row r="94" spans="1:11" ht="23.1" customHeight="1">
      <c r="A94" s="348" t="str">
        <f>IF($B94="","",MAX($A$3:A93)+1)</f>
        <v/>
      </c>
      <c r="B94" s="253"/>
      <c r="C94" s="249"/>
      <c r="D94" s="263"/>
      <c r="E94" s="251"/>
      <c r="F94" s="340" t="str">
        <f>IF($B94="","",SUM(SUMIFS('Daily Inward'!$G:$G,'Daily Inward'!$C:$C,$B94,'Daily Inward'!$E:$E,{"Inventory","Services"})))</f>
        <v/>
      </c>
      <c r="G94" s="341" t="str">
        <f>IF($B94="","",SUM(SUMIFS('Daily Issuance'!$G:$G,'Daily Issuance'!$C:$C,$B94,'Daily Issuance'!$E:$E,{"Inventory","Services"})))</f>
        <v/>
      </c>
      <c r="H94" s="42" t="str">
        <f t="shared" si="2"/>
        <v/>
      </c>
      <c r="I94" s="39"/>
      <c r="J94" s="36" t="str">
        <f t="shared" si="3"/>
        <v/>
      </c>
      <c r="K94" s="48"/>
    </row>
    <row r="95" spans="1:11" ht="23.1" customHeight="1">
      <c r="A95" s="348" t="str">
        <f>IF($B95="","",MAX($A$3:A94)+1)</f>
        <v/>
      </c>
      <c r="B95" s="253"/>
      <c r="C95" s="249"/>
      <c r="D95" s="263"/>
      <c r="E95" s="251"/>
      <c r="F95" s="340" t="str">
        <f>IF($B95="","",SUM(SUMIFS('Daily Inward'!$G:$G,'Daily Inward'!$C:$C,$B95,'Daily Inward'!$E:$E,{"Inventory","Services"})))</f>
        <v/>
      </c>
      <c r="G95" s="341" t="str">
        <f>IF($B95="","",SUM(SUMIFS('Daily Issuance'!$G:$G,'Daily Issuance'!$C:$C,$B95,'Daily Issuance'!$E:$E,{"Inventory","Services"})))</f>
        <v/>
      </c>
      <c r="H95" s="42" t="str">
        <f t="shared" si="2"/>
        <v/>
      </c>
      <c r="I95" s="39"/>
      <c r="J95" s="36" t="str">
        <f t="shared" si="3"/>
        <v/>
      </c>
      <c r="K95" s="48"/>
    </row>
    <row r="96" spans="1:11" ht="23.1" customHeight="1">
      <c r="A96" s="348" t="str">
        <f>IF($B96="","",MAX($A$3:A95)+1)</f>
        <v/>
      </c>
      <c r="B96" s="253"/>
      <c r="C96" s="249"/>
      <c r="D96" s="263"/>
      <c r="E96" s="251"/>
      <c r="F96" s="340" t="str">
        <f>IF($B96="","",SUM(SUMIFS('Daily Inward'!$G:$G,'Daily Inward'!$C:$C,$B96,'Daily Inward'!$E:$E,{"Inventory","Services"})))</f>
        <v/>
      </c>
      <c r="G96" s="341" t="str">
        <f>IF($B96="","",SUM(SUMIFS('Daily Issuance'!$G:$G,'Daily Issuance'!$C:$C,$B96,'Daily Issuance'!$E:$E,{"Inventory","Services"})))</f>
        <v/>
      </c>
      <c r="H96" s="42" t="str">
        <f t="shared" si="2"/>
        <v/>
      </c>
      <c r="I96" s="39"/>
      <c r="J96" s="36" t="str">
        <f t="shared" si="3"/>
        <v/>
      </c>
      <c r="K96" s="48"/>
    </row>
    <row r="97" spans="1:11" ht="23.1" customHeight="1">
      <c r="A97" s="348" t="str">
        <f>IF($B97="","",MAX($A$3:A96)+1)</f>
        <v/>
      </c>
      <c r="B97" s="253"/>
      <c r="C97" s="249"/>
      <c r="D97" s="263"/>
      <c r="E97" s="251"/>
      <c r="F97" s="340" t="str">
        <f>IF($B97="","",SUM(SUMIFS('Daily Inward'!$G:$G,'Daily Inward'!$C:$C,$B97,'Daily Inward'!$E:$E,{"Inventory","Services"})))</f>
        <v/>
      </c>
      <c r="G97" s="341" t="str">
        <f>IF($B97="","",SUM(SUMIFS('Daily Issuance'!$G:$G,'Daily Issuance'!$C:$C,$B97,'Daily Issuance'!$E:$E,{"Inventory","Services"})))</f>
        <v/>
      </c>
      <c r="H97" s="42" t="str">
        <f t="shared" si="2"/>
        <v/>
      </c>
      <c r="I97" s="39"/>
      <c r="J97" s="36" t="str">
        <f t="shared" si="3"/>
        <v/>
      </c>
      <c r="K97" s="48"/>
    </row>
    <row r="98" spans="1:11" ht="23.1" customHeight="1">
      <c r="A98" s="348" t="str">
        <f>IF($B98="","",MAX($A$3:A97)+1)</f>
        <v/>
      </c>
      <c r="B98" s="253"/>
      <c r="C98" s="249"/>
      <c r="D98" s="263"/>
      <c r="E98" s="251"/>
      <c r="F98" s="340" t="str">
        <f>IF($B98="","",SUM(SUMIFS('Daily Inward'!$G:$G,'Daily Inward'!$C:$C,$B98,'Daily Inward'!$E:$E,{"Inventory","Services"})))</f>
        <v/>
      </c>
      <c r="G98" s="341" t="str">
        <f>IF($B98="","",SUM(SUMIFS('Daily Issuance'!$G:$G,'Daily Issuance'!$C:$C,$B98,'Daily Issuance'!$E:$E,{"Inventory","Services"})))</f>
        <v/>
      </c>
      <c r="H98" s="42" t="str">
        <f t="shared" si="2"/>
        <v/>
      </c>
      <c r="I98" s="39"/>
      <c r="J98" s="36" t="str">
        <f t="shared" si="3"/>
        <v/>
      </c>
      <c r="K98" s="48"/>
    </row>
    <row r="99" spans="1:11" ht="23.1" customHeight="1">
      <c r="A99" s="348" t="str">
        <f>IF($B99="","",MAX($A$3:A98)+1)</f>
        <v/>
      </c>
      <c r="B99" s="253"/>
      <c r="C99" s="249"/>
      <c r="D99" s="263"/>
      <c r="E99" s="251"/>
      <c r="F99" s="340" t="str">
        <f>IF($B99="","",SUM(SUMIFS('Daily Inward'!$G:$G,'Daily Inward'!$C:$C,$B99,'Daily Inward'!$E:$E,{"Inventory","Services"})))</f>
        <v/>
      </c>
      <c r="G99" s="341" t="str">
        <f>IF($B99="","",SUM(SUMIFS('Daily Issuance'!$G:$G,'Daily Issuance'!$C:$C,$B99,'Daily Issuance'!$E:$E,{"Inventory","Services"})))</f>
        <v/>
      </c>
      <c r="H99" s="42" t="str">
        <f t="shared" si="2"/>
        <v/>
      </c>
      <c r="I99" s="39"/>
      <c r="J99" s="36" t="str">
        <f t="shared" si="3"/>
        <v/>
      </c>
      <c r="K99" s="48"/>
    </row>
    <row r="100" spans="1:11" ht="23.1" customHeight="1">
      <c r="A100" s="348" t="str">
        <f>IF($B100="","",MAX($A$3:A99)+1)</f>
        <v/>
      </c>
      <c r="B100" s="253"/>
      <c r="C100" s="249"/>
      <c r="D100" s="263"/>
      <c r="E100" s="251"/>
      <c r="F100" s="340" t="str">
        <f>IF($B100="","",SUM(SUMIFS('Daily Inward'!$G:$G,'Daily Inward'!$C:$C,$B100,'Daily Inward'!$E:$E,{"Inventory","Services"})))</f>
        <v/>
      </c>
      <c r="G100" s="341" t="str">
        <f>IF($B100="","",SUM(SUMIFS('Daily Issuance'!$G:$G,'Daily Issuance'!$C:$C,$B100,'Daily Issuance'!$E:$E,{"Inventory","Services"})))</f>
        <v/>
      </c>
      <c r="H100" s="42" t="str">
        <f t="shared" si="2"/>
        <v/>
      </c>
      <c r="I100" s="39"/>
      <c r="J100" s="36" t="str">
        <f t="shared" si="3"/>
        <v/>
      </c>
      <c r="K100" s="48"/>
    </row>
    <row r="101" spans="1:11" ht="23.1" customHeight="1">
      <c r="A101" s="348" t="str">
        <f>IF($B101="","",MAX($A$3:A100)+1)</f>
        <v/>
      </c>
      <c r="B101" s="253"/>
      <c r="C101" s="249"/>
      <c r="D101" s="263"/>
      <c r="E101" s="251"/>
      <c r="F101" s="340" t="str">
        <f>IF($B101="","",SUM(SUMIFS('Daily Inward'!$G:$G,'Daily Inward'!$C:$C,$B101,'Daily Inward'!$E:$E,{"Inventory","Services"})))</f>
        <v/>
      </c>
      <c r="G101" s="341" t="str">
        <f>IF($B101="","",SUM(SUMIFS('Daily Issuance'!$G:$G,'Daily Issuance'!$C:$C,$B101,'Daily Issuance'!$E:$E,{"Inventory","Services"})))</f>
        <v/>
      </c>
      <c r="H101" s="42" t="str">
        <f t="shared" si="2"/>
        <v/>
      </c>
      <c r="I101" s="39"/>
      <c r="J101" s="36" t="str">
        <f t="shared" si="3"/>
        <v/>
      </c>
      <c r="K101" s="48"/>
    </row>
    <row r="102" spans="1:11" ht="23.1" customHeight="1">
      <c r="A102" s="348" t="str">
        <f>IF($B102="","",MAX($A$3:A101)+1)</f>
        <v/>
      </c>
      <c r="B102" s="253"/>
      <c r="C102" s="249"/>
      <c r="D102" s="263"/>
      <c r="E102" s="251"/>
      <c r="F102" s="340" t="str">
        <f>IF($B102="","",SUM(SUMIFS('Daily Inward'!$G:$G,'Daily Inward'!$C:$C,$B102,'Daily Inward'!$E:$E,{"Inventory","Services"})))</f>
        <v/>
      </c>
      <c r="G102" s="341" t="str">
        <f>IF($B102="","",SUM(SUMIFS('Daily Issuance'!$G:$G,'Daily Issuance'!$C:$C,$B102,'Daily Issuance'!$E:$E,{"Inventory","Services"})))</f>
        <v/>
      </c>
      <c r="H102" s="42" t="str">
        <f t="shared" si="2"/>
        <v/>
      </c>
      <c r="I102" s="39"/>
      <c r="J102" s="36" t="str">
        <f t="shared" si="3"/>
        <v/>
      </c>
      <c r="K102" s="48"/>
    </row>
    <row r="103" spans="1:11" ht="23.1" customHeight="1">
      <c r="A103" s="348" t="str">
        <f>IF($B103="","",MAX($A$3:A102)+1)</f>
        <v/>
      </c>
      <c r="B103" s="253"/>
      <c r="C103" s="249"/>
      <c r="D103" s="263"/>
      <c r="E103" s="251"/>
      <c r="F103" s="340" t="str">
        <f>IF($B103="","",SUM(SUMIFS('Daily Inward'!$G:$G,'Daily Inward'!$C:$C,$B103,'Daily Inward'!$E:$E,{"Inventory","Services"})))</f>
        <v/>
      </c>
      <c r="G103" s="341" t="str">
        <f>IF($B103="","",SUM(SUMIFS('Daily Issuance'!$G:$G,'Daily Issuance'!$C:$C,$B103,'Daily Issuance'!$E:$E,{"Inventory","Services"})))</f>
        <v/>
      </c>
      <c r="H103" s="42" t="str">
        <f t="shared" si="2"/>
        <v/>
      </c>
      <c r="I103" s="39"/>
      <c r="J103" s="36" t="str">
        <f t="shared" si="3"/>
        <v/>
      </c>
      <c r="K103" s="48"/>
    </row>
    <row r="104" spans="1:11" ht="23.1" customHeight="1">
      <c r="A104" s="348" t="str">
        <f>IF($B104="","",MAX($A$3:A103)+1)</f>
        <v/>
      </c>
      <c r="B104" s="253"/>
      <c r="C104" s="249"/>
      <c r="D104" s="263"/>
      <c r="E104" s="251"/>
      <c r="F104" s="340" t="str">
        <f>IF($B104="","",SUM(SUMIFS('Daily Inward'!$G:$G,'Daily Inward'!$C:$C,$B104,'Daily Inward'!$E:$E,{"Inventory","Services"})))</f>
        <v/>
      </c>
      <c r="G104" s="341" t="str">
        <f>IF($B104="","",SUM(SUMIFS('Daily Issuance'!$G:$G,'Daily Issuance'!$C:$C,$B104,'Daily Issuance'!$E:$E,{"Inventory","Services"})))</f>
        <v/>
      </c>
      <c r="H104" s="42" t="str">
        <f t="shared" si="2"/>
        <v/>
      </c>
      <c r="I104" s="39"/>
      <c r="J104" s="36" t="str">
        <f t="shared" si="3"/>
        <v/>
      </c>
      <c r="K104" s="48"/>
    </row>
    <row r="105" spans="1:11" ht="23.1" customHeight="1">
      <c r="A105" s="348" t="str">
        <f>IF($B105="","",MAX($A$3:A104)+1)</f>
        <v/>
      </c>
      <c r="B105" s="253"/>
      <c r="C105" s="249"/>
      <c r="D105" s="263"/>
      <c r="E105" s="251"/>
      <c r="F105" s="340" t="str">
        <f>IF($B105="","",SUM(SUMIFS('Daily Inward'!$G:$G,'Daily Inward'!$C:$C,$B105,'Daily Inward'!$E:$E,{"Inventory","Services"})))</f>
        <v/>
      </c>
      <c r="G105" s="341" t="str">
        <f>IF($B105="","",SUM(SUMIFS('Daily Issuance'!$G:$G,'Daily Issuance'!$C:$C,$B105,'Daily Issuance'!$E:$E,{"Inventory","Services"})))</f>
        <v/>
      </c>
      <c r="H105" s="42" t="str">
        <f t="shared" si="2"/>
        <v/>
      </c>
      <c r="I105" s="39"/>
      <c r="J105" s="36" t="str">
        <f t="shared" si="3"/>
        <v/>
      </c>
      <c r="K105" s="48"/>
    </row>
    <row r="106" spans="1:11" ht="23.1" customHeight="1">
      <c r="A106" s="348" t="str">
        <f>IF($B106="","",MAX($A$3:A105)+1)</f>
        <v/>
      </c>
      <c r="B106" s="253"/>
      <c r="C106" s="249"/>
      <c r="D106" s="263"/>
      <c r="E106" s="251"/>
      <c r="F106" s="340" t="str">
        <f>IF($B106="","",SUM(SUMIFS('Daily Inward'!$G:$G,'Daily Inward'!$C:$C,$B106,'Daily Inward'!$E:$E,{"Inventory","Services"})))</f>
        <v/>
      </c>
      <c r="G106" s="341" t="str">
        <f>IF($B106="","",SUM(SUMIFS('Daily Issuance'!$G:$G,'Daily Issuance'!$C:$C,$B106,'Daily Issuance'!$E:$E,{"Inventory","Services"})))</f>
        <v/>
      </c>
      <c r="H106" s="42" t="str">
        <f t="shared" si="2"/>
        <v/>
      </c>
      <c r="I106" s="39"/>
      <c r="J106" s="36" t="str">
        <f t="shared" si="3"/>
        <v/>
      </c>
      <c r="K106" s="48"/>
    </row>
    <row r="107" spans="1:11" ht="23.1" customHeight="1">
      <c r="A107" s="348" t="str">
        <f>IF($B107="","",MAX($A$3:A106)+1)</f>
        <v/>
      </c>
      <c r="B107" s="253"/>
      <c r="C107" s="249"/>
      <c r="D107" s="263"/>
      <c r="E107" s="251"/>
      <c r="F107" s="340" t="str">
        <f>IF($B107="","",SUM(SUMIFS('Daily Inward'!$G:$G,'Daily Inward'!$C:$C,$B107,'Daily Inward'!$E:$E,{"Inventory","Services"})))</f>
        <v/>
      </c>
      <c r="G107" s="341" t="str">
        <f>IF($B107="","",SUM(SUMIFS('Daily Issuance'!$G:$G,'Daily Issuance'!$C:$C,$B107,'Daily Issuance'!$E:$E,{"Inventory","Services"})))</f>
        <v/>
      </c>
      <c r="H107" s="42" t="str">
        <f t="shared" si="2"/>
        <v/>
      </c>
      <c r="I107" s="39"/>
      <c r="J107" s="36" t="str">
        <f t="shared" si="3"/>
        <v/>
      </c>
      <c r="K107" s="48"/>
    </row>
    <row r="108" spans="1:11" ht="23.1" customHeight="1">
      <c r="A108" s="348" t="str">
        <f>IF($B108="","",MAX($A$3:A107)+1)</f>
        <v/>
      </c>
      <c r="B108" s="253"/>
      <c r="C108" s="249"/>
      <c r="D108" s="263"/>
      <c r="E108" s="251"/>
      <c r="F108" s="340" t="str">
        <f>IF($B108="","",SUM(SUMIFS('Daily Inward'!$G:$G,'Daily Inward'!$C:$C,$B108,'Daily Inward'!$E:$E,{"Inventory","Services"})))</f>
        <v/>
      </c>
      <c r="G108" s="341" t="str">
        <f>IF($B108="","",SUM(SUMIFS('Daily Issuance'!$G:$G,'Daily Issuance'!$C:$C,$B108,'Daily Issuance'!$E:$E,{"Inventory","Services"})))</f>
        <v/>
      </c>
      <c r="H108" s="42" t="str">
        <f t="shared" si="2"/>
        <v/>
      </c>
      <c r="I108" s="39"/>
      <c r="J108" s="36" t="str">
        <f t="shared" si="3"/>
        <v/>
      </c>
      <c r="K108" s="48"/>
    </row>
    <row r="109" spans="1:11" ht="23.1" customHeight="1">
      <c r="A109" s="348" t="str">
        <f>IF($B109="","",MAX($A$3:A108)+1)</f>
        <v/>
      </c>
      <c r="B109" s="253"/>
      <c r="C109" s="249"/>
      <c r="D109" s="263"/>
      <c r="E109" s="251"/>
      <c r="F109" s="340" t="str">
        <f>IF($B109="","",SUM(SUMIFS('Daily Inward'!$G:$G,'Daily Inward'!$C:$C,$B109,'Daily Inward'!$E:$E,{"Inventory","Services"})))</f>
        <v/>
      </c>
      <c r="G109" s="341" t="str">
        <f>IF($B109="","",SUM(SUMIFS('Daily Issuance'!$G:$G,'Daily Issuance'!$C:$C,$B109,'Daily Issuance'!$E:$E,{"Inventory","Services"})))</f>
        <v/>
      </c>
      <c r="H109" s="42" t="str">
        <f t="shared" si="2"/>
        <v/>
      </c>
      <c r="I109" s="39"/>
      <c r="J109" s="36" t="str">
        <f t="shared" si="3"/>
        <v/>
      </c>
      <c r="K109" s="48"/>
    </row>
    <row r="110" spans="1:11" ht="23.1" customHeight="1">
      <c r="A110" s="348" t="str">
        <f>IF($B110="","",MAX($A$3:A109)+1)</f>
        <v/>
      </c>
      <c r="B110" s="253"/>
      <c r="C110" s="249"/>
      <c r="D110" s="263"/>
      <c r="E110" s="251"/>
      <c r="F110" s="340" t="str">
        <f>IF($B110="","",SUM(SUMIFS('Daily Inward'!$G:$G,'Daily Inward'!$C:$C,$B110,'Daily Inward'!$E:$E,{"Inventory","Services"})))</f>
        <v/>
      </c>
      <c r="G110" s="341" t="str">
        <f>IF($B110="","",SUM(SUMIFS('Daily Issuance'!$G:$G,'Daily Issuance'!$C:$C,$B110,'Daily Issuance'!$E:$E,{"Inventory","Services"})))</f>
        <v/>
      </c>
      <c r="H110" s="42" t="str">
        <f t="shared" si="2"/>
        <v/>
      </c>
      <c r="I110" s="39"/>
      <c r="J110" s="36" t="str">
        <f t="shared" si="3"/>
        <v/>
      </c>
      <c r="K110" s="48"/>
    </row>
    <row r="111" spans="1:11" ht="23.1" customHeight="1">
      <c r="A111" s="348" t="str">
        <f>IF($B111="","",MAX($A$3:A110)+1)</f>
        <v/>
      </c>
      <c r="B111" s="253"/>
      <c r="C111" s="249"/>
      <c r="D111" s="263"/>
      <c r="E111" s="251"/>
      <c r="F111" s="340" t="str">
        <f>IF($B111="","",SUM(SUMIFS('Daily Inward'!$G:$G,'Daily Inward'!$C:$C,$B111,'Daily Inward'!$E:$E,{"Inventory","Services"})))</f>
        <v/>
      </c>
      <c r="G111" s="341" t="str">
        <f>IF($B111="","",SUM(SUMIFS('Daily Issuance'!$G:$G,'Daily Issuance'!$C:$C,$B111,'Daily Issuance'!$E:$E,{"Inventory","Services"})))</f>
        <v/>
      </c>
      <c r="H111" s="42" t="str">
        <f t="shared" si="2"/>
        <v/>
      </c>
      <c r="I111" s="39"/>
      <c r="J111" s="36" t="str">
        <f t="shared" si="3"/>
        <v/>
      </c>
      <c r="K111" s="48"/>
    </row>
    <row r="112" spans="1:11" ht="23.1" customHeight="1">
      <c r="A112" s="348" t="str">
        <f>IF($B112="","",MAX($A$3:A111)+1)</f>
        <v/>
      </c>
      <c r="B112" s="253"/>
      <c r="C112" s="249"/>
      <c r="D112" s="263"/>
      <c r="E112" s="251"/>
      <c r="F112" s="340" t="str">
        <f>IF($B112="","",SUM(SUMIFS('Daily Inward'!$G:$G,'Daily Inward'!$C:$C,$B112,'Daily Inward'!$E:$E,{"Inventory","Services"})))</f>
        <v/>
      </c>
      <c r="G112" s="341" t="str">
        <f>IF($B112="","",SUM(SUMIFS('Daily Issuance'!$G:$G,'Daily Issuance'!$C:$C,$B112,'Daily Issuance'!$E:$E,{"Inventory","Services"})))</f>
        <v/>
      </c>
      <c r="H112" s="42" t="str">
        <f t="shared" si="2"/>
        <v/>
      </c>
      <c r="I112" s="39"/>
      <c r="J112" s="36" t="str">
        <f t="shared" si="3"/>
        <v/>
      </c>
      <c r="K112" s="48"/>
    </row>
    <row r="113" spans="1:11" ht="23.1" customHeight="1">
      <c r="A113" s="348" t="str">
        <f>IF($B113="","",MAX($A$3:A112)+1)</f>
        <v/>
      </c>
      <c r="B113" s="253"/>
      <c r="C113" s="249"/>
      <c r="D113" s="263"/>
      <c r="E113" s="251"/>
      <c r="F113" s="340" t="str">
        <f>IF($B113="","",SUM(SUMIFS('Daily Inward'!$G:$G,'Daily Inward'!$C:$C,$B113,'Daily Inward'!$E:$E,{"Inventory","Services"})))</f>
        <v/>
      </c>
      <c r="G113" s="341" t="str">
        <f>IF($B113="","",SUM(SUMIFS('Daily Issuance'!$G:$G,'Daily Issuance'!$C:$C,$B113,'Daily Issuance'!$E:$E,{"Inventory","Services"})))</f>
        <v/>
      </c>
      <c r="H113" s="42" t="str">
        <f t="shared" si="2"/>
        <v/>
      </c>
      <c r="I113" s="39"/>
      <c r="J113" s="36" t="str">
        <f t="shared" si="3"/>
        <v/>
      </c>
      <c r="K113" s="48"/>
    </row>
    <row r="114" spans="1:11" ht="23.1" customHeight="1">
      <c r="A114" s="348" t="str">
        <f>IF($B114="","",MAX($A$3:A113)+1)</f>
        <v/>
      </c>
      <c r="B114" s="253"/>
      <c r="C114" s="249"/>
      <c r="D114" s="263"/>
      <c r="E114" s="251"/>
      <c r="F114" s="340" t="str">
        <f>IF($B114="","",SUM(SUMIFS('Daily Inward'!$G:$G,'Daily Inward'!$C:$C,$B114,'Daily Inward'!$E:$E,{"Inventory","Services"})))</f>
        <v/>
      </c>
      <c r="G114" s="341" t="str">
        <f>IF($B114="","",SUM(SUMIFS('Daily Issuance'!$G:$G,'Daily Issuance'!$C:$C,$B114,'Daily Issuance'!$E:$E,{"Inventory","Services"})))</f>
        <v/>
      </c>
      <c r="H114" s="42" t="str">
        <f t="shared" si="2"/>
        <v/>
      </c>
      <c r="I114" s="39"/>
      <c r="J114" s="36" t="str">
        <f t="shared" si="3"/>
        <v/>
      </c>
      <c r="K114" s="48"/>
    </row>
    <row r="115" spans="1:11" ht="23.1" customHeight="1">
      <c r="A115" s="348" t="str">
        <f>IF($B115="","",MAX($A$3:A114)+1)</f>
        <v/>
      </c>
      <c r="B115" s="253"/>
      <c r="C115" s="249"/>
      <c r="D115" s="263"/>
      <c r="E115" s="251"/>
      <c r="F115" s="340" t="str">
        <f>IF($B115="","",SUM(SUMIFS('Daily Inward'!$G:$G,'Daily Inward'!$C:$C,$B115,'Daily Inward'!$E:$E,{"Inventory","Services"})))</f>
        <v/>
      </c>
      <c r="G115" s="341" t="str">
        <f>IF($B115="","",SUM(SUMIFS('Daily Issuance'!$G:$G,'Daily Issuance'!$C:$C,$B115,'Daily Issuance'!$E:$E,{"Inventory","Services"})))</f>
        <v/>
      </c>
      <c r="H115" s="42" t="str">
        <f t="shared" si="2"/>
        <v/>
      </c>
      <c r="I115" s="39"/>
      <c r="J115" s="36" t="str">
        <f t="shared" si="3"/>
        <v/>
      </c>
      <c r="K115" s="48"/>
    </row>
    <row r="116" spans="1:11" ht="23.1" customHeight="1">
      <c r="A116" s="348" t="str">
        <f>IF($B116="","",MAX($A$3:A115)+1)</f>
        <v/>
      </c>
      <c r="B116" s="253"/>
      <c r="C116" s="249"/>
      <c r="D116" s="263"/>
      <c r="E116" s="251"/>
      <c r="F116" s="340" t="str">
        <f>IF($B116="","",SUM(SUMIFS('Daily Inward'!$G:$G,'Daily Inward'!$C:$C,$B116,'Daily Inward'!$E:$E,{"Inventory","Services"})))</f>
        <v/>
      </c>
      <c r="G116" s="341" t="str">
        <f>IF($B116="","",SUM(SUMIFS('Daily Issuance'!$G:$G,'Daily Issuance'!$C:$C,$B116,'Daily Issuance'!$E:$E,{"Inventory","Services"})))</f>
        <v/>
      </c>
      <c r="H116" s="42" t="str">
        <f t="shared" si="2"/>
        <v/>
      </c>
      <c r="I116" s="39"/>
      <c r="J116" s="36" t="str">
        <f t="shared" si="3"/>
        <v/>
      </c>
      <c r="K116" s="48"/>
    </row>
    <row r="117" spans="1:11" ht="23.1" customHeight="1">
      <c r="A117" s="348" t="str">
        <f>IF($B117="","",MAX($A$3:A116)+1)</f>
        <v/>
      </c>
      <c r="B117" s="253"/>
      <c r="C117" s="249"/>
      <c r="D117" s="263"/>
      <c r="E117" s="251"/>
      <c r="F117" s="340" t="str">
        <f>IF($B117="","",SUM(SUMIFS('Daily Inward'!$G:$G,'Daily Inward'!$C:$C,$B117,'Daily Inward'!$E:$E,{"Inventory","Services"})))</f>
        <v/>
      </c>
      <c r="G117" s="341" t="str">
        <f>IF($B117="","",SUM(SUMIFS('Daily Issuance'!$G:$G,'Daily Issuance'!$C:$C,$B117,'Daily Issuance'!$E:$E,{"Inventory","Services"})))</f>
        <v/>
      </c>
      <c r="H117" s="42" t="str">
        <f t="shared" si="2"/>
        <v/>
      </c>
      <c r="I117" s="39"/>
      <c r="J117" s="36" t="str">
        <f t="shared" si="3"/>
        <v/>
      </c>
      <c r="K117" s="48"/>
    </row>
    <row r="118" spans="1:11" ht="23.1" customHeight="1">
      <c r="A118" s="348" t="str">
        <f>IF($B118="","",MAX($A$3:A117)+1)</f>
        <v/>
      </c>
      <c r="B118" s="253"/>
      <c r="C118" s="249"/>
      <c r="D118" s="263"/>
      <c r="E118" s="251"/>
      <c r="F118" s="340" t="str">
        <f>IF($B118="","",SUM(SUMIFS('Daily Inward'!$G:$G,'Daily Inward'!$C:$C,$B118,'Daily Inward'!$E:$E,{"Inventory","Services"})))</f>
        <v/>
      </c>
      <c r="G118" s="341" t="str">
        <f>IF($B118="","",SUM(SUMIFS('Daily Issuance'!$G:$G,'Daily Issuance'!$C:$C,$B118,'Daily Issuance'!$E:$E,{"Inventory","Services"})))</f>
        <v/>
      </c>
      <c r="H118" s="42" t="str">
        <f t="shared" si="2"/>
        <v/>
      </c>
      <c r="I118" s="39"/>
      <c r="J118" s="36" t="str">
        <f t="shared" si="3"/>
        <v/>
      </c>
      <c r="K118" s="48"/>
    </row>
    <row r="119" spans="1:11" ht="23.1" customHeight="1">
      <c r="A119" s="348" t="str">
        <f>IF($B119="","",MAX($A$3:A118)+1)</f>
        <v/>
      </c>
      <c r="B119" s="253"/>
      <c r="C119" s="249"/>
      <c r="D119" s="263"/>
      <c r="E119" s="251"/>
      <c r="F119" s="340" t="str">
        <f>IF($B119="","",SUM(SUMIFS('Daily Inward'!$G:$G,'Daily Inward'!$C:$C,$B119,'Daily Inward'!$E:$E,{"Inventory","Services"})))</f>
        <v/>
      </c>
      <c r="G119" s="341" t="str">
        <f>IF($B119="","",SUM(SUMIFS('Daily Issuance'!$G:$G,'Daily Issuance'!$C:$C,$B119,'Daily Issuance'!$E:$E,{"Inventory","Services"})))</f>
        <v/>
      </c>
      <c r="H119" s="42" t="str">
        <f t="shared" si="2"/>
        <v/>
      </c>
      <c r="I119" s="39"/>
      <c r="J119" s="36" t="str">
        <f t="shared" si="3"/>
        <v/>
      </c>
      <c r="K119" s="48"/>
    </row>
    <row r="120" spans="1:11" ht="23.1" customHeight="1">
      <c r="A120" s="348" t="str">
        <f>IF($B120="","",MAX($A$3:A119)+1)</f>
        <v/>
      </c>
      <c r="B120" s="253"/>
      <c r="C120" s="249"/>
      <c r="D120" s="263"/>
      <c r="E120" s="251"/>
      <c r="F120" s="340" t="str">
        <f>IF($B120="","",SUM(SUMIFS('Daily Inward'!$G:$G,'Daily Inward'!$C:$C,$B120,'Daily Inward'!$E:$E,{"Inventory","Services"})))</f>
        <v/>
      </c>
      <c r="G120" s="341" t="str">
        <f>IF($B120="","",SUM(SUMIFS('Daily Issuance'!$G:$G,'Daily Issuance'!$C:$C,$B120,'Daily Issuance'!$E:$E,{"Inventory","Services"})))</f>
        <v/>
      </c>
      <c r="H120" s="42" t="str">
        <f t="shared" si="2"/>
        <v/>
      </c>
      <c r="I120" s="39"/>
      <c r="J120" s="36" t="str">
        <f t="shared" si="3"/>
        <v/>
      </c>
      <c r="K120" s="48"/>
    </row>
    <row r="121" spans="1:11" ht="23.1" customHeight="1">
      <c r="A121" s="348" t="str">
        <f>IF($B121="","",MAX($A$3:A120)+1)</f>
        <v/>
      </c>
      <c r="B121" s="253"/>
      <c r="C121" s="249"/>
      <c r="D121" s="263"/>
      <c r="E121" s="251"/>
      <c r="F121" s="340" t="str">
        <f>IF($B121="","",SUM(SUMIFS('Daily Inward'!$G:$G,'Daily Inward'!$C:$C,$B121,'Daily Inward'!$E:$E,{"Inventory","Services"})))</f>
        <v/>
      </c>
      <c r="G121" s="341" t="str">
        <f>IF($B121="","",SUM(SUMIFS('Daily Issuance'!$G:$G,'Daily Issuance'!$C:$C,$B121,'Daily Issuance'!$E:$E,{"Inventory","Services"})))</f>
        <v/>
      </c>
      <c r="H121" s="42" t="str">
        <f t="shared" si="2"/>
        <v/>
      </c>
      <c r="I121" s="39"/>
      <c r="J121" s="36" t="str">
        <f t="shared" si="3"/>
        <v/>
      </c>
      <c r="K121" s="48"/>
    </row>
    <row r="122" spans="1:11" ht="23.1" customHeight="1">
      <c r="A122" s="348" t="str">
        <f>IF($B122="","",MAX($A$3:A121)+1)</f>
        <v/>
      </c>
      <c r="B122" s="253"/>
      <c r="C122" s="249"/>
      <c r="D122" s="263"/>
      <c r="E122" s="251"/>
      <c r="F122" s="340" t="str">
        <f>IF($B122="","",SUM(SUMIFS('Daily Inward'!$G:$G,'Daily Inward'!$C:$C,$B122,'Daily Inward'!$E:$E,{"Inventory","Services"})))</f>
        <v/>
      </c>
      <c r="G122" s="341" t="str">
        <f>IF($B122="","",SUM(SUMIFS('Daily Issuance'!$G:$G,'Daily Issuance'!$C:$C,$B122,'Daily Issuance'!$E:$E,{"Inventory","Services"})))</f>
        <v/>
      </c>
      <c r="H122" s="42" t="str">
        <f t="shared" si="2"/>
        <v/>
      </c>
      <c r="I122" s="39"/>
      <c r="J122" s="36" t="str">
        <f t="shared" si="3"/>
        <v/>
      </c>
      <c r="K122" s="48"/>
    </row>
    <row r="123" spans="1:11" ht="23.1" customHeight="1">
      <c r="A123" s="348" t="str">
        <f>IF($B123="","",MAX($A$3:A122)+1)</f>
        <v/>
      </c>
      <c r="B123" s="253"/>
      <c r="C123" s="249"/>
      <c r="D123" s="263"/>
      <c r="E123" s="251"/>
      <c r="F123" s="340" t="str">
        <f>IF($B123="","",SUM(SUMIFS('Daily Inward'!$G:$G,'Daily Inward'!$C:$C,$B123,'Daily Inward'!$E:$E,{"Inventory","Services"})))</f>
        <v/>
      </c>
      <c r="G123" s="341" t="str">
        <f>IF($B123="","",SUM(SUMIFS('Daily Issuance'!$G:$G,'Daily Issuance'!$C:$C,$B123,'Daily Issuance'!$E:$E,{"Inventory","Services"})))</f>
        <v/>
      </c>
      <c r="H123" s="42" t="str">
        <f t="shared" si="2"/>
        <v/>
      </c>
      <c r="I123" s="39"/>
      <c r="J123" s="36" t="str">
        <f t="shared" si="3"/>
        <v/>
      </c>
      <c r="K123" s="48"/>
    </row>
    <row r="124" spans="1:11" ht="23.1" customHeight="1">
      <c r="A124" s="348" t="str">
        <f>IF($B124="","",MAX($A$3:A123)+1)</f>
        <v/>
      </c>
      <c r="B124" s="253"/>
      <c r="C124" s="249"/>
      <c r="D124" s="263"/>
      <c r="E124" s="251"/>
      <c r="F124" s="340" t="str">
        <f>IF($B124="","",SUM(SUMIFS('Daily Inward'!$G:$G,'Daily Inward'!$C:$C,$B124,'Daily Inward'!$E:$E,{"Inventory","Services"})))</f>
        <v/>
      </c>
      <c r="G124" s="341" t="str">
        <f>IF($B124="","",SUM(SUMIFS('Daily Issuance'!$G:$G,'Daily Issuance'!$C:$C,$B124,'Daily Issuance'!$E:$E,{"Inventory","Services"})))</f>
        <v/>
      </c>
      <c r="H124" s="42" t="str">
        <f t="shared" si="2"/>
        <v/>
      </c>
      <c r="I124" s="39"/>
      <c r="J124" s="36" t="str">
        <f t="shared" si="3"/>
        <v/>
      </c>
      <c r="K124" s="48"/>
    </row>
    <row r="125" spans="1:11" ht="23.1" customHeight="1">
      <c r="A125" s="348" t="str">
        <f>IF($B125="","",MAX($A$3:A124)+1)</f>
        <v/>
      </c>
      <c r="B125" s="253"/>
      <c r="C125" s="249"/>
      <c r="D125" s="263"/>
      <c r="E125" s="251"/>
      <c r="F125" s="340" t="str">
        <f>IF($B125="","",SUM(SUMIFS('Daily Inward'!$G:$G,'Daily Inward'!$C:$C,$B125,'Daily Inward'!$E:$E,{"Inventory","Services"})))</f>
        <v/>
      </c>
      <c r="G125" s="341" t="str">
        <f>IF($B125="","",SUM(SUMIFS('Daily Issuance'!$G:$G,'Daily Issuance'!$C:$C,$B125,'Daily Issuance'!$E:$E,{"Inventory","Services"})))</f>
        <v/>
      </c>
      <c r="H125" s="42" t="str">
        <f t="shared" si="2"/>
        <v/>
      </c>
      <c r="I125" s="39"/>
      <c r="J125" s="36" t="str">
        <f t="shared" si="3"/>
        <v/>
      </c>
      <c r="K125" s="48"/>
    </row>
    <row r="126" spans="1:11" ht="23.1" customHeight="1">
      <c r="A126" s="348" t="str">
        <f>IF($B126="","",MAX($A$3:A125)+1)</f>
        <v/>
      </c>
      <c r="B126" s="253"/>
      <c r="C126" s="249"/>
      <c r="D126" s="263"/>
      <c r="E126" s="251"/>
      <c r="F126" s="340" t="str">
        <f>IF($B126="","",SUM(SUMIFS('Daily Inward'!$G:$G,'Daily Inward'!$C:$C,$B126,'Daily Inward'!$E:$E,{"Inventory","Services"})))</f>
        <v/>
      </c>
      <c r="G126" s="341" t="str">
        <f>IF($B126="","",SUM(SUMIFS('Daily Issuance'!$G:$G,'Daily Issuance'!$C:$C,$B126,'Daily Issuance'!$E:$E,{"Inventory","Services"})))</f>
        <v/>
      </c>
      <c r="H126" s="42" t="str">
        <f t="shared" si="2"/>
        <v/>
      </c>
      <c r="I126" s="39"/>
      <c r="J126" s="36" t="str">
        <f t="shared" si="3"/>
        <v/>
      </c>
      <c r="K126" s="48"/>
    </row>
    <row r="127" spans="1:11" ht="23.1" customHeight="1">
      <c r="A127" s="348" t="str">
        <f>IF($B127="","",MAX($A$3:A126)+1)</f>
        <v/>
      </c>
      <c r="B127" s="253"/>
      <c r="C127" s="249"/>
      <c r="D127" s="263"/>
      <c r="E127" s="251"/>
      <c r="F127" s="340" t="str">
        <f>IF($B127="","",SUM(SUMIFS('Daily Inward'!$G:$G,'Daily Inward'!$C:$C,$B127,'Daily Inward'!$E:$E,{"Inventory","Services"})))</f>
        <v/>
      </c>
      <c r="G127" s="341" t="str">
        <f>IF($B127="","",SUM(SUMIFS('Daily Issuance'!$G:$G,'Daily Issuance'!$C:$C,$B127,'Daily Issuance'!$E:$E,{"Inventory","Services"})))</f>
        <v/>
      </c>
      <c r="H127" s="42" t="str">
        <f t="shared" si="2"/>
        <v/>
      </c>
      <c r="I127" s="39"/>
      <c r="J127" s="36" t="str">
        <f t="shared" si="3"/>
        <v/>
      </c>
      <c r="K127" s="48"/>
    </row>
    <row r="128" spans="1:11" ht="23.1" customHeight="1">
      <c r="A128" s="348" t="str">
        <f>IF($B128="","",MAX($A$3:A127)+1)</f>
        <v/>
      </c>
      <c r="B128" s="253"/>
      <c r="C128" s="249"/>
      <c r="D128" s="263"/>
      <c r="E128" s="251"/>
      <c r="F128" s="340" t="str">
        <f>IF($B128="","",SUM(SUMIFS('Daily Inward'!$G:$G,'Daily Inward'!$C:$C,$B128,'Daily Inward'!$E:$E,{"Inventory","Services"})))</f>
        <v/>
      </c>
      <c r="G128" s="341" t="str">
        <f>IF($B128="","",SUM(SUMIFS('Daily Issuance'!$G:$G,'Daily Issuance'!$C:$C,$B128,'Daily Issuance'!$E:$E,{"Inventory","Services"})))</f>
        <v/>
      </c>
      <c r="H128" s="42" t="str">
        <f t="shared" si="2"/>
        <v/>
      </c>
      <c r="I128" s="39"/>
      <c r="J128" s="36" t="str">
        <f t="shared" si="3"/>
        <v/>
      </c>
      <c r="K128" s="48"/>
    </row>
    <row r="129" spans="1:11" ht="23.1" customHeight="1">
      <c r="A129" s="348" t="str">
        <f>IF($B129="","",MAX($A$3:A128)+1)</f>
        <v/>
      </c>
      <c r="B129" s="253"/>
      <c r="C129" s="249"/>
      <c r="D129" s="263"/>
      <c r="E129" s="251"/>
      <c r="F129" s="340" t="str">
        <f>IF($B129="","",SUM(SUMIFS('Daily Inward'!$G:$G,'Daily Inward'!$C:$C,$B129,'Daily Inward'!$E:$E,{"Inventory","Services"})))</f>
        <v/>
      </c>
      <c r="G129" s="341" t="str">
        <f>IF($B129="","",SUM(SUMIFS('Daily Issuance'!$G:$G,'Daily Issuance'!$C:$C,$B129,'Daily Issuance'!$E:$E,{"Inventory","Services"})))</f>
        <v/>
      </c>
      <c r="H129" s="42" t="str">
        <f t="shared" si="2"/>
        <v/>
      </c>
      <c r="I129" s="39"/>
      <c r="J129" s="36" t="str">
        <f t="shared" si="3"/>
        <v/>
      </c>
      <c r="K129" s="48"/>
    </row>
    <row r="130" spans="1:11" ht="23.1" customHeight="1">
      <c r="A130" s="348" t="str">
        <f>IF($B130="","",MAX($A$3:A129)+1)</f>
        <v/>
      </c>
      <c r="B130" s="253"/>
      <c r="C130" s="249"/>
      <c r="D130" s="263"/>
      <c r="E130" s="251"/>
      <c r="F130" s="340" t="str">
        <f>IF($B130="","",SUM(SUMIFS('Daily Inward'!$G:$G,'Daily Inward'!$C:$C,$B130,'Daily Inward'!$E:$E,{"Inventory","Services"})))</f>
        <v/>
      </c>
      <c r="G130" s="341" t="str">
        <f>IF($B130="","",SUM(SUMIFS('Daily Issuance'!$G:$G,'Daily Issuance'!$C:$C,$B130,'Daily Issuance'!$E:$E,{"Inventory","Services"})))</f>
        <v/>
      </c>
      <c r="H130" s="42" t="str">
        <f t="shared" si="2"/>
        <v/>
      </c>
      <c r="I130" s="39"/>
      <c r="J130" s="36" t="str">
        <f t="shared" si="3"/>
        <v/>
      </c>
      <c r="K130" s="48"/>
    </row>
    <row r="131" spans="1:11" ht="23.1" customHeight="1">
      <c r="A131" s="348" t="str">
        <f>IF($B131="","",MAX($A$3:A130)+1)</f>
        <v/>
      </c>
      <c r="B131" s="253"/>
      <c r="C131" s="249"/>
      <c r="D131" s="263"/>
      <c r="E131" s="251"/>
      <c r="F131" s="340" t="str">
        <f>IF($B131="","",SUM(SUMIFS('Daily Inward'!$G:$G,'Daily Inward'!$C:$C,$B131,'Daily Inward'!$E:$E,{"Inventory","Services"})))</f>
        <v/>
      </c>
      <c r="G131" s="341" t="str">
        <f>IF($B131="","",SUM(SUMIFS('Daily Issuance'!$G:$G,'Daily Issuance'!$C:$C,$B131,'Daily Issuance'!$E:$E,{"Inventory","Services"})))</f>
        <v/>
      </c>
      <c r="H131" s="42" t="str">
        <f t="shared" si="2"/>
        <v/>
      </c>
      <c r="I131" s="39"/>
      <c r="J131" s="36" t="str">
        <f t="shared" si="3"/>
        <v/>
      </c>
      <c r="K131" s="48"/>
    </row>
    <row r="132" spans="1:11" ht="23.1" customHeight="1">
      <c r="A132" s="348" t="str">
        <f>IF($B132="","",MAX($A$3:A131)+1)</f>
        <v/>
      </c>
      <c r="B132" s="253"/>
      <c r="C132" s="249"/>
      <c r="D132" s="263"/>
      <c r="E132" s="251"/>
      <c r="F132" s="340" t="str">
        <f>IF($B132="","",SUM(SUMIFS('Daily Inward'!$G:$G,'Daily Inward'!$C:$C,$B132,'Daily Inward'!$E:$E,{"Inventory","Services"})))</f>
        <v/>
      </c>
      <c r="G132" s="341" t="str">
        <f>IF($B132="","",SUM(SUMIFS('Daily Issuance'!$G:$G,'Daily Issuance'!$C:$C,$B132,'Daily Issuance'!$E:$E,{"Inventory","Services"})))</f>
        <v/>
      </c>
      <c r="H132" s="42" t="str">
        <f t="shared" ref="H132:H195" si="4">IF($B132="","",N(E132)+N(F132)-N(G132))</f>
        <v/>
      </c>
      <c r="I132" s="39"/>
      <c r="J132" s="36" t="str">
        <f t="shared" ref="J132:J195" si="5">IF($B132="","",H132*I132)</f>
        <v/>
      </c>
      <c r="K132" s="48"/>
    </row>
    <row r="133" spans="1:11" ht="23.1" customHeight="1">
      <c r="A133" s="348" t="str">
        <f>IF($B133="","",MAX($A$3:A132)+1)</f>
        <v/>
      </c>
      <c r="B133" s="253"/>
      <c r="C133" s="249"/>
      <c r="D133" s="263"/>
      <c r="E133" s="251"/>
      <c r="F133" s="340" t="str">
        <f>IF($B133="","",SUM(SUMIFS('Daily Inward'!$G:$G,'Daily Inward'!$C:$C,$B133,'Daily Inward'!$E:$E,{"Inventory","Services"})))</f>
        <v/>
      </c>
      <c r="G133" s="341" t="str">
        <f>IF($B133="","",SUM(SUMIFS('Daily Issuance'!$G:$G,'Daily Issuance'!$C:$C,$B133,'Daily Issuance'!$E:$E,{"Inventory","Services"})))</f>
        <v/>
      </c>
      <c r="H133" s="42" t="str">
        <f t="shared" si="4"/>
        <v/>
      </c>
      <c r="I133" s="39"/>
      <c r="J133" s="36" t="str">
        <f t="shared" si="5"/>
        <v/>
      </c>
      <c r="K133" s="48"/>
    </row>
    <row r="134" spans="1:11" ht="23.1" customHeight="1">
      <c r="A134" s="348" t="str">
        <f>IF($B134="","",MAX($A$3:A133)+1)</f>
        <v/>
      </c>
      <c r="B134" s="253"/>
      <c r="C134" s="249"/>
      <c r="D134" s="263"/>
      <c r="E134" s="251"/>
      <c r="F134" s="340" t="str">
        <f>IF($B134="","",SUM(SUMIFS('Daily Inward'!$G:$G,'Daily Inward'!$C:$C,$B134,'Daily Inward'!$E:$E,{"Inventory","Services"})))</f>
        <v/>
      </c>
      <c r="G134" s="341" t="str">
        <f>IF($B134="","",SUM(SUMIFS('Daily Issuance'!$G:$G,'Daily Issuance'!$C:$C,$B134,'Daily Issuance'!$E:$E,{"Inventory","Services"})))</f>
        <v/>
      </c>
      <c r="H134" s="42" t="str">
        <f t="shared" si="4"/>
        <v/>
      </c>
      <c r="I134" s="39"/>
      <c r="J134" s="36" t="str">
        <f t="shared" si="5"/>
        <v/>
      </c>
      <c r="K134" s="48"/>
    </row>
    <row r="135" spans="1:11" ht="23.1" customHeight="1">
      <c r="A135" s="348" t="str">
        <f>IF($B135="","",MAX($A$3:A134)+1)</f>
        <v/>
      </c>
      <c r="B135" s="253"/>
      <c r="C135" s="249"/>
      <c r="D135" s="263"/>
      <c r="E135" s="251"/>
      <c r="F135" s="340" t="str">
        <f>IF($B135="","",SUM(SUMIFS('Daily Inward'!$G:$G,'Daily Inward'!$C:$C,$B135,'Daily Inward'!$E:$E,{"Inventory","Services"})))</f>
        <v/>
      </c>
      <c r="G135" s="341" t="str">
        <f>IF($B135="","",SUM(SUMIFS('Daily Issuance'!$G:$G,'Daily Issuance'!$C:$C,$B135,'Daily Issuance'!$E:$E,{"Inventory","Services"})))</f>
        <v/>
      </c>
      <c r="H135" s="42" t="str">
        <f t="shared" si="4"/>
        <v/>
      </c>
      <c r="I135" s="39"/>
      <c r="J135" s="36" t="str">
        <f t="shared" si="5"/>
        <v/>
      </c>
      <c r="K135" s="48"/>
    </row>
    <row r="136" spans="1:11" ht="23.1" customHeight="1">
      <c r="A136" s="348" t="str">
        <f>IF($B136="","",MAX($A$3:A135)+1)</f>
        <v/>
      </c>
      <c r="B136" s="253"/>
      <c r="C136" s="249"/>
      <c r="D136" s="263"/>
      <c r="E136" s="251"/>
      <c r="F136" s="340" t="str">
        <f>IF($B136="","",SUM(SUMIFS('Daily Inward'!$G:$G,'Daily Inward'!$C:$C,$B136,'Daily Inward'!$E:$E,{"Inventory","Services"})))</f>
        <v/>
      </c>
      <c r="G136" s="341" t="str">
        <f>IF($B136="","",SUM(SUMIFS('Daily Issuance'!$G:$G,'Daily Issuance'!$C:$C,$B136,'Daily Issuance'!$E:$E,{"Inventory","Services"})))</f>
        <v/>
      </c>
      <c r="H136" s="42" t="str">
        <f t="shared" si="4"/>
        <v/>
      </c>
      <c r="I136" s="39"/>
      <c r="J136" s="36" t="str">
        <f t="shared" si="5"/>
        <v/>
      </c>
      <c r="K136" s="48"/>
    </row>
    <row r="137" spans="1:11" ht="23.1" customHeight="1">
      <c r="A137" s="348" t="str">
        <f>IF($B137="","",MAX($A$3:A136)+1)</f>
        <v/>
      </c>
      <c r="B137" s="253"/>
      <c r="C137" s="249"/>
      <c r="D137" s="263"/>
      <c r="E137" s="251"/>
      <c r="F137" s="340" t="str">
        <f>IF($B137="","",SUM(SUMIFS('Daily Inward'!$G:$G,'Daily Inward'!$C:$C,$B137,'Daily Inward'!$E:$E,{"Inventory","Services"})))</f>
        <v/>
      </c>
      <c r="G137" s="341" t="str">
        <f>IF($B137="","",SUM(SUMIFS('Daily Issuance'!$G:$G,'Daily Issuance'!$C:$C,$B137,'Daily Issuance'!$E:$E,{"Inventory","Services"})))</f>
        <v/>
      </c>
      <c r="H137" s="42" t="str">
        <f t="shared" si="4"/>
        <v/>
      </c>
      <c r="I137" s="39"/>
      <c r="J137" s="36" t="str">
        <f t="shared" si="5"/>
        <v/>
      </c>
      <c r="K137" s="48"/>
    </row>
    <row r="138" spans="1:11" ht="23.1" customHeight="1">
      <c r="A138" s="348" t="str">
        <f>IF($B138="","",MAX($A$3:A137)+1)</f>
        <v/>
      </c>
      <c r="B138" s="253"/>
      <c r="C138" s="249"/>
      <c r="D138" s="263"/>
      <c r="E138" s="251"/>
      <c r="F138" s="340" t="str">
        <f>IF($B138="","",SUM(SUMIFS('Daily Inward'!$G:$G,'Daily Inward'!$C:$C,$B138,'Daily Inward'!$E:$E,{"Inventory","Services"})))</f>
        <v/>
      </c>
      <c r="G138" s="341" t="str">
        <f>IF($B138="","",SUM(SUMIFS('Daily Issuance'!$G:$G,'Daily Issuance'!$C:$C,$B138,'Daily Issuance'!$E:$E,{"Inventory","Services"})))</f>
        <v/>
      </c>
      <c r="H138" s="42" t="str">
        <f t="shared" si="4"/>
        <v/>
      </c>
      <c r="I138" s="39"/>
      <c r="J138" s="36" t="str">
        <f t="shared" si="5"/>
        <v/>
      </c>
      <c r="K138" s="48"/>
    </row>
    <row r="139" spans="1:11" ht="23.1" customHeight="1">
      <c r="A139" s="348" t="str">
        <f>IF($B139="","",MAX($A$3:A138)+1)</f>
        <v/>
      </c>
      <c r="B139" s="253"/>
      <c r="C139" s="249"/>
      <c r="D139" s="263"/>
      <c r="E139" s="251"/>
      <c r="F139" s="340" t="str">
        <f>IF($B139="","",SUM(SUMIFS('Daily Inward'!$G:$G,'Daily Inward'!$C:$C,$B139,'Daily Inward'!$E:$E,{"Inventory","Services"})))</f>
        <v/>
      </c>
      <c r="G139" s="341" t="str">
        <f>IF($B139="","",SUM(SUMIFS('Daily Issuance'!$G:$G,'Daily Issuance'!$C:$C,$B139,'Daily Issuance'!$E:$E,{"Inventory","Services"})))</f>
        <v/>
      </c>
      <c r="H139" s="42" t="str">
        <f t="shared" si="4"/>
        <v/>
      </c>
      <c r="I139" s="39"/>
      <c r="J139" s="36" t="str">
        <f t="shared" si="5"/>
        <v/>
      </c>
      <c r="K139" s="48"/>
    </row>
    <row r="140" spans="1:11" ht="23.1" customHeight="1">
      <c r="A140" s="348" t="str">
        <f>IF($B140="","",MAX($A$3:A139)+1)</f>
        <v/>
      </c>
      <c r="B140" s="253"/>
      <c r="C140" s="249"/>
      <c r="D140" s="263"/>
      <c r="E140" s="251"/>
      <c r="F140" s="340" t="str">
        <f>IF($B140="","",SUM(SUMIFS('Daily Inward'!$G:$G,'Daily Inward'!$C:$C,$B140,'Daily Inward'!$E:$E,{"Inventory","Services"})))</f>
        <v/>
      </c>
      <c r="G140" s="341" t="str">
        <f>IF($B140="","",SUM(SUMIFS('Daily Issuance'!$G:$G,'Daily Issuance'!$C:$C,$B140,'Daily Issuance'!$E:$E,{"Inventory","Services"})))</f>
        <v/>
      </c>
      <c r="H140" s="42" t="str">
        <f t="shared" si="4"/>
        <v/>
      </c>
      <c r="I140" s="39"/>
      <c r="J140" s="36" t="str">
        <f t="shared" si="5"/>
        <v/>
      </c>
      <c r="K140" s="48"/>
    </row>
    <row r="141" spans="1:11" ht="23.1" customHeight="1">
      <c r="A141" s="348" t="str">
        <f>IF($B141="","",MAX($A$3:A140)+1)</f>
        <v/>
      </c>
      <c r="B141" s="253"/>
      <c r="C141" s="249"/>
      <c r="D141" s="263"/>
      <c r="E141" s="251"/>
      <c r="F141" s="340" t="str">
        <f>IF($B141="","",SUM(SUMIFS('Daily Inward'!$G:$G,'Daily Inward'!$C:$C,$B141,'Daily Inward'!$E:$E,{"Inventory","Services"})))</f>
        <v/>
      </c>
      <c r="G141" s="341" t="str">
        <f>IF($B141="","",SUM(SUMIFS('Daily Issuance'!$G:$G,'Daily Issuance'!$C:$C,$B141,'Daily Issuance'!$E:$E,{"Inventory","Services"})))</f>
        <v/>
      </c>
      <c r="H141" s="42" t="str">
        <f t="shared" si="4"/>
        <v/>
      </c>
      <c r="I141" s="39"/>
      <c r="J141" s="36" t="str">
        <f t="shared" si="5"/>
        <v/>
      </c>
      <c r="K141" s="48"/>
    </row>
    <row r="142" spans="1:11" ht="23.1" customHeight="1">
      <c r="A142" s="348" t="str">
        <f>IF($B142="","",MAX($A$3:A141)+1)</f>
        <v/>
      </c>
      <c r="B142" s="253"/>
      <c r="C142" s="249"/>
      <c r="D142" s="263"/>
      <c r="E142" s="251"/>
      <c r="F142" s="340" t="str">
        <f>IF($B142="","",SUM(SUMIFS('Daily Inward'!$G:$G,'Daily Inward'!$C:$C,$B142,'Daily Inward'!$E:$E,{"Inventory","Services"})))</f>
        <v/>
      </c>
      <c r="G142" s="341" t="str">
        <f>IF($B142="","",SUM(SUMIFS('Daily Issuance'!$G:$G,'Daily Issuance'!$C:$C,$B142,'Daily Issuance'!$E:$E,{"Inventory","Services"})))</f>
        <v/>
      </c>
      <c r="H142" s="42" t="str">
        <f t="shared" si="4"/>
        <v/>
      </c>
      <c r="I142" s="39"/>
      <c r="J142" s="36" t="str">
        <f t="shared" si="5"/>
        <v/>
      </c>
      <c r="K142" s="48"/>
    </row>
    <row r="143" spans="1:11" ht="23.1" customHeight="1">
      <c r="A143" s="348" t="str">
        <f>IF($B143="","",MAX($A$3:A142)+1)</f>
        <v/>
      </c>
      <c r="B143" s="253"/>
      <c r="C143" s="249"/>
      <c r="D143" s="263"/>
      <c r="E143" s="251"/>
      <c r="F143" s="340" t="str">
        <f>IF($B143="","",SUM(SUMIFS('Daily Inward'!$G:$G,'Daily Inward'!$C:$C,$B143,'Daily Inward'!$E:$E,{"Inventory","Services"})))</f>
        <v/>
      </c>
      <c r="G143" s="341" t="str">
        <f>IF($B143="","",SUM(SUMIFS('Daily Issuance'!$G:$G,'Daily Issuance'!$C:$C,$B143,'Daily Issuance'!$E:$E,{"Inventory","Services"})))</f>
        <v/>
      </c>
      <c r="H143" s="42" t="str">
        <f t="shared" si="4"/>
        <v/>
      </c>
      <c r="I143" s="39"/>
      <c r="J143" s="36" t="str">
        <f t="shared" si="5"/>
        <v/>
      </c>
      <c r="K143" s="48"/>
    </row>
    <row r="144" spans="1:11" ht="23.1" customHeight="1">
      <c r="A144" s="348" t="str">
        <f>IF($B144="","",MAX($A$3:A143)+1)</f>
        <v/>
      </c>
      <c r="B144" s="253"/>
      <c r="C144" s="249"/>
      <c r="D144" s="263"/>
      <c r="E144" s="251"/>
      <c r="F144" s="340" t="str">
        <f>IF($B144="","",SUM(SUMIFS('Daily Inward'!$G:$G,'Daily Inward'!$C:$C,$B144,'Daily Inward'!$E:$E,{"Inventory","Services"})))</f>
        <v/>
      </c>
      <c r="G144" s="341" t="str">
        <f>IF($B144="","",SUM(SUMIFS('Daily Issuance'!$G:$G,'Daily Issuance'!$C:$C,$B144,'Daily Issuance'!$E:$E,{"Inventory","Services"})))</f>
        <v/>
      </c>
      <c r="H144" s="42" t="str">
        <f t="shared" si="4"/>
        <v/>
      </c>
      <c r="I144" s="39"/>
      <c r="J144" s="36" t="str">
        <f t="shared" si="5"/>
        <v/>
      </c>
      <c r="K144" s="48"/>
    </row>
    <row r="145" spans="1:11" ht="23.1" customHeight="1">
      <c r="A145" s="348" t="str">
        <f>IF($B145="","",MAX($A$3:A144)+1)</f>
        <v/>
      </c>
      <c r="B145" s="253"/>
      <c r="C145" s="249"/>
      <c r="D145" s="263"/>
      <c r="E145" s="251"/>
      <c r="F145" s="340" t="str">
        <f>IF($B145="","",SUM(SUMIFS('Daily Inward'!$G:$G,'Daily Inward'!$C:$C,$B145,'Daily Inward'!$E:$E,{"Inventory","Services"})))</f>
        <v/>
      </c>
      <c r="G145" s="341" t="str">
        <f>IF($B145="","",SUM(SUMIFS('Daily Issuance'!$G:$G,'Daily Issuance'!$C:$C,$B145,'Daily Issuance'!$E:$E,{"Inventory","Services"})))</f>
        <v/>
      </c>
      <c r="H145" s="42" t="str">
        <f t="shared" si="4"/>
        <v/>
      </c>
      <c r="I145" s="39"/>
      <c r="J145" s="36" t="str">
        <f t="shared" si="5"/>
        <v/>
      </c>
      <c r="K145" s="48"/>
    </row>
    <row r="146" spans="1:11" ht="23.1" customHeight="1">
      <c r="A146" s="348" t="str">
        <f>IF($B146="","",MAX($A$3:A145)+1)</f>
        <v/>
      </c>
      <c r="B146" s="253"/>
      <c r="C146" s="249"/>
      <c r="D146" s="263"/>
      <c r="E146" s="251"/>
      <c r="F146" s="340" t="str">
        <f>IF($B146="","",SUM(SUMIFS('Daily Inward'!$G:$G,'Daily Inward'!$C:$C,$B146,'Daily Inward'!$E:$E,{"Inventory","Services"})))</f>
        <v/>
      </c>
      <c r="G146" s="341" t="str">
        <f>IF($B146="","",SUM(SUMIFS('Daily Issuance'!$G:$G,'Daily Issuance'!$C:$C,$B146,'Daily Issuance'!$E:$E,{"Inventory","Services"})))</f>
        <v/>
      </c>
      <c r="H146" s="42" t="str">
        <f t="shared" si="4"/>
        <v/>
      </c>
      <c r="I146" s="39"/>
      <c r="J146" s="36" t="str">
        <f t="shared" si="5"/>
        <v/>
      </c>
      <c r="K146" s="48"/>
    </row>
    <row r="147" spans="1:11" ht="23.1" customHeight="1">
      <c r="A147" s="348" t="str">
        <f>IF($B147="","",MAX($A$3:A146)+1)</f>
        <v/>
      </c>
      <c r="B147" s="253"/>
      <c r="C147" s="249"/>
      <c r="D147" s="263"/>
      <c r="E147" s="251"/>
      <c r="F147" s="340" t="str">
        <f>IF($B147="","",SUM(SUMIFS('Daily Inward'!$G:$G,'Daily Inward'!$C:$C,$B147,'Daily Inward'!$E:$E,{"Inventory","Services"})))</f>
        <v/>
      </c>
      <c r="G147" s="341" t="str">
        <f>IF($B147="","",SUM(SUMIFS('Daily Issuance'!$G:$G,'Daily Issuance'!$C:$C,$B147,'Daily Issuance'!$E:$E,{"Inventory","Services"})))</f>
        <v/>
      </c>
      <c r="H147" s="42" t="str">
        <f t="shared" si="4"/>
        <v/>
      </c>
      <c r="I147" s="39"/>
      <c r="J147" s="36" t="str">
        <f t="shared" si="5"/>
        <v/>
      </c>
      <c r="K147" s="48"/>
    </row>
    <row r="148" spans="1:11" ht="23.1" customHeight="1">
      <c r="A148" s="348" t="str">
        <f>IF($B148="","",MAX($A$3:A147)+1)</f>
        <v/>
      </c>
      <c r="B148" s="253"/>
      <c r="C148" s="249"/>
      <c r="D148" s="263"/>
      <c r="E148" s="251"/>
      <c r="F148" s="340" t="str">
        <f>IF($B148="","",SUM(SUMIFS('Daily Inward'!$G:$G,'Daily Inward'!$C:$C,$B148,'Daily Inward'!$E:$E,{"Inventory","Services"})))</f>
        <v/>
      </c>
      <c r="G148" s="341" t="str">
        <f>IF($B148="","",SUM(SUMIFS('Daily Issuance'!$G:$G,'Daily Issuance'!$C:$C,$B148,'Daily Issuance'!$E:$E,{"Inventory","Services"})))</f>
        <v/>
      </c>
      <c r="H148" s="42" t="str">
        <f t="shared" si="4"/>
        <v/>
      </c>
      <c r="I148" s="39"/>
      <c r="J148" s="36" t="str">
        <f t="shared" si="5"/>
        <v/>
      </c>
      <c r="K148" s="48"/>
    </row>
    <row r="149" spans="1:11" ht="23.1" customHeight="1">
      <c r="A149" s="348" t="str">
        <f>IF($B149="","",MAX($A$3:A148)+1)</f>
        <v/>
      </c>
      <c r="B149" s="253"/>
      <c r="C149" s="249"/>
      <c r="D149" s="263"/>
      <c r="E149" s="251"/>
      <c r="F149" s="340" t="str">
        <f>IF($B149="","",SUM(SUMIFS('Daily Inward'!$G:$G,'Daily Inward'!$C:$C,$B149,'Daily Inward'!$E:$E,{"Inventory","Services"})))</f>
        <v/>
      </c>
      <c r="G149" s="341" t="str">
        <f>IF($B149="","",SUM(SUMIFS('Daily Issuance'!$G:$G,'Daily Issuance'!$C:$C,$B149,'Daily Issuance'!$E:$E,{"Inventory","Services"})))</f>
        <v/>
      </c>
      <c r="H149" s="42" t="str">
        <f t="shared" si="4"/>
        <v/>
      </c>
      <c r="I149" s="39"/>
      <c r="J149" s="36" t="str">
        <f t="shared" si="5"/>
        <v/>
      </c>
      <c r="K149" s="48"/>
    </row>
    <row r="150" spans="1:11" ht="23.1" customHeight="1">
      <c r="A150" s="348" t="str">
        <f>IF($B150="","",MAX($A$3:A149)+1)</f>
        <v/>
      </c>
      <c r="B150" s="253"/>
      <c r="C150" s="249"/>
      <c r="D150" s="263"/>
      <c r="E150" s="251"/>
      <c r="F150" s="340" t="str">
        <f>IF($B150="","",SUM(SUMIFS('Daily Inward'!$G:$G,'Daily Inward'!$C:$C,$B150,'Daily Inward'!$E:$E,{"Inventory","Services"})))</f>
        <v/>
      </c>
      <c r="G150" s="341" t="str">
        <f>IF($B150="","",SUM(SUMIFS('Daily Issuance'!$G:$G,'Daily Issuance'!$C:$C,$B150,'Daily Issuance'!$E:$E,{"Inventory","Services"})))</f>
        <v/>
      </c>
      <c r="H150" s="42" t="str">
        <f t="shared" si="4"/>
        <v/>
      </c>
      <c r="I150" s="39"/>
      <c r="J150" s="36" t="str">
        <f t="shared" si="5"/>
        <v/>
      </c>
      <c r="K150" s="48"/>
    </row>
    <row r="151" spans="1:11" ht="23.1" customHeight="1">
      <c r="A151" s="348" t="str">
        <f>IF($B151="","",MAX($A$3:A150)+1)</f>
        <v/>
      </c>
      <c r="B151" s="253"/>
      <c r="C151" s="249"/>
      <c r="D151" s="263"/>
      <c r="E151" s="251"/>
      <c r="F151" s="340" t="str">
        <f>IF($B151="","",SUM(SUMIFS('Daily Inward'!$G:$G,'Daily Inward'!$C:$C,$B151,'Daily Inward'!$E:$E,{"Inventory","Services"})))</f>
        <v/>
      </c>
      <c r="G151" s="341" t="str">
        <f>IF($B151="","",SUM(SUMIFS('Daily Issuance'!$G:$G,'Daily Issuance'!$C:$C,$B151,'Daily Issuance'!$E:$E,{"Inventory","Services"})))</f>
        <v/>
      </c>
      <c r="H151" s="42" t="str">
        <f t="shared" si="4"/>
        <v/>
      </c>
      <c r="I151" s="39"/>
      <c r="J151" s="36" t="str">
        <f t="shared" si="5"/>
        <v/>
      </c>
      <c r="K151" s="48"/>
    </row>
    <row r="152" spans="1:11" ht="23.1" customHeight="1">
      <c r="A152" s="348" t="str">
        <f>IF($B152="","",MAX($A$3:A151)+1)</f>
        <v/>
      </c>
      <c r="B152" s="253"/>
      <c r="C152" s="249"/>
      <c r="D152" s="263"/>
      <c r="E152" s="251"/>
      <c r="F152" s="340" t="str">
        <f>IF($B152="","",SUM(SUMIFS('Daily Inward'!$G:$G,'Daily Inward'!$C:$C,$B152,'Daily Inward'!$E:$E,{"Inventory","Services"})))</f>
        <v/>
      </c>
      <c r="G152" s="341" t="str">
        <f>IF($B152="","",SUM(SUMIFS('Daily Issuance'!$G:$G,'Daily Issuance'!$C:$C,$B152,'Daily Issuance'!$E:$E,{"Inventory","Services"})))</f>
        <v/>
      </c>
      <c r="H152" s="42" t="str">
        <f t="shared" si="4"/>
        <v/>
      </c>
      <c r="I152" s="39"/>
      <c r="J152" s="36" t="str">
        <f t="shared" si="5"/>
        <v/>
      </c>
      <c r="K152" s="48"/>
    </row>
    <row r="153" spans="1:11" ht="23.1" customHeight="1">
      <c r="A153" s="348" t="str">
        <f>IF($B153="","",MAX($A$3:A152)+1)</f>
        <v/>
      </c>
      <c r="B153" s="253"/>
      <c r="C153" s="249"/>
      <c r="D153" s="263"/>
      <c r="E153" s="251"/>
      <c r="F153" s="340" t="str">
        <f>IF($B153="","",SUM(SUMIFS('Daily Inward'!$G:$G,'Daily Inward'!$C:$C,$B153,'Daily Inward'!$E:$E,{"Inventory","Services"})))</f>
        <v/>
      </c>
      <c r="G153" s="341" t="str">
        <f>IF($B153="","",SUM(SUMIFS('Daily Issuance'!$G:$G,'Daily Issuance'!$C:$C,$B153,'Daily Issuance'!$E:$E,{"Inventory","Services"})))</f>
        <v/>
      </c>
      <c r="H153" s="42" t="str">
        <f t="shared" si="4"/>
        <v/>
      </c>
      <c r="I153" s="39"/>
      <c r="J153" s="36" t="str">
        <f t="shared" si="5"/>
        <v/>
      </c>
      <c r="K153" s="48"/>
    </row>
    <row r="154" spans="1:11" ht="23.1" customHeight="1">
      <c r="A154" s="348" t="str">
        <f>IF($B154="","",MAX($A$3:A153)+1)</f>
        <v/>
      </c>
      <c r="B154" s="253"/>
      <c r="C154" s="249"/>
      <c r="D154" s="263"/>
      <c r="E154" s="251"/>
      <c r="F154" s="340" t="str">
        <f>IF($B154="","",SUM(SUMIFS('Daily Inward'!$G:$G,'Daily Inward'!$C:$C,$B154,'Daily Inward'!$E:$E,{"Inventory","Services"})))</f>
        <v/>
      </c>
      <c r="G154" s="341" t="str">
        <f>IF($B154="","",SUM(SUMIFS('Daily Issuance'!$G:$G,'Daily Issuance'!$C:$C,$B154,'Daily Issuance'!$E:$E,{"Inventory","Services"})))</f>
        <v/>
      </c>
      <c r="H154" s="42" t="str">
        <f t="shared" si="4"/>
        <v/>
      </c>
      <c r="I154" s="39"/>
      <c r="J154" s="36" t="str">
        <f t="shared" si="5"/>
        <v/>
      </c>
      <c r="K154" s="48"/>
    </row>
    <row r="155" spans="1:11" ht="23.1" customHeight="1">
      <c r="A155" s="348" t="str">
        <f>IF($B155="","",MAX($A$3:A154)+1)</f>
        <v/>
      </c>
      <c r="B155" s="253"/>
      <c r="C155" s="249"/>
      <c r="D155" s="263"/>
      <c r="E155" s="251"/>
      <c r="F155" s="340" t="str">
        <f>IF($B155="","",SUM(SUMIFS('Daily Inward'!$G:$G,'Daily Inward'!$C:$C,$B155,'Daily Inward'!$E:$E,{"Inventory","Services"})))</f>
        <v/>
      </c>
      <c r="G155" s="341" t="str">
        <f>IF($B155="","",SUM(SUMIFS('Daily Issuance'!$G:$G,'Daily Issuance'!$C:$C,$B155,'Daily Issuance'!$E:$E,{"Inventory","Services"})))</f>
        <v/>
      </c>
      <c r="H155" s="42" t="str">
        <f t="shared" si="4"/>
        <v/>
      </c>
      <c r="I155" s="39"/>
      <c r="J155" s="36" t="str">
        <f t="shared" si="5"/>
        <v/>
      </c>
      <c r="K155" s="48"/>
    </row>
    <row r="156" spans="1:11" ht="23.1" customHeight="1">
      <c r="A156" s="348" t="str">
        <f>IF($B156="","",MAX($A$3:A155)+1)</f>
        <v/>
      </c>
      <c r="B156" s="253"/>
      <c r="C156" s="249"/>
      <c r="D156" s="263"/>
      <c r="E156" s="251"/>
      <c r="F156" s="340" t="str">
        <f>IF($B156="","",SUM(SUMIFS('Daily Inward'!$G:$G,'Daily Inward'!$C:$C,$B156,'Daily Inward'!$E:$E,{"Inventory","Services"})))</f>
        <v/>
      </c>
      <c r="G156" s="341" t="str">
        <f>IF($B156="","",SUM(SUMIFS('Daily Issuance'!$G:$G,'Daily Issuance'!$C:$C,$B156,'Daily Issuance'!$E:$E,{"Inventory","Services"})))</f>
        <v/>
      </c>
      <c r="H156" s="42" t="str">
        <f t="shared" si="4"/>
        <v/>
      </c>
      <c r="I156" s="39"/>
      <c r="J156" s="36" t="str">
        <f t="shared" si="5"/>
        <v/>
      </c>
      <c r="K156" s="48"/>
    </row>
    <row r="157" spans="1:11" ht="23.1" customHeight="1">
      <c r="A157" s="348" t="str">
        <f>IF($B157="","",MAX($A$3:A156)+1)</f>
        <v/>
      </c>
      <c r="B157" s="253"/>
      <c r="C157" s="249"/>
      <c r="D157" s="263"/>
      <c r="E157" s="251"/>
      <c r="F157" s="340" t="str">
        <f>IF($B157="","",SUM(SUMIFS('Daily Inward'!$G:$G,'Daily Inward'!$C:$C,$B157,'Daily Inward'!$E:$E,{"Inventory","Services"})))</f>
        <v/>
      </c>
      <c r="G157" s="341" t="str">
        <f>IF($B157="","",SUM(SUMIFS('Daily Issuance'!$G:$G,'Daily Issuance'!$C:$C,$B157,'Daily Issuance'!$E:$E,{"Inventory","Services"})))</f>
        <v/>
      </c>
      <c r="H157" s="42" t="str">
        <f t="shared" si="4"/>
        <v/>
      </c>
      <c r="I157" s="39"/>
      <c r="J157" s="36" t="str">
        <f t="shared" si="5"/>
        <v/>
      </c>
      <c r="K157" s="48"/>
    </row>
    <row r="158" spans="1:11" ht="23.1" customHeight="1">
      <c r="A158" s="348" t="str">
        <f>IF($B158="","",MAX($A$3:A157)+1)</f>
        <v/>
      </c>
      <c r="B158" s="253"/>
      <c r="C158" s="249"/>
      <c r="D158" s="263"/>
      <c r="E158" s="251"/>
      <c r="F158" s="340" t="str">
        <f>IF($B158="","",SUM(SUMIFS('Daily Inward'!$G:$G,'Daily Inward'!$C:$C,$B158,'Daily Inward'!$E:$E,{"Inventory","Services"})))</f>
        <v/>
      </c>
      <c r="G158" s="341" t="str">
        <f>IF($B158="","",SUM(SUMIFS('Daily Issuance'!$G:$G,'Daily Issuance'!$C:$C,$B158,'Daily Issuance'!$E:$E,{"Inventory","Services"})))</f>
        <v/>
      </c>
      <c r="H158" s="42" t="str">
        <f t="shared" si="4"/>
        <v/>
      </c>
      <c r="I158" s="39"/>
      <c r="J158" s="36" t="str">
        <f t="shared" si="5"/>
        <v/>
      </c>
      <c r="K158" s="48"/>
    </row>
    <row r="159" spans="1:11" ht="23.1" customHeight="1">
      <c r="A159" s="348" t="str">
        <f>IF($B159="","",MAX($A$3:A158)+1)</f>
        <v/>
      </c>
      <c r="B159" s="253"/>
      <c r="C159" s="249"/>
      <c r="D159" s="263"/>
      <c r="E159" s="251"/>
      <c r="F159" s="340" t="str">
        <f>IF($B159="","",SUM(SUMIFS('Daily Inward'!$G:$G,'Daily Inward'!$C:$C,$B159,'Daily Inward'!$E:$E,{"Inventory","Services"})))</f>
        <v/>
      </c>
      <c r="G159" s="341" t="str">
        <f>IF($B159="","",SUM(SUMIFS('Daily Issuance'!$G:$G,'Daily Issuance'!$C:$C,$B159,'Daily Issuance'!$E:$E,{"Inventory","Services"})))</f>
        <v/>
      </c>
      <c r="H159" s="42" t="str">
        <f t="shared" si="4"/>
        <v/>
      </c>
      <c r="I159" s="39"/>
      <c r="J159" s="36" t="str">
        <f t="shared" si="5"/>
        <v/>
      </c>
      <c r="K159" s="48"/>
    </row>
    <row r="160" spans="1:11" ht="23.1" customHeight="1">
      <c r="A160" s="348" t="str">
        <f>IF($B160="","",MAX($A$3:A159)+1)</f>
        <v/>
      </c>
      <c r="B160" s="253"/>
      <c r="C160" s="249"/>
      <c r="D160" s="263"/>
      <c r="E160" s="251"/>
      <c r="F160" s="340" t="str">
        <f>IF($B160="","",SUM(SUMIFS('Daily Inward'!$G:$G,'Daily Inward'!$C:$C,$B160,'Daily Inward'!$E:$E,{"Inventory","Services"})))</f>
        <v/>
      </c>
      <c r="G160" s="341" t="str">
        <f>IF($B160="","",SUM(SUMIFS('Daily Issuance'!$G:$G,'Daily Issuance'!$C:$C,$B160,'Daily Issuance'!$E:$E,{"Inventory","Services"})))</f>
        <v/>
      </c>
      <c r="H160" s="42" t="str">
        <f t="shared" si="4"/>
        <v/>
      </c>
      <c r="I160" s="39"/>
      <c r="J160" s="36" t="str">
        <f t="shared" si="5"/>
        <v/>
      </c>
      <c r="K160" s="48"/>
    </row>
    <row r="161" spans="1:11" ht="23.1" customHeight="1">
      <c r="A161" s="348" t="str">
        <f>IF($B161="","",MAX($A$3:A160)+1)</f>
        <v/>
      </c>
      <c r="B161" s="253"/>
      <c r="C161" s="249"/>
      <c r="D161" s="263"/>
      <c r="E161" s="251"/>
      <c r="F161" s="340" t="str">
        <f>IF($B161="","",SUM(SUMIFS('Daily Inward'!$G:$G,'Daily Inward'!$C:$C,$B161,'Daily Inward'!$E:$E,{"Inventory","Services"})))</f>
        <v/>
      </c>
      <c r="G161" s="341" t="str">
        <f>IF($B161="","",SUM(SUMIFS('Daily Issuance'!$G:$G,'Daily Issuance'!$C:$C,$B161,'Daily Issuance'!$E:$E,{"Inventory","Services"})))</f>
        <v/>
      </c>
      <c r="H161" s="42" t="str">
        <f t="shared" si="4"/>
        <v/>
      </c>
      <c r="I161" s="39"/>
      <c r="J161" s="36" t="str">
        <f t="shared" si="5"/>
        <v/>
      </c>
      <c r="K161" s="48"/>
    </row>
    <row r="162" spans="1:11" ht="23.1" customHeight="1">
      <c r="A162" s="348" t="str">
        <f>IF($B162="","",MAX($A$3:A161)+1)</f>
        <v/>
      </c>
      <c r="B162" s="253"/>
      <c r="C162" s="249"/>
      <c r="D162" s="263"/>
      <c r="E162" s="251"/>
      <c r="F162" s="340" t="str">
        <f>IF($B162="","",SUM(SUMIFS('Daily Inward'!$G:$G,'Daily Inward'!$C:$C,$B162,'Daily Inward'!$E:$E,{"Inventory","Services"})))</f>
        <v/>
      </c>
      <c r="G162" s="341" t="str">
        <f>IF($B162="","",SUM(SUMIFS('Daily Issuance'!$G:$G,'Daily Issuance'!$C:$C,$B162,'Daily Issuance'!$E:$E,{"Inventory","Services"})))</f>
        <v/>
      </c>
      <c r="H162" s="42" t="str">
        <f t="shared" si="4"/>
        <v/>
      </c>
      <c r="I162" s="39"/>
      <c r="J162" s="36" t="str">
        <f t="shared" si="5"/>
        <v/>
      </c>
      <c r="K162" s="48"/>
    </row>
    <row r="163" spans="1:11" ht="23.1" customHeight="1">
      <c r="A163" s="348" t="str">
        <f>IF($B163="","",MAX($A$3:A162)+1)</f>
        <v/>
      </c>
      <c r="B163" s="253"/>
      <c r="C163" s="249"/>
      <c r="D163" s="263"/>
      <c r="E163" s="251"/>
      <c r="F163" s="340" t="str">
        <f>IF($B163="","",SUM(SUMIFS('Daily Inward'!$G:$G,'Daily Inward'!$C:$C,$B163,'Daily Inward'!$E:$E,{"Inventory","Services"})))</f>
        <v/>
      </c>
      <c r="G163" s="341" t="str">
        <f>IF($B163="","",SUM(SUMIFS('Daily Issuance'!$G:$G,'Daily Issuance'!$C:$C,$B163,'Daily Issuance'!$E:$E,{"Inventory","Services"})))</f>
        <v/>
      </c>
      <c r="H163" s="42" t="str">
        <f t="shared" si="4"/>
        <v/>
      </c>
      <c r="I163" s="39"/>
      <c r="J163" s="36" t="str">
        <f t="shared" si="5"/>
        <v/>
      </c>
      <c r="K163" s="48"/>
    </row>
    <row r="164" spans="1:11" ht="23.1" customHeight="1">
      <c r="A164" s="348" t="str">
        <f>IF($B164="","",MAX($A$3:A163)+1)</f>
        <v/>
      </c>
      <c r="B164" s="253"/>
      <c r="C164" s="249"/>
      <c r="D164" s="263"/>
      <c r="E164" s="251"/>
      <c r="F164" s="340" t="str">
        <f>IF($B164="","",SUM(SUMIFS('Daily Inward'!$G:$G,'Daily Inward'!$C:$C,$B164,'Daily Inward'!$E:$E,{"Inventory","Services"})))</f>
        <v/>
      </c>
      <c r="G164" s="341" t="str">
        <f>IF($B164="","",SUM(SUMIFS('Daily Issuance'!$G:$G,'Daily Issuance'!$C:$C,$B164,'Daily Issuance'!$E:$E,{"Inventory","Services"})))</f>
        <v/>
      </c>
      <c r="H164" s="42" t="str">
        <f t="shared" si="4"/>
        <v/>
      </c>
      <c r="I164" s="39"/>
      <c r="J164" s="36" t="str">
        <f t="shared" si="5"/>
        <v/>
      </c>
      <c r="K164" s="48"/>
    </row>
    <row r="165" spans="1:11" ht="23.1" customHeight="1">
      <c r="A165" s="348" t="str">
        <f>IF($B165="","",MAX($A$3:A164)+1)</f>
        <v/>
      </c>
      <c r="B165" s="253"/>
      <c r="C165" s="249"/>
      <c r="D165" s="263"/>
      <c r="E165" s="251"/>
      <c r="F165" s="340" t="str">
        <f>IF($B165="","",SUM(SUMIFS('Daily Inward'!$G:$G,'Daily Inward'!$C:$C,$B165,'Daily Inward'!$E:$E,{"Inventory","Services"})))</f>
        <v/>
      </c>
      <c r="G165" s="341" t="str">
        <f>IF($B165="","",SUM(SUMIFS('Daily Issuance'!$G:$G,'Daily Issuance'!$C:$C,$B165,'Daily Issuance'!$E:$E,{"Inventory","Services"})))</f>
        <v/>
      </c>
      <c r="H165" s="42" t="str">
        <f t="shared" si="4"/>
        <v/>
      </c>
      <c r="I165" s="39"/>
      <c r="J165" s="36" t="str">
        <f t="shared" si="5"/>
        <v/>
      </c>
      <c r="K165" s="48"/>
    </row>
    <row r="166" spans="1:11" ht="23.1" customHeight="1">
      <c r="A166" s="348" t="str">
        <f>IF($B166="","",MAX($A$3:A165)+1)</f>
        <v/>
      </c>
      <c r="B166" s="253"/>
      <c r="C166" s="249"/>
      <c r="D166" s="263"/>
      <c r="E166" s="251"/>
      <c r="F166" s="340" t="str">
        <f>IF($B166="","",SUM(SUMIFS('Daily Inward'!$G:$G,'Daily Inward'!$C:$C,$B166,'Daily Inward'!$E:$E,{"Inventory","Services"})))</f>
        <v/>
      </c>
      <c r="G166" s="341" t="str">
        <f>IF($B166="","",SUM(SUMIFS('Daily Issuance'!$G:$G,'Daily Issuance'!$C:$C,$B166,'Daily Issuance'!$E:$E,{"Inventory","Services"})))</f>
        <v/>
      </c>
      <c r="H166" s="42" t="str">
        <f t="shared" si="4"/>
        <v/>
      </c>
      <c r="I166" s="39"/>
      <c r="J166" s="36" t="str">
        <f t="shared" si="5"/>
        <v/>
      </c>
      <c r="K166" s="48"/>
    </row>
    <row r="167" spans="1:11" ht="23.1" customHeight="1">
      <c r="A167" s="348" t="str">
        <f>IF($B167="","",MAX($A$3:A166)+1)</f>
        <v/>
      </c>
      <c r="B167" s="253"/>
      <c r="C167" s="249"/>
      <c r="D167" s="263"/>
      <c r="E167" s="251"/>
      <c r="F167" s="340" t="str">
        <f>IF($B167="","",SUM(SUMIFS('Daily Inward'!$G:$G,'Daily Inward'!$C:$C,$B167,'Daily Inward'!$E:$E,{"Inventory","Services"})))</f>
        <v/>
      </c>
      <c r="G167" s="341" t="str">
        <f>IF($B167="","",SUM(SUMIFS('Daily Issuance'!$G:$G,'Daily Issuance'!$C:$C,$B167,'Daily Issuance'!$E:$E,{"Inventory","Services"})))</f>
        <v/>
      </c>
      <c r="H167" s="42" t="str">
        <f t="shared" si="4"/>
        <v/>
      </c>
      <c r="I167" s="39"/>
      <c r="J167" s="36" t="str">
        <f t="shared" si="5"/>
        <v/>
      </c>
      <c r="K167" s="48"/>
    </row>
    <row r="168" spans="1:11" ht="23.1" customHeight="1">
      <c r="A168" s="348" t="str">
        <f>IF($B168="","",MAX($A$3:A167)+1)</f>
        <v/>
      </c>
      <c r="B168" s="253"/>
      <c r="C168" s="249"/>
      <c r="D168" s="263"/>
      <c r="E168" s="251"/>
      <c r="F168" s="340" t="str">
        <f>IF($B168="","",SUM(SUMIFS('Daily Inward'!$G:$G,'Daily Inward'!$C:$C,$B168,'Daily Inward'!$E:$E,{"Inventory","Services"})))</f>
        <v/>
      </c>
      <c r="G168" s="341" t="str">
        <f>IF($B168="","",SUM(SUMIFS('Daily Issuance'!$G:$G,'Daily Issuance'!$C:$C,$B168,'Daily Issuance'!$E:$E,{"Inventory","Services"})))</f>
        <v/>
      </c>
      <c r="H168" s="42" t="str">
        <f t="shared" si="4"/>
        <v/>
      </c>
      <c r="I168" s="39"/>
      <c r="J168" s="36" t="str">
        <f t="shared" si="5"/>
        <v/>
      </c>
      <c r="K168" s="48"/>
    </row>
    <row r="169" spans="1:11" ht="23.1" customHeight="1">
      <c r="A169" s="348" t="str">
        <f>IF($B169="","",MAX($A$3:A168)+1)</f>
        <v/>
      </c>
      <c r="B169" s="253"/>
      <c r="C169" s="249"/>
      <c r="D169" s="263"/>
      <c r="E169" s="251"/>
      <c r="F169" s="340" t="str">
        <f>IF($B169="","",SUM(SUMIFS('Daily Inward'!$G:$G,'Daily Inward'!$C:$C,$B169,'Daily Inward'!$E:$E,{"Inventory","Services"})))</f>
        <v/>
      </c>
      <c r="G169" s="341" t="str">
        <f>IF($B169="","",SUM(SUMIFS('Daily Issuance'!$G:$G,'Daily Issuance'!$C:$C,$B169,'Daily Issuance'!$E:$E,{"Inventory","Services"})))</f>
        <v/>
      </c>
      <c r="H169" s="42" t="str">
        <f t="shared" si="4"/>
        <v/>
      </c>
      <c r="I169" s="39"/>
      <c r="J169" s="36" t="str">
        <f t="shared" si="5"/>
        <v/>
      </c>
      <c r="K169" s="48"/>
    </row>
    <row r="170" spans="1:11" ht="23.1" customHeight="1">
      <c r="A170" s="348" t="str">
        <f>IF($B170="","",MAX($A$3:A169)+1)</f>
        <v/>
      </c>
      <c r="B170" s="253"/>
      <c r="C170" s="249"/>
      <c r="D170" s="263"/>
      <c r="E170" s="251"/>
      <c r="F170" s="340" t="str">
        <f>IF($B170="","",SUM(SUMIFS('Daily Inward'!$G:$G,'Daily Inward'!$C:$C,$B170,'Daily Inward'!$E:$E,{"Inventory","Services"})))</f>
        <v/>
      </c>
      <c r="G170" s="341" t="str">
        <f>IF($B170="","",SUM(SUMIFS('Daily Issuance'!$G:$G,'Daily Issuance'!$C:$C,$B170,'Daily Issuance'!$E:$E,{"Inventory","Services"})))</f>
        <v/>
      </c>
      <c r="H170" s="42" t="str">
        <f t="shared" si="4"/>
        <v/>
      </c>
      <c r="I170" s="39"/>
      <c r="J170" s="36" t="str">
        <f t="shared" si="5"/>
        <v/>
      </c>
      <c r="K170" s="48"/>
    </row>
    <row r="171" spans="1:11" ht="23.1" customHeight="1">
      <c r="A171" s="348" t="str">
        <f>IF($B171="","",MAX($A$3:A170)+1)</f>
        <v/>
      </c>
      <c r="B171" s="253"/>
      <c r="C171" s="249"/>
      <c r="D171" s="263"/>
      <c r="E171" s="251"/>
      <c r="F171" s="340" t="str">
        <f>IF($B171="","",SUM(SUMIFS('Daily Inward'!$G:$G,'Daily Inward'!$C:$C,$B171,'Daily Inward'!$E:$E,{"Inventory","Services"})))</f>
        <v/>
      </c>
      <c r="G171" s="341" t="str">
        <f>IF($B171="","",SUM(SUMIFS('Daily Issuance'!$G:$G,'Daily Issuance'!$C:$C,$B171,'Daily Issuance'!$E:$E,{"Inventory","Services"})))</f>
        <v/>
      </c>
      <c r="H171" s="42" t="str">
        <f t="shared" si="4"/>
        <v/>
      </c>
      <c r="I171" s="39"/>
      <c r="J171" s="36" t="str">
        <f t="shared" si="5"/>
        <v/>
      </c>
      <c r="K171" s="48"/>
    </row>
    <row r="172" spans="1:11" ht="23.1" customHeight="1">
      <c r="A172" s="348" t="str">
        <f>IF($B172="","",MAX($A$3:A171)+1)</f>
        <v/>
      </c>
      <c r="B172" s="253"/>
      <c r="C172" s="249"/>
      <c r="D172" s="263"/>
      <c r="E172" s="251"/>
      <c r="F172" s="340" t="str">
        <f>IF($B172="","",SUM(SUMIFS('Daily Inward'!$G:$G,'Daily Inward'!$C:$C,$B172,'Daily Inward'!$E:$E,{"Inventory","Services"})))</f>
        <v/>
      </c>
      <c r="G172" s="341" t="str">
        <f>IF($B172="","",SUM(SUMIFS('Daily Issuance'!$G:$G,'Daily Issuance'!$C:$C,$B172,'Daily Issuance'!$E:$E,{"Inventory","Services"})))</f>
        <v/>
      </c>
      <c r="H172" s="42" t="str">
        <f t="shared" si="4"/>
        <v/>
      </c>
      <c r="I172" s="39"/>
      <c r="J172" s="36" t="str">
        <f t="shared" si="5"/>
        <v/>
      </c>
      <c r="K172" s="48"/>
    </row>
    <row r="173" spans="1:11" ht="23.1" customHeight="1">
      <c r="A173" s="348" t="str">
        <f>IF($B173="","",MAX($A$3:A172)+1)</f>
        <v/>
      </c>
      <c r="B173" s="253"/>
      <c r="C173" s="249"/>
      <c r="D173" s="263"/>
      <c r="E173" s="251"/>
      <c r="F173" s="340" t="str">
        <f>IF($B173="","",SUM(SUMIFS('Daily Inward'!$G:$G,'Daily Inward'!$C:$C,$B173,'Daily Inward'!$E:$E,{"Inventory","Services"})))</f>
        <v/>
      </c>
      <c r="G173" s="341" t="str">
        <f>IF($B173="","",SUM(SUMIFS('Daily Issuance'!$G:$G,'Daily Issuance'!$C:$C,$B173,'Daily Issuance'!$E:$E,{"Inventory","Services"})))</f>
        <v/>
      </c>
      <c r="H173" s="42" t="str">
        <f t="shared" si="4"/>
        <v/>
      </c>
      <c r="I173" s="39"/>
      <c r="J173" s="36" t="str">
        <f t="shared" si="5"/>
        <v/>
      </c>
      <c r="K173" s="48"/>
    </row>
    <row r="174" spans="1:11" ht="23.1" customHeight="1">
      <c r="A174" s="348" t="str">
        <f>IF($B174="","",MAX($A$3:A173)+1)</f>
        <v/>
      </c>
      <c r="B174" s="253"/>
      <c r="C174" s="249"/>
      <c r="D174" s="263"/>
      <c r="E174" s="251"/>
      <c r="F174" s="340" t="str">
        <f>IF($B174="","",SUM(SUMIFS('Daily Inward'!$G:$G,'Daily Inward'!$C:$C,$B174,'Daily Inward'!$E:$E,{"Inventory","Services"})))</f>
        <v/>
      </c>
      <c r="G174" s="341" t="str">
        <f>IF($B174="","",SUM(SUMIFS('Daily Issuance'!$G:$G,'Daily Issuance'!$C:$C,$B174,'Daily Issuance'!$E:$E,{"Inventory","Services"})))</f>
        <v/>
      </c>
      <c r="H174" s="42" t="str">
        <f t="shared" si="4"/>
        <v/>
      </c>
      <c r="I174" s="39"/>
      <c r="J174" s="36" t="str">
        <f t="shared" si="5"/>
        <v/>
      </c>
      <c r="K174" s="48"/>
    </row>
    <row r="175" spans="1:11" ht="23.1" customHeight="1">
      <c r="A175" s="348" t="str">
        <f>IF($B175="","",MAX($A$3:A174)+1)</f>
        <v/>
      </c>
      <c r="B175" s="253"/>
      <c r="C175" s="249"/>
      <c r="D175" s="263"/>
      <c r="E175" s="251"/>
      <c r="F175" s="340" t="str">
        <f>IF($B175="","",SUM(SUMIFS('Daily Inward'!$G:$G,'Daily Inward'!$C:$C,$B175,'Daily Inward'!$E:$E,{"Inventory","Services"})))</f>
        <v/>
      </c>
      <c r="G175" s="341" t="str">
        <f>IF($B175="","",SUM(SUMIFS('Daily Issuance'!$G:$G,'Daily Issuance'!$C:$C,$B175,'Daily Issuance'!$E:$E,{"Inventory","Services"})))</f>
        <v/>
      </c>
      <c r="H175" s="42" t="str">
        <f t="shared" si="4"/>
        <v/>
      </c>
      <c r="I175" s="39"/>
      <c r="J175" s="36" t="str">
        <f t="shared" si="5"/>
        <v/>
      </c>
      <c r="K175" s="48"/>
    </row>
    <row r="176" spans="1:11" ht="23.1" customHeight="1">
      <c r="A176" s="348" t="str">
        <f>IF($B176="","",MAX($A$3:A175)+1)</f>
        <v/>
      </c>
      <c r="B176" s="253"/>
      <c r="C176" s="249"/>
      <c r="D176" s="263"/>
      <c r="E176" s="251"/>
      <c r="F176" s="340" t="str">
        <f>IF($B176="","",SUM(SUMIFS('Daily Inward'!$G:$G,'Daily Inward'!$C:$C,$B176,'Daily Inward'!$E:$E,{"Inventory","Services"})))</f>
        <v/>
      </c>
      <c r="G176" s="341" t="str">
        <f>IF($B176="","",SUM(SUMIFS('Daily Issuance'!$G:$G,'Daily Issuance'!$C:$C,$B176,'Daily Issuance'!$E:$E,{"Inventory","Services"})))</f>
        <v/>
      </c>
      <c r="H176" s="42" t="str">
        <f t="shared" si="4"/>
        <v/>
      </c>
      <c r="I176" s="39"/>
      <c r="J176" s="36" t="str">
        <f t="shared" si="5"/>
        <v/>
      </c>
      <c r="K176" s="48"/>
    </row>
    <row r="177" spans="1:11" ht="23.1" customHeight="1">
      <c r="A177" s="348" t="str">
        <f>IF($B177="","",MAX($A$3:A176)+1)</f>
        <v/>
      </c>
      <c r="B177" s="253"/>
      <c r="C177" s="249"/>
      <c r="D177" s="263"/>
      <c r="E177" s="251"/>
      <c r="F177" s="340" t="str">
        <f>IF($B177="","",SUM(SUMIFS('Daily Inward'!$G:$G,'Daily Inward'!$C:$C,$B177,'Daily Inward'!$E:$E,{"Inventory","Services"})))</f>
        <v/>
      </c>
      <c r="G177" s="341" t="str">
        <f>IF($B177="","",SUM(SUMIFS('Daily Issuance'!$G:$G,'Daily Issuance'!$C:$C,$B177,'Daily Issuance'!$E:$E,{"Inventory","Services"})))</f>
        <v/>
      </c>
      <c r="H177" s="42" t="str">
        <f t="shared" si="4"/>
        <v/>
      </c>
      <c r="I177" s="39"/>
      <c r="J177" s="36" t="str">
        <f t="shared" si="5"/>
        <v/>
      </c>
      <c r="K177" s="48"/>
    </row>
    <row r="178" spans="1:11" ht="23.1" customHeight="1">
      <c r="A178" s="348" t="str">
        <f>IF($B178="","",MAX($A$3:A177)+1)</f>
        <v/>
      </c>
      <c r="B178" s="253"/>
      <c r="C178" s="249"/>
      <c r="D178" s="263"/>
      <c r="E178" s="251"/>
      <c r="F178" s="340" t="str">
        <f>IF($B178="","",SUM(SUMIFS('Daily Inward'!$G:$G,'Daily Inward'!$C:$C,$B178,'Daily Inward'!$E:$E,{"Inventory","Services"})))</f>
        <v/>
      </c>
      <c r="G178" s="341" t="str">
        <f>IF($B178="","",SUM(SUMIFS('Daily Issuance'!$G:$G,'Daily Issuance'!$C:$C,$B178,'Daily Issuance'!$E:$E,{"Inventory","Services"})))</f>
        <v/>
      </c>
      <c r="H178" s="42" t="str">
        <f t="shared" si="4"/>
        <v/>
      </c>
      <c r="I178" s="39"/>
      <c r="J178" s="36" t="str">
        <f t="shared" si="5"/>
        <v/>
      </c>
      <c r="K178" s="48"/>
    </row>
    <row r="179" spans="1:11" ht="23.1" customHeight="1">
      <c r="A179" s="348" t="str">
        <f>IF($B179="","",MAX($A$3:A178)+1)</f>
        <v/>
      </c>
      <c r="B179" s="253"/>
      <c r="C179" s="249"/>
      <c r="D179" s="263"/>
      <c r="E179" s="251"/>
      <c r="F179" s="340" t="str">
        <f>IF($B179="","",SUM(SUMIFS('Daily Inward'!$G:$G,'Daily Inward'!$C:$C,$B179,'Daily Inward'!$E:$E,{"Inventory","Services"})))</f>
        <v/>
      </c>
      <c r="G179" s="341" t="str">
        <f>IF($B179="","",SUM(SUMIFS('Daily Issuance'!$G:$G,'Daily Issuance'!$C:$C,$B179,'Daily Issuance'!$E:$E,{"Inventory","Services"})))</f>
        <v/>
      </c>
      <c r="H179" s="42" t="str">
        <f t="shared" si="4"/>
        <v/>
      </c>
      <c r="I179" s="39"/>
      <c r="J179" s="36" t="str">
        <f t="shared" si="5"/>
        <v/>
      </c>
      <c r="K179" s="48"/>
    </row>
    <row r="180" spans="1:11" ht="23.1" customHeight="1">
      <c r="A180" s="348" t="str">
        <f>IF($B180="","",MAX($A$3:A179)+1)</f>
        <v/>
      </c>
      <c r="B180" s="253"/>
      <c r="C180" s="249"/>
      <c r="D180" s="263"/>
      <c r="E180" s="251"/>
      <c r="F180" s="340" t="str">
        <f>IF($B180="","",SUM(SUMIFS('Daily Inward'!$G:$G,'Daily Inward'!$C:$C,$B180,'Daily Inward'!$E:$E,{"Inventory","Services"})))</f>
        <v/>
      </c>
      <c r="G180" s="341" t="str">
        <f>IF($B180="","",SUM(SUMIFS('Daily Issuance'!$G:$G,'Daily Issuance'!$C:$C,$B180,'Daily Issuance'!$E:$E,{"Inventory","Services"})))</f>
        <v/>
      </c>
      <c r="H180" s="42" t="str">
        <f t="shared" si="4"/>
        <v/>
      </c>
      <c r="I180" s="39"/>
      <c r="J180" s="36" t="str">
        <f t="shared" si="5"/>
        <v/>
      </c>
      <c r="K180" s="48"/>
    </row>
    <row r="181" spans="1:11" ht="23.1" customHeight="1">
      <c r="A181" s="348" t="str">
        <f>IF($B181="","",MAX($A$3:A180)+1)</f>
        <v/>
      </c>
      <c r="B181" s="253"/>
      <c r="C181" s="249"/>
      <c r="D181" s="263"/>
      <c r="E181" s="251"/>
      <c r="F181" s="340" t="str">
        <f>IF($B181="","",SUM(SUMIFS('Daily Inward'!$G:$G,'Daily Inward'!$C:$C,$B181,'Daily Inward'!$E:$E,{"Inventory","Services"})))</f>
        <v/>
      </c>
      <c r="G181" s="341" t="str">
        <f>IF($B181="","",SUM(SUMIFS('Daily Issuance'!$G:$G,'Daily Issuance'!$C:$C,$B181,'Daily Issuance'!$E:$E,{"Inventory","Services"})))</f>
        <v/>
      </c>
      <c r="H181" s="42" t="str">
        <f t="shared" si="4"/>
        <v/>
      </c>
      <c r="I181" s="39"/>
      <c r="J181" s="36" t="str">
        <f t="shared" si="5"/>
        <v/>
      </c>
      <c r="K181" s="48"/>
    </row>
    <row r="182" spans="1:11" ht="23.1" customHeight="1">
      <c r="A182" s="348" t="str">
        <f>IF($B182="","",MAX($A$3:A181)+1)</f>
        <v/>
      </c>
      <c r="B182" s="253"/>
      <c r="C182" s="249"/>
      <c r="D182" s="263"/>
      <c r="E182" s="251"/>
      <c r="F182" s="340" t="str">
        <f>IF($B182="","",SUM(SUMIFS('Daily Inward'!$G:$G,'Daily Inward'!$C:$C,$B182,'Daily Inward'!$E:$E,{"Inventory","Services"})))</f>
        <v/>
      </c>
      <c r="G182" s="341" t="str">
        <f>IF($B182="","",SUM(SUMIFS('Daily Issuance'!$G:$G,'Daily Issuance'!$C:$C,$B182,'Daily Issuance'!$E:$E,{"Inventory","Services"})))</f>
        <v/>
      </c>
      <c r="H182" s="42" t="str">
        <f t="shared" si="4"/>
        <v/>
      </c>
      <c r="I182" s="39"/>
      <c r="J182" s="36" t="str">
        <f t="shared" si="5"/>
        <v/>
      </c>
      <c r="K182" s="48"/>
    </row>
    <row r="183" spans="1:11" ht="23.1" customHeight="1">
      <c r="A183" s="348" t="str">
        <f>IF($B183="","",MAX($A$3:A182)+1)</f>
        <v/>
      </c>
      <c r="B183" s="253"/>
      <c r="C183" s="249"/>
      <c r="D183" s="263"/>
      <c r="E183" s="251"/>
      <c r="F183" s="340" t="str">
        <f>IF($B183="","",SUM(SUMIFS('Daily Inward'!$G:$G,'Daily Inward'!$C:$C,$B183,'Daily Inward'!$E:$E,{"Inventory","Services"})))</f>
        <v/>
      </c>
      <c r="G183" s="341" t="str">
        <f>IF($B183="","",SUM(SUMIFS('Daily Issuance'!$G:$G,'Daily Issuance'!$C:$C,$B183,'Daily Issuance'!$E:$E,{"Inventory","Services"})))</f>
        <v/>
      </c>
      <c r="H183" s="42" t="str">
        <f t="shared" si="4"/>
        <v/>
      </c>
      <c r="I183" s="39"/>
      <c r="J183" s="36" t="str">
        <f t="shared" si="5"/>
        <v/>
      </c>
      <c r="K183" s="48"/>
    </row>
    <row r="184" spans="1:11" ht="23.1" customHeight="1">
      <c r="A184" s="348" t="str">
        <f>IF($B184="","",MAX($A$3:A183)+1)</f>
        <v/>
      </c>
      <c r="B184" s="253"/>
      <c r="C184" s="249"/>
      <c r="D184" s="263"/>
      <c r="E184" s="251"/>
      <c r="F184" s="340" t="str">
        <f>IF($B184="","",SUM(SUMIFS('Daily Inward'!$G:$G,'Daily Inward'!$C:$C,$B184,'Daily Inward'!$E:$E,{"Inventory","Services"})))</f>
        <v/>
      </c>
      <c r="G184" s="341" t="str">
        <f>IF($B184="","",SUM(SUMIFS('Daily Issuance'!$G:$G,'Daily Issuance'!$C:$C,$B184,'Daily Issuance'!$E:$E,{"Inventory","Services"})))</f>
        <v/>
      </c>
      <c r="H184" s="42" t="str">
        <f t="shared" si="4"/>
        <v/>
      </c>
      <c r="I184" s="39"/>
      <c r="J184" s="36" t="str">
        <f t="shared" si="5"/>
        <v/>
      </c>
      <c r="K184" s="48"/>
    </row>
    <row r="185" spans="1:11" ht="23.1" customHeight="1">
      <c r="A185" s="348" t="str">
        <f>IF($B185="","",MAX($A$3:A184)+1)</f>
        <v/>
      </c>
      <c r="B185" s="253"/>
      <c r="C185" s="249"/>
      <c r="D185" s="263"/>
      <c r="E185" s="251"/>
      <c r="F185" s="340" t="str">
        <f>IF($B185="","",SUM(SUMIFS('Daily Inward'!$G:$G,'Daily Inward'!$C:$C,$B185,'Daily Inward'!$E:$E,{"Inventory","Services"})))</f>
        <v/>
      </c>
      <c r="G185" s="341" t="str">
        <f>IF($B185="","",SUM(SUMIFS('Daily Issuance'!$G:$G,'Daily Issuance'!$C:$C,$B185,'Daily Issuance'!$E:$E,{"Inventory","Services"})))</f>
        <v/>
      </c>
      <c r="H185" s="42" t="str">
        <f t="shared" si="4"/>
        <v/>
      </c>
      <c r="I185" s="39"/>
      <c r="J185" s="36" t="str">
        <f t="shared" si="5"/>
        <v/>
      </c>
      <c r="K185" s="48"/>
    </row>
    <row r="186" spans="1:11" ht="23.1" customHeight="1">
      <c r="A186" s="348" t="str">
        <f>IF($B186="","",MAX($A$3:A185)+1)</f>
        <v/>
      </c>
      <c r="B186" s="253"/>
      <c r="C186" s="249"/>
      <c r="D186" s="263"/>
      <c r="E186" s="251"/>
      <c r="F186" s="340" t="str">
        <f>IF($B186="","",SUM(SUMIFS('Daily Inward'!$G:$G,'Daily Inward'!$C:$C,$B186,'Daily Inward'!$E:$E,{"Inventory","Services"})))</f>
        <v/>
      </c>
      <c r="G186" s="341" t="str">
        <f>IF($B186="","",SUM(SUMIFS('Daily Issuance'!$G:$G,'Daily Issuance'!$C:$C,$B186,'Daily Issuance'!$E:$E,{"Inventory","Services"})))</f>
        <v/>
      </c>
      <c r="H186" s="42" t="str">
        <f t="shared" si="4"/>
        <v/>
      </c>
      <c r="I186" s="39"/>
      <c r="J186" s="36" t="str">
        <f t="shared" si="5"/>
        <v/>
      </c>
      <c r="K186" s="48"/>
    </row>
    <row r="187" spans="1:11" ht="23.1" customHeight="1">
      <c r="A187" s="348" t="str">
        <f>IF($B187="","",MAX($A$3:A186)+1)</f>
        <v/>
      </c>
      <c r="B187" s="253"/>
      <c r="C187" s="249"/>
      <c r="D187" s="263"/>
      <c r="E187" s="251"/>
      <c r="F187" s="340" t="str">
        <f>IF($B187="","",SUM(SUMIFS('Daily Inward'!$G:$G,'Daily Inward'!$C:$C,$B187,'Daily Inward'!$E:$E,{"Inventory","Services"})))</f>
        <v/>
      </c>
      <c r="G187" s="341" t="str">
        <f>IF($B187="","",SUM(SUMIFS('Daily Issuance'!$G:$G,'Daily Issuance'!$C:$C,$B187,'Daily Issuance'!$E:$E,{"Inventory","Services"})))</f>
        <v/>
      </c>
      <c r="H187" s="42" t="str">
        <f t="shared" si="4"/>
        <v/>
      </c>
      <c r="I187" s="39"/>
      <c r="J187" s="36" t="str">
        <f t="shared" si="5"/>
        <v/>
      </c>
      <c r="K187" s="48"/>
    </row>
    <row r="188" spans="1:11" ht="23.1" customHeight="1">
      <c r="A188" s="348" t="str">
        <f>IF($B188="","",MAX($A$3:A187)+1)</f>
        <v/>
      </c>
      <c r="B188" s="253"/>
      <c r="C188" s="249"/>
      <c r="D188" s="263"/>
      <c r="E188" s="251"/>
      <c r="F188" s="340" t="str">
        <f>IF($B188="","",SUM(SUMIFS('Daily Inward'!$G:$G,'Daily Inward'!$C:$C,$B188,'Daily Inward'!$E:$E,{"Inventory","Services"})))</f>
        <v/>
      </c>
      <c r="G188" s="341" t="str">
        <f>IF($B188="","",SUM(SUMIFS('Daily Issuance'!$G:$G,'Daily Issuance'!$C:$C,$B188,'Daily Issuance'!$E:$E,{"Inventory","Services"})))</f>
        <v/>
      </c>
      <c r="H188" s="42" t="str">
        <f t="shared" si="4"/>
        <v/>
      </c>
      <c r="I188" s="39"/>
      <c r="J188" s="36" t="str">
        <f t="shared" si="5"/>
        <v/>
      </c>
      <c r="K188" s="48"/>
    </row>
    <row r="189" spans="1:11" ht="23.1" customHeight="1">
      <c r="A189" s="348" t="str">
        <f>IF($B189="","",MAX($A$3:A188)+1)</f>
        <v/>
      </c>
      <c r="B189" s="253"/>
      <c r="C189" s="249"/>
      <c r="D189" s="263"/>
      <c r="E189" s="251"/>
      <c r="F189" s="340" t="str">
        <f>IF($B189="","",SUM(SUMIFS('Daily Inward'!$G:$G,'Daily Inward'!$C:$C,$B189,'Daily Inward'!$E:$E,{"Inventory","Services"})))</f>
        <v/>
      </c>
      <c r="G189" s="341" t="str">
        <f>IF($B189="","",SUM(SUMIFS('Daily Issuance'!$G:$G,'Daily Issuance'!$C:$C,$B189,'Daily Issuance'!$E:$E,{"Inventory","Services"})))</f>
        <v/>
      </c>
      <c r="H189" s="42" t="str">
        <f t="shared" si="4"/>
        <v/>
      </c>
      <c r="I189" s="39"/>
      <c r="J189" s="36" t="str">
        <f t="shared" si="5"/>
        <v/>
      </c>
      <c r="K189" s="48"/>
    </row>
    <row r="190" spans="1:11" ht="23.1" customHeight="1">
      <c r="A190" s="348" t="str">
        <f>IF($B190="","",MAX($A$3:A189)+1)</f>
        <v/>
      </c>
      <c r="B190" s="253"/>
      <c r="C190" s="249"/>
      <c r="D190" s="263"/>
      <c r="E190" s="251"/>
      <c r="F190" s="340" t="str">
        <f>IF($B190="","",SUM(SUMIFS('Daily Inward'!$G:$G,'Daily Inward'!$C:$C,$B190,'Daily Inward'!$E:$E,{"Inventory","Services"})))</f>
        <v/>
      </c>
      <c r="G190" s="341" t="str">
        <f>IF($B190="","",SUM(SUMIFS('Daily Issuance'!$G:$G,'Daily Issuance'!$C:$C,$B190,'Daily Issuance'!$E:$E,{"Inventory","Services"})))</f>
        <v/>
      </c>
      <c r="H190" s="42" t="str">
        <f t="shared" si="4"/>
        <v/>
      </c>
      <c r="I190" s="39"/>
      <c r="J190" s="36" t="str">
        <f t="shared" si="5"/>
        <v/>
      </c>
      <c r="K190" s="48"/>
    </row>
    <row r="191" spans="1:11" ht="23.1" customHeight="1">
      <c r="A191" s="348" t="str">
        <f>IF($B191="","",MAX($A$3:A190)+1)</f>
        <v/>
      </c>
      <c r="B191" s="253"/>
      <c r="C191" s="249"/>
      <c r="D191" s="263"/>
      <c r="E191" s="251"/>
      <c r="F191" s="340" t="str">
        <f>IF($B191="","",SUM(SUMIFS('Daily Inward'!$G:$G,'Daily Inward'!$C:$C,$B191,'Daily Inward'!$E:$E,{"Inventory","Services"})))</f>
        <v/>
      </c>
      <c r="G191" s="341" t="str">
        <f>IF($B191="","",SUM(SUMIFS('Daily Issuance'!$G:$G,'Daily Issuance'!$C:$C,$B191,'Daily Issuance'!$E:$E,{"Inventory","Services"})))</f>
        <v/>
      </c>
      <c r="H191" s="42" t="str">
        <f t="shared" si="4"/>
        <v/>
      </c>
      <c r="I191" s="39"/>
      <c r="J191" s="36" t="str">
        <f t="shared" si="5"/>
        <v/>
      </c>
      <c r="K191" s="48"/>
    </row>
    <row r="192" spans="1:11" ht="23.1" customHeight="1">
      <c r="A192" s="348" t="str">
        <f>IF($B192="","",MAX($A$3:A191)+1)</f>
        <v/>
      </c>
      <c r="B192" s="253"/>
      <c r="C192" s="249"/>
      <c r="D192" s="263"/>
      <c r="E192" s="251"/>
      <c r="F192" s="340" t="str">
        <f>IF($B192="","",SUM(SUMIFS('Daily Inward'!$G:$G,'Daily Inward'!$C:$C,$B192,'Daily Inward'!$E:$E,{"Inventory","Services"})))</f>
        <v/>
      </c>
      <c r="G192" s="341" t="str">
        <f>IF($B192="","",SUM(SUMIFS('Daily Issuance'!$G:$G,'Daily Issuance'!$C:$C,$B192,'Daily Issuance'!$E:$E,{"Inventory","Services"})))</f>
        <v/>
      </c>
      <c r="H192" s="42" t="str">
        <f t="shared" si="4"/>
        <v/>
      </c>
      <c r="I192" s="39"/>
      <c r="J192" s="36" t="str">
        <f t="shared" si="5"/>
        <v/>
      </c>
      <c r="K192" s="48"/>
    </row>
    <row r="193" spans="1:11" ht="23.1" customHeight="1">
      <c r="A193" s="348" t="str">
        <f>IF($B193="","",MAX($A$3:A192)+1)</f>
        <v/>
      </c>
      <c r="B193" s="253"/>
      <c r="C193" s="249"/>
      <c r="D193" s="263"/>
      <c r="E193" s="251"/>
      <c r="F193" s="340" t="str">
        <f>IF($B193="","",SUM(SUMIFS('Daily Inward'!$G:$G,'Daily Inward'!$C:$C,$B193,'Daily Inward'!$E:$E,{"Inventory","Services"})))</f>
        <v/>
      </c>
      <c r="G193" s="341" t="str">
        <f>IF($B193="","",SUM(SUMIFS('Daily Issuance'!$G:$G,'Daily Issuance'!$C:$C,$B193,'Daily Issuance'!$E:$E,{"Inventory","Services"})))</f>
        <v/>
      </c>
      <c r="H193" s="42" t="str">
        <f t="shared" si="4"/>
        <v/>
      </c>
      <c r="I193" s="39"/>
      <c r="J193" s="36" t="str">
        <f t="shared" si="5"/>
        <v/>
      </c>
      <c r="K193" s="48"/>
    </row>
    <row r="194" spans="1:11" ht="23.1" customHeight="1">
      <c r="A194" s="348" t="str">
        <f>IF($B194="","",MAX($A$3:A193)+1)</f>
        <v/>
      </c>
      <c r="B194" s="253"/>
      <c r="C194" s="249"/>
      <c r="D194" s="263"/>
      <c r="E194" s="251"/>
      <c r="F194" s="340" t="str">
        <f>IF($B194="","",SUM(SUMIFS('Daily Inward'!$G:$G,'Daily Inward'!$C:$C,$B194,'Daily Inward'!$E:$E,{"Inventory","Services"})))</f>
        <v/>
      </c>
      <c r="G194" s="341" t="str">
        <f>IF($B194="","",SUM(SUMIFS('Daily Issuance'!$G:$G,'Daily Issuance'!$C:$C,$B194,'Daily Issuance'!$E:$E,{"Inventory","Services"})))</f>
        <v/>
      </c>
      <c r="H194" s="42" t="str">
        <f t="shared" si="4"/>
        <v/>
      </c>
      <c r="I194" s="39"/>
      <c r="J194" s="36" t="str">
        <f t="shared" si="5"/>
        <v/>
      </c>
      <c r="K194" s="48"/>
    </row>
    <row r="195" spans="1:11" ht="23.1" customHeight="1">
      <c r="A195" s="348" t="str">
        <f>IF($B195="","",MAX($A$3:A194)+1)</f>
        <v/>
      </c>
      <c r="B195" s="253"/>
      <c r="C195" s="249"/>
      <c r="D195" s="263"/>
      <c r="E195" s="251"/>
      <c r="F195" s="340" t="str">
        <f>IF($B195="","",SUM(SUMIFS('Daily Inward'!$G:$G,'Daily Inward'!$C:$C,$B195,'Daily Inward'!$E:$E,{"Inventory","Services"})))</f>
        <v/>
      </c>
      <c r="G195" s="341" t="str">
        <f>IF($B195="","",SUM(SUMIFS('Daily Issuance'!$G:$G,'Daily Issuance'!$C:$C,$B195,'Daily Issuance'!$E:$E,{"Inventory","Services"})))</f>
        <v/>
      </c>
      <c r="H195" s="42" t="str">
        <f t="shared" si="4"/>
        <v/>
      </c>
      <c r="I195" s="39"/>
      <c r="J195" s="36" t="str">
        <f t="shared" si="5"/>
        <v/>
      </c>
      <c r="K195" s="48"/>
    </row>
    <row r="196" spans="1:11" ht="23.1" customHeight="1">
      <c r="A196" s="348" t="str">
        <f>IF($B196="","",MAX($A$3:A195)+1)</f>
        <v/>
      </c>
      <c r="B196" s="253"/>
      <c r="C196" s="249"/>
      <c r="D196" s="263"/>
      <c r="E196" s="251"/>
      <c r="F196" s="340" t="str">
        <f>IF($B196="","",SUM(SUMIFS('Daily Inward'!$G:$G,'Daily Inward'!$C:$C,$B196,'Daily Inward'!$E:$E,{"Inventory","Services"})))</f>
        <v/>
      </c>
      <c r="G196" s="341" t="str">
        <f>IF($B196="","",SUM(SUMIFS('Daily Issuance'!$G:$G,'Daily Issuance'!$C:$C,$B196,'Daily Issuance'!$E:$E,{"Inventory","Services"})))</f>
        <v/>
      </c>
      <c r="H196" s="42" t="str">
        <f t="shared" ref="H196:H259" si="6">IF($B196="","",N(E196)+N(F196)-N(G196))</f>
        <v/>
      </c>
      <c r="I196" s="39"/>
      <c r="J196" s="36" t="str">
        <f t="shared" ref="J196:J259" si="7">IF($B196="","",H196*I196)</f>
        <v/>
      </c>
      <c r="K196" s="48"/>
    </row>
    <row r="197" spans="1:11" ht="23.1" customHeight="1">
      <c r="A197" s="348" t="str">
        <f>IF($B197="","",MAX($A$3:A196)+1)</f>
        <v/>
      </c>
      <c r="B197" s="253"/>
      <c r="C197" s="249"/>
      <c r="D197" s="263"/>
      <c r="E197" s="251"/>
      <c r="F197" s="340" t="str">
        <f>IF($B197="","",SUM(SUMIFS('Daily Inward'!$G:$G,'Daily Inward'!$C:$C,$B197,'Daily Inward'!$E:$E,{"Inventory","Services"})))</f>
        <v/>
      </c>
      <c r="G197" s="341" t="str">
        <f>IF($B197="","",SUM(SUMIFS('Daily Issuance'!$G:$G,'Daily Issuance'!$C:$C,$B197,'Daily Issuance'!$E:$E,{"Inventory","Services"})))</f>
        <v/>
      </c>
      <c r="H197" s="42" t="str">
        <f t="shared" si="6"/>
        <v/>
      </c>
      <c r="I197" s="39"/>
      <c r="J197" s="36" t="str">
        <f t="shared" si="7"/>
        <v/>
      </c>
      <c r="K197" s="48"/>
    </row>
    <row r="198" spans="1:11" ht="23.1" customHeight="1">
      <c r="A198" s="348" t="str">
        <f>IF($B198="","",MAX($A$3:A197)+1)</f>
        <v/>
      </c>
      <c r="B198" s="253"/>
      <c r="C198" s="249"/>
      <c r="D198" s="263"/>
      <c r="E198" s="251"/>
      <c r="F198" s="340" t="str">
        <f>IF($B198="","",SUM(SUMIFS('Daily Inward'!$G:$G,'Daily Inward'!$C:$C,$B198,'Daily Inward'!$E:$E,{"Inventory","Services"})))</f>
        <v/>
      </c>
      <c r="G198" s="341" t="str">
        <f>IF($B198="","",SUM(SUMIFS('Daily Issuance'!$G:$G,'Daily Issuance'!$C:$C,$B198,'Daily Issuance'!$E:$E,{"Inventory","Services"})))</f>
        <v/>
      </c>
      <c r="H198" s="42" t="str">
        <f t="shared" si="6"/>
        <v/>
      </c>
      <c r="I198" s="39"/>
      <c r="J198" s="36" t="str">
        <f t="shared" si="7"/>
        <v/>
      </c>
      <c r="K198" s="48"/>
    </row>
    <row r="199" spans="1:11" ht="23.1" customHeight="1">
      <c r="A199" s="348" t="str">
        <f>IF($B199="","",MAX($A$3:A198)+1)</f>
        <v/>
      </c>
      <c r="B199" s="253"/>
      <c r="C199" s="249"/>
      <c r="D199" s="263"/>
      <c r="E199" s="251"/>
      <c r="F199" s="340" t="str">
        <f>IF($B199="","",SUM(SUMIFS('Daily Inward'!$G:$G,'Daily Inward'!$C:$C,$B199,'Daily Inward'!$E:$E,{"Inventory","Services"})))</f>
        <v/>
      </c>
      <c r="G199" s="341" t="str">
        <f>IF($B199="","",SUM(SUMIFS('Daily Issuance'!$G:$G,'Daily Issuance'!$C:$C,$B199,'Daily Issuance'!$E:$E,{"Inventory","Services"})))</f>
        <v/>
      </c>
      <c r="H199" s="42" t="str">
        <f t="shared" si="6"/>
        <v/>
      </c>
      <c r="I199" s="39"/>
      <c r="J199" s="36" t="str">
        <f t="shared" si="7"/>
        <v/>
      </c>
      <c r="K199" s="48"/>
    </row>
    <row r="200" spans="1:11" ht="23.1" customHeight="1">
      <c r="A200" s="348" t="str">
        <f>IF($B200="","",MAX($A$3:A199)+1)</f>
        <v/>
      </c>
      <c r="B200" s="253"/>
      <c r="C200" s="249"/>
      <c r="D200" s="263"/>
      <c r="E200" s="251"/>
      <c r="F200" s="340" t="str">
        <f>IF($B200="","",SUM(SUMIFS('Daily Inward'!$G:$G,'Daily Inward'!$C:$C,$B200,'Daily Inward'!$E:$E,{"Inventory","Services"})))</f>
        <v/>
      </c>
      <c r="G200" s="341" t="str">
        <f>IF($B200="","",SUM(SUMIFS('Daily Issuance'!$G:$G,'Daily Issuance'!$C:$C,$B200,'Daily Issuance'!$E:$E,{"Inventory","Services"})))</f>
        <v/>
      </c>
      <c r="H200" s="42" t="str">
        <f t="shared" si="6"/>
        <v/>
      </c>
      <c r="I200" s="39"/>
      <c r="J200" s="36" t="str">
        <f t="shared" si="7"/>
        <v/>
      </c>
      <c r="K200" s="48"/>
    </row>
    <row r="201" spans="1:11" ht="23.1" customHeight="1">
      <c r="A201" s="348" t="str">
        <f>IF($B201="","",MAX($A$3:A200)+1)</f>
        <v/>
      </c>
      <c r="B201" s="253"/>
      <c r="C201" s="249"/>
      <c r="D201" s="263"/>
      <c r="E201" s="251"/>
      <c r="F201" s="340" t="str">
        <f>IF($B201="","",SUM(SUMIFS('Daily Inward'!$G:$G,'Daily Inward'!$C:$C,$B201,'Daily Inward'!$E:$E,{"Inventory","Services"})))</f>
        <v/>
      </c>
      <c r="G201" s="341" t="str">
        <f>IF($B201="","",SUM(SUMIFS('Daily Issuance'!$G:$G,'Daily Issuance'!$C:$C,$B201,'Daily Issuance'!$E:$E,{"Inventory","Services"})))</f>
        <v/>
      </c>
      <c r="H201" s="42" t="str">
        <f t="shared" si="6"/>
        <v/>
      </c>
      <c r="I201" s="39"/>
      <c r="J201" s="36" t="str">
        <f t="shared" si="7"/>
        <v/>
      </c>
      <c r="K201" s="48"/>
    </row>
    <row r="202" spans="1:11" ht="23.1" customHeight="1">
      <c r="A202" s="348" t="str">
        <f>IF($B202="","",MAX($A$3:A201)+1)</f>
        <v/>
      </c>
      <c r="B202" s="253"/>
      <c r="C202" s="249"/>
      <c r="D202" s="263"/>
      <c r="E202" s="251"/>
      <c r="F202" s="340" t="str">
        <f>IF($B202="","",SUM(SUMIFS('Daily Inward'!$G:$G,'Daily Inward'!$C:$C,$B202,'Daily Inward'!$E:$E,{"Inventory","Services"})))</f>
        <v/>
      </c>
      <c r="G202" s="341" t="str">
        <f>IF($B202="","",SUM(SUMIFS('Daily Issuance'!$G:$G,'Daily Issuance'!$C:$C,$B202,'Daily Issuance'!$E:$E,{"Inventory","Services"})))</f>
        <v/>
      </c>
      <c r="H202" s="42" t="str">
        <f t="shared" si="6"/>
        <v/>
      </c>
      <c r="I202" s="39"/>
      <c r="J202" s="36" t="str">
        <f t="shared" si="7"/>
        <v/>
      </c>
      <c r="K202" s="48"/>
    </row>
    <row r="203" spans="1:11" ht="23.1" customHeight="1">
      <c r="A203" s="348" t="str">
        <f>IF($B203="","",MAX($A$3:A202)+1)</f>
        <v/>
      </c>
      <c r="B203" s="253"/>
      <c r="C203" s="249"/>
      <c r="D203" s="263"/>
      <c r="E203" s="251"/>
      <c r="F203" s="340" t="str">
        <f>IF($B203="","",SUM(SUMIFS('Daily Inward'!$G:$G,'Daily Inward'!$C:$C,$B203,'Daily Inward'!$E:$E,{"Inventory","Services"})))</f>
        <v/>
      </c>
      <c r="G203" s="341" t="str">
        <f>IF($B203="","",SUM(SUMIFS('Daily Issuance'!$G:$G,'Daily Issuance'!$C:$C,$B203,'Daily Issuance'!$E:$E,{"Inventory","Services"})))</f>
        <v/>
      </c>
      <c r="H203" s="42" t="str">
        <f t="shared" si="6"/>
        <v/>
      </c>
      <c r="I203" s="39"/>
      <c r="J203" s="36" t="str">
        <f t="shared" si="7"/>
        <v/>
      </c>
      <c r="K203" s="48"/>
    </row>
    <row r="204" spans="1:11" ht="23.1" customHeight="1">
      <c r="A204" s="348" t="str">
        <f>IF($B204="","",MAX($A$3:A203)+1)</f>
        <v/>
      </c>
      <c r="B204" s="253"/>
      <c r="C204" s="249"/>
      <c r="D204" s="263"/>
      <c r="E204" s="251"/>
      <c r="F204" s="340" t="str">
        <f>IF($B204="","",SUM(SUMIFS('Daily Inward'!$G:$G,'Daily Inward'!$C:$C,$B204,'Daily Inward'!$E:$E,{"Inventory","Services"})))</f>
        <v/>
      </c>
      <c r="G204" s="341" t="str">
        <f>IF($B204="","",SUM(SUMIFS('Daily Issuance'!$G:$G,'Daily Issuance'!$C:$C,$B204,'Daily Issuance'!$E:$E,{"Inventory","Services"})))</f>
        <v/>
      </c>
      <c r="H204" s="42" t="str">
        <f t="shared" si="6"/>
        <v/>
      </c>
      <c r="I204" s="39"/>
      <c r="J204" s="36" t="str">
        <f t="shared" si="7"/>
        <v/>
      </c>
      <c r="K204" s="48"/>
    </row>
    <row r="205" spans="1:11" ht="23.1" customHeight="1">
      <c r="A205" s="348" t="str">
        <f>IF($B205="","",MAX($A$3:A204)+1)</f>
        <v/>
      </c>
      <c r="B205" s="253"/>
      <c r="C205" s="249"/>
      <c r="D205" s="263"/>
      <c r="E205" s="251"/>
      <c r="F205" s="340" t="str">
        <f>IF($B205="","",SUM(SUMIFS('Daily Inward'!$G:$G,'Daily Inward'!$C:$C,$B205,'Daily Inward'!$E:$E,{"Inventory","Services"})))</f>
        <v/>
      </c>
      <c r="G205" s="341" t="str">
        <f>IF($B205="","",SUM(SUMIFS('Daily Issuance'!$G:$G,'Daily Issuance'!$C:$C,$B205,'Daily Issuance'!$E:$E,{"Inventory","Services"})))</f>
        <v/>
      </c>
      <c r="H205" s="42" t="str">
        <f t="shared" si="6"/>
        <v/>
      </c>
      <c r="I205" s="39"/>
      <c r="J205" s="36" t="str">
        <f t="shared" si="7"/>
        <v/>
      </c>
      <c r="K205" s="48"/>
    </row>
    <row r="206" spans="1:11" ht="23.1" customHeight="1">
      <c r="A206" s="348" t="str">
        <f>IF($B206="","",MAX($A$3:A205)+1)</f>
        <v/>
      </c>
      <c r="B206" s="253"/>
      <c r="C206" s="249"/>
      <c r="D206" s="263"/>
      <c r="E206" s="251"/>
      <c r="F206" s="340" t="str">
        <f>IF($B206="","",SUM(SUMIFS('Daily Inward'!$G:$G,'Daily Inward'!$C:$C,$B206,'Daily Inward'!$E:$E,{"Inventory","Services"})))</f>
        <v/>
      </c>
      <c r="G206" s="341" t="str">
        <f>IF($B206="","",SUM(SUMIFS('Daily Issuance'!$G:$G,'Daily Issuance'!$C:$C,$B206,'Daily Issuance'!$E:$E,{"Inventory","Services"})))</f>
        <v/>
      </c>
      <c r="H206" s="42" t="str">
        <f t="shared" si="6"/>
        <v/>
      </c>
      <c r="I206" s="39"/>
      <c r="J206" s="36" t="str">
        <f t="shared" si="7"/>
        <v/>
      </c>
      <c r="K206" s="48"/>
    </row>
    <row r="207" spans="1:11" ht="23.1" customHeight="1">
      <c r="A207" s="348" t="str">
        <f>IF($B207="","",MAX($A$3:A206)+1)</f>
        <v/>
      </c>
      <c r="B207" s="253"/>
      <c r="C207" s="249"/>
      <c r="D207" s="263"/>
      <c r="E207" s="251"/>
      <c r="F207" s="340" t="str">
        <f>IF($B207="","",SUM(SUMIFS('Daily Inward'!$G:$G,'Daily Inward'!$C:$C,$B207,'Daily Inward'!$E:$E,{"Inventory","Services"})))</f>
        <v/>
      </c>
      <c r="G207" s="341" t="str">
        <f>IF($B207="","",SUM(SUMIFS('Daily Issuance'!$G:$G,'Daily Issuance'!$C:$C,$B207,'Daily Issuance'!$E:$E,{"Inventory","Services"})))</f>
        <v/>
      </c>
      <c r="H207" s="42" t="str">
        <f t="shared" si="6"/>
        <v/>
      </c>
      <c r="I207" s="39"/>
      <c r="J207" s="36" t="str">
        <f t="shared" si="7"/>
        <v/>
      </c>
      <c r="K207" s="48"/>
    </row>
    <row r="208" spans="1:11" ht="23.1" customHeight="1">
      <c r="A208" s="348" t="str">
        <f>IF($B208="","",MAX($A$3:A207)+1)</f>
        <v/>
      </c>
      <c r="B208" s="253"/>
      <c r="C208" s="249"/>
      <c r="D208" s="263"/>
      <c r="E208" s="251"/>
      <c r="F208" s="340" t="str">
        <f>IF($B208="","",SUM(SUMIFS('Daily Inward'!$G:$G,'Daily Inward'!$C:$C,$B208,'Daily Inward'!$E:$E,{"Inventory","Services"})))</f>
        <v/>
      </c>
      <c r="G208" s="341" t="str">
        <f>IF($B208="","",SUM(SUMIFS('Daily Issuance'!$G:$G,'Daily Issuance'!$C:$C,$B208,'Daily Issuance'!$E:$E,{"Inventory","Services"})))</f>
        <v/>
      </c>
      <c r="H208" s="42" t="str">
        <f t="shared" si="6"/>
        <v/>
      </c>
      <c r="I208" s="39"/>
      <c r="J208" s="36" t="str">
        <f t="shared" si="7"/>
        <v/>
      </c>
      <c r="K208" s="48"/>
    </row>
    <row r="209" spans="1:11" ht="23.1" customHeight="1">
      <c r="A209" s="348" t="str">
        <f>IF($B209="","",MAX($A$3:A208)+1)</f>
        <v/>
      </c>
      <c r="B209" s="253"/>
      <c r="C209" s="249"/>
      <c r="D209" s="263"/>
      <c r="E209" s="251"/>
      <c r="F209" s="340" t="str">
        <f>IF($B209="","",SUM(SUMIFS('Daily Inward'!$G:$G,'Daily Inward'!$C:$C,$B209,'Daily Inward'!$E:$E,{"Inventory","Services"})))</f>
        <v/>
      </c>
      <c r="G209" s="341" t="str">
        <f>IF($B209="","",SUM(SUMIFS('Daily Issuance'!$G:$G,'Daily Issuance'!$C:$C,$B209,'Daily Issuance'!$E:$E,{"Inventory","Services"})))</f>
        <v/>
      </c>
      <c r="H209" s="42" t="str">
        <f t="shared" si="6"/>
        <v/>
      </c>
      <c r="I209" s="39"/>
      <c r="J209" s="36" t="str">
        <f t="shared" si="7"/>
        <v/>
      </c>
      <c r="K209" s="48"/>
    </row>
    <row r="210" spans="1:11" ht="23.1" customHeight="1">
      <c r="A210" s="348" t="str">
        <f>IF($B210="","",MAX($A$3:A209)+1)</f>
        <v/>
      </c>
      <c r="B210" s="253"/>
      <c r="C210" s="249"/>
      <c r="D210" s="263"/>
      <c r="E210" s="251"/>
      <c r="F210" s="340" t="str">
        <f>IF($B210="","",SUM(SUMIFS('Daily Inward'!$G:$G,'Daily Inward'!$C:$C,$B210,'Daily Inward'!$E:$E,{"Inventory","Services"})))</f>
        <v/>
      </c>
      <c r="G210" s="341" t="str">
        <f>IF($B210="","",SUM(SUMIFS('Daily Issuance'!$G:$G,'Daily Issuance'!$C:$C,$B210,'Daily Issuance'!$E:$E,{"Inventory","Services"})))</f>
        <v/>
      </c>
      <c r="H210" s="42" t="str">
        <f t="shared" si="6"/>
        <v/>
      </c>
      <c r="I210" s="39"/>
      <c r="J210" s="36" t="str">
        <f t="shared" si="7"/>
        <v/>
      </c>
      <c r="K210" s="48"/>
    </row>
    <row r="211" spans="1:11" ht="23.1" customHeight="1">
      <c r="A211" s="348" t="str">
        <f>IF($B211="","",MAX($A$3:A210)+1)</f>
        <v/>
      </c>
      <c r="B211" s="253"/>
      <c r="C211" s="249"/>
      <c r="D211" s="263"/>
      <c r="E211" s="251"/>
      <c r="F211" s="340" t="str">
        <f>IF($B211="","",SUM(SUMIFS('Daily Inward'!$G:$G,'Daily Inward'!$C:$C,$B211,'Daily Inward'!$E:$E,{"Inventory","Services"})))</f>
        <v/>
      </c>
      <c r="G211" s="341" t="str">
        <f>IF($B211="","",SUM(SUMIFS('Daily Issuance'!$G:$G,'Daily Issuance'!$C:$C,$B211,'Daily Issuance'!$E:$E,{"Inventory","Services"})))</f>
        <v/>
      </c>
      <c r="H211" s="42" t="str">
        <f t="shared" si="6"/>
        <v/>
      </c>
      <c r="I211" s="39"/>
      <c r="J211" s="36" t="str">
        <f t="shared" si="7"/>
        <v/>
      </c>
      <c r="K211" s="48"/>
    </row>
    <row r="212" spans="1:11" ht="23.1" customHeight="1">
      <c r="A212" s="348" t="str">
        <f>IF($B212="","",MAX($A$3:A211)+1)</f>
        <v/>
      </c>
      <c r="B212" s="253"/>
      <c r="C212" s="249"/>
      <c r="D212" s="263"/>
      <c r="E212" s="251"/>
      <c r="F212" s="340" t="str">
        <f>IF($B212="","",SUM(SUMIFS('Daily Inward'!$G:$G,'Daily Inward'!$C:$C,$B212,'Daily Inward'!$E:$E,{"Inventory","Services"})))</f>
        <v/>
      </c>
      <c r="G212" s="341" t="str">
        <f>IF($B212="","",SUM(SUMIFS('Daily Issuance'!$G:$G,'Daily Issuance'!$C:$C,$B212,'Daily Issuance'!$E:$E,{"Inventory","Services"})))</f>
        <v/>
      </c>
      <c r="H212" s="42" t="str">
        <f t="shared" si="6"/>
        <v/>
      </c>
      <c r="I212" s="39"/>
      <c r="J212" s="36" t="str">
        <f t="shared" si="7"/>
        <v/>
      </c>
      <c r="K212" s="48"/>
    </row>
    <row r="213" spans="1:11" ht="23.1" customHeight="1">
      <c r="A213" s="348" t="str">
        <f>IF($B213="","",MAX($A$3:A212)+1)</f>
        <v/>
      </c>
      <c r="B213" s="253"/>
      <c r="C213" s="249"/>
      <c r="D213" s="263"/>
      <c r="E213" s="251"/>
      <c r="F213" s="340" t="str">
        <f>IF($B213="","",SUM(SUMIFS('Daily Inward'!$G:$G,'Daily Inward'!$C:$C,$B213,'Daily Inward'!$E:$E,{"Inventory","Services"})))</f>
        <v/>
      </c>
      <c r="G213" s="341" t="str">
        <f>IF($B213="","",SUM(SUMIFS('Daily Issuance'!$G:$G,'Daily Issuance'!$C:$C,$B213,'Daily Issuance'!$E:$E,{"Inventory","Services"})))</f>
        <v/>
      </c>
      <c r="H213" s="42" t="str">
        <f t="shared" si="6"/>
        <v/>
      </c>
      <c r="I213" s="39"/>
      <c r="J213" s="36" t="str">
        <f t="shared" si="7"/>
        <v/>
      </c>
      <c r="K213" s="48"/>
    </row>
    <row r="214" spans="1:11" ht="23.1" customHeight="1">
      <c r="A214" s="348" t="str">
        <f>IF($B214="","",MAX($A$3:A213)+1)</f>
        <v/>
      </c>
      <c r="B214" s="253"/>
      <c r="C214" s="249"/>
      <c r="D214" s="263"/>
      <c r="E214" s="251"/>
      <c r="F214" s="340" t="str">
        <f>IF($B214="","",SUM(SUMIFS('Daily Inward'!$G:$G,'Daily Inward'!$C:$C,$B214,'Daily Inward'!$E:$E,{"Inventory","Services"})))</f>
        <v/>
      </c>
      <c r="G214" s="341" t="str">
        <f>IF($B214="","",SUM(SUMIFS('Daily Issuance'!$G:$G,'Daily Issuance'!$C:$C,$B214,'Daily Issuance'!$E:$E,{"Inventory","Services"})))</f>
        <v/>
      </c>
      <c r="H214" s="42" t="str">
        <f t="shared" si="6"/>
        <v/>
      </c>
      <c r="I214" s="39"/>
      <c r="J214" s="36" t="str">
        <f t="shared" si="7"/>
        <v/>
      </c>
      <c r="K214" s="48"/>
    </row>
    <row r="215" spans="1:11" ht="23.1" customHeight="1">
      <c r="A215" s="348" t="str">
        <f>IF($B215="","",MAX($A$3:A214)+1)</f>
        <v/>
      </c>
      <c r="B215" s="253"/>
      <c r="C215" s="249"/>
      <c r="D215" s="263"/>
      <c r="E215" s="251"/>
      <c r="F215" s="340" t="str">
        <f>IF($B215="","",SUM(SUMIFS('Daily Inward'!$G:$G,'Daily Inward'!$C:$C,$B215,'Daily Inward'!$E:$E,{"Inventory","Services"})))</f>
        <v/>
      </c>
      <c r="G215" s="341" t="str">
        <f>IF($B215="","",SUM(SUMIFS('Daily Issuance'!$G:$G,'Daily Issuance'!$C:$C,$B215,'Daily Issuance'!$E:$E,{"Inventory","Services"})))</f>
        <v/>
      </c>
      <c r="H215" s="42" t="str">
        <f t="shared" si="6"/>
        <v/>
      </c>
      <c r="I215" s="39"/>
      <c r="J215" s="36" t="str">
        <f t="shared" si="7"/>
        <v/>
      </c>
      <c r="K215" s="48"/>
    </row>
    <row r="216" spans="1:11" ht="23.1" customHeight="1">
      <c r="A216" s="348" t="str">
        <f>IF($B216="","",MAX($A$3:A215)+1)</f>
        <v/>
      </c>
      <c r="B216" s="253"/>
      <c r="C216" s="249"/>
      <c r="D216" s="263"/>
      <c r="E216" s="251"/>
      <c r="F216" s="340" t="str">
        <f>IF($B216="","",SUM(SUMIFS('Daily Inward'!$G:$G,'Daily Inward'!$C:$C,$B216,'Daily Inward'!$E:$E,{"Inventory","Services"})))</f>
        <v/>
      </c>
      <c r="G216" s="341" t="str">
        <f>IF($B216="","",SUM(SUMIFS('Daily Issuance'!$G:$G,'Daily Issuance'!$C:$C,$B216,'Daily Issuance'!$E:$E,{"Inventory","Services"})))</f>
        <v/>
      </c>
      <c r="H216" s="42" t="str">
        <f t="shared" si="6"/>
        <v/>
      </c>
      <c r="I216" s="39"/>
      <c r="J216" s="36" t="str">
        <f t="shared" si="7"/>
        <v/>
      </c>
      <c r="K216" s="48"/>
    </row>
    <row r="217" spans="1:11" ht="23.1" customHeight="1">
      <c r="A217" s="348" t="str">
        <f>IF($B217="","",MAX($A$3:A216)+1)</f>
        <v/>
      </c>
      <c r="B217" s="253"/>
      <c r="C217" s="249"/>
      <c r="D217" s="263"/>
      <c r="E217" s="251"/>
      <c r="F217" s="340" t="str">
        <f>IF($B217="","",SUM(SUMIFS('Daily Inward'!$G:$G,'Daily Inward'!$C:$C,$B217,'Daily Inward'!$E:$E,{"Inventory","Services"})))</f>
        <v/>
      </c>
      <c r="G217" s="341" t="str">
        <f>IF($B217="","",SUM(SUMIFS('Daily Issuance'!$G:$G,'Daily Issuance'!$C:$C,$B217,'Daily Issuance'!$E:$E,{"Inventory","Services"})))</f>
        <v/>
      </c>
      <c r="H217" s="42" t="str">
        <f t="shared" si="6"/>
        <v/>
      </c>
      <c r="I217" s="39"/>
      <c r="J217" s="36" t="str">
        <f t="shared" si="7"/>
        <v/>
      </c>
      <c r="K217" s="48"/>
    </row>
    <row r="218" spans="1:11" ht="23.1" customHeight="1">
      <c r="A218" s="348" t="str">
        <f>IF($B218="","",MAX($A$3:A217)+1)</f>
        <v/>
      </c>
      <c r="B218" s="253"/>
      <c r="C218" s="249"/>
      <c r="D218" s="263"/>
      <c r="E218" s="251"/>
      <c r="F218" s="340" t="str">
        <f>IF($B218="","",SUM(SUMIFS('Daily Inward'!$G:$G,'Daily Inward'!$C:$C,$B218,'Daily Inward'!$E:$E,{"Inventory","Services"})))</f>
        <v/>
      </c>
      <c r="G218" s="341" t="str">
        <f>IF($B218="","",SUM(SUMIFS('Daily Issuance'!$G:$G,'Daily Issuance'!$C:$C,$B218,'Daily Issuance'!$E:$E,{"Inventory","Services"})))</f>
        <v/>
      </c>
      <c r="H218" s="42" t="str">
        <f t="shared" si="6"/>
        <v/>
      </c>
      <c r="I218" s="39"/>
      <c r="J218" s="36" t="str">
        <f t="shared" si="7"/>
        <v/>
      </c>
      <c r="K218" s="48"/>
    </row>
    <row r="219" spans="1:11" ht="23.1" customHeight="1">
      <c r="A219" s="348" t="str">
        <f>IF($B219="","",MAX($A$3:A218)+1)</f>
        <v/>
      </c>
      <c r="B219" s="253"/>
      <c r="C219" s="249"/>
      <c r="D219" s="263"/>
      <c r="E219" s="251"/>
      <c r="F219" s="340" t="str">
        <f>IF($B219="","",SUM(SUMIFS('Daily Inward'!$G:$G,'Daily Inward'!$C:$C,$B219,'Daily Inward'!$E:$E,{"Inventory","Services"})))</f>
        <v/>
      </c>
      <c r="G219" s="341" t="str">
        <f>IF($B219="","",SUM(SUMIFS('Daily Issuance'!$G:$G,'Daily Issuance'!$C:$C,$B219,'Daily Issuance'!$E:$E,{"Inventory","Services"})))</f>
        <v/>
      </c>
      <c r="H219" s="42" t="str">
        <f t="shared" si="6"/>
        <v/>
      </c>
      <c r="I219" s="39"/>
      <c r="J219" s="36" t="str">
        <f t="shared" si="7"/>
        <v/>
      </c>
      <c r="K219" s="48"/>
    </row>
    <row r="220" spans="1:11" ht="23.1" customHeight="1">
      <c r="A220" s="348" t="str">
        <f>IF($B220="","",MAX($A$3:A219)+1)</f>
        <v/>
      </c>
      <c r="B220" s="253"/>
      <c r="C220" s="249"/>
      <c r="D220" s="263"/>
      <c r="E220" s="251"/>
      <c r="F220" s="340" t="str">
        <f>IF($B220="","",SUM(SUMIFS('Daily Inward'!$G:$G,'Daily Inward'!$C:$C,$B220,'Daily Inward'!$E:$E,{"Inventory","Services"})))</f>
        <v/>
      </c>
      <c r="G220" s="341" t="str">
        <f>IF($B220="","",SUM(SUMIFS('Daily Issuance'!$G:$G,'Daily Issuance'!$C:$C,$B220,'Daily Issuance'!$E:$E,{"Inventory","Services"})))</f>
        <v/>
      </c>
      <c r="H220" s="42" t="str">
        <f t="shared" si="6"/>
        <v/>
      </c>
      <c r="I220" s="39"/>
      <c r="J220" s="36" t="str">
        <f t="shared" si="7"/>
        <v/>
      </c>
      <c r="K220" s="48"/>
    </row>
    <row r="221" spans="1:11" ht="23.1" customHeight="1">
      <c r="A221" s="348" t="str">
        <f>IF($B221="","",MAX($A$3:A220)+1)</f>
        <v/>
      </c>
      <c r="B221" s="253"/>
      <c r="C221" s="249"/>
      <c r="D221" s="263"/>
      <c r="E221" s="251"/>
      <c r="F221" s="340" t="str">
        <f>IF($B221="","",SUM(SUMIFS('Daily Inward'!$G:$G,'Daily Inward'!$C:$C,$B221,'Daily Inward'!$E:$E,{"Inventory","Services"})))</f>
        <v/>
      </c>
      <c r="G221" s="341" t="str">
        <f>IF($B221="","",SUM(SUMIFS('Daily Issuance'!$G:$G,'Daily Issuance'!$C:$C,$B221,'Daily Issuance'!$E:$E,{"Inventory","Services"})))</f>
        <v/>
      </c>
      <c r="H221" s="42" t="str">
        <f t="shared" si="6"/>
        <v/>
      </c>
      <c r="I221" s="39"/>
      <c r="J221" s="36" t="str">
        <f t="shared" si="7"/>
        <v/>
      </c>
      <c r="K221" s="48"/>
    </row>
    <row r="222" spans="1:11" ht="23.1" customHeight="1">
      <c r="A222" s="348" t="str">
        <f>IF($B222="","",MAX($A$3:A221)+1)</f>
        <v/>
      </c>
      <c r="B222" s="253"/>
      <c r="C222" s="249"/>
      <c r="D222" s="263"/>
      <c r="E222" s="251"/>
      <c r="F222" s="340" t="str">
        <f>IF($B222="","",SUM(SUMIFS('Daily Inward'!$G:$G,'Daily Inward'!$C:$C,$B222,'Daily Inward'!$E:$E,{"Inventory","Services"})))</f>
        <v/>
      </c>
      <c r="G222" s="341" t="str">
        <f>IF($B222="","",SUM(SUMIFS('Daily Issuance'!$G:$G,'Daily Issuance'!$C:$C,$B222,'Daily Issuance'!$E:$E,{"Inventory","Services"})))</f>
        <v/>
      </c>
      <c r="H222" s="42" t="str">
        <f t="shared" si="6"/>
        <v/>
      </c>
      <c r="I222" s="39"/>
      <c r="J222" s="36" t="str">
        <f t="shared" si="7"/>
        <v/>
      </c>
      <c r="K222" s="48"/>
    </row>
    <row r="223" spans="1:11" ht="23.1" customHeight="1">
      <c r="A223" s="348" t="str">
        <f>IF($B223="","",MAX($A$3:A222)+1)</f>
        <v/>
      </c>
      <c r="B223" s="253"/>
      <c r="C223" s="249"/>
      <c r="D223" s="263"/>
      <c r="E223" s="251"/>
      <c r="F223" s="340" t="str">
        <f>IF($B223="","",SUM(SUMIFS('Daily Inward'!$G:$G,'Daily Inward'!$C:$C,$B223,'Daily Inward'!$E:$E,{"Inventory","Services"})))</f>
        <v/>
      </c>
      <c r="G223" s="341" t="str">
        <f>IF($B223="","",SUM(SUMIFS('Daily Issuance'!$G:$G,'Daily Issuance'!$C:$C,$B223,'Daily Issuance'!$E:$E,{"Inventory","Services"})))</f>
        <v/>
      </c>
      <c r="H223" s="42" t="str">
        <f t="shared" si="6"/>
        <v/>
      </c>
      <c r="I223" s="39"/>
      <c r="J223" s="36" t="str">
        <f t="shared" si="7"/>
        <v/>
      </c>
      <c r="K223" s="48"/>
    </row>
    <row r="224" spans="1:11" ht="23.1" customHeight="1">
      <c r="A224" s="348" t="str">
        <f>IF($B224="","",MAX($A$3:A223)+1)</f>
        <v/>
      </c>
      <c r="B224" s="253"/>
      <c r="C224" s="249"/>
      <c r="D224" s="263"/>
      <c r="E224" s="251"/>
      <c r="F224" s="340" t="str">
        <f>IF($B224="","",SUM(SUMIFS('Daily Inward'!$G:$G,'Daily Inward'!$C:$C,$B224,'Daily Inward'!$E:$E,{"Inventory","Services"})))</f>
        <v/>
      </c>
      <c r="G224" s="341" t="str">
        <f>IF($B224="","",SUM(SUMIFS('Daily Issuance'!$G:$G,'Daily Issuance'!$C:$C,$B224,'Daily Issuance'!$E:$E,{"Inventory","Services"})))</f>
        <v/>
      </c>
      <c r="H224" s="42" t="str">
        <f t="shared" si="6"/>
        <v/>
      </c>
      <c r="I224" s="39"/>
      <c r="J224" s="36" t="str">
        <f t="shared" si="7"/>
        <v/>
      </c>
      <c r="K224" s="48"/>
    </row>
    <row r="225" spans="1:11" ht="23.1" customHeight="1">
      <c r="A225" s="348" t="str">
        <f>IF($B225="","",MAX($A$3:A224)+1)</f>
        <v/>
      </c>
      <c r="B225" s="253"/>
      <c r="C225" s="249"/>
      <c r="D225" s="263"/>
      <c r="E225" s="251"/>
      <c r="F225" s="340" t="str">
        <f>IF($B225="","",SUM(SUMIFS('Daily Inward'!$G:$G,'Daily Inward'!$C:$C,$B225,'Daily Inward'!$E:$E,{"Inventory","Services"})))</f>
        <v/>
      </c>
      <c r="G225" s="341" t="str">
        <f>IF($B225="","",SUM(SUMIFS('Daily Issuance'!$G:$G,'Daily Issuance'!$C:$C,$B225,'Daily Issuance'!$E:$E,{"Inventory","Services"})))</f>
        <v/>
      </c>
      <c r="H225" s="42" t="str">
        <f t="shared" si="6"/>
        <v/>
      </c>
      <c r="I225" s="39"/>
      <c r="J225" s="36" t="str">
        <f t="shared" si="7"/>
        <v/>
      </c>
      <c r="K225" s="48"/>
    </row>
    <row r="226" spans="1:11" ht="23.1" customHeight="1">
      <c r="A226" s="348" t="str">
        <f>IF($B226="","",MAX($A$3:A225)+1)</f>
        <v/>
      </c>
      <c r="B226" s="253"/>
      <c r="C226" s="249"/>
      <c r="D226" s="263"/>
      <c r="E226" s="251"/>
      <c r="F226" s="340" t="str">
        <f>IF($B226="","",SUM(SUMIFS('Daily Inward'!$G:$G,'Daily Inward'!$C:$C,$B226,'Daily Inward'!$E:$E,{"Inventory","Services"})))</f>
        <v/>
      </c>
      <c r="G226" s="341" t="str">
        <f>IF($B226="","",SUM(SUMIFS('Daily Issuance'!$G:$G,'Daily Issuance'!$C:$C,$B226,'Daily Issuance'!$E:$E,{"Inventory","Services"})))</f>
        <v/>
      </c>
      <c r="H226" s="42" t="str">
        <f t="shared" si="6"/>
        <v/>
      </c>
      <c r="I226" s="39"/>
      <c r="J226" s="36" t="str">
        <f t="shared" si="7"/>
        <v/>
      </c>
      <c r="K226" s="48"/>
    </row>
    <row r="227" spans="1:11" ht="23.1" customHeight="1">
      <c r="A227" s="348" t="str">
        <f>IF($B227="","",MAX($A$3:A226)+1)</f>
        <v/>
      </c>
      <c r="B227" s="253"/>
      <c r="C227" s="249"/>
      <c r="D227" s="263"/>
      <c r="E227" s="251"/>
      <c r="F227" s="340" t="str">
        <f>IF($B227="","",SUM(SUMIFS('Daily Inward'!$G:$G,'Daily Inward'!$C:$C,$B227,'Daily Inward'!$E:$E,{"Inventory","Services"})))</f>
        <v/>
      </c>
      <c r="G227" s="341" t="str">
        <f>IF($B227="","",SUM(SUMIFS('Daily Issuance'!$G:$G,'Daily Issuance'!$C:$C,$B227,'Daily Issuance'!$E:$E,{"Inventory","Services"})))</f>
        <v/>
      </c>
      <c r="H227" s="42" t="str">
        <f t="shared" si="6"/>
        <v/>
      </c>
      <c r="I227" s="39"/>
      <c r="J227" s="36" t="str">
        <f t="shared" si="7"/>
        <v/>
      </c>
      <c r="K227" s="48"/>
    </row>
    <row r="228" spans="1:11" ht="23.1" customHeight="1">
      <c r="A228" s="348" t="str">
        <f>IF($B228="","",MAX($A$3:A227)+1)</f>
        <v/>
      </c>
      <c r="B228" s="253"/>
      <c r="C228" s="249"/>
      <c r="D228" s="263"/>
      <c r="E228" s="251"/>
      <c r="F228" s="340" t="str">
        <f>IF($B228="","",SUM(SUMIFS('Daily Inward'!$G:$G,'Daily Inward'!$C:$C,$B228,'Daily Inward'!$E:$E,{"Inventory","Services"})))</f>
        <v/>
      </c>
      <c r="G228" s="341" t="str">
        <f>IF($B228="","",SUM(SUMIFS('Daily Issuance'!$G:$G,'Daily Issuance'!$C:$C,$B228,'Daily Issuance'!$E:$E,{"Inventory","Services"})))</f>
        <v/>
      </c>
      <c r="H228" s="42" t="str">
        <f t="shared" si="6"/>
        <v/>
      </c>
      <c r="I228" s="39"/>
      <c r="J228" s="36" t="str">
        <f t="shared" si="7"/>
        <v/>
      </c>
      <c r="K228" s="48"/>
    </row>
    <row r="229" spans="1:11" ht="23.1" customHeight="1">
      <c r="A229" s="348" t="str">
        <f>IF($B229="","",MAX($A$3:A228)+1)</f>
        <v/>
      </c>
      <c r="B229" s="253"/>
      <c r="C229" s="249"/>
      <c r="D229" s="263"/>
      <c r="E229" s="251"/>
      <c r="F229" s="340" t="str">
        <f>IF($B229="","",SUM(SUMIFS('Daily Inward'!$G:$G,'Daily Inward'!$C:$C,$B229,'Daily Inward'!$E:$E,{"Inventory","Services"})))</f>
        <v/>
      </c>
      <c r="G229" s="341" t="str">
        <f>IF($B229="","",SUM(SUMIFS('Daily Issuance'!$G:$G,'Daily Issuance'!$C:$C,$B229,'Daily Issuance'!$E:$E,{"Inventory","Services"})))</f>
        <v/>
      </c>
      <c r="H229" s="42" t="str">
        <f t="shared" si="6"/>
        <v/>
      </c>
      <c r="I229" s="39"/>
      <c r="J229" s="36" t="str">
        <f t="shared" si="7"/>
        <v/>
      </c>
      <c r="K229" s="48"/>
    </row>
    <row r="230" spans="1:11" ht="23.1" customHeight="1">
      <c r="A230" s="348" t="str">
        <f>IF($B230="","",MAX($A$3:A229)+1)</f>
        <v/>
      </c>
      <c r="B230" s="253"/>
      <c r="C230" s="249"/>
      <c r="D230" s="263"/>
      <c r="E230" s="251"/>
      <c r="F230" s="340" t="str">
        <f>IF($B230="","",SUM(SUMIFS('Daily Inward'!$G:$G,'Daily Inward'!$C:$C,$B230,'Daily Inward'!$E:$E,{"Inventory","Services"})))</f>
        <v/>
      </c>
      <c r="G230" s="341" t="str">
        <f>IF($B230="","",SUM(SUMIFS('Daily Issuance'!$G:$G,'Daily Issuance'!$C:$C,$B230,'Daily Issuance'!$E:$E,{"Inventory","Services"})))</f>
        <v/>
      </c>
      <c r="H230" s="42" t="str">
        <f t="shared" si="6"/>
        <v/>
      </c>
      <c r="I230" s="39"/>
      <c r="J230" s="36" t="str">
        <f t="shared" si="7"/>
        <v/>
      </c>
      <c r="K230" s="48"/>
    </row>
    <row r="231" spans="1:11" ht="23.1" customHeight="1">
      <c r="A231" s="348" t="str">
        <f>IF($B231="","",MAX($A$3:A230)+1)</f>
        <v/>
      </c>
      <c r="B231" s="253"/>
      <c r="C231" s="249"/>
      <c r="D231" s="263"/>
      <c r="E231" s="251"/>
      <c r="F231" s="340" t="str">
        <f>IF($B231="","",SUM(SUMIFS('Daily Inward'!$G:$G,'Daily Inward'!$C:$C,$B231,'Daily Inward'!$E:$E,{"Inventory","Services"})))</f>
        <v/>
      </c>
      <c r="G231" s="341" t="str">
        <f>IF($B231="","",SUM(SUMIFS('Daily Issuance'!$G:$G,'Daily Issuance'!$C:$C,$B231,'Daily Issuance'!$E:$E,{"Inventory","Services"})))</f>
        <v/>
      </c>
      <c r="H231" s="42" t="str">
        <f t="shared" si="6"/>
        <v/>
      </c>
      <c r="I231" s="39"/>
      <c r="J231" s="36" t="str">
        <f t="shared" si="7"/>
        <v/>
      </c>
      <c r="K231" s="48"/>
    </row>
    <row r="232" spans="1:11" ht="23.1" customHeight="1">
      <c r="A232" s="348" t="str">
        <f>IF($B232="","",MAX($A$3:A231)+1)</f>
        <v/>
      </c>
      <c r="B232" s="253"/>
      <c r="C232" s="249"/>
      <c r="D232" s="263"/>
      <c r="E232" s="251"/>
      <c r="F232" s="340" t="str">
        <f>IF($B232="","",SUM(SUMIFS('Daily Inward'!$G:$G,'Daily Inward'!$C:$C,$B232,'Daily Inward'!$E:$E,{"Inventory","Services"})))</f>
        <v/>
      </c>
      <c r="G232" s="341" t="str">
        <f>IF($B232="","",SUM(SUMIFS('Daily Issuance'!$G:$G,'Daily Issuance'!$C:$C,$B232,'Daily Issuance'!$E:$E,{"Inventory","Services"})))</f>
        <v/>
      </c>
      <c r="H232" s="42" t="str">
        <f t="shared" si="6"/>
        <v/>
      </c>
      <c r="I232" s="39"/>
      <c r="J232" s="36" t="str">
        <f t="shared" si="7"/>
        <v/>
      </c>
      <c r="K232" s="48"/>
    </row>
    <row r="233" spans="1:11" ht="23.1" customHeight="1">
      <c r="A233" s="348" t="str">
        <f>IF($B233="","",MAX($A$3:A232)+1)</f>
        <v/>
      </c>
      <c r="B233" s="253"/>
      <c r="C233" s="249"/>
      <c r="D233" s="263"/>
      <c r="E233" s="251"/>
      <c r="F233" s="340" t="str">
        <f>IF($B233="","",SUM(SUMIFS('Daily Inward'!$G:$G,'Daily Inward'!$C:$C,$B233,'Daily Inward'!$E:$E,{"Inventory","Services"})))</f>
        <v/>
      </c>
      <c r="G233" s="341" t="str">
        <f>IF($B233="","",SUM(SUMIFS('Daily Issuance'!$G:$G,'Daily Issuance'!$C:$C,$B233,'Daily Issuance'!$E:$E,{"Inventory","Services"})))</f>
        <v/>
      </c>
      <c r="H233" s="42" t="str">
        <f t="shared" si="6"/>
        <v/>
      </c>
      <c r="I233" s="39"/>
      <c r="J233" s="36" t="str">
        <f t="shared" si="7"/>
        <v/>
      </c>
      <c r="K233" s="48"/>
    </row>
    <row r="234" spans="1:11" ht="23.1" customHeight="1">
      <c r="A234" s="348" t="str">
        <f>IF($B234="","",MAX($A$3:A233)+1)</f>
        <v/>
      </c>
      <c r="B234" s="253"/>
      <c r="C234" s="249"/>
      <c r="D234" s="263"/>
      <c r="E234" s="251"/>
      <c r="F234" s="340" t="str">
        <f>IF($B234="","",SUM(SUMIFS('Daily Inward'!$G:$G,'Daily Inward'!$C:$C,$B234,'Daily Inward'!$E:$E,{"Inventory","Services"})))</f>
        <v/>
      </c>
      <c r="G234" s="341" t="str">
        <f>IF($B234="","",SUM(SUMIFS('Daily Issuance'!$G:$G,'Daily Issuance'!$C:$C,$B234,'Daily Issuance'!$E:$E,{"Inventory","Services"})))</f>
        <v/>
      </c>
      <c r="H234" s="42" t="str">
        <f t="shared" si="6"/>
        <v/>
      </c>
      <c r="I234" s="39"/>
      <c r="J234" s="36" t="str">
        <f t="shared" si="7"/>
        <v/>
      </c>
      <c r="K234" s="48"/>
    </row>
    <row r="235" spans="1:11" ht="23.1" customHeight="1">
      <c r="A235" s="348" t="str">
        <f>IF($B235="","",MAX($A$3:A234)+1)</f>
        <v/>
      </c>
      <c r="B235" s="253"/>
      <c r="C235" s="249"/>
      <c r="D235" s="263"/>
      <c r="E235" s="251"/>
      <c r="F235" s="340" t="str">
        <f>IF($B235="","",SUM(SUMIFS('Daily Inward'!$G:$G,'Daily Inward'!$C:$C,$B235,'Daily Inward'!$E:$E,{"Inventory","Services"})))</f>
        <v/>
      </c>
      <c r="G235" s="341" t="str">
        <f>IF($B235="","",SUM(SUMIFS('Daily Issuance'!$G:$G,'Daily Issuance'!$C:$C,$B235,'Daily Issuance'!$E:$E,{"Inventory","Services"})))</f>
        <v/>
      </c>
      <c r="H235" s="42" t="str">
        <f t="shared" si="6"/>
        <v/>
      </c>
      <c r="I235" s="39"/>
      <c r="J235" s="36" t="str">
        <f t="shared" si="7"/>
        <v/>
      </c>
      <c r="K235" s="48"/>
    </row>
    <row r="236" spans="1:11" ht="23.1" customHeight="1">
      <c r="A236" s="348" t="str">
        <f>IF($B236="","",MAX($A$3:A235)+1)</f>
        <v/>
      </c>
      <c r="B236" s="253"/>
      <c r="C236" s="249"/>
      <c r="D236" s="263"/>
      <c r="E236" s="251"/>
      <c r="F236" s="340" t="str">
        <f>IF($B236="","",SUM(SUMIFS('Daily Inward'!$G:$G,'Daily Inward'!$C:$C,$B236,'Daily Inward'!$E:$E,{"Inventory","Services"})))</f>
        <v/>
      </c>
      <c r="G236" s="341" t="str">
        <f>IF($B236="","",SUM(SUMIFS('Daily Issuance'!$G:$G,'Daily Issuance'!$C:$C,$B236,'Daily Issuance'!$E:$E,{"Inventory","Services"})))</f>
        <v/>
      </c>
      <c r="H236" s="42" t="str">
        <f t="shared" si="6"/>
        <v/>
      </c>
      <c r="I236" s="39"/>
      <c r="J236" s="36" t="str">
        <f t="shared" si="7"/>
        <v/>
      </c>
      <c r="K236" s="48"/>
    </row>
    <row r="237" spans="1:11" ht="23.1" customHeight="1">
      <c r="A237" s="348" t="str">
        <f>IF($B237="","",MAX($A$3:A236)+1)</f>
        <v/>
      </c>
      <c r="B237" s="253"/>
      <c r="C237" s="249"/>
      <c r="D237" s="263"/>
      <c r="E237" s="251"/>
      <c r="F237" s="340" t="str">
        <f>IF($B237="","",SUM(SUMIFS('Daily Inward'!$G:$G,'Daily Inward'!$C:$C,$B237,'Daily Inward'!$E:$E,{"Inventory","Services"})))</f>
        <v/>
      </c>
      <c r="G237" s="341" t="str">
        <f>IF($B237="","",SUM(SUMIFS('Daily Issuance'!$G:$G,'Daily Issuance'!$C:$C,$B237,'Daily Issuance'!$E:$E,{"Inventory","Services"})))</f>
        <v/>
      </c>
      <c r="H237" s="42" t="str">
        <f t="shared" si="6"/>
        <v/>
      </c>
      <c r="I237" s="39"/>
      <c r="J237" s="36" t="str">
        <f t="shared" si="7"/>
        <v/>
      </c>
      <c r="K237" s="48"/>
    </row>
    <row r="238" spans="1:11" ht="23.1" customHeight="1">
      <c r="A238" s="348" t="str">
        <f>IF($B238="","",MAX($A$3:A237)+1)</f>
        <v/>
      </c>
      <c r="B238" s="253"/>
      <c r="C238" s="249"/>
      <c r="D238" s="263"/>
      <c r="E238" s="251"/>
      <c r="F238" s="340" t="str">
        <f>IF($B238="","",SUM(SUMIFS('Daily Inward'!$G:$G,'Daily Inward'!$C:$C,$B238,'Daily Inward'!$E:$E,{"Inventory","Services"})))</f>
        <v/>
      </c>
      <c r="G238" s="341" t="str">
        <f>IF($B238="","",SUM(SUMIFS('Daily Issuance'!$G:$G,'Daily Issuance'!$C:$C,$B238,'Daily Issuance'!$E:$E,{"Inventory","Services"})))</f>
        <v/>
      </c>
      <c r="H238" s="42" t="str">
        <f t="shared" si="6"/>
        <v/>
      </c>
      <c r="I238" s="39"/>
      <c r="J238" s="36" t="str">
        <f t="shared" si="7"/>
        <v/>
      </c>
      <c r="K238" s="48"/>
    </row>
    <row r="239" spans="1:11" ht="23.1" customHeight="1">
      <c r="A239" s="348" t="str">
        <f>IF($B239="","",MAX($A$3:A238)+1)</f>
        <v/>
      </c>
      <c r="B239" s="253"/>
      <c r="C239" s="249"/>
      <c r="D239" s="263"/>
      <c r="E239" s="251"/>
      <c r="F239" s="340" t="str">
        <f>IF($B239="","",SUM(SUMIFS('Daily Inward'!$G:$G,'Daily Inward'!$C:$C,$B239,'Daily Inward'!$E:$E,{"Inventory","Services"})))</f>
        <v/>
      </c>
      <c r="G239" s="341" t="str">
        <f>IF($B239="","",SUM(SUMIFS('Daily Issuance'!$G:$G,'Daily Issuance'!$C:$C,$B239,'Daily Issuance'!$E:$E,{"Inventory","Services"})))</f>
        <v/>
      </c>
      <c r="H239" s="42" t="str">
        <f t="shared" si="6"/>
        <v/>
      </c>
      <c r="I239" s="39"/>
      <c r="J239" s="36" t="str">
        <f t="shared" si="7"/>
        <v/>
      </c>
      <c r="K239" s="48"/>
    </row>
    <row r="240" spans="1:11" ht="23.1" customHeight="1">
      <c r="A240" s="348" t="str">
        <f>IF($B240="","",MAX($A$3:A239)+1)</f>
        <v/>
      </c>
      <c r="B240" s="253"/>
      <c r="C240" s="249"/>
      <c r="D240" s="263"/>
      <c r="E240" s="251"/>
      <c r="F240" s="340" t="str">
        <f>IF($B240="","",SUM(SUMIFS('Daily Inward'!$G:$G,'Daily Inward'!$C:$C,$B240,'Daily Inward'!$E:$E,{"Inventory","Services"})))</f>
        <v/>
      </c>
      <c r="G240" s="341" t="str">
        <f>IF($B240="","",SUM(SUMIFS('Daily Issuance'!$G:$G,'Daily Issuance'!$C:$C,$B240,'Daily Issuance'!$E:$E,{"Inventory","Services"})))</f>
        <v/>
      </c>
      <c r="H240" s="42" t="str">
        <f t="shared" si="6"/>
        <v/>
      </c>
      <c r="I240" s="39"/>
      <c r="J240" s="36" t="str">
        <f t="shared" si="7"/>
        <v/>
      </c>
      <c r="K240" s="48"/>
    </row>
    <row r="241" spans="1:11" ht="23.1" customHeight="1">
      <c r="A241" s="348" t="str">
        <f>IF($B241="","",MAX($A$3:A240)+1)</f>
        <v/>
      </c>
      <c r="B241" s="253"/>
      <c r="C241" s="249"/>
      <c r="D241" s="263"/>
      <c r="E241" s="251"/>
      <c r="F241" s="340" t="str">
        <f>IF($B241="","",SUM(SUMIFS('Daily Inward'!$G:$G,'Daily Inward'!$C:$C,$B241,'Daily Inward'!$E:$E,{"Inventory","Services"})))</f>
        <v/>
      </c>
      <c r="G241" s="341" t="str">
        <f>IF($B241="","",SUM(SUMIFS('Daily Issuance'!$G:$G,'Daily Issuance'!$C:$C,$B241,'Daily Issuance'!$E:$E,{"Inventory","Services"})))</f>
        <v/>
      </c>
      <c r="H241" s="42" t="str">
        <f t="shared" si="6"/>
        <v/>
      </c>
      <c r="I241" s="39"/>
      <c r="J241" s="36" t="str">
        <f t="shared" si="7"/>
        <v/>
      </c>
      <c r="K241" s="48"/>
    </row>
    <row r="242" spans="1:11" ht="23.1" customHeight="1">
      <c r="A242" s="348" t="str">
        <f>IF($B242="","",MAX($A$3:A241)+1)</f>
        <v/>
      </c>
      <c r="B242" s="253"/>
      <c r="C242" s="249"/>
      <c r="D242" s="263"/>
      <c r="E242" s="251"/>
      <c r="F242" s="340" t="str">
        <f>IF($B242="","",SUM(SUMIFS('Daily Inward'!$G:$G,'Daily Inward'!$C:$C,$B242,'Daily Inward'!$E:$E,{"Inventory","Services"})))</f>
        <v/>
      </c>
      <c r="G242" s="341" t="str">
        <f>IF($B242="","",SUM(SUMIFS('Daily Issuance'!$G:$G,'Daily Issuance'!$C:$C,$B242,'Daily Issuance'!$E:$E,{"Inventory","Services"})))</f>
        <v/>
      </c>
      <c r="H242" s="42" t="str">
        <f t="shared" si="6"/>
        <v/>
      </c>
      <c r="I242" s="39"/>
      <c r="J242" s="36" t="str">
        <f t="shared" si="7"/>
        <v/>
      </c>
      <c r="K242" s="48"/>
    </row>
    <row r="243" spans="1:11" ht="23.1" customHeight="1">
      <c r="A243" s="348" t="str">
        <f>IF($B243="","",MAX($A$3:A242)+1)</f>
        <v/>
      </c>
      <c r="B243" s="253"/>
      <c r="C243" s="249"/>
      <c r="D243" s="263"/>
      <c r="E243" s="251"/>
      <c r="F243" s="340" t="str">
        <f>IF($B243="","",SUM(SUMIFS('Daily Inward'!$G:$G,'Daily Inward'!$C:$C,$B243,'Daily Inward'!$E:$E,{"Inventory","Services"})))</f>
        <v/>
      </c>
      <c r="G243" s="341" t="str">
        <f>IF($B243="","",SUM(SUMIFS('Daily Issuance'!$G:$G,'Daily Issuance'!$C:$C,$B243,'Daily Issuance'!$E:$E,{"Inventory","Services"})))</f>
        <v/>
      </c>
      <c r="H243" s="42" t="str">
        <f t="shared" si="6"/>
        <v/>
      </c>
      <c r="I243" s="39"/>
      <c r="J243" s="36" t="str">
        <f t="shared" si="7"/>
        <v/>
      </c>
      <c r="K243" s="48"/>
    </row>
    <row r="244" spans="1:11" ht="23.1" customHeight="1">
      <c r="A244" s="348" t="str">
        <f>IF($B244="","",MAX($A$3:A243)+1)</f>
        <v/>
      </c>
      <c r="B244" s="253"/>
      <c r="C244" s="249"/>
      <c r="D244" s="263"/>
      <c r="E244" s="251"/>
      <c r="F244" s="340" t="str">
        <f>IF($B244="","",SUM(SUMIFS('Daily Inward'!$G:$G,'Daily Inward'!$C:$C,$B244,'Daily Inward'!$E:$E,{"Inventory","Services"})))</f>
        <v/>
      </c>
      <c r="G244" s="341" t="str">
        <f>IF($B244="","",SUM(SUMIFS('Daily Issuance'!$G:$G,'Daily Issuance'!$C:$C,$B244,'Daily Issuance'!$E:$E,{"Inventory","Services"})))</f>
        <v/>
      </c>
      <c r="H244" s="42" t="str">
        <f t="shared" si="6"/>
        <v/>
      </c>
      <c r="I244" s="39"/>
      <c r="J244" s="36" t="str">
        <f t="shared" si="7"/>
        <v/>
      </c>
      <c r="K244" s="48"/>
    </row>
    <row r="245" spans="1:11" ht="23.1" customHeight="1">
      <c r="A245" s="348" t="str">
        <f>IF($B245="","",MAX($A$3:A244)+1)</f>
        <v/>
      </c>
      <c r="B245" s="253"/>
      <c r="C245" s="249"/>
      <c r="D245" s="263"/>
      <c r="E245" s="251"/>
      <c r="F245" s="340" t="str">
        <f>IF($B245="","",SUM(SUMIFS('Daily Inward'!$G:$G,'Daily Inward'!$C:$C,$B245,'Daily Inward'!$E:$E,{"Inventory","Services"})))</f>
        <v/>
      </c>
      <c r="G245" s="341" t="str">
        <f>IF($B245="","",SUM(SUMIFS('Daily Issuance'!$G:$G,'Daily Issuance'!$C:$C,$B245,'Daily Issuance'!$E:$E,{"Inventory","Services"})))</f>
        <v/>
      </c>
      <c r="H245" s="42" t="str">
        <f t="shared" si="6"/>
        <v/>
      </c>
      <c r="I245" s="39"/>
      <c r="J245" s="36" t="str">
        <f t="shared" si="7"/>
        <v/>
      </c>
      <c r="K245" s="48"/>
    </row>
    <row r="246" spans="1:11" ht="23.1" customHeight="1">
      <c r="A246" s="348" t="str">
        <f>IF($B246="","",MAX($A$3:A245)+1)</f>
        <v/>
      </c>
      <c r="B246" s="253"/>
      <c r="C246" s="249"/>
      <c r="D246" s="263"/>
      <c r="E246" s="251"/>
      <c r="F246" s="340" t="str">
        <f>IF($B246="","",SUM(SUMIFS('Daily Inward'!$G:$G,'Daily Inward'!$C:$C,$B246,'Daily Inward'!$E:$E,{"Inventory","Services"})))</f>
        <v/>
      </c>
      <c r="G246" s="341" t="str">
        <f>IF($B246="","",SUM(SUMIFS('Daily Issuance'!$G:$G,'Daily Issuance'!$C:$C,$B246,'Daily Issuance'!$E:$E,{"Inventory","Services"})))</f>
        <v/>
      </c>
      <c r="H246" s="42" t="str">
        <f t="shared" si="6"/>
        <v/>
      </c>
      <c r="I246" s="39"/>
      <c r="J246" s="36" t="str">
        <f t="shared" si="7"/>
        <v/>
      </c>
      <c r="K246" s="48"/>
    </row>
    <row r="247" spans="1:11" ht="23.1" customHeight="1">
      <c r="A247" s="348" t="str">
        <f>IF($B247="","",MAX($A$3:A246)+1)</f>
        <v/>
      </c>
      <c r="B247" s="253"/>
      <c r="C247" s="249"/>
      <c r="D247" s="263"/>
      <c r="E247" s="251"/>
      <c r="F247" s="340" t="str">
        <f>IF($B247="","",SUM(SUMIFS('Daily Inward'!$G:$G,'Daily Inward'!$C:$C,$B247,'Daily Inward'!$E:$E,{"Inventory","Services"})))</f>
        <v/>
      </c>
      <c r="G247" s="341" t="str">
        <f>IF($B247="","",SUM(SUMIFS('Daily Issuance'!$G:$G,'Daily Issuance'!$C:$C,$B247,'Daily Issuance'!$E:$E,{"Inventory","Services"})))</f>
        <v/>
      </c>
      <c r="H247" s="42" t="str">
        <f t="shared" si="6"/>
        <v/>
      </c>
      <c r="I247" s="39"/>
      <c r="J247" s="36" t="str">
        <f t="shared" si="7"/>
        <v/>
      </c>
      <c r="K247" s="48"/>
    </row>
    <row r="248" spans="1:11" ht="23.1" customHeight="1">
      <c r="A248" s="348" t="str">
        <f>IF($B248="","",MAX($A$3:A247)+1)</f>
        <v/>
      </c>
      <c r="B248" s="253"/>
      <c r="C248" s="249"/>
      <c r="D248" s="263"/>
      <c r="E248" s="251"/>
      <c r="F248" s="340" t="str">
        <f>IF($B248="","",SUM(SUMIFS('Daily Inward'!$G:$G,'Daily Inward'!$C:$C,$B248,'Daily Inward'!$E:$E,{"Inventory","Services"})))</f>
        <v/>
      </c>
      <c r="G248" s="341" t="str">
        <f>IF($B248="","",SUM(SUMIFS('Daily Issuance'!$G:$G,'Daily Issuance'!$C:$C,$B248,'Daily Issuance'!$E:$E,{"Inventory","Services"})))</f>
        <v/>
      </c>
      <c r="H248" s="42" t="str">
        <f t="shared" si="6"/>
        <v/>
      </c>
      <c r="I248" s="39"/>
      <c r="J248" s="36" t="str">
        <f t="shared" si="7"/>
        <v/>
      </c>
      <c r="K248" s="48"/>
    </row>
    <row r="249" spans="1:11" ht="23.1" customHeight="1">
      <c r="A249" s="348" t="str">
        <f>IF($B249="","",MAX($A$3:A248)+1)</f>
        <v/>
      </c>
      <c r="B249" s="253"/>
      <c r="C249" s="249"/>
      <c r="D249" s="263"/>
      <c r="E249" s="251"/>
      <c r="F249" s="340" t="str">
        <f>IF($B249="","",SUM(SUMIFS('Daily Inward'!$G:$G,'Daily Inward'!$C:$C,$B249,'Daily Inward'!$E:$E,{"Inventory","Services"})))</f>
        <v/>
      </c>
      <c r="G249" s="341" t="str">
        <f>IF($B249="","",SUM(SUMIFS('Daily Issuance'!$G:$G,'Daily Issuance'!$C:$C,$B249,'Daily Issuance'!$E:$E,{"Inventory","Services"})))</f>
        <v/>
      </c>
      <c r="H249" s="42" t="str">
        <f t="shared" si="6"/>
        <v/>
      </c>
      <c r="I249" s="39"/>
      <c r="J249" s="36" t="str">
        <f t="shared" si="7"/>
        <v/>
      </c>
      <c r="K249" s="48"/>
    </row>
    <row r="250" spans="1:11" ht="23.1" customHeight="1">
      <c r="A250" s="348" t="str">
        <f>IF($B250="","",MAX($A$3:A249)+1)</f>
        <v/>
      </c>
      <c r="B250" s="253"/>
      <c r="C250" s="249"/>
      <c r="D250" s="263"/>
      <c r="E250" s="251"/>
      <c r="F250" s="340" t="str">
        <f>IF($B250="","",SUM(SUMIFS('Daily Inward'!$G:$G,'Daily Inward'!$C:$C,$B250,'Daily Inward'!$E:$E,{"Inventory","Services"})))</f>
        <v/>
      </c>
      <c r="G250" s="341" t="str">
        <f>IF($B250="","",SUM(SUMIFS('Daily Issuance'!$G:$G,'Daily Issuance'!$C:$C,$B250,'Daily Issuance'!$E:$E,{"Inventory","Services"})))</f>
        <v/>
      </c>
      <c r="H250" s="42" t="str">
        <f t="shared" si="6"/>
        <v/>
      </c>
      <c r="I250" s="39"/>
      <c r="J250" s="36" t="str">
        <f t="shared" si="7"/>
        <v/>
      </c>
      <c r="K250" s="48"/>
    </row>
    <row r="251" spans="1:11" ht="23.1" customHeight="1">
      <c r="A251" s="348" t="str">
        <f>IF($B251="","",MAX($A$3:A250)+1)</f>
        <v/>
      </c>
      <c r="B251" s="253"/>
      <c r="C251" s="249"/>
      <c r="D251" s="263"/>
      <c r="E251" s="251"/>
      <c r="F251" s="340" t="str">
        <f>IF($B251="","",SUM(SUMIFS('Daily Inward'!$G:$G,'Daily Inward'!$C:$C,$B251,'Daily Inward'!$E:$E,{"Inventory","Services"})))</f>
        <v/>
      </c>
      <c r="G251" s="341" t="str">
        <f>IF($B251="","",SUM(SUMIFS('Daily Issuance'!$G:$G,'Daily Issuance'!$C:$C,$B251,'Daily Issuance'!$E:$E,{"Inventory","Services"})))</f>
        <v/>
      </c>
      <c r="H251" s="42" t="str">
        <f t="shared" si="6"/>
        <v/>
      </c>
      <c r="I251" s="39"/>
      <c r="J251" s="36" t="str">
        <f t="shared" si="7"/>
        <v/>
      </c>
      <c r="K251" s="48"/>
    </row>
    <row r="252" spans="1:11" ht="23.1" customHeight="1">
      <c r="A252" s="348" t="str">
        <f>IF($B252="","",MAX($A$3:A251)+1)</f>
        <v/>
      </c>
      <c r="B252" s="253"/>
      <c r="C252" s="249"/>
      <c r="D252" s="263"/>
      <c r="E252" s="251"/>
      <c r="F252" s="340" t="str">
        <f>IF($B252="","",SUM(SUMIFS('Daily Inward'!$G:$G,'Daily Inward'!$C:$C,$B252,'Daily Inward'!$E:$E,{"Inventory","Services"})))</f>
        <v/>
      </c>
      <c r="G252" s="341" t="str">
        <f>IF($B252="","",SUM(SUMIFS('Daily Issuance'!$G:$G,'Daily Issuance'!$C:$C,$B252,'Daily Issuance'!$E:$E,{"Inventory","Services"})))</f>
        <v/>
      </c>
      <c r="H252" s="42" t="str">
        <f t="shared" si="6"/>
        <v/>
      </c>
      <c r="I252" s="39"/>
      <c r="J252" s="36" t="str">
        <f t="shared" si="7"/>
        <v/>
      </c>
      <c r="K252" s="48"/>
    </row>
    <row r="253" spans="1:11" ht="23.1" customHeight="1">
      <c r="A253" s="348" t="str">
        <f>IF($B253="","",MAX($A$3:A252)+1)</f>
        <v/>
      </c>
      <c r="B253" s="253"/>
      <c r="C253" s="249"/>
      <c r="D253" s="263"/>
      <c r="E253" s="251"/>
      <c r="F253" s="340" t="str">
        <f>IF($B253="","",SUM(SUMIFS('Daily Inward'!$G:$G,'Daily Inward'!$C:$C,$B253,'Daily Inward'!$E:$E,{"Inventory","Services"})))</f>
        <v/>
      </c>
      <c r="G253" s="341" t="str">
        <f>IF($B253="","",SUM(SUMIFS('Daily Issuance'!$G:$G,'Daily Issuance'!$C:$C,$B253,'Daily Issuance'!$E:$E,{"Inventory","Services"})))</f>
        <v/>
      </c>
      <c r="H253" s="42" t="str">
        <f t="shared" si="6"/>
        <v/>
      </c>
      <c r="I253" s="39"/>
      <c r="J253" s="36" t="str">
        <f t="shared" si="7"/>
        <v/>
      </c>
      <c r="K253" s="48"/>
    </row>
    <row r="254" spans="1:11" ht="23.1" customHeight="1">
      <c r="A254" s="348" t="str">
        <f>IF($B254="","",MAX($A$3:A253)+1)</f>
        <v/>
      </c>
      <c r="B254" s="253"/>
      <c r="C254" s="249"/>
      <c r="D254" s="263"/>
      <c r="E254" s="251"/>
      <c r="F254" s="340" t="str">
        <f>IF($B254="","",SUM(SUMIFS('Daily Inward'!$G:$G,'Daily Inward'!$C:$C,$B254,'Daily Inward'!$E:$E,{"Inventory","Services"})))</f>
        <v/>
      </c>
      <c r="G254" s="341" t="str">
        <f>IF($B254="","",SUM(SUMIFS('Daily Issuance'!$G:$G,'Daily Issuance'!$C:$C,$B254,'Daily Issuance'!$E:$E,{"Inventory","Services"})))</f>
        <v/>
      </c>
      <c r="H254" s="42" t="str">
        <f t="shared" si="6"/>
        <v/>
      </c>
      <c r="I254" s="39"/>
      <c r="J254" s="36" t="str">
        <f t="shared" si="7"/>
        <v/>
      </c>
      <c r="K254" s="48"/>
    </row>
    <row r="255" spans="1:11" ht="23.1" customHeight="1">
      <c r="A255" s="348" t="str">
        <f>IF($B255="","",MAX($A$3:A254)+1)</f>
        <v/>
      </c>
      <c r="B255" s="253"/>
      <c r="C255" s="249"/>
      <c r="D255" s="263"/>
      <c r="E255" s="251"/>
      <c r="F255" s="340" t="str">
        <f>IF($B255="","",SUM(SUMIFS('Daily Inward'!$G:$G,'Daily Inward'!$C:$C,$B255,'Daily Inward'!$E:$E,{"Inventory","Services"})))</f>
        <v/>
      </c>
      <c r="G255" s="341" t="str">
        <f>IF($B255="","",SUM(SUMIFS('Daily Issuance'!$G:$G,'Daily Issuance'!$C:$C,$B255,'Daily Issuance'!$E:$E,{"Inventory","Services"})))</f>
        <v/>
      </c>
      <c r="H255" s="42" t="str">
        <f t="shared" si="6"/>
        <v/>
      </c>
      <c r="I255" s="39"/>
      <c r="J255" s="36" t="str">
        <f t="shared" si="7"/>
        <v/>
      </c>
      <c r="K255" s="48"/>
    </row>
    <row r="256" spans="1:11" ht="23.1" customHeight="1">
      <c r="A256" s="348" t="str">
        <f>IF($B256="","",MAX($A$3:A255)+1)</f>
        <v/>
      </c>
      <c r="B256" s="253"/>
      <c r="C256" s="249"/>
      <c r="D256" s="263"/>
      <c r="E256" s="251"/>
      <c r="F256" s="340" t="str">
        <f>IF($B256="","",SUM(SUMIFS('Daily Inward'!$G:$G,'Daily Inward'!$C:$C,$B256,'Daily Inward'!$E:$E,{"Inventory","Services"})))</f>
        <v/>
      </c>
      <c r="G256" s="341" t="str">
        <f>IF($B256="","",SUM(SUMIFS('Daily Issuance'!$G:$G,'Daily Issuance'!$C:$C,$B256,'Daily Issuance'!$E:$E,{"Inventory","Services"})))</f>
        <v/>
      </c>
      <c r="H256" s="42" t="str">
        <f t="shared" si="6"/>
        <v/>
      </c>
      <c r="I256" s="39"/>
      <c r="J256" s="36" t="str">
        <f t="shared" si="7"/>
        <v/>
      </c>
      <c r="K256" s="48"/>
    </row>
    <row r="257" spans="1:11" ht="23.1" customHeight="1">
      <c r="A257" s="348" t="str">
        <f>IF($B257="","",MAX($A$3:A256)+1)</f>
        <v/>
      </c>
      <c r="B257" s="253"/>
      <c r="C257" s="249"/>
      <c r="D257" s="263"/>
      <c r="E257" s="251"/>
      <c r="F257" s="340" t="str">
        <f>IF($B257="","",SUM(SUMIFS('Daily Inward'!$G:$G,'Daily Inward'!$C:$C,$B257,'Daily Inward'!$E:$E,{"Inventory","Services"})))</f>
        <v/>
      </c>
      <c r="G257" s="341" t="str">
        <f>IF($B257="","",SUM(SUMIFS('Daily Issuance'!$G:$G,'Daily Issuance'!$C:$C,$B257,'Daily Issuance'!$E:$E,{"Inventory","Services"})))</f>
        <v/>
      </c>
      <c r="H257" s="42" t="str">
        <f t="shared" si="6"/>
        <v/>
      </c>
      <c r="I257" s="39"/>
      <c r="J257" s="36" t="str">
        <f t="shared" si="7"/>
        <v/>
      </c>
      <c r="K257" s="48"/>
    </row>
    <row r="258" spans="1:11" ht="23.1" customHeight="1">
      <c r="A258" s="348" t="str">
        <f>IF($B258="","",MAX($A$3:A257)+1)</f>
        <v/>
      </c>
      <c r="B258" s="253"/>
      <c r="C258" s="249"/>
      <c r="D258" s="263"/>
      <c r="E258" s="251"/>
      <c r="F258" s="340" t="str">
        <f>IF($B258="","",SUM(SUMIFS('Daily Inward'!$G:$G,'Daily Inward'!$C:$C,$B258,'Daily Inward'!$E:$E,{"Inventory","Services"})))</f>
        <v/>
      </c>
      <c r="G258" s="341" t="str">
        <f>IF($B258="","",SUM(SUMIFS('Daily Issuance'!$G:$G,'Daily Issuance'!$C:$C,$B258,'Daily Issuance'!$E:$E,{"Inventory","Services"})))</f>
        <v/>
      </c>
      <c r="H258" s="42" t="str">
        <f t="shared" si="6"/>
        <v/>
      </c>
      <c r="I258" s="39"/>
      <c r="J258" s="36" t="str">
        <f t="shared" si="7"/>
        <v/>
      </c>
      <c r="K258" s="48"/>
    </row>
    <row r="259" spans="1:11" ht="23.1" customHeight="1">
      <c r="A259" s="348" t="str">
        <f>IF($B259="","",MAX($A$3:A258)+1)</f>
        <v/>
      </c>
      <c r="B259" s="253"/>
      <c r="C259" s="249"/>
      <c r="D259" s="263"/>
      <c r="E259" s="251"/>
      <c r="F259" s="340" t="str">
        <f>IF($B259="","",SUM(SUMIFS('Daily Inward'!$G:$G,'Daily Inward'!$C:$C,$B259,'Daily Inward'!$E:$E,{"Inventory","Services"})))</f>
        <v/>
      </c>
      <c r="G259" s="341" t="str">
        <f>IF($B259="","",SUM(SUMIFS('Daily Issuance'!$G:$G,'Daily Issuance'!$C:$C,$B259,'Daily Issuance'!$E:$E,{"Inventory","Services"})))</f>
        <v/>
      </c>
      <c r="H259" s="42" t="str">
        <f t="shared" si="6"/>
        <v/>
      </c>
      <c r="I259" s="39"/>
      <c r="J259" s="36" t="str">
        <f t="shared" si="7"/>
        <v/>
      </c>
      <c r="K259" s="48"/>
    </row>
    <row r="260" spans="1:11" ht="23.1" customHeight="1">
      <c r="A260" s="348" t="str">
        <f>IF($B260="","",MAX($A$3:A259)+1)</f>
        <v/>
      </c>
      <c r="B260" s="253"/>
      <c r="C260" s="249"/>
      <c r="D260" s="263"/>
      <c r="E260" s="251"/>
      <c r="F260" s="340" t="str">
        <f>IF($B260="","",SUM(SUMIFS('Daily Inward'!$G:$G,'Daily Inward'!$C:$C,$B260,'Daily Inward'!$E:$E,{"Inventory","Services"})))</f>
        <v/>
      </c>
      <c r="G260" s="341" t="str">
        <f>IF($B260="","",SUM(SUMIFS('Daily Issuance'!$G:$G,'Daily Issuance'!$C:$C,$B260,'Daily Issuance'!$E:$E,{"Inventory","Services"})))</f>
        <v/>
      </c>
      <c r="H260" s="42" t="str">
        <f t="shared" ref="H260:H323" si="8">IF($B260="","",N(E260)+N(F260)-N(G260))</f>
        <v/>
      </c>
      <c r="I260" s="39"/>
      <c r="J260" s="36" t="str">
        <f t="shared" ref="J260:J323" si="9">IF($B260="","",H260*I260)</f>
        <v/>
      </c>
      <c r="K260" s="48"/>
    </row>
    <row r="261" spans="1:11" ht="23.1" customHeight="1">
      <c r="A261" s="348" t="str">
        <f>IF($B261="","",MAX($A$3:A260)+1)</f>
        <v/>
      </c>
      <c r="B261" s="253"/>
      <c r="C261" s="249"/>
      <c r="D261" s="263"/>
      <c r="E261" s="251"/>
      <c r="F261" s="340" t="str">
        <f>IF($B261="","",SUM(SUMIFS('Daily Inward'!$G:$G,'Daily Inward'!$C:$C,$B261,'Daily Inward'!$E:$E,{"Inventory","Services"})))</f>
        <v/>
      </c>
      <c r="G261" s="341" t="str">
        <f>IF($B261="","",SUM(SUMIFS('Daily Issuance'!$G:$G,'Daily Issuance'!$C:$C,$B261,'Daily Issuance'!$E:$E,{"Inventory","Services"})))</f>
        <v/>
      </c>
      <c r="H261" s="42" t="str">
        <f t="shared" si="8"/>
        <v/>
      </c>
      <c r="I261" s="39"/>
      <c r="J261" s="36" t="str">
        <f t="shared" si="9"/>
        <v/>
      </c>
      <c r="K261" s="48"/>
    </row>
    <row r="262" spans="1:11" ht="23.1" customHeight="1">
      <c r="A262" s="348" t="str">
        <f>IF($B262="","",MAX($A$3:A261)+1)</f>
        <v/>
      </c>
      <c r="B262" s="253"/>
      <c r="C262" s="249"/>
      <c r="D262" s="263"/>
      <c r="E262" s="251"/>
      <c r="F262" s="340" t="str">
        <f>IF($B262="","",SUM(SUMIFS('Daily Inward'!$G:$G,'Daily Inward'!$C:$C,$B262,'Daily Inward'!$E:$E,{"Inventory","Services"})))</f>
        <v/>
      </c>
      <c r="G262" s="341" t="str">
        <f>IF($B262="","",SUM(SUMIFS('Daily Issuance'!$G:$G,'Daily Issuance'!$C:$C,$B262,'Daily Issuance'!$E:$E,{"Inventory","Services"})))</f>
        <v/>
      </c>
      <c r="H262" s="42" t="str">
        <f t="shared" si="8"/>
        <v/>
      </c>
      <c r="I262" s="39"/>
      <c r="J262" s="36" t="str">
        <f t="shared" si="9"/>
        <v/>
      </c>
      <c r="K262" s="48"/>
    </row>
    <row r="263" spans="1:11" ht="23.1" customHeight="1">
      <c r="A263" s="348" t="str">
        <f>IF($B263="","",MAX($A$3:A262)+1)</f>
        <v/>
      </c>
      <c r="B263" s="253"/>
      <c r="C263" s="249"/>
      <c r="D263" s="263"/>
      <c r="E263" s="251"/>
      <c r="F263" s="340" t="str">
        <f>IF($B263="","",SUM(SUMIFS('Daily Inward'!$G:$G,'Daily Inward'!$C:$C,$B263,'Daily Inward'!$E:$E,{"Inventory","Services"})))</f>
        <v/>
      </c>
      <c r="G263" s="341" t="str">
        <f>IF($B263="","",SUM(SUMIFS('Daily Issuance'!$G:$G,'Daily Issuance'!$C:$C,$B263,'Daily Issuance'!$E:$E,{"Inventory","Services"})))</f>
        <v/>
      </c>
      <c r="H263" s="42" t="str">
        <f t="shared" si="8"/>
        <v/>
      </c>
      <c r="I263" s="39"/>
      <c r="J263" s="36" t="str">
        <f t="shared" si="9"/>
        <v/>
      </c>
      <c r="K263" s="48"/>
    </row>
    <row r="264" spans="1:11" ht="23.1" customHeight="1">
      <c r="A264" s="348" t="str">
        <f>IF($B264="","",MAX($A$3:A263)+1)</f>
        <v/>
      </c>
      <c r="B264" s="253"/>
      <c r="C264" s="249"/>
      <c r="D264" s="263"/>
      <c r="E264" s="251"/>
      <c r="F264" s="340" t="str">
        <f>IF($B264="","",SUM(SUMIFS('Daily Inward'!$G:$G,'Daily Inward'!$C:$C,$B264,'Daily Inward'!$E:$E,{"Inventory","Services"})))</f>
        <v/>
      </c>
      <c r="G264" s="341" t="str">
        <f>IF($B264="","",SUM(SUMIFS('Daily Issuance'!$G:$G,'Daily Issuance'!$C:$C,$B264,'Daily Issuance'!$E:$E,{"Inventory","Services"})))</f>
        <v/>
      </c>
      <c r="H264" s="42" t="str">
        <f t="shared" si="8"/>
        <v/>
      </c>
      <c r="I264" s="39"/>
      <c r="J264" s="36" t="str">
        <f t="shared" si="9"/>
        <v/>
      </c>
      <c r="K264" s="48"/>
    </row>
    <row r="265" spans="1:11" ht="23.1" customHeight="1">
      <c r="A265" s="348" t="str">
        <f>IF($B265="","",MAX($A$3:A264)+1)</f>
        <v/>
      </c>
      <c r="B265" s="253"/>
      <c r="C265" s="249"/>
      <c r="D265" s="263"/>
      <c r="E265" s="251"/>
      <c r="F265" s="340" t="str">
        <f>IF($B265="","",SUM(SUMIFS('Daily Inward'!$G:$G,'Daily Inward'!$C:$C,$B265,'Daily Inward'!$E:$E,{"Inventory","Services"})))</f>
        <v/>
      </c>
      <c r="G265" s="341" t="str">
        <f>IF($B265="","",SUM(SUMIFS('Daily Issuance'!$G:$G,'Daily Issuance'!$C:$C,$B265,'Daily Issuance'!$E:$E,{"Inventory","Services"})))</f>
        <v/>
      </c>
      <c r="H265" s="42" t="str">
        <f t="shared" si="8"/>
        <v/>
      </c>
      <c r="I265" s="39"/>
      <c r="J265" s="36" t="str">
        <f t="shared" si="9"/>
        <v/>
      </c>
      <c r="K265" s="48"/>
    </row>
    <row r="266" spans="1:11" ht="23.1" customHeight="1">
      <c r="A266" s="348" t="str">
        <f>IF($B266="","",MAX($A$3:A265)+1)</f>
        <v/>
      </c>
      <c r="B266" s="253"/>
      <c r="C266" s="249"/>
      <c r="D266" s="263"/>
      <c r="E266" s="251"/>
      <c r="F266" s="340" t="str">
        <f>IF($B266="","",SUM(SUMIFS('Daily Inward'!$G:$G,'Daily Inward'!$C:$C,$B266,'Daily Inward'!$E:$E,{"Inventory","Services"})))</f>
        <v/>
      </c>
      <c r="G266" s="341" t="str">
        <f>IF($B266="","",SUM(SUMIFS('Daily Issuance'!$G:$G,'Daily Issuance'!$C:$C,$B266,'Daily Issuance'!$E:$E,{"Inventory","Services"})))</f>
        <v/>
      </c>
      <c r="H266" s="42" t="str">
        <f t="shared" si="8"/>
        <v/>
      </c>
      <c r="I266" s="39"/>
      <c r="J266" s="36" t="str">
        <f t="shared" si="9"/>
        <v/>
      </c>
      <c r="K266" s="48"/>
    </row>
    <row r="267" spans="1:11" ht="23.1" customHeight="1">
      <c r="A267" s="348" t="str">
        <f>IF($B267="","",MAX($A$3:A266)+1)</f>
        <v/>
      </c>
      <c r="B267" s="253"/>
      <c r="C267" s="249"/>
      <c r="D267" s="263"/>
      <c r="E267" s="251"/>
      <c r="F267" s="340" t="str">
        <f>IF($B267="","",SUM(SUMIFS('Daily Inward'!$G:$G,'Daily Inward'!$C:$C,$B267,'Daily Inward'!$E:$E,{"Inventory","Services"})))</f>
        <v/>
      </c>
      <c r="G267" s="341" t="str">
        <f>IF($B267="","",SUM(SUMIFS('Daily Issuance'!$G:$G,'Daily Issuance'!$C:$C,$B267,'Daily Issuance'!$E:$E,{"Inventory","Services"})))</f>
        <v/>
      </c>
      <c r="H267" s="42" t="str">
        <f t="shared" si="8"/>
        <v/>
      </c>
      <c r="I267" s="39"/>
      <c r="J267" s="36" t="str">
        <f t="shared" si="9"/>
        <v/>
      </c>
      <c r="K267" s="48"/>
    </row>
    <row r="268" spans="1:11" ht="23.1" customHeight="1">
      <c r="A268" s="348" t="str">
        <f>IF($B268="","",MAX($A$3:A267)+1)</f>
        <v/>
      </c>
      <c r="B268" s="253"/>
      <c r="C268" s="249"/>
      <c r="D268" s="263"/>
      <c r="E268" s="251"/>
      <c r="F268" s="340" t="str">
        <f>IF($B268="","",SUM(SUMIFS('Daily Inward'!$G:$G,'Daily Inward'!$C:$C,$B268,'Daily Inward'!$E:$E,{"Inventory","Services"})))</f>
        <v/>
      </c>
      <c r="G268" s="341" t="str">
        <f>IF($B268="","",SUM(SUMIFS('Daily Issuance'!$G:$G,'Daily Issuance'!$C:$C,$B268,'Daily Issuance'!$E:$E,{"Inventory","Services"})))</f>
        <v/>
      </c>
      <c r="H268" s="42" t="str">
        <f t="shared" si="8"/>
        <v/>
      </c>
      <c r="I268" s="39"/>
      <c r="J268" s="36" t="str">
        <f t="shared" si="9"/>
        <v/>
      </c>
      <c r="K268" s="48"/>
    </row>
    <row r="269" spans="1:11" ht="23.1" customHeight="1">
      <c r="A269" s="348" t="str">
        <f>IF($B269="","",MAX($A$3:A268)+1)</f>
        <v/>
      </c>
      <c r="B269" s="253"/>
      <c r="C269" s="249"/>
      <c r="D269" s="263"/>
      <c r="E269" s="251"/>
      <c r="F269" s="340" t="str">
        <f>IF($B269="","",SUM(SUMIFS('Daily Inward'!$G:$G,'Daily Inward'!$C:$C,$B269,'Daily Inward'!$E:$E,{"Inventory","Services"})))</f>
        <v/>
      </c>
      <c r="G269" s="341" t="str">
        <f>IF($B269="","",SUM(SUMIFS('Daily Issuance'!$G:$G,'Daily Issuance'!$C:$C,$B269,'Daily Issuance'!$E:$E,{"Inventory","Services"})))</f>
        <v/>
      </c>
      <c r="H269" s="42" t="str">
        <f t="shared" si="8"/>
        <v/>
      </c>
      <c r="I269" s="39"/>
      <c r="J269" s="36" t="str">
        <f t="shared" si="9"/>
        <v/>
      </c>
      <c r="K269" s="48"/>
    </row>
    <row r="270" spans="1:11" ht="23.1" customHeight="1">
      <c r="A270" s="348" t="str">
        <f>IF($B270="","",MAX($A$3:A269)+1)</f>
        <v/>
      </c>
      <c r="B270" s="253"/>
      <c r="C270" s="249"/>
      <c r="D270" s="263"/>
      <c r="E270" s="251"/>
      <c r="F270" s="340" t="str">
        <f>IF($B270="","",SUM(SUMIFS('Daily Inward'!$G:$G,'Daily Inward'!$C:$C,$B270,'Daily Inward'!$E:$E,{"Inventory","Services"})))</f>
        <v/>
      </c>
      <c r="G270" s="341" t="str">
        <f>IF($B270="","",SUM(SUMIFS('Daily Issuance'!$G:$G,'Daily Issuance'!$C:$C,$B270,'Daily Issuance'!$E:$E,{"Inventory","Services"})))</f>
        <v/>
      </c>
      <c r="H270" s="42" t="str">
        <f t="shared" si="8"/>
        <v/>
      </c>
      <c r="I270" s="39"/>
      <c r="J270" s="36" t="str">
        <f t="shared" si="9"/>
        <v/>
      </c>
      <c r="K270" s="48"/>
    </row>
    <row r="271" spans="1:11" ht="23.1" customHeight="1">
      <c r="A271" s="348" t="str">
        <f>IF($B271="","",MAX($A$3:A270)+1)</f>
        <v/>
      </c>
      <c r="B271" s="253"/>
      <c r="C271" s="249"/>
      <c r="D271" s="263"/>
      <c r="E271" s="251"/>
      <c r="F271" s="340" t="str">
        <f>IF($B271="","",SUM(SUMIFS('Daily Inward'!$G:$G,'Daily Inward'!$C:$C,$B271,'Daily Inward'!$E:$E,{"Inventory","Services"})))</f>
        <v/>
      </c>
      <c r="G271" s="341" t="str">
        <f>IF($B271="","",SUM(SUMIFS('Daily Issuance'!$G:$G,'Daily Issuance'!$C:$C,$B271,'Daily Issuance'!$E:$E,{"Inventory","Services"})))</f>
        <v/>
      </c>
      <c r="H271" s="42" t="str">
        <f t="shared" si="8"/>
        <v/>
      </c>
      <c r="I271" s="39"/>
      <c r="J271" s="36" t="str">
        <f t="shared" si="9"/>
        <v/>
      </c>
      <c r="K271" s="48"/>
    </row>
    <row r="272" spans="1:11" ht="23.1" customHeight="1">
      <c r="A272" s="348" t="str">
        <f>IF($B272="","",MAX($A$3:A271)+1)</f>
        <v/>
      </c>
      <c r="B272" s="253"/>
      <c r="C272" s="249"/>
      <c r="D272" s="263"/>
      <c r="E272" s="251"/>
      <c r="F272" s="340" t="str">
        <f>IF($B272="","",SUM(SUMIFS('Daily Inward'!$G:$G,'Daily Inward'!$C:$C,$B272,'Daily Inward'!$E:$E,{"Inventory","Services"})))</f>
        <v/>
      </c>
      <c r="G272" s="341" t="str">
        <f>IF($B272="","",SUM(SUMIFS('Daily Issuance'!$G:$G,'Daily Issuance'!$C:$C,$B272,'Daily Issuance'!$E:$E,{"Inventory","Services"})))</f>
        <v/>
      </c>
      <c r="H272" s="42" t="str">
        <f t="shared" si="8"/>
        <v/>
      </c>
      <c r="I272" s="39"/>
      <c r="J272" s="36" t="str">
        <f t="shared" si="9"/>
        <v/>
      </c>
      <c r="K272" s="48"/>
    </row>
    <row r="273" spans="1:11" ht="23.1" customHeight="1">
      <c r="A273" s="348" t="str">
        <f>IF($B273="","",MAX($A$3:A272)+1)</f>
        <v/>
      </c>
      <c r="B273" s="253"/>
      <c r="C273" s="249"/>
      <c r="D273" s="263"/>
      <c r="E273" s="251"/>
      <c r="F273" s="340" t="str">
        <f>IF($B273="","",SUM(SUMIFS('Daily Inward'!$G:$G,'Daily Inward'!$C:$C,$B273,'Daily Inward'!$E:$E,{"Inventory","Services"})))</f>
        <v/>
      </c>
      <c r="G273" s="341" t="str">
        <f>IF($B273="","",SUM(SUMIFS('Daily Issuance'!$G:$G,'Daily Issuance'!$C:$C,$B273,'Daily Issuance'!$E:$E,{"Inventory","Services"})))</f>
        <v/>
      </c>
      <c r="H273" s="42" t="str">
        <f t="shared" si="8"/>
        <v/>
      </c>
      <c r="I273" s="39"/>
      <c r="J273" s="36" t="str">
        <f t="shared" si="9"/>
        <v/>
      </c>
      <c r="K273" s="48"/>
    </row>
    <row r="274" spans="1:11" ht="23.1" customHeight="1">
      <c r="A274" s="348" t="str">
        <f>IF($B274="","",MAX($A$3:A273)+1)</f>
        <v/>
      </c>
      <c r="B274" s="253"/>
      <c r="C274" s="249"/>
      <c r="D274" s="263"/>
      <c r="E274" s="251"/>
      <c r="F274" s="340" t="str">
        <f>IF($B274="","",SUM(SUMIFS('Daily Inward'!$G:$G,'Daily Inward'!$C:$C,$B274,'Daily Inward'!$E:$E,{"Inventory","Services"})))</f>
        <v/>
      </c>
      <c r="G274" s="341" t="str">
        <f>IF($B274="","",SUM(SUMIFS('Daily Issuance'!$G:$G,'Daily Issuance'!$C:$C,$B274,'Daily Issuance'!$E:$E,{"Inventory","Services"})))</f>
        <v/>
      </c>
      <c r="H274" s="42" t="str">
        <f t="shared" si="8"/>
        <v/>
      </c>
      <c r="I274" s="39"/>
      <c r="J274" s="36" t="str">
        <f t="shared" si="9"/>
        <v/>
      </c>
      <c r="K274" s="48"/>
    </row>
    <row r="275" spans="1:11" ht="23.1" customHeight="1">
      <c r="A275" s="348" t="str">
        <f>IF($B275="","",MAX($A$3:A274)+1)</f>
        <v/>
      </c>
      <c r="B275" s="253"/>
      <c r="C275" s="249"/>
      <c r="D275" s="263"/>
      <c r="E275" s="251"/>
      <c r="F275" s="340" t="str">
        <f>IF($B275="","",SUM(SUMIFS('Daily Inward'!$G:$G,'Daily Inward'!$C:$C,$B275,'Daily Inward'!$E:$E,{"Inventory","Services"})))</f>
        <v/>
      </c>
      <c r="G275" s="341" t="str">
        <f>IF($B275="","",SUM(SUMIFS('Daily Issuance'!$G:$G,'Daily Issuance'!$C:$C,$B275,'Daily Issuance'!$E:$E,{"Inventory","Services"})))</f>
        <v/>
      </c>
      <c r="H275" s="42" t="str">
        <f t="shared" si="8"/>
        <v/>
      </c>
      <c r="I275" s="39"/>
      <c r="J275" s="36" t="str">
        <f t="shared" si="9"/>
        <v/>
      </c>
      <c r="K275" s="48"/>
    </row>
    <row r="276" spans="1:11" ht="23.1" customHeight="1">
      <c r="A276" s="348" t="str">
        <f>IF($B276="","",MAX($A$3:A275)+1)</f>
        <v/>
      </c>
      <c r="B276" s="253"/>
      <c r="C276" s="249"/>
      <c r="D276" s="263"/>
      <c r="E276" s="251"/>
      <c r="F276" s="340" t="str">
        <f>IF($B276="","",SUM(SUMIFS('Daily Inward'!$G:$G,'Daily Inward'!$C:$C,$B276,'Daily Inward'!$E:$E,{"Inventory","Services"})))</f>
        <v/>
      </c>
      <c r="G276" s="341" t="str">
        <f>IF($B276="","",SUM(SUMIFS('Daily Issuance'!$G:$G,'Daily Issuance'!$C:$C,$B276,'Daily Issuance'!$E:$E,{"Inventory","Services"})))</f>
        <v/>
      </c>
      <c r="H276" s="42" t="str">
        <f t="shared" si="8"/>
        <v/>
      </c>
      <c r="I276" s="39"/>
      <c r="J276" s="36" t="str">
        <f t="shared" si="9"/>
        <v/>
      </c>
      <c r="K276" s="48"/>
    </row>
    <row r="277" spans="1:11" ht="23.1" customHeight="1">
      <c r="A277" s="348" t="str">
        <f>IF($B277="","",MAX($A$3:A276)+1)</f>
        <v/>
      </c>
      <c r="B277" s="253"/>
      <c r="C277" s="249"/>
      <c r="D277" s="263"/>
      <c r="E277" s="251"/>
      <c r="F277" s="340" t="str">
        <f>IF($B277="","",SUM(SUMIFS('Daily Inward'!$G:$G,'Daily Inward'!$C:$C,$B277,'Daily Inward'!$E:$E,{"Inventory","Services"})))</f>
        <v/>
      </c>
      <c r="G277" s="341" t="str">
        <f>IF($B277="","",SUM(SUMIFS('Daily Issuance'!$G:$G,'Daily Issuance'!$C:$C,$B277,'Daily Issuance'!$E:$E,{"Inventory","Services"})))</f>
        <v/>
      </c>
      <c r="H277" s="42" t="str">
        <f t="shared" si="8"/>
        <v/>
      </c>
      <c r="I277" s="39"/>
      <c r="J277" s="36" t="str">
        <f t="shared" si="9"/>
        <v/>
      </c>
      <c r="K277" s="48"/>
    </row>
    <row r="278" spans="1:11" ht="23.1" customHeight="1">
      <c r="A278" s="348" t="str">
        <f>IF($B278="","",MAX($A$3:A277)+1)</f>
        <v/>
      </c>
      <c r="B278" s="253"/>
      <c r="C278" s="249"/>
      <c r="D278" s="263"/>
      <c r="E278" s="251"/>
      <c r="F278" s="340" t="str">
        <f>IF($B278="","",SUM(SUMIFS('Daily Inward'!$G:$G,'Daily Inward'!$C:$C,$B278,'Daily Inward'!$E:$E,{"Inventory","Services"})))</f>
        <v/>
      </c>
      <c r="G278" s="341" t="str">
        <f>IF($B278="","",SUM(SUMIFS('Daily Issuance'!$G:$G,'Daily Issuance'!$C:$C,$B278,'Daily Issuance'!$E:$E,{"Inventory","Services"})))</f>
        <v/>
      </c>
      <c r="H278" s="42" t="str">
        <f t="shared" si="8"/>
        <v/>
      </c>
      <c r="I278" s="39"/>
      <c r="J278" s="36" t="str">
        <f t="shared" si="9"/>
        <v/>
      </c>
      <c r="K278" s="48"/>
    </row>
    <row r="279" spans="1:11" ht="23.1" customHeight="1">
      <c r="A279" s="348" t="str">
        <f>IF($B279="","",MAX($A$3:A278)+1)</f>
        <v/>
      </c>
      <c r="B279" s="253"/>
      <c r="C279" s="249"/>
      <c r="D279" s="263"/>
      <c r="E279" s="251"/>
      <c r="F279" s="340" t="str">
        <f>IF($B279="","",SUM(SUMIFS('Daily Inward'!$G:$G,'Daily Inward'!$C:$C,$B279,'Daily Inward'!$E:$E,{"Inventory","Services"})))</f>
        <v/>
      </c>
      <c r="G279" s="341" t="str">
        <f>IF($B279="","",SUM(SUMIFS('Daily Issuance'!$G:$G,'Daily Issuance'!$C:$C,$B279,'Daily Issuance'!$E:$E,{"Inventory","Services"})))</f>
        <v/>
      </c>
      <c r="H279" s="42" t="str">
        <f t="shared" si="8"/>
        <v/>
      </c>
      <c r="I279" s="39"/>
      <c r="J279" s="36" t="str">
        <f t="shared" si="9"/>
        <v/>
      </c>
      <c r="K279" s="48"/>
    </row>
    <row r="280" spans="1:11" ht="23.1" customHeight="1">
      <c r="A280" s="348" t="str">
        <f>IF($B280="","",MAX($A$3:A279)+1)</f>
        <v/>
      </c>
      <c r="B280" s="253"/>
      <c r="C280" s="249"/>
      <c r="D280" s="263"/>
      <c r="E280" s="251"/>
      <c r="F280" s="340" t="str">
        <f>IF($B280="","",SUM(SUMIFS('Daily Inward'!$G:$G,'Daily Inward'!$C:$C,$B280,'Daily Inward'!$E:$E,{"Inventory","Services"})))</f>
        <v/>
      </c>
      <c r="G280" s="341" t="str">
        <f>IF($B280="","",SUM(SUMIFS('Daily Issuance'!$G:$G,'Daily Issuance'!$C:$C,$B280,'Daily Issuance'!$E:$E,{"Inventory","Services"})))</f>
        <v/>
      </c>
      <c r="H280" s="42" t="str">
        <f t="shared" si="8"/>
        <v/>
      </c>
      <c r="I280" s="39"/>
      <c r="J280" s="36" t="str">
        <f t="shared" si="9"/>
        <v/>
      </c>
      <c r="K280" s="48"/>
    </row>
    <row r="281" spans="1:11" ht="23.1" customHeight="1">
      <c r="A281" s="348" t="str">
        <f>IF($B281="","",MAX($A$3:A280)+1)</f>
        <v/>
      </c>
      <c r="B281" s="253"/>
      <c r="C281" s="249"/>
      <c r="D281" s="263"/>
      <c r="E281" s="251"/>
      <c r="F281" s="340" t="str">
        <f>IF($B281="","",SUM(SUMIFS('Daily Inward'!$G:$G,'Daily Inward'!$C:$C,$B281,'Daily Inward'!$E:$E,{"Inventory","Services"})))</f>
        <v/>
      </c>
      <c r="G281" s="341" t="str">
        <f>IF($B281="","",SUM(SUMIFS('Daily Issuance'!$G:$G,'Daily Issuance'!$C:$C,$B281,'Daily Issuance'!$E:$E,{"Inventory","Services"})))</f>
        <v/>
      </c>
      <c r="H281" s="42" t="str">
        <f t="shared" si="8"/>
        <v/>
      </c>
      <c r="I281" s="39"/>
      <c r="J281" s="36" t="str">
        <f t="shared" si="9"/>
        <v/>
      </c>
      <c r="K281" s="48"/>
    </row>
    <row r="282" spans="1:11" ht="23.1" customHeight="1">
      <c r="A282" s="348" t="str">
        <f>IF($B282="","",MAX($A$3:A281)+1)</f>
        <v/>
      </c>
      <c r="B282" s="253"/>
      <c r="C282" s="249"/>
      <c r="D282" s="263"/>
      <c r="E282" s="251"/>
      <c r="F282" s="340" t="str">
        <f>IF($B282="","",SUM(SUMIFS('Daily Inward'!$G:$G,'Daily Inward'!$C:$C,$B282,'Daily Inward'!$E:$E,{"Inventory","Services"})))</f>
        <v/>
      </c>
      <c r="G282" s="341" t="str">
        <f>IF($B282="","",SUM(SUMIFS('Daily Issuance'!$G:$G,'Daily Issuance'!$C:$C,$B282,'Daily Issuance'!$E:$E,{"Inventory","Services"})))</f>
        <v/>
      </c>
      <c r="H282" s="42" t="str">
        <f t="shared" si="8"/>
        <v/>
      </c>
      <c r="I282" s="39"/>
      <c r="J282" s="36" t="str">
        <f t="shared" si="9"/>
        <v/>
      </c>
      <c r="K282" s="48"/>
    </row>
    <row r="283" spans="1:11" ht="23.1" customHeight="1">
      <c r="A283" s="348" t="str">
        <f>IF($B283="","",MAX($A$3:A282)+1)</f>
        <v/>
      </c>
      <c r="B283" s="253"/>
      <c r="C283" s="249"/>
      <c r="D283" s="263"/>
      <c r="E283" s="251"/>
      <c r="F283" s="340" t="str">
        <f>IF($B283="","",SUM(SUMIFS('Daily Inward'!$G:$G,'Daily Inward'!$C:$C,$B283,'Daily Inward'!$E:$E,{"Inventory","Services"})))</f>
        <v/>
      </c>
      <c r="G283" s="341" t="str">
        <f>IF($B283="","",SUM(SUMIFS('Daily Issuance'!$G:$G,'Daily Issuance'!$C:$C,$B283,'Daily Issuance'!$E:$E,{"Inventory","Services"})))</f>
        <v/>
      </c>
      <c r="H283" s="42" t="str">
        <f t="shared" si="8"/>
        <v/>
      </c>
      <c r="I283" s="39"/>
      <c r="J283" s="36" t="str">
        <f t="shared" si="9"/>
        <v/>
      </c>
      <c r="K283" s="48"/>
    </row>
    <row r="284" spans="1:11" ht="23.1" customHeight="1">
      <c r="A284" s="348" t="str">
        <f>IF($B284="","",MAX($A$3:A283)+1)</f>
        <v/>
      </c>
      <c r="B284" s="253"/>
      <c r="C284" s="249"/>
      <c r="D284" s="263"/>
      <c r="E284" s="251"/>
      <c r="F284" s="340" t="str">
        <f>IF($B284="","",SUM(SUMIFS('Daily Inward'!$G:$G,'Daily Inward'!$C:$C,$B284,'Daily Inward'!$E:$E,{"Inventory","Services"})))</f>
        <v/>
      </c>
      <c r="G284" s="341" t="str">
        <f>IF($B284="","",SUM(SUMIFS('Daily Issuance'!$G:$G,'Daily Issuance'!$C:$C,$B284,'Daily Issuance'!$E:$E,{"Inventory","Services"})))</f>
        <v/>
      </c>
      <c r="H284" s="42" t="str">
        <f t="shared" si="8"/>
        <v/>
      </c>
      <c r="I284" s="39"/>
      <c r="J284" s="36" t="str">
        <f t="shared" si="9"/>
        <v/>
      </c>
      <c r="K284" s="48"/>
    </row>
    <row r="285" spans="1:11" ht="23.1" customHeight="1">
      <c r="A285" s="348" t="str">
        <f>IF($B285="","",MAX($A$3:A284)+1)</f>
        <v/>
      </c>
      <c r="B285" s="253"/>
      <c r="C285" s="249"/>
      <c r="D285" s="263"/>
      <c r="E285" s="251"/>
      <c r="F285" s="340" t="str">
        <f>IF($B285="","",SUM(SUMIFS('Daily Inward'!$G:$G,'Daily Inward'!$C:$C,$B285,'Daily Inward'!$E:$E,{"Inventory","Services"})))</f>
        <v/>
      </c>
      <c r="G285" s="341" t="str">
        <f>IF($B285="","",SUM(SUMIFS('Daily Issuance'!$G:$G,'Daily Issuance'!$C:$C,$B285,'Daily Issuance'!$E:$E,{"Inventory","Services"})))</f>
        <v/>
      </c>
      <c r="H285" s="42" t="str">
        <f t="shared" si="8"/>
        <v/>
      </c>
      <c r="I285" s="39"/>
      <c r="J285" s="36" t="str">
        <f t="shared" si="9"/>
        <v/>
      </c>
      <c r="K285" s="48"/>
    </row>
    <row r="286" spans="1:11" ht="23.1" customHeight="1">
      <c r="A286" s="348" t="str">
        <f>IF($B286="","",MAX($A$3:A285)+1)</f>
        <v/>
      </c>
      <c r="B286" s="253"/>
      <c r="C286" s="249"/>
      <c r="D286" s="263"/>
      <c r="E286" s="251"/>
      <c r="F286" s="340" t="str">
        <f>IF($B286="","",SUM(SUMIFS('Daily Inward'!$G:$G,'Daily Inward'!$C:$C,$B286,'Daily Inward'!$E:$E,{"Inventory","Services"})))</f>
        <v/>
      </c>
      <c r="G286" s="341" t="str">
        <f>IF($B286="","",SUM(SUMIFS('Daily Issuance'!$G:$G,'Daily Issuance'!$C:$C,$B286,'Daily Issuance'!$E:$E,{"Inventory","Services"})))</f>
        <v/>
      </c>
      <c r="H286" s="42" t="str">
        <f t="shared" si="8"/>
        <v/>
      </c>
      <c r="I286" s="39"/>
      <c r="J286" s="36" t="str">
        <f t="shared" si="9"/>
        <v/>
      </c>
      <c r="K286" s="48"/>
    </row>
    <row r="287" spans="1:11" ht="23.1" customHeight="1">
      <c r="A287" s="348" t="str">
        <f>IF($B287="","",MAX($A$3:A286)+1)</f>
        <v/>
      </c>
      <c r="B287" s="253"/>
      <c r="C287" s="249"/>
      <c r="D287" s="263"/>
      <c r="E287" s="251"/>
      <c r="F287" s="340" t="str">
        <f>IF($B287="","",SUM(SUMIFS('Daily Inward'!$G:$G,'Daily Inward'!$C:$C,$B287,'Daily Inward'!$E:$E,{"Inventory","Services"})))</f>
        <v/>
      </c>
      <c r="G287" s="341" t="str">
        <f>IF($B287="","",SUM(SUMIFS('Daily Issuance'!$G:$G,'Daily Issuance'!$C:$C,$B287,'Daily Issuance'!$E:$E,{"Inventory","Services"})))</f>
        <v/>
      </c>
      <c r="H287" s="42" t="str">
        <f t="shared" si="8"/>
        <v/>
      </c>
      <c r="I287" s="39"/>
      <c r="J287" s="36" t="str">
        <f t="shared" si="9"/>
        <v/>
      </c>
      <c r="K287" s="48"/>
    </row>
    <row r="288" spans="1:11" ht="23.1" customHeight="1">
      <c r="A288" s="348" t="str">
        <f>IF($B288="","",MAX($A$3:A287)+1)</f>
        <v/>
      </c>
      <c r="B288" s="253"/>
      <c r="C288" s="249"/>
      <c r="D288" s="263"/>
      <c r="E288" s="251"/>
      <c r="F288" s="340" t="str">
        <f>IF($B288="","",SUM(SUMIFS('Daily Inward'!$G:$G,'Daily Inward'!$C:$C,$B288,'Daily Inward'!$E:$E,{"Inventory","Services"})))</f>
        <v/>
      </c>
      <c r="G288" s="341" t="str">
        <f>IF($B288="","",SUM(SUMIFS('Daily Issuance'!$G:$G,'Daily Issuance'!$C:$C,$B288,'Daily Issuance'!$E:$E,{"Inventory","Services"})))</f>
        <v/>
      </c>
      <c r="H288" s="42" t="str">
        <f t="shared" si="8"/>
        <v/>
      </c>
      <c r="I288" s="39"/>
      <c r="J288" s="36" t="str">
        <f t="shared" si="9"/>
        <v/>
      </c>
      <c r="K288" s="48"/>
    </row>
    <row r="289" spans="1:11" ht="23.1" customHeight="1">
      <c r="A289" s="348" t="str">
        <f>IF($B289="","",MAX($A$3:A288)+1)</f>
        <v/>
      </c>
      <c r="B289" s="253"/>
      <c r="C289" s="249"/>
      <c r="D289" s="263"/>
      <c r="E289" s="251"/>
      <c r="F289" s="340" t="str">
        <f>IF($B289="","",SUM(SUMIFS('Daily Inward'!$G:$G,'Daily Inward'!$C:$C,$B289,'Daily Inward'!$E:$E,{"Inventory","Services"})))</f>
        <v/>
      </c>
      <c r="G289" s="341" t="str">
        <f>IF($B289="","",SUM(SUMIFS('Daily Issuance'!$G:$G,'Daily Issuance'!$C:$C,$B289,'Daily Issuance'!$E:$E,{"Inventory","Services"})))</f>
        <v/>
      </c>
      <c r="H289" s="42" t="str">
        <f t="shared" si="8"/>
        <v/>
      </c>
      <c r="I289" s="39"/>
      <c r="J289" s="36" t="str">
        <f t="shared" si="9"/>
        <v/>
      </c>
      <c r="K289" s="48"/>
    </row>
    <row r="290" spans="1:11" ht="23.1" customHeight="1">
      <c r="A290" s="348" t="str">
        <f>IF($B290="","",MAX($A$3:A289)+1)</f>
        <v/>
      </c>
      <c r="B290" s="253"/>
      <c r="C290" s="249"/>
      <c r="D290" s="263"/>
      <c r="E290" s="251"/>
      <c r="F290" s="340" t="str">
        <f>IF($B290="","",SUM(SUMIFS('Daily Inward'!$G:$G,'Daily Inward'!$C:$C,$B290,'Daily Inward'!$E:$E,{"Inventory","Services"})))</f>
        <v/>
      </c>
      <c r="G290" s="341" t="str">
        <f>IF($B290="","",SUM(SUMIFS('Daily Issuance'!$G:$G,'Daily Issuance'!$C:$C,$B290,'Daily Issuance'!$E:$E,{"Inventory","Services"})))</f>
        <v/>
      </c>
      <c r="H290" s="42" t="str">
        <f t="shared" si="8"/>
        <v/>
      </c>
      <c r="I290" s="39"/>
      <c r="J290" s="36" t="str">
        <f t="shared" si="9"/>
        <v/>
      </c>
      <c r="K290" s="48"/>
    </row>
    <row r="291" spans="1:11" ht="23.1" customHeight="1">
      <c r="A291" s="348" t="str">
        <f>IF($B291="","",MAX($A$3:A290)+1)</f>
        <v/>
      </c>
      <c r="B291" s="253"/>
      <c r="C291" s="249"/>
      <c r="D291" s="263"/>
      <c r="E291" s="251"/>
      <c r="F291" s="340" t="str">
        <f>IF($B291="","",SUM(SUMIFS('Daily Inward'!$G:$G,'Daily Inward'!$C:$C,$B291,'Daily Inward'!$E:$E,{"Inventory","Services"})))</f>
        <v/>
      </c>
      <c r="G291" s="341" t="str">
        <f>IF($B291="","",SUM(SUMIFS('Daily Issuance'!$G:$G,'Daily Issuance'!$C:$C,$B291,'Daily Issuance'!$E:$E,{"Inventory","Services"})))</f>
        <v/>
      </c>
      <c r="H291" s="42" t="str">
        <f t="shared" si="8"/>
        <v/>
      </c>
      <c r="I291" s="39"/>
      <c r="J291" s="36" t="str">
        <f t="shared" si="9"/>
        <v/>
      </c>
      <c r="K291" s="48"/>
    </row>
    <row r="292" spans="1:11" ht="23.1" customHeight="1">
      <c r="A292" s="348" t="str">
        <f>IF($B292="","",MAX($A$3:A291)+1)</f>
        <v/>
      </c>
      <c r="B292" s="253"/>
      <c r="C292" s="249"/>
      <c r="D292" s="263"/>
      <c r="E292" s="251"/>
      <c r="F292" s="340" t="str">
        <f>IF($B292="","",SUM(SUMIFS('Daily Inward'!$G:$G,'Daily Inward'!$C:$C,$B292,'Daily Inward'!$E:$E,{"Inventory","Services"})))</f>
        <v/>
      </c>
      <c r="G292" s="341" t="str">
        <f>IF($B292="","",SUM(SUMIFS('Daily Issuance'!$G:$G,'Daily Issuance'!$C:$C,$B292,'Daily Issuance'!$E:$E,{"Inventory","Services"})))</f>
        <v/>
      </c>
      <c r="H292" s="42" t="str">
        <f t="shared" si="8"/>
        <v/>
      </c>
      <c r="I292" s="39"/>
      <c r="J292" s="36" t="str">
        <f t="shared" si="9"/>
        <v/>
      </c>
      <c r="K292" s="48"/>
    </row>
    <row r="293" spans="1:11" ht="23.1" customHeight="1">
      <c r="A293" s="348" t="str">
        <f>IF($B293="","",MAX($A$3:A292)+1)</f>
        <v/>
      </c>
      <c r="B293" s="253"/>
      <c r="C293" s="249"/>
      <c r="D293" s="263"/>
      <c r="E293" s="251"/>
      <c r="F293" s="340" t="str">
        <f>IF($B293="","",SUM(SUMIFS('Daily Inward'!$G:$G,'Daily Inward'!$C:$C,$B293,'Daily Inward'!$E:$E,{"Inventory","Services"})))</f>
        <v/>
      </c>
      <c r="G293" s="341" t="str">
        <f>IF($B293="","",SUM(SUMIFS('Daily Issuance'!$G:$G,'Daily Issuance'!$C:$C,$B293,'Daily Issuance'!$E:$E,{"Inventory","Services"})))</f>
        <v/>
      </c>
      <c r="H293" s="42" t="str">
        <f t="shared" si="8"/>
        <v/>
      </c>
      <c r="I293" s="39"/>
      <c r="J293" s="36" t="str">
        <f t="shared" si="9"/>
        <v/>
      </c>
      <c r="K293" s="48"/>
    </row>
    <row r="294" spans="1:11" ht="23.1" customHeight="1">
      <c r="A294" s="348" t="str">
        <f>IF($B294="","",MAX($A$3:A293)+1)</f>
        <v/>
      </c>
      <c r="B294" s="253"/>
      <c r="C294" s="249"/>
      <c r="D294" s="263"/>
      <c r="E294" s="251"/>
      <c r="F294" s="340" t="str">
        <f>IF($B294="","",SUM(SUMIFS('Daily Inward'!$G:$G,'Daily Inward'!$C:$C,$B294,'Daily Inward'!$E:$E,{"Inventory","Services"})))</f>
        <v/>
      </c>
      <c r="G294" s="341" t="str">
        <f>IF($B294="","",SUM(SUMIFS('Daily Issuance'!$G:$G,'Daily Issuance'!$C:$C,$B294,'Daily Issuance'!$E:$E,{"Inventory","Services"})))</f>
        <v/>
      </c>
      <c r="H294" s="42" t="str">
        <f t="shared" si="8"/>
        <v/>
      </c>
      <c r="I294" s="39"/>
      <c r="J294" s="36" t="str">
        <f t="shared" si="9"/>
        <v/>
      </c>
      <c r="K294" s="48"/>
    </row>
    <row r="295" spans="1:11" ht="23.1" customHeight="1">
      <c r="A295" s="348" t="str">
        <f>IF($B295="","",MAX($A$3:A294)+1)</f>
        <v/>
      </c>
      <c r="B295" s="253"/>
      <c r="C295" s="249"/>
      <c r="D295" s="263"/>
      <c r="E295" s="251"/>
      <c r="F295" s="340" t="str">
        <f>IF($B295="","",SUM(SUMIFS('Daily Inward'!$G:$G,'Daily Inward'!$C:$C,$B295,'Daily Inward'!$E:$E,{"Inventory","Services"})))</f>
        <v/>
      </c>
      <c r="G295" s="341" t="str">
        <f>IF($B295="","",SUM(SUMIFS('Daily Issuance'!$G:$G,'Daily Issuance'!$C:$C,$B295,'Daily Issuance'!$E:$E,{"Inventory","Services"})))</f>
        <v/>
      </c>
      <c r="H295" s="42" t="str">
        <f t="shared" si="8"/>
        <v/>
      </c>
      <c r="I295" s="39"/>
      <c r="J295" s="36" t="str">
        <f t="shared" si="9"/>
        <v/>
      </c>
      <c r="K295" s="48"/>
    </row>
    <row r="296" spans="1:11" ht="23.1" customHeight="1">
      <c r="A296" s="348" t="str">
        <f>IF($B296="","",MAX($A$3:A295)+1)</f>
        <v/>
      </c>
      <c r="B296" s="253"/>
      <c r="C296" s="249"/>
      <c r="D296" s="263"/>
      <c r="E296" s="251"/>
      <c r="F296" s="340" t="str">
        <f>IF($B296="","",SUM(SUMIFS('Daily Inward'!$G:$G,'Daily Inward'!$C:$C,$B296,'Daily Inward'!$E:$E,{"Inventory","Services"})))</f>
        <v/>
      </c>
      <c r="G296" s="341" t="str">
        <f>IF($B296="","",SUM(SUMIFS('Daily Issuance'!$G:$G,'Daily Issuance'!$C:$C,$B296,'Daily Issuance'!$E:$E,{"Inventory","Services"})))</f>
        <v/>
      </c>
      <c r="H296" s="42" t="str">
        <f t="shared" si="8"/>
        <v/>
      </c>
      <c r="I296" s="39"/>
      <c r="J296" s="36" t="str">
        <f t="shared" si="9"/>
        <v/>
      </c>
      <c r="K296" s="48"/>
    </row>
    <row r="297" spans="1:11" ht="23.1" customHeight="1">
      <c r="A297" s="348" t="str">
        <f>IF($B297="","",MAX($A$3:A296)+1)</f>
        <v/>
      </c>
      <c r="B297" s="253"/>
      <c r="C297" s="249"/>
      <c r="D297" s="263"/>
      <c r="E297" s="251"/>
      <c r="F297" s="340" t="str">
        <f>IF($B297="","",SUM(SUMIFS('Daily Inward'!$G:$G,'Daily Inward'!$C:$C,$B297,'Daily Inward'!$E:$E,{"Inventory","Services"})))</f>
        <v/>
      </c>
      <c r="G297" s="341" t="str">
        <f>IF($B297="","",SUM(SUMIFS('Daily Issuance'!$G:$G,'Daily Issuance'!$C:$C,$B297,'Daily Issuance'!$E:$E,{"Inventory","Services"})))</f>
        <v/>
      </c>
      <c r="H297" s="42" t="str">
        <f t="shared" si="8"/>
        <v/>
      </c>
      <c r="I297" s="39"/>
      <c r="J297" s="36" t="str">
        <f t="shared" si="9"/>
        <v/>
      </c>
      <c r="K297" s="48"/>
    </row>
    <row r="298" spans="1:11" ht="23.1" customHeight="1">
      <c r="A298" s="348" t="str">
        <f>IF($B298="","",MAX($A$3:A297)+1)</f>
        <v/>
      </c>
      <c r="B298" s="253"/>
      <c r="C298" s="249"/>
      <c r="D298" s="263"/>
      <c r="E298" s="251"/>
      <c r="F298" s="340" t="str">
        <f>IF($B298="","",SUM(SUMIFS('Daily Inward'!$G:$G,'Daily Inward'!$C:$C,$B298,'Daily Inward'!$E:$E,{"Inventory","Services"})))</f>
        <v/>
      </c>
      <c r="G298" s="341" t="str">
        <f>IF($B298="","",SUM(SUMIFS('Daily Issuance'!$G:$G,'Daily Issuance'!$C:$C,$B298,'Daily Issuance'!$E:$E,{"Inventory","Services"})))</f>
        <v/>
      </c>
      <c r="H298" s="42" t="str">
        <f t="shared" si="8"/>
        <v/>
      </c>
      <c r="I298" s="39"/>
      <c r="J298" s="36" t="str">
        <f t="shared" si="9"/>
        <v/>
      </c>
      <c r="K298" s="48"/>
    </row>
    <row r="299" spans="1:11" ht="23.1" customHeight="1">
      <c r="A299" s="348" t="str">
        <f>IF($B299="","",MAX($A$3:A298)+1)</f>
        <v/>
      </c>
      <c r="B299" s="253"/>
      <c r="C299" s="249"/>
      <c r="D299" s="263"/>
      <c r="E299" s="251"/>
      <c r="F299" s="340" t="str">
        <f>IF($B299="","",SUM(SUMIFS('Daily Inward'!$G:$G,'Daily Inward'!$C:$C,$B299,'Daily Inward'!$E:$E,{"Inventory","Services"})))</f>
        <v/>
      </c>
      <c r="G299" s="341" t="str">
        <f>IF($B299="","",SUM(SUMIFS('Daily Issuance'!$G:$G,'Daily Issuance'!$C:$C,$B299,'Daily Issuance'!$E:$E,{"Inventory","Services"})))</f>
        <v/>
      </c>
      <c r="H299" s="42" t="str">
        <f t="shared" si="8"/>
        <v/>
      </c>
      <c r="I299" s="39"/>
      <c r="J299" s="36" t="str">
        <f t="shared" si="9"/>
        <v/>
      </c>
      <c r="K299" s="48"/>
    </row>
    <row r="300" spans="1:11" ht="23.1" customHeight="1">
      <c r="A300" s="348" t="str">
        <f>IF($B300="","",MAX($A$3:A299)+1)</f>
        <v/>
      </c>
      <c r="B300" s="253"/>
      <c r="C300" s="249"/>
      <c r="D300" s="263"/>
      <c r="E300" s="251"/>
      <c r="F300" s="340" t="str">
        <f>IF($B300="","",SUM(SUMIFS('Daily Inward'!$G:$G,'Daily Inward'!$C:$C,$B300,'Daily Inward'!$E:$E,{"Inventory","Services"})))</f>
        <v/>
      </c>
      <c r="G300" s="341" t="str">
        <f>IF($B300="","",SUM(SUMIFS('Daily Issuance'!$G:$G,'Daily Issuance'!$C:$C,$B300,'Daily Issuance'!$E:$E,{"Inventory","Services"})))</f>
        <v/>
      </c>
      <c r="H300" s="42" t="str">
        <f t="shared" si="8"/>
        <v/>
      </c>
      <c r="I300" s="39"/>
      <c r="J300" s="36" t="str">
        <f t="shared" si="9"/>
        <v/>
      </c>
      <c r="K300" s="48"/>
    </row>
    <row r="301" spans="1:11" ht="23.1" customHeight="1">
      <c r="A301" s="348" t="str">
        <f>IF($B301="","",MAX($A$3:A300)+1)</f>
        <v/>
      </c>
      <c r="B301" s="253"/>
      <c r="C301" s="249"/>
      <c r="D301" s="263"/>
      <c r="E301" s="251"/>
      <c r="F301" s="340" t="str">
        <f>IF($B301="","",SUM(SUMIFS('Daily Inward'!$G:$G,'Daily Inward'!$C:$C,$B301,'Daily Inward'!$E:$E,{"Inventory","Services"})))</f>
        <v/>
      </c>
      <c r="G301" s="341" t="str">
        <f>IF($B301="","",SUM(SUMIFS('Daily Issuance'!$G:$G,'Daily Issuance'!$C:$C,$B301,'Daily Issuance'!$E:$E,{"Inventory","Services"})))</f>
        <v/>
      </c>
      <c r="H301" s="42" t="str">
        <f t="shared" si="8"/>
        <v/>
      </c>
      <c r="I301" s="39"/>
      <c r="J301" s="36" t="str">
        <f t="shared" si="9"/>
        <v/>
      </c>
      <c r="K301" s="48"/>
    </row>
    <row r="302" spans="1:11" ht="23.1" customHeight="1">
      <c r="A302" s="348" t="str">
        <f>IF($B302="","",MAX($A$3:A301)+1)</f>
        <v/>
      </c>
      <c r="B302" s="253"/>
      <c r="C302" s="249"/>
      <c r="D302" s="263"/>
      <c r="E302" s="251"/>
      <c r="F302" s="340" t="str">
        <f>IF($B302="","",SUM(SUMIFS('Daily Inward'!$G:$G,'Daily Inward'!$C:$C,$B302,'Daily Inward'!$E:$E,{"Inventory","Services"})))</f>
        <v/>
      </c>
      <c r="G302" s="341" t="str">
        <f>IF($B302="","",SUM(SUMIFS('Daily Issuance'!$G:$G,'Daily Issuance'!$C:$C,$B302,'Daily Issuance'!$E:$E,{"Inventory","Services"})))</f>
        <v/>
      </c>
      <c r="H302" s="42" t="str">
        <f t="shared" si="8"/>
        <v/>
      </c>
      <c r="I302" s="39"/>
      <c r="J302" s="36" t="str">
        <f t="shared" si="9"/>
        <v/>
      </c>
      <c r="K302" s="48"/>
    </row>
    <row r="303" spans="1:11" ht="23.1" customHeight="1">
      <c r="A303" s="348" t="str">
        <f>IF($B303="","",MAX($A$3:A302)+1)</f>
        <v/>
      </c>
      <c r="B303" s="253"/>
      <c r="C303" s="249"/>
      <c r="D303" s="263"/>
      <c r="E303" s="251"/>
      <c r="F303" s="340" t="str">
        <f>IF($B303="","",SUM(SUMIFS('Daily Inward'!$G:$G,'Daily Inward'!$C:$C,$B303,'Daily Inward'!$E:$E,{"Inventory","Services"})))</f>
        <v/>
      </c>
      <c r="G303" s="341" t="str">
        <f>IF($B303="","",SUM(SUMIFS('Daily Issuance'!$G:$G,'Daily Issuance'!$C:$C,$B303,'Daily Issuance'!$E:$E,{"Inventory","Services"})))</f>
        <v/>
      </c>
      <c r="H303" s="42" t="str">
        <f t="shared" si="8"/>
        <v/>
      </c>
      <c r="I303" s="39"/>
      <c r="J303" s="36" t="str">
        <f t="shared" si="9"/>
        <v/>
      </c>
      <c r="K303" s="48"/>
    </row>
    <row r="304" spans="1:11" ht="23.1" customHeight="1">
      <c r="A304" s="348" t="str">
        <f>IF($B304="","",MAX($A$3:A303)+1)</f>
        <v/>
      </c>
      <c r="B304" s="253"/>
      <c r="C304" s="249"/>
      <c r="D304" s="263"/>
      <c r="E304" s="251"/>
      <c r="F304" s="340" t="str">
        <f>IF($B304="","",SUM(SUMIFS('Daily Inward'!$G:$G,'Daily Inward'!$C:$C,$B304,'Daily Inward'!$E:$E,{"Inventory","Services"})))</f>
        <v/>
      </c>
      <c r="G304" s="341" t="str">
        <f>IF($B304="","",SUM(SUMIFS('Daily Issuance'!$G:$G,'Daily Issuance'!$C:$C,$B304,'Daily Issuance'!$E:$E,{"Inventory","Services"})))</f>
        <v/>
      </c>
      <c r="H304" s="42" t="str">
        <f t="shared" si="8"/>
        <v/>
      </c>
      <c r="I304" s="39"/>
      <c r="J304" s="36" t="str">
        <f t="shared" si="9"/>
        <v/>
      </c>
      <c r="K304" s="48"/>
    </row>
    <row r="305" spans="1:11" ht="23.1" customHeight="1">
      <c r="A305" s="348" t="str">
        <f>IF($B305="","",MAX($A$3:A304)+1)</f>
        <v/>
      </c>
      <c r="B305" s="253"/>
      <c r="C305" s="249"/>
      <c r="D305" s="263"/>
      <c r="E305" s="251"/>
      <c r="F305" s="340" t="str">
        <f>IF($B305="","",SUM(SUMIFS('Daily Inward'!$G:$G,'Daily Inward'!$C:$C,$B305,'Daily Inward'!$E:$E,{"Inventory","Services"})))</f>
        <v/>
      </c>
      <c r="G305" s="341" t="str">
        <f>IF($B305="","",SUM(SUMIFS('Daily Issuance'!$G:$G,'Daily Issuance'!$C:$C,$B305,'Daily Issuance'!$E:$E,{"Inventory","Services"})))</f>
        <v/>
      </c>
      <c r="H305" s="42" t="str">
        <f t="shared" si="8"/>
        <v/>
      </c>
      <c r="I305" s="39"/>
      <c r="J305" s="36" t="str">
        <f t="shared" si="9"/>
        <v/>
      </c>
      <c r="K305" s="48"/>
    </row>
    <row r="306" spans="1:11" ht="23.1" customHeight="1">
      <c r="A306" s="348" t="str">
        <f>IF($B306="","",MAX($A$3:A305)+1)</f>
        <v/>
      </c>
      <c r="B306" s="253"/>
      <c r="C306" s="249"/>
      <c r="D306" s="263"/>
      <c r="E306" s="251"/>
      <c r="F306" s="340" t="str">
        <f>IF($B306="","",SUM(SUMIFS('Daily Inward'!$G:$G,'Daily Inward'!$C:$C,$B306,'Daily Inward'!$E:$E,{"Inventory","Services"})))</f>
        <v/>
      </c>
      <c r="G306" s="341" t="str">
        <f>IF($B306="","",SUM(SUMIFS('Daily Issuance'!$G:$G,'Daily Issuance'!$C:$C,$B306,'Daily Issuance'!$E:$E,{"Inventory","Services"})))</f>
        <v/>
      </c>
      <c r="H306" s="42" t="str">
        <f t="shared" si="8"/>
        <v/>
      </c>
      <c r="I306" s="39"/>
      <c r="J306" s="36" t="str">
        <f t="shared" si="9"/>
        <v/>
      </c>
      <c r="K306" s="48"/>
    </row>
    <row r="307" spans="1:11" ht="23.1" customHeight="1">
      <c r="A307" s="348" t="str">
        <f>IF($B307="","",MAX($A$3:A306)+1)</f>
        <v/>
      </c>
      <c r="B307" s="253"/>
      <c r="C307" s="249"/>
      <c r="D307" s="263"/>
      <c r="E307" s="251"/>
      <c r="F307" s="340" t="str">
        <f>IF($B307="","",SUM(SUMIFS('Daily Inward'!$G:$G,'Daily Inward'!$C:$C,$B307,'Daily Inward'!$E:$E,{"Inventory","Services"})))</f>
        <v/>
      </c>
      <c r="G307" s="341" t="str">
        <f>IF($B307="","",SUM(SUMIFS('Daily Issuance'!$G:$G,'Daily Issuance'!$C:$C,$B307,'Daily Issuance'!$E:$E,{"Inventory","Services"})))</f>
        <v/>
      </c>
      <c r="H307" s="42" t="str">
        <f t="shared" si="8"/>
        <v/>
      </c>
      <c r="I307" s="39"/>
      <c r="J307" s="36" t="str">
        <f t="shared" si="9"/>
        <v/>
      </c>
      <c r="K307" s="48"/>
    </row>
    <row r="308" spans="1:11" ht="23.1" customHeight="1">
      <c r="A308" s="348" t="str">
        <f>IF($B308="","",MAX($A$3:A307)+1)</f>
        <v/>
      </c>
      <c r="B308" s="253"/>
      <c r="C308" s="249"/>
      <c r="D308" s="263"/>
      <c r="E308" s="251"/>
      <c r="F308" s="340" t="str">
        <f>IF($B308="","",SUM(SUMIFS('Daily Inward'!$G:$G,'Daily Inward'!$C:$C,$B308,'Daily Inward'!$E:$E,{"Inventory","Services"})))</f>
        <v/>
      </c>
      <c r="G308" s="341" t="str">
        <f>IF($B308="","",SUM(SUMIFS('Daily Issuance'!$G:$G,'Daily Issuance'!$C:$C,$B308,'Daily Issuance'!$E:$E,{"Inventory","Services"})))</f>
        <v/>
      </c>
      <c r="H308" s="42" t="str">
        <f t="shared" si="8"/>
        <v/>
      </c>
      <c r="I308" s="39"/>
      <c r="J308" s="36" t="str">
        <f t="shared" si="9"/>
        <v/>
      </c>
      <c r="K308" s="48"/>
    </row>
    <row r="309" spans="1:11" ht="23.1" customHeight="1">
      <c r="A309" s="348" t="str">
        <f>IF($B309="","",MAX($A$3:A308)+1)</f>
        <v/>
      </c>
      <c r="B309" s="253"/>
      <c r="C309" s="249"/>
      <c r="D309" s="263"/>
      <c r="E309" s="251"/>
      <c r="F309" s="340" t="str">
        <f>IF($B309="","",SUM(SUMIFS('Daily Inward'!$G:$G,'Daily Inward'!$C:$C,$B309,'Daily Inward'!$E:$E,{"Inventory","Services"})))</f>
        <v/>
      </c>
      <c r="G309" s="341" t="str">
        <f>IF($B309="","",SUM(SUMIFS('Daily Issuance'!$G:$G,'Daily Issuance'!$C:$C,$B309,'Daily Issuance'!$E:$E,{"Inventory","Services"})))</f>
        <v/>
      </c>
      <c r="H309" s="42" t="str">
        <f t="shared" si="8"/>
        <v/>
      </c>
      <c r="I309" s="39"/>
      <c r="J309" s="36" t="str">
        <f t="shared" si="9"/>
        <v/>
      </c>
      <c r="K309" s="48"/>
    </row>
    <row r="310" spans="1:11" ht="23.1" customHeight="1">
      <c r="A310" s="348" t="str">
        <f>IF($B310="","",MAX($A$3:A309)+1)</f>
        <v/>
      </c>
      <c r="B310" s="253"/>
      <c r="C310" s="249"/>
      <c r="D310" s="263"/>
      <c r="E310" s="251"/>
      <c r="F310" s="340" t="str">
        <f>IF($B310="","",SUM(SUMIFS('Daily Inward'!$G:$G,'Daily Inward'!$C:$C,$B310,'Daily Inward'!$E:$E,{"Inventory","Services"})))</f>
        <v/>
      </c>
      <c r="G310" s="341" t="str">
        <f>IF($B310="","",SUM(SUMIFS('Daily Issuance'!$G:$G,'Daily Issuance'!$C:$C,$B310,'Daily Issuance'!$E:$E,{"Inventory","Services"})))</f>
        <v/>
      </c>
      <c r="H310" s="42" t="str">
        <f t="shared" si="8"/>
        <v/>
      </c>
      <c r="I310" s="39"/>
      <c r="J310" s="36" t="str">
        <f t="shared" si="9"/>
        <v/>
      </c>
      <c r="K310" s="48"/>
    </row>
    <row r="311" spans="1:11" ht="23.1" customHeight="1">
      <c r="A311" s="348" t="str">
        <f>IF($B311="","",MAX($A$3:A310)+1)</f>
        <v/>
      </c>
      <c r="B311" s="253"/>
      <c r="C311" s="249"/>
      <c r="D311" s="263"/>
      <c r="E311" s="251"/>
      <c r="F311" s="340" t="str">
        <f>IF($B311="","",SUM(SUMIFS('Daily Inward'!$G:$G,'Daily Inward'!$C:$C,$B311,'Daily Inward'!$E:$E,{"Inventory","Services"})))</f>
        <v/>
      </c>
      <c r="G311" s="341" t="str">
        <f>IF($B311="","",SUM(SUMIFS('Daily Issuance'!$G:$G,'Daily Issuance'!$C:$C,$B311,'Daily Issuance'!$E:$E,{"Inventory","Services"})))</f>
        <v/>
      </c>
      <c r="H311" s="42" t="str">
        <f t="shared" si="8"/>
        <v/>
      </c>
      <c r="I311" s="39"/>
      <c r="J311" s="36" t="str">
        <f t="shared" si="9"/>
        <v/>
      </c>
      <c r="K311" s="48"/>
    </row>
    <row r="312" spans="1:11" ht="23.1" customHeight="1">
      <c r="A312" s="348" t="str">
        <f>IF($B312="","",MAX($A$3:A311)+1)</f>
        <v/>
      </c>
      <c r="B312" s="253"/>
      <c r="C312" s="249"/>
      <c r="D312" s="263"/>
      <c r="E312" s="251"/>
      <c r="F312" s="340" t="str">
        <f>IF($B312="","",SUM(SUMIFS('Daily Inward'!$G:$G,'Daily Inward'!$C:$C,$B312,'Daily Inward'!$E:$E,{"Inventory","Services"})))</f>
        <v/>
      </c>
      <c r="G312" s="341" t="str">
        <f>IF($B312="","",SUM(SUMIFS('Daily Issuance'!$G:$G,'Daily Issuance'!$C:$C,$B312,'Daily Issuance'!$E:$E,{"Inventory","Services"})))</f>
        <v/>
      </c>
      <c r="H312" s="42" t="str">
        <f t="shared" si="8"/>
        <v/>
      </c>
      <c r="I312" s="39"/>
      <c r="J312" s="36" t="str">
        <f t="shared" si="9"/>
        <v/>
      </c>
      <c r="K312" s="48"/>
    </row>
    <row r="313" spans="1:11" ht="23.1" customHeight="1">
      <c r="A313" s="348" t="str">
        <f>IF($B313="","",MAX($A$3:A312)+1)</f>
        <v/>
      </c>
      <c r="B313" s="253"/>
      <c r="C313" s="249"/>
      <c r="D313" s="263"/>
      <c r="E313" s="251"/>
      <c r="F313" s="340" t="str">
        <f>IF($B313="","",SUM(SUMIFS('Daily Inward'!$G:$G,'Daily Inward'!$C:$C,$B313,'Daily Inward'!$E:$E,{"Inventory","Services"})))</f>
        <v/>
      </c>
      <c r="G313" s="341" t="str">
        <f>IF($B313="","",SUM(SUMIFS('Daily Issuance'!$G:$G,'Daily Issuance'!$C:$C,$B313,'Daily Issuance'!$E:$E,{"Inventory","Services"})))</f>
        <v/>
      </c>
      <c r="H313" s="42" t="str">
        <f t="shared" si="8"/>
        <v/>
      </c>
      <c r="I313" s="39"/>
      <c r="J313" s="36" t="str">
        <f t="shared" si="9"/>
        <v/>
      </c>
      <c r="K313" s="48"/>
    </row>
    <row r="314" spans="1:11" ht="23.1" customHeight="1">
      <c r="A314" s="348" t="str">
        <f>IF($B314="","",MAX($A$3:A313)+1)</f>
        <v/>
      </c>
      <c r="B314" s="253"/>
      <c r="C314" s="249"/>
      <c r="D314" s="263"/>
      <c r="E314" s="251"/>
      <c r="F314" s="340" t="str">
        <f>IF($B314="","",SUM(SUMIFS('Daily Inward'!$G:$G,'Daily Inward'!$C:$C,$B314,'Daily Inward'!$E:$E,{"Inventory","Services"})))</f>
        <v/>
      </c>
      <c r="G314" s="341" t="str">
        <f>IF($B314="","",SUM(SUMIFS('Daily Issuance'!$G:$G,'Daily Issuance'!$C:$C,$B314,'Daily Issuance'!$E:$E,{"Inventory","Services"})))</f>
        <v/>
      </c>
      <c r="H314" s="42" t="str">
        <f t="shared" si="8"/>
        <v/>
      </c>
      <c r="I314" s="39"/>
      <c r="J314" s="36" t="str">
        <f t="shared" si="9"/>
        <v/>
      </c>
      <c r="K314" s="48"/>
    </row>
    <row r="315" spans="1:11" ht="23.1" customHeight="1">
      <c r="A315" s="348" t="str">
        <f>IF($B315="","",MAX($A$3:A314)+1)</f>
        <v/>
      </c>
      <c r="B315" s="253"/>
      <c r="C315" s="249"/>
      <c r="D315" s="263"/>
      <c r="E315" s="251"/>
      <c r="F315" s="340" t="str">
        <f>IF($B315="","",SUM(SUMIFS('Daily Inward'!$G:$G,'Daily Inward'!$C:$C,$B315,'Daily Inward'!$E:$E,{"Inventory","Services"})))</f>
        <v/>
      </c>
      <c r="G315" s="341" t="str">
        <f>IF($B315="","",SUM(SUMIFS('Daily Issuance'!$G:$G,'Daily Issuance'!$C:$C,$B315,'Daily Issuance'!$E:$E,{"Inventory","Services"})))</f>
        <v/>
      </c>
      <c r="H315" s="42" t="str">
        <f t="shared" si="8"/>
        <v/>
      </c>
      <c r="I315" s="39"/>
      <c r="J315" s="36" t="str">
        <f t="shared" si="9"/>
        <v/>
      </c>
      <c r="K315" s="48"/>
    </row>
    <row r="316" spans="1:11" ht="23.1" customHeight="1">
      <c r="A316" s="348" t="str">
        <f>IF($B316="","",MAX($A$3:A315)+1)</f>
        <v/>
      </c>
      <c r="B316" s="253"/>
      <c r="C316" s="249"/>
      <c r="D316" s="263"/>
      <c r="E316" s="251"/>
      <c r="F316" s="340" t="str">
        <f>IF($B316="","",SUM(SUMIFS('Daily Inward'!$G:$G,'Daily Inward'!$C:$C,$B316,'Daily Inward'!$E:$E,{"Inventory","Services"})))</f>
        <v/>
      </c>
      <c r="G316" s="341" t="str">
        <f>IF($B316="","",SUM(SUMIFS('Daily Issuance'!$G:$G,'Daily Issuance'!$C:$C,$B316,'Daily Issuance'!$E:$E,{"Inventory","Services"})))</f>
        <v/>
      </c>
      <c r="H316" s="42" t="str">
        <f t="shared" si="8"/>
        <v/>
      </c>
      <c r="I316" s="39"/>
      <c r="J316" s="36" t="str">
        <f t="shared" si="9"/>
        <v/>
      </c>
      <c r="K316" s="48"/>
    </row>
    <row r="317" spans="1:11" ht="23.1" customHeight="1">
      <c r="A317" s="348" t="str">
        <f>IF($B317="","",MAX($A$3:A316)+1)</f>
        <v/>
      </c>
      <c r="B317" s="253"/>
      <c r="C317" s="249"/>
      <c r="D317" s="263"/>
      <c r="E317" s="251"/>
      <c r="F317" s="340" t="str">
        <f>IF($B317="","",SUM(SUMIFS('Daily Inward'!$G:$G,'Daily Inward'!$C:$C,$B317,'Daily Inward'!$E:$E,{"Inventory","Services"})))</f>
        <v/>
      </c>
      <c r="G317" s="341" t="str">
        <f>IF($B317="","",SUM(SUMIFS('Daily Issuance'!$G:$G,'Daily Issuance'!$C:$C,$B317,'Daily Issuance'!$E:$E,{"Inventory","Services"})))</f>
        <v/>
      </c>
      <c r="H317" s="42" t="str">
        <f t="shared" si="8"/>
        <v/>
      </c>
      <c r="I317" s="39"/>
      <c r="J317" s="36" t="str">
        <f t="shared" si="9"/>
        <v/>
      </c>
      <c r="K317" s="48"/>
    </row>
    <row r="318" spans="1:11" ht="23.1" customHeight="1">
      <c r="A318" s="348" t="str">
        <f>IF($B318="","",MAX($A$3:A317)+1)</f>
        <v/>
      </c>
      <c r="B318" s="253"/>
      <c r="C318" s="249"/>
      <c r="D318" s="263"/>
      <c r="E318" s="251"/>
      <c r="F318" s="340" t="str">
        <f>IF($B318="","",SUM(SUMIFS('Daily Inward'!$G:$G,'Daily Inward'!$C:$C,$B318,'Daily Inward'!$E:$E,{"Inventory","Services"})))</f>
        <v/>
      </c>
      <c r="G318" s="341" t="str">
        <f>IF($B318="","",SUM(SUMIFS('Daily Issuance'!$G:$G,'Daily Issuance'!$C:$C,$B318,'Daily Issuance'!$E:$E,{"Inventory","Services"})))</f>
        <v/>
      </c>
      <c r="H318" s="42" t="str">
        <f t="shared" si="8"/>
        <v/>
      </c>
      <c r="I318" s="39"/>
      <c r="J318" s="36" t="str">
        <f t="shared" si="9"/>
        <v/>
      </c>
      <c r="K318" s="48"/>
    </row>
    <row r="319" spans="1:11" ht="23.1" customHeight="1">
      <c r="A319" s="348" t="str">
        <f>IF($B319="","",MAX($A$3:A318)+1)</f>
        <v/>
      </c>
      <c r="B319" s="253"/>
      <c r="C319" s="249"/>
      <c r="D319" s="263"/>
      <c r="E319" s="251"/>
      <c r="F319" s="340" t="str">
        <f>IF($B319="","",SUM(SUMIFS('Daily Inward'!$G:$G,'Daily Inward'!$C:$C,$B319,'Daily Inward'!$E:$E,{"Inventory","Services"})))</f>
        <v/>
      </c>
      <c r="G319" s="341" t="str">
        <f>IF($B319="","",SUM(SUMIFS('Daily Issuance'!$G:$G,'Daily Issuance'!$C:$C,$B319,'Daily Issuance'!$E:$E,{"Inventory","Services"})))</f>
        <v/>
      </c>
      <c r="H319" s="42" t="str">
        <f t="shared" si="8"/>
        <v/>
      </c>
      <c r="I319" s="39"/>
      <c r="J319" s="36" t="str">
        <f t="shared" si="9"/>
        <v/>
      </c>
      <c r="K319" s="48"/>
    </row>
    <row r="320" spans="1:11" ht="23.1" customHeight="1">
      <c r="A320" s="348" t="str">
        <f>IF($B320="","",MAX($A$3:A319)+1)</f>
        <v/>
      </c>
      <c r="B320" s="253"/>
      <c r="C320" s="249"/>
      <c r="D320" s="263"/>
      <c r="E320" s="251"/>
      <c r="F320" s="340" t="str">
        <f>IF($B320="","",SUM(SUMIFS('Daily Inward'!$G:$G,'Daily Inward'!$C:$C,$B320,'Daily Inward'!$E:$E,{"Inventory","Services"})))</f>
        <v/>
      </c>
      <c r="G320" s="341" t="str">
        <f>IF($B320="","",SUM(SUMIFS('Daily Issuance'!$G:$G,'Daily Issuance'!$C:$C,$B320,'Daily Issuance'!$E:$E,{"Inventory","Services"})))</f>
        <v/>
      </c>
      <c r="H320" s="42" t="str">
        <f t="shared" si="8"/>
        <v/>
      </c>
      <c r="I320" s="39"/>
      <c r="J320" s="36" t="str">
        <f t="shared" si="9"/>
        <v/>
      </c>
      <c r="K320" s="48"/>
    </row>
    <row r="321" spans="1:11" ht="23.1" customHeight="1">
      <c r="A321" s="348" t="str">
        <f>IF($B321="","",MAX($A$3:A320)+1)</f>
        <v/>
      </c>
      <c r="B321" s="253"/>
      <c r="C321" s="249"/>
      <c r="D321" s="263"/>
      <c r="E321" s="251"/>
      <c r="F321" s="340" t="str">
        <f>IF($B321="","",SUM(SUMIFS('Daily Inward'!$G:$G,'Daily Inward'!$C:$C,$B321,'Daily Inward'!$E:$E,{"Inventory","Services"})))</f>
        <v/>
      </c>
      <c r="G321" s="341" t="str">
        <f>IF($B321="","",SUM(SUMIFS('Daily Issuance'!$G:$G,'Daily Issuance'!$C:$C,$B321,'Daily Issuance'!$E:$E,{"Inventory","Services"})))</f>
        <v/>
      </c>
      <c r="H321" s="42" t="str">
        <f t="shared" si="8"/>
        <v/>
      </c>
      <c r="I321" s="39"/>
      <c r="J321" s="36" t="str">
        <f t="shared" si="9"/>
        <v/>
      </c>
      <c r="K321" s="48"/>
    </row>
    <row r="322" spans="1:11" ht="23.1" customHeight="1">
      <c r="A322" s="348" t="str">
        <f>IF($B322="","",MAX($A$3:A321)+1)</f>
        <v/>
      </c>
      <c r="B322" s="253"/>
      <c r="C322" s="249"/>
      <c r="D322" s="263"/>
      <c r="E322" s="251"/>
      <c r="F322" s="340" t="str">
        <f>IF($B322="","",SUM(SUMIFS('Daily Inward'!$G:$G,'Daily Inward'!$C:$C,$B322,'Daily Inward'!$E:$E,{"Inventory","Services"})))</f>
        <v/>
      </c>
      <c r="G322" s="341" t="str">
        <f>IF($B322="","",SUM(SUMIFS('Daily Issuance'!$G:$G,'Daily Issuance'!$C:$C,$B322,'Daily Issuance'!$E:$E,{"Inventory","Services"})))</f>
        <v/>
      </c>
      <c r="H322" s="42" t="str">
        <f t="shared" si="8"/>
        <v/>
      </c>
      <c r="I322" s="39"/>
      <c r="J322" s="36" t="str">
        <f t="shared" si="9"/>
        <v/>
      </c>
      <c r="K322" s="48"/>
    </row>
    <row r="323" spans="1:11" ht="23.1" customHeight="1">
      <c r="A323" s="348" t="str">
        <f>IF($B323="","",MAX($A$3:A322)+1)</f>
        <v/>
      </c>
      <c r="B323" s="253"/>
      <c r="C323" s="249"/>
      <c r="D323" s="263"/>
      <c r="E323" s="251"/>
      <c r="F323" s="340" t="str">
        <f>IF($B323="","",SUM(SUMIFS('Daily Inward'!$G:$G,'Daily Inward'!$C:$C,$B323,'Daily Inward'!$E:$E,{"Inventory","Services"})))</f>
        <v/>
      </c>
      <c r="G323" s="341" t="str">
        <f>IF($B323="","",SUM(SUMIFS('Daily Issuance'!$G:$G,'Daily Issuance'!$C:$C,$B323,'Daily Issuance'!$E:$E,{"Inventory","Services"})))</f>
        <v/>
      </c>
      <c r="H323" s="42" t="str">
        <f t="shared" si="8"/>
        <v/>
      </c>
      <c r="I323" s="39"/>
      <c r="J323" s="36" t="str">
        <f t="shared" si="9"/>
        <v/>
      </c>
      <c r="K323" s="48"/>
    </row>
    <row r="324" spans="1:11" ht="23.1" customHeight="1">
      <c r="A324" s="348" t="str">
        <f>IF($B324="","",MAX($A$3:A323)+1)</f>
        <v/>
      </c>
      <c r="B324" s="253"/>
      <c r="C324" s="249"/>
      <c r="D324" s="263"/>
      <c r="E324" s="251"/>
      <c r="F324" s="340" t="str">
        <f>IF($B324="","",SUM(SUMIFS('Daily Inward'!$G:$G,'Daily Inward'!$C:$C,$B324,'Daily Inward'!$E:$E,{"Inventory","Services"})))</f>
        <v/>
      </c>
      <c r="G324" s="341" t="str">
        <f>IF($B324="","",SUM(SUMIFS('Daily Issuance'!$G:$G,'Daily Issuance'!$C:$C,$B324,'Daily Issuance'!$E:$E,{"Inventory","Services"})))</f>
        <v/>
      </c>
      <c r="H324" s="42" t="str">
        <f t="shared" ref="H324:H387" si="10">IF($B324="","",N(E324)+N(F324)-N(G324))</f>
        <v/>
      </c>
      <c r="I324" s="39"/>
      <c r="J324" s="36" t="str">
        <f t="shared" ref="J324:J387" si="11">IF($B324="","",H324*I324)</f>
        <v/>
      </c>
      <c r="K324" s="48"/>
    </row>
    <row r="325" spans="1:11" ht="23.1" customHeight="1">
      <c r="A325" s="348" t="str">
        <f>IF($B325="","",MAX($A$3:A324)+1)</f>
        <v/>
      </c>
      <c r="B325" s="253"/>
      <c r="C325" s="249"/>
      <c r="D325" s="263"/>
      <c r="E325" s="251"/>
      <c r="F325" s="340" t="str">
        <f>IF($B325="","",SUM(SUMIFS('Daily Inward'!$G:$G,'Daily Inward'!$C:$C,$B325,'Daily Inward'!$E:$E,{"Inventory","Services"})))</f>
        <v/>
      </c>
      <c r="G325" s="341" t="str">
        <f>IF($B325="","",SUM(SUMIFS('Daily Issuance'!$G:$G,'Daily Issuance'!$C:$C,$B325,'Daily Issuance'!$E:$E,{"Inventory","Services"})))</f>
        <v/>
      </c>
      <c r="H325" s="42" t="str">
        <f t="shared" si="10"/>
        <v/>
      </c>
      <c r="I325" s="39"/>
      <c r="J325" s="36" t="str">
        <f t="shared" si="11"/>
        <v/>
      </c>
      <c r="K325" s="48"/>
    </row>
    <row r="326" spans="1:11" ht="23.1" customHeight="1">
      <c r="A326" s="348" t="str">
        <f>IF($B326="","",MAX($A$3:A325)+1)</f>
        <v/>
      </c>
      <c r="B326" s="253"/>
      <c r="C326" s="249"/>
      <c r="D326" s="263"/>
      <c r="E326" s="251"/>
      <c r="F326" s="340" t="str">
        <f>IF($B326="","",SUM(SUMIFS('Daily Inward'!$G:$G,'Daily Inward'!$C:$C,$B326,'Daily Inward'!$E:$E,{"Inventory","Services"})))</f>
        <v/>
      </c>
      <c r="G326" s="341" t="str">
        <f>IF($B326="","",SUM(SUMIFS('Daily Issuance'!$G:$G,'Daily Issuance'!$C:$C,$B326,'Daily Issuance'!$E:$E,{"Inventory","Services"})))</f>
        <v/>
      </c>
      <c r="H326" s="42" t="str">
        <f t="shared" si="10"/>
        <v/>
      </c>
      <c r="I326" s="39"/>
      <c r="J326" s="36" t="str">
        <f t="shared" si="11"/>
        <v/>
      </c>
      <c r="K326" s="48"/>
    </row>
    <row r="327" spans="1:11" ht="23.1" customHeight="1">
      <c r="A327" s="348" t="str">
        <f>IF($B327="","",MAX($A$3:A326)+1)</f>
        <v/>
      </c>
      <c r="B327" s="253"/>
      <c r="C327" s="249"/>
      <c r="D327" s="263"/>
      <c r="E327" s="251"/>
      <c r="F327" s="340" t="str">
        <f>IF($B327="","",SUM(SUMIFS('Daily Inward'!$G:$G,'Daily Inward'!$C:$C,$B327,'Daily Inward'!$E:$E,{"Inventory","Services"})))</f>
        <v/>
      </c>
      <c r="G327" s="341" t="str">
        <f>IF($B327="","",SUM(SUMIFS('Daily Issuance'!$G:$G,'Daily Issuance'!$C:$C,$B327,'Daily Issuance'!$E:$E,{"Inventory","Services"})))</f>
        <v/>
      </c>
      <c r="H327" s="42" t="str">
        <f t="shared" si="10"/>
        <v/>
      </c>
      <c r="I327" s="39"/>
      <c r="J327" s="36" t="str">
        <f t="shared" si="11"/>
        <v/>
      </c>
      <c r="K327" s="48"/>
    </row>
    <row r="328" spans="1:11" ht="23.1" customHeight="1">
      <c r="A328" s="348" t="str">
        <f>IF($B328="","",MAX($A$3:A327)+1)</f>
        <v/>
      </c>
      <c r="B328" s="253"/>
      <c r="C328" s="249"/>
      <c r="D328" s="263"/>
      <c r="E328" s="251"/>
      <c r="F328" s="340" t="str">
        <f>IF($B328="","",SUM(SUMIFS('Daily Inward'!$G:$G,'Daily Inward'!$C:$C,$B328,'Daily Inward'!$E:$E,{"Inventory","Services"})))</f>
        <v/>
      </c>
      <c r="G328" s="341" t="str">
        <f>IF($B328="","",SUM(SUMIFS('Daily Issuance'!$G:$G,'Daily Issuance'!$C:$C,$B328,'Daily Issuance'!$E:$E,{"Inventory","Services"})))</f>
        <v/>
      </c>
      <c r="H328" s="42" t="str">
        <f t="shared" si="10"/>
        <v/>
      </c>
      <c r="I328" s="39"/>
      <c r="J328" s="36" t="str">
        <f t="shared" si="11"/>
        <v/>
      </c>
      <c r="K328" s="48"/>
    </row>
    <row r="329" spans="1:11" ht="23.1" customHeight="1">
      <c r="A329" s="348" t="str">
        <f>IF($B329="","",MAX($A$3:A328)+1)</f>
        <v/>
      </c>
      <c r="B329" s="253"/>
      <c r="C329" s="249"/>
      <c r="D329" s="263"/>
      <c r="E329" s="251"/>
      <c r="F329" s="340" t="str">
        <f>IF($B329="","",SUM(SUMIFS('Daily Inward'!$G:$G,'Daily Inward'!$C:$C,$B329,'Daily Inward'!$E:$E,{"Inventory","Services"})))</f>
        <v/>
      </c>
      <c r="G329" s="341" t="str">
        <f>IF($B329="","",SUM(SUMIFS('Daily Issuance'!$G:$G,'Daily Issuance'!$C:$C,$B329,'Daily Issuance'!$E:$E,{"Inventory","Services"})))</f>
        <v/>
      </c>
      <c r="H329" s="42" t="str">
        <f t="shared" si="10"/>
        <v/>
      </c>
      <c r="I329" s="39"/>
      <c r="J329" s="36" t="str">
        <f t="shared" si="11"/>
        <v/>
      </c>
      <c r="K329" s="48"/>
    </row>
    <row r="330" spans="1:11" ht="23.1" customHeight="1">
      <c r="A330" s="348" t="str">
        <f>IF($B330="","",MAX($A$3:A329)+1)</f>
        <v/>
      </c>
      <c r="B330" s="253"/>
      <c r="C330" s="249"/>
      <c r="D330" s="263"/>
      <c r="E330" s="251"/>
      <c r="F330" s="340" t="str">
        <f>IF($B330="","",SUM(SUMIFS('Daily Inward'!$G:$G,'Daily Inward'!$C:$C,$B330,'Daily Inward'!$E:$E,{"Inventory","Services"})))</f>
        <v/>
      </c>
      <c r="G330" s="341" t="str">
        <f>IF($B330="","",SUM(SUMIFS('Daily Issuance'!$G:$G,'Daily Issuance'!$C:$C,$B330,'Daily Issuance'!$E:$E,{"Inventory","Services"})))</f>
        <v/>
      </c>
      <c r="H330" s="42" t="str">
        <f t="shared" si="10"/>
        <v/>
      </c>
      <c r="I330" s="39"/>
      <c r="J330" s="36" t="str">
        <f t="shared" si="11"/>
        <v/>
      </c>
      <c r="K330" s="48"/>
    </row>
    <row r="331" spans="1:11" ht="23.1" customHeight="1">
      <c r="A331" s="348" t="str">
        <f>IF($B331="","",MAX($A$3:A330)+1)</f>
        <v/>
      </c>
      <c r="B331" s="253"/>
      <c r="C331" s="249"/>
      <c r="D331" s="263"/>
      <c r="E331" s="251"/>
      <c r="F331" s="340" t="str">
        <f>IF($B331="","",SUM(SUMIFS('Daily Inward'!$G:$G,'Daily Inward'!$C:$C,$B331,'Daily Inward'!$E:$E,{"Inventory","Services"})))</f>
        <v/>
      </c>
      <c r="G331" s="341" t="str">
        <f>IF($B331="","",SUM(SUMIFS('Daily Issuance'!$G:$G,'Daily Issuance'!$C:$C,$B331,'Daily Issuance'!$E:$E,{"Inventory","Services"})))</f>
        <v/>
      </c>
      <c r="H331" s="42" t="str">
        <f t="shared" si="10"/>
        <v/>
      </c>
      <c r="I331" s="39"/>
      <c r="J331" s="36" t="str">
        <f t="shared" si="11"/>
        <v/>
      </c>
      <c r="K331" s="48"/>
    </row>
    <row r="332" spans="1:11" ht="23.1" customHeight="1">
      <c r="A332" s="348" t="str">
        <f>IF($B332="","",MAX($A$3:A331)+1)</f>
        <v/>
      </c>
      <c r="B332" s="253"/>
      <c r="C332" s="249"/>
      <c r="D332" s="263"/>
      <c r="E332" s="251"/>
      <c r="F332" s="340" t="str">
        <f>IF($B332="","",SUM(SUMIFS('Daily Inward'!$G:$G,'Daily Inward'!$C:$C,$B332,'Daily Inward'!$E:$E,{"Inventory","Services"})))</f>
        <v/>
      </c>
      <c r="G332" s="341" t="str">
        <f>IF($B332="","",SUM(SUMIFS('Daily Issuance'!$G:$G,'Daily Issuance'!$C:$C,$B332,'Daily Issuance'!$E:$E,{"Inventory","Services"})))</f>
        <v/>
      </c>
      <c r="H332" s="42" t="str">
        <f t="shared" si="10"/>
        <v/>
      </c>
      <c r="I332" s="39"/>
      <c r="J332" s="36" t="str">
        <f t="shared" si="11"/>
        <v/>
      </c>
      <c r="K332" s="48"/>
    </row>
    <row r="333" spans="1:11" ht="23.1" customHeight="1">
      <c r="A333" s="348" t="str">
        <f>IF($B333="","",MAX($A$3:A332)+1)</f>
        <v/>
      </c>
      <c r="B333" s="253"/>
      <c r="C333" s="249"/>
      <c r="D333" s="263"/>
      <c r="E333" s="251"/>
      <c r="F333" s="340" t="str">
        <f>IF($B333="","",SUM(SUMIFS('Daily Inward'!$G:$G,'Daily Inward'!$C:$C,$B333,'Daily Inward'!$E:$E,{"Inventory","Services"})))</f>
        <v/>
      </c>
      <c r="G333" s="341" t="str">
        <f>IF($B333="","",SUM(SUMIFS('Daily Issuance'!$G:$G,'Daily Issuance'!$C:$C,$B333,'Daily Issuance'!$E:$E,{"Inventory","Services"})))</f>
        <v/>
      </c>
      <c r="H333" s="42" t="str">
        <f t="shared" si="10"/>
        <v/>
      </c>
      <c r="I333" s="39"/>
      <c r="J333" s="36" t="str">
        <f t="shared" si="11"/>
        <v/>
      </c>
      <c r="K333" s="48"/>
    </row>
    <row r="334" spans="1:11" ht="23.1" customHeight="1">
      <c r="A334" s="348" t="str">
        <f>IF($B334="","",MAX($A$3:A333)+1)</f>
        <v/>
      </c>
      <c r="B334" s="253"/>
      <c r="C334" s="249"/>
      <c r="D334" s="263"/>
      <c r="E334" s="251"/>
      <c r="F334" s="340" t="str">
        <f>IF($B334="","",SUM(SUMIFS('Daily Inward'!$G:$G,'Daily Inward'!$C:$C,$B334,'Daily Inward'!$E:$E,{"Inventory","Services"})))</f>
        <v/>
      </c>
      <c r="G334" s="341" t="str">
        <f>IF($B334="","",SUM(SUMIFS('Daily Issuance'!$G:$G,'Daily Issuance'!$C:$C,$B334,'Daily Issuance'!$E:$E,{"Inventory","Services"})))</f>
        <v/>
      </c>
      <c r="H334" s="42" t="str">
        <f t="shared" si="10"/>
        <v/>
      </c>
      <c r="I334" s="39"/>
      <c r="J334" s="36" t="str">
        <f t="shared" si="11"/>
        <v/>
      </c>
      <c r="K334" s="48"/>
    </row>
    <row r="335" spans="1:11" ht="23.1" customHeight="1">
      <c r="A335" s="348" t="str">
        <f>IF($B335="","",MAX($A$3:A334)+1)</f>
        <v/>
      </c>
      <c r="B335" s="253"/>
      <c r="C335" s="249"/>
      <c r="D335" s="263"/>
      <c r="E335" s="251"/>
      <c r="F335" s="340" t="str">
        <f>IF($B335="","",SUM(SUMIFS('Daily Inward'!$G:$G,'Daily Inward'!$C:$C,$B335,'Daily Inward'!$E:$E,{"Inventory","Services"})))</f>
        <v/>
      </c>
      <c r="G335" s="341" t="str">
        <f>IF($B335="","",SUM(SUMIFS('Daily Issuance'!$G:$G,'Daily Issuance'!$C:$C,$B335,'Daily Issuance'!$E:$E,{"Inventory","Services"})))</f>
        <v/>
      </c>
      <c r="H335" s="42" t="str">
        <f t="shared" si="10"/>
        <v/>
      </c>
      <c r="I335" s="39"/>
      <c r="J335" s="36" t="str">
        <f t="shared" si="11"/>
        <v/>
      </c>
      <c r="K335" s="48"/>
    </row>
    <row r="336" spans="1:11" ht="23.1" customHeight="1">
      <c r="A336" s="348" t="str">
        <f>IF($B336="","",MAX($A$3:A335)+1)</f>
        <v/>
      </c>
      <c r="B336" s="253"/>
      <c r="C336" s="249"/>
      <c r="D336" s="263"/>
      <c r="E336" s="251"/>
      <c r="F336" s="340" t="str">
        <f>IF($B336="","",SUM(SUMIFS('Daily Inward'!$G:$G,'Daily Inward'!$C:$C,$B336,'Daily Inward'!$E:$E,{"Inventory","Services"})))</f>
        <v/>
      </c>
      <c r="G336" s="341" t="str">
        <f>IF($B336="","",SUM(SUMIFS('Daily Issuance'!$G:$G,'Daily Issuance'!$C:$C,$B336,'Daily Issuance'!$E:$E,{"Inventory","Services"})))</f>
        <v/>
      </c>
      <c r="H336" s="42" t="str">
        <f t="shared" si="10"/>
        <v/>
      </c>
      <c r="I336" s="39"/>
      <c r="J336" s="36" t="str">
        <f t="shared" si="11"/>
        <v/>
      </c>
      <c r="K336" s="48"/>
    </row>
    <row r="337" spans="1:11" ht="23.1" customHeight="1">
      <c r="A337" s="348" t="str">
        <f>IF($B337="","",MAX($A$3:A336)+1)</f>
        <v/>
      </c>
      <c r="B337" s="253"/>
      <c r="C337" s="249"/>
      <c r="D337" s="263"/>
      <c r="E337" s="251"/>
      <c r="F337" s="340" t="str">
        <f>IF($B337="","",SUM(SUMIFS('Daily Inward'!$G:$G,'Daily Inward'!$C:$C,$B337,'Daily Inward'!$E:$E,{"Inventory","Services"})))</f>
        <v/>
      </c>
      <c r="G337" s="341" t="str">
        <f>IF($B337="","",SUM(SUMIFS('Daily Issuance'!$G:$G,'Daily Issuance'!$C:$C,$B337,'Daily Issuance'!$E:$E,{"Inventory","Services"})))</f>
        <v/>
      </c>
      <c r="H337" s="42" t="str">
        <f t="shared" si="10"/>
        <v/>
      </c>
      <c r="I337" s="39"/>
      <c r="J337" s="36" t="str">
        <f t="shared" si="11"/>
        <v/>
      </c>
      <c r="K337" s="48"/>
    </row>
    <row r="338" spans="1:11" ht="23.1" customHeight="1">
      <c r="A338" s="348" t="str">
        <f>IF($B338="","",MAX($A$3:A337)+1)</f>
        <v/>
      </c>
      <c r="B338" s="253"/>
      <c r="C338" s="249"/>
      <c r="D338" s="263"/>
      <c r="E338" s="251"/>
      <c r="F338" s="340" t="str">
        <f>IF($B338="","",SUM(SUMIFS('Daily Inward'!$G:$G,'Daily Inward'!$C:$C,$B338,'Daily Inward'!$E:$E,{"Inventory","Services"})))</f>
        <v/>
      </c>
      <c r="G338" s="341" t="str">
        <f>IF($B338="","",SUM(SUMIFS('Daily Issuance'!$G:$G,'Daily Issuance'!$C:$C,$B338,'Daily Issuance'!$E:$E,{"Inventory","Services"})))</f>
        <v/>
      </c>
      <c r="H338" s="42" t="str">
        <f t="shared" si="10"/>
        <v/>
      </c>
      <c r="I338" s="39"/>
      <c r="J338" s="36" t="str">
        <f t="shared" si="11"/>
        <v/>
      </c>
      <c r="K338" s="48"/>
    </row>
    <row r="339" spans="1:11" ht="23.1" customHeight="1">
      <c r="A339" s="348" t="str">
        <f>IF($B339="","",MAX($A$3:A338)+1)</f>
        <v/>
      </c>
      <c r="B339" s="253"/>
      <c r="C339" s="249"/>
      <c r="D339" s="263"/>
      <c r="E339" s="251"/>
      <c r="F339" s="340" t="str">
        <f>IF($B339="","",SUM(SUMIFS('Daily Inward'!$G:$G,'Daily Inward'!$C:$C,$B339,'Daily Inward'!$E:$E,{"Inventory","Services"})))</f>
        <v/>
      </c>
      <c r="G339" s="341" t="str">
        <f>IF($B339="","",SUM(SUMIFS('Daily Issuance'!$G:$G,'Daily Issuance'!$C:$C,$B339,'Daily Issuance'!$E:$E,{"Inventory","Services"})))</f>
        <v/>
      </c>
      <c r="H339" s="42" t="str">
        <f t="shared" si="10"/>
        <v/>
      </c>
      <c r="I339" s="39"/>
      <c r="J339" s="36" t="str">
        <f t="shared" si="11"/>
        <v/>
      </c>
      <c r="K339" s="48"/>
    </row>
    <row r="340" spans="1:11" ht="23.1" customHeight="1">
      <c r="A340" s="348" t="str">
        <f>IF($B340="","",MAX($A$3:A339)+1)</f>
        <v/>
      </c>
      <c r="B340" s="253"/>
      <c r="C340" s="249"/>
      <c r="D340" s="263"/>
      <c r="E340" s="251"/>
      <c r="F340" s="340" t="str">
        <f>IF($B340="","",SUM(SUMIFS('Daily Inward'!$G:$G,'Daily Inward'!$C:$C,$B340,'Daily Inward'!$E:$E,{"Inventory","Services"})))</f>
        <v/>
      </c>
      <c r="G340" s="341" t="str">
        <f>IF($B340="","",SUM(SUMIFS('Daily Issuance'!$G:$G,'Daily Issuance'!$C:$C,$B340,'Daily Issuance'!$E:$E,{"Inventory","Services"})))</f>
        <v/>
      </c>
      <c r="H340" s="42" t="str">
        <f t="shared" si="10"/>
        <v/>
      </c>
      <c r="I340" s="39"/>
      <c r="J340" s="36" t="str">
        <f t="shared" si="11"/>
        <v/>
      </c>
      <c r="K340" s="48"/>
    </row>
    <row r="341" spans="1:11" ht="23.1" customHeight="1">
      <c r="A341" s="348" t="str">
        <f>IF($B341="","",MAX($A$3:A340)+1)</f>
        <v/>
      </c>
      <c r="B341" s="253"/>
      <c r="C341" s="249"/>
      <c r="D341" s="263"/>
      <c r="E341" s="251"/>
      <c r="F341" s="340" t="str">
        <f>IF($B341="","",SUM(SUMIFS('Daily Inward'!$G:$G,'Daily Inward'!$C:$C,$B341,'Daily Inward'!$E:$E,{"Inventory","Services"})))</f>
        <v/>
      </c>
      <c r="G341" s="341" t="str">
        <f>IF($B341="","",SUM(SUMIFS('Daily Issuance'!$G:$G,'Daily Issuance'!$C:$C,$B341,'Daily Issuance'!$E:$E,{"Inventory","Services"})))</f>
        <v/>
      </c>
      <c r="H341" s="42" t="str">
        <f t="shared" si="10"/>
        <v/>
      </c>
      <c r="I341" s="39"/>
      <c r="J341" s="36" t="str">
        <f t="shared" si="11"/>
        <v/>
      </c>
      <c r="K341" s="48"/>
    </row>
    <row r="342" spans="1:11" ht="23.1" customHeight="1">
      <c r="A342" s="348" t="str">
        <f>IF($B342="","",MAX($A$3:A341)+1)</f>
        <v/>
      </c>
      <c r="B342" s="253"/>
      <c r="C342" s="249"/>
      <c r="D342" s="263"/>
      <c r="E342" s="251"/>
      <c r="F342" s="340" t="str">
        <f>IF($B342="","",SUM(SUMIFS('Daily Inward'!$G:$G,'Daily Inward'!$C:$C,$B342,'Daily Inward'!$E:$E,{"Inventory","Services"})))</f>
        <v/>
      </c>
      <c r="G342" s="341" t="str">
        <f>IF($B342="","",SUM(SUMIFS('Daily Issuance'!$G:$G,'Daily Issuance'!$C:$C,$B342,'Daily Issuance'!$E:$E,{"Inventory","Services"})))</f>
        <v/>
      </c>
      <c r="H342" s="42" t="str">
        <f t="shared" si="10"/>
        <v/>
      </c>
      <c r="I342" s="39"/>
      <c r="J342" s="36" t="str">
        <f t="shared" si="11"/>
        <v/>
      </c>
      <c r="K342" s="48"/>
    </row>
    <row r="343" spans="1:11" ht="23.1" customHeight="1">
      <c r="A343" s="348" t="str">
        <f>IF($B343="","",MAX($A$3:A342)+1)</f>
        <v/>
      </c>
      <c r="B343" s="253"/>
      <c r="C343" s="249"/>
      <c r="D343" s="263"/>
      <c r="E343" s="251"/>
      <c r="F343" s="340" t="str">
        <f>IF($B343="","",SUM(SUMIFS('Daily Inward'!$G:$G,'Daily Inward'!$C:$C,$B343,'Daily Inward'!$E:$E,{"Inventory","Services"})))</f>
        <v/>
      </c>
      <c r="G343" s="341" t="str">
        <f>IF($B343="","",SUM(SUMIFS('Daily Issuance'!$G:$G,'Daily Issuance'!$C:$C,$B343,'Daily Issuance'!$E:$E,{"Inventory","Services"})))</f>
        <v/>
      </c>
      <c r="H343" s="42" t="str">
        <f t="shared" si="10"/>
        <v/>
      </c>
      <c r="I343" s="39"/>
      <c r="J343" s="36" t="str">
        <f t="shared" si="11"/>
        <v/>
      </c>
      <c r="K343" s="48"/>
    </row>
    <row r="344" spans="1:11" ht="23.1" customHeight="1">
      <c r="A344" s="348" t="str">
        <f>IF($B344="","",MAX($A$3:A343)+1)</f>
        <v/>
      </c>
      <c r="B344" s="253"/>
      <c r="C344" s="249"/>
      <c r="D344" s="263"/>
      <c r="E344" s="251"/>
      <c r="F344" s="340" t="str">
        <f>IF($B344="","",SUM(SUMIFS('Daily Inward'!$G:$G,'Daily Inward'!$C:$C,$B344,'Daily Inward'!$E:$E,{"Inventory","Services"})))</f>
        <v/>
      </c>
      <c r="G344" s="341" t="str">
        <f>IF($B344="","",SUM(SUMIFS('Daily Issuance'!$G:$G,'Daily Issuance'!$C:$C,$B344,'Daily Issuance'!$E:$E,{"Inventory","Services"})))</f>
        <v/>
      </c>
      <c r="H344" s="42" t="str">
        <f t="shared" si="10"/>
        <v/>
      </c>
      <c r="I344" s="39"/>
      <c r="J344" s="36" t="str">
        <f t="shared" si="11"/>
        <v/>
      </c>
      <c r="K344" s="48"/>
    </row>
    <row r="345" spans="1:11" ht="23.1" customHeight="1">
      <c r="A345" s="348" t="str">
        <f>IF($B345="","",MAX($A$3:A344)+1)</f>
        <v/>
      </c>
      <c r="B345" s="253"/>
      <c r="C345" s="249"/>
      <c r="D345" s="263"/>
      <c r="E345" s="251"/>
      <c r="F345" s="340" t="str">
        <f>IF($B345="","",SUM(SUMIFS('Daily Inward'!$G:$G,'Daily Inward'!$C:$C,$B345,'Daily Inward'!$E:$E,{"Inventory","Services"})))</f>
        <v/>
      </c>
      <c r="G345" s="341" t="str">
        <f>IF($B345="","",SUM(SUMIFS('Daily Issuance'!$G:$G,'Daily Issuance'!$C:$C,$B345,'Daily Issuance'!$E:$E,{"Inventory","Services"})))</f>
        <v/>
      </c>
      <c r="H345" s="42" t="str">
        <f t="shared" si="10"/>
        <v/>
      </c>
      <c r="I345" s="39"/>
      <c r="J345" s="36" t="str">
        <f t="shared" si="11"/>
        <v/>
      </c>
      <c r="K345" s="48"/>
    </row>
    <row r="346" spans="1:11" ht="23.1" customHeight="1">
      <c r="A346" s="348" t="str">
        <f>IF($B346="","",MAX($A$3:A345)+1)</f>
        <v/>
      </c>
      <c r="B346" s="253"/>
      <c r="C346" s="249"/>
      <c r="D346" s="263"/>
      <c r="E346" s="251"/>
      <c r="F346" s="340" t="str">
        <f>IF($B346="","",SUM(SUMIFS('Daily Inward'!$G:$G,'Daily Inward'!$C:$C,$B346,'Daily Inward'!$E:$E,{"Inventory","Services"})))</f>
        <v/>
      </c>
      <c r="G346" s="341" t="str">
        <f>IF($B346="","",SUM(SUMIFS('Daily Issuance'!$G:$G,'Daily Issuance'!$C:$C,$B346,'Daily Issuance'!$E:$E,{"Inventory","Services"})))</f>
        <v/>
      </c>
      <c r="H346" s="42" t="str">
        <f t="shared" si="10"/>
        <v/>
      </c>
      <c r="I346" s="39"/>
      <c r="J346" s="36" t="str">
        <f t="shared" si="11"/>
        <v/>
      </c>
      <c r="K346" s="48"/>
    </row>
    <row r="347" spans="1:11" ht="23.1" customHeight="1">
      <c r="A347" s="348" t="str">
        <f>IF($B347="","",MAX($A$3:A346)+1)</f>
        <v/>
      </c>
      <c r="B347" s="253"/>
      <c r="C347" s="249"/>
      <c r="D347" s="263"/>
      <c r="E347" s="251"/>
      <c r="F347" s="340" t="str">
        <f>IF($B347="","",SUM(SUMIFS('Daily Inward'!$G:$G,'Daily Inward'!$C:$C,$B347,'Daily Inward'!$E:$E,{"Inventory","Services"})))</f>
        <v/>
      </c>
      <c r="G347" s="341" t="str">
        <f>IF($B347="","",SUM(SUMIFS('Daily Issuance'!$G:$G,'Daily Issuance'!$C:$C,$B347,'Daily Issuance'!$E:$E,{"Inventory","Services"})))</f>
        <v/>
      </c>
      <c r="H347" s="42" t="str">
        <f t="shared" si="10"/>
        <v/>
      </c>
      <c r="I347" s="39"/>
      <c r="J347" s="36" t="str">
        <f t="shared" si="11"/>
        <v/>
      </c>
      <c r="K347" s="48"/>
    </row>
    <row r="348" spans="1:11" ht="23.1" customHeight="1">
      <c r="A348" s="348" t="str">
        <f>IF($B348="","",MAX($A$3:A347)+1)</f>
        <v/>
      </c>
      <c r="B348" s="253"/>
      <c r="C348" s="249"/>
      <c r="D348" s="263"/>
      <c r="E348" s="251"/>
      <c r="F348" s="340" t="str">
        <f>IF($B348="","",SUM(SUMIFS('Daily Inward'!$G:$G,'Daily Inward'!$C:$C,$B348,'Daily Inward'!$E:$E,{"Inventory","Services"})))</f>
        <v/>
      </c>
      <c r="G348" s="341" t="str">
        <f>IF($B348="","",SUM(SUMIFS('Daily Issuance'!$G:$G,'Daily Issuance'!$C:$C,$B348,'Daily Issuance'!$E:$E,{"Inventory","Services"})))</f>
        <v/>
      </c>
      <c r="H348" s="42" t="str">
        <f t="shared" si="10"/>
        <v/>
      </c>
      <c r="I348" s="39"/>
      <c r="J348" s="36" t="str">
        <f t="shared" si="11"/>
        <v/>
      </c>
      <c r="K348" s="48"/>
    </row>
    <row r="349" spans="1:11" ht="23.1" customHeight="1">
      <c r="A349" s="348" t="str">
        <f>IF($B349="","",MAX($A$3:A348)+1)</f>
        <v/>
      </c>
      <c r="B349" s="253"/>
      <c r="C349" s="249"/>
      <c r="D349" s="263"/>
      <c r="E349" s="251"/>
      <c r="F349" s="340" t="str">
        <f>IF($B349="","",SUM(SUMIFS('Daily Inward'!$G:$G,'Daily Inward'!$C:$C,$B349,'Daily Inward'!$E:$E,{"Inventory","Services"})))</f>
        <v/>
      </c>
      <c r="G349" s="341" t="str">
        <f>IF($B349="","",SUM(SUMIFS('Daily Issuance'!$G:$G,'Daily Issuance'!$C:$C,$B349,'Daily Issuance'!$E:$E,{"Inventory","Services"})))</f>
        <v/>
      </c>
      <c r="H349" s="42" t="str">
        <f t="shared" si="10"/>
        <v/>
      </c>
      <c r="I349" s="39"/>
      <c r="J349" s="36" t="str">
        <f t="shared" si="11"/>
        <v/>
      </c>
      <c r="K349" s="48"/>
    </row>
    <row r="350" spans="1:11" ht="23.1" customHeight="1">
      <c r="A350" s="348" t="str">
        <f>IF($B350="","",MAX($A$3:A349)+1)</f>
        <v/>
      </c>
      <c r="B350" s="253"/>
      <c r="C350" s="249"/>
      <c r="D350" s="263"/>
      <c r="E350" s="251"/>
      <c r="F350" s="340" t="str">
        <f>IF($B350="","",SUM(SUMIFS('Daily Inward'!$G:$G,'Daily Inward'!$C:$C,$B350,'Daily Inward'!$E:$E,{"Inventory","Services"})))</f>
        <v/>
      </c>
      <c r="G350" s="341" t="str">
        <f>IF($B350="","",SUM(SUMIFS('Daily Issuance'!$G:$G,'Daily Issuance'!$C:$C,$B350,'Daily Issuance'!$E:$E,{"Inventory","Services"})))</f>
        <v/>
      </c>
      <c r="H350" s="42" t="str">
        <f t="shared" si="10"/>
        <v/>
      </c>
      <c r="I350" s="39"/>
      <c r="J350" s="36" t="str">
        <f t="shared" si="11"/>
        <v/>
      </c>
      <c r="K350" s="48"/>
    </row>
    <row r="351" spans="1:11" ht="23.1" customHeight="1">
      <c r="A351" s="348" t="str">
        <f>IF($B351="","",MAX($A$3:A350)+1)</f>
        <v/>
      </c>
      <c r="B351" s="253"/>
      <c r="C351" s="249"/>
      <c r="D351" s="263"/>
      <c r="E351" s="251"/>
      <c r="F351" s="340" t="str">
        <f>IF($B351="","",SUM(SUMIFS('Daily Inward'!$G:$G,'Daily Inward'!$C:$C,$B351,'Daily Inward'!$E:$E,{"Inventory","Services"})))</f>
        <v/>
      </c>
      <c r="G351" s="341" t="str">
        <f>IF($B351="","",SUM(SUMIFS('Daily Issuance'!$G:$G,'Daily Issuance'!$C:$C,$B351,'Daily Issuance'!$E:$E,{"Inventory","Services"})))</f>
        <v/>
      </c>
      <c r="H351" s="42" t="str">
        <f t="shared" si="10"/>
        <v/>
      </c>
      <c r="I351" s="39"/>
      <c r="J351" s="36" t="str">
        <f t="shared" si="11"/>
        <v/>
      </c>
      <c r="K351" s="48"/>
    </row>
    <row r="352" spans="1:11" ht="23.1" customHeight="1">
      <c r="A352" s="348" t="str">
        <f>IF($B352="","",MAX($A$3:A351)+1)</f>
        <v/>
      </c>
      <c r="B352" s="253"/>
      <c r="C352" s="249"/>
      <c r="D352" s="263"/>
      <c r="E352" s="251"/>
      <c r="F352" s="340" t="str">
        <f>IF($B352="","",SUM(SUMIFS('Daily Inward'!$G:$G,'Daily Inward'!$C:$C,$B352,'Daily Inward'!$E:$E,{"Inventory","Services"})))</f>
        <v/>
      </c>
      <c r="G352" s="341" t="str">
        <f>IF($B352="","",SUM(SUMIFS('Daily Issuance'!$G:$G,'Daily Issuance'!$C:$C,$B352,'Daily Issuance'!$E:$E,{"Inventory","Services"})))</f>
        <v/>
      </c>
      <c r="H352" s="42" t="str">
        <f t="shared" si="10"/>
        <v/>
      </c>
      <c r="I352" s="39"/>
      <c r="J352" s="36" t="str">
        <f t="shared" si="11"/>
        <v/>
      </c>
      <c r="K352" s="48"/>
    </row>
    <row r="353" spans="1:11" ht="23.1" customHeight="1">
      <c r="A353" s="348" t="str">
        <f>IF($B353="","",MAX($A$3:A352)+1)</f>
        <v/>
      </c>
      <c r="B353" s="253"/>
      <c r="C353" s="249"/>
      <c r="D353" s="263"/>
      <c r="E353" s="251"/>
      <c r="F353" s="340" t="str">
        <f>IF($B353="","",SUM(SUMIFS('Daily Inward'!$G:$G,'Daily Inward'!$C:$C,$B353,'Daily Inward'!$E:$E,{"Inventory","Services"})))</f>
        <v/>
      </c>
      <c r="G353" s="341" t="str">
        <f>IF($B353="","",SUM(SUMIFS('Daily Issuance'!$G:$G,'Daily Issuance'!$C:$C,$B353,'Daily Issuance'!$E:$E,{"Inventory","Services"})))</f>
        <v/>
      </c>
      <c r="H353" s="42" t="str">
        <f t="shared" si="10"/>
        <v/>
      </c>
      <c r="I353" s="39"/>
      <c r="J353" s="36" t="str">
        <f t="shared" si="11"/>
        <v/>
      </c>
      <c r="K353" s="48"/>
    </row>
    <row r="354" spans="1:11" ht="23.1" customHeight="1">
      <c r="A354" s="348" t="str">
        <f>IF($B354="","",MAX($A$3:A353)+1)</f>
        <v/>
      </c>
      <c r="B354" s="253"/>
      <c r="C354" s="249"/>
      <c r="D354" s="263"/>
      <c r="E354" s="251"/>
      <c r="F354" s="340" t="str">
        <f>IF($B354="","",SUM(SUMIFS('Daily Inward'!$G:$G,'Daily Inward'!$C:$C,$B354,'Daily Inward'!$E:$E,{"Inventory","Services"})))</f>
        <v/>
      </c>
      <c r="G354" s="341" t="str">
        <f>IF($B354="","",SUM(SUMIFS('Daily Issuance'!$G:$G,'Daily Issuance'!$C:$C,$B354,'Daily Issuance'!$E:$E,{"Inventory","Services"})))</f>
        <v/>
      </c>
      <c r="H354" s="42" t="str">
        <f t="shared" si="10"/>
        <v/>
      </c>
      <c r="I354" s="39"/>
      <c r="J354" s="36" t="str">
        <f t="shared" si="11"/>
        <v/>
      </c>
      <c r="K354" s="48"/>
    </row>
    <row r="355" spans="1:11" ht="23.1" customHeight="1">
      <c r="A355" s="348" t="str">
        <f>IF($B355="","",MAX($A$3:A354)+1)</f>
        <v/>
      </c>
      <c r="B355" s="253"/>
      <c r="C355" s="249"/>
      <c r="D355" s="263"/>
      <c r="E355" s="251"/>
      <c r="F355" s="340" t="str">
        <f>IF($B355="","",SUM(SUMIFS('Daily Inward'!$G:$G,'Daily Inward'!$C:$C,$B355,'Daily Inward'!$E:$E,{"Inventory","Services"})))</f>
        <v/>
      </c>
      <c r="G355" s="341" t="str">
        <f>IF($B355="","",SUM(SUMIFS('Daily Issuance'!$G:$G,'Daily Issuance'!$C:$C,$B355,'Daily Issuance'!$E:$E,{"Inventory","Services"})))</f>
        <v/>
      </c>
      <c r="H355" s="42" t="str">
        <f t="shared" si="10"/>
        <v/>
      </c>
      <c r="I355" s="39"/>
      <c r="J355" s="36" t="str">
        <f t="shared" si="11"/>
        <v/>
      </c>
      <c r="K355" s="48"/>
    </row>
    <row r="356" spans="1:11" ht="23.1" customHeight="1">
      <c r="A356" s="348" t="str">
        <f>IF($B356="","",MAX($A$3:A355)+1)</f>
        <v/>
      </c>
      <c r="B356" s="253"/>
      <c r="C356" s="249"/>
      <c r="D356" s="263"/>
      <c r="E356" s="251"/>
      <c r="F356" s="340" t="str">
        <f>IF($B356="","",SUM(SUMIFS('Daily Inward'!$G:$G,'Daily Inward'!$C:$C,$B356,'Daily Inward'!$E:$E,{"Inventory","Services"})))</f>
        <v/>
      </c>
      <c r="G356" s="341" t="str">
        <f>IF($B356="","",SUM(SUMIFS('Daily Issuance'!$G:$G,'Daily Issuance'!$C:$C,$B356,'Daily Issuance'!$E:$E,{"Inventory","Services"})))</f>
        <v/>
      </c>
      <c r="H356" s="42" t="str">
        <f t="shared" si="10"/>
        <v/>
      </c>
      <c r="I356" s="39"/>
      <c r="J356" s="36" t="str">
        <f t="shared" si="11"/>
        <v/>
      </c>
      <c r="K356" s="48"/>
    </row>
    <row r="357" spans="1:11" ht="23.1" customHeight="1">
      <c r="A357" s="348" t="str">
        <f>IF($B357="","",MAX($A$3:A356)+1)</f>
        <v/>
      </c>
      <c r="B357" s="253"/>
      <c r="C357" s="249"/>
      <c r="D357" s="263"/>
      <c r="E357" s="251"/>
      <c r="F357" s="340" t="str">
        <f>IF($B357="","",SUM(SUMIFS('Daily Inward'!$G:$G,'Daily Inward'!$C:$C,$B357,'Daily Inward'!$E:$E,{"Inventory","Services"})))</f>
        <v/>
      </c>
      <c r="G357" s="341" t="str">
        <f>IF($B357="","",SUM(SUMIFS('Daily Issuance'!$G:$G,'Daily Issuance'!$C:$C,$B357,'Daily Issuance'!$E:$E,{"Inventory","Services"})))</f>
        <v/>
      </c>
      <c r="H357" s="42" t="str">
        <f t="shared" si="10"/>
        <v/>
      </c>
      <c r="I357" s="39"/>
      <c r="J357" s="36" t="str">
        <f t="shared" si="11"/>
        <v/>
      </c>
      <c r="K357" s="48"/>
    </row>
    <row r="358" spans="1:11" ht="23.1" customHeight="1">
      <c r="A358" s="348" t="str">
        <f>IF($B358="","",MAX($A$3:A357)+1)</f>
        <v/>
      </c>
      <c r="B358" s="253"/>
      <c r="C358" s="249"/>
      <c r="D358" s="263"/>
      <c r="E358" s="251"/>
      <c r="F358" s="340" t="str">
        <f>IF($B358="","",SUM(SUMIFS('Daily Inward'!$G:$G,'Daily Inward'!$C:$C,$B358,'Daily Inward'!$E:$E,{"Inventory","Services"})))</f>
        <v/>
      </c>
      <c r="G358" s="341" t="str">
        <f>IF($B358="","",SUM(SUMIFS('Daily Issuance'!$G:$G,'Daily Issuance'!$C:$C,$B358,'Daily Issuance'!$E:$E,{"Inventory","Services"})))</f>
        <v/>
      </c>
      <c r="H358" s="42" t="str">
        <f t="shared" si="10"/>
        <v/>
      </c>
      <c r="I358" s="39"/>
      <c r="J358" s="36" t="str">
        <f t="shared" si="11"/>
        <v/>
      </c>
      <c r="K358" s="48"/>
    </row>
    <row r="359" spans="1:11" ht="23.1" customHeight="1">
      <c r="A359" s="348" t="str">
        <f>IF($B359="","",MAX($A$3:A358)+1)</f>
        <v/>
      </c>
      <c r="B359" s="253"/>
      <c r="C359" s="249"/>
      <c r="D359" s="263"/>
      <c r="E359" s="251"/>
      <c r="F359" s="340" t="str">
        <f>IF($B359="","",SUM(SUMIFS('Daily Inward'!$G:$G,'Daily Inward'!$C:$C,$B359,'Daily Inward'!$E:$E,{"Inventory","Services"})))</f>
        <v/>
      </c>
      <c r="G359" s="341" t="str">
        <f>IF($B359="","",SUM(SUMIFS('Daily Issuance'!$G:$G,'Daily Issuance'!$C:$C,$B359,'Daily Issuance'!$E:$E,{"Inventory","Services"})))</f>
        <v/>
      </c>
      <c r="H359" s="42" t="str">
        <f t="shared" si="10"/>
        <v/>
      </c>
      <c r="I359" s="39"/>
      <c r="J359" s="36" t="str">
        <f t="shared" si="11"/>
        <v/>
      </c>
      <c r="K359" s="48"/>
    </row>
    <row r="360" spans="1:11" ht="23.1" customHeight="1">
      <c r="A360" s="348" t="str">
        <f>IF($B360="","",MAX($A$3:A359)+1)</f>
        <v/>
      </c>
      <c r="B360" s="253"/>
      <c r="C360" s="249"/>
      <c r="D360" s="263"/>
      <c r="E360" s="251"/>
      <c r="F360" s="340" t="str">
        <f>IF($B360="","",SUM(SUMIFS('Daily Inward'!$G:$G,'Daily Inward'!$C:$C,$B360,'Daily Inward'!$E:$E,{"Inventory","Services"})))</f>
        <v/>
      </c>
      <c r="G360" s="341" t="str">
        <f>IF($B360="","",SUM(SUMIFS('Daily Issuance'!$G:$G,'Daily Issuance'!$C:$C,$B360,'Daily Issuance'!$E:$E,{"Inventory","Services"})))</f>
        <v/>
      </c>
      <c r="H360" s="42" t="str">
        <f t="shared" si="10"/>
        <v/>
      </c>
      <c r="I360" s="39"/>
      <c r="J360" s="36" t="str">
        <f t="shared" si="11"/>
        <v/>
      </c>
      <c r="K360" s="48"/>
    </row>
    <row r="361" spans="1:11" ht="23.1" customHeight="1">
      <c r="A361" s="348" t="str">
        <f>IF($B361="","",MAX($A$3:A360)+1)</f>
        <v/>
      </c>
      <c r="B361" s="253"/>
      <c r="C361" s="249"/>
      <c r="D361" s="263"/>
      <c r="E361" s="251"/>
      <c r="F361" s="340" t="str">
        <f>IF($B361="","",SUM(SUMIFS('Daily Inward'!$G:$G,'Daily Inward'!$C:$C,$B361,'Daily Inward'!$E:$E,{"Inventory","Services"})))</f>
        <v/>
      </c>
      <c r="G361" s="341" t="str">
        <f>IF($B361="","",SUM(SUMIFS('Daily Issuance'!$G:$G,'Daily Issuance'!$C:$C,$B361,'Daily Issuance'!$E:$E,{"Inventory","Services"})))</f>
        <v/>
      </c>
      <c r="H361" s="42" t="str">
        <f t="shared" si="10"/>
        <v/>
      </c>
      <c r="I361" s="39"/>
      <c r="J361" s="36" t="str">
        <f t="shared" si="11"/>
        <v/>
      </c>
      <c r="K361" s="48"/>
    </row>
    <row r="362" spans="1:11" ht="23.1" customHeight="1">
      <c r="A362" s="348" t="str">
        <f>IF($B362="","",MAX($A$3:A361)+1)</f>
        <v/>
      </c>
      <c r="B362" s="253"/>
      <c r="C362" s="249"/>
      <c r="D362" s="263"/>
      <c r="E362" s="251"/>
      <c r="F362" s="340" t="str">
        <f>IF($B362="","",SUM(SUMIFS('Daily Inward'!$G:$G,'Daily Inward'!$C:$C,$B362,'Daily Inward'!$E:$E,{"Inventory","Services"})))</f>
        <v/>
      </c>
      <c r="G362" s="341" t="str">
        <f>IF($B362="","",SUM(SUMIFS('Daily Issuance'!$G:$G,'Daily Issuance'!$C:$C,$B362,'Daily Issuance'!$E:$E,{"Inventory","Services"})))</f>
        <v/>
      </c>
      <c r="H362" s="42" t="str">
        <f t="shared" si="10"/>
        <v/>
      </c>
      <c r="I362" s="39"/>
      <c r="J362" s="36" t="str">
        <f t="shared" si="11"/>
        <v/>
      </c>
      <c r="K362" s="48"/>
    </row>
    <row r="363" spans="1:11" ht="23.1" customHeight="1">
      <c r="A363" s="348" t="str">
        <f>IF($B363="","",MAX($A$3:A362)+1)</f>
        <v/>
      </c>
      <c r="B363" s="253"/>
      <c r="C363" s="249"/>
      <c r="D363" s="263"/>
      <c r="E363" s="251"/>
      <c r="F363" s="340" t="str">
        <f>IF($B363="","",SUM(SUMIFS('Daily Inward'!$G:$G,'Daily Inward'!$C:$C,$B363,'Daily Inward'!$E:$E,{"Inventory","Services"})))</f>
        <v/>
      </c>
      <c r="G363" s="341" t="str">
        <f>IF($B363="","",SUM(SUMIFS('Daily Issuance'!$G:$G,'Daily Issuance'!$C:$C,$B363,'Daily Issuance'!$E:$E,{"Inventory","Services"})))</f>
        <v/>
      </c>
      <c r="H363" s="42" t="str">
        <f t="shared" si="10"/>
        <v/>
      </c>
      <c r="I363" s="39"/>
      <c r="J363" s="36" t="str">
        <f t="shared" si="11"/>
        <v/>
      </c>
      <c r="K363" s="48"/>
    </row>
    <row r="364" spans="1:11" ht="23.1" customHeight="1">
      <c r="A364" s="348" t="str">
        <f>IF($B364="","",MAX($A$3:A363)+1)</f>
        <v/>
      </c>
      <c r="B364" s="253"/>
      <c r="C364" s="249"/>
      <c r="D364" s="263"/>
      <c r="E364" s="251"/>
      <c r="F364" s="340" t="str">
        <f>IF($B364="","",SUM(SUMIFS('Daily Inward'!$G:$G,'Daily Inward'!$C:$C,$B364,'Daily Inward'!$E:$E,{"Inventory","Services"})))</f>
        <v/>
      </c>
      <c r="G364" s="341" t="str">
        <f>IF($B364="","",SUM(SUMIFS('Daily Issuance'!$G:$G,'Daily Issuance'!$C:$C,$B364,'Daily Issuance'!$E:$E,{"Inventory","Services"})))</f>
        <v/>
      </c>
      <c r="H364" s="42" t="str">
        <f t="shared" si="10"/>
        <v/>
      </c>
      <c r="I364" s="39"/>
      <c r="J364" s="36" t="str">
        <f t="shared" si="11"/>
        <v/>
      </c>
      <c r="K364" s="48"/>
    </row>
    <row r="365" spans="1:11" ht="23.1" customHeight="1">
      <c r="A365" s="348" t="str">
        <f>IF($B365="","",MAX($A$3:A364)+1)</f>
        <v/>
      </c>
      <c r="B365" s="253"/>
      <c r="C365" s="249"/>
      <c r="D365" s="263"/>
      <c r="E365" s="251"/>
      <c r="F365" s="340" t="str">
        <f>IF($B365="","",SUM(SUMIFS('Daily Inward'!$G:$G,'Daily Inward'!$C:$C,$B365,'Daily Inward'!$E:$E,{"Inventory","Services"})))</f>
        <v/>
      </c>
      <c r="G365" s="341" t="str">
        <f>IF($B365="","",SUM(SUMIFS('Daily Issuance'!$G:$G,'Daily Issuance'!$C:$C,$B365,'Daily Issuance'!$E:$E,{"Inventory","Services"})))</f>
        <v/>
      </c>
      <c r="H365" s="42" t="str">
        <f t="shared" si="10"/>
        <v/>
      </c>
      <c r="I365" s="39"/>
      <c r="J365" s="36" t="str">
        <f t="shared" si="11"/>
        <v/>
      </c>
      <c r="K365" s="48"/>
    </row>
    <row r="366" spans="1:11" ht="23.1" customHeight="1">
      <c r="A366" s="348" t="str">
        <f>IF($B366="","",MAX($A$3:A365)+1)</f>
        <v/>
      </c>
      <c r="B366" s="253"/>
      <c r="C366" s="249"/>
      <c r="D366" s="263"/>
      <c r="E366" s="251"/>
      <c r="F366" s="340" t="str">
        <f>IF($B366="","",SUM(SUMIFS('Daily Inward'!$G:$G,'Daily Inward'!$C:$C,$B366,'Daily Inward'!$E:$E,{"Inventory","Services"})))</f>
        <v/>
      </c>
      <c r="G366" s="341" t="str">
        <f>IF($B366="","",SUM(SUMIFS('Daily Issuance'!$G:$G,'Daily Issuance'!$C:$C,$B366,'Daily Issuance'!$E:$E,{"Inventory","Services"})))</f>
        <v/>
      </c>
      <c r="H366" s="42" t="str">
        <f t="shared" si="10"/>
        <v/>
      </c>
      <c r="I366" s="39"/>
      <c r="J366" s="36" t="str">
        <f t="shared" si="11"/>
        <v/>
      </c>
      <c r="K366" s="48"/>
    </row>
    <row r="367" spans="1:11" ht="23.1" customHeight="1">
      <c r="A367" s="348" t="str">
        <f>IF($B367="","",MAX($A$3:A366)+1)</f>
        <v/>
      </c>
      <c r="B367" s="253"/>
      <c r="C367" s="249"/>
      <c r="D367" s="263"/>
      <c r="E367" s="251"/>
      <c r="F367" s="340" t="str">
        <f>IF($B367="","",SUM(SUMIFS('Daily Inward'!$G:$G,'Daily Inward'!$C:$C,$B367,'Daily Inward'!$E:$E,{"Inventory","Services"})))</f>
        <v/>
      </c>
      <c r="G367" s="341" t="str">
        <f>IF($B367="","",SUM(SUMIFS('Daily Issuance'!$G:$G,'Daily Issuance'!$C:$C,$B367,'Daily Issuance'!$E:$E,{"Inventory","Services"})))</f>
        <v/>
      </c>
      <c r="H367" s="42" t="str">
        <f t="shared" si="10"/>
        <v/>
      </c>
      <c r="I367" s="39"/>
      <c r="J367" s="36" t="str">
        <f t="shared" si="11"/>
        <v/>
      </c>
      <c r="K367" s="48"/>
    </row>
    <row r="368" spans="1:11" ht="23.1" customHeight="1">
      <c r="A368" s="348" t="str">
        <f>IF($B368="","",MAX($A$3:A367)+1)</f>
        <v/>
      </c>
      <c r="B368" s="253"/>
      <c r="C368" s="249"/>
      <c r="D368" s="263"/>
      <c r="E368" s="251"/>
      <c r="F368" s="340" t="str">
        <f>IF($B368="","",SUM(SUMIFS('Daily Inward'!$G:$G,'Daily Inward'!$C:$C,$B368,'Daily Inward'!$E:$E,{"Inventory","Services"})))</f>
        <v/>
      </c>
      <c r="G368" s="341" t="str">
        <f>IF($B368="","",SUM(SUMIFS('Daily Issuance'!$G:$G,'Daily Issuance'!$C:$C,$B368,'Daily Issuance'!$E:$E,{"Inventory","Services"})))</f>
        <v/>
      </c>
      <c r="H368" s="42" t="str">
        <f t="shared" si="10"/>
        <v/>
      </c>
      <c r="I368" s="39"/>
      <c r="J368" s="36" t="str">
        <f t="shared" si="11"/>
        <v/>
      </c>
      <c r="K368" s="48"/>
    </row>
    <row r="369" spans="1:11" ht="23.1" customHeight="1">
      <c r="A369" s="348" t="str">
        <f>IF($B369="","",MAX($A$3:A368)+1)</f>
        <v/>
      </c>
      <c r="B369" s="253"/>
      <c r="C369" s="249"/>
      <c r="D369" s="263"/>
      <c r="E369" s="251"/>
      <c r="F369" s="340" t="str">
        <f>IF($B369="","",SUM(SUMIFS('Daily Inward'!$G:$G,'Daily Inward'!$C:$C,$B369,'Daily Inward'!$E:$E,{"Inventory","Services"})))</f>
        <v/>
      </c>
      <c r="G369" s="341" t="str">
        <f>IF($B369="","",SUM(SUMIFS('Daily Issuance'!$G:$G,'Daily Issuance'!$C:$C,$B369,'Daily Issuance'!$E:$E,{"Inventory","Services"})))</f>
        <v/>
      </c>
      <c r="H369" s="42" t="str">
        <f t="shared" si="10"/>
        <v/>
      </c>
      <c r="I369" s="39"/>
      <c r="J369" s="36" t="str">
        <f t="shared" si="11"/>
        <v/>
      </c>
      <c r="K369" s="48"/>
    </row>
    <row r="370" spans="1:11" ht="23.1" customHeight="1">
      <c r="A370" s="348" t="str">
        <f>IF($B370="","",MAX($A$3:A369)+1)</f>
        <v/>
      </c>
      <c r="B370" s="253"/>
      <c r="C370" s="249"/>
      <c r="D370" s="263"/>
      <c r="E370" s="251"/>
      <c r="F370" s="340" t="str">
        <f>IF($B370="","",SUM(SUMIFS('Daily Inward'!$G:$G,'Daily Inward'!$C:$C,$B370,'Daily Inward'!$E:$E,{"Inventory","Services"})))</f>
        <v/>
      </c>
      <c r="G370" s="341" t="str">
        <f>IF($B370="","",SUM(SUMIFS('Daily Issuance'!$G:$G,'Daily Issuance'!$C:$C,$B370,'Daily Issuance'!$E:$E,{"Inventory","Services"})))</f>
        <v/>
      </c>
      <c r="H370" s="42" t="str">
        <f t="shared" si="10"/>
        <v/>
      </c>
      <c r="I370" s="39"/>
      <c r="J370" s="36" t="str">
        <f t="shared" si="11"/>
        <v/>
      </c>
      <c r="K370" s="48"/>
    </row>
    <row r="371" spans="1:11" ht="23.1" customHeight="1">
      <c r="A371" s="348" t="str">
        <f>IF($B371="","",MAX($A$3:A370)+1)</f>
        <v/>
      </c>
      <c r="B371" s="253"/>
      <c r="C371" s="249"/>
      <c r="D371" s="263"/>
      <c r="E371" s="251"/>
      <c r="F371" s="340" t="str">
        <f>IF($B371="","",SUM(SUMIFS('Daily Inward'!$G:$G,'Daily Inward'!$C:$C,$B371,'Daily Inward'!$E:$E,{"Inventory","Services"})))</f>
        <v/>
      </c>
      <c r="G371" s="341" t="str">
        <f>IF($B371="","",SUM(SUMIFS('Daily Issuance'!$G:$G,'Daily Issuance'!$C:$C,$B371,'Daily Issuance'!$E:$E,{"Inventory","Services"})))</f>
        <v/>
      </c>
      <c r="H371" s="42" t="str">
        <f t="shared" si="10"/>
        <v/>
      </c>
      <c r="I371" s="39"/>
      <c r="J371" s="36" t="str">
        <f t="shared" si="11"/>
        <v/>
      </c>
      <c r="K371" s="48"/>
    </row>
    <row r="372" spans="1:11" ht="23.1" customHeight="1">
      <c r="A372" s="348" t="str">
        <f>IF($B372="","",MAX($A$3:A371)+1)</f>
        <v/>
      </c>
      <c r="B372" s="253"/>
      <c r="C372" s="249"/>
      <c r="D372" s="263"/>
      <c r="E372" s="251"/>
      <c r="F372" s="340" t="str">
        <f>IF($B372="","",SUM(SUMIFS('Daily Inward'!$G:$G,'Daily Inward'!$C:$C,$B372,'Daily Inward'!$E:$E,{"Inventory","Services"})))</f>
        <v/>
      </c>
      <c r="G372" s="341" t="str">
        <f>IF($B372="","",SUM(SUMIFS('Daily Issuance'!$G:$G,'Daily Issuance'!$C:$C,$B372,'Daily Issuance'!$E:$E,{"Inventory","Services"})))</f>
        <v/>
      </c>
      <c r="H372" s="42" t="str">
        <f t="shared" si="10"/>
        <v/>
      </c>
      <c r="I372" s="39"/>
      <c r="J372" s="36" t="str">
        <f t="shared" si="11"/>
        <v/>
      </c>
      <c r="K372" s="48"/>
    </row>
    <row r="373" spans="1:11" ht="23.1" customHeight="1">
      <c r="A373" s="348" t="str">
        <f>IF($B373="","",MAX($A$3:A372)+1)</f>
        <v/>
      </c>
      <c r="B373" s="253"/>
      <c r="C373" s="249"/>
      <c r="D373" s="263"/>
      <c r="E373" s="251"/>
      <c r="F373" s="340" t="str">
        <f>IF($B373="","",SUM(SUMIFS('Daily Inward'!$G:$G,'Daily Inward'!$C:$C,$B373,'Daily Inward'!$E:$E,{"Inventory","Services"})))</f>
        <v/>
      </c>
      <c r="G373" s="341" t="str">
        <f>IF($B373="","",SUM(SUMIFS('Daily Issuance'!$G:$G,'Daily Issuance'!$C:$C,$B373,'Daily Issuance'!$E:$E,{"Inventory","Services"})))</f>
        <v/>
      </c>
      <c r="H373" s="42" t="str">
        <f t="shared" si="10"/>
        <v/>
      </c>
      <c r="I373" s="39"/>
      <c r="J373" s="36" t="str">
        <f t="shared" si="11"/>
        <v/>
      </c>
      <c r="K373" s="48"/>
    </row>
    <row r="374" spans="1:11" ht="23.1" customHeight="1">
      <c r="A374" s="348" t="str">
        <f>IF($B374="","",MAX($A$3:A373)+1)</f>
        <v/>
      </c>
      <c r="B374" s="253"/>
      <c r="C374" s="249"/>
      <c r="D374" s="263"/>
      <c r="E374" s="251"/>
      <c r="F374" s="340" t="str">
        <f>IF($B374="","",SUM(SUMIFS('Daily Inward'!$G:$G,'Daily Inward'!$C:$C,$B374,'Daily Inward'!$E:$E,{"Inventory","Services"})))</f>
        <v/>
      </c>
      <c r="G374" s="341" t="str">
        <f>IF($B374="","",SUM(SUMIFS('Daily Issuance'!$G:$G,'Daily Issuance'!$C:$C,$B374,'Daily Issuance'!$E:$E,{"Inventory","Services"})))</f>
        <v/>
      </c>
      <c r="H374" s="42" t="str">
        <f t="shared" si="10"/>
        <v/>
      </c>
      <c r="I374" s="39"/>
      <c r="J374" s="36" t="str">
        <f t="shared" si="11"/>
        <v/>
      </c>
      <c r="K374" s="48"/>
    </row>
    <row r="375" spans="1:11" ht="23.1" customHeight="1">
      <c r="A375" s="348" t="str">
        <f>IF($B375="","",MAX($A$3:A374)+1)</f>
        <v/>
      </c>
      <c r="B375" s="253"/>
      <c r="C375" s="249"/>
      <c r="D375" s="263"/>
      <c r="E375" s="251"/>
      <c r="F375" s="340" t="str">
        <f>IF($B375="","",SUM(SUMIFS('Daily Inward'!$G:$G,'Daily Inward'!$C:$C,$B375,'Daily Inward'!$E:$E,{"Inventory","Services"})))</f>
        <v/>
      </c>
      <c r="G375" s="341" t="str">
        <f>IF($B375="","",SUM(SUMIFS('Daily Issuance'!$G:$G,'Daily Issuance'!$C:$C,$B375,'Daily Issuance'!$E:$E,{"Inventory","Services"})))</f>
        <v/>
      </c>
      <c r="H375" s="42" t="str">
        <f t="shared" si="10"/>
        <v/>
      </c>
      <c r="I375" s="39"/>
      <c r="J375" s="36" t="str">
        <f t="shared" si="11"/>
        <v/>
      </c>
      <c r="K375" s="48"/>
    </row>
    <row r="376" spans="1:11" ht="23.1" customHeight="1">
      <c r="A376" s="348" t="str">
        <f>IF($B376="","",MAX($A$3:A375)+1)</f>
        <v/>
      </c>
      <c r="B376" s="253"/>
      <c r="C376" s="249"/>
      <c r="D376" s="263"/>
      <c r="E376" s="251"/>
      <c r="F376" s="340" t="str">
        <f>IF($B376="","",SUM(SUMIFS('Daily Inward'!$G:$G,'Daily Inward'!$C:$C,$B376,'Daily Inward'!$E:$E,{"Inventory","Services"})))</f>
        <v/>
      </c>
      <c r="G376" s="341" t="str">
        <f>IF($B376="","",SUM(SUMIFS('Daily Issuance'!$G:$G,'Daily Issuance'!$C:$C,$B376,'Daily Issuance'!$E:$E,{"Inventory","Services"})))</f>
        <v/>
      </c>
      <c r="H376" s="42" t="str">
        <f t="shared" si="10"/>
        <v/>
      </c>
      <c r="I376" s="39"/>
      <c r="J376" s="36" t="str">
        <f t="shared" si="11"/>
        <v/>
      </c>
      <c r="K376" s="48"/>
    </row>
    <row r="377" spans="1:11" ht="23.1" customHeight="1">
      <c r="A377" s="348" t="str">
        <f>IF($B377="","",MAX($A$3:A376)+1)</f>
        <v/>
      </c>
      <c r="B377" s="253"/>
      <c r="C377" s="249"/>
      <c r="D377" s="263"/>
      <c r="E377" s="251"/>
      <c r="F377" s="340" t="str">
        <f>IF($B377="","",SUM(SUMIFS('Daily Inward'!$G:$G,'Daily Inward'!$C:$C,$B377,'Daily Inward'!$E:$E,{"Inventory","Services"})))</f>
        <v/>
      </c>
      <c r="G377" s="341" t="str">
        <f>IF($B377="","",SUM(SUMIFS('Daily Issuance'!$G:$G,'Daily Issuance'!$C:$C,$B377,'Daily Issuance'!$E:$E,{"Inventory","Services"})))</f>
        <v/>
      </c>
      <c r="H377" s="42" t="str">
        <f t="shared" si="10"/>
        <v/>
      </c>
      <c r="I377" s="39"/>
      <c r="J377" s="36" t="str">
        <f t="shared" si="11"/>
        <v/>
      </c>
      <c r="K377" s="48"/>
    </row>
    <row r="378" spans="1:11" ht="23.1" customHeight="1">
      <c r="A378" s="348" t="str">
        <f>IF($B378="","",MAX($A$3:A377)+1)</f>
        <v/>
      </c>
      <c r="B378" s="253"/>
      <c r="C378" s="249"/>
      <c r="D378" s="263"/>
      <c r="E378" s="251"/>
      <c r="F378" s="340" t="str">
        <f>IF($B378="","",SUM(SUMIFS('Daily Inward'!$G:$G,'Daily Inward'!$C:$C,$B378,'Daily Inward'!$E:$E,{"Inventory","Services"})))</f>
        <v/>
      </c>
      <c r="G378" s="341" t="str">
        <f>IF($B378="","",SUM(SUMIFS('Daily Issuance'!$G:$G,'Daily Issuance'!$C:$C,$B378,'Daily Issuance'!$E:$E,{"Inventory","Services"})))</f>
        <v/>
      </c>
      <c r="H378" s="42" t="str">
        <f t="shared" si="10"/>
        <v/>
      </c>
      <c r="I378" s="39"/>
      <c r="J378" s="36" t="str">
        <f t="shared" si="11"/>
        <v/>
      </c>
      <c r="K378" s="48"/>
    </row>
    <row r="379" spans="1:11" ht="23.1" customHeight="1">
      <c r="A379" s="348" t="str">
        <f>IF($B379="","",MAX($A$3:A378)+1)</f>
        <v/>
      </c>
      <c r="B379" s="253"/>
      <c r="C379" s="249"/>
      <c r="D379" s="263"/>
      <c r="E379" s="251"/>
      <c r="F379" s="340" t="str">
        <f>IF($B379="","",SUM(SUMIFS('Daily Inward'!$G:$G,'Daily Inward'!$C:$C,$B379,'Daily Inward'!$E:$E,{"Inventory","Services"})))</f>
        <v/>
      </c>
      <c r="G379" s="341" t="str">
        <f>IF($B379="","",SUM(SUMIFS('Daily Issuance'!$G:$G,'Daily Issuance'!$C:$C,$B379,'Daily Issuance'!$E:$E,{"Inventory","Services"})))</f>
        <v/>
      </c>
      <c r="H379" s="42" t="str">
        <f t="shared" si="10"/>
        <v/>
      </c>
      <c r="I379" s="39"/>
      <c r="J379" s="36" t="str">
        <f t="shared" si="11"/>
        <v/>
      </c>
      <c r="K379" s="48"/>
    </row>
    <row r="380" spans="1:11" ht="23.1" customHeight="1">
      <c r="A380" s="348" t="str">
        <f>IF($B380="","",MAX($A$3:A379)+1)</f>
        <v/>
      </c>
      <c r="B380" s="253"/>
      <c r="C380" s="249"/>
      <c r="D380" s="263"/>
      <c r="E380" s="251"/>
      <c r="F380" s="340" t="str">
        <f>IF($B380="","",SUM(SUMIFS('Daily Inward'!$G:$G,'Daily Inward'!$C:$C,$B380,'Daily Inward'!$E:$E,{"Inventory","Services"})))</f>
        <v/>
      </c>
      <c r="G380" s="341" t="str">
        <f>IF($B380="","",SUM(SUMIFS('Daily Issuance'!$G:$G,'Daily Issuance'!$C:$C,$B380,'Daily Issuance'!$E:$E,{"Inventory","Services"})))</f>
        <v/>
      </c>
      <c r="H380" s="42" t="str">
        <f t="shared" si="10"/>
        <v/>
      </c>
      <c r="I380" s="39"/>
      <c r="J380" s="36" t="str">
        <f t="shared" si="11"/>
        <v/>
      </c>
      <c r="K380" s="48"/>
    </row>
    <row r="381" spans="1:11" ht="23.1" customHeight="1">
      <c r="A381" s="348" t="str">
        <f>IF($B381="","",MAX($A$3:A380)+1)</f>
        <v/>
      </c>
      <c r="B381" s="253"/>
      <c r="C381" s="249"/>
      <c r="D381" s="263"/>
      <c r="E381" s="251"/>
      <c r="F381" s="340" t="str">
        <f>IF($B381="","",SUM(SUMIFS('Daily Inward'!$G:$G,'Daily Inward'!$C:$C,$B381,'Daily Inward'!$E:$E,{"Inventory","Services"})))</f>
        <v/>
      </c>
      <c r="G381" s="341" t="str">
        <f>IF($B381="","",SUM(SUMIFS('Daily Issuance'!$G:$G,'Daily Issuance'!$C:$C,$B381,'Daily Issuance'!$E:$E,{"Inventory","Services"})))</f>
        <v/>
      </c>
      <c r="H381" s="42" t="str">
        <f t="shared" si="10"/>
        <v/>
      </c>
      <c r="I381" s="39"/>
      <c r="J381" s="36" t="str">
        <f t="shared" si="11"/>
        <v/>
      </c>
      <c r="K381" s="48"/>
    </row>
    <row r="382" spans="1:11" ht="23.1" customHeight="1">
      <c r="A382" s="348" t="str">
        <f>IF($B382="","",MAX($A$3:A381)+1)</f>
        <v/>
      </c>
      <c r="B382" s="253"/>
      <c r="C382" s="249"/>
      <c r="D382" s="263"/>
      <c r="E382" s="251"/>
      <c r="F382" s="340" t="str">
        <f>IF($B382="","",SUM(SUMIFS('Daily Inward'!$G:$G,'Daily Inward'!$C:$C,$B382,'Daily Inward'!$E:$E,{"Inventory","Services"})))</f>
        <v/>
      </c>
      <c r="G382" s="341" t="str">
        <f>IF($B382="","",SUM(SUMIFS('Daily Issuance'!$G:$G,'Daily Issuance'!$C:$C,$B382,'Daily Issuance'!$E:$E,{"Inventory","Services"})))</f>
        <v/>
      </c>
      <c r="H382" s="42" t="str">
        <f t="shared" si="10"/>
        <v/>
      </c>
      <c r="I382" s="39"/>
      <c r="J382" s="36" t="str">
        <f t="shared" si="11"/>
        <v/>
      </c>
      <c r="K382" s="48"/>
    </row>
    <row r="383" spans="1:11" ht="23.1" customHeight="1">
      <c r="A383" s="348" t="str">
        <f>IF($B383="","",MAX($A$3:A382)+1)</f>
        <v/>
      </c>
      <c r="B383" s="253"/>
      <c r="C383" s="249"/>
      <c r="D383" s="263"/>
      <c r="E383" s="251"/>
      <c r="F383" s="340" t="str">
        <f>IF($B383="","",SUM(SUMIFS('Daily Inward'!$G:$G,'Daily Inward'!$C:$C,$B383,'Daily Inward'!$E:$E,{"Inventory","Services"})))</f>
        <v/>
      </c>
      <c r="G383" s="341" t="str">
        <f>IF($B383="","",SUM(SUMIFS('Daily Issuance'!$G:$G,'Daily Issuance'!$C:$C,$B383,'Daily Issuance'!$E:$E,{"Inventory","Services"})))</f>
        <v/>
      </c>
      <c r="H383" s="42" t="str">
        <f t="shared" si="10"/>
        <v/>
      </c>
      <c r="I383" s="39"/>
      <c r="J383" s="36" t="str">
        <f t="shared" si="11"/>
        <v/>
      </c>
      <c r="K383" s="48"/>
    </row>
    <row r="384" spans="1:11" ht="23.1" customHeight="1">
      <c r="A384" s="348" t="str">
        <f>IF($B384="","",MAX($A$3:A383)+1)</f>
        <v/>
      </c>
      <c r="B384" s="253"/>
      <c r="C384" s="249"/>
      <c r="D384" s="263"/>
      <c r="E384" s="251"/>
      <c r="F384" s="340" t="str">
        <f>IF($B384="","",SUM(SUMIFS('Daily Inward'!$G:$G,'Daily Inward'!$C:$C,$B384,'Daily Inward'!$E:$E,{"Inventory","Services"})))</f>
        <v/>
      </c>
      <c r="G384" s="341" t="str">
        <f>IF($B384="","",SUM(SUMIFS('Daily Issuance'!$G:$G,'Daily Issuance'!$C:$C,$B384,'Daily Issuance'!$E:$E,{"Inventory","Services"})))</f>
        <v/>
      </c>
      <c r="H384" s="42" t="str">
        <f t="shared" si="10"/>
        <v/>
      </c>
      <c r="I384" s="39"/>
      <c r="J384" s="36" t="str">
        <f t="shared" si="11"/>
        <v/>
      </c>
      <c r="K384" s="48"/>
    </row>
    <row r="385" spans="1:11" ht="23.1" customHeight="1">
      <c r="A385" s="348" t="str">
        <f>IF($B385="","",MAX($A$3:A384)+1)</f>
        <v/>
      </c>
      <c r="B385" s="253"/>
      <c r="C385" s="249"/>
      <c r="D385" s="263"/>
      <c r="E385" s="251"/>
      <c r="F385" s="340" t="str">
        <f>IF($B385="","",SUM(SUMIFS('Daily Inward'!$G:$G,'Daily Inward'!$C:$C,$B385,'Daily Inward'!$E:$E,{"Inventory","Services"})))</f>
        <v/>
      </c>
      <c r="G385" s="341" t="str">
        <f>IF($B385="","",SUM(SUMIFS('Daily Issuance'!$G:$G,'Daily Issuance'!$C:$C,$B385,'Daily Issuance'!$E:$E,{"Inventory","Services"})))</f>
        <v/>
      </c>
      <c r="H385" s="42" t="str">
        <f t="shared" si="10"/>
        <v/>
      </c>
      <c r="I385" s="39"/>
      <c r="J385" s="36" t="str">
        <f t="shared" si="11"/>
        <v/>
      </c>
      <c r="K385" s="48"/>
    </row>
    <row r="386" spans="1:11" ht="23.1" customHeight="1">
      <c r="A386" s="348" t="str">
        <f>IF($B386="","",MAX($A$3:A385)+1)</f>
        <v/>
      </c>
      <c r="B386" s="253"/>
      <c r="C386" s="249"/>
      <c r="D386" s="263"/>
      <c r="E386" s="251"/>
      <c r="F386" s="340" t="str">
        <f>IF($B386="","",SUM(SUMIFS('Daily Inward'!$G:$G,'Daily Inward'!$C:$C,$B386,'Daily Inward'!$E:$E,{"Inventory","Services"})))</f>
        <v/>
      </c>
      <c r="G386" s="341" t="str">
        <f>IF($B386="","",SUM(SUMIFS('Daily Issuance'!$G:$G,'Daily Issuance'!$C:$C,$B386,'Daily Issuance'!$E:$E,{"Inventory","Services"})))</f>
        <v/>
      </c>
      <c r="H386" s="42" t="str">
        <f t="shared" si="10"/>
        <v/>
      </c>
      <c r="I386" s="39"/>
      <c r="J386" s="36" t="str">
        <f t="shared" si="11"/>
        <v/>
      </c>
      <c r="K386" s="48"/>
    </row>
    <row r="387" spans="1:11" ht="23.1" customHeight="1">
      <c r="A387" s="348" t="str">
        <f>IF($B387="","",MAX($A$3:A386)+1)</f>
        <v/>
      </c>
      <c r="B387" s="253"/>
      <c r="C387" s="249"/>
      <c r="D387" s="263"/>
      <c r="E387" s="251"/>
      <c r="F387" s="340" t="str">
        <f>IF($B387="","",SUM(SUMIFS('Daily Inward'!$G:$G,'Daily Inward'!$C:$C,$B387,'Daily Inward'!$E:$E,{"Inventory","Services"})))</f>
        <v/>
      </c>
      <c r="G387" s="341" t="str">
        <f>IF($B387="","",SUM(SUMIFS('Daily Issuance'!$G:$G,'Daily Issuance'!$C:$C,$B387,'Daily Issuance'!$E:$E,{"Inventory","Services"})))</f>
        <v/>
      </c>
      <c r="H387" s="42" t="str">
        <f t="shared" si="10"/>
        <v/>
      </c>
      <c r="I387" s="39"/>
      <c r="J387" s="36" t="str">
        <f t="shared" si="11"/>
        <v/>
      </c>
      <c r="K387" s="48"/>
    </row>
    <row r="388" spans="1:11" ht="23.1" customHeight="1">
      <c r="A388" s="348" t="str">
        <f>IF($B388="","",MAX($A$3:A387)+1)</f>
        <v/>
      </c>
      <c r="B388" s="253"/>
      <c r="C388" s="249"/>
      <c r="D388" s="263"/>
      <c r="E388" s="251"/>
      <c r="F388" s="340" t="str">
        <f>IF($B388="","",SUM(SUMIFS('Daily Inward'!$G:$G,'Daily Inward'!$C:$C,$B388,'Daily Inward'!$E:$E,{"Inventory","Services"})))</f>
        <v/>
      </c>
      <c r="G388" s="341" t="str">
        <f>IF($B388="","",SUM(SUMIFS('Daily Issuance'!$G:$G,'Daily Issuance'!$C:$C,$B388,'Daily Issuance'!$E:$E,{"Inventory","Services"})))</f>
        <v/>
      </c>
      <c r="H388" s="42" t="str">
        <f t="shared" ref="H388:H451" si="12">IF($B388="","",N(E388)+N(F388)-N(G388))</f>
        <v/>
      </c>
      <c r="I388" s="39"/>
      <c r="J388" s="36" t="str">
        <f t="shared" ref="J388:J451" si="13">IF($B388="","",H388*I388)</f>
        <v/>
      </c>
      <c r="K388" s="48"/>
    </row>
    <row r="389" spans="1:11" ht="23.1" customHeight="1">
      <c r="A389" s="348" t="str">
        <f>IF($B389="","",MAX($A$3:A388)+1)</f>
        <v/>
      </c>
      <c r="B389" s="253"/>
      <c r="C389" s="249"/>
      <c r="D389" s="263"/>
      <c r="E389" s="251"/>
      <c r="F389" s="340" t="str">
        <f>IF($B389="","",SUM(SUMIFS('Daily Inward'!$G:$G,'Daily Inward'!$C:$C,$B389,'Daily Inward'!$E:$E,{"Inventory","Services"})))</f>
        <v/>
      </c>
      <c r="G389" s="341" t="str">
        <f>IF($B389="","",SUM(SUMIFS('Daily Issuance'!$G:$G,'Daily Issuance'!$C:$C,$B389,'Daily Issuance'!$E:$E,{"Inventory","Services"})))</f>
        <v/>
      </c>
      <c r="H389" s="42" t="str">
        <f t="shared" si="12"/>
        <v/>
      </c>
      <c r="I389" s="39"/>
      <c r="J389" s="36" t="str">
        <f t="shared" si="13"/>
        <v/>
      </c>
      <c r="K389" s="48"/>
    </row>
    <row r="390" spans="1:11" ht="23.1" customHeight="1">
      <c r="A390" s="348" t="str">
        <f>IF($B390="","",MAX($A$3:A389)+1)</f>
        <v/>
      </c>
      <c r="B390" s="253"/>
      <c r="C390" s="249"/>
      <c r="D390" s="263"/>
      <c r="E390" s="251"/>
      <c r="F390" s="340" t="str">
        <f>IF($B390="","",SUM(SUMIFS('Daily Inward'!$G:$G,'Daily Inward'!$C:$C,$B390,'Daily Inward'!$E:$E,{"Inventory","Services"})))</f>
        <v/>
      </c>
      <c r="G390" s="341" t="str">
        <f>IF($B390="","",SUM(SUMIFS('Daily Issuance'!$G:$G,'Daily Issuance'!$C:$C,$B390,'Daily Issuance'!$E:$E,{"Inventory","Services"})))</f>
        <v/>
      </c>
      <c r="H390" s="42" t="str">
        <f t="shared" si="12"/>
        <v/>
      </c>
      <c r="I390" s="39"/>
      <c r="J390" s="36" t="str">
        <f t="shared" si="13"/>
        <v/>
      </c>
      <c r="K390" s="48"/>
    </row>
    <row r="391" spans="1:11" ht="23.1" customHeight="1">
      <c r="A391" s="348" t="str">
        <f>IF($B391="","",MAX($A$3:A390)+1)</f>
        <v/>
      </c>
      <c r="B391" s="253"/>
      <c r="C391" s="249"/>
      <c r="D391" s="263"/>
      <c r="E391" s="251"/>
      <c r="F391" s="340" t="str">
        <f>IF($B391="","",SUM(SUMIFS('Daily Inward'!$G:$G,'Daily Inward'!$C:$C,$B391,'Daily Inward'!$E:$E,{"Inventory","Services"})))</f>
        <v/>
      </c>
      <c r="G391" s="341" t="str">
        <f>IF($B391="","",SUM(SUMIFS('Daily Issuance'!$G:$G,'Daily Issuance'!$C:$C,$B391,'Daily Issuance'!$E:$E,{"Inventory","Services"})))</f>
        <v/>
      </c>
      <c r="H391" s="42" t="str">
        <f t="shared" si="12"/>
        <v/>
      </c>
      <c r="I391" s="39"/>
      <c r="J391" s="36" t="str">
        <f t="shared" si="13"/>
        <v/>
      </c>
      <c r="K391" s="48"/>
    </row>
    <row r="392" spans="1:11" ht="23.1" customHeight="1">
      <c r="A392" s="348" t="str">
        <f>IF($B392="","",MAX($A$3:A391)+1)</f>
        <v/>
      </c>
      <c r="B392" s="253"/>
      <c r="C392" s="249"/>
      <c r="D392" s="263"/>
      <c r="E392" s="251"/>
      <c r="F392" s="340" t="str">
        <f>IF($B392="","",SUM(SUMIFS('Daily Inward'!$G:$G,'Daily Inward'!$C:$C,$B392,'Daily Inward'!$E:$E,{"Inventory","Services"})))</f>
        <v/>
      </c>
      <c r="G392" s="341" t="str">
        <f>IF($B392="","",SUM(SUMIFS('Daily Issuance'!$G:$G,'Daily Issuance'!$C:$C,$B392,'Daily Issuance'!$E:$E,{"Inventory","Services"})))</f>
        <v/>
      </c>
      <c r="H392" s="42" t="str">
        <f t="shared" si="12"/>
        <v/>
      </c>
      <c r="I392" s="39"/>
      <c r="J392" s="36" t="str">
        <f t="shared" si="13"/>
        <v/>
      </c>
      <c r="K392" s="48"/>
    </row>
    <row r="393" spans="1:11" ht="23.1" customHeight="1">
      <c r="A393" s="348" t="str">
        <f>IF($B393="","",MAX($A$3:A392)+1)</f>
        <v/>
      </c>
      <c r="B393" s="253"/>
      <c r="C393" s="249"/>
      <c r="D393" s="263"/>
      <c r="E393" s="251"/>
      <c r="F393" s="340" t="str">
        <f>IF($B393="","",SUM(SUMIFS('Daily Inward'!$G:$G,'Daily Inward'!$C:$C,$B393,'Daily Inward'!$E:$E,{"Inventory","Services"})))</f>
        <v/>
      </c>
      <c r="G393" s="341" t="str">
        <f>IF($B393="","",SUM(SUMIFS('Daily Issuance'!$G:$G,'Daily Issuance'!$C:$C,$B393,'Daily Issuance'!$E:$E,{"Inventory","Services"})))</f>
        <v/>
      </c>
      <c r="H393" s="42" t="str">
        <f t="shared" si="12"/>
        <v/>
      </c>
      <c r="I393" s="39"/>
      <c r="J393" s="36" t="str">
        <f t="shared" si="13"/>
        <v/>
      </c>
      <c r="K393" s="48"/>
    </row>
    <row r="394" spans="1:11" ht="23.1" customHeight="1">
      <c r="A394" s="348" t="str">
        <f>IF($B394="","",MAX($A$3:A393)+1)</f>
        <v/>
      </c>
      <c r="B394" s="253"/>
      <c r="C394" s="249"/>
      <c r="D394" s="263"/>
      <c r="E394" s="251"/>
      <c r="F394" s="340" t="str">
        <f>IF($B394="","",SUM(SUMIFS('Daily Inward'!$G:$G,'Daily Inward'!$C:$C,$B394,'Daily Inward'!$E:$E,{"Inventory","Services"})))</f>
        <v/>
      </c>
      <c r="G394" s="341" t="str">
        <f>IF($B394="","",SUM(SUMIFS('Daily Issuance'!$G:$G,'Daily Issuance'!$C:$C,$B394,'Daily Issuance'!$E:$E,{"Inventory","Services"})))</f>
        <v/>
      </c>
      <c r="H394" s="42" t="str">
        <f t="shared" si="12"/>
        <v/>
      </c>
      <c r="I394" s="39"/>
      <c r="J394" s="36" t="str">
        <f t="shared" si="13"/>
        <v/>
      </c>
      <c r="K394" s="48"/>
    </row>
    <row r="395" spans="1:11" ht="23.1" customHeight="1">
      <c r="A395" s="348" t="str">
        <f>IF($B395="","",MAX($A$3:A394)+1)</f>
        <v/>
      </c>
      <c r="B395" s="253"/>
      <c r="C395" s="249"/>
      <c r="D395" s="263"/>
      <c r="E395" s="251"/>
      <c r="F395" s="340" t="str">
        <f>IF($B395="","",SUM(SUMIFS('Daily Inward'!$G:$G,'Daily Inward'!$C:$C,$B395,'Daily Inward'!$E:$E,{"Inventory","Services"})))</f>
        <v/>
      </c>
      <c r="G395" s="341" t="str">
        <f>IF($B395="","",SUM(SUMIFS('Daily Issuance'!$G:$G,'Daily Issuance'!$C:$C,$B395,'Daily Issuance'!$E:$E,{"Inventory","Services"})))</f>
        <v/>
      </c>
      <c r="H395" s="42" t="str">
        <f t="shared" si="12"/>
        <v/>
      </c>
      <c r="I395" s="39"/>
      <c r="J395" s="36" t="str">
        <f t="shared" si="13"/>
        <v/>
      </c>
      <c r="K395" s="48"/>
    </row>
    <row r="396" spans="1:11" ht="23.1" customHeight="1">
      <c r="A396" s="348" t="str">
        <f>IF($B396="","",MAX($A$3:A395)+1)</f>
        <v/>
      </c>
      <c r="B396" s="253"/>
      <c r="C396" s="249"/>
      <c r="D396" s="263"/>
      <c r="E396" s="251"/>
      <c r="F396" s="340" t="str">
        <f>IF($B396="","",SUM(SUMIFS('Daily Inward'!$G:$G,'Daily Inward'!$C:$C,$B396,'Daily Inward'!$E:$E,{"Inventory","Services"})))</f>
        <v/>
      </c>
      <c r="G396" s="341" t="str">
        <f>IF($B396="","",SUM(SUMIFS('Daily Issuance'!$G:$G,'Daily Issuance'!$C:$C,$B396,'Daily Issuance'!$E:$E,{"Inventory","Services"})))</f>
        <v/>
      </c>
      <c r="H396" s="42" t="str">
        <f t="shared" si="12"/>
        <v/>
      </c>
      <c r="I396" s="39"/>
      <c r="J396" s="36" t="str">
        <f t="shared" si="13"/>
        <v/>
      </c>
      <c r="K396" s="48"/>
    </row>
    <row r="397" spans="1:11" ht="23.1" customHeight="1">
      <c r="A397" s="348" t="str">
        <f>IF($B397="","",MAX($A$3:A396)+1)</f>
        <v/>
      </c>
      <c r="B397" s="253"/>
      <c r="C397" s="249"/>
      <c r="D397" s="263"/>
      <c r="E397" s="251"/>
      <c r="F397" s="340" t="str">
        <f>IF($B397="","",SUM(SUMIFS('Daily Inward'!$G:$G,'Daily Inward'!$C:$C,$B397,'Daily Inward'!$E:$E,{"Inventory","Services"})))</f>
        <v/>
      </c>
      <c r="G397" s="341" t="str">
        <f>IF($B397="","",SUM(SUMIFS('Daily Issuance'!$G:$G,'Daily Issuance'!$C:$C,$B397,'Daily Issuance'!$E:$E,{"Inventory","Services"})))</f>
        <v/>
      </c>
      <c r="H397" s="42" t="str">
        <f t="shared" si="12"/>
        <v/>
      </c>
      <c r="I397" s="39"/>
      <c r="J397" s="36" t="str">
        <f t="shared" si="13"/>
        <v/>
      </c>
      <c r="K397" s="48"/>
    </row>
    <row r="398" spans="1:11" ht="23.1" customHeight="1">
      <c r="A398" s="348" t="str">
        <f>IF($B398="","",MAX($A$3:A397)+1)</f>
        <v/>
      </c>
      <c r="B398" s="253"/>
      <c r="C398" s="249"/>
      <c r="D398" s="263"/>
      <c r="E398" s="251"/>
      <c r="F398" s="340" t="str">
        <f>IF($B398="","",SUM(SUMIFS('Daily Inward'!$G:$G,'Daily Inward'!$C:$C,$B398,'Daily Inward'!$E:$E,{"Inventory","Services"})))</f>
        <v/>
      </c>
      <c r="G398" s="341" t="str">
        <f>IF($B398="","",SUM(SUMIFS('Daily Issuance'!$G:$G,'Daily Issuance'!$C:$C,$B398,'Daily Issuance'!$E:$E,{"Inventory","Services"})))</f>
        <v/>
      </c>
      <c r="H398" s="42" t="str">
        <f t="shared" si="12"/>
        <v/>
      </c>
      <c r="I398" s="39"/>
      <c r="J398" s="36" t="str">
        <f t="shared" si="13"/>
        <v/>
      </c>
      <c r="K398" s="48"/>
    </row>
    <row r="399" spans="1:11" ht="23.1" customHeight="1">
      <c r="A399" s="348" t="str">
        <f>IF($B399="","",MAX($A$3:A398)+1)</f>
        <v/>
      </c>
      <c r="B399" s="253"/>
      <c r="C399" s="249"/>
      <c r="D399" s="263"/>
      <c r="E399" s="251"/>
      <c r="F399" s="340" t="str">
        <f>IF($B399="","",SUM(SUMIFS('Daily Inward'!$G:$G,'Daily Inward'!$C:$C,$B399,'Daily Inward'!$E:$E,{"Inventory","Services"})))</f>
        <v/>
      </c>
      <c r="G399" s="341" t="str">
        <f>IF($B399="","",SUM(SUMIFS('Daily Issuance'!$G:$G,'Daily Issuance'!$C:$C,$B399,'Daily Issuance'!$E:$E,{"Inventory","Services"})))</f>
        <v/>
      </c>
      <c r="H399" s="42" t="str">
        <f t="shared" si="12"/>
        <v/>
      </c>
      <c r="I399" s="39"/>
      <c r="J399" s="36" t="str">
        <f t="shared" si="13"/>
        <v/>
      </c>
      <c r="K399" s="48"/>
    </row>
    <row r="400" spans="1:11" ht="23.1" customHeight="1">
      <c r="A400" s="348" t="str">
        <f>IF($B400="","",MAX($A$3:A399)+1)</f>
        <v/>
      </c>
      <c r="B400" s="253"/>
      <c r="C400" s="249"/>
      <c r="D400" s="263"/>
      <c r="E400" s="251"/>
      <c r="F400" s="340" t="str">
        <f>IF($B400="","",SUM(SUMIFS('Daily Inward'!$G:$G,'Daily Inward'!$C:$C,$B400,'Daily Inward'!$E:$E,{"Inventory","Services"})))</f>
        <v/>
      </c>
      <c r="G400" s="341" t="str">
        <f>IF($B400="","",SUM(SUMIFS('Daily Issuance'!$G:$G,'Daily Issuance'!$C:$C,$B400,'Daily Issuance'!$E:$E,{"Inventory","Services"})))</f>
        <v/>
      </c>
      <c r="H400" s="42" t="str">
        <f t="shared" si="12"/>
        <v/>
      </c>
      <c r="I400" s="39"/>
      <c r="J400" s="36" t="str">
        <f t="shared" si="13"/>
        <v/>
      </c>
      <c r="K400" s="48"/>
    </row>
    <row r="401" spans="1:11" ht="23.1" customHeight="1">
      <c r="A401" s="348" t="str">
        <f>IF($B401="","",MAX($A$3:A400)+1)</f>
        <v/>
      </c>
      <c r="B401" s="253"/>
      <c r="C401" s="249"/>
      <c r="D401" s="263"/>
      <c r="E401" s="251"/>
      <c r="F401" s="340" t="str">
        <f>IF($B401="","",SUM(SUMIFS('Daily Inward'!$G:$G,'Daily Inward'!$C:$C,$B401,'Daily Inward'!$E:$E,{"Inventory","Services"})))</f>
        <v/>
      </c>
      <c r="G401" s="341" t="str">
        <f>IF($B401="","",SUM(SUMIFS('Daily Issuance'!$G:$G,'Daily Issuance'!$C:$C,$B401,'Daily Issuance'!$E:$E,{"Inventory","Services"})))</f>
        <v/>
      </c>
      <c r="H401" s="42" t="str">
        <f t="shared" si="12"/>
        <v/>
      </c>
      <c r="I401" s="39"/>
      <c r="J401" s="36" t="str">
        <f t="shared" si="13"/>
        <v/>
      </c>
      <c r="K401" s="48"/>
    </row>
    <row r="402" spans="1:11" ht="23.1" customHeight="1">
      <c r="A402" s="348" t="str">
        <f>IF($B402="","",MAX($A$3:A401)+1)</f>
        <v/>
      </c>
      <c r="B402" s="253"/>
      <c r="C402" s="249"/>
      <c r="D402" s="263"/>
      <c r="E402" s="251"/>
      <c r="F402" s="340" t="str">
        <f>IF($B402="","",SUM(SUMIFS('Daily Inward'!$G:$G,'Daily Inward'!$C:$C,$B402,'Daily Inward'!$E:$E,{"Inventory","Services"})))</f>
        <v/>
      </c>
      <c r="G402" s="341" t="str">
        <f>IF($B402="","",SUM(SUMIFS('Daily Issuance'!$G:$G,'Daily Issuance'!$C:$C,$B402,'Daily Issuance'!$E:$E,{"Inventory","Services"})))</f>
        <v/>
      </c>
      <c r="H402" s="42" t="str">
        <f t="shared" si="12"/>
        <v/>
      </c>
      <c r="I402" s="39"/>
      <c r="J402" s="36" t="str">
        <f t="shared" si="13"/>
        <v/>
      </c>
      <c r="K402" s="48"/>
    </row>
    <row r="403" spans="1:11" ht="23.1" customHeight="1">
      <c r="A403" s="348" t="str">
        <f>IF($B403="","",MAX($A$3:A402)+1)</f>
        <v/>
      </c>
      <c r="B403" s="253"/>
      <c r="C403" s="249"/>
      <c r="D403" s="263"/>
      <c r="E403" s="251"/>
      <c r="F403" s="340" t="str">
        <f>IF($B403="","",SUM(SUMIFS('Daily Inward'!$G:$G,'Daily Inward'!$C:$C,$B403,'Daily Inward'!$E:$E,{"Inventory","Services"})))</f>
        <v/>
      </c>
      <c r="G403" s="341" t="str">
        <f>IF($B403="","",SUM(SUMIFS('Daily Issuance'!$G:$G,'Daily Issuance'!$C:$C,$B403,'Daily Issuance'!$E:$E,{"Inventory","Services"})))</f>
        <v/>
      </c>
      <c r="H403" s="42" t="str">
        <f t="shared" si="12"/>
        <v/>
      </c>
      <c r="I403" s="39"/>
      <c r="J403" s="36" t="str">
        <f t="shared" si="13"/>
        <v/>
      </c>
      <c r="K403" s="48"/>
    </row>
    <row r="404" spans="1:11" ht="23.1" customHeight="1">
      <c r="A404" s="348" t="str">
        <f>IF($B404="","",MAX($A$3:A403)+1)</f>
        <v/>
      </c>
      <c r="B404" s="253"/>
      <c r="C404" s="249"/>
      <c r="D404" s="263"/>
      <c r="E404" s="251"/>
      <c r="F404" s="340" t="str">
        <f>IF($B404="","",SUM(SUMIFS('Daily Inward'!$G:$G,'Daily Inward'!$C:$C,$B404,'Daily Inward'!$E:$E,{"Inventory","Services"})))</f>
        <v/>
      </c>
      <c r="G404" s="341" t="str">
        <f>IF($B404="","",SUM(SUMIFS('Daily Issuance'!$G:$G,'Daily Issuance'!$C:$C,$B404,'Daily Issuance'!$E:$E,{"Inventory","Services"})))</f>
        <v/>
      </c>
      <c r="H404" s="42" t="str">
        <f t="shared" si="12"/>
        <v/>
      </c>
      <c r="I404" s="39"/>
      <c r="J404" s="36" t="str">
        <f t="shared" si="13"/>
        <v/>
      </c>
      <c r="K404" s="48"/>
    </row>
    <row r="405" spans="1:11" ht="23.1" customHeight="1">
      <c r="A405" s="348" t="str">
        <f>IF($B405="","",MAX($A$3:A404)+1)</f>
        <v/>
      </c>
      <c r="B405" s="253"/>
      <c r="C405" s="249"/>
      <c r="D405" s="263"/>
      <c r="E405" s="251"/>
      <c r="F405" s="340" t="str">
        <f>IF($B405="","",SUM(SUMIFS('Daily Inward'!$G:$G,'Daily Inward'!$C:$C,$B405,'Daily Inward'!$E:$E,{"Inventory","Services"})))</f>
        <v/>
      </c>
      <c r="G405" s="341" t="str">
        <f>IF($B405="","",SUM(SUMIFS('Daily Issuance'!$G:$G,'Daily Issuance'!$C:$C,$B405,'Daily Issuance'!$E:$E,{"Inventory","Services"})))</f>
        <v/>
      </c>
      <c r="H405" s="42" t="str">
        <f t="shared" si="12"/>
        <v/>
      </c>
      <c r="I405" s="39"/>
      <c r="J405" s="36" t="str">
        <f t="shared" si="13"/>
        <v/>
      </c>
      <c r="K405" s="48"/>
    </row>
    <row r="406" spans="1:11" ht="23.1" customHeight="1">
      <c r="A406" s="348" t="str">
        <f>IF($B406="","",MAX($A$3:A405)+1)</f>
        <v/>
      </c>
      <c r="B406" s="253"/>
      <c r="C406" s="249"/>
      <c r="D406" s="263"/>
      <c r="E406" s="251"/>
      <c r="F406" s="340" t="str">
        <f>IF($B406="","",SUM(SUMIFS('Daily Inward'!$G:$G,'Daily Inward'!$C:$C,$B406,'Daily Inward'!$E:$E,{"Inventory","Services"})))</f>
        <v/>
      </c>
      <c r="G406" s="341" t="str">
        <f>IF($B406="","",SUM(SUMIFS('Daily Issuance'!$G:$G,'Daily Issuance'!$C:$C,$B406,'Daily Issuance'!$E:$E,{"Inventory","Services"})))</f>
        <v/>
      </c>
      <c r="H406" s="42" t="str">
        <f t="shared" si="12"/>
        <v/>
      </c>
      <c r="I406" s="39"/>
      <c r="J406" s="36" t="str">
        <f t="shared" si="13"/>
        <v/>
      </c>
      <c r="K406" s="48"/>
    </row>
    <row r="407" spans="1:11" ht="23.1" customHeight="1">
      <c r="A407" s="348" t="str">
        <f>IF($B407="","",MAX($A$3:A406)+1)</f>
        <v/>
      </c>
      <c r="B407" s="253"/>
      <c r="C407" s="249"/>
      <c r="D407" s="263"/>
      <c r="E407" s="251"/>
      <c r="F407" s="340" t="str">
        <f>IF($B407="","",SUM(SUMIFS('Daily Inward'!$G:$G,'Daily Inward'!$C:$C,$B407,'Daily Inward'!$E:$E,{"Inventory","Services"})))</f>
        <v/>
      </c>
      <c r="G407" s="341" t="str">
        <f>IF($B407="","",SUM(SUMIFS('Daily Issuance'!$G:$G,'Daily Issuance'!$C:$C,$B407,'Daily Issuance'!$E:$E,{"Inventory","Services"})))</f>
        <v/>
      </c>
      <c r="H407" s="42" t="str">
        <f t="shared" si="12"/>
        <v/>
      </c>
      <c r="I407" s="39"/>
      <c r="J407" s="36" t="str">
        <f t="shared" si="13"/>
        <v/>
      </c>
      <c r="K407" s="48"/>
    </row>
    <row r="408" spans="1:11" ht="23.1" customHeight="1">
      <c r="A408" s="348" t="str">
        <f>IF($B408="","",MAX($A$3:A407)+1)</f>
        <v/>
      </c>
      <c r="B408" s="253"/>
      <c r="C408" s="249"/>
      <c r="D408" s="263"/>
      <c r="E408" s="251"/>
      <c r="F408" s="340" t="str">
        <f>IF($B408="","",SUM(SUMIFS('Daily Inward'!$G:$G,'Daily Inward'!$C:$C,$B408,'Daily Inward'!$E:$E,{"Inventory","Services"})))</f>
        <v/>
      </c>
      <c r="G408" s="341" t="str">
        <f>IF($B408="","",SUM(SUMIFS('Daily Issuance'!$G:$G,'Daily Issuance'!$C:$C,$B408,'Daily Issuance'!$E:$E,{"Inventory","Services"})))</f>
        <v/>
      </c>
      <c r="H408" s="42" t="str">
        <f t="shared" si="12"/>
        <v/>
      </c>
      <c r="I408" s="39"/>
      <c r="J408" s="36" t="str">
        <f t="shared" si="13"/>
        <v/>
      </c>
      <c r="K408" s="48"/>
    </row>
    <row r="409" spans="1:11" ht="23.1" customHeight="1">
      <c r="A409" s="348" t="str">
        <f>IF($B409="","",MAX($A$3:A408)+1)</f>
        <v/>
      </c>
      <c r="B409" s="253"/>
      <c r="C409" s="249"/>
      <c r="D409" s="263"/>
      <c r="E409" s="251"/>
      <c r="F409" s="340" t="str">
        <f>IF($B409="","",SUM(SUMIFS('Daily Inward'!$G:$G,'Daily Inward'!$C:$C,$B409,'Daily Inward'!$E:$E,{"Inventory","Services"})))</f>
        <v/>
      </c>
      <c r="G409" s="341" t="str">
        <f>IF($B409="","",SUM(SUMIFS('Daily Issuance'!$G:$G,'Daily Issuance'!$C:$C,$B409,'Daily Issuance'!$E:$E,{"Inventory","Services"})))</f>
        <v/>
      </c>
      <c r="H409" s="42" t="str">
        <f t="shared" si="12"/>
        <v/>
      </c>
      <c r="I409" s="39"/>
      <c r="J409" s="36" t="str">
        <f t="shared" si="13"/>
        <v/>
      </c>
      <c r="K409" s="48"/>
    </row>
    <row r="410" spans="1:11" ht="23.1" customHeight="1">
      <c r="A410" s="348" t="str">
        <f>IF($B410="","",MAX($A$3:A409)+1)</f>
        <v/>
      </c>
      <c r="B410" s="253"/>
      <c r="C410" s="249"/>
      <c r="D410" s="263"/>
      <c r="E410" s="251"/>
      <c r="F410" s="340" t="str">
        <f>IF($B410="","",SUM(SUMIFS('Daily Inward'!$G:$G,'Daily Inward'!$C:$C,$B410,'Daily Inward'!$E:$E,{"Inventory","Services"})))</f>
        <v/>
      </c>
      <c r="G410" s="341" t="str">
        <f>IF($B410="","",SUM(SUMIFS('Daily Issuance'!$G:$G,'Daily Issuance'!$C:$C,$B410,'Daily Issuance'!$E:$E,{"Inventory","Services"})))</f>
        <v/>
      </c>
      <c r="H410" s="42" t="str">
        <f t="shared" si="12"/>
        <v/>
      </c>
      <c r="I410" s="39"/>
      <c r="J410" s="36" t="str">
        <f t="shared" si="13"/>
        <v/>
      </c>
      <c r="K410" s="48"/>
    </row>
    <row r="411" spans="1:11" ht="23.1" customHeight="1">
      <c r="A411" s="348" t="str">
        <f>IF($B411="","",MAX($A$3:A410)+1)</f>
        <v/>
      </c>
      <c r="B411" s="253"/>
      <c r="C411" s="249"/>
      <c r="D411" s="263"/>
      <c r="E411" s="251"/>
      <c r="F411" s="340" t="str">
        <f>IF($B411="","",SUM(SUMIFS('Daily Inward'!$G:$G,'Daily Inward'!$C:$C,$B411,'Daily Inward'!$E:$E,{"Inventory","Services"})))</f>
        <v/>
      </c>
      <c r="G411" s="341" t="str">
        <f>IF($B411="","",SUM(SUMIFS('Daily Issuance'!$G:$G,'Daily Issuance'!$C:$C,$B411,'Daily Issuance'!$E:$E,{"Inventory","Services"})))</f>
        <v/>
      </c>
      <c r="H411" s="42" t="str">
        <f t="shared" si="12"/>
        <v/>
      </c>
      <c r="I411" s="39"/>
      <c r="J411" s="36" t="str">
        <f t="shared" si="13"/>
        <v/>
      </c>
      <c r="K411" s="48"/>
    </row>
    <row r="412" spans="1:11" ht="23.1" customHeight="1">
      <c r="A412" s="348" t="str">
        <f>IF($B412="","",MAX($A$3:A411)+1)</f>
        <v/>
      </c>
      <c r="B412" s="253"/>
      <c r="C412" s="249"/>
      <c r="D412" s="263"/>
      <c r="E412" s="251"/>
      <c r="F412" s="340" t="str">
        <f>IF($B412="","",SUM(SUMIFS('Daily Inward'!$G:$G,'Daily Inward'!$C:$C,$B412,'Daily Inward'!$E:$E,{"Inventory","Services"})))</f>
        <v/>
      </c>
      <c r="G412" s="341" t="str">
        <f>IF($B412="","",SUM(SUMIFS('Daily Issuance'!$G:$G,'Daily Issuance'!$C:$C,$B412,'Daily Issuance'!$E:$E,{"Inventory","Services"})))</f>
        <v/>
      </c>
      <c r="H412" s="42" t="str">
        <f t="shared" si="12"/>
        <v/>
      </c>
      <c r="I412" s="39"/>
      <c r="J412" s="36" t="str">
        <f t="shared" si="13"/>
        <v/>
      </c>
      <c r="K412" s="48"/>
    </row>
    <row r="413" spans="1:11" ht="23.1" customHeight="1">
      <c r="A413" s="348" t="str">
        <f>IF($B413="","",MAX($A$3:A412)+1)</f>
        <v/>
      </c>
      <c r="B413" s="253"/>
      <c r="C413" s="249"/>
      <c r="D413" s="263"/>
      <c r="E413" s="251"/>
      <c r="F413" s="340" t="str">
        <f>IF($B413="","",SUM(SUMIFS('Daily Inward'!$G:$G,'Daily Inward'!$C:$C,$B413,'Daily Inward'!$E:$E,{"Inventory","Services"})))</f>
        <v/>
      </c>
      <c r="G413" s="341" t="str">
        <f>IF($B413="","",SUM(SUMIFS('Daily Issuance'!$G:$G,'Daily Issuance'!$C:$C,$B413,'Daily Issuance'!$E:$E,{"Inventory","Services"})))</f>
        <v/>
      </c>
      <c r="H413" s="42" t="str">
        <f t="shared" si="12"/>
        <v/>
      </c>
      <c r="I413" s="39"/>
      <c r="J413" s="36" t="str">
        <f t="shared" si="13"/>
        <v/>
      </c>
      <c r="K413" s="48"/>
    </row>
    <row r="414" spans="1:11" ht="23.1" customHeight="1">
      <c r="A414" s="348" t="str">
        <f>IF($B414="","",MAX($A$3:A413)+1)</f>
        <v/>
      </c>
      <c r="B414" s="253"/>
      <c r="C414" s="249"/>
      <c r="D414" s="263"/>
      <c r="E414" s="251"/>
      <c r="F414" s="340" t="str">
        <f>IF($B414="","",SUM(SUMIFS('Daily Inward'!$G:$G,'Daily Inward'!$C:$C,$B414,'Daily Inward'!$E:$E,{"Inventory","Services"})))</f>
        <v/>
      </c>
      <c r="G414" s="341" t="str">
        <f>IF($B414="","",SUM(SUMIFS('Daily Issuance'!$G:$G,'Daily Issuance'!$C:$C,$B414,'Daily Issuance'!$E:$E,{"Inventory","Services"})))</f>
        <v/>
      </c>
      <c r="H414" s="42" t="str">
        <f t="shared" si="12"/>
        <v/>
      </c>
      <c r="I414" s="39"/>
      <c r="J414" s="36" t="str">
        <f t="shared" si="13"/>
        <v/>
      </c>
      <c r="K414" s="48"/>
    </row>
    <row r="415" spans="1:11" ht="23.1" customHeight="1">
      <c r="A415" s="348" t="str">
        <f>IF($B415="","",MAX($A$3:A414)+1)</f>
        <v/>
      </c>
      <c r="B415" s="253"/>
      <c r="C415" s="249"/>
      <c r="D415" s="263"/>
      <c r="E415" s="251"/>
      <c r="F415" s="340" t="str">
        <f>IF($B415="","",SUM(SUMIFS('Daily Inward'!$G:$G,'Daily Inward'!$C:$C,$B415,'Daily Inward'!$E:$E,{"Inventory","Services"})))</f>
        <v/>
      </c>
      <c r="G415" s="341" t="str">
        <f>IF($B415="","",SUM(SUMIFS('Daily Issuance'!$G:$G,'Daily Issuance'!$C:$C,$B415,'Daily Issuance'!$E:$E,{"Inventory","Services"})))</f>
        <v/>
      </c>
      <c r="H415" s="42" t="str">
        <f t="shared" si="12"/>
        <v/>
      </c>
      <c r="I415" s="39"/>
      <c r="J415" s="36" t="str">
        <f t="shared" si="13"/>
        <v/>
      </c>
      <c r="K415" s="48"/>
    </row>
    <row r="416" spans="1:11" ht="23.1" customHeight="1">
      <c r="A416" s="348" t="str">
        <f>IF($B416="","",MAX($A$3:A415)+1)</f>
        <v/>
      </c>
      <c r="B416" s="253"/>
      <c r="C416" s="249"/>
      <c r="D416" s="263"/>
      <c r="E416" s="251"/>
      <c r="F416" s="340" t="str">
        <f>IF($B416="","",SUM(SUMIFS('Daily Inward'!$G:$G,'Daily Inward'!$C:$C,$B416,'Daily Inward'!$E:$E,{"Inventory","Services"})))</f>
        <v/>
      </c>
      <c r="G416" s="341" t="str">
        <f>IF($B416="","",SUM(SUMIFS('Daily Issuance'!$G:$G,'Daily Issuance'!$C:$C,$B416,'Daily Issuance'!$E:$E,{"Inventory","Services"})))</f>
        <v/>
      </c>
      <c r="H416" s="42" t="str">
        <f t="shared" si="12"/>
        <v/>
      </c>
      <c r="I416" s="39"/>
      <c r="J416" s="36" t="str">
        <f t="shared" si="13"/>
        <v/>
      </c>
      <c r="K416" s="48"/>
    </row>
    <row r="417" spans="1:11" ht="23.1" customHeight="1">
      <c r="A417" s="348" t="str">
        <f>IF($B417="","",MAX($A$3:A416)+1)</f>
        <v/>
      </c>
      <c r="B417" s="253"/>
      <c r="C417" s="249"/>
      <c r="D417" s="263"/>
      <c r="E417" s="251"/>
      <c r="F417" s="340" t="str">
        <f>IF($B417="","",SUM(SUMIFS('Daily Inward'!$G:$G,'Daily Inward'!$C:$C,$B417,'Daily Inward'!$E:$E,{"Inventory","Services"})))</f>
        <v/>
      </c>
      <c r="G417" s="341" t="str">
        <f>IF($B417="","",SUM(SUMIFS('Daily Issuance'!$G:$G,'Daily Issuance'!$C:$C,$B417,'Daily Issuance'!$E:$E,{"Inventory","Services"})))</f>
        <v/>
      </c>
      <c r="H417" s="42" t="str">
        <f t="shared" si="12"/>
        <v/>
      </c>
      <c r="I417" s="39"/>
      <c r="J417" s="36" t="str">
        <f t="shared" si="13"/>
        <v/>
      </c>
      <c r="K417" s="48"/>
    </row>
    <row r="418" spans="1:11" ht="23.1" customHeight="1">
      <c r="A418" s="348" t="str">
        <f>IF($B418="","",MAX($A$3:A417)+1)</f>
        <v/>
      </c>
      <c r="B418" s="253"/>
      <c r="C418" s="249"/>
      <c r="D418" s="263"/>
      <c r="E418" s="251"/>
      <c r="F418" s="340" t="str">
        <f>IF($B418="","",SUM(SUMIFS('Daily Inward'!$G:$G,'Daily Inward'!$C:$C,$B418,'Daily Inward'!$E:$E,{"Inventory","Services"})))</f>
        <v/>
      </c>
      <c r="G418" s="341" t="str">
        <f>IF($B418="","",SUM(SUMIFS('Daily Issuance'!$G:$G,'Daily Issuance'!$C:$C,$B418,'Daily Issuance'!$E:$E,{"Inventory","Services"})))</f>
        <v/>
      </c>
      <c r="H418" s="42" t="str">
        <f t="shared" si="12"/>
        <v/>
      </c>
      <c r="I418" s="39"/>
      <c r="J418" s="36" t="str">
        <f t="shared" si="13"/>
        <v/>
      </c>
      <c r="K418" s="48"/>
    </row>
    <row r="419" spans="1:11" ht="23.1" customHeight="1">
      <c r="A419" s="348" t="str">
        <f>IF($B419="","",MAX($A$3:A418)+1)</f>
        <v/>
      </c>
      <c r="B419" s="253"/>
      <c r="C419" s="249"/>
      <c r="D419" s="263"/>
      <c r="E419" s="251"/>
      <c r="F419" s="340" t="str">
        <f>IF($B419="","",SUM(SUMIFS('Daily Inward'!$G:$G,'Daily Inward'!$C:$C,$B419,'Daily Inward'!$E:$E,{"Inventory","Services"})))</f>
        <v/>
      </c>
      <c r="G419" s="341" t="str">
        <f>IF($B419="","",SUM(SUMIFS('Daily Issuance'!$G:$G,'Daily Issuance'!$C:$C,$B419,'Daily Issuance'!$E:$E,{"Inventory","Services"})))</f>
        <v/>
      </c>
      <c r="H419" s="42" t="str">
        <f t="shared" si="12"/>
        <v/>
      </c>
      <c r="I419" s="39"/>
      <c r="J419" s="36" t="str">
        <f t="shared" si="13"/>
        <v/>
      </c>
      <c r="K419" s="48"/>
    </row>
    <row r="420" spans="1:11" ht="23.1" customHeight="1">
      <c r="A420" s="348" t="str">
        <f>IF($B420="","",MAX($A$3:A419)+1)</f>
        <v/>
      </c>
      <c r="B420" s="253"/>
      <c r="C420" s="249"/>
      <c r="D420" s="263"/>
      <c r="E420" s="251"/>
      <c r="F420" s="340" t="str">
        <f>IF($B420="","",SUM(SUMIFS('Daily Inward'!$G:$G,'Daily Inward'!$C:$C,$B420,'Daily Inward'!$E:$E,{"Inventory","Services"})))</f>
        <v/>
      </c>
      <c r="G420" s="341" t="str">
        <f>IF($B420="","",SUM(SUMIFS('Daily Issuance'!$G:$G,'Daily Issuance'!$C:$C,$B420,'Daily Issuance'!$E:$E,{"Inventory","Services"})))</f>
        <v/>
      </c>
      <c r="H420" s="42" t="str">
        <f t="shared" si="12"/>
        <v/>
      </c>
      <c r="I420" s="39"/>
      <c r="J420" s="36" t="str">
        <f t="shared" si="13"/>
        <v/>
      </c>
      <c r="K420" s="48"/>
    </row>
    <row r="421" spans="1:11" ht="23.1" customHeight="1">
      <c r="A421" s="348" t="str">
        <f>IF($B421="","",MAX($A$3:A420)+1)</f>
        <v/>
      </c>
      <c r="B421" s="253"/>
      <c r="C421" s="249"/>
      <c r="D421" s="263"/>
      <c r="E421" s="251"/>
      <c r="F421" s="340" t="str">
        <f>IF($B421="","",SUM(SUMIFS('Daily Inward'!$G:$G,'Daily Inward'!$C:$C,$B421,'Daily Inward'!$E:$E,{"Inventory","Services"})))</f>
        <v/>
      </c>
      <c r="G421" s="341" t="str">
        <f>IF($B421="","",SUM(SUMIFS('Daily Issuance'!$G:$G,'Daily Issuance'!$C:$C,$B421,'Daily Issuance'!$E:$E,{"Inventory","Services"})))</f>
        <v/>
      </c>
      <c r="H421" s="42" t="str">
        <f t="shared" si="12"/>
        <v/>
      </c>
      <c r="I421" s="39"/>
      <c r="J421" s="36" t="str">
        <f t="shared" si="13"/>
        <v/>
      </c>
      <c r="K421" s="48"/>
    </row>
    <row r="422" spans="1:11" ht="23.1" customHeight="1">
      <c r="A422" s="348" t="str">
        <f>IF($B422="","",MAX($A$3:A421)+1)</f>
        <v/>
      </c>
      <c r="B422" s="253"/>
      <c r="C422" s="249"/>
      <c r="D422" s="263"/>
      <c r="E422" s="251"/>
      <c r="F422" s="340" t="str">
        <f>IF($B422="","",SUM(SUMIFS('Daily Inward'!$G:$G,'Daily Inward'!$C:$C,$B422,'Daily Inward'!$E:$E,{"Inventory","Services"})))</f>
        <v/>
      </c>
      <c r="G422" s="341" t="str">
        <f>IF($B422="","",SUM(SUMIFS('Daily Issuance'!$G:$G,'Daily Issuance'!$C:$C,$B422,'Daily Issuance'!$E:$E,{"Inventory","Services"})))</f>
        <v/>
      </c>
      <c r="H422" s="42" t="str">
        <f t="shared" si="12"/>
        <v/>
      </c>
      <c r="I422" s="39"/>
      <c r="J422" s="36" t="str">
        <f t="shared" si="13"/>
        <v/>
      </c>
      <c r="K422" s="48"/>
    </row>
    <row r="423" spans="1:11" ht="23.1" customHeight="1">
      <c r="A423" s="348" t="str">
        <f>IF($B423="","",MAX($A$3:A422)+1)</f>
        <v/>
      </c>
      <c r="B423" s="253"/>
      <c r="C423" s="249"/>
      <c r="D423" s="263"/>
      <c r="E423" s="251"/>
      <c r="F423" s="340" t="str">
        <f>IF($B423="","",SUM(SUMIFS('Daily Inward'!$G:$G,'Daily Inward'!$C:$C,$B423,'Daily Inward'!$E:$E,{"Inventory","Services"})))</f>
        <v/>
      </c>
      <c r="G423" s="341" t="str">
        <f>IF($B423="","",SUM(SUMIFS('Daily Issuance'!$G:$G,'Daily Issuance'!$C:$C,$B423,'Daily Issuance'!$E:$E,{"Inventory","Services"})))</f>
        <v/>
      </c>
      <c r="H423" s="42" t="str">
        <f t="shared" si="12"/>
        <v/>
      </c>
      <c r="I423" s="39"/>
      <c r="J423" s="36" t="str">
        <f t="shared" si="13"/>
        <v/>
      </c>
      <c r="K423" s="48"/>
    </row>
    <row r="424" spans="1:11" ht="23.1" customHeight="1">
      <c r="A424" s="348" t="str">
        <f>IF($B424="","",MAX($A$3:A423)+1)</f>
        <v/>
      </c>
      <c r="B424" s="253"/>
      <c r="C424" s="249"/>
      <c r="D424" s="263"/>
      <c r="E424" s="251"/>
      <c r="F424" s="340" t="str">
        <f>IF($B424="","",SUM(SUMIFS('Daily Inward'!$G:$G,'Daily Inward'!$C:$C,$B424,'Daily Inward'!$E:$E,{"Inventory","Services"})))</f>
        <v/>
      </c>
      <c r="G424" s="341" t="str">
        <f>IF($B424="","",SUM(SUMIFS('Daily Issuance'!$G:$G,'Daily Issuance'!$C:$C,$B424,'Daily Issuance'!$E:$E,{"Inventory","Services"})))</f>
        <v/>
      </c>
      <c r="H424" s="42" t="str">
        <f t="shared" si="12"/>
        <v/>
      </c>
      <c r="I424" s="39"/>
      <c r="J424" s="36" t="str">
        <f t="shared" si="13"/>
        <v/>
      </c>
      <c r="K424" s="48"/>
    </row>
    <row r="425" spans="1:11" ht="23.1" customHeight="1">
      <c r="A425" s="348" t="str">
        <f>IF($B425="","",MAX($A$3:A424)+1)</f>
        <v/>
      </c>
      <c r="B425" s="253"/>
      <c r="C425" s="249"/>
      <c r="D425" s="263"/>
      <c r="E425" s="251"/>
      <c r="F425" s="340" t="str">
        <f>IF($B425="","",SUM(SUMIFS('Daily Inward'!$G:$G,'Daily Inward'!$C:$C,$B425,'Daily Inward'!$E:$E,{"Inventory","Services"})))</f>
        <v/>
      </c>
      <c r="G425" s="341" t="str">
        <f>IF($B425="","",SUM(SUMIFS('Daily Issuance'!$G:$G,'Daily Issuance'!$C:$C,$B425,'Daily Issuance'!$E:$E,{"Inventory","Services"})))</f>
        <v/>
      </c>
      <c r="H425" s="42" t="str">
        <f t="shared" si="12"/>
        <v/>
      </c>
      <c r="I425" s="39"/>
      <c r="J425" s="36" t="str">
        <f t="shared" si="13"/>
        <v/>
      </c>
      <c r="K425" s="48"/>
    </row>
    <row r="426" spans="1:11" ht="23.1" customHeight="1">
      <c r="A426" s="348" t="str">
        <f>IF($B426="","",MAX($A$3:A425)+1)</f>
        <v/>
      </c>
      <c r="B426" s="253"/>
      <c r="C426" s="249"/>
      <c r="D426" s="263"/>
      <c r="E426" s="251"/>
      <c r="F426" s="340" t="str">
        <f>IF($B426="","",SUM(SUMIFS('Daily Inward'!$G:$G,'Daily Inward'!$C:$C,$B426,'Daily Inward'!$E:$E,{"Inventory","Services"})))</f>
        <v/>
      </c>
      <c r="G426" s="341" t="str">
        <f>IF($B426="","",SUM(SUMIFS('Daily Issuance'!$G:$G,'Daily Issuance'!$C:$C,$B426,'Daily Issuance'!$E:$E,{"Inventory","Services"})))</f>
        <v/>
      </c>
      <c r="H426" s="42" t="str">
        <f t="shared" si="12"/>
        <v/>
      </c>
      <c r="I426" s="39"/>
      <c r="J426" s="36" t="str">
        <f t="shared" si="13"/>
        <v/>
      </c>
      <c r="K426" s="48"/>
    </row>
    <row r="427" spans="1:11" ht="23.1" customHeight="1">
      <c r="A427" s="348" t="str">
        <f>IF($B427="","",MAX($A$3:A426)+1)</f>
        <v/>
      </c>
      <c r="B427" s="253"/>
      <c r="C427" s="249"/>
      <c r="D427" s="263"/>
      <c r="E427" s="251"/>
      <c r="F427" s="340" t="str">
        <f>IF($B427="","",SUM(SUMIFS('Daily Inward'!$G:$G,'Daily Inward'!$C:$C,$B427,'Daily Inward'!$E:$E,{"Inventory","Services"})))</f>
        <v/>
      </c>
      <c r="G427" s="341" t="str">
        <f>IF($B427="","",SUM(SUMIFS('Daily Issuance'!$G:$G,'Daily Issuance'!$C:$C,$B427,'Daily Issuance'!$E:$E,{"Inventory","Services"})))</f>
        <v/>
      </c>
      <c r="H427" s="42" t="str">
        <f t="shared" si="12"/>
        <v/>
      </c>
      <c r="I427" s="39"/>
      <c r="J427" s="36" t="str">
        <f t="shared" si="13"/>
        <v/>
      </c>
      <c r="K427" s="48"/>
    </row>
    <row r="428" spans="1:11" ht="23.1" customHeight="1">
      <c r="A428" s="348" t="str">
        <f>IF($B428="","",MAX($A$3:A427)+1)</f>
        <v/>
      </c>
      <c r="B428" s="253"/>
      <c r="C428" s="249"/>
      <c r="D428" s="263"/>
      <c r="E428" s="251"/>
      <c r="F428" s="340" t="str">
        <f>IF($B428="","",SUM(SUMIFS('Daily Inward'!$G:$G,'Daily Inward'!$C:$C,$B428,'Daily Inward'!$E:$E,{"Inventory","Services"})))</f>
        <v/>
      </c>
      <c r="G428" s="341" t="str">
        <f>IF($B428="","",SUM(SUMIFS('Daily Issuance'!$G:$G,'Daily Issuance'!$C:$C,$B428,'Daily Issuance'!$E:$E,{"Inventory","Services"})))</f>
        <v/>
      </c>
      <c r="H428" s="42" t="str">
        <f t="shared" si="12"/>
        <v/>
      </c>
      <c r="I428" s="39"/>
      <c r="J428" s="36" t="str">
        <f t="shared" si="13"/>
        <v/>
      </c>
      <c r="K428" s="48"/>
    </row>
    <row r="429" spans="1:11" ht="23.1" customHeight="1">
      <c r="A429" s="348" t="str">
        <f>IF($B429="","",MAX($A$3:A428)+1)</f>
        <v/>
      </c>
      <c r="B429" s="253"/>
      <c r="C429" s="249"/>
      <c r="D429" s="263"/>
      <c r="E429" s="251"/>
      <c r="F429" s="340" t="str">
        <f>IF($B429="","",SUM(SUMIFS('Daily Inward'!$G:$G,'Daily Inward'!$C:$C,$B429,'Daily Inward'!$E:$E,{"Inventory","Services"})))</f>
        <v/>
      </c>
      <c r="G429" s="341" t="str">
        <f>IF($B429="","",SUM(SUMIFS('Daily Issuance'!$G:$G,'Daily Issuance'!$C:$C,$B429,'Daily Issuance'!$E:$E,{"Inventory","Services"})))</f>
        <v/>
      </c>
      <c r="H429" s="42" t="str">
        <f t="shared" si="12"/>
        <v/>
      </c>
      <c r="I429" s="39"/>
      <c r="J429" s="36" t="str">
        <f t="shared" si="13"/>
        <v/>
      </c>
      <c r="K429" s="48"/>
    </row>
    <row r="430" spans="1:11" ht="23.1" customHeight="1">
      <c r="A430" s="348" t="str">
        <f>IF($B430="","",MAX($A$3:A429)+1)</f>
        <v/>
      </c>
      <c r="B430" s="253"/>
      <c r="C430" s="249"/>
      <c r="D430" s="263"/>
      <c r="E430" s="251"/>
      <c r="F430" s="340" t="str">
        <f>IF($B430="","",SUM(SUMIFS('Daily Inward'!$G:$G,'Daily Inward'!$C:$C,$B430,'Daily Inward'!$E:$E,{"Inventory","Services"})))</f>
        <v/>
      </c>
      <c r="G430" s="341" t="str">
        <f>IF($B430="","",SUM(SUMIFS('Daily Issuance'!$G:$G,'Daily Issuance'!$C:$C,$B430,'Daily Issuance'!$E:$E,{"Inventory","Services"})))</f>
        <v/>
      </c>
      <c r="H430" s="42" t="str">
        <f t="shared" si="12"/>
        <v/>
      </c>
      <c r="I430" s="39"/>
      <c r="J430" s="36" t="str">
        <f t="shared" si="13"/>
        <v/>
      </c>
      <c r="K430" s="48"/>
    </row>
    <row r="431" spans="1:11" ht="23.1" customHeight="1">
      <c r="A431" s="348" t="str">
        <f>IF($B431="","",MAX($A$3:A430)+1)</f>
        <v/>
      </c>
      <c r="B431" s="253"/>
      <c r="C431" s="249"/>
      <c r="D431" s="263"/>
      <c r="E431" s="251"/>
      <c r="F431" s="340" t="str">
        <f>IF($B431="","",SUM(SUMIFS('Daily Inward'!$G:$G,'Daily Inward'!$C:$C,$B431,'Daily Inward'!$E:$E,{"Inventory","Services"})))</f>
        <v/>
      </c>
      <c r="G431" s="341" t="str">
        <f>IF($B431="","",SUM(SUMIFS('Daily Issuance'!$G:$G,'Daily Issuance'!$C:$C,$B431,'Daily Issuance'!$E:$E,{"Inventory","Services"})))</f>
        <v/>
      </c>
      <c r="H431" s="42" t="str">
        <f t="shared" si="12"/>
        <v/>
      </c>
      <c r="I431" s="39"/>
      <c r="J431" s="36" t="str">
        <f t="shared" si="13"/>
        <v/>
      </c>
      <c r="K431" s="48"/>
    </row>
    <row r="432" spans="1:11" ht="23.1" customHeight="1">
      <c r="A432" s="348" t="str">
        <f>IF($B432="","",MAX($A$3:A431)+1)</f>
        <v/>
      </c>
      <c r="B432" s="253"/>
      <c r="C432" s="249"/>
      <c r="D432" s="263"/>
      <c r="E432" s="251"/>
      <c r="F432" s="340" t="str">
        <f>IF($B432="","",SUM(SUMIFS('Daily Inward'!$G:$G,'Daily Inward'!$C:$C,$B432,'Daily Inward'!$E:$E,{"Inventory","Services"})))</f>
        <v/>
      </c>
      <c r="G432" s="341" t="str">
        <f>IF($B432="","",SUM(SUMIFS('Daily Issuance'!$G:$G,'Daily Issuance'!$C:$C,$B432,'Daily Issuance'!$E:$E,{"Inventory","Services"})))</f>
        <v/>
      </c>
      <c r="H432" s="42" t="str">
        <f t="shared" si="12"/>
        <v/>
      </c>
      <c r="I432" s="39"/>
      <c r="J432" s="36" t="str">
        <f t="shared" si="13"/>
        <v/>
      </c>
      <c r="K432" s="48"/>
    </row>
    <row r="433" spans="1:11" ht="23.1" customHeight="1">
      <c r="A433" s="348" t="str">
        <f>IF($B433="","",MAX($A$3:A432)+1)</f>
        <v/>
      </c>
      <c r="B433" s="253"/>
      <c r="C433" s="249"/>
      <c r="D433" s="263"/>
      <c r="E433" s="251"/>
      <c r="F433" s="340" t="str">
        <f>IF($B433="","",SUM(SUMIFS('Daily Inward'!$G:$G,'Daily Inward'!$C:$C,$B433,'Daily Inward'!$E:$E,{"Inventory","Services"})))</f>
        <v/>
      </c>
      <c r="G433" s="341" t="str">
        <f>IF($B433="","",SUM(SUMIFS('Daily Issuance'!$G:$G,'Daily Issuance'!$C:$C,$B433,'Daily Issuance'!$E:$E,{"Inventory","Services"})))</f>
        <v/>
      </c>
      <c r="H433" s="42" t="str">
        <f t="shared" si="12"/>
        <v/>
      </c>
      <c r="I433" s="39"/>
      <c r="J433" s="36" t="str">
        <f t="shared" si="13"/>
        <v/>
      </c>
      <c r="K433" s="48"/>
    </row>
    <row r="434" spans="1:11" ht="23.1" customHeight="1">
      <c r="A434" s="348" t="str">
        <f>IF($B434="","",MAX($A$3:A433)+1)</f>
        <v/>
      </c>
      <c r="B434" s="253"/>
      <c r="C434" s="249"/>
      <c r="D434" s="263"/>
      <c r="E434" s="251"/>
      <c r="F434" s="340" t="str">
        <f>IF($B434="","",SUM(SUMIFS('Daily Inward'!$G:$G,'Daily Inward'!$C:$C,$B434,'Daily Inward'!$E:$E,{"Inventory","Services"})))</f>
        <v/>
      </c>
      <c r="G434" s="341" t="str">
        <f>IF($B434="","",SUM(SUMIFS('Daily Issuance'!$G:$G,'Daily Issuance'!$C:$C,$B434,'Daily Issuance'!$E:$E,{"Inventory","Services"})))</f>
        <v/>
      </c>
      <c r="H434" s="42" t="str">
        <f t="shared" si="12"/>
        <v/>
      </c>
      <c r="I434" s="39"/>
      <c r="J434" s="36" t="str">
        <f t="shared" si="13"/>
        <v/>
      </c>
      <c r="K434" s="48"/>
    </row>
    <row r="435" spans="1:11" ht="23.1" customHeight="1">
      <c r="A435" s="348" t="str">
        <f>IF($B435="","",MAX($A$3:A434)+1)</f>
        <v/>
      </c>
      <c r="B435" s="253"/>
      <c r="C435" s="249"/>
      <c r="D435" s="263"/>
      <c r="E435" s="251"/>
      <c r="F435" s="340" t="str">
        <f>IF($B435="","",SUM(SUMIFS('Daily Inward'!$G:$G,'Daily Inward'!$C:$C,$B435,'Daily Inward'!$E:$E,{"Inventory","Services"})))</f>
        <v/>
      </c>
      <c r="G435" s="341" t="str">
        <f>IF($B435="","",SUM(SUMIFS('Daily Issuance'!$G:$G,'Daily Issuance'!$C:$C,$B435,'Daily Issuance'!$E:$E,{"Inventory","Services"})))</f>
        <v/>
      </c>
      <c r="H435" s="42" t="str">
        <f t="shared" si="12"/>
        <v/>
      </c>
      <c r="I435" s="39"/>
      <c r="J435" s="36" t="str">
        <f t="shared" si="13"/>
        <v/>
      </c>
      <c r="K435" s="48"/>
    </row>
    <row r="436" spans="1:11" ht="23.1" customHeight="1">
      <c r="A436" s="348" t="str">
        <f>IF($B436="","",MAX($A$3:A435)+1)</f>
        <v/>
      </c>
      <c r="B436" s="253"/>
      <c r="C436" s="249"/>
      <c r="D436" s="263"/>
      <c r="E436" s="251"/>
      <c r="F436" s="340" t="str">
        <f>IF($B436="","",SUM(SUMIFS('Daily Inward'!$G:$G,'Daily Inward'!$C:$C,$B436,'Daily Inward'!$E:$E,{"Inventory","Services"})))</f>
        <v/>
      </c>
      <c r="G436" s="341" t="str">
        <f>IF($B436="","",SUM(SUMIFS('Daily Issuance'!$G:$G,'Daily Issuance'!$C:$C,$B436,'Daily Issuance'!$E:$E,{"Inventory","Services"})))</f>
        <v/>
      </c>
      <c r="H436" s="42" t="str">
        <f t="shared" si="12"/>
        <v/>
      </c>
      <c r="I436" s="39"/>
      <c r="J436" s="36" t="str">
        <f t="shared" si="13"/>
        <v/>
      </c>
      <c r="K436" s="48"/>
    </row>
    <row r="437" spans="1:11" ht="23.1" customHeight="1">
      <c r="A437" s="348" t="str">
        <f>IF($B437="","",MAX($A$3:A436)+1)</f>
        <v/>
      </c>
      <c r="B437" s="253"/>
      <c r="C437" s="249"/>
      <c r="D437" s="263"/>
      <c r="E437" s="251"/>
      <c r="F437" s="340" t="str">
        <f>IF($B437="","",SUM(SUMIFS('Daily Inward'!$G:$G,'Daily Inward'!$C:$C,$B437,'Daily Inward'!$E:$E,{"Inventory","Services"})))</f>
        <v/>
      </c>
      <c r="G437" s="341" t="str">
        <f>IF($B437="","",SUM(SUMIFS('Daily Issuance'!$G:$G,'Daily Issuance'!$C:$C,$B437,'Daily Issuance'!$E:$E,{"Inventory","Services"})))</f>
        <v/>
      </c>
      <c r="H437" s="42" t="str">
        <f t="shared" si="12"/>
        <v/>
      </c>
      <c r="I437" s="39"/>
      <c r="J437" s="36" t="str">
        <f t="shared" si="13"/>
        <v/>
      </c>
      <c r="K437" s="48"/>
    </row>
    <row r="438" spans="1:11" ht="23.1" customHeight="1">
      <c r="A438" s="348" t="str">
        <f>IF($B438="","",MAX($A$3:A437)+1)</f>
        <v/>
      </c>
      <c r="B438" s="253"/>
      <c r="C438" s="249"/>
      <c r="D438" s="263"/>
      <c r="E438" s="251"/>
      <c r="F438" s="340" t="str">
        <f>IF($B438="","",SUM(SUMIFS('Daily Inward'!$G:$G,'Daily Inward'!$C:$C,$B438,'Daily Inward'!$E:$E,{"Inventory","Services"})))</f>
        <v/>
      </c>
      <c r="G438" s="341" t="str">
        <f>IF($B438="","",SUM(SUMIFS('Daily Issuance'!$G:$G,'Daily Issuance'!$C:$C,$B438,'Daily Issuance'!$E:$E,{"Inventory","Services"})))</f>
        <v/>
      </c>
      <c r="H438" s="42" t="str">
        <f t="shared" si="12"/>
        <v/>
      </c>
      <c r="I438" s="39"/>
      <c r="J438" s="36" t="str">
        <f t="shared" si="13"/>
        <v/>
      </c>
      <c r="K438" s="48"/>
    </row>
    <row r="439" spans="1:11" ht="23.1" customHeight="1">
      <c r="A439" s="348" t="str">
        <f>IF($B439="","",MAX($A$3:A438)+1)</f>
        <v/>
      </c>
      <c r="B439" s="253"/>
      <c r="C439" s="249"/>
      <c r="D439" s="263"/>
      <c r="E439" s="251"/>
      <c r="F439" s="340" t="str">
        <f>IF($B439="","",SUM(SUMIFS('Daily Inward'!$G:$G,'Daily Inward'!$C:$C,$B439,'Daily Inward'!$E:$E,{"Inventory","Services"})))</f>
        <v/>
      </c>
      <c r="G439" s="341" t="str">
        <f>IF($B439="","",SUM(SUMIFS('Daily Issuance'!$G:$G,'Daily Issuance'!$C:$C,$B439,'Daily Issuance'!$E:$E,{"Inventory","Services"})))</f>
        <v/>
      </c>
      <c r="H439" s="42" t="str">
        <f t="shared" si="12"/>
        <v/>
      </c>
      <c r="I439" s="39"/>
      <c r="J439" s="36" t="str">
        <f t="shared" si="13"/>
        <v/>
      </c>
      <c r="K439" s="48"/>
    </row>
    <row r="440" spans="1:11" ht="23.1" customHeight="1">
      <c r="A440" s="348" t="str">
        <f>IF($B440="","",MAX($A$3:A439)+1)</f>
        <v/>
      </c>
      <c r="B440" s="253"/>
      <c r="C440" s="249"/>
      <c r="D440" s="263"/>
      <c r="E440" s="251"/>
      <c r="F440" s="340" t="str">
        <f>IF($B440="","",SUM(SUMIFS('Daily Inward'!$G:$G,'Daily Inward'!$C:$C,$B440,'Daily Inward'!$E:$E,{"Inventory","Services"})))</f>
        <v/>
      </c>
      <c r="G440" s="341" t="str">
        <f>IF($B440="","",SUM(SUMIFS('Daily Issuance'!$G:$G,'Daily Issuance'!$C:$C,$B440,'Daily Issuance'!$E:$E,{"Inventory","Services"})))</f>
        <v/>
      </c>
      <c r="H440" s="42" t="str">
        <f t="shared" si="12"/>
        <v/>
      </c>
      <c r="I440" s="39"/>
      <c r="J440" s="36" t="str">
        <f t="shared" si="13"/>
        <v/>
      </c>
      <c r="K440" s="48"/>
    </row>
    <row r="441" spans="1:11" ht="23.1" customHeight="1">
      <c r="A441" s="348" t="str">
        <f>IF($B441="","",MAX($A$3:A440)+1)</f>
        <v/>
      </c>
      <c r="B441" s="253"/>
      <c r="C441" s="249"/>
      <c r="D441" s="263"/>
      <c r="E441" s="251"/>
      <c r="F441" s="340" t="str">
        <f>IF($B441="","",SUM(SUMIFS('Daily Inward'!$G:$G,'Daily Inward'!$C:$C,$B441,'Daily Inward'!$E:$E,{"Inventory","Services"})))</f>
        <v/>
      </c>
      <c r="G441" s="341" t="str">
        <f>IF($B441="","",SUM(SUMIFS('Daily Issuance'!$G:$G,'Daily Issuance'!$C:$C,$B441,'Daily Issuance'!$E:$E,{"Inventory","Services"})))</f>
        <v/>
      </c>
      <c r="H441" s="42" t="str">
        <f t="shared" si="12"/>
        <v/>
      </c>
      <c r="I441" s="39"/>
      <c r="J441" s="36" t="str">
        <f t="shared" si="13"/>
        <v/>
      </c>
      <c r="K441" s="48"/>
    </row>
    <row r="442" spans="1:11" ht="23.1" customHeight="1">
      <c r="A442" s="348" t="str">
        <f>IF($B442="","",MAX($A$3:A441)+1)</f>
        <v/>
      </c>
      <c r="B442" s="253"/>
      <c r="C442" s="249"/>
      <c r="D442" s="263"/>
      <c r="E442" s="251"/>
      <c r="F442" s="340" t="str">
        <f>IF($B442="","",SUM(SUMIFS('Daily Inward'!$G:$G,'Daily Inward'!$C:$C,$B442,'Daily Inward'!$E:$E,{"Inventory","Services"})))</f>
        <v/>
      </c>
      <c r="G442" s="341" t="str">
        <f>IF($B442="","",SUM(SUMIFS('Daily Issuance'!$G:$G,'Daily Issuance'!$C:$C,$B442,'Daily Issuance'!$E:$E,{"Inventory","Services"})))</f>
        <v/>
      </c>
      <c r="H442" s="42" t="str">
        <f t="shared" si="12"/>
        <v/>
      </c>
      <c r="I442" s="39"/>
      <c r="J442" s="36" t="str">
        <f t="shared" si="13"/>
        <v/>
      </c>
      <c r="K442" s="48"/>
    </row>
    <row r="443" spans="1:11" ht="23.1" customHeight="1">
      <c r="A443" s="348" t="str">
        <f>IF($B443="","",MAX($A$3:A442)+1)</f>
        <v/>
      </c>
      <c r="B443" s="253"/>
      <c r="C443" s="249"/>
      <c r="D443" s="263"/>
      <c r="E443" s="251"/>
      <c r="F443" s="340" t="str">
        <f>IF($B443="","",SUM(SUMIFS('Daily Inward'!$G:$G,'Daily Inward'!$C:$C,$B443,'Daily Inward'!$E:$E,{"Inventory","Services"})))</f>
        <v/>
      </c>
      <c r="G443" s="341" t="str">
        <f>IF($B443="","",SUM(SUMIFS('Daily Issuance'!$G:$G,'Daily Issuance'!$C:$C,$B443,'Daily Issuance'!$E:$E,{"Inventory","Services"})))</f>
        <v/>
      </c>
      <c r="H443" s="42" t="str">
        <f t="shared" si="12"/>
        <v/>
      </c>
      <c r="I443" s="39"/>
      <c r="J443" s="36" t="str">
        <f t="shared" si="13"/>
        <v/>
      </c>
      <c r="K443" s="48"/>
    </row>
    <row r="444" spans="1:11" ht="23.1" customHeight="1">
      <c r="A444" s="348" t="str">
        <f>IF($B444="","",MAX($A$3:A443)+1)</f>
        <v/>
      </c>
      <c r="B444" s="253"/>
      <c r="C444" s="249"/>
      <c r="D444" s="263"/>
      <c r="E444" s="251"/>
      <c r="F444" s="340" t="str">
        <f>IF($B444="","",SUM(SUMIFS('Daily Inward'!$G:$G,'Daily Inward'!$C:$C,$B444,'Daily Inward'!$E:$E,{"Inventory","Services"})))</f>
        <v/>
      </c>
      <c r="G444" s="341" t="str">
        <f>IF($B444="","",SUM(SUMIFS('Daily Issuance'!$G:$G,'Daily Issuance'!$C:$C,$B444,'Daily Issuance'!$E:$E,{"Inventory","Services"})))</f>
        <v/>
      </c>
      <c r="H444" s="42" t="str">
        <f t="shared" si="12"/>
        <v/>
      </c>
      <c r="I444" s="39"/>
      <c r="J444" s="36" t="str">
        <f t="shared" si="13"/>
        <v/>
      </c>
      <c r="K444" s="48"/>
    </row>
    <row r="445" spans="1:11" ht="23.1" customHeight="1">
      <c r="A445" s="348" t="str">
        <f>IF($B445="","",MAX($A$3:A444)+1)</f>
        <v/>
      </c>
      <c r="B445" s="253"/>
      <c r="C445" s="249"/>
      <c r="D445" s="263"/>
      <c r="E445" s="251"/>
      <c r="F445" s="340" t="str">
        <f>IF($B445="","",SUM(SUMIFS('Daily Inward'!$G:$G,'Daily Inward'!$C:$C,$B445,'Daily Inward'!$E:$E,{"Inventory","Services"})))</f>
        <v/>
      </c>
      <c r="G445" s="341" t="str">
        <f>IF($B445="","",SUM(SUMIFS('Daily Issuance'!$G:$G,'Daily Issuance'!$C:$C,$B445,'Daily Issuance'!$E:$E,{"Inventory","Services"})))</f>
        <v/>
      </c>
      <c r="H445" s="42" t="str">
        <f t="shared" si="12"/>
        <v/>
      </c>
      <c r="I445" s="39"/>
      <c r="J445" s="36" t="str">
        <f t="shared" si="13"/>
        <v/>
      </c>
      <c r="K445" s="48"/>
    </row>
    <row r="446" spans="1:11" ht="23.1" customHeight="1">
      <c r="A446" s="348" t="str">
        <f>IF($B446="","",MAX($A$3:A445)+1)</f>
        <v/>
      </c>
      <c r="B446" s="253"/>
      <c r="C446" s="249"/>
      <c r="D446" s="263"/>
      <c r="E446" s="251"/>
      <c r="F446" s="340" t="str">
        <f>IF($B446="","",SUM(SUMIFS('Daily Inward'!$G:$G,'Daily Inward'!$C:$C,$B446,'Daily Inward'!$E:$E,{"Inventory","Services"})))</f>
        <v/>
      </c>
      <c r="G446" s="341" t="str">
        <f>IF($B446="","",SUM(SUMIFS('Daily Issuance'!$G:$G,'Daily Issuance'!$C:$C,$B446,'Daily Issuance'!$E:$E,{"Inventory","Services"})))</f>
        <v/>
      </c>
      <c r="H446" s="42" t="str">
        <f t="shared" si="12"/>
        <v/>
      </c>
      <c r="I446" s="39"/>
      <c r="J446" s="36" t="str">
        <f t="shared" si="13"/>
        <v/>
      </c>
      <c r="K446" s="48"/>
    </row>
    <row r="447" spans="1:11" ht="23.1" customHeight="1">
      <c r="A447" s="348" t="str">
        <f>IF($B447="","",MAX($A$3:A446)+1)</f>
        <v/>
      </c>
      <c r="B447" s="253"/>
      <c r="C447" s="249"/>
      <c r="D447" s="263"/>
      <c r="E447" s="251"/>
      <c r="F447" s="340" t="str">
        <f>IF($B447="","",SUM(SUMIFS('Daily Inward'!$G:$G,'Daily Inward'!$C:$C,$B447,'Daily Inward'!$E:$E,{"Inventory","Services"})))</f>
        <v/>
      </c>
      <c r="G447" s="341" t="str">
        <f>IF($B447="","",SUM(SUMIFS('Daily Issuance'!$G:$G,'Daily Issuance'!$C:$C,$B447,'Daily Issuance'!$E:$E,{"Inventory","Services"})))</f>
        <v/>
      </c>
      <c r="H447" s="42" t="str">
        <f t="shared" si="12"/>
        <v/>
      </c>
      <c r="I447" s="39"/>
      <c r="J447" s="36" t="str">
        <f t="shared" si="13"/>
        <v/>
      </c>
      <c r="K447" s="48"/>
    </row>
    <row r="448" spans="1:11" ht="23.1" customHeight="1">
      <c r="A448" s="348" t="str">
        <f>IF($B448="","",MAX($A$3:A447)+1)</f>
        <v/>
      </c>
      <c r="B448" s="253"/>
      <c r="C448" s="249"/>
      <c r="D448" s="263"/>
      <c r="E448" s="251"/>
      <c r="F448" s="340" t="str">
        <f>IF($B448="","",SUM(SUMIFS('Daily Inward'!$G:$G,'Daily Inward'!$C:$C,$B448,'Daily Inward'!$E:$E,{"Inventory","Services"})))</f>
        <v/>
      </c>
      <c r="G448" s="341" t="str">
        <f>IF($B448="","",SUM(SUMIFS('Daily Issuance'!$G:$G,'Daily Issuance'!$C:$C,$B448,'Daily Issuance'!$E:$E,{"Inventory","Services"})))</f>
        <v/>
      </c>
      <c r="H448" s="42" t="str">
        <f t="shared" si="12"/>
        <v/>
      </c>
      <c r="I448" s="39"/>
      <c r="J448" s="36" t="str">
        <f t="shared" si="13"/>
        <v/>
      </c>
      <c r="K448" s="48"/>
    </row>
    <row r="449" spans="1:11" ht="23.1" customHeight="1">
      <c r="A449" s="348" t="str">
        <f>IF($B449="","",MAX($A$3:A448)+1)</f>
        <v/>
      </c>
      <c r="B449" s="253"/>
      <c r="C449" s="249"/>
      <c r="D449" s="263"/>
      <c r="E449" s="251"/>
      <c r="F449" s="340" t="str">
        <f>IF($B449="","",SUM(SUMIFS('Daily Inward'!$G:$G,'Daily Inward'!$C:$C,$B449,'Daily Inward'!$E:$E,{"Inventory","Services"})))</f>
        <v/>
      </c>
      <c r="G449" s="341" t="str">
        <f>IF($B449="","",SUM(SUMIFS('Daily Issuance'!$G:$G,'Daily Issuance'!$C:$C,$B449,'Daily Issuance'!$E:$E,{"Inventory","Services"})))</f>
        <v/>
      </c>
      <c r="H449" s="42" t="str">
        <f t="shared" si="12"/>
        <v/>
      </c>
      <c r="I449" s="39"/>
      <c r="J449" s="36" t="str">
        <f t="shared" si="13"/>
        <v/>
      </c>
      <c r="K449" s="48"/>
    </row>
    <row r="450" spans="1:11" ht="23.1" customHeight="1">
      <c r="A450" s="348" t="str">
        <f>IF($B450="","",MAX($A$3:A449)+1)</f>
        <v/>
      </c>
      <c r="B450" s="253"/>
      <c r="C450" s="249"/>
      <c r="D450" s="263"/>
      <c r="E450" s="251"/>
      <c r="F450" s="340" t="str">
        <f>IF($B450="","",SUM(SUMIFS('Daily Inward'!$G:$G,'Daily Inward'!$C:$C,$B450,'Daily Inward'!$E:$E,{"Inventory","Services"})))</f>
        <v/>
      </c>
      <c r="G450" s="341" t="str">
        <f>IF($B450="","",SUM(SUMIFS('Daily Issuance'!$G:$G,'Daily Issuance'!$C:$C,$B450,'Daily Issuance'!$E:$E,{"Inventory","Services"})))</f>
        <v/>
      </c>
      <c r="H450" s="42" t="str">
        <f t="shared" si="12"/>
        <v/>
      </c>
      <c r="I450" s="39"/>
      <c r="J450" s="36" t="str">
        <f t="shared" si="13"/>
        <v/>
      </c>
      <c r="K450" s="48"/>
    </row>
    <row r="451" spans="1:11" ht="23.1" customHeight="1">
      <c r="A451" s="348" t="str">
        <f>IF($B451="","",MAX($A$3:A450)+1)</f>
        <v/>
      </c>
      <c r="B451" s="253"/>
      <c r="C451" s="249"/>
      <c r="D451" s="263"/>
      <c r="E451" s="251"/>
      <c r="F451" s="340" t="str">
        <f>IF($B451="","",SUM(SUMIFS('Daily Inward'!$G:$G,'Daily Inward'!$C:$C,$B451,'Daily Inward'!$E:$E,{"Inventory","Services"})))</f>
        <v/>
      </c>
      <c r="G451" s="341" t="str">
        <f>IF($B451="","",SUM(SUMIFS('Daily Issuance'!$G:$G,'Daily Issuance'!$C:$C,$B451,'Daily Issuance'!$E:$E,{"Inventory","Services"})))</f>
        <v/>
      </c>
      <c r="H451" s="42" t="str">
        <f t="shared" si="12"/>
        <v/>
      </c>
      <c r="I451" s="39"/>
      <c r="J451" s="36" t="str">
        <f t="shared" si="13"/>
        <v/>
      </c>
      <c r="K451" s="48"/>
    </row>
    <row r="452" spans="1:11" ht="23.1" customHeight="1">
      <c r="A452" s="348" t="str">
        <f>IF($B452="","",MAX($A$3:A451)+1)</f>
        <v/>
      </c>
      <c r="B452" s="253"/>
      <c r="C452" s="249"/>
      <c r="D452" s="263"/>
      <c r="E452" s="251"/>
      <c r="F452" s="340" t="str">
        <f>IF($B452="","",SUM(SUMIFS('Daily Inward'!$G:$G,'Daily Inward'!$C:$C,$B452,'Daily Inward'!$E:$E,{"Inventory","Services"})))</f>
        <v/>
      </c>
      <c r="G452" s="341" t="str">
        <f>IF($B452="","",SUM(SUMIFS('Daily Issuance'!$G:$G,'Daily Issuance'!$C:$C,$B452,'Daily Issuance'!$E:$E,{"Inventory","Services"})))</f>
        <v/>
      </c>
      <c r="H452" s="42" t="str">
        <f t="shared" ref="H452:H515" si="14">IF($B452="","",N(E452)+N(F452)-N(G452))</f>
        <v/>
      </c>
      <c r="I452" s="39"/>
      <c r="J452" s="36" t="str">
        <f t="shared" ref="J452:J515" si="15">IF($B452="","",H452*I452)</f>
        <v/>
      </c>
      <c r="K452" s="48"/>
    </row>
    <row r="453" spans="1:11" ht="23.1" customHeight="1">
      <c r="A453" s="348" t="str">
        <f>IF($B453="","",MAX($A$3:A452)+1)</f>
        <v/>
      </c>
      <c r="B453" s="253"/>
      <c r="C453" s="249"/>
      <c r="D453" s="263"/>
      <c r="E453" s="251"/>
      <c r="F453" s="340" t="str">
        <f>IF($B453="","",SUM(SUMIFS('Daily Inward'!$G:$G,'Daily Inward'!$C:$C,$B453,'Daily Inward'!$E:$E,{"Inventory","Services"})))</f>
        <v/>
      </c>
      <c r="G453" s="341" t="str">
        <f>IF($B453="","",SUM(SUMIFS('Daily Issuance'!$G:$G,'Daily Issuance'!$C:$C,$B453,'Daily Issuance'!$E:$E,{"Inventory","Services"})))</f>
        <v/>
      </c>
      <c r="H453" s="42" t="str">
        <f t="shared" si="14"/>
        <v/>
      </c>
      <c r="I453" s="39"/>
      <c r="J453" s="36" t="str">
        <f t="shared" si="15"/>
        <v/>
      </c>
      <c r="K453" s="48"/>
    </row>
    <row r="454" spans="1:11" ht="23.1" customHeight="1">
      <c r="A454" s="348" t="str">
        <f>IF($B454="","",MAX($A$3:A453)+1)</f>
        <v/>
      </c>
      <c r="B454" s="253"/>
      <c r="C454" s="249"/>
      <c r="D454" s="263"/>
      <c r="E454" s="251"/>
      <c r="F454" s="340" t="str">
        <f>IF($B454="","",SUM(SUMIFS('Daily Inward'!$G:$G,'Daily Inward'!$C:$C,$B454,'Daily Inward'!$E:$E,{"Inventory","Services"})))</f>
        <v/>
      </c>
      <c r="G454" s="341" t="str">
        <f>IF($B454="","",SUM(SUMIFS('Daily Issuance'!$G:$G,'Daily Issuance'!$C:$C,$B454,'Daily Issuance'!$E:$E,{"Inventory","Services"})))</f>
        <v/>
      </c>
      <c r="H454" s="42" t="str">
        <f t="shared" si="14"/>
        <v/>
      </c>
      <c r="I454" s="39"/>
      <c r="J454" s="36" t="str">
        <f t="shared" si="15"/>
        <v/>
      </c>
      <c r="K454" s="48"/>
    </row>
    <row r="455" spans="1:11" ht="23.1" customHeight="1">
      <c r="A455" s="348" t="str">
        <f>IF($B455="","",MAX($A$3:A454)+1)</f>
        <v/>
      </c>
      <c r="B455" s="253"/>
      <c r="C455" s="249"/>
      <c r="D455" s="263"/>
      <c r="E455" s="251"/>
      <c r="F455" s="340" t="str">
        <f>IF($B455="","",SUM(SUMIFS('Daily Inward'!$G:$G,'Daily Inward'!$C:$C,$B455,'Daily Inward'!$E:$E,{"Inventory","Services"})))</f>
        <v/>
      </c>
      <c r="G455" s="341" t="str">
        <f>IF($B455="","",SUM(SUMIFS('Daily Issuance'!$G:$G,'Daily Issuance'!$C:$C,$B455,'Daily Issuance'!$E:$E,{"Inventory","Services"})))</f>
        <v/>
      </c>
      <c r="H455" s="42" t="str">
        <f t="shared" si="14"/>
        <v/>
      </c>
      <c r="I455" s="39"/>
      <c r="J455" s="36" t="str">
        <f t="shared" si="15"/>
        <v/>
      </c>
      <c r="K455" s="48"/>
    </row>
    <row r="456" spans="1:11" ht="23.1" customHeight="1">
      <c r="A456" s="348" t="str">
        <f>IF($B456="","",MAX($A$3:A455)+1)</f>
        <v/>
      </c>
      <c r="B456" s="253"/>
      <c r="C456" s="249"/>
      <c r="D456" s="263"/>
      <c r="E456" s="251"/>
      <c r="F456" s="340" t="str">
        <f>IF($B456="","",SUM(SUMIFS('Daily Inward'!$G:$G,'Daily Inward'!$C:$C,$B456,'Daily Inward'!$E:$E,{"Inventory","Services"})))</f>
        <v/>
      </c>
      <c r="G456" s="341" t="str">
        <f>IF($B456="","",SUM(SUMIFS('Daily Issuance'!$G:$G,'Daily Issuance'!$C:$C,$B456,'Daily Issuance'!$E:$E,{"Inventory","Services"})))</f>
        <v/>
      </c>
      <c r="H456" s="42" t="str">
        <f t="shared" si="14"/>
        <v/>
      </c>
      <c r="I456" s="39"/>
      <c r="J456" s="36" t="str">
        <f t="shared" si="15"/>
        <v/>
      </c>
      <c r="K456" s="48"/>
    </row>
    <row r="457" spans="1:11" ht="23.1" customHeight="1">
      <c r="A457" s="348" t="str">
        <f>IF($B457="","",MAX($A$3:A456)+1)</f>
        <v/>
      </c>
      <c r="B457" s="253"/>
      <c r="C457" s="249"/>
      <c r="D457" s="263"/>
      <c r="E457" s="251"/>
      <c r="F457" s="340" t="str">
        <f>IF($B457="","",SUM(SUMIFS('Daily Inward'!$G:$G,'Daily Inward'!$C:$C,$B457,'Daily Inward'!$E:$E,{"Inventory","Services"})))</f>
        <v/>
      </c>
      <c r="G457" s="341" t="str">
        <f>IF($B457="","",SUM(SUMIFS('Daily Issuance'!$G:$G,'Daily Issuance'!$C:$C,$B457,'Daily Issuance'!$E:$E,{"Inventory","Services"})))</f>
        <v/>
      </c>
      <c r="H457" s="42" t="str">
        <f t="shared" si="14"/>
        <v/>
      </c>
      <c r="I457" s="39"/>
      <c r="J457" s="36" t="str">
        <f t="shared" si="15"/>
        <v/>
      </c>
      <c r="K457" s="48"/>
    </row>
    <row r="458" spans="1:11" ht="23.1" customHeight="1">
      <c r="A458" s="348" t="str">
        <f>IF($B458="","",MAX($A$3:A457)+1)</f>
        <v/>
      </c>
      <c r="B458" s="253"/>
      <c r="C458" s="249"/>
      <c r="D458" s="263"/>
      <c r="E458" s="251"/>
      <c r="F458" s="340" t="str">
        <f>IF($B458="","",SUM(SUMIFS('Daily Inward'!$G:$G,'Daily Inward'!$C:$C,$B458,'Daily Inward'!$E:$E,{"Inventory","Services"})))</f>
        <v/>
      </c>
      <c r="G458" s="341" t="str">
        <f>IF($B458="","",SUM(SUMIFS('Daily Issuance'!$G:$G,'Daily Issuance'!$C:$C,$B458,'Daily Issuance'!$E:$E,{"Inventory","Services"})))</f>
        <v/>
      </c>
      <c r="H458" s="42" t="str">
        <f t="shared" si="14"/>
        <v/>
      </c>
      <c r="I458" s="39"/>
      <c r="J458" s="36" t="str">
        <f t="shared" si="15"/>
        <v/>
      </c>
      <c r="K458" s="48"/>
    </row>
    <row r="459" spans="1:11" ht="23.1" customHeight="1">
      <c r="A459" s="348" t="str">
        <f>IF($B459="","",MAX($A$3:A458)+1)</f>
        <v/>
      </c>
      <c r="B459" s="253"/>
      <c r="C459" s="249"/>
      <c r="D459" s="263"/>
      <c r="E459" s="251"/>
      <c r="F459" s="340" t="str">
        <f>IF($B459="","",SUM(SUMIFS('Daily Inward'!$G:$G,'Daily Inward'!$C:$C,$B459,'Daily Inward'!$E:$E,{"Inventory","Services"})))</f>
        <v/>
      </c>
      <c r="G459" s="341" t="str">
        <f>IF($B459="","",SUM(SUMIFS('Daily Issuance'!$G:$G,'Daily Issuance'!$C:$C,$B459,'Daily Issuance'!$E:$E,{"Inventory","Services"})))</f>
        <v/>
      </c>
      <c r="H459" s="42" t="str">
        <f t="shared" si="14"/>
        <v/>
      </c>
      <c r="I459" s="39"/>
      <c r="J459" s="36" t="str">
        <f t="shared" si="15"/>
        <v/>
      </c>
      <c r="K459" s="48"/>
    </row>
    <row r="460" spans="1:11" ht="23.1" customHeight="1">
      <c r="A460" s="348" t="str">
        <f>IF($B460="","",MAX($A$3:A459)+1)</f>
        <v/>
      </c>
      <c r="B460" s="253"/>
      <c r="C460" s="249"/>
      <c r="D460" s="263"/>
      <c r="E460" s="251"/>
      <c r="F460" s="340" t="str">
        <f>IF($B460="","",SUM(SUMIFS('Daily Inward'!$G:$G,'Daily Inward'!$C:$C,$B460,'Daily Inward'!$E:$E,{"Inventory","Services"})))</f>
        <v/>
      </c>
      <c r="G460" s="341" t="str">
        <f>IF($B460="","",SUM(SUMIFS('Daily Issuance'!$G:$G,'Daily Issuance'!$C:$C,$B460,'Daily Issuance'!$E:$E,{"Inventory","Services"})))</f>
        <v/>
      </c>
      <c r="H460" s="42" t="str">
        <f t="shared" si="14"/>
        <v/>
      </c>
      <c r="I460" s="39"/>
      <c r="J460" s="36" t="str">
        <f t="shared" si="15"/>
        <v/>
      </c>
      <c r="K460" s="48"/>
    </row>
    <row r="461" spans="1:11" ht="23.1" customHeight="1">
      <c r="A461" s="348" t="str">
        <f>IF($B461="","",MAX($A$3:A460)+1)</f>
        <v/>
      </c>
      <c r="B461" s="253"/>
      <c r="C461" s="249"/>
      <c r="D461" s="263"/>
      <c r="E461" s="251"/>
      <c r="F461" s="340" t="str">
        <f>IF($B461="","",SUM(SUMIFS('Daily Inward'!$G:$G,'Daily Inward'!$C:$C,$B461,'Daily Inward'!$E:$E,{"Inventory","Services"})))</f>
        <v/>
      </c>
      <c r="G461" s="341" t="str">
        <f>IF($B461="","",SUM(SUMIFS('Daily Issuance'!$G:$G,'Daily Issuance'!$C:$C,$B461,'Daily Issuance'!$E:$E,{"Inventory","Services"})))</f>
        <v/>
      </c>
      <c r="H461" s="42" t="str">
        <f t="shared" si="14"/>
        <v/>
      </c>
      <c r="I461" s="39"/>
      <c r="J461" s="36" t="str">
        <f t="shared" si="15"/>
        <v/>
      </c>
      <c r="K461" s="48"/>
    </row>
    <row r="462" spans="1:11" ht="23.1" customHeight="1">
      <c r="A462" s="348" t="str">
        <f>IF($B462="","",MAX($A$3:A461)+1)</f>
        <v/>
      </c>
      <c r="B462" s="253"/>
      <c r="C462" s="249"/>
      <c r="D462" s="263"/>
      <c r="E462" s="251"/>
      <c r="F462" s="340" t="str">
        <f>IF($B462="","",SUM(SUMIFS('Daily Inward'!$G:$G,'Daily Inward'!$C:$C,$B462,'Daily Inward'!$E:$E,{"Inventory","Services"})))</f>
        <v/>
      </c>
      <c r="G462" s="341" t="str">
        <f>IF($B462="","",SUM(SUMIFS('Daily Issuance'!$G:$G,'Daily Issuance'!$C:$C,$B462,'Daily Issuance'!$E:$E,{"Inventory","Services"})))</f>
        <v/>
      </c>
      <c r="H462" s="42" t="str">
        <f t="shared" si="14"/>
        <v/>
      </c>
      <c r="I462" s="39"/>
      <c r="J462" s="36" t="str">
        <f t="shared" si="15"/>
        <v/>
      </c>
      <c r="K462" s="48"/>
    </row>
    <row r="463" spans="1:11" ht="23.1" customHeight="1">
      <c r="A463" s="348" t="str">
        <f>IF($B463="","",MAX($A$3:A462)+1)</f>
        <v/>
      </c>
      <c r="B463" s="253"/>
      <c r="C463" s="249"/>
      <c r="D463" s="263"/>
      <c r="E463" s="251"/>
      <c r="F463" s="340" t="str">
        <f>IF($B463="","",SUM(SUMIFS('Daily Inward'!$G:$G,'Daily Inward'!$C:$C,$B463,'Daily Inward'!$E:$E,{"Inventory","Services"})))</f>
        <v/>
      </c>
      <c r="G463" s="341" t="str">
        <f>IF($B463="","",SUM(SUMIFS('Daily Issuance'!$G:$G,'Daily Issuance'!$C:$C,$B463,'Daily Issuance'!$E:$E,{"Inventory","Services"})))</f>
        <v/>
      </c>
      <c r="H463" s="42" t="str">
        <f t="shared" si="14"/>
        <v/>
      </c>
      <c r="I463" s="39"/>
      <c r="J463" s="36" t="str">
        <f t="shared" si="15"/>
        <v/>
      </c>
      <c r="K463" s="48"/>
    </row>
    <row r="464" spans="1:11" ht="23.1" customHeight="1">
      <c r="A464" s="348" t="str">
        <f>IF($B464="","",MAX($A$3:A463)+1)</f>
        <v/>
      </c>
      <c r="B464" s="253"/>
      <c r="C464" s="249"/>
      <c r="D464" s="263"/>
      <c r="E464" s="251"/>
      <c r="F464" s="340" t="str">
        <f>IF($B464="","",SUM(SUMIFS('Daily Inward'!$G:$G,'Daily Inward'!$C:$C,$B464,'Daily Inward'!$E:$E,{"Inventory","Services"})))</f>
        <v/>
      </c>
      <c r="G464" s="341" t="str">
        <f>IF($B464="","",SUM(SUMIFS('Daily Issuance'!$G:$G,'Daily Issuance'!$C:$C,$B464,'Daily Issuance'!$E:$E,{"Inventory","Services"})))</f>
        <v/>
      </c>
      <c r="H464" s="42" t="str">
        <f t="shared" si="14"/>
        <v/>
      </c>
      <c r="I464" s="39"/>
      <c r="J464" s="36" t="str">
        <f t="shared" si="15"/>
        <v/>
      </c>
      <c r="K464" s="48"/>
    </row>
    <row r="465" spans="1:11" ht="23.1" customHeight="1">
      <c r="A465" s="348" t="str">
        <f>IF($B465="","",MAX($A$3:A464)+1)</f>
        <v/>
      </c>
      <c r="B465" s="253"/>
      <c r="C465" s="249"/>
      <c r="D465" s="263"/>
      <c r="E465" s="251"/>
      <c r="F465" s="340" t="str">
        <f>IF($B465="","",SUM(SUMIFS('Daily Inward'!$G:$G,'Daily Inward'!$C:$C,$B465,'Daily Inward'!$E:$E,{"Inventory","Services"})))</f>
        <v/>
      </c>
      <c r="G465" s="341" t="str">
        <f>IF($B465="","",SUM(SUMIFS('Daily Issuance'!$G:$G,'Daily Issuance'!$C:$C,$B465,'Daily Issuance'!$E:$E,{"Inventory","Services"})))</f>
        <v/>
      </c>
      <c r="H465" s="42" t="str">
        <f t="shared" si="14"/>
        <v/>
      </c>
      <c r="I465" s="39"/>
      <c r="J465" s="36" t="str">
        <f t="shared" si="15"/>
        <v/>
      </c>
      <c r="K465" s="48"/>
    </row>
    <row r="466" spans="1:11" ht="23.1" customHeight="1">
      <c r="A466" s="348" t="str">
        <f>IF($B466="","",MAX($A$3:A465)+1)</f>
        <v/>
      </c>
      <c r="B466" s="253"/>
      <c r="C466" s="249"/>
      <c r="D466" s="263"/>
      <c r="E466" s="251"/>
      <c r="F466" s="340" t="str">
        <f>IF($B466="","",SUM(SUMIFS('Daily Inward'!$G:$G,'Daily Inward'!$C:$C,$B466,'Daily Inward'!$E:$E,{"Inventory","Services"})))</f>
        <v/>
      </c>
      <c r="G466" s="341" t="str">
        <f>IF($B466="","",SUM(SUMIFS('Daily Issuance'!$G:$G,'Daily Issuance'!$C:$C,$B466,'Daily Issuance'!$E:$E,{"Inventory","Services"})))</f>
        <v/>
      </c>
      <c r="H466" s="42" t="str">
        <f t="shared" si="14"/>
        <v/>
      </c>
      <c r="I466" s="39"/>
      <c r="J466" s="36" t="str">
        <f t="shared" si="15"/>
        <v/>
      </c>
      <c r="K466" s="48"/>
    </row>
    <row r="467" spans="1:11" ht="23.1" customHeight="1">
      <c r="A467" s="348" t="str">
        <f>IF($B467="","",MAX($A$3:A466)+1)</f>
        <v/>
      </c>
      <c r="B467" s="253"/>
      <c r="C467" s="249"/>
      <c r="D467" s="263"/>
      <c r="E467" s="251"/>
      <c r="F467" s="340" t="str">
        <f>IF($B467="","",SUM(SUMIFS('Daily Inward'!$G:$G,'Daily Inward'!$C:$C,$B467,'Daily Inward'!$E:$E,{"Inventory","Services"})))</f>
        <v/>
      </c>
      <c r="G467" s="341" t="str">
        <f>IF($B467="","",SUM(SUMIFS('Daily Issuance'!$G:$G,'Daily Issuance'!$C:$C,$B467,'Daily Issuance'!$E:$E,{"Inventory","Services"})))</f>
        <v/>
      </c>
      <c r="H467" s="42" t="str">
        <f t="shared" si="14"/>
        <v/>
      </c>
      <c r="I467" s="39"/>
      <c r="J467" s="36" t="str">
        <f t="shared" si="15"/>
        <v/>
      </c>
      <c r="K467" s="48"/>
    </row>
    <row r="468" spans="1:11" ht="23.1" customHeight="1">
      <c r="A468" s="348" t="str">
        <f>IF($B468="","",MAX($A$3:A467)+1)</f>
        <v/>
      </c>
      <c r="B468" s="253"/>
      <c r="C468" s="249"/>
      <c r="D468" s="263"/>
      <c r="E468" s="251"/>
      <c r="F468" s="340" t="str">
        <f>IF($B468="","",SUM(SUMIFS('Daily Inward'!$G:$G,'Daily Inward'!$C:$C,$B468,'Daily Inward'!$E:$E,{"Inventory","Services"})))</f>
        <v/>
      </c>
      <c r="G468" s="341" t="str">
        <f>IF($B468="","",SUM(SUMIFS('Daily Issuance'!$G:$G,'Daily Issuance'!$C:$C,$B468,'Daily Issuance'!$E:$E,{"Inventory","Services"})))</f>
        <v/>
      </c>
      <c r="H468" s="42" t="str">
        <f t="shared" si="14"/>
        <v/>
      </c>
      <c r="I468" s="39"/>
      <c r="J468" s="36" t="str">
        <f t="shared" si="15"/>
        <v/>
      </c>
      <c r="K468" s="48"/>
    </row>
    <row r="469" spans="1:11" ht="23.1" customHeight="1">
      <c r="A469" s="348" t="str">
        <f>IF($B469="","",MAX($A$3:A468)+1)</f>
        <v/>
      </c>
      <c r="B469" s="253"/>
      <c r="C469" s="249"/>
      <c r="D469" s="263"/>
      <c r="E469" s="251"/>
      <c r="F469" s="340" t="str">
        <f>IF($B469="","",SUM(SUMIFS('Daily Inward'!$G:$G,'Daily Inward'!$C:$C,$B469,'Daily Inward'!$E:$E,{"Inventory","Services"})))</f>
        <v/>
      </c>
      <c r="G469" s="341" t="str">
        <f>IF($B469="","",SUM(SUMIFS('Daily Issuance'!$G:$G,'Daily Issuance'!$C:$C,$B469,'Daily Issuance'!$E:$E,{"Inventory","Services"})))</f>
        <v/>
      </c>
      <c r="H469" s="42" t="str">
        <f t="shared" si="14"/>
        <v/>
      </c>
      <c r="I469" s="39"/>
      <c r="J469" s="36" t="str">
        <f t="shared" si="15"/>
        <v/>
      </c>
      <c r="K469" s="48"/>
    </row>
    <row r="470" spans="1:11" ht="23.1" customHeight="1">
      <c r="A470" s="348" t="str">
        <f>IF($B470="","",MAX($A$3:A469)+1)</f>
        <v/>
      </c>
      <c r="B470" s="253"/>
      <c r="C470" s="249"/>
      <c r="D470" s="263"/>
      <c r="E470" s="251"/>
      <c r="F470" s="340" t="str">
        <f>IF($B470="","",SUM(SUMIFS('Daily Inward'!$G:$G,'Daily Inward'!$C:$C,$B470,'Daily Inward'!$E:$E,{"Inventory","Services"})))</f>
        <v/>
      </c>
      <c r="G470" s="341" t="str">
        <f>IF($B470="","",SUM(SUMIFS('Daily Issuance'!$G:$G,'Daily Issuance'!$C:$C,$B470,'Daily Issuance'!$E:$E,{"Inventory","Services"})))</f>
        <v/>
      </c>
      <c r="H470" s="42" t="str">
        <f t="shared" si="14"/>
        <v/>
      </c>
      <c r="I470" s="39"/>
      <c r="J470" s="36" t="str">
        <f t="shared" si="15"/>
        <v/>
      </c>
      <c r="K470" s="48"/>
    </row>
    <row r="471" spans="1:11" ht="23.1" customHeight="1">
      <c r="A471" s="348" t="str">
        <f>IF($B471="","",MAX($A$3:A470)+1)</f>
        <v/>
      </c>
      <c r="B471" s="253"/>
      <c r="C471" s="249"/>
      <c r="D471" s="263"/>
      <c r="E471" s="251"/>
      <c r="F471" s="340" t="str">
        <f>IF($B471="","",SUM(SUMIFS('Daily Inward'!$G:$G,'Daily Inward'!$C:$C,$B471,'Daily Inward'!$E:$E,{"Inventory","Services"})))</f>
        <v/>
      </c>
      <c r="G471" s="341" t="str">
        <f>IF($B471="","",SUM(SUMIFS('Daily Issuance'!$G:$G,'Daily Issuance'!$C:$C,$B471,'Daily Issuance'!$E:$E,{"Inventory","Services"})))</f>
        <v/>
      </c>
      <c r="H471" s="42" t="str">
        <f t="shared" si="14"/>
        <v/>
      </c>
      <c r="I471" s="39"/>
      <c r="J471" s="36" t="str">
        <f t="shared" si="15"/>
        <v/>
      </c>
      <c r="K471" s="48"/>
    </row>
    <row r="472" spans="1:11" ht="23.1" customHeight="1">
      <c r="A472" s="348" t="str">
        <f>IF($B472="","",MAX($A$3:A471)+1)</f>
        <v/>
      </c>
      <c r="B472" s="253"/>
      <c r="C472" s="249"/>
      <c r="D472" s="263"/>
      <c r="E472" s="251"/>
      <c r="F472" s="340" t="str">
        <f>IF($B472="","",SUM(SUMIFS('Daily Inward'!$G:$G,'Daily Inward'!$C:$C,$B472,'Daily Inward'!$E:$E,{"Inventory","Services"})))</f>
        <v/>
      </c>
      <c r="G472" s="341" t="str">
        <f>IF($B472="","",SUM(SUMIFS('Daily Issuance'!$G:$G,'Daily Issuance'!$C:$C,$B472,'Daily Issuance'!$E:$E,{"Inventory","Services"})))</f>
        <v/>
      </c>
      <c r="H472" s="42" t="str">
        <f t="shared" si="14"/>
        <v/>
      </c>
      <c r="I472" s="39"/>
      <c r="J472" s="36" t="str">
        <f t="shared" si="15"/>
        <v/>
      </c>
      <c r="K472" s="48"/>
    </row>
    <row r="473" spans="1:11" ht="23.1" customHeight="1">
      <c r="A473" s="348" t="str">
        <f>IF($B473="","",MAX($A$3:A472)+1)</f>
        <v/>
      </c>
      <c r="B473" s="253"/>
      <c r="C473" s="249"/>
      <c r="D473" s="263"/>
      <c r="E473" s="251"/>
      <c r="F473" s="340" t="str">
        <f>IF($B473="","",SUM(SUMIFS('Daily Inward'!$G:$G,'Daily Inward'!$C:$C,$B473,'Daily Inward'!$E:$E,{"Inventory","Services"})))</f>
        <v/>
      </c>
      <c r="G473" s="341" t="str">
        <f>IF($B473="","",SUM(SUMIFS('Daily Issuance'!$G:$G,'Daily Issuance'!$C:$C,$B473,'Daily Issuance'!$E:$E,{"Inventory","Services"})))</f>
        <v/>
      </c>
      <c r="H473" s="42" t="str">
        <f t="shared" si="14"/>
        <v/>
      </c>
      <c r="I473" s="39"/>
      <c r="J473" s="36" t="str">
        <f t="shared" si="15"/>
        <v/>
      </c>
      <c r="K473" s="48"/>
    </row>
    <row r="474" spans="1:11" ht="23.1" customHeight="1">
      <c r="A474" s="348" t="str">
        <f>IF($B474="","",MAX($A$3:A473)+1)</f>
        <v/>
      </c>
      <c r="B474" s="253"/>
      <c r="C474" s="249"/>
      <c r="D474" s="263"/>
      <c r="E474" s="251"/>
      <c r="F474" s="340" t="str">
        <f>IF($B474="","",SUM(SUMIFS('Daily Inward'!$G:$G,'Daily Inward'!$C:$C,$B474,'Daily Inward'!$E:$E,{"Inventory","Services"})))</f>
        <v/>
      </c>
      <c r="G474" s="341" t="str">
        <f>IF($B474="","",SUM(SUMIFS('Daily Issuance'!$G:$G,'Daily Issuance'!$C:$C,$B474,'Daily Issuance'!$E:$E,{"Inventory","Services"})))</f>
        <v/>
      </c>
      <c r="H474" s="42" t="str">
        <f t="shared" si="14"/>
        <v/>
      </c>
      <c r="I474" s="39"/>
      <c r="J474" s="36" t="str">
        <f t="shared" si="15"/>
        <v/>
      </c>
      <c r="K474" s="48"/>
    </row>
    <row r="475" spans="1:11" ht="23.1" customHeight="1">
      <c r="A475" s="348" t="str">
        <f>IF($B475="","",MAX($A$3:A474)+1)</f>
        <v/>
      </c>
      <c r="B475" s="253"/>
      <c r="C475" s="249"/>
      <c r="D475" s="263"/>
      <c r="E475" s="251"/>
      <c r="F475" s="340" t="str">
        <f>IF($B475="","",SUM(SUMIFS('Daily Inward'!$G:$G,'Daily Inward'!$C:$C,$B475,'Daily Inward'!$E:$E,{"Inventory","Services"})))</f>
        <v/>
      </c>
      <c r="G475" s="341" t="str">
        <f>IF($B475="","",SUM(SUMIFS('Daily Issuance'!$G:$G,'Daily Issuance'!$C:$C,$B475,'Daily Issuance'!$E:$E,{"Inventory","Services"})))</f>
        <v/>
      </c>
      <c r="H475" s="42" t="str">
        <f t="shared" si="14"/>
        <v/>
      </c>
      <c r="I475" s="39"/>
      <c r="J475" s="36" t="str">
        <f t="shared" si="15"/>
        <v/>
      </c>
      <c r="K475" s="48"/>
    </row>
    <row r="476" spans="1:11" ht="23.1" customHeight="1">
      <c r="A476" s="348" t="str">
        <f>IF($B476="","",MAX($A$3:A475)+1)</f>
        <v/>
      </c>
      <c r="B476" s="253"/>
      <c r="C476" s="249"/>
      <c r="D476" s="263"/>
      <c r="E476" s="251"/>
      <c r="F476" s="340" t="str">
        <f>IF($B476="","",SUM(SUMIFS('Daily Inward'!$G:$G,'Daily Inward'!$C:$C,$B476,'Daily Inward'!$E:$E,{"Inventory","Services"})))</f>
        <v/>
      </c>
      <c r="G476" s="341" t="str">
        <f>IF($B476="","",SUM(SUMIFS('Daily Issuance'!$G:$G,'Daily Issuance'!$C:$C,$B476,'Daily Issuance'!$E:$E,{"Inventory","Services"})))</f>
        <v/>
      </c>
      <c r="H476" s="42" t="str">
        <f t="shared" si="14"/>
        <v/>
      </c>
      <c r="I476" s="39"/>
      <c r="J476" s="36" t="str">
        <f t="shared" si="15"/>
        <v/>
      </c>
      <c r="K476" s="48"/>
    </row>
    <row r="477" spans="1:11" ht="23.1" customHeight="1">
      <c r="A477" s="348" t="str">
        <f>IF($B477="","",MAX($A$3:A476)+1)</f>
        <v/>
      </c>
      <c r="B477" s="253"/>
      <c r="C477" s="249"/>
      <c r="D477" s="263"/>
      <c r="E477" s="251"/>
      <c r="F477" s="340" t="str">
        <f>IF($B477="","",SUM(SUMIFS('Daily Inward'!$G:$G,'Daily Inward'!$C:$C,$B477,'Daily Inward'!$E:$E,{"Inventory","Services"})))</f>
        <v/>
      </c>
      <c r="G477" s="341" t="str">
        <f>IF($B477="","",SUM(SUMIFS('Daily Issuance'!$G:$G,'Daily Issuance'!$C:$C,$B477,'Daily Issuance'!$E:$E,{"Inventory","Services"})))</f>
        <v/>
      </c>
      <c r="H477" s="42" t="str">
        <f t="shared" si="14"/>
        <v/>
      </c>
      <c r="I477" s="39"/>
      <c r="J477" s="36" t="str">
        <f t="shared" si="15"/>
        <v/>
      </c>
      <c r="K477" s="48"/>
    </row>
    <row r="478" spans="1:11" ht="23.1" customHeight="1">
      <c r="A478" s="348" t="str">
        <f>IF($B478="","",MAX($A$3:A477)+1)</f>
        <v/>
      </c>
      <c r="B478" s="253"/>
      <c r="C478" s="249"/>
      <c r="D478" s="263"/>
      <c r="E478" s="251"/>
      <c r="F478" s="340" t="str">
        <f>IF($B478="","",SUM(SUMIFS('Daily Inward'!$G:$G,'Daily Inward'!$C:$C,$B478,'Daily Inward'!$E:$E,{"Inventory","Services"})))</f>
        <v/>
      </c>
      <c r="G478" s="341" t="str">
        <f>IF($B478="","",SUM(SUMIFS('Daily Issuance'!$G:$G,'Daily Issuance'!$C:$C,$B478,'Daily Issuance'!$E:$E,{"Inventory","Services"})))</f>
        <v/>
      </c>
      <c r="H478" s="42" t="str">
        <f t="shared" si="14"/>
        <v/>
      </c>
      <c r="I478" s="39"/>
      <c r="J478" s="36" t="str">
        <f t="shared" si="15"/>
        <v/>
      </c>
      <c r="K478" s="48"/>
    </row>
    <row r="479" spans="1:11" ht="23.1" customHeight="1">
      <c r="A479" s="348" t="str">
        <f>IF($B479="","",MAX($A$3:A478)+1)</f>
        <v/>
      </c>
      <c r="B479" s="253"/>
      <c r="C479" s="249"/>
      <c r="D479" s="263"/>
      <c r="E479" s="251"/>
      <c r="F479" s="340" t="str">
        <f>IF($B479="","",SUM(SUMIFS('Daily Inward'!$G:$G,'Daily Inward'!$C:$C,$B479,'Daily Inward'!$E:$E,{"Inventory","Services"})))</f>
        <v/>
      </c>
      <c r="G479" s="341" t="str">
        <f>IF($B479="","",SUM(SUMIFS('Daily Issuance'!$G:$G,'Daily Issuance'!$C:$C,$B479,'Daily Issuance'!$E:$E,{"Inventory","Services"})))</f>
        <v/>
      </c>
      <c r="H479" s="42" t="str">
        <f t="shared" si="14"/>
        <v/>
      </c>
      <c r="I479" s="39"/>
      <c r="J479" s="36" t="str">
        <f t="shared" si="15"/>
        <v/>
      </c>
      <c r="K479" s="48"/>
    </row>
    <row r="480" spans="1:11" ht="23.1" customHeight="1">
      <c r="A480" s="348" t="str">
        <f>IF($B480="","",MAX($A$3:A479)+1)</f>
        <v/>
      </c>
      <c r="B480" s="253"/>
      <c r="C480" s="249"/>
      <c r="D480" s="263"/>
      <c r="E480" s="251"/>
      <c r="F480" s="340" t="str">
        <f>IF($B480="","",SUM(SUMIFS('Daily Inward'!$G:$G,'Daily Inward'!$C:$C,$B480,'Daily Inward'!$E:$E,{"Inventory","Services"})))</f>
        <v/>
      </c>
      <c r="G480" s="341" t="str">
        <f>IF($B480="","",SUM(SUMIFS('Daily Issuance'!$G:$G,'Daily Issuance'!$C:$C,$B480,'Daily Issuance'!$E:$E,{"Inventory","Services"})))</f>
        <v/>
      </c>
      <c r="H480" s="42" t="str">
        <f t="shared" si="14"/>
        <v/>
      </c>
      <c r="I480" s="39"/>
      <c r="J480" s="36" t="str">
        <f t="shared" si="15"/>
        <v/>
      </c>
      <c r="K480" s="48"/>
    </row>
    <row r="481" spans="1:11" ht="23.1" customHeight="1">
      <c r="A481" s="348" t="str">
        <f>IF($B481="","",MAX($A$3:A480)+1)</f>
        <v/>
      </c>
      <c r="B481" s="253"/>
      <c r="C481" s="249"/>
      <c r="D481" s="263"/>
      <c r="E481" s="251"/>
      <c r="F481" s="340" t="str">
        <f>IF($B481="","",SUM(SUMIFS('Daily Inward'!$G:$G,'Daily Inward'!$C:$C,$B481,'Daily Inward'!$E:$E,{"Inventory","Services"})))</f>
        <v/>
      </c>
      <c r="G481" s="341" t="str">
        <f>IF($B481="","",SUM(SUMIFS('Daily Issuance'!$G:$G,'Daily Issuance'!$C:$C,$B481,'Daily Issuance'!$E:$E,{"Inventory","Services"})))</f>
        <v/>
      </c>
      <c r="H481" s="42" t="str">
        <f t="shared" si="14"/>
        <v/>
      </c>
      <c r="I481" s="39"/>
      <c r="J481" s="36" t="str">
        <f t="shared" si="15"/>
        <v/>
      </c>
      <c r="K481" s="48"/>
    </row>
    <row r="482" spans="1:11" ht="23.1" customHeight="1">
      <c r="A482" s="348" t="str">
        <f>IF($B482="","",MAX($A$3:A481)+1)</f>
        <v/>
      </c>
      <c r="B482" s="253"/>
      <c r="C482" s="249"/>
      <c r="D482" s="263"/>
      <c r="E482" s="251"/>
      <c r="F482" s="340" t="str">
        <f>IF($B482="","",SUM(SUMIFS('Daily Inward'!$G:$G,'Daily Inward'!$C:$C,$B482,'Daily Inward'!$E:$E,{"Inventory","Services"})))</f>
        <v/>
      </c>
      <c r="G482" s="341" t="str">
        <f>IF($B482="","",SUM(SUMIFS('Daily Issuance'!$G:$G,'Daily Issuance'!$C:$C,$B482,'Daily Issuance'!$E:$E,{"Inventory","Services"})))</f>
        <v/>
      </c>
      <c r="H482" s="42" t="str">
        <f t="shared" si="14"/>
        <v/>
      </c>
      <c r="I482" s="39"/>
      <c r="J482" s="36" t="str">
        <f t="shared" si="15"/>
        <v/>
      </c>
      <c r="K482" s="48"/>
    </row>
    <row r="483" spans="1:11" ht="23.1" customHeight="1">
      <c r="A483" s="348" t="str">
        <f>IF($B483="","",MAX($A$3:A482)+1)</f>
        <v/>
      </c>
      <c r="B483" s="253"/>
      <c r="C483" s="249"/>
      <c r="D483" s="263"/>
      <c r="E483" s="251"/>
      <c r="F483" s="340" t="str">
        <f>IF($B483="","",SUM(SUMIFS('Daily Inward'!$G:$G,'Daily Inward'!$C:$C,$B483,'Daily Inward'!$E:$E,{"Inventory","Services"})))</f>
        <v/>
      </c>
      <c r="G483" s="341" t="str">
        <f>IF($B483="","",SUM(SUMIFS('Daily Issuance'!$G:$G,'Daily Issuance'!$C:$C,$B483,'Daily Issuance'!$E:$E,{"Inventory","Services"})))</f>
        <v/>
      </c>
      <c r="H483" s="42" t="str">
        <f t="shared" si="14"/>
        <v/>
      </c>
      <c r="I483" s="39"/>
      <c r="J483" s="36" t="str">
        <f t="shared" si="15"/>
        <v/>
      </c>
      <c r="K483" s="48"/>
    </row>
    <row r="484" spans="1:11" ht="23.1" customHeight="1">
      <c r="A484" s="348" t="str">
        <f>IF($B484="","",MAX($A$3:A483)+1)</f>
        <v/>
      </c>
      <c r="B484" s="253"/>
      <c r="C484" s="249"/>
      <c r="D484" s="263"/>
      <c r="E484" s="251"/>
      <c r="F484" s="340" t="str">
        <f>IF($B484="","",SUM(SUMIFS('Daily Inward'!$G:$G,'Daily Inward'!$C:$C,$B484,'Daily Inward'!$E:$E,{"Inventory","Services"})))</f>
        <v/>
      </c>
      <c r="G484" s="341" t="str">
        <f>IF($B484="","",SUM(SUMIFS('Daily Issuance'!$G:$G,'Daily Issuance'!$C:$C,$B484,'Daily Issuance'!$E:$E,{"Inventory","Services"})))</f>
        <v/>
      </c>
      <c r="H484" s="42" t="str">
        <f t="shared" si="14"/>
        <v/>
      </c>
      <c r="I484" s="39"/>
      <c r="J484" s="36" t="str">
        <f t="shared" si="15"/>
        <v/>
      </c>
      <c r="K484" s="48"/>
    </row>
    <row r="485" spans="1:11" ht="23.1" customHeight="1">
      <c r="A485" s="348" t="str">
        <f>IF($B485="","",MAX($A$3:A484)+1)</f>
        <v/>
      </c>
      <c r="B485" s="253"/>
      <c r="C485" s="249"/>
      <c r="D485" s="263"/>
      <c r="E485" s="251"/>
      <c r="F485" s="340" t="str">
        <f>IF($B485="","",SUM(SUMIFS('Daily Inward'!$G:$G,'Daily Inward'!$C:$C,$B485,'Daily Inward'!$E:$E,{"Inventory","Services"})))</f>
        <v/>
      </c>
      <c r="G485" s="341" t="str">
        <f>IF($B485="","",SUM(SUMIFS('Daily Issuance'!$G:$G,'Daily Issuance'!$C:$C,$B485,'Daily Issuance'!$E:$E,{"Inventory","Services"})))</f>
        <v/>
      </c>
      <c r="H485" s="42" t="str">
        <f t="shared" si="14"/>
        <v/>
      </c>
      <c r="I485" s="39"/>
      <c r="J485" s="36" t="str">
        <f t="shared" si="15"/>
        <v/>
      </c>
      <c r="K485" s="48"/>
    </row>
    <row r="486" spans="1:11" ht="23.1" customHeight="1">
      <c r="A486" s="348" t="str">
        <f>IF($B486="","",MAX($A$3:A485)+1)</f>
        <v/>
      </c>
      <c r="B486" s="253"/>
      <c r="C486" s="249"/>
      <c r="D486" s="263"/>
      <c r="E486" s="251"/>
      <c r="F486" s="340" t="str">
        <f>IF($B486="","",SUM(SUMIFS('Daily Inward'!$G:$G,'Daily Inward'!$C:$C,$B486,'Daily Inward'!$E:$E,{"Inventory","Services"})))</f>
        <v/>
      </c>
      <c r="G486" s="341" t="str">
        <f>IF($B486="","",SUM(SUMIFS('Daily Issuance'!$G:$G,'Daily Issuance'!$C:$C,$B486,'Daily Issuance'!$E:$E,{"Inventory","Services"})))</f>
        <v/>
      </c>
      <c r="H486" s="42" t="str">
        <f t="shared" si="14"/>
        <v/>
      </c>
      <c r="I486" s="39"/>
      <c r="J486" s="36" t="str">
        <f t="shared" si="15"/>
        <v/>
      </c>
      <c r="K486" s="48"/>
    </row>
    <row r="487" spans="1:11" ht="23.1" customHeight="1">
      <c r="A487" s="348" t="str">
        <f>IF($B487="","",MAX($A$3:A486)+1)</f>
        <v/>
      </c>
      <c r="B487" s="253"/>
      <c r="C487" s="249"/>
      <c r="D487" s="263"/>
      <c r="E487" s="251"/>
      <c r="F487" s="340" t="str">
        <f>IF($B487="","",SUM(SUMIFS('Daily Inward'!$G:$G,'Daily Inward'!$C:$C,$B487,'Daily Inward'!$E:$E,{"Inventory","Services"})))</f>
        <v/>
      </c>
      <c r="G487" s="341" t="str">
        <f>IF($B487="","",SUM(SUMIFS('Daily Issuance'!$G:$G,'Daily Issuance'!$C:$C,$B487,'Daily Issuance'!$E:$E,{"Inventory","Services"})))</f>
        <v/>
      </c>
      <c r="H487" s="42" t="str">
        <f t="shared" si="14"/>
        <v/>
      </c>
      <c r="I487" s="39"/>
      <c r="J487" s="36" t="str">
        <f t="shared" si="15"/>
        <v/>
      </c>
      <c r="K487" s="48"/>
    </row>
    <row r="488" spans="1:11" ht="23.1" customHeight="1">
      <c r="A488" s="348" t="str">
        <f>IF($B488="","",MAX($A$3:A487)+1)</f>
        <v/>
      </c>
      <c r="B488" s="253"/>
      <c r="C488" s="249"/>
      <c r="D488" s="263"/>
      <c r="E488" s="251"/>
      <c r="F488" s="340" t="str">
        <f>IF($B488="","",SUM(SUMIFS('Daily Inward'!$G:$G,'Daily Inward'!$C:$C,$B488,'Daily Inward'!$E:$E,{"Inventory","Services"})))</f>
        <v/>
      </c>
      <c r="G488" s="341" t="str">
        <f>IF($B488="","",SUM(SUMIFS('Daily Issuance'!$G:$G,'Daily Issuance'!$C:$C,$B488,'Daily Issuance'!$E:$E,{"Inventory","Services"})))</f>
        <v/>
      </c>
      <c r="H488" s="42" t="str">
        <f t="shared" si="14"/>
        <v/>
      </c>
      <c r="I488" s="39"/>
      <c r="J488" s="36" t="str">
        <f t="shared" si="15"/>
        <v/>
      </c>
      <c r="K488" s="48"/>
    </row>
    <row r="489" spans="1:11" ht="23.1" customHeight="1">
      <c r="A489" s="348" t="str">
        <f>IF($B489="","",MAX($A$3:A488)+1)</f>
        <v/>
      </c>
      <c r="B489" s="253"/>
      <c r="C489" s="249"/>
      <c r="D489" s="263"/>
      <c r="E489" s="251"/>
      <c r="F489" s="340" t="str">
        <f>IF($B489="","",SUM(SUMIFS('Daily Inward'!$G:$G,'Daily Inward'!$C:$C,$B489,'Daily Inward'!$E:$E,{"Inventory","Services"})))</f>
        <v/>
      </c>
      <c r="G489" s="341" t="str">
        <f>IF($B489="","",SUM(SUMIFS('Daily Issuance'!$G:$G,'Daily Issuance'!$C:$C,$B489,'Daily Issuance'!$E:$E,{"Inventory","Services"})))</f>
        <v/>
      </c>
      <c r="H489" s="42" t="str">
        <f t="shared" si="14"/>
        <v/>
      </c>
      <c r="I489" s="39"/>
      <c r="J489" s="36" t="str">
        <f t="shared" si="15"/>
        <v/>
      </c>
      <c r="K489" s="48"/>
    </row>
    <row r="490" spans="1:11" ht="23.1" customHeight="1">
      <c r="A490" s="348" t="str">
        <f>IF($B490="","",MAX($A$3:A489)+1)</f>
        <v/>
      </c>
      <c r="B490" s="253"/>
      <c r="C490" s="249"/>
      <c r="D490" s="263"/>
      <c r="E490" s="251"/>
      <c r="F490" s="340" t="str">
        <f>IF($B490="","",SUM(SUMIFS('Daily Inward'!$G:$G,'Daily Inward'!$C:$C,$B490,'Daily Inward'!$E:$E,{"Inventory","Services"})))</f>
        <v/>
      </c>
      <c r="G490" s="341" t="str">
        <f>IF($B490="","",SUM(SUMIFS('Daily Issuance'!$G:$G,'Daily Issuance'!$C:$C,$B490,'Daily Issuance'!$E:$E,{"Inventory","Services"})))</f>
        <v/>
      </c>
      <c r="H490" s="42" t="str">
        <f t="shared" si="14"/>
        <v/>
      </c>
      <c r="I490" s="39"/>
      <c r="J490" s="36" t="str">
        <f t="shared" si="15"/>
        <v/>
      </c>
      <c r="K490" s="48"/>
    </row>
    <row r="491" spans="1:11" ht="23.1" customHeight="1">
      <c r="A491" s="348" t="str">
        <f>IF($B491="","",MAX($A$3:A490)+1)</f>
        <v/>
      </c>
      <c r="B491" s="253"/>
      <c r="C491" s="249"/>
      <c r="D491" s="263"/>
      <c r="E491" s="251"/>
      <c r="F491" s="340" t="str">
        <f>IF($B491="","",SUM(SUMIFS('Daily Inward'!$G:$G,'Daily Inward'!$C:$C,$B491,'Daily Inward'!$E:$E,{"Inventory","Services"})))</f>
        <v/>
      </c>
      <c r="G491" s="341" t="str">
        <f>IF($B491="","",SUM(SUMIFS('Daily Issuance'!$G:$G,'Daily Issuance'!$C:$C,$B491,'Daily Issuance'!$E:$E,{"Inventory","Services"})))</f>
        <v/>
      </c>
      <c r="H491" s="42" t="str">
        <f t="shared" si="14"/>
        <v/>
      </c>
      <c r="I491" s="39"/>
      <c r="J491" s="36" t="str">
        <f t="shared" si="15"/>
        <v/>
      </c>
      <c r="K491" s="48"/>
    </row>
    <row r="492" spans="1:11" ht="23.1" customHeight="1">
      <c r="A492" s="348" t="str">
        <f>IF($B492="","",MAX($A$3:A491)+1)</f>
        <v/>
      </c>
      <c r="B492" s="253"/>
      <c r="C492" s="249"/>
      <c r="D492" s="263"/>
      <c r="E492" s="251"/>
      <c r="F492" s="340" t="str">
        <f>IF($B492="","",SUM(SUMIFS('Daily Inward'!$G:$G,'Daily Inward'!$C:$C,$B492,'Daily Inward'!$E:$E,{"Inventory","Services"})))</f>
        <v/>
      </c>
      <c r="G492" s="341" t="str">
        <f>IF($B492="","",SUM(SUMIFS('Daily Issuance'!$G:$G,'Daily Issuance'!$C:$C,$B492,'Daily Issuance'!$E:$E,{"Inventory","Services"})))</f>
        <v/>
      </c>
      <c r="H492" s="42" t="str">
        <f t="shared" si="14"/>
        <v/>
      </c>
      <c r="I492" s="39"/>
      <c r="J492" s="36" t="str">
        <f t="shared" si="15"/>
        <v/>
      </c>
      <c r="K492" s="48"/>
    </row>
    <row r="493" spans="1:11" ht="23.1" customHeight="1">
      <c r="A493" s="348" t="str">
        <f>IF($B493="","",MAX($A$3:A492)+1)</f>
        <v/>
      </c>
      <c r="B493" s="253"/>
      <c r="C493" s="249"/>
      <c r="D493" s="263"/>
      <c r="E493" s="251"/>
      <c r="F493" s="340" t="str">
        <f>IF($B493="","",SUM(SUMIFS('Daily Inward'!$G:$G,'Daily Inward'!$C:$C,$B493,'Daily Inward'!$E:$E,{"Inventory","Services"})))</f>
        <v/>
      </c>
      <c r="G493" s="341" t="str">
        <f>IF($B493="","",SUM(SUMIFS('Daily Issuance'!$G:$G,'Daily Issuance'!$C:$C,$B493,'Daily Issuance'!$E:$E,{"Inventory","Services"})))</f>
        <v/>
      </c>
      <c r="H493" s="42" t="str">
        <f t="shared" si="14"/>
        <v/>
      </c>
      <c r="I493" s="39"/>
      <c r="J493" s="36" t="str">
        <f t="shared" si="15"/>
        <v/>
      </c>
      <c r="K493" s="48"/>
    </row>
    <row r="494" spans="1:11" ht="23.1" customHeight="1">
      <c r="A494" s="348" t="str">
        <f>IF($B494="","",MAX($A$3:A493)+1)</f>
        <v/>
      </c>
      <c r="B494" s="253"/>
      <c r="C494" s="249"/>
      <c r="D494" s="263"/>
      <c r="E494" s="251"/>
      <c r="F494" s="340" t="str">
        <f>IF($B494="","",SUM(SUMIFS('Daily Inward'!$G:$G,'Daily Inward'!$C:$C,$B494,'Daily Inward'!$E:$E,{"Inventory","Services"})))</f>
        <v/>
      </c>
      <c r="G494" s="341" t="str">
        <f>IF($B494="","",SUM(SUMIFS('Daily Issuance'!$G:$G,'Daily Issuance'!$C:$C,$B494,'Daily Issuance'!$E:$E,{"Inventory","Services"})))</f>
        <v/>
      </c>
      <c r="H494" s="42" t="str">
        <f t="shared" si="14"/>
        <v/>
      </c>
      <c r="I494" s="39"/>
      <c r="J494" s="36" t="str">
        <f t="shared" si="15"/>
        <v/>
      </c>
      <c r="K494" s="48"/>
    </row>
    <row r="495" spans="1:11" ht="23.1" customHeight="1">
      <c r="A495" s="348" t="str">
        <f>IF($B495="","",MAX($A$3:A494)+1)</f>
        <v/>
      </c>
      <c r="B495" s="253"/>
      <c r="C495" s="249"/>
      <c r="D495" s="263"/>
      <c r="E495" s="251"/>
      <c r="F495" s="340" t="str">
        <f>IF($B495="","",SUM(SUMIFS('Daily Inward'!$G:$G,'Daily Inward'!$C:$C,$B495,'Daily Inward'!$E:$E,{"Inventory","Services"})))</f>
        <v/>
      </c>
      <c r="G495" s="341" t="str">
        <f>IF($B495="","",SUM(SUMIFS('Daily Issuance'!$G:$G,'Daily Issuance'!$C:$C,$B495,'Daily Issuance'!$E:$E,{"Inventory","Services"})))</f>
        <v/>
      </c>
      <c r="H495" s="42" t="str">
        <f t="shared" si="14"/>
        <v/>
      </c>
      <c r="I495" s="39"/>
      <c r="J495" s="36" t="str">
        <f t="shared" si="15"/>
        <v/>
      </c>
      <c r="K495" s="48"/>
    </row>
    <row r="496" spans="1:11" ht="23.1" customHeight="1">
      <c r="A496" s="348" t="str">
        <f>IF($B496="","",MAX($A$3:A495)+1)</f>
        <v/>
      </c>
      <c r="B496" s="253"/>
      <c r="C496" s="249"/>
      <c r="D496" s="263"/>
      <c r="E496" s="251"/>
      <c r="F496" s="340" t="str">
        <f>IF($B496="","",SUM(SUMIFS('Daily Inward'!$G:$G,'Daily Inward'!$C:$C,$B496,'Daily Inward'!$E:$E,{"Inventory","Services"})))</f>
        <v/>
      </c>
      <c r="G496" s="341" t="str">
        <f>IF($B496="","",SUM(SUMIFS('Daily Issuance'!$G:$G,'Daily Issuance'!$C:$C,$B496,'Daily Issuance'!$E:$E,{"Inventory","Services"})))</f>
        <v/>
      </c>
      <c r="H496" s="42" t="str">
        <f t="shared" si="14"/>
        <v/>
      </c>
      <c r="I496" s="39"/>
      <c r="J496" s="36" t="str">
        <f t="shared" si="15"/>
        <v/>
      </c>
      <c r="K496" s="48"/>
    </row>
    <row r="497" spans="1:11" ht="23.1" customHeight="1">
      <c r="A497" s="348" t="str">
        <f>IF($B497="","",MAX($A$3:A496)+1)</f>
        <v/>
      </c>
      <c r="B497" s="253"/>
      <c r="C497" s="249"/>
      <c r="D497" s="263"/>
      <c r="E497" s="251"/>
      <c r="F497" s="340" t="str">
        <f>IF($B497="","",SUM(SUMIFS('Daily Inward'!$G:$G,'Daily Inward'!$C:$C,$B497,'Daily Inward'!$E:$E,{"Inventory","Services"})))</f>
        <v/>
      </c>
      <c r="G497" s="341" t="str">
        <f>IF($B497="","",SUM(SUMIFS('Daily Issuance'!$G:$G,'Daily Issuance'!$C:$C,$B497,'Daily Issuance'!$E:$E,{"Inventory","Services"})))</f>
        <v/>
      </c>
      <c r="H497" s="42" t="str">
        <f t="shared" si="14"/>
        <v/>
      </c>
      <c r="I497" s="39"/>
      <c r="J497" s="36" t="str">
        <f t="shared" si="15"/>
        <v/>
      </c>
      <c r="K497" s="48"/>
    </row>
    <row r="498" spans="1:11" ht="23.1" customHeight="1">
      <c r="A498" s="348" t="str">
        <f>IF($B498="","",MAX($A$3:A497)+1)</f>
        <v/>
      </c>
      <c r="B498" s="253"/>
      <c r="C498" s="249"/>
      <c r="D498" s="263"/>
      <c r="E498" s="251"/>
      <c r="F498" s="340" t="str">
        <f>IF($B498="","",SUM(SUMIFS('Daily Inward'!$G:$G,'Daily Inward'!$C:$C,$B498,'Daily Inward'!$E:$E,{"Inventory","Services"})))</f>
        <v/>
      </c>
      <c r="G498" s="341" t="str">
        <f>IF($B498="","",SUM(SUMIFS('Daily Issuance'!$G:$G,'Daily Issuance'!$C:$C,$B498,'Daily Issuance'!$E:$E,{"Inventory","Services"})))</f>
        <v/>
      </c>
      <c r="H498" s="42" t="str">
        <f t="shared" si="14"/>
        <v/>
      </c>
      <c r="I498" s="39"/>
      <c r="J498" s="36" t="str">
        <f t="shared" si="15"/>
        <v/>
      </c>
      <c r="K498" s="48"/>
    </row>
    <row r="499" spans="1:11" ht="23.1" customHeight="1">
      <c r="A499" s="348" t="str">
        <f>IF($B499="","",MAX($A$3:A498)+1)</f>
        <v/>
      </c>
      <c r="B499" s="253"/>
      <c r="C499" s="249"/>
      <c r="D499" s="263"/>
      <c r="E499" s="251"/>
      <c r="F499" s="340" t="str">
        <f>IF($B499="","",SUM(SUMIFS('Daily Inward'!$G:$G,'Daily Inward'!$C:$C,$B499,'Daily Inward'!$E:$E,{"Inventory","Services"})))</f>
        <v/>
      </c>
      <c r="G499" s="341" t="str">
        <f>IF($B499="","",SUM(SUMIFS('Daily Issuance'!$G:$G,'Daily Issuance'!$C:$C,$B499,'Daily Issuance'!$E:$E,{"Inventory","Services"})))</f>
        <v/>
      </c>
      <c r="H499" s="42" t="str">
        <f t="shared" si="14"/>
        <v/>
      </c>
      <c r="I499" s="39"/>
      <c r="J499" s="36" t="str">
        <f t="shared" si="15"/>
        <v/>
      </c>
      <c r="K499" s="48"/>
    </row>
    <row r="500" spans="1:11" ht="23.1" customHeight="1">
      <c r="A500" s="348" t="str">
        <f>IF($B500="","",MAX($A$3:A499)+1)</f>
        <v/>
      </c>
      <c r="B500" s="253"/>
      <c r="C500" s="249"/>
      <c r="D500" s="263"/>
      <c r="E500" s="251"/>
      <c r="F500" s="340" t="str">
        <f>IF($B500="","",SUM(SUMIFS('Daily Inward'!$G:$G,'Daily Inward'!$C:$C,$B500,'Daily Inward'!$E:$E,{"Inventory","Services"})))</f>
        <v/>
      </c>
      <c r="G500" s="341" t="str">
        <f>IF($B500="","",SUM(SUMIFS('Daily Issuance'!$G:$G,'Daily Issuance'!$C:$C,$B500,'Daily Issuance'!$E:$E,{"Inventory","Services"})))</f>
        <v/>
      </c>
      <c r="H500" s="42" t="str">
        <f t="shared" si="14"/>
        <v/>
      </c>
      <c r="I500" s="39"/>
      <c r="J500" s="36" t="str">
        <f t="shared" si="15"/>
        <v/>
      </c>
      <c r="K500" s="48"/>
    </row>
    <row r="501" spans="1:11" ht="23.1" customHeight="1">
      <c r="A501" s="348" t="str">
        <f>IF($B501="","",MAX($A$3:A500)+1)</f>
        <v/>
      </c>
      <c r="B501" s="253"/>
      <c r="C501" s="249"/>
      <c r="D501" s="263"/>
      <c r="E501" s="251"/>
      <c r="F501" s="340" t="str">
        <f>IF($B501="","",SUM(SUMIFS('Daily Inward'!$G:$G,'Daily Inward'!$C:$C,$B501,'Daily Inward'!$E:$E,{"Inventory","Services"})))</f>
        <v/>
      </c>
      <c r="G501" s="341" t="str">
        <f>IF($B501="","",SUM(SUMIFS('Daily Issuance'!$G:$G,'Daily Issuance'!$C:$C,$B501,'Daily Issuance'!$E:$E,{"Inventory","Services"})))</f>
        <v/>
      </c>
      <c r="H501" s="42" t="str">
        <f t="shared" si="14"/>
        <v/>
      </c>
      <c r="I501" s="39"/>
      <c r="J501" s="36" t="str">
        <f t="shared" si="15"/>
        <v/>
      </c>
      <c r="K501" s="48"/>
    </row>
    <row r="502" spans="1:11" ht="23.1" customHeight="1">
      <c r="A502" s="348" t="str">
        <f>IF($B502="","",MAX($A$3:A501)+1)</f>
        <v/>
      </c>
      <c r="B502" s="253"/>
      <c r="C502" s="249"/>
      <c r="D502" s="263"/>
      <c r="E502" s="251"/>
      <c r="F502" s="340" t="str">
        <f>IF($B502="","",SUM(SUMIFS('Daily Inward'!$G:$G,'Daily Inward'!$C:$C,$B502,'Daily Inward'!$E:$E,{"Inventory","Services"})))</f>
        <v/>
      </c>
      <c r="G502" s="341" t="str">
        <f>IF($B502="","",SUM(SUMIFS('Daily Issuance'!$G:$G,'Daily Issuance'!$C:$C,$B502,'Daily Issuance'!$E:$E,{"Inventory","Services"})))</f>
        <v/>
      </c>
      <c r="H502" s="42" t="str">
        <f t="shared" si="14"/>
        <v/>
      </c>
      <c r="I502" s="39"/>
      <c r="J502" s="36" t="str">
        <f t="shared" si="15"/>
        <v/>
      </c>
      <c r="K502" s="48"/>
    </row>
    <row r="503" spans="1:11" ht="23.1" customHeight="1">
      <c r="A503" s="348" t="str">
        <f>IF($B503="","",MAX($A$3:A502)+1)</f>
        <v/>
      </c>
      <c r="B503" s="253"/>
      <c r="C503" s="249"/>
      <c r="D503" s="263"/>
      <c r="E503" s="251"/>
      <c r="F503" s="340" t="str">
        <f>IF($B503="","",SUM(SUMIFS('Daily Inward'!$G:$G,'Daily Inward'!$C:$C,$B503,'Daily Inward'!$E:$E,{"Inventory","Services"})))</f>
        <v/>
      </c>
      <c r="G503" s="341" t="str">
        <f>IF($B503="","",SUM(SUMIFS('Daily Issuance'!$G:$G,'Daily Issuance'!$C:$C,$B503,'Daily Issuance'!$E:$E,{"Inventory","Services"})))</f>
        <v/>
      </c>
      <c r="H503" s="42" t="str">
        <f t="shared" si="14"/>
        <v/>
      </c>
      <c r="I503" s="39"/>
      <c r="J503" s="36" t="str">
        <f t="shared" si="15"/>
        <v/>
      </c>
      <c r="K503" s="48"/>
    </row>
    <row r="504" spans="1:11" ht="23.1" customHeight="1">
      <c r="A504" s="348" t="str">
        <f>IF($B504="","",MAX($A$3:A503)+1)</f>
        <v/>
      </c>
      <c r="B504" s="253"/>
      <c r="C504" s="249"/>
      <c r="D504" s="263"/>
      <c r="E504" s="251"/>
      <c r="F504" s="340" t="str">
        <f>IF($B504="","",SUM(SUMIFS('Daily Inward'!$G:$G,'Daily Inward'!$C:$C,$B504,'Daily Inward'!$E:$E,{"Inventory","Services"})))</f>
        <v/>
      </c>
      <c r="G504" s="341" t="str">
        <f>IF($B504="","",SUM(SUMIFS('Daily Issuance'!$G:$G,'Daily Issuance'!$C:$C,$B504,'Daily Issuance'!$E:$E,{"Inventory","Services"})))</f>
        <v/>
      </c>
      <c r="H504" s="42" t="str">
        <f t="shared" si="14"/>
        <v/>
      </c>
      <c r="I504" s="39"/>
      <c r="J504" s="36" t="str">
        <f t="shared" si="15"/>
        <v/>
      </c>
      <c r="K504" s="48"/>
    </row>
    <row r="505" spans="1:11" ht="23.1" customHeight="1">
      <c r="A505" s="348" t="str">
        <f>IF($B505="","",MAX($A$3:A504)+1)</f>
        <v/>
      </c>
      <c r="B505" s="253"/>
      <c r="C505" s="249"/>
      <c r="D505" s="263"/>
      <c r="E505" s="251"/>
      <c r="F505" s="340" t="str">
        <f>IF($B505="","",SUM(SUMIFS('Daily Inward'!$G:$G,'Daily Inward'!$C:$C,$B505,'Daily Inward'!$E:$E,{"Inventory","Services"})))</f>
        <v/>
      </c>
      <c r="G505" s="341" t="str">
        <f>IF($B505="","",SUM(SUMIFS('Daily Issuance'!$G:$G,'Daily Issuance'!$C:$C,$B505,'Daily Issuance'!$E:$E,{"Inventory","Services"})))</f>
        <v/>
      </c>
      <c r="H505" s="42" t="str">
        <f t="shared" si="14"/>
        <v/>
      </c>
      <c r="I505" s="39"/>
      <c r="J505" s="36" t="str">
        <f t="shared" si="15"/>
        <v/>
      </c>
      <c r="K505" s="48"/>
    </row>
    <row r="506" spans="1:11" ht="23.1" customHeight="1">
      <c r="A506" s="348" t="str">
        <f>IF($B506="","",MAX($A$3:A505)+1)</f>
        <v/>
      </c>
      <c r="B506" s="253"/>
      <c r="C506" s="249"/>
      <c r="D506" s="263"/>
      <c r="E506" s="251"/>
      <c r="F506" s="340" t="str">
        <f>IF($B506="","",SUM(SUMIFS('Daily Inward'!$G:$G,'Daily Inward'!$C:$C,$B506,'Daily Inward'!$E:$E,{"Inventory","Services"})))</f>
        <v/>
      </c>
      <c r="G506" s="341" t="str">
        <f>IF($B506="","",SUM(SUMIFS('Daily Issuance'!$G:$G,'Daily Issuance'!$C:$C,$B506,'Daily Issuance'!$E:$E,{"Inventory","Services"})))</f>
        <v/>
      </c>
      <c r="H506" s="42" t="str">
        <f t="shared" si="14"/>
        <v/>
      </c>
      <c r="I506" s="39"/>
      <c r="J506" s="36" t="str">
        <f t="shared" si="15"/>
        <v/>
      </c>
      <c r="K506" s="48"/>
    </row>
    <row r="507" spans="1:11" ht="23.1" customHeight="1">
      <c r="A507" s="348" t="str">
        <f>IF($B507="","",MAX($A$3:A506)+1)</f>
        <v/>
      </c>
      <c r="B507" s="253"/>
      <c r="C507" s="249"/>
      <c r="D507" s="263"/>
      <c r="E507" s="251"/>
      <c r="F507" s="340" t="str">
        <f>IF($B507="","",SUM(SUMIFS('Daily Inward'!$G:$G,'Daily Inward'!$C:$C,$B507,'Daily Inward'!$E:$E,{"Inventory","Services"})))</f>
        <v/>
      </c>
      <c r="G507" s="341" t="str">
        <f>IF($B507="","",SUM(SUMIFS('Daily Issuance'!$G:$G,'Daily Issuance'!$C:$C,$B507,'Daily Issuance'!$E:$E,{"Inventory","Services"})))</f>
        <v/>
      </c>
      <c r="H507" s="42" t="str">
        <f t="shared" si="14"/>
        <v/>
      </c>
      <c r="I507" s="39"/>
      <c r="J507" s="36" t="str">
        <f t="shared" si="15"/>
        <v/>
      </c>
      <c r="K507" s="48"/>
    </row>
    <row r="508" spans="1:11" ht="23.1" customHeight="1">
      <c r="A508" s="348" t="str">
        <f>IF($B508="","",MAX($A$3:A507)+1)</f>
        <v/>
      </c>
      <c r="B508" s="253"/>
      <c r="C508" s="249"/>
      <c r="D508" s="263"/>
      <c r="E508" s="251"/>
      <c r="F508" s="340" t="str">
        <f>IF($B508="","",SUM(SUMIFS('Daily Inward'!$G:$G,'Daily Inward'!$C:$C,$B508,'Daily Inward'!$E:$E,{"Inventory","Services"})))</f>
        <v/>
      </c>
      <c r="G508" s="341" t="str">
        <f>IF($B508="","",SUM(SUMIFS('Daily Issuance'!$G:$G,'Daily Issuance'!$C:$C,$B508,'Daily Issuance'!$E:$E,{"Inventory","Services"})))</f>
        <v/>
      </c>
      <c r="H508" s="42" t="str">
        <f t="shared" si="14"/>
        <v/>
      </c>
      <c r="I508" s="39"/>
      <c r="J508" s="36" t="str">
        <f t="shared" si="15"/>
        <v/>
      </c>
      <c r="K508" s="48"/>
    </row>
    <row r="509" spans="1:11" ht="23.1" customHeight="1">
      <c r="A509" s="348" t="str">
        <f>IF($B509="","",MAX($A$3:A508)+1)</f>
        <v/>
      </c>
      <c r="B509" s="253"/>
      <c r="C509" s="249"/>
      <c r="D509" s="263"/>
      <c r="E509" s="251"/>
      <c r="F509" s="340" t="str">
        <f>IF($B509="","",SUM(SUMIFS('Daily Inward'!$G:$G,'Daily Inward'!$C:$C,$B509,'Daily Inward'!$E:$E,{"Inventory","Services"})))</f>
        <v/>
      </c>
      <c r="G509" s="341" t="str">
        <f>IF($B509="","",SUM(SUMIFS('Daily Issuance'!$G:$G,'Daily Issuance'!$C:$C,$B509,'Daily Issuance'!$E:$E,{"Inventory","Services"})))</f>
        <v/>
      </c>
      <c r="H509" s="42" t="str">
        <f t="shared" si="14"/>
        <v/>
      </c>
      <c r="I509" s="39"/>
      <c r="J509" s="36" t="str">
        <f t="shared" si="15"/>
        <v/>
      </c>
      <c r="K509" s="48"/>
    </row>
    <row r="510" spans="1:11" ht="23.1" customHeight="1">
      <c r="A510" s="348" t="str">
        <f>IF($B510="","",MAX($A$3:A509)+1)</f>
        <v/>
      </c>
      <c r="B510" s="253"/>
      <c r="C510" s="249"/>
      <c r="D510" s="263"/>
      <c r="E510" s="251"/>
      <c r="F510" s="340" t="str">
        <f>IF($B510="","",SUM(SUMIFS('Daily Inward'!$G:$G,'Daily Inward'!$C:$C,$B510,'Daily Inward'!$E:$E,{"Inventory","Services"})))</f>
        <v/>
      </c>
      <c r="G510" s="341" t="str">
        <f>IF($B510="","",SUM(SUMIFS('Daily Issuance'!$G:$G,'Daily Issuance'!$C:$C,$B510,'Daily Issuance'!$E:$E,{"Inventory","Services"})))</f>
        <v/>
      </c>
      <c r="H510" s="42" t="str">
        <f t="shared" si="14"/>
        <v/>
      </c>
      <c r="I510" s="39"/>
      <c r="J510" s="36" t="str">
        <f t="shared" si="15"/>
        <v/>
      </c>
      <c r="K510" s="48"/>
    </row>
    <row r="511" spans="1:11" ht="23.1" customHeight="1">
      <c r="A511" s="348" t="str">
        <f>IF($B511="","",MAX($A$3:A510)+1)</f>
        <v/>
      </c>
      <c r="B511" s="253"/>
      <c r="C511" s="249"/>
      <c r="D511" s="263"/>
      <c r="E511" s="251"/>
      <c r="F511" s="340" t="str">
        <f>IF($B511="","",SUM(SUMIFS('Daily Inward'!$G:$G,'Daily Inward'!$C:$C,$B511,'Daily Inward'!$E:$E,{"Inventory","Services"})))</f>
        <v/>
      </c>
      <c r="G511" s="341" t="str">
        <f>IF($B511="","",SUM(SUMIFS('Daily Issuance'!$G:$G,'Daily Issuance'!$C:$C,$B511,'Daily Issuance'!$E:$E,{"Inventory","Services"})))</f>
        <v/>
      </c>
      <c r="H511" s="42" t="str">
        <f t="shared" si="14"/>
        <v/>
      </c>
      <c r="I511" s="39"/>
      <c r="J511" s="36" t="str">
        <f t="shared" si="15"/>
        <v/>
      </c>
      <c r="K511" s="48"/>
    </row>
    <row r="512" spans="1:11" ht="23.1" customHeight="1">
      <c r="A512" s="348" t="str">
        <f>IF($B512="","",MAX($A$3:A511)+1)</f>
        <v/>
      </c>
      <c r="B512" s="253"/>
      <c r="C512" s="249"/>
      <c r="D512" s="263"/>
      <c r="E512" s="251"/>
      <c r="F512" s="340" t="str">
        <f>IF($B512="","",SUM(SUMIFS('Daily Inward'!$G:$G,'Daily Inward'!$C:$C,$B512,'Daily Inward'!$E:$E,{"Inventory","Services"})))</f>
        <v/>
      </c>
      <c r="G512" s="341" t="str">
        <f>IF($B512="","",SUM(SUMIFS('Daily Issuance'!$G:$G,'Daily Issuance'!$C:$C,$B512,'Daily Issuance'!$E:$E,{"Inventory","Services"})))</f>
        <v/>
      </c>
      <c r="H512" s="42" t="str">
        <f t="shared" si="14"/>
        <v/>
      </c>
      <c r="I512" s="39"/>
      <c r="J512" s="36" t="str">
        <f t="shared" si="15"/>
        <v/>
      </c>
      <c r="K512" s="48"/>
    </row>
    <row r="513" spans="1:11" ht="23.1" customHeight="1">
      <c r="A513" s="348" t="str">
        <f>IF($B513="","",MAX($A$3:A512)+1)</f>
        <v/>
      </c>
      <c r="B513" s="253"/>
      <c r="C513" s="249"/>
      <c r="D513" s="263"/>
      <c r="E513" s="251"/>
      <c r="F513" s="340" t="str">
        <f>IF($B513="","",SUM(SUMIFS('Daily Inward'!$G:$G,'Daily Inward'!$C:$C,$B513,'Daily Inward'!$E:$E,{"Inventory","Services"})))</f>
        <v/>
      </c>
      <c r="G513" s="341" t="str">
        <f>IF($B513="","",SUM(SUMIFS('Daily Issuance'!$G:$G,'Daily Issuance'!$C:$C,$B513,'Daily Issuance'!$E:$E,{"Inventory","Services"})))</f>
        <v/>
      </c>
      <c r="H513" s="42" t="str">
        <f t="shared" si="14"/>
        <v/>
      </c>
      <c r="I513" s="39"/>
      <c r="J513" s="36" t="str">
        <f t="shared" si="15"/>
        <v/>
      </c>
      <c r="K513" s="48"/>
    </row>
    <row r="514" spans="1:11" ht="23.1" customHeight="1">
      <c r="A514" s="348" t="str">
        <f>IF($B514="","",MAX($A$3:A513)+1)</f>
        <v/>
      </c>
      <c r="B514" s="253"/>
      <c r="C514" s="249"/>
      <c r="D514" s="263"/>
      <c r="E514" s="251"/>
      <c r="F514" s="340" t="str">
        <f>IF($B514="","",SUM(SUMIFS('Daily Inward'!$G:$G,'Daily Inward'!$C:$C,$B514,'Daily Inward'!$E:$E,{"Inventory","Services"})))</f>
        <v/>
      </c>
      <c r="G514" s="341" t="str">
        <f>IF($B514="","",SUM(SUMIFS('Daily Issuance'!$G:$G,'Daily Issuance'!$C:$C,$B514,'Daily Issuance'!$E:$E,{"Inventory","Services"})))</f>
        <v/>
      </c>
      <c r="H514" s="42" t="str">
        <f t="shared" si="14"/>
        <v/>
      </c>
      <c r="I514" s="39"/>
      <c r="J514" s="36" t="str">
        <f t="shared" si="15"/>
        <v/>
      </c>
      <c r="K514" s="48"/>
    </row>
    <row r="515" spans="1:11" ht="23.1" customHeight="1">
      <c r="A515" s="348" t="str">
        <f>IF($B515="","",MAX($A$3:A514)+1)</f>
        <v/>
      </c>
      <c r="B515" s="253"/>
      <c r="C515" s="249"/>
      <c r="D515" s="263"/>
      <c r="E515" s="251"/>
      <c r="F515" s="340" t="str">
        <f>IF($B515="","",SUM(SUMIFS('Daily Inward'!$G:$G,'Daily Inward'!$C:$C,$B515,'Daily Inward'!$E:$E,{"Inventory","Services"})))</f>
        <v/>
      </c>
      <c r="G515" s="341" t="str">
        <f>IF($B515="","",SUM(SUMIFS('Daily Issuance'!$G:$G,'Daily Issuance'!$C:$C,$B515,'Daily Issuance'!$E:$E,{"Inventory","Services"})))</f>
        <v/>
      </c>
      <c r="H515" s="42" t="str">
        <f t="shared" si="14"/>
        <v/>
      </c>
      <c r="I515" s="39"/>
      <c r="J515" s="36" t="str">
        <f t="shared" si="15"/>
        <v/>
      </c>
      <c r="K515" s="48"/>
    </row>
    <row r="516" spans="1:11" ht="23.1" customHeight="1">
      <c r="A516" s="348" t="str">
        <f>IF($B516="","",MAX($A$3:A515)+1)</f>
        <v/>
      </c>
      <c r="B516" s="253"/>
      <c r="C516" s="249"/>
      <c r="D516" s="263"/>
      <c r="E516" s="251"/>
      <c r="F516" s="340" t="str">
        <f>IF($B516="","",SUM(SUMIFS('Daily Inward'!$G:$G,'Daily Inward'!$C:$C,$B516,'Daily Inward'!$E:$E,{"Inventory","Services"})))</f>
        <v/>
      </c>
      <c r="G516" s="341" t="str">
        <f>IF($B516="","",SUM(SUMIFS('Daily Issuance'!$G:$G,'Daily Issuance'!$C:$C,$B516,'Daily Issuance'!$E:$E,{"Inventory","Services"})))</f>
        <v/>
      </c>
      <c r="H516" s="42" t="str">
        <f t="shared" ref="H516:H579" si="16">IF($B516="","",N(E516)+N(F516)-N(G516))</f>
        <v/>
      </c>
      <c r="I516" s="39"/>
      <c r="J516" s="36" t="str">
        <f t="shared" ref="J516:J579" si="17">IF($B516="","",H516*I516)</f>
        <v/>
      </c>
      <c r="K516" s="48"/>
    </row>
    <row r="517" spans="1:11" ht="23.1" customHeight="1">
      <c r="A517" s="348" t="str">
        <f>IF($B517="","",MAX($A$3:A516)+1)</f>
        <v/>
      </c>
      <c r="B517" s="253"/>
      <c r="C517" s="249"/>
      <c r="D517" s="263"/>
      <c r="E517" s="251"/>
      <c r="F517" s="340" t="str">
        <f>IF($B517="","",SUM(SUMIFS('Daily Inward'!$G:$G,'Daily Inward'!$C:$C,$B517,'Daily Inward'!$E:$E,{"Inventory","Services"})))</f>
        <v/>
      </c>
      <c r="G517" s="341" t="str">
        <f>IF($B517="","",SUM(SUMIFS('Daily Issuance'!$G:$G,'Daily Issuance'!$C:$C,$B517,'Daily Issuance'!$E:$E,{"Inventory","Services"})))</f>
        <v/>
      </c>
      <c r="H517" s="42" t="str">
        <f t="shared" si="16"/>
        <v/>
      </c>
      <c r="I517" s="39"/>
      <c r="J517" s="36" t="str">
        <f t="shared" si="17"/>
        <v/>
      </c>
      <c r="K517" s="48"/>
    </row>
    <row r="518" spans="1:11" ht="23.1" customHeight="1">
      <c r="A518" s="348" t="str">
        <f>IF($B518="","",MAX($A$3:A517)+1)</f>
        <v/>
      </c>
      <c r="B518" s="253"/>
      <c r="C518" s="249"/>
      <c r="D518" s="263"/>
      <c r="E518" s="251"/>
      <c r="F518" s="340" t="str">
        <f>IF($B518="","",SUM(SUMIFS('Daily Inward'!$G:$G,'Daily Inward'!$C:$C,$B518,'Daily Inward'!$E:$E,{"Inventory","Services"})))</f>
        <v/>
      </c>
      <c r="G518" s="341" t="str">
        <f>IF($B518="","",SUM(SUMIFS('Daily Issuance'!$G:$G,'Daily Issuance'!$C:$C,$B518,'Daily Issuance'!$E:$E,{"Inventory","Services"})))</f>
        <v/>
      </c>
      <c r="H518" s="42" t="str">
        <f t="shared" si="16"/>
        <v/>
      </c>
      <c r="I518" s="39"/>
      <c r="J518" s="36" t="str">
        <f t="shared" si="17"/>
        <v/>
      </c>
      <c r="K518" s="48"/>
    </row>
    <row r="519" spans="1:11" ht="23.1" customHeight="1">
      <c r="A519" s="348" t="str">
        <f>IF($B519="","",MAX($A$3:A518)+1)</f>
        <v/>
      </c>
      <c r="B519" s="253"/>
      <c r="C519" s="249"/>
      <c r="D519" s="263"/>
      <c r="E519" s="251"/>
      <c r="F519" s="340" t="str">
        <f>IF($B519="","",SUM(SUMIFS('Daily Inward'!$G:$G,'Daily Inward'!$C:$C,$B519,'Daily Inward'!$E:$E,{"Inventory","Services"})))</f>
        <v/>
      </c>
      <c r="G519" s="341" t="str">
        <f>IF($B519="","",SUM(SUMIFS('Daily Issuance'!$G:$G,'Daily Issuance'!$C:$C,$B519,'Daily Issuance'!$E:$E,{"Inventory","Services"})))</f>
        <v/>
      </c>
      <c r="H519" s="42" t="str">
        <f t="shared" si="16"/>
        <v/>
      </c>
      <c r="I519" s="39"/>
      <c r="J519" s="36" t="str">
        <f t="shared" si="17"/>
        <v/>
      </c>
      <c r="K519" s="48"/>
    </row>
    <row r="520" spans="1:11" ht="23.1" customHeight="1">
      <c r="A520" s="348" t="str">
        <f>IF($B520="","",MAX($A$3:A519)+1)</f>
        <v/>
      </c>
      <c r="B520" s="253"/>
      <c r="C520" s="249"/>
      <c r="D520" s="263"/>
      <c r="E520" s="251"/>
      <c r="F520" s="340" t="str">
        <f>IF($B520="","",SUM(SUMIFS('Daily Inward'!$G:$G,'Daily Inward'!$C:$C,$B520,'Daily Inward'!$E:$E,{"Inventory","Services"})))</f>
        <v/>
      </c>
      <c r="G520" s="341" t="str">
        <f>IF($B520="","",SUM(SUMIFS('Daily Issuance'!$G:$G,'Daily Issuance'!$C:$C,$B520,'Daily Issuance'!$E:$E,{"Inventory","Services"})))</f>
        <v/>
      </c>
      <c r="H520" s="42" t="str">
        <f t="shared" si="16"/>
        <v/>
      </c>
      <c r="I520" s="39"/>
      <c r="J520" s="36" t="str">
        <f t="shared" si="17"/>
        <v/>
      </c>
      <c r="K520" s="48"/>
    </row>
    <row r="521" spans="1:11" ht="23.1" customHeight="1">
      <c r="A521" s="348" t="str">
        <f>IF($B521="","",MAX($A$3:A520)+1)</f>
        <v/>
      </c>
      <c r="B521" s="253"/>
      <c r="C521" s="249"/>
      <c r="D521" s="263"/>
      <c r="E521" s="251"/>
      <c r="F521" s="340" t="str">
        <f>IF($B521="","",SUM(SUMIFS('Daily Inward'!$G:$G,'Daily Inward'!$C:$C,$B521,'Daily Inward'!$E:$E,{"Inventory","Services"})))</f>
        <v/>
      </c>
      <c r="G521" s="341" t="str">
        <f>IF($B521="","",SUM(SUMIFS('Daily Issuance'!$G:$G,'Daily Issuance'!$C:$C,$B521,'Daily Issuance'!$E:$E,{"Inventory","Services"})))</f>
        <v/>
      </c>
      <c r="H521" s="42" t="str">
        <f t="shared" si="16"/>
        <v/>
      </c>
      <c r="I521" s="39"/>
      <c r="J521" s="36" t="str">
        <f t="shared" si="17"/>
        <v/>
      </c>
      <c r="K521" s="48"/>
    </row>
    <row r="522" spans="1:11" ht="23.1" customHeight="1">
      <c r="A522" s="348" t="str">
        <f>IF($B522="","",MAX($A$3:A521)+1)</f>
        <v/>
      </c>
      <c r="B522" s="253"/>
      <c r="C522" s="249"/>
      <c r="D522" s="263"/>
      <c r="E522" s="251"/>
      <c r="F522" s="340" t="str">
        <f>IF($B522="","",SUM(SUMIFS('Daily Inward'!$G:$G,'Daily Inward'!$C:$C,$B522,'Daily Inward'!$E:$E,{"Inventory","Services"})))</f>
        <v/>
      </c>
      <c r="G522" s="341" t="str">
        <f>IF($B522="","",SUM(SUMIFS('Daily Issuance'!$G:$G,'Daily Issuance'!$C:$C,$B522,'Daily Issuance'!$E:$E,{"Inventory","Services"})))</f>
        <v/>
      </c>
      <c r="H522" s="42" t="str">
        <f t="shared" si="16"/>
        <v/>
      </c>
      <c r="I522" s="39"/>
      <c r="J522" s="36" t="str">
        <f t="shared" si="17"/>
        <v/>
      </c>
      <c r="K522" s="48"/>
    </row>
    <row r="523" spans="1:11" ht="23.1" customHeight="1">
      <c r="A523" s="348" t="str">
        <f>IF($B523="","",MAX($A$3:A522)+1)</f>
        <v/>
      </c>
      <c r="B523" s="253"/>
      <c r="C523" s="249"/>
      <c r="D523" s="263"/>
      <c r="E523" s="251"/>
      <c r="F523" s="340" t="str">
        <f>IF($B523="","",SUM(SUMIFS('Daily Inward'!$G:$G,'Daily Inward'!$C:$C,$B523,'Daily Inward'!$E:$E,{"Inventory","Services"})))</f>
        <v/>
      </c>
      <c r="G523" s="341" t="str">
        <f>IF($B523="","",SUM(SUMIFS('Daily Issuance'!$G:$G,'Daily Issuance'!$C:$C,$B523,'Daily Issuance'!$E:$E,{"Inventory","Services"})))</f>
        <v/>
      </c>
      <c r="H523" s="42" t="str">
        <f t="shared" si="16"/>
        <v/>
      </c>
      <c r="I523" s="39"/>
      <c r="J523" s="36" t="str">
        <f t="shared" si="17"/>
        <v/>
      </c>
      <c r="K523" s="48"/>
    </row>
    <row r="524" spans="1:11" ht="23.1" customHeight="1">
      <c r="A524" s="348" t="str">
        <f>IF($B524="","",MAX($A$3:A523)+1)</f>
        <v/>
      </c>
      <c r="B524" s="253"/>
      <c r="C524" s="249"/>
      <c r="D524" s="263"/>
      <c r="E524" s="251"/>
      <c r="F524" s="340" t="str">
        <f>IF($B524="","",SUM(SUMIFS('Daily Inward'!$G:$G,'Daily Inward'!$C:$C,$B524,'Daily Inward'!$E:$E,{"Inventory","Services"})))</f>
        <v/>
      </c>
      <c r="G524" s="341" t="str">
        <f>IF($B524="","",SUM(SUMIFS('Daily Issuance'!$G:$G,'Daily Issuance'!$C:$C,$B524,'Daily Issuance'!$E:$E,{"Inventory","Services"})))</f>
        <v/>
      </c>
      <c r="H524" s="42" t="str">
        <f t="shared" si="16"/>
        <v/>
      </c>
      <c r="I524" s="39"/>
      <c r="J524" s="36" t="str">
        <f t="shared" si="17"/>
        <v/>
      </c>
      <c r="K524" s="48"/>
    </row>
    <row r="525" spans="1:11" ht="23.1" customHeight="1">
      <c r="A525" s="348" t="str">
        <f>IF($B525="","",MAX($A$3:A524)+1)</f>
        <v/>
      </c>
      <c r="B525" s="253"/>
      <c r="C525" s="249"/>
      <c r="D525" s="263"/>
      <c r="E525" s="251"/>
      <c r="F525" s="340" t="str">
        <f>IF($B525="","",SUM(SUMIFS('Daily Inward'!$G:$G,'Daily Inward'!$C:$C,$B525,'Daily Inward'!$E:$E,{"Inventory","Services"})))</f>
        <v/>
      </c>
      <c r="G525" s="341" t="str">
        <f>IF($B525="","",SUM(SUMIFS('Daily Issuance'!$G:$G,'Daily Issuance'!$C:$C,$B525,'Daily Issuance'!$E:$E,{"Inventory","Services"})))</f>
        <v/>
      </c>
      <c r="H525" s="42" t="str">
        <f t="shared" si="16"/>
        <v/>
      </c>
      <c r="I525" s="39"/>
      <c r="J525" s="36" t="str">
        <f t="shared" si="17"/>
        <v/>
      </c>
      <c r="K525" s="48"/>
    </row>
    <row r="526" spans="1:11" ht="23.1" customHeight="1">
      <c r="A526" s="348" t="str">
        <f>IF($B526="","",MAX($A$3:A525)+1)</f>
        <v/>
      </c>
      <c r="B526" s="253"/>
      <c r="C526" s="249"/>
      <c r="D526" s="263"/>
      <c r="E526" s="251"/>
      <c r="F526" s="340" t="str">
        <f>IF($B526="","",SUM(SUMIFS('Daily Inward'!$G:$G,'Daily Inward'!$C:$C,$B526,'Daily Inward'!$E:$E,{"Inventory","Services"})))</f>
        <v/>
      </c>
      <c r="G526" s="341" t="str">
        <f>IF($B526="","",SUM(SUMIFS('Daily Issuance'!$G:$G,'Daily Issuance'!$C:$C,$B526,'Daily Issuance'!$E:$E,{"Inventory","Services"})))</f>
        <v/>
      </c>
      <c r="H526" s="42" t="str">
        <f t="shared" si="16"/>
        <v/>
      </c>
      <c r="I526" s="39"/>
      <c r="J526" s="36" t="str">
        <f t="shared" si="17"/>
        <v/>
      </c>
      <c r="K526" s="48"/>
    </row>
    <row r="527" spans="1:11" ht="23.1" customHeight="1">
      <c r="A527" s="348" t="str">
        <f>IF($B527="","",MAX($A$3:A526)+1)</f>
        <v/>
      </c>
      <c r="B527" s="253"/>
      <c r="C527" s="249"/>
      <c r="D527" s="263"/>
      <c r="E527" s="251"/>
      <c r="F527" s="340" t="str">
        <f>IF($B527="","",SUM(SUMIFS('Daily Inward'!$G:$G,'Daily Inward'!$C:$C,$B527,'Daily Inward'!$E:$E,{"Inventory","Services"})))</f>
        <v/>
      </c>
      <c r="G527" s="341" t="str">
        <f>IF($B527="","",SUM(SUMIFS('Daily Issuance'!$G:$G,'Daily Issuance'!$C:$C,$B527,'Daily Issuance'!$E:$E,{"Inventory","Services"})))</f>
        <v/>
      </c>
      <c r="H527" s="42" t="str">
        <f t="shared" si="16"/>
        <v/>
      </c>
      <c r="I527" s="39"/>
      <c r="J527" s="36" t="str">
        <f t="shared" si="17"/>
        <v/>
      </c>
      <c r="K527" s="48"/>
    </row>
    <row r="528" spans="1:11" ht="23.1" customHeight="1">
      <c r="A528" s="348" t="str">
        <f>IF($B528="","",MAX($A$3:A527)+1)</f>
        <v/>
      </c>
      <c r="B528" s="253"/>
      <c r="C528" s="249"/>
      <c r="D528" s="263"/>
      <c r="E528" s="251"/>
      <c r="F528" s="340" t="str">
        <f>IF($B528="","",SUM(SUMIFS('Daily Inward'!$G:$G,'Daily Inward'!$C:$C,$B528,'Daily Inward'!$E:$E,{"Inventory","Services"})))</f>
        <v/>
      </c>
      <c r="G528" s="341" t="str">
        <f>IF($B528="","",SUM(SUMIFS('Daily Issuance'!$G:$G,'Daily Issuance'!$C:$C,$B528,'Daily Issuance'!$E:$E,{"Inventory","Services"})))</f>
        <v/>
      </c>
      <c r="H528" s="42" t="str">
        <f t="shared" si="16"/>
        <v/>
      </c>
      <c r="I528" s="39"/>
      <c r="J528" s="36" t="str">
        <f t="shared" si="17"/>
        <v/>
      </c>
      <c r="K528" s="48"/>
    </row>
    <row r="529" spans="1:11" ht="23.1" customHeight="1">
      <c r="A529" s="348" t="str">
        <f>IF($B529="","",MAX($A$3:A528)+1)</f>
        <v/>
      </c>
      <c r="B529" s="253"/>
      <c r="C529" s="249"/>
      <c r="D529" s="263"/>
      <c r="E529" s="251"/>
      <c r="F529" s="340" t="str">
        <f>IF($B529="","",SUM(SUMIFS('Daily Inward'!$G:$G,'Daily Inward'!$C:$C,$B529,'Daily Inward'!$E:$E,{"Inventory","Services"})))</f>
        <v/>
      </c>
      <c r="G529" s="341" t="str">
        <f>IF($B529="","",SUM(SUMIFS('Daily Issuance'!$G:$G,'Daily Issuance'!$C:$C,$B529,'Daily Issuance'!$E:$E,{"Inventory","Services"})))</f>
        <v/>
      </c>
      <c r="H529" s="42" t="str">
        <f t="shared" si="16"/>
        <v/>
      </c>
      <c r="I529" s="39"/>
      <c r="J529" s="36" t="str">
        <f t="shared" si="17"/>
        <v/>
      </c>
      <c r="K529" s="48"/>
    </row>
    <row r="530" spans="1:11" ht="23.1" customHeight="1">
      <c r="A530" s="348" t="str">
        <f>IF($B530="","",MAX($A$3:A529)+1)</f>
        <v/>
      </c>
      <c r="B530" s="253"/>
      <c r="C530" s="249"/>
      <c r="D530" s="263"/>
      <c r="E530" s="251"/>
      <c r="F530" s="340" t="str">
        <f>IF($B530="","",SUM(SUMIFS('Daily Inward'!$G:$G,'Daily Inward'!$C:$C,$B530,'Daily Inward'!$E:$E,{"Inventory","Services"})))</f>
        <v/>
      </c>
      <c r="G530" s="341" t="str">
        <f>IF($B530="","",SUM(SUMIFS('Daily Issuance'!$G:$G,'Daily Issuance'!$C:$C,$B530,'Daily Issuance'!$E:$E,{"Inventory","Services"})))</f>
        <v/>
      </c>
      <c r="H530" s="42" t="str">
        <f t="shared" si="16"/>
        <v/>
      </c>
      <c r="I530" s="39"/>
      <c r="J530" s="36" t="str">
        <f t="shared" si="17"/>
        <v/>
      </c>
      <c r="K530" s="48"/>
    </row>
    <row r="531" spans="1:11" ht="23.1" customHeight="1">
      <c r="A531" s="348" t="str">
        <f>IF($B531="","",MAX($A$3:A530)+1)</f>
        <v/>
      </c>
      <c r="B531" s="253"/>
      <c r="C531" s="249"/>
      <c r="D531" s="263"/>
      <c r="E531" s="251"/>
      <c r="F531" s="340" t="str">
        <f>IF($B531="","",SUM(SUMIFS('Daily Inward'!$G:$G,'Daily Inward'!$C:$C,$B531,'Daily Inward'!$E:$E,{"Inventory","Services"})))</f>
        <v/>
      </c>
      <c r="G531" s="341" t="str">
        <f>IF($B531="","",SUM(SUMIFS('Daily Issuance'!$G:$G,'Daily Issuance'!$C:$C,$B531,'Daily Issuance'!$E:$E,{"Inventory","Services"})))</f>
        <v/>
      </c>
      <c r="H531" s="42" t="str">
        <f t="shared" si="16"/>
        <v/>
      </c>
      <c r="I531" s="39"/>
      <c r="J531" s="36" t="str">
        <f t="shared" si="17"/>
        <v/>
      </c>
      <c r="K531" s="48"/>
    </row>
    <row r="532" spans="1:11" ht="23.1" customHeight="1">
      <c r="A532" s="348" t="str">
        <f>IF($B532="","",MAX($A$3:A531)+1)</f>
        <v/>
      </c>
      <c r="B532" s="253"/>
      <c r="C532" s="249"/>
      <c r="D532" s="263"/>
      <c r="E532" s="251"/>
      <c r="F532" s="340" t="str">
        <f>IF($B532="","",SUM(SUMIFS('Daily Inward'!$G:$G,'Daily Inward'!$C:$C,$B532,'Daily Inward'!$E:$E,{"Inventory","Services"})))</f>
        <v/>
      </c>
      <c r="G532" s="341" t="str">
        <f>IF($B532="","",SUM(SUMIFS('Daily Issuance'!$G:$G,'Daily Issuance'!$C:$C,$B532,'Daily Issuance'!$E:$E,{"Inventory","Services"})))</f>
        <v/>
      </c>
      <c r="H532" s="42" t="str">
        <f t="shared" si="16"/>
        <v/>
      </c>
      <c r="I532" s="39"/>
      <c r="J532" s="36" t="str">
        <f t="shared" si="17"/>
        <v/>
      </c>
      <c r="K532" s="48"/>
    </row>
    <row r="533" spans="1:11" ht="23.1" customHeight="1">
      <c r="A533" s="348" t="str">
        <f>IF($B533="","",MAX($A$3:A532)+1)</f>
        <v/>
      </c>
      <c r="B533" s="253"/>
      <c r="C533" s="249"/>
      <c r="D533" s="263"/>
      <c r="E533" s="251"/>
      <c r="F533" s="340" t="str">
        <f>IF($B533="","",SUM(SUMIFS('Daily Inward'!$G:$G,'Daily Inward'!$C:$C,$B533,'Daily Inward'!$E:$E,{"Inventory","Services"})))</f>
        <v/>
      </c>
      <c r="G533" s="341" t="str">
        <f>IF($B533="","",SUM(SUMIFS('Daily Issuance'!$G:$G,'Daily Issuance'!$C:$C,$B533,'Daily Issuance'!$E:$E,{"Inventory","Services"})))</f>
        <v/>
      </c>
      <c r="H533" s="42" t="str">
        <f t="shared" si="16"/>
        <v/>
      </c>
      <c r="I533" s="39"/>
      <c r="J533" s="36" t="str">
        <f t="shared" si="17"/>
        <v/>
      </c>
      <c r="K533" s="48"/>
    </row>
    <row r="534" spans="1:11" ht="23.1" customHeight="1">
      <c r="A534" s="348" t="str">
        <f>IF($B534="","",MAX($A$3:A533)+1)</f>
        <v/>
      </c>
      <c r="B534" s="253"/>
      <c r="C534" s="249"/>
      <c r="D534" s="263"/>
      <c r="E534" s="251"/>
      <c r="F534" s="340" t="str">
        <f>IF($B534="","",SUM(SUMIFS('Daily Inward'!$G:$G,'Daily Inward'!$C:$C,$B534,'Daily Inward'!$E:$E,{"Inventory","Services"})))</f>
        <v/>
      </c>
      <c r="G534" s="341" t="str">
        <f>IF($B534="","",SUM(SUMIFS('Daily Issuance'!$G:$G,'Daily Issuance'!$C:$C,$B534,'Daily Issuance'!$E:$E,{"Inventory","Services"})))</f>
        <v/>
      </c>
      <c r="H534" s="42" t="str">
        <f t="shared" si="16"/>
        <v/>
      </c>
      <c r="I534" s="39"/>
      <c r="J534" s="36" t="str">
        <f t="shared" si="17"/>
        <v/>
      </c>
      <c r="K534" s="48"/>
    </row>
    <row r="535" spans="1:11" ht="23.1" customHeight="1">
      <c r="A535" s="348" t="str">
        <f>IF($B535="","",MAX($A$3:A534)+1)</f>
        <v/>
      </c>
      <c r="B535" s="253"/>
      <c r="C535" s="249"/>
      <c r="D535" s="263"/>
      <c r="E535" s="251"/>
      <c r="F535" s="340" t="str">
        <f>IF($B535="","",SUM(SUMIFS('Daily Inward'!$G:$G,'Daily Inward'!$C:$C,$B535,'Daily Inward'!$E:$E,{"Inventory","Services"})))</f>
        <v/>
      </c>
      <c r="G535" s="341" t="str">
        <f>IF($B535="","",SUM(SUMIFS('Daily Issuance'!$G:$G,'Daily Issuance'!$C:$C,$B535,'Daily Issuance'!$E:$E,{"Inventory","Services"})))</f>
        <v/>
      </c>
      <c r="H535" s="42" t="str">
        <f t="shared" si="16"/>
        <v/>
      </c>
      <c r="I535" s="39"/>
      <c r="J535" s="36" t="str">
        <f t="shared" si="17"/>
        <v/>
      </c>
      <c r="K535" s="48"/>
    </row>
    <row r="536" spans="1:11" ht="23.1" customHeight="1">
      <c r="A536" s="348" t="str">
        <f>IF($B536="","",MAX($A$3:A535)+1)</f>
        <v/>
      </c>
      <c r="B536" s="253"/>
      <c r="C536" s="249"/>
      <c r="D536" s="263"/>
      <c r="E536" s="251"/>
      <c r="F536" s="340" t="str">
        <f>IF($B536="","",SUM(SUMIFS('Daily Inward'!$G:$G,'Daily Inward'!$C:$C,$B536,'Daily Inward'!$E:$E,{"Inventory","Services"})))</f>
        <v/>
      </c>
      <c r="G536" s="341" t="str">
        <f>IF($B536="","",SUM(SUMIFS('Daily Issuance'!$G:$G,'Daily Issuance'!$C:$C,$B536,'Daily Issuance'!$E:$E,{"Inventory","Services"})))</f>
        <v/>
      </c>
      <c r="H536" s="42" t="str">
        <f t="shared" si="16"/>
        <v/>
      </c>
      <c r="I536" s="39"/>
      <c r="J536" s="36" t="str">
        <f t="shared" si="17"/>
        <v/>
      </c>
      <c r="K536" s="48"/>
    </row>
    <row r="537" spans="1:11" ht="23.1" customHeight="1">
      <c r="A537" s="348" t="str">
        <f>IF($B537="","",MAX($A$3:A536)+1)</f>
        <v/>
      </c>
      <c r="B537" s="253"/>
      <c r="C537" s="249"/>
      <c r="D537" s="263"/>
      <c r="E537" s="251"/>
      <c r="F537" s="340" t="str">
        <f>IF($B537="","",SUM(SUMIFS('Daily Inward'!$G:$G,'Daily Inward'!$C:$C,$B537,'Daily Inward'!$E:$E,{"Inventory","Services"})))</f>
        <v/>
      </c>
      <c r="G537" s="341" t="str">
        <f>IF($B537="","",SUM(SUMIFS('Daily Issuance'!$G:$G,'Daily Issuance'!$C:$C,$B537,'Daily Issuance'!$E:$E,{"Inventory","Services"})))</f>
        <v/>
      </c>
      <c r="H537" s="42" t="str">
        <f t="shared" si="16"/>
        <v/>
      </c>
      <c r="I537" s="39"/>
      <c r="J537" s="36" t="str">
        <f t="shared" si="17"/>
        <v/>
      </c>
      <c r="K537" s="48"/>
    </row>
    <row r="538" spans="1:11" ht="23.1" customHeight="1">
      <c r="A538" s="348" t="str">
        <f>IF($B538="","",MAX($A$3:A537)+1)</f>
        <v/>
      </c>
      <c r="B538" s="253"/>
      <c r="C538" s="249"/>
      <c r="D538" s="263"/>
      <c r="E538" s="251"/>
      <c r="F538" s="340" t="str">
        <f>IF($B538="","",SUM(SUMIFS('Daily Inward'!$G:$G,'Daily Inward'!$C:$C,$B538,'Daily Inward'!$E:$E,{"Inventory","Services"})))</f>
        <v/>
      </c>
      <c r="G538" s="341" t="str">
        <f>IF($B538="","",SUM(SUMIFS('Daily Issuance'!$G:$G,'Daily Issuance'!$C:$C,$B538,'Daily Issuance'!$E:$E,{"Inventory","Services"})))</f>
        <v/>
      </c>
      <c r="H538" s="42" t="str">
        <f t="shared" si="16"/>
        <v/>
      </c>
      <c r="I538" s="39"/>
      <c r="J538" s="36" t="str">
        <f t="shared" si="17"/>
        <v/>
      </c>
      <c r="K538" s="48"/>
    </row>
    <row r="539" spans="1:11" ht="23.1" customHeight="1">
      <c r="A539" s="348" t="str">
        <f>IF($B539="","",MAX($A$3:A538)+1)</f>
        <v/>
      </c>
      <c r="B539" s="253"/>
      <c r="C539" s="249"/>
      <c r="D539" s="263"/>
      <c r="E539" s="251"/>
      <c r="F539" s="340" t="str">
        <f>IF($B539="","",SUM(SUMIFS('Daily Inward'!$G:$G,'Daily Inward'!$C:$C,$B539,'Daily Inward'!$E:$E,{"Inventory","Services"})))</f>
        <v/>
      </c>
      <c r="G539" s="341" t="str">
        <f>IF($B539="","",SUM(SUMIFS('Daily Issuance'!$G:$G,'Daily Issuance'!$C:$C,$B539,'Daily Issuance'!$E:$E,{"Inventory","Services"})))</f>
        <v/>
      </c>
      <c r="H539" s="42" t="str">
        <f t="shared" si="16"/>
        <v/>
      </c>
      <c r="I539" s="39"/>
      <c r="J539" s="36" t="str">
        <f t="shared" si="17"/>
        <v/>
      </c>
      <c r="K539" s="48"/>
    </row>
    <row r="540" spans="1:11" ht="23.1" customHeight="1">
      <c r="A540" s="348" t="str">
        <f>IF($B540="","",MAX($A$3:A539)+1)</f>
        <v/>
      </c>
      <c r="B540" s="253"/>
      <c r="C540" s="249"/>
      <c r="D540" s="263"/>
      <c r="E540" s="251"/>
      <c r="F540" s="340" t="str">
        <f>IF($B540="","",SUM(SUMIFS('Daily Inward'!$G:$G,'Daily Inward'!$C:$C,$B540,'Daily Inward'!$E:$E,{"Inventory","Services"})))</f>
        <v/>
      </c>
      <c r="G540" s="341" t="str">
        <f>IF($B540="","",SUM(SUMIFS('Daily Issuance'!$G:$G,'Daily Issuance'!$C:$C,$B540,'Daily Issuance'!$E:$E,{"Inventory","Services"})))</f>
        <v/>
      </c>
      <c r="H540" s="42" t="str">
        <f t="shared" si="16"/>
        <v/>
      </c>
      <c r="I540" s="39"/>
      <c r="J540" s="36" t="str">
        <f t="shared" si="17"/>
        <v/>
      </c>
      <c r="K540" s="48"/>
    </row>
    <row r="541" spans="1:11" ht="23.1" customHeight="1">
      <c r="A541" s="348" t="str">
        <f>IF($B541="","",MAX($A$3:A540)+1)</f>
        <v/>
      </c>
      <c r="B541" s="253"/>
      <c r="C541" s="249"/>
      <c r="D541" s="263"/>
      <c r="E541" s="251"/>
      <c r="F541" s="340" t="str">
        <f>IF($B541="","",SUM(SUMIFS('Daily Inward'!$G:$G,'Daily Inward'!$C:$C,$B541,'Daily Inward'!$E:$E,{"Inventory","Services"})))</f>
        <v/>
      </c>
      <c r="G541" s="341" t="str">
        <f>IF($B541="","",SUM(SUMIFS('Daily Issuance'!$G:$G,'Daily Issuance'!$C:$C,$B541,'Daily Issuance'!$E:$E,{"Inventory","Services"})))</f>
        <v/>
      </c>
      <c r="H541" s="42" t="str">
        <f t="shared" si="16"/>
        <v/>
      </c>
      <c r="I541" s="39"/>
      <c r="J541" s="36" t="str">
        <f t="shared" si="17"/>
        <v/>
      </c>
      <c r="K541" s="48"/>
    </row>
    <row r="542" spans="1:11" ht="23.1" customHeight="1">
      <c r="A542" s="348" t="str">
        <f>IF($B542="","",MAX($A$3:A541)+1)</f>
        <v/>
      </c>
      <c r="B542" s="253"/>
      <c r="C542" s="249"/>
      <c r="D542" s="263"/>
      <c r="E542" s="251"/>
      <c r="F542" s="340" t="str">
        <f>IF($B542="","",SUM(SUMIFS('Daily Inward'!$G:$G,'Daily Inward'!$C:$C,$B542,'Daily Inward'!$E:$E,{"Inventory","Services"})))</f>
        <v/>
      </c>
      <c r="G542" s="341" t="str">
        <f>IF($B542="","",SUM(SUMIFS('Daily Issuance'!$G:$G,'Daily Issuance'!$C:$C,$B542,'Daily Issuance'!$E:$E,{"Inventory","Services"})))</f>
        <v/>
      </c>
      <c r="H542" s="42" t="str">
        <f t="shared" si="16"/>
        <v/>
      </c>
      <c r="I542" s="39"/>
      <c r="J542" s="36" t="str">
        <f t="shared" si="17"/>
        <v/>
      </c>
      <c r="K542" s="48"/>
    </row>
    <row r="543" spans="1:11" ht="23.1" customHeight="1">
      <c r="A543" s="348" t="str">
        <f>IF($B543="","",MAX($A$3:A542)+1)</f>
        <v/>
      </c>
      <c r="B543" s="253"/>
      <c r="C543" s="249"/>
      <c r="D543" s="263"/>
      <c r="E543" s="251"/>
      <c r="F543" s="340" t="str">
        <f>IF($B543="","",SUM(SUMIFS('Daily Inward'!$G:$G,'Daily Inward'!$C:$C,$B543,'Daily Inward'!$E:$E,{"Inventory","Services"})))</f>
        <v/>
      </c>
      <c r="G543" s="341" t="str">
        <f>IF($B543="","",SUM(SUMIFS('Daily Issuance'!$G:$G,'Daily Issuance'!$C:$C,$B543,'Daily Issuance'!$E:$E,{"Inventory","Services"})))</f>
        <v/>
      </c>
      <c r="H543" s="42" t="str">
        <f t="shared" si="16"/>
        <v/>
      </c>
      <c r="I543" s="39"/>
      <c r="J543" s="36" t="str">
        <f t="shared" si="17"/>
        <v/>
      </c>
      <c r="K543" s="48"/>
    </row>
    <row r="544" spans="1:11" ht="23.1" customHeight="1">
      <c r="A544" s="348" t="str">
        <f>IF($B544="","",MAX($A$3:A543)+1)</f>
        <v/>
      </c>
      <c r="B544" s="253"/>
      <c r="C544" s="249"/>
      <c r="D544" s="263"/>
      <c r="E544" s="251"/>
      <c r="F544" s="340" t="str">
        <f>IF($B544="","",SUM(SUMIFS('Daily Inward'!$G:$G,'Daily Inward'!$C:$C,$B544,'Daily Inward'!$E:$E,{"Inventory","Services"})))</f>
        <v/>
      </c>
      <c r="G544" s="341" t="str">
        <f>IF($B544="","",SUM(SUMIFS('Daily Issuance'!$G:$G,'Daily Issuance'!$C:$C,$B544,'Daily Issuance'!$E:$E,{"Inventory","Services"})))</f>
        <v/>
      </c>
      <c r="H544" s="42" t="str">
        <f t="shared" si="16"/>
        <v/>
      </c>
      <c r="I544" s="39"/>
      <c r="J544" s="36" t="str">
        <f t="shared" si="17"/>
        <v/>
      </c>
      <c r="K544" s="48"/>
    </row>
    <row r="545" spans="1:11" ht="23.1" customHeight="1">
      <c r="A545" s="348" t="str">
        <f>IF($B545="","",MAX($A$3:A544)+1)</f>
        <v/>
      </c>
      <c r="B545" s="253"/>
      <c r="C545" s="249"/>
      <c r="D545" s="263"/>
      <c r="E545" s="251"/>
      <c r="F545" s="340" t="str">
        <f>IF($B545="","",SUM(SUMIFS('Daily Inward'!$G:$G,'Daily Inward'!$C:$C,$B545,'Daily Inward'!$E:$E,{"Inventory","Services"})))</f>
        <v/>
      </c>
      <c r="G545" s="341" t="str">
        <f>IF($B545="","",SUM(SUMIFS('Daily Issuance'!$G:$G,'Daily Issuance'!$C:$C,$B545,'Daily Issuance'!$E:$E,{"Inventory","Services"})))</f>
        <v/>
      </c>
      <c r="H545" s="42" t="str">
        <f t="shared" si="16"/>
        <v/>
      </c>
      <c r="I545" s="39"/>
      <c r="J545" s="36" t="str">
        <f t="shared" si="17"/>
        <v/>
      </c>
      <c r="K545" s="48"/>
    </row>
    <row r="546" spans="1:11" ht="23.1" customHeight="1">
      <c r="A546" s="348" t="str">
        <f>IF($B546="","",MAX($A$3:A545)+1)</f>
        <v/>
      </c>
      <c r="B546" s="253"/>
      <c r="C546" s="249"/>
      <c r="D546" s="263"/>
      <c r="E546" s="251"/>
      <c r="F546" s="340" t="str">
        <f>IF($B546="","",SUM(SUMIFS('Daily Inward'!$G:$G,'Daily Inward'!$C:$C,$B546,'Daily Inward'!$E:$E,{"Inventory","Services"})))</f>
        <v/>
      </c>
      <c r="G546" s="341" t="str">
        <f>IF($B546="","",SUM(SUMIFS('Daily Issuance'!$G:$G,'Daily Issuance'!$C:$C,$B546,'Daily Issuance'!$E:$E,{"Inventory","Services"})))</f>
        <v/>
      </c>
      <c r="H546" s="42" t="str">
        <f t="shared" si="16"/>
        <v/>
      </c>
      <c r="I546" s="39"/>
      <c r="J546" s="36" t="str">
        <f t="shared" si="17"/>
        <v/>
      </c>
      <c r="K546" s="48"/>
    </row>
    <row r="547" spans="1:11" ht="23.1" customHeight="1">
      <c r="A547" s="348" t="str">
        <f>IF($B547="","",MAX($A$3:A546)+1)</f>
        <v/>
      </c>
      <c r="B547" s="253"/>
      <c r="C547" s="249"/>
      <c r="D547" s="263"/>
      <c r="E547" s="251"/>
      <c r="F547" s="340" t="str">
        <f>IF($B547="","",SUM(SUMIFS('Daily Inward'!$G:$G,'Daily Inward'!$C:$C,$B547,'Daily Inward'!$E:$E,{"Inventory","Services"})))</f>
        <v/>
      </c>
      <c r="G547" s="341" t="str">
        <f>IF($B547="","",SUM(SUMIFS('Daily Issuance'!$G:$G,'Daily Issuance'!$C:$C,$B547,'Daily Issuance'!$E:$E,{"Inventory","Services"})))</f>
        <v/>
      </c>
      <c r="H547" s="42" t="str">
        <f t="shared" si="16"/>
        <v/>
      </c>
      <c r="I547" s="39"/>
      <c r="J547" s="36" t="str">
        <f t="shared" si="17"/>
        <v/>
      </c>
      <c r="K547" s="48"/>
    </row>
    <row r="548" spans="1:11" ht="23.1" customHeight="1">
      <c r="A548" s="348" t="str">
        <f>IF($B548="","",MAX($A$3:A547)+1)</f>
        <v/>
      </c>
      <c r="B548" s="253"/>
      <c r="C548" s="249"/>
      <c r="D548" s="263"/>
      <c r="E548" s="251"/>
      <c r="F548" s="340" t="str">
        <f>IF($B548="","",SUM(SUMIFS('Daily Inward'!$G:$G,'Daily Inward'!$C:$C,$B548,'Daily Inward'!$E:$E,{"Inventory","Services"})))</f>
        <v/>
      </c>
      <c r="G548" s="341" t="str">
        <f>IF($B548="","",SUM(SUMIFS('Daily Issuance'!$G:$G,'Daily Issuance'!$C:$C,$B548,'Daily Issuance'!$E:$E,{"Inventory","Services"})))</f>
        <v/>
      </c>
      <c r="H548" s="42" t="str">
        <f t="shared" si="16"/>
        <v/>
      </c>
      <c r="I548" s="39"/>
      <c r="J548" s="36" t="str">
        <f t="shared" si="17"/>
        <v/>
      </c>
      <c r="K548" s="48"/>
    </row>
    <row r="549" spans="1:11" ht="23.1" customHeight="1">
      <c r="A549" s="348" t="str">
        <f>IF($B549="","",MAX($A$3:A548)+1)</f>
        <v/>
      </c>
      <c r="B549" s="253"/>
      <c r="C549" s="249"/>
      <c r="D549" s="263"/>
      <c r="E549" s="251"/>
      <c r="F549" s="340" t="str">
        <f>IF($B549="","",SUM(SUMIFS('Daily Inward'!$G:$G,'Daily Inward'!$C:$C,$B549,'Daily Inward'!$E:$E,{"Inventory","Services"})))</f>
        <v/>
      </c>
      <c r="G549" s="341" t="str">
        <f>IF($B549="","",SUM(SUMIFS('Daily Issuance'!$G:$G,'Daily Issuance'!$C:$C,$B549,'Daily Issuance'!$E:$E,{"Inventory","Services"})))</f>
        <v/>
      </c>
      <c r="H549" s="42" t="str">
        <f t="shared" si="16"/>
        <v/>
      </c>
      <c r="I549" s="39"/>
      <c r="J549" s="36" t="str">
        <f t="shared" si="17"/>
        <v/>
      </c>
      <c r="K549" s="48"/>
    </row>
    <row r="550" spans="1:11" ht="23.1" customHeight="1">
      <c r="A550" s="348" t="str">
        <f>IF($B550="","",MAX($A$3:A549)+1)</f>
        <v/>
      </c>
      <c r="B550" s="253"/>
      <c r="C550" s="249"/>
      <c r="D550" s="263"/>
      <c r="E550" s="251"/>
      <c r="F550" s="340" t="str">
        <f>IF($B550="","",SUM(SUMIFS('Daily Inward'!$G:$G,'Daily Inward'!$C:$C,$B550,'Daily Inward'!$E:$E,{"Inventory","Services"})))</f>
        <v/>
      </c>
      <c r="G550" s="341" t="str">
        <f>IF($B550="","",SUM(SUMIFS('Daily Issuance'!$G:$G,'Daily Issuance'!$C:$C,$B550,'Daily Issuance'!$E:$E,{"Inventory","Services"})))</f>
        <v/>
      </c>
      <c r="H550" s="42" t="str">
        <f t="shared" si="16"/>
        <v/>
      </c>
      <c r="I550" s="39"/>
      <c r="J550" s="36" t="str">
        <f t="shared" si="17"/>
        <v/>
      </c>
      <c r="K550" s="48"/>
    </row>
    <row r="551" spans="1:11" ht="23.1" customHeight="1">
      <c r="A551" s="348" t="str">
        <f>IF($B551="","",MAX($A$3:A550)+1)</f>
        <v/>
      </c>
      <c r="B551" s="253"/>
      <c r="C551" s="249"/>
      <c r="D551" s="263"/>
      <c r="E551" s="251"/>
      <c r="F551" s="340" t="str">
        <f>IF($B551="","",SUM(SUMIFS('Daily Inward'!$G:$G,'Daily Inward'!$C:$C,$B551,'Daily Inward'!$E:$E,{"Inventory","Services"})))</f>
        <v/>
      </c>
      <c r="G551" s="341" t="str">
        <f>IF($B551="","",SUM(SUMIFS('Daily Issuance'!$G:$G,'Daily Issuance'!$C:$C,$B551,'Daily Issuance'!$E:$E,{"Inventory","Services"})))</f>
        <v/>
      </c>
      <c r="H551" s="42" t="str">
        <f t="shared" si="16"/>
        <v/>
      </c>
      <c r="I551" s="39"/>
      <c r="J551" s="36" t="str">
        <f t="shared" si="17"/>
        <v/>
      </c>
      <c r="K551" s="48"/>
    </row>
    <row r="552" spans="1:11" ht="23.1" customHeight="1">
      <c r="A552" s="348" t="str">
        <f>IF($B552="","",MAX($A$3:A551)+1)</f>
        <v/>
      </c>
      <c r="B552" s="253"/>
      <c r="C552" s="249"/>
      <c r="D552" s="263"/>
      <c r="E552" s="251"/>
      <c r="F552" s="340" t="str">
        <f>IF($B552="","",SUM(SUMIFS('Daily Inward'!$G:$G,'Daily Inward'!$C:$C,$B552,'Daily Inward'!$E:$E,{"Inventory","Services"})))</f>
        <v/>
      </c>
      <c r="G552" s="341" t="str">
        <f>IF($B552="","",SUM(SUMIFS('Daily Issuance'!$G:$G,'Daily Issuance'!$C:$C,$B552,'Daily Issuance'!$E:$E,{"Inventory","Services"})))</f>
        <v/>
      </c>
      <c r="H552" s="42" t="str">
        <f t="shared" si="16"/>
        <v/>
      </c>
      <c r="I552" s="39"/>
      <c r="J552" s="36" t="str">
        <f t="shared" si="17"/>
        <v/>
      </c>
      <c r="K552" s="48"/>
    </row>
    <row r="553" spans="1:11" ht="23.1" customHeight="1">
      <c r="A553" s="348" t="str">
        <f>IF($B553="","",MAX($A$3:A552)+1)</f>
        <v/>
      </c>
      <c r="B553" s="253"/>
      <c r="C553" s="249"/>
      <c r="D553" s="263"/>
      <c r="E553" s="251"/>
      <c r="F553" s="340" t="str">
        <f>IF($B553="","",SUM(SUMIFS('Daily Inward'!$G:$G,'Daily Inward'!$C:$C,$B553,'Daily Inward'!$E:$E,{"Inventory","Services"})))</f>
        <v/>
      </c>
      <c r="G553" s="341" t="str">
        <f>IF($B553="","",SUM(SUMIFS('Daily Issuance'!$G:$G,'Daily Issuance'!$C:$C,$B553,'Daily Issuance'!$E:$E,{"Inventory","Services"})))</f>
        <v/>
      </c>
      <c r="H553" s="42" t="str">
        <f t="shared" si="16"/>
        <v/>
      </c>
      <c r="I553" s="39"/>
      <c r="J553" s="36" t="str">
        <f t="shared" si="17"/>
        <v/>
      </c>
      <c r="K553" s="48"/>
    </row>
    <row r="554" spans="1:11" ht="23.1" customHeight="1">
      <c r="A554" s="348" t="str">
        <f>IF($B554="","",MAX($A$3:A553)+1)</f>
        <v/>
      </c>
      <c r="B554" s="253"/>
      <c r="C554" s="249"/>
      <c r="D554" s="263"/>
      <c r="E554" s="251"/>
      <c r="F554" s="340" t="str">
        <f>IF($B554="","",SUM(SUMIFS('Daily Inward'!$G:$G,'Daily Inward'!$C:$C,$B554,'Daily Inward'!$E:$E,{"Inventory","Services"})))</f>
        <v/>
      </c>
      <c r="G554" s="341" t="str">
        <f>IF($B554="","",SUM(SUMIFS('Daily Issuance'!$G:$G,'Daily Issuance'!$C:$C,$B554,'Daily Issuance'!$E:$E,{"Inventory","Services"})))</f>
        <v/>
      </c>
      <c r="H554" s="42" t="str">
        <f t="shared" si="16"/>
        <v/>
      </c>
      <c r="I554" s="39"/>
      <c r="J554" s="36" t="str">
        <f t="shared" si="17"/>
        <v/>
      </c>
      <c r="K554" s="48"/>
    </row>
    <row r="555" spans="1:11" ht="23.1" customHeight="1">
      <c r="A555" s="348" t="str">
        <f>IF($B555="","",MAX($A$3:A554)+1)</f>
        <v/>
      </c>
      <c r="B555" s="253"/>
      <c r="C555" s="249"/>
      <c r="D555" s="263"/>
      <c r="E555" s="251"/>
      <c r="F555" s="340" t="str">
        <f>IF($B555="","",SUM(SUMIFS('Daily Inward'!$G:$G,'Daily Inward'!$C:$C,$B555,'Daily Inward'!$E:$E,{"Inventory","Services"})))</f>
        <v/>
      </c>
      <c r="G555" s="341" t="str">
        <f>IF($B555="","",SUM(SUMIFS('Daily Issuance'!$G:$G,'Daily Issuance'!$C:$C,$B555,'Daily Issuance'!$E:$E,{"Inventory","Services"})))</f>
        <v/>
      </c>
      <c r="H555" s="42" t="str">
        <f t="shared" si="16"/>
        <v/>
      </c>
      <c r="I555" s="39"/>
      <c r="J555" s="36" t="str">
        <f t="shared" si="17"/>
        <v/>
      </c>
      <c r="K555" s="48"/>
    </row>
    <row r="556" spans="1:11" ht="23.1" customHeight="1">
      <c r="A556" s="348" t="str">
        <f>IF($B556="","",MAX($A$3:A555)+1)</f>
        <v/>
      </c>
      <c r="B556" s="253"/>
      <c r="C556" s="249"/>
      <c r="D556" s="263"/>
      <c r="E556" s="251"/>
      <c r="F556" s="340" t="str">
        <f>IF($B556="","",SUM(SUMIFS('Daily Inward'!$G:$G,'Daily Inward'!$C:$C,$B556,'Daily Inward'!$E:$E,{"Inventory","Services"})))</f>
        <v/>
      </c>
      <c r="G556" s="341" t="str">
        <f>IF($B556="","",SUM(SUMIFS('Daily Issuance'!$G:$G,'Daily Issuance'!$C:$C,$B556,'Daily Issuance'!$E:$E,{"Inventory","Services"})))</f>
        <v/>
      </c>
      <c r="H556" s="42" t="str">
        <f t="shared" si="16"/>
        <v/>
      </c>
      <c r="I556" s="39"/>
      <c r="J556" s="36" t="str">
        <f t="shared" si="17"/>
        <v/>
      </c>
      <c r="K556" s="48"/>
    </row>
    <row r="557" spans="1:11" ht="23.1" customHeight="1">
      <c r="A557" s="348" t="str">
        <f>IF($B557="","",MAX($A$3:A556)+1)</f>
        <v/>
      </c>
      <c r="B557" s="253"/>
      <c r="C557" s="249"/>
      <c r="D557" s="263"/>
      <c r="E557" s="251"/>
      <c r="F557" s="340" t="str">
        <f>IF($B557="","",SUM(SUMIFS('Daily Inward'!$G:$G,'Daily Inward'!$C:$C,$B557,'Daily Inward'!$E:$E,{"Inventory","Services"})))</f>
        <v/>
      </c>
      <c r="G557" s="341" t="str">
        <f>IF($B557="","",SUM(SUMIFS('Daily Issuance'!$G:$G,'Daily Issuance'!$C:$C,$B557,'Daily Issuance'!$E:$E,{"Inventory","Services"})))</f>
        <v/>
      </c>
      <c r="H557" s="42" t="str">
        <f t="shared" si="16"/>
        <v/>
      </c>
      <c r="I557" s="39"/>
      <c r="J557" s="36" t="str">
        <f t="shared" si="17"/>
        <v/>
      </c>
      <c r="K557" s="48"/>
    </row>
    <row r="558" spans="1:11" ht="23.1" customHeight="1">
      <c r="A558" s="348" t="str">
        <f>IF($B558="","",MAX($A$3:A557)+1)</f>
        <v/>
      </c>
      <c r="B558" s="253"/>
      <c r="C558" s="249"/>
      <c r="D558" s="263"/>
      <c r="E558" s="251"/>
      <c r="F558" s="340" t="str">
        <f>IF($B558="","",SUM(SUMIFS('Daily Inward'!$G:$G,'Daily Inward'!$C:$C,$B558,'Daily Inward'!$E:$E,{"Inventory","Services"})))</f>
        <v/>
      </c>
      <c r="G558" s="341" t="str">
        <f>IF($B558="","",SUM(SUMIFS('Daily Issuance'!$G:$G,'Daily Issuance'!$C:$C,$B558,'Daily Issuance'!$E:$E,{"Inventory","Services"})))</f>
        <v/>
      </c>
      <c r="H558" s="42" t="str">
        <f t="shared" si="16"/>
        <v/>
      </c>
      <c r="I558" s="39"/>
      <c r="J558" s="36" t="str">
        <f t="shared" si="17"/>
        <v/>
      </c>
      <c r="K558" s="48"/>
    </row>
    <row r="559" spans="1:11" ht="23.1" customHeight="1">
      <c r="A559" s="348" t="str">
        <f>IF($B559="","",MAX($A$3:A558)+1)</f>
        <v/>
      </c>
      <c r="B559" s="253"/>
      <c r="C559" s="249"/>
      <c r="D559" s="263"/>
      <c r="E559" s="251"/>
      <c r="F559" s="340" t="str">
        <f>IF($B559="","",SUM(SUMIFS('Daily Inward'!$G:$G,'Daily Inward'!$C:$C,$B559,'Daily Inward'!$E:$E,{"Inventory","Services"})))</f>
        <v/>
      </c>
      <c r="G559" s="341" t="str">
        <f>IF($B559="","",SUM(SUMIFS('Daily Issuance'!$G:$G,'Daily Issuance'!$C:$C,$B559,'Daily Issuance'!$E:$E,{"Inventory","Services"})))</f>
        <v/>
      </c>
      <c r="H559" s="42" t="str">
        <f t="shared" si="16"/>
        <v/>
      </c>
      <c r="I559" s="39"/>
      <c r="J559" s="36" t="str">
        <f t="shared" si="17"/>
        <v/>
      </c>
      <c r="K559" s="48"/>
    </row>
    <row r="560" spans="1:11" ht="23.1" customHeight="1">
      <c r="A560" s="348" t="str">
        <f>IF($B560="","",MAX($A$3:A559)+1)</f>
        <v/>
      </c>
      <c r="B560" s="253"/>
      <c r="C560" s="249"/>
      <c r="D560" s="263"/>
      <c r="E560" s="251"/>
      <c r="F560" s="340" t="str">
        <f>IF($B560="","",SUM(SUMIFS('Daily Inward'!$G:$G,'Daily Inward'!$C:$C,$B560,'Daily Inward'!$E:$E,{"Inventory","Services"})))</f>
        <v/>
      </c>
      <c r="G560" s="341" t="str">
        <f>IF($B560="","",SUM(SUMIFS('Daily Issuance'!$G:$G,'Daily Issuance'!$C:$C,$B560,'Daily Issuance'!$E:$E,{"Inventory","Services"})))</f>
        <v/>
      </c>
      <c r="H560" s="42" t="str">
        <f t="shared" si="16"/>
        <v/>
      </c>
      <c r="I560" s="39"/>
      <c r="J560" s="36" t="str">
        <f t="shared" si="17"/>
        <v/>
      </c>
      <c r="K560" s="48"/>
    </row>
    <row r="561" spans="1:11" ht="23.1" customHeight="1">
      <c r="A561" s="348" t="str">
        <f>IF($B561="","",MAX($A$3:A560)+1)</f>
        <v/>
      </c>
      <c r="B561" s="253"/>
      <c r="C561" s="249"/>
      <c r="D561" s="263"/>
      <c r="E561" s="251"/>
      <c r="F561" s="340" t="str">
        <f>IF($B561="","",SUM(SUMIFS('Daily Inward'!$G:$G,'Daily Inward'!$C:$C,$B561,'Daily Inward'!$E:$E,{"Inventory","Services"})))</f>
        <v/>
      </c>
      <c r="G561" s="341" t="str">
        <f>IF($B561="","",SUM(SUMIFS('Daily Issuance'!$G:$G,'Daily Issuance'!$C:$C,$B561,'Daily Issuance'!$E:$E,{"Inventory","Services"})))</f>
        <v/>
      </c>
      <c r="H561" s="42" t="str">
        <f t="shared" si="16"/>
        <v/>
      </c>
      <c r="I561" s="39"/>
      <c r="J561" s="36" t="str">
        <f t="shared" si="17"/>
        <v/>
      </c>
      <c r="K561" s="48"/>
    </row>
    <row r="562" spans="1:11" ht="23.1" customHeight="1">
      <c r="A562" s="348" t="str">
        <f>IF($B562="","",MAX($A$3:A561)+1)</f>
        <v/>
      </c>
      <c r="B562" s="253"/>
      <c r="C562" s="249"/>
      <c r="D562" s="263"/>
      <c r="E562" s="251"/>
      <c r="F562" s="340" t="str">
        <f>IF($B562="","",SUM(SUMIFS('Daily Inward'!$G:$G,'Daily Inward'!$C:$C,$B562,'Daily Inward'!$E:$E,{"Inventory","Services"})))</f>
        <v/>
      </c>
      <c r="G562" s="341" t="str">
        <f>IF($B562="","",SUM(SUMIFS('Daily Issuance'!$G:$G,'Daily Issuance'!$C:$C,$B562,'Daily Issuance'!$E:$E,{"Inventory","Services"})))</f>
        <v/>
      </c>
      <c r="H562" s="42" t="str">
        <f t="shared" si="16"/>
        <v/>
      </c>
      <c r="I562" s="39"/>
      <c r="J562" s="36" t="str">
        <f t="shared" si="17"/>
        <v/>
      </c>
      <c r="K562" s="48"/>
    </row>
    <row r="563" spans="1:11" ht="23.1" customHeight="1">
      <c r="A563" s="348" t="str">
        <f>IF($B563="","",MAX($A$3:A562)+1)</f>
        <v/>
      </c>
      <c r="B563" s="253"/>
      <c r="C563" s="249"/>
      <c r="D563" s="263"/>
      <c r="E563" s="251"/>
      <c r="F563" s="340" t="str">
        <f>IF($B563="","",SUM(SUMIFS('Daily Inward'!$G:$G,'Daily Inward'!$C:$C,$B563,'Daily Inward'!$E:$E,{"Inventory","Services"})))</f>
        <v/>
      </c>
      <c r="G563" s="341" t="str">
        <f>IF($B563="","",SUM(SUMIFS('Daily Issuance'!$G:$G,'Daily Issuance'!$C:$C,$B563,'Daily Issuance'!$E:$E,{"Inventory","Services"})))</f>
        <v/>
      </c>
      <c r="H563" s="42" t="str">
        <f t="shared" si="16"/>
        <v/>
      </c>
      <c r="I563" s="39"/>
      <c r="J563" s="36" t="str">
        <f t="shared" si="17"/>
        <v/>
      </c>
      <c r="K563" s="48"/>
    </row>
    <row r="564" spans="1:11" ht="23.1" customHeight="1">
      <c r="A564" s="348" t="str">
        <f>IF($B564="","",MAX($A$3:A563)+1)</f>
        <v/>
      </c>
      <c r="B564" s="253"/>
      <c r="C564" s="249"/>
      <c r="D564" s="263"/>
      <c r="E564" s="251"/>
      <c r="F564" s="340" t="str">
        <f>IF($B564="","",SUM(SUMIFS('Daily Inward'!$G:$G,'Daily Inward'!$C:$C,$B564,'Daily Inward'!$E:$E,{"Inventory","Services"})))</f>
        <v/>
      </c>
      <c r="G564" s="341" t="str">
        <f>IF($B564="","",SUM(SUMIFS('Daily Issuance'!$G:$G,'Daily Issuance'!$C:$C,$B564,'Daily Issuance'!$E:$E,{"Inventory","Services"})))</f>
        <v/>
      </c>
      <c r="H564" s="42" t="str">
        <f t="shared" si="16"/>
        <v/>
      </c>
      <c r="I564" s="39"/>
      <c r="J564" s="36" t="str">
        <f t="shared" si="17"/>
        <v/>
      </c>
      <c r="K564" s="48"/>
    </row>
    <row r="565" spans="1:11" ht="23.1" customHeight="1">
      <c r="A565" s="348" t="str">
        <f>IF($B565="","",MAX($A$3:A564)+1)</f>
        <v/>
      </c>
      <c r="B565" s="253"/>
      <c r="C565" s="249"/>
      <c r="D565" s="263"/>
      <c r="E565" s="251"/>
      <c r="F565" s="340" t="str">
        <f>IF($B565="","",SUM(SUMIFS('Daily Inward'!$G:$G,'Daily Inward'!$C:$C,$B565,'Daily Inward'!$E:$E,{"Inventory","Services"})))</f>
        <v/>
      </c>
      <c r="G565" s="341" t="str">
        <f>IF($B565="","",SUM(SUMIFS('Daily Issuance'!$G:$G,'Daily Issuance'!$C:$C,$B565,'Daily Issuance'!$E:$E,{"Inventory","Services"})))</f>
        <v/>
      </c>
      <c r="H565" s="42" t="str">
        <f t="shared" si="16"/>
        <v/>
      </c>
      <c r="I565" s="39"/>
      <c r="J565" s="36" t="str">
        <f t="shared" si="17"/>
        <v/>
      </c>
      <c r="K565" s="48"/>
    </row>
    <row r="566" spans="1:11" ht="23.1" customHeight="1">
      <c r="A566" s="348" t="str">
        <f>IF($B566="","",MAX($A$3:A565)+1)</f>
        <v/>
      </c>
      <c r="B566" s="253"/>
      <c r="C566" s="249"/>
      <c r="D566" s="263"/>
      <c r="E566" s="251"/>
      <c r="F566" s="340" t="str">
        <f>IF($B566="","",SUM(SUMIFS('Daily Inward'!$G:$G,'Daily Inward'!$C:$C,$B566,'Daily Inward'!$E:$E,{"Inventory","Services"})))</f>
        <v/>
      </c>
      <c r="G566" s="341" t="str">
        <f>IF($B566="","",SUM(SUMIFS('Daily Issuance'!$G:$G,'Daily Issuance'!$C:$C,$B566,'Daily Issuance'!$E:$E,{"Inventory","Services"})))</f>
        <v/>
      </c>
      <c r="H566" s="42" t="str">
        <f t="shared" si="16"/>
        <v/>
      </c>
      <c r="I566" s="39"/>
      <c r="J566" s="36" t="str">
        <f t="shared" si="17"/>
        <v/>
      </c>
      <c r="K566" s="48"/>
    </row>
    <row r="567" spans="1:11" ht="23.1" customHeight="1">
      <c r="A567" s="348" t="str">
        <f>IF($B567="","",MAX($A$3:A566)+1)</f>
        <v/>
      </c>
      <c r="B567" s="253"/>
      <c r="C567" s="249"/>
      <c r="D567" s="263"/>
      <c r="E567" s="251"/>
      <c r="F567" s="340" t="str">
        <f>IF($B567="","",SUM(SUMIFS('Daily Inward'!$G:$G,'Daily Inward'!$C:$C,$B567,'Daily Inward'!$E:$E,{"Inventory","Services"})))</f>
        <v/>
      </c>
      <c r="G567" s="341" t="str">
        <f>IF($B567="","",SUM(SUMIFS('Daily Issuance'!$G:$G,'Daily Issuance'!$C:$C,$B567,'Daily Issuance'!$E:$E,{"Inventory","Services"})))</f>
        <v/>
      </c>
      <c r="H567" s="42" t="str">
        <f t="shared" si="16"/>
        <v/>
      </c>
      <c r="I567" s="39"/>
      <c r="J567" s="36" t="str">
        <f t="shared" si="17"/>
        <v/>
      </c>
      <c r="K567" s="48"/>
    </row>
    <row r="568" spans="1:11" ht="23.1" customHeight="1">
      <c r="A568" s="348" t="str">
        <f>IF($B568="","",MAX($A$3:A567)+1)</f>
        <v/>
      </c>
      <c r="B568" s="253"/>
      <c r="C568" s="249"/>
      <c r="D568" s="263"/>
      <c r="E568" s="251"/>
      <c r="F568" s="340" t="str">
        <f>IF($B568="","",SUM(SUMIFS('Daily Inward'!$G:$G,'Daily Inward'!$C:$C,$B568,'Daily Inward'!$E:$E,{"Inventory","Services"})))</f>
        <v/>
      </c>
      <c r="G568" s="341" t="str">
        <f>IF($B568="","",SUM(SUMIFS('Daily Issuance'!$G:$G,'Daily Issuance'!$C:$C,$B568,'Daily Issuance'!$E:$E,{"Inventory","Services"})))</f>
        <v/>
      </c>
      <c r="H568" s="42" t="str">
        <f t="shared" si="16"/>
        <v/>
      </c>
      <c r="I568" s="39"/>
      <c r="J568" s="36" t="str">
        <f t="shared" si="17"/>
        <v/>
      </c>
      <c r="K568" s="48"/>
    </row>
    <row r="569" spans="1:11" ht="23.1" customHeight="1">
      <c r="A569" s="348" t="str">
        <f>IF($B569="","",MAX($A$3:A568)+1)</f>
        <v/>
      </c>
      <c r="B569" s="253"/>
      <c r="C569" s="249"/>
      <c r="D569" s="263"/>
      <c r="E569" s="251"/>
      <c r="F569" s="340" t="str">
        <f>IF($B569="","",SUM(SUMIFS('Daily Inward'!$G:$G,'Daily Inward'!$C:$C,$B569,'Daily Inward'!$E:$E,{"Inventory","Services"})))</f>
        <v/>
      </c>
      <c r="G569" s="341" t="str">
        <f>IF($B569="","",SUM(SUMIFS('Daily Issuance'!$G:$G,'Daily Issuance'!$C:$C,$B569,'Daily Issuance'!$E:$E,{"Inventory","Services"})))</f>
        <v/>
      </c>
      <c r="H569" s="42" t="str">
        <f t="shared" si="16"/>
        <v/>
      </c>
      <c r="I569" s="39"/>
      <c r="J569" s="36" t="str">
        <f t="shared" si="17"/>
        <v/>
      </c>
      <c r="K569" s="48"/>
    </row>
    <row r="570" spans="1:11" ht="23.1" customHeight="1">
      <c r="A570" s="348" t="str">
        <f>IF($B570="","",MAX($A$3:A569)+1)</f>
        <v/>
      </c>
      <c r="B570" s="253"/>
      <c r="C570" s="249"/>
      <c r="D570" s="263"/>
      <c r="E570" s="251"/>
      <c r="F570" s="340" t="str">
        <f>IF($B570="","",SUM(SUMIFS('Daily Inward'!$G:$G,'Daily Inward'!$C:$C,$B570,'Daily Inward'!$E:$E,{"Inventory","Services"})))</f>
        <v/>
      </c>
      <c r="G570" s="341" t="str">
        <f>IF($B570="","",SUM(SUMIFS('Daily Issuance'!$G:$G,'Daily Issuance'!$C:$C,$B570,'Daily Issuance'!$E:$E,{"Inventory","Services"})))</f>
        <v/>
      </c>
      <c r="H570" s="42" t="str">
        <f t="shared" si="16"/>
        <v/>
      </c>
      <c r="I570" s="39"/>
      <c r="J570" s="36" t="str">
        <f t="shared" si="17"/>
        <v/>
      </c>
      <c r="K570" s="48"/>
    </row>
    <row r="571" spans="1:11" ht="23.1" customHeight="1">
      <c r="A571" s="348" t="str">
        <f>IF($B571="","",MAX($A$3:A570)+1)</f>
        <v/>
      </c>
      <c r="B571" s="253"/>
      <c r="C571" s="249"/>
      <c r="D571" s="263"/>
      <c r="E571" s="251"/>
      <c r="F571" s="340" t="str">
        <f>IF($B571="","",SUM(SUMIFS('Daily Inward'!$G:$G,'Daily Inward'!$C:$C,$B571,'Daily Inward'!$E:$E,{"Inventory","Services"})))</f>
        <v/>
      </c>
      <c r="G571" s="341" t="str">
        <f>IF($B571="","",SUM(SUMIFS('Daily Issuance'!$G:$G,'Daily Issuance'!$C:$C,$B571,'Daily Issuance'!$E:$E,{"Inventory","Services"})))</f>
        <v/>
      </c>
      <c r="H571" s="42" t="str">
        <f t="shared" si="16"/>
        <v/>
      </c>
      <c r="I571" s="39"/>
      <c r="J571" s="36" t="str">
        <f t="shared" si="17"/>
        <v/>
      </c>
      <c r="K571" s="48"/>
    </row>
    <row r="572" spans="1:11" ht="23.1" customHeight="1">
      <c r="A572" s="348" t="str">
        <f>IF($B572="","",MAX($A$3:A571)+1)</f>
        <v/>
      </c>
      <c r="B572" s="253"/>
      <c r="C572" s="249"/>
      <c r="D572" s="263"/>
      <c r="E572" s="251"/>
      <c r="F572" s="340" t="str">
        <f>IF($B572="","",SUM(SUMIFS('Daily Inward'!$G:$G,'Daily Inward'!$C:$C,$B572,'Daily Inward'!$E:$E,{"Inventory","Services"})))</f>
        <v/>
      </c>
      <c r="G572" s="341" t="str">
        <f>IF($B572="","",SUM(SUMIFS('Daily Issuance'!$G:$G,'Daily Issuance'!$C:$C,$B572,'Daily Issuance'!$E:$E,{"Inventory","Services"})))</f>
        <v/>
      </c>
      <c r="H572" s="42" t="str">
        <f t="shared" si="16"/>
        <v/>
      </c>
      <c r="I572" s="39"/>
      <c r="J572" s="36" t="str">
        <f t="shared" si="17"/>
        <v/>
      </c>
      <c r="K572" s="48"/>
    </row>
    <row r="573" spans="1:11" ht="23.1" customHeight="1">
      <c r="A573" s="348" t="str">
        <f>IF($B573="","",MAX($A$3:A572)+1)</f>
        <v/>
      </c>
      <c r="B573" s="253"/>
      <c r="C573" s="249"/>
      <c r="D573" s="263"/>
      <c r="E573" s="251"/>
      <c r="F573" s="340" t="str">
        <f>IF($B573="","",SUM(SUMIFS('Daily Inward'!$G:$G,'Daily Inward'!$C:$C,$B573,'Daily Inward'!$E:$E,{"Inventory","Services"})))</f>
        <v/>
      </c>
      <c r="G573" s="341" t="str">
        <f>IF($B573="","",SUM(SUMIFS('Daily Issuance'!$G:$G,'Daily Issuance'!$C:$C,$B573,'Daily Issuance'!$E:$E,{"Inventory","Services"})))</f>
        <v/>
      </c>
      <c r="H573" s="42" t="str">
        <f t="shared" si="16"/>
        <v/>
      </c>
      <c r="I573" s="39"/>
      <c r="J573" s="36" t="str">
        <f t="shared" si="17"/>
        <v/>
      </c>
      <c r="K573" s="48"/>
    </row>
    <row r="574" spans="1:11" ht="23.1" customHeight="1">
      <c r="A574" s="348" t="str">
        <f>IF($B574="","",MAX($A$3:A573)+1)</f>
        <v/>
      </c>
      <c r="B574" s="253"/>
      <c r="C574" s="249"/>
      <c r="D574" s="263"/>
      <c r="E574" s="251"/>
      <c r="F574" s="340" t="str">
        <f>IF($B574="","",SUM(SUMIFS('Daily Inward'!$G:$G,'Daily Inward'!$C:$C,$B574,'Daily Inward'!$E:$E,{"Inventory","Services"})))</f>
        <v/>
      </c>
      <c r="G574" s="341" t="str">
        <f>IF($B574="","",SUM(SUMIFS('Daily Issuance'!$G:$G,'Daily Issuance'!$C:$C,$B574,'Daily Issuance'!$E:$E,{"Inventory","Services"})))</f>
        <v/>
      </c>
      <c r="H574" s="42" t="str">
        <f t="shared" si="16"/>
        <v/>
      </c>
      <c r="I574" s="39"/>
      <c r="J574" s="36" t="str">
        <f t="shared" si="17"/>
        <v/>
      </c>
      <c r="K574" s="48"/>
    </row>
    <row r="575" spans="1:11" ht="23.1" customHeight="1">
      <c r="A575" s="348" t="str">
        <f>IF($B575="","",MAX($A$3:A574)+1)</f>
        <v/>
      </c>
      <c r="B575" s="253"/>
      <c r="C575" s="249"/>
      <c r="D575" s="263"/>
      <c r="E575" s="251"/>
      <c r="F575" s="340" t="str">
        <f>IF($B575="","",SUM(SUMIFS('Daily Inward'!$G:$G,'Daily Inward'!$C:$C,$B575,'Daily Inward'!$E:$E,{"Inventory","Services"})))</f>
        <v/>
      </c>
      <c r="G575" s="341" t="str">
        <f>IF($B575="","",SUM(SUMIFS('Daily Issuance'!$G:$G,'Daily Issuance'!$C:$C,$B575,'Daily Issuance'!$E:$E,{"Inventory","Services"})))</f>
        <v/>
      </c>
      <c r="H575" s="42" t="str">
        <f t="shared" si="16"/>
        <v/>
      </c>
      <c r="I575" s="39"/>
      <c r="J575" s="36" t="str">
        <f t="shared" si="17"/>
        <v/>
      </c>
      <c r="K575" s="48"/>
    </row>
    <row r="576" spans="1:11" ht="23.1" customHeight="1">
      <c r="A576" s="348" t="str">
        <f>IF($B576="","",MAX($A$3:A575)+1)</f>
        <v/>
      </c>
      <c r="B576" s="253"/>
      <c r="C576" s="249"/>
      <c r="D576" s="263"/>
      <c r="E576" s="251"/>
      <c r="F576" s="340" t="str">
        <f>IF($B576="","",SUM(SUMIFS('Daily Inward'!$G:$G,'Daily Inward'!$C:$C,$B576,'Daily Inward'!$E:$E,{"Inventory","Services"})))</f>
        <v/>
      </c>
      <c r="G576" s="341" t="str">
        <f>IF($B576="","",SUM(SUMIFS('Daily Issuance'!$G:$G,'Daily Issuance'!$C:$C,$B576,'Daily Issuance'!$E:$E,{"Inventory","Services"})))</f>
        <v/>
      </c>
      <c r="H576" s="42" t="str">
        <f t="shared" si="16"/>
        <v/>
      </c>
      <c r="I576" s="39"/>
      <c r="J576" s="36" t="str">
        <f t="shared" si="17"/>
        <v/>
      </c>
      <c r="K576" s="48"/>
    </row>
    <row r="577" spans="1:11" ht="23.1" customHeight="1">
      <c r="A577" s="348" t="str">
        <f>IF($B577="","",MAX($A$3:A576)+1)</f>
        <v/>
      </c>
      <c r="B577" s="253"/>
      <c r="C577" s="249"/>
      <c r="D577" s="263"/>
      <c r="E577" s="251"/>
      <c r="F577" s="340" t="str">
        <f>IF($B577="","",SUM(SUMIFS('Daily Inward'!$G:$G,'Daily Inward'!$C:$C,$B577,'Daily Inward'!$E:$E,{"Inventory","Services"})))</f>
        <v/>
      </c>
      <c r="G577" s="341" t="str">
        <f>IF($B577="","",SUM(SUMIFS('Daily Issuance'!$G:$G,'Daily Issuance'!$C:$C,$B577,'Daily Issuance'!$E:$E,{"Inventory","Services"})))</f>
        <v/>
      </c>
      <c r="H577" s="42" t="str">
        <f t="shared" si="16"/>
        <v/>
      </c>
      <c r="I577" s="39"/>
      <c r="J577" s="36" t="str">
        <f t="shared" si="17"/>
        <v/>
      </c>
      <c r="K577" s="48"/>
    </row>
    <row r="578" spans="1:11" ht="23.1" customHeight="1">
      <c r="A578" s="348" t="str">
        <f>IF($B578="","",MAX($A$3:A577)+1)</f>
        <v/>
      </c>
      <c r="B578" s="253"/>
      <c r="C578" s="249"/>
      <c r="D578" s="263"/>
      <c r="E578" s="251"/>
      <c r="F578" s="340" t="str">
        <f>IF($B578="","",SUM(SUMIFS('Daily Inward'!$G:$G,'Daily Inward'!$C:$C,$B578,'Daily Inward'!$E:$E,{"Inventory","Services"})))</f>
        <v/>
      </c>
      <c r="G578" s="341" t="str">
        <f>IF($B578="","",SUM(SUMIFS('Daily Issuance'!$G:$G,'Daily Issuance'!$C:$C,$B578,'Daily Issuance'!$E:$E,{"Inventory","Services"})))</f>
        <v/>
      </c>
      <c r="H578" s="42" t="str">
        <f t="shared" si="16"/>
        <v/>
      </c>
      <c r="I578" s="39"/>
      <c r="J578" s="36" t="str">
        <f t="shared" si="17"/>
        <v/>
      </c>
      <c r="K578" s="48"/>
    </row>
    <row r="579" spans="1:11" ht="23.1" customHeight="1">
      <c r="A579" s="348" t="str">
        <f>IF($B579="","",MAX($A$3:A578)+1)</f>
        <v/>
      </c>
      <c r="B579" s="253"/>
      <c r="C579" s="249"/>
      <c r="D579" s="263"/>
      <c r="E579" s="251"/>
      <c r="F579" s="340" t="str">
        <f>IF($B579="","",SUM(SUMIFS('Daily Inward'!$G:$G,'Daily Inward'!$C:$C,$B579,'Daily Inward'!$E:$E,{"Inventory","Services"})))</f>
        <v/>
      </c>
      <c r="G579" s="341" t="str">
        <f>IF($B579="","",SUM(SUMIFS('Daily Issuance'!$G:$G,'Daily Issuance'!$C:$C,$B579,'Daily Issuance'!$E:$E,{"Inventory","Services"})))</f>
        <v/>
      </c>
      <c r="H579" s="42" t="str">
        <f t="shared" si="16"/>
        <v/>
      </c>
      <c r="I579" s="39"/>
      <c r="J579" s="36" t="str">
        <f t="shared" si="17"/>
        <v/>
      </c>
      <c r="K579" s="48"/>
    </row>
    <row r="580" spans="1:11" ht="23.1" customHeight="1">
      <c r="A580" s="348" t="str">
        <f>IF($B580="","",MAX($A$3:A579)+1)</f>
        <v/>
      </c>
      <c r="B580" s="253"/>
      <c r="C580" s="249"/>
      <c r="D580" s="263"/>
      <c r="E580" s="251"/>
      <c r="F580" s="340" t="str">
        <f>IF($B580="","",SUM(SUMIFS('Daily Inward'!$G:$G,'Daily Inward'!$C:$C,$B580,'Daily Inward'!$E:$E,{"Inventory","Services"})))</f>
        <v/>
      </c>
      <c r="G580" s="341" t="str">
        <f>IF($B580="","",SUM(SUMIFS('Daily Issuance'!$G:$G,'Daily Issuance'!$C:$C,$B580,'Daily Issuance'!$E:$E,{"Inventory","Services"})))</f>
        <v/>
      </c>
      <c r="H580" s="42" t="str">
        <f t="shared" ref="H580:H643" si="18">IF($B580="","",N(E580)+N(F580)-N(G580))</f>
        <v/>
      </c>
      <c r="I580" s="39"/>
      <c r="J580" s="36" t="str">
        <f t="shared" ref="J580:J643" si="19">IF($B580="","",H580*I580)</f>
        <v/>
      </c>
      <c r="K580" s="48"/>
    </row>
    <row r="581" spans="1:11" ht="23.1" customHeight="1">
      <c r="A581" s="348" t="str">
        <f>IF($B581="","",MAX($A$3:A580)+1)</f>
        <v/>
      </c>
      <c r="B581" s="253"/>
      <c r="C581" s="249"/>
      <c r="D581" s="263"/>
      <c r="E581" s="251"/>
      <c r="F581" s="340" t="str">
        <f>IF($B581="","",SUM(SUMIFS('Daily Inward'!$G:$G,'Daily Inward'!$C:$C,$B581,'Daily Inward'!$E:$E,{"Inventory","Services"})))</f>
        <v/>
      </c>
      <c r="G581" s="341" t="str">
        <f>IF($B581="","",SUM(SUMIFS('Daily Issuance'!$G:$G,'Daily Issuance'!$C:$C,$B581,'Daily Issuance'!$E:$E,{"Inventory","Services"})))</f>
        <v/>
      </c>
      <c r="H581" s="42" t="str">
        <f t="shared" si="18"/>
        <v/>
      </c>
      <c r="I581" s="39"/>
      <c r="J581" s="36" t="str">
        <f t="shared" si="19"/>
        <v/>
      </c>
      <c r="K581" s="48"/>
    </row>
    <row r="582" spans="1:11" ht="23.1" customHeight="1">
      <c r="A582" s="348" t="str">
        <f>IF($B582="","",MAX($A$3:A581)+1)</f>
        <v/>
      </c>
      <c r="B582" s="253"/>
      <c r="C582" s="249"/>
      <c r="D582" s="263"/>
      <c r="E582" s="251"/>
      <c r="F582" s="340" t="str">
        <f>IF($B582="","",SUM(SUMIFS('Daily Inward'!$G:$G,'Daily Inward'!$C:$C,$B582,'Daily Inward'!$E:$E,{"Inventory","Services"})))</f>
        <v/>
      </c>
      <c r="G582" s="341" t="str">
        <f>IF($B582="","",SUM(SUMIFS('Daily Issuance'!$G:$G,'Daily Issuance'!$C:$C,$B582,'Daily Issuance'!$E:$E,{"Inventory","Services"})))</f>
        <v/>
      </c>
      <c r="H582" s="42" t="str">
        <f t="shared" si="18"/>
        <v/>
      </c>
      <c r="I582" s="39"/>
      <c r="J582" s="36" t="str">
        <f t="shared" si="19"/>
        <v/>
      </c>
      <c r="K582" s="48"/>
    </row>
    <row r="583" spans="1:11" ht="23.1" customHeight="1">
      <c r="A583" s="348" t="str">
        <f>IF($B583="","",MAX($A$3:A582)+1)</f>
        <v/>
      </c>
      <c r="B583" s="253"/>
      <c r="C583" s="249"/>
      <c r="D583" s="263"/>
      <c r="E583" s="251"/>
      <c r="F583" s="340" t="str">
        <f>IF($B583="","",SUM(SUMIFS('Daily Inward'!$G:$G,'Daily Inward'!$C:$C,$B583,'Daily Inward'!$E:$E,{"Inventory","Services"})))</f>
        <v/>
      </c>
      <c r="G583" s="341" t="str">
        <f>IF($B583="","",SUM(SUMIFS('Daily Issuance'!$G:$G,'Daily Issuance'!$C:$C,$B583,'Daily Issuance'!$E:$E,{"Inventory","Services"})))</f>
        <v/>
      </c>
      <c r="H583" s="42" t="str">
        <f t="shared" si="18"/>
        <v/>
      </c>
      <c r="I583" s="39"/>
      <c r="J583" s="36" t="str">
        <f t="shared" si="19"/>
        <v/>
      </c>
      <c r="K583" s="48"/>
    </row>
    <row r="584" spans="1:11" ht="23.1" customHeight="1">
      <c r="A584" s="348" t="str">
        <f>IF($B584="","",MAX($A$3:A583)+1)</f>
        <v/>
      </c>
      <c r="B584" s="253"/>
      <c r="C584" s="249"/>
      <c r="D584" s="263"/>
      <c r="E584" s="251"/>
      <c r="F584" s="340" t="str">
        <f>IF($B584="","",SUM(SUMIFS('Daily Inward'!$G:$G,'Daily Inward'!$C:$C,$B584,'Daily Inward'!$E:$E,{"Inventory","Services"})))</f>
        <v/>
      </c>
      <c r="G584" s="341" t="str">
        <f>IF($B584="","",SUM(SUMIFS('Daily Issuance'!$G:$G,'Daily Issuance'!$C:$C,$B584,'Daily Issuance'!$E:$E,{"Inventory","Services"})))</f>
        <v/>
      </c>
      <c r="H584" s="42" t="str">
        <f t="shared" si="18"/>
        <v/>
      </c>
      <c r="I584" s="39"/>
      <c r="J584" s="36" t="str">
        <f t="shared" si="19"/>
        <v/>
      </c>
      <c r="K584" s="48"/>
    </row>
    <row r="585" spans="1:11" ht="23.1" customHeight="1">
      <c r="A585" s="348" t="str">
        <f>IF($B585="","",MAX($A$3:A584)+1)</f>
        <v/>
      </c>
      <c r="B585" s="253"/>
      <c r="C585" s="249"/>
      <c r="D585" s="263"/>
      <c r="E585" s="251"/>
      <c r="F585" s="340" t="str">
        <f>IF($B585="","",SUM(SUMIFS('Daily Inward'!$G:$G,'Daily Inward'!$C:$C,$B585,'Daily Inward'!$E:$E,{"Inventory","Services"})))</f>
        <v/>
      </c>
      <c r="G585" s="341" t="str">
        <f>IF($B585="","",SUM(SUMIFS('Daily Issuance'!$G:$G,'Daily Issuance'!$C:$C,$B585,'Daily Issuance'!$E:$E,{"Inventory","Services"})))</f>
        <v/>
      </c>
      <c r="H585" s="42" t="str">
        <f t="shared" si="18"/>
        <v/>
      </c>
      <c r="I585" s="39"/>
      <c r="J585" s="36" t="str">
        <f t="shared" si="19"/>
        <v/>
      </c>
      <c r="K585" s="48"/>
    </row>
    <row r="586" spans="1:11" ht="23.1" customHeight="1">
      <c r="A586" s="348" t="str">
        <f>IF($B586="","",MAX($A$3:A585)+1)</f>
        <v/>
      </c>
      <c r="B586" s="253"/>
      <c r="C586" s="249"/>
      <c r="D586" s="263"/>
      <c r="E586" s="251"/>
      <c r="F586" s="340" t="str">
        <f>IF($B586="","",SUM(SUMIFS('Daily Inward'!$G:$G,'Daily Inward'!$C:$C,$B586,'Daily Inward'!$E:$E,{"Inventory","Services"})))</f>
        <v/>
      </c>
      <c r="G586" s="341" t="str">
        <f>IF($B586="","",SUM(SUMIFS('Daily Issuance'!$G:$G,'Daily Issuance'!$C:$C,$B586,'Daily Issuance'!$E:$E,{"Inventory","Services"})))</f>
        <v/>
      </c>
      <c r="H586" s="42" t="str">
        <f t="shared" si="18"/>
        <v/>
      </c>
      <c r="I586" s="39"/>
      <c r="J586" s="36" t="str">
        <f t="shared" si="19"/>
        <v/>
      </c>
      <c r="K586" s="48"/>
    </row>
    <row r="587" spans="1:11" ht="23.1" customHeight="1">
      <c r="A587" s="348" t="str">
        <f>IF($B587="","",MAX($A$3:A586)+1)</f>
        <v/>
      </c>
      <c r="B587" s="253"/>
      <c r="C587" s="249"/>
      <c r="D587" s="263"/>
      <c r="E587" s="251"/>
      <c r="F587" s="340" t="str">
        <f>IF($B587="","",SUM(SUMIFS('Daily Inward'!$G:$G,'Daily Inward'!$C:$C,$B587,'Daily Inward'!$E:$E,{"Inventory","Services"})))</f>
        <v/>
      </c>
      <c r="G587" s="341" t="str">
        <f>IF($B587="","",SUM(SUMIFS('Daily Issuance'!$G:$G,'Daily Issuance'!$C:$C,$B587,'Daily Issuance'!$E:$E,{"Inventory","Services"})))</f>
        <v/>
      </c>
      <c r="H587" s="42" t="str">
        <f t="shared" si="18"/>
        <v/>
      </c>
      <c r="I587" s="39"/>
      <c r="J587" s="36" t="str">
        <f t="shared" si="19"/>
        <v/>
      </c>
      <c r="K587" s="48"/>
    </row>
    <row r="588" spans="1:11" ht="23.1" customHeight="1">
      <c r="A588" s="348" t="str">
        <f>IF($B588="","",MAX($A$3:A587)+1)</f>
        <v/>
      </c>
      <c r="B588" s="253"/>
      <c r="C588" s="249"/>
      <c r="D588" s="263"/>
      <c r="E588" s="251"/>
      <c r="F588" s="340" t="str">
        <f>IF($B588="","",SUM(SUMIFS('Daily Inward'!$G:$G,'Daily Inward'!$C:$C,$B588,'Daily Inward'!$E:$E,{"Inventory","Services"})))</f>
        <v/>
      </c>
      <c r="G588" s="341" t="str">
        <f>IF($B588="","",SUM(SUMIFS('Daily Issuance'!$G:$G,'Daily Issuance'!$C:$C,$B588,'Daily Issuance'!$E:$E,{"Inventory","Services"})))</f>
        <v/>
      </c>
      <c r="H588" s="42" t="str">
        <f t="shared" si="18"/>
        <v/>
      </c>
      <c r="I588" s="39"/>
      <c r="J588" s="36" t="str">
        <f t="shared" si="19"/>
        <v/>
      </c>
      <c r="K588" s="48"/>
    </row>
    <row r="589" spans="1:11" ht="23.1" customHeight="1">
      <c r="A589" s="348" t="str">
        <f>IF($B589="","",MAX($A$3:A588)+1)</f>
        <v/>
      </c>
      <c r="B589" s="253"/>
      <c r="C589" s="249"/>
      <c r="D589" s="263"/>
      <c r="E589" s="251"/>
      <c r="F589" s="340" t="str">
        <f>IF($B589="","",SUM(SUMIFS('Daily Inward'!$G:$G,'Daily Inward'!$C:$C,$B589,'Daily Inward'!$E:$E,{"Inventory","Services"})))</f>
        <v/>
      </c>
      <c r="G589" s="341" t="str">
        <f>IF($B589="","",SUM(SUMIFS('Daily Issuance'!$G:$G,'Daily Issuance'!$C:$C,$B589,'Daily Issuance'!$E:$E,{"Inventory","Services"})))</f>
        <v/>
      </c>
      <c r="H589" s="42" t="str">
        <f t="shared" si="18"/>
        <v/>
      </c>
      <c r="I589" s="39"/>
      <c r="J589" s="36" t="str">
        <f t="shared" si="19"/>
        <v/>
      </c>
      <c r="K589" s="48"/>
    </row>
    <row r="590" spans="1:11" ht="23.1" customHeight="1">
      <c r="A590" s="348" t="str">
        <f>IF($B590="","",MAX($A$3:A589)+1)</f>
        <v/>
      </c>
      <c r="B590" s="253"/>
      <c r="C590" s="249"/>
      <c r="D590" s="263"/>
      <c r="E590" s="251"/>
      <c r="F590" s="340" t="str">
        <f>IF($B590="","",SUM(SUMIFS('Daily Inward'!$G:$G,'Daily Inward'!$C:$C,$B590,'Daily Inward'!$E:$E,{"Inventory","Services"})))</f>
        <v/>
      </c>
      <c r="G590" s="341" t="str">
        <f>IF($B590="","",SUM(SUMIFS('Daily Issuance'!$G:$G,'Daily Issuance'!$C:$C,$B590,'Daily Issuance'!$E:$E,{"Inventory","Services"})))</f>
        <v/>
      </c>
      <c r="H590" s="42" t="str">
        <f t="shared" si="18"/>
        <v/>
      </c>
      <c r="I590" s="39"/>
      <c r="J590" s="36" t="str">
        <f t="shared" si="19"/>
        <v/>
      </c>
      <c r="K590" s="48"/>
    </row>
    <row r="591" spans="1:11" ht="23.1" customHeight="1">
      <c r="A591" s="348" t="str">
        <f>IF($B591="","",MAX($A$3:A590)+1)</f>
        <v/>
      </c>
      <c r="B591" s="253"/>
      <c r="C591" s="249"/>
      <c r="D591" s="263"/>
      <c r="E591" s="251"/>
      <c r="F591" s="340" t="str">
        <f>IF($B591="","",SUM(SUMIFS('Daily Inward'!$G:$G,'Daily Inward'!$C:$C,$B591,'Daily Inward'!$E:$E,{"Inventory","Services"})))</f>
        <v/>
      </c>
      <c r="G591" s="341" t="str">
        <f>IF($B591="","",SUM(SUMIFS('Daily Issuance'!$G:$G,'Daily Issuance'!$C:$C,$B591,'Daily Issuance'!$E:$E,{"Inventory","Services"})))</f>
        <v/>
      </c>
      <c r="H591" s="42" t="str">
        <f t="shared" si="18"/>
        <v/>
      </c>
      <c r="I591" s="39"/>
      <c r="J591" s="36" t="str">
        <f t="shared" si="19"/>
        <v/>
      </c>
      <c r="K591" s="48"/>
    </row>
    <row r="592" spans="1:11" ht="23.1" customHeight="1">
      <c r="A592" s="348" t="str">
        <f>IF($B592="","",MAX($A$3:A591)+1)</f>
        <v/>
      </c>
      <c r="B592" s="253"/>
      <c r="C592" s="249"/>
      <c r="D592" s="263"/>
      <c r="E592" s="251"/>
      <c r="F592" s="340" t="str">
        <f>IF($B592="","",SUM(SUMIFS('Daily Inward'!$G:$G,'Daily Inward'!$C:$C,$B592,'Daily Inward'!$E:$E,{"Inventory","Services"})))</f>
        <v/>
      </c>
      <c r="G592" s="341" t="str">
        <f>IF($B592="","",SUM(SUMIFS('Daily Issuance'!$G:$G,'Daily Issuance'!$C:$C,$B592,'Daily Issuance'!$E:$E,{"Inventory","Services"})))</f>
        <v/>
      </c>
      <c r="H592" s="42" t="str">
        <f t="shared" si="18"/>
        <v/>
      </c>
      <c r="I592" s="39"/>
      <c r="J592" s="36" t="str">
        <f t="shared" si="19"/>
        <v/>
      </c>
      <c r="K592" s="48"/>
    </row>
    <row r="593" spans="1:11" ht="23.1" customHeight="1">
      <c r="A593" s="348" t="str">
        <f>IF($B593="","",MAX($A$3:A592)+1)</f>
        <v/>
      </c>
      <c r="B593" s="253"/>
      <c r="C593" s="249"/>
      <c r="D593" s="263"/>
      <c r="E593" s="251"/>
      <c r="F593" s="340" t="str">
        <f>IF($B593="","",SUM(SUMIFS('Daily Inward'!$G:$G,'Daily Inward'!$C:$C,$B593,'Daily Inward'!$E:$E,{"Inventory","Services"})))</f>
        <v/>
      </c>
      <c r="G593" s="341" t="str">
        <f>IF($B593="","",SUM(SUMIFS('Daily Issuance'!$G:$G,'Daily Issuance'!$C:$C,$B593,'Daily Issuance'!$E:$E,{"Inventory","Services"})))</f>
        <v/>
      </c>
      <c r="H593" s="42" t="str">
        <f t="shared" si="18"/>
        <v/>
      </c>
      <c r="I593" s="39"/>
      <c r="J593" s="36" t="str">
        <f t="shared" si="19"/>
        <v/>
      </c>
      <c r="K593" s="48"/>
    </row>
    <row r="594" spans="1:11" ht="23.1" customHeight="1">
      <c r="A594" s="348" t="str">
        <f>IF($B594="","",MAX($A$3:A593)+1)</f>
        <v/>
      </c>
      <c r="B594" s="253"/>
      <c r="C594" s="249"/>
      <c r="D594" s="263"/>
      <c r="E594" s="251"/>
      <c r="F594" s="340" t="str">
        <f>IF($B594="","",SUM(SUMIFS('Daily Inward'!$G:$G,'Daily Inward'!$C:$C,$B594,'Daily Inward'!$E:$E,{"Inventory","Services"})))</f>
        <v/>
      </c>
      <c r="G594" s="341" t="str">
        <f>IF($B594="","",SUM(SUMIFS('Daily Issuance'!$G:$G,'Daily Issuance'!$C:$C,$B594,'Daily Issuance'!$E:$E,{"Inventory","Services"})))</f>
        <v/>
      </c>
      <c r="H594" s="42" t="str">
        <f t="shared" si="18"/>
        <v/>
      </c>
      <c r="I594" s="39"/>
      <c r="J594" s="36" t="str">
        <f t="shared" si="19"/>
        <v/>
      </c>
      <c r="K594" s="48"/>
    </row>
    <row r="595" spans="1:11" ht="23.1" customHeight="1">
      <c r="A595" s="348" t="str">
        <f>IF($B595="","",MAX($A$3:A594)+1)</f>
        <v/>
      </c>
      <c r="B595" s="253"/>
      <c r="C595" s="249"/>
      <c r="D595" s="263"/>
      <c r="E595" s="251"/>
      <c r="F595" s="340" t="str">
        <f>IF($B595="","",SUM(SUMIFS('Daily Inward'!$G:$G,'Daily Inward'!$C:$C,$B595,'Daily Inward'!$E:$E,{"Inventory","Services"})))</f>
        <v/>
      </c>
      <c r="G595" s="341" t="str">
        <f>IF($B595="","",SUM(SUMIFS('Daily Issuance'!$G:$G,'Daily Issuance'!$C:$C,$B595,'Daily Issuance'!$E:$E,{"Inventory","Services"})))</f>
        <v/>
      </c>
      <c r="H595" s="42" t="str">
        <f t="shared" si="18"/>
        <v/>
      </c>
      <c r="I595" s="39"/>
      <c r="J595" s="36" t="str">
        <f t="shared" si="19"/>
        <v/>
      </c>
      <c r="K595" s="48"/>
    </row>
    <row r="596" spans="1:11" ht="23.1" customHeight="1">
      <c r="A596" s="348" t="str">
        <f>IF($B596="","",MAX($A$3:A595)+1)</f>
        <v/>
      </c>
      <c r="B596" s="253"/>
      <c r="C596" s="249"/>
      <c r="D596" s="263"/>
      <c r="E596" s="251"/>
      <c r="F596" s="340" t="str">
        <f>IF($B596="","",SUM(SUMIFS('Daily Inward'!$G:$G,'Daily Inward'!$C:$C,$B596,'Daily Inward'!$E:$E,{"Inventory","Services"})))</f>
        <v/>
      </c>
      <c r="G596" s="341" t="str">
        <f>IF($B596="","",SUM(SUMIFS('Daily Issuance'!$G:$G,'Daily Issuance'!$C:$C,$B596,'Daily Issuance'!$E:$E,{"Inventory","Services"})))</f>
        <v/>
      </c>
      <c r="H596" s="42" t="str">
        <f t="shared" si="18"/>
        <v/>
      </c>
      <c r="I596" s="39"/>
      <c r="J596" s="36" t="str">
        <f t="shared" si="19"/>
        <v/>
      </c>
      <c r="K596" s="48"/>
    </row>
    <row r="597" spans="1:11" ht="23.1" customHeight="1">
      <c r="A597" s="348" t="str">
        <f>IF($B597="","",MAX($A$3:A596)+1)</f>
        <v/>
      </c>
      <c r="B597" s="253"/>
      <c r="C597" s="249"/>
      <c r="D597" s="263"/>
      <c r="E597" s="251"/>
      <c r="F597" s="340" t="str">
        <f>IF($B597="","",SUM(SUMIFS('Daily Inward'!$G:$G,'Daily Inward'!$C:$C,$B597,'Daily Inward'!$E:$E,{"Inventory","Services"})))</f>
        <v/>
      </c>
      <c r="G597" s="341" t="str">
        <f>IF($B597="","",SUM(SUMIFS('Daily Issuance'!$G:$G,'Daily Issuance'!$C:$C,$B597,'Daily Issuance'!$E:$E,{"Inventory","Services"})))</f>
        <v/>
      </c>
      <c r="H597" s="42" t="str">
        <f t="shared" si="18"/>
        <v/>
      </c>
      <c r="I597" s="39"/>
      <c r="J597" s="36" t="str">
        <f t="shared" si="19"/>
        <v/>
      </c>
      <c r="K597" s="48"/>
    </row>
    <row r="598" spans="1:11" ht="23.1" customHeight="1">
      <c r="A598" s="348" t="str">
        <f>IF($B598="","",MAX($A$3:A597)+1)</f>
        <v/>
      </c>
      <c r="B598" s="253"/>
      <c r="C598" s="249"/>
      <c r="D598" s="263"/>
      <c r="E598" s="251"/>
      <c r="F598" s="340" t="str">
        <f>IF($B598="","",SUM(SUMIFS('Daily Inward'!$G:$G,'Daily Inward'!$C:$C,$B598,'Daily Inward'!$E:$E,{"Inventory","Services"})))</f>
        <v/>
      </c>
      <c r="G598" s="341" t="str">
        <f>IF($B598="","",SUM(SUMIFS('Daily Issuance'!$G:$G,'Daily Issuance'!$C:$C,$B598,'Daily Issuance'!$E:$E,{"Inventory","Services"})))</f>
        <v/>
      </c>
      <c r="H598" s="42" t="str">
        <f t="shared" si="18"/>
        <v/>
      </c>
      <c r="I598" s="39"/>
      <c r="J598" s="36" t="str">
        <f t="shared" si="19"/>
        <v/>
      </c>
      <c r="K598" s="48"/>
    </row>
    <row r="599" spans="1:11" ht="23.1" customHeight="1">
      <c r="A599" s="348" t="str">
        <f>IF($B599="","",MAX($A$3:A598)+1)</f>
        <v/>
      </c>
      <c r="B599" s="253"/>
      <c r="C599" s="249"/>
      <c r="D599" s="263"/>
      <c r="E599" s="251"/>
      <c r="F599" s="340" t="str">
        <f>IF($B599="","",SUM(SUMIFS('Daily Inward'!$G:$G,'Daily Inward'!$C:$C,$B599,'Daily Inward'!$E:$E,{"Inventory","Services"})))</f>
        <v/>
      </c>
      <c r="G599" s="341" t="str">
        <f>IF($B599="","",SUM(SUMIFS('Daily Issuance'!$G:$G,'Daily Issuance'!$C:$C,$B599,'Daily Issuance'!$E:$E,{"Inventory","Services"})))</f>
        <v/>
      </c>
      <c r="H599" s="42" t="str">
        <f t="shared" si="18"/>
        <v/>
      </c>
      <c r="I599" s="39"/>
      <c r="J599" s="36" t="str">
        <f t="shared" si="19"/>
        <v/>
      </c>
      <c r="K599" s="48"/>
    </row>
    <row r="600" spans="1:11" ht="23.1" customHeight="1">
      <c r="A600" s="348" t="str">
        <f>IF($B600="","",MAX($A$3:A599)+1)</f>
        <v/>
      </c>
      <c r="B600" s="253"/>
      <c r="C600" s="249"/>
      <c r="D600" s="263"/>
      <c r="E600" s="251"/>
      <c r="F600" s="340" t="str">
        <f>IF($B600="","",SUM(SUMIFS('Daily Inward'!$G:$G,'Daily Inward'!$C:$C,$B600,'Daily Inward'!$E:$E,{"Inventory","Services"})))</f>
        <v/>
      </c>
      <c r="G600" s="341" t="str">
        <f>IF($B600="","",SUM(SUMIFS('Daily Issuance'!$G:$G,'Daily Issuance'!$C:$C,$B600,'Daily Issuance'!$E:$E,{"Inventory","Services"})))</f>
        <v/>
      </c>
      <c r="H600" s="42" t="str">
        <f t="shared" si="18"/>
        <v/>
      </c>
      <c r="I600" s="39"/>
      <c r="J600" s="36" t="str">
        <f t="shared" si="19"/>
        <v/>
      </c>
      <c r="K600" s="48"/>
    </row>
    <row r="601" spans="1:11" ht="23.1" customHeight="1">
      <c r="A601" s="348" t="str">
        <f>IF($B601="","",MAX($A$3:A600)+1)</f>
        <v/>
      </c>
      <c r="B601" s="253"/>
      <c r="C601" s="249"/>
      <c r="D601" s="263"/>
      <c r="E601" s="251"/>
      <c r="F601" s="340" t="str">
        <f>IF($B601="","",SUM(SUMIFS('Daily Inward'!$G:$G,'Daily Inward'!$C:$C,$B601,'Daily Inward'!$E:$E,{"Inventory","Services"})))</f>
        <v/>
      </c>
      <c r="G601" s="341" t="str">
        <f>IF($B601="","",SUM(SUMIFS('Daily Issuance'!$G:$G,'Daily Issuance'!$C:$C,$B601,'Daily Issuance'!$E:$E,{"Inventory","Services"})))</f>
        <v/>
      </c>
      <c r="H601" s="42" t="str">
        <f t="shared" si="18"/>
        <v/>
      </c>
      <c r="I601" s="39"/>
      <c r="J601" s="36" t="str">
        <f t="shared" si="19"/>
        <v/>
      </c>
      <c r="K601" s="48"/>
    </row>
    <row r="602" spans="1:11" ht="23.1" customHeight="1">
      <c r="A602" s="348" t="str">
        <f>IF($B602="","",MAX($A$3:A601)+1)</f>
        <v/>
      </c>
      <c r="B602" s="253"/>
      <c r="C602" s="249"/>
      <c r="D602" s="263"/>
      <c r="E602" s="251"/>
      <c r="F602" s="340" t="str">
        <f>IF($B602="","",SUM(SUMIFS('Daily Inward'!$G:$G,'Daily Inward'!$C:$C,$B602,'Daily Inward'!$E:$E,{"Inventory","Services"})))</f>
        <v/>
      </c>
      <c r="G602" s="341" t="str">
        <f>IF($B602="","",SUM(SUMIFS('Daily Issuance'!$G:$G,'Daily Issuance'!$C:$C,$B602,'Daily Issuance'!$E:$E,{"Inventory","Services"})))</f>
        <v/>
      </c>
      <c r="H602" s="42" t="str">
        <f t="shared" si="18"/>
        <v/>
      </c>
      <c r="I602" s="39"/>
      <c r="J602" s="36" t="str">
        <f t="shared" si="19"/>
        <v/>
      </c>
      <c r="K602" s="48"/>
    </row>
    <row r="603" spans="1:11" ht="23.1" customHeight="1">
      <c r="A603" s="348" t="str">
        <f>IF($B603="","",MAX($A$3:A602)+1)</f>
        <v/>
      </c>
      <c r="B603" s="253"/>
      <c r="C603" s="249"/>
      <c r="D603" s="263"/>
      <c r="E603" s="251"/>
      <c r="F603" s="340" t="str">
        <f>IF($B603="","",SUM(SUMIFS('Daily Inward'!$G:$G,'Daily Inward'!$C:$C,$B603,'Daily Inward'!$E:$E,{"Inventory","Services"})))</f>
        <v/>
      </c>
      <c r="G603" s="341" t="str">
        <f>IF($B603="","",SUM(SUMIFS('Daily Issuance'!$G:$G,'Daily Issuance'!$C:$C,$B603,'Daily Issuance'!$E:$E,{"Inventory","Services"})))</f>
        <v/>
      </c>
      <c r="H603" s="42" t="str">
        <f t="shared" si="18"/>
        <v/>
      </c>
      <c r="I603" s="39"/>
      <c r="J603" s="36" t="str">
        <f t="shared" si="19"/>
        <v/>
      </c>
      <c r="K603" s="48"/>
    </row>
    <row r="604" spans="1:11" ht="23.1" customHeight="1">
      <c r="A604" s="348" t="str">
        <f>IF($B604="","",MAX($A$3:A603)+1)</f>
        <v/>
      </c>
      <c r="B604" s="253"/>
      <c r="C604" s="249"/>
      <c r="D604" s="263"/>
      <c r="E604" s="251"/>
      <c r="F604" s="340" t="str">
        <f>IF($B604="","",SUM(SUMIFS('Daily Inward'!$G:$G,'Daily Inward'!$C:$C,$B604,'Daily Inward'!$E:$E,{"Inventory","Services"})))</f>
        <v/>
      </c>
      <c r="G604" s="341" t="str">
        <f>IF($B604="","",SUM(SUMIFS('Daily Issuance'!$G:$G,'Daily Issuance'!$C:$C,$B604,'Daily Issuance'!$E:$E,{"Inventory","Services"})))</f>
        <v/>
      </c>
      <c r="H604" s="42" t="str">
        <f t="shared" si="18"/>
        <v/>
      </c>
      <c r="I604" s="39"/>
      <c r="J604" s="36" t="str">
        <f t="shared" si="19"/>
        <v/>
      </c>
      <c r="K604" s="48"/>
    </row>
    <row r="605" spans="1:11" ht="23.1" customHeight="1">
      <c r="A605" s="348" t="str">
        <f>IF($B605="","",MAX($A$3:A604)+1)</f>
        <v/>
      </c>
      <c r="B605" s="253"/>
      <c r="C605" s="249"/>
      <c r="D605" s="263"/>
      <c r="E605" s="251"/>
      <c r="F605" s="340" t="str">
        <f>IF($B605="","",SUM(SUMIFS('Daily Inward'!$G:$G,'Daily Inward'!$C:$C,$B605,'Daily Inward'!$E:$E,{"Inventory","Services"})))</f>
        <v/>
      </c>
      <c r="G605" s="341" t="str">
        <f>IF($B605="","",SUM(SUMIFS('Daily Issuance'!$G:$G,'Daily Issuance'!$C:$C,$B605,'Daily Issuance'!$E:$E,{"Inventory","Services"})))</f>
        <v/>
      </c>
      <c r="H605" s="42" t="str">
        <f t="shared" si="18"/>
        <v/>
      </c>
      <c r="I605" s="39"/>
      <c r="J605" s="36" t="str">
        <f t="shared" si="19"/>
        <v/>
      </c>
      <c r="K605" s="48"/>
    </row>
    <row r="606" spans="1:11" ht="23.1" customHeight="1">
      <c r="A606" s="348" t="str">
        <f>IF($B606="","",MAX($A$3:A605)+1)</f>
        <v/>
      </c>
      <c r="B606" s="253"/>
      <c r="C606" s="249"/>
      <c r="D606" s="263"/>
      <c r="E606" s="251"/>
      <c r="F606" s="340" t="str">
        <f>IF($B606="","",SUM(SUMIFS('Daily Inward'!$G:$G,'Daily Inward'!$C:$C,$B606,'Daily Inward'!$E:$E,{"Inventory","Services"})))</f>
        <v/>
      </c>
      <c r="G606" s="341" t="str">
        <f>IF($B606="","",SUM(SUMIFS('Daily Issuance'!$G:$G,'Daily Issuance'!$C:$C,$B606,'Daily Issuance'!$E:$E,{"Inventory","Services"})))</f>
        <v/>
      </c>
      <c r="H606" s="42" t="str">
        <f t="shared" si="18"/>
        <v/>
      </c>
      <c r="I606" s="39"/>
      <c r="J606" s="36" t="str">
        <f t="shared" si="19"/>
        <v/>
      </c>
      <c r="K606" s="48"/>
    </row>
    <row r="607" spans="1:11" ht="23.1" customHeight="1">
      <c r="A607" s="348" t="str">
        <f>IF($B607="","",MAX($A$3:A606)+1)</f>
        <v/>
      </c>
      <c r="B607" s="253"/>
      <c r="C607" s="249"/>
      <c r="D607" s="263"/>
      <c r="E607" s="251"/>
      <c r="F607" s="340" t="str">
        <f>IF($B607="","",SUM(SUMIFS('Daily Inward'!$G:$G,'Daily Inward'!$C:$C,$B607,'Daily Inward'!$E:$E,{"Inventory","Services"})))</f>
        <v/>
      </c>
      <c r="G607" s="341" t="str">
        <f>IF($B607="","",SUM(SUMIFS('Daily Issuance'!$G:$G,'Daily Issuance'!$C:$C,$B607,'Daily Issuance'!$E:$E,{"Inventory","Services"})))</f>
        <v/>
      </c>
      <c r="H607" s="42" t="str">
        <f t="shared" si="18"/>
        <v/>
      </c>
      <c r="I607" s="39"/>
      <c r="J607" s="36" t="str">
        <f t="shared" si="19"/>
        <v/>
      </c>
      <c r="K607" s="48"/>
    </row>
    <row r="608" spans="1:11" ht="23.1" customHeight="1">
      <c r="A608" s="348" t="str">
        <f>IF($B608="","",MAX($A$3:A607)+1)</f>
        <v/>
      </c>
      <c r="B608" s="253"/>
      <c r="C608" s="249"/>
      <c r="D608" s="263"/>
      <c r="E608" s="251"/>
      <c r="F608" s="340" t="str">
        <f>IF($B608="","",SUM(SUMIFS('Daily Inward'!$G:$G,'Daily Inward'!$C:$C,$B608,'Daily Inward'!$E:$E,{"Inventory","Services"})))</f>
        <v/>
      </c>
      <c r="G608" s="341" t="str">
        <f>IF($B608="","",SUM(SUMIFS('Daily Issuance'!$G:$G,'Daily Issuance'!$C:$C,$B608,'Daily Issuance'!$E:$E,{"Inventory","Services"})))</f>
        <v/>
      </c>
      <c r="H608" s="42" t="str">
        <f t="shared" si="18"/>
        <v/>
      </c>
      <c r="I608" s="39"/>
      <c r="J608" s="36" t="str">
        <f t="shared" si="19"/>
        <v/>
      </c>
      <c r="K608" s="48"/>
    </row>
    <row r="609" spans="1:11" ht="23.1" customHeight="1">
      <c r="A609" s="348" t="str">
        <f>IF($B609="","",MAX($A$3:A608)+1)</f>
        <v/>
      </c>
      <c r="B609" s="253"/>
      <c r="C609" s="249"/>
      <c r="D609" s="263"/>
      <c r="E609" s="251"/>
      <c r="F609" s="340" t="str">
        <f>IF($B609="","",SUM(SUMIFS('Daily Inward'!$G:$G,'Daily Inward'!$C:$C,$B609,'Daily Inward'!$E:$E,{"Inventory","Services"})))</f>
        <v/>
      </c>
      <c r="G609" s="341" t="str">
        <f>IF($B609="","",SUM(SUMIFS('Daily Issuance'!$G:$G,'Daily Issuance'!$C:$C,$B609,'Daily Issuance'!$E:$E,{"Inventory","Services"})))</f>
        <v/>
      </c>
      <c r="H609" s="42" t="str">
        <f t="shared" si="18"/>
        <v/>
      </c>
      <c r="I609" s="39"/>
      <c r="J609" s="36" t="str">
        <f t="shared" si="19"/>
        <v/>
      </c>
      <c r="K609" s="48"/>
    </row>
    <row r="610" spans="1:11" ht="23.1" customHeight="1">
      <c r="A610" s="348" t="str">
        <f>IF($B610="","",MAX($A$3:A609)+1)</f>
        <v/>
      </c>
      <c r="B610" s="253"/>
      <c r="C610" s="249"/>
      <c r="D610" s="263"/>
      <c r="E610" s="251"/>
      <c r="F610" s="340" t="str">
        <f>IF($B610="","",SUM(SUMIFS('Daily Inward'!$G:$G,'Daily Inward'!$C:$C,$B610,'Daily Inward'!$E:$E,{"Inventory","Services"})))</f>
        <v/>
      </c>
      <c r="G610" s="341" t="str">
        <f>IF($B610="","",SUM(SUMIFS('Daily Issuance'!$G:$G,'Daily Issuance'!$C:$C,$B610,'Daily Issuance'!$E:$E,{"Inventory","Services"})))</f>
        <v/>
      </c>
      <c r="H610" s="42" t="str">
        <f t="shared" si="18"/>
        <v/>
      </c>
      <c r="I610" s="39"/>
      <c r="J610" s="36" t="str">
        <f t="shared" si="19"/>
        <v/>
      </c>
      <c r="K610" s="48"/>
    </row>
    <row r="611" spans="1:11" ht="23.1" customHeight="1">
      <c r="A611" s="348" t="str">
        <f>IF($B611="","",MAX($A$3:A610)+1)</f>
        <v/>
      </c>
      <c r="B611" s="253"/>
      <c r="C611" s="249"/>
      <c r="D611" s="263"/>
      <c r="E611" s="251"/>
      <c r="F611" s="340" t="str">
        <f>IF($B611="","",SUM(SUMIFS('Daily Inward'!$G:$G,'Daily Inward'!$C:$C,$B611,'Daily Inward'!$E:$E,{"Inventory","Services"})))</f>
        <v/>
      </c>
      <c r="G611" s="341" t="str">
        <f>IF($B611="","",SUM(SUMIFS('Daily Issuance'!$G:$G,'Daily Issuance'!$C:$C,$B611,'Daily Issuance'!$E:$E,{"Inventory","Services"})))</f>
        <v/>
      </c>
      <c r="H611" s="42" t="str">
        <f t="shared" si="18"/>
        <v/>
      </c>
      <c r="I611" s="39"/>
      <c r="J611" s="36" t="str">
        <f t="shared" si="19"/>
        <v/>
      </c>
      <c r="K611" s="48"/>
    </row>
    <row r="612" spans="1:11" ht="23.1" customHeight="1">
      <c r="A612" s="348" t="str">
        <f>IF($B612="","",MAX($A$3:A611)+1)</f>
        <v/>
      </c>
      <c r="B612" s="253"/>
      <c r="C612" s="249"/>
      <c r="D612" s="263"/>
      <c r="E612" s="251"/>
      <c r="F612" s="340" t="str">
        <f>IF($B612="","",SUM(SUMIFS('Daily Inward'!$G:$G,'Daily Inward'!$C:$C,$B612,'Daily Inward'!$E:$E,{"Inventory","Services"})))</f>
        <v/>
      </c>
      <c r="G612" s="341" t="str">
        <f>IF($B612="","",SUM(SUMIFS('Daily Issuance'!$G:$G,'Daily Issuance'!$C:$C,$B612,'Daily Issuance'!$E:$E,{"Inventory","Services"})))</f>
        <v/>
      </c>
      <c r="H612" s="42" t="str">
        <f t="shared" si="18"/>
        <v/>
      </c>
      <c r="I612" s="39"/>
      <c r="J612" s="36" t="str">
        <f t="shared" si="19"/>
        <v/>
      </c>
      <c r="K612" s="48"/>
    </row>
    <row r="613" spans="1:11" ht="23.1" customHeight="1">
      <c r="A613" s="348" t="str">
        <f>IF($B613="","",MAX($A$3:A612)+1)</f>
        <v/>
      </c>
      <c r="B613" s="253"/>
      <c r="C613" s="249"/>
      <c r="D613" s="263"/>
      <c r="E613" s="251"/>
      <c r="F613" s="340" t="str">
        <f>IF($B613="","",SUM(SUMIFS('Daily Inward'!$G:$G,'Daily Inward'!$C:$C,$B613,'Daily Inward'!$E:$E,{"Inventory","Services"})))</f>
        <v/>
      </c>
      <c r="G613" s="341" t="str">
        <f>IF($B613="","",SUM(SUMIFS('Daily Issuance'!$G:$G,'Daily Issuance'!$C:$C,$B613,'Daily Issuance'!$E:$E,{"Inventory","Services"})))</f>
        <v/>
      </c>
      <c r="H613" s="42" t="str">
        <f t="shared" si="18"/>
        <v/>
      </c>
      <c r="I613" s="39"/>
      <c r="J613" s="36" t="str">
        <f t="shared" si="19"/>
        <v/>
      </c>
      <c r="K613" s="48"/>
    </row>
    <row r="614" spans="1:11" ht="23.1" customHeight="1">
      <c r="A614" s="348" t="str">
        <f>IF($B614="","",MAX($A$3:A613)+1)</f>
        <v/>
      </c>
      <c r="B614" s="253"/>
      <c r="C614" s="249"/>
      <c r="D614" s="263"/>
      <c r="E614" s="251"/>
      <c r="F614" s="340" t="str">
        <f>IF($B614="","",SUM(SUMIFS('Daily Inward'!$G:$G,'Daily Inward'!$C:$C,$B614,'Daily Inward'!$E:$E,{"Inventory","Services"})))</f>
        <v/>
      </c>
      <c r="G614" s="341" t="str">
        <f>IF($B614="","",SUM(SUMIFS('Daily Issuance'!$G:$G,'Daily Issuance'!$C:$C,$B614,'Daily Issuance'!$E:$E,{"Inventory","Services"})))</f>
        <v/>
      </c>
      <c r="H614" s="42" t="str">
        <f t="shared" si="18"/>
        <v/>
      </c>
      <c r="I614" s="39"/>
      <c r="J614" s="36" t="str">
        <f t="shared" si="19"/>
        <v/>
      </c>
      <c r="K614" s="48"/>
    </row>
    <row r="615" spans="1:11" ht="23.1" customHeight="1">
      <c r="A615" s="348" t="str">
        <f>IF($B615="","",MAX($A$3:A614)+1)</f>
        <v/>
      </c>
      <c r="B615" s="253"/>
      <c r="C615" s="249"/>
      <c r="D615" s="263"/>
      <c r="E615" s="251"/>
      <c r="F615" s="340" t="str">
        <f>IF($B615="","",SUM(SUMIFS('Daily Inward'!$G:$G,'Daily Inward'!$C:$C,$B615,'Daily Inward'!$E:$E,{"Inventory","Services"})))</f>
        <v/>
      </c>
      <c r="G615" s="341" t="str">
        <f>IF($B615="","",SUM(SUMIFS('Daily Issuance'!$G:$G,'Daily Issuance'!$C:$C,$B615,'Daily Issuance'!$E:$E,{"Inventory","Services"})))</f>
        <v/>
      </c>
      <c r="H615" s="42" t="str">
        <f t="shared" si="18"/>
        <v/>
      </c>
      <c r="I615" s="39"/>
      <c r="J615" s="36" t="str">
        <f t="shared" si="19"/>
        <v/>
      </c>
      <c r="K615" s="48"/>
    </row>
    <row r="616" spans="1:11" ht="23.1" customHeight="1">
      <c r="A616" s="348" t="str">
        <f>IF($B616="","",MAX($A$3:A615)+1)</f>
        <v/>
      </c>
      <c r="B616" s="253"/>
      <c r="C616" s="249"/>
      <c r="D616" s="263"/>
      <c r="E616" s="251"/>
      <c r="F616" s="340" t="str">
        <f>IF($B616="","",SUM(SUMIFS('Daily Inward'!$G:$G,'Daily Inward'!$C:$C,$B616,'Daily Inward'!$E:$E,{"Inventory","Services"})))</f>
        <v/>
      </c>
      <c r="G616" s="341" t="str">
        <f>IF($B616="","",SUM(SUMIFS('Daily Issuance'!$G:$G,'Daily Issuance'!$C:$C,$B616,'Daily Issuance'!$E:$E,{"Inventory","Services"})))</f>
        <v/>
      </c>
      <c r="H616" s="42" t="str">
        <f t="shared" si="18"/>
        <v/>
      </c>
      <c r="I616" s="39"/>
      <c r="J616" s="36" t="str">
        <f t="shared" si="19"/>
        <v/>
      </c>
      <c r="K616" s="48"/>
    </row>
    <row r="617" spans="1:11" ht="23.1" customHeight="1">
      <c r="A617" s="348" t="str">
        <f>IF($B617="","",MAX($A$3:A616)+1)</f>
        <v/>
      </c>
      <c r="B617" s="253"/>
      <c r="C617" s="249"/>
      <c r="D617" s="263"/>
      <c r="E617" s="251"/>
      <c r="F617" s="340" t="str">
        <f>IF($B617="","",SUM(SUMIFS('Daily Inward'!$G:$G,'Daily Inward'!$C:$C,$B617,'Daily Inward'!$E:$E,{"Inventory","Services"})))</f>
        <v/>
      </c>
      <c r="G617" s="341" t="str">
        <f>IF($B617="","",SUM(SUMIFS('Daily Issuance'!$G:$G,'Daily Issuance'!$C:$C,$B617,'Daily Issuance'!$E:$E,{"Inventory","Services"})))</f>
        <v/>
      </c>
      <c r="H617" s="42" t="str">
        <f t="shared" si="18"/>
        <v/>
      </c>
      <c r="I617" s="39"/>
      <c r="J617" s="36" t="str">
        <f t="shared" si="19"/>
        <v/>
      </c>
      <c r="K617" s="48"/>
    </row>
    <row r="618" spans="1:11" ht="23.1" customHeight="1">
      <c r="A618" s="348" t="str">
        <f>IF($B618="","",MAX($A$3:A617)+1)</f>
        <v/>
      </c>
      <c r="B618" s="253"/>
      <c r="C618" s="249"/>
      <c r="D618" s="263"/>
      <c r="E618" s="251"/>
      <c r="F618" s="340" t="str">
        <f>IF($B618="","",SUM(SUMIFS('Daily Inward'!$G:$G,'Daily Inward'!$C:$C,$B618,'Daily Inward'!$E:$E,{"Inventory","Services"})))</f>
        <v/>
      </c>
      <c r="G618" s="341" t="str">
        <f>IF($B618="","",SUM(SUMIFS('Daily Issuance'!$G:$G,'Daily Issuance'!$C:$C,$B618,'Daily Issuance'!$E:$E,{"Inventory","Services"})))</f>
        <v/>
      </c>
      <c r="H618" s="42" t="str">
        <f t="shared" si="18"/>
        <v/>
      </c>
      <c r="I618" s="39"/>
      <c r="J618" s="36" t="str">
        <f t="shared" si="19"/>
        <v/>
      </c>
      <c r="K618" s="48"/>
    </row>
    <row r="619" spans="1:11" ht="23.1" customHeight="1">
      <c r="A619" s="348" t="str">
        <f>IF($B619="","",MAX($A$3:A618)+1)</f>
        <v/>
      </c>
      <c r="B619" s="253"/>
      <c r="C619" s="249"/>
      <c r="D619" s="263"/>
      <c r="E619" s="251"/>
      <c r="F619" s="340" t="str">
        <f>IF($B619="","",SUM(SUMIFS('Daily Inward'!$G:$G,'Daily Inward'!$C:$C,$B619,'Daily Inward'!$E:$E,{"Inventory","Services"})))</f>
        <v/>
      </c>
      <c r="G619" s="341" t="str">
        <f>IF($B619="","",SUM(SUMIFS('Daily Issuance'!$G:$G,'Daily Issuance'!$C:$C,$B619,'Daily Issuance'!$E:$E,{"Inventory","Services"})))</f>
        <v/>
      </c>
      <c r="H619" s="42" t="str">
        <f t="shared" si="18"/>
        <v/>
      </c>
      <c r="I619" s="39"/>
      <c r="J619" s="36" t="str">
        <f t="shared" si="19"/>
        <v/>
      </c>
      <c r="K619" s="48"/>
    </row>
    <row r="620" spans="1:11" ht="23.1" customHeight="1">
      <c r="A620" s="348" t="str">
        <f>IF($B620="","",MAX($A$3:A619)+1)</f>
        <v/>
      </c>
      <c r="B620" s="253"/>
      <c r="C620" s="249"/>
      <c r="D620" s="263"/>
      <c r="E620" s="251"/>
      <c r="F620" s="340" t="str">
        <f>IF($B620="","",SUM(SUMIFS('Daily Inward'!$G:$G,'Daily Inward'!$C:$C,$B620,'Daily Inward'!$E:$E,{"Inventory","Services"})))</f>
        <v/>
      </c>
      <c r="G620" s="341" t="str">
        <f>IF($B620="","",SUM(SUMIFS('Daily Issuance'!$G:$G,'Daily Issuance'!$C:$C,$B620,'Daily Issuance'!$E:$E,{"Inventory","Services"})))</f>
        <v/>
      </c>
      <c r="H620" s="42" t="str">
        <f t="shared" si="18"/>
        <v/>
      </c>
      <c r="I620" s="39"/>
      <c r="J620" s="36" t="str">
        <f t="shared" si="19"/>
        <v/>
      </c>
      <c r="K620" s="48"/>
    </row>
    <row r="621" spans="1:11" ht="23.1" customHeight="1">
      <c r="A621" s="348" t="str">
        <f>IF($B621="","",MAX($A$3:A620)+1)</f>
        <v/>
      </c>
      <c r="B621" s="253"/>
      <c r="C621" s="249"/>
      <c r="D621" s="263"/>
      <c r="E621" s="251"/>
      <c r="F621" s="340" t="str">
        <f>IF($B621="","",SUM(SUMIFS('Daily Inward'!$G:$G,'Daily Inward'!$C:$C,$B621,'Daily Inward'!$E:$E,{"Inventory","Services"})))</f>
        <v/>
      </c>
      <c r="G621" s="341" t="str">
        <f>IF($B621="","",SUM(SUMIFS('Daily Issuance'!$G:$G,'Daily Issuance'!$C:$C,$B621,'Daily Issuance'!$E:$E,{"Inventory","Services"})))</f>
        <v/>
      </c>
      <c r="H621" s="42" t="str">
        <f t="shared" si="18"/>
        <v/>
      </c>
      <c r="I621" s="39"/>
      <c r="J621" s="36" t="str">
        <f t="shared" si="19"/>
        <v/>
      </c>
      <c r="K621" s="48"/>
    </row>
    <row r="622" spans="1:11" ht="23.1" customHeight="1">
      <c r="A622" s="348" t="str">
        <f>IF($B622="","",MAX($A$3:A621)+1)</f>
        <v/>
      </c>
      <c r="B622" s="253"/>
      <c r="C622" s="249"/>
      <c r="D622" s="263"/>
      <c r="E622" s="251"/>
      <c r="F622" s="340" t="str">
        <f>IF($B622="","",SUM(SUMIFS('Daily Inward'!$G:$G,'Daily Inward'!$C:$C,$B622,'Daily Inward'!$E:$E,{"Inventory","Services"})))</f>
        <v/>
      </c>
      <c r="G622" s="341" t="str">
        <f>IF($B622="","",SUM(SUMIFS('Daily Issuance'!$G:$G,'Daily Issuance'!$C:$C,$B622,'Daily Issuance'!$E:$E,{"Inventory","Services"})))</f>
        <v/>
      </c>
      <c r="H622" s="42" t="str">
        <f t="shared" si="18"/>
        <v/>
      </c>
      <c r="I622" s="39"/>
      <c r="J622" s="36" t="str">
        <f t="shared" si="19"/>
        <v/>
      </c>
      <c r="K622" s="48"/>
    </row>
    <row r="623" spans="1:11" ht="23.1" customHeight="1">
      <c r="A623" s="348" t="str">
        <f>IF($B623="","",MAX($A$3:A622)+1)</f>
        <v/>
      </c>
      <c r="B623" s="253"/>
      <c r="C623" s="249"/>
      <c r="D623" s="263"/>
      <c r="E623" s="251"/>
      <c r="F623" s="340" t="str">
        <f>IF($B623="","",SUM(SUMIFS('Daily Inward'!$G:$G,'Daily Inward'!$C:$C,$B623,'Daily Inward'!$E:$E,{"Inventory","Services"})))</f>
        <v/>
      </c>
      <c r="G623" s="341" t="str">
        <f>IF($B623="","",SUM(SUMIFS('Daily Issuance'!$G:$G,'Daily Issuance'!$C:$C,$B623,'Daily Issuance'!$E:$E,{"Inventory","Services"})))</f>
        <v/>
      </c>
      <c r="H623" s="42" t="str">
        <f t="shared" si="18"/>
        <v/>
      </c>
      <c r="I623" s="39"/>
      <c r="J623" s="36" t="str">
        <f t="shared" si="19"/>
        <v/>
      </c>
      <c r="K623" s="48"/>
    </row>
    <row r="624" spans="1:11" ht="23.1" customHeight="1">
      <c r="A624" s="348" t="str">
        <f>IF($B624="","",MAX($A$3:A623)+1)</f>
        <v/>
      </c>
      <c r="B624" s="253"/>
      <c r="C624" s="249"/>
      <c r="D624" s="263"/>
      <c r="E624" s="251"/>
      <c r="F624" s="340" t="str">
        <f>IF($B624="","",SUM(SUMIFS('Daily Inward'!$G:$G,'Daily Inward'!$C:$C,$B624,'Daily Inward'!$E:$E,{"Inventory","Services"})))</f>
        <v/>
      </c>
      <c r="G624" s="341" t="str">
        <f>IF($B624="","",SUM(SUMIFS('Daily Issuance'!$G:$G,'Daily Issuance'!$C:$C,$B624,'Daily Issuance'!$E:$E,{"Inventory","Services"})))</f>
        <v/>
      </c>
      <c r="H624" s="42" t="str">
        <f t="shared" si="18"/>
        <v/>
      </c>
      <c r="I624" s="39"/>
      <c r="J624" s="36" t="str">
        <f t="shared" si="19"/>
        <v/>
      </c>
      <c r="K624" s="48"/>
    </row>
    <row r="625" spans="1:11" ht="23.1" customHeight="1">
      <c r="A625" s="348" t="str">
        <f>IF($B625="","",MAX($A$3:A624)+1)</f>
        <v/>
      </c>
      <c r="B625" s="253"/>
      <c r="C625" s="249"/>
      <c r="D625" s="263"/>
      <c r="E625" s="251"/>
      <c r="F625" s="340" t="str">
        <f>IF($B625="","",SUM(SUMIFS('Daily Inward'!$G:$G,'Daily Inward'!$C:$C,$B625,'Daily Inward'!$E:$E,{"Inventory","Services"})))</f>
        <v/>
      </c>
      <c r="G625" s="341" t="str">
        <f>IF($B625="","",SUM(SUMIFS('Daily Issuance'!$G:$G,'Daily Issuance'!$C:$C,$B625,'Daily Issuance'!$E:$E,{"Inventory","Services"})))</f>
        <v/>
      </c>
      <c r="H625" s="42" t="str">
        <f t="shared" si="18"/>
        <v/>
      </c>
      <c r="I625" s="39"/>
      <c r="J625" s="36" t="str">
        <f t="shared" si="19"/>
        <v/>
      </c>
      <c r="K625" s="48"/>
    </row>
    <row r="626" spans="1:11" ht="23.1" customHeight="1">
      <c r="A626" s="348" t="str">
        <f>IF($B626="","",MAX($A$3:A625)+1)</f>
        <v/>
      </c>
      <c r="B626" s="253"/>
      <c r="C626" s="249"/>
      <c r="D626" s="263"/>
      <c r="E626" s="251"/>
      <c r="F626" s="340" t="str">
        <f>IF($B626="","",SUM(SUMIFS('Daily Inward'!$G:$G,'Daily Inward'!$C:$C,$B626,'Daily Inward'!$E:$E,{"Inventory","Services"})))</f>
        <v/>
      </c>
      <c r="G626" s="341" t="str">
        <f>IF($B626="","",SUM(SUMIFS('Daily Issuance'!$G:$G,'Daily Issuance'!$C:$C,$B626,'Daily Issuance'!$E:$E,{"Inventory","Services"})))</f>
        <v/>
      </c>
      <c r="H626" s="42" t="str">
        <f t="shared" si="18"/>
        <v/>
      </c>
      <c r="I626" s="39"/>
      <c r="J626" s="36" t="str">
        <f t="shared" si="19"/>
        <v/>
      </c>
      <c r="K626" s="48"/>
    </row>
    <row r="627" spans="1:11" ht="23.1" customHeight="1">
      <c r="A627" s="348" t="str">
        <f>IF($B627="","",MAX($A$3:A626)+1)</f>
        <v/>
      </c>
      <c r="B627" s="253"/>
      <c r="C627" s="249"/>
      <c r="D627" s="263"/>
      <c r="E627" s="251"/>
      <c r="F627" s="340" t="str">
        <f>IF($B627="","",SUM(SUMIFS('Daily Inward'!$G:$G,'Daily Inward'!$C:$C,$B627,'Daily Inward'!$E:$E,{"Inventory","Services"})))</f>
        <v/>
      </c>
      <c r="G627" s="341" t="str">
        <f>IF($B627="","",SUM(SUMIFS('Daily Issuance'!$G:$G,'Daily Issuance'!$C:$C,$B627,'Daily Issuance'!$E:$E,{"Inventory","Services"})))</f>
        <v/>
      </c>
      <c r="H627" s="42" t="str">
        <f t="shared" si="18"/>
        <v/>
      </c>
      <c r="I627" s="39"/>
      <c r="J627" s="36" t="str">
        <f t="shared" si="19"/>
        <v/>
      </c>
      <c r="K627" s="48"/>
    </row>
    <row r="628" spans="1:11" ht="23.1" customHeight="1">
      <c r="A628" s="348" t="str">
        <f>IF($B628="","",MAX($A$3:A627)+1)</f>
        <v/>
      </c>
      <c r="B628" s="253"/>
      <c r="C628" s="249"/>
      <c r="D628" s="263"/>
      <c r="E628" s="251"/>
      <c r="F628" s="340" t="str">
        <f>IF($B628="","",SUM(SUMIFS('Daily Inward'!$G:$G,'Daily Inward'!$C:$C,$B628,'Daily Inward'!$E:$E,{"Inventory","Services"})))</f>
        <v/>
      </c>
      <c r="G628" s="341" t="str">
        <f>IF($B628="","",SUM(SUMIFS('Daily Issuance'!$G:$G,'Daily Issuance'!$C:$C,$B628,'Daily Issuance'!$E:$E,{"Inventory","Services"})))</f>
        <v/>
      </c>
      <c r="H628" s="42" t="str">
        <f t="shared" si="18"/>
        <v/>
      </c>
      <c r="I628" s="39"/>
      <c r="J628" s="36" t="str">
        <f t="shared" si="19"/>
        <v/>
      </c>
      <c r="K628" s="48"/>
    </row>
    <row r="629" spans="1:11" ht="23.1" customHeight="1">
      <c r="A629" s="348" t="str">
        <f>IF($B629="","",MAX($A$3:A628)+1)</f>
        <v/>
      </c>
      <c r="B629" s="253"/>
      <c r="C629" s="249"/>
      <c r="D629" s="263"/>
      <c r="E629" s="251"/>
      <c r="F629" s="340" t="str">
        <f>IF($B629="","",SUM(SUMIFS('Daily Inward'!$G:$G,'Daily Inward'!$C:$C,$B629,'Daily Inward'!$E:$E,{"Inventory","Services"})))</f>
        <v/>
      </c>
      <c r="G629" s="341" t="str">
        <f>IF($B629="","",SUM(SUMIFS('Daily Issuance'!$G:$G,'Daily Issuance'!$C:$C,$B629,'Daily Issuance'!$E:$E,{"Inventory","Services"})))</f>
        <v/>
      </c>
      <c r="H629" s="42" t="str">
        <f t="shared" si="18"/>
        <v/>
      </c>
      <c r="I629" s="39"/>
      <c r="J629" s="36" t="str">
        <f t="shared" si="19"/>
        <v/>
      </c>
      <c r="K629" s="48"/>
    </row>
    <row r="630" spans="1:11" ht="23.1" customHeight="1">
      <c r="A630" s="348" t="str">
        <f>IF($B630="","",MAX($A$3:A629)+1)</f>
        <v/>
      </c>
      <c r="B630" s="253"/>
      <c r="C630" s="249"/>
      <c r="D630" s="263"/>
      <c r="E630" s="251"/>
      <c r="F630" s="340" t="str">
        <f>IF($B630="","",SUM(SUMIFS('Daily Inward'!$G:$G,'Daily Inward'!$C:$C,$B630,'Daily Inward'!$E:$E,{"Inventory","Services"})))</f>
        <v/>
      </c>
      <c r="G630" s="341" t="str">
        <f>IF($B630="","",SUM(SUMIFS('Daily Issuance'!$G:$G,'Daily Issuance'!$C:$C,$B630,'Daily Issuance'!$E:$E,{"Inventory","Services"})))</f>
        <v/>
      </c>
      <c r="H630" s="42" t="str">
        <f t="shared" si="18"/>
        <v/>
      </c>
      <c r="I630" s="39"/>
      <c r="J630" s="36" t="str">
        <f t="shared" si="19"/>
        <v/>
      </c>
      <c r="K630" s="48"/>
    </row>
    <row r="631" spans="1:11" ht="23.1" customHeight="1">
      <c r="A631" s="348" t="str">
        <f>IF($B631="","",MAX($A$3:A630)+1)</f>
        <v/>
      </c>
      <c r="B631" s="253"/>
      <c r="C631" s="249"/>
      <c r="D631" s="263"/>
      <c r="E631" s="251"/>
      <c r="F631" s="340" t="str">
        <f>IF($B631="","",SUM(SUMIFS('Daily Inward'!$G:$G,'Daily Inward'!$C:$C,$B631,'Daily Inward'!$E:$E,{"Inventory","Services"})))</f>
        <v/>
      </c>
      <c r="G631" s="341" t="str">
        <f>IF($B631="","",SUM(SUMIFS('Daily Issuance'!$G:$G,'Daily Issuance'!$C:$C,$B631,'Daily Issuance'!$E:$E,{"Inventory","Services"})))</f>
        <v/>
      </c>
      <c r="H631" s="42" t="str">
        <f t="shared" si="18"/>
        <v/>
      </c>
      <c r="I631" s="39"/>
      <c r="J631" s="36" t="str">
        <f t="shared" si="19"/>
        <v/>
      </c>
      <c r="K631" s="48"/>
    </row>
    <row r="632" spans="1:11" ht="23.1" customHeight="1">
      <c r="A632" s="348" t="str">
        <f>IF($B632="","",MAX($A$3:A631)+1)</f>
        <v/>
      </c>
      <c r="B632" s="253"/>
      <c r="C632" s="249"/>
      <c r="D632" s="263"/>
      <c r="E632" s="251"/>
      <c r="F632" s="340" t="str">
        <f>IF($B632="","",SUM(SUMIFS('Daily Inward'!$G:$G,'Daily Inward'!$C:$C,$B632,'Daily Inward'!$E:$E,{"Inventory","Services"})))</f>
        <v/>
      </c>
      <c r="G632" s="341" t="str">
        <f>IF($B632="","",SUM(SUMIFS('Daily Issuance'!$G:$G,'Daily Issuance'!$C:$C,$B632,'Daily Issuance'!$E:$E,{"Inventory","Services"})))</f>
        <v/>
      </c>
      <c r="H632" s="42" t="str">
        <f t="shared" si="18"/>
        <v/>
      </c>
      <c r="I632" s="39"/>
      <c r="J632" s="36" t="str">
        <f t="shared" si="19"/>
        <v/>
      </c>
      <c r="K632" s="48"/>
    </row>
    <row r="633" spans="1:11" ht="23.1" customHeight="1">
      <c r="A633" s="348" t="str">
        <f>IF($B633="","",MAX($A$3:A632)+1)</f>
        <v/>
      </c>
      <c r="B633" s="253"/>
      <c r="C633" s="249"/>
      <c r="D633" s="263"/>
      <c r="E633" s="251"/>
      <c r="F633" s="340" t="str">
        <f>IF($B633="","",SUM(SUMIFS('Daily Inward'!$G:$G,'Daily Inward'!$C:$C,$B633,'Daily Inward'!$E:$E,{"Inventory","Services"})))</f>
        <v/>
      </c>
      <c r="G633" s="341" t="str">
        <f>IF($B633="","",SUM(SUMIFS('Daily Issuance'!$G:$G,'Daily Issuance'!$C:$C,$B633,'Daily Issuance'!$E:$E,{"Inventory","Services"})))</f>
        <v/>
      </c>
      <c r="H633" s="42" t="str">
        <f t="shared" si="18"/>
        <v/>
      </c>
      <c r="I633" s="39"/>
      <c r="J633" s="36" t="str">
        <f t="shared" si="19"/>
        <v/>
      </c>
      <c r="K633" s="48"/>
    </row>
    <row r="634" spans="1:11" ht="23.1" customHeight="1">
      <c r="A634" s="348" t="str">
        <f>IF($B634="","",MAX($A$3:A633)+1)</f>
        <v/>
      </c>
      <c r="B634" s="253"/>
      <c r="C634" s="249"/>
      <c r="D634" s="263"/>
      <c r="E634" s="251"/>
      <c r="F634" s="340" t="str">
        <f>IF($B634="","",SUM(SUMIFS('Daily Inward'!$G:$G,'Daily Inward'!$C:$C,$B634,'Daily Inward'!$E:$E,{"Inventory","Services"})))</f>
        <v/>
      </c>
      <c r="G634" s="341" t="str">
        <f>IF($B634="","",SUM(SUMIFS('Daily Issuance'!$G:$G,'Daily Issuance'!$C:$C,$B634,'Daily Issuance'!$E:$E,{"Inventory","Services"})))</f>
        <v/>
      </c>
      <c r="H634" s="42" t="str">
        <f t="shared" si="18"/>
        <v/>
      </c>
      <c r="I634" s="39"/>
      <c r="J634" s="36" t="str">
        <f t="shared" si="19"/>
        <v/>
      </c>
      <c r="K634" s="48"/>
    </row>
    <row r="635" spans="1:11" ht="23.1" customHeight="1">
      <c r="A635" s="348" t="str">
        <f>IF($B635="","",MAX($A$3:A634)+1)</f>
        <v/>
      </c>
      <c r="B635" s="253"/>
      <c r="C635" s="249"/>
      <c r="D635" s="263"/>
      <c r="E635" s="251"/>
      <c r="F635" s="340" t="str">
        <f>IF($B635="","",SUM(SUMIFS('Daily Inward'!$G:$G,'Daily Inward'!$C:$C,$B635,'Daily Inward'!$E:$E,{"Inventory","Services"})))</f>
        <v/>
      </c>
      <c r="G635" s="341" t="str">
        <f>IF($B635="","",SUM(SUMIFS('Daily Issuance'!$G:$G,'Daily Issuance'!$C:$C,$B635,'Daily Issuance'!$E:$E,{"Inventory","Services"})))</f>
        <v/>
      </c>
      <c r="H635" s="42" t="str">
        <f t="shared" si="18"/>
        <v/>
      </c>
      <c r="I635" s="39"/>
      <c r="J635" s="36" t="str">
        <f t="shared" si="19"/>
        <v/>
      </c>
      <c r="K635" s="48"/>
    </row>
    <row r="636" spans="1:11" ht="23.1" customHeight="1">
      <c r="A636" s="348" t="str">
        <f>IF($B636="","",MAX($A$3:A635)+1)</f>
        <v/>
      </c>
      <c r="B636" s="253"/>
      <c r="C636" s="249"/>
      <c r="D636" s="263"/>
      <c r="E636" s="251"/>
      <c r="F636" s="340" t="str">
        <f>IF($B636="","",SUM(SUMIFS('Daily Inward'!$G:$G,'Daily Inward'!$C:$C,$B636,'Daily Inward'!$E:$E,{"Inventory","Services"})))</f>
        <v/>
      </c>
      <c r="G636" s="341" t="str">
        <f>IF($B636="","",SUM(SUMIFS('Daily Issuance'!$G:$G,'Daily Issuance'!$C:$C,$B636,'Daily Issuance'!$E:$E,{"Inventory","Services"})))</f>
        <v/>
      </c>
      <c r="H636" s="42" t="str">
        <f t="shared" si="18"/>
        <v/>
      </c>
      <c r="I636" s="39"/>
      <c r="J636" s="36" t="str">
        <f t="shared" si="19"/>
        <v/>
      </c>
      <c r="K636" s="48"/>
    </row>
    <row r="637" spans="1:11" ht="23.1" customHeight="1">
      <c r="A637" s="348" t="str">
        <f>IF($B637="","",MAX($A$3:A636)+1)</f>
        <v/>
      </c>
      <c r="B637" s="253"/>
      <c r="C637" s="249"/>
      <c r="D637" s="263"/>
      <c r="E637" s="251"/>
      <c r="F637" s="340" t="str">
        <f>IF($B637="","",SUM(SUMIFS('Daily Inward'!$G:$G,'Daily Inward'!$C:$C,$B637,'Daily Inward'!$E:$E,{"Inventory","Services"})))</f>
        <v/>
      </c>
      <c r="G637" s="341" t="str">
        <f>IF($B637="","",SUM(SUMIFS('Daily Issuance'!$G:$G,'Daily Issuance'!$C:$C,$B637,'Daily Issuance'!$E:$E,{"Inventory","Services"})))</f>
        <v/>
      </c>
      <c r="H637" s="42" t="str">
        <f t="shared" si="18"/>
        <v/>
      </c>
      <c r="I637" s="39"/>
      <c r="J637" s="36" t="str">
        <f t="shared" si="19"/>
        <v/>
      </c>
      <c r="K637" s="48"/>
    </row>
    <row r="638" spans="1:11" ht="23.1" customHeight="1">
      <c r="A638" s="348" t="str">
        <f>IF($B638="","",MAX($A$3:A637)+1)</f>
        <v/>
      </c>
      <c r="B638" s="253"/>
      <c r="C638" s="249"/>
      <c r="D638" s="263"/>
      <c r="E638" s="251"/>
      <c r="F638" s="340" t="str">
        <f>IF($B638="","",SUM(SUMIFS('Daily Inward'!$G:$G,'Daily Inward'!$C:$C,$B638,'Daily Inward'!$E:$E,{"Inventory","Services"})))</f>
        <v/>
      </c>
      <c r="G638" s="341" t="str">
        <f>IF($B638="","",SUM(SUMIFS('Daily Issuance'!$G:$G,'Daily Issuance'!$C:$C,$B638,'Daily Issuance'!$E:$E,{"Inventory","Services"})))</f>
        <v/>
      </c>
      <c r="H638" s="42" t="str">
        <f t="shared" si="18"/>
        <v/>
      </c>
      <c r="I638" s="39"/>
      <c r="J638" s="36" t="str">
        <f t="shared" si="19"/>
        <v/>
      </c>
      <c r="K638" s="48"/>
    </row>
    <row r="639" spans="1:11" ht="23.1" customHeight="1">
      <c r="A639" s="348" t="str">
        <f>IF($B639="","",MAX($A$3:A638)+1)</f>
        <v/>
      </c>
      <c r="B639" s="253"/>
      <c r="C639" s="249"/>
      <c r="D639" s="263"/>
      <c r="E639" s="251"/>
      <c r="F639" s="340" t="str">
        <f>IF($B639="","",SUM(SUMIFS('Daily Inward'!$G:$G,'Daily Inward'!$C:$C,$B639,'Daily Inward'!$E:$E,{"Inventory","Services"})))</f>
        <v/>
      </c>
      <c r="G639" s="341" t="str">
        <f>IF($B639="","",SUM(SUMIFS('Daily Issuance'!$G:$G,'Daily Issuance'!$C:$C,$B639,'Daily Issuance'!$E:$E,{"Inventory","Services"})))</f>
        <v/>
      </c>
      <c r="H639" s="42" t="str">
        <f t="shared" si="18"/>
        <v/>
      </c>
      <c r="I639" s="39"/>
      <c r="J639" s="36" t="str">
        <f t="shared" si="19"/>
        <v/>
      </c>
      <c r="K639" s="48"/>
    </row>
    <row r="640" spans="1:11" ht="23.1" customHeight="1">
      <c r="A640" s="348" t="str">
        <f>IF($B640="","",MAX($A$3:A639)+1)</f>
        <v/>
      </c>
      <c r="B640" s="253"/>
      <c r="C640" s="249"/>
      <c r="D640" s="263"/>
      <c r="E640" s="251"/>
      <c r="F640" s="340" t="str">
        <f>IF($B640="","",SUM(SUMIFS('Daily Inward'!$G:$G,'Daily Inward'!$C:$C,$B640,'Daily Inward'!$E:$E,{"Inventory","Services"})))</f>
        <v/>
      </c>
      <c r="G640" s="341" t="str">
        <f>IF($B640="","",SUM(SUMIFS('Daily Issuance'!$G:$G,'Daily Issuance'!$C:$C,$B640,'Daily Issuance'!$E:$E,{"Inventory","Services"})))</f>
        <v/>
      </c>
      <c r="H640" s="42" t="str">
        <f t="shared" si="18"/>
        <v/>
      </c>
      <c r="I640" s="39"/>
      <c r="J640" s="36" t="str">
        <f t="shared" si="19"/>
        <v/>
      </c>
      <c r="K640" s="48"/>
    </row>
    <row r="641" spans="1:11" ht="23.1" customHeight="1">
      <c r="A641" s="348" t="str">
        <f>IF($B641="","",MAX($A$3:A640)+1)</f>
        <v/>
      </c>
      <c r="B641" s="253"/>
      <c r="C641" s="249"/>
      <c r="D641" s="263"/>
      <c r="E641" s="251"/>
      <c r="F641" s="340" t="str">
        <f>IF($B641="","",SUM(SUMIFS('Daily Inward'!$G:$G,'Daily Inward'!$C:$C,$B641,'Daily Inward'!$E:$E,{"Inventory","Services"})))</f>
        <v/>
      </c>
      <c r="G641" s="341" t="str">
        <f>IF($B641="","",SUM(SUMIFS('Daily Issuance'!$G:$G,'Daily Issuance'!$C:$C,$B641,'Daily Issuance'!$E:$E,{"Inventory","Services"})))</f>
        <v/>
      </c>
      <c r="H641" s="42" t="str">
        <f t="shared" si="18"/>
        <v/>
      </c>
      <c r="I641" s="39"/>
      <c r="J641" s="36" t="str">
        <f t="shared" si="19"/>
        <v/>
      </c>
      <c r="K641" s="48"/>
    </row>
    <row r="642" spans="1:11" ht="23.1" customHeight="1">
      <c r="A642" s="348" t="str">
        <f>IF($B642="","",MAX($A$3:A641)+1)</f>
        <v/>
      </c>
      <c r="B642" s="253"/>
      <c r="C642" s="249"/>
      <c r="D642" s="263"/>
      <c r="E642" s="251"/>
      <c r="F642" s="340" t="str">
        <f>IF($B642="","",SUM(SUMIFS('Daily Inward'!$G:$G,'Daily Inward'!$C:$C,$B642,'Daily Inward'!$E:$E,{"Inventory","Services"})))</f>
        <v/>
      </c>
      <c r="G642" s="341" t="str">
        <f>IF($B642="","",SUM(SUMIFS('Daily Issuance'!$G:$G,'Daily Issuance'!$C:$C,$B642,'Daily Issuance'!$E:$E,{"Inventory","Services"})))</f>
        <v/>
      </c>
      <c r="H642" s="42" t="str">
        <f t="shared" si="18"/>
        <v/>
      </c>
      <c r="I642" s="39"/>
      <c r="J642" s="36" t="str">
        <f t="shared" si="19"/>
        <v/>
      </c>
      <c r="K642" s="48"/>
    </row>
    <row r="643" spans="1:11" ht="23.1" customHeight="1">
      <c r="A643" s="348" t="str">
        <f>IF($B643="","",MAX($A$3:A642)+1)</f>
        <v/>
      </c>
      <c r="B643" s="253"/>
      <c r="C643" s="249"/>
      <c r="D643" s="263"/>
      <c r="E643" s="251"/>
      <c r="F643" s="340" t="str">
        <f>IF($B643="","",SUM(SUMIFS('Daily Inward'!$G:$G,'Daily Inward'!$C:$C,$B643,'Daily Inward'!$E:$E,{"Inventory","Services"})))</f>
        <v/>
      </c>
      <c r="G643" s="341" t="str">
        <f>IF($B643="","",SUM(SUMIFS('Daily Issuance'!$G:$G,'Daily Issuance'!$C:$C,$B643,'Daily Issuance'!$E:$E,{"Inventory","Services"})))</f>
        <v/>
      </c>
      <c r="H643" s="42" t="str">
        <f t="shared" si="18"/>
        <v/>
      </c>
      <c r="I643" s="39"/>
      <c r="J643" s="36" t="str">
        <f t="shared" si="19"/>
        <v/>
      </c>
      <c r="K643" s="48"/>
    </row>
    <row r="644" spans="1:11" ht="23.1" customHeight="1">
      <c r="A644" s="348" t="str">
        <f>IF($B644="","",MAX($A$3:A643)+1)</f>
        <v/>
      </c>
      <c r="B644" s="253"/>
      <c r="C644" s="249"/>
      <c r="D644" s="263"/>
      <c r="E644" s="251"/>
      <c r="F644" s="340" t="str">
        <f>IF($B644="","",SUM(SUMIFS('Daily Inward'!$G:$G,'Daily Inward'!$C:$C,$B644,'Daily Inward'!$E:$E,{"Inventory","Services"})))</f>
        <v/>
      </c>
      <c r="G644" s="341" t="str">
        <f>IF($B644="","",SUM(SUMIFS('Daily Issuance'!$G:$G,'Daily Issuance'!$C:$C,$B644,'Daily Issuance'!$E:$E,{"Inventory","Services"})))</f>
        <v/>
      </c>
      <c r="H644" s="42" t="str">
        <f t="shared" ref="H644:H707" si="20">IF($B644="","",N(E644)+N(F644)-N(G644))</f>
        <v/>
      </c>
      <c r="I644" s="39"/>
      <c r="J644" s="36" t="str">
        <f t="shared" ref="J644:J707" si="21">IF($B644="","",H644*I644)</f>
        <v/>
      </c>
      <c r="K644" s="48"/>
    </row>
    <row r="645" spans="1:11" ht="23.1" customHeight="1">
      <c r="A645" s="348" t="str">
        <f>IF($B645="","",MAX($A$3:A644)+1)</f>
        <v/>
      </c>
      <c r="B645" s="253"/>
      <c r="C645" s="249"/>
      <c r="D645" s="263"/>
      <c r="E645" s="251"/>
      <c r="F645" s="340" t="str">
        <f>IF($B645="","",SUM(SUMIFS('Daily Inward'!$G:$G,'Daily Inward'!$C:$C,$B645,'Daily Inward'!$E:$E,{"Inventory","Services"})))</f>
        <v/>
      </c>
      <c r="G645" s="341" t="str">
        <f>IF($B645="","",SUM(SUMIFS('Daily Issuance'!$G:$G,'Daily Issuance'!$C:$C,$B645,'Daily Issuance'!$E:$E,{"Inventory","Services"})))</f>
        <v/>
      </c>
      <c r="H645" s="42" t="str">
        <f t="shared" si="20"/>
        <v/>
      </c>
      <c r="I645" s="39"/>
      <c r="J645" s="36" t="str">
        <f t="shared" si="21"/>
        <v/>
      </c>
      <c r="K645" s="48"/>
    </row>
    <row r="646" spans="1:11" ht="23.1" customHeight="1">
      <c r="A646" s="348" t="str">
        <f>IF($B646="","",MAX($A$3:A645)+1)</f>
        <v/>
      </c>
      <c r="B646" s="253"/>
      <c r="C646" s="249"/>
      <c r="D646" s="263"/>
      <c r="E646" s="251"/>
      <c r="F646" s="340" t="str">
        <f>IF($B646="","",SUM(SUMIFS('Daily Inward'!$G:$G,'Daily Inward'!$C:$C,$B646,'Daily Inward'!$E:$E,{"Inventory","Services"})))</f>
        <v/>
      </c>
      <c r="G646" s="341" t="str">
        <f>IF($B646="","",SUM(SUMIFS('Daily Issuance'!$G:$G,'Daily Issuance'!$C:$C,$B646,'Daily Issuance'!$E:$E,{"Inventory","Services"})))</f>
        <v/>
      </c>
      <c r="H646" s="42" t="str">
        <f t="shared" si="20"/>
        <v/>
      </c>
      <c r="I646" s="39"/>
      <c r="J646" s="36" t="str">
        <f t="shared" si="21"/>
        <v/>
      </c>
      <c r="K646" s="48"/>
    </row>
    <row r="647" spans="1:11" ht="23.1" customHeight="1">
      <c r="A647" s="348" t="str">
        <f>IF($B647="","",MAX($A$3:A646)+1)</f>
        <v/>
      </c>
      <c r="B647" s="253"/>
      <c r="C647" s="249"/>
      <c r="D647" s="263"/>
      <c r="E647" s="251"/>
      <c r="F647" s="340" t="str">
        <f>IF($B647="","",SUM(SUMIFS('Daily Inward'!$G:$G,'Daily Inward'!$C:$C,$B647,'Daily Inward'!$E:$E,{"Inventory","Services"})))</f>
        <v/>
      </c>
      <c r="G647" s="341" t="str">
        <f>IF($B647="","",SUM(SUMIFS('Daily Issuance'!$G:$G,'Daily Issuance'!$C:$C,$B647,'Daily Issuance'!$E:$E,{"Inventory","Services"})))</f>
        <v/>
      </c>
      <c r="H647" s="42" t="str">
        <f t="shared" si="20"/>
        <v/>
      </c>
      <c r="I647" s="39"/>
      <c r="J647" s="36" t="str">
        <f t="shared" si="21"/>
        <v/>
      </c>
      <c r="K647" s="48"/>
    </row>
    <row r="648" spans="1:11" ht="23.1" customHeight="1">
      <c r="A648" s="348" t="str">
        <f>IF($B648="","",MAX($A$3:A647)+1)</f>
        <v/>
      </c>
      <c r="B648" s="253"/>
      <c r="C648" s="249"/>
      <c r="D648" s="263"/>
      <c r="E648" s="251"/>
      <c r="F648" s="340" t="str">
        <f>IF($B648="","",SUM(SUMIFS('Daily Inward'!$G:$G,'Daily Inward'!$C:$C,$B648,'Daily Inward'!$E:$E,{"Inventory","Services"})))</f>
        <v/>
      </c>
      <c r="G648" s="341" t="str">
        <f>IF($B648="","",SUM(SUMIFS('Daily Issuance'!$G:$G,'Daily Issuance'!$C:$C,$B648,'Daily Issuance'!$E:$E,{"Inventory","Services"})))</f>
        <v/>
      </c>
      <c r="H648" s="42" t="str">
        <f t="shared" si="20"/>
        <v/>
      </c>
      <c r="I648" s="39"/>
      <c r="J648" s="36" t="str">
        <f t="shared" si="21"/>
        <v/>
      </c>
      <c r="K648" s="48"/>
    </row>
    <row r="649" spans="1:11" ht="23.1" customHeight="1">
      <c r="A649" s="348" t="str">
        <f>IF($B649="","",MAX($A$3:A648)+1)</f>
        <v/>
      </c>
      <c r="B649" s="253"/>
      <c r="C649" s="249"/>
      <c r="D649" s="263"/>
      <c r="E649" s="251"/>
      <c r="F649" s="340" t="str">
        <f>IF($B649="","",SUM(SUMIFS('Daily Inward'!$G:$G,'Daily Inward'!$C:$C,$B649,'Daily Inward'!$E:$E,{"Inventory","Services"})))</f>
        <v/>
      </c>
      <c r="G649" s="341" t="str">
        <f>IF($B649="","",SUM(SUMIFS('Daily Issuance'!$G:$G,'Daily Issuance'!$C:$C,$B649,'Daily Issuance'!$E:$E,{"Inventory","Services"})))</f>
        <v/>
      </c>
      <c r="H649" s="42" t="str">
        <f t="shared" si="20"/>
        <v/>
      </c>
      <c r="I649" s="39"/>
      <c r="J649" s="36" t="str">
        <f t="shared" si="21"/>
        <v/>
      </c>
      <c r="K649" s="48"/>
    </row>
    <row r="650" spans="1:11" ht="23.1" customHeight="1">
      <c r="A650" s="348" t="str">
        <f>IF($B650="","",MAX($A$3:A649)+1)</f>
        <v/>
      </c>
      <c r="B650" s="253"/>
      <c r="C650" s="249"/>
      <c r="D650" s="263"/>
      <c r="E650" s="251"/>
      <c r="F650" s="340" t="str">
        <f>IF($B650="","",SUM(SUMIFS('Daily Inward'!$G:$G,'Daily Inward'!$C:$C,$B650,'Daily Inward'!$E:$E,{"Inventory","Services"})))</f>
        <v/>
      </c>
      <c r="G650" s="341" t="str">
        <f>IF($B650="","",SUM(SUMIFS('Daily Issuance'!$G:$G,'Daily Issuance'!$C:$C,$B650,'Daily Issuance'!$E:$E,{"Inventory","Services"})))</f>
        <v/>
      </c>
      <c r="H650" s="42" t="str">
        <f t="shared" si="20"/>
        <v/>
      </c>
      <c r="I650" s="39"/>
      <c r="J650" s="36" t="str">
        <f t="shared" si="21"/>
        <v/>
      </c>
      <c r="K650" s="48"/>
    </row>
    <row r="651" spans="1:11" ht="23.1" customHeight="1">
      <c r="A651" s="348" t="str">
        <f>IF($B651="","",MAX($A$3:A650)+1)</f>
        <v/>
      </c>
      <c r="B651" s="253"/>
      <c r="C651" s="249"/>
      <c r="D651" s="263"/>
      <c r="E651" s="251"/>
      <c r="F651" s="340" t="str">
        <f>IF($B651="","",SUM(SUMIFS('Daily Inward'!$G:$G,'Daily Inward'!$C:$C,$B651,'Daily Inward'!$E:$E,{"Inventory","Services"})))</f>
        <v/>
      </c>
      <c r="G651" s="341" t="str">
        <f>IF($B651="","",SUM(SUMIFS('Daily Issuance'!$G:$G,'Daily Issuance'!$C:$C,$B651,'Daily Issuance'!$E:$E,{"Inventory","Services"})))</f>
        <v/>
      </c>
      <c r="H651" s="42" t="str">
        <f t="shared" si="20"/>
        <v/>
      </c>
      <c r="I651" s="39"/>
      <c r="J651" s="36" t="str">
        <f t="shared" si="21"/>
        <v/>
      </c>
      <c r="K651" s="48"/>
    </row>
    <row r="652" spans="1:11" ht="23.1" customHeight="1">
      <c r="A652" s="348" t="str">
        <f>IF($B652="","",MAX($A$3:A651)+1)</f>
        <v/>
      </c>
      <c r="B652" s="253"/>
      <c r="C652" s="249"/>
      <c r="D652" s="263"/>
      <c r="E652" s="251"/>
      <c r="F652" s="340" t="str">
        <f>IF($B652="","",SUM(SUMIFS('Daily Inward'!$G:$G,'Daily Inward'!$C:$C,$B652,'Daily Inward'!$E:$E,{"Inventory","Services"})))</f>
        <v/>
      </c>
      <c r="G652" s="341" t="str">
        <f>IF($B652="","",SUM(SUMIFS('Daily Issuance'!$G:$G,'Daily Issuance'!$C:$C,$B652,'Daily Issuance'!$E:$E,{"Inventory","Services"})))</f>
        <v/>
      </c>
      <c r="H652" s="42" t="str">
        <f t="shared" si="20"/>
        <v/>
      </c>
      <c r="I652" s="39"/>
      <c r="J652" s="36" t="str">
        <f t="shared" si="21"/>
        <v/>
      </c>
      <c r="K652" s="48"/>
    </row>
    <row r="653" spans="1:11" ht="23.1" customHeight="1">
      <c r="A653" s="348" t="str">
        <f>IF($B653="","",MAX($A$3:A652)+1)</f>
        <v/>
      </c>
      <c r="B653" s="253"/>
      <c r="C653" s="249"/>
      <c r="D653" s="263"/>
      <c r="E653" s="251"/>
      <c r="F653" s="340" t="str">
        <f>IF($B653="","",SUM(SUMIFS('Daily Inward'!$G:$G,'Daily Inward'!$C:$C,$B653,'Daily Inward'!$E:$E,{"Inventory","Services"})))</f>
        <v/>
      </c>
      <c r="G653" s="341" t="str">
        <f>IF($B653="","",SUM(SUMIFS('Daily Issuance'!$G:$G,'Daily Issuance'!$C:$C,$B653,'Daily Issuance'!$E:$E,{"Inventory","Services"})))</f>
        <v/>
      </c>
      <c r="H653" s="42" t="str">
        <f t="shared" si="20"/>
        <v/>
      </c>
      <c r="I653" s="39"/>
      <c r="J653" s="36" t="str">
        <f t="shared" si="21"/>
        <v/>
      </c>
      <c r="K653" s="48"/>
    </row>
    <row r="654" spans="1:11" ht="23.1" customHeight="1">
      <c r="A654" s="348" t="str">
        <f>IF($B654="","",MAX($A$3:A653)+1)</f>
        <v/>
      </c>
      <c r="B654" s="253"/>
      <c r="C654" s="249"/>
      <c r="D654" s="263"/>
      <c r="E654" s="251"/>
      <c r="F654" s="340" t="str">
        <f>IF($B654="","",SUM(SUMIFS('Daily Inward'!$G:$G,'Daily Inward'!$C:$C,$B654,'Daily Inward'!$E:$E,{"Inventory","Services"})))</f>
        <v/>
      </c>
      <c r="G654" s="341" t="str">
        <f>IF($B654="","",SUM(SUMIFS('Daily Issuance'!$G:$G,'Daily Issuance'!$C:$C,$B654,'Daily Issuance'!$E:$E,{"Inventory","Services"})))</f>
        <v/>
      </c>
      <c r="H654" s="42" t="str">
        <f t="shared" si="20"/>
        <v/>
      </c>
      <c r="I654" s="39"/>
      <c r="J654" s="36" t="str">
        <f t="shared" si="21"/>
        <v/>
      </c>
      <c r="K654" s="48"/>
    </row>
    <row r="655" spans="1:11" ht="23.1" customHeight="1">
      <c r="A655" s="348" t="str">
        <f>IF($B655="","",MAX($A$3:A654)+1)</f>
        <v/>
      </c>
      <c r="B655" s="253"/>
      <c r="C655" s="249"/>
      <c r="D655" s="263"/>
      <c r="E655" s="251"/>
      <c r="F655" s="340" t="str">
        <f>IF($B655="","",SUM(SUMIFS('Daily Inward'!$G:$G,'Daily Inward'!$C:$C,$B655,'Daily Inward'!$E:$E,{"Inventory","Services"})))</f>
        <v/>
      </c>
      <c r="G655" s="341" t="str">
        <f>IF($B655="","",SUM(SUMIFS('Daily Issuance'!$G:$G,'Daily Issuance'!$C:$C,$B655,'Daily Issuance'!$E:$E,{"Inventory","Services"})))</f>
        <v/>
      </c>
      <c r="H655" s="42" t="str">
        <f t="shared" si="20"/>
        <v/>
      </c>
      <c r="I655" s="39"/>
      <c r="J655" s="36" t="str">
        <f t="shared" si="21"/>
        <v/>
      </c>
      <c r="K655" s="48"/>
    </row>
    <row r="656" spans="1:11" ht="23.1" customHeight="1">
      <c r="A656" s="348" t="str">
        <f>IF($B656="","",MAX($A$3:A655)+1)</f>
        <v/>
      </c>
      <c r="B656" s="253"/>
      <c r="C656" s="249"/>
      <c r="D656" s="263"/>
      <c r="E656" s="251"/>
      <c r="F656" s="340" t="str">
        <f>IF($B656="","",SUM(SUMIFS('Daily Inward'!$G:$G,'Daily Inward'!$C:$C,$B656,'Daily Inward'!$E:$E,{"Inventory","Services"})))</f>
        <v/>
      </c>
      <c r="G656" s="341" t="str">
        <f>IF($B656="","",SUM(SUMIFS('Daily Issuance'!$G:$G,'Daily Issuance'!$C:$C,$B656,'Daily Issuance'!$E:$E,{"Inventory","Services"})))</f>
        <v/>
      </c>
      <c r="H656" s="42" t="str">
        <f t="shared" si="20"/>
        <v/>
      </c>
      <c r="I656" s="39"/>
      <c r="J656" s="36" t="str">
        <f t="shared" si="21"/>
        <v/>
      </c>
      <c r="K656" s="48"/>
    </row>
    <row r="657" spans="1:11" ht="23.1" customHeight="1">
      <c r="A657" s="348" t="str">
        <f>IF($B657="","",MAX($A$3:A656)+1)</f>
        <v/>
      </c>
      <c r="B657" s="253"/>
      <c r="C657" s="249"/>
      <c r="D657" s="263"/>
      <c r="E657" s="251"/>
      <c r="F657" s="340" t="str">
        <f>IF($B657="","",SUM(SUMIFS('Daily Inward'!$G:$G,'Daily Inward'!$C:$C,$B657,'Daily Inward'!$E:$E,{"Inventory","Services"})))</f>
        <v/>
      </c>
      <c r="G657" s="341" t="str">
        <f>IF($B657="","",SUM(SUMIFS('Daily Issuance'!$G:$G,'Daily Issuance'!$C:$C,$B657,'Daily Issuance'!$E:$E,{"Inventory","Services"})))</f>
        <v/>
      </c>
      <c r="H657" s="42" t="str">
        <f t="shared" si="20"/>
        <v/>
      </c>
      <c r="I657" s="39"/>
      <c r="J657" s="36" t="str">
        <f t="shared" si="21"/>
        <v/>
      </c>
      <c r="K657" s="48"/>
    </row>
    <row r="658" spans="1:11" ht="23.1" customHeight="1">
      <c r="A658" s="348" t="str">
        <f>IF($B658="","",MAX($A$3:A657)+1)</f>
        <v/>
      </c>
      <c r="B658" s="253"/>
      <c r="C658" s="249"/>
      <c r="D658" s="263"/>
      <c r="E658" s="251"/>
      <c r="F658" s="340" t="str">
        <f>IF($B658="","",SUM(SUMIFS('Daily Inward'!$G:$G,'Daily Inward'!$C:$C,$B658,'Daily Inward'!$E:$E,{"Inventory","Services"})))</f>
        <v/>
      </c>
      <c r="G658" s="341" t="str">
        <f>IF($B658="","",SUM(SUMIFS('Daily Issuance'!$G:$G,'Daily Issuance'!$C:$C,$B658,'Daily Issuance'!$E:$E,{"Inventory","Services"})))</f>
        <v/>
      </c>
      <c r="H658" s="42" t="str">
        <f t="shared" si="20"/>
        <v/>
      </c>
      <c r="I658" s="39"/>
      <c r="J658" s="36" t="str">
        <f t="shared" si="21"/>
        <v/>
      </c>
      <c r="K658" s="48"/>
    </row>
    <row r="659" spans="1:11" ht="23.1" customHeight="1">
      <c r="A659" s="348" t="str">
        <f>IF($B659="","",MAX($A$3:A658)+1)</f>
        <v/>
      </c>
      <c r="B659" s="253"/>
      <c r="C659" s="249"/>
      <c r="D659" s="263"/>
      <c r="E659" s="251"/>
      <c r="F659" s="340" t="str">
        <f>IF($B659="","",SUM(SUMIFS('Daily Inward'!$G:$G,'Daily Inward'!$C:$C,$B659,'Daily Inward'!$E:$E,{"Inventory","Services"})))</f>
        <v/>
      </c>
      <c r="G659" s="341" t="str">
        <f>IF($B659="","",SUM(SUMIFS('Daily Issuance'!$G:$G,'Daily Issuance'!$C:$C,$B659,'Daily Issuance'!$E:$E,{"Inventory","Services"})))</f>
        <v/>
      </c>
      <c r="H659" s="42" t="str">
        <f t="shared" si="20"/>
        <v/>
      </c>
      <c r="I659" s="39"/>
      <c r="J659" s="36" t="str">
        <f t="shared" si="21"/>
        <v/>
      </c>
      <c r="K659" s="48"/>
    </row>
    <row r="660" spans="1:11" ht="23.1" customHeight="1">
      <c r="A660" s="348" t="str">
        <f>IF($B660="","",MAX($A$3:A659)+1)</f>
        <v/>
      </c>
      <c r="B660" s="253"/>
      <c r="C660" s="249"/>
      <c r="D660" s="263"/>
      <c r="E660" s="251"/>
      <c r="F660" s="340" t="str">
        <f>IF($B660="","",SUM(SUMIFS('Daily Inward'!$G:$G,'Daily Inward'!$C:$C,$B660,'Daily Inward'!$E:$E,{"Inventory","Services"})))</f>
        <v/>
      </c>
      <c r="G660" s="341" t="str">
        <f>IF($B660="","",SUM(SUMIFS('Daily Issuance'!$G:$G,'Daily Issuance'!$C:$C,$B660,'Daily Issuance'!$E:$E,{"Inventory","Services"})))</f>
        <v/>
      </c>
      <c r="H660" s="42" t="str">
        <f t="shared" si="20"/>
        <v/>
      </c>
      <c r="I660" s="39"/>
      <c r="J660" s="36" t="str">
        <f t="shared" si="21"/>
        <v/>
      </c>
      <c r="K660" s="48"/>
    </row>
    <row r="661" spans="1:11" ht="23.1" customHeight="1">
      <c r="A661" s="348" t="str">
        <f>IF($B661="","",MAX($A$3:A660)+1)</f>
        <v/>
      </c>
      <c r="B661" s="253"/>
      <c r="C661" s="249"/>
      <c r="D661" s="263"/>
      <c r="E661" s="251"/>
      <c r="F661" s="340" t="str">
        <f>IF($B661="","",SUM(SUMIFS('Daily Inward'!$G:$G,'Daily Inward'!$C:$C,$B661,'Daily Inward'!$E:$E,{"Inventory","Services"})))</f>
        <v/>
      </c>
      <c r="G661" s="341" t="str">
        <f>IF($B661="","",SUM(SUMIFS('Daily Issuance'!$G:$G,'Daily Issuance'!$C:$C,$B661,'Daily Issuance'!$E:$E,{"Inventory","Services"})))</f>
        <v/>
      </c>
      <c r="H661" s="42" t="str">
        <f t="shared" si="20"/>
        <v/>
      </c>
      <c r="I661" s="39"/>
      <c r="J661" s="36" t="str">
        <f t="shared" si="21"/>
        <v/>
      </c>
      <c r="K661" s="48"/>
    </row>
    <row r="662" spans="1:11" ht="23.1" customHeight="1">
      <c r="A662" s="348" t="str">
        <f>IF($B662="","",MAX($A$3:A661)+1)</f>
        <v/>
      </c>
      <c r="B662" s="253"/>
      <c r="C662" s="249"/>
      <c r="D662" s="263"/>
      <c r="E662" s="251"/>
      <c r="F662" s="340" t="str">
        <f>IF($B662="","",SUM(SUMIFS('Daily Inward'!$G:$G,'Daily Inward'!$C:$C,$B662,'Daily Inward'!$E:$E,{"Inventory","Services"})))</f>
        <v/>
      </c>
      <c r="G662" s="341" t="str">
        <f>IF($B662="","",SUM(SUMIFS('Daily Issuance'!$G:$G,'Daily Issuance'!$C:$C,$B662,'Daily Issuance'!$E:$E,{"Inventory","Services"})))</f>
        <v/>
      </c>
      <c r="H662" s="42" t="str">
        <f t="shared" si="20"/>
        <v/>
      </c>
      <c r="I662" s="39"/>
      <c r="J662" s="36" t="str">
        <f t="shared" si="21"/>
        <v/>
      </c>
      <c r="K662" s="48"/>
    </row>
    <row r="663" spans="1:11" ht="23.1" customHeight="1">
      <c r="A663" s="348" t="str">
        <f>IF($B663="","",MAX($A$3:A662)+1)</f>
        <v/>
      </c>
      <c r="B663" s="253"/>
      <c r="C663" s="249"/>
      <c r="D663" s="263"/>
      <c r="E663" s="251"/>
      <c r="F663" s="340" t="str">
        <f>IF($B663="","",SUM(SUMIFS('Daily Inward'!$G:$G,'Daily Inward'!$C:$C,$B663,'Daily Inward'!$E:$E,{"Inventory","Services"})))</f>
        <v/>
      </c>
      <c r="G663" s="341" t="str">
        <f>IF($B663="","",SUM(SUMIFS('Daily Issuance'!$G:$G,'Daily Issuance'!$C:$C,$B663,'Daily Issuance'!$E:$E,{"Inventory","Services"})))</f>
        <v/>
      </c>
      <c r="H663" s="42" t="str">
        <f t="shared" si="20"/>
        <v/>
      </c>
      <c r="I663" s="39"/>
      <c r="J663" s="36" t="str">
        <f t="shared" si="21"/>
        <v/>
      </c>
      <c r="K663" s="48"/>
    </row>
    <row r="664" spans="1:11" ht="23.1" customHeight="1">
      <c r="A664" s="348" t="str">
        <f>IF($B664="","",MAX($A$3:A663)+1)</f>
        <v/>
      </c>
      <c r="B664" s="253"/>
      <c r="C664" s="249"/>
      <c r="D664" s="263"/>
      <c r="E664" s="251"/>
      <c r="F664" s="340" t="str">
        <f>IF($B664="","",SUM(SUMIFS('Daily Inward'!$G:$G,'Daily Inward'!$C:$C,$B664,'Daily Inward'!$E:$E,{"Inventory","Services"})))</f>
        <v/>
      </c>
      <c r="G664" s="341" t="str">
        <f>IF($B664="","",SUM(SUMIFS('Daily Issuance'!$G:$G,'Daily Issuance'!$C:$C,$B664,'Daily Issuance'!$E:$E,{"Inventory","Services"})))</f>
        <v/>
      </c>
      <c r="H664" s="42" t="str">
        <f t="shared" si="20"/>
        <v/>
      </c>
      <c r="I664" s="39"/>
      <c r="J664" s="36" t="str">
        <f t="shared" si="21"/>
        <v/>
      </c>
      <c r="K664" s="48"/>
    </row>
    <row r="665" spans="1:11" ht="23.1" customHeight="1">
      <c r="A665" s="348" t="str">
        <f>IF($B665="","",MAX($A$3:A664)+1)</f>
        <v/>
      </c>
      <c r="B665" s="253"/>
      <c r="C665" s="249"/>
      <c r="D665" s="263"/>
      <c r="E665" s="251"/>
      <c r="F665" s="340" t="str">
        <f>IF($B665="","",SUM(SUMIFS('Daily Inward'!$G:$G,'Daily Inward'!$C:$C,$B665,'Daily Inward'!$E:$E,{"Inventory","Services"})))</f>
        <v/>
      </c>
      <c r="G665" s="341" t="str">
        <f>IF($B665="","",SUM(SUMIFS('Daily Issuance'!$G:$G,'Daily Issuance'!$C:$C,$B665,'Daily Issuance'!$E:$E,{"Inventory","Services"})))</f>
        <v/>
      </c>
      <c r="H665" s="42" t="str">
        <f t="shared" si="20"/>
        <v/>
      </c>
      <c r="I665" s="39"/>
      <c r="J665" s="36" t="str">
        <f t="shared" si="21"/>
        <v/>
      </c>
      <c r="K665" s="48"/>
    </row>
    <row r="666" spans="1:11" ht="23.1" customHeight="1">
      <c r="A666" s="348" t="str">
        <f>IF($B666="","",MAX($A$3:A665)+1)</f>
        <v/>
      </c>
      <c r="B666" s="253"/>
      <c r="C666" s="249"/>
      <c r="D666" s="263"/>
      <c r="E666" s="251"/>
      <c r="F666" s="340" t="str">
        <f>IF($B666="","",SUM(SUMIFS('Daily Inward'!$G:$G,'Daily Inward'!$C:$C,$B666,'Daily Inward'!$E:$E,{"Inventory","Services"})))</f>
        <v/>
      </c>
      <c r="G666" s="341" t="str">
        <f>IF($B666="","",SUM(SUMIFS('Daily Issuance'!$G:$G,'Daily Issuance'!$C:$C,$B666,'Daily Issuance'!$E:$E,{"Inventory","Services"})))</f>
        <v/>
      </c>
      <c r="H666" s="42" t="str">
        <f t="shared" si="20"/>
        <v/>
      </c>
      <c r="I666" s="39"/>
      <c r="J666" s="36" t="str">
        <f t="shared" si="21"/>
        <v/>
      </c>
      <c r="K666" s="48"/>
    </row>
    <row r="667" spans="1:11" ht="23.1" customHeight="1">
      <c r="A667" s="348" t="str">
        <f>IF($B667="","",MAX($A$3:A666)+1)</f>
        <v/>
      </c>
      <c r="B667" s="253"/>
      <c r="C667" s="249"/>
      <c r="D667" s="263"/>
      <c r="E667" s="251"/>
      <c r="F667" s="340" t="str">
        <f>IF($B667="","",SUM(SUMIFS('Daily Inward'!$G:$G,'Daily Inward'!$C:$C,$B667,'Daily Inward'!$E:$E,{"Inventory","Services"})))</f>
        <v/>
      </c>
      <c r="G667" s="341" t="str">
        <f>IF($B667="","",SUM(SUMIFS('Daily Issuance'!$G:$G,'Daily Issuance'!$C:$C,$B667,'Daily Issuance'!$E:$E,{"Inventory","Services"})))</f>
        <v/>
      </c>
      <c r="H667" s="42" t="str">
        <f t="shared" si="20"/>
        <v/>
      </c>
      <c r="I667" s="39"/>
      <c r="J667" s="36" t="str">
        <f t="shared" si="21"/>
        <v/>
      </c>
      <c r="K667" s="48"/>
    </row>
    <row r="668" spans="1:11" ht="23.1" customHeight="1">
      <c r="A668" s="348" t="str">
        <f>IF($B668="","",MAX($A$3:A667)+1)</f>
        <v/>
      </c>
      <c r="B668" s="253"/>
      <c r="C668" s="249"/>
      <c r="D668" s="263"/>
      <c r="E668" s="251"/>
      <c r="F668" s="340" t="str">
        <f>IF($B668="","",SUM(SUMIFS('Daily Inward'!$G:$G,'Daily Inward'!$C:$C,$B668,'Daily Inward'!$E:$E,{"Inventory","Services"})))</f>
        <v/>
      </c>
      <c r="G668" s="341" t="str">
        <f>IF($B668="","",SUM(SUMIFS('Daily Issuance'!$G:$G,'Daily Issuance'!$C:$C,$B668,'Daily Issuance'!$E:$E,{"Inventory","Services"})))</f>
        <v/>
      </c>
      <c r="H668" s="42" t="str">
        <f t="shared" si="20"/>
        <v/>
      </c>
      <c r="I668" s="39"/>
      <c r="J668" s="36" t="str">
        <f t="shared" si="21"/>
        <v/>
      </c>
      <c r="K668" s="48"/>
    </row>
    <row r="669" spans="1:11" ht="23.1" customHeight="1">
      <c r="A669" s="348" t="str">
        <f>IF($B669="","",MAX($A$3:A668)+1)</f>
        <v/>
      </c>
      <c r="B669" s="253"/>
      <c r="C669" s="249"/>
      <c r="D669" s="263"/>
      <c r="E669" s="251"/>
      <c r="F669" s="340" t="str">
        <f>IF($B669="","",SUM(SUMIFS('Daily Inward'!$G:$G,'Daily Inward'!$C:$C,$B669,'Daily Inward'!$E:$E,{"Inventory","Services"})))</f>
        <v/>
      </c>
      <c r="G669" s="341" t="str">
        <f>IF($B669="","",SUM(SUMIFS('Daily Issuance'!$G:$G,'Daily Issuance'!$C:$C,$B669,'Daily Issuance'!$E:$E,{"Inventory","Services"})))</f>
        <v/>
      </c>
      <c r="H669" s="42" t="str">
        <f t="shared" si="20"/>
        <v/>
      </c>
      <c r="I669" s="39"/>
      <c r="J669" s="36" t="str">
        <f t="shared" si="21"/>
        <v/>
      </c>
      <c r="K669" s="48"/>
    </row>
    <row r="670" spans="1:11" ht="23.1" customHeight="1">
      <c r="A670" s="348" t="str">
        <f>IF($B670="","",MAX($A$3:A669)+1)</f>
        <v/>
      </c>
      <c r="B670" s="253"/>
      <c r="C670" s="249"/>
      <c r="D670" s="263"/>
      <c r="E670" s="251"/>
      <c r="F670" s="340" t="str">
        <f>IF($B670="","",SUM(SUMIFS('Daily Inward'!$G:$G,'Daily Inward'!$C:$C,$B670,'Daily Inward'!$E:$E,{"Inventory","Services"})))</f>
        <v/>
      </c>
      <c r="G670" s="341" t="str">
        <f>IF($B670="","",SUM(SUMIFS('Daily Issuance'!$G:$G,'Daily Issuance'!$C:$C,$B670,'Daily Issuance'!$E:$E,{"Inventory","Services"})))</f>
        <v/>
      </c>
      <c r="H670" s="42" t="str">
        <f t="shared" si="20"/>
        <v/>
      </c>
      <c r="I670" s="39"/>
      <c r="J670" s="36" t="str">
        <f t="shared" si="21"/>
        <v/>
      </c>
      <c r="K670" s="48"/>
    </row>
    <row r="671" spans="1:11" ht="23.1" customHeight="1">
      <c r="A671" s="348" t="str">
        <f>IF($B671="","",MAX($A$3:A670)+1)</f>
        <v/>
      </c>
      <c r="B671" s="253"/>
      <c r="C671" s="249"/>
      <c r="D671" s="263"/>
      <c r="E671" s="251"/>
      <c r="F671" s="340" t="str">
        <f>IF($B671="","",SUM(SUMIFS('Daily Inward'!$G:$G,'Daily Inward'!$C:$C,$B671,'Daily Inward'!$E:$E,{"Inventory","Services"})))</f>
        <v/>
      </c>
      <c r="G671" s="341" t="str">
        <f>IF($B671="","",SUM(SUMIFS('Daily Issuance'!$G:$G,'Daily Issuance'!$C:$C,$B671,'Daily Issuance'!$E:$E,{"Inventory","Services"})))</f>
        <v/>
      </c>
      <c r="H671" s="42" t="str">
        <f t="shared" si="20"/>
        <v/>
      </c>
      <c r="I671" s="39"/>
      <c r="J671" s="36" t="str">
        <f t="shared" si="21"/>
        <v/>
      </c>
      <c r="K671" s="48"/>
    </row>
    <row r="672" spans="1:11" ht="23.1" customHeight="1">
      <c r="A672" s="348" t="str">
        <f>IF($B672="","",MAX($A$3:A671)+1)</f>
        <v/>
      </c>
      <c r="B672" s="253"/>
      <c r="C672" s="249"/>
      <c r="D672" s="263"/>
      <c r="E672" s="251"/>
      <c r="F672" s="340" t="str">
        <f>IF($B672="","",SUM(SUMIFS('Daily Inward'!$G:$G,'Daily Inward'!$C:$C,$B672,'Daily Inward'!$E:$E,{"Inventory","Services"})))</f>
        <v/>
      </c>
      <c r="G672" s="341" t="str">
        <f>IF($B672="","",SUM(SUMIFS('Daily Issuance'!$G:$G,'Daily Issuance'!$C:$C,$B672,'Daily Issuance'!$E:$E,{"Inventory","Services"})))</f>
        <v/>
      </c>
      <c r="H672" s="42" t="str">
        <f t="shared" si="20"/>
        <v/>
      </c>
      <c r="I672" s="39"/>
      <c r="J672" s="36" t="str">
        <f t="shared" si="21"/>
        <v/>
      </c>
      <c r="K672" s="48"/>
    </row>
    <row r="673" spans="1:11" ht="23.1" customHeight="1">
      <c r="A673" s="348" t="str">
        <f>IF($B673="","",MAX($A$3:A672)+1)</f>
        <v/>
      </c>
      <c r="B673" s="253"/>
      <c r="C673" s="249"/>
      <c r="D673" s="263"/>
      <c r="E673" s="251"/>
      <c r="F673" s="340" t="str">
        <f>IF($B673="","",SUM(SUMIFS('Daily Inward'!$G:$G,'Daily Inward'!$C:$C,$B673,'Daily Inward'!$E:$E,{"Inventory","Services"})))</f>
        <v/>
      </c>
      <c r="G673" s="341" t="str">
        <f>IF($B673="","",SUM(SUMIFS('Daily Issuance'!$G:$G,'Daily Issuance'!$C:$C,$B673,'Daily Issuance'!$E:$E,{"Inventory","Services"})))</f>
        <v/>
      </c>
      <c r="H673" s="42" t="str">
        <f t="shared" si="20"/>
        <v/>
      </c>
      <c r="I673" s="39"/>
      <c r="J673" s="36" t="str">
        <f t="shared" si="21"/>
        <v/>
      </c>
      <c r="K673" s="48"/>
    </row>
    <row r="674" spans="1:11" ht="23.1" customHeight="1">
      <c r="A674" s="348" t="str">
        <f>IF($B674="","",MAX($A$3:A673)+1)</f>
        <v/>
      </c>
      <c r="B674" s="253"/>
      <c r="C674" s="249"/>
      <c r="D674" s="263"/>
      <c r="E674" s="251"/>
      <c r="F674" s="340" t="str">
        <f>IF($B674="","",SUM(SUMIFS('Daily Inward'!$G:$G,'Daily Inward'!$C:$C,$B674,'Daily Inward'!$E:$E,{"Inventory","Services"})))</f>
        <v/>
      </c>
      <c r="G674" s="341" t="str">
        <f>IF($B674="","",SUM(SUMIFS('Daily Issuance'!$G:$G,'Daily Issuance'!$C:$C,$B674,'Daily Issuance'!$E:$E,{"Inventory","Services"})))</f>
        <v/>
      </c>
      <c r="H674" s="42" t="str">
        <f t="shared" si="20"/>
        <v/>
      </c>
      <c r="I674" s="39"/>
      <c r="J674" s="36" t="str">
        <f t="shared" si="21"/>
        <v/>
      </c>
      <c r="K674" s="48"/>
    </row>
    <row r="675" spans="1:11" ht="23.1" customHeight="1">
      <c r="A675" s="348" t="str">
        <f>IF($B675="","",MAX($A$3:A674)+1)</f>
        <v/>
      </c>
      <c r="B675" s="253"/>
      <c r="C675" s="249"/>
      <c r="D675" s="263"/>
      <c r="E675" s="251"/>
      <c r="F675" s="340" t="str">
        <f>IF($B675="","",SUM(SUMIFS('Daily Inward'!$G:$G,'Daily Inward'!$C:$C,$B675,'Daily Inward'!$E:$E,{"Inventory","Services"})))</f>
        <v/>
      </c>
      <c r="G675" s="341" t="str">
        <f>IF($B675="","",SUM(SUMIFS('Daily Issuance'!$G:$G,'Daily Issuance'!$C:$C,$B675,'Daily Issuance'!$E:$E,{"Inventory","Services"})))</f>
        <v/>
      </c>
      <c r="H675" s="42" t="str">
        <f t="shared" si="20"/>
        <v/>
      </c>
      <c r="I675" s="39"/>
      <c r="J675" s="36" t="str">
        <f t="shared" si="21"/>
        <v/>
      </c>
      <c r="K675" s="48"/>
    </row>
    <row r="676" spans="1:11" ht="23.1" customHeight="1">
      <c r="A676" s="348" t="str">
        <f>IF($B676="","",MAX($A$3:A675)+1)</f>
        <v/>
      </c>
      <c r="B676" s="253"/>
      <c r="C676" s="249"/>
      <c r="D676" s="263"/>
      <c r="E676" s="251"/>
      <c r="F676" s="340" t="str">
        <f>IF($B676="","",SUM(SUMIFS('Daily Inward'!$G:$G,'Daily Inward'!$C:$C,$B676,'Daily Inward'!$E:$E,{"Inventory","Services"})))</f>
        <v/>
      </c>
      <c r="G676" s="341" t="str">
        <f>IF($B676="","",SUM(SUMIFS('Daily Issuance'!$G:$G,'Daily Issuance'!$C:$C,$B676,'Daily Issuance'!$E:$E,{"Inventory","Services"})))</f>
        <v/>
      </c>
      <c r="H676" s="42" t="str">
        <f t="shared" si="20"/>
        <v/>
      </c>
      <c r="I676" s="39"/>
      <c r="J676" s="36" t="str">
        <f t="shared" si="21"/>
        <v/>
      </c>
      <c r="K676" s="48"/>
    </row>
    <row r="677" spans="1:11" ht="23.1" customHeight="1">
      <c r="A677" s="348" t="str">
        <f>IF($B677="","",MAX($A$3:A676)+1)</f>
        <v/>
      </c>
      <c r="B677" s="253"/>
      <c r="C677" s="249"/>
      <c r="D677" s="263"/>
      <c r="E677" s="251"/>
      <c r="F677" s="340" t="str">
        <f>IF($B677="","",SUM(SUMIFS('Daily Inward'!$G:$G,'Daily Inward'!$C:$C,$B677,'Daily Inward'!$E:$E,{"Inventory","Services"})))</f>
        <v/>
      </c>
      <c r="G677" s="341" t="str">
        <f>IF($B677="","",SUM(SUMIFS('Daily Issuance'!$G:$G,'Daily Issuance'!$C:$C,$B677,'Daily Issuance'!$E:$E,{"Inventory","Services"})))</f>
        <v/>
      </c>
      <c r="H677" s="42" t="str">
        <f t="shared" si="20"/>
        <v/>
      </c>
      <c r="I677" s="39"/>
      <c r="J677" s="36" t="str">
        <f t="shared" si="21"/>
        <v/>
      </c>
      <c r="K677" s="48"/>
    </row>
    <row r="678" spans="1:11" ht="23.1" customHeight="1">
      <c r="A678" s="348" t="str">
        <f>IF($B678="","",MAX($A$3:A677)+1)</f>
        <v/>
      </c>
      <c r="B678" s="253"/>
      <c r="C678" s="249"/>
      <c r="D678" s="263"/>
      <c r="E678" s="251"/>
      <c r="F678" s="340" t="str">
        <f>IF($B678="","",SUM(SUMIFS('Daily Inward'!$G:$G,'Daily Inward'!$C:$C,$B678,'Daily Inward'!$E:$E,{"Inventory","Services"})))</f>
        <v/>
      </c>
      <c r="G678" s="341" t="str">
        <f>IF($B678="","",SUM(SUMIFS('Daily Issuance'!$G:$G,'Daily Issuance'!$C:$C,$B678,'Daily Issuance'!$E:$E,{"Inventory","Services"})))</f>
        <v/>
      </c>
      <c r="H678" s="42" t="str">
        <f t="shared" si="20"/>
        <v/>
      </c>
      <c r="I678" s="39"/>
      <c r="J678" s="36" t="str">
        <f t="shared" si="21"/>
        <v/>
      </c>
      <c r="K678" s="48"/>
    </row>
    <row r="679" spans="1:11" ht="23.1" customHeight="1">
      <c r="A679" s="348" t="str">
        <f>IF($B679="","",MAX($A$3:A678)+1)</f>
        <v/>
      </c>
      <c r="B679" s="253"/>
      <c r="C679" s="249"/>
      <c r="D679" s="263"/>
      <c r="E679" s="251"/>
      <c r="F679" s="340" t="str">
        <f>IF($B679="","",SUM(SUMIFS('Daily Inward'!$G:$G,'Daily Inward'!$C:$C,$B679,'Daily Inward'!$E:$E,{"Inventory","Services"})))</f>
        <v/>
      </c>
      <c r="G679" s="341" t="str">
        <f>IF($B679="","",SUM(SUMIFS('Daily Issuance'!$G:$G,'Daily Issuance'!$C:$C,$B679,'Daily Issuance'!$E:$E,{"Inventory","Services"})))</f>
        <v/>
      </c>
      <c r="H679" s="42" t="str">
        <f t="shared" si="20"/>
        <v/>
      </c>
      <c r="I679" s="39"/>
      <c r="J679" s="36" t="str">
        <f t="shared" si="21"/>
        <v/>
      </c>
      <c r="K679" s="48"/>
    </row>
    <row r="680" spans="1:11" ht="23.1" customHeight="1">
      <c r="A680" s="348" t="str">
        <f>IF($B680="","",MAX($A$3:A679)+1)</f>
        <v/>
      </c>
      <c r="B680" s="253"/>
      <c r="C680" s="249"/>
      <c r="D680" s="263"/>
      <c r="E680" s="251"/>
      <c r="F680" s="340" t="str">
        <f>IF($B680="","",SUM(SUMIFS('Daily Inward'!$G:$G,'Daily Inward'!$C:$C,$B680,'Daily Inward'!$E:$E,{"Inventory","Services"})))</f>
        <v/>
      </c>
      <c r="G680" s="341" t="str">
        <f>IF($B680="","",SUM(SUMIFS('Daily Issuance'!$G:$G,'Daily Issuance'!$C:$C,$B680,'Daily Issuance'!$E:$E,{"Inventory","Services"})))</f>
        <v/>
      </c>
      <c r="H680" s="42" t="str">
        <f t="shared" si="20"/>
        <v/>
      </c>
      <c r="I680" s="39"/>
      <c r="J680" s="36" t="str">
        <f t="shared" si="21"/>
        <v/>
      </c>
      <c r="K680" s="48"/>
    </row>
    <row r="681" spans="1:11" ht="23.1" customHeight="1">
      <c r="A681" s="348" t="str">
        <f>IF($B681="","",MAX($A$3:A680)+1)</f>
        <v/>
      </c>
      <c r="B681" s="253"/>
      <c r="C681" s="249"/>
      <c r="D681" s="263"/>
      <c r="E681" s="251"/>
      <c r="F681" s="340" t="str">
        <f>IF($B681="","",SUM(SUMIFS('Daily Inward'!$G:$G,'Daily Inward'!$C:$C,$B681,'Daily Inward'!$E:$E,{"Inventory","Services"})))</f>
        <v/>
      </c>
      <c r="G681" s="341" t="str">
        <f>IF($B681="","",SUM(SUMIFS('Daily Issuance'!$G:$G,'Daily Issuance'!$C:$C,$B681,'Daily Issuance'!$E:$E,{"Inventory","Services"})))</f>
        <v/>
      </c>
      <c r="H681" s="42" t="str">
        <f t="shared" si="20"/>
        <v/>
      </c>
      <c r="I681" s="39"/>
      <c r="J681" s="36" t="str">
        <f t="shared" si="21"/>
        <v/>
      </c>
      <c r="K681" s="48"/>
    </row>
    <row r="682" spans="1:11" ht="23.1" customHeight="1">
      <c r="A682" s="348" t="str">
        <f>IF($B682="","",MAX($A$3:A681)+1)</f>
        <v/>
      </c>
      <c r="B682" s="253"/>
      <c r="C682" s="249"/>
      <c r="D682" s="263"/>
      <c r="E682" s="251"/>
      <c r="F682" s="340" t="str">
        <f>IF($B682="","",SUM(SUMIFS('Daily Inward'!$G:$G,'Daily Inward'!$C:$C,$B682,'Daily Inward'!$E:$E,{"Inventory","Services"})))</f>
        <v/>
      </c>
      <c r="G682" s="341" t="str">
        <f>IF($B682="","",SUM(SUMIFS('Daily Issuance'!$G:$G,'Daily Issuance'!$C:$C,$B682,'Daily Issuance'!$E:$E,{"Inventory","Services"})))</f>
        <v/>
      </c>
      <c r="H682" s="42" t="str">
        <f t="shared" si="20"/>
        <v/>
      </c>
      <c r="I682" s="39"/>
      <c r="J682" s="36" t="str">
        <f t="shared" si="21"/>
        <v/>
      </c>
      <c r="K682" s="48"/>
    </row>
    <row r="683" spans="1:11" ht="23.1" customHeight="1">
      <c r="A683" s="348" t="str">
        <f>IF($B683="","",MAX($A$3:A682)+1)</f>
        <v/>
      </c>
      <c r="B683" s="253"/>
      <c r="C683" s="249"/>
      <c r="D683" s="263"/>
      <c r="E683" s="251"/>
      <c r="F683" s="340" t="str">
        <f>IF($B683="","",SUM(SUMIFS('Daily Inward'!$G:$G,'Daily Inward'!$C:$C,$B683,'Daily Inward'!$E:$E,{"Inventory","Services"})))</f>
        <v/>
      </c>
      <c r="G683" s="341" t="str">
        <f>IF($B683="","",SUM(SUMIFS('Daily Issuance'!$G:$G,'Daily Issuance'!$C:$C,$B683,'Daily Issuance'!$E:$E,{"Inventory","Services"})))</f>
        <v/>
      </c>
      <c r="H683" s="42" t="str">
        <f t="shared" si="20"/>
        <v/>
      </c>
      <c r="I683" s="39"/>
      <c r="J683" s="36" t="str">
        <f t="shared" si="21"/>
        <v/>
      </c>
      <c r="K683" s="48"/>
    </row>
    <row r="684" spans="1:11" ht="23.1" customHeight="1">
      <c r="A684" s="348" t="str">
        <f>IF($B684="","",MAX($A$3:A683)+1)</f>
        <v/>
      </c>
      <c r="B684" s="253"/>
      <c r="C684" s="249"/>
      <c r="D684" s="263"/>
      <c r="E684" s="251"/>
      <c r="F684" s="340" t="str">
        <f>IF($B684="","",SUM(SUMIFS('Daily Inward'!$G:$G,'Daily Inward'!$C:$C,$B684,'Daily Inward'!$E:$E,{"Inventory","Services"})))</f>
        <v/>
      </c>
      <c r="G684" s="341" t="str">
        <f>IF($B684="","",SUM(SUMIFS('Daily Issuance'!$G:$G,'Daily Issuance'!$C:$C,$B684,'Daily Issuance'!$E:$E,{"Inventory","Services"})))</f>
        <v/>
      </c>
      <c r="H684" s="42" t="str">
        <f t="shared" si="20"/>
        <v/>
      </c>
      <c r="I684" s="39"/>
      <c r="J684" s="36" t="str">
        <f t="shared" si="21"/>
        <v/>
      </c>
      <c r="K684" s="48"/>
    </row>
    <row r="685" spans="1:11" ht="23.1" customHeight="1">
      <c r="A685" s="348" t="str">
        <f>IF($B685="","",MAX($A$3:A684)+1)</f>
        <v/>
      </c>
      <c r="B685" s="253"/>
      <c r="C685" s="249"/>
      <c r="D685" s="263"/>
      <c r="E685" s="251"/>
      <c r="F685" s="340" t="str">
        <f>IF($B685="","",SUM(SUMIFS('Daily Inward'!$G:$G,'Daily Inward'!$C:$C,$B685,'Daily Inward'!$E:$E,{"Inventory","Services"})))</f>
        <v/>
      </c>
      <c r="G685" s="341" t="str">
        <f>IF($B685="","",SUM(SUMIFS('Daily Issuance'!$G:$G,'Daily Issuance'!$C:$C,$B685,'Daily Issuance'!$E:$E,{"Inventory","Services"})))</f>
        <v/>
      </c>
      <c r="H685" s="42" t="str">
        <f t="shared" si="20"/>
        <v/>
      </c>
      <c r="I685" s="39"/>
      <c r="J685" s="36" t="str">
        <f t="shared" si="21"/>
        <v/>
      </c>
      <c r="K685" s="48"/>
    </row>
    <row r="686" spans="1:11" ht="23.1" customHeight="1">
      <c r="A686" s="348" t="str">
        <f>IF($B686="","",MAX($A$3:A685)+1)</f>
        <v/>
      </c>
      <c r="B686" s="253"/>
      <c r="C686" s="249"/>
      <c r="D686" s="263"/>
      <c r="E686" s="251"/>
      <c r="F686" s="340" t="str">
        <f>IF($B686="","",SUM(SUMIFS('Daily Inward'!$G:$G,'Daily Inward'!$C:$C,$B686,'Daily Inward'!$E:$E,{"Inventory","Services"})))</f>
        <v/>
      </c>
      <c r="G686" s="341" t="str">
        <f>IF($B686="","",SUM(SUMIFS('Daily Issuance'!$G:$G,'Daily Issuance'!$C:$C,$B686,'Daily Issuance'!$E:$E,{"Inventory","Services"})))</f>
        <v/>
      </c>
      <c r="H686" s="42" t="str">
        <f t="shared" si="20"/>
        <v/>
      </c>
      <c r="I686" s="39"/>
      <c r="J686" s="36" t="str">
        <f t="shared" si="21"/>
        <v/>
      </c>
      <c r="K686" s="48"/>
    </row>
    <row r="687" spans="1:11" ht="23.1" customHeight="1">
      <c r="A687" s="348" t="str">
        <f>IF($B687="","",MAX($A$3:A686)+1)</f>
        <v/>
      </c>
      <c r="B687" s="253"/>
      <c r="C687" s="249"/>
      <c r="D687" s="263"/>
      <c r="E687" s="251"/>
      <c r="F687" s="340" t="str">
        <f>IF($B687="","",SUM(SUMIFS('Daily Inward'!$G:$G,'Daily Inward'!$C:$C,$B687,'Daily Inward'!$E:$E,{"Inventory","Services"})))</f>
        <v/>
      </c>
      <c r="G687" s="341" t="str">
        <f>IF($B687="","",SUM(SUMIFS('Daily Issuance'!$G:$G,'Daily Issuance'!$C:$C,$B687,'Daily Issuance'!$E:$E,{"Inventory","Services"})))</f>
        <v/>
      </c>
      <c r="H687" s="42" t="str">
        <f t="shared" si="20"/>
        <v/>
      </c>
      <c r="I687" s="39"/>
      <c r="J687" s="36" t="str">
        <f t="shared" si="21"/>
        <v/>
      </c>
      <c r="K687" s="48"/>
    </row>
    <row r="688" spans="1:11" ht="23.1" customHeight="1">
      <c r="A688" s="348" t="str">
        <f>IF($B688="","",MAX($A$3:A687)+1)</f>
        <v/>
      </c>
      <c r="B688" s="253"/>
      <c r="C688" s="249"/>
      <c r="D688" s="263"/>
      <c r="E688" s="251"/>
      <c r="F688" s="340" t="str">
        <f>IF($B688="","",SUM(SUMIFS('Daily Inward'!$G:$G,'Daily Inward'!$C:$C,$B688,'Daily Inward'!$E:$E,{"Inventory","Services"})))</f>
        <v/>
      </c>
      <c r="G688" s="341" t="str">
        <f>IF($B688="","",SUM(SUMIFS('Daily Issuance'!$G:$G,'Daily Issuance'!$C:$C,$B688,'Daily Issuance'!$E:$E,{"Inventory","Services"})))</f>
        <v/>
      </c>
      <c r="H688" s="42" t="str">
        <f t="shared" si="20"/>
        <v/>
      </c>
      <c r="I688" s="39"/>
      <c r="J688" s="36" t="str">
        <f t="shared" si="21"/>
        <v/>
      </c>
      <c r="K688" s="48"/>
    </row>
    <row r="689" spans="1:11" ht="23.1" customHeight="1">
      <c r="A689" s="348" t="str">
        <f>IF($B689="","",MAX($A$3:A688)+1)</f>
        <v/>
      </c>
      <c r="B689" s="253"/>
      <c r="C689" s="249"/>
      <c r="D689" s="263"/>
      <c r="E689" s="251"/>
      <c r="F689" s="340" t="str">
        <f>IF($B689="","",SUM(SUMIFS('Daily Inward'!$G:$G,'Daily Inward'!$C:$C,$B689,'Daily Inward'!$E:$E,{"Inventory","Services"})))</f>
        <v/>
      </c>
      <c r="G689" s="341" t="str">
        <f>IF($B689="","",SUM(SUMIFS('Daily Issuance'!$G:$G,'Daily Issuance'!$C:$C,$B689,'Daily Issuance'!$E:$E,{"Inventory","Services"})))</f>
        <v/>
      </c>
      <c r="H689" s="42" t="str">
        <f t="shared" si="20"/>
        <v/>
      </c>
      <c r="I689" s="39"/>
      <c r="J689" s="36" t="str">
        <f t="shared" si="21"/>
        <v/>
      </c>
      <c r="K689" s="48"/>
    </row>
    <row r="690" spans="1:11" ht="23.1" customHeight="1">
      <c r="A690" s="348" t="str">
        <f>IF($B690="","",MAX($A$3:A689)+1)</f>
        <v/>
      </c>
      <c r="B690" s="253"/>
      <c r="C690" s="249"/>
      <c r="D690" s="263"/>
      <c r="E690" s="251"/>
      <c r="F690" s="340" t="str">
        <f>IF($B690="","",SUM(SUMIFS('Daily Inward'!$G:$G,'Daily Inward'!$C:$C,$B690,'Daily Inward'!$E:$E,{"Inventory","Services"})))</f>
        <v/>
      </c>
      <c r="G690" s="341" t="str">
        <f>IF($B690="","",SUM(SUMIFS('Daily Issuance'!$G:$G,'Daily Issuance'!$C:$C,$B690,'Daily Issuance'!$E:$E,{"Inventory","Services"})))</f>
        <v/>
      </c>
      <c r="H690" s="42" t="str">
        <f t="shared" si="20"/>
        <v/>
      </c>
      <c r="I690" s="39"/>
      <c r="J690" s="36" t="str">
        <f t="shared" si="21"/>
        <v/>
      </c>
      <c r="K690" s="48"/>
    </row>
    <row r="691" spans="1:11" ht="23.1" customHeight="1">
      <c r="A691" s="348" t="str">
        <f>IF($B691="","",MAX($A$3:A690)+1)</f>
        <v/>
      </c>
      <c r="B691" s="253"/>
      <c r="C691" s="249"/>
      <c r="D691" s="263"/>
      <c r="E691" s="251"/>
      <c r="F691" s="340" t="str">
        <f>IF($B691="","",SUM(SUMIFS('Daily Inward'!$G:$G,'Daily Inward'!$C:$C,$B691,'Daily Inward'!$E:$E,{"Inventory","Services"})))</f>
        <v/>
      </c>
      <c r="G691" s="341" t="str">
        <f>IF($B691="","",SUM(SUMIFS('Daily Issuance'!$G:$G,'Daily Issuance'!$C:$C,$B691,'Daily Issuance'!$E:$E,{"Inventory","Services"})))</f>
        <v/>
      </c>
      <c r="H691" s="42" t="str">
        <f t="shared" si="20"/>
        <v/>
      </c>
      <c r="I691" s="39"/>
      <c r="J691" s="36" t="str">
        <f t="shared" si="21"/>
        <v/>
      </c>
      <c r="K691" s="48"/>
    </row>
    <row r="692" spans="1:11" ht="23.1" customHeight="1">
      <c r="A692" s="348" t="str">
        <f>IF($B692="","",MAX($A$3:A691)+1)</f>
        <v/>
      </c>
      <c r="B692" s="253"/>
      <c r="C692" s="249"/>
      <c r="D692" s="263"/>
      <c r="E692" s="251"/>
      <c r="F692" s="340" t="str">
        <f>IF($B692="","",SUM(SUMIFS('Daily Inward'!$G:$G,'Daily Inward'!$C:$C,$B692,'Daily Inward'!$E:$E,{"Inventory","Services"})))</f>
        <v/>
      </c>
      <c r="G692" s="341" t="str">
        <f>IF($B692="","",SUM(SUMIFS('Daily Issuance'!$G:$G,'Daily Issuance'!$C:$C,$B692,'Daily Issuance'!$E:$E,{"Inventory","Services"})))</f>
        <v/>
      </c>
      <c r="H692" s="42" t="str">
        <f t="shared" si="20"/>
        <v/>
      </c>
      <c r="I692" s="39"/>
      <c r="J692" s="36" t="str">
        <f t="shared" si="21"/>
        <v/>
      </c>
      <c r="K692" s="48"/>
    </row>
    <row r="693" spans="1:11" ht="23.1" customHeight="1">
      <c r="A693" s="348" t="str">
        <f>IF($B693="","",MAX($A$3:A692)+1)</f>
        <v/>
      </c>
      <c r="B693" s="253"/>
      <c r="C693" s="249"/>
      <c r="D693" s="263"/>
      <c r="E693" s="251"/>
      <c r="F693" s="340" t="str">
        <f>IF($B693="","",SUM(SUMIFS('Daily Inward'!$G:$G,'Daily Inward'!$C:$C,$B693,'Daily Inward'!$E:$E,{"Inventory","Services"})))</f>
        <v/>
      </c>
      <c r="G693" s="341" t="str">
        <f>IF($B693="","",SUM(SUMIFS('Daily Issuance'!$G:$G,'Daily Issuance'!$C:$C,$B693,'Daily Issuance'!$E:$E,{"Inventory","Services"})))</f>
        <v/>
      </c>
      <c r="H693" s="42" t="str">
        <f t="shared" si="20"/>
        <v/>
      </c>
      <c r="I693" s="39"/>
      <c r="J693" s="36" t="str">
        <f t="shared" si="21"/>
        <v/>
      </c>
      <c r="K693" s="48"/>
    </row>
    <row r="694" spans="1:11" ht="23.1" customHeight="1">
      <c r="A694" s="348" t="str">
        <f>IF($B694="","",MAX($A$3:A693)+1)</f>
        <v/>
      </c>
      <c r="B694" s="253"/>
      <c r="C694" s="249"/>
      <c r="D694" s="263"/>
      <c r="E694" s="251"/>
      <c r="F694" s="340" t="str">
        <f>IF($B694="","",SUM(SUMIFS('Daily Inward'!$G:$G,'Daily Inward'!$C:$C,$B694,'Daily Inward'!$E:$E,{"Inventory","Services"})))</f>
        <v/>
      </c>
      <c r="G694" s="341" t="str">
        <f>IF($B694="","",SUM(SUMIFS('Daily Issuance'!$G:$G,'Daily Issuance'!$C:$C,$B694,'Daily Issuance'!$E:$E,{"Inventory","Services"})))</f>
        <v/>
      </c>
      <c r="H694" s="42" t="str">
        <f t="shared" si="20"/>
        <v/>
      </c>
      <c r="I694" s="39"/>
      <c r="J694" s="36" t="str">
        <f t="shared" si="21"/>
        <v/>
      </c>
      <c r="K694" s="48"/>
    </row>
    <row r="695" spans="1:11" ht="23.1" customHeight="1">
      <c r="A695" s="348" t="str">
        <f>IF($B695="","",MAX($A$3:A694)+1)</f>
        <v/>
      </c>
      <c r="B695" s="253"/>
      <c r="C695" s="249"/>
      <c r="D695" s="263"/>
      <c r="E695" s="251"/>
      <c r="F695" s="340" t="str">
        <f>IF($B695="","",SUM(SUMIFS('Daily Inward'!$G:$G,'Daily Inward'!$C:$C,$B695,'Daily Inward'!$E:$E,{"Inventory","Services"})))</f>
        <v/>
      </c>
      <c r="G695" s="341" t="str">
        <f>IF($B695="","",SUM(SUMIFS('Daily Issuance'!$G:$G,'Daily Issuance'!$C:$C,$B695,'Daily Issuance'!$E:$E,{"Inventory","Services"})))</f>
        <v/>
      </c>
      <c r="H695" s="42" t="str">
        <f t="shared" si="20"/>
        <v/>
      </c>
      <c r="I695" s="39"/>
      <c r="J695" s="36" t="str">
        <f t="shared" si="21"/>
        <v/>
      </c>
      <c r="K695" s="48"/>
    </row>
    <row r="696" spans="1:11" ht="23.1" customHeight="1">
      <c r="A696" s="348" t="str">
        <f>IF($B696="","",MAX($A$3:A695)+1)</f>
        <v/>
      </c>
      <c r="B696" s="253"/>
      <c r="C696" s="249"/>
      <c r="D696" s="263"/>
      <c r="E696" s="251"/>
      <c r="F696" s="340" t="str">
        <f>IF($B696="","",SUM(SUMIFS('Daily Inward'!$G:$G,'Daily Inward'!$C:$C,$B696,'Daily Inward'!$E:$E,{"Inventory","Services"})))</f>
        <v/>
      </c>
      <c r="G696" s="341" t="str">
        <f>IF($B696="","",SUM(SUMIFS('Daily Issuance'!$G:$G,'Daily Issuance'!$C:$C,$B696,'Daily Issuance'!$E:$E,{"Inventory","Services"})))</f>
        <v/>
      </c>
      <c r="H696" s="42" t="str">
        <f t="shared" si="20"/>
        <v/>
      </c>
      <c r="I696" s="39"/>
      <c r="J696" s="36" t="str">
        <f t="shared" si="21"/>
        <v/>
      </c>
      <c r="K696" s="48"/>
    </row>
    <row r="697" spans="1:11" ht="23.1" customHeight="1">
      <c r="A697" s="348" t="str">
        <f>IF($B697="","",MAX($A$3:A696)+1)</f>
        <v/>
      </c>
      <c r="B697" s="253"/>
      <c r="C697" s="249"/>
      <c r="D697" s="263"/>
      <c r="E697" s="251"/>
      <c r="F697" s="340" t="str">
        <f>IF($B697="","",SUM(SUMIFS('Daily Inward'!$G:$G,'Daily Inward'!$C:$C,$B697,'Daily Inward'!$E:$E,{"Inventory","Services"})))</f>
        <v/>
      </c>
      <c r="G697" s="341" t="str">
        <f>IF($B697="","",SUM(SUMIFS('Daily Issuance'!$G:$G,'Daily Issuance'!$C:$C,$B697,'Daily Issuance'!$E:$E,{"Inventory","Services"})))</f>
        <v/>
      </c>
      <c r="H697" s="42" t="str">
        <f t="shared" si="20"/>
        <v/>
      </c>
      <c r="I697" s="39"/>
      <c r="J697" s="36" t="str">
        <f t="shared" si="21"/>
        <v/>
      </c>
      <c r="K697" s="48"/>
    </row>
    <row r="698" spans="1:11" ht="23.1" customHeight="1">
      <c r="A698" s="348" t="str">
        <f>IF($B698="","",MAX($A$3:A697)+1)</f>
        <v/>
      </c>
      <c r="B698" s="253"/>
      <c r="C698" s="249"/>
      <c r="D698" s="263"/>
      <c r="E698" s="251"/>
      <c r="F698" s="340" t="str">
        <f>IF($B698="","",SUM(SUMIFS('Daily Inward'!$G:$G,'Daily Inward'!$C:$C,$B698,'Daily Inward'!$E:$E,{"Inventory","Services"})))</f>
        <v/>
      </c>
      <c r="G698" s="341" t="str">
        <f>IF($B698="","",SUM(SUMIFS('Daily Issuance'!$G:$G,'Daily Issuance'!$C:$C,$B698,'Daily Issuance'!$E:$E,{"Inventory","Services"})))</f>
        <v/>
      </c>
      <c r="H698" s="42" t="str">
        <f t="shared" si="20"/>
        <v/>
      </c>
      <c r="I698" s="39"/>
      <c r="J698" s="36" t="str">
        <f t="shared" si="21"/>
        <v/>
      </c>
      <c r="K698" s="48"/>
    </row>
    <row r="699" spans="1:11" ht="23.1" customHeight="1">
      <c r="A699" s="348" t="str">
        <f>IF($B699="","",MAX($A$3:A698)+1)</f>
        <v/>
      </c>
      <c r="B699" s="253"/>
      <c r="C699" s="249"/>
      <c r="D699" s="263"/>
      <c r="E699" s="251"/>
      <c r="F699" s="340" t="str">
        <f>IF($B699="","",SUM(SUMIFS('Daily Inward'!$G:$G,'Daily Inward'!$C:$C,$B699,'Daily Inward'!$E:$E,{"Inventory","Services"})))</f>
        <v/>
      </c>
      <c r="G699" s="341" t="str">
        <f>IF($B699="","",SUM(SUMIFS('Daily Issuance'!$G:$G,'Daily Issuance'!$C:$C,$B699,'Daily Issuance'!$E:$E,{"Inventory","Services"})))</f>
        <v/>
      </c>
      <c r="H699" s="42" t="str">
        <f t="shared" si="20"/>
        <v/>
      </c>
      <c r="I699" s="39"/>
      <c r="J699" s="36" t="str">
        <f t="shared" si="21"/>
        <v/>
      </c>
      <c r="K699" s="48"/>
    </row>
    <row r="700" spans="1:11" ht="23.1" customHeight="1">
      <c r="A700" s="348" t="str">
        <f>IF($B700="","",MAX($A$3:A699)+1)</f>
        <v/>
      </c>
      <c r="B700" s="253"/>
      <c r="C700" s="249"/>
      <c r="D700" s="263"/>
      <c r="E700" s="251"/>
      <c r="F700" s="340" t="str">
        <f>IF($B700="","",SUM(SUMIFS('Daily Inward'!$G:$G,'Daily Inward'!$C:$C,$B700,'Daily Inward'!$E:$E,{"Inventory","Services"})))</f>
        <v/>
      </c>
      <c r="G700" s="341" t="str">
        <f>IF($B700="","",SUM(SUMIFS('Daily Issuance'!$G:$G,'Daily Issuance'!$C:$C,$B700,'Daily Issuance'!$E:$E,{"Inventory","Services"})))</f>
        <v/>
      </c>
      <c r="H700" s="42" t="str">
        <f t="shared" si="20"/>
        <v/>
      </c>
      <c r="I700" s="39"/>
      <c r="J700" s="36" t="str">
        <f t="shared" si="21"/>
        <v/>
      </c>
      <c r="K700" s="48"/>
    </row>
    <row r="701" spans="1:11" ht="23.1" customHeight="1">
      <c r="A701" s="348" t="str">
        <f>IF($B701="","",MAX($A$3:A700)+1)</f>
        <v/>
      </c>
      <c r="B701" s="253"/>
      <c r="C701" s="249"/>
      <c r="D701" s="263"/>
      <c r="E701" s="251"/>
      <c r="F701" s="340" t="str">
        <f>IF($B701="","",SUM(SUMIFS('Daily Inward'!$G:$G,'Daily Inward'!$C:$C,$B701,'Daily Inward'!$E:$E,{"Inventory","Services"})))</f>
        <v/>
      </c>
      <c r="G701" s="341" t="str">
        <f>IF($B701="","",SUM(SUMIFS('Daily Issuance'!$G:$G,'Daily Issuance'!$C:$C,$B701,'Daily Issuance'!$E:$E,{"Inventory","Services"})))</f>
        <v/>
      </c>
      <c r="H701" s="42" t="str">
        <f t="shared" si="20"/>
        <v/>
      </c>
      <c r="I701" s="39"/>
      <c r="J701" s="36" t="str">
        <f t="shared" si="21"/>
        <v/>
      </c>
      <c r="K701" s="48"/>
    </row>
    <row r="702" spans="1:11" ht="23.1" customHeight="1">
      <c r="A702" s="348" t="str">
        <f>IF($B702="","",MAX($A$3:A701)+1)</f>
        <v/>
      </c>
      <c r="B702" s="253"/>
      <c r="C702" s="249"/>
      <c r="D702" s="263"/>
      <c r="E702" s="251"/>
      <c r="F702" s="340" t="str">
        <f>IF($B702="","",SUM(SUMIFS('Daily Inward'!$G:$G,'Daily Inward'!$C:$C,$B702,'Daily Inward'!$E:$E,{"Inventory","Services"})))</f>
        <v/>
      </c>
      <c r="G702" s="341" t="str">
        <f>IF($B702="","",SUM(SUMIFS('Daily Issuance'!$G:$G,'Daily Issuance'!$C:$C,$B702,'Daily Issuance'!$E:$E,{"Inventory","Services"})))</f>
        <v/>
      </c>
      <c r="H702" s="42" t="str">
        <f t="shared" si="20"/>
        <v/>
      </c>
      <c r="I702" s="39"/>
      <c r="J702" s="36" t="str">
        <f t="shared" si="21"/>
        <v/>
      </c>
      <c r="K702" s="48"/>
    </row>
    <row r="703" spans="1:11" ht="23.1" customHeight="1">
      <c r="A703" s="348" t="str">
        <f>IF($B703="","",MAX($A$3:A702)+1)</f>
        <v/>
      </c>
      <c r="B703" s="253"/>
      <c r="C703" s="249"/>
      <c r="D703" s="263"/>
      <c r="E703" s="251"/>
      <c r="F703" s="340" t="str">
        <f>IF($B703="","",SUM(SUMIFS('Daily Inward'!$G:$G,'Daily Inward'!$C:$C,$B703,'Daily Inward'!$E:$E,{"Inventory","Services"})))</f>
        <v/>
      </c>
      <c r="G703" s="341" t="str">
        <f>IF($B703="","",SUM(SUMIFS('Daily Issuance'!$G:$G,'Daily Issuance'!$C:$C,$B703,'Daily Issuance'!$E:$E,{"Inventory","Services"})))</f>
        <v/>
      </c>
      <c r="H703" s="42" t="str">
        <f t="shared" si="20"/>
        <v/>
      </c>
      <c r="I703" s="39"/>
      <c r="J703" s="36" t="str">
        <f t="shared" si="21"/>
        <v/>
      </c>
      <c r="K703" s="48"/>
    </row>
    <row r="704" spans="1:11" ht="23.1" customHeight="1">
      <c r="A704" s="348" t="str">
        <f>IF($B704="","",MAX($A$3:A703)+1)</f>
        <v/>
      </c>
      <c r="B704" s="253"/>
      <c r="C704" s="249"/>
      <c r="D704" s="263"/>
      <c r="E704" s="251"/>
      <c r="F704" s="340" t="str">
        <f>IF($B704="","",SUM(SUMIFS('Daily Inward'!$G:$G,'Daily Inward'!$C:$C,$B704,'Daily Inward'!$E:$E,{"Inventory","Services"})))</f>
        <v/>
      </c>
      <c r="G704" s="341" t="str">
        <f>IF($B704="","",SUM(SUMIFS('Daily Issuance'!$G:$G,'Daily Issuance'!$C:$C,$B704,'Daily Issuance'!$E:$E,{"Inventory","Services"})))</f>
        <v/>
      </c>
      <c r="H704" s="42" t="str">
        <f t="shared" si="20"/>
        <v/>
      </c>
      <c r="I704" s="39"/>
      <c r="J704" s="36" t="str">
        <f t="shared" si="21"/>
        <v/>
      </c>
      <c r="K704" s="48"/>
    </row>
    <row r="705" spans="1:11" ht="23.1" customHeight="1">
      <c r="A705" s="348" t="str">
        <f>IF($B705="","",MAX($A$3:A704)+1)</f>
        <v/>
      </c>
      <c r="B705" s="253"/>
      <c r="C705" s="249"/>
      <c r="D705" s="263"/>
      <c r="E705" s="251"/>
      <c r="F705" s="340" t="str">
        <f>IF($B705="","",SUM(SUMIFS('Daily Inward'!$G:$G,'Daily Inward'!$C:$C,$B705,'Daily Inward'!$E:$E,{"Inventory","Services"})))</f>
        <v/>
      </c>
      <c r="G705" s="341" t="str">
        <f>IF($B705="","",SUM(SUMIFS('Daily Issuance'!$G:$G,'Daily Issuance'!$C:$C,$B705,'Daily Issuance'!$E:$E,{"Inventory","Services"})))</f>
        <v/>
      </c>
      <c r="H705" s="42" t="str">
        <f t="shared" si="20"/>
        <v/>
      </c>
      <c r="I705" s="39"/>
      <c r="J705" s="36" t="str">
        <f t="shared" si="21"/>
        <v/>
      </c>
      <c r="K705" s="48"/>
    </row>
    <row r="706" spans="1:11" ht="23.1" customHeight="1">
      <c r="A706" s="348" t="str">
        <f>IF($B706="","",MAX($A$3:A705)+1)</f>
        <v/>
      </c>
      <c r="B706" s="253"/>
      <c r="C706" s="249"/>
      <c r="D706" s="263"/>
      <c r="E706" s="251"/>
      <c r="F706" s="340" t="str">
        <f>IF($B706="","",SUM(SUMIFS('Daily Inward'!$G:$G,'Daily Inward'!$C:$C,$B706,'Daily Inward'!$E:$E,{"Inventory","Services"})))</f>
        <v/>
      </c>
      <c r="G706" s="341" t="str">
        <f>IF($B706="","",SUM(SUMIFS('Daily Issuance'!$G:$G,'Daily Issuance'!$C:$C,$B706,'Daily Issuance'!$E:$E,{"Inventory","Services"})))</f>
        <v/>
      </c>
      <c r="H706" s="42" t="str">
        <f t="shared" si="20"/>
        <v/>
      </c>
      <c r="I706" s="39"/>
      <c r="J706" s="36" t="str">
        <f t="shared" si="21"/>
        <v/>
      </c>
      <c r="K706" s="48"/>
    </row>
    <row r="707" spans="1:11" ht="23.1" customHeight="1">
      <c r="A707" s="348" t="str">
        <f>IF($B707="","",MAX($A$3:A706)+1)</f>
        <v/>
      </c>
      <c r="B707" s="253"/>
      <c r="C707" s="249"/>
      <c r="D707" s="263"/>
      <c r="E707" s="251"/>
      <c r="F707" s="340" t="str">
        <f>IF($B707="","",SUM(SUMIFS('Daily Inward'!$G:$G,'Daily Inward'!$C:$C,$B707,'Daily Inward'!$E:$E,{"Inventory","Services"})))</f>
        <v/>
      </c>
      <c r="G707" s="341" t="str">
        <f>IF($B707="","",SUM(SUMIFS('Daily Issuance'!$G:$G,'Daily Issuance'!$C:$C,$B707,'Daily Issuance'!$E:$E,{"Inventory","Services"})))</f>
        <v/>
      </c>
      <c r="H707" s="42" t="str">
        <f t="shared" si="20"/>
        <v/>
      </c>
      <c r="I707" s="39"/>
      <c r="J707" s="36" t="str">
        <f t="shared" si="21"/>
        <v/>
      </c>
      <c r="K707" s="48"/>
    </row>
    <row r="708" spans="1:11" ht="23.1" customHeight="1">
      <c r="A708" s="348" t="str">
        <f>IF($B708="","",MAX($A$3:A707)+1)</f>
        <v/>
      </c>
      <c r="B708" s="253"/>
      <c r="C708" s="249"/>
      <c r="D708" s="263"/>
      <c r="E708" s="251"/>
      <c r="F708" s="340" t="str">
        <f>IF($B708="","",SUM(SUMIFS('Daily Inward'!$G:$G,'Daily Inward'!$C:$C,$B708,'Daily Inward'!$E:$E,{"Inventory","Services"})))</f>
        <v/>
      </c>
      <c r="G708" s="341" t="str">
        <f>IF($B708="","",SUM(SUMIFS('Daily Issuance'!$G:$G,'Daily Issuance'!$C:$C,$B708,'Daily Issuance'!$E:$E,{"Inventory","Services"})))</f>
        <v/>
      </c>
      <c r="H708" s="42" t="str">
        <f t="shared" ref="H708:H771" si="22">IF($B708="","",N(E708)+N(F708)-N(G708))</f>
        <v/>
      </c>
      <c r="I708" s="39"/>
      <c r="J708" s="36" t="str">
        <f t="shared" ref="J708:J771" si="23">IF($B708="","",H708*I708)</f>
        <v/>
      </c>
      <c r="K708" s="48"/>
    </row>
    <row r="709" spans="1:11" ht="23.1" customHeight="1">
      <c r="A709" s="348" t="str">
        <f>IF($B709="","",MAX($A$3:A708)+1)</f>
        <v/>
      </c>
      <c r="B709" s="253"/>
      <c r="C709" s="249"/>
      <c r="D709" s="263"/>
      <c r="E709" s="251"/>
      <c r="F709" s="340" t="str">
        <f>IF($B709="","",SUM(SUMIFS('Daily Inward'!$G:$G,'Daily Inward'!$C:$C,$B709,'Daily Inward'!$E:$E,{"Inventory","Services"})))</f>
        <v/>
      </c>
      <c r="G709" s="341" t="str">
        <f>IF($B709="","",SUM(SUMIFS('Daily Issuance'!$G:$G,'Daily Issuance'!$C:$C,$B709,'Daily Issuance'!$E:$E,{"Inventory","Services"})))</f>
        <v/>
      </c>
      <c r="H709" s="42" t="str">
        <f t="shared" si="22"/>
        <v/>
      </c>
      <c r="I709" s="39"/>
      <c r="J709" s="36" t="str">
        <f t="shared" si="23"/>
        <v/>
      </c>
      <c r="K709" s="48"/>
    </row>
    <row r="710" spans="1:11" ht="23.1" customHeight="1">
      <c r="A710" s="348" t="str">
        <f>IF($B710="","",MAX($A$3:A709)+1)</f>
        <v/>
      </c>
      <c r="B710" s="253"/>
      <c r="C710" s="249"/>
      <c r="D710" s="263"/>
      <c r="E710" s="251"/>
      <c r="F710" s="340" t="str">
        <f>IF($B710="","",SUM(SUMIFS('Daily Inward'!$G:$G,'Daily Inward'!$C:$C,$B710,'Daily Inward'!$E:$E,{"Inventory","Services"})))</f>
        <v/>
      </c>
      <c r="G710" s="341" t="str">
        <f>IF($B710="","",SUM(SUMIFS('Daily Issuance'!$G:$G,'Daily Issuance'!$C:$C,$B710,'Daily Issuance'!$E:$E,{"Inventory","Services"})))</f>
        <v/>
      </c>
      <c r="H710" s="42" t="str">
        <f t="shared" si="22"/>
        <v/>
      </c>
      <c r="I710" s="39"/>
      <c r="J710" s="36" t="str">
        <f t="shared" si="23"/>
        <v/>
      </c>
      <c r="K710" s="48"/>
    </row>
    <row r="711" spans="1:11" ht="23.1" customHeight="1">
      <c r="A711" s="348" t="str">
        <f>IF($B711="","",MAX($A$3:A710)+1)</f>
        <v/>
      </c>
      <c r="B711" s="253"/>
      <c r="C711" s="249"/>
      <c r="D711" s="263"/>
      <c r="E711" s="251"/>
      <c r="F711" s="340" t="str">
        <f>IF($B711="","",SUM(SUMIFS('Daily Inward'!$G:$G,'Daily Inward'!$C:$C,$B711,'Daily Inward'!$E:$E,{"Inventory","Services"})))</f>
        <v/>
      </c>
      <c r="G711" s="341" t="str">
        <f>IF($B711="","",SUM(SUMIFS('Daily Issuance'!$G:$G,'Daily Issuance'!$C:$C,$B711,'Daily Issuance'!$E:$E,{"Inventory","Services"})))</f>
        <v/>
      </c>
      <c r="H711" s="42" t="str">
        <f t="shared" si="22"/>
        <v/>
      </c>
      <c r="I711" s="39"/>
      <c r="J711" s="36" t="str">
        <f t="shared" si="23"/>
        <v/>
      </c>
      <c r="K711" s="48"/>
    </row>
    <row r="712" spans="1:11" ht="23.1" customHeight="1">
      <c r="A712" s="348" t="str">
        <f>IF($B712="","",MAX($A$3:A711)+1)</f>
        <v/>
      </c>
      <c r="B712" s="253"/>
      <c r="C712" s="249"/>
      <c r="D712" s="263"/>
      <c r="E712" s="251"/>
      <c r="F712" s="340" t="str">
        <f>IF($B712="","",SUM(SUMIFS('Daily Inward'!$G:$G,'Daily Inward'!$C:$C,$B712,'Daily Inward'!$E:$E,{"Inventory","Services"})))</f>
        <v/>
      </c>
      <c r="G712" s="341" t="str">
        <f>IF($B712="","",SUM(SUMIFS('Daily Issuance'!$G:$G,'Daily Issuance'!$C:$C,$B712,'Daily Issuance'!$E:$E,{"Inventory","Services"})))</f>
        <v/>
      </c>
      <c r="H712" s="42" t="str">
        <f t="shared" si="22"/>
        <v/>
      </c>
      <c r="I712" s="39"/>
      <c r="J712" s="36" t="str">
        <f t="shared" si="23"/>
        <v/>
      </c>
      <c r="K712" s="48"/>
    </row>
    <row r="713" spans="1:11" ht="23.1" customHeight="1">
      <c r="A713" s="348" t="str">
        <f>IF($B713="","",MAX($A$3:A712)+1)</f>
        <v/>
      </c>
      <c r="B713" s="253"/>
      <c r="C713" s="249"/>
      <c r="D713" s="263"/>
      <c r="E713" s="251"/>
      <c r="F713" s="340" t="str">
        <f>IF($B713="","",SUM(SUMIFS('Daily Inward'!$G:$G,'Daily Inward'!$C:$C,$B713,'Daily Inward'!$E:$E,{"Inventory","Services"})))</f>
        <v/>
      </c>
      <c r="G713" s="341" t="str">
        <f>IF($B713="","",SUM(SUMIFS('Daily Issuance'!$G:$G,'Daily Issuance'!$C:$C,$B713,'Daily Issuance'!$E:$E,{"Inventory","Services"})))</f>
        <v/>
      </c>
      <c r="H713" s="42" t="str">
        <f t="shared" si="22"/>
        <v/>
      </c>
      <c r="I713" s="39"/>
      <c r="J713" s="36" t="str">
        <f t="shared" si="23"/>
        <v/>
      </c>
      <c r="K713" s="48"/>
    </row>
    <row r="714" spans="1:11" ht="23.1" customHeight="1">
      <c r="A714" s="348" t="str">
        <f>IF($B714="","",MAX($A$3:A713)+1)</f>
        <v/>
      </c>
      <c r="B714" s="253"/>
      <c r="C714" s="249"/>
      <c r="D714" s="263"/>
      <c r="E714" s="251"/>
      <c r="F714" s="340" t="str">
        <f>IF($B714="","",SUM(SUMIFS('Daily Inward'!$G:$G,'Daily Inward'!$C:$C,$B714,'Daily Inward'!$E:$E,{"Inventory","Services"})))</f>
        <v/>
      </c>
      <c r="G714" s="341" t="str">
        <f>IF($B714="","",SUM(SUMIFS('Daily Issuance'!$G:$G,'Daily Issuance'!$C:$C,$B714,'Daily Issuance'!$E:$E,{"Inventory","Services"})))</f>
        <v/>
      </c>
      <c r="H714" s="42" t="str">
        <f t="shared" si="22"/>
        <v/>
      </c>
      <c r="I714" s="39"/>
      <c r="J714" s="36" t="str">
        <f t="shared" si="23"/>
        <v/>
      </c>
      <c r="K714" s="48"/>
    </row>
    <row r="715" spans="1:11" ht="23.1" customHeight="1">
      <c r="A715" s="348" t="str">
        <f>IF($B715="","",MAX($A$3:A714)+1)</f>
        <v/>
      </c>
      <c r="B715" s="253"/>
      <c r="C715" s="249"/>
      <c r="D715" s="263"/>
      <c r="E715" s="251"/>
      <c r="F715" s="340" t="str">
        <f>IF($B715="","",SUM(SUMIFS('Daily Inward'!$G:$G,'Daily Inward'!$C:$C,$B715,'Daily Inward'!$E:$E,{"Inventory","Services"})))</f>
        <v/>
      </c>
      <c r="G715" s="341" t="str">
        <f>IF($B715="","",SUM(SUMIFS('Daily Issuance'!$G:$G,'Daily Issuance'!$C:$C,$B715,'Daily Issuance'!$E:$E,{"Inventory","Services"})))</f>
        <v/>
      </c>
      <c r="H715" s="42" t="str">
        <f t="shared" si="22"/>
        <v/>
      </c>
      <c r="I715" s="39"/>
      <c r="J715" s="36" t="str">
        <f t="shared" si="23"/>
        <v/>
      </c>
      <c r="K715" s="48"/>
    </row>
    <row r="716" spans="1:11" ht="23.1" customHeight="1">
      <c r="A716" s="348" t="str">
        <f>IF($B716="","",MAX($A$3:A715)+1)</f>
        <v/>
      </c>
      <c r="B716" s="253"/>
      <c r="C716" s="249"/>
      <c r="D716" s="263"/>
      <c r="E716" s="251"/>
      <c r="F716" s="340" t="str">
        <f>IF($B716="","",SUM(SUMIFS('Daily Inward'!$G:$G,'Daily Inward'!$C:$C,$B716,'Daily Inward'!$E:$E,{"Inventory","Services"})))</f>
        <v/>
      </c>
      <c r="G716" s="341" t="str">
        <f>IF($B716="","",SUM(SUMIFS('Daily Issuance'!$G:$G,'Daily Issuance'!$C:$C,$B716,'Daily Issuance'!$E:$E,{"Inventory","Services"})))</f>
        <v/>
      </c>
      <c r="H716" s="42" t="str">
        <f t="shared" si="22"/>
        <v/>
      </c>
      <c r="I716" s="39"/>
      <c r="J716" s="36" t="str">
        <f t="shared" si="23"/>
        <v/>
      </c>
      <c r="K716" s="48"/>
    </row>
    <row r="717" spans="1:11" ht="23.1" customHeight="1">
      <c r="A717" s="348" t="str">
        <f>IF($B717="","",MAX($A$3:A716)+1)</f>
        <v/>
      </c>
      <c r="B717" s="253"/>
      <c r="C717" s="249"/>
      <c r="D717" s="263"/>
      <c r="E717" s="251"/>
      <c r="F717" s="340" t="str">
        <f>IF($B717="","",SUM(SUMIFS('Daily Inward'!$G:$G,'Daily Inward'!$C:$C,$B717,'Daily Inward'!$E:$E,{"Inventory","Services"})))</f>
        <v/>
      </c>
      <c r="G717" s="341" t="str">
        <f>IF($B717="","",SUM(SUMIFS('Daily Issuance'!$G:$G,'Daily Issuance'!$C:$C,$B717,'Daily Issuance'!$E:$E,{"Inventory","Services"})))</f>
        <v/>
      </c>
      <c r="H717" s="42" t="str">
        <f t="shared" si="22"/>
        <v/>
      </c>
      <c r="I717" s="39"/>
      <c r="J717" s="36" t="str">
        <f t="shared" si="23"/>
        <v/>
      </c>
      <c r="K717" s="48"/>
    </row>
    <row r="718" spans="1:11" ht="23.1" customHeight="1">
      <c r="A718" s="348" t="str">
        <f>IF($B718="","",MAX($A$3:A717)+1)</f>
        <v/>
      </c>
      <c r="B718" s="253"/>
      <c r="C718" s="249"/>
      <c r="D718" s="263"/>
      <c r="E718" s="251"/>
      <c r="F718" s="340" t="str">
        <f>IF($B718="","",SUM(SUMIFS('Daily Inward'!$G:$G,'Daily Inward'!$C:$C,$B718,'Daily Inward'!$E:$E,{"Inventory","Services"})))</f>
        <v/>
      </c>
      <c r="G718" s="341" t="str">
        <f>IF($B718="","",SUM(SUMIFS('Daily Issuance'!$G:$G,'Daily Issuance'!$C:$C,$B718,'Daily Issuance'!$E:$E,{"Inventory","Services"})))</f>
        <v/>
      </c>
      <c r="H718" s="42" t="str">
        <f t="shared" si="22"/>
        <v/>
      </c>
      <c r="I718" s="39"/>
      <c r="J718" s="36" t="str">
        <f t="shared" si="23"/>
        <v/>
      </c>
      <c r="K718" s="48"/>
    </row>
    <row r="719" spans="1:11" ht="23.1" customHeight="1">
      <c r="A719" s="348" t="str">
        <f>IF($B719="","",MAX($A$3:A718)+1)</f>
        <v/>
      </c>
      <c r="B719" s="253"/>
      <c r="C719" s="249"/>
      <c r="D719" s="263"/>
      <c r="E719" s="251"/>
      <c r="F719" s="340" t="str">
        <f>IF($B719="","",SUM(SUMIFS('Daily Inward'!$G:$G,'Daily Inward'!$C:$C,$B719,'Daily Inward'!$E:$E,{"Inventory","Services"})))</f>
        <v/>
      </c>
      <c r="G719" s="341" t="str">
        <f>IF($B719="","",SUM(SUMIFS('Daily Issuance'!$G:$G,'Daily Issuance'!$C:$C,$B719,'Daily Issuance'!$E:$E,{"Inventory","Services"})))</f>
        <v/>
      </c>
      <c r="H719" s="42" t="str">
        <f t="shared" si="22"/>
        <v/>
      </c>
      <c r="I719" s="39"/>
      <c r="J719" s="36" t="str">
        <f t="shared" si="23"/>
        <v/>
      </c>
      <c r="K719" s="48"/>
    </row>
    <row r="720" spans="1:11" ht="23.1" customHeight="1">
      <c r="A720" s="348" t="str">
        <f>IF($B720="","",MAX($A$3:A719)+1)</f>
        <v/>
      </c>
      <c r="B720" s="253"/>
      <c r="C720" s="249"/>
      <c r="D720" s="263"/>
      <c r="E720" s="251"/>
      <c r="F720" s="340" t="str">
        <f>IF($B720="","",SUM(SUMIFS('Daily Inward'!$G:$G,'Daily Inward'!$C:$C,$B720,'Daily Inward'!$E:$E,{"Inventory","Services"})))</f>
        <v/>
      </c>
      <c r="G720" s="341" t="str">
        <f>IF($B720="","",SUM(SUMIFS('Daily Issuance'!$G:$G,'Daily Issuance'!$C:$C,$B720,'Daily Issuance'!$E:$E,{"Inventory","Services"})))</f>
        <v/>
      </c>
      <c r="H720" s="42" t="str">
        <f t="shared" si="22"/>
        <v/>
      </c>
      <c r="I720" s="39"/>
      <c r="J720" s="36" t="str">
        <f t="shared" si="23"/>
        <v/>
      </c>
      <c r="K720" s="48"/>
    </row>
    <row r="721" spans="1:11" ht="23.1" customHeight="1">
      <c r="A721" s="348" t="str">
        <f>IF($B721="","",MAX($A$3:A720)+1)</f>
        <v/>
      </c>
      <c r="B721" s="253"/>
      <c r="C721" s="249"/>
      <c r="D721" s="263"/>
      <c r="E721" s="251"/>
      <c r="F721" s="340" t="str">
        <f>IF($B721="","",SUM(SUMIFS('Daily Inward'!$G:$G,'Daily Inward'!$C:$C,$B721,'Daily Inward'!$E:$E,{"Inventory","Services"})))</f>
        <v/>
      </c>
      <c r="G721" s="341" t="str">
        <f>IF($B721="","",SUM(SUMIFS('Daily Issuance'!$G:$G,'Daily Issuance'!$C:$C,$B721,'Daily Issuance'!$E:$E,{"Inventory","Services"})))</f>
        <v/>
      </c>
      <c r="H721" s="42" t="str">
        <f t="shared" si="22"/>
        <v/>
      </c>
      <c r="I721" s="39"/>
      <c r="J721" s="36" t="str">
        <f t="shared" si="23"/>
        <v/>
      </c>
      <c r="K721" s="48"/>
    </row>
    <row r="722" spans="1:11" ht="23.1" customHeight="1">
      <c r="A722" s="348" t="str">
        <f>IF($B722="","",MAX($A$3:A721)+1)</f>
        <v/>
      </c>
      <c r="B722" s="253"/>
      <c r="C722" s="249"/>
      <c r="D722" s="263"/>
      <c r="E722" s="251"/>
      <c r="F722" s="340" t="str">
        <f>IF($B722="","",SUM(SUMIFS('Daily Inward'!$G:$G,'Daily Inward'!$C:$C,$B722,'Daily Inward'!$E:$E,{"Inventory","Services"})))</f>
        <v/>
      </c>
      <c r="G722" s="341" t="str">
        <f>IF($B722="","",SUM(SUMIFS('Daily Issuance'!$G:$G,'Daily Issuance'!$C:$C,$B722,'Daily Issuance'!$E:$E,{"Inventory","Services"})))</f>
        <v/>
      </c>
      <c r="H722" s="42" t="str">
        <f t="shared" si="22"/>
        <v/>
      </c>
      <c r="I722" s="39"/>
      <c r="J722" s="36" t="str">
        <f t="shared" si="23"/>
        <v/>
      </c>
      <c r="K722" s="48"/>
    </row>
    <row r="723" spans="1:11" ht="23.1" customHeight="1">
      <c r="A723" s="348" t="str">
        <f>IF($B723="","",MAX($A$3:A722)+1)</f>
        <v/>
      </c>
      <c r="B723" s="253"/>
      <c r="C723" s="249"/>
      <c r="D723" s="263"/>
      <c r="E723" s="251"/>
      <c r="F723" s="340" t="str">
        <f>IF($B723="","",SUM(SUMIFS('Daily Inward'!$G:$G,'Daily Inward'!$C:$C,$B723,'Daily Inward'!$E:$E,{"Inventory","Services"})))</f>
        <v/>
      </c>
      <c r="G723" s="341" t="str">
        <f>IF($B723="","",SUM(SUMIFS('Daily Issuance'!$G:$G,'Daily Issuance'!$C:$C,$B723,'Daily Issuance'!$E:$E,{"Inventory","Services"})))</f>
        <v/>
      </c>
      <c r="H723" s="42" t="str">
        <f t="shared" si="22"/>
        <v/>
      </c>
      <c r="I723" s="39"/>
      <c r="J723" s="36" t="str">
        <f t="shared" si="23"/>
        <v/>
      </c>
      <c r="K723" s="48"/>
    </row>
    <row r="724" spans="1:11" ht="23.1" customHeight="1">
      <c r="A724" s="348" t="str">
        <f>IF($B724="","",MAX($A$3:A723)+1)</f>
        <v/>
      </c>
      <c r="B724" s="253"/>
      <c r="C724" s="249"/>
      <c r="D724" s="263"/>
      <c r="E724" s="251"/>
      <c r="F724" s="340" t="str">
        <f>IF($B724="","",SUM(SUMIFS('Daily Inward'!$G:$G,'Daily Inward'!$C:$C,$B724,'Daily Inward'!$E:$E,{"Inventory","Services"})))</f>
        <v/>
      </c>
      <c r="G724" s="341" t="str">
        <f>IF($B724="","",SUM(SUMIFS('Daily Issuance'!$G:$G,'Daily Issuance'!$C:$C,$B724,'Daily Issuance'!$E:$E,{"Inventory","Services"})))</f>
        <v/>
      </c>
      <c r="H724" s="42" t="str">
        <f t="shared" si="22"/>
        <v/>
      </c>
      <c r="I724" s="39"/>
      <c r="J724" s="36" t="str">
        <f t="shared" si="23"/>
        <v/>
      </c>
      <c r="K724" s="48"/>
    </row>
    <row r="725" spans="1:11" ht="23.1" customHeight="1">
      <c r="A725" s="348" t="str">
        <f>IF($B725="","",MAX($A$3:A724)+1)</f>
        <v/>
      </c>
      <c r="B725" s="253"/>
      <c r="C725" s="249"/>
      <c r="D725" s="263"/>
      <c r="E725" s="251"/>
      <c r="F725" s="340" t="str">
        <f>IF($B725="","",SUM(SUMIFS('Daily Inward'!$G:$G,'Daily Inward'!$C:$C,$B725,'Daily Inward'!$E:$E,{"Inventory","Services"})))</f>
        <v/>
      </c>
      <c r="G725" s="341" t="str">
        <f>IF($B725="","",SUM(SUMIFS('Daily Issuance'!$G:$G,'Daily Issuance'!$C:$C,$B725,'Daily Issuance'!$E:$E,{"Inventory","Services"})))</f>
        <v/>
      </c>
      <c r="H725" s="42" t="str">
        <f t="shared" si="22"/>
        <v/>
      </c>
      <c r="I725" s="39"/>
      <c r="J725" s="36" t="str">
        <f t="shared" si="23"/>
        <v/>
      </c>
      <c r="K725" s="48"/>
    </row>
    <row r="726" spans="1:11" ht="23.1" customHeight="1">
      <c r="A726" s="348" t="str">
        <f>IF($B726="","",MAX($A$3:A725)+1)</f>
        <v/>
      </c>
      <c r="B726" s="253"/>
      <c r="C726" s="249"/>
      <c r="D726" s="263"/>
      <c r="E726" s="251"/>
      <c r="F726" s="340" t="str">
        <f>IF($B726="","",SUM(SUMIFS('Daily Inward'!$G:$G,'Daily Inward'!$C:$C,$B726,'Daily Inward'!$E:$E,{"Inventory","Services"})))</f>
        <v/>
      </c>
      <c r="G726" s="341" t="str">
        <f>IF($B726="","",SUM(SUMIFS('Daily Issuance'!$G:$G,'Daily Issuance'!$C:$C,$B726,'Daily Issuance'!$E:$E,{"Inventory","Services"})))</f>
        <v/>
      </c>
      <c r="H726" s="42" t="str">
        <f t="shared" si="22"/>
        <v/>
      </c>
      <c r="I726" s="39"/>
      <c r="J726" s="36" t="str">
        <f t="shared" si="23"/>
        <v/>
      </c>
      <c r="K726" s="48"/>
    </row>
    <row r="727" spans="1:11" ht="23.1" customHeight="1">
      <c r="A727" s="348" t="str">
        <f>IF($B727="","",MAX($A$3:A726)+1)</f>
        <v/>
      </c>
      <c r="B727" s="253"/>
      <c r="C727" s="249"/>
      <c r="D727" s="263"/>
      <c r="E727" s="251"/>
      <c r="F727" s="340" t="str">
        <f>IF($B727="","",SUM(SUMIFS('Daily Inward'!$G:$G,'Daily Inward'!$C:$C,$B727,'Daily Inward'!$E:$E,{"Inventory","Services"})))</f>
        <v/>
      </c>
      <c r="G727" s="341" t="str">
        <f>IF($B727="","",SUM(SUMIFS('Daily Issuance'!$G:$G,'Daily Issuance'!$C:$C,$B727,'Daily Issuance'!$E:$E,{"Inventory","Services"})))</f>
        <v/>
      </c>
      <c r="H727" s="42" t="str">
        <f t="shared" si="22"/>
        <v/>
      </c>
      <c r="I727" s="39"/>
      <c r="J727" s="36" t="str">
        <f t="shared" si="23"/>
        <v/>
      </c>
      <c r="K727" s="48"/>
    </row>
    <row r="728" spans="1:11" ht="23.1" customHeight="1">
      <c r="A728" s="348" t="str">
        <f>IF($B728="","",MAX($A$3:A727)+1)</f>
        <v/>
      </c>
      <c r="B728" s="253"/>
      <c r="C728" s="249"/>
      <c r="D728" s="263"/>
      <c r="E728" s="251"/>
      <c r="F728" s="340" t="str">
        <f>IF($B728="","",SUM(SUMIFS('Daily Inward'!$G:$G,'Daily Inward'!$C:$C,$B728,'Daily Inward'!$E:$E,{"Inventory","Services"})))</f>
        <v/>
      </c>
      <c r="G728" s="341" t="str">
        <f>IF($B728="","",SUM(SUMIFS('Daily Issuance'!$G:$G,'Daily Issuance'!$C:$C,$B728,'Daily Issuance'!$E:$E,{"Inventory","Services"})))</f>
        <v/>
      </c>
      <c r="H728" s="42" t="str">
        <f t="shared" si="22"/>
        <v/>
      </c>
      <c r="I728" s="39"/>
      <c r="J728" s="36" t="str">
        <f t="shared" si="23"/>
        <v/>
      </c>
      <c r="K728" s="48"/>
    </row>
    <row r="729" spans="1:11" ht="23.1" customHeight="1">
      <c r="A729" s="348" t="str">
        <f>IF($B729="","",MAX($A$3:A728)+1)</f>
        <v/>
      </c>
      <c r="B729" s="253"/>
      <c r="C729" s="249"/>
      <c r="D729" s="263"/>
      <c r="E729" s="251"/>
      <c r="F729" s="340" t="str">
        <f>IF($B729="","",SUM(SUMIFS('Daily Inward'!$G:$G,'Daily Inward'!$C:$C,$B729,'Daily Inward'!$E:$E,{"Inventory","Services"})))</f>
        <v/>
      </c>
      <c r="G729" s="341" t="str">
        <f>IF($B729="","",SUM(SUMIFS('Daily Issuance'!$G:$G,'Daily Issuance'!$C:$C,$B729,'Daily Issuance'!$E:$E,{"Inventory","Services"})))</f>
        <v/>
      </c>
      <c r="H729" s="42" t="str">
        <f t="shared" si="22"/>
        <v/>
      </c>
      <c r="I729" s="39"/>
      <c r="J729" s="36" t="str">
        <f t="shared" si="23"/>
        <v/>
      </c>
      <c r="K729" s="48"/>
    </row>
    <row r="730" spans="1:11" ht="23.1" customHeight="1">
      <c r="A730" s="348" t="str">
        <f>IF($B730="","",MAX($A$3:A729)+1)</f>
        <v/>
      </c>
      <c r="B730" s="253"/>
      <c r="C730" s="249"/>
      <c r="D730" s="263"/>
      <c r="E730" s="251"/>
      <c r="F730" s="340" t="str">
        <f>IF($B730="","",SUM(SUMIFS('Daily Inward'!$G:$G,'Daily Inward'!$C:$C,$B730,'Daily Inward'!$E:$E,{"Inventory","Services"})))</f>
        <v/>
      </c>
      <c r="G730" s="341" t="str">
        <f>IF($B730="","",SUM(SUMIFS('Daily Issuance'!$G:$G,'Daily Issuance'!$C:$C,$B730,'Daily Issuance'!$E:$E,{"Inventory","Services"})))</f>
        <v/>
      </c>
      <c r="H730" s="42" t="str">
        <f t="shared" si="22"/>
        <v/>
      </c>
      <c r="I730" s="39"/>
      <c r="J730" s="36" t="str">
        <f t="shared" si="23"/>
        <v/>
      </c>
      <c r="K730" s="48"/>
    </row>
    <row r="731" spans="1:11" ht="23.1" customHeight="1">
      <c r="A731" s="348" t="str">
        <f>IF($B731="","",MAX($A$3:A730)+1)</f>
        <v/>
      </c>
      <c r="B731" s="253"/>
      <c r="C731" s="249"/>
      <c r="D731" s="263"/>
      <c r="E731" s="251"/>
      <c r="F731" s="340" t="str">
        <f>IF($B731="","",SUM(SUMIFS('Daily Inward'!$G:$G,'Daily Inward'!$C:$C,$B731,'Daily Inward'!$E:$E,{"Inventory","Services"})))</f>
        <v/>
      </c>
      <c r="G731" s="341" t="str">
        <f>IF($B731="","",SUM(SUMIFS('Daily Issuance'!$G:$G,'Daily Issuance'!$C:$C,$B731,'Daily Issuance'!$E:$E,{"Inventory","Services"})))</f>
        <v/>
      </c>
      <c r="H731" s="42" t="str">
        <f t="shared" si="22"/>
        <v/>
      </c>
      <c r="I731" s="39"/>
      <c r="J731" s="36" t="str">
        <f t="shared" si="23"/>
        <v/>
      </c>
      <c r="K731" s="48"/>
    </row>
    <row r="732" spans="1:11" ht="23.1" customHeight="1">
      <c r="A732" s="348" t="str">
        <f>IF($B732="","",MAX($A$3:A731)+1)</f>
        <v/>
      </c>
      <c r="B732" s="253"/>
      <c r="C732" s="249"/>
      <c r="D732" s="263"/>
      <c r="E732" s="251"/>
      <c r="F732" s="340" t="str">
        <f>IF($B732="","",SUM(SUMIFS('Daily Inward'!$G:$G,'Daily Inward'!$C:$C,$B732,'Daily Inward'!$E:$E,{"Inventory","Services"})))</f>
        <v/>
      </c>
      <c r="G732" s="341" t="str">
        <f>IF($B732="","",SUM(SUMIFS('Daily Issuance'!$G:$G,'Daily Issuance'!$C:$C,$B732,'Daily Issuance'!$E:$E,{"Inventory","Services"})))</f>
        <v/>
      </c>
      <c r="H732" s="42" t="str">
        <f t="shared" si="22"/>
        <v/>
      </c>
      <c r="I732" s="39"/>
      <c r="J732" s="36" t="str">
        <f t="shared" si="23"/>
        <v/>
      </c>
      <c r="K732" s="48"/>
    </row>
    <row r="733" spans="1:11" ht="23.1" customHeight="1">
      <c r="A733" s="348" t="str">
        <f>IF($B733="","",MAX($A$3:A732)+1)</f>
        <v/>
      </c>
      <c r="B733" s="253"/>
      <c r="C733" s="249"/>
      <c r="D733" s="263"/>
      <c r="E733" s="251"/>
      <c r="F733" s="340" t="str">
        <f>IF($B733="","",SUM(SUMIFS('Daily Inward'!$G:$G,'Daily Inward'!$C:$C,$B733,'Daily Inward'!$E:$E,{"Inventory","Services"})))</f>
        <v/>
      </c>
      <c r="G733" s="341" t="str">
        <f>IF($B733="","",SUM(SUMIFS('Daily Issuance'!$G:$G,'Daily Issuance'!$C:$C,$B733,'Daily Issuance'!$E:$E,{"Inventory","Services"})))</f>
        <v/>
      </c>
      <c r="H733" s="42" t="str">
        <f t="shared" si="22"/>
        <v/>
      </c>
      <c r="I733" s="39"/>
      <c r="J733" s="36" t="str">
        <f t="shared" si="23"/>
        <v/>
      </c>
      <c r="K733" s="48"/>
    </row>
    <row r="734" spans="1:11" ht="23.1" customHeight="1">
      <c r="A734" s="348" t="str">
        <f>IF($B734="","",MAX($A$3:A733)+1)</f>
        <v/>
      </c>
      <c r="B734" s="253"/>
      <c r="C734" s="249"/>
      <c r="D734" s="263"/>
      <c r="E734" s="251"/>
      <c r="F734" s="340" t="str">
        <f>IF($B734="","",SUM(SUMIFS('Daily Inward'!$G:$G,'Daily Inward'!$C:$C,$B734,'Daily Inward'!$E:$E,{"Inventory","Services"})))</f>
        <v/>
      </c>
      <c r="G734" s="341" t="str">
        <f>IF($B734="","",SUM(SUMIFS('Daily Issuance'!$G:$G,'Daily Issuance'!$C:$C,$B734,'Daily Issuance'!$E:$E,{"Inventory","Services"})))</f>
        <v/>
      </c>
      <c r="H734" s="42" t="str">
        <f t="shared" si="22"/>
        <v/>
      </c>
      <c r="I734" s="39"/>
      <c r="J734" s="36" t="str">
        <f t="shared" si="23"/>
        <v/>
      </c>
      <c r="K734" s="48"/>
    </row>
    <row r="735" spans="1:11" ht="23.1" customHeight="1">
      <c r="A735" s="348" t="str">
        <f>IF($B735="","",MAX($A$3:A734)+1)</f>
        <v/>
      </c>
      <c r="B735" s="253"/>
      <c r="C735" s="249"/>
      <c r="D735" s="263"/>
      <c r="E735" s="251"/>
      <c r="F735" s="340" t="str">
        <f>IF($B735="","",SUM(SUMIFS('Daily Inward'!$G:$G,'Daily Inward'!$C:$C,$B735,'Daily Inward'!$E:$E,{"Inventory","Services"})))</f>
        <v/>
      </c>
      <c r="G735" s="341" t="str">
        <f>IF($B735="","",SUM(SUMIFS('Daily Issuance'!$G:$G,'Daily Issuance'!$C:$C,$B735,'Daily Issuance'!$E:$E,{"Inventory","Services"})))</f>
        <v/>
      </c>
      <c r="H735" s="42" t="str">
        <f t="shared" si="22"/>
        <v/>
      </c>
      <c r="I735" s="39"/>
      <c r="J735" s="36" t="str">
        <f t="shared" si="23"/>
        <v/>
      </c>
      <c r="K735" s="48"/>
    </row>
    <row r="736" spans="1:11" ht="23.1" customHeight="1">
      <c r="A736" s="348" t="str">
        <f>IF($B736="","",MAX($A$3:A735)+1)</f>
        <v/>
      </c>
      <c r="B736" s="253"/>
      <c r="C736" s="249"/>
      <c r="D736" s="263"/>
      <c r="E736" s="251"/>
      <c r="F736" s="340" t="str">
        <f>IF($B736="","",SUM(SUMIFS('Daily Inward'!$G:$G,'Daily Inward'!$C:$C,$B736,'Daily Inward'!$E:$E,{"Inventory","Services"})))</f>
        <v/>
      </c>
      <c r="G736" s="341" t="str">
        <f>IF($B736="","",SUM(SUMIFS('Daily Issuance'!$G:$G,'Daily Issuance'!$C:$C,$B736,'Daily Issuance'!$E:$E,{"Inventory","Services"})))</f>
        <v/>
      </c>
      <c r="H736" s="42" t="str">
        <f t="shared" si="22"/>
        <v/>
      </c>
      <c r="I736" s="39"/>
      <c r="J736" s="36" t="str">
        <f t="shared" si="23"/>
        <v/>
      </c>
      <c r="K736" s="48"/>
    </row>
    <row r="737" spans="1:11" ht="23.1" customHeight="1">
      <c r="A737" s="348" t="str">
        <f>IF($B737="","",MAX($A$3:A736)+1)</f>
        <v/>
      </c>
      <c r="B737" s="253"/>
      <c r="C737" s="249"/>
      <c r="D737" s="263"/>
      <c r="E737" s="251"/>
      <c r="F737" s="340" t="str">
        <f>IF($B737="","",SUM(SUMIFS('Daily Inward'!$G:$G,'Daily Inward'!$C:$C,$B737,'Daily Inward'!$E:$E,{"Inventory","Services"})))</f>
        <v/>
      </c>
      <c r="G737" s="341" t="str">
        <f>IF($B737="","",SUM(SUMIFS('Daily Issuance'!$G:$G,'Daily Issuance'!$C:$C,$B737,'Daily Issuance'!$E:$E,{"Inventory","Services"})))</f>
        <v/>
      </c>
      <c r="H737" s="42" t="str">
        <f t="shared" si="22"/>
        <v/>
      </c>
      <c r="I737" s="39"/>
      <c r="J737" s="36" t="str">
        <f t="shared" si="23"/>
        <v/>
      </c>
      <c r="K737" s="48"/>
    </row>
    <row r="738" spans="1:11" ht="23.1" customHeight="1">
      <c r="A738" s="348" t="str">
        <f>IF($B738="","",MAX($A$3:A737)+1)</f>
        <v/>
      </c>
      <c r="B738" s="253"/>
      <c r="C738" s="249"/>
      <c r="D738" s="263"/>
      <c r="E738" s="251"/>
      <c r="F738" s="340" t="str">
        <f>IF($B738="","",SUM(SUMIFS('Daily Inward'!$G:$G,'Daily Inward'!$C:$C,$B738,'Daily Inward'!$E:$E,{"Inventory","Services"})))</f>
        <v/>
      </c>
      <c r="G738" s="341" t="str">
        <f>IF($B738="","",SUM(SUMIFS('Daily Issuance'!$G:$G,'Daily Issuance'!$C:$C,$B738,'Daily Issuance'!$E:$E,{"Inventory","Services"})))</f>
        <v/>
      </c>
      <c r="H738" s="42" t="str">
        <f t="shared" si="22"/>
        <v/>
      </c>
      <c r="I738" s="39"/>
      <c r="J738" s="36" t="str">
        <f t="shared" si="23"/>
        <v/>
      </c>
      <c r="K738" s="48"/>
    </row>
    <row r="739" spans="1:11" ht="23.1" customHeight="1">
      <c r="A739" s="348" t="str">
        <f>IF($B739="","",MAX($A$3:A738)+1)</f>
        <v/>
      </c>
      <c r="B739" s="253"/>
      <c r="C739" s="249"/>
      <c r="D739" s="263"/>
      <c r="E739" s="251"/>
      <c r="F739" s="340" t="str">
        <f>IF($B739="","",SUM(SUMIFS('Daily Inward'!$G:$G,'Daily Inward'!$C:$C,$B739,'Daily Inward'!$E:$E,{"Inventory","Services"})))</f>
        <v/>
      </c>
      <c r="G739" s="341" t="str">
        <f>IF($B739="","",SUM(SUMIFS('Daily Issuance'!$G:$G,'Daily Issuance'!$C:$C,$B739,'Daily Issuance'!$E:$E,{"Inventory","Services"})))</f>
        <v/>
      </c>
      <c r="H739" s="42" t="str">
        <f t="shared" si="22"/>
        <v/>
      </c>
      <c r="I739" s="39"/>
      <c r="J739" s="36" t="str">
        <f t="shared" si="23"/>
        <v/>
      </c>
      <c r="K739" s="48"/>
    </row>
    <row r="740" spans="1:11" ht="23.1" customHeight="1">
      <c r="A740" s="348" t="str">
        <f>IF($B740="","",MAX($A$3:A739)+1)</f>
        <v/>
      </c>
      <c r="B740" s="253"/>
      <c r="C740" s="249"/>
      <c r="D740" s="263"/>
      <c r="E740" s="251"/>
      <c r="F740" s="340" t="str">
        <f>IF($B740="","",SUM(SUMIFS('Daily Inward'!$G:$G,'Daily Inward'!$C:$C,$B740,'Daily Inward'!$E:$E,{"Inventory","Services"})))</f>
        <v/>
      </c>
      <c r="G740" s="341" t="str">
        <f>IF($B740="","",SUM(SUMIFS('Daily Issuance'!$G:$G,'Daily Issuance'!$C:$C,$B740,'Daily Issuance'!$E:$E,{"Inventory","Services"})))</f>
        <v/>
      </c>
      <c r="H740" s="42" t="str">
        <f t="shared" si="22"/>
        <v/>
      </c>
      <c r="I740" s="39"/>
      <c r="J740" s="36" t="str">
        <f t="shared" si="23"/>
        <v/>
      </c>
      <c r="K740" s="48"/>
    </row>
    <row r="741" spans="1:11" ht="23.1" customHeight="1">
      <c r="A741" s="348" t="str">
        <f>IF($B741="","",MAX($A$3:A740)+1)</f>
        <v/>
      </c>
      <c r="B741" s="253"/>
      <c r="C741" s="249"/>
      <c r="D741" s="263"/>
      <c r="E741" s="251"/>
      <c r="F741" s="340" t="str">
        <f>IF($B741="","",SUM(SUMIFS('Daily Inward'!$G:$G,'Daily Inward'!$C:$C,$B741,'Daily Inward'!$E:$E,{"Inventory","Services"})))</f>
        <v/>
      </c>
      <c r="G741" s="341" t="str">
        <f>IF($B741="","",SUM(SUMIFS('Daily Issuance'!$G:$G,'Daily Issuance'!$C:$C,$B741,'Daily Issuance'!$E:$E,{"Inventory","Services"})))</f>
        <v/>
      </c>
      <c r="H741" s="42" t="str">
        <f t="shared" si="22"/>
        <v/>
      </c>
      <c r="I741" s="39"/>
      <c r="J741" s="36" t="str">
        <f t="shared" si="23"/>
        <v/>
      </c>
      <c r="K741" s="48"/>
    </row>
    <row r="742" spans="1:11" ht="23.1" customHeight="1">
      <c r="A742" s="348" t="str">
        <f>IF($B742="","",MAX($A$3:A741)+1)</f>
        <v/>
      </c>
      <c r="B742" s="253"/>
      <c r="C742" s="249"/>
      <c r="D742" s="263"/>
      <c r="E742" s="251"/>
      <c r="F742" s="340" t="str">
        <f>IF($B742="","",SUM(SUMIFS('Daily Inward'!$G:$G,'Daily Inward'!$C:$C,$B742,'Daily Inward'!$E:$E,{"Inventory","Services"})))</f>
        <v/>
      </c>
      <c r="G742" s="341" t="str">
        <f>IF($B742="","",SUM(SUMIFS('Daily Issuance'!$G:$G,'Daily Issuance'!$C:$C,$B742,'Daily Issuance'!$E:$E,{"Inventory","Services"})))</f>
        <v/>
      </c>
      <c r="H742" s="42" t="str">
        <f t="shared" si="22"/>
        <v/>
      </c>
      <c r="I742" s="39"/>
      <c r="J742" s="36" t="str">
        <f t="shared" si="23"/>
        <v/>
      </c>
      <c r="K742" s="48"/>
    </row>
    <row r="743" spans="1:11" ht="23.1" customHeight="1">
      <c r="A743" s="348" t="str">
        <f>IF($B743="","",MAX($A$3:A742)+1)</f>
        <v/>
      </c>
      <c r="B743" s="253"/>
      <c r="C743" s="249"/>
      <c r="D743" s="263"/>
      <c r="E743" s="251"/>
      <c r="F743" s="340" t="str">
        <f>IF($B743="","",SUM(SUMIFS('Daily Inward'!$G:$G,'Daily Inward'!$C:$C,$B743,'Daily Inward'!$E:$E,{"Inventory","Services"})))</f>
        <v/>
      </c>
      <c r="G743" s="341" t="str">
        <f>IF($B743="","",SUM(SUMIFS('Daily Issuance'!$G:$G,'Daily Issuance'!$C:$C,$B743,'Daily Issuance'!$E:$E,{"Inventory","Services"})))</f>
        <v/>
      </c>
      <c r="H743" s="42" t="str">
        <f t="shared" si="22"/>
        <v/>
      </c>
      <c r="I743" s="39"/>
      <c r="J743" s="36" t="str">
        <f t="shared" si="23"/>
        <v/>
      </c>
      <c r="K743" s="48"/>
    </row>
    <row r="744" spans="1:11" ht="23.1" customHeight="1">
      <c r="A744" s="348" t="str">
        <f>IF($B744="","",MAX($A$3:A743)+1)</f>
        <v/>
      </c>
      <c r="B744" s="253"/>
      <c r="C744" s="249"/>
      <c r="D744" s="263"/>
      <c r="E744" s="251"/>
      <c r="F744" s="340" t="str">
        <f>IF($B744="","",SUM(SUMIFS('Daily Inward'!$G:$G,'Daily Inward'!$C:$C,$B744,'Daily Inward'!$E:$E,{"Inventory","Services"})))</f>
        <v/>
      </c>
      <c r="G744" s="341" t="str">
        <f>IF($B744="","",SUM(SUMIFS('Daily Issuance'!$G:$G,'Daily Issuance'!$C:$C,$B744,'Daily Issuance'!$E:$E,{"Inventory","Services"})))</f>
        <v/>
      </c>
      <c r="H744" s="42" t="str">
        <f t="shared" si="22"/>
        <v/>
      </c>
      <c r="I744" s="39"/>
      <c r="J744" s="36" t="str">
        <f t="shared" si="23"/>
        <v/>
      </c>
      <c r="K744" s="48"/>
    </row>
    <row r="745" spans="1:11" ht="23.1" customHeight="1">
      <c r="A745" s="348" t="str">
        <f>IF($B745="","",MAX($A$3:A744)+1)</f>
        <v/>
      </c>
      <c r="B745" s="253"/>
      <c r="C745" s="249"/>
      <c r="D745" s="263"/>
      <c r="E745" s="251"/>
      <c r="F745" s="340" t="str">
        <f>IF($B745="","",SUM(SUMIFS('Daily Inward'!$G:$G,'Daily Inward'!$C:$C,$B745,'Daily Inward'!$E:$E,{"Inventory","Services"})))</f>
        <v/>
      </c>
      <c r="G745" s="341" t="str">
        <f>IF($B745="","",SUM(SUMIFS('Daily Issuance'!$G:$G,'Daily Issuance'!$C:$C,$B745,'Daily Issuance'!$E:$E,{"Inventory","Services"})))</f>
        <v/>
      </c>
      <c r="H745" s="42" t="str">
        <f t="shared" si="22"/>
        <v/>
      </c>
      <c r="I745" s="39"/>
      <c r="J745" s="36" t="str">
        <f t="shared" si="23"/>
        <v/>
      </c>
      <c r="K745" s="48"/>
    </row>
    <row r="746" spans="1:11" ht="23.1" customHeight="1">
      <c r="A746" s="348" t="str">
        <f>IF($B746="","",MAX($A$3:A745)+1)</f>
        <v/>
      </c>
      <c r="B746" s="253"/>
      <c r="C746" s="249"/>
      <c r="D746" s="263"/>
      <c r="E746" s="251"/>
      <c r="F746" s="340" t="str">
        <f>IF($B746="","",SUM(SUMIFS('Daily Inward'!$G:$G,'Daily Inward'!$C:$C,$B746,'Daily Inward'!$E:$E,{"Inventory","Services"})))</f>
        <v/>
      </c>
      <c r="G746" s="341" t="str">
        <f>IF($B746="","",SUM(SUMIFS('Daily Issuance'!$G:$G,'Daily Issuance'!$C:$C,$B746,'Daily Issuance'!$E:$E,{"Inventory","Services"})))</f>
        <v/>
      </c>
      <c r="H746" s="42" t="str">
        <f t="shared" si="22"/>
        <v/>
      </c>
      <c r="I746" s="39"/>
      <c r="J746" s="36" t="str">
        <f t="shared" si="23"/>
        <v/>
      </c>
      <c r="K746" s="48"/>
    </row>
    <row r="747" spans="1:11" ht="23.1" customHeight="1">
      <c r="A747" s="348" t="str">
        <f>IF($B747="","",MAX($A$3:A746)+1)</f>
        <v/>
      </c>
      <c r="B747" s="253"/>
      <c r="C747" s="249"/>
      <c r="D747" s="263"/>
      <c r="E747" s="251"/>
      <c r="F747" s="340" t="str">
        <f>IF($B747="","",SUM(SUMIFS('Daily Inward'!$G:$G,'Daily Inward'!$C:$C,$B747,'Daily Inward'!$E:$E,{"Inventory","Services"})))</f>
        <v/>
      </c>
      <c r="G747" s="341" t="str">
        <f>IF($B747="","",SUM(SUMIFS('Daily Issuance'!$G:$G,'Daily Issuance'!$C:$C,$B747,'Daily Issuance'!$E:$E,{"Inventory","Services"})))</f>
        <v/>
      </c>
      <c r="H747" s="42" t="str">
        <f t="shared" si="22"/>
        <v/>
      </c>
      <c r="I747" s="39"/>
      <c r="J747" s="36" t="str">
        <f t="shared" si="23"/>
        <v/>
      </c>
      <c r="K747" s="48"/>
    </row>
    <row r="748" spans="1:11" ht="23.1" customHeight="1">
      <c r="A748" s="348" t="str">
        <f>IF($B748="","",MAX($A$3:A747)+1)</f>
        <v/>
      </c>
      <c r="B748" s="253"/>
      <c r="C748" s="249"/>
      <c r="D748" s="263"/>
      <c r="E748" s="251"/>
      <c r="F748" s="340" t="str">
        <f>IF($B748="","",SUM(SUMIFS('Daily Inward'!$G:$G,'Daily Inward'!$C:$C,$B748,'Daily Inward'!$E:$E,{"Inventory","Services"})))</f>
        <v/>
      </c>
      <c r="G748" s="341" t="str">
        <f>IF($B748="","",SUM(SUMIFS('Daily Issuance'!$G:$G,'Daily Issuance'!$C:$C,$B748,'Daily Issuance'!$E:$E,{"Inventory","Services"})))</f>
        <v/>
      </c>
      <c r="H748" s="42" t="str">
        <f t="shared" si="22"/>
        <v/>
      </c>
      <c r="I748" s="39"/>
      <c r="J748" s="36" t="str">
        <f t="shared" si="23"/>
        <v/>
      </c>
      <c r="K748" s="48"/>
    </row>
    <row r="749" spans="1:11" ht="23.1" customHeight="1">
      <c r="A749" s="348" t="str">
        <f>IF($B749="","",MAX($A$3:A748)+1)</f>
        <v/>
      </c>
      <c r="B749" s="253"/>
      <c r="C749" s="249"/>
      <c r="D749" s="263"/>
      <c r="E749" s="251"/>
      <c r="F749" s="340" t="str">
        <f>IF($B749="","",SUM(SUMIFS('Daily Inward'!$G:$G,'Daily Inward'!$C:$C,$B749,'Daily Inward'!$E:$E,{"Inventory","Services"})))</f>
        <v/>
      </c>
      <c r="G749" s="341" t="str">
        <f>IF($B749="","",SUM(SUMIFS('Daily Issuance'!$G:$G,'Daily Issuance'!$C:$C,$B749,'Daily Issuance'!$E:$E,{"Inventory","Services"})))</f>
        <v/>
      </c>
      <c r="H749" s="42" t="str">
        <f t="shared" si="22"/>
        <v/>
      </c>
      <c r="I749" s="39"/>
      <c r="J749" s="36" t="str">
        <f t="shared" si="23"/>
        <v/>
      </c>
      <c r="K749" s="48"/>
    </row>
    <row r="750" spans="1:11" ht="23.1" customHeight="1">
      <c r="A750" s="348" t="str">
        <f>IF($B750="","",MAX($A$3:A749)+1)</f>
        <v/>
      </c>
      <c r="B750" s="253"/>
      <c r="C750" s="249"/>
      <c r="D750" s="263"/>
      <c r="E750" s="251"/>
      <c r="F750" s="340" t="str">
        <f>IF($B750="","",SUM(SUMIFS('Daily Inward'!$G:$G,'Daily Inward'!$C:$C,$B750,'Daily Inward'!$E:$E,{"Inventory","Services"})))</f>
        <v/>
      </c>
      <c r="G750" s="341" t="str">
        <f>IF($B750="","",SUM(SUMIFS('Daily Issuance'!$G:$G,'Daily Issuance'!$C:$C,$B750,'Daily Issuance'!$E:$E,{"Inventory","Services"})))</f>
        <v/>
      </c>
      <c r="H750" s="42" t="str">
        <f t="shared" si="22"/>
        <v/>
      </c>
      <c r="I750" s="39"/>
      <c r="J750" s="36" t="str">
        <f t="shared" si="23"/>
        <v/>
      </c>
      <c r="K750" s="48"/>
    </row>
    <row r="751" spans="1:11" ht="23.1" customHeight="1">
      <c r="A751" s="348" t="str">
        <f>IF($B751="","",MAX($A$3:A750)+1)</f>
        <v/>
      </c>
      <c r="B751" s="253"/>
      <c r="C751" s="249"/>
      <c r="D751" s="263"/>
      <c r="E751" s="251"/>
      <c r="F751" s="340" t="str">
        <f>IF($B751="","",SUM(SUMIFS('Daily Inward'!$G:$G,'Daily Inward'!$C:$C,$B751,'Daily Inward'!$E:$E,{"Inventory","Services"})))</f>
        <v/>
      </c>
      <c r="G751" s="341" t="str">
        <f>IF($B751="","",SUM(SUMIFS('Daily Issuance'!$G:$G,'Daily Issuance'!$C:$C,$B751,'Daily Issuance'!$E:$E,{"Inventory","Services"})))</f>
        <v/>
      </c>
      <c r="H751" s="42" t="str">
        <f t="shared" si="22"/>
        <v/>
      </c>
      <c r="I751" s="39"/>
      <c r="J751" s="36" t="str">
        <f t="shared" si="23"/>
        <v/>
      </c>
      <c r="K751" s="48"/>
    </row>
    <row r="752" spans="1:11" ht="23.1" customHeight="1">
      <c r="A752" s="348" t="str">
        <f>IF($B752="","",MAX($A$3:A751)+1)</f>
        <v/>
      </c>
      <c r="B752" s="253"/>
      <c r="C752" s="249"/>
      <c r="D752" s="263"/>
      <c r="E752" s="251"/>
      <c r="F752" s="340" t="str">
        <f>IF($B752="","",SUM(SUMIFS('Daily Inward'!$G:$G,'Daily Inward'!$C:$C,$B752,'Daily Inward'!$E:$E,{"Inventory","Services"})))</f>
        <v/>
      </c>
      <c r="G752" s="341" t="str">
        <f>IF($B752="","",SUM(SUMIFS('Daily Issuance'!$G:$G,'Daily Issuance'!$C:$C,$B752,'Daily Issuance'!$E:$E,{"Inventory","Services"})))</f>
        <v/>
      </c>
      <c r="H752" s="42" t="str">
        <f t="shared" si="22"/>
        <v/>
      </c>
      <c r="I752" s="39"/>
      <c r="J752" s="36" t="str">
        <f t="shared" si="23"/>
        <v/>
      </c>
      <c r="K752" s="48"/>
    </row>
    <row r="753" spans="1:11" ht="23.1" customHeight="1">
      <c r="A753" s="348" t="str">
        <f>IF($B753="","",MAX($A$3:A752)+1)</f>
        <v/>
      </c>
      <c r="B753" s="253"/>
      <c r="C753" s="249"/>
      <c r="D753" s="263"/>
      <c r="E753" s="251"/>
      <c r="F753" s="340" t="str">
        <f>IF($B753="","",SUM(SUMIFS('Daily Inward'!$G:$G,'Daily Inward'!$C:$C,$B753,'Daily Inward'!$E:$E,{"Inventory","Services"})))</f>
        <v/>
      </c>
      <c r="G753" s="341" t="str">
        <f>IF($B753="","",SUM(SUMIFS('Daily Issuance'!$G:$G,'Daily Issuance'!$C:$C,$B753,'Daily Issuance'!$E:$E,{"Inventory","Services"})))</f>
        <v/>
      </c>
      <c r="H753" s="42" t="str">
        <f t="shared" si="22"/>
        <v/>
      </c>
      <c r="I753" s="39"/>
      <c r="J753" s="36" t="str">
        <f t="shared" si="23"/>
        <v/>
      </c>
      <c r="K753" s="48"/>
    </row>
    <row r="754" spans="1:11" ht="23.1" customHeight="1">
      <c r="A754" s="348" t="str">
        <f>IF($B754="","",MAX($A$3:A753)+1)</f>
        <v/>
      </c>
      <c r="B754" s="253"/>
      <c r="C754" s="249"/>
      <c r="D754" s="263"/>
      <c r="E754" s="251"/>
      <c r="F754" s="340" t="str">
        <f>IF($B754="","",SUM(SUMIFS('Daily Inward'!$G:$G,'Daily Inward'!$C:$C,$B754,'Daily Inward'!$E:$E,{"Inventory","Services"})))</f>
        <v/>
      </c>
      <c r="G754" s="341" t="str">
        <f>IF($B754="","",SUM(SUMIFS('Daily Issuance'!$G:$G,'Daily Issuance'!$C:$C,$B754,'Daily Issuance'!$E:$E,{"Inventory","Services"})))</f>
        <v/>
      </c>
      <c r="H754" s="42" t="str">
        <f t="shared" si="22"/>
        <v/>
      </c>
      <c r="I754" s="39"/>
      <c r="J754" s="36" t="str">
        <f t="shared" si="23"/>
        <v/>
      </c>
      <c r="K754" s="48"/>
    </row>
    <row r="755" spans="1:11" ht="23.1" customHeight="1">
      <c r="A755" s="348" t="str">
        <f>IF($B755="","",MAX($A$3:A754)+1)</f>
        <v/>
      </c>
      <c r="B755" s="253"/>
      <c r="C755" s="249"/>
      <c r="D755" s="263"/>
      <c r="E755" s="251"/>
      <c r="F755" s="340" t="str">
        <f>IF($B755="","",SUM(SUMIFS('Daily Inward'!$G:$G,'Daily Inward'!$C:$C,$B755,'Daily Inward'!$E:$E,{"Inventory","Services"})))</f>
        <v/>
      </c>
      <c r="G755" s="341" t="str">
        <f>IF($B755="","",SUM(SUMIFS('Daily Issuance'!$G:$G,'Daily Issuance'!$C:$C,$B755,'Daily Issuance'!$E:$E,{"Inventory","Services"})))</f>
        <v/>
      </c>
      <c r="H755" s="42" t="str">
        <f t="shared" si="22"/>
        <v/>
      </c>
      <c r="I755" s="39"/>
      <c r="J755" s="36" t="str">
        <f t="shared" si="23"/>
        <v/>
      </c>
      <c r="K755" s="48"/>
    </row>
    <row r="756" spans="1:11" ht="23.1" customHeight="1">
      <c r="A756" s="348" t="str">
        <f>IF($B756="","",MAX($A$3:A755)+1)</f>
        <v/>
      </c>
      <c r="B756" s="253"/>
      <c r="C756" s="249"/>
      <c r="D756" s="263"/>
      <c r="E756" s="251"/>
      <c r="F756" s="340" t="str">
        <f>IF($B756="","",SUM(SUMIFS('Daily Inward'!$G:$G,'Daily Inward'!$C:$C,$B756,'Daily Inward'!$E:$E,{"Inventory","Services"})))</f>
        <v/>
      </c>
      <c r="G756" s="341" t="str">
        <f>IF($B756="","",SUM(SUMIFS('Daily Issuance'!$G:$G,'Daily Issuance'!$C:$C,$B756,'Daily Issuance'!$E:$E,{"Inventory","Services"})))</f>
        <v/>
      </c>
      <c r="H756" s="42" t="str">
        <f t="shared" si="22"/>
        <v/>
      </c>
      <c r="I756" s="39"/>
      <c r="J756" s="36" t="str">
        <f t="shared" si="23"/>
        <v/>
      </c>
      <c r="K756" s="48"/>
    </row>
    <row r="757" spans="1:11" ht="23.1" customHeight="1">
      <c r="A757" s="348" t="str">
        <f>IF($B757="","",MAX($A$3:A756)+1)</f>
        <v/>
      </c>
      <c r="B757" s="253"/>
      <c r="C757" s="249"/>
      <c r="D757" s="263"/>
      <c r="E757" s="251"/>
      <c r="F757" s="340" t="str">
        <f>IF($B757="","",SUM(SUMIFS('Daily Inward'!$G:$G,'Daily Inward'!$C:$C,$B757,'Daily Inward'!$E:$E,{"Inventory","Services"})))</f>
        <v/>
      </c>
      <c r="G757" s="341" t="str">
        <f>IF($B757="","",SUM(SUMIFS('Daily Issuance'!$G:$G,'Daily Issuance'!$C:$C,$B757,'Daily Issuance'!$E:$E,{"Inventory","Services"})))</f>
        <v/>
      </c>
      <c r="H757" s="42" t="str">
        <f t="shared" si="22"/>
        <v/>
      </c>
      <c r="I757" s="39"/>
      <c r="J757" s="36" t="str">
        <f t="shared" si="23"/>
        <v/>
      </c>
      <c r="K757" s="48"/>
    </row>
    <row r="758" spans="1:11" ht="23.1" customHeight="1">
      <c r="A758" s="348" t="str">
        <f>IF($B758="","",MAX($A$3:A757)+1)</f>
        <v/>
      </c>
      <c r="B758" s="253"/>
      <c r="C758" s="249"/>
      <c r="D758" s="263"/>
      <c r="E758" s="251"/>
      <c r="F758" s="340" t="str">
        <f>IF($B758="","",SUM(SUMIFS('Daily Inward'!$G:$G,'Daily Inward'!$C:$C,$B758,'Daily Inward'!$E:$E,{"Inventory","Services"})))</f>
        <v/>
      </c>
      <c r="G758" s="341" t="str">
        <f>IF($B758="","",SUM(SUMIFS('Daily Issuance'!$G:$G,'Daily Issuance'!$C:$C,$B758,'Daily Issuance'!$E:$E,{"Inventory","Services"})))</f>
        <v/>
      </c>
      <c r="H758" s="42" t="str">
        <f t="shared" si="22"/>
        <v/>
      </c>
      <c r="I758" s="39"/>
      <c r="J758" s="36" t="str">
        <f t="shared" si="23"/>
        <v/>
      </c>
      <c r="K758" s="48"/>
    </row>
    <row r="759" spans="1:11" ht="23.1" customHeight="1">
      <c r="A759" s="348" t="str">
        <f>IF($B759="","",MAX($A$3:A758)+1)</f>
        <v/>
      </c>
      <c r="B759" s="253"/>
      <c r="C759" s="249"/>
      <c r="D759" s="263"/>
      <c r="E759" s="251"/>
      <c r="F759" s="340" t="str">
        <f>IF($B759="","",SUM(SUMIFS('Daily Inward'!$G:$G,'Daily Inward'!$C:$C,$B759,'Daily Inward'!$E:$E,{"Inventory","Services"})))</f>
        <v/>
      </c>
      <c r="G759" s="341" t="str">
        <f>IF($B759="","",SUM(SUMIFS('Daily Issuance'!$G:$G,'Daily Issuance'!$C:$C,$B759,'Daily Issuance'!$E:$E,{"Inventory","Services"})))</f>
        <v/>
      </c>
      <c r="H759" s="42" t="str">
        <f t="shared" si="22"/>
        <v/>
      </c>
      <c r="I759" s="39"/>
      <c r="J759" s="36" t="str">
        <f t="shared" si="23"/>
        <v/>
      </c>
      <c r="K759" s="48"/>
    </row>
    <row r="760" spans="1:11" ht="23.1" customHeight="1">
      <c r="A760" s="348" t="str">
        <f>IF($B760="","",MAX($A$3:A759)+1)</f>
        <v/>
      </c>
      <c r="B760" s="253"/>
      <c r="C760" s="249"/>
      <c r="D760" s="263"/>
      <c r="E760" s="251"/>
      <c r="F760" s="340" t="str">
        <f>IF($B760="","",SUM(SUMIFS('Daily Inward'!$G:$G,'Daily Inward'!$C:$C,$B760,'Daily Inward'!$E:$E,{"Inventory","Services"})))</f>
        <v/>
      </c>
      <c r="G760" s="341" t="str">
        <f>IF($B760="","",SUM(SUMIFS('Daily Issuance'!$G:$G,'Daily Issuance'!$C:$C,$B760,'Daily Issuance'!$E:$E,{"Inventory","Services"})))</f>
        <v/>
      </c>
      <c r="H760" s="42" t="str">
        <f t="shared" si="22"/>
        <v/>
      </c>
      <c r="I760" s="39"/>
      <c r="J760" s="36" t="str">
        <f t="shared" si="23"/>
        <v/>
      </c>
      <c r="K760" s="48"/>
    </row>
    <row r="761" spans="1:11" ht="23.1" customHeight="1">
      <c r="A761" s="348" t="str">
        <f>IF($B761="","",MAX($A$3:A760)+1)</f>
        <v/>
      </c>
      <c r="B761" s="253"/>
      <c r="C761" s="249"/>
      <c r="D761" s="263"/>
      <c r="E761" s="251"/>
      <c r="F761" s="340" t="str">
        <f>IF($B761="","",SUM(SUMIFS('Daily Inward'!$G:$G,'Daily Inward'!$C:$C,$B761,'Daily Inward'!$E:$E,{"Inventory","Services"})))</f>
        <v/>
      </c>
      <c r="G761" s="341" t="str">
        <f>IF($B761="","",SUM(SUMIFS('Daily Issuance'!$G:$G,'Daily Issuance'!$C:$C,$B761,'Daily Issuance'!$E:$E,{"Inventory","Services"})))</f>
        <v/>
      </c>
      <c r="H761" s="42" t="str">
        <f t="shared" si="22"/>
        <v/>
      </c>
      <c r="I761" s="39"/>
      <c r="J761" s="36" t="str">
        <f t="shared" si="23"/>
        <v/>
      </c>
      <c r="K761" s="48"/>
    </row>
    <row r="762" spans="1:11" ht="23.1" customHeight="1">
      <c r="A762" s="348" t="str">
        <f>IF($B762="","",MAX($A$3:A761)+1)</f>
        <v/>
      </c>
      <c r="B762" s="253"/>
      <c r="C762" s="249"/>
      <c r="D762" s="263"/>
      <c r="E762" s="251"/>
      <c r="F762" s="340" t="str">
        <f>IF($B762="","",SUM(SUMIFS('Daily Inward'!$G:$G,'Daily Inward'!$C:$C,$B762,'Daily Inward'!$E:$E,{"Inventory","Services"})))</f>
        <v/>
      </c>
      <c r="G762" s="341" t="str">
        <f>IF($B762="","",SUM(SUMIFS('Daily Issuance'!$G:$G,'Daily Issuance'!$C:$C,$B762,'Daily Issuance'!$E:$E,{"Inventory","Services"})))</f>
        <v/>
      </c>
      <c r="H762" s="42" t="str">
        <f t="shared" si="22"/>
        <v/>
      </c>
      <c r="I762" s="39"/>
      <c r="J762" s="36" t="str">
        <f t="shared" si="23"/>
        <v/>
      </c>
      <c r="K762" s="48"/>
    </row>
    <row r="763" spans="1:11" ht="23.1" customHeight="1">
      <c r="A763" s="348" t="str">
        <f>IF($B763="","",MAX($A$3:A762)+1)</f>
        <v/>
      </c>
      <c r="B763" s="253"/>
      <c r="C763" s="249"/>
      <c r="D763" s="263"/>
      <c r="E763" s="251"/>
      <c r="F763" s="340" t="str">
        <f>IF($B763="","",SUM(SUMIFS('Daily Inward'!$G:$G,'Daily Inward'!$C:$C,$B763,'Daily Inward'!$E:$E,{"Inventory","Services"})))</f>
        <v/>
      </c>
      <c r="G763" s="341" t="str">
        <f>IF($B763="","",SUM(SUMIFS('Daily Issuance'!$G:$G,'Daily Issuance'!$C:$C,$B763,'Daily Issuance'!$E:$E,{"Inventory","Services"})))</f>
        <v/>
      </c>
      <c r="H763" s="42" t="str">
        <f t="shared" si="22"/>
        <v/>
      </c>
      <c r="I763" s="39"/>
      <c r="J763" s="36" t="str">
        <f t="shared" si="23"/>
        <v/>
      </c>
      <c r="K763" s="48"/>
    </row>
    <row r="764" spans="1:11" ht="23.1" customHeight="1">
      <c r="A764" s="348" t="str">
        <f>IF($B764="","",MAX($A$3:A763)+1)</f>
        <v/>
      </c>
      <c r="B764" s="253"/>
      <c r="C764" s="249"/>
      <c r="D764" s="263"/>
      <c r="E764" s="251"/>
      <c r="F764" s="340" t="str">
        <f>IF($B764="","",SUM(SUMIFS('Daily Inward'!$G:$G,'Daily Inward'!$C:$C,$B764,'Daily Inward'!$E:$E,{"Inventory","Services"})))</f>
        <v/>
      </c>
      <c r="G764" s="341" t="str">
        <f>IF($B764="","",SUM(SUMIFS('Daily Issuance'!$G:$G,'Daily Issuance'!$C:$C,$B764,'Daily Issuance'!$E:$E,{"Inventory","Services"})))</f>
        <v/>
      </c>
      <c r="H764" s="42" t="str">
        <f t="shared" si="22"/>
        <v/>
      </c>
      <c r="I764" s="39"/>
      <c r="J764" s="36" t="str">
        <f t="shared" si="23"/>
        <v/>
      </c>
      <c r="K764" s="48"/>
    </row>
    <row r="765" spans="1:11" ht="23.1" customHeight="1">
      <c r="A765" s="348" t="str">
        <f>IF($B765="","",MAX($A$3:A764)+1)</f>
        <v/>
      </c>
      <c r="B765" s="253"/>
      <c r="C765" s="249"/>
      <c r="D765" s="263"/>
      <c r="E765" s="251"/>
      <c r="F765" s="340" t="str">
        <f>IF($B765="","",SUM(SUMIFS('Daily Inward'!$G:$G,'Daily Inward'!$C:$C,$B765,'Daily Inward'!$E:$E,{"Inventory","Services"})))</f>
        <v/>
      </c>
      <c r="G765" s="341" t="str">
        <f>IF($B765="","",SUM(SUMIFS('Daily Issuance'!$G:$G,'Daily Issuance'!$C:$C,$B765,'Daily Issuance'!$E:$E,{"Inventory","Services"})))</f>
        <v/>
      </c>
      <c r="H765" s="42" t="str">
        <f t="shared" si="22"/>
        <v/>
      </c>
      <c r="I765" s="39"/>
      <c r="J765" s="36" t="str">
        <f t="shared" si="23"/>
        <v/>
      </c>
      <c r="K765" s="48"/>
    </row>
    <row r="766" spans="1:11" ht="23.1" customHeight="1">
      <c r="A766" s="348" t="str">
        <f>IF($B766="","",MAX($A$3:A765)+1)</f>
        <v/>
      </c>
      <c r="B766" s="253"/>
      <c r="C766" s="249"/>
      <c r="D766" s="263"/>
      <c r="E766" s="251"/>
      <c r="F766" s="340" t="str">
        <f>IF($B766="","",SUM(SUMIFS('Daily Inward'!$G:$G,'Daily Inward'!$C:$C,$B766,'Daily Inward'!$E:$E,{"Inventory","Services"})))</f>
        <v/>
      </c>
      <c r="G766" s="341" t="str">
        <f>IF($B766="","",SUM(SUMIFS('Daily Issuance'!$G:$G,'Daily Issuance'!$C:$C,$B766,'Daily Issuance'!$E:$E,{"Inventory","Services"})))</f>
        <v/>
      </c>
      <c r="H766" s="42" t="str">
        <f t="shared" si="22"/>
        <v/>
      </c>
      <c r="I766" s="39"/>
      <c r="J766" s="36" t="str">
        <f t="shared" si="23"/>
        <v/>
      </c>
      <c r="K766" s="48"/>
    </row>
    <row r="767" spans="1:11" ht="23.1" customHeight="1">
      <c r="A767" s="348" t="str">
        <f>IF($B767="","",MAX($A$3:A766)+1)</f>
        <v/>
      </c>
      <c r="B767" s="253"/>
      <c r="C767" s="249"/>
      <c r="D767" s="263"/>
      <c r="E767" s="251"/>
      <c r="F767" s="340" t="str">
        <f>IF($B767="","",SUM(SUMIFS('Daily Inward'!$G:$G,'Daily Inward'!$C:$C,$B767,'Daily Inward'!$E:$E,{"Inventory","Services"})))</f>
        <v/>
      </c>
      <c r="G767" s="341" t="str">
        <f>IF($B767="","",SUM(SUMIFS('Daily Issuance'!$G:$G,'Daily Issuance'!$C:$C,$B767,'Daily Issuance'!$E:$E,{"Inventory","Services"})))</f>
        <v/>
      </c>
      <c r="H767" s="42" t="str">
        <f t="shared" si="22"/>
        <v/>
      </c>
      <c r="I767" s="39"/>
      <c r="J767" s="36" t="str">
        <f t="shared" si="23"/>
        <v/>
      </c>
      <c r="K767" s="48"/>
    </row>
    <row r="768" spans="1:11" ht="23.1" customHeight="1">
      <c r="A768" s="348" t="str">
        <f>IF($B768="","",MAX($A$3:A767)+1)</f>
        <v/>
      </c>
      <c r="B768" s="253"/>
      <c r="C768" s="249"/>
      <c r="D768" s="263"/>
      <c r="E768" s="251"/>
      <c r="F768" s="340" t="str">
        <f>IF($B768="","",SUM(SUMIFS('Daily Inward'!$G:$G,'Daily Inward'!$C:$C,$B768,'Daily Inward'!$E:$E,{"Inventory","Services"})))</f>
        <v/>
      </c>
      <c r="G768" s="341" t="str">
        <f>IF($B768="","",SUM(SUMIFS('Daily Issuance'!$G:$G,'Daily Issuance'!$C:$C,$B768,'Daily Issuance'!$E:$E,{"Inventory","Services"})))</f>
        <v/>
      </c>
      <c r="H768" s="42" t="str">
        <f t="shared" si="22"/>
        <v/>
      </c>
      <c r="I768" s="39"/>
      <c r="J768" s="36" t="str">
        <f t="shared" si="23"/>
        <v/>
      </c>
      <c r="K768" s="48"/>
    </row>
    <row r="769" spans="1:11" ht="23.1" customHeight="1">
      <c r="A769" s="348" t="str">
        <f>IF($B769="","",MAX($A$3:A768)+1)</f>
        <v/>
      </c>
      <c r="B769" s="253"/>
      <c r="C769" s="249"/>
      <c r="D769" s="263"/>
      <c r="E769" s="251"/>
      <c r="F769" s="340" t="str">
        <f>IF($B769="","",SUM(SUMIFS('Daily Inward'!$G:$G,'Daily Inward'!$C:$C,$B769,'Daily Inward'!$E:$E,{"Inventory","Services"})))</f>
        <v/>
      </c>
      <c r="G769" s="341" t="str">
        <f>IF($B769="","",SUM(SUMIFS('Daily Issuance'!$G:$G,'Daily Issuance'!$C:$C,$B769,'Daily Issuance'!$E:$E,{"Inventory","Services"})))</f>
        <v/>
      </c>
      <c r="H769" s="42" t="str">
        <f t="shared" si="22"/>
        <v/>
      </c>
      <c r="I769" s="39"/>
      <c r="J769" s="36" t="str">
        <f t="shared" si="23"/>
        <v/>
      </c>
      <c r="K769" s="48"/>
    </row>
    <row r="770" spans="1:11" ht="23.1" customHeight="1">
      <c r="A770" s="348" t="str">
        <f>IF($B770="","",MAX($A$3:A769)+1)</f>
        <v/>
      </c>
      <c r="B770" s="253"/>
      <c r="C770" s="249"/>
      <c r="D770" s="263"/>
      <c r="E770" s="251"/>
      <c r="F770" s="340" t="str">
        <f>IF($B770="","",SUM(SUMIFS('Daily Inward'!$G:$G,'Daily Inward'!$C:$C,$B770,'Daily Inward'!$E:$E,{"Inventory","Services"})))</f>
        <v/>
      </c>
      <c r="G770" s="341" t="str">
        <f>IF($B770="","",SUM(SUMIFS('Daily Issuance'!$G:$G,'Daily Issuance'!$C:$C,$B770,'Daily Issuance'!$E:$E,{"Inventory","Services"})))</f>
        <v/>
      </c>
      <c r="H770" s="42" t="str">
        <f t="shared" si="22"/>
        <v/>
      </c>
      <c r="I770" s="39"/>
      <c r="J770" s="36" t="str">
        <f t="shared" si="23"/>
        <v/>
      </c>
      <c r="K770" s="48"/>
    </row>
    <row r="771" spans="1:11" ht="23.1" customHeight="1">
      <c r="A771" s="348" t="str">
        <f>IF($B771="","",MAX($A$3:A770)+1)</f>
        <v/>
      </c>
      <c r="B771" s="253"/>
      <c r="C771" s="249"/>
      <c r="D771" s="263"/>
      <c r="E771" s="251"/>
      <c r="F771" s="340" t="str">
        <f>IF($B771="","",SUM(SUMIFS('Daily Inward'!$G:$G,'Daily Inward'!$C:$C,$B771,'Daily Inward'!$E:$E,{"Inventory","Services"})))</f>
        <v/>
      </c>
      <c r="G771" s="341" t="str">
        <f>IF($B771="","",SUM(SUMIFS('Daily Issuance'!$G:$G,'Daily Issuance'!$C:$C,$B771,'Daily Issuance'!$E:$E,{"Inventory","Services"})))</f>
        <v/>
      </c>
      <c r="H771" s="42" t="str">
        <f t="shared" si="22"/>
        <v/>
      </c>
      <c r="I771" s="39"/>
      <c r="J771" s="36" t="str">
        <f t="shared" si="23"/>
        <v/>
      </c>
      <c r="K771" s="48"/>
    </row>
    <row r="772" spans="1:11" ht="23.1" customHeight="1">
      <c r="A772" s="348" t="str">
        <f>IF($B772="","",MAX($A$3:A771)+1)</f>
        <v/>
      </c>
      <c r="B772" s="253"/>
      <c r="C772" s="249"/>
      <c r="D772" s="263"/>
      <c r="E772" s="251"/>
      <c r="F772" s="340" t="str">
        <f>IF($B772="","",SUM(SUMIFS('Daily Inward'!$G:$G,'Daily Inward'!$C:$C,$B772,'Daily Inward'!$E:$E,{"Inventory","Services"})))</f>
        <v/>
      </c>
      <c r="G772" s="341" t="str">
        <f>IF($B772="","",SUM(SUMIFS('Daily Issuance'!$G:$G,'Daily Issuance'!$C:$C,$B772,'Daily Issuance'!$E:$E,{"Inventory","Services"})))</f>
        <v/>
      </c>
      <c r="H772" s="42" t="str">
        <f t="shared" ref="H772:H835" si="24">IF($B772="","",N(E772)+N(F772)-N(G772))</f>
        <v/>
      </c>
      <c r="I772" s="39"/>
      <c r="J772" s="36" t="str">
        <f t="shared" ref="J772:J835" si="25">IF($B772="","",H772*I772)</f>
        <v/>
      </c>
      <c r="K772" s="48"/>
    </row>
    <row r="773" spans="1:11" ht="23.1" customHeight="1">
      <c r="A773" s="348" t="str">
        <f>IF($B773="","",MAX($A$3:A772)+1)</f>
        <v/>
      </c>
      <c r="B773" s="253"/>
      <c r="C773" s="249"/>
      <c r="D773" s="263"/>
      <c r="E773" s="251"/>
      <c r="F773" s="340" t="str">
        <f>IF($B773="","",SUM(SUMIFS('Daily Inward'!$G:$G,'Daily Inward'!$C:$C,$B773,'Daily Inward'!$E:$E,{"Inventory","Services"})))</f>
        <v/>
      </c>
      <c r="G773" s="341" t="str">
        <f>IF($B773="","",SUM(SUMIFS('Daily Issuance'!$G:$G,'Daily Issuance'!$C:$C,$B773,'Daily Issuance'!$E:$E,{"Inventory","Services"})))</f>
        <v/>
      </c>
      <c r="H773" s="42" t="str">
        <f t="shared" si="24"/>
        <v/>
      </c>
      <c r="I773" s="39"/>
      <c r="J773" s="36" t="str">
        <f t="shared" si="25"/>
        <v/>
      </c>
      <c r="K773" s="48"/>
    </row>
    <row r="774" spans="1:11" ht="23.1" customHeight="1">
      <c r="A774" s="348" t="str">
        <f>IF($B774="","",MAX($A$3:A773)+1)</f>
        <v/>
      </c>
      <c r="B774" s="253"/>
      <c r="C774" s="249"/>
      <c r="D774" s="263"/>
      <c r="E774" s="251"/>
      <c r="F774" s="340" t="str">
        <f>IF($B774="","",SUM(SUMIFS('Daily Inward'!$G:$G,'Daily Inward'!$C:$C,$B774,'Daily Inward'!$E:$E,{"Inventory","Services"})))</f>
        <v/>
      </c>
      <c r="G774" s="341" t="str">
        <f>IF($B774="","",SUM(SUMIFS('Daily Issuance'!$G:$G,'Daily Issuance'!$C:$C,$B774,'Daily Issuance'!$E:$E,{"Inventory","Services"})))</f>
        <v/>
      </c>
      <c r="H774" s="42" t="str">
        <f t="shared" si="24"/>
        <v/>
      </c>
      <c r="I774" s="39"/>
      <c r="J774" s="36" t="str">
        <f t="shared" si="25"/>
        <v/>
      </c>
      <c r="K774" s="48"/>
    </row>
    <row r="775" spans="1:11" ht="23.1" customHeight="1">
      <c r="A775" s="348" t="str">
        <f>IF($B775="","",MAX($A$3:A774)+1)</f>
        <v/>
      </c>
      <c r="B775" s="253"/>
      <c r="C775" s="249"/>
      <c r="D775" s="263"/>
      <c r="E775" s="251"/>
      <c r="F775" s="340" t="str">
        <f>IF($B775="","",SUM(SUMIFS('Daily Inward'!$G:$G,'Daily Inward'!$C:$C,$B775,'Daily Inward'!$E:$E,{"Inventory","Services"})))</f>
        <v/>
      </c>
      <c r="G775" s="341" t="str">
        <f>IF($B775="","",SUM(SUMIFS('Daily Issuance'!$G:$G,'Daily Issuance'!$C:$C,$B775,'Daily Issuance'!$E:$E,{"Inventory","Services"})))</f>
        <v/>
      </c>
      <c r="H775" s="42" t="str">
        <f t="shared" si="24"/>
        <v/>
      </c>
      <c r="I775" s="39"/>
      <c r="J775" s="36" t="str">
        <f t="shared" si="25"/>
        <v/>
      </c>
      <c r="K775" s="48"/>
    </row>
    <row r="776" spans="1:11" ht="23.1" customHeight="1">
      <c r="A776" s="348" t="str">
        <f>IF($B776="","",MAX($A$3:A775)+1)</f>
        <v/>
      </c>
      <c r="B776" s="253"/>
      <c r="C776" s="249"/>
      <c r="D776" s="263"/>
      <c r="E776" s="251"/>
      <c r="F776" s="340" t="str">
        <f>IF($B776="","",SUM(SUMIFS('Daily Inward'!$G:$G,'Daily Inward'!$C:$C,$B776,'Daily Inward'!$E:$E,{"Inventory","Services"})))</f>
        <v/>
      </c>
      <c r="G776" s="341" t="str">
        <f>IF($B776="","",SUM(SUMIFS('Daily Issuance'!$G:$G,'Daily Issuance'!$C:$C,$B776,'Daily Issuance'!$E:$E,{"Inventory","Services"})))</f>
        <v/>
      </c>
      <c r="H776" s="42" t="str">
        <f t="shared" si="24"/>
        <v/>
      </c>
      <c r="I776" s="39"/>
      <c r="J776" s="36" t="str">
        <f t="shared" si="25"/>
        <v/>
      </c>
      <c r="K776" s="48"/>
    </row>
    <row r="777" spans="1:11" ht="23.1" customHeight="1">
      <c r="A777" s="348" t="str">
        <f>IF($B777="","",MAX($A$3:A776)+1)</f>
        <v/>
      </c>
      <c r="B777" s="253"/>
      <c r="C777" s="249"/>
      <c r="D777" s="263"/>
      <c r="E777" s="251"/>
      <c r="F777" s="340" t="str">
        <f>IF($B777="","",SUM(SUMIFS('Daily Inward'!$G:$G,'Daily Inward'!$C:$C,$B777,'Daily Inward'!$E:$E,{"Inventory","Services"})))</f>
        <v/>
      </c>
      <c r="G777" s="341" t="str">
        <f>IF($B777="","",SUM(SUMIFS('Daily Issuance'!$G:$G,'Daily Issuance'!$C:$C,$B777,'Daily Issuance'!$E:$E,{"Inventory","Services"})))</f>
        <v/>
      </c>
      <c r="H777" s="42" t="str">
        <f t="shared" si="24"/>
        <v/>
      </c>
      <c r="I777" s="39"/>
      <c r="J777" s="36" t="str">
        <f t="shared" si="25"/>
        <v/>
      </c>
      <c r="K777" s="48"/>
    </row>
    <row r="778" spans="1:11" ht="23.1" customHeight="1">
      <c r="A778" s="348" t="str">
        <f>IF($B778="","",MAX($A$3:A777)+1)</f>
        <v/>
      </c>
      <c r="B778" s="253"/>
      <c r="C778" s="249"/>
      <c r="D778" s="263"/>
      <c r="E778" s="251"/>
      <c r="F778" s="340" t="str">
        <f>IF($B778="","",SUM(SUMIFS('Daily Inward'!$G:$G,'Daily Inward'!$C:$C,$B778,'Daily Inward'!$E:$E,{"Inventory","Services"})))</f>
        <v/>
      </c>
      <c r="G778" s="341" t="str">
        <f>IF($B778="","",SUM(SUMIFS('Daily Issuance'!$G:$G,'Daily Issuance'!$C:$C,$B778,'Daily Issuance'!$E:$E,{"Inventory","Services"})))</f>
        <v/>
      </c>
      <c r="H778" s="42" t="str">
        <f t="shared" si="24"/>
        <v/>
      </c>
      <c r="I778" s="39"/>
      <c r="J778" s="36" t="str">
        <f t="shared" si="25"/>
        <v/>
      </c>
      <c r="K778" s="48"/>
    </row>
    <row r="779" spans="1:11" ht="23.1" customHeight="1">
      <c r="A779" s="348" t="str">
        <f>IF($B779="","",MAX($A$3:A778)+1)</f>
        <v/>
      </c>
      <c r="B779" s="253"/>
      <c r="C779" s="249"/>
      <c r="D779" s="263"/>
      <c r="E779" s="251"/>
      <c r="F779" s="340" t="str">
        <f>IF($B779="","",SUM(SUMIFS('Daily Inward'!$G:$G,'Daily Inward'!$C:$C,$B779,'Daily Inward'!$E:$E,{"Inventory","Services"})))</f>
        <v/>
      </c>
      <c r="G779" s="341" t="str">
        <f>IF($B779="","",SUM(SUMIFS('Daily Issuance'!$G:$G,'Daily Issuance'!$C:$C,$B779,'Daily Issuance'!$E:$E,{"Inventory","Services"})))</f>
        <v/>
      </c>
      <c r="H779" s="42" t="str">
        <f t="shared" si="24"/>
        <v/>
      </c>
      <c r="I779" s="39"/>
      <c r="J779" s="36" t="str">
        <f t="shared" si="25"/>
        <v/>
      </c>
      <c r="K779" s="48"/>
    </row>
    <row r="780" spans="1:11" ht="23.1" customHeight="1">
      <c r="A780" s="348" t="str">
        <f>IF($B780="","",MAX($A$3:A779)+1)</f>
        <v/>
      </c>
      <c r="B780" s="253"/>
      <c r="C780" s="249"/>
      <c r="D780" s="263"/>
      <c r="E780" s="251"/>
      <c r="F780" s="340" t="str">
        <f>IF($B780="","",SUM(SUMIFS('Daily Inward'!$G:$G,'Daily Inward'!$C:$C,$B780,'Daily Inward'!$E:$E,{"Inventory","Services"})))</f>
        <v/>
      </c>
      <c r="G780" s="341" t="str">
        <f>IF($B780="","",SUM(SUMIFS('Daily Issuance'!$G:$G,'Daily Issuance'!$C:$C,$B780,'Daily Issuance'!$E:$E,{"Inventory","Services"})))</f>
        <v/>
      </c>
      <c r="H780" s="42" t="str">
        <f t="shared" si="24"/>
        <v/>
      </c>
      <c r="I780" s="39"/>
      <c r="J780" s="36" t="str">
        <f t="shared" si="25"/>
        <v/>
      </c>
      <c r="K780" s="48"/>
    </row>
    <row r="781" spans="1:11" ht="23.1" customHeight="1">
      <c r="A781" s="348" t="str">
        <f>IF($B781="","",MAX($A$3:A780)+1)</f>
        <v/>
      </c>
      <c r="B781" s="253"/>
      <c r="C781" s="249"/>
      <c r="D781" s="263"/>
      <c r="E781" s="251"/>
      <c r="F781" s="340" t="str">
        <f>IF($B781="","",SUM(SUMIFS('Daily Inward'!$G:$G,'Daily Inward'!$C:$C,$B781,'Daily Inward'!$E:$E,{"Inventory","Services"})))</f>
        <v/>
      </c>
      <c r="G781" s="341" t="str">
        <f>IF($B781="","",SUM(SUMIFS('Daily Issuance'!$G:$G,'Daily Issuance'!$C:$C,$B781,'Daily Issuance'!$E:$E,{"Inventory","Services"})))</f>
        <v/>
      </c>
      <c r="H781" s="42" t="str">
        <f t="shared" si="24"/>
        <v/>
      </c>
      <c r="I781" s="39"/>
      <c r="J781" s="36" t="str">
        <f t="shared" si="25"/>
        <v/>
      </c>
      <c r="K781" s="48"/>
    </row>
    <row r="782" spans="1:11" ht="23.1" customHeight="1">
      <c r="A782" s="348" t="str">
        <f>IF($B782="","",MAX($A$3:A781)+1)</f>
        <v/>
      </c>
      <c r="B782" s="253"/>
      <c r="C782" s="249"/>
      <c r="D782" s="263"/>
      <c r="E782" s="251"/>
      <c r="F782" s="340" t="str">
        <f>IF($B782="","",SUM(SUMIFS('Daily Inward'!$G:$G,'Daily Inward'!$C:$C,$B782,'Daily Inward'!$E:$E,{"Inventory","Services"})))</f>
        <v/>
      </c>
      <c r="G782" s="341" t="str">
        <f>IF($B782="","",SUM(SUMIFS('Daily Issuance'!$G:$G,'Daily Issuance'!$C:$C,$B782,'Daily Issuance'!$E:$E,{"Inventory","Services"})))</f>
        <v/>
      </c>
      <c r="H782" s="42" t="str">
        <f t="shared" si="24"/>
        <v/>
      </c>
      <c r="I782" s="39"/>
      <c r="J782" s="36" t="str">
        <f t="shared" si="25"/>
        <v/>
      </c>
      <c r="K782" s="48"/>
    </row>
    <row r="783" spans="1:11" ht="23.1" customHeight="1">
      <c r="A783" s="348" t="str">
        <f>IF($B783="","",MAX($A$3:A782)+1)</f>
        <v/>
      </c>
      <c r="B783" s="253"/>
      <c r="C783" s="249"/>
      <c r="D783" s="263"/>
      <c r="E783" s="251"/>
      <c r="F783" s="340" t="str">
        <f>IF($B783="","",SUM(SUMIFS('Daily Inward'!$G:$G,'Daily Inward'!$C:$C,$B783,'Daily Inward'!$E:$E,{"Inventory","Services"})))</f>
        <v/>
      </c>
      <c r="G783" s="341" t="str">
        <f>IF($B783="","",SUM(SUMIFS('Daily Issuance'!$G:$G,'Daily Issuance'!$C:$C,$B783,'Daily Issuance'!$E:$E,{"Inventory","Services"})))</f>
        <v/>
      </c>
      <c r="H783" s="42" t="str">
        <f t="shared" si="24"/>
        <v/>
      </c>
      <c r="I783" s="39"/>
      <c r="J783" s="36" t="str">
        <f t="shared" si="25"/>
        <v/>
      </c>
      <c r="K783" s="48"/>
    </row>
    <row r="784" spans="1:11" ht="23.1" customHeight="1">
      <c r="A784" s="348" t="str">
        <f>IF($B784="","",MAX($A$3:A783)+1)</f>
        <v/>
      </c>
      <c r="B784" s="253"/>
      <c r="C784" s="249"/>
      <c r="D784" s="263"/>
      <c r="E784" s="251"/>
      <c r="F784" s="340" t="str">
        <f>IF($B784="","",SUM(SUMIFS('Daily Inward'!$G:$G,'Daily Inward'!$C:$C,$B784,'Daily Inward'!$E:$E,{"Inventory","Services"})))</f>
        <v/>
      </c>
      <c r="G784" s="341" t="str">
        <f>IF($B784="","",SUM(SUMIFS('Daily Issuance'!$G:$G,'Daily Issuance'!$C:$C,$B784,'Daily Issuance'!$E:$E,{"Inventory","Services"})))</f>
        <v/>
      </c>
      <c r="H784" s="42" t="str">
        <f t="shared" si="24"/>
        <v/>
      </c>
      <c r="I784" s="39"/>
      <c r="J784" s="36" t="str">
        <f t="shared" si="25"/>
        <v/>
      </c>
      <c r="K784" s="48"/>
    </row>
    <row r="785" spans="1:11" ht="23.1" customHeight="1">
      <c r="A785" s="348" t="str">
        <f>IF($B785="","",MAX($A$3:A784)+1)</f>
        <v/>
      </c>
      <c r="B785" s="253"/>
      <c r="C785" s="249"/>
      <c r="D785" s="263"/>
      <c r="E785" s="251"/>
      <c r="F785" s="340" t="str">
        <f>IF($B785="","",SUM(SUMIFS('Daily Inward'!$G:$G,'Daily Inward'!$C:$C,$B785,'Daily Inward'!$E:$E,{"Inventory","Services"})))</f>
        <v/>
      </c>
      <c r="G785" s="341" t="str">
        <f>IF($B785="","",SUM(SUMIFS('Daily Issuance'!$G:$G,'Daily Issuance'!$C:$C,$B785,'Daily Issuance'!$E:$E,{"Inventory","Services"})))</f>
        <v/>
      </c>
      <c r="H785" s="42" t="str">
        <f t="shared" si="24"/>
        <v/>
      </c>
      <c r="I785" s="39"/>
      <c r="J785" s="36" t="str">
        <f t="shared" si="25"/>
        <v/>
      </c>
      <c r="K785" s="48"/>
    </row>
    <row r="786" spans="1:11" ht="23.1" customHeight="1">
      <c r="A786" s="348" t="str">
        <f>IF($B786="","",MAX($A$3:A785)+1)</f>
        <v/>
      </c>
      <c r="B786" s="253"/>
      <c r="C786" s="249"/>
      <c r="D786" s="263"/>
      <c r="E786" s="251"/>
      <c r="F786" s="340" t="str">
        <f>IF($B786="","",SUM(SUMIFS('Daily Inward'!$G:$G,'Daily Inward'!$C:$C,$B786,'Daily Inward'!$E:$E,{"Inventory","Services"})))</f>
        <v/>
      </c>
      <c r="G786" s="341" t="str">
        <f>IF($B786="","",SUM(SUMIFS('Daily Issuance'!$G:$G,'Daily Issuance'!$C:$C,$B786,'Daily Issuance'!$E:$E,{"Inventory","Services"})))</f>
        <v/>
      </c>
      <c r="H786" s="42" t="str">
        <f t="shared" si="24"/>
        <v/>
      </c>
      <c r="I786" s="39"/>
      <c r="J786" s="36" t="str">
        <f t="shared" si="25"/>
        <v/>
      </c>
      <c r="K786" s="48"/>
    </row>
    <row r="787" spans="1:11" ht="23.1" customHeight="1">
      <c r="A787" s="348" t="str">
        <f>IF($B787="","",MAX($A$3:A786)+1)</f>
        <v/>
      </c>
      <c r="B787" s="253"/>
      <c r="C787" s="249"/>
      <c r="D787" s="263"/>
      <c r="E787" s="251"/>
      <c r="F787" s="340" t="str">
        <f>IF($B787="","",SUM(SUMIFS('Daily Inward'!$G:$G,'Daily Inward'!$C:$C,$B787,'Daily Inward'!$E:$E,{"Inventory","Services"})))</f>
        <v/>
      </c>
      <c r="G787" s="341" t="str">
        <f>IF($B787="","",SUM(SUMIFS('Daily Issuance'!$G:$G,'Daily Issuance'!$C:$C,$B787,'Daily Issuance'!$E:$E,{"Inventory","Services"})))</f>
        <v/>
      </c>
      <c r="H787" s="42" t="str">
        <f t="shared" si="24"/>
        <v/>
      </c>
      <c r="I787" s="39"/>
      <c r="J787" s="36" t="str">
        <f t="shared" si="25"/>
        <v/>
      </c>
      <c r="K787" s="48"/>
    </row>
    <row r="788" spans="1:11" ht="23.1" customHeight="1">
      <c r="A788" s="348" t="str">
        <f>IF($B788="","",MAX($A$3:A787)+1)</f>
        <v/>
      </c>
      <c r="B788" s="253"/>
      <c r="C788" s="249"/>
      <c r="D788" s="263"/>
      <c r="E788" s="251"/>
      <c r="F788" s="340" t="str">
        <f>IF($B788="","",SUM(SUMIFS('Daily Inward'!$G:$G,'Daily Inward'!$C:$C,$B788,'Daily Inward'!$E:$E,{"Inventory","Services"})))</f>
        <v/>
      </c>
      <c r="G788" s="341" t="str">
        <f>IF($B788="","",SUM(SUMIFS('Daily Issuance'!$G:$G,'Daily Issuance'!$C:$C,$B788,'Daily Issuance'!$E:$E,{"Inventory","Services"})))</f>
        <v/>
      </c>
      <c r="H788" s="42" t="str">
        <f t="shared" si="24"/>
        <v/>
      </c>
      <c r="I788" s="39"/>
      <c r="J788" s="36" t="str">
        <f t="shared" si="25"/>
        <v/>
      </c>
      <c r="K788" s="48"/>
    </row>
    <row r="789" spans="1:11" ht="23.1" customHeight="1">
      <c r="A789" s="348" t="str">
        <f>IF($B789="","",MAX($A$3:A788)+1)</f>
        <v/>
      </c>
      <c r="B789" s="253"/>
      <c r="C789" s="249"/>
      <c r="D789" s="263"/>
      <c r="E789" s="251"/>
      <c r="F789" s="340" t="str">
        <f>IF($B789="","",SUM(SUMIFS('Daily Inward'!$G:$G,'Daily Inward'!$C:$C,$B789,'Daily Inward'!$E:$E,{"Inventory","Services"})))</f>
        <v/>
      </c>
      <c r="G789" s="341" t="str">
        <f>IF($B789="","",SUM(SUMIFS('Daily Issuance'!$G:$G,'Daily Issuance'!$C:$C,$B789,'Daily Issuance'!$E:$E,{"Inventory","Services"})))</f>
        <v/>
      </c>
      <c r="H789" s="42" t="str">
        <f t="shared" si="24"/>
        <v/>
      </c>
      <c r="I789" s="39"/>
      <c r="J789" s="36" t="str">
        <f t="shared" si="25"/>
        <v/>
      </c>
      <c r="K789" s="48"/>
    </row>
    <row r="790" spans="1:11" ht="23.1" customHeight="1">
      <c r="A790" s="348" t="str">
        <f>IF($B790="","",MAX($A$3:A789)+1)</f>
        <v/>
      </c>
      <c r="B790" s="253"/>
      <c r="C790" s="249"/>
      <c r="D790" s="263"/>
      <c r="E790" s="251"/>
      <c r="F790" s="340" t="str">
        <f>IF($B790="","",SUM(SUMIFS('Daily Inward'!$G:$G,'Daily Inward'!$C:$C,$B790,'Daily Inward'!$E:$E,{"Inventory","Services"})))</f>
        <v/>
      </c>
      <c r="G790" s="341" t="str">
        <f>IF($B790="","",SUM(SUMIFS('Daily Issuance'!$G:$G,'Daily Issuance'!$C:$C,$B790,'Daily Issuance'!$E:$E,{"Inventory","Services"})))</f>
        <v/>
      </c>
      <c r="H790" s="42" t="str">
        <f t="shared" si="24"/>
        <v/>
      </c>
      <c r="I790" s="39"/>
      <c r="J790" s="36" t="str">
        <f t="shared" si="25"/>
        <v/>
      </c>
      <c r="K790" s="48"/>
    </row>
    <row r="791" spans="1:11" ht="23.1" customHeight="1">
      <c r="A791" s="348" t="str">
        <f>IF($B791="","",MAX($A$3:A790)+1)</f>
        <v/>
      </c>
      <c r="B791" s="253"/>
      <c r="C791" s="249"/>
      <c r="D791" s="263"/>
      <c r="E791" s="251"/>
      <c r="F791" s="340" t="str">
        <f>IF($B791="","",SUM(SUMIFS('Daily Inward'!$G:$G,'Daily Inward'!$C:$C,$B791,'Daily Inward'!$E:$E,{"Inventory","Services"})))</f>
        <v/>
      </c>
      <c r="G791" s="341" t="str">
        <f>IF($B791="","",SUM(SUMIFS('Daily Issuance'!$G:$G,'Daily Issuance'!$C:$C,$B791,'Daily Issuance'!$E:$E,{"Inventory","Services"})))</f>
        <v/>
      </c>
      <c r="H791" s="42" t="str">
        <f t="shared" si="24"/>
        <v/>
      </c>
      <c r="I791" s="39"/>
      <c r="J791" s="36" t="str">
        <f t="shared" si="25"/>
        <v/>
      </c>
      <c r="K791" s="48"/>
    </row>
    <row r="792" spans="1:11" ht="23.1" customHeight="1">
      <c r="A792" s="348" t="str">
        <f>IF($B792="","",MAX($A$3:A791)+1)</f>
        <v/>
      </c>
      <c r="B792" s="253"/>
      <c r="C792" s="249"/>
      <c r="D792" s="263"/>
      <c r="E792" s="251"/>
      <c r="F792" s="340" t="str">
        <f>IF($B792="","",SUM(SUMIFS('Daily Inward'!$G:$G,'Daily Inward'!$C:$C,$B792,'Daily Inward'!$E:$E,{"Inventory","Services"})))</f>
        <v/>
      </c>
      <c r="G792" s="341" t="str">
        <f>IF($B792="","",SUM(SUMIFS('Daily Issuance'!$G:$G,'Daily Issuance'!$C:$C,$B792,'Daily Issuance'!$E:$E,{"Inventory","Services"})))</f>
        <v/>
      </c>
      <c r="H792" s="42" t="str">
        <f t="shared" si="24"/>
        <v/>
      </c>
      <c r="I792" s="39"/>
      <c r="J792" s="36" t="str">
        <f t="shared" si="25"/>
        <v/>
      </c>
      <c r="K792" s="48"/>
    </row>
    <row r="793" spans="1:11" ht="23.1" customHeight="1">
      <c r="A793" s="348" t="str">
        <f>IF($B793="","",MAX($A$3:A792)+1)</f>
        <v/>
      </c>
      <c r="B793" s="253"/>
      <c r="C793" s="249"/>
      <c r="D793" s="263"/>
      <c r="E793" s="251"/>
      <c r="F793" s="340" t="str">
        <f>IF($B793="","",SUM(SUMIFS('Daily Inward'!$G:$G,'Daily Inward'!$C:$C,$B793,'Daily Inward'!$E:$E,{"Inventory","Services"})))</f>
        <v/>
      </c>
      <c r="G793" s="341" t="str">
        <f>IF($B793="","",SUM(SUMIFS('Daily Issuance'!$G:$G,'Daily Issuance'!$C:$C,$B793,'Daily Issuance'!$E:$E,{"Inventory","Services"})))</f>
        <v/>
      </c>
      <c r="H793" s="42" t="str">
        <f t="shared" si="24"/>
        <v/>
      </c>
      <c r="I793" s="39"/>
      <c r="J793" s="36" t="str">
        <f t="shared" si="25"/>
        <v/>
      </c>
      <c r="K793" s="48"/>
    </row>
    <row r="794" spans="1:11" ht="23.1" customHeight="1">
      <c r="A794" s="348" t="str">
        <f>IF($B794="","",MAX($A$3:A793)+1)</f>
        <v/>
      </c>
      <c r="B794" s="253"/>
      <c r="C794" s="249"/>
      <c r="D794" s="263"/>
      <c r="E794" s="251"/>
      <c r="F794" s="340" t="str">
        <f>IF($B794="","",SUM(SUMIFS('Daily Inward'!$G:$G,'Daily Inward'!$C:$C,$B794,'Daily Inward'!$E:$E,{"Inventory","Services"})))</f>
        <v/>
      </c>
      <c r="G794" s="341" t="str">
        <f>IF($B794="","",SUM(SUMIFS('Daily Issuance'!$G:$G,'Daily Issuance'!$C:$C,$B794,'Daily Issuance'!$E:$E,{"Inventory","Services"})))</f>
        <v/>
      </c>
      <c r="H794" s="42" t="str">
        <f t="shared" si="24"/>
        <v/>
      </c>
      <c r="I794" s="39"/>
      <c r="J794" s="36" t="str">
        <f t="shared" si="25"/>
        <v/>
      </c>
      <c r="K794" s="48"/>
    </row>
    <row r="795" spans="1:11" ht="23.1" customHeight="1">
      <c r="A795" s="348" t="str">
        <f>IF($B795="","",MAX($A$3:A794)+1)</f>
        <v/>
      </c>
      <c r="B795" s="253"/>
      <c r="C795" s="249"/>
      <c r="D795" s="263"/>
      <c r="E795" s="251"/>
      <c r="F795" s="340" t="str">
        <f>IF($B795="","",SUM(SUMIFS('Daily Inward'!$G:$G,'Daily Inward'!$C:$C,$B795,'Daily Inward'!$E:$E,{"Inventory","Services"})))</f>
        <v/>
      </c>
      <c r="G795" s="341" t="str">
        <f>IF($B795="","",SUM(SUMIFS('Daily Issuance'!$G:$G,'Daily Issuance'!$C:$C,$B795,'Daily Issuance'!$E:$E,{"Inventory","Services"})))</f>
        <v/>
      </c>
      <c r="H795" s="42" t="str">
        <f t="shared" si="24"/>
        <v/>
      </c>
      <c r="I795" s="39"/>
      <c r="J795" s="36" t="str">
        <f t="shared" si="25"/>
        <v/>
      </c>
      <c r="K795" s="48"/>
    </row>
    <row r="796" spans="1:11" ht="23.1" customHeight="1">
      <c r="A796" s="348" t="str">
        <f>IF($B796="","",MAX($A$3:A795)+1)</f>
        <v/>
      </c>
      <c r="B796" s="253"/>
      <c r="C796" s="249"/>
      <c r="D796" s="263"/>
      <c r="E796" s="251"/>
      <c r="F796" s="340" t="str">
        <f>IF($B796="","",SUM(SUMIFS('Daily Inward'!$G:$G,'Daily Inward'!$C:$C,$B796,'Daily Inward'!$E:$E,{"Inventory","Services"})))</f>
        <v/>
      </c>
      <c r="G796" s="341" t="str">
        <f>IF($B796="","",SUM(SUMIFS('Daily Issuance'!$G:$G,'Daily Issuance'!$C:$C,$B796,'Daily Issuance'!$E:$E,{"Inventory","Services"})))</f>
        <v/>
      </c>
      <c r="H796" s="42" t="str">
        <f t="shared" si="24"/>
        <v/>
      </c>
      <c r="I796" s="39"/>
      <c r="J796" s="36" t="str">
        <f t="shared" si="25"/>
        <v/>
      </c>
      <c r="K796" s="48"/>
    </row>
    <row r="797" spans="1:11" ht="23.1" customHeight="1">
      <c r="A797" s="348" t="str">
        <f>IF($B797="","",MAX($A$3:A796)+1)</f>
        <v/>
      </c>
      <c r="B797" s="253"/>
      <c r="C797" s="249"/>
      <c r="D797" s="263"/>
      <c r="E797" s="251"/>
      <c r="F797" s="340" t="str">
        <f>IF($B797="","",SUM(SUMIFS('Daily Inward'!$G:$G,'Daily Inward'!$C:$C,$B797,'Daily Inward'!$E:$E,{"Inventory","Services"})))</f>
        <v/>
      </c>
      <c r="G797" s="341" t="str">
        <f>IF($B797="","",SUM(SUMIFS('Daily Issuance'!$G:$G,'Daily Issuance'!$C:$C,$B797,'Daily Issuance'!$E:$E,{"Inventory","Services"})))</f>
        <v/>
      </c>
      <c r="H797" s="42" t="str">
        <f t="shared" si="24"/>
        <v/>
      </c>
      <c r="I797" s="39"/>
      <c r="J797" s="36" t="str">
        <f t="shared" si="25"/>
        <v/>
      </c>
      <c r="K797" s="48"/>
    </row>
    <row r="798" spans="1:11" ht="23.1" customHeight="1">
      <c r="A798" s="348" t="str">
        <f>IF($B798="","",MAX($A$3:A797)+1)</f>
        <v/>
      </c>
      <c r="B798" s="253"/>
      <c r="C798" s="249"/>
      <c r="D798" s="263"/>
      <c r="E798" s="251"/>
      <c r="F798" s="340" t="str">
        <f>IF($B798="","",SUM(SUMIFS('Daily Inward'!$G:$G,'Daily Inward'!$C:$C,$B798,'Daily Inward'!$E:$E,{"Inventory","Services"})))</f>
        <v/>
      </c>
      <c r="G798" s="341" t="str">
        <f>IF($B798="","",SUM(SUMIFS('Daily Issuance'!$G:$G,'Daily Issuance'!$C:$C,$B798,'Daily Issuance'!$E:$E,{"Inventory","Services"})))</f>
        <v/>
      </c>
      <c r="H798" s="42" t="str">
        <f t="shared" si="24"/>
        <v/>
      </c>
      <c r="I798" s="39"/>
      <c r="J798" s="36" t="str">
        <f t="shared" si="25"/>
        <v/>
      </c>
      <c r="K798" s="48"/>
    </row>
    <row r="799" spans="1:11" ht="23.1" customHeight="1">
      <c r="A799" s="348" t="str">
        <f>IF($B799="","",MAX($A$3:A798)+1)</f>
        <v/>
      </c>
      <c r="B799" s="253"/>
      <c r="C799" s="249"/>
      <c r="D799" s="263"/>
      <c r="E799" s="251"/>
      <c r="F799" s="340" t="str">
        <f>IF($B799="","",SUM(SUMIFS('Daily Inward'!$G:$G,'Daily Inward'!$C:$C,$B799,'Daily Inward'!$E:$E,{"Inventory","Services"})))</f>
        <v/>
      </c>
      <c r="G799" s="341" t="str">
        <f>IF($B799="","",SUM(SUMIFS('Daily Issuance'!$G:$G,'Daily Issuance'!$C:$C,$B799,'Daily Issuance'!$E:$E,{"Inventory","Services"})))</f>
        <v/>
      </c>
      <c r="H799" s="42" t="str">
        <f t="shared" si="24"/>
        <v/>
      </c>
      <c r="I799" s="39"/>
      <c r="J799" s="36" t="str">
        <f t="shared" si="25"/>
        <v/>
      </c>
      <c r="K799" s="48"/>
    </row>
    <row r="800" spans="1:11" ht="23.1" customHeight="1">
      <c r="A800" s="348" t="str">
        <f>IF($B800="","",MAX($A$3:A799)+1)</f>
        <v/>
      </c>
      <c r="B800" s="253"/>
      <c r="C800" s="249"/>
      <c r="D800" s="263"/>
      <c r="E800" s="251"/>
      <c r="F800" s="340" t="str">
        <f>IF($B800="","",SUM(SUMIFS('Daily Inward'!$G:$G,'Daily Inward'!$C:$C,$B800,'Daily Inward'!$E:$E,{"Inventory","Services"})))</f>
        <v/>
      </c>
      <c r="G800" s="341" t="str">
        <f>IF($B800="","",SUM(SUMIFS('Daily Issuance'!$G:$G,'Daily Issuance'!$C:$C,$B800,'Daily Issuance'!$E:$E,{"Inventory","Services"})))</f>
        <v/>
      </c>
      <c r="H800" s="42" t="str">
        <f t="shared" si="24"/>
        <v/>
      </c>
      <c r="I800" s="39"/>
      <c r="J800" s="36" t="str">
        <f t="shared" si="25"/>
        <v/>
      </c>
      <c r="K800" s="48"/>
    </row>
    <row r="801" spans="1:11" ht="23.1" customHeight="1">
      <c r="A801" s="348" t="str">
        <f>IF($B801="","",MAX($A$3:A800)+1)</f>
        <v/>
      </c>
      <c r="B801" s="253"/>
      <c r="C801" s="249"/>
      <c r="D801" s="263"/>
      <c r="E801" s="251"/>
      <c r="F801" s="340" t="str">
        <f>IF($B801="","",SUM(SUMIFS('Daily Inward'!$G:$G,'Daily Inward'!$C:$C,$B801,'Daily Inward'!$E:$E,{"Inventory","Services"})))</f>
        <v/>
      </c>
      <c r="G801" s="341" t="str">
        <f>IF($B801="","",SUM(SUMIFS('Daily Issuance'!$G:$G,'Daily Issuance'!$C:$C,$B801,'Daily Issuance'!$E:$E,{"Inventory","Services"})))</f>
        <v/>
      </c>
      <c r="H801" s="42" t="str">
        <f t="shared" si="24"/>
        <v/>
      </c>
      <c r="I801" s="39"/>
      <c r="J801" s="36" t="str">
        <f t="shared" si="25"/>
        <v/>
      </c>
      <c r="K801" s="48"/>
    </row>
    <row r="802" spans="1:11" ht="23.1" customHeight="1">
      <c r="A802" s="348" t="str">
        <f>IF($B802="","",MAX($A$3:A801)+1)</f>
        <v/>
      </c>
      <c r="B802" s="253"/>
      <c r="C802" s="249"/>
      <c r="D802" s="263"/>
      <c r="E802" s="251"/>
      <c r="F802" s="340" t="str">
        <f>IF($B802="","",SUM(SUMIFS('Daily Inward'!$G:$G,'Daily Inward'!$C:$C,$B802,'Daily Inward'!$E:$E,{"Inventory","Services"})))</f>
        <v/>
      </c>
      <c r="G802" s="341" t="str">
        <f>IF($B802="","",SUM(SUMIFS('Daily Issuance'!$G:$G,'Daily Issuance'!$C:$C,$B802,'Daily Issuance'!$E:$E,{"Inventory","Services"})))</f>
        <v/>
      </c>
      <c r="H802" s="42" t="str">
        <f t="shared" si="24"/>
        <v/>
      </c>
      <c r="I802" s="39"/>
      <c r="J802" s="36" t="str">
        <f t="shared" si="25"/>
        <v/>
      </c>
      <c r="K802" s="48"/>
    </row>
    <row r="803" spans="1:11" ht="23.1" customHeight="1">
      <c r="A803" s="348" t="str">
        <f>IF($B803="","",MAX($A$3:A802)+1)</f>
        <v/>
      </c>
      <c r="B803" s="253"/>
      <c r="C803" s="249"/>
      <c r="D803" s="263"/>
      <c r="E803" s="251"/>
      <c r="F803" s="340" t="str">
        <f>IF($B803="","",SUM(SUMIFS('Daily Inward'!$G:$G,'Daily Inward'!$C:$C,$B803,'Daily Inward'!$E:$E,{"Inventory","Services"})))</f>
        <v/>
      </c>
      <c r="G803" s="341" t="str">
        <f>IF($B803="","",SUM(SUMIFS('Daily Issuance'!$G:$G,'Daily Issuance'!$C:$C,$B803,'Daily Issuance'!$E:$E,{"Inventory","Services"})))</f>
        <v/>
      </c>
      <c r="H803" s="42" t="str">
        <f t="shared" si="24"/>
        <v/>
      </c>
      <c r="I803" s="39"/>
      <c r="J803" s="36" t="str">
        <f t="shared" si="25"/>
        <v/>
      </c>
      <c r="K803" s="48"/>
    </row>
    <row r="804" spans="1:11" ht="23.1" customHeight="1">
      <c r="A804" s="348" t="str">
        <f>IF($B804="","",MAX($A$3:A803)+1)</f>
        <v/>
      </c>
      <c r="B804" s="253"/>
      <c r="C804" s="249"/>
      <c r="D804" s="263"/>
      <c r="E804" s="251"/>
      <c r="F804" s="340" t="str">
        <f>IF($B804="","",SUM(SUMIFS('Daily Inward'!$G:$G,'Daily Inward'!$C:$C,$B804,'Daily Inward'!$E:$E,{"Inventory","Services"})))</f>
        <v/>
      </c>
      <c r="G804" s="341" t="str">
        <f>IF($B804="","",SUM(SUMIFS('Daily Issuance'!$G:$G,'Daily Issuance'!$C:$C,$B804,'Daily Issuance'!$E:$E,{"Inventory","Services"})))</f>
        <v/>
      </c>
      <c r="H804" s="42" t="str">
        <f t="shared" si="24"/>
        <v/>
      </c>
      <c r="I804" s="39"/>
      <c r="J804" s="36" t="str">
        <f t="shared" si="25"/>
        <v/>
      </c>
      <c r="K804" s="48"/>
    </row>
    <row r="805" spans="1:11" ht="23.1" customHeight="1">
      <c r="A805" s="348" t="str">
        <f>IF($B805="","",MAX($A$3:A804)+1)</f>
        <v/>
      </c>
      <c r="B805" s="253"/>
      <c r="C805" s="249"/>
      <c r="D805" s="263"/>
      <c r="E805" s="251"/>
      <c r="F805" s="340" t="str">
        <f>IF($B805="","",SUM(SUMIFS('Daily Inward'!$G:$G,'Daily Inward'!$C:$C,$B805,'Daily Inward'!$E:$E,{"Inventory","Services"})))</f>
        <v/>
      </c>
      <c r="G805" s="341" t="str">
        <f>IF($B805="","",SUM(SUMIFS('Daily Issuance'!$G:$G,'Daily Issuance'!$C:$C,$B805,'Daily Issuance'!$E:$E,{"Inventory","Services"})))</f>
        <v/>
      </c>
      <c r="H805" s="42" t="str">
        <f t="shared" si="24"/>
        <v/>
      </c>
      <c r="I805" s="39"/>
      <c r="J805" s="36" t="str">
        <f t="shared" si="25"/>
        <v/>
      </c>
      <c r="K805" s="48"/>
    </row>
    <row r="806" spans="1:11" ht="23.1" customHeight="1">
      <c r="A806" s="348" t="str">
        <f>IF($B806="","",MAX($A$3:A805)+1)</f>
        <v/>
      </c>
      <c r="B806" s="253"/>
      <c r="C806" s="249"/>
      <c r="D806" s="263"/>
      <c r="E806" s="251"/>
      <c r="F806" s="340" t="str">
        <f>IF($B806="","",SUM(SUMIFS('Daily Inward'!$G:$G,'Daily Inward'!$C:$C,$B806,'Daily Inward'!$E:$E,{"Inventory","Services"})))</f>
        <v/>
      </c>
      <c r="G806" s="341" t="str">
        <f>IF($B806="","",SUM(SUMIFS('Daily Issuance'!$G:$G,'Daily Issuance'!$C:$C,$B806,'Daily Issuance'!$E:$E,{"Inventory","Services"})))</f>
        <v/>
      </c>
      <c r="H806" s="42" t="str">
        <f t="shared" si="24"/>
        <v/>
      </c>
      <c r="I806" s="39"/>
      <c r="J806" s="36" t="str">
        <f t="shared" si="25"/>
        <v/>
      </c>
      <c r="K806" s="48"/>
    </row>
    <row r="807" spans="1:11" ht="23.1" customHeight="1">
      <c r="A807" s="348" t="str">
        <f>IF($B807="","",MAX($A$3:A806)+1)</f>
        <v/>
      </c>
      <c r="B807" s="253"/>
      <c r="C807" s="249"/>
      <c r="D807" s="263"/>
      <c r="E807" s="251"/>
      <c r="F807" s="340" t="str">
        <f>IF($B807="","",SUM(SUMIFS('Daily Inward'!$G:$G,'Daily Inward'!$C:$C,$B807,'Daily Inward'!$E:$E,{"Inventory","Services"})))</f>
        <v/>
      </c>
      <c r="G807" s="341" t="str">
        <f>IF($B807="","",SUM(SUMIFS('Daily Issuance'!$G:$G,'Daily Issuance'!$C:$C,$B807,'Daily Issuance'!$E:$E,{"Inventory","Services"})))</f>
        <v/>
      </c>
      <c r="H807" s="42" t="str">
        <f t="shared" si="24"/>
        <v/>
      </c>
      <c r="I807" s="39"/>
      <c r="J807" s="36" t="str">
        <f t="shared" si="25"/>
        <v/>
      </c>
      <c r="K807" s="48"/>
    </row>
    <row r="808" spans="1:11" ht="23.1" customHeight="1">
      <c r="A808" s="348" t="str">
        <f>IF($B808="","",MAX($A$3:A807)+1)</f>
        <v/>
      </c>
      <c r="B808" s="253"/>
      <c r="C808" s="249"/>
      <c r="D808" s="263"/>
      <c r="E808" s="251"/>
      <c r="F808" s="340" t="str">
        <f>IF($B808="","",SUM(SUMIFS('Daily Inward'!$G:$G,'Daily Inward'!$C:$C,$B808,'Daily Inward'!$E:$E,{"Inventory","Services"})))</f>
        <v/>
      </c>
      <c r="G808" s="341" t="str">
        <f>IF($B808="","",SUM(SUMIFS('Daily Issuance'!$G:$G,'Daily Issuance'!$C:$C,$B808,'Daily Issuance'!$E:$E,{"Inventory","Services"})))</f>
        <v/>
      </c>
      <c r="H808" s="42" t="str">
        <f t="shared" si="24"/>
        <v/>
      </c>
      <c r="I808" s="39"/>
      <c r="J808" s="36" t="str">
        <f t="shared" si="25"/>
        <v/>
      </c>
      <c r="K808" s="48"/>
    </row>
    <row r="809" spans="1:11" ht="23.1" customHeight="1">
      <c r="A809" s="348" t="str">
        <f>IF($B809="","",MAX($A$3:A808)+1)</f>
        <v/>
      </c>
      <c r="B809" s="253"/>
      <c r="C809" s="249"/>
      <c r="D809" s="263"/>
      <c r="E809" s="251"/>
      <c r="F809" s="340" t="str">
        <f>IF($B809="","",SUM(SUMIFS('Daily Inward'!$G:$G,'Daily Inward'!$C:$C,$B809,'Daily Inward'!$E:$E,{"Inventory","Services"})))</f>
        <v/>
      </c>
      <c r="G809" s="341" t="str">
        <f>IF($B809="","",SUM(SUMIFS('Daily Issuance'!$G:$G,'Daily Issuance'!$C:$C,$B809,'Daily Issuance'!$E:$E,{"Inventory","Services"})))</f>
        <v/>
      </c>
      <c r="H809" s="42" t="str">
        <f t="shared" si="24"/>
        <v/>
      </c>
      <c r="I809" s="39"/>
      <c r="J809" s="36" t="str">
        <f t="shared" si="25"/>
        <v/>
      </c>
      <c r="K809" s="48"/>
    </row>
    <row r="810" spans="1:11" ht="23.1" customHeight="1">
      <c r="A810" s="348" t="str">
        <f>IF($B810="","",MAX($A$3:A809)+1)</f>
        <v/>
      </c>
      <c r="B810" s="253"/>
      <c r="C810" s="249"/>
      <c r="D810" s="263"/>
      <c r="E810" s="251"/>
      <c r="F810" s="340" t="str">
        <f>IF($B810="","",SUM(SUMIFS('Daily Inward'!$G:$G,'Daily Inward'!$C:$C,$B810,'Daily Inward'!$E:$E,{"Inventory","Services"})))</f>
        <v/>
      </c>
      <c r="G810" s="341" t="str">
        <f>IF($B810="","",SUM(SUMIFS('Daily Issuance'!$G:$G,'Daily Issuance'!$C:$C,$B810,'Daily Issuance'!$E:$E,{"Inventory","Services"})))</f>
        <v/>
      </c>
      <c r="H810" s="42" t="str">
        <f t="shared" si="24"/>
        <v/>
      </c>
      <c r="I810" s="39"/>
      <c r="J810" s="36" t="str">
        <f t="shared" si="25"/>
        <v/>
      </c>
      <c r="K810" s="48"/>
    </row>
    <row r="811" spans="1:11" ht="23.1" customHeight="1">
      <c r="A811" s="348" t="str">
        <f>IF($B811="","",MAX($A$3:A810)+1)</f>
        <v/>
      </c>
      <c r="B811" s="253"/>
      <c r="C811" s="249"/>
      <c r="D811" s="263"/>
      <c r="E811" s="251"/>
      <c r="F811" s="340" t="str">
        <f>IF($B811="","",SUM(SUMIFS('Daily Inward'!$G:$G,'Daily Inward'!$C:$C,$B811,'Daily Inward'!$E:$E,{"Inventory","Services"})))</f>
        <v/>
      </c>
      <c r="G811" s="341" t="str">
        <f>IF($B811="","",SUM(SUMIFS('Daily Issuance'!$G:$G,'Daily Issuance'!$C:$C,$B811,'Daily Issuance'!$E:$E,{"Inventory","Services"})))</f>
        <v/>
      </c>
      <c r="H811" s="42" t="str">
        <f t="shared" si="24"/>
        <v/>
      </c>
      <c r="I811" s="39"/>
      <c r="J811" s="36" t="str">
        <f t="shared" si="25"/>
        <v/>
      </c>
      <c r="K811" s="48"/>
    </row>
    <row r="812" spans="1:11" ht="23.1" customHeight="1">
      <c r="A812" s="348" t="str">
        <f>IF($B812="","",MAX($A$3:A811)+1)</f>
        <v/>
      </c>
      <c r="B812" s="253"/>
      <c r="C812" s="249"/>
      <c r="D812" s="263"/>
      <c r="E812" s="251"/>
      <c r="F812" s="340" t="str">
        <f>IF($B812="","",SUM(SUMIFS('Daily Inward'!$G:$G,'Daily Inward'!$C:$C,$B812,'Daily Inward'!$E:$E,{"Inventory","Services"})))</f>
        <v/>
      </c>
      <c r="G812" s="341" t="str">
        <f>IF($B812="","",SUM(SUMIFS('Daily Issuance'!$G:$G,'Daily Issuance'!$C:$C,$B812,'Daily Issuance'!$E:$E,{"Inventory","Services"})))</f>
        <v/>
      </c>
      <c r="H812" s="42" t="str">
        <f t="shared" si="24"/>
        <v/>
      </c>
      <c r="I812" s="39"/>
      <c r="J812" s="36" t="str">
        <f t="shared" si="25"/>
        <v/>
      </c>
      <c r="K812" s="48"/>
    </row>
    <row r="813" spans="1:11" ht="23.1" customHeight="1">
      <c r="A813" s="348" t="str">
        <f>IF($B813="","",MAX($A$3:A812)+1)</f>
        <v/>
      </c>
      <c r="B813" s="253"/>
      <c r="C813" s="249"/>
      <c r="D813" s="263"/>
      <c r="E813" s="251"/>
      <c r="F813" s="340" t="str">
        <f>IF($B813="","",SUM(SUMIFS('Daily Inward'!$G:$G,'Daily Inward'!$C:$C,$B813,'Daily Inward'!$E:$E,{"Inventory","Services"})))</f>
        <v/>
      </c>
      <c r="G813" s="341" t="str">
        <f>IF($B813="","",SUM(SUMIFS('Daily Issuance'!$G:$G,'Daily Issuance'!$C:$C,$B813,'Daily Issuance'!$E:$E,{"Inventory","Services"})))</f>
        <v/>
      </c>
      <c r="H813" s="42" t="str">
        <f t="shared" si="24"/>
        <v/>
      </c>
      <c r="I813" s="39"/>
      <c r="J813" s="36" t="str">
        <f t="shared" si="25"/>
        <v/>
      </c>
      <c r="K813" s="48"/>
    </row>
    <row r="814" spans="1:11" ht="23.1" customHeight="1">
      <c r="A814" s="348" t="str">
        <f>IF($B814="","",MAX($A$3:A813)+1)</f>
        <v/>
      </c>
      <c r="B814" s="253"/>
      <c r="C814" s="249"/>
      <c r="D814" s="263"/>
      <c r="E814" s="251"/>
      <c r="F814" s="340" t="str">
        <f>IF($B814="","",SUM(SUMIFS('Daily Inward'!$G:$G,'Daily Inward'!$C:$C,$B814,'Daily Inward'!$E:$E,{"Inventory","Services"})))</f>
        <v/>
      </c>
      <c r="G814" s="341" t="str">
        <f>IF($B814="","",SUM(SUMIFS('Daily Issuance'!$G:$G,'Daily Issuance'!$C:$C,$B814,'Daily Issuance'!$E:$E,{"Inventory","Services"})))</f>
        <v/>
      </c>
      <c r="H814" s="42" t="str">
        <f t="shared" si="24"/>
        <v/>
      </c>
      <c r="I814" s="39"/>
      <c r="J814" s="36" t="str">
        <f t="shared" si="25"/>
        <v/>
      </c>
      <c r="K814" s="48"/>
    </row>
    <row r="815" spans="1:11" ht="23.1" customHeight="1">
      <c r="A815" s="348" t="str">
        <f>IF($B815="","",MAX($A$3:A814)+1)</f>
        <v/>
      </c>
      <c r="B815" s="253"/>
      <c r="C815" s="249"/>
      <c r="D815" s="263"/>
      <c r="E815" s="251"/>
      <c r="F815" s="340" t="str">
        <f>IF($B815="","",SUM(SUMIFS('Daily Inward'!$G:$G,'Daily Inward'!$C:$C,$B815,'Daily Inward'!$E:$E,{"Inventory","Services"})))</f>
        <v/>
      </c>
      <c r="G815" s="341" t="str">
        <f>IF($B815="","",SUM(SUMIFS('Daily Issuance'!$G:$G,'Daily Issuance'!$C:$C,$B815,'Daily Issuance'!$E:$E,{"Inventory","Services"})))</f>
        <v/>
      </c>
      <c r="H815" s="42" t="str">
        <f t="shared" si="24"/>
        <v/>
      </c>
      <c r="I815" s="39"/>
      <c r="J815" s="36" t="str">
        <f t="shared" si="25"/>
        <v/>
      </c>
      <c r="K815" s="48"/>
    </row>
    <row r="816" spans="1:11" ht="23.1" customHeight="1">
      <c r="A816" s="348" t="str">
        <f>IF($B816="","",MAX($A$3:A815)+1)</f>
        <v/>
      </c>
      <c r="B816" s="253"/>
      <c r="C816" s="249"/>
      <c r="D816" s="263"/>
      <c r="E816" s="251"/>
      <c r="F816" s="340" t="str">
        <f>IF($B816="","",SUM(SUMIFS('Daily Inward'!$G:$G,'Daily Inward'!$C:$C,$B816,'Daily Inward'!$E:$E,{"Inventory","Services"})))</f>
        <v/>
      </c>
      <c r="G816" s="341" t="str">
        <f>IF($B816="","",SUM(SUMIFS('Daily Issuance'!$G:$G,'Daily Issuance'!$C:$C,$B816,'Daily Issuance'!$E:$E,{"Inventory","Services"})))</f>
        <v/>
      </c>
      <c r="H816" s="42" t="str">
        <f t="shared" si="24"/>
        <v/>
      </c>
      <c r="I816" s="39"/>
      <c r="J816" s="36" t="str">
        <f t="shared" si="25"/>
        <v/>
      </c>
      <c r="K816" s="48"/>
    </row>
    <row r="817" spans="1:11" ht="23.1" customHeight="1">
      <c r="A817" s="348" t="str">
        <f>IF($B817="","",MAX($A$3:A816)+1)</f>
        <v/>
      </c>
      <c r="B817" s="253"/>
      <c r="C817" s="249"/>
      <c r="D817" s="263"/>
      <c r="E817" s="251"/>
      <c r="F817" s="340" t="str">
        <f>IF($B817="","",SUM(SUMIFS('Daily Inward'!$G:$G,'Daily Inward'!$C:$C,$B817,'Daily Inward'!$E:$E,{"Inventory","Services"})))</f>
        <v/>
      </c>
      <c r="G817" s="341" t="str">
        <f>IF($B817="","",SUM(SUMIFS('Daily Issuance'!$G:$G,'Daily Issuance'!$C:$C,$B817,'Daily Issuance'!$E:$E,{"Inventory","Services"})))</f>
        <v/>
      </c>
      <c r="H817" s="42" t="str">
        <f t="shared" si="24"/>
        <v/>
      </c>
      <c r="I817" s="39"/>
      <c r="J817" s="36" t="str">
        <f t="shared" si="25"/>
        <v/>
      </c>
      <c r="K817" s="48"/>
    </row>
    <row r="818" spans="1:11" ht="23.1" customHeight="1">
      <c r="A818" s="348" t="str">
        <f>IF($B818="","",MAX($A$3:A817)+1)</f>
        <v/>
      </c>
      <c r="B818" s="253"/>
      <c r="C818" s="249"/>
      <c r="D818" s="263"/>
      <c r="E818" s="251"/>
      <c r="F818" s="340" t="str">
        <f>IF($B818="","",SUM(SUMIFS('Daily Inward'!$G:$G,'Daily Inward'!$C:$C,$B818,'Daily Inward'!$E:$E,{"Inventory","Services"})))</f>
        <v/>
      </c>
      <c r="G818" s="341" t="str">
        <f>IF($B818="","",SUM(SUMIFS('Daily Issuance'!$G:$G,'Daily Issuance'!$C:$C,$B818,'Daily Issuance'!$E:$E,{"Inventory","Services"})))</f>
        <v/>
      </c>
      <c r="H818" s="42" t="str">
        <f t="shared" si="24"/>
        <v/>
      </c>
      <c r="I818" s="39"/>
      <c r="J818" s="36" t="str">
        <f t="shared" si="25"/>
        <v/>
      </c>
      <c r="K818" s="48"/>
    </row>
    <row r="819" spans="1:11" ht="23.1" customHeight="1">
      <c r="A819" s="348" t="str">
        <f>IF($B819="","",MAX($A$3:A818)+1)</f>
        <v/>
      </c>
      <c r="B819" s="253"/>
      <c r="C819" s="249"/>
      <c r="D819" s="263"/>
      <c r="E819" s="251"/>
      <c r="F819" s="340" t="str">
        <f>IF($B819="","",SUM(SUMIFS('Daily Inward'!$G:$G,'Daily Inward'!$C:$C,$B819,'Daily Inward'!$E:$E,{"Inventory","Services"})))</f>
        <v/>
      </c>
      <c r="G819" s="341" t="str">
        <f>IF($B819="","",SUM(SUMIFS('Daily Issuance'!$G:$G,'Daily Issuance'!$C:$C,$B819,'Daily Issuance'!$E:$E,{"Inventory","Services"})))</f>
        <v/>
      </c>
      <c r="H819" s="42" t="str">
        <f t="shared" si="24"/>
        <v/>
      </c>
      <c r="I819" s="39"/>
      <c r="J819" s="36" t="str">
        <f t="shared" si="25"/>
        <v/>
      </c>
      <c r="K819" s="48"/>
    </row>
    <row r="820" spans="1:11" ht="23.1" customHeight="1">
      <c r="A820" s="348" t="str">
        <f>IF($B820="","",MAX($A$3:A819)+1)</f>
        <v/>
      </c>
      <c r="B820" s="253"/>
      <c r="C820" s="249"/>
      <c r="D820" s="263"/>
      <c r="E820" s="251"/>
      <c r="F820" s="340" t="str">
        <f>IF($B820="","",SUM(SUMIFS('Daily Inward'!$G:$G,'Daily Inward'!$C:$C,$B820,'Daily Inward'!$E:$E,{"Inventory","Services"})))</f>
        <v/>
      </c>
      <c r="G820" s="341" t="str">
        <f>IF($B820="","",SUM(SUMIFS('Daily Issuance'!$G:$G,'Daily Issuance'!$C:$C,$B820,'Daily Issuance'!$E:$E,{"Inventory","Services"})))</f>
        <v/>
      </c>
      <c r="H820" s="42" t="str">
        <f t="shared" si="24"/>
        <v/>
      </c>
      <c r="I820" s="39"/>
      <c r="J820" s="36" t="str">
        <f t="shared" si="25"/>
        <v/>
      </c>
      <c r="K820" s="48"/>
    </row>
    <row r="821" spans="1:11" ht="23.1" customHeight="1">
      <c r="A821" s="348" t="str">
        <f>IF($B821="","",MAX($A$3:A820)+1)</f>
        <v/>
      </c>
      <c r="B821" s="253"/>
      <c r="C821" s="249"/>
      <c r="D821" s="263"/>
      <c r="E821" s="251"/>
      <c r="F821" s="340" t="str">
        <f>IF($B821="","",SUM(SUMIFS('Daily Inward'!$G:$G,'Daily Inward'!$C:$C,$B821,'Daily Inward'!$E:$E,{"Inventory","Services"})))</f>
        <v/>
      </c>
      <c r="G821" s="341" t="str">
        <f>IF($B821="","",SUM(SUMIFS('Daily Issuance'!$G:$G,'Daily Issuance'!$C:$C,$B821,'Daily Issuance'!$E:$E,{"Inventory","Services"})))</f>
        <v/>
      </c>
      <c r="H821" s="42" t="str">
        <f t="shared" si="24"/>
        <v/>
      </c>
      <c r="I821" s="39"/>
      <c r="J821" s="36" t="str">
        <f t="shared" si="25"/>
        <v/>
      </c>
      <c r="K821" s="48"/>
    </row>
    <row r="822" spans="1:11" ht="23.1" customHeight="1">
      <c r="A822" s="348" t="str">
        <f>IF($B822="","",MAX($A$3:A821)+1)</f>
        <v/>
      </c>
      <c r="B822" s="253"/>
      <c r="C822" s="249"/>
      <c r="D822" s="263"/>
      <c r="E822" s="251"/>
      <c r="F822" s="340" t="str">
        <f>IF($B822="","",SUM(SUMIFS('Daily Inward'!$G:$G,'Daily Inward'!$C:$C,$B822,'Daily Inward'!$E:$E,{"Inventory","Services"})))</f>
        <v/>
      </c>
      <c r="G822" s="341" t="str">
        <f>IF($B822="","",SUM(SUMIFS('Daily Issuance'!$G:$G,'Daily Issuance'!$C:$C,$B822,'Daily Issuance'!$E:$E,{"Inventory","Services"})))</f>
        <v/>
      </c>
      <c r="H822" s="42" t="str">
        <f t="shared" si="24"/>
        <v/>
      </c>
      <c r="I822" s="39"/>
      <c r="J822" s="36" t="str">
        <f t="shared" si="25"/>
        <v/>
      </c>
      <c r="K822" s="48"/>
    </row>
    <row r="823" spans="1:11" ht="23.1" customHeight="1">
      <c r="A823" s="348" t="str">
        <f>IF($B823="","",MAX($A$3:A822)+1)</f>
        <v/>
      </c>
      <c r="B823" s="253"/>
      <c r="C823" s="249"/>
      <c r="D823" s="263"/>
      <c r="E823" s="251"/>
      <c r="F823" s="340" t="str">
        <f>IF($B823="","",SUM(SUMIFS('Daily Inward'!$G:$G,'Daily Inward'!$C:$C,$B823,'Daily Inward'!$E:$E,{"Inventory","Services"})))</f>
        <v/>
      </c>
      <c r="G823" s="341" t="str">
        <f>IF($B823="","",SUM(SUMIFS('Daily Issuance'!$G:$G,'Daily Issuance'!$C:$C,$B823,'Daily Issuance'!$E:$E,{"Inventory","Services"})))</f>
        <v/>
      </c>
      <c r="H823" s="42" t="str">
        <f t="shared" si="24"/>
        <v/>
      </c>
      <c r="I823" s="39"/>
      <c r="J823" s="36" t="str">
        <f t="shared" si="25"/>
        <v/>
      </c>
      <c r="K823" s="48"/>
    </row>
    <row r="824" spans="1:11" ht="23.1" customHeight="1">
      <c r="A824" s="348" t="str">
        <f>IF($B824="","",MAX($A$3:A823)+1)</f>
        <v/>
      </c>
      <c r="B824" s="253"/>
      <c r="C824" s="249"/>
      <c r="D824" s="263"/>
      <c r="E824" s="251"/>
      <c r="F824" s="340" t="str">
        <f>IF($B824="","",SUM(SUMIFS('Daily Inward'!$G:$G,'Daily Inward'!$C:$C,$B824,'Daily Inward'!$E:$E,{"Inventory","Services"})))</f>
        <v/>
      </c>
      <c r="G824" s="341" t="str">
        <f>IF($B824="","",SUM(SUMIFS('Daily Issuance'!$G:$G,'Daily Issuance'!$C:$C,$B824,'Daily Issuance'!$E:$E,{"Inventory","Services"})))</f>
        <v/>
      </c>
      <c r="H824" s="42" t="str">
        <f t="shared" si="24"/>
        <v/>
      </c>
      <c r="I824" s="39"/>
      <c r="J824" s="36" t="str">
        <f t="shared" si="25"/>
        <v/>
      </c>
      <c r="K824" s="48"/>
    </row>
    <row r="825" spans="1:11" ht="23.1" customHeight="1">
      <c r="A825" s="348" t="str">
        <f>IF($B825="","",MAX($A$3:A824)+1)</f>
        <v/>
      </c>
      <c r="B825" s="253"/>
      <c r="C825" s="249"/>
      <c r="D825" s="263"/>
      <c r="E825" s="251"/>
      <c r="F825" s="340" t="str">
        <f>IF($B825="","",SUM(SUMIFS('Daily Inward'!$G:$G,'Daily Inward'!$C:$C,$B825,'Daily Inward'!$E:$E,{"Inventory","Services"})))</f>
        <v/>
      </c>
      <c r="G825" s="341" t="str">
        <f>IF($B825="","",SUM(SUMIFS('Daily Issuance'!$G:$G,'Daily Issuance'!$C:$C,$B825,'Daily Issuance'!$E:$E,{"Inventory","Services"})))</f>
        <v/>
      </c>
      <c r="H825" s="42" t="str">
        <f t="shared" si="24"/>
        <v/>
      </c>
      <c r="I825" s="39"/>
      <c r="J825" s="36" t="str">
        <f t="shared" si="25"/>
        <v/>
      </c>
      <c r="K825" s="48"/>
    </row>
    <row r="826" spans="1:11" ht="23.1" customHeight="1">
      <c r="A826" s="348" t="str">
        <f>IF($B826="","",MAX($A$3:A825)+1)</f>
        <v/>
      </c>
      <c r="B826" s="253"/>
      <c r="C826" s="249"/>
      <c r="D826" s="263"/>
      <c r="E826" s="251"/>
      <c r="F826" s="340" t="str">
        <f>IF($B826="","",SUM(SUMIFS('Daily Inward'!$G:$G,'Daily Inward'!$C:$C,$B826,'Daily Inward'!$E:$E,{"Inventory","Services"})))</f>
        <v/>
      </c>
      <c r="G826" s="341" t="str">
        <f>IF($B826="","",SUM(SUMIFS('Daily Issuance'!$G:$G,'Daily Issuance'!$C:$C,$B826,'Daily Issuance'!$E:$E,{"Inventory","Services"})))</f>
        <v/>
      </c>
      <c r="H826" s="42" t="str">
        <f t="shared" si="24"/>
        <v/>
      </c>
      <c r="I826" s="39"/>
      <c r="J826" s="36" t="str">
        <f t="shared" si="25"/>
        <v/>
      </c>
      <c r="K826" s="48"/>
    </row>
    <row r="827" spans="1:11" ht="23.1" customHeight="1">
      <c r="A827" s="348" t="str">
        <f>IF($B827="","",MAX($A$3:A826)+1)</f>
        <v/>
      </c>
      <c r="B827" s="253"/>
      <c r="C827" s="249"/>
      <c r="D827" s="263"/>
      <c r="E827" s="251"/>
      <c r="F827" s="340" t="str">
        <f>IF($B827="","",SUM(SUMIFS('Daily Inward'!$G:$G,'Daily Inward'!$C:$C,$B827,'Daily Inward'!$E:$E,{"Inventory","Services"})))</f>
        <v/>
      </c>
      <c r="G827" s="341" t="str">
        <f>IF($B827="","",SUM(SUMIFS('Daily Issuance'!$G:$G,'Daily Issuance'!$C:$C,$B827,'Daily Issuance'!$E:$E,{"Inventory","Services"})))</f>
        <v/>
      </c>
      <c r="H827" s="42" t="str">
        <f t="shared" si="24"/>
        <v/>
      </c>
      <c r="I827" s="39"/>
      <c r="J827" s="36" t="str">
        <f t="shared" si="25"/>
        <v/>
      </c>
      <c r="K827" s="48"/>
    </row>
    <row r="828" spans="1:11" ht="23.1" customHeight="1">
      <c r="A828" s="348" t="str">
        <f>IF($B828="","",MAX($A$3:A827)+1)</f>
        <v/>
      </c>
      <c r="B828" s="253"/>
      <c r="C828" s="249"/>
      <c r="D828" s="263"/>
      <c r="E828" s="251"/>
      <c r="F828" s="340" t="str">
        <f>IF($B828="","",SUM(SUMIFS('Daily Inward'!$G:$G,'Daily Inward'!$C:$C,$B828,'Daily Inward'!$E:$E,{"Inventory","Services"})))</f>
        <v/>
      </c>
      <c r="G828" s="341" t="str">
        <f>IF($B828="","",SUM(SUMIFS('Daily Issuance'!$G:$G,'Daily Issuance'!$C:$C,$B828,'Daily Issuance'!$E:$E,{"Inventory","Services"})))</f>
        <v/>
      </c>
      <c r="H828" s="42" t="str">
        <f t="shared" si="24"/>
        <v/>
      </c>
      <c r="I828" s="39"/>
      <c r="J828" s="36" t="str">
        <f t="shared" si="25"/>
        <v/>
      </c>
      <c r="K828" s="48"/>
    </row>
    <row r="829" spans="1:11" ht="23.1" customHeight="1">
      <c r="A829" s="348" t="str">
        <f>IF($B829="","",MAX($A$3:A828)+1)</f>
        <v/>
      </c>
      <c r="B829" s="253"/>
      <c r="C829" s="249"/>
      <c r="D829" s="263"/>
      <c r="E829" s="251"/>
      <c r="F829" s="340" t="str">
        <f>IF($B829="","",SUM(SUMIFS('Daily Inward'!$G:$G,'Daily Inward'!$C:$C,$B829,'Daily Inward'!$E:$E,{"Inventory","Services"})))</f>
        <v/>
      </c>
      <c r="G829" s="341" t="str">
        <f>IF($B829="","",SUM(SUMIFS('Daily Issuance'!$G:$G,'Daily Issuance'!$C:$C,$B829,'Daily Issuance'!$E:$E,{"Inventory","Services"})))</f>
        <v/>
      </c>
      <c r="H829" s="42" t="str">
        <f t="shared" si="24"/>
        <v/>
      </c>
      <c r="I829" s="39"/>
      <c r="J829" s="36" t="str">
        <f t="shared" si="25"/>
        <v/>
      </c>
      <c r="K829" s="48"/>
    </row>
    <row r="830" spans="1:11" ht="23.1" customHeight="1">
      <c r="A830" s="348" t="str">
        <f>IF($B830="","",MAX($A$3:A829)+1)</f>
        <v/>
      </c>
      <c r="B830" s="253"/>
      <c r="C830" s="249"/>
      <c r="D830" s="263"/>
      <c r="E830" s="251"/>
      <c r="F830" s="340" t="str">
        <f>IF($B830="","",SUM(SUMIFS('Daily Inward'!$G:$G,'Daily Inward'!$C:$C,$B830,'Daily Inward'!$E:$E,{"Inventory","Services"})))</f>
        <v/>
      </c>
      <c r="G830" s="341" t="str">
        <f>IF($B830="","",SUM(SUMIFS('Daily Issuance'!$G:$G,'Daily Issuance'!$C:$C,$B830,'Daily Issuance'!$E:$E,{"Inventory","Services"})))</f>
        <v/>
      </c>
      <c r="H830" s="42" t="str">
        <f t="shared" si="24"/>
        <v/>
      </c>
      <c r="I830" s="39"/>
      <c r="J830" s="36" t="str">
        <f t="shared" si="25"/>
        <v/>
      </c>
      <c r="K830" s="48"/>
    </row>
    <row r="831" spans="1:11" ht="23.1" customHeight="1">
      <c r="A831" s="348" t="str">
        <f>IF($B831="","",MAX($A$3:A830)+1)</f>
        <v/>
      </c>
      <c r="B831" s="253"/>
      <c r="C831" s="249"/>
      <c r="D831" s="263"/>
      <c r="E831" s="251"/>
      <c r="F831" s="340" t="str">
        <f>IF($B831="","",SUM(SUMIFS('Daily Inward'!$G:$G,'Daily Inward'!$C:$C,$B831,'Daily Inward'!$E:$E,{"Inventory","Services"})))</f>
        <v/>
      </c>
      <c r="G831" s="341" t="str">
        <f>IF($B831="","",SUM(SUMIFS('Daily Issuance'!$G:$G,'Daily Issuance'!$C:$C,$B831,'Daily Issuance'!$E:$E,{"Inventory","Services"})))</f>
        <v/>
      </c>
      <c r="H831" s="42" t="str">
        <f t="shared" si="24"/>
        <v/>
      </c>
      <c r="I831" s="39"/>
      <c r="J831" s="36" t="str">
        <f t="shared" si="25"/>
        <v/>
      </c>
      <c r="K831" s="48"/>
    </row>
    <row r="832" spans="1:11" ht="23.1" customHeight="1">
      <c r="A832" s="348" t="str">
        <f>IF($B832="","",MAX($A$3:A831)+1)</f>
        <v/>
      </c>
      <c r="B832" s="253"/>
      <c r="C832" s="249"/>
      <c r="D832" s="263"/>
      <c r="E832" s="251"/>
      <c r="F832" s="340" t="str">
        <f>IF($B832="","",SUM(SUMIFS('Daily Inward'!$G:$G,'Daily Inward'!$C:$C,$B832,'Daily Inward'!$E:$E,{"Inventory","Services"})))</f>
        <v/>
      </c>
      <c r="G832" s="341" t="str">
        <f>IF($B832="","",SUM(SUMIFS('Daily Issuance'!$G:$G,'Daily Issuance'!$C:$C,$B832,'Daily Issuance'!$E:$E,{"Inventory","Services"})))</f>
        <v/>
      </c>
      <c r="H832" s="42" t="str">
        <f t="shared" si="24"/>
        <v/>
      </c>
      <c r="I832" s="39"/>
      <c r="J832" s="36" t="str">
        <f t="shared" si="25"/>
        <v/>
      </c>
      <c r="K832" s="48"/>
    </row>
    <row r="833" spans="1:11" ht="23.1" customHeight="1">
      <c r="A833" s="348" t="str">
        <f>IF($B833="","",MAX($A$3:A832)+1)</f>
        <v/>
      </c>
      <c r="B833" s="253"/>
      <c r="C833" s="249"/>
      <c r="D833" s="263"/>
      <c r="E833" s="251"/>
      <c r="F833" s="340" t="str">
        <f>IF($B833="","",SUM(SUMIFS('Daily Inward'!$G:$G,'Daily Inward'!$C:$C,$B833,'Daily Inward'!$E:$E,{"Inventory","Services"})))</f>
        <v/>
      </c>
      <c r="G833" s="341" t="str">
        <f>IF($B833="","",SUM(SUMIFS('Daily Issuance'!$G:$G,'Daily Issuance'!$C:$C,$B833,'Daily Issuance'!$E:$E,{"Inventory","Services"})))</f>
        <v/>
      </c>
      <c r="H833" s="42" t="str">
        <f t="shared" si="24"/>
        <v/>
      </c>
      <c r="I833" s="39"/>
      <c r="J833" s="36" t="str">
        <f t="shared" si="25"/>
        <v/>
      </c>
      <c r="K833" s="48"/>
    </row>
    <row r="834" spans="1:11" ht="23.1" customHeight="1">
      <c r="A834" s="348" t="str">
        <f>IF($B834="","",MAX($A$3:A833)+1)</f>
        <v/>
      </c>
      <c r="B834" s="253"/>
      <c r="C834" s="249"/>
      <c r="D834" s="263"/>
      <c r="E834" s="251"/>
      <c r="F834" s="340" t="str">
        <f>IF($B834="","",SUM(SUMIFS('Daily Inward'!$G:$G,'Daily Inward'!$C:$C,$B834,'Daily Inward'!$E:$E,{"Inventory","Services"})))</f>
        <v/>
      </c>
      <c r="G834" s="341" t="str">
        <f>IF($B834="","",SUM(SUMIFS('Daily Issuance'!$G:$G,'Daily Issuance'!$C:$C,$B834,'Daily Issuance'!$E:$E,{"Inventory","Services"})))</f>
        <v/>
      </c>
      <c r="H834" s="42" t="str">
        <f t="shared" si="24"/>
        <v/>
      </c>
      <c r="I834" s="39"/>
      <c r="J834" s="36" t="str">
        <f t="shared" si="25"/>
        <v/>
      </c>
      <c r="K834" s="48"/>
    </row>
    <row r="835" spans="1:11" ht="23.1" customHeight="1">
      <c r="A835" s="348" t="str">
        <f>IF($B835="","",MAX($A$3:A834)+1)</f>
        <v/>
      </c>
      <c r="B835" s="253"/>
      <c r="C835" s="249"/>
      <c r="D835" s="263"/>
      <c r="E835" s="251"/>
      <c r="F835" s="340" t="str">
        <f>IF($B835="","",SUM(SUMIFS('Daily Inward'!$G:$G,'Daily Inward'!$C:$C,$B835,'Daily Inward'!$E:$E,{"Inventory","Services"})))</f>
        <v/>
      </c>
      <c r="G835" s="341" t="str">
        <f>IF($B835="","",SUM(SUMIFS('Daily Issuance'!$G:$G,'Daily Issuance'!$C:$C,$B835,'Daily Issuance'!$E:$E,{"Inventory","Services"})))</f>
        <v/>
      </c>
      <c r="H835" s="42" t="str">
        <f t="shared" si="24"/>
        <v/>
      </c>
      <c r="I835" s="39"/>
      <c r="J835" s="36" t="str">
        <f t="shared" si="25"/>
        <v/>
      </c>
      <c r="K835" s="48"/>
    </row>
    <row r="836" spans="1:11" ht="23.1" customHeight="1">
      <c r="A836" s="348" t="str">
        <f>IF($B836="","",MAX($A$3:A835)+1)</f>
        <v/>
      </c>
      <c r="B836" s="253"/>
      <c r="C836" s="249"/>
      <c r="D836" s="263"/>
      <c r="E836" s="251"/>
      <c r="F836" s="340" t="str">
        <f>IF($B836="","",SUM(SUMIFS('Daily Inward'!$G:$G,'Daily Inward'!$C:$C,$B836,'Daily Inward'!$E:$E,{"Inventory","Services"})))</f>
        <v/>
      </c>
      <c r="G836" s="341" t="str">
        <f>IF($B836="","",SUM(SUMIFS('Daily Issuance'!$G:$G,'Daily Issuance'!$C:$C,$B836,'Daily Issuance'!$E:$E,{"Inventory","Services"})))</f>
        <v/>
      </c>
      <c r="H836" s="42" t="str">
        <f t="shared" ref="H836:H899" si="26">IF($B836="","",N(E836)+N(F836)-N(G836))</f>
        <v/>
      </c>
      <c r="I836" s="39"/>
      <c r="J836" s="36" t="str">
        <f t="shared" ref="J836:J899" si="27">IF($B836="","",H836*I836)</f>
        <v/>
      </c>
      <c r="K836" s="48"/>
    </row>
    <row r="837" spans="1:11" ht="23.1" customHeight="1">
      <c r="A837" s="348" t="str">
        <f>IF($B837="","",MAX($A$3:A836)+1)</f>
        <v/>
      </c>
      <c r="B837" s="253"/>
      <c r="C837" s="249"/>
      <c r="D837" s="263"/>
      <c r="E837" s="251"/>
      <c r="F837" s="340" t="str">
        <f>IF($B837="","",SUM(SUMIFS('Daily Inward'!$G:$G,'Daily Inward'!$C:$C,$B837,'Daily Inward'!$E:$E,{"Inventory","Services"})))</f>
        <v/>
      </c>
      <c r="G837" s="341" t="str">
        <f>IF($B837="","",SUM(SUMIFS('Daily Issuance'!$G:$G,'Daily Issuance'!$C:$C,$B837,'Daily Issuance'!$E:$E,{"Inventory","Services"})))</f>
        <v/>
      </c>
      <c r="H837" s="42" t="str">
        <f t="shared" si="26"/>
        <v/>
      </c>
      <c r="I837" s="39"/>
      <c r="J837" s="36" t="str">
        <f t="shared" si="27"/>
        <v/>
      </c>
      <c r="K837" s="48"/>
    </row>
    <row r="838" spans="1:11" ht="23.1" customHeight="1">
      <c r="A838" s="348" t="str">
        <f>IF($B838="","",MAX($A$3:A837)+1)</f>
        <v/>
      </c>
      <c r="B838" s="253"/>
      <c r="C838" s="249"/>
      <c r="D838" s="263"/>
      <c r="E838" s="251"/>
      <c r="F838" s="340" t="str">
        <f>IF($B838="","",SUM(SUMIFS('Daily Inward'!$G:$G,'Daily Inward'!$C:$C,$B838,'Daily Inward'!$E:$E,{"Inventory","Services"})))</f>
        <v/>
      </c>
      <c r="G838" s="341" t="str">
        <f>IF($B838="","",SUM(SUMIFS('Daily Issuance'!$G:$G,'Daily Issuance'!$C:$C,$B838,'Daily Issuance'!$E:$E,{"Inventory","Services"})))</f>
        <v/>
      </c>
      <c r="H838" s="42" t="str">
        <f t="shared" si="26"/>
        <v/>
      </c>
      <c r="I838" s="39"/>
      <c r="J838" s="36" t="str">
        <f t="shared" si="27"/>
        <v/>
      </c>
      <c r="K838" s="48"/>
    </row>
    <row r="839" spans="1:11" ht="23.1" customHeight="1">
      <c r="A839" s="348" t="str">
        <f>IF($B839="","",MAX($A$3:A838)+1)</f>
        <v/>
      </c>
      <c r="B839" s="253"/>
      <c r="C839" s="249"/>
      <c r="D839" s="263"/>
      <c r="E839" s="251"/>
      <c r="F839" s="340" t="str">
        <f>IF($B839="","",SUM(SUMIFS('Daily Inward'!$G:$G,'Daily Inward'!$C:$C,$B839,'Daily Inward'!$E:$E,{"Inventory","Services"})))</f>
        <v/>
      </c>
      <c r="G839" s="341" t="str">
        <f>IF($B839="","",SUM(SUMIFS('Daily Issuance'!$G:$G,'Daily Issuance'!$C:$C,$B839,'Daily Issuance'!$E:$E,{"Inventory","Services"})))</f>
        <v/>
      </c>
      <c r="H839" s="42" t="str">
        <f t="shared" si="26"/>
        <v/>
      </c>
      <c r="I839" s="39"/>
      <c r="J839" s="36" t="str">
        <f t="shared" si="27"/>
        <v/>
      </c>
      <c r="K839" s="48"/>
    </row>
    <row r="840" spans="1:11" ht="23.1" customHeight="1">
      <c r="A840" s="348" t="str">
        <f>IF($B840="","",MAX($A$3:A839)+1)</f>
        <v/>
      </c>
      <c r="B840" s="253"/>
      <c r="C840" s="249"/>
      <c r="D840" s="263"/>
      <c r="E840" s="251"/>
      <c r="F840" s="340" t="str">
        <f>IF($B840="","",SUM(SUMIFS('Daily Inward'!$G:$G,'Daily Inward'!$C:$C,$B840,'Daily Inward'!$E:$E,{"Inventory","Services"})))</f>
        <v/>
      </c>
      <c r="G840" s="341" t="str">
        <f>IF($B840="","",SUM(SUMIFS('Daily Issuance'!$G:$G,'Daily Issuance'!$C:$C,$B840,'Daily Issuance'!$E:$E,{"Inventory","Services"})))</f>
        <v/>
      </c>
      <c r="H840" s="42" t="str">
        <f t="shared" si="26"/>
        <v/>
      </c>
      <c r="I840" s="39"/>
      <c r="J840" s="36" t="str">
        <f t="shared" si="27"/>
        <v/>
      </c>
      <c r="K840" s="48"/>
    </row>
    <row r="841" spans="1:11" ht="23.1" customHeight="1">
      <c r="A841" s="348" t="str">
        <f>IF($B841="","",MAX($A$3:A840)+1)</f>
        <v/>
      </c>
      <c r="B841" s="253"/>
      <c r="C841" s="249"/>
      <c r="D841" s="263"/>
      <c r="E841" s="251"/>
      <c r="F841" s="340" t="str">
        <f>IF($B841="","",SUM(SUMIFS('Daily Inward'!$G:$G,'Daily Inward'!$C:$C,$B841,'Daily Inward'!$E:$E,{"Inventory","Services"})))</f>
        <v/>
      </c>
      <c r="G841" s="341" t="str">
        <f>IF($B841="","",SUM(SUMIFS('Daily Issuance'!$G:$G,'Daily Issuance'!$C:$C,$B841,'Daily Issuance'!$E:$E,{"Inventory","Services"})))</f>
        <v/>
      </c>
      <c r="H841" s="42" t="str">
        <f t="shared" si="26"/>
        <v/>
      </c>
      <c r="I841" s="39"/>
      <c r="J841" s="36" t="str">
        <f t="shared" si="27"/>
        <v/>
      </c>
      <c r="K841" s="48"/>
    </row>
    <row r="842" spans="1:11" ht="23.1" customHeight="1">
      <c r="A842" s="348" t="str">
        <f>IF($B842="","",MAX($A$3:A841)+1)</f>
        <v/>
      </c>
      <c r="B842" s="253"/>
      <c r="C842" s="249"/>
      <c r="D842" s="263"/>
      <c r="E842" s="251"/>
      <c r="F842" s="340" t="str">
        <f>IF($B842="","",SUM(SUMIFS('Daily Inward'!$G:$G,'Daily Inward'!$C:$C,$B842,'Daily Inward'!$E:$E,{"Inventory","Services"})))</f>
        <v/>
      </c>
      <c r="G842" s="341" t="str">
        <f>IF($B842="","",SUM(SUMIFS('Daily Issuance'!$G:$G,'Daily Issuance'!$C:$C,$B842,'Daily Issuance'!$E:$E,{"Inventory","Services"})))</f>
        <v/>
      </c>
      <c r="H842" s="42" t="str">
        <f t="shared" si="26"/>
        <v/>
      </c>
      <c r="I842" s="39"/>
      <c r="J842" s="36" t="str">
        <f t="shared" si="27"/>
        <v/>
      </c>
      <c r="K842" s="48"/>
    </row>
    <row r="843" spans="1:11" ht="23.1" customHeight="1">
      <c r="A843" s="348" t="str">
        <f>IF($B843="","",MAX($A$3:A842)+1)</f>
        <v/>
      </c>
      <c r="B843" s="253"/>
      <c r="C843" s="249"/>
      <c r="D843" s="263"/>
      <c r="E843" s="251"/>
      <c r="F843" s="340" t="str">
        <f>IF($B843="","",SUM(SUMIFS('Daily Inward'!$G:$G,'Daily Inward'!$C:$C,$B843,'Daily Inward'!$E:$E,{"Inventory","Services"})))</f>
        <v/>
      </c>
      <c r="G843" s="341" t="str">
        <f>IF($B843="","",SUM(SUMIFS('Daily Issuance'!$G:$G,'Daily Issuance'!$C:$C,$B843,'Daily Issuance'!$E:$E,{"Inventory","Services"})))</f>
        <v/>
      </c>
      <c r="H843" s="42" t="str">
        <f t="shared" si="26"/>
        <v/>
      </c>
      <c r="I843" s="39"/>
      <c r="J843" s="36" t="str">
        <f t="shared" si="27"/>
        <v/>
      </c>
      <c r="K843" s="48"/>
    </row>
    <row r="844" spans="1:11" ht="23.1" customHeight="1">
      <c r="A844" s="348" t="str">
        <f>IF($B844="","",MAX($A$3:A843)+1)</f>
        <v/>
      </c>
      <c r="B844" s="253"/>
      <c r="C844" s="249"/>
      <c r="D844" s="263"/>
      <c r="E844" s="251"/>
      <c r="F844" s="340" t="str">
        <f>IF($B844="","",SUM(SUMIFS('Daily Inward'!$G:$G,'Daily Inward'!$C:$C,$B844,'Daily Inward'!$E:$E,{"Inventory","Services"})))</f>
        <v/>
      </c>
      <c r="G844" s="341" t="str">
        <f>IF($B844="","",SUM(SUMIFS('Daily Issuance'!$G:$G,'Daily Issuance'!$C:$C,$B844,'Daily Issuance'!$E:$E,{"Inventory","Services"})))</f>
        <v/>
      </c>
      <c r="H844" s="42" t="str">
        <f t="shared" si="26"/>
        <v/>
      </c>
      <c r="I844" s="39"/>
      <c r="J844" s="36" t="str">
        <f t="shared" si="27"/>
        <v/>
      </c>
      <c r="K844" s="48"/>
    </row>
    <row r="845" spans="1:11" ht="23.1" customHeight="1">
      <c r="A845" s="348" t="str">
        <f>IF($B845="","",MAX($A$3:A844)+1)</f>
        <v/>
      </c>
      <c r="B845" s="253"/>
      <c r="C845" s="249"/>
      <c r="D845" s="263"/>
      <c r="E845" s="251"/>
      <c r="F845" s="340" t="str">
        <f>IF($B845="","",SUM(SUMIFS('Daily Inward'!$G:$G,'Daily Inward'!$C:$C,$B845,'Daily Inward'!$E:$E,{"Inventory","Services"})))</f>
        <v/>
      </c>
      <c r="G845" s="341" t="str">
        <f>IF($B845="","",SUM(SUMIFS('Daily Issuance'!$G:$G,'Daily Issuance'!$C:$C,$B845,'Daily Issuance'!$E:$E,{"Inventory","Services"})))</f>
        <v/>
      </c>
      <c r="H845" s="42" t="str">
        <f t="shared" si="26"/>
        <v/>
      </c>
      <c r="I845" s="39"/>
      <c r="J845" s="36" t="str">
        <f t="shared" si="27"/>
        <v/>
      </c>
      <c r="K845" s="48"/>
    </row>
    <row r="846" spans="1:11" ht="23.1" customHeight="1">
      <c r="A846" s="348" t="str">
        <f>IF($B846="","",MAX($A$3:A845)+1)</f>
        <v/>
      </c>
      <c r="B846" s="253"/>
      <c r="C846" s="249"/>
      <c r="D846" s="263"/>
      <c r="E846" s="251"/>
      <c r="F846" s="340" t="str">
        <f>IF($B846="","",SUM(SUMIFS('Daily Inward'!$G:$G,'Daily Inward'!$C:$C,$B846,'Daily Inward'!$E:$E,{"Inventory","Services"})))</f>
        <v/>
      </c>
      <c r="G846" s="341" t="str">
        <f>IF($B846="","",SUM(SUMIFS('Daily Issuance'!$G:$G,'Daily Issuance'!$C:$C,$B846,'Daily Issuance'!$E:$E,{"Inventory","Services"})))</f>
        <v/>
      </c>
      <c r="H846" s="42" t="str">
        <f t="shared" si="26"/>
        <v/>
      </c>
      <c r="I846" s="39"/>
      <c r="J846" s="36" t="str">
        <f t="shared" si="27"/>
        <v/>
      </c>
      <c r="K846" s="48"/>
    </row>
    <row r="847" spans="1:11" ht="23.1" customHeight="1">
      <c r="A847" s="348" t="str">
        <f>IF($B847="","",MAX($A$3:A846)+1)</f>
        <v/>
      </c>
      <c r="B847" s="253"/>
      <c r="C847" s="249"/>
      <c r="D847" s="263"/>
      <c r="E847" s="251"/>
      <c r="F847" s="340" t="str">
        <f>IF($B847="","",SUM(SUMIFS('Daily Inward'!$G:$G,'Daily Inward'!$C:$C,$B847,'Daily Inward'!$E:$E,{"Inventory","Services"})))</f>
        <v/>
      </c>
      <c r="G847" s="341" t="str">
        <f>IF($B847="","",SUM(SUMIFS('Daily Issuance'!$G:$G,'Daily Issuance'!$C:$C,$B847,'Daily Issuance'!$E:$E,{"Inventory","Services"})))</f>
        <v/>
      </c>
      <c r="H847" s="42" t="str">
        <f t="shared" si="26"/>
        <v/>
      </c>
      <c r="I847" s="39"/>
      <c r="J847" s="36" t="str">
        <f t="shared" si="27"/>
        <v/>
      </c>
      <c r="K847" s="48"/>
    </row>
    <row r="848" spans="1:11" ht="23.1" customHeight="1">
      <c r="A848" s="348" t="str">
        <f>IF($B848="","",MAX($A$3:A847)+1)</f>
        <v/>
      </c>
      <c r="B848" s="253"/>
      <c r="C848" s="249"/>
      <c r="D848" s="263"/>
      <c r="E848" s="251"/>
      <c r="F848" s="340" t="str">
        <f>IF($B848="","",SUM(SUMIFS('Daily Inward'!$G:$G,'Daily Inward'!$C:$C,$B848,'Daily Inward'!$E:$E,{"Inventory","Services"})))</f>
        <v/>
      </c>
      <c r="G848" s="341" t="str">
        <f>IF($B848="","",SUM(SUMIFS('Daily Issuance'!$G:$G,'Daily Issuance'!$C:$C,$B848,'Daily Issuance'!$E:$E,{"Inventory","Services"})))</f>
        <v/>
      </c>
      <c r="H848" s="42" t="str">
        <f t="shared" si="26"/>
        <v/>
      </c>
      <c r="I848" s="39"/>
      <c r="J848" s="36" t="str">
        <f t="shared" si="27"/>
        <v/>
      </c>
      <c r="K848" s="48"/>
    </row>
    <row r="849" spans="1:11" ht="23.1" customHeight="1">
      <c r="A849" s="348" t="str">
        <f>IF($B849="","",MAX($A$3:A848)+1)</f>
        <v/>
      </c>
      <c r="B849" s="253"/>
      <c r="C849" s="249"/>
      <c r="D849" s="263"/>
      <c r="E849" s="251"/>
      <c r="F849" s="340" t="str">
        <f>IF($B849="","",SUM(SUMIFS('Daily Inward'!$G:$G,'Daily Inward'!$C:$C,$B849,'Daily Inward'!$E:$E,{"Inventory","Services"})))</f>
        <v/>
      </c>
      <c r="G849" s="341" t="str">
        <f>IF($B849="","",SUM(SUMIFS('Daily Issuance'!$G:$G,'Daily Issuance'!$C:$C,$B849,'Daily Issuance'!$E:$E,{"Inventory","Services"})))</f>
        <v/>
      </c>
      <c r="H849" s="42" t="str">
        <f t="shared" si="26"/>
        <v/>
      </c>
      <c r="I849" s="39"/>
      <c r="J849" s="36" t="str">
        <f t="shared" si="27"/>
        <v/>
      </c>
      <c r="K849" s="48"/>
    </row>
    <row r="850" spans="1:11" ht="23.1" customHeight="1">
      <c r="A850" s="348" t="str">
        <f>IF($B850="","",MAX($A$3:A849)+1)</f>
        <v/>
      </c>
      <c r="B850" s="253"/>
      <c r="C850" s="249"/>
      <c r="D850" s="263"/>
      <c r="E850" s="251"/>
      <c r="F850" s="340" t="str">
        <f>IF($B850="","",SUM(SUMIFS('Daily Inward'!$G:$G,'Daily Inward'!$C:$C,$B850,'Daily Inward'!$E:$E,{"Inventory","Services"})))</f>
        <v/>
      </c>
      <c r="G850" s="341" t="str">
        <f>IF($B850="","",SUM(SUMIFS('Daily Issuance'!$G:$G,'Daily Issuance'!$C:$C,$B850,'Daily Issuance'!$E:$E,{"Inventory","Services"})))</f>
        <v/>
      </c>
      <c r="H850" s="42" t="str">
        <f t="shared" si="26"/>
        <v/>
      </c>
      <c r="I850" s="39"/>
      <c r="J850" s="36" t="str">
        <f t="shared" si="27"/>
        <v/>
      </c>
      <c r="K850" s="48"/>
    </row>
    <row r="851" spans="1:11" ht="23.1" customHeight="1">
      <c r="A851" s="348" t="str">
        <f>IF($B851="","",MAX($A$3:A850)+1)</f>
        <v/>
      </c>
      <c r="B851" s="253"/>
      <c r="C851" s="249"/>
      <c r="D851" s="263"/>
      <c r="E851" s="251"/>
      <c r="F851" s="340" t="str">
        <f>IF($B851="","",SUM(SUMIFS('Daily Inward'!$G:$G,'Daily Inward'!$C:$C,$B851,'Daily Inward'!$E:$E,{"Inventory","Services"})))</f>
        <v/>
      </c>
      <c r="G851" s="341" t="str">
        <f>IF($B851="","",SUM(SUMIFS('Daily Issuance'!$G:$G,'Daily Issuance'!$C:$C,$B851,'Daily Issuance'!$E:$E,{"Inventory","Services"})))</f>
        <v/>
      </c>
      <c r="H851" s="42" t="str">
        <f t="shared" si="26"/>
        <v/>
      </c>
      <c r="I851" s="39"/>
      <c r="J851" s="36" t="str">
        <f t="shared" si="27"/>
        <v/>
      </c>
      <c r="K851" s="48"/>
    </row>
    <row r="852" spans="1:11" ht="23.1" customHeight="1">
      <c r="A852" s="348" t="str">
        <f>IF($B852="","",MAX($A$3:A851)+1)</f>
        <v/>
      </c>
      <c r="B852" s="253"/>
      <c r="C852" s="249"/>
      <c r="D852" s="263"/>
      <c r="E852" s="251"/>
      <c r="F852" s="340" t="str">
        <f>IF($B852="","",SUM(SUMIFS('Daily Inward'!$G:$G,'Daily Inward'!$C:$C,$B852,'Daily Inward'!$E:$E,{"Inventory","Services"})))</f>
        <v/>
      </c>
      <c r="G852" s="341" t="str">
        <f>IF($B852="","",SUM(SUMIFS('Daily Issuance'!$G:$G,'Daily Issuance'!$C:$C,$B852,'Daily Issuance'!$E:$E,{"Inventory","Services"})))</f>
        <v/>
      </c>
      <c r="H852" s="42" t="str">
        <f t="shared" si="26"/>
        <v/>
      </c>
      <c r="I852" s="39"/>
      <c r="J852" s="36" t="str">
        <f t="shared" si="27"/>
        <v/>
      </c>
      <c r="K852" s="48"/>
    </row>
    <row r="853" spans="1:11" ht="23.1" customHeight="1">
      <c r="A853" s="348" t="str">
        <f>IF($B853="","",MAX($A$3:A852)+1)</f>
        <v/>
      </c>
      <c r="B853" s="253"/>
      <c r="C853" s="249"/>
      <c r="D853" s="263"/>
      <c r="E853" s="251"/>
      <c r="F853" s="340" t="str">
        <f>IF($B853="","",SUM(SUMIFS('Daily Inward'!$G:$G,'Daily Inward'!$C:$C,$B853,'Daily Inward'!$E:$E,{"Inventory","Services"})))</f>
        <v/>
      </c>
      <c r="G853" s="341" t="str">
        <f>IF($B853="","",SUM(SUMIFS('Daily Issuance'!$G:$G,'Daily Issuance'!$C:$C,$B853,'Daily Issuance'!$E:$E,{"Inventory","Services"})))</f>
        <v/>
      </c>
      <c r="H853" s="42" t="str">
        <f t="shared" si="26"/>
        <v/>
      </c>
      <c r="I853" s="39"/>
      <c r="J853" s="36" t="str">
        <f t="shared" si="27"/>
        <v/>
      </c>
      <c r="K853" s="48"/>
    </row>
    <row r="854" spans="1:11" ht="23.1" customHeight="1">
      <c r="A854" s="348" t="str">
        <f>IF($B854="","",MAX($A$3:A853)+1)</f>
        <v/>
      </c>
      <c r="B854" s="253"/>
      <c r="C854" s="249"/>
      <c r="D854" s="263"/>
      <c r="E854" s="251"/>
      <c r="F854" s="340" t="str">
        <f>IF($B854="","",SUM(SUMIFS('Daily Inward'!$G:$G,'Daily Inward'!$C:$C,$B854,'Daily Inward'!$E:$E,{"Inventory","Services"})))</f>
        <v/>
      </c>
      <c r="G854" s="341" t="str">
        <f>IF($B854="","",SUM(SUMIFS('Daily Issuance'!$G:$G,'Daily Issuance'!$C:$C,$B854,'Daily Issuance'!$E:$E,{"Inventory","Services"})))</f>
        <v/>
      </c>
      <c r="H854" s="42" t="str">
        <f t="shared" si="26"/>
        <v/>
      </c>
      <c r="I854" s="39"/>
      <c r="J854" s="36" t="str">
        <f t="shared" si="27"/>
        <v/>
      </c>
      <c r="K854" s="48"/>
    </row>
    <row r="855" spans="1:11" ht="23.1" customHeight="1">
      <c r="A855" s="348" t="str">
        <f>IF($B855="","",MAX($A$3:A854)+1)</f>
        <v/>
      </c>
      <c r="B855" s="253"/>
      <c r="C855" s="249"/>
      <c r="D855" s="263"/>
      <c r="E855" s="251"/>
      <c r="F855" s="340" t="str">
        <f>IF($B855="","",SUM(SUMIFS('Daily Inward'!$G:$G,'Daily Inward'!$C:$C,$B855,'Daily Inward'!$E:$E,{"Inventory","Services"})))</f>
        <v/>
      </c>
      <c r="G855" s="341" t="str">
        <f>IF($B855="","",SUM(SUMIFS('Daily Issuance'!$G:$G,'Daily Issuance'!$C:$C,$B855,'Daily Issuance'!$E:$E,{"Inventory","Services"})))</f>
        <v/>
      </c>
      <c r="H855" s="42" t="str">
        <f t="shared" si="26"/>
        <v/>
      </c>
      <c r="I855" s="39"/>
      <c r="J855" s="36" t="str">
        <f t="shared" si="27"/>
        <v/>
      </c>
      <c r="K855" s="48"/>
    </row>
    <row r="856" spans="1:11" ht="23.1" customHeight="1">
      <c r="A856" s="348" t="str">
        <f>IF($B856="","",MAX($A$3:A855)+1)</f>
        <v/>
      </c>
      <c r="B856" s="253"/>
      <c r="C856" s="249"/>
      <c r="D856" s="263"/>
      <c r="E856" s="251"/>
      <c r="F856" s="340" t="str">
        <f>IF($B856="","",SUM(SUMIFS('Daily Inward'!$G:$G,'Daily Inward'!$C:$C,$B856,'Daily Inward'!$E:$E,{"Inventory","Services"})))</f>
        <v/>
      </c>
      <c r="G856" s="341" t="str">
        <f>IF($B856="","",SUM(SUMIFS('Daily Issuance'!$G:$G,'Daily Issuance'!$C:$C,$B856,'Daily Issuance'!$E:$E,{"Inventory","Services"})))</f>
        <v/>
      </c>
      <c r="H856" s="42" t="str">
        <f t="shared" si="26"/>
        <v/>
      </c>
      <c r="I856" s="39"/>
      <c r="J856" s="36" t="str">
        <f t="shared" si="27"/>
        <v/>
      </c>
      <c r="K856" s="48"/>
    </row>
    <row r="857" spans="1:11" ht="23.1" customHeight="1">
      <c r="A857" s="348" t="str">
        <f>IF($B857="","",MAX($A$3:A856)+1)</f>
        <v/>
      </c>
      <c r="B857" s="253"/>
      <c r="C857" s="249"/>
      <c r="D857" s="263"/>
      <c r="E857" s="251"/>
      <c r="F857" s="340" t="str">
        <f>IF($B857="","",SUM(SUMIFS('Daily Inward'!$G:$G,'Daily Inward'!$C:$C,$B857,'Daily Inward'!$E:$E,{"Inventory","Services"})))</f>
        <v/>
      </c>
      <c r="G857" s="341" t="str">
        <f>IF($B857="","",SUM(SUMIFS('Daily Issuance'!$G:$G,'Daily Issuance'!$C:$C,$B857,'Daily Issuance'!$E:$E,{"Inventory","Services"})))</f>
        <v/>
      </c>
      <c r="H857" s="42" t="str">
        <f t="shared" si="26"/>
        <v/>
      </c>
      <c r="I857" s="39"/>
      <c r="J857" s="36" t="str">
        <f t="shared" si="27"/>
        <v/>
      </c>
      <c r="K857" s="48"/>
    </row>
    <row r="858" spans="1:11" ht="23.1" customHeight="1">
      <c r="A858" s="348" t="str">
        <f>IF($B858="","",MAX($A$3:A857)+1)</f>
        <v/>
      </c>
      <c r="B858" s="253"/>
      <c r="C858" s="249"/>
      <c r="D858" s="263"/>
      <c r="E858" s="251"/>
      <c r="F858" s="340" t="str">
        <f>IF($B858="","",SUM(SUMIFS('Daily Inward'!$G:$G,'Daily Inward'!$C:$C,$B858,'Daily Inward'!$E:$E,{"Inventory","Services"})))</f>
        <v/>
      </c>
      <c r="G858" s="341" t="str">
        <f>IF($B858="","",SUM(SUMIFS('Daily Issuance'!$G:$G,'Daily Issuance'!$C:$C,$B858,'Daily Issuance'!$E:$E,{"Inventory","Services"})))</f>
        <v/>
      </c>
      <c r="H858" s="42" t="str">
        <f t="shared" si="26"/>
        <v/>
      </c>
      <c r="I858" s="39"/>
      <c r="J858" s="36" t="str">
        <f t="shared" si="27"/>
        <v/>
      </c>
      <c r="K858" s="48"/>
    </row>
    <row r="859" spans="1:11" ht="23.1" customHeight="1">
      <c r="A859" s="348" t="str">
        <f>IF($B859="","",MAX($A$3:A858)+1)</f>
        <v/>
      </c>
      <c r="B859" s="253"/>
      <c r="C859" s="249"/>
      <c r="D859" s="263"/>
      <c r="E859" s="251"/>
      <c r="F859" s="340" t="str">
        <f>IF($B859="","",SUM(SUMIFS('Daily Inward'!$G:$G,'Daily Inward'!$C:$C,$B859,'Daily Inward'!$E:$E,{"Inventory","Services"})))</f>
        <v/>
      </c>
      <c r="G859" s="341" t="str">
        <f>IF($B859="","",SUM(SUMIFS('Daily Issuance'!$G:$G,'Daily Issuance'!$C:$C,$B859,'Daily Issuance'!$E:$E,{"Inventory","Services"})))</f>
        <v/>
      </c>
      <c r="H859" s="42" t="str">
        <f t="shared" si="26"/>
        <v/>
      </c>
      <c r="I859" s="39"/>
      <c r="J859" s="36" t="str">
        <f t="shared" si="27"/>
        <v/>
      </c>
      <c r="K859" s="48"/>
    </row>
    <row r="860" spans="1:11" ht="23.1" customHeight="1">
      <c r="A860" s="348" t="str">
        <f>IF($B860="","",MAX($A$3:A859)+1)</f>
        <v/>
      </c>
      <c r="B860" s="253"/>
      <c r="C860" s="249"/>
      <c r="D860" s="263"/>
      <c r="E860" s="251"/>
      <c r="F860" s="340" t="str">
        <f>IF($B860="","",SUM(SUMIFS('Daily Inward'!$G:$G,'Daily Inward'!$C:$C,$B860,'Daily Inward'!$E:$E,{"Inventory","Services"})))</f>
        <v/>
      </c>
      <c r="G860" s="341" t="str">
        <f>IF($B860="","",SUM(SUMIFS('Daily Issuance'!$G:$G,'Daily Issuance'!$C:$C,$B860,'Daily Issuance'!$E:$E,{"Inventory","Services"})))</f>
        <v/>
      </c>
      <c r="H860" s="42" t="str">
        <f t="shared" si="26"/>
        <v/>
      </c>
      <c r="I860" s="39"/>
      <c r="J860" s="36" t="str">
        <f t="shared" si="27"/>
        <v/>
      </c>
      <c r="K860" s="48"/>
    </row>
    <row r="861" spans="1:11" ht="23.1" customHeight="1">
      <c r="A861" s="348" t="str">
        <f>IF($B861="","",MAX($A$3:A860)+1)</f>
        <v/>
      </c>
      <c r="B861" s="253"/>
      <c r="C861" s="249"/>
      <c r="D861" s="263"/>
      <c r="E861" s="251"/>
      <c r="F861" s="340" t="str">
        <f>IF($B861="","",SUM(SUMIFS('Daily Inward'!$G:$G,'Daily Inward'!$C:$C,$B861,'Daily Inward'!$E:$E,{"Inventory","Services"})))</f>
        <v/>
      </c>
      <c r="G861" s="341" t="str">
        <f>IF($B861="","",SUM(SUMIFS('Daily Issuance'!$G:$G,'Daily Issuance'!$C:$C,$B861,'Daily Issuance'!$E:$E,{"Inventory","Services"})))</f>
        <v/>
      </c>
      <c r="H861" s="42" t="str">
        <f t="shared" si="26"/>
        <v/>
      </c>
      <c r="I861" s="39"/>
      <c r="J861" s="36" t="str">
        <f t="shared" si="27"/>
        <v/>
      </c>
      <c r="K861" s="48"/>
    </row>
    <row r="862" spans="1:11" ht="23.1" customHeight="1">
      <c r="A862" s="348" t="str">
        <f>IF($B862="","",MAX($A$3:A861)+1)</f>
        <v/>
      </c>
      <c r="B862" s="253"/>
      <c r="C862" s="249"/>
      <c r="D862" s="263"/>
      <c r="E862" s="251"/>
      <c r="F862" s="340" t="str">
        <f>IF($B862="","",SUM(SUMIFS('Daily Inward'!$G:$G,'Daily Inward'!$C:$C,$B862,'Daily Inward'!$E:$E,{"Inventory","Services"})))</f>
        <v/>
      </c>
      <c r="G862" s="341" t="str">
        <f>IF($B862="","",SUM(SUMIFS('Daily Issuance'!$G:$G,'Daily Issuance'!$C:$C,$B862,'Daily Issuance'!$E:$E,{"Inventory","Services"})))</f>
        <v/>
      </c>
      <c r="H862" s="42" t="str">
        <f t="shared" si="26"/>
        <v/>
      </c>
      <c r="I862" s="39"/>
      <c r="J862" s="36" t="str">
        <f t="shared" si="27"/>
        <v/>
      </c>
      <c r="K862" s="48"/>
    </row>
    <row r="863" spans="1:11" ht="23.1" customHeight="1">
      <c r="A863" s="348" t="str">
        <f>IF($B863="","",MAX($A$3:A862)+1)</f>
        <v/>
      </c>
      <c r="B863" s="253"/>
      <c r="C863" s="249"/>
      <c r="D863" s="263"/>
      <c r="E863" s="251"/>
      <c r="F863" s="340" t="str">
        <f>IF($B863="","",SUM(SUMIFS('Daily Inward'!$G:$G,'Daily Inward'!$C:$C,$B863,'Daily Inward'!$E:$E,{"Inventory","Services"})))</f>
        <v/>
      </c>
      <c r="G863" s="341" t="str">
        <f>IF($B863="","",SUM(SUMIFS('Daily Issuance'!$G:$G,'Daily Issuance'!$C:$C,$B863,'Daily Issuance'!$E:$E,{"Inventory","Services"})))</f>
        <v/>
      </c>
      <c r="H863" s="42" t="str">
        <f t="shared" si="26"/>
        <v/>
      </c>
      <c r="I863" s="39"/>
      <c r="J863" s="36" t="str">
        <f t="shared" si="27"/>
        <v/>
      </c>
      <c r="K863" s="48"/>
    </row>
    <row r="864" spans="1:11" ht="23.1" customHeight="1">
      <c r="A864" s="348" t="str">
        <f>IF($B864="","",MAX($A$3:A863)+1)</f>
        <v/>
      </c>
      <c r="B864" s="253"/>
      <c r="C864" s="249"/>
      <c r="D864" s="263"/>
      <c r="E864" s="251"/>
      <c r="F864" s="340" t="str">
        <f>IF($B864="","",SUM(SUMIFS('Daily Inward'!$G:$G,'Daily Inward'!$C:$C,$B864,'Daily Inward'!$E:$E,{"Inventory","Services"})))</f>
        <v/>
      </c>
      <c r="G864" s="341" t="str">
        <f>IF($B864="","",SUM(SUMIFS('Daily Issuance'!$G:$G,'Daily Issuance'!$C:$C,$B864,'Daily Issuance'!$E:$E,{"Inventory","Services"})))</f>
        <v/>
      </c>
      <c r="H864" s="42" t="str">
        <f t="shared" si="26"/>
        <v/>
      </c>
      <c r="I864" s="39"/>
      <c r="J864" s="36" t="str">
        <f t="shared" si="27"/>
        <v/>
      </c>
      <c r="K864" s="48"/>
    </row>
    <row r="865" spans="1:11" ht="23.1" customHeight="1">
      <c r="A865" s="348" t="str">
        <f>IF($B865="","",MAX($A$3:A864)+1)</f>
        <v/>
      </c>
      <c r="B865" s="253"/>
      <c r="C865" s="249"/>
      <c r="D865" s="263"/>
      <c r="E865" s="251"/>
      <c r="F865" s="340" t="str">
        <f>IF($B865="","",SUM(SUMIFS('Daily Inward'!$G:$G,'Daily Inward'!$C:$C,$B865,'Daily Inward'!$E:$E,{"Inventory","Services"})))</f>
        <v/>
      </c>
      <c r="G865" s="341" t="str">
        <f>IF($B865="","",SUM(SUMIFS('Daily Issuance'!$G:$G,'Daily Issuance'!$C:$C,$B865,'Daily Issuance'!$E:$E,{"Inventory","Services"})))</f>
        <v/>
      </c>
      <c r="H865" s="42" t="str">
        <f t="shared" si="26"/>
        <v/>
      </c>
      <c r="I865" s="39"/>
      <c r="J865" s="36" t="str">
        <f t="shared" si="27"/>
        <v/>
      </c>
      <c r="K865" s="48"/>
    </row>
    <row r="866" spans="1:11" ht="23.1" customHeight="1">
      <c r="A866" s="348" t="str">
        <f>IF($B866="","",MAX($A$3:A865)+1)</f>
        <v/>
      </c>
      <c r="B866" s="253"/>
      <c r="C866" s="249"/>
      <c r="D866" s="263"/>
      <c r="E866" s="251"/>
      <c r="F866" s="340" t="str">
        <f>IF($B866="","",SUM(SUMIFS('Daily Inward'!$G:$G,'Daily Inward'!$C:$C,$B866,'Daily Inward'!$E:$E,{"Inventory","Services"})))</f>
        <v/>
      </c>
      <c r="G866" s="341" t="str">
        <f>IF($B866="","",SUM(SUMIFS('Daily Issuance'!$G:$G,'Daily Issuance'!$C:$C,$B866,'Daily Issuance'!$E:$E,{"Inventory","Services"})))</f>
        <v/>
      </c>
      <c r="H866" s="42" t="str">
        <f t="shared" si="26"/>
        <v/>
      </c>
      <c r="I866" s="39"/>
      <c r="J866" s="36" t="str">
        <f t="shared" si="27"/>
        <v/>
      </c>
      <c r="K866" s="48"/>
    </row>
    <row r="867" spans="1:11" ht="23.1" customHeight="1">
      <c r="A867" s="348" t="str">
        <f>IF($B867="","",MAX($A$3:A866)+1)</f>
        <v/>
      </c>
      <c r="B867" s="253"/>
      <c r="C867" s="249"/>
      <c r="D867" s="263"/>
      <c r="E867" s="251"/>
      <c r="F867" s="340" t="str">
        <f>IF($B867="","",SUM(SUMIFS('Daily Inward'!$G:$G,'Daily Inward'!$C:$C,$B867,'Daily Inward'!$E:$E,{"Inventory","Services"})))</f>
        <v/>
      </c>
      <c r="G867" s="341" t="str">
        <f>IF($B867="","",SUM(SUMIFS('Daily Issuance'!$G:$G,'Daily Issuance'!$C:$C,$B867,'Daily Issuance'!$E:$E,{"Inventory","Services"})))</f>
        <v/>
      </c>
      <c r="H867" s="42" t="str">
        <f t="shared" si="26"/>
        <v/>
      </c>
      <c r="I867" s="39"/>
      <c r="J867" s="36" t="str">
        <f t="shared" si="27"/>
        <v/>
      </c>
      <c r="K867" s="48"/>
    </row>
    <row r="868" spans="1:11" ht="23.1" customHeight="1">
      <c r="A868" s="348" t="str">
        <f>IF($B868="","",MAX($A$3:A867)+1)</f>
        <v/>
      </c>
      <c r="B868" s="253"/>
      <c r="C868" s="249"/>
      <c r="D868" s="263"/>
      <c r="E868" s="251"/>
      <c r="F868" s="340" t="str">
        <f>IF($B868="","",SUM(SUMIFS('Daily Inward'!$G:$G,'Daily Inward'!$C:$C,$B868,'Daily Inward'!$E:$E,{"Inventory","Services"})))</f>
        <v/>
      </c>
      <c r="G868" s="341" t="str">
        <f>IF($B868="","",SUM(SUMIFS('Daily Issuance'!$G:$G,'Daily Issuance'!$C:$C,$B868,'Daily Issuance'!$E:$E,{"Inventory","Services"})))</f>
        <v/>
      </c>
      <c r="H868" s="42" t="str">
        <f t="shared" si="26"/>
        <v/>
      </c>
      <c r="I868" s="39"/>
      <c r="J868" s="36" t="str">
        <f t="shared" si="27"/>
        <v/>
      </c>
      <c r="K868" s="48"/>
    </row>
    <row r="869" spans="1:11" ht="23.1" customHeight="1">
      <c r="A869" s="348" t="str">
        <f>IF($B869="","",MAX($A$3:A868)+1)</f>
        <v/>
      </c>
      <c r="B869" s="253"/>
      <c r="C869" s="249"/>
      <c r="D869" s="263"/>
      <c r="E869" s="251"/>
      <c r="F869" s="340" t="str">
        <f>IF($B869="","",SUM(SUMIFS('Daily Inward'!$G:$G,'Daily Inward'!$C:$C,$B869,'Daily Inward'!$E:$E,{"Inventory","Services"})))</f>
        <v/>
      </c>
      <c r="G869" s="341" t="str">
        <f>IF($B869="","",SUM(SUMIFS('Daily Issuance'!$G:$G,'Daily Issuance'!$C:$C,$B869,'Daily Issuance'!$E:$E,{"Inventory","Services"})))</f>
        <v/>
      </c>
      <c r="H869" s="42" t="str">
        <f t="shared" si="26"/>
        <v/>
      </c>
      <c r="I869" s="39"/>
      <c r="J869" s="36" t="str">
        <f t="shared" si="27"/>
        <v/>
      </c>
      <c r="K869" s="48"/>
    </row>
    <row r="870" spans="1:11" ht="23.1" customHeight="1">
      <c r="A870" s="348" t="str">
        <f>IF($B870="","",MAX($A$3:A869)+1)</f>
        <v/>
      </c>
      <c r="B870" s="253"/>
      <c r="C870" s="249"/>
      <c r="D870" s="263"/>
      <c r="E870" s="251"/>
      <c r="F870" s="340" t="str">
        <f>IF($B870="","",SUM(SUMIFS('Daily Inward'!$G:$G,'Daily Inward'!$C:$C,$B870,'Daily Inward'!$E:$E,{"Inventory","Services"})))</f>
        <v/>
      </c>
      <c r="G870" s="341" t="str">
        <f>IF($B870="","",SUM(SUMIFS('Daily Issuance'!$G:$G,'Daily Issuance'!$C:$C,$B870,'Daily Issuance'!$E:$E,{"Inventory","Services"})))</f>
        <v/>
      </c>
      <c r="H870" s="42" t="str">
        <f t="shared" si="26"/>
        <v/>
      </c>
      <c r="I870" s="39"/>
      <c r="J870" s="36" t="str">
        <f t="shared" si="27"/>
        <v/>
      </c>
      <c r="K870" s="48"/>
    </row>
    <row r="871" spans="1:11" ht="23.1" customHeight="1">
      <c r="A871" s="348" t="str">
        <f>IF($B871="","",MAX($A$3:A870)+1)</f>
        <v/>
      </c>
      <c r="B871" s="253"/>
      <c r="C871" s="249"/>
      <c r="D871" s="263"/>
      <c r="E871" s="251"/>
      <c r="F871" s="340" t="str">
        <f>IF($B871="","",SUM(SUMIFS('Daily Inward'!$G:$G,'Daily Inward'!$C:$C,$B871,'Daily Inward'!$E:$E,{"Inventory","Services"})))</f>
        <v/>
      </c>
      <c r="G871" s="341" t="str">
        <f>IF($B871="","",SUM(SUMIFS('Daily Issuance'!$G:$G,'Daily Issuance'!$C:$C,$B871,'Daily Issuance'!$E:$E,{"Inventory","Services"})))</f>
        <v/>
      </c>
      <c r="H871" s="42" t="str">
        <f t="shared" si="26"/>
        <v/>
      </c>
      <c r="I871" s="39"/>
      <c r="J871" s="36" t="str">
        <f t="shared" si="27"/>
        <v/>
      </c>
      <c r="K871" s="48"/>
    </row>
    <row r="872" spans="1:11" ht="23.1" customHeight="1">
      <c r="A872" s="348" t="str">
        <f>IF($B872="","",MAX($A$3:A871)+1)</f>
        <v/>
      </c>
      <c r="B872" s="253"/>
      <c r="C872" s="249"/>
      <c r="D872" s="263"/>
      <c r="E872" s="251"/>
      <c r="F872" s="340" t="str">
        <f>IF($B872="","",SUM(SUMIFS('Daily Inward'!$G:$G,'Daily Inward'!$C:$C,$B872,'Daily Inward'!$E:$E,{"Inventory","Services"})))</f>
        <v/>
      </c>
      <c r="G872" s="341" t="str">
        <f>IF($B872="","",SUM(SUMIFS('Daily Issuance'!$G:$G,'Daily Issuance'!$C:$C,$B872,'Daily Issuance'!$E:$E,{"Inventory","Services"})))</f>
        <v/>
      </c>
      <c r="H872" s="42" t="str">
        <f t="shared" si="26"/>
        <v/>
      </c>
      <c r="I872" s="39"/>
      <c r="J872" s="36" t="str">
        <f t="shared" si="27"/>
        <v/>
      </c>
      <c r="K872" s="48"/>
    </row>
    <row r="873" spans="1:11" ht="23.1" customHeight="1">
      <c r="A873" s="348" t="str">
        <f>IF($B873="","",MAX($A$3:A872)+1)</f>
        <v/>
      </c>
      <c r="B873" s="253"/>
      <c r="C873" s="249"/>
      <c r="D873" s="263"/>
      <c r="E873" s="251"/>
      <c r="F873" s="340" t="str">
        <f>IF($B873="","",SUM(SUMIFS('Daily Inward'!$G:$G,'Daily Inward'!$C:$C,$B873,'Daily Inward'!$E:$E,{"Inventory","Services"})))</f>
        <v/>
      </c>
      <c r="G873" s="341" t="str">
        <f>IF($B873="","",SUM(SUMIFS('Daily Issuance'!$G:$G,'Daily Issuance'!$C:$C,$B873,'Daily Issuance'!$E:$E,{"Inventory","Services"})))</f>
        <v/>
      </c>
      <c r="H873" s="42" t="str">
        <f t="shared" si="26"/>
        <v/>
      </c>
      <c r="I873" s="39"/>
      <c r="J873" s="36" t="str">
        <f t="shared" si="27"/>
        <v/>
      </c>
      <c r="K873" s="48"/>
    </row>
    <row r="874" spans="1:11" ht="23.1" customHeight="1">
      <c r="A874" s="348" t="str">
        <f>IF($B874="","",MAX($A$3:A873)+1)</f>
        <v/>
      </c>
      <c r="B874" s="253"/>
      <c r="C874" s="249"/>
      <c r="D874" s="263"/>
      <c r="E874" s="251"/>
      <c r="F874" s="340" t="str">
        <f>IF($B874="","",SUM(SUMIFS('Daily Inward'!$G:$G,'Daily Inward'!$C:$C,$B874,'Daily Inward'!$E:$E,{"Inventory","Services"})))</f>
        <v/>
      </c>
      <c r="G874" s="341" t="str">
        <f>IF($B874="","",SUM(SUMIFS('Daily Issuance'!$G:$G,'Daily Issuance'!$C:$C,$B874,'Daily Issuance'!$E:$E,{"Inventory","Services"})))</f>
        <v/>
      </c>
      <c r="H874" s="42" t="str">
        <f t="shared" si="26"/>
        <v/>
      </c>
      <c r="I874" s="39"/>
      <c r="J874" s="36" t="str">
        <f t="shared" si="27"/>
        <v/>
      </c>
      <c r="K874" s="48"/>
    </row>
    <row r="875" spans="1:11" ht="23.1" customHeight="1">
      <c r="A875" s="348" t="str">
        <f>IF($B875="","",MAX($A$3:A874)+1)</f>
        <v/>
      </c>
      <c r="B875" s="253"/>
      <c r="C875" s="249"/>
      <c r="D875" s="263"/>
      <c r="E875" s="251"/>
      <c r="F875" s="340" t="str">
        <f>IF($B875="","",SUM(SUMIFS('Daily Inward'!$G:$G,'Daily Inward'!$C:$C,$B875,'Daily Inward'!$E:$E,{"Inventory","Services"})))</f>
        <v/>
      </c>
      <c r="G875" s="341" t="str">
        <f>IF($B875="","",SUM(SUMIFS('Daily Issuance'!$G:$G,'Daily Issuance'!$C:$C,$B875,'Daily Issuance'!$E:$E,{"Inventory","Services"})))</f>
        <v/>
      </c>
      <c r="H875" s="42" t="str">
        <f t="shared" si="26"/>
        <v/>
      </c>
      <c r="I875" s="39"/>
      <c r="J875" s="36" t="str">
        <f t="shared" si="27"/>
        <v/>
      </c>
      <c r="K875" s="48"/>
    </row>
    <row r="876" spans="1:11" ht="23.1" customHeight="1">
      <c r="A876" s="348" t="str">
        <f>IF($B876="","",MAX($A$3:A875)+1)</f>
        <v/>
      </c>
      <c r="B876" s="253"/>
      <c r="C876" s="249"/>
      <c r="D876" s="263"/>
      <c r="E876" s="251"/>
      <c r="F876" s="340" t="str">
        <f>IF($B876="","",SUM(SUMIFS('Daily Inward'!$G:$G,'Daily Inward'!$C:$C,$B876,'Daily Inward'!$E:$E,{"Inventory","Services"})))</f>
        <v/>
      </c>
      <c r="G876" s="341" t="str">
        <f>IF($B876="","",SUM(SUMIFS('Daily Issuance'!$G:$G,'Daily Issuance'!$C:$C,$B876,'Daily Issuance'!$E:$E,{"Inventory","Services"})))</f>
        <v/>
      </c>
      <c r="H876" s="42" t="str">
        <f t="shared" si="26"/>
        <v/>
      </c>
      <c r="I876" s="39"/>
      <c r="J876" s="36" t="str">
        <f t="shared" si="27"/>
        <v/>
      </c>
      <c r="K876" s="48"/>
    </row>
    <row r="877" spans="1:11" ht="23.1" customHeight="1">
      <c r="A877" s="348" t="str">
        <f>IF($B877="","",MAX($A$3:A876)+1)</f>
        <v/>
      </c>
      <c r="B877" s="253"/>
      <c r="C877" s="249"/>
      <c r="D877" s="263"/>
      <c r="E877" s="251"/>
      <c r="F877" s="340" t="str">
        <f>IF($B877="","",SUM(SUMIFS('Daily Inward'!$G:$G,'Daily Inward'!$C:$C,$B877,'Daily Inward'!$E:$E,{"Inventory","Services"})))</f>
        <v/>
      </c>
      <c r="G877" s="341" t="str">
        <f>IF($B877="","",SUM(SUMIFS('Daily Issuance'!$G:$G,'Daily Issuance'!$C:$C,$B877,'Daily Issuance'!$E:$E,{"Inventory","Services"})))</f>
        <v/>
      </c>
      <c r="H877" s="42" t="str">
        <f t="shared" si="26"/>
        <v/>
      </c>
      <c r="I877" s="39"/>
      <c r="J877" s="36" t="str">
        <f t="shared" si="27"/>
        <v/>
      </c>
      <c r="K877" s="48"/>
    </row>
    <row r="878" spans="1:11" ht="23.1" customHeight="1">
      <c r="A878" s="348" t="str">
        <f>IF($B878="","",MAX($A$3:A877)+1)</f>
        <v/>
      </c>
      <c r="B878" s="253"/>
      <c r="C878" s="249"/>
      <c r="D878" s="263"/>
      <c r="E878" s="251"/>
      <c r="F878" s="340" t="str">
        <f>IF($B878="","",SUM(SUMIFS('Daily Inward'!$G:$G,'Daily Inward'!$C:$C,$B878,'Daily Inward'!$E:$E,{"Inventory","Services"})))</f>
        <v/>
      </c>
      <c r="G878" s="341" t="str">
        <f>IF($B878="","",SUM(SUMIFS('Daily Issuance'!$G:$G,'Daily Issuance'!$C:$C,$B878,'Daily Issuance'!$E:$E,{"Inventory","Services"})))</f>
        <v/>
      </c>
      <c r="H878" s="42" t="str">
        <f t="shared" si="26"/>
        <v/>
      </c>
      <c r="I878" s="39"/>
      <c r="J878" s="36" t="str">
        <f t="shared" si="27"/>
        <v/>
      </c>
      <c r="K878" s="48"/>
    </row>
    <row r="879" spans="1:11" ht="23.1" customHeight="1">
      <c r="A879" s="348" t="str">
        <f>IF($B879="","",MAX($A$3:A878)+1)</f>
        <v/>
      </c>
      <c r="B879" s="253"/>
      <c r="C879" s="249"/>
      <c r="D879" s="263"/>
      <c r="E879" s="251"/>
      <c r="F879" s="340" t="str">
        <f>IF($B879="","",SUM(SUMIFS('Daily Inward'!$G:$G,'Daily Inward'!$C:$C,$B879,'Daily Inward'!$E:$E,{"Inventory","Services"})))</f>
        <v/>
      </c>
      <c r="G879" s="341" t="str">
        <f>IF($B879="","",SUM(SUMIFS('Daily Issuance'!$G:$G,'Daily Issuance'!$C:$C,$B879,'Daily Issuance'!$E:$E,{"Inventory","Services"})))</f>
        <v/>
      </c>
      <c r="H879" s="42" t="str">
        <f t="shared" si="26"/>
        <v/>
      </c>
      <c r="I879" s="39"/>
      <c r="J879" s="36" t="str">
        <f t="shared" si="27"/>
        <v/>
      </c>
      <c r="K879" s="48"/>
    </row>
    <row r="880" spans="1:11" ht="23.1" customHeight="1">
      <c r="A880" s="348" t="str">
        <f>IF($B880="","",MAX($A$3:A879)+1)</f>
        <v/>
      </c>
      <c r="B880" s="253"/>
      <c r="C880" s="249"/>
      <c r="D880" s="263"/>
      <c r="E880" s="251"/>
      <c r="F880" s="340" t="str">
        <f>IF($B880="","",SUM(SUMIFS('Daily Inward'!$G:$G,'Daily Inward'!$C:$C,$B880,'Daily Inward'!$E:$E,{"Inventory","Services"})))</f>
        <v/>
      </c>
      <c r="G880" s="341" t="str">
        <f>IF($B880="","",SUM(SUMIFS('Daily Issuance'!$G:$G,'Daily Issuance'!$C:$C,$B880,'Daily Issuance'!$E:$E,{"Inventory","Services"})))</f>
        <v/>
      </c>
      <c r="H880" s="42" t="str">
        <f t="shared" si="26"/>
        <v/>
      </c>
      <c r="I880" s="39"/>
      <c r="J880" s="36" t="str">
        <f t="shared" si="27"/>
        <v/>
      </c>
      <c r="K880" s="48"/>
    </row>
    <row r="881" spans="1:11" ht="23.1" customHeight="1">
      <c r="A881" s="348" t="str">
        <f>IF($B881="","",MAX($A$3:A880)+1)</f>
        <v/>
      </c>
      <c r="B881" s="253"/>
      <c r="C881" s="249"/>
      <c r="D881" s="263"/>
      <c r="E881" s="251"/>
      <c r="F881" s="340" t="str">
        <f>IF($B881="","",SUM(SUMIFS('Daily Inward'!$G:$G,'Daily Inward'!$C:$C,$B881,'Daily Inward'!$E:$E,{"Inventory","Services"})))</f>
        <v/>
      </c>
      <c r="G881" s="341" t="str">
        <f>IF($B881="","",SUM(SUMIFS('Daily Issuance'!$G:$G,'Daily Issuance'!$C:$C,$B881,'Daily Issuance'!$E:$E,{"Inventory","Services"})))</f>
        <v/>
      </c>
      <c r="H881" s="42" t="str">
        <f t="shared" si="26"/>
        <v/>
      </c>
      <c r="I881" s="39"/>
      <c r="J881" s="36" t="str">
        <f t="shared" si="27"/>
        <v/>
      </c>
      <c r="K881" s="48"/>
    </row>
    <row r="882" spans="1:11" ht="23.1" customHeight="1">
      <c r="A882" s="348" t="str">
        <f>IF($B882="","",MAX($A$3:A881)+1)</f>
        <v/>
      </c>
      <c r="B882" s="253"/>
      <c r="C882" s="249"/>
      <c r="D882" s="263"/>
      <c r="E882" s="251"/>
      <c r="F882" s="340" t="str">
        <f>IF($B882="","",SUM(SUMIFS('Daily Inward'!$G:$G,'Daily Inward'!$C:$C,$B882,'Daily Inward'!$E:$E,{"Inventory","Services"})))</f>
        <v/>
      </c>
      <c r="G882" s="341" t="str">
        <f>IF($B882="","",SUM(SUMIFS('Daily Issuance'!$G:$G,'Daily Issuance'!$C:$C,$B882,'Daily Issuance'!$E:$E,{"Inventory","Services"})))</f>
        <v/>
      </c>
      <c r="H882" s="42" t="str">
        <f t="shared" si="26"/>
        <v/>
      </c>
      <c r="I882" s="39"/>
      <c r="J882" s="36" t="str">
        <f t="shared" si="27"/>
        <v/>
      </c>
      <c r="K882" s="48"/>
    </row>
    <row r="883" spans="1:11" ht="23.1" customHeight="1">
      <c r="A883" s="348" t="str">
        <f>IF($B883="","",MAX($A$3:A882)+1)</f>
        <v/>
      </c>
      <c r="B883" s="253"/>
      <c r="C883" s="249"/>
      <c r="D883" s="263"/>
      <c r="E883" s="251"/>
      <c r="F883" s="340" t="str">
        <f>IF($B883="","",SUM(SUMIFS('Daily Inward'!$G:$G,'Daily Inward'!$C:$C,$B883,'Daily Inward'!$E:$E,{"Inventory","Services"})))</f>
        <v/>
      </c>
      <c r="G883" s="341" t="str">
        <f>IF($B883="","",SUM(SUMIFS('Daily Issuance'!$G:$G,'Daily Issuance'!$C:$C,$B883,'Daily Issuance'!$E:$E,{"Inventory","Services"})))</f>
        <v/>
      </c>
      <c r="H883" s="42" t="str">
        <f t="shared" si="26"/>
        <v/>
      </c>
      <c r="I883" s="39"/>
      <c r="J883" s="36" t="str">
        <f t="shared" si="27"/>
        <v/>
      </c>
      <c r="K883" s="48"/>
    </row>
    <row r="884" spans="1:11" ht="23.1" customHeight="1">
      <c r="A884" s="348" t="str">
        <f>IF($B884="","",MAX($A$3:A883)+1)</f>
        <v/>
      </c>
      <c r="B884" s="253"/>
      <c r="C884" s="249"/>
      <c r="D884" s="263"/>
      <c r="E884" s="251"/>
      <c r="F884" s="340" t="str">
        <f>IF($B884="","",SUM(SUMIFS('Daily Inward'!$G:$G,'Daily Inward'!$C:$C,$B884,'Daily Inward'!$E:$E,{"Inventory","Services"})))</f>
        <v/>
      </c>
      <c r="G884" s="341" t="str">
        <f>IF($B884="","",SUM(SUMIFS('Daily Issuance'!$G:$G,'Daily Issuance'!$C:$C,$B884,'Daily Issuance'!$E:$E,{"Inventory","Services"})))</f>
        <v/>
      </c>
      <c r="H884" s="42" t="str">
        <f t="shared" si="26"/>
        <v/>
      </c>
      <c r="I884" s="39"/>
      <c r="J884" s="36" t="str">
        <f t="shared" si="27"/>
        <v/>
      </c>
      <c r="K884" s="48"/>
    </row>
    <row r="885" spans="1:11" ht="23.1" customHeight="1">
      <c r="A885" s="348" t="str">
        <f>IF($B885="","",MAX($A$3:A884)+1)</f>
        <v/>
      </c>
      <c r="B885" s="253"/>
      <c r="C885" s="249"/>
      <c r="D885" s="263"/>
      <c r="E885" s="251"/>
      <c r="F885" s="340" t="str">
        <f>IF($B885="","",SUM(SUMIFS('Daily Inward'!$G:$G,'Daily Inward'!$C:$C,$B885,'Daily Inward'!$E:$E,{"Inventory","Services"})))</f>
        <v/>
      </c>
      <c r="G885" s="341" t="str">
        <f>IF($B885="","",SUM(SUMIFS('Daily Issuance'!$G:$G,'Daily Issuance'!$C:$C,$B885,'Daily Issuance'!$E:$E,{"Inventory","Services"})))</f>
        <v/>
      </c>
      <c r="H885" s="42" t="str">
        <f t="shared" si="26"/>
        <v/>
      </c>
      <c r="I885" s="39"/>
      <c r="J885" s="36" t="str">
        <f t="shared" si="27"/>
        <v/>
      </c>
      <c r="K885" s="48"/>
    </row>
    <row r="886" spans="1:11" ht="23.1" customHeight="1">
      <c r="A886" s="348" t="str">
        <f>IF($B886="","",MAX($A$3:A885)+1)</f>
        <v/>
      </c>
      <c r="B886" s="253"/>
      <c r="C886" s="249"/>
      <c r="D886" s="263"/>
      <c r="E886" s="251"/>
      <c r="F886" s="340" t="str">
        <f>IF($B886="","",SUM(SUMIFS('Daily Inward'!$G:$G,'Daily Inward'!$C:$C,$B886,'Daily Inward'!$E:$E,{"Inventory","Services"})))</f>
        <v/>
      </c>
      <c r="G886" s="341" t="str">
        <f>IF($B886="","",SUM(SUMIFS('Daily Issuance'!$G:$G,'Daily Issuance'!$C:$C,$B886,'Daily Issuance'!$E:$E,{"Inventory","Services"})))</f>
        <v/>
      </c>
      <c r="H886" s="42" t="str">
        <f t="shared" si="26"/>
        <v/>
      </c>
      <c r="I886" s="39"/>
      <c r="J886" s="36" t="str">
        <f t="shared" si="27"/>
        <v/>
      </c>
      <c r="K886" s="48"/>
    </row>
    <row r="887" spans="1:11" ht="23.1" customHeight="1">
      <c r="A887" s="348" t="str">
        <f>IF($B887="","",MAX($A$3:A886)+1)</f>
        <v/>
      </c>
      <c r="B887" s="253"/>
      <c r="C887" s="249"/>
      <c r="D887" s="263"/>
      <c r="E887" s="251"/>
      <c r="F887" s="340" t="str">
        <f>IF($B887="","",SUM(SUMIFS('Daily Inward'!$G:$G,'Daily Inward'!$C:$C,$B887,'Daily Inward'!$E:$E,{"Inventory","Services"})))</f>
        <v/>
      </c>
      <c r="G887" s="341" t="str">
        <f>IF($B887="","",SUM(SUMIFS('Daily Issuance'!$G:$G,'Daily Issuance'!$C:$C,$B887,'Daily Issuance'!$E:$E,{"Inventory","Services"})))</f>
        <v/>
      </c>
      <c r="H887" s="42" t="str">
        <f t="shared" si="26"/>
        <v/>
      </c>
      <c r="I887" s="39"/>
      <c r="J887" s="36" t="str">
        <f t="shared" si="27"/>
        <v/>
      </c>
      <c r="K887" s="48"/>
    </row>
    <row r="888" spans="1:11" ht="23.1" customHeight="1">
      <c r="A888" s="348" t="str">
        <f>IF($B888="","",MAX($A$3:A887)+1)</f>
        <v/>
      </c>
      <c r="B888" s="253"/>
      <c r="C888" s="249"/>
      <c r="D888" s="263"/>
      <c r="E888" s="251"/>
      <c r="F888" s="340" t="str">
        <f>IF($B888="","",SUM(SUMIFS('Daily Inward'!$G:$G,'Daily Inward'!$C:$C,$B888,'Daily Inward'!$E:$E,{"Inventory","Services"})))</f>
        <v/>
      </c>
      <c r="G888" s="341" t="str">
        <f>IF($B888="","",SUM(SUMIFS('Daily Issuance'!$G:$G,'Daily Issuance'!$C:$C,$B888,'Daily Issuance'!$E:$E,{"Inventory","Services"})))</f>
        <v/>
      </c>
      <c r="H888" s="42" t="str">
        <f t="shared" si="26"/>
        <v/>
      </c>
      <c r="I888" s="39"/>
      <c r="J888" s="36" t="str">
        <f t="shared" si="27"/>
        <v/>
      </c>
      <c r="K888" s="48"/>
    </row>
    <row r="889" spans="1:11" ht="23.1" customHeight="1">
      <c r="A889" s="348" t="str">
        <f>IF($B889="","",MAX($A$3:A888)+1)</f>
        <v/>
      </c>
      <c r="B889" s="253"/>
      <c r="C889" s="249"/>
      <c r="D889" s="263"/>
      <c r="E889" s="251"/>
      <c r="F889" s="340" t="str">
        <f>IF($B889="","",SUM(SUMIFS('Daily Inward'!$G:$G,'Daily Inward'!$C:$C,$B889,'Daily Inward'!$E:$E,{"Inventory","Services"})))</f>
        <v/>
      </c>
      <c r="G889" s="341" t="str">
        <f>IF($B889="","",SUM(SUMIFS('Daily Issuance'!$G:$G,'Daily Issuance'!$C:$C,$B889,'Daily Issuance'!$E:$E,{"Inventory","Services"})))</f>
        <v/>
      </c>
      <c r="H889" s="42" t="str">
        <f t="shared" si="26"/>
        <v/>
      </c>
      <c r="I889" s="39"/>
      <c r="J889" s="36" t="str">
        <f t="shared" si="27"/>
        <v/>
      </c>
      <c r="K889" s="48"/>
    </row>
    <row r="890" spans="1:11" ht="23.1" customHeight="1">
      <c r="A890" s="348" t="str">
        <f>IF($B890="","",MAX($A$3:A889)+1)</f>
        <v/>
      </c>
      <c r="B890" s="253"/>
      <c r="C890" s="249"/>
      <c r="D890" s="263"/>
      <c r="E890" s="251"/>
      <c r="F890" s="340" t="str">
        <f>IF($B890="","",SUM(SUMIFS('Daily Inward'!$G:$G,'Daily Inward'!$C:$C,$B890,'Daily Inward'!$E:$E,{"Inventory","Services"})))</f>
        <v/>
      </c>
      <c r="G890" s="341" t="str">
        <f>IF($B890="","",SUM(SUMIFS('Daily Issuance'!$G:$G,'Daily Issuance'!$C:$C,$B890,'Daily Issuance'!$E:$E,{"Inventory","Services"})))</f>
        <v/>
      </c>
      <c r="H890" s="42" t="str">
        <f t="shared" si="26"/>
        <v/>
      </c>
      <c r="I890" s="39"/>
      <c r="J890" s="36" t="str">
        <f t="shared" si="27"/>
        <v/>
      </c>
      <c r="K890" s="48"/>
    </row>
    <row r="891" spans="1:11" ht="23.1" customHeight="1">
      <c r="A891" s="348" t="str">
        <f>IF($B891="","",MAX($A$3:A890)+1)</f>
        <v/>
      </c>
      <c r="B891" s="253"/>
      <c r="C891" s="249"/>
      <c r="D891" s="263"/>
      <c r="E891" s="251"/>
      <c r="F891" s="340" t="str">
        <f>IF($B891="","",SUM(SUMIFS('Daily Inward'!$G:$G,'Daily Inward'!$C:$C,$B891,'Daily Inward'!$E:$E,{"Inventory","Services"})))</f>
        <v/>
      </c>
      <c r="G891" s="341" t="str">
        <f>IF($B891="","",SUM(SUMIFS('Daily Issuance'!$G:$G,'Daily Issuance'!$C:$C,$B891,'Daily Issuance'!$E:$E,{"Inventory","Services"})))</f>
        <v/>
      </c>
      <c r="H891" s="42" t="str">
        <f t="shared" si="26"/>
        <v/>
      </c>
      <c r="I891" s="39"/>
      <c r="J891" s="36" t="str">
        <f t="shared" si="27"/>
        <v/>
      </c>
      <c r="K891" s="48"/>
    </row>
    <row r="892" spans="1:11" ht="23.1" customHeight="1">
      <c r="A892" s="348" t="str">
        <f>IF($B892="","",MAX($A$3:A891)+1)</f>
        <v/>
      </c>
      <c r="B892" s="253"/>
      <c r="C892" s="249"/>
      <c r="D892" s="263"/>
      <c r="E892" s="251"/>
      <c r="F892" s="340" t="str">
        <f>IF($B892="","",SUM(SUMIFS('Daily Inward'!$G:$G,'Daily Inward'!$C:$C,$B892,'Daily Inward'!$E:$E,{"Inventory","Services"})))</f>
        <v/>
      </c>
      <c r="G892" s="341" t="str">
        <f>IF($B892="","",SUM(SUMIFS('Daily Issuance'!$G:$G,'Daily Issuance'!$C:$C,$B892,'Daily Issuance'!$E:$E,{"Inventory","Services"})))</f>
        <v/>
      </c>
      <c r="H892" s="42" t="str">
        <f t="shared" si="26"/>
        <v/>
      </c>
      <c r="I892" s="39"/>
      <c r="J892" s="36" t="str">
        <f t="shared" si="27"/>
        <v/>
      </c>
      <c r="K892" s="48"/>
    </row>
    <row r="893" spans="1:11" ht="23.1" customHeight="1">
      <c r="A893" s="348" t="str">
        <f>IF($B893="","",MAX($A$3:A892)+1)</f>
        <v/>
      </c>
      <c r="B893" s="253"/>
      <c r="C893" s="249"/>
      <c r="D893" s="263"/>
      <c r="E893" s="251"/>
      <c r="F893" s="340" t="str">
        <f>IF($B893="","",SUM(SUMIFS('Daily Inward'!$G:$G,'Daily Inward'!$C:$C,$B893,'Daily Inward'!$E:$E,{"Inventory","Services"})))</f>
        <v/>
      </c>
      <c r="G893" s="341" t="str">
        <f>IF($B893="","",SUM(SUMIFS('Daily Issuance'!$G:$G,'Daily Issuance'!$C:$C,$B893,'Daily Issuance'!$E:$E,{"Inventory","Services"})))</f>
        <v/>
      </c>
      <c r="H893" s="42" t="str">
        <f t="shared" si="26"/>
        <v/>
      </c>
      <c r="I893" s="39"/>
      <c r="J893" s="36" t="str">
        <f t="shared" si="27"/>
        <v/>
      </c>
      <c r="K893" s="48"/>
    </row>
    <row r="894" spans="1:11" ht="23.1" customHeight="1">
      <c r="A894" s="348" t="str">
        <f>IF($B894="","",MAX($A$3:A893)+1)</f>
        <v/>
      </c>
      <c r="B894" s="253"/>
      <c r="C894" s="249"/>
      <c r="D894" s="263"/>
      <c r="E894" s="251"/>
      <c r="F894" s="340" t="str">
        <f>IF($B894="","",SUM(SUMIFS('Daily Inward'!$G:$G,'Daily Inward'!$C:$C,$B894,'Daily Inward'!$E:$E,{"Inventory","Services"})))</f>
        <v/>
      </c>
      <c r="G894" s="341" t="str">
        <f>IF($B894="","",SUM(SUMIFS('Daily Issuance'!$G:$G,'Daily Issuance'!$C:$C,$B894,'Daily Issuance'!$E:$E,{"Inventory","Services"})))</f>
        <v/>
      </c>
      <c r="H894" s="42" t="str">
        <f t="shared" si="26"/>
        <v/>
      </c>
      <c r="I894" s="39"/>
      <c r="J894" s="36" t="str">
        <f t="shared" si="27"/>
        <v/>
      </c>
      <c r="K894" s="48"/>
    </row>
    <row r="895" spans="1:11" ht="23.1" customHeight="1">
      <c r="A895" s="348" t="str">
        <f>IF($B895="","",MAX($A$3:A894)+1)</f>
        <v/>
      </c>
      <c r="B895" s="253"/>
      <c r="C895" s="249"/>
      <c r="D895" s="263"/>
      <c r="E895" s="251"/>
      <c r="F895" s="340" t="str">
        <f>IF($B895="","",SUM(SUMIFS('Daily Inward'!$G:$G,'Daily Inward'!$C:$C,$B895,'Daily Inward'!$E:$E,{"Inventory","Services"})))</f>
        <v/>
      </c>
      <c r="G895" s="341" t="str">
        <f>IF($B895="","",SUM(SUMIFS('Daily Issuance'!$G:$G,'Daily Issuance'!$C:$C,$B895,'Daily Issuance'!$E:$E,{"Inventory","Services"})))</f>
        <v/>
      </c>
      <c r="H895" s="42" t="str">
        <f t="shared" si="26"/>
        <v/>
      </c>
      <c r="I895" s="39"/>
      <c r="J895" s="36" t="str">
        <f t="shared" si="27"/>
        <v/>
      </c>
      <c r="K895" s="48"/>
    </row>
    <row r="896" spans="1:11" ht="23.1" customHeight="1">
      <c r="A896" s="348" t="str">
        <f>IF($B896="","",MAX($A$3:A895)+1)</f>
        <v/>
      </c>
      <c r="B896" s="253"/>
      <c r="C896" s="249"/>
      <c r="D896" s="263"/>
      <c r="E896" s="251"/>
      <c r="F896" s="340" t="str">
        <f>IF($B896="","",SUM(SUMIFS('Daily Inward'!$G:$G,'Daily Inward'!$C:$C,$B896,'Daily Inward'!$E:$E,{"Inventory","Services"})))</f>
        <v/>
      </c>
      <c r="G896" s="341" t="str">
        <f>IF($B896="","",SUM(SUMIFS('Daily Issuance'!$G:$G,'Daily Issuance'!$C:$C,$B896,'Daily Issuance'!$E:$E,{"Inventory","Services"})))</f>
        <v/>
      </c>
      <c r="H896" s="42" t="str">
        <f t="shared" si="26"/>
        <v/>
      </c>
      <c r="I896" s="39"/>
      <c r="J896" s="36" t="str">
        <f t="shared" si="27"/>
        <v/>
      </c>
      <c r="K896" s="48"/>
    </row>
    <row r="897" spans="1:11" ht="23.1" customHeight="1">
      <c r="A897" s="348" t="str">
        <f>IF($B897="","",MAX($A$3:A896)+1)</f>
        <v/>
      </c>
      <c r="B897" s="253"/>
      <c r="C897" s="249"/>
      <c r="D897" s="263"/>
      <c r="E897" s="251"/>
      <c r="F897" s="340" t="str">
        <f>IF($B897="","",SUM(SUMIFS('Daily Inward'!$G:$G,'Daily Inward'!$C:$C,$B897,'Daily Inward'!$E:$E,{"Inventory","Services"})))</f>
        <v/>
      </c>
      <c r="G897" s="341" t="str">
        <f>IF($B897="","",SUM(SUMIFS('Daily Issuance'!$G:$G,'Daily Issuance'!$C:$C,$B897,'Daily Issuance'!$E:$E,{"Inventory","Services"})))</f>
        <v/>
      </c>
      <c r="H897" s="42" t="str">
        <f t="shared" si="26"/>
        <v/>
      </c>
      <c r="I897" s="39"/>
      <c r="J897" s="36" t="str">
        <f t="shared" si="27"/>
        <v/>
      </c>
      <c r="K897" s="48"/>
    </row>
    <row r="898" spans="1:11" ht="23.1" customHeight="1">
      <c r="A898" s="348" t="str">
        <f>IF($B898="","",MAX($A$3:A897)+1)</f>
        <v/>
      </c>
      <c r="B898" s="253"/>
      <c r="C898" s="249"/>
      <c r="D898" s="263"/>
      <c r="E898" s="251"/>
      <c r="F898" s="340" t="str">
        <f>IF($B898="","",SUM(SUMIFS('Daily Inward'!$G:$G,'Daily Inward'!$C:$C,$B898,'Daily Inward'!$E:$E,{"Inventory","Services"})))</f>
        <v/>
      </c>
      <c r="G898" s="341" t="str">
        <f>IF($B898="","",SUM(SUMIFS('Daily Issuance'!$G:$G,'Daily Issuance'!$C:$C,$B898,'Daily Issuance'!$E:$E,{"Inventory","Services"})))</f>
        <v/>
      </c>
      <c r="H898" s="42" t="str">
        <f t="shared" si="26"/>
        <v/>
      </c>
      <c r="I898" s="39"/>
      <c r="J898" s="36" t="str">
        <f t="shared" si="27"/>
        <v/>
      </c>
      <c r="K898" s="48"/>
    </row>
    <row r="899" spans="1:11" ht="23.1" customHeight="1">
      <c r="A899" s="348" t="str">
        <f>IF($B899="","",MAX($A$3:A898)+1)</f>
        <v/>
      </c>
      <c r="B899" s="253"/>
      <c r="C899" s="249"/>
      <c r="D899" s="263"/>
      <c r="E899" s="251"/>
      <c r="F899" s="340" t="str">
        <f>IF($B899="","",SUM(SUMIFS('Daily Inward'!$G:$G,'Daily Inward'!$C:$C,$B899,'Daily Inward'!$E:$E,{"Inventory","Services"})))</f>
        <v/>
      </c>
      <c r="G899" s="341" t="str">
        <f>IF($B899="","",SUM(SUMIFS('Daily Issuance'!$G:$G,'Daily Issuance'!$C:$C,$B899,'Daily Issuance'!$E:$E,{"Inventory","Services"})))</f>
        <v/>
      </c>
      <c r="H899" s="42" t="str">
        <f t="shared" si="26"/>
        <v/>
      </c>
      <c r="I899" s="39"/>
      <c r="J899" s="36" t="str">
        <f t="shared" si="27"/>
        <v/>
      </c>
      <c r="K899" s="48"/>
    </row>
    <row r="900" spans="1:11" ht="23.1" customHeight="1">
      <c r="A900" s="348" t="str">
        <f>IF($B900="","",MAX($A$3:A899)+1)</f>
        <v/>
      </c>
      <c r="B900" s="253"/>
      <c r="C900" s="249"/>
      <c r="D900" s="263"/>
      <c r="E900" s="251"/>
      <c r="F900" s="340" t="str">
        <f>IF($B900="","",SUM(SUMIFS('Daily Inward'!$G:$G,'Daily Inward'!$C:$C,$B900,'Daily Inward'!$E:$E,{"Inventory","Services"})))</f>
        <v/>
      </c>
      <c r="G900" s="341" t="str">
        <f>IF($B900="","",SUM(SUMIFS('Daily Issuance'!$G:$G,'Daily Issuance'!$C:$C,$B900,'Daily Issuance'!$E:$E,{"Inventory","Services"})))</f>
        <v/>
      </c>
      <c r="H900" s="42" t="str">
        <f t="shared" ref="H900:H963" si="28">IF($B900="","",N(E900)+N(F900)-N(G900))</f>
        <v/>
      </c>
      <c r="I900" s="39"/>
      <c r="J900" s="36" t="str">
        <f t="shared" ref="J900:J963" si="29">IF($B900="","",H900*I900)</f>
        <v/>
      </c>
      <c r="K900" s="48"/>
    </row>
    <row r="901" spans="1:11" ht="23.1" customHeight="1">
      <c r="A901" s="348" t="str">
        <f>IF($B901="","",MAX($A$3:A900)+1)</f>
        <v/>
      </c>
      <c r="B901" s="253"/>
      <c r="C901" s="249"/>
      <c r="D901" s="263"/>
      <c r="E901" s="251"/>
      <c r="F901" s="340" t="str">
        <f>IF($B901="","",SUM(SUMIFS('Daily Inward'!$G:$G,'Daily Inward'!$C:$C,$B901,'Daily Inward'!$E:$E,{"Inventory","Services"})))</f>
        <v/>
      </c>
      <c r="G901" s="341" t="str">
        <f>IF($B901="","",SUM(SUMIFS('Daily Issuance'!$G:$G,'Daily Issuance'!$C:$C,$B901,'Daily Issuance'!$E:$E,{"Inventory","Services"})))</f>
        <v/>
      </c>
      <c r="H901" s="42" t="str">
        <f t="shared" si="28"/>
        <v/>
      </c>
      <c r="I901" s="39"/>
      <c r="J901" s="36" t="str">
        <f t="shared" si="29"/>
        <v/>
      </c>
      <c r="K901" s="48"/>
    </row>
    <row r="902" spans="1:11" ht="23.1" customHeight="1">
      <c r="A902" s="348" t="str">
        <f>IF($B902="","",MAX($A$3:A901)+1)</f>
        <v/>
      </c>
      <c r="B902" s="253"/>
      <c r="C902" s="249"/>
      <c r="D902" s="263"/>
      <c r="E902" s="251"/>
      <c r="F902" s="340" t="str">
        <f>IF($B902="","",SUM(SUMIFS('Daily Inward'!$G:$G,'Daily Inward'!$C:$C,$B902,'Daily Inward'!$E:$E,{"Inventory","Services"})))</f>
        <v/>
      </c>
      <c r="G902" s="341" t="str">
        <f>IF($B902="","",SUM(SUMIFS('Daily Issuance'!$G:$G,'Daily Issuance'!$C:$C,$B902,'Daily Issuance'!$E:$E,{"Inventory","Services"})))</f>
        <v/>
      </c>
      <c r="H902" s="42" t="str">
        <f t="shared" si="28"/>
        <v/>
      </c>
      <c r="I902" s="39"/>
      <c r="J902" s="36" t="str">
        <f t="shared" si="29"/>
        <v/>
      </c>
      <c r="K902" s="48"/>
    </row>
    <row r="903" spans="1:11" ht="23.1" customHeight="1">
      <c r="A903" s="348" t="str">
        <f>IF($B903="","",MAX($A$3:A902)+1)</f>
        <v/>
      </c>
      <c r="B903" s="253"/>
      <c r="C903" s="249"/>
      <c r="D903" s="263"/>
      <c r="E903" s="251"/>
      <c r="F903" s="340" t="str">
        <f>IF($B903="","",SUM(SUMIFS('Daily Inward'!$G:$G,'Daily Inward'!$C:$C,$B903,'Daily Inward'!$E:$E,{"Inventory","Services"})))</f>
        <v/>
      </c>
      <c r="G903" s="341" t="str">
        <f>IF($B903="","",SUM(SUMIFS('Daily Issuance'!$G:$G,'Daily Issuance'!$C:$C,$B903,'Daily Issuance'!$E:$E,{"Inventory","Services"})))</f>
        <v/>
      </c>
      <c r="H903" s="42" t="str">
        <f t="shared" si="28"/>
        <v/>
      </c>
      <c r="I903" s="39"/>
      <c r="J903" s="36" t="str">
        <f t="shared" si="29"/>
        <v/>
      </c>
      <c r="K903" s="48"/>
    </row>
    <row r="904" spans="1:11" ht="23.1" customHeight="1">
      <c r="A904" s="348" t="str">
        <f>IF($B904="","",MAX($A$3:A903)+1)</f>
        <v/>
      </c>
      <c r="B904" s="253"/>
      <c r="C904" s="249"/>
      <c r="D904" s="263"/>
      <c r="E904" s="251"/>
      <c r="F904" s="340" t="str">
        <f>IF($B904="","",SUM(SUMIFS('Daily Inward'!$G:$G,'Daily Inward'!$C:$C,$B904,'Daily Inward'!$E:$E,{"Inventory","Services"})))</f>
        <v/>
      </c>
      <c r="G904" s="341" t="str">
        <f>IF($B904="","",SUM(SUMIFS('Daily Issuance'!$G:$G,'Daily Issuance'!$C:$C,$B904,'Daily Issuance'!$E:$E,{"Inventory","Services"})))</f>
        <v/>
      </c>
      <c r="H904" s="42" t="str">
        <f t="shared" si="28"/>
        <v/>
      </c>
      <c r="I904" s="39"/>
      <c r="J904" s="36" t="str">
        <f t="shared" si="29"/>
        <v/>
      </c>
      <c r="K904" s="48"/>
    </row>
    <row r="905" spans="1:11" ht="23.1" customHeight="1">
      <c r="A905" s="348" t="str">
        <f>IF($B905="","",MAX($A$3:A904)+1)</f>
        <v/>
      </c>
      <c r="B905" s="253"/>
      <c r="C905" s="249"/>
      <c r="D905" s="263"/>
      <c r="E905" s="251"/>
      <c r="F905" s="340" t="str">
        <f>IF($B905="","",SUM(SUMIFS('Daily Inward'!$G:$G,'Daily Inward'!$C:$C,$B905,'Daily Inward'!$E:$E,{"Inventory","Services"})))</f>
        <v/>
      </c>
      <c r="G905" s="341" t="str">
        <f>IF($B905="","",SUM(SUMIFS('Daily Issuance'!$G:$G,'Daily Issuance'!$C:$C,$B905,'Daily Issuance'!$E:$E,{"Inventory","Services"})))</f>
        <v/>
      </c>
      <c r="H905" s="42" t="str">
        <f t="shared" si="28"/>
        <v/>
      </c>
      <c r="I905" s="39"/>
      <c r="J905" s="36" t="str">
        <f t="shared" si="29"/>
        <v/>
      </c>
      <c r="K905" s="48"/>
    </row>
    <row r="906" spans="1:11" ht="23.1" customHeight="1">
      <c r="A906" s="348" t="str">
        <f>IF($B906="","",MAX($A$3:A905)+1)</f>
        <v/>
      </c>
      <c r="B906" s="253"/>
      <c r="C906" s="249"/>
      <c r="D906" s="263"/>
      <c r="E906" s="251"/>
      <c r="F906" s="340" t="str">
        <f>IF($B906="","",SUM(SUMIFS('Daily Inward'!$G:$G,'Daily Inward'!$C:$C,$B906,'Daily Inward'!$E:$E,{"Inventory","Services"})))</f>
        <v/>
      </c>
      <c r="G906" s="341" t="str">
        <f>IF($B906="","",SUM(SUMIFS('Daily Issuance'!$G:$G,'Daily Issuance'!$C:$C,$B906,'Daily Issuance'!$E:$E,{"Inventory","Services"})))</f>
        <v/>
      </c>
      <c r="H906" s="42" t="str">
        <f t="shared" si="28"/>
        <v/>
      </c>
      <c r="I906" s="39"/>
      <c r="J906" s="36" t="str">
        <f t="shared" si="29"/>
        <v/>
      </c>
      <c r="K906" s="48"/>
    </row>
    <row r="907" spans="1:11" ht="23.1" customHeight="1">
      <c r="A907" s="348" t="str">
        <f>IF($B907="","",MAX($A$3:A906)+1)</f>
        <v/>
      </c>
      <c r="B907" s="253"/>
      <c r="C907" s="249"/>
      <c r="D907" s="263"/>
      <c r="E907" s="251"/>
      <c r="F907" s="340" t="str">
        <f>IF($B907="","",SUM(SUMIFS('Daily Inward'!$G:$G,'Daily Inward'!$C:$C,$B907,'Daily Inward'!$E:$E,{"Inventory","Services"})))</f>
        <v/>
      </c>
      <c r="G907" s="341" t="str">
        <f>IF($B907="","",SUM(SUMIFS('Daily Issuance'!$G:$G,'Daily Issuance'!$C:$C,$B907,'Daily Issuance'!$E:$E,{"Inventory","Services"})))</f>
        <v/>
      </c>
      <c r="H907" s="42" t="str">
        <f t="shared" si="28"/>
        <v/>
      </c>
      <c r="I907" s="39"/>
      <c r="J907" s="36" t="str">
        <f t="shared" si="29"/>
        <v/>
      </c>
      <c r="K907" s="48"/>
    </row>
    <row r="908" spans="1:11" ht="23.1" customHeight="1">
      <c r="A908" s="348" t="str">
        <f>IF($B908="","",MAX($A$3:A907)+1)</f>
        <v/>
      </c>
      <c r="B908" s="253"/>
      <c r="C908" s="249"/>
      <c r="D908" s="263"/>
      <c r="E908" s="251"/>
      <c r="F908" s="340" t="str">
        <f>IF($B908="","",SUM(SUMIFS('Daily Inward'!$G:$G,'Daily Inward'!$C:$C,$B908,'Daily Inward'!$E:$E,{"Inventory","Services"})))</f>
        <v/>
      </c>
      <c r="G908" s="341" t="str">
        <f>IF($B908="","",SUM(SUMIFS('Daily Issuance'!$G:$G,'Daily Issuance'!$C:$C,$B908,'Daily Issuance'!$E:$E,{"Inventory","Services"})))</f>
        <v/>
      </c>
      <c r="H908" s="42" t="str">
        <f t="shared" si="28"/>
        <v/>
      </c>
      <c r="I908" s="39"/>
      <c r="J908" s="36" t="str">
        <f t="shared" si="29"/>
        <v/>
      </c>
      <c r="K908" s="48"/>
    </row>
    <row r="909" spans="1:11" ht="23.1" customHeight="1">
      <c r="A909" s="348" t="str">
        <f>IF($B909="","",MAX($A$3:A908)+1)</f>
        <v/>
      </c>
      <c r="B909" s="253"/>
      <c r="C909" s="249"/>
      <c r="D909" s="263"/>
      <c r="E909" s="251"/>
      <c r="F909" s="340" t="str">
        <f>IF($B909="","",SUM(SUMIFS('Daily Inward'!$G:$G,'Daily Inward'!$C:$C,$B909,'Daily Inward'!$E:$E,{"Inventory","Services"})))</f>
        <v/>
      </c>
      <c r="G909" s="341" t="str">
        <f>IF($B909="","",SUM(SUMIFS('Daily Issuance'!$G:$G,'Daily Issuance'!$C:$C,$B909,'Daily Issuance'!$E:$E,{"Inventory","Services"})))</f>
        <v/>
      </c>
      <c r="H909" s="42" t="str">
        <f t="shared" si="28"/>
        <v/>
      </c>
      <c r="I909" s="39"/>
      <c r="J909" s="36" t="str">
        <f t="shared" si="29"/>
        <v/>
      </c>
      <c r="K909" s="48"/>
    </row>
    <row r="910" spans="1:11" ht="23.1" customHeight="1">
      <c r="A910" s="348" t="str">
        <f>IF($B910="","",MAX($A$3:A909)+1)</f>
        <v/>
      </c>
      <c r="B910" s="253"/>
      <c r="C910" s="249"/>
      <c r="D910" s="263"/>
      <c r="E910" s="251"/>
      <c r="F910" s="340" t="str">
        <f>IF($B910="","",SUM(SUMIFS('Daily Inward'!$G:$G,'Daily Inward'!$C:$C,$B910,'Daily Inward'!$E:$E,{"Inventory","Services"})))</f>
        <v/>
      </c>
      <c r="G910" s="341" t="str">
        <f>IF($B910="","",SUM(SUMIFS('Daily Issuance'!$G:$G,'Daily Issuance'!$C:$C,$B910,'Daily Issuance'!$E:$E,{"Inventory","Services"})))</f>
        <v/>
      </c>
      <c r="H910" s="42" t="str">
        <f t="shared" si="28"/>
        <v/>
      </c>
      <c r="I910" s="39"/>
      <c r="J910" s="36" t="str">
        <f t="shared" si="29"/>
        <v/>
      </c>
      <c r="K910" s="48"/>
    </row>
    <row r="911" spans="1:11" ht="23.1" customHeight="1">
      <c r="A911" s="348" t="str">
        <f>IF($B911="","",MAX($A$3:A910)+1)</f>
        <v/>
      </c>
      <c r="B911" s="253"/>
      <c r="C911" s="249"/>
      <c r="D911" s="263"/>
      <c r="E911" s="251"/>
      <c r="F911" s="340" t="str">
        <f>IF($B911="","",SUM(SUMIFS('Daily Inward'!$G:$G,'Daily Inward'!$C:$C,$B911,'Daily Inward'!$E:$E,{"Inventory","Services"})))</f>
        <v/>
      </c>
      <c r="G911" s="341" t="str">
        <f>IF($B911="","",SUM(SUMIFS('Daily Issuance'!$G:$G,'Daily Issuance'!$C:$C,$B911,'Daily Issuance'!$E:$E,{"Inventory","Services"})))</f>
        <v/>
      </c>
      <c r="H911" s="42" t="str">
        <f t="shared" si="28"/>
        <v/>
      </c>
      <c r="I911" s="39"/>
      <c r="J911" s="36" t="str">
        <f t="shared" si="29"/>
        <v/>
      </c>
      <c r="K911" s="48"/>
    </row>
    <row r="912" spans="1:11" ht="23.1" customHeight="1">
      <c r="A912" s="348" t="str">
        <f>IF($B912="","",MAX($A$3:A911)+1)</f>
        <v/>
      </c>
      <c r="B912" s="253"/>
      <c r="C912" s="249"/>
      <c r="D912" s="263"/>
      <c r="E912" s="251"/>
      <c r="F912" s="340" t="str">
        <f>IF($B912="","",SUM(SUMIFS('Daily Inward'!$G:$G,'Daily Inward'!$C:$C,$B912,'Daily Inward'!$E:$E,{"Inventory","Services"})))</f>
        <v/>
      </c>
      <c r="G912" s="341" t="str">
        <f>IF($B912="","",SUM(SUMIFS('Daily Issuance'!$G:$G,'Daily Issuance'!$C:$C,$B912,'Daily Issuance'!$E:$E,{"Inventory","Services"})))</f>
        <v/>
      </c>
      <c r="H912" s="42" t="str">
        <f t="shared" si="28"/>
        <v/>
      </c>
      <c r="I912" s="39"/>
      <c r="J912" s="36" t="str">
        <f t="shared" si="29"/>
        <v/>
      </c>
      <c r="K912" s="48"/>
    </row>
    <row r="913" spans="1:11" ht="23.1" customHeight="1">
      <c r="A913" s="348" t="str">
        <f>IF($B913="","",MAX($A$3:A912)+1)</f>
        <v/>
      </c>
      <c r="B913" s="253"/>
      <c r="C913" s="249"/>
      <c r="D913" s="263"/>
      <c r="E913" s="251"/>
      <c r="F913" s="340" t="str">
        <f>IF($B913="","",SUM(SUMIFS('Daily Inward'!$G:$G,'Daily Inward'!$C:$C,$B913,'Daily Inward'!$E:$E,{"Inventory","Services"})))</f>
        <v/>
      </c>
      <c r="G913" s="341" t="str">
        <f>IF($B913="","",SUM(SUMIFS('Daily Issuance'!$G:$G,'Daily Issuance'!$C:$C,$B913,'Daily Issuance'!$E:$E,{"Inventory","Services"})))</f>
        <v/>
      </c>
      <c r="H913" s="42" t="str">
        <f t="shared" si="28"/>
        <v/>
      </c>
      <c r="I913" s="39"/>
      <c r="J913" s="36" t="str">
        <f t="shared" si="29"/>
        <v/>
      </c>
      <c r="K913" s="48"/>
    </row>
    <row r="914" spans="1:11" ht="23.1" customHeight="1">
      <c r="A914" s="348" t="str">
        <f>IF($B914="","",MAX($A$3:A913)+1)</f>
        <v/>
      </c>
      <c r="B914" s="253"/>
      <c r="C914" s="249"/>
      <c r="D914" s="263"/>
      <c r="E914" s="251"/>
      <c r="F914" s="340" t="str">
        <f>IF($B914="","",SUM(SUMIFS('Daily Inward'!$G:$G,'Daily Inward'!$C:$C,$B914,'Daily Inward'!$E:$E,{"Inventory","Services"})))</f>
        <v/>
      </c>
      <c r="G914" s="341" t="str">
        <f>IF($B914="","",SUM(SUMIFS('Daily Issuance'!$G:$G,'Daily Issuance'!$C:$C,$B914,'Daily Issuance'!$E:$E,{"Inventory","Services"})))</f>
        <v/>
      </c>
      <c r="H914" s="42" t="str">
        <f t="shared" si="28"/>
        <v/>
      </c>
      <c r="I914" s="39"/>
      <c r="J914" s="36" t="str">
        <f t="shared" si="29"/>
        <v/>
      </c>
      <c r="K914" s="48"/>
    </row>
    <row r="915" spans="1:11" ht="23.1" customHeight="1">
      <c r="A915" s="348" t="str">
        <f>IF($B915="","",MAX($A$3:A914)+1)</f>
        <v/>
      </c>
      <c r="B915" s="253"/>
      <c r="C915" s="249"/>
      <c r="D915" s="263"/>
      <c r="E915" s="251"/>
      <c r="F915" s="340" t="str">
        <f>IF($B915="","",SUM(SUMIFS('Daily Inward'!$G:$G,'Daily Inward'!$C:$C,$B915,'Daily Inward'!$E:$E,{"Inventory","Services"})))</f>
        <v/>
      </c>
      <c r="G915" s="341" t="str">
        <f>IF($B915="","",SUM(SUMIFS('Daily Issuance'!$G:$G,'Daily Issuance'!$C:$C,$B915,'Daily Issuance'!$E:$E,{"Inventory","Services"})))</f>
        <v/>
      </c>
      <c r="H915" s="42" t="str">
        <f t="shared" si="28"/>
        <v/>
      </c>
      <c r="I915" s="39"/>
      <c r="J915" s="36" t="str">
        <f t="shared" si="29"/>
        <v/>
      </c>
      <c r="K915" s="48"/>
    </row>
    <row r="916" spans="1:11" ht="23.1" customHeight="1">
      <c r="A916" s="348" t="str">
        <f>IF($B916="","",MAX($A$3:A915)+1)</f>
        <v/>
      </c>
      <c r="B916" s="253"/>
      <c r="C916" s="249"/>
      <c r="D916" s="263"/>
      <c r="E916" s="251"/>
      <c r="F916" s="340" t="str">
        <f>IF($B916="","",SUM(SUMIFS('Daily Inward'!$G:$G,'Daily Inward'!$C:$C,$B916,'Daily Inward'!$E:$E,{"Inventory","Services"})))</f>
        <v/>
      </c>
      <c r="G916" s="341" t="str">
        <f>IF($B916="","",SUM(SUMIFS('Daily Issuance'!$G:$G,'Daily Issuance'!$C:$C,$B916,'Daily Issuance'!$E:$E,{"Inventory","Services"})))</f>
        <v/>
      </c>
      <c r="H916" s="42" t="str">
        <f t="shared" si="28"/>
        <v/>
      </c>
      <c r="I916" s="39"/>
      <c r="J916" s="36" t="str">
        <f t="shared" si="29"/>
        <v/>
      </c>
      <c r="K916" s="48"/>
    </row>
    <row r="917" spans="1:11" ht="23.1" customHeight="1">
      <c r="A917" s="348" t="str">
        <f>IF($B917="","",MAX($A$3:A916)+1)</f>
        <v/>
      </c>
      <c r="B917" s="253"/>
      <c r="C917" s="249"/>
      <c r="D917" s="263"/>
      <c r="E917" s="251"/>
      <c r="F917" s="340" t="str">
        <f>IF($B917="","",SUM(SUMIFS('Daily Inward'!$G:$G,'Daily Inward'!$C:$C,$B917,'Daily Inward'!$E:$E,{"Inventory","Services"})))</f>
        <v/>
      </c>
      <c r="G917" s="341" t="str">
        <f>IF($B917="","",SUM(SUMIFS('Daily Issuance'!$G:$G,'Daily Issuance'!$C:$C,$B917,'Daily Issuance'!$E:$E,{"Inventory","Services"})))</f>
        <v/>
      </c>
      <c r="H917" s="42" t="str">
        <f t="shared" si="28"/>
        <v/>
      </c>
      <c r="I917" s="39"/>
      <c r="J917" s="36" t="str">
        <f t="shared" si="29"/>
        <v/>
      </c>
      <c r="K917" s="48"/>
    </row>
    <row r="918" spans="1:11" ht="23.1" customHeight="1">
      <c r="A918" s="348" t="str">
        <f>IF($B918="","",MAX($A$3:A917)+1)</f>
        <v/>
      </c>
      <c r="B918" s="253"/>
      <c r="C918" s="249"/>
      <c r="D918" s="263"/>
      <c r="E918" s="251"/>
      <c r="F918" s="340" t="str">
        <f>IF($B918="","",SUM(SUMIFS('Daily Inward'!$G:$G,'Daily Inward'!$C:$C,$B918,'Daily Inward'!$E:$E,{"Inventory","Services"})))</f>
        <v/>
      </c>
      <c r="G918" s="341" t="str">
        <f>IF($B918="","",SUM(SUMIFS('Daily Issuance'!$G:$G,'Daily Issuance'!$C:$C,$B918,'Daily Issuance'!$E:$E,{"Inventory","Services"})))</f>
        <v/>
      </c>
      <c r="H918" s="42" t="str">
        <f t="shared" si="28"/>
        <v/>
      </c>
      <c r="I918" s="39"/>
      <c r="J918" s="36" t="str">
        <f t="shared" si="29"/>
        <v/>
      </c>
      <c r="K918" s="48"/>
    </row>
    <row r="919" spans="1:11" ht="23.1" customHeight="1">
      <c r="A919" s="348" t="str">
        <f>IF($B919="","",MAX($A$3:A918)+1)</f>
        <v/>
      </c>
      <c r="B919" s="253"/>
      <c r="C919" s="249"/>
      <c r="D919" s="263"/>
      <c r="E919" s="251"/>
      <c r="F919" s="340" t="str">
        <f>IF($B919="","",SUM(SUMIFS('Daily Inward'!$G:$G,'Daily Inward'!$C:$C,$B919,'Daily Inward'!$E:$E,{"Inventory","Services"})))</f>
        <v/>
      </c>
      <c r="G919" s="341" t="str">
        <f>IF($B919="","",SUM(SUMIFS('Daily Issuance'!$G:$G,'Daily Issuance'!$C:$C,$B919,'Daily Issuance'!$E:$E,{"Inventory","Services"})))</f>
        <v/>
      </c>
      <c r="H919" s="42" t="str">
        <f t="shared" si="28"/>
        <v/>
      </c>
      <c r="I919" s="39"/>
      <c r="J919" s="36" t="str">
        <f t="shared" si="29"/>
        <v/>
      </c>
      <c r="K919" s="48"/>
    </row>
    <row r="920" spans="1:11" ht="23.1" customHeight="1">
      <c r="A920" s="348" t="str">
        <f>IF($B920="","",MAX($A$3:A919)+1)</f>
        <v/>
      </c>
      <c r="B920" s="253"/>
      <c r="C920" s="249"/>
      <c r="D920" s="263"/>
      <c r="E920" s="251"/>
      <c r="F920" s="340" t="str">
        <f>IF($B920="","",SUM(SUMIFS('Daily Inward'!$G:$G,'Daily Inward'!$C:$C,$B920,'Daily Inward'!$E:$E,{"Inventory","Services"})))</f>
        <v/>
      </c>
      <c r="G920" s="341" t="str">
        <f>IF($B920="","",SUM(SUMIFS('Daily Issuance'!$G:$G,'Daily Issuance'!$C:$C,$B920,'Daily Issuance'!$E:$E,{"Inventory","Services"})))</f>
        <v/>
      </c>
      <c r="H920" s="42" t="str">
        <f t="shared" si="28"/>
        <v/>
      </c>
      <c r="I920" s="39"/>
      <c r="J920" s="36" t="str">
        <f t="shared" si="29"/>
        <v/>
      </c>
      <c r="K920" s="48"/>
    </row>
    <row r="921" spans="1:11" ht="23.1" customHeight="1">
      <c r="A921" s="348" t="str">
        <f>IF($B921="","",MAX($A$3:A920)+1)</f>
        <v/>
      </c>
      <c r="B921" s="253"/>
      <c r="C921" s="249"/>
      <c r="D921" s="263"/>
      <c r="E921" s="251"/>
      <c r="F921" s="340" t="str">
        <f>IF($B921="","",SUM(SUMIFS('Daily Inward'!$G:$G,'Daily Inward'!$C:$C,$B921,'Daily Inward'!$E:$E,{"Inventory","Services"})))</f>
        <v/>
      </c>
      <c r="G921" s="341" t="str">
        <f>IF($B921="","",SUM(SUMIFS('Daily Issuance'!$G:$G,'Daily Issuance'!$C:$C,$B921,'Daily Issuance'!$E:$E,{"Inventory","Services"})))</f>
        <v/>
      </c>
      <c r="H921" s="42" t="str">
        <f t="shared" si="28"/>
        <v/>
      </c>
      <c r="I921" s="39"/>
      <c r="J921" s="36" t="str">
        <f t="shared" si="29"/>
        <v/>
      </c>
      <c r="K921" s="48"/>
    </row>
    <row r="922" spans="1:11" ht="23.1" customHeight="1">
      <c r="A922" s="348" t="str">
        <f>IF($B922="","",MAX($A$3:A921)+1)</f>
        <v/>
      </c>
      <c r="B922" s="253"/>
      <c r="C922" s="249"/>
      <c r="D922" s="263"/>
      <c r="E922" s="251"/>
      <c r="F922" s="340" t="str">
        <f>IF($B922="","",SUM(SUMIFS('Daily Inward'!$G:$G,'Daily Inward'!$C:$C,$B922,'Daily Inward'!$E:$E,{"Inventory","Services"})))</f>
        <v/>
      </c>
      <c r="G922" s="341" t="str">
        <f>IF($B922="","",SUM(SUMIFS('Daily Issuance'!$G:$G,'Daily Issuance'!$C:$C,$B922,'Daily Issuance'!$E:$E,{"Inventory","Services"})))</f>
        <v/>
      </c>
      <c r="H922" s="42" t="str">
        <f t="shared" si="28"/>
        <v/>
      </c>
      <c r="I922" s="39"/>
      <c r="J922" s="36" t="str">
        <f t="shared" si="29"/>
        <v/>
      </c>
      <c r="K922" s="48"/>
    </row>
    <row r="923" spans="1:11" ht="23.1" customHeight="1">
      <c r="A923" s="348" t="str">
        <f>IF($B923="","",MAX($A$3:A922)+1)</f>
        <v/>
      </c>
      <c r="B923" s="253"/>
      <c r="C923" s="249"/>
      <c r="D923" s="263"/>
      <c r="E923" s="251"/>
      <c r="F923" s="340" t="str">
        <f>IF($B923="","",SUM(SUMIFS('Daily Inward'!$G:$G,'Daily Inward'!$C:$C,$B923,'Daily Inward'!$E:$E,{"Inventory","Services"})))</f>
        <v/>
      </c>
      <c r="G923" s="341" t="str">
        <f>IF($B923="","",SUM(SUMIFS('Daily Issuance'!$G:$G,'Daily Issuance'!$C:$C,$B923,'Daily Issuance'!$E:$E,{"Inventory","Services"})))</f>
        <v/>
      </c>
      <c r="H923" s="42" t="str">
        <f t="shared" si="28"/>
        <v/>
      </c>
      <c r="I923" s="39"/>
      <c r="J923" s="36" t="str">
        <f t="shared" si="29"/>
        <v/>
      </c>
      <c r="K923" s="48"/>
    </row>
    <row r="924" spans="1:11" ht="23.1" customHeight="1">
      <c r="A924" s="348" t="str">
        <f>IF($B924="","",MAX($A$3:A923)+1)</f>
        <v/>
      </c>
      <c r="B924" s="253"/>
      <c r="C924" s="249"/>
      <c r="D924" s="263"/>
      <c r="E924" s="251"/>
      <c r="F924" s="340" t="str">
        <f>IF($B924="","",SUM(SUMIFS('Daily Inward'!$G:$G,'Daily Inward'!$C:$C,$B924,'Daily Inward'!$E:$E,{"Inventory","Services"})))</f>
        <v/>
      </c>
      <c r="G924" s="341" t="str">
        <f>IF($B924="","",SUM(SUMIFS('Daily Issuance'!$G:$G,'Daily Issuance'!$C:$C,$B924,'Daily Issuance'!$E:$E,{"Inventory","Services"})))</f>
        <v/>
      </c>
      <c r="H924" s="42" t="str">
        <f t="shared" si="28"/>
        <v/>
      </c>
      <c r="I924" s="39"/>
      <c r="J924" s="36" t="str">
        <f t="shared" si="29"/>
        <v/>
      </c>
      <c r="K924" s="48"/>
    </row>
    <row r="925" spans="1:11" ht="23.1" customHeight="1">
      <c r="A925" s="348" t="str">
        <f>IF($B925="","",MAX($A$3:A924)+1)</f>
        <v/>
      </c>
      <c r="B925" s="253"/>
      <c r="C925" s="249"/>
      <c r="D925" s="263"/>
      <c r="E925" s="251"/>
      <c r="F925" s="340" t="str">
        <f>IF($B925="","",SUM(SUMIFS('Daily Inward'!$G:$G,'Daily Inward'!$C:$C,$B925,'Daily Inward'!$E:$E,{"Inventory","Services"})))</f>
        <v/>
      </c>
      <c r="G925" s="341" t="str">
        <f>IF($B925="","",SUM(SUMIFS('Daily Issuance'!$G:$G,'Daily Issuance'!$C:$C,$B925,'Daily Issuance'!$E:$E,{"Inventory","Services"})))</f>
        <v/>
      </c>
      <c r="H925" s="42" t="str">
        <f t="shared" si="28"/>
        <v/>
      </c>
      <c r="I925" s="39"/>
      <c r="J925" s="36" t="str">
        <f t="shared" si="29"/>
        <v/>
      </c>
      <c r="K925" s="48"/>
    </row>
    <row r="926" spans="1:11" ht="23.1" customHeight="1">
      <c r="A926" s="348" t="str">
        <f>IF($B926="","",MAX($A$3:A925)+1)</f>
        <v/>
      </c>
      <c r="B926" s="253"/>
      <c r="C926" s="249"/>
      <c r="D926" s="263"/>
      <c r="E926" s="251"/>
      <c r="F926" s="340" t="str">
        <f>IF($B926="","",SUM(SUMIFS('Daily Inward'!$G:$G,'Daily Inward'!$C:$C,$B926,'Daily Inward'!$E:$E,{"Inventory","Services"})))</f>
        <v/>
      </c>
      <c r="G926" s="341" t="str">
        <f>IF($B926="","",SUM(SUMIFS('Daily Issuance'!$G:$G,'Daily Issuance'!$C:$C,$B926,'Daily Issuance'!$E:$E,{"Inventory","Services"})))</f>
        <v/>
      </c>
      <c r="H926" s="42" t="str">
        <f t="shared" si="28"/>
        <v/>
      </c>
      <c r="I926" s="39"/>
      <c r="J926" s="36" t="str">
        <f t="shared" si="29"/>
        <v/>
      </c>
      <c r="K926" s="48"/>
    </row>
    <row r="927" spans="1:11" ht="23.1" customHeight="1">
      <c r="A927" s="348" t="str">
        <f>IF($B927="","",MAX($A$3:A926)+1)</f>
        <v/>
      </c>
      <c r="B927" s="253"/>
      <c r="C927" s="249"/>
      <c r="D927" s="263"/>
      <c r="E927" s="251"/>
      <c r="F927" s="340" t="str">
        <f>IF($B927="","",SUM(SUMIFS('Daily Inward'!$G:$G,'Daily Inward'!$C:$C,$B927,'Daily Inward'!$E:$E,{"Inventory","Services"})))</f>
        <v/>
      </c>
      <c r="G927" s="341" t="str">
        <f>IF($B927="","",SUM(SUMIFS('Daily Issuance'!$G:$G,'Daily Issuance'!$C:$C,$B927,'Daily Issuance'!$E:$E,{"Inventory","Services"})))</f>
        <v/>
      </c>
      <c r="H927" s="42" t="str">
        <f t="shared" si="28"/>
        <v/>
      </c>
      <c r="I927" s="39"/>
      <c r="J927" s="36" t="str">
        <f t="shared" si="29"/>
        <v/>
      </c>
      <c r="K927" s="48"/>
    </row>
    <row r="928" spans="1:11" ht="23.1" customHeight="1">
      <c r="A928" s="348" t="str">
        <f>IF($B928="","",MAX($A$3:A927)+1)</f>
        <v/>
      </c>
      <c r="B928" s="253"/>
      <c r="C928" s="249"/>
      <c r="D928" s="263"/>
      <c r="E928" s="251"/>
      <c r="F928" s="340" t="str">
        <f>IF($B928="","",SUM(SUMIFS('Daily Inward'!$G:$G,'Daily Inward'!$C:$C,$B928,'Daily Inward'!$E:$E,{"Inventory","Services"})))</f>
        <v/>
      </c>
      <c r="G928" s="341" t="str">
        <f>IF($B928="","",SUM(SUMIFS('Daily Issuance'!$G:$G,'Daily Issuance'!$C:$C,$B928,'Daily Issuance'!$E:$E,{"Inventory","Services"})))</f>
        <v/>
      </c>
      <c r="H928" s="42" t="str">
        <f t="shared" si="28"/>
        <v/>
      </c>
      <c r="I928" s="39"/>
      <c r="J928" s="36" t="str">
        <f t="shared" si="29"/>
        <v/>
      </c>
      <c r="K928" s="48"/>
    </row>
    <row r="929" spans="1:11" ht="23.1" customHeight="1">
      <c r="A929" s="348" t="str">
        <f>IF($B929="","",MAX($A$3:A928)+1)</f>
        <v/>
      </c>
      <c r="B929" s="253"/>
      <c r="C929" s="249"/>
      <c r="D929" s="263"/>
      <c r="E929" s="251"/>
      <c r="F929" s="340" t="str">
        <f>IF($B929="","",SUM(SUMIFS('Daily Inward'!$G:$G,'Daily Inward'!$C:$C,$B929,'Daily Inward'!$E:$E,{"Inventory","Services"})))</f>
        <v/>
      </c>
      <c r="G929" s="341" t="str">
        <f>IF($B929="","",SUM(SUMIFS('Daily Issuance'!$G:$G,'Daily Issuance'!$C:$C,$B929,'Daily Issuance'!$E:$E,{"Inventory","Services"})))</f>
        <v/>
      </c>
      <c r="H929" s="42" t="str">
        <f t="shared" si="28"/>
        <v/>
      </c>
      <c r="I929" s="39"/>
      <c r="J929" s="36" t="str">
        <f t="shared" si="29"/>
        <v/>
      </c>
      <c r="K929" s="48"/>
    </row>
    <row r="930" spans="1:11" ht="23.1" customHeight="1">
      <c r="A930" s="348" t="str">
        <f>IF($B930="","",MAX($A$3:A929)+1)</f>
        <v/>
      </c>
      <c r="B930" s="253"/>
      <c r="C930" s="249"/>
      <c r="D930" s="263"/>
      <c r="E930" s="251"/>
      <c r="F930" s="340" t="str">
        <f>IF($B930="","",SUM(SUMIFS('Daily Inward'!$G:$G,'Daily Inward'!$C:$C,$B930,'Daily Inward'!$E:$E,{"Inventory","Services"})))</f>
        <v/>
      </c>
      <c r="G930" s="341" t="str">
        <f>IF($B930="","",SUM(SUMIFS('Daily Issuance'!$G:$G,'Daily Issuance'!$C:$C,$B930,'Daily Issuance'!$E:$E,{"Inventory","Services"})))</f>
        <v/>
      </c>
      <c r="H930" s="42" t="str">
        <f t="shared" si="28"/>
        <v/>
      </c>
      <c r="I930" s="39"/>
      <c r="J930" s="36" t="str">
        <f t="shared" si="29"/>
        <v/>
      </c>
      <c r="K930" s="48"/>
    </row>
    <row r="931" spans="1:11" ht="23.1" customHeight="1">
      <c r="A931" s="348" t="str">
        <f>IF($B931="","",MAX($A$3:A930)+1)</f>
        <v/>
      </c>
      <c r="B931" s="253"/>
      <c r="C931" s="249"/>
      <c r="D931" s="263"/>
      <c r="E931" s="251"/>
      <c r="F931" s="340" t="str">
        <f>IF($B931="","",SUM(SUMIFS('Daily Inward'!$G:$G,'Daily Inward'!$C:$C,$B931,'Daily Inward'!$E:$E,{"Inventory","Services"})))</f>
        <v/>
      </c>
      <c r="G931" s="341" t="str">
        <f>IF($B931="","",SUM(SUMIFS('Daily Issuance'!$G:$G,'Daily Issuance'!$C:$C,$B931,'Daily Issuance'!$E:$E,{"Inventory","Services"})))</f>
        <v/>
      </c>
      <c r="H931" s="42" t="str">
        <f t="shared" si="28"/>
        <v/>
      </c>
      <c r="I931" s="39"/>
      <c r="J931" s="36" t="str">
        <f t="shared" si="29"/>
        <v/>
      </c>
      <c r="K931" s="48"/>
    </row>
    <row r="932" spans="1:11" ht="23.1" customHeight="1">
      <c r="A932" s="348" t="str">
        <f>IF($B932="","",MAX($A$3:A931)+1)</f>
        <v/>
      </c>
      <c r="B932" s="253"/>
      <c r="C932" s="249"/>
      <c r="D932" s="263"/>
      <c r="E932" s="251"/>
      <c r="F932" s="340" t="str">
        <f>IF($B932="","",SUM(SUMIFS('Daily Inward'!$G:$G,'Daily Inward'!$C:$C,$B932,'Daily Inward'!$E:$E,{"Inventory","Services"})))</f>
        <v/>
      </c>
      <c r="G932" s="341" t="str">
        <f>IF($B932="","",SUM(SUMIFS('Daily Issuance'!$G:$G,'Daily Issuance'!$C:$C,$B932,'Daily Issuance'!$E:$E,{"Inventory","Services"})))</f>
        <v/>
      </c>
      <c r="H932" s="42" t="str">
        <f t="shared" si="28"/>
        <v/>
      </c>
      <c r="I932" s="39"/>
      <c r="J932" s="36" t="str">
        <f t="shared" si="29"/>
        <v/>
      </c>
      <c r="K932" s="48"/>
    </row>
    <row r="933" spans="1:11" ht="23.1" customHeight="1">
      <c r="A933" s="348" t="str">
        <f>IF($B933="","",MAX($A$3:A932)+1)</f>
        <v/>
      </c>
      <c r="B933" s="253"/>
      <c r="C933" s="249"/>
      <c r="D933" s="263"/>
      <c r="E933" s="251"/>
      <c r="F933" s="340" t="str">
        <f>IF($B933="","",SUM(SUMIFS('Daily Inward'!$G:$G,'Daily Inward'!$C:$C,$B933,'Daily Inward'!$E:$E,{"Inventory","Services"})))</f>
        <v/>
      </c>
      <c r="G933" s="341" t="str">
        <f>IF($B933="","",SUM(SUMIFS('Daily Issuance'!$G:$G,'Daily Issuance'!$C:$C,$B933,'Daily Issuance'!$E:$E,{"Inventory","Services"})))</f>
        <v/>
      </c>
      <c r="H933" s="42" t="str">
        <f t="shared" si="28"/>
        <v/>
      </c>
      <c r="I933" s="39"/>
      <c r="J933" s="36" t="str">
        <f t="shared" si="29"/>
        <v/>
      </c>
      <c r="K933" s="48"/>
    </row>
    <row r="934" spans="1:11" ht="23.1" customHeight="1">
      <c r="A934" s="348" t="str">
        <f>IF($B934="","",MAX($A$3:A933)+1)</f>
        <v/>
      </c>
      <c r="B934" s="253"/>
      <c r="C934" s="249"/>
      <c r="D934" s="263"/>
      <c r="E934" s="251"/>
      <c r="F934" s="340" t="str">
        <f>IF($B934="","",SUM(SUMIFS('Daily Inward'!$G:$G,'Daily Inward'!$C:$C,$B934,'Daily Inward'!$E:$E,{"Inventory","Services"})))</f>
        <v/>
      </c>
      <c r="G934" s="341" t="str">
        <f>IF($B934="","",SUM(SUMIFS('Daily Issuance'!$G:$G,'Daily Issuance'!$C:$C,$B934,'Daily Issuance'!$E:$E,{"Inventory","Services"})))</f>
        <v/>
      </c>
      <c r="H934" s="42" t="str">
        <f t="shared" si="28"/>
        <v/>
      </c>
      <c r="I934" s="39"/>
      <c r="J934" s="36" t="str">
        <f t="shared" si="29"/>
        <v/>
      </c>
      <c r="K934" s="48"/>
    </row>
    <row r="935" spans="1:11" ht="23.1" customHeight="1">
      <c r="A935" s="348" t="str">
        <f>IF($B935="","",MAX($A$3:A934)+1)</f>
        <v/>
      </c>
      <c r="B935" s="253"/>
      <c r="C935" s="249"/>
      <c r="D935" s="263"/>
      <c r="E935" s="251"/>
      <c r="F935" s="340" t="str">
        <f>IF($B935="","",SUM(SUMIFS('Daily Inward'!$G:$G,'Daily Inward'!$C:$C,$B935,'Daily Inward'!$E:$E,{"Inventory","Services"})))</f>
        <v/>
      </c>
      <c r="G935" s="341" t="str">
        <f>IF($B935="","",SUM(SUMIFS('Daily Issuance'!$G:$G,'Daily Issuance'!$C:$C,$B935,'Daily Issuance'!$E:$E,{"Inventory","Services"})))</f>
        <v/>
      </c>
      <c r="H935" s="42" t="str">
        <f t="shared" si="28"/>
        <v/>
      </c>
      <c r="I935" s="39"/>
      <c r="J935" s="36" t="str">
        <f t="shared" si="29"/>
        <v/>
      </c>
      <c r="K935" s="48"/>
    </row>
    <row r="936" spans="1:11" ht="23.1" customHeight="1">
      <c r="A936" s="348" t="str">
        <f>IF($B936="","",MAX($A$3:A935)+1)</f>
        <v/>
      </c>
      <c r="B936" s="253"/>
      <c r="C936" s="249"/>
      <c r="D936" s="263"/>
      <c r="E936" s="251"/>
      <c r="F936" s="340" t="str">
        <f>IF($B936="","",SUM(SUMIFS('Daily Inward'!$G:$G,'Daily Inward'!$C:$C,$B936,'Daily Inward'!$E:$E,{"Inventory","Services"})))</f>
        <v/>
      </c>
      <c r="G936" s="341" t="str">
        <f>IF($B936="","",SUM(SUMIFS('Daily Issuance'!$G:$G,'Daily Issuance'!$C:$C,$B936,'Daily Issuance'!$E:$E,{"Inventory","Services"})))</f>
        <v/>
      </c>
      <c r="H936" s="42" t="str">
        <f t="shared" si="28"/>
        <v/>
      </c>
      <c r="I936" s="39"/>
      <c r="J936" s="36" t="str">
        <f t="shared" si="29"/>
        <v/>
      </c>
      <c r="K936" s="48"/>
    </row>
    <row r="937" spans="1:11" ht="23.1" customHeight="1">
      <c r="A937" s="348" t="str">
        <f>IF($B937="","",MAX($A$3:A936)+1)</f>
        <v/>
      </c>
      <c r="B937" s="253"/>
      <c r="C937" s="249"/>
      <c r="D937" s="263"/>
      <c r="E937" s="251"/>
      <c r="F937" s="340" t="str">
        <f>IF($B937="","",SUM(SUMIFS('Daily Inward'!$G:$G,'Daily Inward'!$C:$C,$B937,'Daily Inward'!$E:$E,{"Inventory","Services"})))</f>
        <v/>
      </c>
      <c r="G937" s="341" t="str">
        <f>IF($B937="","",SUM(SUMIFS('Daily Issuance'!$G:$G,'Daily Issuance'!$C:$C,$B937,'Daily Issuance'!$E:$E,{"Inventory","Services"})))</f>
        <v/>
      </c>
      <c r="H937" s="42" t="str">
        <f t="shared" si="28"/>
        <v/>
      </c>
      <c r="I937" s="39"/>
      <c r="J937" s="36" t="str">
        <f t="shared" si="29"/>
        <v/>
      </c>
      <c r="K937" s="48"/>
    </row>
    <row r="938" spans="1:11" ht="23.1" customHeight="1">
      <c r="A938" s="348" t="str">
        <f>IF($B938="","",MAX($A$3:A937)+1)</f>
        <v/>
      </c>
      <c r="B938" s="253"/>
      <c r="C938" s="249"/>
      <c r="D938" s="263"/>
      <c r="E938" s="251"/>
      <c r="F938" s="340" t="str">
        <f>IF($B938="","",SUM(SUMIFS('Daily Inward'!$G:$G,'Daily Inward'!$C:$C,$B938,'Daily Inward'!$E:$E,{"Inventory","Services"})))</f>
        <v/>
      </c>
      <c r="G938" s="341" t="str">
        <f>IF($B938="","",SUM(SUMIFS('Daily Issuance'!$G:$G,'Daily Issuance'!$C:$C,$B938,'Daily Issuance'!$E:$E,{"Inventory","Services"})))</f>
        <v/>
      </c>
      <c r="H938" s="42" t="str">
        <f t="shared" si="28"/>
        <v/>
      </c>
      <c r="I938" s="39"/>
      <c r="J938" s="36" t="str">
        <f t="shared" si="29"/>
        <v/>
      </c>
      <c r="K938" s="48"/>
    </row>
    <row r="939" spans="1:11" ht="23.1" customHeight="1">
      <c r="A939" s="348" t="str">
        <f>IF($B939="","",MAX($A$3:A938)+1)</f>
        <v/>
      </c>
      <c r="B939" s="253"/>
      <c r="C939" s="249"/>
      <c r="D939" s="263"/>
      <c r="E939" s="251"/>
      <c r="F939" s="340" t="str">
        <f>IF($B939="","",SUM(SUMIFS('Daily Inward'!$G:$G,'Daily Inward'!$C:$C,$B939,'Daily Inward'!$E:$E,{"Inventory","Services"})))</f>
        <v/>
      </c>
      <c r="G939" s="341" t="str">
        <f>IF($B939="","",SUM(SUMIFS('Daily Issuance'!$G:$G,'Daily Issuance'!$C:$C,$B939,'Daily Issuance'!$E:$E,{"Inventory","Services"})))</f>
        <v/>
      </c>
      <c r="H939" s="42" t="str">
        <f t="shared" si="28"/>
        <v/>
      </c>
      <c r="I939" s="39"/>
      <c r="J939" s="36" t="str">
        <f t="shared" si="29"/>
        <v/>
      </c>
      <c r="K939" s="48"/>
    </row>
    <row r="940" spans="1:11" ht="23.1" customHeight="1">
      <c r="A940" s="348" t="str">
        <f>IF($B940="","",MAX($A$3:A939)+1)</f>
        <v/>
      </c>
      <c r="B940" s="253"/>
      <c r="C940" s="249"/>
      <c r="D940" s="263"/>
      <c r="E940" s="251"/>
      <c r="F940" s="340" t="str">
        <f>IF($B940="","",SUM(SUMIFS('Daily Inward'!$G:$G,'Daily Inward'!$C:$C,$B940,'Daily Inward'!$E:$E,{"Inventory","Services"})))</f>
        <v/>
      </c>
      <c r="G940" s="341" t="str">
        <f>IF($B940="","",SUM(SUMIFS('Daily Issuance'!$G:$G,'Daily Issuance'!$C:$C,$B940,'Daily Issuance'!$E:$E,{"Inventory","Services"})))</f>
        <v/>
      </c>
      <c r="H940" s="42" t="str">
        <f t="shared" si="28"/>
        <v/>
      </c>
      <c r="I940" s="39"/>
      <c r="J940" s="36" t="str">
        <f t="shared" si="29"/>
        <v/>
      </c>
      <c r="K940" s="48"/>
    </row>
    <row r="941" spans="1:11" ht="23.1" customHeight="1">
      <c r="A941" s="348" t="str">
        <f>IF($B941="","",MAX($A$3:A940)+1)</f>
        <v/>
      </c>
      <c r="B941" s="253"/>
      <c r="C941" s="249"/>
      <c r="D941" s="263"/>
      <c r="E941" s="251"/>
      <c r="F941" s="340" t="str">
        <f>IF($B941="","",SUM(SUMIFS('Daily Inward'!$G:$G,'Daily Inward'!$C:$C,$B941,'Daily Inward'!$E:$E,{"Inventory","Services"})))</f>
        <v/>
      </c>
      <c r="G941" s="341" t="str">
        <f>IF($B941="","",SUM(SUMIFS('Daily Issuance'!$G:$G,'Daily Issuance'!$C:$C,$B941,'Daily Issuance'!$E:$E,{"Inventory","Services"})))</f>
        <v/>
      </c>
      <c r="H941" s="42" t="str">
        <f t="shared" si="28"/>
        <v/>
      </c>
      <c r="I941" s="39"/>
      <c r="J941" s="36" t="str">
        <f t="shared" si="29"/>
        <v/>
      </c>
      <c r="K941" s="48"/>
    </row>
    <row r="942" spans="1:11" ht="23.1" customHeight="1">
      <c r="A942" s="348" t="str">
        <f>IF($B942="","",MAX($A$3:A941)+1)</f>
        <v/>
      </c>
      <c r="B942" s="253"/>
      <c r="C942" s="249"/>
      <c r="D942" s="263"/>
      <c r="E942" s="251"/>
      <c r="F942" s="340" t="str">
        <f>IF($B942="","",SUM(SUMIFS('Daily Inward'!$G:$G,'Daily Inward'!$C:$C,$B942,'Daily Inward'!$E:$E,{"Inventory","Services"})))</f>
        <v/>
      </c>
      <c r="G942" s="341" t="str">
        <f>IF($B942="","",SUM(SUMIFS('Daily Issuance'!$G:$G,'Daily Issuance'!$C:$C,$B942,'Daily Issuance'!$E:$E,{"Inventory","Services"})))</f>
        <v/>
      </c>
      <c r="H942" s="42" t="str">
        <f t="shared" si="28"/>
        <v/>
      </c>
      <c r="I942" s="39"/>
      <c r="J942" s="36" t="str">
        <f t="shared" si="29"/>
        <v/>
      </c>
      <c r="K942" s="48"/>
    </row>
    <row r="943" spans="1:11" ht="23.1" customHeight="1">
      <c r="A943" s="348" t="str">
        <f>IF($B943="","",MAX($A$3:A942)+1)</f>
        <v/>
      </c>
      <c r="B943" s="253"/>
      <c r="C943" s="249"/>
      <c r="D943" s="263"/>
      <c r="E943" s="251"/>
      <c r="F943" s="340" t="str">
        <f>IF($B943="","",SUM(SUMIFS('Daily Inward'!$G:$G,'Daily Inward'!$C:$C,$B943,'Daily Inward'!$E:$E,{"Inventory","Services"})))</f>
        <v/>
      </c>
      <c r="G943" s="341" t="str">
        <f>IF($B943="","",SUM(SUMIFS('Daily Issuance'!$G:$G,'Daily Issuance'!$C:$C,$B943,'Daily Issuance'!$E:$E,{"Inventory","Services"})))</f>
        <v/>
      </c>
      <c r="H943" s="42" t="str">
        <f t="shared" si="28"/>
        <v/>
      </c>
      <c r="I943" s="39"/>
      <c r="J943" s="36" t="str">
        <f t="shared" si="29"/>
        <v/>
      </c>
      <c r="K943" s="48"/>
    </row>
    <row r="944" spans="1:11" ht="23.1" customHeight="1">
      <c r="A944" s="348" t="str">
        <f>IF($B944="","",MAX($A$3:A943)+1)</f>
        <v/>
      </c>
      <c r="B944" s="253"/>
      <c r="C944" s="249"/>
      <c r="D944" s="263"/>
      <c r="E944" s="251"/>
      <c r="F944" s="340" t="str">
        <f>IF($B944="","",SUM(SUMIFS('Daily Inward'!$G:$G,'Daily Inward'!$C:$C,$B944,'Daily Inward'!$E:$E,{"Inventory","Services"})))</f>
        <v/>
      </c>
      <c r="G944" s="341" t="str">
        <f>IF($B944="","",SUM(SUMIFS('Daily Issuance'!$G:$G,'Daily Issuance'!$C:$C,$B944,'Daily Issuance'!$E:$E,{"Inventory","Services"})))</f>
        <v/>
      </c>
      <c r="H944" s="42" t="str">
        <f t="shared" si="28"/>
        <v/>
      </c>
      <c r="I944" s="39"/>
      <c r="J944" s="36" t="str">
        <f t="shared" si="29"/>
        <v/>
      </c>
      <c r="K944" s="48"/>
    </row>
    <row r="945" spans="1:11" ht="23.1" customHeight="1">
      <c r="A945" s="348" t="str">
        <f>IF($B945="","",MAX($A$3:A944)+1)</f>
        <v/>
      </c>
      <c r="B945" s="253"/>
      <c r="C945" s="249"/>
      <c r="D945" s="263"/>
      <c r="E945" s="251"/>
      <c r="F945" s="340" t="str">
        <f>IF($B945="","",SUM(SUMIFS('Daily Inward'!$G:$G,'Daily Inward'!$C:$C,$B945,'Daily Inward'!$E:$E,{"Inventory","Services"})))</f>
        <v/>
      </c>
      <c r="G945" s="341" t="str">
        <f>IF($B945="","",SUM(SUMIFS('Daily Issuance'!$G:$G,'Daily Issuance'!$C:$C,$B945,'Daily Issuance'!$E:$E,{"Inventory","Services"})))</f>
        <v/>
      </c>
      <c r="H945" s="42" t="str">
        <f t="shared" si="28"/>
        <v/>
      </c>
      <c r="I945" s="39"/>
      <c r="J945" s="36" t="str">
        <f t="shared" si="29"/>
        <v/>
      </c>
      <c r="K945" s="48"/>
    </row>
    <row r="946" spans="1:11" ht="23.1" customHeight="1">
      <c r="A946" s="348" t="str">
        <f>IF($B946="","",MAX($A$3:A945)+1)</f>
        <v/>
      </c>
      <c r="B946" s="253"/>
      <c r="C946" s="249"/>
      <c r="D946" s="263"/>
      <c r="E946" s="251"/>
      <c r="F946" s="340" t="str">
        <f>IF($B946="","",SUM(SUMIFS('Daily Inward'!$G:$G,'Daily Inward'!$C:$C,$B946,'Daily Inward'!$E:$E,{"Inventory","Services"})))</f>
        <v/>
      </c>
      <c r="G946" s="341" t="str">
        <f>IF($B946="","",SUM(SUMIFS('Daily Issuance'!$G:$G,'Daily Issuance'!$C:$C,$B946,'Daily Issuance'!$E:$E,{"Inventory","Services"})))</f>
        <v/>
      </c>
      <c r="H946" s="42" t="str">
        <f t="shared" si="28"/>
        <v/>
      </c>
      <c r="I946" s="39"/>
      <c r="J946" s="36" t="str">
        <f t="shared" si="29"/>
        <v/>
      </c>
      <c r="K946" s="48"/>
    </row>
    <row r="947" spans="1:11" ht="23.1" customHeight="1">
      <c r="A947" s="348" t="str">
        <f>IF($B947="","",MAX($A$3:A946)+1)</f>
        <v/>
      </c>
      <c r="B947" s="253"/>
      <c r="C947" s="249"/>
      <c r="D947" s="263"/>
      <c r="E947" s="251"/>
      <c r="F947" s="340" t="str">
        <f>IF($B947="","",SUM(SUMIFS('Daily Inward'!$G:$G,'Daily Inward'!$C:$C,$B947,'Daily Inward'!$E:$E,{"Inventory","Services"})))</f>
        <v/>
      </c>
      <c r="G947" s="341" t="str">
        <f>IF($B947="","",SUM(SUMIFS('Daily Issuance'!$G:$G,'Daily Issuance'!$C:$C,$B947,'Daily Issuance'!$E:$E,{"Inventory","Services"})))</f>
        <v/>
      </c>
      <c r="H947" s="42" t="str">
        <f t="shared" si="28"/>
        <v/>
      </c>
      <c r="I947" s="39"/>
      <c r="J947" s="36" t="str">
        <f t="shared" si="29"/>
        <v/>
      </c>
      <c r="K947" s="48"/>
    </row>
    <row r="948" spans="1:11" ht="23.1" customHeight="1">
      <c r="A948" s="348" t="str">
        <f>IF($B948="","",MAX($A$3:A947)+1)</f>
        <v/>
      </c>
      <c r="B948" s="253"/>
      <c r="C948" s="249"/>
      <c r="D948" s="263"/>
      <c r="E948" s="251"/>
      <c r="F948" s="340" t="str">
        <f>IF($B948="","",SUM(SUMIFS('Daily Inward'!$G:$G,'Daily Inward'!$C:$C,$B948,'Daily Inward'!$E:$E,{"Inventory","Services"})))</f>
        <v/>
      </c>
      <c r="G948" s="341" t="str">
        <f>IF($B948="","",SUM(SUMIFS('Daily Issuance'!$G:$G,'Daily Issuance'!$C:$C,$B948,'Daily Issuance'!$E:$E,{"Inventory","Services"})))</f>
        <v/>
      </c>
      <c r="H948" s="42" t="str">
        <f t="shared" si="28"/>
        <v/>
      </c>
      <c r="I948" s="39"/>
      <c r="J948" s="36" t="str">
        <f t="shared" si="29"/>
        <v/>
      </c>
      <c r="K948" s="48"/>
    </row>
    <row r="949" spans="1:11" ht="23.1" customHeight="1">
      <c r="A949" s="348" t="str">
        <f>IF($B949="","",MAX($A$3:A948)+1)</f>
        <v/>
      </c>
      <c r="B949" s="253"/>
      <c r="C949" s="249"/>
      <c r="D949" s="263"/>
      <c r="E949" s="251"/>
      <c r="F949" s="340" t="str">
        <f>IF($B949="","",SUM(SUMIFS('Daily Inward'!$G:$G,'Daily Inward'!$C:$C,$B949,'Daily Inward'!$E:$E,{"Inventory","Services"})))</f>
        <v/>
      </c>
      <c r="G949" s="341" t="str">
        <f>IF($B949="","",SUM(SUMIFS('Daily Issuance'!$G:$G,'Daily Issuance'!$C:$C,$B949,'Daily Issuance'!$E:$E,{"Inventory","Services"})))</f>
        <v/>
      </c>
      <c r="H949" s="42" t="str">
        <f t="shared" si="28"/>
        <v/>
      </c>
      <c r="I949" s="39"/>
      <c r="J949" s="36" t="str">
        <f t="shared" si="29"/>
        <v/>
      </c>
      <c r="K949" s="48"/>
    </row>
    <row r="950" spans="1:11" ht="23.1" customHeight="1">
      <c r="A950" s="348" t="str">
        <f>IF($B950="","",MAX($A$3:A949)+1)</f>
        <v/>
      </c>
      <c r="B950" s="253"/>
      <c r="C950" s="249"/>
      <c r="D950" s="263"/>
      <c r="E950" s="251"/>
      <c r="F950" s="340" t="str">
        <f>IF($B950="","",SUM(SUMIFS('Daily Inward'!$G:$G,'Daily Inward'!$C:$C,$B950,'Daily Inward'!$E:$E,{"Inventory","Services"})))</f>
        <v/>
      </c>
      <c r="G950" s="341" t="str">
        <f>IF($B950="","",SUM(SUMIFS('Daily Issuance'!$G:$G,'Daily Issuance'!$C:$C,$B950,'Daily Issuance'!$E:$E,{"Inventory","Services"})))</f>
        <v/>
      </c>
      <c r="H950" s="42" t="str">
        <f t="shared" si="28"/>
        <v/>
      </c>
      <c r="I950" s="39"/>
      <c r="J950" s="36" t="str">
        <f t="shared" si="29"/>
        <v/>
      </c>
      <c r="K950" s="48"/>
    </row>
    <row r="951" spans="1:11" ht="23.1" customHeight="1">
      <c r="A951" s="348" t="str">
        <f>IF($B951="","",MAX($A$3:A950)+1)</f>
        <v/>
      </c>
      <c r="B951" s="253"/>
      <c r="C951" s="249"/>
      <c r="D951" s="263"/>
      <c r="E951" s="251"/>
      <c r="F951" s="340" t="str">
        <f>IF($B951="","",SUM(SUMIFS('Daily Inward'!$G:$G,'Daily Inward'!$C:$C,$B951,'Daily Inward'!$E:$E,{"Inventory","Services"})))</f>
        <v/>
      </c>
      <c r="G951" s="341" t="str">
        <f>IF($B951="","",SUM(SUMIFS('Daily Issuance'!$G:$G,'Daily Issuance'!$C:$C,$B951,'Daily Issuance'!$E:$E,{"Inventory","Services"})))</f>
        <v/>
      </c>
      <c r="H951" s="42" t="str">
        <f t="shared" si="28"/>
        <v/>
      </c>
      <c r="I951" s="39"/>
      <c r="J951" s="36" t="str">
        <f t="shared" si="29"/>
        <v/>
      </c>
      <c r="K951" s="48"/>
    </row>
    <row r="952" spans="1:11" ht="23.1" customHeight="1">
      <c r="A952" s="348" t="str">
        <f>IF($B952="","",MAX($A$3:A951)+1)</f>
        <v/>
      </c>
      <c r="B952" s="253"/>
      <c r="C952" s="249"/>
      <c r="D952" s="263"/>
      <c r="E952" s="251"/>
      <c r="F952" s="340" t="str">
        <f>IF($B952="","",SUM(SUMIFS('Daily Inward'!$G:$G,'Daily Inward'!$C:$C,$B952,'Daily Inward'!$E:$E,{"Inventory","Services"})))</f>
        <v/>
      </c>
      <c r="G952" s="341" t="str">
        <f>IF($B952="","",SUM(SUMIFS('Daily Issuance'!$G:$G,'Daily Issuance'!$C:$C,$B952,'Daily Issuance'!$E:$E,{"Inventory","Services"})))</f>
        <v/>
      </c>
      <c r="H952" s="42" t="str">
        <f t="shared" si="28"/>
        <v/>
      </c>
      <c r="I952" s="39"/>
      <c r="J952" s="36" t="str">
        <f t="shared" si="29"/>
        <v/>
      </c>
      <c r="K952" s="48"/>
    </row>
    <row r="953" spans="1:11" ht="23.1" customHeight="1">
      <c r="A953" s="348" t="str">
        <f>IF($B953="","",MAX($A$3:A952)+1)</f>
        <v/>
      </c>
      <c r="B953" s="253"/>
      <c r="C953" s="249"/>
      <c r="D953" s="263"/>
      <c r="E953" s="251"/>
      <c r="F953" s="340" t="str">
        <f>IF($B953="","",SUM(SUMIFS('Daily Inward'!$G:$G,'Daily Inward'!$C:$C,$B953,'Daily Inward'!$E:$E,{"Inventory","Services"})))</f>
        <v/>
      </c>
      <c r="G953" s="341" t="str">
        <f>IF($B953="","",SUM(SUMIFS('Daily Issuance'!$G:$G,'Daily Issuance'!$C:$C,$B953,'Daily Issuance'!$E:$E,{"Inventory","Services"})))</f>
        <v/>
      </c>
      <c r="H953" s="42" t="str">
        <f t="shared" si="28"/>
        <v/>
      </c>
      <c r="I953" s="39"/>
      <c r="J953" s="36" t="str">
        <f t="shared" si="29"/>
        <v/>
      </c>
      <c r="K953" s="48"/>
    </row>
    <row r="954" spans="1:11" ht="23.1" customHeight="1">
      <c r="A954" s="348" t="str">
        <f>IF($B954="","",MAX($A$3:A953)+1)</f>
        <v/>
      </c>
      <c r="B954" s="253"/>
      <c r="C954" s="249"/>
      <c r="D954" s="263"/>
      <c r="E954" s="251"/>
      <c r="F954" s="340" t="str">
        <f>IF($B954="","",SUM(SUMIFS('Daily Inward'!$G:$G,'Daily Inward'!$C:$C,$B954,'Daily Inward'!$E:$E,{"Inventory","Services"})))</f>
        <v/>
      </c>
      <c r="G954" s="341" t="str">
        <f>IF($B954="","",SUM(SUMIFS('Daily Issuance'!$G:$G,'Daily Issuance'!$C:$C,$B954,'Daily Issuance'!$E:$E,{"Inventory","Services"})))</f>
        <v/>
      </c>
      <c r="H954" s="42" t="str">
        <f t="shared" si="28"/>
        <v/>
      </c>
      <c r="I954" s="39"/>
      <c r="J954" s="36" t="str">
        <f t="shared" si="29"/>
        <v/>
      </c>
      <c r="K954" s="48"/>
    </row>
    <row r="955" spans="1:11" ht="23.1" customHeight="1">
      <c r="A955" s="348" t="str">
        <f>IF($B955="","",MAX($A$3:A954)+1)</f>
        <v/>
      </c>
      <c r="B955" s="253"/>
      <c r="C955" s="249"/>
      <c r="D955" s="263"/>
      <c r="E955" s="251"/>
      <c r="F955" s="340" t="str">
        <f>IF($B955="","",SUM(SUMIFS('Daily Inward'!$G:$G,'Daily Inward'!$C:$C,$B955,'Daily Inward'!$E:$E,{"Inventory","Services"})))</f>
        <v/>
      </c>
      <c r="G955" s="341" t="str">
        <f>IF($B955="","",SUM(SUMIFS('Daily Issuance'!$G:$G,'Daily Issuance'!$C:$C,$B955,'Daily Issuance'!$E:$E,{"Inventory","Services"})))</f>
        <v/>
      </c>
      <c r="H955" s="42" t="str">
        <f t="shared" si="28"/>
        <v/>
      </c>
      <c r="I955" s="39"/>
      <c r="J955" s="36" t="str">
        <f t="shared" si="29"/>
        <v/>
      </c>
      <c r="K955" s="48"/>
    </row>
    <row r="956" spans="1:11" ht="23.1" customHeight="1">
      <c r="A956" s="348" t="str">
        <f>IF($B956="","",MAX($A$3:A955)+1)</f>
        <v/>
      </c>
      <c r="B956" s="253"/>
      <c r="C956" s="249"/>
      <c r="D956" s="263"/>
      <c r="E956" s="251"/>
      <c r="F956" s="340" t="str">
        <f>IF($B956="","",SUM(SUMIFS('Daily Inward'!$G:$G,'Daily Inward'!$C:$C,$B956,'Daily Inward'!$E:$E,{"Inventory","Services"})))</f>
        <v/>
      </c>
      <c r="G956" s="341" t="str">
        <f>IF($B956="","",SUM(SUMIFS('Daily Issuance'!$G:$G,'Daily Issuance'!$C:$C,$B956,'Daily Issuance'!$E:$E,{"Inventory","Services"})))</f>
        <v/>
      </c>
      <c r="H956" s="42" t="str">
        <f t="shared" si="28"/>
        <v/>
      </c>
      <c r="I956" s="39"/>
      <c r="J956" s="36" t="str">
        <f t="shared" si="29"/>
        <v/>
      </c>
      <c r="K956" s="48"/>
    </row>
    <row r="957" spans="1:11" ht="23.1" customHeight="1">
      <c r="A957" s="348" t="str">
        <f>IF($B957="","",MAX($A$3:A956)+1)</f>
        <v/>
      </c>
      <c r="B957" s="253"/>
      <c r="C957" s="249"/>
      <c r="D957" s="263"/>
      <c r="E957" s="251"/>
      <c r="F957" s="340" t="str">
        <f>IF($B957="","",SUM(SUMIFS('Daily Inward'!$G:$G,'Daily Inward'!$C:$C,$B957,'Daily Inward'!$E:$E,{"Inventory","Services"})))</f>
        <v/>
      </c>
      <c r="G957" s="341" t="str">
        <f>IF($B957="","",SUM(SUMIFS('Daily Issuance'!$G:$G,'Daily Issuance'!$C:$C,$B957,'Daily Issuance'!$E:$E,{"Inventory","Services"})))</f>
        <v/>
      </c>
      <c r="H957" s="42" t="str">
        <f t="shared" si="28"/>
        <v/>
      </c>
      <c r="I957" s="39"/>
      <c r="J957" s="36" t="str">
        <f t="shared" si="29"/>
        <v/>
      </c>
      <c r="K957" s="48"/>
    </row>
    <row r="958" spans="1:11" ht="23.1" customHeight="1">
      <c r="A958" s="348" t="str">
        <f>IF($B958="","",MAX($A$3:A957)+1)</f>
        <v/>
      </c>
      <c r="B958" s="253"/>
      <c r="C958" s="249"/>
      <c r="D958" s="263"/>
      <c r="E958" s="251"/>
      <c r="F958" s="340" t="str">
        <f>IF($B958="","",SUM(SUMIFS('Daily Inward'!$G:$G,'Daily Inward'!$C:$C,$B958,'Daily Inward'!$E:$E,{"Inventory","Services"})))</f>
        <v/>
      </c>
      <c r="G958" s="341" t="str">
        <f>IF($B958="","",SUM(SUMIFS('Daily Issuance'!$G:$G,'Daily Issuance'!$C:$C,$B958,'Daily Issuance'!$E:$E,{"Inventory","Services"})))</f>
        <v/>
      </c>
      <c r="H958" s="42" t="str">
        <f t="shared" si="28"/>
        <v/>
      </c>
      <c r="I958" s="39"/>
      <c r="J958" s="36" t="str">
        <f t="shared" si="29"/>
        <v/>
      </c>
      <c r="K958" s="48"/>
    </row>
    <row r="959" spans="1:11" ht="23.1" customHeight="1">
      <c r="A959" s="348" t="str">
        <f>IF($B959="","",MAX($A$3:A958)+1)</f>
        <v/>
      </c>
      <c r="B959" s="253"/>
      <c r="C959" s="249"/>
      <c r="D959" s="263"/>
      <c r="E959" s="251"/>
      <c r="F959" s="340" t="str">
        <f>IF($B959="","",SUM(SUMIFS('Daily Inward'!$G:$G,'Daily Inward'!$C:$C,$B959,'Daily Inward'!$E:$E,{"Inventory","Services"})))</f>
        <v/>
      </c>
      <c r="G959" s="341" t="str">
        <f>IF($B959="","",SUM(SUMIFS('Daily Issuance'!$G:$G,'Daily Issuance'!$C:$C,$B959,'Daily Issuance'!$E:$E,{"Inventory","Services"})))</f>
        <v/>
      </c>
      <c r="H959" s="42" t="str">
        <f t="shared" si="28"/>
        <v/>
      </c>
      <c r="I959" s="39"/>
      <c r="J959" s="36" t="str">
        <f t="shared" si="29"/>
        <v/>
      </c>
      <c r="K959" s="48"/>
    </row>
    <row r="960" spans="1:11" ht="23.1" customHeight="1">
      <c r="A960" s="348" t="str">
        <f>IF($B960="","",MAX($A$3:A959)+1)</f>
        <v/>
      </c>
      <c r="B960" s="253"/>
      <c r="C960" s="249"/>
      <c r="D960" s="263"/>
      <c r="E960" s="251"/>
      <c r="F960" s="340" t="str">
        <f>IF($B960="","",SUM(SUMIFS('Daily Inward'!$G:$G,'Daily Inward'!$C:$C,$B960,'Daily Inward'!$E:$E,{"Inventory","Services"})))</f>
        <v/>
      </c>
      <c r="G960" s="341" t="str">
        <f>IF($B960="","",SUM(SUMIFS('Daily Issuance'!$G:$G,'Daily Issuance'!$C:$C,$B960,'Daily Issuance'!$E:$E,{"Inventory","Services"})))</f>
        <v/>
      </c>
      <c r="H960" s="42" t="str">
        <f t="shared" si="28"/>
        <v/>
      </c>
      <c r="I960" s="39"/>
      <c r="J960" s="36" t="str">
        <f t="shared" si="29"/>
        <v/>
      </c>
      <c r="K960" s="48"/>
    </row>
    <row r="961" spans="1:11" ht="23.1" customHeight="1">
      <c r="A961" s="348" t="str">
        <f>IF($B961="","",MAX($A$3:A960)+1)</f>
        <v/>
      </c>
      <c r="B961" s="253"/>
      <c r="C961" s="249"/>
      <c r="D961" s="263"/>
      <c r="E961" s="251"/>
      <c r="F961" s="340" t="str">
        <f>IF($B961="","",SUM(SUMIFS('Daily Inward'!$G:$G,'Daily Inward'!$C:$C,$B961,'Daily Inward'!$E:$E,{"Inventory","Services"})))</f>
        <v/>
      </c>
      <c r="G961" s="341" t="str">
        <f>IF($B961="","",SUM(SUMIFS('Daily Issuance'!$G:$G,'Daily Issuance'!$C:$C,$B961,'Daily Issuance'!$E:$E,{"Inventory","Services"})))</f>
        <v/>
      </c>
      <c r="H961" s="42" t="str">
        <f t="shared" si="28"/>
        <v/>
      </c>
      <c r="I961" s="39"/>
      <c r="J961" s="36" t="str">
        <f t="shared" si="29"/>
        <v/>
      </c>
      <c r="K961" s="48"/>
    </row>
    <row r="962" spans="1:11" ht="23.1" customHeight="1">
      <c r="A962" s="348" t="str">
        <f>IF($B962="","",MAX($A$3:A961)+1)</f>
        <v/>
      </c>
      <c r="B962" s="253"/>
      <c r="C962" s="249"/>
      <c r="D962" s="263"/>
      <c r="E962" s="251"/>
      <c r="F962" s="340" t="str">
        <f>IF($B962="","",SUM(SUMIFS('Daily Inward'!$G:$G,'Daily Inward'!$C:$C,$B962,'Daily Inward'!$E:$E,{"Inventory","Services"})))</f>
        <v/>
      </c>
      <c r="G962" s="341" t="str">
        <f>IF($B962="","",SUM(SUMIFS('Daily Issuance'!$G:$G,'Daily Issuance'!$C:$C,$B962,'Daily Issuance'!$E:$E,{"Inventory","Services"})))</f>
        <v/>
      </c>
      <c r="H962" s="42" t="str">
        <f t="shared" si="28"/>
        <v/>
      </c>
      <c r="I962" s="39"/>
      <c r="J962" s="36" t="str">
        <f t="shared" si="29"/>
        <v/>
      </c>
      <c r="K962" s="48"/>
    </row>
    <row r="963" spans="1:11" ht="23.1" customHeight="1">
      <c r="A963" s="348" t="str">
        <f>IF($B963="","",MAX($A$3:A962)+1)</f>
        <v/>
      </c>
      <c r="B963" s="253"/>
      <c r="C963" s="249"/>
      <c r="D963" s="263"/>
      <c r="E963" s="251"/>
      <c r="F963" s="340" t="str">
        <f>IF($B963="","",SUM(SUMIFS('Daily Inward'!$G:$G,'Daily Inward'!$C:$C,$B963,'Daily Inward'!$E:$E,{"Inventory","Services"})))</f>
        <v/>
      </c>
      <c r="G963" s="341" t="str">
        <f>IF($B963="","",SUM(SUMIFS('Daily Issuance'!$G:$G,'Daily Issuance'!$C:$C,$B963,'Daily Issuance'!$E:$E,{"Inventory","Services"})))</f>
        <v/>
      </c>
      <c r="H963" s="42" t="str">
        <f t="shared" si="28"/>
        <v/>
      </c>
      <c r="I963" s="39"/>
      <c r="J963" s="36" t="str">
        <f t="shared" si="29"/>
        <v/>
      </c>
      <c r="K963" s="48"/>
    </row>
    <row r="964" spans="1:11" ht="23.1" customHeight="1">
      <c r="A964" s="348" t="str">
        <f>IF($B964="","",MAX($A$3:A963)+1)</f>
        <v/>
      </c>
      <c r="B964" s="253"/>
      <c r="C964" s="249"/>
      <c r="D964" s="263"/>
      <c r="E964" s="251"/>
      <c r="F964" s="340" t="str">
        <f>IF($B964="","",SUM(SUMIFS('Daily Inward'!$G:$G,'Daily Inward'!$C:$C,$B964,'Daily Inward'!$E:$E,{"Inventory","Services"})))</f>
        <v/>
      </c>
      <c r="G964" s="341" t="str">
        <f>IF($B964="","",SUM(SUMIFS('Daily Issuance'!$G:$G,'Daily Issuance'!$C:$C,$B964,'Daily Issuance'!$E:$E,{"Inventory","Services"})))</f>
        <v/>
      </c>
      <c r="H964" s="42" t="str">
        <f t="shared" ref="H964:H1003" si="30">IF($B964="","",N(E964)+N(F964)-N(G964))</f>
        <v/>
      </c>
      <c r="I964" s="39"/>
      <c r="J964" s="36" t="str">
        <f t="shared" ref="J964:J1003" si="31">IF($B964="","",H964*I964)</f>
        <v/>
      </c>
      <c r="K964" s="48"/>
    </row>
    <row r="965" spans="1:11" ht="23.1" customHeight="1">
      <c r="A965" s="348" t="str">
        <f>IF($B965="","",MAX($A$3:A964)+1)</f>
        <v/>
      </c>
      <c r="B965" s="253"/>
      <c r="C965" s="249"/>
      <c r="D965" s="263"/>
      <c r="E965" s="251"/>
      <c r="F965" s="340" t="str">
        <f>IF($B965="","",SUM(SUMIFS('Daily Inward'!$G:$G,'Daily Inward'!$C:$C,$B965,'Daily Inward'!$E:$E,{"Inventory","Services"})))</f>
        <v/>
      </c>
      <c r="G965" s="341" t="str">
        <f>IF($B965="","",SUM(SUMIFS('Daily Issuance'!$G:$G,'Daily Issuance'!$C:$C,$B965,'Daily Issuance'!$E:$E,{"Inventory","Services"})))</f>
        <v/>
      </c>
      <c r="H965" s="42" t="str">
        <f t="shared" si="30"/>
        <v/>
      </c>
      <c r="I965" s="39"/>
      <c r="J965" s="36" t="str">
        <f t="shared" si="31"/>
        <v/>
      </c>
      <c r="K965" s="48"/>
    </row>
    <row r="966" spans="1:11" ht="23.1" customHeight="1">
      <c r="A966" s="348" t="str">
        <f>IF($B966="","",MAX($A$3:A965)+1)</f>
        <v/>
      </c>
      <c r="B966" s="253"/>
      <c r="C966" s="249"/>
      <c r="D966" s="263"/>
      <c r="E966" s="251"/>
      <c r="F966" s="340" t="str">
        <f>IF($B966="","",SUM(SUMIFS('Daily Inward'!$G:$G,'Daily Inward'!$C:$C,$B966,'Daily Inward'!$E:$E,{"Inventory","Services"})))</f>
        <v/>
      </c>
      <c r="G966" s="341" t="str">
        <f>IF($B966="","",SUM(SUMIFS('Daily Issuance'!$G:$G,'Daily Issuance'!$C:$C,$B966,'Daily Issuance'!$E:$E,{"Inventory","Services"})))</f>
        <v/>
      </c>
      <c r="H966" s="42" t="str">
        <f t="shared" si="30"/>
        <v/>
      </c>
      <c r="I966" s="39"/>
      <c r="J966" s="36" t="str">
        <f t="shared" si="31"/>
        <v/>
      </c>
      <c r="K966" s="48"/>
    </row>
    <row r="967" spans="1:11" ht="23.1" customHeight="1">
      <c r="A967" s="348" t="str">
        <f>IF($B967="","",MAX($A$3:A966)+1)</f>
        <v/>
      </c>
      <c r="B967" s="253"/>
      <c r="C967" s="249"/>
      <c r="D967" s="263"/>
      <c r="E967" s="251"/>
      <c r="F967" s="340" t="str">
        <f>IF($B967="","",SUM(SUMIFS('Daily Inward'!$G:$G,'Daily Inward'!$C:$C,$B967,'Daily Inward'!$E:$E,{"Inventory","Services"})))</f>
        <v/>
      </c>
      <c r="G967" s="341" t="str">
        <f>IF($B967="","",SUM(SUMIFS('Daily Issuance'!$G:$G,'Daily Issuance'!$C:$C,$B967,'Daily Issuance'!$E:$E,{"Inventory","Services"})))</f>
        <v/>
      </c>
      <c r="H967" s="42" t="str">
        <f t="shared" si="30"/>
        <v/>
      </c>
      <c r="I967" s="39"/>
      <c r="J967" s="36" t="str">
        <f t="shared" si="31"/>
        <v/>
      </c>
      <c r="K967" s="48"/>
    </row>
    <row r="968" spans="1:11" ht="23.1" customHeight="1">
      <c r="A968" s="348" t="str">
        <f>IF($B968="","",MAX($A$3:A967)+1)</f>
        <v/>
      </c>
      <c r="B968" s="253"/>
      <c r="C968" s="249"/>
      <c r="D968" s="263"/>
      <c r="E968" s="251"/>
      <c r="F968" s="340" t="str">
        <f>IF($B968="","",SUM(SUMIFS('Daily Inward'!$G:$G,'Daily Inward'!$C:$C,$B968,'Daily Inward'!$E:$E,{"Inventory","Services"})))</f>
        <v/>
      </c>
      <c r="G968" s="341" t="str">
        <f>IF($B968="","",SUM(SUMIFS('Daily Issuance'!$G:$G,'Daily Issuance'!$C:$C,$B968,'Daily Issuance'!$E:$E,{"Inventory","Services"})))</f>
        <v/>
      </c>
      <c r="H968" s="42" t="str">
        <f t="shared" si="30"/>
        <v/>
      </c>
      <c r="I968" s="39"/>
      <c r="J968" s="36" t="str">
        <f t="shared" si="31"/>
        <v/>
      </c>
      <c r="K968" s="48"/>
    </row>
    <row r="969" spans="1:11" ht="23.1" customHeight="1">
      <c r="A969" s="348" t="str">
        <f>IF($B969="","",MAX($A$3:A968)+1)</f>
        <v/>
      </c>
      <c r="B969" s="253"/>
      <c r="C969" s="249"/>
      <c r="D969" s="263"/>
      <c r="E969" s="251"/>
      <c r="F969" s="340" t="str">
        <f>IF($B969="","",SUM(SUMIFS('Daily Inward'!$G:$G,'Daily Inward'!$C:$C,$B969,'Daily Inward'!$E:$E,{"Inventory","Services"})))</f>
        <v/>
      </c>
      <c r="G969" s="341" t="str">
        <f>IF($B969="","",SUM(SUMIFS('Daily Issuance'!$G:$G,'Daily Issuance'!$C:$C,$B969,'Daily Issuance'!$E:$E,{"Inventory","Services"})))</f>
        <v/>
      </c>
      <c r="H969" s="42" t="str">
        <f t="shared" si="30"/>
        <v/>
      </c>
      <c r="I969" s="39"/>
      <c r="J969" s="36" t="str">
        <f t="shared" si="31"/>
        <v/>
      </c>
      <c r="K969" s="48"/>
    </row>
    <row r="970" spans="1:11" ht="23.1" customHeight="1">
      <c r="A970" s="348" t="str">
        <f>IF($B970="","",MAX($A$3:A969)+1)</f>
        <v/>
      </c>
      <c r="B970" s="253"/>
      <c r="C970" s="249"/>
      <c r="D970" s="263"/>
      <c r="E970" s="251"/>
      <c r="F970" s="340" t="str">
        <f>IF($B970="","",SUM(SUMIFS('Daily Inward'!$G:$G,'Daily Inward'!$C:$C,$B970,'Daily Inward'!$E:$E,{"Inventory","Services"})))</f>
        <v/>
      </c>
      <c r="G970" s="341" t="str">
        <f>IF($B970="","",SUM(SUMIFS('Daily Issuance'!$G:$G,'Daily Issuance'!$C:$C,$B970,'Daily Issuance'!$E:$E,{"Inventory","Services"})))</f>
        <v/>
      </c>
      <c r="H970" s="42" t="str">
        <f t="shared" si="30"/>
        <v/>
      </c>
      <c r="I970" s="39"/>
      <c r="J970" s="36" t="str">
        <f t="shared" si="31"/>
        <v/>
      </c>
      <c r="K970" s="48"/>
    </row>
    <row r="971" spans="1:11" ht="23.1" customHeight="1">
      <c r="A971" s="348" t="str">
        <f>IF($B971="","",MAX($A$3:A970)+1)</f>
        <v/>
      </c>
      <c r="B971" s="253"/>
      <c r="C971" s="249"/>
      <c r="D971" s="263"/>
      <c r="E971" s="251"/>
      <c r="F971" s="340" t="str">
        <f>IF($B971="","",SUM(SUMIFS('Daily Inward'!$G:$G,'Daily Inward'!$C:$C,$B971,'Daily Inward'!$E:$E,{"Inventory","Services"})))</f>
        <v/>
      </c>
      <c r="G971" s="341" t="str">
        <f>IF($B971="","",SUM(SUMIFS('Daily Issuance'!$G:$G,'Daily Issuance'!$C:$C,$B971,'Daily Issuance'!$E:$E,{"Inventory","Services"})))</f>
        <v/>
      </c>
      <c r="H971" s="42" t="str">
        <f t="shared" si="30"/>
        <v/>
      </c>
      <c r="I971" s="39"/>
      <c r="J971" s="36" t="str">
        <f t="shared" si="31"/>
        <v/>
      </c>
      <c r="K971" s="48"/>
    </row>
    <row r="972" spans="1:11" ht="23.1" customHeight="1">
      <c r="A972" s="348" t="str">
        <f>IF($B972="","",MAX($A$3:A971)+1)</f>
        <v/>
      </c>
      <c r="B972" s="253"/>
      <c r="C972" s="249"/>
      <c r="D972" s="263"/>
      <c r="E972" s="251"/>
      <c r="F972" s="340" t="str">
        <f>IF($B972="","",SUM(SUMIFS('Daily Inward'!$G:$G,'Daily Inward'!$C:$C,$B972,'Daily Inward'!$E:$E,{"Inventory","Services"})))</f>
        <v/>
      </c>
      <c r="G972" s="341" t="str">
        <f>IF($B972="","",SUM(SUMIFS('Daily Issuance'!$G:$G,'Daily Issuance'!$C:$C,$B972,'Daily Issuance'!$E:$E,{"Inventory","Services"})))</f>
        <v/>
      </c>
      <c r="H972" s="42" t="str">
        <f t="shared" si="30"/>
        <v/>
      </c>
      <c r="I972" s="39"/>
      <c r="J972" s="36" t="str">
        <f t="shared" si="31"/>
        <v/>
      </c>
      <c r="K972" s="48"/>
    </row>
    <row r="973" spans="1:11" ht="23.1" customHeight="1">
      <c r="A973" s="348" t="str">
        <f>IF($B973="","",MAX($A$3:A972)+1)</f>
        <v/>
      </c>
      <c r="B973" s="253"/>
      <c r="C973" s="249"/>
      <c r="D973" s="263"/>
      <c r="E973" s="251"/>
      <c r="F973" s="340" t="str">
        <f>IF($B973="","",SUM(SUMIFS('Daily Inward'!$G:$G,'Daily Inward'!$C:$C,$B973,'Daily Inward'!$E:$E,{"Inventory","Services"})))</f>
        <v/>
      </c>
      <c r="G973" s="341" t="str">
        <f>IF($B973="","",SUM(SUMIFS('Daily Issuance'!$G:$G,'Daily Issuance'!$C:$C,$B973,'Daily Issuance'!$E:$E,{"Inventory","Services"})))</f>
        <v/>
      </c>
      <c r="H973" s="42" t="str">
        <f t="shared" si="30"/>
        <v/>
      </c>
      <c r="I973" s="39"/>
      <c r="J973" s="36" t="str">
        <f t="shared" si="31"/>
        <v/>
      </c>
      <c r="K973" s="48"/>
    </row>
    <row r="974" spans="1:11" ht="23.1" customHeight="1">
      <c r="A974" s="348" t="str">
        <f>IF($B974="","",MAX($A$3:A973)+1)</f>
        <v/>
      </c>
      <c r="B974" s="253"/>
      <c r="C974" s="249"/>
      <c r="D974" s="263"/>
      <c r="E974" s="251"/>
      <c r="F974" s="340" t="str">
        <f>IF($B974="","",SUM(SUMIFS('Daily Inward'!$G:$G,'Daily Inward'!$C:$C,$B974,'Daily Inward'!$E:$E,{"Inventory","Services"})))</f>
        <v/>
      </c>
      <c r="G974" s="341" t="str">
        <f>IF($B974="","",SUM(SUMIFS('Daily Issuance'!$G:$G,'Daily Issuance'!$C:$C,$B974,'Daily Issuance'!$E:$E,{"Inventory","Services"})))</f>
        <v/>
      </c>
      <c r="H974" s="42" t="str">
        <f t="shared" si="30"/>
        <v/>
      </c>
      <c r="I974" s="39"/>
      <c r="J974" s="36" t="str">
        <f t="shared" si="31"/>
        <v/>
      </c>
      <c r="K974" s="48"/>
    </row>
    <row r="975" spans="1:11" ht="23.1" customHeight="1">
      <c r="A975" s="348" t="str">
        <f>IF($B975="","",MAX($A$3:A974)+1)</f>
        <v/>
      </c>
      <c r="B975" s="253"/>
      <c r="C975" s="249"/>
      <c r="D975" s="263"/>
      <c r="E975" s="251"/>
      <c r="F975" s="340" t="str">
        <f>IF($B975="","",SUM(SUMIFS('Daily Inward'!$G:$G,'Daily Inward'!$C:$C,$B975,'Daily Inward'!$E:$E,{"Inventory","Services"})))</f>
        <v/>
      </c>
      <c r="G975" s="341" t="str">
        <f>IF($B975="","",SUM(SUMIFS('Daily Issuance'!$G:$G,'Daily Issuance'!$C:$C,$B975,'Daily Issuance'!$E:$E,{"Inventory","Services"})))</f>
        <v/>
      </c>
      <c r="H975" s="42" t="str">
        <f t="shared" si="30"/>
        <v/>
      </c>
      <c r="I975" s="39"/>
      <c r="J975" s="36" t="str">
        <f t="shared" si="31"/>
        <v/>
      </c>
      <c r="K975" s="48"/>
    </row>
    <row r="976" spans="1:11" ht="23.1" customHeight="1">
      <c r="A976" s="348" t="str">
        <f>IF($B976="","",MAX($A$3:A975)+1)</f>
        <v/>
      </c>
      <c r="B976" s="253"/>
      <c r="C976" s="249"/>
      <c r="D976" s="263"/>
      <c r="E976" s="251"/>
      <c r="F976" s="340" t="str">
        <f>IF($B976="","",SUM(SUMIFS('Daily Inward'!$G:$G,'Daily Inward'!$C:$C,$B976,'Daily Inward'!$E:$E,{"Inventory","Services"})))</f>
        <v/>
      </c>
      <c r="G976" s="341" t="str">
        <f>IF($B976="","",SUM(SUMIFS('Daily Issuance'!$G:$G,'Daily Issuance'!$C:$C,$B976,'Daily Issuance'!$E:$E,{"Inventory","Services"})))</f>
        <v/>
      </c>
      <c r="H976" s="42" t="str">
        <f t="shared" si="30"/>
        <v/>
      </c>
      <c r="I976" s="39"/>
      <c r="J976" s="36" t="str">
        <f t="shared" si="31"/>
        <v/>
      </c>
      <c r="K976" s="48"/>
    </row>
    <row r="977" spans="1:11" ht="23.1" customHeight="1">
      <c r="A977" s="348" t="str">
        <f>IF($B977="","",MAX($A$3:A976)+1)</f>
        <v/>
      </c>
      <c r="B977" s="253"/>
      <c r="C977" s="249"/>
      <c r="D977" s="263"/>
      <c r="E977" s="251"/>
      <c r="F977" s="340" t="str">
        <f>IF($B977="","",SUM(SUMIFS('Daily Inward'!$G:$G,'Daily Inward'!$C:$C,$B977,'Daily Inward'!$E:$E,{"Inventory","Services"})))</f>
        <v/>
      </c>
      <c r="G977" s="341" t="str">
        <f>IF($B977="","",SUM(SUMIFS('Daily Issuance'!$G:$G,'Daily Issuance'!$C:$C,$B977,'Daily Issuance'!$E:$E,{"Inventory","Services"})))</f>
        <v/>
      </c>
      <c r="H977" s="42" t="str">
        <f t="shared" si="30"/>
        <v/>
      </c>
      <c r="I977" s="39"/>
      <c r="J977" s="36" t="str">
        <f t="shared" si="31"/>
        <v/>
      </c>
      <c r="K977" s="48"/>
    </row>
    <row r="978" spans="1:11" ht="23.1" customHeight="1">
      <c r="A978" s="348" t="str">
        <f>IF($B978="","",MAX($A$3:A977)+1)</f>
        <v/>
      </c>
      <c r="B978" s="253"/>
      <c r="C978" s="249"/>
      <c r="D978" s="263"/>
      <c r="E978" s="251"/>
      <c r="F978" s="340" t="str">
        <f>IF($B978="","",SUM(SUMIFS('Daily Inward'!$G:$G,'Daily Inward'!$C:$C,$B978,'Daily Inward'!$E:$E,{"Inventory","Services"})))</f>
        <v/>
      </c>
      <c r="G978" s="341" t="str">
        <f>IF($B978="","",SUM(SUMIFS('Daily Issuance'!$G:$G,'Daily Issuance'!$C:$C,$B978,'Daily Issuance'!$E:$E,{"Inventory","Services"})))</f>
        <v/>
      </c>
      <c r="H978" s="42" t="str">
        <f t="shared" si="30"/>
        <v/>
      </c>
      <c r="I978" s="39"/>
      <c r="J978" s="36" t="str">
        <f t="shared" si="31"/>
        <v/>
      </c>
      <c r="K978" s="48"/>
    </row>
    <row r="979" spans="1:11" ht="23.1" customHeight="1">
      <c r="A979" s="348" t="str">
        <f>IF($B979="","",MAX($A$3:A978)+1)</f>
        <v/>
      </c>
      <c r="B979" s="253"/>
      <c r="C979" s="249"/>
      <c r="D979" s="263"/>
      <c r="E979" s="251"/>
      <c r="F979" s="340" t="str">
        <f>IF($B979="","",SUM(SUMIFS('Daily Inward'!$G:$G,'Daily Inward'!$C:$C,$B979,'Daily Inward'!$E:$E,{"Inventory","Services"})))</f>
        <v/>
      </c>
      <c r="G979" s="341" t="str">
        <f>IF($B979="","",SUM(SUMIFS('Daily Issuance'!$G:$G,'Daily Issuance'!$C:$C,$B979,'Daily Issuance'!$E:$E,{"Inventory","Services"})))</f>
        <v/>
      </c>
      <c r="H979" s="42" t="str">
        <f t="shared" si="30"/>
        <v/>
      </c>
      <c r="I979" s="39"/>
      <c r="J979" s="36" t="str">
        <f t="shared" si="31"/>
        <v/>
      </c>
      <c r="K979" s="48"/>
    </row>
    <row r="980" spans="1:11" ht="23.1" customHeight="1">
      <c r="A980" s="348" t="str">
        <f>IF($B980="","",MAX($A$3:A979)+1)</f>
        <v/>
      </c>
      <c r="B980" s="253"/>
      <c r="C980" s="249"/>
      <c r="D980" s="263"/>
      <c r="E980" s="251"/>
      <c r="F980" s="340" t="str">
        <f>IF($B980="","",SUM(SUMIFS('Daily Inward'!$G:$G,'Daily Inward'!$C:$C,$B980,'Daily Inward'!$E:$E,{"Inventory","Services"})))</f>
        <v/>
      </c>
      <c r="G980" s="341" t="str">
        <f>IF($B980="","",SUM(SUMIFS('Daily Issuance'!$G:$G,'Daily Issuance'!$C:$C,$B980,'Daily Issuance'!$E:$E,{"Inventory","Services"})))</f>
        <v/>
      </c>
      <c r="H980" s="42" t="str">
        <f t="shared" si="30"/>
        <v/>
      </c>
      <c r="I980" s="39"/>
      <c r="J980" s="36" t="str">
        <f t="shared" si="31"/>
        <v/>
      </c>
      <c r="K980" s="48"/>
    </row>
    <row r="981" spans="1:11" ht="23.1" customHeight="1">
      <c r="A981" s="348" t="str">
        <f>IF($B981="","",MAX($A$3:A980)+1)</f>
        <v/>
      </c>
      <c r="B981" s="253"/>
      <c r="C981" s="249"/>
      <c r="D981" s="263"/>
      <c r="E981" s="251"/>
      <c r="F981" s="340" t="str">
        <f>IF($B981="","",SUM(SUMIFS('Daily Inward'!$G:$G,'Daily Inward'!$C:$C,$B981,'Daily Inward'!$E:$E,{"Inventory","Services"})))</f>
        <v/>
      </c>
      <c r="G981" s="341" t="str">
        <f>IF($B981="","",SUM(SUMIFS('Daily Issuance'!$G:$G,'Daily Issuance'!$C:$C,$B981,'Daily Issuance'!$E:$E,{"Inventory","Services"})))</f>
        <v/>
      </c>
      <c r="H981" s="42" t="str">
        <f t="shared" si="30"/>
        <v/>
      </c>
      <c r="I981" s="39"/>
      <c r="J981" s="36" t="str">
        <f t="shared" si="31"/>
        <v/>
      </c>
      <c r="K981" s="48"/>
    </row>
    <row r="982" spans="1:11" ht="23.1" customHeight="1">
      <c r="A982" s="348" t="str">
        <f>IF($B982="","",MAX($A$3:A981)+1)</f>
        <v/>
      </c>
      <c r="B982" s="253"/>
      <c r="C982" s="249"/>
      <c r="D982" s="263"/>
      <c r="E982" s="251"/>
      <c r="F982" s="340" t="str">
        <f>IF($B982="","",SUM(SUMIFS('Daily Inward'!$G:$G,'Daily Inward'!$C:$C,$B982,'Daily Inward'!$E:$E,{"Inventory","Services"})))</f>
        <v/>
      </c>
      <c r="G982" s="341" t="str">
        <f>IF($B982="","",SUM(SUMIFS('Daily Issuance'!$G:$G,'Daily Issuance'!$C:$C,$B982,'Daily Issuance'!$E:$E,{"Inventory","Services"})))</f>
        <v/>
      </c>
      <c r="H982" s="42" t="str">
        <f t="shared" si="30"/>
        <v/>
      </c>
      <c r="I982" s="39"/>
      <c r="J982" s="36" t="str">
        <f t="shared" si="31"/>
        <v/>
      </c>
      <c r="K982" s="48"/>
    </row>
    <row r="983" spans="1:11" ht="23.1" customHeight="1">
      <c r="A983" s="348" t="str">
        <f>IF($B983="","",MAX($A$3:A982)+1)</f>
        <v/>
      </c>
      <c r="B983" s="253"/>
      <c r="C983" s="249"/>
      <c r="D983" s="263"/>
      <c r="E983" s="251"/>
      <c r="F983" s="340" t="str">
        <f>IF($B983="","",SUM(SUMIFS('Daily Inward'!$G:$G,'Daily Inward'!$C:$C,$B983,'Daily Inward'!$E:$E,{"Inventory","Services"})))</f>
        <v/>
      </c>
      <c r="G983" s="341" t="str">
        <f>IF($B983="","",SUM(SUMIFS('Daily Issuance'!$G:$G,'Daily Issuance'!$C:$C,$B983,'Daily Issuance'!$E:$E,{"Inventory","Services"})))</f>
        <v/>
      </c>
      <c r="H983" s="42" t="str">
        <f t="shared" si="30"/>
        <v/>
      </c>
      <c r="I983" s="39"/>
      <c r="J983" s="36" t="str">
        <f t="shared" si="31"/>
        <v/>
      </c>
      <c r="K983" s="48"/>
    </row>
    <row r="984" spans="1:11" ht="23.1" customHeight="1">
      <c r="A984" s="348" t="str">
        <f>IF($B984="","",MAX($A$3:A983)+1)</f>
        <v/>
      </c>
      <c r="B984" s="253"/>
      <c r="C984" s="249"/>
      <c r="D984" s="263"/>
      <c r="E984" s="251"/>
      <c r="F984" s="340" t="str">
        <f>IF($B984="","",SUM(SUMIFS('Daily Inward'!$G:$G,'Daily Inward'!$C:$C,$B984,'Daily Inward'!$E:$E,{"Inventory","Services"})))</f>
        <v/>
      </c>
      <c r="G984" s="341" t="str">
        <f>IF($B984="","",SUM(SUMIFS('Daily Issuance'!$G:$G,'Daily Issuance'!$C:$C,$B984,'Daily Issuance'!$E:$E,{"Inventory","Services"})))</f>
        <v/>
      </c>
      <c r="H984" s="42" t="str">
        <f t="shared" si="30"/>
        <v/>
      </c>
      <c r="I984" s="39"/>
      <c r="J984" s="36" t="str">
        <f t="shared" si="31"/>
        <v/>
      </c>
      <c r="K984" s="48"/>
    </row>
    <row r="985" spans="1:11" ht="23.1" customHeight="1">
      <c r="A985" s="348" t="str">
        <f>IF($B985="","",MAX($A$3:A984)+1)</f>
        <v/>
      </c>
      <c r="B985" s="253"/>
      <c r="C985" s="249"/>
      <c r="D985" s="263"/>
      <c r="E985" s="251"/>
      <c r="F985" s="340" t="str">
        <f>IF($B985="","",SUM(SUMIFS('Daily Inward'!$G:$G,'Daily Inward'!$C:$C,$B985,'Daily Inward'!$E:$E,{"Inventory","Services"})))</f>
        <v/>
      </c>
      <c r="G985" s="341" t="str">
        <f>IF($B985="","",SUM(SUMIFS('Daily Issuance'!$G:$G,'Daily Issuance'!$C:$C,$B985,'Daily Issuance'!$E:$E,{"Inventory","Services"})))</f>
        <v/>
      </c>
      <c r="H985" s="42" t="str">
        <f t="shared" si="30"/>
        <v/>
      </c>
      <c r="I985" s="39"/>
      <c r="J985" s="36" t="str">
        <f t="shared" si="31"/>
        <v/>
      </c>
      <c r="K985" s="48"/>
    </row>
    <row r="986" spans="1:11" ht="23.1" customHeight="1">
      <c r="A986" s="348" t="str">
        <f>IF($B986="","",MAX($A$3:A985)+1)</f>
        <v/>
      </c>
      <c r="B986" s="253"/>
      <c r="C986" s="249"/>
      <c r="D986" s="263"/>
      <c r="E986" s="251"/>
      <c r="F986" s="340" t="str">
        <f>IF($B986="","",SUM(SUMIFS('Daily Inward'!$G:$G,'Daily Inward'!$C:$C,$B986,'Daily Inward'!$E:$E,{"Inventory","Services"})))</f>
        <v/>
      </c>
      <c r="G986" s="341" t="str">
        <f>IF($B986="","",SUM(SUMIFS('Daily Issuance'!$G:$G,'Daily Issuance'!$C:$C,$B986,'Daily Issuance'!$E:$E,{"Inventory","Services"})))</f>
        <v/>
      </c>
      <c r="H986" s="42" t="str">
        <f t="shared" si="30"/>
        <v/>
      </c>
      <c r="I986" s="39"/>
      <c r="J986" s="36" t="str">
        <f t="shared" si="31"/>
        <v/>
      </c>
      <c r="K986" s="48"/>
    </row>
    <row r="987" spans="1:11" ht="23.1" customHeight="1">
      <c r="A987" s="348" t="str">
        <f>IF($B987="","",MAX($A$3:A986)+1)</f>
        <v/>
      </c>
      <c r="B987" s="253"/>
      <c r="C987" s="249"/>
      <c r="D987" s="263"/>
      <c r="E987" s="251"/>
      <c r="F987" s="340" t="str">
        <f>IF($B987="","",SUM(SUMIFS('Daily Inward'!$G:$G,'Daily Inward'!$C:$C,$B987,'Daily Inward'!$E:$E,{"Inventory","Services"})))</f>
        <v/>
      </c>
      <c r="G987" s="341" t="str">
        <f>IF($B987="","",SUM(SUMIFS('Daily Issuance'!$G:$G,'Daily Issuance'!$C:$C,$B987,'Daily Issuance'!$E:$E,{"Inventory","Services"})))</f>
        <v/>
      </c>
      <c r="H987" s="42" t="str">
        <f t="shared" si="30"/>
        <v/>
      </c>
      <c r="I987" s="39"/>
      <c r="J987" s="36" t="str">
        <f t="shared" si="31"/>
        <v/>
      </c>
      <c r="K987" s="48"/>
    </row>
    <row r="988" spans="1:11" ht="23.1" customHeight="1">
      <c r="A988" s="348" t="str">
        <f>IF($B988="","",MAX($A$3:A987)+1)</f>
        <v/>
      </c>
      <c r="B988" s="253"/>
      <c r="C988" s="249"/>
      <c r="D988" s="263"/>
      <c r="E988" s="251"/>
      <c r="F988" s="340" t="str">
        <f>IF($B988="","",SUM(SUMIFS('Daily Inward'!$G:$G,'Daily Inward'!$C:$C,$B988,'Daily Inward'!$E:$E,{"Inventory","Services"})))</f>
        <v/>
      </c>
      <c r="G988" s="341" t="str">
        <f>IF($B988="","",SUM(SUMIFS('Daily Issuance'!$G:$G,'Daily Issuance'!$C:$C,$B988,'Daily Issuance'!$E:$E,{"Inventory","Services"})))</f>
        <v/>
      </c>
      <c r="H988" s="42" t="str">
        <f t="shared" si="30"/>
        <v/>
      </c>
      <c r="I988" s="39"/>
      <c r="J988" s="36" t="str">
        <f t="shared" si="31"/>
        <v/>
      </c>
      <c r="K988" s="48"/>
    </row>
    <row r="989" spans="1:11" ht="23.1" customHeight="1">
      <c r="A989" s="348" t="str">
        <f>IF($B989="","",MAX($A$3:A988)+1)</f>
        <v/>
      </c>
      <c r="B989" s="253"/>
      <c r="C989" s="249"/>
      <c r="D989" s="263"/>
      <c r="E989" s="251"/>
      <c r="F989" s="340" t="str">
        <f>IF($B989="","",SUM(SUMIFS('Daily Inward'!$G:$G,'Daily Inward'!$C:$C,$B989,'Daily Inward'!$E:$E,{"Inventory","Services"})))</f>
        <v/>
      </c>
      <c r="G989" s="341" t="str">
        <f>IF($B989="","",SUM(SUMIFS('Daily Issuance'!$G:$G,'Daily Issuance'!$C:$C,$B989,'Daily Issuance'!$E:$E,{"Inventory","Services"})))</f>
        <v/>
      </c>
      <c r="H989" s="42" t="str">
        <f t="shared" si="30"/>
        <v/>
      </c>
      <c r="I989" s="39"/>
      <c r="J989" s="36" t="str">
        <f t="shared" si="31"/>
        <v/>
      </c>
      <c r="K989" s="48"/>
    </row>
    <row r="990" spans="1:11" ht="23.1" customHeight="1">
      <c r="A990" s="348" t="str">
        <f>IF($B990="","",MAX($A$3:A989)+1)</f>
        <v/>
      </c>
      <c r="B990" s="253"/>
      <c r="C990" s="249"/>
      <c r="D990" s="263"/>
      <c r="E990" s="251"/>
      <c r="F990" s="340" t="str">
        <f>IF($B990="","",SUM(SUMIFS('Daily Inward'!$G:$G,'Daily Inward'!$C:$C,$B990,'Daily Inward'!$E:$E,{"Inventory","Services"})))</f>
        <v/>
      </c>
      <c r="G990" s="341" t="str">
        <f>IF($B990="","",SUM(SUMIFS('Daily Issuance'!$G:$G,'Daily Issuance'!$C:$C,$B990,'Daily Issuance'!$E:$E,{"Inventory","Services"})))</f>
        <v/>
      </c>
      <c r="H990" s="42" t="str">
        <f t="shared" si="30"/>
        <v/>
      </c>
      <c r="I990" s="39"/>
      <c r="J990" s="36" t="str">
        <f t="shared" si="31"/>
        <v/>
      </c>
      <c r="K990" s="48"/>
    </row>
    <row r="991" spans="1:11" ht="23.1" customHeight="1">
      <c r="A991" s="348" t="str">
        <f>IF($B991="","",MAX($A$3:A990)+1)</f>
        <v/>
      </c>
      <c r="B991" s="253"/>
      <c r="C991" s="249"/>
      <c r="D991" s="263"/>
      <c r="E991" s="251"/>
      <c r="F991" s="340" t="str">
        <f>IF($B991="","",SUM(SUMIFS('Daily Inward'!$G:$G,'Daily Inward'!$C:$C,$B991,'Daily Inward'!$E:$E,{"Inventory","Services"})))</f>
        <v/>
      </c>
      <c r="G991" s="341" t="str">
        <f>IF($B991="","",SUM(SUMIFS('Daily Issuance'!$G:$G,'Daily Issuance'!$C:$C,$B991,'Daily Issuance'!$E:$E,{"Inventory","Services"})))</f>
        <v/>
      </c>
      <c r="H991" s="42" t="str">
        <f t="shared" si="30"/>
        <v/>
      </c>
      <c r="I991" s="39"/>
      <c r="J991" s="36" t="str">
        <f t="shared" si="31"/>
        <v/>
      </c>
      <c r="K991" s="48"/>
    </row>
    <row r="992" spans="1:11" ht="23.1" customHeight="1">
      <c r="A992" s="348" t="str">
        <f>IF($B992="","",MAX($A$3:A991)+1)</f>
        <v/>
      </c>
      <c r="B992" s="253"/>
      <c r="C992" s="249"/>
      <c r="D992" s="263"/>
      <c r="E992" s="251"/>
      <c r="F992" s="340" t="str">
        <f>IF($B992="","",SUM(SUMIFS('Daily Inward'!$G:$G,'Daily Inward'!$C:$C,$B992,'Daily Inward'!$E:$E,{"Inventory","Services"})))</f>
        <v/>
      </c>
      <c r="G992" s="341" t="str">
        <f>IF($B992="","",SUM(SUMIFS('Daily Issuance'!$G:$G,'Daily Issuance'!$C:$C,$B992,'Daily Issuance'!$E:$E,{"Inventory","Services"})))</f>
        <v/>
      </c>
      <c r="H992" s="42" t="str">
        <f t="shared" si="30"/>
        <v/>
      </c>
      <c r="I992" s="39"/>
      <c r="J992" s="36" t="str">
        <f t="shared" si="31"/>
        <v/>
      </c>
      <c r="K992" s="48"/>
    </row>
    <row r="993" spans="1:11" ht="23.1" customHeight="1">
      <c r="A993" s="348" t="str">
        <f>IF($B993="","",MAX($A$3:A992)+1)</f>
        <v/>
      </c>
      <c r="B993" s="253"/>
      <c r="C993" s="249"/>
      <c r="D993" s="263"/>
      <c r="E993" s="251"/>
      <c r="F993" s="340" t="str">
        <f>IF($B993="","",SUM(SUMIFS('Daily Inward'!$G:$G,'Daily Inward'!$C:$C,$B993,'Daily Inward'!$E:$E,{"Inventory","Services"})))</f>
        <v/>
      </c>
      <c r="G993" s="341" t="str">
        <f>IF($B993="","",SUM(SUMIFS('Daily Issuance'!$G:$G,'Daily Issuance'!$C:$C,$B993,'Daily Issuance'!$E:$E,{"Inventory","Services"})))</f>
        <v/>
      </c>
      <c r="H993" s="42" t="str">
        <f t="shared" si="30"/>
        <v/>
      </c>
      <c r="I993" s="39"/>
      <c r="J993" s="36" t="str">
        <f t="shared" si="31"/>
        <v/>
      </c>
      <c r="K993" s="48"/>
    </row>
    <row r="994" spans="1:11" ht="23.1" customHeight="1">
      <c r="A994" s="348" t="str">
        <f>IF($B994="","",MAX($A$3:A993)+1)</f>
        <v/>
      </c>
      <c r="B994" s="253"/>
      <c r="C994" s="249"/>
      <c r="D994" s="263"/>
      <c r="E994" s="251"/>
      <c r="F994" s="340" t="str">
        <f>IF($B994="","",SUM(SUMIFS('Daily Inward'!$G:$G,'Daily Inward'!$C:$C,$B994,'Daily Inward'!$E:$E,{"Inventory","Services"})))</f>
        <v/>
      </c>
      <c r="G994" s="341" t="str">
        <f>IF($B994="","",SUM(SUMIFS('Daily Issuance'!$G:$G,'Daily Issuance'!$C:$C,$B994,'Daily Issuance'!$E:$E,{"Inventory","Services"})))</f>
        <v/>
      </c>
      <c r="H994" s="42" t="str">
        <f t="shared" si="30"/>
        <v/>
      </c>
      <c r="I994" s="39"/>
      <c r="J994" s="36" t="str">
        <f t="shared" si="31"/>
        <v/>
      </c>
      <c r="K994" s="48"/>
    </row>
    <row r="995" spans="1:11" ht="23.1" customHeight="1">
      <c r="A995" s="348" t="str">
        <f>IF($B995="","",MAX($A$3:A994)+1)</f>
        <v/>
      </c>
      <c r="B995" s="253"/>
      <c r="C995" s="249"/>
      <c r="D995" s="263"/>
      <c r="E995" s="251"/>
      <c r="F995" s="340" t="str">
        <f>IF($B995="","",SUM(SUMIFS('Daily Inward'!$G:$G,'Daily Inward'!$C:$C,$B995,'Daily Inward'!$E:$E,{"Inventory","Services"})))</f>
        <v/>
      </c>
      <c r="G995" s="341" t="str">
        <f>IF($B995="","",SUM(SUMIFS('Daily Issuance'!$G:$G,'Daily Issuance'!$C:$C,$B995,'Daily Issuance'!$E:$E,{"Inventory","Services"})))</f>
        <v/>
      </c>
      <c r="H995" s="42" t="str">
        <f t="shared" si="30"/>
        <v/>
      </c>
      <c r="I995" s="39"/>
      <c r="J995" s="36" t="str">
        <f t="shared" si="31"/>
        <v/>
      </c>
      <c r="K995" s="48"/>
    </row>
    <row r="996" spans="1:11" ht="23.1" customHeight="1">
      <c r="A996" s="348" t="str">
        <f>IF($B996="","",MAX($A$3:A995)+1)</f>
        <v/>
      </c>
      <c r="B996" s="253"/>
      <c r="C996" s="249"/>
      <c r="D996" s="263"/>
      <c r="E996" s="251"/>
      <c r="F996" s="340" t="str">
        <f>IF($B996="","",SUM(SUMIFS('Daily Inward'!$G:$G,'Daily Inward'!$C:$C,$B996,'Daily Inward'!$E:$E,{"Inventory","Services"})))</f>
        <v/>
      </c>
      <c r="G996" s="341" t="str">
        <f>IF($B996="","",SUM(SUMIFS('Daily Issuance'!$G:$G,'Daily Issuance'!$C:$C,$B996,'Daily Issuance'!$E:$E,{"Inventory","Services"})))</f>
        <v/>
      </c>
      <c r="H996" s="42" t="str">
        <f t="shared" si="30"/>
        <v/>
      </c>
      <c r="I996" s="39"/>
      <c r="J996" s="36" t="str">
        <f t="shared" si="31"/>
        <v/>
      </c>
      <c r="K996" s="48"/>
    </row>
    <row r="997" spans="1:11" ht="23.1" customHeight="1">
      <c r="A997" s="348" t="str">
        <f>IF($B997="","",MAX($A$3:A996)+1)</f>
        <v/>
      </c>
      <c r="B997" s="253"/>
      <c r="C997" s="249"/>
      <c r="D997" s="263"/>
      <c r="E997" s="251"/>
      <c r="F997" s="340" t="str">
        <f>IF($B997="","",SUM(SUMIFS('Daily Inward'!$G:$G,'Daily Inward'!$C:$C,$B997,'Daily Inward'!$E:$E,{"Inventory","Services"})))</f>
        <v/>
      </c>
      <c r="G997" s="341" t="str">
        <f>IF($B997="","",SUM(SUMIFS('Daily Issuance'!$G:$G,'Daily Issuance'!$C:$C,$B997,'Daily Issuance'!$E:$E,{"Inventory","Services"})))</f>
        <v/>
      </c>
      <c r="H997" s="42" t="str">
        <f t="shared" si="30"/>
        <v/>
      </c>
      <c r="I997" s="39"/>
      <c r="J997" s="36" t="str">
        <f t="shared" si="31"/>
        <v/>
      </c>
      <c r="K997" s="48"/>
    </row>
    <row r="998" spans="1:11" ht="23.1" customHeight="1">
      <c r="A998" s="348" t="str">
        <f>IF($B998="","",MAX($A$3:A997)+1)</f>
        <v/>
      </c>
      <c r="B998" s="253"/>
      <c r="C998" s="249"/>
      <c r="D998" s="263"/>
      <c r="E998" s="251"/>
      <c r="F998" s="340" t="str">
        <f>IF($B998="","",SUM(SUMIFS('Daily Inward'!$G:$G,'Daily Inward'!$C:$C,$B998,'Daily Inward'!$E:$E,{"Inventory","Services"})))</f>
        <v/>
      </c>
      <c r="G998" s="341" t="str">
        <f>IF($B998="","",SUM(SUMIFS('Daily Issuance'!$G:$G,'Daily Issuance'!$C:$C,$B998,'Daily Issuance'!$E:$E,{"Inventory","Services"})))</f>
        <v/>
      </c>
      <c r="H998" s="42" t="str">
        <f t="shared" si="30"/>
        <v/>
      </c>
      <c r="I998" s="39"/>
      <c r="J998" s="36" t="str">
        <f t="shared" si="31"/>
        <v/>
      </c>
      <c r="K998" s="48"/>
    </row>
    <row r="999" spans="1:11" ht="23.1" customHeight="1">
      <c r="A999" s="348" t="str">
        <f>IF($B999="","",MAX($A$3:A998)+1)</f>
        <v/>
      </c>
      <c r="B999" s="253"/>
      <c r="C999" s="249"/>
      <c r="D999" s="263"/>
      <c r="E999" s="251"/>
      <c r="F999" s="340" t="str">
        <f>IF($B999="","",SUM(SUMIFS('Daily Inward'!$G:$G,'Daily Inward'!$C:$C,$B999,'Daily Inward'!$E:$E,{"Inventory","Services"})))</f>
        <v/>
      </c>
      <c r="G999" s="341" t="str">
        <f>IF($B999="","",SUM(SUMIFS('Daily Issuance'!$G:$G,'Daily Issuance'!$C:$C,$B999,'Daily Issuance'!$E:$E,{"Inventory","Services"})))</f>
        <v/>
      </c>
      <c r="H999" s="42" t="str">
        <f t="shared" si="30"/>
        <v/>
      </c>
      <c r="I999" s="39"/>
      <c r="J999" s="36" t="str">
        <f t="shared" si="31"/>
        <v/>
      </c>
      <c r="K999" s="48"/>
    </row>
    <row r="1000" spans="1:11" ht="23.1" customHeight="1">
      <c r="A1000" s="348" t="str">
        <f>IF($B1000="","",MAX($A$3:A999)+1)</f>
        <v/>
      </c>
      <c r="B1000" s="253"/>
      <c r="C1000" s="249"/>
      <c r="D1000" s="263"/>
      <c r="E1000" s="251"/>
      <c r="F1000" s="340" t="str">
        <f>IF($B1000="","",SUM(SUMIFS('Daily Inward'!$G:$G,'Daily Inward'!$C:$C,$B1000,'Daily Inward'!$E:$E,{"Inventory","Services"})))</f>
        <v/>
      </c>
      <c r="G1000" s="341" t="str">
        <f>IF($B1000="","",SUM(SUMIFS('Daily Issuance'!$G:$G,'Daily Issuance'!$C:$C,$B1000,'Daily Issuance'!$E:$E,{"Inventory","Services"})))</f>
        <v/>
      </c>
      <c r="H1000" s="42" t="str">
        <f t="shared" si="30"/>
        <v/>
      </c>
      <c r="I1000" s="39"/>
      <c r="J1000" s="36" t="str">
        <f t="shared" si="31"/>
        <v/>
      </c>
      <c r="K1000" s="48"/>
    </row>
    <row r="1001" spans="1:11" ht="23.1" customHeight="1">
      <c r="A1001" s="348" t="str">
        <f>IF($B1001="","",MAX($A$3:A1000)+1)</f>
        <v/>
      </c>
      <c r="B1001" s="253"/>
      <c r="C1001" s="249"/>
      <c r="D1001" s="263"/>
      <c r="E1001" s="251"/>
      <c r="F1001" s="340" t="str">
        <f>IF($B1001="","",SUM(SUMIFS('Daily Inward'!$G:$G,'Daily Inward'!$C:$C,$B1001,'Daily Inward'!$E:$E,{"Inventory","Services"})))</f>
        <v/>
      </c>
      <c r="G1001" s="341" t="str">
        <f>IF($B1001="","",SUM(SUMIFS('Daily Issuance'!$G:$G,'Daily Issuance'!$C:$C,$B1001,'Daily Issuance'!$E:$E,{"Inventory","Services"})))</f>
        <v/>
      </c>
      <c r="H1001" s="42" t="str">
        <f t="shared" si="30"/>
        <v/>
      </c>
      <c r="I1001" s="39"/>
      <c r="J1001" s="36" t="str">
        <f t="shared" si="31"/>
        <v/>
      </c>
      <c r="K1001" s="48"/>
    </row>
    <row r="1002" spans="1:11" ht="23.1" customHeight="1">
      <c r="A1002" s="348" t="str">
        <f>IF($B1002="","",MAX($A$3:A1001)+1)</f>
        <v/>
      </c>
      <c r="B1002" s="253"/>
      <c r="C1002" s="249"/>
      <c r="D1002" s="263"/>
      <c r="E1002" s="251"/>
      <c r="F1002" s="340" t="str">
        <f>IF($B1002="","",SUM(SUMIFS('Daily Inward'!$G:$G,'Daily Inward'!$C:$C,$B1002,'Daily Inward'!$E:$E,{"Inventory","Services"})))</f>
        <v/>
      </c>
      <c r="G1002" s="341" t="str">
        <f>IF($B1002="","",SUM(SUMIFS('Daily Issuance'!$G:$G,'Daily Issuance'!$C:$C,$B1002,'Daily Issuance'!$E:$E,{"Inventory","Services"})))</f>
        <v/>
      </c>
      <c r="H1002" s="42" t="str">
        <f t="shared" si="30"/>
        <v/>
      </c>
      <c r="I1002" s="39"/>
      <c r="J1002" s="36" t="str">
        <f t="shared" si="31"/>
        <v/>
      </c>
      <c r="K1002" s="48"/>
    </row>
    <row r="1003" spans="1:11" ht="23.1" customHeight="1">
      <c r="A1003" s="348" t="str">
        <f>IF($B1003="","",MAX($A$3:A1002)+1)</f>
        <v/>
      </c>
      <c r="B1003" s="253"/>
      <c r="C1003" s="249"/>
      <c r="D1003" s="263"/>
      <c r="E1003" s="251"/>
      <c r="F1003" s="340" t="str">
        <f>IF($B1003="","",SUM(SUMIFS('Daily Inward'!$G:$G,'Daily Inward'!$C:$C,$B1003,'Daily Inward'!$E:$E,{"Inventory","Services"})))</f>
        <v/>
      </c>
      <c r="G1003" s="341" t="str">
        <f>IF($B1003="","",SUM(SUMIFS('Daily Issuance'!$G:$G,'Daily Issuance'!$C:$C,$B1003,'Daily Issuance'!$E:$E,{"Inventory","Services"})))</f>
        <v/>
      </c>
      <c r="H1003" s="42" t="str">
        <f t="shared" si="30"/>
        <v/>
      </c>
      <c r="I1003" s="39"/>
      <c r="J1003" s="36" t="str">
        <f t="shared" si="31"/>
        <v/>
      </c>
      <c r="K1003" s="48"/>
    </row>
  </sheetData>
  <mergeCells count="2">
    <mergeCell ref="A1:K1"/>
    <mergeCell ref="A2:K2"/>
  </mergeCells>
  <conditionalFormatting sqref="H4:H1003">
    <cfRule type="expression" dxfId="82" priority="1">
      <formula>AND($H4&lt;&gt;"",OR($H4=0,$H4=1))</formula>
    </cfRule>
  </conditionalFormatting>
  <conditionalFormatting sqref="H4:H1003">
    <cfRule type="expression" dxfId="81" priority="2">
      <formula>AND($H4&lt;&gt;"",$H4&lt;&gt;0,$H4&lt;&gt;1)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5B9BD5"/>
  </sheetPr>
  <dimension ref="A1:J1003"/>
  <sheetViews>
    <sheetView showGridLines="0" topLeftCell="D1" zoomScaleNormal="100" workbookViewId="0">
      <pane ySplit="3" topLeftCell="A55" activePane="bottomLeft" state="frozen"/>
      <selection pane="bottomLeft" activeCell="K62" sqref="K62"/>
    </sheetView>
  </sheetViews>
  <sheetFormatPr defaultRowHeight="15"/>
  <cols>
    <col min="1" max="1" width="9.5703125" style="10" customWidth="1"/>
    <col min="2" max="2" width="16.85546875" style="10" bestFit="1" customWidth="1"/>
    <col min="3" max="3" width="49.5703125" style="28" customWidth="1"/>
    <col min="4" max="4" width="11" style="12" customWidth="1"/>
    <col min="5" max="5" width="15.5703125" style="18" customWidth="1"/>
    <col min="6" max="7" width="16.42578125" style="12" customWidth="1"/>
    <col min="8" max="8" width="16.42578125" style="10" customWidth="1"/>
    <col min="9" max="9" width="17.85546875" style="12" customWidth="1"/>
    <col min="10" max="10" width="19.140625" style="12" customWidth="1"/>
  </cols>
  <sheetData>
    <row r="1" spans="1:10" ht="27.95" customHeight="1" thickTop="1" thickBot="1">
      <c r="A1" s="477" t="s">
        <v>1328</v>
      </c>
      <c r="B1" s="478"/>
      <c r="C1" s="478"/>
      <c r="D1" s="478"/>
      <c r="E1" s="478"/>
      <c r="F1" s="478"/>
      <c r="G1" s="478"/>
      <c r="H1" s="478"/>
      <c r="I1" s="478"/>
      <c r="J1" s="479"/>
    </row>
    <row r="2" spans="1:10" ht="24" customHeight="1" thickTop="1" thickBot="1">
      <c r="A2" s="471" t="s">
        <v>1</v>
      </c>
      <c r="B2" s="472"/>
      <c r="C2" s="472"/>
      <c r="D2" s="472"/>
      <c r="E2" s="472"/>
      <c r="F2" s="472"/>
      <c r="G2" s="472"/>
      <c r="H2" s="472"/>
      <c r="I2" s="472"/>
      <c r="J2" s="473"/>
    </row>
    <row r="3" spans="1:10" ht="24" customHeight="1" thickTop="1" thickBot="1">
      <c r="A3" s="173" t="s">
        <v>90</v>
      </c>
      <c r="B3" s="182" t="s">
        <v>1329</v>
      </c>
      <c r="C3" s="182" t="s">
        <v>1330</v>
      </c>
      <c r="D3" s="182" t="s">
        <v>93</v>
      </c>
      <c r="E3" s="189" t="s">
        <v>94</v>
      </c>
      <c r="F3" s="184" t="s">
        <v>95</v>
      </c>
      <c r="G3" s="174" t="s">
        <v>96</v>
      </c>
      <c r="H3" s="174" t="s">
        <v>97</v>
      </c>
      <c r="I3" s="174" t="s">
        <v>98</v>
      </c>
      <c r="J3" s="175" t="s">
        <v>99</v>
      </c>
    </row>
    <row r="4" spans="1:10" s="27" customFormat="1" ht="23.1" customHeight="1" thickTop="1">
      <c r="A4" s="193">
        <f>IF($C4="","",MAX($A$3:A3)+1)</f>
        <v>1</v>
      </c>
      <c r="B4" s="202" t="str">
        <f>IF($C4="","","PTC"&amp;TEXT(ROW()-4,"000"))</f>
        <v>PTC000</v>
      </c>
      <c r="C4" s="203" t="s">
        <v>1453</v>
      </c>
      <c r="D4" s="204" t="s">
        <v>102</v>
      </c>
      <c r="E4" s="205"/>
      <c r="F4" s="195">
        <f>IF($B4="","",SUMIFS('Daily Inward'!$G:$G,'Daily Inward'!$C:$C,$B4,'Daily Inward'!$E:$E,"Patty Cash"))</f>
        <v>0</v>
      </c>
      <c r="G4" s="29">
        <f>IF($B4="","",SUMIFS('Daily Issuance'!$G:$G,'Daily Issuance'!$C:$C,$B4,'Daily Issuance'!$E:$E,"Patty Cash"))</f>
        <v>0</v>
      </c>
      <c r="H4" s="29">
        <f>IF($B4="","",F4-G4)</f>
        <v>0</v>
      </c>
      <c r="I4" s="31">
        <v>170</v>
      </c>
      <c r="J4" s="32">
        <f>IF(OR(H4="",I4=""),"",H4*I4)</f>
        <v>0</v>
      </c>
    </row>
    <row r="5" spans="1:10" s="27" customFormat="1" ht="23.1" customHeight="1">
      <c r="A5" s="194">
        <f>IF($C5="","",MAX($A$3:A4)+1)</f>
        <v>2</v>
      </c>
      <c r="B5" s="197" t="str">
        <f t="shared" ref="B5:B68" si="0">IF($C5="","","PTC"&amp;TEXT(ROW()-4,"000"))</f>
        <v>PTC001</v>
      </c>
      <c r="C5" s="203" t="s">
        <v>1453</v>
      </c>
      <c r="D5" s="199" t="s">
        <v>102</v>
      </c>
      <c r="E5" s="200"/>
      <c r="F5" s="196">
        <f>IF($B5="","",SUMIFS('Daily Inward'!$G:$G,'Daily Inward'!$C:$C,$B5,'Daily Inward'!$E:$E,"Patty Cash"))</f>
        <v>8</v>
      </c>
      <c r="G5" s="30">
        <f>IF($B5="","",SUMIFS('Daily Issuance'!$G:$G,'Daily Issuance'!$C:$C,$B5,'Daily Issuance'!$E:$E,"Patty Cash"))</f>
        <v>6</v>
      </c>
      <c r="H5" s="30">
        <f t="shared" ref="H5:H68" si="1">IF($B5="","",F5-G5)</f>
        <v>2</v>
      </c>
      <c r="I5" s="33">
        <v>170</v>
      </c>
      <c r="J5" s="34">
        <f t="shared" ref="J5:J68" si="2">IF(OR(H5="",I5=""),"",H5*I5)</f>
        <v>340</v>
      </c>
    </row>
    <row r="6" spans="1:10" s="27" customFormat="1" ht="23.1" customHeight="1">
      <c r="A6" s="194">
        <f>IF($C6="","",MAX($A$3:A5)+1)</f>
        <v>3</v>
      </c>
      <c r="B6" s="197" t="str">
        <f t="shared" si="0"/>
        <v>PTC002</v>
      </c>
      <c r="C6" s="198" t="s">
        <v>1454</v>
      </c>
      <c r="D6" s="199" t="s">
        <v>102</v>
      </c>
      <c r="E6" s="200"/>
      <c r="F6" s="196">
        <f>IF($B6="","",SUMIFS('Daily Inward'!$G:$G,'Daily Inward'!$C:$C,$B6,'Daily Inward'!$E:$E,"Patty Cash"))</f>
        <v>0.72</v>
      </c>
      <c r="G6" s="30">
        <f>IF($B6="","",SUMIFS('Daily Issuance'!$G:$G,'Daily Issuance'!$C:$C,$B6,'Daily Issuance'!$E:$E,"Patty Cash"))</f>
        <v>0.72</v>
      </c>
      <c r="H6" s="30">
        <f t="shared" si="1"/>
        <v>0</v>
      </c>
      <c r="I6" s="33">
        <v>400</v>
      </c>
      <c r="J6" s="34">
        <f t="shared" si="2"/>
        <v>0</v>
      </c>
    </row>
    <row r="7" spans="1:10" s="27" customFormat="1" ht="23.1" customHeight="1">
      <c r="A7" s="194">
        <f>IF($C7="","",MAX($A$3:A6)+1)</f>
        <v>4</v>
      </c>
      <c r="B7" s="197" t="str">
        <f t="shared" si="0"/>
        <v>PTC003</v>
      </c>
      <c r="C7" s="198" t="s">
        <v>1452</v>
      </c>
      <c r="D7" s="199" t="s">
        <v>672</v>
      </c>
      <c r="E7" s="200"/>
      <c r="F7" s="196">
        <f>IF($B7="","",SUMIFS('Daily Inward'!$G:$G,'Daily Inward'!$C:$C,$B7,'Daily Inward'!$E:$E,"Patty Cash"))</f>
        <v>0.72114999999999996</v>
      </c>
      <c r="G7" s="30">
        <f>IF($B7="","",SUMIFS('Daily Issuance'!$G:$G,'Daily Issuance'!$C:$C,$B7,'Daily Issuance'!$E:$E,"Patty Cash"))</f>
        <v>0.72114999999999996</v>
      </c>
      <c r="H7" s="30">
        <f t="shared" si="1"/>
        <v>0</v>
      </c>
      <c r="I7" s="33">
        <v>418</v>
      </c>
      <c r="J7" s="34">
        <f t="shared" si="2"/>
        <v>0</v>
      </c>
    </row>
    <row r="8" spans="1:10" s="27" customFormat="1" ht="23.1" customHeight="1">
      <c r="A8" s="194">
        <f>IF($C8="","",MAX($A$3:A7)+1)</f>
        <v>5</v>
      </c>
      <c r="B8" s="197" t="str">
        <f t="shared" si="0"/>
        <v>PTC004</v>
      </c>
      <c r="C8" s="198" t="s">
        <v>1455</v>
      </c>
      <c r="D8" s="199" t="s">
        <v>102</v>
      </c>
      <c r="E8" s="200"/>
      <c r="F8" s="196">
        <f>IF($B8="","",SUMIFS('Daily Inward'!$G:$G,'Daily Inward'!$C:$C,$B8,'Daily Inward'!$E:$E,"Patty Cash"))</f>
        <v>0.72</v>
      </c>
      <c r="G8" s="30">
        <f>IF($B8="","",SUMIFS('Daily Issuance'!$G:$G,'Daily Issuance'!$C:$C,$B8,'Daily Issuance'!$E:$E,"Patty Cash"))</f>
        <v>0.72</v>
      </c>
      <c r="H8" s="30">
        <f t="shared" si="1"/>
        <v>0</v>
      </c>
      <c r="I8" s="33">
        <v>80</v>
      </c>
      <c r="J8" s="34">
        <f t="shared" si="2"/>
        <v>0</v>
      </c>
    </row>
    <row r="9" spans="1:10" s="27" customFormat="1" ht="23.1" customHeight="1">
      <c r="A9" s="194">
        <f>IF($C9="","",MAX($A$3:A8)+1)</f>
        <v>6</v>
      </c>
      <c r="B9" s="197" t="str">
        <f t="shared" si="0"/>
        <v>PTC005</v>
      </c>
      <c r="C9" s="198" t="s">
        <v>1456</v>
      </c>
      <c r="D9" s="199" t="s">
        <v>102</v>
      </c>
      <c r="E9" s="200"/>
      <c r="F9" s="196">
        <f>IF($B9="","",SUMIFS('Daily Inward'!$G:$G,'Daily Inward'!$C:$C,$B9,'Daily Inward'!$E:$E,"Patty Cash"))</f>
        <v>5</v>
      </c>
      <c r="G9" s="30">
        <f>IF($B9="","",SUMIFS('Daily Issuance'!$G:$G,'Daily Issuance'!$C:$C,$B9,'Daily Issuance'!$E:$E,"Patty Cash"))</f>
        <v>5</v>
      </c>
      <c r="H9" s="30">
        <f t="shared" si="1"/>
        <v>0</v>
      </c>
      <c r="I9" s="33">
        <v>120</v>
      </c>
      <c r="J9" s="34">
        <f t="shared" si="2"/>
        <v>0</v>
      </c>
    </row>
    <row r="10" spans="1:10" s="27" customFormat="1" ht="23.1" customHeight="1">
      <c r="A10" s="194">
        <f>IF($C10="","",MAX($A$3:A9)+1)</f>
        <v>7</v>
      </c>
      <c r="B10" s="197" t="str">
        <f t="shared" si="0"/>
        <v>PTC006</v>
      </c>
      <c r="C10" s="198" t="s">
        <v>1457</v>
      </c>
      <c r="D10" s="199" t="s">
        <v>102</v>
      </c>
      <c r="E10" s="200"/>
      <c r="F10" s="196">
        <f>IF($B10="","",SUMIFS('Daily Inward'!$G:$G,'Daily Inward'!$C:$C,$B10,'Daily Inward'!$E:$E,"Patty Cash"))</f>
        <v>3</v>
      </c>
      <c r="G10" s="30">
        <f>IF($B10="","",SUMIFS('Daily Issuance'!$G:$G,'Daily Issuance'!$C:$C,$B10,'Daily Issuance'!$E:$E,"Patty Cash"))</f>
        <v>3</v>
      </c>
      <c r="H10" s="30">
        <f t="shared" si="1"/>
        <v>0</v>
      </c>
      <c r="I10" s="33">
        <v>250</v>
      </c>
      <c r="J10" s="34">
        <f t="shared" si="2"/>
        <v>0</v>
      </c>
    </row>
    <row r="11" spans="1:10" s="27" customFormat="1" ht="23.1" customHeight="1">
      <c r="A11" s="194">
        <f>IF($C11="","",MAX($A$3:A10)+1)</f>
        <v>8</v>
      </c>
      <c r="B11" s="197" t="str">
        <f t="shared" si="0"/>
        <v>PTC007</v>
      </c>
      <c r="C11" s="198" t="s">
        <v>1458</v>
      </c>
      <c r="D11" s="199" t="s">
        <v>102</v>
      </c>
      <c r="E11" s="200"/>
      <c r="F11" s="196">
        <f>IF($B11="","",SUMIFS('Daily Inward'!$G:$G,'Daily Inward'!$C:$C,$B11,'Daily Inward'!$E:$E,"Patty Cash"))</f>
        <v>1</v>
      </c>
      <c r="G11" s="30">
        <f>IF($B11="","",SUMIFS('Daily Issuance'!$G:$G,'Daily Issuance'!$C:$C,$B11,'Daily Issuance'!$E:$E,"Patty Cash"))</f>
        <v>1</v>
      </c>
      <c r="H11" s="30">
        <f t="shared" si="1"/>
        <v>0</v>
      </c>
      <c r="I11" s="33">
        <v>305</v>
      </c>
      <c r="J11" s="34">
        <f t="shared" si="2"/>
        <v>0</v>
      </c>
    </row>
    <row r="12" spans="1:10" s="27" customFormat="1" ht="23.1" customHeight="1">
      <c r="A12" s="194">
        <f>IF($C12="","",MAX($A$3:A11)+1)</f>
        <v>9</v>
      </c>
      <c r="B12" s="197" t="str">
        <f t="shared" si="0"/>
        <v>PTC008</v>
      </c>
      <c r="C12" s="198" t="s">
        <v>1459</v>
      </c>
      <c r="D12" s="199" t="s">
        <v>102</v>
      </c>
      <c r="E12" s="200"/>
      <c r="F12" s="196">
        <f>IF($B12="","",SUMIFS('Daily Inward'!$G:$G,'Daily Inward'!$C:$C,$B12,'Daily Inward'!$E:$E,"Patty Cash"))</f>
        <v>1</v>
      </c>
      <c r="G12" s="30">
        <f>IF($B12="","",SUMIFS('Daily Issuance'!$G:$G,'Daily Issuance'!$C:$C,$B12,'Daily Issuance'!$E:$E,"Patty Cash"))</f>
        <v>1</v>
      </c>
      <c r="H12" s="30">
        <f t="shared" si="1"/>
        <v>0</v>
      </c>
      <c r="I12" s="33">
        <v>150</v>
      </c>
      <c r="J12" s="34">
        <f t="shared" si="2"/>
        <v>0</v>
      </c>
    </row>
    <row r="13" spans="1:10" s="27" customFormat="1" ht="23.1" customHeight="1">
      <c r="A13" s="194">
        <f>IF($C13="","",MAX($A$3:A12)+1)</f>
        <v>10</v>
      </c>
      <c r="B13" s="197" t="str">
        <f t="shared" si="0"/>
        <v>PTC009</v>
      </c>
      <c r="C13" s="198" t="s">
        <v>1460</v>
      </c>
      <c r="D13" s="199" t="s">
        <v>1046</v>
      </c>
      <c r="E13" s="200"/>
      <c r="F13" s="196">
        <f>IF($B13="","",SUMIFS('Daily Inward'!$G:$G,'Daily Inward'!$C:$C,$B13,'Daily Inward'!$E:$E,"Patty Cash"))</f>
        <v>2</v>
      </c>
      <c r="G13" s="30">
        <f>IF($B13="","",SUMIFS('Daily Issuance'!$G:$G,'Daily Issuance'!$C:$C,$B13,'Daily Issuance'!$E:$E,"Patty Cash"))</f>
        <v>2</v>
      </c>
      <c r="H13" s="30">
        <f t="shared" si="1"/>
        <v>0</v>
      </c>
      <c r="I13" s="33">
        <v>500</v>
      </c>
      <c r="J13" s="34">
        <f t="shared" si="2"/>
        <v>0</v>
      </c>
    </row>
    <row r="14" spans="1:10" s="27" customFormat="1" ht="23.1" customHeight="1">
      <c r="A14" s="194">
        <f>IF($C14="","",MAX($A$3:A13)+1)</f>
        <v>11</v>
      </c>
      <c r="B14" s="197" t="str">
        <f t="shared" si="0"/>
        <v>PTC010</v>
      </c>
      <c r="C14" s="198" t="s">
        <v>1454</v>
      </c>
      <c r="D14" s="199" t="s">
        <v>102</v>
      </c>
      <c r="E14" s="200"/>
      <c r="F14" s="196">
        <f>IF($B14="","",SUMIFS('Daily Inward'!$G:$G,'Daily Inward'!$C:$C,$B14,'Daily Inward'!$E:$E,"Patty Cash"))</f>
        <v>1</v>
      </c>
      <c r="G14" s="30">
        <f>IF($B14="","",SUMIFS('Daily Issuance'!$G:$G,'Daily Issuance'!$C:$C,$B14,'Daily Issuance'!$E:$E,"Patty Cash"))</f>
        <v>1</v>
      </c>
      <c r="H14" s="30">
        <f t="shared" si="1"/>
        <v>0</v>
      </c>
      <c r="I14" s="33">
        <v>400</v>
      </c>
      <c r="J14" s="34">
        <f>IF(OR(H14="",I14=""),"",H14*I14)</f>
        <v>0</v>
      </c>
    </row>
    <row r="15" spans="1:10" s="27" customFormat="1" ht="23.1" customHeight="1">
      <c r="A15" s="194">
        <f>IF($C15="","",MAX($A$3:A14)+1)</f>
        <v>12</v>
      </c>
      <c r="B15" s="197" t="str">
        <f t="shared" si="0"/>
        <v>PTC011</v>
      </c>
      <c r="C15" s="198" t="s">
        <v>1461</v>
      </c>
      <c r="D15" s="199" t="s">
        <v>102</v>
      </c>
      <c r="E15" s="200"/>
      <c r="F15" s="196">
        <f>IF($B15="","",SUMIFS('Daily Inward'!$G:$G,'Daily Inward'!$C:$C,$B15,'Daily Inward'!$E:$E,"Patty Cash"))</f>
        <v>1</v>
      </c>
      <c r="G15" s="30">
        <f>IF($B15="","",SUMIFS('Daily Issuance'!$G:$G,'Daily Issuance'!$C:$C,$B15,'Daily Issuance'!$E:$E,"Patty Cash"))</f>
        <v>1</v>
      </c>
      <c r="H15" s="30">
        <f t="shared" si="1"/>
        <v>0</v>
      </c>
      <c r="I15" s="33">
        <v>310</v>
      </c>
      <c r="J15" s="34">
        <f t="shared" si="2"/>
        <v>0</v>
      </c>
    </row>
    <row r="16" spans="1:10" s="27" customFormat="1" ht="23.1" customHeight="1">
      <c r="A16" s="194">
        <f>IF($C16="","",MAX($A$3:A15)+1)</f>
        <v>13</v>
      </c>
      <c r="B16" s="197" t="str">
        <f t="shared" si="0"/>
        <v>PTC012</v>
      </c>
      <c r="C16" s="198" t="s">
        <v>1462</v>
      </c>
      <c r="D16" s="199" t="s">
        <v>102</v>
      </c>
      <c r="E16" s="200"/>
      <c r="F16" s="196">
        <f>IF($B16="","",SUMIFS('Daily Inward'!$G:$G,'Daily Inward'!$C:$C,$B16,'Daily Inward'!$E:$E,"Patty Cash"))</f>
        <v>2</v>
      </c>
      <c r="G16" s="30">
        <f>IF($B16="","",SUMIFS('Daily Issuance'!$G:$G,'Daily Issuance'!$C:$C,$B16,'Daily Issuance'!$E:$E,"Patty Cash"))</f>
        <v>2</v>
      </c>
      <c r="H16" s="30">
        <f t="shared" si="1"/>
        <v>0</v>
      </c>
      <c r="I16" s="33">
        <v>200</v>
      </c>
      <c r="J16" s="34">
        <f t="shared" si="2"/>
        <v>0</v>
      </c>
    </row>
    <row r="17" spans="1:10" s="27" customFormat="1" ht="23.1" customHeight="1">
      <c r="A17" s="194">
        <f>IF($C17="","",MAX($A$3:A16)+1)</f>
        <v>14</v>
      </c>
      <c r="B17" s="197" t="str">
        <f t="shared" si="0"/>
        <v>PTC013</v>
      </c>
      <c r="C17" s="198" t="s">
        <v>1457</v>
      </c>
      <c r="D17" s="199" t="s">
        <v>102</v>
      </c>
      <c r="E17" s="200"/>
      <c r="F17" s="196">
        <f>IF($B17="","",SUMIFS('Daily Inward'!$G:$G,'Daily Inward'!$C:$C,$B17,'Daily Inward'!$E:$E,"Patty Cash"))</f>
        <v>1</v>
      </c>
      <c r="G17" s="30">
        <f>IF($B17="","",SUMIFS('Daily Issuance'!$G:$G,'Daily Issuance'!$C:$C,$B17,'Daily Issuance'!$E:$E,"Patty Cash"))</f>
        <v>1</v>
      </c>
      <c r="H17" s="30">
        <f t="shared" si="1"/>
        <v>0</v>
      </c>
      <c r="I17" s="33">
        <v>300</v>
      </c>
      <c r="J17" s="34">
        <f t="shared" si="2"/>
        <v>0</v>
      </c>
    </row>
    <row r="18" spans="1:10" s="27" customFormat="1" ht="23.1" customHeight="1">
      <c r="A18" s="194">
        <f>IF($C18="","",MAX($A$3:A17)+1)</f>
        <v>15</v>
      </c>
      <c r="B18" s="197" t="str">
        <f t="shared" si="0"/>
        <v>PTC014</v>
      </c>
      <c r="C18" s="198" t="s">
        <v>1452</v>
      </c>
      <c r="D18" s="199" t="s">
        <v>672</v>
      </c>
      <c r="E18" s="200"/>
      <c r="F18" s="196">
        <f>IF($B18="","",SUMIFS('Daily Inward'!$G:$G,'Daily Inward'!$C:$C,$B18,'Daily Inward'!$E:$E,"Patty Cash"))</f>
        <v>0.72114999999999996</v>
      </c>
      <c r="G18" s="30">
        <f>IF($B18="","",SUMIFS('Daily Issuance'!$G:$G,'Daily Issuance'!$C:$C,$B18,'Daily Issuance'!$E:$E,"Patty Cash"))</f>
        <v>0.72114999999999996</v>
      </c>
      <c r="H18" s="30">
        <f t="shared" si="1"/>
        <v>0</v>
      </c>
      <c r="I18" s="33">
        <v>418</v>
      </c>
      <c r="J18" s="34">
        <f t="shared" si="2"/>
        <v>0</v>
      </c>
    </row>
    <row r="19" spans="1:10" s="27" customFormat="1" ht="23.1" customHeight="1">
      <c r="A19" s="194">
        <f>IF($C19="","",MAX($A$3:A18)+1)</f>
        <v>16</v>
      </c>
      <c r="B19" s="197" t="str">
        <f t="shared" si="0"/>
        <v>PTC015</v>
      </c>
      <c r="C19" s="198" t="s">
        <v>1463</v>
      </c>
      <c r="D19" s="199" t="s">
        <v>102</v>
      </c>
      <c r="E19" s="200"/>
      <c r="F19" s="196">
        <f>IF($B19="","",SUMIFS('Daily Inward'!$G:$G,'Daily Inward'!$C:$C,$B19,'Daily Inward'!$E:$E,"Patty Cash"))</f>
        <v>0.72</v>
      </c>
      <c r="G19" s="30">
        <f>IF($B19="","",SUMIFS('Daily Issuance'!$G:$G,'Daily Issuance'!$C:$C,$B19,'Daily Issuance'!$E:$E,"Patty Cash"))</f>
        <v>0.72</v>
      </c>
      <c r="H19" s="30">
        <f t="shared" si="1"/>
        <v>0</v>
      </c>
      <c r="I19" s="33">
        <v>280</v>
      </c>
      <c r="J19" s="34">
        <f t="shared" si="2"/>
        <v>0</v>
      </c>
    </row>
    <row r="20" spans="1:10" s="27" customFormat="1" ht="23.1" customHeight="1">
      <c r="A20" s="194">
        <f>IF($C20="","",MAX($A$3:A19)+1)</f>
        <v>17</v>
      </c>
      <c r="B20" s="197" t="str">
        <f t="shared" si="0"/>
        <v>PTC016</v>
      </c>
      <c r="C20" s="198" t="s">
        <v>1464</v>
      </c>
      <c r="D20" s="199" t="s">
        <v>102</v>
      </c>
      <c r="E20" s="200"/>
      <c r="F20" s="196">
        <f>IF($B20="","",SUMIFS('Daily Inward'!$G:$G,'Daily Inward'!$C:$C,$B20,'Daily Inward'!$E:$E,"Patty Cash"))</f>
        <v>2</v>
      </c>
      <c r="G20" s="30">
        <f>IF($B20="","",SUMIFS('Daily Issuance'!$G:$G,'Daily Issuance'!$C:$C,$B20,'Daily Issuance'!$E:$E,"Patty Cash"))</f>
        <v>2</v>
      </c>
      <c r="H20" s="30">
        <f t="shared" si="1"/>
        <v>0</v>
      </c>
      <c r="I20" s="33">
        <v>100</v>
      </c>
      <c r="J20" s="34">
        <f t="shared" si="2"/>
        <v>0</v>
      </c>
    </row>
    <row r="21" spans="1:10" s="27" customFormat="1" ht="23.1" customHeight="1">
      <c r="A21" s="194">
        <f>IF($C21="","",MAX($A$3:A20)+1)</f>
        <v>18</v>
      </c>
      <c r="B21" s="197" t="str">
        <f t="shared" si="0"/>
        <v>PTC017</v>
      </c>
      <c r="C21" s="198" t="s">
        <v>1465</v>
      </c>
      <c r="D21" s="199" t="s">
        <v>102</v>
      </c>
      <c r="E21" s="200"/>
      <c r="F21" s="196">
        <f>IF($B21="","",SUMIFS('Daily Inward'!$G:$G,'Daily Inward'!$C:$C,$B21,'Daily Inward'!$E:$E,"Patty Cash"))</f>
        <v>3</v>
      </c>
      <c r="G21" s="30">
        <f>IF($B21="","",SUMIFS('Daily Issuance'!$G:$G,'Daily Issuance'!$C:$C,$B21,'Daily Issuance'!$E:$E,"Patty Cash"))</f>
        <v>3</v>
      </c>
      <c r="H21" s="30">
        <f t="shared" si="1"/>
        <v>0</v>
      </c>
      <c r="I21" s="33">
        <v>40</v>
      </c>
      <c r="J21" s="34">
        <f t="shared" si="2"/>
        <v>0</v>
      </c>
    </row>
    <row r="22" spans="1:10" s="27" customFormat="1" ht="23.1" customHeight="1">
      <c r="A22" s="194">
        <f>IF($C22="","",MAX($A$3:A21)+1)</f>
        <v>19</v>
      </c>
      <c r="B22" s="197" t="str">
        <f t="shared" si="0"/>
        <v>PTC018</v>
      </c>
      <c r="C22" s="201" t="s">
        <v>1452</v>
      </c>
      <c r="D22" s="199" t="s">
        <v>672</v>
      </c>
      <c r="E22" s="200"/>
      <c r="F22" s="196">
        <f>IF($B22="","",SUMIFS('Daily Inward'!$G:$G,'Daily Inward'!$C:$C,$B22,'Daily Inward'!$E:$E,"Patty Cash"))</f>
        <v>0.72114999999999996</v>
      </c>
      <c r="G22" s="30">
        <f>IF($B22="","",SUMIFS('Daily Issuance'!$G:$G,'Daily Issuance'!$C:$C,$B22,'Daily Issuance'!$E:$E,"Patty Cash"))</f>
        <v>0.72114999999999996</v>
      </c>
      <c r="H22" s="30">
        <f t="shared" si="1"/>
        <v>0</v>
      </c>
      <c r="I22" s="33">
        <v>418</v>
      </c>
      <c r="J22" s="34">
        <f t="shared" si="2"/>
        <v>0</v>
      </c>
    </row>
    <row r="23" spans="1:10" s="27" customFormat="1" ht="23.1" customHeight="1">
      <c r="A23" s="194">
        <f>IF($C23="","",MAX($A$3:A22)+1)</f>
        <v>20</v>
      </c>
      <c r="B23" s="197" t="str">
        <f t="shared" si="0"/>
        <v>PTC019</v>
      </c>
      <c r="C23" s="201" t="s">
        <v>1466</v>
      </c>
      <c r="D23" s="199" t="s">
        <v>102</v>
      </c>
      <c r="E23" s="200"/>
      <c r="F23" s="196">
        <f>IF($B23="","",SUMIFS('Daily Inward'!$G:$G,'Daily Inward'!$C:$C,$B23,'Daily Inward'!$E:$E,"Patty Cash"))</f>
        <v>0.72</v>
      </c>
      <c r="G23" s="30">
        <f>IF($B23="","",SUMIFS('Daily Issuance'!$G:$G,'Daily Issuance'!$C:$C,$B23,'Daily Issuance'!$E:$E,"Patty Cash"))</f>
        <v>0.72</v>
      </c>
      <c r="H23" s="30">
        <f t="shared" si="1"/>
        <v>0</v>
      </c>
      <c r="I23" s="33">
        <v>400</v>
      </c>
      <c r="J23" s="34">
        <f t="shared" si="2"/>
        <v>0</v>
      </c>
    </row>
    <row r="24" spans="1:10" s="27" customFormat="1" ht="23.1" customHeight="1">
      <c r="A24" s="194">
        <f>IF($C24="","",MAX($A$3:A23)+1)</f>
        <v>21</v>
      </c>
      <c r="B24" s="197" t="str">
        <f t="shared" si="0"/>
        <v>PTC020</v>
      </c>
      <c r="C24" s="201" t="s">
        <v>1467</v>
      </c>
      <c r="D24" s="199" t="s">
        <v>102</v>
      </c>
      <c r="E24" s="200"/>
      <c r="F24" s="196">
        <f>IF($B24="","",SUMIFS('Daily Inward'!$G:$G,'Daily Inward'!$C:$C,$B24,'Daily Inward'!$E:$E,"Patty Cash"))</f>
        <v>1</v>
      </c>
      <c r="G24" s="30">
        <f>IF($B24="","",SUMIFS('Daily Issuance'!$G:$G,'Daily Issuance'!$C:$C,$B24,'Daily Issuance'!$E:$E,"Patty Cash"))</f>
        <v>1</v>
      </c>
      <c r="H24" s="30">
        <f t="shared" si="1"/>
        <v>0</v>
      </c>
      <c r="I24" s="33">
        <v>80</v>
      </c>
      <c r="J24" s="34">
        <f t="shared" si="2"/>
        <v>0</v>
      </c>
    </row>
    <row r="25" spans="1:10" s="27" customFormat="1" ht="23.1" customHeight="1">
      <c r="A25" s="194">
        <f>IF($C25="","",MAX($A$3:A24)+1)</f>
        <v>22</v>
      </c>
      <c r="B25" s="197" t="str">
        <f t="shared" si="0"/>
        <v>PTC021</v>
      </c>
      <c r="C25" s="201" t="s">
        <v>1452</v>
      </c>
      <c r="D25" s="199" t="s">
        <v>672</v>
      </c>
      <c r="E25" s="200"/>
      <c r="F25" s="196">
        <f>IF($B25="","",SUMIFS('Daily Inward'!$G:$G,'Daily Inward'!$C:$C,$B25,'Daily Inward'!$E:$E,"Patty Cash"))</f>
        <v>0.72114999999999996</v>
      </c>
      <c r="G25" s="30">
        <f>IF($B25="","",SUMIFS('Daily Issuance'!$G:$G,'Daily Issuance'!$C:$C,$B25,'Daily Issuance'!$E:$E,"Patty Cash"))</f>
        <v>0.72114999999999996</v>
      </c>
      <c r="H25" s="30">
        <f t="shared" si="1"/>
        <v>0</v>
      </c>
      <c r="I25" s="33">
        <v>418</v>
      </c>
      <c r="J25" s="34">
        <f t="shared" si="2"/>
        <v>0</v>
      </c>
    </row>
    <row r="26" spans="1:10" s="27" customFormat="1" ht="23.1" customHeight="1">
      <c r="A26" s="194">
        <f>IF($C26="","",MAX($A$3:A25)+1)</f>
        <v>23</v>
      </c>
      <c r="B26" s="197" t="str">
        <f t="shared" si="0"/>
        <v>PTC022</v>
      </c>
      <c r="C26" s="201" t="s">
        <v>1468</v>
      </c>
      <c r="D26" s="199" t="s">
        <v>672</v>
      </c>
      <c r="E26" s="200"/>
      <c r="F26" s="196">
        <f>IF($B26="","",SUMIFS('Daily Inward'!$G:$G,'Daily Inward'!$C:$C,$B26,'Daily Inward'!$E:$E,"Patty Cash"))</f>
        <v>0.96</v>
      </c>
      <c r="G26" s="30">
        <f>IF($B26="","",SUMIFS('Daily Issuance'!$G:$G,'Daily Issuance'!$C:$C,$B26,'Daily Issuance'!$E:$E,"Patty Cash"))</f>
        <v>0.96</v>
      </c>
      <c r="H26" s="30">
        <f t="shared" si="1"/>
        <v>0</v>
      </c>
      <c r="I26" s="33">
        <v>2000</v>
      </c>
      <c r="J26" s="34">
        <f t="shared" si="2"/>
        <v>0</v>
      </c>
    </row>
    <row r="27" spans="1:10" s="27" customFormat="1" ht="23.1" customHeight="1">
      <c r="A27" s="194">
        <f>IF($C27="","",MAX($A$3:A26)+1)</f>
        <v>24</v>
      </c>
      <c r="B27" s="197" t="str">
        <f t="shared" si="0"/>
        <v>PTC023</v>
      </c>
      <c r="C27" s="201" t="s">
        <v>1469</v>
      </c>
      <c r="D27" s="199" t="s">
        <v>112</v>
      </c>
      <c r="E27" s="200"/>
      <c r="F27" s="196">
        <f>IF($B27="","",SUMIFS('Daily Inward'!$G:$G,'Daily Inward'!$C:$C,$B27,'Daily Inward'!$E:$E,"Patty Cash"))</f>
        <v>1</v>
      </c>
      <c r="G27" s="30">
        <f>IF($B27="","",SUMIFS('Daily Issuance'!$G:$G,'Daily Issuance'!$C:$C,$B27,'Daily Issuance'!$E:$E,"Patty Cash"))</f>
        <v>1</v>
      </c>
      <c r="H27" s="30">
        <f t="shared" si="1"/>
        <v>0</v>
      </c>
      <c r="I27" s="33">
        <v>500</v>
      </c>
      <c r="J27" s="34">
        <f t="shared" si="2"/>
        <v>0</v>
      </c>
    </row>
    <row r="28" spans="1:10" s="27" customFormat="1" ht="23.1" customHeight="1">
      <c r="A28" s="194">
        <f>IF($C28="","",MAX($A$3:A27)+1)</f>
        <v>25</v>
      </c>
      <c r="B28" s="197" t="str">
        <f t="shared" si="0"/>
        <v>PTC024</v>
      </c>
      <c r="C28" s="201" t="s">
        <v>1470</v>
      </c>
      <c r="D28" s="199" t="s">
        <v>112</v>
      </c>
      <c r="E28" s="200"/>
      <c r="F28" s="196">
        <f>IF($B28="","",SUMIFS('Daily Inward'!$G:$G,'Daily Inward'!$C:$C,$B28,'Daily Inward'!$E:$E,"Patty Cash"))</f>
        <v>1</v>
      </c>
      <c r="G28" s="30">
        <f>IF($B28="","",SUMIFS('Daily Issuance'!$G:$G,'Daily Issuance'!$C:$C,$B28,'Daily Issuance'!$E:$E,"Patty Cash"))</f>
        <v>1</v>
      </c>
      <c r="H28" s="30">
        <f t="shared" si="1"/>
        <v>0</v>
      </c>
      <c r="I28" s="33">
        <v>300</v>
      </c>
      <c r="J28" s="34">
        <f t="shared" si="2"/>
        <v>0</v>
      </c>
    </row>
    <row r="29" spans="1:10" s="27" customFormat="1" ht="23.1" customHeight="1">
      <c r="A29" s="194">
        <f>IF($C29="","",MAX($A$3:A28)+1)</f>
        <v>26</v>
      </c>
      <c r="B29" s="197" t="str">
        <f t="shared" si="0"/>
        <v>PTC025</v>
      </c>
      <c r="C29" s="201" t="s">
        <v>1471</v>
      </c>
      <c r="D29" s="199" t="s">
        <v>102</v>
      </c>
      <c r="E29" s="200"/>
      <c r="F29" s="196">
        <f>IF($B29="","",SUMIFS('Daily Inward'!$G:$G,'Daily Inward'!$C:$C,$B29,'Daily Inward'!$E:$E,"Patty Cash"))</f>
        <v>1</v>
      </c>
      <c r="G29" s="30">
        <f>IF($B29="","",SUMIFS('Daily Issuance'!$G:$G,'Daily Issuance'!$C:$C,$B29,'Daily Issuance'!$E:$E,"Patty Cash"))</f>
        <v>1</v>
      </c>
      <c r="H29" s="30">
        <f t="shared" si="1"/>
        <v>0</v>
      </c>
      <c r="I29" s="33">
        <v>250</v>
      </c>
      <c r="J29" s="34">
        <f t="shared" si="2"/>
        <v>0</v>
      </c>
    </row>
    <row r="30" spans="1:10" s="27" customFormat="1" ht="23.1" customHeight="1">
      <c r="A30" s="194">
        <f>IF($C30="","",MAX($A$3:A29)+1)</f>
        <v>27</v>
      </c>
      <c r="B30" s="197" t="str">
        <f t="shared" si="0"/>
        <v>PTC026</v>
      </c>
      <c r="C30" s="201" t="s">
        <v>1472</v>
      </c>
      <c r="D30" s="199" t="s">
        <v>112</v>
      </c>
      <c r="E30" s="200"/>
      <c r="F30" s="196">
        <f>IF($B30="","",SUMIFS('Daily Inward'!$G:$G,'Daily Inward'!$C:$C,$B30,'Daily Inward'!$E:$E,"Patty Cash"))</f>
        <v>1</v>
      </c>
      <c r="G30" s="30">
        <f>IF($B30="","",SUMIFS('Daily Issuance'!$G:$G,'Daily Issuance'!$C:$C,$B30,'Daily Issuance'!$E:$E,"Patty Cash"))</f>
        <v>1</v>
      </c>
      <c r="H30" s="30">
        <f t="shared" si="1"/>
        <v>0</v>
      </c>
      <c r="I30" s="33">
        <v>100</v>
      </c>
      <c r="J30" s="34">
        <f t="shared" si="2"/>
        <v>0</v>
      </c>
    </row>
    <row r="31" spans="1:10" s="27" customFormat="1" ht="23.1" customHeight="1">
      <c r="A31" s="194">
        <f>IF($C31="","",MAX($A$3:A30)+1)</f>
        <v>28</v>
      </c>
      <c r="B31" s="197" t="str">
        <f t="shared" si="0"/>
        <v>PTC027</v>
      </c>
      <c r="C31" s="201" t="s">
        <v>1452</v>
      </c>
      <c r="D31" s="199" t="s">
        <v>672</v>
      </c>
      <c r="E31" s="200"/>
      <c r="F31" s="196">
        <f>IF($B31="","",SUMIFS('Daily Inward'!$G:$G,'Daily Inward'!$C:$C,$B31,'Daily Inward'!$E:$E,"Patty Cash"))</f>
        <v>0.96</v>
      </c>
      <c r="G31" s="30">
        <f>IF($B31="","",SUMIFS('Daily Issuance'!$G:$G,'Daily Issuance'!$C:$C,$B31,'Daily Issuance'!$E:$E,"Patty Cash"))</f>
        <v>0.96</v>
      </c>
      <c r="H31" s="30">
        <f t="shared" si="1"/>
        <v>0</v>
      </c>
      <c r="I31" s="33">
        <v>418</v>
      </c>
      <c r="J31" s="34">
        <f t="shared" si="2"/>
        <v>0</v>
      </c>
    </row>
    <row r="32" spans="1:10" s="27" customFormat="1" ht="23.1" customHeight="1">
      <c r="A32" s="194">
        <f>IF($C32="","",MAX($A$3:A31)+1)</f>
        <v>29</v>
      </c>
      <c r="B32" s="197" t="str">
        <f t="shared" si="0"/>
        <v>PTC028</v>
      </c>
      <c r="C32" s="201" t="s">
        <v>1473</v>
      </c>
      <c r="D32" s="199" t="s">
        <v>1385</v>
      </c>
      <c r="E32" s="200"/>
      <c r="F32" s="196">
        <f>IF($B32="","",SUMIFS('Daily Inward'!$G:$G,'Daily Inward'!$C:$C,$B32,'Daily Inward'!$E:$E,"Patty Cash"))</f>
        <v>1</v>
      </c>
      <c r="G32" s="30">
        <f>IF($B32="","",SUMIFS('Daily Issuance'!$G:$G,'Daily Issuance'!$C:$C,$B32,'Daily Issuance'!$E:$E,"Patty Cash"))</f>
        <v>1</v>
      </c>
      <c r="H32" s="30">
        <f t="shared" si="1"/>
        <v>0</v>
      </c>
      <c r="I32" s="33">
        <v>400</v>
      </c>
      <c r="J32" s="34">
        <f t="shared" si="2"/>
        <v>0</v>
      </c>
    </row>
    <row r="33" spans="1:10" s="27" customFormat="1" ht="23.1" customHeight="1">
      <c r="A33" s="194">
        <f>IF($C33="","",MAX($A$3:A32)+1)</f>
        <v>30</v>
      </c>
      <c r="B33" s="197" t="str">
        <f t="shared" si="0"/>
        <v>PTC029</v>
      </c>
      <c r="C33" s="201" t="s">
        <v>1474</v>
      </c>
      <c r="D33" s="199" t="s">
        <v>102</v>
      </c>
      <c r="E33" s="200"/>
      <c r="F33" s="196">
        <f>IF($B33="","",SUMIFS('Daily Inward'!$G:$G,'Daily Inward'!$C:$C,$B33,'Daily Inward'!$E:$E,"Patty Cash"))</f>
        <v>1</v>
      </c>
      <c r="G33" s="30">
        <f>IF($B33="","",SUMIFS('Daily Issuance'!$G:$G,'Daily Issuance'!$C:$C,$B33,'Daily Issuance'!$E:$E,"Patty Cash"))</f>
        <v>1</v>
      </c>
      <c r="H33" s="30">
        <f t="shared" si="1"/>
        <v>0</v>
      </c>
      <c r="I33" s="33">
        <v>170</v>
      </c>
      <c r="J33" s="34">
        <f t="shared" si="2"/>
        <v>0</v>
      </c>
    </row>
    <row r="34" spans="1:10" s="27" customFormat="1" ht="23.1" customHeight="1">
      <c r="A34" s="194">
        <f>IF($C34="","",MAX($A$3:A33)+1)</f>
        <v>31</v>
      </c>
      <c r="B34" s="197" t="str">
        <f t="shared" si="0"/>
        <v>PTC030</v>
      </c>
      <c r="C34" s="201" t="s">
        <v>1452</v>
      </c>
      <c r="D34" s="199" t="s">
        <v>672</v>
      </c>
      <c r="E34" s="200"/>
      <c r="F34" s="196">
        <f>IF($B34="","",SUMIFS('Daily Inward'!$G:$G,'Daily Inward'!$C:$C,$B34,'Daily Inward'!$E:$E,"Patty Cash"))</f>
        <v>0.84099999999999997</v>
      </c>
      <c r="G34" s="30">
        <f>IF($B34="","",SUMIFS('Daily Issuance'!$G:$G,'Daily Issuance'!$C:$C,$B34,'Daily Issuance'!$E:$E,"Patty Cash"))</f>
        <v>0.84099999999999997</v>
      </c>
      <c r="H34" s="30">
        <f t="shared" si="1"/>
        <v>0</v>
      </c>
      <c r="I34" s="33">
        <v>418</v>
      </c>
      <c r="J34" s="34">
        <f t="shared" si="2"/>
        <v>0</v>
      </c>
    </row>
    <row r="35" spans="1:10" s="27" customFormat="1" ht="23.1" customHeight="1">
      <c r="A35" s="194">
        <f>IF($C35="","",MAX($A$3:A34)+1)</f>
        <v>32</v>
      </c>
      <c r="B35" s="197" t="str">
        <f t="shared" si="0"/>
        <v>PTC031</v>
      </c>
      <c r="C35" s="201" t="s">
        <v>1475</v>
      </c>
      <c r="D35" s="199" t="s">
        <v>102</v>
      </c>
      <c r="E35" s="200"/>
      <c r="F35" s="196">
        <f>IF($B35="","",SUMIFS('Daily Inward'!$G:$G,'Daily Inward'!$C:$C,$B35,'Daily Inward'!$E:$E,"Patty Cash"))</f>
        <v>0.84</v>
      </c>
      <c r="G35" s="30">
        <f>IF($B35="","",SUMIFS('Daily Issuance'!$G:$G,'Daily Issuance'!$C:$C,$B35,'Daily Issuance'!$E:$E,"Patty Cash"))</f>
        <v>0.84</v>
      </c>
      <c r="H35" s="30">
        <f t="shared" si="1"/>
        <v>0</v>
      </c>
      <c r="I35" s="33">
        <v>280</v>
      </c>
      <c r="J35" s="34">
        <f t="shared" si="2"/>
        <v>0</v>
      </c>
    </row>
    <row r="36" spans="1:10" s="27" customFormat="1" ht="23.1" customHeight="1">
      <c r="A36" s="194">
        <f>IF($C36="","",MAX($A$3:A35)+1)</f>
        <v>33</v>
      </c>
      <c r="B36" s="197" t="str">
        <f t="shared" si="0"/>
        <v>PTC032</v>
      </c>
      <c r="C36" s="201" t="s">
        <v>1471</v>
      </c>
      <c r="D36" s="199" t="s">
        <v>102</v>
      </c>
      <c r="E36" s="200"/>
      <c r="F36" s="196">
        <f>IF($B36="","",SUMIFS('Daily Inward'!$G:$G,'Daily Inward'!$C:$C,$B36,'Daily Inward'!$E:$E,"Patty Cash"))</f>
        <v>2</v>
      </c>
      <c r="G36" s="30">
        <f>IF($B36="","",SUMIFS('Daily Issuance'!$G:$G,'Daily Issuance'!$C:$C,$B36,'Daily Issuance'!$E:$E,"Patty Cash"))</f>
        <v>2</v>
      </c>
      <c r="H36" s="30">
        <f t="shared" si="1"/>
        <v>0</v>
      </c>
      <c r="I36" s="33">
        <v>380</v>
      </c>
      <c r="J36" s="34">
        <f t="shared" si="2"/>
        <v>0</v>
      </c>
    </row>
    <row r="37" spans="1:10" s="27" customFormat="1" ht="23.1" customHeight="1">
      <c r="A37" s="194">
        <f>IF($C37="","",MAX($A$3:A36)+1)</f>
        <v>34</v>
      </c>
      <c r="B37" s="197" t="str">
        <f t="shared" si="0"/>
        <v>PTC033</v>
      </c>
      <c r="C37" s="201" t="s">
        <v>1476</v>
      </c>
      <c r="D37" s="199" t="s">
        <v>102</v>
      </c>
      <c r="E37" s="200"/>
      <c r="F37" s="196">
        <f>IF($B37="","",SUMIFS('Daily Inward'!$G:$G,'Daily Inward'!$C:$C,$B37,'Daily Inward'!$E:$E,"Patty Cash"))</f>
        <v>1</v>
      </c>
      <c r="G37" s="30">
        <f>IF($B37="","",SUMIFS('Daily Issuance'!$G:$G,'Daily Issuance'!$C:$C,$B37,'Daily Issuance'!$E:$E,"Patty Cash"))</f>
        <v>1</v>
      </c>
      <c r="H37" s="30">
        <f t="shared" si="1"/>
        <v>0</v>
      </c>
      <c r="I37" s="33">
        <v>70</v>
      </c>
      <c r="J37" s="34">
        <f t="shared" si="2"/>
        <v>0</v>
      </c>
    </row>
    <row r="38" spans="1:10" s="27" customFormat="1" ht="23.1" customHeight="1">
      <c r="A38" s="194">
        <f>IF($C38="","",MAX($A$3:A37)+1)</f>
        <v>35</v>
      </c>
      <c r="B38" s="197" t="str">
        <f t="shared" si="0"/>
        <v>PTC034</v>
      </c>
      <c r="C38" s="201" t="s">
        <v>1477</v>
      </c>
      <c r="D38" s="199" t="s">
        <v>102</v>
      </c>
      <c r="E38" s="200"/>
      <c r="F38" s="196">
        <f>IF($B38="","",SUMIFS('Daily Inward'!$G:$G,'Daily Inward'!$C:$C,$B38,'Daily Inward'!$E:$E,"Patty Cash"))</f>
        <v>1</v>
      </c>
      <c r="G38" s="30">
        <f>IF($B38="","",SUMIFS('Daily Issuance'!$G:$G,'Daily Issuance'!$C:$C,$B38,'Daily Issuance'!$E:$E,"Patty Cash"))</f>
        <v>1</v>
      </c>
      <c r="H38" s="30">
        <f t="shared" si="1"/>
        <v>0</v>
      </c>
      <c r="I38" s="33">
        <v>55</v>
      </c>
      <c r="J38" s="34">
        <f t="shared" si="2"/>
        <v>0</v>
      </c>
    </row>
    <row r="39" spans="1:10" s="27" customFormat="1" ht="23.1" customHeight="1">
      <c r="A39" s="194">
        <f>IF($C39="","",MAX($A$3:A38)+1)</f>
        <v>36</v>
      </c>
      <c r="B39" s="197" t="str">
        <f t="shared" si="0"/>
        <v>PTC035</v>
      </c>
      <c r="C39" s="201" t="s">
        <v>1452</v>
      </c>
      <c r="D39" s="199" t="s">
        <v>672</v>
      </c>
      <c r="E39" s="200"/>
      <c r="F39" s="196">
        <f>IF($B39="","",SUMIFS('Daily Inward'!$G:$G,'Daily Inward'!$C:$C,$B39,'Daily Inward'!$E:$E,"Patty Cash"))</f>
        <v>0.84099999999999997</v>
      </c>
      <c r="G39" s="30">
        <f>IF($B39="","",SUMIFS('Daily Issuance'!$G:$G,'Daily Issuance'!$C:$C,$B39,'Daily Issuance'!$E:$E,"Patty Cash"))</f>
        <v>0.84099999999999997</v>
      </c>
      <c r="H39" s="30">
        <f t="shared" si="1"/>
        <v>0</v>
      </c>
      <c r="I39" s="33">
        <v>418</v>
      </c>
      <c r="J39" s="34">
        <f t="shared" si="2"/>
        <v>0</v>
      </c>
    </row>
    <row r="40" spans="1:10" s="27" customFormat="1" ht="23.1" customHeight="1">
      <c r="A40" s="194">
        <f>IF($C40="","",MAX($A$3:A39)+1)</f>
        <v>37</v>
      </c>
      <c r="B40" s="197" t="str">
        <f t="shared" si="0"/>
        <v>PTC036</v>
      </c>
      <c r="C40" s="201" t="s">
        <v>1478</v>
      </c>
      <c r="D40" s="199" t="s">
        <v>102</v>
      </c>
      <c r="E40" s="200"/>
      <c r="F40" s="196">
        <f>IF($B40="","",SUMIFS('Daily Inward'!$G:$G,'Daily Inward'!$C:$C,$B40,'Daily Inward'!$E:$E,"Patty Cash"))</f>
        <v>0.72</v>
      </c>
      <c r="G40" s="30">
        <f>IF($B40="","",SUMIFS('Daily Issuance'!$G:$G,'Daily Issuance'!$C:$C,$B40,'Daily Issuance'!$E:$E,"Patty Cash"))</f>
        <v>0.72</v>
      </c>
      <c r="H40" s="30">
        <f t="shared" si="1"/>
        <v>0</v>
      </c>
      <c r="I40" s="33">
        <v>1850</v>
      </c>
      <c r="J40" s="34">
        <f t="shared" si="2"/>
        <v>0</v>
      </c>
    </row>
    <row r="41" spans="1:10" s="27" customFormat="1" ht="23.1" customHeight="1">
      <c r="A41" s="194">
        <f>IF($C41="","",MAX($A$3:A40)+1)</f>
        <v>38</v>
      </c>
      <c r="B41" s="197" t="str">
        <f t="shared" si="0"/>
        <v>PTC037</v>
      </c>
      <c r="C41" s="201" t="s">
        <v>1479</v>
      </c>
      <c r="D41" s="199" t="s">
        <v>102</v>
      </c>
      <c r="E41" s="200"/>
      <c r="F41" s="196">
        <f>IF($B41="","",SUMIFS('Daily Inward'!$G:$G,'Daily Inward'!$C:$C,$B41,'Daily Inward'!$E:$E,"Patty Cash"))</f>
        <v>1</v>
      </c>
      <c r="G41" s="30">
        <f>IF($B41="","",SUMIFS('Daily Issuance'!$G:$G,'Daily Issuance'!$C:$C,$B41,'Daily Issuance'!$E:$E,"Patty Cash"))</f>
        <v>1</v>
      </c>
      <c r="H41" s="30">
        <f t="shared" si="1"/>
        <v>0</v>
      </c>
      <c r="I41" s="33">
        <v>183</v>
      </c>
      <c r="J41" s="34">
        <f t="shared" si="2"/>
        <v>0</v>
      </c>
    </row>
    <row r="42" spans="1:10" s="27" customFormat="1" ht="23.1" customHeight="1">
      <c r="A42" s="194">
        <f>IF($C42="","",MAX($A$3:A41)+1)</f>
        <v>39</v>
      </c>
      <c r="B42" s="197" t="str">
        <f t="shared" si="0"/>
        <v>PTC038</v>
      </c>
      <c r="C42" s="201" t="s">
        <v>1480</v>
      </c>
      <c r="D42" s="199" t="s">
        <v>102</v>
      </c>
      <c r="E42" s="200"/>
      <c r="F42" s="196">
        <f>IF($B42="","",SUMIFS('Daily Inward'!$G:$G,'Daily Inward'!$C:$C,$B42,'Daily Inward'!$E:$E,"Patty Cash"))</f>
        <v>4</v>
      </c>
      <c r="G42" s="30">
        <f>IF($B42="","",SUMIFS('Daily Issuance'!$G:$G,'Daily Issuance'!$C:$C,$B42,'Daily Issuance'!$E:$E,"Patty Cash"))</f>
        <v>4</v>
      </c>
      <c r="H42" s="30">
        <f t="shared" si="1"/>
        <v>0</v>
      </c>
      <c r="I42" s="33">
        <v>143</v>
      </c>
      <c r="J42" s="34">
        <f t="shared" si="2"/>
        <v>0</v>
      </c>
    </row>
    <row r="43" spans="1:10" s="27" customFormat="1" ht="23.1" customHeight="1">
      <c r="A43" s="194">
        <f>IF($C43="","",MAX($A$3:A42)+1)</f>
        <v>40</v>
      </c>
      <c r="B43" s="197" t="str">
        <f t="shared" si="0"/>
        <v>PTC039</v>
      </c>
      <c r="C43" s="201" t="s">
        <v>1452</v>
      </c>
      <c r="D43" s="199" t="s">
        <v>672</v>
      </c>
      <c r="E43" s="200"/>
      <c r="F43" s="196">
        <f>IF($B43="","",SUMIFS('Daily Inward'!$G:$G,'Daily Inward'!$C:$C,$B43,'Daily Inward'!$E:$E,"Patty Cash"))</f>
        <v>0.72114999999999996</v>
      </c>
      <c r="G43" s="30">
        <f>IF($B43="","",SUMIFS('Daily Issuance'!$G:$G,'Daily Issuance'!$C:$C,$B43,'Daily Issuance'!$E:$E,"Patty Cash"))</f>
        <v>0.72114999999999996</v>
      </c>
      <c r="H43" s="30">
        <f t="shared" si="1"/>
        <v>0</v>
      </c>
      <c r="I43" s="33">
        <v>418</v>
      </c>
      <c r="J43" s="34">
        <f t="shared" si="2"/>
        <v>0</v>
      </c>
    </row>
    <row r="44" spans="1:10" s="27" customFormat="1" ht="23.1" customHeight="1">
      <c r="A44" s="194">
        <f>IF($C44="","",MAX($A$3:A43)+1)</f>
        <v>41</v>
      </c>
      <c r="B44" s="197" t="str">
        <f t="shared" si="0"/>
        <v>PTC040</v>
      </c>
      <c r="C44" s="201" t="s">
        <v>1538</v>
      </c>
      <c r="D44" s="199" t="s">
        <v>112</v>
      </c>
      <c r="E44" s="200"/>
      <c r="F44" s="196">
        <f>IF($B44="","",SUMIFS('Daily Inward'!$G:$G,'Daily Inward'!$C:$C,$B44,'Daily Inward'!$E:$E,"Patty Cash"))</f>
        <v>0.72</v>
      </c>
      <c r="G44" s="30">
        <f>IF($B44="","",SUMIFS('Daily Issuance'!$G:$G,'Daily Issuance'!$C:$C,$B44,'Daily Issuance'!$E:$E,"Patty Cash"))</f>
        <v>0.72</v>
      </c>
      <c r="H44" s="30">
        <f t="shared" si="1"/>
        <v>0</v>
      </c>
      <c r="I44" s="33">
        <v>250</v>
      </c>
      <c r="J44" s="34">
        <f t="shared" si="2"/>
        <v>0</v>
      </c>
    </row>
    <row r="45" spans="1:10" s="27" customFormat="1" ht="23.1" customHeight="1">
      <c r="A45" s="194">
        <f>IF($C45="","",MAX($A$3:A44)+1)</f>
        <v>42</v>
      </c>
      <c r="B45" s="197" t="str">
        <f t="shared" si="0"/>
        <v>PTC041</v>
      </c>
      <c r="C45" s="201" t="s">
        <v>1539</v>
      </c>
      <c r="D45" s="199" t="s">
        <v>1283</v>
      </c>
      <c r="E45" s="200"/>
      <c r="F45" s="196">
        <f>IF($B45="","",SUMIFS('Daily Inward'!$G:$G,'Daily Inward'!$C:$C,$B45,'Daily Inward'!$E:$E,"Patty Cash"))</f>
        <v>1</v>
      </c>
      <c r="G45" s="30">
        <f>IF($B45="","",SUMIFS('Daily Issuance'!$G:$G,'Daily Issuance'!$C:$C,$B45,'Daily Issuance'!$E:$E,"Patty Cash"))</f>
        <v>1</v>
      </c>
      <c r="H45" s="30">
        <f t="shared" si="1"/>
        <v>0</v>
      </c>
      <c r="I45" s="33">
        <v>80</v>
      </c>
      <c r="J45" s="34">
        <f t="shared" si="2"/>
        <v>0</v>
      </c>
    </row>
    <row r="46" spans="1:10" s="27" customFormat="1" ht="23.1" customHeight="1">
      <c r="A46" s="194">
        <f>IF($C46="","",MAX($A$3:A45)+1)</f>
        <v>43</v>
      </c>
      <c r="B46" s="197" t="str">
        <f t="shared" si="0"/>
        <v>PTC042</v>
      </c>
      <c r="C46" s="201" t="s">
        <v>1452</v>
      </c>
      <c r="D46" s="199" t="s">
        <v>672</v>
      </c>
      <c r="E46" s="200"/>
      <c r="F46" s="196">
        <f>IF($B46="","",SUMIFS('Daily Inward'!$G:$G,'Daily Inward'!$C:$C,$B46,'Daily Inward'!$E:$E,"Patty Cash"))</f>
        <v>0.72124999999999995</v>
      </c>
      <c r="G46" s="30">
        <f>IF($B46="","",SUMIFS('Daily Issuance'!$G:$G,'Daily Issuance'!$C:$C,$B46,'Daily Issuance'!$E:$E,"Patty Cash"))</f>
        <v>0.72124999999999995</v>
      </c>
      <c r="H46" s="30">
        <f t="shared" si="1"/>
        <v>0</v>
      </c>
      <c r="I46" s="33">
        <v>416</v>
      </c>
      <c r="J46" s="34">
        <f t="shared" si="2"/>
        <v>0</v>
      </c>
    </row>
    <row r="47" spans="1:10" s="27" customFormat="1" ht="23.1" customHeight="1">
      <c r="A47" s="194">
        <f>IF($C47="","",MAX($A$3:A46)+1)</f>
        <v>44</v>
      </c>
      <c r="B47" s="197" t="str">
        <f t="shared" si="0"/>
        <v>PTC043</v>
      </c>
      <c r="C47" s="201" t="s">
        <v>1541</v>
      </c>
      <c r="D47" s="199" t="s">
        <v>112</v>
      </c>
      <c r="E47" s="200"/>
      <c r="F47" s="196">
        <f>IF($B47="","",SUMIFS('Daily Inward'!$G:$G,'Daily Inward'!$C:$C,$B47,'Daily Inward'!$E:$E,"Patty Cash"))</f>
        <v>0.72</v>
      </c>
      <c r="G47" s="30">
        <f>IF($B47="","",SUMIFS('Daily Issuance'!$G:$G,'Daily Issuance'!$C:$C,$B47,'Daily Issuance'!$E:$E,"Patty Cash"))</f>
        <v>0.72</v>
      </c>
      <c r="H47" s="30">
        <f t="shared" si="1"/>
        <v>0</v>
      </c>
      <c r="I47" s="33">
        <v>150</v>
      </c>
      <c r="J47" s="34">
        <f t="shared" si="2"/>
        <v>0</v>
      </c>
    </row>
    <row r="48" spans="1:10" s="27" customFormat="1" ht="23.1" customHeight="1">
      <c r="A48" s="194">
        <f>IF($C48="","",MAX($A$3:A47)+1)</f>
        <v>45</v>
      </c>
      <c r="B48" s="197" t="str">
        <f t="shared" si="0"/>
        <v>PTC044</v>
      </c>
      <c r="C48" s="201" t="s">
        <v>1546</v>
      </c>
      <c r="D48" s="199" t="s">
        <v>112</v>
      </c>
      <c r="E48" s="200"/>
      <c r="F48" s="196">
        <f>IF($B48="","",SUMIFS('Daily Inward'!$G:$G,'Daily Inward'!$C:$C,$B48,'Daily Inward'!$E:$E,"Patty Cash"))</f>
        <v>6</v>
      </c>
      <c r="G48" s="30">
        <f>IF($B48="","",SUMIFS('Daily Issuance'!$G:$G,'Daily Issuance'!$C:$C,$B48,'Daily Issuance'!$E:$E,"Patty Cash"))</f>
        <v>6</v>
      </c>
      <c r="H48" s="30">
        <f t="shared" si="1"/>
        <v>0</v>
      </c>
      <c r="I48" s="33">
        <v>800</v>
      </c>
      <c r="J48" s="34">
        <f t="shared" si="2"/>
        <v>0</v>
      </c>
    </row>
    <row r="49" spans="1:10" s="27" customFormat="1" ht="23.1" customHeight="1">
      <c r="A49" s="194">
        <f>IF($C49="","",MAX($A$3:A48)+1)</f>
        <v>46</v>
      </c>
      <c r="B49" s="197" t="str">
        <f t="shared" si="0"/>
        <v>PTC045</v>
      </c>
      <c r="C49" s="201" t="s">
        <v>1558</v>
      </c>
      <c r="D49" s="199" t="s">
        <v>112</v>
      </c>
      <c r="E49" s="200"/>
      <c r="F49" s="196">
        <f>IF($B49="","",SUMIFS('Daily Inward'!$G:$G,'Daily Inward'!$C:$C,$B49,'Daily Inward'!$E:$E,"Patty Cash"))</f>
        <v>1</v>
      </c>
      <c r="G49" s="30">
        <f>IF($B49="","",SUMIFS('Daily Issuance'!$G:$G,'Daily Issuance'!$C:$C,$B49,'Daily Issuance'!$E:$E,"Patty Cash"))</f>
        <v>1</v>
      </c>
      <c r="H49" s="30">
        <f t="shared" si="1"/>
        <v>0</v>
      </c>
      <c r="I49" s="33">
        <v>45</v>
      </c>
      <c r="J49" s="34">
        <f t="shared" si="2"/>
        <v>0</v>
      </c>
    </row>
    <row r="50" spans="1:10" s="300" customFormat="1" ht="23.1" customHeight="1">
      <c r="A50" s="301">
        <f>IF($C50="","",MAX($A$3:A49)+1)</f>
        <v>47</v>
      </c>
      <c r="B50" s="302" t="str">
        <f t="shared" si="0"/>
        <v>PTC046</v>
      </c>
      <c r="C50" s="201" t="s">
        <v>1452</v>
      </c>
      <c r="D50" s="303" t="s">
        <v>672</v>
      </c>
      <c r="E50" s="298"/>
      <c r="F50" s="304">
        <v>0.6</v>
      </c>
      <c r="G50" s="305">
        <f>IF($B50="","",SUMIFS('Daily Issuance'!$G:$G,'Daily Issuance'!$C:$C,$B50,'Daily Issuance'!$E:$E,"Patty Cash"))</f>
        <v>0.6</v>
      </c>
      <c r="H50" s="299">
        <f t="shared" si="1"/>
        <v>0</v>
      </c>
      <c r="I50" s="306">
        <v>416</v>
      </c>
      <c r="J50" s="188">
        <f t="shared" si="2"/>
        <v>0</v>
      </c>
    </row>
    <row r="51" spans="1:10" s="27" customFormat="1" ht="23.1" customHeight="1">
      <c r="A51" s="194">
        <f>IF($C51="","",MAX($A$3:A50)+1)</f>
        <v>48</v>
      </c>
      <c r="B51" s="197" t="str">
        <f t="shared" si="0"/>
        <v>PTC047</v>
      </c>
      <c r="C51" s="201" t="s">
        <v>1563</v>
      </c>
      <c r="D51" s="199" t="s">
        <v>112</v>
      </c>
      <c r="E51" s="200"/>
      <c r="F51" s="196">
        <v>1</v>
      </c>
      <c r="G51" s="30">
        <f>IF($B51="","",SUMIFS('Daily Issuance'!$G:$G,'Daily Issuance'!$C:$C,$B51,'Daily Issuance'!$E:$E,"Patty Cash"))</f>
        <v>1</v>
      </c>
      <c r="H51" s="30">
        <f t="shared" si="1"/>
        <v>0</v>
      </c>
      <c r="I51" s="33">
        <v>50</v>
      </c>
      <c r="J51" s="34">
        <f t="shared" si="2"/>
        <v>0</v>
      </c>
    </row>
    <row r="52" spans="1:10" s="27" customFormat="1" ht="23.1" customHeight="1">
      <c r="A52" s="194">
        <f>IF($C52="","",MAX($A$3:A51)+1)</f>
        <v>49</v>
      </c>
      <c r="B52" s="197" t="str">
        <f t="shared" si="0"/>
        <v>PTC048</v>
      </c>
      <c r="C52" s="201" t="s">
        <v>1564</v>
      </c>
      <c r="D52" s="199" t="s">
        <v>112</v>
      </c>
      <c r="E52" s="200"/>
      <c r="F52" s="196">
        <v>1</v>
      </c>
      <c r="G52" s="30">
        <f>IF($B52="","",SUMIFS('Daily Issuance'!$G:$G,'Daily Issuance'!$C:$C,$B52,'Daily Issuance'!$E:$E,"Patty Cash"))</f>
        <v>1</v>
      </c>
      <c r="H52" s="30">
        <f t="shared" si="1"/>
        <v>0</v>
      </c>
      <c r="I52" s="33">
        <v>70</v>
      </c>
      <c r="J52" s="34">
        <f t="shared" si="2"/>
        <v>0</v>
      </c>
    </row>
    <row r="53" spans="1:10" s="27" customFormat="1" ht="23.1" customHeight="1">
      <c r="A53" s="194">
        <f>IF($C53="","",MAX($A$3:A52)+1)</f>
        <v>50</v>
      </c>
      <c r="B53" s="197" t="str">
        <f t="shared" si="0"/>
        <v>PTC049</v>
      </c>
      <c r="C53" s="201" t="s">
        <v>1632</v>
      </c>
      <c r="D53" s="199" t="s">
        <v>1046</v>
      </c>
      <c r="E53" s="200"/>
      <c r="F53" s="196">
        <f>IF($B53="","",SUMIFS('Daily Inward'!$G:$G,'Daily Inward'!$C:$C,$B53,'Daily Inward'!$E:$E,"Patty Cash"))</f>
        <v>1</v>
      </c>
      <c r="G53" s="30">
        <f>IF($B53="","",SUMIFS('Daily Issuance'!$G:$G,'Daily Issuance'!$C:$C,$B53,'Daily Issuance'!$E:$E,"Patty Cash"))</f>
        <v>1</v>
      </c>
      <c r="H53" s="30">
        <f t="shared" si="1"/>
        <v>0</v>
      </c>
      <c r="I53" s="33">
        <v>250</v>
      </c>
      <c r="J53" s="34">
        <f t="shared" si="2"/>
        <v>0</v>
      </c>
    </row>
    <row r="54" spans="1:10" s="27" customFormat="1" ht="23.1" customHeight="1">
      <c r="A54" s="194">
        <f>IF($C54="","",MAX($A$3:A53)+1)</f>
        <v>51</v>
      </c>
      <c r="B54" s="197" t="str">
        <f t="shared" si="0"/>
        <v>PTC050</v>
      </c>
      <c r="C54" s="201" t="s">
        <v>1633</v>
      </c>
      <c r="D54" s="199" t="s">
        <v>112</v>
      </c>
      <c r="E54" s="200"/>
      <c r="F54" s="196">
        <f>IF($B54="","",SUMIFS('Daily Inward'!$G:$G,'Daily Inward'!$C:$C,$B54,'Daily Inward'!$E:$E,"Patty Cash"))</f>
        <v>2</v>
      </c>
      <c r="G54" s="30">
        <f>IF($B54="","",SUMIFS('Daily Issuance'!$G:$G,'Daily Issuance'!$C:$C,$B54,'Daily Issuance'!$E:$E,"Patty Cash"))</f>
        <v>2</v>
      </c>
      <c r="H54" s="30">
        <f t="shared" si="1"/>
        <v>0</v>
      </c>
      <c r="I54" s="33">
        <v>200</v>
      </c>
      <c r="J54" s="34">
        <f t="shared" si="2"/>
        <v>0</v>
      </c>
    </row>
    <row r="55" spans="1:10" s="27" customFormat="1" ht="23.1" customHeight="1">
      <c r="A55" s="194">
        <f>IF($C55="","",MAX($A$3:A54)+1)</f>
        <v>52</v>
      </c>
      <c r="B55" s="197" t="str">
        <f t="shared" si="0"/>
        <v>PTC051</v>
      </c>
      <c r="C55" s="201" t="s">
        <v>1452</v>
      </c>
      <c r="D55" s="199" t="s">
        <v>672</v>
      </c>
      <c r="E55" s="200"/>
      <c r="F55" s="196">
        <f>IF($B55="","",SUMIFS('Daily Inward'!$G:$G,'Daily Inward'!$C:$C,$B55,'Daily Inward'!$E:$E,"Patty Cash"))</f>
        <v>0.72114999999999996</v>
      </c>
      <c r="G55" s="30">
        <f>IF($B55="","",SUMIFS('Daily Issuance'!$G:$G,'Daily Issuance'!$C:$C,$B55,'Daily Issuance'!$E:$E,"Patty Cash"))</f>
        <v>0.72114999999999996</v>
      </c>
      <c r="H55" s="299">
        <f t="shared" si="1"/>
        <v>0</v>
      </c>
      <c r="I55" s="33">
        <v>416</v>
      </c>
      <c r="J55" s="34">
        <f t="shared" si="2"/>
        <v>0</v>
      </c>
    </row>
    <row r="56" spans="1:10" s="27" customFormat="1" ht="23.1" customHeight="1">
      <c r="A56" s="194">
        <f>IF($C56="","",MAX($A$3:A55)+1)</f>
        <v>53</v>
      </c>
      <c r="B56" s="197" t="str">
        <f t="shared" si="0"/>
        <v>PTC052</v>
      </c>
      <c r="C56" s="201" t="s">
        <v>1662</v>
      </c>
      <c r="D56" s="199" t="s">
        <v>112</v>
      </c>
      <c r="E56" s="200"/>
      <c r="F56" s="196">
        <f>IF($B56="","",SUMIFS('Daily Inward'!$G:$G,'Daily Inward'!$C:$C,$B56,'Daily Inward'!$E:$E,"Patty Cash"))</f>
        <v>1</v>
      </c>
      <c r="G56" s="30">
        <f>IF($B56="","",SUMIFS('Daily Issuance'!$G:$G,'Daily Issuance'!$C:$C,$B56,'Daily Issuance'!$E:$E,"Patty Cash"))</f>
        <v>1</v>
      </c>
      <c r="H56" s="30">
        <f t="shared" si="1"/>
        <v>0</v>
      </c>
      <c r="I56" s="33">
        <v>400</v>
      </c>
      <c r="J56" s="34">
        <f t="shared" si="2"/>
        <v>0</v>
      </c>
    </row>
    <row r="57" spans="1:10" s="27" customFormat="1" ht="23.1" customHeight="1">
      <c r="A57" s="194">
        <f>IF($C57="","",MAX($A$3:A56)+1)</f>
        <v>54</v>
      </c>
      <c r="B57" s="197" t="str">
        <f t="shared" si="0"/>
        <v>PTC053</v>
      </c>
      <c r="C57" s="201" t="s">
        <v>1452</v>
      </c>
      <c r="D57" s="199" t="s">
        <v>672</v>
      </c>
      <c r="E57" s="200"/>
      <c r="F57" s="196">
        <f>IF($B57="","",SUMIFS('Daily Inward'!$G:$G,'Daily Inward'!$C:$C,$B57,'Daily Inward'!$E:$E,"Patty Cash"))</f>
        <v>0.72114999999999996</v>
      </c>
      <c r="G57" s="30">
        <f>IF($B57="","",SUMIFS('Daily Issuance'!$G:$G,'Daily Issuance'!$C:$C,$B57,'Daily Issuance'!$E:$E,"Patty Cash"))</f>
        <v>0.72114999999999996</v>
      </c>
      <c r="H57" s="30">
        <f t="shared" si="1"/>
        <v>0</v>
      </c>
      <c r="I57" s="33">
        <v>416</v>
      </c>
      <c r="J57" s="34">
        <f t="shared" si="2"/>
        <v>0</v>
      </c>
    </row>
    <row r="58" spans="1:10" s="27" customFormat="1" ht="23.1" customHeight="1">
      <c r="A58" s="194">
        <f>IF($C58="","",MAX($A$3:A57)+1)</f>
        <v>55</v>
      </c>
      <c r="B58" s="197" t="str">
        <f t="shared" si="0"/>
        <v>PTC054</v>
      </c>
      <c r="C58" s="201" t="s">
        <v>1748</v>
      </c>
      <c r="D58" s="199" t="s">
        <v>1285</v>
      </c>
      <c r="E58" s="200"/>
      <c r="F58" s="196">
        <f>IF($B58="","",SUMIFS('Daily Inward'!$G:$G,'Daily Inward'!$C:$C,$B58,'Daily Inward'!$E:$E,"Patty Cash"))</f>
        <v>0.5</v>
      </c>
      <c r="G58" s="30">
        <f>IF($B58="","",SUMIFS('Daily Issuance'!$G:$G,'Daily Issuance'!$C:$C,$B58,'Daily Issuance'!$E:$E,"Patty Cash"))</f>
        <v>0.5</v>
      </c>
      <c r="H58" s="30">
        <f t="shared" si="1"/>
        <v>0</v>
      </c>
      <c r="I58" s="33">
        <v>2200</v>
      </c>
      <c r="J58" s="34">
        <f t="shared" si="2"/>
        <v>0</v>
      </c>
    </row>
    <row r="59" spans="1:10" s="27" customFormat="1" ht="23.1" customHeight="1">
      <c r="A59" s="194">
        <f>IF($C59="","",MAX($A$3:A58)+1)</f>
        <v>56</v>
      </c>
      <c r="B59" s="197" t="str">
        <f t="shared" si="0"/>
        <v>PTC055</v>
      </c>
      <c r="C59" s="201" t="s">
        <v>1749</v>
      </c>
      <c r="D59" s="199" t="s">
        <v>112</v>
      </c>
      <c r="E59" s="200"/>
      <c r="F59" s="196">
        <f>IF($B59="","",SUMIFS('Daily Inward'!$G:$G,'Daily Inward'!$C:$C,$B59,'Daily Inward'!$E:$E,"Patty Cash"))</f>
        <v>2</v>
      </c>
      <c r="G59" s="30">
        <f>IF($B59="","",SUMIFS('Daily Issuance'!$G:$G,'Daily Issuance'!$C:$C,$B59,'Daily Issuance'!$E:$E,"Patty Cash"))</f>
        <v>1</v>
      </c>
      <c r="H59" s="30">
        <f t="shared" si="1"/>
        <v>1</v>
      </c>
      <c r="I59" s="33">
        <v>50</v>
      </c>
      <c r="J59" s="34">
        <f t="shared" si="2"/>
        <v>50</v>
      </c>
    </row>
    <row r="60" spans="1:10" s="27" customFormat="1" ht="23.1" customHeight="1">
      <c r="A60" s="194">
        <f>IF($C60="","",MAX($A$3:A59)+1)</f>
        <v>57</v>
      </c>
      <c r="B60" s="197" t="str">
        <f t="shared" si="0"/>
        <v>PTC056</v>
      </c>
      <c r="C60" s="201" t="s">
        <v>1750</v>
      </c>
      <c r="D60" s="199" t="s">
        <v>1283</v>
      </c>
      <c r="E60" s="200"/>
      <c r="F60" s="196">
        <f>IF($B60="","",SUMIFS('Daily Inward'!$G:$G,'Daily Inward'!$C:$C,$B60,'Daily Inward'!$E:$E,"Patty Cash"))</f>
        <v>1</v>
      </c>
      <c r="G60" s="30">
        <f>IF($B60="","",SUMIFS('Daily Issuance'!$G:$G,'Daily Issuance'!$C:$C,$B60,'Daily Issuance'!$E:$E,"Patty Cash"))</f>
        <v>1</v>
      </c>
      <c r="H60" s="30">
        <f t="shared" si="1"/>
        <v>0</v>
      </c>
      <c r="I60" s="33">
        <v>230</v>
      </c>
      <c r="J60" s="34">
        <f t="shared" si="2"/>
        <v>0</v>
      </c>
    </row>
    <row r="61" spans="1:10" s="27" customFormat="1" ht="23.1" customHeight="1">
      <c r="A61" s="194">
        <f>IF($C61="","",MAX($A$3:A60)+1)</f>
        <v>58</v>
      </c>
      <c r="B61" s="197" t="str">
        <f t="shared" si="0"/>
        <v>PTC057</v>
      </c>
      <c r="C61" s="201" t="s">
        <v>1452</v>
      </c>
      <c r="D61" s="199" t="s">
        <v>672</v>
      </c>
      <c r="E61" s="200"/>
      <c r="F61" s="196">
        <f>IF($B61="","",SUMIFS('Daily Inward'!$G:$G,'Daily Inward'!$C:$C,$B61,'Daily Inward'!$E:$E,"Patty Cash"))</f>
        <v>0.79039999999999999</v>
      </c>
      <c r="G61" s="30">
        <f>IF($B61="","",SUMIFS('Daily Issuance'!$G:$G,'Daily Issuance'!$C:$C,$B61,'Daily Issuance'!$E:$E,"Patty Cash"))</f>
        <v>0.79039999999999999</v>
      </c>
      <c r="H61" s="30">
        <f t="shared" si="1"/>
        <v>0</v>
      </c>
      <c r="I61" s="33">
        <v>379.57</v>
      </c>
      <c r="J61" s="34">
        <f t="shared" si="2"/>
        <v>0</v>
      </c>
    </row>
    <row r="62" spans="1:10" s="27" customFormat="1" ht="23.1" customHeight="1">
      <c r="A62" s="194" t="str">
        <f>IF($C62="","",MAX($A$3:A61)+1)</f>
        <v/>
      </c>
      <c r="B62" s="197" t="str">
        <f t="shared" si="0"/>
        <v/>
      </c>
      <c r="C62" s="201"/>
      <c r="D62" s="199"/>
      <c r="E62" s="200"/>
      <c r="F62" s="196" t="str">
        <f>IF($B62="","",SUMIFS('Daily Inward'!$G:$G,'Daily Inward'!$C:$C,$B62,'Daily Inward'!$E:$E,"Patty Cash"))</f>
        <v/>
      </c>
      <c r="G62" s="30" t="str">
        <f>IF($B62="","",SUMIFS('Daily Issuance'!$G:$G,'Daily Issuance'!$C:$C,$B62,'Daily Issuance'!$E:$E,"Patty Cash"))</f>
        <v/>
      </c>
      <c r="H62" s="30" t="str">
        <f t="shared" si="1"/>
        <v/>
      </c>
      <c r="I62" s="33"/>
      <c r="J62" s="34" t="str">
        <f t="shared" si="2"/>
        <v/>
      </c>
    </row>
    <row r="63" spans="1:10" s="27" customFormat="1" ht="23.1" customHeight="1">
      <c r="A63" s="194" t="str">
        <f>IF($C63="","",MAX($A$3:A62)+1)</f>
        <v/>
      </c>
      <c r="B63" s="197" t="str">
        <f t="shared" si="0"/>
        <v/>
      </c>
      <c r="C63" s="201"/>
      <c r="D63" s="199"/>
      <c r="E63" s="200"/>
      <c r="F63" s="196" t="str">
        <f>IF($B63="","",SUMIFS('Daily Inward'!$G:$G,'Daily Inward'!$C:$C,$B63,'Daily Inward'!$E:$E,"Patty Cash"))</f>
        <v/>
      </c>
      <c r="G63" s="30" t="str">
        <f>IF($B63="","",SUMIFS('Daily Issuance'!$G:$G,'Daily Issuance'!$C:$C,$B63,'Daily Issuance'!$E:$E,"Patty Cash"))</f>
        <v/>
      </c>
      <c r="H63" s="30" t="str">
        <f t="shared" si="1"/>
        <v/>
      </c>
      <c r="I63" s="33"/>
      <c r="J63" s="34" t="str">
        <f t="shared" si="2"/>
        <v/>
      </c>
    </row>
    <row r="64" spans="1:10" s="27" customFormat="1" ht="23.1" customHeight="1">
      <c r="A64" s="194" t="str">
        <f>IF($C64="","",MAX($A$3:A63)+1)</f>
        <v/>
      </c>
      <c r="B64" s="197" t="str">
        <f t="shared" si="0"/>
        <v/>
      </c>
      <c r="C64" s="201"/>
      <c r="D64" s="199"/>
      <c r="E64" s="200"/>
      <c r="F64" s="196" t="str">
        <f>IF($B64="","",SUMIFS('Daily Inward'!$G:$G,'Daily Inward'!$C:$C,$B64,'Daily Inward'!$E:$E,"Patty Cash"))</f>
        <v/>
      </c>
      <c r="G64" s="30" t="str">
        <f>IF($B64="","",SUMIFS('Daily Issuance'!$G:$G,'Daily Issuance'!$C:$C,$B64,'Daily Issuance'!$E:$E,"Patty Cash"))</f>
        <v/>
      </c>
      <c r="H64" s="30" t="str">
        <f t="shared" si="1"/>
        <v/>
      </c>
      <c r="I64" s="33"/>
      <c r="J64" s="34" t="str">
        <f t="shared" si="2"/>
        <v/>
      </c>
    </row>
    <row r="65" spans="1:10" s="27" customFormat="1" ht="23.1" customHeight="1">
      <c r="A65" s="194" t="str">
        <f>IF($C65="","",MAX($A$3:A64)+1)</f>
        <v/>
      </c>
      <c r="B65" s="197" t="str">
        <f t="shared" si="0"/>
        <v/>
      </c>
      <c r="C65" s="201"/>
      <c r="D65" s="199"/>
      <c r="E65" s="200"/>
      <c r="F65" s="196" t="str">
        <f>IF($B65="","",SUMIFS('Daily Inward'!$G:$G,'Daily Inward'!$C:$C,$B65,'Daily Inward'!$E:$E,"Patty Cash"))</f>
        <v/>
      </c>
      <c r="G65" s="30" t="str">
        <f>IF($B65="","",SUMIFS('Daily Issuance'!$G:$G,'Daily Issuance'!$C:$C,$B65,'Daily Issuance'!$E:$E,"Patty Cash"))</f>
        <v/>
      </c>
      <c r="H65" s="30" t="str">
        <f t="shared" si="1"/>
        <v/>
      </c>
      <c r="I65" s="33"/>
      <c r="J65" s="34" t="str">
        <f t="shared" si="2"/>
        <v/>
      </c>
    </row>
    <row r="66" spans="1:10" s="27" customFormat="1" ht="23.1" customHeight="1">
      <c r="A66" s="194" t="str">
        <f>IF($C66="","",MAX($A$3:A65)+1)</f>
        <v/>
      </c>
      <c r="B66" s="197" t="str">
        <f t="shared" si="0"/>
        <v/>
      </c>
      <c r="C66" s="201"/>
      <c r="D66" s="199"/>
      <c r="E66" s="200"/>
      <c r="F66" s="196" t="str">
        <f>IF($B66="","",SUMIFS('Daily Inward'!$G:$G,'Daily Inward'!$C:$C,$B66,'Daily Inward'!$E:$E,"Patty Cash"))</f>
        <v/>
      </c>
      <c r="G66" s="30" t="str">
        <f>IF($B66="","",SUMIFS('Daily Issuance'!$G:$G,'Daily Issuance'!$C:$C,$B66,'Daily Issuance'!$E:$E,"Patty Cash"))</f>
        <v/>
      </c>
      <c r="H66" s="30" t="str">
        <f t="shared" si="1"/>
        <v/>
      </c>
      <c r="I66" s="33"/>
      <c r="J66" s="34" t="str">
        <f t="shared" si="2"/>
        <v/>
      </c>
    </row>
    <row r="67" spans="1:10" s="27" customFormat="1" ht="23.1" customHeight="1">
      <c r="A67" s="194" t="str">
        <f>IF($C67="","",MAX($A$3:A66)+1)</f>
        <v/>
      </c>
      <c r="B67" s="197" t="str">
        <f t="shared" si="0"/>
        <v/>
      </c>
      <c r="C67" s="201"/>
      <c r="D67" s="199"/>
      <c r="E67" s="200"/>
      <c r="F67" s="196" t="str">
        <f>IF($B67="","",SUMIFS('Daily Inward'!$G:$G,'Daily Inward'!$C:$C,$B67,'Daily Inward'!$E:$E,"Patty Cash"))</f>
        <v/>
      </c>
      <c r="G67" s="30" t="str">
        <f>IF($B67="","",SUMIFS('Daily Issuance'!$G:$G,'Daily Issuance'!$C:$C,$B67,'Daily Issuance'!$E:$E,"Patty Cash"))</f>
        <v/>
      </c>
      <c r="H67" s="30" t="str">
        <f t="shared" si="1"/>
        <v/>
      </c>
      <c r="I67" s="33"/>
      <c r="J67" s="34" t="str">
        <f t="shared" si="2"/>
        <v/>
      </c>
    </row>
    <row r="68" spans="1:10" s="27" customFormat="1" ht="23.1" customHeight="1">
      <c r="A68" s="194" t="str">
        <f>IF($C68="","",MAX($A$3:A67)+1)</f>
        <v/>
      </c>
      <c r="B68" s="197" t="str">
        <f t="shared" si="0"/>
        <v/>
      </c>
      <c r="C68" s="201"/>
      <c r="D68" s="199"/>
      <c r="E68" s="200"/>
      <c r="F68" s="196" t="str">
        <f>IF($B68="","",SUMIFS('Daily Inward'!$G:$G,'Daily Inward'!$C:$C,$B68,'Daily Inward'!$E:$E,"Patty Cash"))</f>
        <v/>
      </c>
      <c r="G68" s="30" t="str">
        <f>IF($B68="","",SUMIFS('Daily Issuance'!$G:$G,'Daily Issuance'!$C:$C,$B68,'Daily Issuance'!$E:$E,"Patty Cash"))</f>
        <v/>
      </c>
      <c r="H68" s="30" t="str">
        <f t="shared" si="1"/>
        <v/>
      </c>
      <c r="I68" s="33"/>
      <c r="J68" s="34" t="str">
        <f t="shared" si="2"/>
        <v/>
      </c>
    </row>
    <row r="69" spans="1:10" s="27" customFormat="1" ht="23.1" customHeight="1">
      <c r="A69" s="194" t="str">
        <f>IF($C69="","",MAX($A$3:A68)+1)</f>
        <v/>
      </c>
      <c r="B69" s="197" t="str">
        <f t="shared" ref="B69:B132" si="3">IF($C69="","","PTC"&amp;TEXT(ROW()-4,"000"))</f>
        <v/>
      </c>
      <c r="C69" s="201"/>
      <c r="D69" s="199"/>
      <c r="E69" s="200"/>
      <c r="F69" s="196" t="str">
        <f>IF($B69="","",SUMIFS('Daily Inward'!$G:$G,'Daily Inward'!$C:$C,$B69,'Daily Inward'!$E:$E,"Patty Cash"))</f>
        <v/>
      </c>
      <c r="G69" s="30" t="str">
        <f>IF($B69="","",SUMIFS('Daily Issuance'!$G:$G,'Daily Issuance'!$C:$C,$B69,'Daily Issuance'!$E:$E,"Patty Cash"))</f>
        <v/>
      </c>
      <c r="H69" s="30" t="str">
        <f t="shared" ref="H69:H132" si="4">IF($B69="","",F69-G69)</f>
        <v/>
      </c>
      <c r="I69" s="33"/>
      <c r="J69" s="34" t="str">
        <f t="shared" ref="J69:J132" si="5">IF(OR(H69="",I69=""),"",H69*I69)</f>
        <v/>
      </c>
    </row>
    <row r="70" spans="1:10" s="27" customFormat="1" ht="23.1" customHeight="1">
      <c r="A70" s="194" t="str">
        <f>IF($C70="","",MAX($A$3:A69)+1)</f>
        <v/>
      </c>
      <c r="B70" s="197" t="str">
        <f t="shared" si="3"/>
        <v/>
      </c>
      <c r="C70" s="201"/>
      <c r="D70" s="199"/>
      <c r="E70" s="200"/>
      <c r="F70" s="196" t="str">
        <f>IF($B70="","",SUMIFS('Daily Inward'!$G:$G,'Daily Inward'!$C:$C,$B70,'Daily Inward'!$E:$E,"Patty Cash"))</f>
        <v/>
      </c>
      <c r="G70" s="30" t="str">
        <f>IF($B70="","",SUMIFS('Daily Issuance'!$G:$G,'Daily Issuance'!$C:$C,$B70,'Daily Issuance'!$E:$E,"Patty Cash"))</f>
        <v/>
      </c>
      <c r="H70" s="30" t="str">
        <f t="shared" si="4"/>
        <v/>
      </c>
      <c r="I70" s="33"/>
      <c r="J70" s="34" t="str">
        <f t="shared" si="5"/>
        <v/>
      </c>
    </row>
    <row r="71" spans="1:10" s="27" customFormat="1" ht="23.1" customHeight="1">
      <c r="A71" s="194" t="str">
        <f>IF($C71="","",MAX($A$3:A70)+1)</f>
        <v/>
      </c>
      <c r="B71" s="197" t="str">
        <f t="shared" si="3"/>
        <v/>
      </c>
      <c r="C71" s="201"/>
      <c r="D71" s="199"/>
      <c r="E71" s="200"/>
      <c r="F71" s="196" t="str">
        <f>IF($B71="","",SUMIFS('Daily Inward'!$G:$G,'Daily Inward'!$C:$C,$B71,'Daily Inward'!$E:$E,"Patty Cash"))</f>
        <v/>
      </c>
      <c r="G71" s="30" t="str">
        <f>IF($B71="","",SUMIFS('Daily Issuance'!$G:$G,'Daily Issuance'!$C:$C,$B71,'Daily Issuance'!$E:$E,"Patty Cash"))</f>
        <v/>
      </c>
      <c r="H71" s="30" t="str">
        <f t="shared" si="4"/>
        <v/>
      </c>
      <c r="I71" s="33"/>
      <c r="J71" s="34" t="str">
        <f t="shared" si="5"/>
        <v/>
      </c>
    </row>
    <row r="72" spans="1:10" s="27" customFormat="1" ht="23.1" customHeight="1">
      <c r="A72" s="194" t="str">
        <f>IF($C72="","",MAX($A$3:A71)+1)</f>
        <v/>
      </c>
      <c r="B72" s="197" t="str">
        <f t="shared" si="3"/>
        <v/>
      </c>
      <c r="C72" s="201"/>
      <c r="D72" s="199"/>
      <c r="E72" s="200"/>
      <c r="F72" s="196" t="str">
        <f>IF($B72="","",SUMIFS('Daily Inward'!$G:$G,'Daily Inward'!$C:$C,$B72,'Daily Inward'!$E:$E,"Patty Cash"))</f>
        <v/>
      </c>
      <c r="G72" s="30" t="str">
        <f>IF($B72="","",SUMIFS('Daily Issuance'!$G:$G,'Daily Issuance'!$C:$C,$B72,'Daily Issuance'!$E:$E,"Patty Cash"))</f>
        <v/>
      </c>
      <c r="H72" s="30" t="str">
        <f t="shared" si="4"/>
        <v/>
      </c>
      <c r="I72" s="33"/>
      <c r="J72" s="34" t="str">
        <f t="shared" si="5"/>
        <v/>
      </c>
    </row>
    <row r="73" spans="1:10" s="27" customFormat="1" ht="23.1" customHeight="1">
      <c r="A73" s="194" t="str">
        <f>IF($C73="","",MAX($A$3:A72)+1)</f>
        <v/>
      </c>
      <c r="B73" s="197" t="str">
        <f t="shared" si="3"/>
        <v/>
      </c>
      <c r="C73" s="201"/>
      <c r="D73" s="199"/>
      <c r="E73" s="200"/>
      <c r="F73" s="196" t="str">
        <f>IF($B73="","",SUMIFS('Daily Inward'!$G:$G,'Daily Inward'!$C:$C,$B73,'Daily Inward'!$E:$E,"Patty Cash"))</f>
        <v/>
      </c>
      <c r="G73" s="30" t="str">
        <f>IF($B73="","",SUMIFS('Daily Issuance'!$G:$G,'Daily Issuance'!$C:$C,$B73,'Daily Issuance'!$E:$E,"Patty Cash"))</f>
        <v/>
      </c>
      <c r="H73" s="30" t="str">
        <f t="shared" si="4"/>
        <v/>
      </c>
      <c r="I73" s="33"/>
      <c r="J73" s="34" t="str">
        <f t="shared" si="5"/>
        <v/>
      </c>
    </row>
    <row r="74" spans="1:10" s="27" customFormat="1" ht="23.1" customHeight="1">
      <c r="A74" s="194" t="str">
        <f>IF($C74="","",MAX($A$3:A73)+1)</f>
        <v/>
      </c>
      <c r="B74" s="197" t="str">
        <f t="shared" si="3"/>
        <v/>
      </c>
      <c r="C74" s="201"/>
      <c r="D74" s="199"/>
      <c r="E74" s="200"/>
      <c r="F74" s="196" t="str">
        <f>IF($B74="","",SUMIFS('Daily Inward'!$G:$G,'Daily Inward'!$C:$C,$B74,'Daily Inward'!$E:$E,"Patty Cash"))</f>
        <v/>
      </c>
      <c r="G74" s="30" t="str">
        <f>IF($B74="","",SUMIFS('Daily Issuance'!$G:$G,'Daily Issuance'!$C:$C,$B74,'Daily Issuance'!$E:$E,"Patty Cash"))</f>
        <v/>
      </c>
      <c r="H74" s="30" t="str">
        <f t="shared" si="4"/>
        <v/>
      </c>
      <c r="I74" s="33"/>
      <c r="J74" s="34" t="str">
        <f t="shared" si="5"/>
        <v/>
      </c>
    </row>
    <row r="75" spans="1:10" s="27" customFormat="1" ht="23.1" customHeight="1">
      <c r="A75" s="194" t="str">
        <f>IF($C75="","",MAX($A$3:A74)+1)</f>
        <v/>
      </c>
      <c r="B75" s="197" t="str">
        <f t="shared" si="3"/>
        <v/>
      </c>
      <c r="C75" s="201"/>
      <c r="D75" s="199"/>
      <c r="E75" s="200"/>
      <c r="F75" s="196" t="str">
        <f>IF($B75="","",SUMIFS('Daily Inward'!$G:$G,'Daily Inward'!$C:$C,$B75,'Daily Inward'!$E:$E,"Patty Cash"))</f>
        <v/>
      </c>
      <c r="G75" s="30" t="str">
        <f>IF($B75="","",SUMIFS('Daily Issuance'!$G:$G,'Daily Issuance'!$C:$C,$B75,'Daily Issuance'!$E:$E,"Patty Cash"))</f>
        <v/>
      </c>
      <c r="H75" s="30" t="str">
        <f t="shared" si="4"/>
        <v/>
      </c>
      <c r="I75" s="33"/>
      <c r="J75" s="34" t="str">
        <f t="shared" si="5"/>
        <v/>
      </c>
    </row>
    <row r="76" spans="1:10" s="27" customFormat="1" ht="23.1" customHeight="1">
      <c r="A76" s="194" t="str">
        <f>IF($C76="","",MAX($A$3:A75)+1)</f>
        <v/>
      </c>
      <c r="B76" s="197" t="str">
        <f t="shared" si="3"/>
        <v/>
      </c>
      <c r="C76" s="201"/>
      <c r="D76" s="199"/>
      <c r="E76" s="200"/>
      <c r="F76" s="196" t="str">
        <f>IF($B76="","",SUMIFS('Daily Inward'!$G:$G,'Daily Inward'!$C:$C,$B76,'Daily Inward'!$E:$E,"Patty Cash"))</f>
        <v/>
      </c>
      <c r="G76" s="30" t="str">
        <f>IF($B76="","",SUMIFS('Daily Issuance'!$G:$G,'Daily Issuance'!$C:$C,$B76,'Daily Issuance'!$E:$E,"Patty Cash"))</f>
        <v/>
      </c>
      <c r="H76" s="30" t="str">
        <f t="shared" si="4"/>
        <v/>
      </c>
      <c r="I76" s="33"/>
      <c r="J76" s="34" t="str">
        <f t="shared" si="5"/>
        <v/>
      </c>
    </row>
    <row r="77" spans="1:10" s="27" customFormat="1" ht="23.1" customHeight="1">
      <c r="A77" s="194" t="str">
        <f>IF($C77="","",MAX($A$3:A76)+1)</f>
        <v/>
      </c>
      <c r="B77" s="197" t="str">
        <f t="shared" si="3"/>
        <v/>
      </c>
      <c r="C77" s="201"/>
      <c r="D77" s="199"/>
      <c r="E77" s="200"/>
      <c r="F77" s="196" t="str">
        <f>IF($B77="","",SUMIFS('Daily Inward'!$G:$G,'Daily Inward'!$C:$C,$B77,'Daily Inward'!$E:$E,"Patty Cash"))</f>
        <v/>
      </c>
      <c r="G77" s="30" t="str">
        <f>IF($B77="","",SUMIFS('Daily Issuance'!$G:$G,'Daily Issuance'!$C:$C,$B77,'Daily Issuance'!$E:$E,"Patty Cash"))</f>
        <v/>
      </c>
      <c r="H77" s="30" t="str">
        <f t="shared" si="4"/>
        <v/>
      </c>
      <c r="I77" s="33"/>
      <c r="J77" s="34" t="str">
        <f t="shared" si="5"/>
        <v/>
      </c>
    </row>
    <row r="78" spans="1:10" s="27" customFormat="1" ht="23.1" customHeight="1">
      <c r="A78" s="194" t="str">
        <f>IF($C78="","",MAX($A$3:A77)+1)</f>
        <v/>
      </c>
      <c r="B78" s="197" t="str">
        <f t="shared" si="3"/>
        <v/>
      </c>
      <c r="C78" s="201"/>
      <c r="D78" s="199"/>
      <c r="E78" s="200"/>
      <c r="F78" s="196" t="str">
        <f>IF($B78="","",SUMIFS('Daily Inward'!$G:$G,'Daily Inward'!$C:$C,$B78,'Daily Inward'!$E:$E,"Patty Cash"))</f>
        <v/>
      </c>
      <c r="G78" s="30" t="str">
        <f>IF($B78="","",SUMIFS('Daily Issuance'!$G:$G,'Daily Issuance'!$C:$C,$B78,'Daily Issuance'!$E:$E,"Patty Cash"))</f>
        <v/>
      </c>
      <c r="H78" s="30" t="str">
        <f t="shared" si="4"/>
        <v/>
      </c>
      <c r="I78" s="33"/>
      <c r="J78" s="34" t="str">
        <f t="shared" si="5"/>
        <v/>
      </c>
    </row>
    <row r="79" spans="1:10" s="27" customFormat="1" ht="23.1" customHeight="1">
      <c r="A79" s="194" t="str">
        <f>IF($C79="","",MAX($A$3:A78)+1)</f>
        <v/>
      </c>
      <c r="B79" s="197" t="str">
        <f t="shared" si="3"/>
        <v/>
      </c>
      <c r="C79" s="201"/>
      <c r="D79" s="199"/>
      <c r="E79" s="200"/>
      <c r="F79" s="196" t="str">
        <f>IF($B79="","",SUMIFS('Daily Inward'!$G:$G,'Daily Inward'!$C:$C,$B79,'Daily Inward'!$E:$E,"Patty Cash"))</f>
        <v/>
      </c>
      <c r="G79" s="30" t="str">
        <f>IF($B79="","",SUMIFS('Daily Issuance'!$G:$G,'Daily Issuance'!$C:$C,$B79,'Daily Issuance'!$E:$E,"Patty Cash"))</f>
        <v/>
      </c>
      <c r="H79" s="30" t="str">
        <f t="shared" si="4"/>
        <v/>
      </c>
      <c r="I79" s="33"/>
      <c r="J79" s="34" t="str">
        <f t="shared" si="5"/>
        <v/>
      </c>
    </row>
    <row r="80" spans="1:10" s="27" customFormat="1" ht="23.1" customHeight="1">
      <c r="A80" s="194" t="str">
        <f>IF($C80="","",MAX($A$3:A79)+1)</f>
        <v/>
      </c>
      <c r="B80" s="197" t="str">
        <f t="shared" si="3"/>
        <v/>
      </c>
      <c r="C80" s="201"/>
      <c r="D80" s="199"/>
      <c r="E80" s="200"/>
      <c r="F80" s="196" t="str">
        <f>IF($B80="","",SUMIFS('Daily Inward'!$G:$G,'Daily Inward'!$C:$C,$B80,'Daily Inward'!$E:$E,"Patty Cash"))</f>
        <v/>
      </c>
      <c r="G80" s="30" t="str">
        <f>IF($B80="","",SUMIFS('Daily Issuance'!$G:$G,'Daily Issuance'!$C:$C,$B80,'Daily Issuance'!$E:$E,"Patty Cash"))</f>
        <v/>
      </c>
      <c r="H80" s="30" t="str">
        <f t="shared" si="4"/>
        <v/>
      </c>
      <c r="I80" s="33"/>
      <c r="J80" s="34" t="str">
        <f t="shared" si="5"/>
        <v/>
      </c>
    </row>
    <row r="81" spans="1:10" s="27" customFormat="1" ht="23.1" customHeight="1">
      <c r="A81" s="194" t="str">
        <f>IF($C81="","",MAX($A$3:A80)+1)</f>
        <v/>
      </c>
      <c r="B81" s="197" t="str">
        <f t="shared" si="3"/>
        <v/>
      </c>
      <c r="C81" s="201"/>
      <c r="D81" s="199"/>
      <c r="E81" s="200"/>
      <c r="F81" s="196" t="str">
        <f>IF($B81="","",SUMIFS('Daily Inward'!$G:$G,'Daily Inward'!$C:$C,$B81,'Daily Inward'!$E:$E,"Patty Cash"))</f>
        <v/>
      </c>
      <c r="G81" s="30" t="str">
        <f>IF($B81="","",SUMIFS('Daily Issuance'!$G:$G,'Daily Issuance'!$C:$C,$B81,'Daily Issuance'!$E:$E,"Patty Cash"))</f>
        <v/>
      </c>
      <c r="H81" s="30" t="str">
        <f t="shared" si="4"/>
        <v/>
      </c>
      <c r="I81" s="33"/>
      <c r="J81" s="34" t="str">
        <f t="shared" si="5"/>
        <v/>
      </c>
    </row>
    <row r="82" spans="1:10" s="27" customFormat="1" ht="23.1" customHeight="1">
      <c r="A82" s="194" t="str">
        <f>IF($C82="","",MAX($A$3:A81)+1)</f>
        <v/>
      </c>
      <c r="B82" s="197" t="str">
        <f t="shared" si="3"/>
        <v/>
      </c>
      <c r="C82" s="201"/>
      <c r="D82" s="199"/>
      <c r="E82" s="200"/>
      <c r="F82" s="196" t="str">
        <f>IF($B82="","",SUMIFS('Daily Inward'!$G:$G,'Daily Inward'!$C:$C,$B82,'Daily Inward'!$E:$E,"Patty Cash"))</f>
        <v/>
      </c>
      <c r="G82" s="30" t="str">
        <f>IF($B82="","",SUMIFS('Daily Issuance'!$G:$G,'Daily Issuance'!$C:$C,$B82,'Daily Issuance'!$E:$E,"Patty Cash"))</f>
        <v/>
      </c>
      <c r="H82" s="30" t="str">
        <f t="shared" si="4"/>
        <v/>
      </c>
      <c r="I82" s="33"/>
      <c r="J82" s="34" t="str">
        <f t="shared" si="5"/>
        <v/>
      </c>
    </row>
    <row r="83" spans="1:10" s="27" customFormat="1" ht="23.1" customHeight="1">
      <c r="A83" s="194" t="str">
        <f>IF($C83="","",MAX($A$3:A82)+1)</f>
        <v/>
      </c>
      <c r="B83" s="197" t="str">
        <f t="shared" si="3"/>
        <v/>
      </c>
      <c r="C83" s="201"/>
      <c r="D83" s="199"/>
      <c r="E83" s="200"/>
      <c r="F83" s="196" t="str">
        <f>IF($B83="","",SUMIFS('Daily Inward'!$G:$G,'Daily Inward'!$C:$C,$B83,'Daily Inward'!$E:$E,"Patty Cash"))</f>
        <v/>
      </c>
      <c r="G83" s="30" t="str">
        <f>IF($B83="","",SUMIFS('Daily Issuance'!$G:$G,'Daily Issuance'!$C:$C,$B83,'Daily Issuance'!$E:$E,"Patty Cash"))</f>
        <v/>
      </c>
      <c r="H83" s="30" t="str">
        <f t="shared" si="4"/>
        <v/>
      </c>
      <c r="I83" s="33"/>
      <c r="J83" s="34" t="str">
        <f t="shared" si="5"/>
        <v/>
      </c>
    </row>
    <row r="84" spans="1:10" s="27" customFormat="1" ht="23.1" customHeight="1">
      <c r="A84" s="194" t="str">
        <f>IF($C84="","",MAX($A$3:A83)+1)</f>
        <v/>
      </c>
      <c r="B84" s="197" t="str">
        <f t="shared" si="3"/>
        <v/>
      </c>
      <c r="C84" s="201"/>
      <c r="D84" s="199"/>
      <c r="E84" s="200"/>
      <c r="F84" s="196" t="str">
        <f>IF($B84="","",SUMIFS('Daily Inward'!$G:$G,'Daily Inward'!$C:$C,$B84,'Daily Inward'!$E:$E,"Patty Cash"))</f>
        <v/>
      </c>
      <c r="G84" s="30" t="str">
        <f>IF($B84="","",SUMIFS('Daily Issuance'!$G:$G,'Daily Issuance'!$C:$C,$B84,'Daily Issuance'!$E:$E,"Patty Cash"))</f>
        <v/>
      </c>
      <c r="H84" s="30" t="str">
        <f t="shared" si="4"/>
        <v/>
      </c>
      <c r="I84" s="33"/>
      <c r="J84" s="34" t="str">
        <f t="shared" si="5"/>
        <v/>
      </c>
    </row>
    <row r="85" spans="1:10" s="27" customFormat="1" ht="23.1" customHeight="1">
      <c r="A85" s="194" t="str">
        <f>IF($C85="","",MAX($A$3:A84)+1)</f>
        <v/>
      </c>
      <c r="B85" s="197" t="str">
        <f t="shared" si="3"/>
        <v/>
      </c>
      <c r="C85" s="201"/>
      <c r="D85" s="199"/>
      <c r="E85" s="200"/>
      <c r="F85" s="196" t="str">
        <f>IF($B85="","",SUMIFS('Daily Inward'!$G:$G,'Daily Inward'!$C:$C,$B85,'Daily Inward'!$E:$E,"Patty Cash"))</f>
        <v/>
      </c>
      <c r="G85" s="30" t="str">
        <f>IF($B85="","",SUMIFS('Daily Issuance'!$G:$G,'Daily Issuance'!$C:$C,$B85,'Daily Issuance'!$E:$E,"Patty Cash"))</f>
        <v/>
      </c>
      <c r="H85" s="30" t="str">
        <f t="shared" si="4"/>
        <v/>
      </c>
      <c r="I85" s="33"/>
      <c r="J85" s="34" t="str">
        <f t="shared" si="5"/>
        <v/>
      </c>
    </row>
    <row r="86" spans="1:10" s="27" customFormat="1" ht="23.1" customHeight="1">
      <c r="A86" s="194" t="str">
        <f>IF($C86="","",MAX($A$3:A85)+1)</f>
        <v/>
      </c>
      <c r="B86" s="197" t="str">
        <f t="shared" si="3"/>
        <v/>
      </c>
      <c r="C86" s="201"/>
      <c r="D86" s="199"/>
      <c r="E86" s="200"/>
      <c r="F86" s="196" t="str">
        <f>IF($B86="","",SUMIFS('Daily Inward'!$G:$G,'Daily Inward'!$C:$C,$B86,'Daily Inward'!$E:$E,"Patty Cash"))</f>
        <v/>
      </c>
      <c r="G86" s="30" t="str">
        <f>IF($B86="","",SUMIFS('Daily Issuance'!$G:$G,'Daily Issuance'!$C:$C,$B86,'Daily Issuance'!$E:$E,"Patty Cash"))</f>
        <v/>
      </c>
      <c r="H86" s="30" t="str">
        <f t="shared" si="4"/>
        <v/>
      </c>
      <c r="I86" s="33"/>
      <c r="J86" s="34" t="str">
        <f t="shared" si="5"/>
        <v/>
      </c>
    </row>
    <row r="87" spans="1:10" s="27" customFormat="1" ht="23.1" customHeight="1">
      <c r="A87" s="194" t="str">
        <f>IF($C87="","",MAX($A$3:A86)+1)</f>
        <v/>
      </c>
      <c r="B87" s="197" t="str">
        <f t="shared" si="3"/>
        <v/>
      </c>
      <c r="C87" s="201"/>
      <c r="D87" s="199"/>
      <c r="E87" s="200"/>
      <c r="F87" s="196" t="str">
        <f>IF($B87="","",SUMIFS('Daily Inward'!$G:$G,'Daily Inward'!$C:$C,$B87,'Daily Inward'!$E:$E,"Patty Cash"))</f>
        <v/>
      </c>
      <c r="G87" s="30" t="str">
        <f>IF($B87="","",SUMIFS('Daily Issuance'!$G:$G,'Daily Issuance'!$C:$C,$B87,'Daily Issuance'!$E:$E,"Patty Cash"))</f>
        <v/>
      </c>
      <c r="H87" s="30" t="str">
        <f t="shared" si="4"/>
        <v/>
      </c>
      <c r="I87" s="33"/>
      <c r="J87" s="34" t="str">
        <f t="shared" si="5"/>
        <v/>
      </c>
    </row>
    <row r="88" spans="1:10" s="27" customFormat="1" ht="23.1" customHeight="1">
      <c r="A88" s="194" t="str">
        <f>IF($C88="","",MAX($A$3:A87)+1)</f>
        <v/>
      </c>
      <c r="B88" s="197" t="str">
        <f t="shared" si="3"/>
        <v/>
      </c>
      <c r="C88" s="201"/>
      <c r="D88" s="199"/>
      <c r="E88" s="200"/>
      <c r="F88" s="196" t="str">
        <f>IF($B88="","",SUMIFS('Daily Inward'!$G:$G,'Daily Inward'!$C:$C,$B88,'Daily Inward'!$E:$E,"Patty Cash"))</f>
        <v/>
      </c>
      <c r="G88" s="30" t="str">
        <f>IF($B88="","",SUMIFS('Daily Issuance'!$G:$G,'Daily Issuance'!$C:$C,$B88,'Daily Issuance'!$E:$E,"Patty Cash"))</f>
        <v/>
      </c>
      <c r="H88" s="30" t="str">
        <f t="shared" si="4"/>
        <v/>
      </c>
      <c r="I88" s="33"/>
      <c r="J88" s="34" t="str">
        <f t="shared" si="5"/>
        <v/>
      </c>
    </row>
    <row r="89" spans="1:10" s="27" customFormat="1" ht="23.1" customHeight="1">
      <c r="A89" s="194" t="str">
        <f>IF($C89="","",MAX($A$3:A88)+1)</f>
        <v/>
      </c>
      <c r="B89" s="197" t="str">
        <f t="shared" si="3"/>
        <v/>
      </c>
      <c r="C89" s="201"/>
      <c r="D89" s="199"/>
      <c r="E89" s="200"/>
      <c r="F89" s="196" t="str">
        <f>IF($B89="","",SUMIFS('Daily Inward'!$G:$G,'Daily Inward'!$C:$C,$B89,'Daily Inward'!$E:$E,"Patty Cash"))</f>
        <v/>
      </c>
      <c r="G89" s="30" t="str">
        <f>IF($B89="","",SUMIFS('Daily Issuance'!$G:$G,'Daily Issuance'!$C:$C,$B89,'Daily Issuance'!$E:$E,"Patty Cash"))</f>
        <v/>
      </c>
      <c r="H89" s="30" t="str">
        <f t="shared" si="4"/>
        <v/>
      </c>
      <c r="I89" s="33"/>
      <c r="J89" s="34" t="str">
        <f t="shared" si="5"/>
        <v/>
      </c>
    </row>
    <row r="90" spans="1:10" s="27" customFormat="1" ht="23.1" customHeight="1">
      <c r="A90" s="194" t="str">
        <f>IF($C90="","",MAX($A$3:A89)+1)</f>
        <v/>
      </c>
      <c r="B90" s="197" t="str">
        <f t="shared" si="3"/>
        <v/>
      </c>
      <c r="C90" s="201"/>
      <c r="D90" s="199"/>
      <c r="E90" s="200"/>
      <c r="F90" s="196" t="str">
        <f>IF($B90="","",SUMIFS('Daily Inward'!$G:$G,'Daily Inward'!$C:$C,$B90,'Daily Inward'!$E:$E,"Patty Cash"))</f>
        <v/>
      </c>
      <c r="G90" s="30" t="str">
        <f>IF($B90="","",SUMIFS('Daily Issuance'!$G:$G,'Daily Issuance'!$C:$C,$B90,'Daily Issuance'!$E:$E,"Patty Cash"))</f>
        <v/>
      </c>
      <c r="H90" s="30" t="str">
        <f t="shared" si="4"/>
        <v/>
      </c>
      <c r="I90" s="33"/>
      <c r="J90" s="34" t="str">
        <f t="shared" si="5"/>
        <v/>
      </c>
    </row>
    <row r="91" spans="1:10" s="27" customFormat="1" ht="23.1" customHeight="1">
      <c r="A91" s="194" t="str">
        <f>IF($C91="","",MAX($A$3:A90)+1)</f>
        <v/>
      </c>
      <c r="B91" s="197" t="str">
        <f t="shared" si="3"/>
        <v/>
      </c>
      <c r="C91" s="201"/>
      <c r="D91" s="199"/>
      <c r="E91" s="200"/>
      <c r="F91" s="196" t="str">
        <f>IF($B91="","",SUMIFS('Daily Inward'!$G:$G,'Daily Inward'!$C:$C,$B91,'Daily Inward'!$E:$E,"Patty Cash"))</f>
        <v/>
      </c>
      <c r="G91" s="30" t="str">
        <f>IF($B91="","",SUMIFS('Daily Issuance'!$G:$G,'Daily Issuance'!$C:$C,$B91,'Daily Issuance'!$E:$E,"Patty Cash"))</f>
        <v/>
      </c>
      <c r="H91" s="30" t="str">
        <f t="shared" si="4"/>
        <v/>
      </c>
      <c r="I91" s="33"/>
      <c r="J91" s="34" t="str">
        <f t="shared" si="5"/>
        <v/>
      </c>
    </row>
    <row r="92" spans="1:10" s="27" customFormat="1" ht="23.1" customHeight="1">
      <c r="A92" s="194" t="str">
        <f>IF($C92="","",MAX($A$3:A91)+1)</f>
        <v/>
      </c>
      <c r="B92" s="197" t="str">
        <f t="shared" si="3"/>
        <v/>
      </c>
      <c r="C92" s="201"/>
      <c r="D92" s="199"/>
      <c r="E92" s="200"/>
      <c r="F92" s="196" t="str">
        <f>IF($B92="","",SUMIFS('Daily Inward'!$G:$G,'Daily Inward'!$C:$C,$B92,'Daily Inward'!$E:$E,"Patty Cash"))</f>
        <v/>
      </c>
      <c r="G92" s="30" t="str">
        <f>IF($B92="","",SUMIFS('Daily Issuance'!$G:$G,'Daily Issuance'!$C:$C,$B92,'Daily Issuance'!$E:$E,"Patty Cash"))</f>
        <v/>
      </c>
      <c r="H92" s="30" t="str">
        <f t="shared" si="4"/>
        <v/>
      </c>
      <c r="I92" s="33"/>
      <c r="J92" s="34" t="str">
        <f t="shared" si="5"/>
        <v/>
      </c>
    </row>
    <row r="93" spans="1:10" s="27" customFormat="1" ht="23.1" customHeight="1">
      <c r="A93" s="194" t="str">
        <f>IF($C93="","",MAX($A$3:A92)+1)</f>
        <v/>
      </c>
      <c r="B93" s="197" t="str">
        <f t="shared" si="3"/>
        <v/>
      </c>
      <c r="C93" s="201"/>
      <c r="D93" s="199"/>
      <c r="E93" s="200"/>
      <c r="F93" s="196" t="str">
        <f>IF($B93="","",SUMIFS('Daily Inward'!$G:$G,'Daily Inward'!$C:$C,$B93,'Daily Inward'!$E:$E,"Patty Cash"))</f>
        <v/>
      </c>
      <c r="G93" s="30" t="str">
        <f>IF($B93="","",SUMIFS('Daily Issuance'!$G:$G,'Daily Issuance'!$C:$C,$B93,'Daily Issuance'!$E:$E,"Patty Cash"))</f>
        <v/>
      </c>
      <c r="H93" s="30" t="str">
        <f t="shared" si="4"/>
        <v/>
      </c>
      <c r="I93" s="33"/>
      <c r="J93" s="34" t="str">
        <f t="shared" si="5"/>
        <v/>
      </c>
    </row>
    <row r="94" spans="1:10" s="27" customFormat="1" ht="23.1" customHeight="1">
      <c r="A94" s="194" t="str">
        <f>IF($C94="","",MAX($A$3:A93)+1)</f>
        <v/>
      </c>
      <c r="B94" s="197" t="str">
        <f t="shared" si="3"/>
        <v/>
      </c>
      <c r="C94" s="201"/>
      <c r="D94" s="199"/>
      <c r="E94" s="200"/>
      <c r="F94" s="196" t="str">
        <f>IF($B94="","",SUMIFS('Daily Inward'!$G:$G,'Daily Inward'!$C:$C,$B94,'Daily Inward'!$E:$E,"Patty Cash"))</f>
        <v/>
      </c>
      <c r="G94" s="30" t="str">
        <f>IF($B94="","",SUMIFS('Daily Issuance'!$G:$G,'Daily Issuance'!$C:$C,$B94,'Daily Issuance'!$E:$E,"Patty Cash"))</f>
        <v/>
      </c>
      <c r="H94" s="30" t="str">
        <f t="shared" si="4"/>
        <v/>
      </c>
      <c r="I94" s="33"/>
      <c r="J94" s="34" t="str">
        <f t="shared" si="5"/>
        <v/>
      </c>
    </row>
    <row r="95" spans="1:10" s="27" customFormat="1" ht="23.1" customHeight="1">
      <c r="A95" s="194" t="str">
        <f>IF($C95="","",MAX($A$3:A94)+1)</f>
        <v/>
      </c>
      <c r="B95" s="197" t="str">
        <f t="shared" si="3"/>
        <v/>
      </c>
      <c r="C95" s="201"/>
      <c r="D95" s="199"/>
      <c r="E95" s="200"/>
      <c r="F95" s="196" t="str">
        <f>IF($B95="","",SUMIFS('Daily Inward'!$G:$G,'Daily Inward'!$C:$C,$B95,'Daily Inward'!$E:$E,"Patty Cash"))</f>
        <v/>
      </c>
      <c r="G95" s="30" t="str">
        <f>IF($B95="","",SUMIFS('Daily Issuance'!$G:$G,'Daily Issuance'!$C:$C,$B95,'Daily Issuance'!$E:$E,"Patty Cash"))</f>
        <v/>
      </c>
      <c r="H95" s="30" t="str">
        <f t="shared" si="4"/>
        <v/>
      </c>
      <c r="I95" s="33"/>
      <c r="J95" s="34" t="str">
        <f t="shared" si="5"/>
        <v/>
      </c>
    </row>
    <row r="96" spans="1:10" s="27" customFormat="1" ht="23.1" customHeight="1">
      <c r="A96" s="194" t="str">
        <f>IF($C96="","",MAX($A$3:A95)+1)</f>
        <v/>
      </c>
      <c r="B96" s="197" t="str">
        <f t="shared" si="3"/>
        <v/>
      </c>
      <c r="C96" s="201"/>
      <c r="D96" s="199"/>
      <c r="E96" s="200"/>
      <c r="F96" s="196" t="str">
        <f>IF($B96="","",SUMIFS('Daily Inward'!$G:$G,'Daily Inward'!$C:$C,$B96,'Daily Inward'!$E:$E,"Patty Cash"))</f>
        <v/>
      </c>
      <c r="G96" s="30" t="str">
        <f>IF($B96="","",SUMIFS('Daily Issuance'!$G:$G,'Daily Issuance'!$C:$C,$B96,'Daily Issuance'!$E:$E,"Patty Cash"))</f>
        <v/>
      </c>
      <c r="H96" s="30" t="str">
        <f t="shared" si="4"/>
        <v/>
      </c>
      <c r="I96" s="33"/>
      <c r="J96" s="34" t="str">
        <f t="shared" si="5"/>
        <v/>
      </c>
    </row>
    <row r="97" spans="1:10" s="27" customFormat="1" ht="23.1" customHeight="1">
      <c r="A97" s="194" t="str">
        <f>IF($C97="","",MAX($A$3:A96)+1)</f>
        <v/>
      </c>
      <c r="B97" s="197" t="str">
        <f t="shared" si="3"/>
        <v/>
      </c>
      <c r="C97" s="201"/>
      <c r="D97" s="199"/>
      <c r="E97" s="200"/>
      <c r="F97" s="196" t="str">
        <f>IF($B97="","",SUMIFS('Daily Inward'!$G:$G,'Daily Inward'!$C:$C,$B97,'Daily Inward'!$E:$E,"Patty Cash"))</f>
        <v/>
      </c>
      <c r="G97" s="30" t="str">
        <f>IF($B97="","",SUMIFS('Daily Issuance'!$G:$G,'Daily Issuance'!$C:$C,$B97,'Daily Issuance'!$E:$E,"Patty Cash"))</f>
        <v/>
      </c>
      <c r="H97" s="30" t="str">
        <f t="shared" si="4"/>
        <v/>
      </c>
      <c r="I97" s="33"/>
      <c r="J97" s="34" t="str">
        <f t="shared" si="5"/>
        <v/>
      </c>
    </row>
    <row r="98" spans="1:10" s="27" customFormat="1" ht="23.1" customHeight="1">
      <c r="A98" s="194" t="str">
        <f>IF($C98="","",MAX($A$3:A97)+1)</f>
        <v/>
      </c>
      <c r="B98" s="197" t="str">
        <f t="shared" si="3"/>
        <v/>
      </c>
      <c r="C98" s="201"/>
      <c r="D98" s="199"/>
      <c r="E98" s="200"/>
      <c r="F98" s="196" t="str">
        <f>IF($B98="","",SUMIFS('Daily Inward'!$G:$G,'Daily Inward'!$C:$C,$B98,'Daily Inward'!$E:$E,"Patty Cash"))</f>
        <v/>
      </c>
      <c r="G98" s="30" t="str">
        <f>IF($B98="","",SUMIFS('Daily Issuance'!$G:$G,'Daily Issuance'!$C:$C,$B98,'Daily Issuance'!$E:$E,"Patty Cash"))</f>
        <v/>
      </c>
      <c r="H98" s="30" t="str">
        <f t="shared" si="4"/>
        <v/>
      </c>
      <c r="I98" s="33"/>
      <c r="J98" s="34" t="str">
        <f t="shared" si="5"/>
        <v/>
      </c>
    </row>
    <row r="99" spans="1:10" s="27" customFormat="1" ht="23.1" customHeight="1">
      <c r="A99" s="194" t="str">
        <f>IF($C99="","",MAX($A$3:A98)+1)</f>
        <v/>
      </c>
      <c r="B99" s="197" t="str">
        <f t="shared" si="3"/>
        <v/>
      </c>
      <c r="C99" s="201"/>
      <c r="D99" s="199"/>
      <c r="E99" s="200"/>
      <c r="F99" s="196" t="str">
        <f>IF($B99="","",SUMIFS('Daily Inward'!$G:$G,'Daily Inward'!$C:$C,$B99,'Daily Inward'!$E:$E,"Patty Cash"))</f>
        <v/>
      </c>
      <c r="G99" s="30" t="str">
        <f>IF($B99="","",SUMIFS('Daily Issuance'!$G:$G,'Daily Issuance'!$C:$C,$B99,'Daily Issuance'!$E:$E,"Patty Cash"))</f>
        <v/>
      </c>
      <c r="H99" s="30" t="str">
        <f t="shared" si="4"/>
        <v/>
      </c>
      <c r="I99" s="33"/>
      <c r="J99" s="34" t="str">
        <f t="shared" si="5"/>
        <v/>
      </c>
    </row>
    <row r="100" spans="1:10" s="27" customFormat="1" ht="23.1" customHeight="1">
      <c r="A100" s="194" t="str">
        <f>IF($C100="","",MAX($A$3:A99)+1)</f>
        <v/>
      </c>
      <c r="B100" s="197" t="str">
        <f t="shared" si="3"/>
        <v/>
      </c>
      <c r="C100" s="201"/>
      <c r="D100" s="199"/>
      <c r="E100" s="200"/>
      <c r="F100" s="196" t="str">
        <f>IF($B100="","",SUMIFS('Daily Inward'!$G:$G,'Daily Inward'!$C:$C,$B100,'Daily Inward'!$E:$E,"Patty Cash"))</f>
        <v/>
      </c>
      <c r="G100" s="30" t="str">
        <f>IF($B100="","",SUMIFS('Daily Issuance'!$G:$G,'Daily Issuance'!$C:$C,$B100,'Daily Issuance'!$E:$E,"Patty Cash"))</f>
        <v/>
      </c>
      <c r="H100" s="30" t="str">
        <f t="shared" si="4"/>
        <v/>
      </c>
      <c r="I100" s="33"/>
      <c r="J100" s="34" t="str">
        <f t="shared" si="5"/>
        <v/>
      </c>
    </row>
    <row r="101" spans="1:10" s="27" customFormat="1" ht="23.1" customHeight="1">
      <c r="A101" s="194" t="str">
        <f>IF($C101="","",MAX($A$3:A100)+1)</f>
        <v/>
      </c>
      <c r="B101" s="197" t="str">
        <f t="shared" si="3"/>
        <v/>
      </c>
      <c r="C101" s="201"/>
      <c r="D101" s="199"/>
      <c r="E101" s="200"/>
      <c r="F101" s="196" t="str">
        <f>IF($B101="","",SUMIFS('Daily Inward'!$G:$G,'Daily Inward'!$C:$C,$B101,'Daily Inward'!$E:$E,"Patty Cash"))</f>
        <v/>
      </c>
      <c r="G101" s="30" t="str">
        <f>IF($B101="","",SUMIFS('Daily Issuance'!$G:$G,'Daily Issuance'!$C:$C,$B101,'Daily Issuance'!$E:$E,"Patty Cash"))</f>
        <v/>
      </c>
      <c r="H101" s="30" t="str">
        <f t="shared" si="4"/>
        <v/>
      </c>
      <c r="I101" s="33"/>
      <c r="J101" s="34" t="str">
        <f t="shared" si="5"/>
        <v/>
      </c>
    </row>
    <row r="102" spans="1:10" s="27" customFormat="1" ht="23.1" customHeight="1">
      <c r="A102" s="194" t="str">
        <f>IF($C102="","",MAX($A$3:A101)+1)</f>
        <v/>
      </c>
      <c r="B102" s="197" t="str">
        <f t="shared" si="3"/>
        <v/>
      </c>
      <c r="C102" s="201"/>
      <c r="D102" s="199"/>
      <c r="E102" s="200"/>
      <c r="F102" s="196" t="str">
        <f>IF($B102="","",SUMIFS('Daily Inward'!$G:$G,'Daily Inward'!$C:$C,$B102,'Daily Inward'!$E:$E,"Patty Cash"))</f>
        <v/>
      </c>
      <c r="G102" s="30" t="str">
        <f>IF($B102="","",SUMIFS('Daily Issuance'!$G:$G,'Daily Issuance'!$C:$C,$B102,'Daily Issuance'!$E:$E,"Patty Cash"))</f>
        <v/>
      </c>
      <c r="H102" s="30" t="str">
        <f t="shared" si="4"/>
        <v/>
      </c>
      <c r="I102" s="33"/>
      <c r="J102" s="34" t="str">
        <f t="shared" si="5"/>
        <v/>
      </c>
    </row>
    <row r="103" spans="1:10" s="27" customFormat="1" ht="23.1" customHeight="1">
      <c r="A103" s="194" t="str">
        <f>IF($C103="","",MAX($A$3:A102)+1)</f>
        <v/>
      </c>
      <c r="B103" s="197" t="str">
        <f t="shared" si="3"/>
        <v/>
      </c>
      <c r="C103" s="201"/>
      <c r="D103" s="199"/>
      <c r="E103" s="200"/>
      <c r="F103" s="196" t="str">
        <f>IF($B103="","",SUMIFS('Daily Inward'!$G:$G,'Daily Inward'!$C:$C,$B103,'Daily Inward'!$E:$E,"Patty Cash"))</f>
        <v/>
      </c>
      <c r="G103" s="30" t="str">
        <f>IF($B103="","",SUMIFS('Daily Issuance'!$G:$G,'Daily Issuance'!$C:$C,$B103,'Daily Issuance'!$E:$E,"Patty Cash"))</f>
        <v/>
      </c>
      <c r="H103" s="30" t="str">
        <f t="shared" si="4"/>
        <v/>
      </c>
      <c r="I103" s="33"/>
      <c r="J103" s="34" t="str">
        <f t="shared" si="5"/>
        <v/>
      </c>
    </row>
    <row r="104" spans="1:10" s="27" customFormat="1" ht="23.1" customHeight="1">
      <c r="A104" s="194" t="str">
        <f>IF($C104="","",MAX($A$3:A103)+1)</f>
        <v/>
      </c>
      <c r="B104" s="197" t="str">
        <f t="shared" si="3"/>
        <v/>
      </c>
      <c r="C104" s="201"/>
      <c r="D104" s="199"/>
      <c r="E104" s="200"/>
      <c r="F104" s="196" t="str">
        <f>IF($B104="","",SUMIFS('Daily Inward'!$G:$G,'Daily Inward'!$C:$C,$B104,'Daily Inward'!$E:$E,"Patty Cash"))</f>
        <v/>
      </c>
      <c r="G104" s="30" t="str">
        <f>IF($B104="","",SUMIFS('Daily Issuance'!$G:$G,'Daily Issuance'!$C:$C,$B104,'Daily Issuance'!$E:$E,"Patty Cash"))</f>
        <v/>
      </c>
      <c r="H104" s="30" t="str">
        <f t="shared" si="4"/>
        <v/>
      </c>
      <c r="I104" s="33"/>
      <c r="J104" s="34" t="str">
        <f t="shared" si="5"/>
        <v/>
      </c>
    </row>
    <row r="105" spans="1:10" s="27" customFormat="1" ht="23.1" customHeight="1">
      <c r="A105" s="194" t="str">
        <f>IF($C105="","",MAX($A$3:A104)+1)</f>
        <v/>
      </c>
      <c r="B105" s="197" t="str">
        <f t="shared" si="3"/>
        <v/>
      </c>
      <c r="C105" s="201"/>
      <c r="D105" s="199"/>
      <c r="E105" s="200"/>
      <c r="F105" s="196" t="str">
        <f>IF($B105="","",SUMIFS('Daily Inward'!$G:$G,'Daily Inward'!$C:$C,$B105,'Daily Inward'!$E:$E,"Patty Cash"))</f>
        <v/>
      </c>
      <c r="G105" s="30" t="str">
        <f>IF($B105="","",SUMIFS('Daily Issuance'!$G:$G,'Daily Issuance'!$C:$C,$B105,'Daily Issuance'!$E:$E,"Patty Cash"))</f>
        <v/>
      </c>
      <c r="H105" s="30" t="str">
        <f t="shared" si="4"/>
        <v/>
      </c>
      <c r="I105" s="33"/>
      <c r="J105" s="34" t="str">
        <f t="shared" si="5"/>
        <v/>
      </c>
    </row>
    <row r="106" spans="1:10" s="27" customFormat="1" ht="23.1" customHeight="1">
      <c r="A106" s="194" t="str">
        <f>IF($C106="","",MAX($A$3:A105)+1)</f>
        <v/>
      </c>
      <c r="B106" s="197" t="str">
        <f t="shared" si="3"/>
        <v/>
      </c>
      <c r="C106" s="201"/>
      <c r="D106" s="199"/>
      <c r="E106" s="200"/>
      <c r="F106" s="196" t="str">
        <f>IF($B106="","",SUMIFS('Daily Inward'!$G:$G,'Daily Inward'!$C:$C,$B106,'Daily Inward'!$E:$E,"Patty Cash"))</f>
        <v/>
      </c>
      <c r="G106" s="30" t="str">
        <f>IF($B106="","",SUMIFS('Daily Issuance'!$G:$G,'Daily Issuance'!$C:$C,$B106,'Daily Issuance'!$E:$E,"Patty Cash"))</f>
        <v/>
      </c>
      <c r="H106" s="30" t="str">
        <f t="shared" si="4"/>
        <v/>
      </c>
      <c r="I106" s="33"/>
      <c r="J106" s="34" t="str">
        <f t="shared" si="5"/>
        <v/>
      </c>
    </row>
    <row r="107" spans="1:10" s="27" customFormat="1" ht="23.1" customHeight="1">
      <c r="A107" s="194" t="str">
        <f>IF($C107="","",MAX($A$3:A106)+1)</f>
        <v/>
      </c>
      <c r="B107" s="197" t="str">
        <f t="shared" si="3"/>
        <v/>
      </c>
      <c r="C107" s="201"/>
      <c r="D107" s="199"/>
      <c r="E107" s="200"/>
      <c r="F107" s="196" t="str">
        <f>IF($B107="","",SUMIFS('Daily Inward'!$G:$G,'Daily Inward'!$C:$C,$B107,'Daily Inward'!$E:$E,"Patty Cash"))</f>
        <v/>
      </c>
      <c r="G107" s="30" t="str">
        <f>IF($B107="","",SUMIFS('Daily Issuance'!$G:$G,'Daily Issuance'!$C:$C,$B107,'Daily Issuance'!$E:$E,"Patty Cash"))</f>
        <v/>
      </c>
      <c r="H107" s="30" t="str">
        <f t="shared" si="4"/>
        <v/>
      </c>
      <c r="I107" s="33"/>
      <c r="J107" s="34" t="str">
        <f t="shared" si="5"/>
        <v/>
      </c>
    </row>
    <row r="108" spans="1:10" s="27" customFormat="1" ht="23.1" customHeight="1">
      <c r="A108" s="194" t="str">
        <f>IF($C108="","",MAX($A$3:A107)+1)</f>
        <v/>
      </c>
      <c r="B108" s="197" t="str">
        <f t="shared" si="3"/>
        <v/>
      </c>
      <c r="C108" s="201"/>
      <c r="D108" s="199"/>
      <c r="E108" s="200"/>
      <c r="F108" s="196" t="str">
        <f>IF($B108="","",SUMIFS('Daily Inward'!$G:$G,'Daily Inward'!$C:$C,$B108,'Daily Inward'!$E:$E,"Patty Cash"))</f>
        <v/>
      </c>
      <c r="G108" s="30" t="str">
        <f>IF($B108="","",SUMIFS('Daily Issuance'!$G:$G,'Daily Issuance'!$C:$C,$B108,'Daily Issuance'!$E:$E,"Patty Cash"))</f>
        <v/>
      </c>
      <c r="H108" s="30" t="str">
        <f t="shared" si="4"/>
        <v/>
      </c>
      <c r="I108" s="33"/>
      <c r="J108" s="34" t="str">
        <f t="shared" si="5"/>
        <v/>
      </c>
    </row>
    <row r="109" spans="1:10" s="27" customFormat="1" ht="23.1" customHeight="1">
      <c r="A109" s="194" t="str">
        <f>IF($C109="","",MAX($A$3:A108)+1)</f>
        <v/>
      </c>
      <c r="B109" s="197" t="str">
        <f t="shared" si="3"/>
        <v/>
      </c>
      <c r="C109" s="201"/>
      <c r="D109" s="199"/>
      <c r="E109" s="200"/>
      <c r="F109" s="196" t="str">
        <f>IF($B109="","",SUMIFS('Daily Inward'!$G:$G,'Daily Inward'!$C:$C,$B109,'Daily Inward'!$E:$E,"Patty Cash"))</f>
        <v/>
      </c>
      <c r="G109" s="30" t="str">
        <f>IF($B109="","",SUMIFS('Daily Issuance'!$G:$G,'Daily Issuance'!$C:$C,$B109,'Daily Issuance'!$E:$E,"Patty Cash"))</f>
        <v/>
      </c>
      <c r="H109" s="30" t="str">
        <f t="shared" si="4"/>
        <v/>
      </c>
      <c r="I109" s="33"/>
      <c r="J109" s="34" t="str">
        <f t="shared" si="5"/>
        <v/>
      </c>
    </row>
    <row r="110" spans="1:10" s="27" customFormat="1" ht="23.1" customHeight="1">
      <c r="A110" s="194" t="str">
        <f>IF($C110="","",MAX($A$3:A109)+1)</f>
        <v/>
      </c>
      <c r="B110" s="197" t="str">
        <f t="shared" si="3"/>
        <v/>
      </c>
      <c r="C110" s="201"/>
      <c r="D110" s="199"/>
      <c r="E110" s="200"/>
      <c r="F110" s="196" t="str">
        <f>IF($B110="","",SUMIFS('Daily Inward'!$G:$G,'Daily Inward'!$C:$C,$B110,'Daily Inward'!$E:$E,"Patty Cash"))</f>
        <v/>
      </c>
      <c r="G110" s="30" t="str">
        <f>IF($B110="","",SUMIFS('Daily Issuance'!$G:$G,'Daily Issuance'!$C:$C,$B110,'Daily Issuance'!$E:$E,"Patty Cash"))</f>
        <v/>
      </c>
      <c r="H110" s="30" t="str">
        <f t="shared" si="4"/>
        <v/>
      </c>
      <c r="I110" s="33"/>
      <c r="J110" s="34" t="str">
        <f t="shared" si="5"/>
        <v/>
      </c>
    </row>
    <row r="111" spans="1:10" s="27" customFormat="1" ht="23.1" customHeight="1">
      <c r="A111" s="194" t="str">
        <f>IF($C111="","",MAX($A$3:A110)+1)</f>
        <v/>
      </c>
      <c r="B111" s="197" t="str">
        <f t="shared" si="3"/>
        <v/>
      </c>
      <c r="C111" s="201"/>
      <c r="D111" s="199"/>
      <c r="E111" s="200"/>
      <c r="F111" s="196" t="str">
        <f>IF($B111="","",SUMIFS('Daily Inward'!$G:$G,'Daily Inward'!$C:$C,$B111,'Daily Inward'!$E:$E,"Patty Cash"))</f>
        <v/>
      </c>
      <c r="G111" s="30" t="str">
        <f>IF($B111="","",SUMIFS('Daily Issuance'!$G:$G,'Daily Issuance'!$C:$C,$B111,'Daily Issuance'!$E:$E,"Patty Cash"))</f>
        <v/>
      </c>
      <c r="H111" s="30" t="str">
        <f t="shared" si="4"/>
        <v/>
      </c>
      <c r="I111" s="33"/>
      <c r="J111" s="34" t="str">
        <f t="shared" si="5"/>
        <v/>
      </c>
    </row>
    <row r="112" spans="1:10" s="27" customFormat="1" ht="23.1" customHeight="1">
      <c r="A112" s="194" t="str">
        <f>IF($C112="","",MAX($A$3:A111)+1)</f>
        <v/>
      </c>
      <c r="B112" s="197" t="str">
        <f t="shared" si="3"/>
        <v/>
      </c>
      <c r="C112" s="201"/>
      <c r="D112" s="199"/>
      <c r="E112" s="200"/>
      <c r="F112" s="196" t="str">
        <f>IF($B112="","",SUMIFS('Daily Inward'!$G:$G,'Daily Inward'!$C:$C,$B112,'Daily Inward'!$E:$E,"Patty Cash"))</f>
        <v/>
      </c>
      <c r="G112" s="30" t="str">
        <f>IF($B112="","",SUMIFS('Daily Issuance'!$G:$G,'Daily Issuance'!$C:$C,$B112,'Daily Issuance'!$E:$E,"Patty Cash"))</f>
        <v/>
      </c>
      <c r="H112" s="30" t="str">
        <f t="shared" si="4"/>
        <v/>
      </c>
      <c r="I112" s="33"/>
      <c r="J112" s="34" t="str">
        <f t="shared" si="5"/>
        <v/>
      </c>
    </row>
    <row r="113" spans="1:10" s="27" customFormat="1" ht="23.1" customHeight="1">
      <c r="A113" s="194" t="str">
        <f>IF($C113="","",MAX($A$3:A112)+1)</f>
        <v/>
      </c>
      <c r="B113" s="197" t="str">
        <f t="shared" si="3"/>
        <v/>
      </c>
      <c r="C113" s="201"/>
      <c r="D113" s="199"/>
      <c r="E113" s="200"/>
      <c r="F113" s="196" t="str">
        <f>IF($B113="","",SUMIFS('Daily Inward'!$G:$G,'Daily Inward'!$C:$C,$B113,'Daily Inward'!$E:$E,"Patty Cash"))</f>
        <v/>
      </c>
      <c r="G113" s="30" t="str">
        <f>IF($B113="","",SUMIFS('Daily Issuance'!$G:$G,'Daily Issuance'!$C:$C,$B113,'Daily Issuance'!$E:$E,"Patty Cash"))</f>
        <v/>
      </c>
      <c r="H113" s="30" t="str">
        <f t="shared" si="4"/>
        <v/>
      </c>
      <c r="I113" s="33"/>
      <c r="J113" s="34" t="str">
        <f t="shared" si="5"/>
        <v/>
      </c>
    </row>
    <row r="114" spans="1:10" s="27" customFormat="1" ht="23.1" customHeight="1">
      <c r="A114" s="194" t="str">
        <f>IF($C114="","",MAX($A$3:A113)+1)</f>
        <v/>
      </c>
      <c r="B114" s="197" t="str">
        <f t="shared" si="3"/>
        <v/>
      </c>
      <c r="C114" s="201"/>
      <c r="D114" s="199"/>
      <c r="E114" s="200"/>
      <c r="F114" s="196" t="str">
        <f>IF($B114="","",SUMIFS('Daily Inward'!$G:$G,'Daily Inward'!$C:$C,$B114,'Daily Inward'!$E:$E,"Patty Cash"))</f>
        <v/>
      </c>
      <c r="G114" s="30" t="str">
        <f>IF($B114="","",SUMIFS('Daily Issuance'!$G:$G,'Daily Issuance'!$C:$C,$B114,'Daily Issuance'!$E:$E,"Patty Cash"))</f>
        <v/>
      </c>
      <c r="H114" s="30" t="str">
        <f t="shared" si="4"/>
        <v/>
      </c>
      <c r="I114" s="33"/>
      <c r="J114" s="34" t="str">
        <f t="shared" si="5"/>
        <v/>
      </c>
    </row>
    <row r="115" spans="1:10" s="27" customFormat="1" ht="23.1" customHeight="1">
      <c r="A115" s="194" t="str">
        <f>IF($C115="","",MAX($A$3:A114)+1)</f>
        <v/>
      </c>
      <c r="B115" s="197" t="str">
        <f t="shared" si="3"/>
        <v/>
      </c>
      <c r="C115" s="201"/>
      <c r="D115" s="199"/>
      <c r="E115" s="200"/>
      <c r="F115" s="196" t="str">
        <f>IF($B115="","",SUMIFS('Daily Inward'!$G:$G,'Daily Inward'!$C:$C,$B115,'Daily Inward'!$E:$E,"Patty Cash"))</f>
        <v/>
      </c>
      <c r="G115" s="30" t="str">
        <f>IF($B115="","",SUMIFS('Daily Issuance'!$G:$G,'Daily Issuance'!$C:$C,$B115,'Daily Issuance'!$E:$E,"Patty Cash"))</f>
        <v/>
      </c>
      <c r="H115" s="30" t="str">
        <f t="shared" si="4"/>
        <v/>
      </c>
      <c r="I115" s="33"/>
      <c r="J115" s="34" t="str">
        <f t="shared" si="5"/>
        <v/>
      </c>
    </row>
    <row r="116" spans="1:10" s="27" customFormat="1" ht="23.1" customHeight="1">
      <c r="A116" s="194" t="str">
        <f>IF($C116="","",MAX($A$3:A115)+1)</f>
        <v/>
      </c>
      <c r="B116" s="197" t="str">
        <f t="shared" si="3"/>
        <v/>
      </c>
      <c r="C116" s="201"/>
      <c r="D116" s="199"/>
      <c r="E116" s="200"/>
      <c r="F116" s="196" t="str">
        <f>IF($B116="","",SUMIFS('Daily Inward'!$G:$G,'Daily Inward'!$C:$C,$B116,'Daily Inward'!$E:$E,"Patty Cash"))</f>
        <v/>
      </c>
      <c r="G116" s="30" t="str">
        <f>IF($B116="","",SUMIFS('Daily Issuance'!$G:$G,'Daily Issuance'!$C:$C,$B116,'Daily Issuance'!$E:$E,"Patty Cash"))</f>
        <v/>
      </c>
      <c r="H116" s="30" t="str">
        <f t="shared" si="4"/>
        <v/>
      </c>
      <c r="I116" s="33"/>
      <c r="J116" s="34" t="str">
        <f t="shared" si="5"/>
        <v/>
      </c>
    </row>
    <row r="117" spans="1:10" s="27" customFormat="1" ht="23.1" customHeight="1">
      <c r="A117" s="194" t="str">
        <f>IF($C117="","",MAX($A$3:A116)+1)</f>
        <v/>
      </c>
      <c r="B117" s="197" t="str">
        <f t="shared" si="3"/>
        <v/>
      </c>
      <c r="C117" s="201"/>
      <c r="D117" s="199"/>
      <c r="E117" s="200"/>
      <c r="F117" s="196" t="str">
        <f>IF($B117="","",SUMIFS('Daily Inward'!$G:$G,'Daily Inward'!$C:$C,$B117,'Daily Inward'!$E:$E,"Patty Cash"))</f>
        <v/>
      </c>
      <c r="G117" s="30" t="str">
        <f>IF($B117="","",SUMIFS('Daily Issuance'!$G:$G,'Daily Issuance'!$C:$C,$B117,'Daily Issuance'!$E:$E,"Patty Cash"))</f>
        <v/>
      </c>
      <c r="H117" s="30" t="str">
        <f t="shared" si="4"/>
        <v/>
      </c>
      <c r="I117" s="33"/>
      <c r="J117" s="34" t="str">
        <f t="shared" si="5"/>
        <v/>
      </c>
    </row>
    <row r="118" spans="1:10" s="27" customFormat="1" ht="23.1" customHeight="1">
      <c r="A118" s="194" t="str">
        <f>IF($C118="","",MAX($A$3:A117)+1)</f>
        <v/>
      </c>
      <c r="B118" s="197" t="str">
        <f t="shared" si="3"/>
        <v/>
      </c>
      <c r="C118" s="201"/>
      <c r="D118" s="199"/>
      <c r="E118" s="200"/>
      <c r="F118" s="196" t="str">
        <f>IF($B118="","",SUMIFS('Daily Inward'!$G:$G,'Daily Inward'!$C:$C,$B118,'Daily Inward'!$E:$E,"Patty Cash"))</f>
        <v/>
      </c>
      <c r="G118" s="30" t="str">
        <f>IF($B118="","",SUMIFS('Daily Issuance'!$G:$G,'Daily Issuance'!$C:$C,$B118,'Daily Issuance'!$E:$E,"Patty Cash"))</f>
        <v/>
      </c>
      <c r="H118" s="30" t="str">
        <f t="shared" si="4"/>
        <v/>
      </c>
      <c r="I118" s="33"/>
      <c r="J118" s="34" t="str">
        <f t="shared" si="5"/>
        <v/>
      </c>
    </row>
    <row r="119" spans="1:10" s="27" customFormat="1" ht="23.1" customHeight="1">
      <c r="A119" s="194" t="str">
        <f>IF($C119="","",MAX($A$3:A118)+1)</f>
        <v/>
      </c>
      <c r="B119" s="197" t="str">
        <f t="shared" si="3"/>
        <v/>
      </c>
      <c r="C119" s="201"/>
      <c r="D119" s="199"/>
      <c r="E119" s="200"/>
      <c r="F119" s="196" t="str">
        <f>IF($B119="","",SUMIFS('Daily Inward'!$G:$G,'Daily Inward'!$C:$C,$B119,'Daily Inward'!$E:$E,"Patty Cash"))</f>
        <v/>
      </c>
      <c r="G119" s="30" t="str">
        <f>IF($B119="","",SUMIFS('Daily Issuance'!$G:$G,'Daily Issuance'!$C:$C,$B119,'Daily Issuance'!$E:$E,"Patty Cash"))</f>
        <v/>
      </c>
      <c r="H119" s="30" t="str">
        <f t="shared" si="4"/>
        <v/>
      </c>
      <c r="I119" s="33"/>
      <c r="J119" s="34" t="str">
        <f t="shared" si="5"/>
        <v/>
      </c>
    </row>
    <row r="120" spans="1:10" s="27" customFormat="1" ht="23.1" customHeight="1">
      <c r="A120" s="194" t="str">
        <f>IF($C120="","",MAX($A$3:A119)+1)</f>
        <v/>
      </c>
      <c r="B120" s="197" t="str">
        <f t="shared" si="3"/>
        <v/>
      </c>
      <c r="C120" s="201"/>
      <c r="D120" s="199"/>
      <c r="E120" s="200"/>
      <c r="F120" s="196" t="str">
        <f>IF($B120="","",SUMIFS('Daily Inward'!$G:$G,'Daily Inward'!$C:$C,$B120,'Daily Inward'!$E:$E,"Patty Cash"))</f>
        <v/>
      </c>
      <c r="G120" s="30" t="str">
        <f>IF($B120="","",SUMIFS('Daily Issuance'!$G:$G,'Daily Issuance'!$C:$C,$B120,'Daily Issuance'!$E:$E,"Patty Cash"))</f>
        <v/>
      </c>
      <c r="H120" s="30" t="str">
        <f t="shared" si="4"/>
        <v/>
      </c>
      <c r="I120" s="33"/>
      <c r="J120" s="34" t="str">
        <f t="shared" si="5"/>
        <v/>
      </c>
    </row>
    <row r="121" spans="1:10" s="27" customFormat="1" ht="23.1" customHeight="1">
      <c r="A121" s="194" t="str">
        <f>IF($C121="","",MAX($A$3:A120)+1)</f>
        <v/>
      </c>
      <c r="B121" s="197" t="str">
        <f t="shared" si="3"/>
        <v/>
      </c>
      <c r="C121" s="201"/>
      <c r="D121" s="199"/>
      <c r="E121" s="200"/>
      <c r="F121" s="196" t="str">
        <f>IF($B121="","",SUMIFS('Daily Inward'!$G:$G,'Daily Inward'!$C:$C,$B121,'Daily Inward'!$E:$E,"Patty Cash"))</f>
        <v/>
      </c>
      <c r="G121" s="30" t="str">
        <f>IF($B121="","",SUMIFS('Daily Issuance'!$G:$G,'Daily Issuance'!$C:$C,$B121,'Daily Issuance'!$E:$E,"Patty Cash"))</f>
        <v/>
      </c>
      <c r="H121" s="30" t="str">
        <f t="shared" si="4"/>
        <v/>
      </c>
      <c r="I121" s="33"/>
      <c r="J121" s="34" t="str">
        <f t="shared" si="5"/>
        <v/>
      </c>
    </row>
    <row r="122" spans="1:10" s="27" customFormat="1" ht="23.1" customHeight="1">
      <c r="A122" s="194" t="str">
        <f>IF($C122="","",MAX($A$3:A121)+1)</f>
        <v/>
      </c>
      <c r="B122" s="197" t="str">
        <f t="shared" si="3"/>
        <v/>
      </c>
      <c r="C122" s="201"/>
      <c r="D122" s="199"/>
      <c r="E122" s="200"/>
      <c r="F122" s="196" t="str">
        <f>IF($B122="","",SUMIFS('Daily Inward'!$G:$G,'Daily Inward'!$C:$C,$B122,'Daily Inward'!$E:$E,"Patty Cash"))</f>
        <v/>
      </c>
      <c r="G122" s="30" t="str">
        <f>IF($B122="","",SUMIFS('Daily Issuance'!$G:$G,'Daily Issuance'!$C:$C,$B122,'Daily Issuance'!$E:$E,"Patty Cash"))</f>
        <v/>
      </c>
      <c r="H122" s="30" t="str">
        <f t="shared" si="4"/>
        <v/>
      </c>
      <c r="I122" s="33"/>
      <c r="J122" s="34" t="str">
        <f t="shared" si="5"/>
        <v/>
      </c>
    </row>
    <row r="123" spans="1:10" s="27" customFormat="1" ht="23.1" customHeight="1">
      <c r="A123" s="194" t="str">
        <f>IF($C123="","",MAX($A$3:A122)+1)</f>
        <v/>
      </c>
      <c r="B123" s="197" t="str">
        <f t="shared" si="3"/>
        <v/>
      </c>
      <c r="C123" s="201"/>
      <c r="D123" s="199"/>
      <c r="E123" s="200"/>
      <c r="F123" s="196" t="str">
        <f>IF($B123="","",SUMIFS('Daily Inward'!$G:$G,'Daily Inward'!$C:$C,$B123,'Daily Inward'!$E:$E,"Patty Cash"))</f>
        <v/>
      </c>
      <c r="G123" s="30" t="str">
        <f>IF($B123="","",SUMIFS('Daily Issuance'!$G:$G,'Daily Issuance'!$C:$C,$B123,'Daily Issuance'!$E:$E,"Patty Cash"))</f>
        <v/>
      </c>
      <c r="H123" s="30" t="str">
        <f t="shared" si="4"/>
        <v/>
      </c>
      <c r="I123" s="33"/>
      <c r="J123" s="34" t="str">
        <f t="shared" si="5"/>
        <v/>
      </c>
    </row>
    <row r="124" spans="1:10" s="27" customFormat="1" ht="23.1" customHeight="1">
      <c r="A124" s="194" t="str">
        <f>IF($C124="","",MAX($A$3:A123)+1)</f>
        <v/>
      </c>
      <c r="B124" s="197" t="str">
        <f t="shared" si="3"/>
        <v/>
      </c>
      <c r="C124" s="201"/>
      <c r="D124" s="199"/>
      <c r="E124" s="200"/>
      <c r="F124" s="196" t="str">
        <f>IF($B124="","",SUMIFS('Daily Inward'!$G:$G,'Daily Inward'!$C:$C,$B124,'Daily Inward'!$E:$E,"Patty Cash"))</f>
        <v/>
      </c>
      <c r="G124" s="30" t="str">
        <f>IF($B124="","",SUMIFS('Daily Issuance'!$G:$G,'Daily Issuance'!$C:$C,$B124,'Daily Issuance'!$E:$E,"Patty Cash"))</f>
        <v/>
      </c>
      <c r="H124" s="30" t="str">
        <f t="shared" si="4"/>
        <v/>
      </c>
      <c r="I124" s="33"/>
      <c r="J124" s="34" t="str">
        <f t="shared" si="5"/>
        <v/>
      </c>
    </row>
    <row r="125" spans="1:10" s="27" customFormat="1" ht="23.1" customHeight="1">
      <c r="A125" s="194" t="str">
        <f>IF($C125="","",MAX($A$3:A124)+1)</f>
        <v/>
      </c>
      <c r="B125" s="197" t="str">
        <f t="shared" si="3"/>
        <v/>
      </c>
      <c r="C125" s="201"/>
      <c r="D125" s="199"/>
      <c r="E125" s="200"/>
      <c r="F125" s="196" t="str">
        <f>IF($B125="","",SUMIFS('Daily Inward'!$G:$G,'Daily Inward'!$C:$C,$B125,'Daily Inward'!$E:$E,"Patty Cash"))</f>
        <v/>
      </c>
      <c r="G125" s="30" t="str">
        <f>IF($B125="","",SUMIFS('Daily Issuance'!$G:$G,'Daily Issuance'!$C:$C,$B125,'Daily Issuance'!$E:$E,"Patty Cash"))</f>
        <v/>
      </c>
      <c r="H125" s="30" t="str">
        <f t="shared" si="4"/>
        <v/>
      </c>
      <c r="I125" s="33"/>
      <c r="J125" s="34" t="str">
        <f t="shared" si="5"/>
        <v/>
      </c>
    </row>
    <row r="126" spans="1:10" s="27" customFormat="1" ht="23.1" customHeight="1">
      <c r="A126" s="194" t="str">
        <f>IF($C126="","",MAX($A$3:A125)+1)</f>
        <v/>
      </c>
      <c r="B126" s="197" t="str">
        <f t="shared" si="3"/>
        <v/>
      </c>
      <c r="C126" s="201"/>
      <c r="D126" s="199"/>
      <c r="E126" s="200"/>
      <c r="F126" s="196" t="str">
        <f>IF($B126="","",SUMIFS('Daily Inward'!$G:$G,'Daily Inward'!$C:$C,$B126,'Daily Inward'!$E:$E,"Patty Cash"))</f>
        <v/>
      </c>
      <c r="G126" s="30" t="str">
        <f>IF($B126="","",SUMIFS('Daily Issuance'!$G:$G,'Daily Issuance'!$C:$C,$B126,'Daily Issuance'!$E:$E,"Patty Cash"))</f>
        <v/>
      </c>
      <c r="H126" s="30" t="str">
        <f t="shared" si="4"/>
        <v/>
      </c>
      <c r="I126" s="33"/>
      <c r="J126" s="34" t="str">
        <f t="shared" si="5"/>
        <v/>
      </c>
    </row>
    <row r="127" spans="1:10" s="27" customFormat="1" ht="23.1" customHeight="1">
      <c r="A127" s="194" t="str">
        <f>IF($C127="","",MAX($A$3:A126)+1)</f>
        <v/>
      </c>
      <c r="B127" s="197" t="str">
        <f t="shared" si="3"/>
        <v/>
      </c>
      <c r="C127" s="201"/>
      <c r="D127" s="199"/>
      <c r="E127" s="200"/>
      <c r="F127" s="196" t="str">
        <f>IF($B127="","",SUMIFS('Daily Inward'!$G:$G,'Daily Inward'!$C:$C,$B127,'Daily Inward'!$E:$E,"Patty Cash"))</f>
        <v/>
      </c>
      <c r="G127" s="30" t="str">
        <f>IF($B127="","",SUMIFS('Daily Issuance'!$G:$G,'Daily Issuance'!$C:$C,$B127,'Daily Issuance'!$E:$E,"Patty Cash"))</f>
        <v/>
      </c>
      <c r="H127" s="30" t="str">
        <f t="shared" si="4"/>
        <v/>
      </c>
      <c r="I127" s="33"/>
      <c r="J127" s="34" t="str">
        <f t="shared" si="5"/>
        <v/>
      </c>
    </row>
    <row r="128" spans="1:10" s="27" customFormat="1" ht="23.1" customHeight="1">
      <c r="A128" s="194" t="str">
        <f>IF($C128="","",MAX($A$3:A127)+1)</f>
        <v/>
      </c>
      <c r="B128" s="197" t="str">
        <f t="shared" si="3"/>
        <v/>
      </c>
      <c r="C128" s="201"/>
      <c r="D128" s="199"/>
      <c r="E128" s="200"/>
      <c r="F128" s="196" t="str">
        <f>IF($B128="","",SUMIFS('Daily Inward'!$G:$G,'Daily Inward'!$C:$C,$B128,'Daily Inward'!$E:$E,"Patty Cash"))</f>
        <v/>
      </c>
      <c r="G128" s="30" t="str">
        <f>IF($B128="","",SUMIFS('Daily Issuance'!$G:$G,'Daily Issuance'!$C:$C,$B128,'Daily Issuance'!$E:$E,"Patty Cash"))</f>
        <v/>
      </c>
      <c r="H128" s="30" t="str">
        <f t="shared" si="4"/>
        <v/>
      </c>
      <c r="I128" s="33"/>
      <c r="J128" s="34" t="str">
        <f t="shared" si="5"/>
        <v/>
      </c>
    </row>
    <row r="129" spans="1:10" s="27" customFormat="1" ht="23.1" customHeight="1">
      <c r="A129" s="194" t="str">
        <f>IF($C129="","",MAX($A$3:A128)+1)</f>
        <v/>
      </c>
      <c r="B129" s="197" t="str">
        <f t="shared" si="3"/>
        <v/>
      </c>
      <c r="C129" s="201"/>
      <c r="D129" s="199"/>
      <c r="E129" s="200"/>
      <c r="F129" s="196" t="str">
        <f>IF($B129="","",SUMIFS('Daily Inward'!$G:$G,'Daily Inward'!$C:$C,$B129,'Daily Inward'!$E:$E,"Patty Cash"))</f>
        <v/>
      </c>
      <c r="G129" s="30" t="str">
        <f>IF($B129="","",SUMIFS('Daily Issuance'!$G:$G,'Daily Issuance'!$C:$C,$B129,'Daily Issuance'!$E:$E,"Patty Cash"))</f>
        <v/>
      </c>
      <c r="H129" s="30" t="str">
        <f t="shared" si="4"/>
        <v/>
      </c>
      <c r="I129" s="33"/>
      <c r="J129" s="34" t="str">
        <f t="shared" si="5"/>
        <v/>
      </c>
    </row>
    <row r="130" spans="1:10" s="27" customFormat="1" ht="23.1" customHeight="1">
      <c r="A130" s="194" t="str">
        <f>IF($C130="","",MAX($A$3:A129)+1)</f>
        <v/>
      </c>
      <c r="B130" s="197" t="str">
        <f t="shared" si="3"/>
        <v/>
      </c>
      <c r="C130" s="201"/>
      <c r="D130" s="199"/>
      <c r="E130" s="200"/>
      <c r="F130" s="196" t="str">
        <f>IF($B130="","",SUMIFS('Daily Inward'!$G:$G,'Daily Inward'!$C:$C,$B130,'Daily Inward'!$E:$E,"Patty Cash"))</f>
        <v/>
      </c>
      <c r="G130" s="30" t="str">
        <f>IF($B130="","",SUMIFS('Daily Issuance'!$G:$G,'Daily Issuance'!$C:$C,$B130,'Daily Issuance'!$E:$E,"Patty Cash"))</f>
        <v/>
      </c>
      <c r="H130" s="30" t="str">
        <f t="shared" si="4"/>
        <v/>
      </c>
      <c r="I130" s="33"/>
      <c r="J130" s="34" t="str">
        <f t="shared" si="5"/>
        <v/>
      </c>
    </row>
    <row r="131" spans="1:10" s="27" customFormat="1" ht="23.1" customHeight="1">
      <c r="A131" s="194" t="str">
        <f>IF($C131="","",MAX($A$3:A130)+1)</f>
        <v/>
      </c>
      <c r="B131" s="197" t="str">
        <f t="shared" si="3"/>
        <v/>
      </c>
      <c r="C131" s="201"/>
      <c r="D131" s="199"/>
      <c r="E131" s="200"/>
      <c r="F131" s="196" t="str">
        <f>IF($B131="","",SUMIFS('Daily Inward'!$G:$G,'Daily Inward'!$C:$C,$B131,'Daily Inward'!$E:$E,"Patty Cash"))</f>
        <v/>
      </c>
      <c r="G131" s="30" t="str">
        <f>IF($B131="","",SUMIFS('Daily Issuance'!$G:$G,'Daily Issuance'!$C:$C,$B131,'Daily Issuance'!$E:$E,"Patty Cash"))</f>
        <v/>
      </c>
      <c r="H131" s="30" t="str">
        <f t="shared" si="4"/>
        <v/>
      </c>
      <c r="I131" s="33"/>
      <c r="J131" s="34" t="str">
        <f t="shared" si="5"/>
        <v/>
      </c>
    </row>
    <row r="132" spans="1:10" s="27" customFormat="1" ht="23.1" customHeight="1">
      <c r="A132" s="194" t="str">
        <f>IF($C132="","",MAX($A$3:A131)+1)</f>
        <v/>
      </c>
      <c r="B132" s="197" t="str">
        <f t="shared" si="3"/>
        <v/>
      </c>
      <c r="C132" s="201"/>
      <c r="D132" s="199"/>
      <c r="E132" s="200"/>
      <c r="F132" s="196" t="str">
        <f>IF($B132="","",SUMIFS('Daily Inward'!$G:$G,'Daily Inward'!$C:$C,$B132,'Daily Inward'!$E:$E,"Patty Cash"))</f>
        <v/>
      </c>
      <c r="G132" s="30" t="str">
        <f>IF($B132="","",SUMIFS('Daily Issuance'!$G:$G,'Daily Issuance'!$C:$C,$B132,'Daily Issuance'!$E:$E,"Patty Cash"))</f>
        <v/>
      </c>
      <c r="H132" s="30" t="str">
        <f t="shared" si="4"/>
        <v/>
      </c>
      <c r="I132" s="33"/>
      <c r="J132" s="34" t="str">
        <f t="shared" si="5"/>
        <v/>
      </c>
    </row>
    <row r="133" spans="1:10" s="27" customFormat="1" ht="23.1" customHeight="1">
      <c r="A133" s="194" t="str">
        <f>IF($C133="","",MAX($A$3:A132)+1)</f>
        <v/>
      </c>
      <c r="B133" s="197" t="str">
        <f t="shared" ref="B133:B196" si="6">IF($C133="","","PTC"&amp;TEXT(ROW()-4,"000"))</f>
        <v/>
      </c>
      <c r="C133" s="201"/>
      <c r="D133" s="199"/>
      <c r="E133" s="200"/>
      <c r="F133" s="196" t="str">
        <f>IF($B133="","",SUMIFS('Daily Inward'!$G:$G,'Daily Inward'!$C:$C,$B133,'Daily Inward'!$E:$E,"Patty Cash"))</f>
        <v/>
      </c>
      <c r="G133" s="30" t="str">
        <f>IF($B133="","",SUMIFS('Daily Issuance'!$G:$G,'Daily Issuance'!$C:$C,$B133,'Daily Issuance'!$E:$E,"Patty Cash"))</f>
        <v/>
      </c>
      <c r="H133" s="30" t="str">
        <f t="shared" ref="H133:H196" si="7">IF($B133="","",F133-G133)</f>
        <v/>
      </c>
      <c r="I133" s="33"/>
      <c r="J133" s="34" t="str">
        <f t="shared" ref="J133:J196" si="8">IF(OR(H133="",I133=""),"",H133*I133)</f>
        <v/>
      </c>
    </row>
    <row r="134" spans="1:10" s="27" customFormat="1" ht="23.1" customHeight="1">
      <c r="A134" s="194" t="str">
        <f>IF($C134="","",MAX($A$3:A133)+1)</f>
        <v/>
      </c>
      <c r="B134" s="197" t="str">
        <f t="shared" si="6"/>
        <v/>
      </c>
      <c r="C134" s="201"/>
      <c r="D134" s="199"/>
      <c r="E134" s="200"/>
      <c r="F134" s="196" t="str">
        <f>IF($B134="","",SUMIFS('Daily Inward'!$G:$G,'Daily Inward'!$C:$C,$B134,'Daily Inward'!$E:$E,"Patty Cash"))</f>
        <v/>
      </c>
      <c r="G134" s="30" t="str">
        <f>IF($B134="","",SUMIFS('Daily Issuance'!$G:$G,'Daily Issuance'!$C:$C,$B134,'Daily Issuance'!$E:$E,"Patty Cash"))</f>
        <v/>
      </c>
      <c r="H134" s="30" t="str">
        <f t="shared" si="7"/>
        <v/>
      </c>
      <c r="I134" s="33"/>
      <c r="J134" s="34" t="str">
        <f t="shared" si="8"/>
        <v/>
      </c>
    </row>
    <row r="135" spans="1:10" s="27" customFormat="1" ht="23.1" customHeight="1">
      <c r="A135" s="194" t="str">
        <f>IF($C135="","",MAX($A$3:A134)+1)</f>
        <v/>
      </c>
      <c r="B135" s="197" t="str">
        <f t="shared" si="6"/>
        <v/>
      </c>
      <c r="C135" s="201"/>
      <c r="D135" s="199"/>
      <c r="E135" s="200"/>
      <c r="F135" s="196" t="str">
        <f>IF($B135="","",SUMIFS('Daily Inward'!$G:$G,'Daily Inward'!$C:$C,$B135,'Daily Inward'!$E:$E,"Patty Cash"))</f>
        <v/>
      </c>
      <c r="G135" s="30" t="str">
        <f>IF($B135="","",SUMIFS('Daily Issuance'!$G:$G,'Daily Issuance'!$C:$C,$B135,'Daily Issuance'!$E:$E,"Patty Cash"))</f>
        <v/>
      </c>
      <c r="H135" s="30" t="str">
        <f t="shared" si="7"/>
        <v/>
      </c>
      <c r="I135" s="33"/>
      <c r="J135" s="34" t="str">
        <f t="shared" si="8"/>
        <v/>
      </c>
    </row>
    <row r="136" spans="1:10" s="27" customFormat="1" ht="23.1" customHeight="1">
      <c r="A136" s="194" t="str">
        <f>IF($C136="","",MAX($A$3:A135)+1)</f>
        <v/>
      </c>
      <c r="B136" s="197" t="str">
        <f t="shared" si="6"/>
        <v/>
      </c>
      <c r="C136" s="201"/>
      <c r="D136" s="199"/>
      <c r="E136" s="200"/>
      <c r="F136" s="196" t="str">
        <f>IF($B136="","",SUMIFS('Daily Inward'!$G:$G,'Daily Inward'!$C:$C,$B136,'Daily Inward'!$E:$E,"Patty Cash"))</f>
        <v/>
      </c>
      <c r="G136" s="30" t="str">
        <f>IF($B136="","",SUMIFS('Daily Issuance'!$G:$G,'Daily Issuance'!$C:$C,$B136,'Daily Issuance'!$E:$E,"Patty Cash"))</f>
        <v/>
      </c>
      <c r="H136" s="30" t="str">
        <f t="shared" si="7"/>
        <v/>
      </c>
      <c r="I136" s="33"/>
      <c r="J136" s="34" t="str">
        <f t="shared" si="8"/>
        <v/>
      </c>
    </row>
    <row r="137" spans="1:10" s="27" customFormat="1" ht="23.1" customHeight="1">
      <c r="A137" s="194" t="str">
        <f>IF($C137="","",MAX($A$3:A136)+1)</f>
        <v/>
      </c>
      <c r="B137" s="197" t="str">
        <f t="shared" si="6"/>
        <v/>
      </c>
      <c r="C137" s="201"/>
      <c r="D137" s="199"/>
      <c r="E137" s="200"/>
      <c r="F137" s="196" t="str">
        <f>IF($B137="","",SUMIFS('Daily Inward'!$G:$G,'Daily Inward'!$C:$C,$B137,'Daily Inward'!$E:$E,"Patty Cash"))</f>
        <v/>
      </c>
      <c r="G137" s="30" t="str">
        <f>IF($B137="","",SUMIFS('Daily Issuance'!$G:$G,'Daily Issuance'!$C:$C,$B137,'Daily Issuance'!$E:$E,"Patty Cash"))</f>
        <v/>
      </c>
      <c r="H137" s="30" t="str">
        <f t="shared" si="7"/>
        <v/>
      </c>
      <c r="I137" s="33"/>
      <c r="J137" s="34" t="str">
        <f t="shared" si="8"/>
        <v/>
      </c>
    </row>
    <row r="138" spans="1:10" s="27" customFormat="1" ht="23.1" customHeight="1">
      <c r="A138" s="194" t="str">
        <f>IF($C138="","",MAX($A$3:A137)+1)</f>
        <v/>
      </c>
      <c r="B138" s="197" t="str">
        <f t="shared" si="6"/>
        <v/>
      </c>
      <c r="C138" s="201"/>
      <c r="D138" s="199"/>
      <c r="E138" s="200"/>
      <c r="F138" s="196" t="str">
        <f>IF($B138="","",SUMIFS('Daily Inward'!$G:$G,'Daily Inward'!$C:$C,$B138,'Daily Inward'!$E:$E,"Patty Cash"))</f>
        <v/>
      </c>
      <c r="G138" s="30" t="str">
        <f>IF($B138="","",SUMIFS('Daily Issuance'!$G:$G,'Daily Issuance'!$C:$C,$B138,'Daily Issuance'!$E:$E,"Patty Cash"))</f>
        <v/>
      </c>
      <c r="H138" s="30" t="str">
        <f t="shared" si="7"/>
        <v/>
      </c>
      <c r="I138" s="33"/>
      <c r="J138" s="34" t="str">
        <f t="shared" si="8"/>
        <v/>
      </c>
    </row>
    <row r="139" spans="1:10" s="27" customFormat="1" ht="23.1" customHeight="1">
      <c r="A139" s="194" t="str">
        <f>IF($C139="","",MAX($A$3:A138)+1)</f>
        <v/>
      </c>
      <c r="B139" s="197" t="str">
        <f t="shared" si="6"/>
        <v/>
      </c>
      <c r="C139" s="201"/>
      <c r="D139" s="199"/>
      <c r="E139" s="200"/>
      <c r="F139" s="196" t="str">
        <f>IF($B139="","",SUMIFS('Daily Inward'!$G:$G,'Daily Inward'!$C:$C,$B139,'Daily Inward'!$E:$E,"Patty Cash"))</f>
        <v/>
      </c>
      <c r="G139" s="30" t="str">
        <f>IF($B139="","",SUMIFS('Daily Issuance'!$G:$G,'Daily Issuance'!$C:$C,$B139,'Daily Issuance'!$E:$E,"Patty Cash"))</f>
        <v/>
      </c>
      <c r="H139" s="30" t="str">
        <f t="shared" si="7"/>
        <v/>
      </c>
      <c r="I139" s="33"/>
      <c r="J139" s="34" t="str">
        <f t="shared" si="8"/>
        <v/>
      </c>
    </row>
    <row r="140" spans="1:10" s="27" customFormat="1" ht="23.1" customHeight="1">
      <c r="A140" s="194" t="str">
        <f>IF($C140="","",MAX($A$3:A139)+1)</f>
        <v/>
      </c>
      <c r="B140" s="197" t="str">
        <f t="shared" si="6"/>
        <v/>
      </c>
      <c r="C140" s="201"/>
      <c r="D140" s="199"/>
      <c r="E140" s="200"/>
      <c r="F140" s="196" t="str">
        <f>IF($B140="","",SUMIFS('Daily Inward'!$G:$G,'Daily Inward'!$C:$C,$B140,'Daily Inward'!$E:$E,"Patty Cash"))</f>
        <v/>
      </c>
      <c r="G140" s="30" t="str">
        <f>IF($B140="","",SUMIFS('Daily Issuance'!$G:$G,'Daily Issuance'!$C:$C,$B140,'Daily Issuance'!$E:$E,"Patty Cash"))</f>
        <v/>
      </c>
      <c r="H140" s="30" t="str">
        <f t="shared" si="7"/>
        <v/>
      </c>
      <c r="I140" s="33"/>
      <c r="J140" s="34" t="str">
        <f t="shared" si="8"/>
        <v/>
      </c>
    </row>
    <row r="141" spans="1:10" s="27" customFormat="1" ht="23.1" customHeight="1">
      <c r="A141" s="194" t="str">
        <f>IF($C141="","",MAX($A$3:A140)+1)</f>
        <v/>
      </c>
      <c r="B141" s="197" t="str">
        <f t="shared" si="6"/>
        <v/>
      </c>
      <c r="C141" s="201"/>
      <c r="D141" s="199"/>
      <c r="E141" s="200"/>
      <c r="F141" s="196" t="str">
        <f>IF($B141="","",SUMIFS('Daily Inward'!$G:$G,'Daily Inward'!$C:$C,$B141,'Daily Inward'!$E:$E,"Patty Cash"))</f>
        <v/>
      </c>
      <c r="G141" s="30" t="str">
        <f>IF($B141="","",SUMIFS('Daily Issuance'!$G:$G,'Daily Issuance'!$C:$C,$B141,'Daily Issuance'!$E:$E,"Patty Cash"))</f>
        <v/>
      </c>
      <c r="H141" s="30" t="str">
        <f t="shared" si="7"/>
        <v/>
      </c>
      <c r="I141" s="33"/>
      <c r="J141" s="34" t="str">
        <f t="shared" si="8"/>
        <v/>
      </c>
    </row>
    <row r="142" spans="1:10" s="27" customFormat="1" ht="23.1" customHeight="1">
      <c r="A142" s="194" t="str">
        <f>IF($C142="","",MAX($A$3:A141)+1)</f>
        <v/>
      </c>
      <c r="B142" s="197" t="str">
        <f t="shared" si="6"/>
        <v/>
      </c>
      <c r="C142" s="201"/>
      <c r="D142" s="199"/>
      <c r="E142" s="200"/>
      <c r="F142" s="196" t="str">
        <f>IF($B142="","",SUMIFS('Daily Inward'!$G:$G,'Daily Inward'!$C:$C,$B142,'Daily Inward'!$E:$E,"Patty Cash"))</f>
        <v/>
      </c>
      <c r="G142" s="30" t="str">
        <f>IF($B142="","",SUMIFS('Daily Issuance'!$G:$G,'Daily Issuance'!$C:$C,$B142,'Daily Issuance'!$E:$E,"Patty Cash"))</f>
        <v/>
      </c>
      <c r="H142" s="30" t="str">
        <f t="shared" si="7"/>
        <v/>
      </c>
      <c r="I142" s="33"/>
      <c r="J142" s="34" t="str">
        <f t="shared" si="8"/>
        <v/>
      </c>
    </row>
    <row r="143" spans="1:10" s="27" customFormat="1" ht="23.1" customHeight="1">
      <c r="A143" s="194" t="str">
        <f>IF($C143="","",MAX($A$3:A142)+1)</f>
        <v/>
      </c>
      <c r="B143" s="197" t="str">
        <f t="shared" si="6"/>
        <v/>
      </c>
      <c r="C143" s="201"/>
      <c r="D143" s="199"/>
      <c r="E143" s="200"/>
      <c r="F143" s="196" t="str">
        <f>IF($B143="","",SUMIFS('Daily Inward'!$G:$G,'Daily Inward'!$C:$C,$B143,'Daily Inward'!$E:$E,"Patty Cash"))</f>
        <v/>
      </c>
      <c r="G143" s="30" t="str">
        <f>IF($B143="","",SUMIFS('Daily Issuance'!$G:$G,'Daily Issuance'!$C:$C,$B143,'Daily Issuance'!$E:$E,"Patty Cash"))</f>
        <v/>
      </c>
      <c r="H143" s="30" t="str">
        <f t="shared" si="7"/>
        <v/>
      </c>
      <c r="I143" s="33"/>
      <c r="J143" s="34" t="str">
        <f t="shared" si="8"/>
        <v/>
      </c>
    </row>
    <row r="144" spans="1:10" s="27" customFormat="1" ht="23.1" customHeight="1">
      <c r="A144" s="194" t="str">
        <f>IF($C144="","",MAX($A$3:A143)+1)</f>
        <v/>
      </c>
      <c r="B144" s="197" t="str">
        <f t="shared" si="6"/>
        <v/>
      </c>
      <c r="C144" s="201"/>
      <c r="D144" s="199"/>
      <c r="E144" s="200"/>
      <c r="F144" s="196" t="str">
        <f>IF($B144="","",SUMIFS('Daily Inward'!$G:$G,'Daily Inward'!$C:$C,$B144,'Daily Inward'!$E:$E,"Patty Cash"))</f>
        <v/>
      </c>
      <c r="G144" s="30" t="str">
        <f>IF($B144="","",SUMIFS('Daily Issuance'!$G:$G,'Daily Issuance'!$C:$C,$B144,'Daily Issuance'!$E:$E,"Patty Cash"))</f>
        <v/>
      </c>
      <c r="H144" s="30" t="str">
        <f t="shared" si="7"/>
        <v/>
      </c>
      <c r="I144" s="33"/>
      <c r="J144" s="34" t="str">
        <f t="shared" si="8"/>
        <v/>
      </c>
    </row>
    <row r="145" spans="1:10" s="27" customFormat="1" ht="23.1" customHeight="1">
      <c r="A145" s="194" t="str">
        <f>IF($C145="","",MAX($A$3:A144)+1)</f>
        <v/>
      </c>
      <c r="B145" s="197" t="str">
        <f t="shared" si="6"/>
        <v/>
      </c>
      <c r="C145" s="201"/>
      <c r="D145" s="199"/>
      <c r="E145" s="200"/>
      <c r="F145" s="196" t="str">
        <f>IF($B145="","",SUMIFS('Daily Inward'!$G:$G,'Daily Inward'!$C:$C,$B145,'Daily Inward'!$E:$E,"Patty Cash"))</f>
        <v/>
      </c>
      <c r="G145" s="30" t="str">
        <f>IF($B145="","",SUMIFS('Daily Issuance'!$G:$G,'Daily Issuance'!$C:$C,$B145,'Daily Issuance'!$E:$E,"Patty Cash"))</f>
        <v/>
      </c>
      <c r="H145" s="30" t="str">
        <f t="shared" si="7"/>
        <v/>
      </c>
      <c r="I145" s="33"/>
      <c r="J145" s="34" t="str">
        <f t="shared" si="8"/>
        <v/>
      </c>
    </row>
    <row r="146" spans="1:10" s="27" customFormat="1" ht="23.1" customHeight="1">
      <c r="A146" s="194" t="str">
        <f>IF($C146="","",MAX($A$3:A145)+1)</f>
        <v/>
      </c>
      <c r="B146" s="197" t="str">
        <f t="shared" si="6"/>
        <v/>
      </c>
      <c r="C146" s="201"/>
      <c r="D146" s="199"/>
      <c r="E146" s="200"/>
      <c r="F146" s="196" t="str">
        <f>IF($B146="","",SUMIFS('Daily Inward'!$G:$G,'Daily Inward'!$C:$C,$B146,'Daily Inward'!$E:$E,"Patty Cash"))</f>
        <v/>
      </c>
      <c r="G146" s="30" t="str">
        <f>IF($B146="","",SUMIFS('Daily Issuance'!$G:$G,'Daily Issuance'!$C:$C,$B146,'Daily Issuance'!$E:$E,"Patty Cash"))</f>
        <v/>
      </c>
      <c r="H146" s="30" t="str">
        <f t="shared" si="7"/>
        <v/>
      </c>
      <c r="I146" s="33"/>
      <c r="J146" s="34" t="str">
        <f t="shared" si="8"/>
        <v/>
      </c>
    </row>
    <row r="147" spans="1:10" s="27" customFormat="1" ht="23.1" customHeight="1">
      <c r="A147" s="194" t="str">
        <f>IF($C147="","",MAX($A$3:A146)+1)</f>
        <v/>
      </c>
      <c r="B147" s="197" t="str">
        <f t="shared" si="6"/>
        <v/>
      </c>
      <c r="C147" s="201"/>
      <c r="D147" s="199"/>
      <c r="E147" s="200"/>
      <c r="F147" s="196" t="str">
        <f>IF($B147="","",SUMIFS('Daily Inward'!$G:$G,'Daily Inward'!$C:$C,$B147,'Daily Inward'!$E:$E,"Patty Cash"))</f>
        <v/>
      </c>
      <c r="G147" s="30" t="str">
        <f>IF($B147="","",SUMIFS('Daily Issuance'!$G:$G,'Daily Issuance'!$C:$C,$B147,'Daily Issuance'!$E:$E,"Patty Cash"))</f>
        <v/>
      </c>
      <c r="H147" s="30" t="str">
        <f t="shared" si="7"/>
        <v/>
      </c>
      <c r="I147" s="33"/>
      <c r="J147" s="34" t="str">
        <f t="shared" si="8"/>
        <v/>
      </c>
    </row>
    <row r="148" spans="1:10" s="27" customFormat="1" ht="23.1" customHeight="1">
      <c r="A148" s="194" t="str">
        <f>IF($C148="","",MAX($A$3:A147)+1)</f>
        <v/>
      </c>
      <c r="B148" s="197" t="str">
        <f t="shared" si="6"/>
        <v/>
      </c>
      <c r="C148" s="201"/>
      <c r="D148" s="199"/>
      <c r="E148" s="200"/>
      <c r="F148" s="196" t="str">
        <f>IF($B148="","",SUMIFS('Daily Inward'!$G:$G,'Daily Inward'!$C:$C,$B148,'Daily Inward'!$E:$E,"Patty Cash"))</f>
        <v/>
      </c>
      <c r="G148" s="30" t="str">
        <f>IF($B148="","",SUMIFS('Daily Issuance'!$G:$G,'Daily Issuance'!$C:$C,$B148,'Daily Issuance'!$E:$E,"Patty Cash"))</f>
        <v/>
      </c>
      <c r="H148" s="30" t="str">
        <f t="shared" si="7"/>
        <v/>
      </c>
      <c r="I148" s="33"/>
      <c r="J148" s="34" t="str">
        <f t="shared" si="8"/>
        <v/>
      </c>
    </row>
    <row r="149" spans="1:10" s="27" customFormat="1" ht="23.1" customHeight="1">
      <c r="A149" s="194" t="str">
        <f>IF($C149="","",MAX($A$3:A148)+1)</f>
        <v/>
      </c>
      <c r="B149" s="197" t="str">
        <f t="shared" si="6"/>
        <v/>
      </c>
      <c r="C149" s="201"/>
      <c r="D149" s="199"/>
      <c r="E149" s="200"/>
      <c r="F149" s="196" t="str">
        <f>IF($B149="","",SUMIFS('Daily Inward'!$G:$G,'Daily Inward'!$C:$C,$B149,'Daily Inward'!$E:$E,"Patty Cash"))</f>
        <v/>
      </c>
      <c r="G149" s="30" t="str">
        <f>IF($B149="","",SUMIFS('Daily Issuance'!$G:$G,'Daily Issuance'!$C:$C,$B149,'Daily Issuance'!$E:$E,"Patty Cash"))</f>
        <v/>
      </c>
      <c r="H149" s="30" t="str">
        <f t="shared" si="7"/>
        <v/>
      </c>
      <c r="I149" s="33"/>
      <c r="J149" s="34" t="str">
        <f t="shared" si="8"/>
        <v/>
      </c>
    </row>
    <row r="150" spans="1:10" s="27" customFormat="1" ht="23.1" customHeight="1">
      <c r="A150" s="194" t="str">
        <f>IF($C150="","",MAX($A$3:A149)+1)</f>
        <v/>
      </c>
      <c r="B150" s="197" t="str">
        <f t="shared" si="6"/>
        <v/>
      </c>
      <c r="C150" s="201"/>
      <c r="D150" s="199"/>
      <c r="E150" s="200"/>
      <c r="F150" s="196" t="str">
        <f>IF($B150="","",SUMIFS('Daily Inward'!$G:$G,'Daily Inward'!$C:$C,$B150,'Daily Inward'!$E:$E,"Patty Cash"))</f>
        <v/>
      </c>
      <c r="G150" s="30" t="str">
        <f>IF($B150="","",SUMIFS('Daily Issuance'!$G:$G,'Daily Issuance'!$C:$C,$B150,'Daily Issuance'!$E:$E,"Patty Cash"))</f>
        <v/>
      </c>
      <c r="H150" s="30" t="str">
        <f t="shared" si="7"/>
        <v/>
      </c>
      <c r="I150" s="33"/>
      <c r="J150" s="34" t="str">
        <f t="shared" si="8"/>
        <v/>
      </c>
    </row>
    <row r="151" spans="1:10" s="27" customFormat="1" ht="23.1" customHeight="1">
      <c r="A151" s="194" t="str">
        <f>IF($C151="","",MAX($A$3:A150)+1)</f>
        <v/>
      </c>
      <c r="B151" s="197" t="str">
        <f t="shared" si="6"/>
        <v/>
      </c>
      <c r="C151" s="201"/>
      <c r="D151" s="199"/>
      <c r="E151" s="200"/>
      <c r="F151" s="196" t="str">
        <f>IF($B151="","",SUMIFS('Daily Inward'!$G:$G,'Daily Inward'!$C:$C,$B151,'Daily Inward'!$E:$E,"Patty Cash"))</f>
        <v/>
      </c>
      <c r="G151" s="30" t="str">
        <f>IF($B151="","",SUMIFS('Daily Issuance'!$G:$G,'Daily Issuance'!$C:$C,$B151,'Daily Issuance'!$E:$E,"Patty Cash"))</f>
        <v/>
      </c>
      <c r="H151" s="30" t="str">
        <f t="shared" si="7"/>
        <v/>
      </c>
      <c r="I151" s="33"/>
      <c r="J151" s="34" t="str">
        <f t="shared" si="8"/>
        <v/>
      </c>
    </row>
    <row r="152" spans="1:10" s="27" customFormat="1" ht="23.1" customHeight="1">
      <c r="A152" s="194" t="str">
        <f>IF($C152="","",MAX($A$3:A151)+1)</f>
        <v/>
      </c>
      <c r="B152" s="197" t="str">
        <f t="shared" si="6"/>
        <v/>
      </c>
      <c r="C152" s="201"/>
      <c r="D152" s="199"/>
      <c r="E152" s="200"/>
      <c r="F152" s="196" t="str">
        <f>IF($B152="","",SUMIFS('Daily Inward'!$G:$G,'Daily Inward'!$C:$C,$B152,'Daily Inward'!$E:$E,"Patty Cash"))</f>
        <v/>
      </c>
      <c r="G152" s="30" t="str">
        <f>IF($B152="","",SUMIFS('Daily Issuance'!$G:$G,'Daily Issuance'!$C:$C,$B152,'Daily Issuance'!$E:$E,"Patty Cash"))</f>
        <v/>
      </c>
      <c r="H152" s="30" t="str">
        <f t="shared" si="7"/>
        <v/>
      </c>
      <c r="I152" s="33"/>
      <c r="J152" s="34" t="str">
        <f t="shared" si="8"/>
        <v/>
      </c>
    </row>
    <row r="153" spans="1:10" s="27" customFormat="1" ht="23.1" customHeight="1">
      <c r="A153" s="194" t="str">
        <f>IF($C153="","",MAX($A$3:A152)+1)</f>
        <v/>
      </c>
      <c r="B153" s="197" t="str">
        <f t="shared" si="6"/>
        <v/>
      </c>
      <c r="C153" s="201"/>
      <c r="D153" s="199"/>
      <c r="E153" s="200"/>
      <c r="F153" s="196" t="str">
        <f>IF($B153="","",SUMIFS('Daily Inward'!$G:$G,'Daily Inward'!$C:$C,$B153,'Daily Inward'!$E:$E,"Patty Cash"))</f>
        <v/>
      </c>
      <c r="G153" s="30" t="str">
        <f>IF($B153="","",SUMIFS('Daily Issuance'!$G:$G,'Daily Issuance'!$C:$C,$B153,'Daily Issuance'!$E:$E,"Patty Cash"))</f>
        <v/>
      </c>
      <c r="H153" s="30" t="str">
        <f t="shared" si="7"/>
        <v/>
      </c>
      <c r="I153" s="33"/>
      <c r="J153" s="34" t="str">
        <f t="shared" si="8"/>
        <v/>
      </c>
    </row>
    <row r="154" spans="1:10" s="27" customFormat="1" ht="23.1" customHeight="1">
      <c r="A154" s="194" t="str">
        <f>IF($C154="","",MAX($A$3:A153)+1)</f>
        <v/>
      </c>
      <c r="B154" s="197" t="str">
        <f t="shared" si="6"/>
        <v/>
      </c>
      <c r="C154" s="201"/>
      <c r="D154" s="199"/>
      <c r="E154" s="200"/>
      <c r="F154" s="196" t="str">
        <f>IF($B154="","",SUMIFS('Daily Inward'!$G:$G,'Daily Inward'!$C:$C,$B154,'Daily Inward'!$E:$E,"Patty Cash"))</f>
        <v/>
      </c>
      <c r="G154" s="30" t="str">
        <f>IF($B154="","",SUMIFS('Daily Issuance'!$G:$G,'Daily Issuance'!$C:$C,$B154,'Daily Issuance'!$E:$E,"Patty Cash"))</f>
        <v/>
      </c>
      <c r="H154" s="30" t="str">
        <f t="shared" si="7"/>
        <v/>
      </c>
      <c r="I154" s="33"/>
      <c r="J154" s="34" t="str">
        <f t="shared" si="8"/>
        <v/>
      </c>
    </row>
    <row r="155" spans="1:10" s="27" customFormat="1" ht="23.1" customHeight="1">
      <c r="A155" s="194" t="str">
        <f>IF($C155="","",MAX($A$3:A154)+1)</f>
        <v/>
      </c>
      <c r="B155" s="197" t="str">
        <f t="shared" si="6"/>
        <v/>
      </c>
      <c r="C155" s="201"/>
      <c r="D155" s="199"/>
      <c r="E155" s="200"/>
      <c r="F155" s="196" t="str">
        <f>IF($B155="","",SUMIFS('Daily Inward'!$G:$G,'Daily Inward'!$C:$C,$B155,'Daily Inward'!$E:$E,"Patty Cash"))</f>
        <v/>
      </c>
      <c r="G155" s="30" t="str">
        <f>IF($B155="","",SUMIFS('Daily Issuance'!$G:$G,'Daily Issuance'!$C:$C,$B155,'Daily Issuance'!$E:$E,"Patty Cash"))</f>
        <v/>
      </c>
      <c r="H155" s="30" t="str">
        <f t="shared" si="7"/>
        <v/>
      </c>
      <c r="I155" s="33"/>
      <c r="J155" s="34" t="str">
        <f t="shared" si="8"/>
        <v/>
      </c>
    </row>
    <row r="156" spans="1:10" s="27" customFormat="1" ht="23.1" customHeight="1">
      <c r="A156" s="194" t="str">
        <f>IF($C156="","",MAX($A$3:A155)+1)</f>
        <v/>
      </c>
      <c r="B156" s="197" t="str">
        <f t="shared" si="6"/>
        <v/>
      </c>
      <c r="C156" s="201"/>
      <c r="D156" s="199"/>
      <c r="E156" s="200"/>
      <c r="F156" s="196" t="str">
        <f>IF($B156="","",SUMIFS('Daily Inward'!$G:$G,'Daily Inward'!$C:$C,$B156,'Daily Inward'!$E:$E,"Patty Cash"))</f>
        <v/>
      </c>
      <c r="G156" s="30" t="str">
        <f>IF($B156="","",SUMIFS('Daily Issuance'!$G:$G,'Daily Issuance'!$C:$C,$B156,'Daily Issuance'!$E:$E,"Patty Cash"))</f>
        <v/>
      </c>
      <c r="H156" s="30" t="str">
        <f t="shared" si="7"/>
        <v/>
      </c>
      <c r="I156" s="33"/>
      <c r="J156" s="34" t="str">
        <f t="shared" si="8"/>
        <v/>
      </c>
    </row>
    <row r="157" spans="1:10" s="27" customFormat="1" ht="23.1" customHeight="1">
      <c r="A157" s="194" t="str">
        <f>IF($C157="","",MAX($A$3:A156)+1)</f>
        <v/>
      </c>
      <c r="B157" s="197" t="str">
        <f t="shared" si="6"/>
        <v/>
      </c>
      <c r="C157" s="201"/>
      <c r="D157" s="199"/>
      <c r="E157" s="200"/>
      <c r="F157" s="196" t="str">
        <f>IF($B157="","",SUMIFS('Daily Inward'!$G:$G,'Daily Inward'!$C:$C,$B157,'Daily Inward'!$E:$E,"Patty Cash"))</f>
        <v/>
      </c>
      <c r="G157" s="30" t="str">
        <f>IF($B157="","",SUMIFS('Daily Issuance'!$G:$G,'Daily Issuance'!$C:$C,$B157,'Daily Issuance'!$E:$E,"Patty Cash"))</f>
        <v/>
      </c>
      <c r="H157" s="30" t="str">
        <f t="shared" si="7"/>
        <v/>
      </c>
      <c r="I157" s="33"/>
      <c r="J157" s="34" t="str">
        <f t="shared" si="8"/>
        <v/>
      </c>
    </row>
    <row r="158" spans="1:10" s="27" customFormat="1" ht="23.1" customHeight="1">
      <c r="A158" s="194" t="str">
        <f>IF($C158="","",MAX($A$3:A157)+1)</f>
        <v/>
      </c>
      <c r="B158" s="197" t="str">
        <f t="shared" si="6"/>
        <v/>
      </c>
      <c r="C158" s="201"/>
      <c r="D158" s="199"/>
      <c r="E158" s="200"/>
      <c r="F158" s="196" t="str">
        <f>IF($B158="","",SUMIFS('Daily Inward'!$G:$G,'Daily Inward'!$C:$C,$B158,'Daily Inward'!$E:$E,"Patty Cash"))</f>
        <v/>
      </c>
      <c r="G158" s="30" t="str">
        <f>IF($B158="","",SUMIFS('Daily Issuance'!$G:$G,'Daily Issuance'!$C:$C,$B158,'Daily Issuance'!$E:$E,"Patty Cash"))</f>
        <v/>
      </c>
      <c r="H158" s="30" t="str">
        <f t="shared" si="7"/>
        <v/>
      </c>
      <c r="I158" s="33"/>
      <c r="J158" s="34" t="str">
        <f t="shared" si="8"/>
        <v/>
      </c>
    </row>
    <row r="159" spans="1:10" s="27" customFormat="1" ht="23.1" customHeight="1">
      <c r="A159" s="194" t="str">
        <f>IF($C159="","",MAX($A$3:A158)+1)</f>
        <v/>
      </c>
      <c r="B159" s="197" t="str">
        <f t="shared" si="6"/>
        <v/>
      </c>
      <c r="C159" s="201"/>
      <c r="D159" s="199"/>
      <c r="E159" s="200"/>
      <c r="F159" s="196" t="str">
        <f>IF($B159="","",SUMIFS('Daily Inward'!$G:$G,'Daily Inward'!$C:$C,$B159,'Daily Inward'!$E:$E,"Patty Cash"))</f>
        <v/>
      </c>
      <c r="G159" s="30" t="str">
        <f>IF($B159="","",SUMIFS('Daily Issuance'!$G:$G,'Daily Issuance'!$C:$C,$B159,'Daily Issuance'!$E:$E,"Patty Cash"))</f>
        <v/>
      </c>
      <c r="H159" s="30" t="str">
        <f t="shared" si="7"/>
        <v/>
      </c>
      <c r="I159" s="33"/>
      <c r="J159" s="34" t="str">
        <f t="shared" si="8"/>
        <v/>
      </c>
    </row>
    <row r="160" spans="1:10" s="27" customFormat="1" ht="23.1" customHeight="1">
      <c r="A160" s="194" t="str">
        <f>IF($C160="","",MAX($A$3:A159)+1)</f>
        <v/>
      </c>
      <c r="B160" s="197" t="str">
        <f t="shared" si="6"/>
        <v/>
      </c>
      <c r="C160" s="201"/>
      <c r="D160" s="199"/>
      <c r="E160" s="200"/>
      <c r="F160" s="196" t="str">
        <f>IF($B160="","",SUMIFS('Daily Inward'!$G:$G,'Daily Inward'!$C:$C,$B160,'Daily Inward'!$E:$E,"Patty Cash"))</f>
        <v/>
      </c>
      <c r="G160" s="30" t="str">
        <f>IF($B160="","",SUMIFS('Daily Issuance'!$G:$G,'Daily Issuance'!$C:$C,$B160,'Daily Issuance'!$E:$E,"Patty Cash"))</f>
        <v/>
      </c>
      <c r="H160" s="30" t="str">
        <f t="shared" si="7"/>
        <v/>
      </c>
      <c r="I160" s="33"/>
      <c r="J160" s="34" t="str">
        <f t="shared" si="8"/>
        <v/>
      </c>
    </row>
    <row r="161" spans="1:10" s="27" customFormat="1" ht="23.1" customHeight="1">
      <c r="A161" s="194" t="str">
        <f>IF($C161="","",MAX($A$3:A160)+1)</f>
        <v/>
      </c>
      <c r="B161" s="197" t="str">
        <f t="shared" si="6"/>
        <v/>
      </c>
      <c r="C161" s="201"/>
      <c r="D161" s="199"/>
      <c r="E161" s="200"/>
      <c r="F161" s="196" t="str">
        <f>IF($B161="","",SUMIFS('Daily Inward'!$G:$G,'Daily Inward'!$C:$C,$B161,'Daily Inward'!$E:$E,"Patty Cash"))</f>
        <v/>
      </c>
      <c r="G161" s="30" t="str">
        <f>IF($B161="","",SUMIFS('Daily Issuance'!$G:$G,'Daily Issuance'!$C:$C,$B161,'Daily Issuance'!$E:$E,"Patty Cash"))</f>
        <v/>
      </c>
      <c r="H161" s="30" t="str">
        <f t="shared" si="7"/>
        <v/>
      </c>
      <c r="I161" s="33"/>
      <c r="J161" s="34" t="str">
        <f t="shared" si="8"/>
        <v/>
      </c>
    </row>
    <row r="162" spans="1:10" s="27" customFormat="1" ht="23.1" customHeight="1">
      <c r="A162" s="194" t="str">
        <f>IF($C162="","",MAX($A$3:A161)+1)</f>
        <v/>
      </c>
      <c r="B162" s="197" t="str">
        <f t="shared" si="6"/>
        <v/>
      </c>
      <c r="C162" s="201"/>
      <c r="D162" s="199"/>
      <c r="E162" s="200"/>
      <c r="F162" s="196" t="str">
        <f>IF($B162="","",SUMIFS('Daily Inward'!$G:$G,'Daily Inward'!$C:$C,$B162,'Daily Inward'!$E:$E,"Patty Cash"))</f>
        <v/>
      </c>
      <c r="G162" s="30" t="str">
        <f>IF($B162="","",SUMIFS('Daily Issuance'!$G:$G,'Daily Issuance'!$C:$C,$B162,'Daily Issuance'!$E:$E,"Patty Cash"))</f>
        <v/>
      </c>
      <c r="H162" s="30" t="str">
        <f t="shared" si="7"/>
        <v/>
      </c>
      <c r="I162" s="33"/>
      <c r="J162" s="34" t="str">
        <f t="shared" si="8"/>
        <v/>
      </c>
    </row>
    <row r="163" spans="1:10" s="27" customFormat="1" ht="23.1" customHeight="1">
      <c r="A163" s="194" t="str">
        <f>IF($C163="","",MAX($A$3:A162)+1)</f>
        <v/>
      </c>
      <c r="B163" s="197" t="str">
        <f t="shared" si="6"/>
        <v/>
      </c>
      <c r="C163" s="201"/>
      <c r="D163" s="199"/>
      <c r="E163" s="200"/>
      <c r="F163" s="196" t="str">
        <f>IF($B163="","",SUMIFS('Daily Inward'!$G:$G,'Daily Inward'!$C:$C,$B163,'Daily Inward'!$E:$E,"Patty Cash"))</f>
        <v/>
      </c>
      <c r="G163" s="30" t="str">
        <f>IF($B163="","",SUMIFS('Daily Issuance'!$G:$G,'Daily Issuance'!$C:$C,$B163,'Daily Issuance'!$E:$E,"Patty Cash"))</f>
        <v/>
      </c>
      <c r="H163" s="30" t="str">
        <f t="shared" si="7"/>
        <v/>
      </c>
      <c r="I163" s="33"/>
      <c r="J163" s="34" t="str">
        <f t="shared" si="8"/>
        <v/>
      </c>
    </row>
    <row r="164" spans="1:10" s="27" customFormat="1" ht="23.1" customHeight="1">
      <c r="A164" s="194" t="str">
        <f>IF($C164="","",MAX($A$3:A163)+1)</f>
        <v/>
      </c>
      <c r="B164" s="197" t="str">
        <f t="shared" si="6"/>
        <v/>
      </c>
      <c r="C164" s="201"/>
      <c r="D164" s="199"/>
      <c r="E164" s="200"/>
      <c r="F164" s="196" t="str">
        <f>IF($B164="","",SUMIFS('Daily Inward'!$G:$G,'Daily Inward'!$C:$C,$B164,'Daily Inward'!$E:$E,"Patty Cash"))</f>
        <v/>
      </c>
      <c r="G164" s="30" t="str">
        <f>IF($B164="","",SUMIFS('Daily Issuance'!$G:$G,'Daily Issuance'!$C:$C,$B164,'Daily Issuance'!$E:$E,"Patty Cash"))</f>
        <v/>
      </c>
      <c r="H164" s="30" t="str">
        <f t="shared" si="7"/>
        <v/>
      </c>
      <c r="I164" s="33"/>
      <c r="J164" s="34" t="str">
        <f t="shared" si="8"/>
        <v/>
      </c>
    </row>
    <row r="165" spans="1:10" s="27" customFormat="1" ht="23.1" customHeight="1">
      <c r="A165" s="194" t="str">
        <f>IF($C165="","",MAX($A$3:A164)+1)</f>
        <v/>
      </c>
      <c r="B165" s="197" t="str">
        <f t="shared" si="6"/>
        <v/>
      </c>
      <c r="C165" s="201"/>
      <c r="D165" s="199"/>
      <c r="E165" s="200"/>
      <c r="F165" s="196" t="str">
        <f>IF($B165="","",SUMIFS('Daily Inward'!$G:$G,'Daily Inward'!$C:$C,$B165,'Daily Inward'!$E:$E,"Patty Cash"))</f>
        <v/>
      </c>
      <c r="G165" s="30" t="str">
        <f>IF($B165="","",SUMIFS('Daily Issuance'!$G:$G,'Daily Issuance'!$C:$C,$B165,'Daily Issuance'!$E:$E,"Patty Cash"))</f>
        <v/>
      </c>
      <c r="H165" s="30" t="str">
        <f t="shared" si="7"/>
        <v/>
      </c>
      <c r="I165" s="33"/>
      <c r="J165" s="34" t="str">
        <f t="shared" si="8"/>
        <v/>
      </c>
    </row>
    <row r="166" spans="1:10" s="27" customFormat="1" ht="23.1" customHeight="1">
      <c r="A166" s="194" t="str">
        <f>IF($C166="","",MAX($A$3:A165)+1)</f>
        <v/>
      </c>
      <c r="B166" s="197" t="str">
        <f t="shared" si="6"/>
        <v/>
      </c>
      <c r="C166" s="201"/>
      <c r="D166" s="199"/>
      <c r="E166" s="200"/>
      <c r="F166" s="196" t="str">
        <f>IF($B166="","",SUMIFS('Daily Inward'!$G:$G,'Daily Inward'!$C:$C,$B166,'Daily Inward'!$E:$E,"Patty Cash"))</f>
        <v/>
      </c>
      <c r="G166" s="30" t="str">
        <f>IF($B166="","",SUMIFS('Daily Issuance'!$G:$G,'Daily Issuance'!$C:$C,$B166,'Daily Issuance'!$E:$E,"Patty Cash"))</f>
        <v/>
      </c>
      <c r="H166" s="30" t="str">
        <f t="shared" si="7"/>
        <v/>
      </c>
      <c r="I166" s="33"/>
      <c r="J166" s="34" t="str">
        <f t="shared" si="8"/>
        <v/>
      </c>
    </row>
    <row r="167" spans="1:10" s="27" customFormat="1" ht="23.1" customHeight="1">
      <c r="A167" s="194" t="str">
        <f>IF($C167="","",MAX($A$3:A166)+1)</f>
        <v/>
      </c>
      <c r="B167" s="197" t="str">
        <f t="shared" si="6"/>
        <v/>
      </c>
      <c r="C167" s="201"/>
      <c r="D167" s="199"/>
      <c r="E167" s="200"/>
      <c r="F167" s="196" t="str">
        <f>IF($B167="","",SUMIFS('Daily Inward'!$G:$G,'Daily Inward'!$C:$C,$B167,'Daily Inward'!$E:$E,"Patty Cash"))</f>
        <v/>
      </c>
      <c r="G167" s="30" t="str">
        <f>IF($B167="","",SUMIFS('Daily Issuance'!$G:$G,'Daily Issuance'!$C:$C,$B167,'Daily Issuance'!$E:$E,"Patty Cash"))</f>
        <v/>
      </c>
      <c r="H167" s="30" t="str">
        <f t="shared" si="7"/>
        <v/>
      </c>
      <c r="I167" s="33"/>
      <c r="J167" s="34" t="str">
        <f t="shared" si="8"/>
        <v/>
      </c>
    </row>
    <row r="168" spans="1:10" s="27" customFormat="1" ht="23.1" customHeight="1">
      <c r="A168" s="194" t="str">
        <f>IF($C168="","",MAX($A$3:A167)+1)</f>
        <v/>
      </c>
      <c r="B168" s="197" t="str">
        <f t="shared" si="6"/>
        <v/>
      </c>
      <c r="C168" s="201"/>
      <c r="D168" s="199"/>
      <c r="E168" s="200"/>
      <c r="F168" s="196" t="str">
        <f>IF($B168="","",SUMIFS('Daily Inward'!$G:$G,'Daily Inward'!$C:$C,$B168,'Daily Inward'!$E:$E,"Patty Cash"))</f>
        <v/>
      </c>
      <c r="G168" s="30" t="str">
        <f>IF($B168="","",SUMIFS('Daily Issuance'!$G:$G,'Daily Issuance'!$C:$C,$B168,'Daily Issuance'!$E:$E,"Patty Cash"))</f>
        <v/>
      </c>
      <c r="H168" s="30" t="str">
        <f t="shared" si="7"/>
        <v/>
      </c>
      <c r="I168" s="33"/>
      <c r="J168" s="34" t="str">
        <f t="shared" si="8"/>
        <v/>
      </c>
    </row>
    <row r="169" spans="1:10" s="27" customFormat="1" ht="23.1" customHeight="1">
      <c r="A169" s="194" t="str">
        <f>IF($C169="","",MAX($A$3:A168)+1)</f>
        <v/>
      </c>
      <c r="B169" s="197" t="str">
        <f t="shared" si="6"/>
        <v/>
      </c>
      <c r="C169" s="201"/>
      <c r="D169" s="199"/>
      <c r="E169" s="200"/>
      <c r="F169" s="196" t="str">
        <f>IF($B169="","",SUMIFS('Daily Inward'!$G:$G,'Daily Inward'!$C:$C,$B169,'Daily Inward'!$E:$E,"Patty Cash"))</f>
        <v/>
      </c>
      <c r="G169" s="30" t="str">
        <f>IF($B169="","",SUMIFS('Daily Issuance'!$G:$G,'Daily Issuance'!$C:$C,$B169,'Daily Issuance'!$E:$E,"Patty Cash"))</f>
        <v/>
      </c>
      <c r="H169" s="30" t="str">
        <f t="shared" si="7"/>
        <v/>
      </c>
      <c r="I169" s="33"/>
      <c r="J169" s="34" t="str">
        <f t="shared" si="8"/>
        <v/>
      </c>
    </row>
    <row r="170" spans="1:10" s="27" customFormat="1" ht="23.1" customHeight="1">
      <c r="A170" s="194" t="str">
        <f>IF($C170="","",MAX($A$3:A169)+1)</f>
        <v/>
      </c>
      <c r="B170" s="197" t="str">
        <f t="shared" si="6"/>
        <v/>
      </c>
      <c r="C170" s="201"/>
      <c r="D170" s="199"/>
      <c r="E170" s="200"/>
      <c r="F170" s="196" t="str">
        <f>IF($B170="","",SUMIFS('Daily Inward'!$G:$G,'Daily Inward'!$C:$C,$B170,'Daily Inward'!$E:$E,"Patty Cash"))</f>
        <v/>
      </c>
      <c r="G170" s="30" t="str">
        <f>IF($B170="","",SUMIFS('Daily Issuance'!$G:$G,'Daily Issuance'!$C:$C,$B170,'Daily Issuance'!$E:$E,"Patty Cash"))</f>
        <v/>
      </c>
      <c r="H170" s="30" t="str">
        <f t="shared" si="7"/>
        <v/>
      </c>
      <c r="I170" s="33"/>
      <c r="J170" s="34" t="str">
        <f t="shared" si="8"/>
        <v/>
      </c>
    </row>
    <row r="171" spans="1:10" s="27" customFormat="1" ht="23.1" customHeight="1">
      <c r="A171" s="194" t="str">
        <f>IF($C171="","",MAX($A$3:A170)+1)</f>
        <v/>
      </c>
      <c r="B171" s="197" t="str">
        <f t="shared" si="6"/>
        <v/>
      </c>
      <c r="C171" s="201"/>
      <c r="D171" s="199"/>
      <c r="E171" s="200"/>
      <c r="F171" s="196" t="str">
        <f>IF($B171="","",SUMIFS('Daily Inward'!$G:$G,'Daily Inward'!$C:$C,$B171,'Daily Inward'!$E:$E,"Patty Cash"))</f>
        <v/>
      </c>
      <c r="G171" s="30" t="str">
        <f>IF($B171="","",SUMIFS('Daily Issuance'!$G:$G,'Daily Issuance'!$C:$C,$B171,'Daily Issuance'!$E:$E,"Patty Cash"))</f>
        <v/>
      </c>
      <c r="H171" s="30" t="str">
        <f t="shared" si="7"/>
        <v/>
      </c>
      <c r="I171" s="33"/>
      <c r="J171" s="34" t="str">
        <f t="shared" si="8"/>
        <v/>
      </c>
    </row>
    <row r="172" spans="1:10" s="27" customFormat="1" ht="23.1" customHeight="1">
      <c r="A172" s="194" t="str">
        <f>IF($C172="","",MAX($A$3:A171)+1)</f>
        <v/>
      </c>
      <c r="B172" s="197" t="str">
        <f t="shared" si="6"/>
        <v/>
      </c>
      <c r="C172" s="201"/>
      <c r="D172" s="199"/>
      <c r="E172" s="200"/>
      <c r="F172" s="196" t="str">
        <f>IF($B172="","",SUMIFS('Daily Inward'!$G:$G,'Daily Inward'!$C:$C,$B172,'Daily Inward'!$E:$E,"Patty Cash"))</f>
        <v/>
      </c>
      <c r="G172" s="30" t="str">
        <f>IF($B172="","",SUMIFS('Daily Issuance'!$G:$G,'Daily Issuance'!$C:$C,$B172,'Daily Issuance'!$E:$E,"Patty Cash"))</f>
        <v/>
      </c>
      <c r="H172" s="30" t="str">
        <f t="shared" si="7"/>
        <v/>
      </c>
      <c r="I172" s="33"/>
      <c r="J172" s="34" t="str">
        <f t="shared" si="8"/>
        <v/>
      </c>
    </row>
    <row r="173" spans="1:10" s="27" customFormat="1" ht="23.1" customHeight="1">
      <c r="A173" s="194" t="str">
        <f>IF($C173="","",MAX($A$3:A172)+1)</f>
        <v/>
      </c>
      <c r="B173" s="197" t="str">
        <f t="shared" si="6"/>
        <v/>
      </c>
      <c r="C173" s="201"/>
      <c r="D173" s="199"/>
      <c r="E173" s="200"/>
      <c r="F173" s="196" t="str">
        <f>IF($B173="","",SUMIFS('Daily Inward'!$G:$G,'Daily Inward'!$C:$C,$B173,'Daily Inward'!$E:$E,"Patty Cash"))</f>
        <v/>
      </c>
      <c r="G173" s="30" t="str">
        <f>IF($B173="","",SUMIFS('Daily Issuance'!$G:$G,'Daily Issuance'!$C:$C,$B173,'Daily Issuance'!$E:$E,"Patty Cash"))</f>
        <v/>
      </c>
      <c r="H173" s="30" t="str">
        <f t="shared" si="7"/>
        <v/>
      </c>
      <c r="I173" s="33"/>
      <c r="J173" s="34" t="str">
        <f t="shared" si="8"/>
        <v/>
      </c>
    </row>
    <row r="174" spans="1:10" s="27" customFormat="1" ht="23.1" customHeight="1">
      <c r="A174" s="194" t="str">
        <f>IF($C174="","",MAX($A$3:A173)+1)</f>
        <v/>
      </c>
      <c r="B174" s="197" t="str">
        <f t="shared" si="6"/>
        <v/>
      </c>
      <c r="C174" s="201"/>
      <c r="D174" s="199"/>
      <c r="E174" s="200"/>
      <c r="F174" s="196" t="str">
        <f>IF($B174="","",SUMIFS('Daily Inward'!$G:$G,'Daily Inward'!$C:$C,$B174,'Daily Inward'!$E:$E,"Patty Cash"))</f>
        <v/>
      </c>
      <c r="G174" s="30" t="str">
        <f>IF($B174="","",SUMIFS('Daily Issuance'!$G:$G,'Daily Issuance'!$C:$C,$B174,'Daily Issuance'!$E:$E,"Patty Cash"))</f>
        <v/>
      </c>
      <c r="H174" s="30" t="str">
        <f t="shared" si="7"/>
        <v/>
      </c>
      <c r="I174" s="33"/>
      <c r="J174" s="34" t="str">
        <f t="shared" si="8"/>
        <v/>
      </c>
    </row>
    <row r="175" spans="1:10" s="27" customFormat="1" ht="23.1" customHeight="1">
      <c r="A175" s="194" t="str">
        <f>IF($C175="","",MAX($A$3:A174)+1)</f>
        <v/>
      </c>
      <c r="B175" s="197" t="str">
        <f t="shared" si="6"/>
        <v/>
      </c>
      <c r="C175" s="201"/>
      <c r="D175" s="199"/>
      <c r="E175" s="200"/>
      <c r="F175" s="196" t="str">
        <f>IF($B175="","",SUMIFS('Daily Inward'!$G:$G,'Daily Inward'!$C:$C,$B175,'Daily Inward'!$E:$E,"Patty Cash"))</f>
        <v/>
      </c>
      <c r="G175" s="30" t="str">
        <f>IF($B175="","",SUMIFS('Daily Issuance'!$G:$G,'Daily Issuance'!$C:$C,$B175,'Daily Issuance'!$E:$E,"Patty Cash"))</f>
        <v/>
      </c>
      <c r="H175" s="30" t="str">
        <f t="shared" si="7"/>
        <v/>
      </c>
      <c r="I175" s="33"/>
      <c r="J175" s="34" t="str">
        <f t="shared" si="8"/>
        <v/>
      </c>
    </row>
    <row r="176" spans="1:10" s="27" customFormat="1" ht="23.1" customHeight="1">
      <c r="A176" s="194" t="str">
        <f>IF($C176="","",MAX($A$3:A175)+1)</f>
        <v/>
      </c>
      <c r="B176" s="197" t="str">
        <f t="shared" si="6"/>
        <v/>
      </c>
      <c r="C176" s="201"/>
      <c r="D176" s="199"/>
      <c r="E176" s="200"/>
      <c r="F176" s="196" t="str">
        <f>IF($B176="","",SUMIFS('Daily Inward'!$G:$G,'Daily Inward'!$C:$C,$B176,'Daily Inward'!$E:$E,"Patty Cash"))</f>
        <v/>
      </c>
      <c r="G176" s="30" t="str">
        <f>IF($B176="","",SUMIFS('Daily Issuance'!$G:$G,'Daily Issuance'!$C:$C,$B176,'Daily Issuance'!$E:$E,"Patty Cash"))</f>
        <v/>
      </c>
      <c r="H176" s="30" t="str">
        <f t="shared" si="7"/>
        <v/>
      </c>
      <c r="I176" s="33"/>
      <c r="J176" s="34" t="str">
        <f t="shared" si="8"/>
        <v/>
      </c>
    </row>
    <row r="177" spans="1:10" s="27" customFormat="1" ht="23.1" customHeight="1">
      <c r="A177" s="194" t="str">
        <f>IF($C177="","",MAX($A$3:A176)+1)</f>
        <v/>
      </c>
      <c r="B177" s="197" t="str">
        <f t="shared" si="6"/>
        <v/>
      </c>
      <c r="C177" s="201"/>
      <c r="D177" s="199"/>
      <c r="E177" s="200"/>
      <c r="F177" s="196" t="str">
        <f>IF($B177="","",SUMIFS('Daily Inward'!$G:$G,'Daily Inward'!$C:$C,$B177,'Daily Inward'!$E:$E,"Patty Cash"))</f>
        <v/>
      </c>
      <c r="G177" s="30" t="str">
        <f>IF($B177="","",SUMIFS('Daily Issuance'!$G:$G,'Daily Issuance'!$C:$C,$B177,'Daily Issuance'!$E:$E,"Patty Cash"))</f>
        <v/>
      </c>
      <c r="H177" s="30" t="str">
        <f t="shared" si="7"/>
        <v/>
      </c>
      <c r="I177" s="33"/>
      <c r="J177" s="34" t="str">
        <f t="shared" si="8"/>
        <v/>
      </c>
    </row>
    <row r="178" spans="1:10" s="27" customFormat="1" ht="23.1" customHeight="1">
      <c r="A178" s="194" t="str">
        <f>IF($C178="","",MAX($A$3:A177)+1)</f>
        <v/>
      </c>
      <c r="B178" s="197" t="str">
        <f t="shared" si="6"/>
        <v/>
      </c>
      <c r="C178" s="201"/>
      <c r="D178" s="199"/>
      <c r="E178" s="200"/>
      <c r="F178" s="196" t="str">
        <f>IF($B178="","",SUMIFS('Daily Inward'!$G:$G,'Daily Inward'!$C:$C,$B178,'Daily Inward'!$E:$E,"Patty Cash"))</f>
        <v/>
      </c>
      <c r="G178" s="30" t="str">
        <f>IF($B178="","",SUMIFS('Daily Issuance'!$G:$G,'Daily Issuance'!$C:$C,$B178,'Daily Issuance'!$E:$E,"Patty Cash"))</f>
        <v/>
      </c>
      <c r="H178" s="30" t="str">
        <f t="shared" si="7"/>
        <v/>
      </c>
      <c r="I178" s="33"/>
      <c r="J178" s="34" t="str">
        <f t="shared" si="8"/>
        <v/>
      </c>
    </row>
    <row r="179" spans="1:10" s="27" customFormat="1" ht="23.1" customHeight="1">
      <c r="A179" s="194" t="str">
        <f>IF($C179="","",MAX($A$3:A178)+1)</f>
        <v/>
      </c>
      <c r="B179" s="197" t="str">
        <f t="shared" si="6"/>
        <v/>
      </c>
      <c r="C179" s="201"/>
      <c r="D179" s="199"/>
      <c r="E179" s="200"/>
      <c r="F179" s="196" t="str">
        <f>IF($B179="","",SUMIFS('Daily Inward'!$G:$G,'Daily Inward'!$C:$C,$B179,'Daily Inward'!$E:$E,"Patty Cash"))</f>
        <v/>
      </c>
      <c r="G179" s="30" t="str">
        <f>IF($B179="","",SUMIFS('Daily Issuance'!$G:$G,'Daily Issuance'!$C:$C,$B179,'Daily Issuance'!$E:$E,"Patty Cash"))</f>
        <v/>
      </c>
      <c r="H179" s="30" t="str">
        <f t="shared" si="7"/>
        <v/>
      </c>
      <c r="I179" s="33"/>
      <c r="J179" s="34" t="str">
        <f t="shared" si="8"/>
        <v/>
      </c>
    </row>
    <row r="180" spans="1:10" s="27" customFormat="1" ht="23.1" customHeight="1">
      <c r="A180" s="194" t="str">
        <f>IF($C180="","",MAX($A$3:A179)+1)</f>
        <v/>
      </c>
      <c r="B180" s="197" t="str">
        <f t="shared" si="6"/>
        <v/>
      </c>
      <c r="C180" s="201"/>
      <c r="D180" s="199"/>
      <c r="E180" s="200"/>
      <c r="F180" s="196" t="str">
        <f>IF($B180="","",SUMIFS('Daily Inward'!$G:$G,'Daily Inward'!$C:$C,$B180,'Daily Inward'!$E:$E,"Patty Cash"))</f>
        <v/>
      </c>
      <c r="G180" s="30" t="str">
        <f>IF($B180="","",SUMIFS('Daily Issuance'!$G:$G,'Daily Issuance'!$C:$C,$B180,'Daily Issuance'!$E:$E,"Patty Cash"))</f>
        <v/>
      </c>
      <c r="H180" s="30" t="str">
        <f t="shared" si="7"/>
        <v/>
      </c>
      <c r="I180" s="33"/>
      <c r="J180" s="34" t="str">
        <f t="shared" si="8"/>
        <v/>
      </c>
    </row>
    <row r="181" spans="1:10" s="27" customFormat="1" ht="23.1" customHeight="1">
      <c r="A181" s="194" t="str">
        <f>IF($C181="","",MAX($A$3:A180)+1)</f>
        <v/>
      </c>
      <c r="B181" s="197" t="str">
        <f t="shared" si="6"/>
        <v/>
      </c>
      <c r="C181" s="201"/>
      <c r="D181" s="199"/>
      <c r="E181" s="200"/>
      <c r="F181" s="196" t="str">
        <f>IF($B181="","",SUMIFS('Daily Inward'!$G:$G,'Daily Inward'!$C:$C,$B181,'Daily Inward'!$E:$E,"Patty Cash"))</f>
        <v/>
      </c>
      <c r="G181" s="30" t="str">
        <f>IF($B181="","",SUMIFS('Daily Issuance'!$G:$G,'Daily Issuance'!$C:$C,$B181,'Daily Issuance'!$E:$E,"Patty Cash"))</f>
        <v/>
      </c>
      <c r="H181" s="30" t="str">
        <f t="shared" si="7"/>
        <v/>
      </c>
      <c r="I181" s="33"/>
      <c r="J181" s="34" t="str">
        <f t="shared" si="8"/>
        <v/>
      </c>
    </row>
    <row r="182" spans="1:10" s="27" customFormat="1" ht="23.1" customHeight="1">
      <c r="A182" s="194" t="str">
        <f>IF($C182="","",MAX($A$3:A181)+1)</f>
        <v/>
      </c>
      <c r="B182" s="197" t="str">
        <f t="shared" si="6"/>
        <v/>
      </c>
      <c r="C182" s="201"/>
      <c r="D182" s="199"/>
      <c r="E182" s="200"/>
      <c r="F182" s="196" t="str">
        <f>IF($B182="","",SUMIFS('Daily Inward'!$G:$G,'Daily Inward'!$C:$C,$B182,'Daily Inward'!$E:$E,"Patty Cash"))</f>
        <v/>
      </c>
      <c r="G182" s="30" t="str">
        <f>IF($B182="","",SUMIFS('Daily Issuance'!$G:$G,'Daily Issuance'!$C:$C,$B182,'Daily Issuance'!$E:$E,"Patty Cash"))</f>
        <v/>
      </c>
      <c r="H182" s="30" t="str">
        <f t="shared" si="7"/>
        <v/>
      </c>
      <c r="I182" s="33"/>
      <c r="J182" s="34" t="str">
        <f t="shared" si="8"/>
        <v/>
      </c>
    </row>
    <row r="183" spans="1:10" s="27" customFormat="1" ht="23.1" customHeight="1">
      <c r="A183" s="194" t="str">
        <f>IF($C183="","",MAX($A$3:A182)+1)</f>
        <v/>
      </c>
      <c r="B183" s="197" t="str">
        <f t="shared" si="6"/>
        <v/>
      </c>
      <c r="C183" s="201"/>
      <c r="D183" s="199"/>
      <c r="E183" s="200"/>
      <c r="F183" s="196" t="str">
        <f>IF($B183="","",SUMIFS('Daily Inward'!$G:$G,'Daily Inward'!$C:$C,$B183,'Daily Inward'!$E:$E,"Patty Cash"))</f>
        <v/>
      </c>
      <c r="G183" s="30" t="str">
        <f>IF($B183="","",SUMIFS('Daily Issuance'!$G:$G,'Daily Issuance'!$C:$C,$B183,'Daily Issuance'!$E:$E,"Patty Cash"))</f>
        <v/>
      </c>
      <c r="H183" s="30" t="str">
        <f t="shared" si="7"/>
        <v/>
      </c>
      <c r="I183" s="33"/>
      <c r="J183" s="34" t="str">
        <f t="shared" si="8"/>
        <v/>
      </c>
    </row>
    <row r="184" spans="1:10" s="27" customFormat="1" ht="23.1" customHeight="1">
      <c r="A184" s="194" t="str">
        <f>IF($C184="","",MAX($A$3:A183)+1)</f>
        <v/>
      </c>
      <c r="B184" s="197" t="str">
        <f t="shared" si="6"/>
        <v/>
      </c>
      <c r="C184" s="201"/>
      <c r="D184" s="199"/>
      <c r="E184" s="200"/>
      <c r="F184" s="196" t="str">
        <f>IF($B184="","",SUMIFS('Daily Inward'!$G:$G,'Daily Inward'!$C:$C,$B184,'Daily Inward'!$E:$E,"Patty Cash"))</f>
        <v/>
      </c>
      <c r="G184" s="30" t="str">
        <f>IF($B184="","",SUMIFS('Daily Issuance'!$G:$G,'Daily Issuance'!$C:$C,$B184,'Daily Issuance'!$E:$E,"Patty Cash"))</f>
        <v/>
      </c>
      <c r="H184" s="30" t="str">
        <f t="shared" si="7"/>
        <v/>
      </c>
      <c r="I184" s="33"/>
      <c r="J184" s="34" t="str">
        <f t="shared" si="8"/>
        <v/>
      </c>
    </row>
    <row r="185" spans="1:10" s="27" customFormat="1" ht="23.1" customHeight="1">
      <c r="A185" s="194" t="str">
        <f>IF($C185="","",MAX($A$3:A184)+1)</f>
        <v/>
      </c>
      <c r="B185" s="197" t="str">
        <f t="shared" si="6"/>
        <v/>
      </c>
      <c r="C185" s="201"/>
      <c r="D185" s="199"/>
      <c r="E185" s="200"/>
      <c r="F185" s="196" t="str">
        <f>IF($B185="","",SUMIFS('Daily Inward'!$G:$G,'Daily Inward'!$C:$C,$B185,'Daily Inward'!$E:$E,"Patty Cash"))</f>
        <v/>
      </c>
      <c r="G185" s="30" t="str">
        <f>IF($B185="","",SUMIFS('Daily Issuance'!$G:$G,'Daily Issuance'!$C:$C,$B185,'Daily Issuance'!$E:$E,"Patty Cash"))</f>
        <v/>
      </c>
      <c r="H185" s="30" t="str">
        <f t="shared" si="7"/>
        <v/>
      </c>
      <c r="I185" s="33"/>
      <c r="J185" s="34" t="str">
        <f t="shared" si="8"/>
        <v/>
      </c>
    </row>
    <row r="186" spans="1:10" s="27" customFormat="1" ht="23.1" customHeight="1">
      <c r="A186" s="194" t="str">
        <f>IF($C186="","",MAX($A$3:A185)+1)</f>
        <v/>
      </c>
      <c r="B186" s="197" t="str">
        <f t="shared" si="6"/>
        <v/>
      </c>
      <c r="C186" s="201"/>
      <c r="D186" s="199"/>
      <c r="E186" s="200"/>
      <c r="F186" s="196" t="str">
        <f>IF($B186="","",SUMIFS('Daily Inward'!$G:$G,'Daily Inward'!$C:$C,$B186,'Daily Inward'!$E:$E,"Patty Cash"))</f>
        <v/>
      </c>
      <c r="G186" s="30" t="str">
        <f>IF($B186="","",SUMIFS('Daily Issuance'!$G:$G,'Daily Issuance'!$C:$C,$B186,'Daily Issuance'!$E:$E,"Patty Cash"))</f>
        <v/>
      </c>
      <c r="H186" s="30" t="str">
        <f t="shared" si="7"/>
        <v/>
      </c>
      <c r="I186" s="33"/>
      <c r="J186" s="34" t="str">
        <f t="shared" si="8"/>
        <v/>
      </c>
    </row>
    <row r="187" spans="1:10" s="27" customFormat="1" ht="23.1" customHeight="1">
      <c r="A187" s="194" t="str">
        <f>IF($C187="","",MAX($A$3:A186)+1)</f>
        <v/>
      </c>
      <c r="B187" s="197" t="str">
        <f t="shared" si="6"/>
        <v/>
      </c>
      <c r="C187" s="201"/>
      <c r="D187" s="199"/>
      <c r="E187" s="200"/>
      <c r="F187" s="196" t="str">
        <f>IF($B187="","",SUMIFS('Daily Inward'!$G:$G,'Daily Inward'!$C:$C,$B187,'Daily Inward'!$E:$E,"Patty Cash"))</f>
        <v/>
      </c>
      <c r="G187" s="30" t="str">
        <f>IF($B187="","",SUMIFS('Daily Issuance'!$G:$G,'Daily Issuance'!$C:$C,$B187,'Daily Issuance'!$E:$E,"Patty Cash"))</f>
        <v/>
      </c>
      <c r="H187" s="30" t="str">
        <f t="shared" si="7"/>
        <v/>
      </c>
      <c r="I187" s="33"/>
      <c r="J187" s="34" t="str">
        <f t="shared" si="8"/>
        <v/>
      </c>
    </row>
    <row r="188" spans="1:10" s="27" customFormat="1" ht="23.1" customHeight="1">
      <c r="A188" s="194" t="str">
        <f>IF($C188="","",MAX($A$3:A187)+1)</f>
        <v/>
      </c>
      <c r="B188" s="197" t="str">
        <f t="shared" si="6"/>
        <v/>
      </c>
      <c r="C188" s="201"/>
      <c r="D188" s="199"/>
      <c r="E188" s="200"/>
      <c r="F188" s="196" t="str">
        <f>IF($B188="","",SUMIFS('Daily Inward'!$G:$G,'Daily Inward'!$C:$C,$B188,'Daily Inward'!$E:$E,"Patty Cash"))</f>
        <v/>
      </c>
      <c r="G188" s="30" t="str">
        <f>IF($B188="","",SUMIFS('Daily Issuance'!$G:$G,'Daily Issuance'!$C:$C,$B188,'Daily Issuance'!$E:$E,"Patty Cash"))</f>
        <v/>
      </c>
      <c r="H188" s="30" t="str">
        <f t="shared" si="7"/>
        <v/>
      </c>
      <c r="I188" s="33"/>
      <c r="J188" s="34" t="str">
        <f t="shared" si="8"/>
        <v/>
      </c>
    </row>
    <row r="189" spans="1:10" s="27" customFormat="1" ht="23.1" customHeight="1">
      <c r="A189" s="194" t="str">
        <f>IF($C189="","",MAX($A$3:A188)+1)</f>
        <v/>
      </c>
      <c r="B189" s="197" t="str">
        <f t="shared" si="6"/>
        <v/>
      </c>
      <c r="C189" s="201"/>
      <c r="D189" s="199"/>
      <c r="E189" s="200"/>
      <c r="F189" s="196" t="str">
        <f>IF($B189="","",SUMIFS('Daily Inward'!$G:$G,'Daily Inward'!$C:$C,$B189,'Daily Inward'!$E:$E,"Patty Cash"))</f>
        <v/>
      </c>
      <c r="G189" s="30" t="str">
        <f>IF($B189="","",SUMIFS('Daily Issuance'!$G:$G,'Daily Issuance'!$C:$C,$B189,'Daily Issuance'!$E:$E,"Patty Cash"))</f>
        <v/>
      </c>
      <c r="H189" s="30" t="str">
        <f t="shared" si="7"/>
        <v/>
      </c>
      <c r="I189" s="33"/>
      <c r="J189" s="34" t="str">
        <f t="shared" si="8"/>
        <v/>
      </c>
    </row>
    <row r="190" spans="1:10" s="27" customFormat="1" ht="23.1" customHeight="1">
      <c r="A190" s="194" t="str">
        <f>IF($C190="","",MAX($A$3:A189)+1)</f>
        <v/>
      </c>
      <c r="B190" s="197" t="str">
        <f t="shared" si="6"/>
        <v/>
      </c>
      <c r="C190" s="201"/>
      <c r="D190" s="199"/>
      <c r="E190" s="200"/>
      <c r="F190" s="196" t="str">
        <f>IF($B190="","",SUMIFS('Daily Inward'!$G:$G,'Daily Inward'!$C:$C,$B190,'Daily Inward'!$E:$E,"Patty Cash"))</f>
        <v/>
      </c>
      <c r="G190" s="30" t="str">
        <f>IF($B190="","",SUMIFS('Daily Issuance'!$G:$G,'Daily Issuance'!$C:$C,$B190,'Daily Issuance'!$E:$E,"Patty Cash"))</f>
        <v/>
      </c>
      <c r="H190" s="30" t="str">
        <f t="shared" si="7"/>
        <v/>
      </c>
      <c r="I190" s="33"/>
      <c r="J190" s="34" t="str">
        <f t="shared" si="8"/>
        <v/>
      </c>
    </row>
    <row r="191" spans="1:10" s="27" customFormat="1" ht="23.1" customHeight="1">
      <c r="A191" s="194" t="str">
        <f>IF($C191="","",MAX($A$3:A190)+1)</f>
        <v/>
      </c>
      <c r="B191" s="197" t="str">
        <f t="shared" si="6"/>
        <v/>
      </c>
      <c r="C191" s="201"/>
      <c r="D191" s="199"/>
      <c r="E191" s="200"/>
      <c r="F191" s="196" t="str">
        <f>IF($B191="","",SUMIFS('Daily Inward'!$G:$G,'Daily Inward'!$C:$C,$B191,'Daily Inward'!$E:$E,"Patty Cash"))</f>
        <v/>
      </c>
      <c r="G191" s="30" t="str">
        <f>IF($B191="","",SUMIFS('Daily Issuance'!$G:$G,'Daily Issuance'!$C:$C,$B191,'Daily Issuance'!$E:$E,"Patty Cash"))</f>
        <v/>
      </c>
      <c r="H191" s="30" t="str">
        <f t="shared" si="7"/>
        <v/>
      </c>
      <c r="I191" s="33"/>
      <c r="J191" s="34" t="str">
        <f t="shared" si="8"/>
        <v/>
      </c>
    </row>
    <row r="192" spans="1:10" s="27" customFormat="1" ht="23.1" customHeight="1">
      <c r="A192" s="194" t="str">
        <f>IF($C192="","",MAX($A$3:A191)+1)</f>
        <v/>
      </c>
      <c r="B192" s="197" t="str">
        <f t="shared" si="6"/>
        <v/>
      </c>
      <c r="C192" s="201"/>
      <c r="D192" s="199"/>
      <c r="E192" s="200"/>
      <c r="F192" s="196" t="str">
        <f>IF($B192="","",SUMIFS('Daily Inward'!$G:$G,'Daily Inward'!$C:$C,$B192,'Daily Inward'!$E:$E,"Patty Cash"))</f>
        <v/>
      </c>
      <c r="G192" s="30" t="str">
        <f>IF($B192="","",SUMIFS('Daily Issuance'!$G:$G,'Daily Issuance'!$C:$C,$B192,'Daily Issuance'!$E:$E,"Patty Cash"))</f>
        <v/>
      </c>
      <c r="H192" s="30" t="str">
        <f t="shared" si="7"/>
        <v/>
      </c>
      <c r="I192" s="33"/>
      <c r="J192" s="34" t="str">
        <f t="shared" si="8"/>
        <v/>
      </c>
    </row>
    <row r="193" spans="1:10" s="27" customFormat="1" ht="23.1" customHeight="1">
      <c r="A193" s="194" t="str">
        <f>IF($C193="","",MAX($A$3:A192)+1)</f>
        <v/>
      </c>
      <c r="B193" s="197" t="str">
        <f t="shared" si="6"/>
        <v/>
      </c>
      <c r="C193" s="201"/>
      <c r="D193" s="199"/>
      <c r="E193" s="200"/>
      <c r="F193" s="196" t="str">
        <f>IF($B193="","",SUMIFS('Daily Inward'!$G:$G,'Daily Inward'!$C:$C,$B193,'Daily Inward'!$E:$E,"Patty Cash"))</f>
        <v/>
      </c>
      <c r="G193" s="30" t="str">
        <f>IF($B193="","",SUMIFS('Daily Issuance'!$G:$G,'Daily Issuance'!$C:$C,$B193,'Daily Issuance'!$E:$E,"Patty Cash"))</f>
        <v/>
      </c>
      <c r="H193" s="30" t="str">
        <f t="shared" si="7"/>
        <v/>
      </c>
      <c r="I193" s="33"/>
      <c r="J193" s="34" t="str">
        <f t="shared" si="8"/>
        <v/>
      </c>
    </row>
    <row r="194" spans="1:10" s="27" customFormat="1" ht="23.1" customHeight="1">
      <c r="A194" s="194" t="str">
        <f>IF($C194="","",MAX($A$3:A193)+1)</f>
        <v/>
      </c>
      <c r="B194" s="197" t="str">
        <f t="shared" si="6"/>
        <v/>
      </c>
      <c r="C194" s="201"/>
      <c r="D194" s="199"/>
      <c r="E194" s="200"/>
      <c r="F194" s="196" t="str">
        <f>IF($B194="","",SUMIFS('Daily Inward'!$G:$G,'Daily Inward'!$C:$C,$B194,'Daily Inward'!$E:$E,"Patty Cash"))</f>
        <v/>
      </c>
      <c r="G194" s="30" t="str">
        <f>IF($B194="","",SUMIFS('Daily Issuance'!$G:$G,'Daily Issuance'!$C:$C,$B194,'Daily Issuance'!$E:$E,"Patty Cash"))</f>
        <v/>
      </c>
      <c r="H194" s="30" t="str">
        <f t="shared" si="7"/>
        <v/>
      </c>
      <c r="I194" s="33"/>
      <c r="J194" s="34" t="str">
        <f t="shared" si="8"/>
        <v/>
      </c>
    </row>
    <row r="195" spans="1:10" s="27" customFormat="1" ht="23.1" customHeight="1">
      <c r="A195" s="194" t="str">
        <f>IF($C195="","",MAX($A$3:A194)+1)</f>
        <v/>
      </c>
      <c r="B195" s="197" t="str">
        <f t="shared" si="6"/>
        <v/>
      </c>
      <c r="C195" s="201"/>
      <c r="D195" s="199"/>
      <c r="E195" s="200"/>
      <c r="F195" s="196" t="str">
        <f>IF($B195="","",SUMIFS('Daily Inward'!$G:$G,'Daily Inward'!$C:$C,$B195,'Daily Inward'!$E:$E,"Patty Cash"))</f>
        <v/>
      </c>
      <c r="G195" s="30" t="str">
        <f>IF($B195="","",SUMIFS('Daily Issuance'!$G:$G,'Daily Issuance'!$C:$C,$B195,'Daily Issuance'!$E:$E,"Patty Cash"))</f>
        <v/>
      </c>
      <c r="H195" s="30" t="str">
        <f t="shared" si="7"/>
        <v/>
      </c>
      <c r="I195" s="33"/>
      <c r="J195" s="34" t="str">
        <f t="shared" si="8"/>
        <v/>
      </c>
    </row>
    <row r="196" spans="1:10" s="27" customFormat="1" ht="23.1" customHeight="1">
      <c r="A196" s="194" t="str">
        <f>IF($C196="","",MAX($A$3:A195)+1)</f>
        <v/>
      </c>
      <c r="B196" s="197" t="str">
        <f t="shared" si="6"/>
        <v/>
      </c>
      <c r="C196" s="201"/>
      <c r="D196" s="199"/>
      <c r="E196" s="200"/>
      <c r="F196" s="196" t="str">
        <f>IF($B196="","",SUMIFS('Daily Inward'!$G:$G,'Daily Inward'!$C:$C,$B196,'Daily Inward'!$E:$E,"Patty Cash"))</f>
        <v/>
      </c>
      <c r="G196" s="30" t="str">
        <f>IF($B196="","",SUMIFS('Daily Issuance'!$G:$G,'Daily Issuance'!$C:$C,$B196,'Daily Issuance'!$E:$E,"Patty Cash"))</f>
        <v/>
      </c>
      <c r="H196" s="30" t="str">
        <f t="shared" si="7"/>
        <v/>
      </c>
      <c r="I196" s="33"/>
      <c r="J196" s="34" t="str">
        <f t="shared" si="8"/>
        <v/>
      </c>
    </row>
    <row r="197" spans="1:10" s="27" customFormat="1" ht="23.1" customHeight="1">
      <c r="A197" s="194" t="str">
        <f>IF($C197="","",MAX($A$3:A196)+1)</f>
        <v/>
      </c>
      <c r="B197" s="197" t="str">
        <f t="shared" ref="B197:B260" si="9">IF($C197="","","PTC"&amp;TEXT(ROW()-4,"000"))</f>
        <v/>
      </c>
      <c r="C197" s="201"/>
      <c r="D197" s="199"/>
      <c r="E197" s="200"/>
      <c r="F197" s="196" t="str">
        <f>IF($B197="","",SUMIFS('Daily Inward'!$G:$G,'Daily Inward'!$C:$C,$B197,'Daily Inward'!$E:$E,"Patty Cash"))</f>
        <v/>
      </c>
      <c r="G197" s="30" t="str">
        <f>IF($B197="","",SUMIFS('Daily Issuance'!$G:$G,'Daily Issuance'!$C:$C,$B197,'Daily Issuance'!$E:$E,"Patty Cash"))</f>
        <v/>
      </c>
      <c r="H197" s="30" t="str">
        <f t="shared" ref="H197:H260" si="10">IF($B197="","",F197-G197)</f>
        <v/>
      </c>
      <c r="I197" s="33"/>
      <c r="J197" s="34" t="str">
        <f t="shared" ref="J197:J260" si="11">IF(OR(H197="",I197=""),"",H197*I197)</f>
        <v/>
      </c>
    </row>
    <row r="198" spans="1:10" s="27" customFormat="1" ht="23.1" customHeight="1">
      <c r="A198" s="194" t="str">
        <f>IF($C198="","",MAX($A$3:A197)+1)</f>
        <v/>
      </c>
      <c r="B198" s="197" t="str">
        <f t="shared" si="9"/>
        <v/>
      </c>
      <c r="C198" s="201"/>
      <c r="D198" s="199"/>
      <c r="E198" s="200"/>
      <c r="F198" s="196" t="str">
        <f>IF($B198="","",SUMIFS('Daily Inward'!$G:$G,'Daily Inward'!$C:$C,$B198,'Daily Inward'!$E:$E,"Patty Cash"))</f>
        <v/>
      </c>
      <c r="G198" s="30" t="str">
        <f>IF($B198="","",SUMIFS('Daily Issuance'!$G:$G,'Daily Issuance'!$C:$C,$B198,'Daily Issuance'!$E:$E,"Patty Cash"))</f>
        <v/>
      </c>
      <c r="H198" s="30" t="str">
        <f t="shared" si="10"/>
        <v/>
      </c>
      <c r="I198" s="33"/>
      <c r="J198" s="34" t="str">
        <f t="shared" si="11"/>
        <v/>
      </c>
    </row>
    <row r="199" spans="1:10" s="27" customFormat="1" ht="23.1" customHeight="1">
      <c r="A199" s="194" t="str">
        <f>IF($C199="","",MAX($A$3:A198)+1)</f>
        <v/>
      </c>
      <c r="B199" s="197" t="str">
        <f t="shared" si="9"/>
        <v/>
      </c>
      <c r="C199" s="201"/>
      <c r="D199" s="199"/>
      <c r="E199" s="200"/>
      <c r="F199" s="196" t="str">
        <f>IF($B199="","",SUMIFS('Daily Inward'!$G:$G,'Daily Inward'!$C:$C,$B199,'Daily Inward'!$E:$E,"Patty Cash"))</f>
        <v/>
      </c>
      <c r="G199" s="30" t="str">
        <f>IF($B199="","",SUMIFS('Daily Issuance'!$G:$G,'Daily Issuance'!$C:$C,$B199,'Daily Issuance'!$E:$E,"Patty Cash"))</f>
        <v/>
      </c>
      <c r="H199" s="30" t="str">
        <f t="shared" si="10"/>
        <v/>
      </c>
      <c r="I199" s="33"/>
      <c r="J199" s="34" t="str">
        <f t="shared" si="11"/>
        <v/>
      </c>
    </row>
    <row r="200" spans="1:10" s="27" customFormat="1" ht="23.1" customHeight="1">
      <c r="A200" s="194" t="str">
        <f>IF($C200="","",MAX($A$3:A199)+1)</f>
        <v/>
      </c>
      <c r="B200" s="197" t="str">
        <f t="shared" si="9"/>
        <v/>
      </c>
      <c r="C200" s="201"/>
      <c r="D200" s="199"/>
      <c r="E200" s="200"/>
      <c r="F200" s="196" t="str">
        <f>IF($B200="","",SUMIFS('Daily Inward'!$G:$G,'Daily Inward'!$C:$C,$B200,'Daily Inward'!$E:$E,"Patty Cash"))</f>
        <v/>
      </c>
      <c r="G200" s="30" t="str">
        <f>IF($B200="","",SUMIFS('Daily Issuance'!$G:$G,'Daily Issuance'!$C:$C,$B200,'Daily Issuance'!$E:$E,"Patty Cash"))</f>
        <v/>
      </c>
      <c r="H200" s="30" t="str">
        <f t="shared" si="10"/>
        <v/>
      </c>
      <c r="I200" s="33"/>
      <c r="J200" s="34" t="str">
        <f t="shared" si="11"/>
        <v/>
      </c>
    </row>
    <row r="201" spans="1:10" s="27" customFormat="1" ht="23.1" customHeight="1">
      <c r="A201" s="194" t="str">
        <f>IF($C201="","",MAX($A$3:A200)+1)</f>
        <v/>
      </c>
      <c r="B201" s="197" t="str">
        <f t="shared" si="9"/>
        <v/>
      </c>
      <c r="C201" s="201"/>
      <c r="D201" s="199"/>
      <c r="E201" s="200"/>
      <c r="F201" s="196" t="str">
        <f>IF($B201="","",SUMIFS('Daily Inward'!$G:$G,'Daily Inward'!$C:$C,$B201,'Daily Inward'!$E:$E,"Patty Cash"))</f>
        <v/>
      </c>
      <c r="G201" s="30" t="str">
        <f>IF($B201="","",SUMIFS('Daily Issuance'!$G:$G,'Daily Issuance'!$C:$C,$B201,'Daily Issuance'!$E:$E,"Patty Cash"))</f>
        <v/>
      </c>
      <c r="H201" s="30" t="str">
        <f t="shared" si="10"/>
        <v/>
      </c>
      <c r="I201" s="33"/>
      <c r="J201" s="34" t="str">
        <f t="shared" si="11"/>
        <v/>
      </c>
    </row>
    <row r="202" spans="1:10" s="27" customFormat="1" ht="23.1" customHeight="1">
      <c r="A202" s="194" t="str">
        <f>IF($C202="","",MAX($A$3:A201)+1)</f>
        <v/>
      </c>
      <c r="B202" s="197" t="str">
        <f t="shared" si="9"/>
        <v/>
      </c>
      <c r="C202" s="201"/>
      <c r="D202" s="199"/>
      <c r="E202" s="200"/>
      <c r="F202" s="196" t="str">
        <f>IF($B202="","",SUMIFS('Daily Inward'!$G:$G,'Daily Inward'!$C:$C,$B202,'Daily Inward'!$E:$E,"Patty Cash"))</f>
        <v/>
      </c>
      <c r="G202" s="30" t="str">
        <f>IF($B202="","",SUMIFS('Daily Issuance'!$G:$G,'Daily Issuance'!$C:$C,$B202,'Daily Issuance'!$E:$E,"Patty Cash"))</f>
        <v/>
      </c>
      <c r="H202" s="30" t="str">
        <f t="shared" si="10"/>
        <v/>
      </c>
      <c r="I202" s="33"/>
      <c r="J202" s="34" t="str">
        <f t="shared" si="11"/>
        <v/>
      </c>
    </row>
    <row r="203" spans="1:10" s="27" customFormat="1" ht="23.1" customHeight="1">
      <c r="A203" s="194" t="str">
        <f>IF($C203="","",MAX($A$3:A202)+1)</f>
        <v/>
      </c>
      <c r="B203" s="197" t="str">
        <f t="shared" si="9"/>
        <v/>
      </c>
      <c r="C203" s="201"/>
      <c r="D203" s="199"/>
      <c r="E203" s="200"/>
      <c r="F203" s="196" t="str">
        <f>IF($B203="","",SUMIFS('Daily Inward'!$G:$G,'Daily Inward'!$C:$C,$B203,'Daily Inward'!$E:$E,"Patty Cash"))</f>
        <v/>
      </c>
      <c r="G203" s="30" t="str">
        <f>IF($B203="","",SUMIFS('Daily Issuance'!$G:$G,'Daily Issuance'!$C:$C,$B203,'Daily Issuance'!$E:$E,"Patty Cash"))</f>
        <v/>
      </c>
      <c r="H203" s="30" t="str">
        <f t="shared" si="10"/>
        <v/>
      </c>
      <c r="I203" s="33"/>
      <c r="J203" s="34" t="str">
        <f t="shared" si="11"/>
        <v/>
      </c>
    </row>
    <row r="204" spans="1:10" s="27" customFormat="1" ht="23.1" customHeight="1">
      <c r="A204" s="194" t="str">
        <f>IF($C204="","",MAX($A$3:A203)+1)</f>
        <v/>
      </c>
      <c r="B204" s="197" t="str">
        <f t="shared" si="9"/>
        <v/>
      </c>
      <c r="C204" s="201"/>
      <c r="D204" s="199"/>
      <c r="E204" s="200"/>
      <c r="F204" s="196" t="str">
        <f>IF($B204="","",SUMIFS('Daily Inward'!$G:$G,'Daily Inward'!$C:$C,$B204,'Daily Inward'!$E:$E,"Patty Cash"))</f>
        <v/>
      </c>
      <c r="G204" s="30" t="str">
        <f>IF($B204="","",SUMIFS('Daily Issuance'!$G:$G,'Daily Issuance'!$C:$C,$B204,'Daily Issuance'!$E:$E,"Patty Cash"))</f>
        <v/>
      </c>
      <c r="H204" s="30" t="str">
        <f t="shared" si="10"/>
        <v/>
      </c>
      <c r="I204" s="33"/>
      <c r="J204" s="34" t="str">
        <f t="shared" si="11"/>
        <v/>
      </c>
    </row>
    <row r="205" spans="1:10" s="27" customFormat="1" ht="23.1" customHeight="1">
      <c r="A205" s="194" t="str">
        <f>IF($C205="","",MAX($A$3:A204)+1)</f>
        <v/>
      </c>
      <c r="B205" s="197" t="str">
        <f t="shared" si="9"/>
        <v/>
      </c>
      <c r="C205" s="201"/>
      <c r="D205" s="199"/>
      <c r="E205" s="200"/>
      <c r="F205" s="196" t="str">
        <f>IF($B205="","",SUMIFS('Daily Inward'!$G:$G,'Daily Inward'!$C:$C,$B205,'Daily Inward'!$E:$E,"Patty Cash"))</f>
        <v/>
      </c>
      <c r="G205" s="30" t="str">
        <f>IF($B205="","",SUMIFS('Daily Issuance'!$G:$G,'Daily Issuance'!$C:$C,$B205,'Daily Issuance'!$E:$E,"Patty Cash"))</f>
        <v/>
      </c>
      <c r="H205" s="30" t="str">
        <f t="shared" si="10"/>
        <v/>
      </c>
      <c r="I205" s="33"/>
      <c r="J205" s="34" t="str">
        <f t="shared" si="11"/>
        <v/>
      </c>
    </row>
    <row r="206" spans="1:10" s="27" customFormat="1" ht="23.1" customHeight="1">
      <c r="A206" s="194" t="str">
        <f>IF($C206="","",MAX($A$3:A205)+1)</f>
        <v/>
      </c>
      <c r="B206" s="197" t="str">
        <f t="shared" si="9"/>
        <v/>
      </c>
      <c r="C206" s="201"/>
      <c r="D206" s="199"/>
      <c r="E206" s="200"/>
      <c r="F206" s="196" t="str">
        <f>IF($B206="","",SUMIFS('Daily Inward'!$G:$G,'Daily Inward'!$C:$C,$B206,'Daily Inward'!$E:$E,"Patty Cash"))</f>
        <v/>
      </c>
      <c r="G206" s="30" t="str">
        <f>IF($B206="","",SUMIFS('Daily Issuance'!$G:$G,'Daily Issuance'!$C:$C,$B206,'Daily Issuance'!$E:$E,"Patty Cash"))</f>
        <v/>
      </c>
      <c r="H206" s="30" t="str">
        <f t="shared" si="10"/>
        <v/>
      </c>
      <c r="I206" s="33"/>
      <c r="J206" s="34" t="str">
        <f t="shared" si="11"/>
        <v/>
      </c>
    </row>
    <row r="207" spans="1:10" s="27" customFormat="1" ht="23.1" customHeight="1">
      <c r="A207" s="194" t="str">
        <f>IF($C207="","",MAX($A$3:A206)+1)</f>
        <v/>
      </c>
      <c r="B207" s="197" t="str">
        <f t="shared" si="9"/>
        <v/>
      </c>
      <c r="C207" s="201"/>
      <c r="D207" s="199"/>
      <c r="E207" s="200"/>
      <c r="F207" s="196" t="str">
        <f>IF($B207="","",SUMIFS('Daily Inward'!$G:$G,'Daily Inward'!$C:$C,$B207,'Daily Inward'!$E:$E,"Patty Cash"))</f>
        <v/>
      </c>
      <c r="G207" s="30" t="str">
        <f>IF($B207="","",SUMIFS('Daily Issuance'!$G:$G,'Daily Issuance'!$C:$C,$B207,'Daily Issuance'!$E:$E,"Patty Cash"))</f>
        <v/>
      </c>
      <c r="H207" s="30" t="str">
        <f t="shared" si="10"/>
        <v/>
      </c>
      <c r="I207" s="33"/>
      <c r="J207" s="34" t="str">
        <f t="shared" si="11"/>
        <v/>
      </c>
    </row>
    <row r="208" spans="1:10" s="27" customFormat="1" ht="23.1" customHeight="1">
      <c r="A208" s="194" t="str">
        <f>IF($C208="","",MAX($A$3:A207)+1)</f>
        <v/>
      </c>
      <c r="B208" s="197" t="str">
        <f t="shared" si="9"/>
        <v/>
      </c>
      <c r="C208" s="201"/>
      <c r="D208" s="199"/>
      <c r="E208" s="200"/>
      <c r="F208" s="196" t="str">
        <f>IF($B208="","",SUMIFS('Daily Inward'!$G:$G,'Daily Inward'!$C:$C,$B208,'Daily Inward'!$E:$E,"Patty Cash"))</f>
        <v/>
      </c>
      <c r="G208" s="30" t="str">
        <f>IF($B208="","",SUMIFS('Daily Issuance'!$G:$G,'Daily Issuance'!$C:$C,$B208,'Daily Issuance'!$E:$E,"Patty Cash"))</f>
        <v/>
      </c>
      <c r="H208" s="30" t="str">
        <f t="shared" si="10"/>
        <v/>
      </c>
      <c r="I208" s="33"/>
      <c r="J208" s="34" t="str">
        <f t="shared" si="11"/>
        <v/>
      </c>
    </row>
    <row r="209" spans="1:10" s="27" customFormat="1" ht="23.1" customHeight="1">
      <c r="A209" s="194" t="str">
        <f>IF($C209="","",MAX($A$3:A208)+1)</f>
        <v/>
      </c>
      <c r="B209" s="197" t="str">
        <f t="shared" si="9"/>
        <v/>
      </c>
      <c r="C209" s="201"/>
      <c r="D209" s="199"/>
      <c r="E209" s="200"/>
      <c r="F209" s="196" t="str">
        <f>IF($B209="","",SUMIFS('Daily Inward'!$G:$G,'Daily Inward'!$C:$C,$B209,'Daily Inward'!$E:$E,"Patty Cash"))</f>
        <v/>
      </c>
      <c r="G209" s="30" t="str">
        <f>IF($B209="","",SUMIFS('Daily Issuance'!$G:$G,'Daily Issuance'!$C:$C,$B209,'Daily Issuance'!$E:$E,"Patty Cash"))</f>
        <v/>
      </c>
      <c r="H209" s="30" t="str">
        <f t="shared" si="10"/>
        <v/>
      </c>
      <c r="I209" s="33"/>
      <c r="J209" s="34" t="str">
        <f t="shared" si="11"/>
        <v/>
      </c>
    </row>
    <row r="210" spans="1:10" s="27" customFormat="1" ht="23.1" customHeight="1">
      <c r="A210" s="194" t="str">
        <f>IF($C210="","",MAX($A$3:A209)+1)</f>
        <v/>
      </c>
      <c r="B210" s="197" t="str">
        <f t="shared" si="9"/>
        <v/>
      </c>
      <c r="C210" s="201"/>
      <c r="D210" s="199"/>
      <c r="E210" s="200"/>
      <c r="F210" s="196" t="str">
        <f>IF($B210="","",SUMIFS('Daily Inward'!$G:$G,'Daily Inward'!$C:$C,$B210,'Daily Inward'!$E:$E,"Patty Cash"))</f>
        <v/>
      </c>
      <c r="G210" s="30" t="str">
        <f>IF($B210="","",SUMIFS('Daily Issuance'!$G:$G,'Daily Issuance'!$C:$C,$B210,'Daily Issuance'!$E:$E,"Patty Cash"))</f>
        <v/>
      </c>
      <c r="H210" s="30" t="str">
        <f t="shared" si="10"/>
        <v/>
      </c>
      <c r="I210" s="33"/>
      <c r="J210" s="34" t="str">
        <f t="shared" si="11"/>
        <v/>
      </c>
    </row>
    <row r="211" spans="1:10" s="27" customFormat="1" ht="23.1" customHeight="1">
      <c r="A211" s="194" t="str">
        <f>IF($C211="","",MAX($A$3:A210)+1)</f>
        <v/>
      </c>
      <c r="B211" s="197" t="str">
        <f t="shared" si="9"/>
        <v/>
      </c>
      <c r="C211" s="201"/>
      <c r="D211" s="199"/>
      <c r="E211" s="200"/>
      <c r="F211" s="196" t="str">
        <f>IF($B211="","",SUMIFS('Daily Inward'!$G:$G,'Daily Inward'!$C:$C,$B211,'Daily Inward'!$E:$E,"Patty Cash"))</f>
        <v/>
      </c>
      <c r="G211" s="30" t="str">
        <f>IF($B211="","",SUMIFS('Daily Issuance'!$G:$G,'Daily Issuance'!$C:$C,$B211,'Daily Issuance'!$E:$E,"Patty Cash"))</f>
        <v/>
      </c>
      <c r="H211" s="30" t="str">
        <f t="shared" si="10"/>
        <v/>
      </c>
      <c r="I211" s="33"/>
      <c r="J211" s="34" t="str">
        <f t="shared" si="11"/>
        <v/>
      </c>
    </row>
    <row r="212" spans="1:10" s="27" customFormat="1" ht="23.1" customHeight="1">
      <c r="A212" s="194" t="str">
        <f>IF($C212="","",MAX($A$3:A211)+1)</f>
        <v/>
      </c>
      <c r="B212" s="197" t="str">
        <f t="shared" si="9"/>
        <v/>
      </c>
      <c r="C212" s="201"/>
      <c r="D212" s="199"/>
      <c r="E212" s="200"/>
      <c r="F212" s="196" t="str">
        <f>IF($B212="","",SUMIFS('Daily Inward'!$G:$G,'Daily Inward'!$C:$C,$B212,'Daily Inward'!$E:$E,"Patty Cash"))</f>
        <v/>
      </c>
      <c r="G212" s="30" t="str">
        <f>IF($B212="","",SUMIFS('Daily Issuance'!$G:$G,'Daily Issuance'!$C:$C,$B212,'Daily Issuance'!$E:$E,"Patty Cash"))</f>
        <v/>
      </c>
      <c r="H212" s="30" t="str">
        <f t="shared" si="10"/>
        <v/>
      </c>
      <c r="I212" s="33"/>
      <c r="J212" s="34" t="str">
        <f t="shared" si="11"/>
        <v/>
      </c>
    </row>
    <row r="213" spans="1:10" s="27" customFormat="1" ht="23.1" customHeight="1">
      <c r="A213" s="194" t="str">
        <f>IF($C213="","",MAX($A$3:A212)+1)</f>
        <v/>
      </c>
      <c r="B213" s="197" t="str">
        <f t="shared" si="9"/>
        <v/>
      </c>
      <c r="C213" s="201"/>
      <c r="D213" s="199"/>
      <c r="E213" s="200"/>
      <c r="F213" s="196" t="str">
        <f>IF($B213="","",SUMIFS('Daily Inward'!$G:$G,'Daily Inward'!$C:$C,$B213,'Daily Inward'!$E:$E,"Patty Cash"))</f>
        <v/>
      </c>
      <c r="G213" s="30" t="str">
        <f>IF($B213="","",SUMIFS('Daily Issuance'!$G:$G,'Daily Issuance'!$C:$C,$B213,'Daily Issuance'!$E:$E,"Patty Cash"))</f>
        <v/>
      </c>
      <c r="H213" s="30" t="str">
        <f t="shared" si="10"/>
        <v/>
      </c>
      <c r="I213" s="33"/>
      <c r="J213" s="34" t="str">
        <f t="shared" si="11"/>
        <v/>
      </c>
    </row>
    <row r="214" spans="1:10" s="27" customFormat="1" ht="23.1" customHeight="1">
      <c r="A214" s="194" t="str">
        <f>IF($C214="","",MAX($A$3:A213)+1)</f>
        <v/>
      </c>
      <c r="B214" s="197" t="str">
        <f t="shared" si="9"/>
        <v/>
      </c>
      <c r="C214" s="201"/>
      <c r="D214" s="199"/>
      <c r="E214" s="200"/>
      <c r="F214" s="196" t="str">
        <f>IF($B214="","",SUMIFS('Daily Inward'!$G:$G,'Daily Inward'!$C:$C,$B214,'Daily Inward'!$E:$E,"Patty Cash"))</f>
        <v/>
      </c>
      <c r="G214" s="30" t="str">
        <f>IF($B214="","",SUMIFS('Daily Issuance'!$G:$G,'Daily Issuance'!$C:$C,$B214,'Daily Issuance'!$E:$E,"Patty Cash"))</f>
        <v/>
      </c>
      <c r="H214" s="30" t="str">
        <f t="shared" si="10"/>
        <v/>
      </c>
      <c r="I214" s="33"/>
      <c r="J214" s="34" t="str">
        <f t="shared" si="11"/>
        <v/>
      </c>
    </row>
    <row r="215" spans="1:10" s="27" customFormat="1" ht="23.1" customHeight="1">
      <c r="A215" s="194" t="str">
        <f>IF($C215="","",MAX($A$3:A214)+1)</f>
        <v/>
      </c>
      <c r="B215" s="197" t="str">
        <f t="shared" si="9"/>
        <v/>
      </c>
      <c r="C215" s="201"/>
      <c r="D215" s="199"/>
      <c r="E215" s="200"/>
      <c r="F215" s="196" t="str">
        <f>IF($B215="","",SUMIFS('Daily Inward'!$G:$G,'Daily Inward'!$C:$C,$B215,'Daily Inward'!$E:$E,"Patty Cash"))</f>
        <v/>
      </c>
      <c r="G215" s="30" t="str">
        <f>IF($B215="","",SUMIFS('Daily Issuance'!$G:$G,'Daily Issuance'!$C:$C,$B215,'Daily Issuance'!$E:$E,"Patty Cash"))</f>
        <v/>
      </c>
      <c r="H215" s="30" t="str">
        <f t="shared" si="10"/>
        <v/>
      </c>
      <c r="I215" s="33"/>
      <c r="J215" s="34" t="str">
        <f t="shared" si="11"/>
        <v/>
      </c>
    </row>
    <row r="216" spans="1:10" s="27" customFormat="1" ht="23.1" customHeight="1">
      <c r="A216" s="194" t="str">
        <f>IF($C216="","",MAX($A$3:A215)+1)</f>
        <v/>
      </c>
      <c r="B216" s="197" t="str">
        <f t="shared" si="9"/>
        <v/>
      </c>
      <c r="C216" s="201"/>
      <c r="D216" s="199"/>
      <c r="E216" s="200"/>
      <c r="F216" s="196" t="str">
        <f>IF($B216="","",SUMIFS('Daily Inward'!$G:$G,'Daily Inward'!$C:$C,$B216,'Daily Inward'!$E:$E,"Patty Cash"))</f>
        <v/>
      </c>
      <c r="G216" s="30" t="str">
        <f>IF($B216="","",SUMIFS('Daily Issuance'!$G:$G,'Daily Issuance'!$C:$C,$B216,'Daily Issuance'!$E:$E,"Patty Cash"))</f>
        <v/>
      </c>
      <c r="H216" s="30" t="str">
        <f t="shared" si="10"/>
        <v/>
      </c>
      <c r="I216" s="33"/>
      <c r="J216" s="34" t="str">
        <f t="shared" si="11"/>
        <v/>
      </c>
    </row>
    <row r="217" spans="1:10" s="27" customFormat="1" ht="23.1" customHeight="1">
      <c r="A217" s="194" t="str">
        <f>IF($C217="","",MAX($A$3:A216)+1)</f>
        <v/>
      </c>
      <c r="B217" s="197" t="str">
        <f t="shared" si="9"/>
        <v/>
      </c>
      <c r="C217" s="201"/>
      <c r="D217" s="199"/>
      <c r="E217" s="200"/>
      <c r="F217" s="196" t="str">
        <f>IF($B217="","",SUMIFS('Daily Inward'!$G:$G,'Daily Inward'!$C:$C,$B217,'Daily Inward'!$E:$E,"Patty Cash"))</f>
        <v/>
      </c>
      <c r="G217" s="30" t="str">
        <f>IF($B217="","",SUMIFS('Daily Issuance'!$G:$G,'Daily Issuance'!$C:$C,$B217,'Daily Issuance'!$E:$E,"Patty Cash"))</f>
        <v/>
      </c>
      <c r="H217" s="30" t="str">
        <f t="shared" si="10"/>
        <v/>
      </c>
      <c r="I217" s="33"/>
      <c r="J217" s="34" t="str">
        <f t="shared" si="11"/>
        <v/>
      </c>
    </row>
    <row r="218" spans="1:10" s="27" customFormat="1" ht="23.1" customHeight="1">
      <c r="A218" s="194" t="str">
        <f>IF($C218="","",MAX($A$3:A217)+1)</f>
        <v/>
      </c>
      <c r="B218" s="197" t="str">
        <f t="shared" si="9"/>
        <v/>
      </c>
      <c r="C218" s="201"/>
      <c r="D218" s="199"/>
      <c r="E218" s="200"/>
      <c r="F218" s="196" t="str">
        <f>IF($B218="","",SUMIFS('Daily Inward'!$G:$G,'Daily Inward'!$C:$C,$B218,'Daily Inward'!$E:$E,"Patty Cash"))</f>
        <v/>
      </c>
      <c r="G218" s="30" t="str">
        <f>IF($B218="","",SUMIFS('Daily Issuance'!$G:$G,'Daily Issuance'!$C:$C,$B218,'Daily Issuance'!$E:$E,"Patty Cash"))</f>
        <v/>
      </c>
      <c r="H218" s="30" t="str">
        <f t="shared" si="10"/>
        <v/>
      </c>
      <c r="I218" s="33"/>
      <c r="J218" s="34" t="str">
        <f t="shared" si="11"/>
        <v/>
      </c>
    </row>
    <row r="219" spans="1:10" s="27" customFormat="1" ht="23.1" customHeight="1">
      <c r="A219" s="194" t="str">
        <f>IF($C219="","",MAX($A$3:A218)+1)</f>
        <v/>
      </c>
      <c r="B219" s="197" t="str">
        <f t="shared" si="9"/>
        <v/>
      </c>
      <c r="C219" s="201"/>
      <c r="D219" s="199"/>
      <c r="E219" s="200"/>
      <c r="F219" s="196" t="str">
        <f>IF($B219="","",SUMIFS('Daily Inward'!$G:$G,'Daily Inward'!$C:$C,$B219,'Daily Inward'!$E:$E,"Patty Cash"))</f>
        <v/>
      </c>
      <c r="G219" s="30" t="str">
        <f>IF($B219="","",SUMIFS('Daily Issuance'!$G:$G,'Daily Issuance'!$C:$C,$B219,'Daily Issuance'!$E:$E,"Patty Cash"))</f>
        <v/>
      </c>
      <c r="H219" s="30" t="str">
        <f t="shared" si="10"/>
        <v/>
      </c>
      <c r="I219" s="33"/>
      <c r="J219" s="34" t="str">
        <f t="shared" si="11"/>
        <v/>
      </c>
    </row>
    <row r="220" spans="1:10" s="27" customFormat="1" ht="23.1" customHeight="1">
      <c r="A220" s="194" t="str">
        <f>IF($C220="","",MAX($A$3:A219)+1)</f>
        <v/>
      </c>
      <c r="B220" s="197" t="str">
        <f t="shared" si="9"/>
        <v/>
      </c>
      <c r="C220" s="201"/>
      <c r="D220" s="199"/>
      <c r="E220" s="200"/>
      <c r="F220" s="196" t="str">
        <f>IF($B220="","",SUMIFS('Daily Inward'!$G:$G,'Daily Inward'!$C:$C,$B220,'Daily Inward'!$E:$E,"Patty Cash"))</f>
        <v/>
      </c>
      <c r="G220" s="30" t="str">
        <f>IF($B220="","",SUMIFS('Daily Issuance'!$G:$G,'Daily Issuance'!$C:$C,$B220,'Daily Issuance'!$E:$E,"Patty Cash"))</f>
        <v/>
      </c>
      <c r="H220" s="30" t="str">
        <f t="shared" si="10"/>
        <v/>
      </c>
      <c r="I220" s="33"/>
      <c r="J220" s="34" t="str">
        <f t="shared" si="11"/>
        <v/>
      </c>
    </row>
    <row r="221" spans="1:10" s="27" customFormat="1" ht="23.1" customHeight="1">
      <c r="A221" s="194" t="str">
        <f>IF($C221="","",MAX($A$3:A220)+1)</f>
        <v/>
      </c>
      <c r="B221" s="197" t="str">
        <f t="shared" si="9"/>
        <v/>
      </c>
      <c r="C221" s="201"/>
      <c r="D221" s="199"/>
      <c r="E221" s="200"/>
      <c r="F221" s="196" t="str">
        <f>IF($B221="","",SUMIFS('Daily Inward'!$G:$G,'Daily Inward'!$C:$C,$B221,'Daily Inward'!$E:$E,"Patty Cash"))</f>
        <v/>
      </c>
      <c r="G221" s="30" t="str">
        <f>IF($B221="","",SUMIFS('Daily Issuance'!$G:$G,'Daily Issuance'!$C:$C,$B221,'Daily Issuance'!$E:$E,"Patty Cash"))</f>
        <v/>
      </c>
      <c r="H221" s="30" t="str">
        <f t="shared" si="10"/>
        <v/>
      </c>
      <c r="I221" s="33"/>
      <c r="J221" s="34" t="str">
        <f t="shared" si="11"/>
        <v/>
      </c>
    </row>
    <row r="222" spans="1:10" s="27" customFormat="1" ht="23.1" customHeight="1">
      <c r="A222" s="194" t="str">
        <f>IF($C222="","",MAX($A$3:A221)+1)</f>
        <v/>
      </c>
      <c r="B222" s="197" t="str">
        <f t="shared" si="9"/>
        <v/>
      </c>
      <c r="C222" s="201"/>
      <c r="D222" s="199"/>
      <c r="E222" s="200"/>
      <c r="F222" s="196" t="str">
        <f>IF($B222="","",SUMIFS('Daily Inward'!$G:$G,'Daily Inward'!$C:$C,$B222,'Daily Inward'!$E:$E,"Patty Cash"))</f>
        <v/>
      </c>
      <c r="G222" s="30" t="str">
        <f>IF($B222="","",SUMIFS('Daily Issuance'!$G:$G,'Daily Issuance'!$C:$C,$B222,'Daily Issuance'!$E:$E,"Patty Cash"))</f>
        <v/>
      </c>
      <c r="H222" s="30" t="str">
        <f t="shared" si="10"/>
        <v/>
      </c>
      <c r="I222" s="33"/>
      <c r="J222" s="34" t="str">
        <f t="shared" si="11"/>
        <v/>
      </c>
    </row>
    <row r="223" spans="1:10" s="27" customFormat="1" ht="23.1" customHeight="1">
      <c r="A223" s="194" t="str">
        <f>IF($C223="","",MAX($A$3:A222)+1)</f>
        <v/>
      </c>
      <c r="B223" s="197" t="str">
        <f t="shared" si="9"/>
        <v/>
      </c>
      <c r="C223" s="201"/>
      <c r="D223" s="199"/>
      <c r="E223" s="200"/>
      <c r="F223" s="196" t="str">
        <f>IF($B223="","",SUMIFS('Daily Inward'!$G:$G,'Daily Inward'!$C:$C,$B223,'Daily Inward'!$E:$E,"Patty Cash"))</f>
        <v/>
      </c>
      <c r="G223" s="30" t="str">
        <f>IF($B223="","",SUMIFS('Daily Issuance'!$G:$G,'Daily Issuance'!$C:$C,$B223,'Daily Issuance'!$E:$E,"Patty Cash"))</f>
        <v/>
      </c>
      <c r="H223" s="30" t="str">
        <f t="shared" si="10"/>
        <v/>
      </c>
      <c r="I223" s="33"/>
      <c r="J223" s="34" t="str">
        <f t="shared" si="11"/>
        <v/>
      </c>
    </row>
    <row r="224" spans="1:10" s="27" customFormat="1" ht="23.1" customHeight="1">
      <c r="A224" s="194" t="str">
        <f>IF($C224="","",MAX($A$3:A223)+1)</f>
        <v/>
      </c>
      <c r="B224" s="197" t="str">
        <f t="shared" si="9"/>
        <v/>
      </c>
      <c r="C224" s="201"/>
      <c r="D224" s="199"/>
      <c r="E224" s="200"/>
      <c r="F224" s="196" t="str">
        <f>IF($B224="","",SUMIFS('Daily Inward'!$G:$G,'Daily Inward'!$C:$C,$B224,'Daily Inward'!$E:$E,"Patty Cash"))</f>
        <v/>
      </c>
      <c r="G224" s="30" t="str">
        <f>IF($B224="","",SUMIFS('Daily Issuance'!$G:$G,'Daily Issuance'!$C:$C,$B224,'Daily Issuance'!$E:$E,"Patty Cash"))</f>
        <v/>
      </c>
      <c r="H224" s="30" t="str">
        <f t="shared" si="10"/>
        <v/>
      </c>
      <c r="I224" s="33"/>
      <c r="J224" s="34" t="str">
        <f t="shared" si="11"/>
        <v/>
      </c>
    </row>
    <row r="225" spans="1:10" s="27" customFormat="1" ht="23.1" customHeight="1">
      <c r="A225" s="194" t="str">
        <f>IF($C225="","",MAX($A$3:A224)+1)</f>
        <v/>
      </c>
      <c r="B225" s="197" t="str">
        <f t="shared" si="9"/>
        <v/>
      </c>
      <c r="C225" s="201"/>
      <c r="D225" s="199"/>
      <c r="E225" s="200"/>
      <c r="F225" s="196" t="str">
        <f>IF($B225="","",SUMIFS('Daily Inward'!$G:$G,'Daily Inward'!$C:$C,$B225,'Daily Inward'!$E:$E,"Patty Cash"))</f>
        <v/>
      </c>
      <c r="G225" s="30" t="str">
        <f>IF($B225="","",SUMIFS('Daily Issuance'!$G:$G,'Daily Issuance'!$C:$C,$B225,'Daily Issuance'!$E:$E,"Patty Cash"))</f>
        <v/>
      </c>
      <c r="H225" s="30" t="str">
        <f t="shared" si="10"/>
        <v/>
      </c>
      <c r="I225" s="33"/>
      <c r="J225" s="34" t="str">
        <f t="shared" si="11"/>
        <v/>
      </c>
    </row>
    <row r="226" spans="1:10" s="27" customFormat="1" ht="23.1" customHeight="1">
      <c r="A226" s="194" t="str">
        <f>IF($C226="","",MAX($A$3:A225)+1)</f>
        <v/>
      </c>
      <c r="B226" s="197" t="str">
        <f t="shared" si="9"/>
        <v/>
      </c>
      <c r="C226" s="201"/>
      <c r="D226" s="199"/>
      <c r="E226" s="200"/>
      <c r="F226" s="196" t="str">
        <f>IF($B226="","",SUMIFS('Daily Inward'!$G:$G,'Daily Inward'!$C:$C,$B226,'Daily Inward'!$E:$E,"Patty Cash"))</f>
        <v/>
      </c>
      <c r="G226" s="30" t="str">
        <f>IF($B226="","",SUMIFS('Daily Issuance'!$G:$G,'Daily Issuance'!$C:$C,$B226,'Daily Issuance'!$E:$E,"Patty Cash"))</f>
        <v/>
      </c>
      <c r="H226" s="30" t="str">
        <f t="shared" si="10"/>
        <v/>
      </c>
      <c r="I226" s="33"/>
      <c r="J226" s="34" t="str">
        <f t="shared" si="11"/>
        <v/>
      </c>
    </row>
    <row r="227" spans="1:10" s="27" customFormat="1" ht="23.1" customHeight="1">
      <c r="A227" s="194" t="str">
        <f>IF($C227="","",MAX($A$3:A226)+1)</f>
        <v/>
      </c>
      <c r="B227" s="197" t="str">
        <f t="shared" si="9"/>
        <v/>
      </c>
      <c r="C227" s="201"/>
      <c r="D227" s="199"/>
      <c r="E227" s="200"/>
      <c r="F227" s="196" t="str">
        <f>IF($B227="","",SUMIFS('Daily Inward'!$G:$G,'Daily Inward'!$C:$C,$B227,'Daily Inward'!$E:$E,"Patty Cash"))</f>
        <v/>
      </c>
      <c r="G227" s="30" t="str">
        <f>IF($B227="","",SUMIFS('Daily Issuance'!$G:$G,'Daily Issuance'!$C:$C,$B227,'Daily Issuance'!$E:$E,"Patty Cash"))</f>
        <v/>
      </c>
      <c r="H227" s="30" t="str">
        <f t="shared" si="10"/>
        <v/>
      </c>
      <c r="I227" s="33"/>
      <c r="J227" s="34" t="str">
        <f t="shared" si="11"/>
        <v/>
      </c>
    </row>
    <row r="228" spans="1:10" s="27" customFormat="1" ht="23.1" customHeight="1">
      <c r="A228" s="194" t="str">
        <f>IF($C228="","",MAX($A$3:A227)+1)</f>
        <v/>
      </c>
      <c r="B228" s="197" t="str">
        <f t="shared" si="9"/>
        <v/>
      </c>
      <c r="C228" s="201"/>
      <c r="D228" s="199"/>
      <c r="E228" s="200"/>
      <c r="F228" s="196" t="str">
        <f>IF($B228="","",SUMIFS('Daily Inward'!$G:$G,'Daily Inward'!$C:$C,$B228,'Daily Inward'!$E:$E,"Patty Cash"))</f>
        <v/>
      </c>
      <c r="G228" s="30" t="str">
        <f>IF($B228="","",SUMIFS('Daily Issuance'!$G:$G,'Daily Issuance'!$C:$C,$B228,'Daily Issuance'!$E:$E,"Patty Cash"))</f>
        <v/>
      </c>
      <c r="H228" s="30" t="str">
        <f t="shared" si="10"/>
        <v/>
      </c>
      <c r="I228" s="33"/>
      <c r="J228" s="34" t="str">
        <f t="shared" si="11"/>
        <v/>
      </c>
    </row>
    <row r="229" spans="1:10" s="27" customFormat="1" ht="23.1" customHeight="1">
      <c r="A229" s="194" t="str">
        <f>IF($C229="","",MAX($A$3:A228)+1)</f>
        <v/>
      </c>
      <c r="B229" s="197" t="str">
        <f t="shared" si="9"/>
        <v/>
      </c>
      <c r="C229" s="201"/>
      <c r="D229" s="199"/>
      <c r="E229" s="200"/>
      <c r="F229" s="196" t="str">
        <f>IF($B229="","",SUMIFS('Daily Inward'!$G:$G,'Daily Inward'!$C:$C,$B229,'Daily Inward'!$E:$E,"Patty Cash"))</f>
        <v/>
      </c>
      <c r="G229" s="30" t="str">
        <f>IF($B229="","",SUMIFS('Daily Issuance'!$G:$G,'Daily Issuance'!$C:$C,$B229,'Daily Issuance'!$E:$E,"Patty Cash"))</f>
        <v/>
      </c>
      <c r="H229" s="30" t="str">
        <f t="shared" si="10"/>
        <v/>
      </c>
      <c r="I229" s="33"/>
      <c r="J229" s="34" t="str">
        <f t="shared" si="11"/>
        <v/>
      </c>
    </row>
    <row r="230" spans="1:10" s="27" customFormat="1" ht="23.1" customHeight="1">
      <c r="A230" s="194" t="str">
        <f>IF($C230="","",MAX($A$3:A229)+1)</f>
        <v/>
      </c>
      <c r="B230" s="197" t="str">
        <f t="shared" si="9"/>
        <v/>
      </c>
      <c r="C230" s="201"/>
      <c r="D230" s="199"/>
      <c r="E230" s="200"/>
      <c r="F230" s="196" t="str">
        <f>IF($B230="","",SUMIFS('Daily Inward'!$G:$G,'Daily Inward'!$C:$C,$B230,'Daily Inward'!$E:$E,"Patty Cash"))</f>
        <v/>
      </c>
      <c r="G230" s="30" t="str">
        <f>IF($B230="","",SUMIFS('Daily Issuance'!$G:$G,'Daily Issuance'!$C:$C,$B230,'Daily Issuance'!$E:$E,"Patty Cash"))</f>
        <v/>
      </c>
      <c r="H230" s="30" t="str">
        <f t="shared" si="10"/>
        <v/>
      </c>
      <c r="I230" s="33"/>
      <c r="J230" s="34" t="str">
        <f t="shared" si="11"/>
        <v/>
      </c>
    </row>
    <row r="231" spans="1:10" s="27" customFormat="1" ht="23.1" customHeight="1">
      <c r="A231" s="194" t="str">
        <f>IF($C231="","",MAX($A$3:A230)+1)</f>
        <v/>
      </c>
      <c r="B231" s="197" t="str">
        <f t="shared" si="9"/>
        <v/>
      </c>
      <c r="C231" s="201"/>
      <c r="D231" s="199"/>
      <c r="E231" s="200"/>
      <c r="F231" s="196" t="str">
        <f>IF($B231="","",SUMIFS('Daily Inward'!$G:$G,'Daily Inward'!$C:$C,$B231,'Daily Inward'!$E:$E,"Patty Cash"))</f>
        <v/>
      </c>
      <c r="G231" s="30" t="str">
        <f>IF($B231="","",SUMIFS('Daily Issuance'!$G:$G,'Daily Issuance'!$C:$C,$B231,'Daily Issuance'!$E:$E,"Patty Cash"))</f>
        <v/>
      </c>
      <c r="H231" s="30" t="str">
        <f t="shared" si="10"/>
        <v/>
      </c>
      <c r="I231" s="33"/>
      <c r="J231" s="34" t="str">
        <f t="shared" si="11"/>
        <v/>
      </c>
    </row>
    <row r="232" spans="1:10" s="27" customFormat="1" ht="23.1" customHeight="1">
      <c r="A232" s="194" t="str">
        <f>IF($C232="","",MAX($A$3:A231)+1)</f>
        <v/>
      </c>
      <c r="B232" s="197" t="str">
        <f t="shared" si="9"/>
        <v/>
      </c>
      <c r="C232" s="201"/>
      <c r="D232" s="199"/>
      <c r="E232" s="200"/>
      <c r="F232" s="196" t="str">
        <f>IF($B232="","",SUMIFS('Daily Inward'!$G:$G,'Daily Inward'!$C:$C,$B232,'Daily Inward'!$E:$E,"Patty Cash"))</f>
        <v/>
      </c>
      <c r="G232" s="30" t="str">
        <f>IF($B232="","",SUMIFS('Daily Issuance'!$G:$G,'Daily Issuance'!$C:$C,$B232,'Daily Issuance'!$E:$E,"Patty Cash"))</f>
        <v/>
      </c>
      <c r="H232" s="30" t="str">
        <f t="shared" si="10"/>
        <v/>
      </c>
      <c r="I232" s="33"/>
      <c r="J232" s="34" t="str">
        <f t="shared" si="11"/>
        <v/>
      </c>
    </row>
    <row r="233" spans="1:10" s="27" customFormat="1" ht="23.1" customHeight="1">
      <c r="A233" s="194" t="str">
        <f>IF($C233="","",MAX($A$3:A232)+1)</f>
        <v/>
      </c>
      <c r="B233" s="197" t="str">
        <f t="shared" si="9"/>
        <v/>
      </c>
      <c r="C233" s="201"/>
      <c r="D233" s="199"/>
      <c r="E233" s="200"/>
      <c r="F233" s="196" t="str">
        <f>IF($B233="","",SUMIFS('Daily Inward'!$G:$G,'Daily Inward'!$C:$C,$B233,'Daily Inward'!$E:$E,"Patty Cash"))</f>
        <v/>
      </c>
      <c r="G233" s="30" t="str">
        <f>IF($B233="","",SUMIFS('Daily Issuance'!$G:$G,'Daily Issuance'!$C:$C,$B233,'Daily Issuance'!$E:$E,"Patty Cash"))</f>
        <v/>
      </c>
      <c r="H233" s="30" t="str">
        <f t="shared" si="10"/>
        <v/>
      </c>
      <c r="I233" s="33"/>
      <c r="J233" s="34" t="str">
        <f t="shared" si="11"/>
        <v/>
      </c>
    </row>
    <row r="234" spans="1:10" s="27" customFormat="1" ht="23.1" customHeight="1">
      <c r="A234" s="194" t="str">
        <f>IF($C234="","",MAX($A$3:A233)+1)</f>
        <v/>
      </c>
      <c r="B234" s="197" t="str">
        <f t="shared" si="9"/>
        <v/>
      </c>
      <c r="C234" s="201"/>
      <c r="D234" s="199"/>
      <c r="E234" s="200"/>
      <c r="F234" s="196" t="str">
        <f>IF($B234="","",SUMIFS('Daily Inward'!$G:$G,'Daily Inward'!$C:$C,$B234,'Daily Inward'!$E:$E,"Patty Cash"))</f>
        <v/>
      </c>
      <c r="G234" s="30" t="str">
        <f>IF($B234="","",SUMIFS('Daily Issuance'!$G:$G,'Daily Issuance'!$C:$C,$B234,'Daily Issuance'!$E:$E,"Patty Cash"))</f>
        <v/>
      </c>
      <c r="H234" s="30" t="str">
        <f t="shared" si="10"/>
        <v/>
      </c>
      <c r="I234" s="33"/>
      <c r="J234" s="34" t="str">
        <f t="shared" si="11"/>
        <v/>
      </c>
    </row>
    <row r="235" spans="1:10" s="27" customFormat="1" ht="23.1" customHeight="1">
      <c r="A235" s="194" t="str">
        <f>IF($C235="","",MAX($A$3:A234)+1)</f>
        <v/>
      </c>
      <c r="B235" s="197" t="str">
        <f t="shared" si="9"/>
        <v/>
      </c>
      <c r="C235" s="201"/>
      <c r="D235" s="199"/>
      <c r="E235" s="200"/>
      <c r="F235" s="196" t="str">
        <f>IF($B235="","",SUMIFS('Daily Inward'!$G:$G,'Daily Inward'!$C:$C,$B235,'Daily Inward'!$E:$E,"Patty Cash"))</f>
        <v/>
      </c>
      <c r="G235" s="30" t="str">
        <f>IF($B235="","",SUMIFS('Daily Issuance'!$G:$G,'Daily Issuance'!$C:$C,$B235,'Daily Issuance'!$E:$E,"Patty Cash"))</f>
        <v/>
      </c>
      <c r="H235" s="30" t="str">
        <f t="shared" si="10"/>
        <v/>
      </c>
      <c r="I235" s="33"/>
      <c r="J235" s="34" t="str">
        <f t="shared" si="11"/>
        <v/>
      </c>
    </row>
    <row r="236" spans="1:10" s="27" customFormat="1" ht="23.1" customHeight="1">
      <c r="A236" s="194" t="str">
        <f>IF($C236="","",MAX($A$3:A235)+1)</f>
        <v/>
      </c>
      <c r="B236" s="197" t="str">
        <f t="shared" si="9"/>
        <v/>
      </c>
      <c r="C236" s="201"/>
      <c r="D236" s="199"/>
      <c r="E236" s="200"/>
      <c r="F236" s="196" t="str">
        <f>IF($B236="","",SUMIFS('Daily Inward'!$G:$G,'Daily Inward'!$C:$C,$B236,'Daily Inward'!$E:$E,"Patty Cash"))</f>
        <v/>
      </c>
      <c r="G236" s="30" t="str">
        <f>IF($B236="","",SUMIFS('Daily Issuance'!$G:$G,'Daily Issuance'!$C:$C,$B236,'Daily Issuance'!$E:$E,"Patty Cash"))</f>
        <v/>
      </c>
      <c r="H236" s="30" t="str">
        <f t="shared" si="10"/>
        <v/>
      </c>
      <c r="I236" s="33"/>
      <c r="J236" s="34" t="str">
        <f t="shared" si="11"/>
        <v/>
      </c>
    </row>
    <row r="237" spans="1:10" s="27" customFormat="1" ht="23.1" customHeight="1">
      <c r="A237" s="194" t="str">
        <f>IF($C237="","",MAX($A$3:A236)+1)</f>
        <v/>
      </c>
      <c r="B237" s="197" t="str">
        <f t="shared" si="9"/>
        <v/>
      </c>
      <c r="C237" s="201"/>
      <c r="D237" s="199"/>
      <c r="E237" s="200"/>
      <c r="F237" s="196" t="str">
        <f>IF($B237="","",SUMIFS('Daily Inward'!$G:$G,'Daily Inward'!$C:$C,$B237,'Daily Inward'!$E:$E,"Patty Cash"))</f>
        <v/>
      </c>
      <c r="G237" s="30" t="str">
        <f>IF($B237="","",SUMIFS('Daily Issuance'!$G:$G,'Daily Issuance'!$C:$C,$B237,'Daily Issuance'!$E:$E,"Patty Cash"))</f>
        <v/>
      </c>
      <c r="H237" s="30" t="str">
        <f t="shared" si="10"/>
        <v/>
      </c>
      <c r="I237" s="33"/>
      <c r="J237" s="34" t="str">
        <f t="shared" si="11"/>
        <v/>
      </c>
    </row>
    <row r="238" spans="1:10" s="27" customFormat="1" ht="23.1" customHeight="1">
      <c r="A238" s="194" t="str">
        <f>IF($C238="","",MAX($A$3:A237)+1)</f>
        <v/>
      </c>
      <c r="B238" s="197" t="str">
        <f t="shared" si="9"/>
        <v/>
      </c>
      <c r="C238" s="201"/>
      <c r="D238" s="199"/>
      <c r="E238" s="200"/>
      <c r="F238" s="196" t="str">
        <f>IF($B238="","",SUMIFS('Daily Inward'!$G:$G,'Daily Inward'!$C:$C,$B238,'Daily Inward'!$E:$E,"Patty Cash"))</f>
        <v/>
      </c>
      <c r="G238" s="30" t="str">
        <f>IF($B238="","",SUMIFS('Daily Issuance'!$G:$G,'Daily Issuance'!$C:$C,$B238,'Daily Issuance'!$E:$E,"Patty Cash"))</f>
        <v/>
      </c>
      <c r="H238" s="30" t="str">
        <f t="shared" si="10"/>
        <v/>
      </c>
      <c r="I238" s="33"/>
      <c r="J238" s="34" t="str">
        <f t="shared" si="11"/>
        <v/>
      </c>
    </row>
    <row r="239" spans="1:10" s="27" customFormat="1" ht="23.1" customHeight="1">
      <c r="A239" s="194" t="str">
        <f>IF($C239="","",MAX($A$3:A238)+1)</f>
        <v/>
      </c>
      <c r="B239" s="197" t="str">
        <f t="shared" si="9"/>
        <v/>
      </c>
      <c r="C239" s="201"/>
      <c r="D239" s="199"/>
      <c r="E239" s="200"/>
      <c r="F239" s="196" t="str">
        <f>IF($B239="","",SUMIFS('Daily Inward'!$G:$G,'Daily Inward'!$C:$C,$B239,'Daily Inward'!$E:$E,"Patty Cash"))</f>
        <v/>
      </c>
      <c r="G239" s="30" t="str">
        <f>IF($B239="","",SUMIFS('Daily Issuance'!$G:$G,'Daily Issuance'!$C:$C,$B239,'Daily Issuance'!$E:$E,"Patty Cash"))</f>
        <v/>
      </c>
      <c r="H239" s="30" t="str">
        <f t="shared" si="10"/>
        <v/>
      </c>
      <c r="I239" s="33"/>
      <c r="J239" s="34" t="str">
        <f t="shared" si="11"/>
        <v/>
      </c>
    </row>
    <row r="240" spans="1:10" s="27" customFormat="1" ht="23.1" customHeight="1">
      <c r="A240" s="194" t="str">
        <f>IF($C240="","",MAX($A$3:A239)+1)</f>
        <v/>
      </c>
      <c r="B240" s="197" t="str">
        <f t="shared" si="9"/>
        <v/>
      </c>
      <c r="C240" s="201"/>
      <c r="D240" s="199"/>
      <c r="E240" s="200"/>
      <c r="F240" s="196" t="str">
        <f>IF($B240="","",SUMIFS('Daily Inward'!$G:$G,'Daily Inward'!$C:$C,$B240,'Daily Inward'!$E:$E,"Patty Cash"))</f>
        <v/>
      </c>
      <c r="G240" s="30" t="str">
        <f>IF($B240="","",SUMIFS('Daily Issuance'!$G:$G,'Daily Issuance'!$C:$C,$B240,'Daily Issuance'!$E:$E,"Patty Cash"))</f>
        <v/>
      </c>
      <c r="H240" s="30" t="str">
        <f t="shared" si="10"/>
        <v/>
      </c>
      <c r="I240" s="33"/>
      <c r="J240" s="34" t="str">
        <f t="shared" si="11"/>
        <v/>
      </c>
    </row>
    <row r="241" spans="1:10" s="27" customFormat="1" ht="23.1" customHeight="1">
      <c r="A241" s="194" t="str">
        <f>IF($C241="","",MAX($A$3:A240)+1)</f>
        <v/>
      </c>
      <c r="B241" s="197" t="str">
        <f t="shared" si="9"/>
        <v/>
      </c>
      <c r="C241" s="201"/>
      <c r="D241" s="199"/>
      <c r="E241" s="200"/>
      <c r="F241" s="196" t="str">
        <f>IF($B241="","",SUMIFS('Daily Inward'!$G:$G,'Daily Inward'!$C:$C,$B241,'Daily Inward'!$E:$E,"Patty Cash"))</f>
        <v/>
      </c>
      <c r="G241" s="30" t="str">
        <f>IF($B241="","",SUMIFS('Daily Issuance'!$G:$G,'Daily Issuance'!$C:$C,$B241,'Daily Issuance'!$E:$E,"Patty Cash"))</f>
        <v/>
      </c>
      <c r="H241" s="30" t="str">
        <f t="shared" si="10"/>
        <v/>
      </c>
      <c r="I241" s="33"/>
      <c r="J241" s="34" t="str">
        <f t="shared" si="11"/>
        <v/>
      </c>
    </row>
    <row r="242" spans="1:10" s="27" customFormat="1" ht="23.1" customHeight="1">
      <c r="A242" s="194" t="str">
        <f>IF($C242="","",MAX($A$3:A241)+1)</f>
        <v/>
      </c>
      <c r="B242" s="197" t="str">
        <f t="shared" si="9"/>
        <v/>
      </c>
      <c r="C242" s="201"/>
      <c r="D242" s="199"/>
      <c r="E242" s="200"/>
      <c r="F242" s="196" t="str">
        <f>IF($B242="","",SUMIFS('Daily Inward'!$G:$G,'Daily Inward'!$C:$C,$B242,'Daily Inward'!$E:$E,"Patty Cash"))</f>
        <v/>
      </c>
      <c r="G242" s="30" t="str">
        <f>IF($B242="","",SUMIFS('Daily Issuance'!$G:$G,'Daily Issuance'!$C:$C,$B242,'Daily Issuance'!$E:$E,"Patty Cash"))</f>
        <v/>
      </c>
      <c r="H242" s="30" t="str">
        <f t="shared" si="10"/>
        <v/>
      </c>
      <c r="I242" s="33"/>
      <c r="J242" s="34" t="str">
        <f t="shared" si="11"/>
        <v/>
      </c>
    </row>
    <row r="243" spans="1:10" s="27" customFormat="1" ht="23.1" customHeight="1">
      <c r="A243" s="194" t="str">
        <f>IF($C243="","",MAX($A$3:A242)+1)</f>
        <v/>
      </c>
      <c r="B243" s="197" t="str">
        <f t="shared" si="9"/>
        <v/>
      </c>
      <c r="C243" s="201"/>
      <c r="D243" s="199"/>
      <c r="E243" s="200"/>
      <c r="F243" s="196" t="str">
        <f>IF($B243="","",SUMIFS('Daily Inward'!$G:$G,'Daily Inward'!$C:$C,$B243,'Daily Inward'!$E:$E,"Patty Cash"))</f>
        <v/>
      </c>
      <c r="G243" s="30" t="str">
        <f>IF($B243="","",SUMIFS('Daily Issuance'!$G:$G,'Daily Issuance'!$C:$C,$B243,'Daily Issuance'!$E:$E,"Patty Cash"))</f>
        <v/>
      </c>
      <c r="H243" s="30" t="str">
        <f t="shared" si="10"/>
        <v/>
      </c>
      <c r="I243" s="33"/>
      <c r="J243" s="34" t="str">
        <f t="shared" si="11"/>
        <v/>
      </c>
    </row>
    <row r="244" spans="1:10" s="27" customFormat="1" ht="23.1" customHeight="1">
      <c r="A244" s="194" t="str">
        <f>IF($C244="","",MAX($A$3:A243)+1)</f>
        <v/>
      </c>
      <c r="B244" s="197" t="str">
        <f t="shared" si="9"/>
        <v/>
      </c>
      <c r="C244" s="201"/>
      <c r="D244" s="199"/>
      <c r="E244" s="200"/>
      <c r="F244" s="196" t="str">
        <f>IF($B244="","",SUMIFS('Daily Inward'!$G:$G,'Daily Inward'!$C:$C,$B244,'Daily Inward'!$E:$E,"Patty Cash"))</f>
        <v/>
      </c>
      <c r="G244" s="30" t="str">
        <f>IF($B244="","",SUMIFS('Daily Issuance'!$G:$G,'Daily Issuance'!$C:$C,$B244,'Daily Issuance'!$E:$E,"Patty Cash"))</f>
        <v/>
      </c>
      <c r="H244" s="30" t="str">
        <f t="shared" si="10"/>
        <v/>
      </c>
      <c r="I244" s="33"/>
      <c r="J244" s="34" t="str">
        <f t="shared" si="11"/>
        <v/>
      </c>
    </row>
    <row r="245" spans="1:10" s="27" customFormat="1" ht="23.1" customHeight="1">
      <c r="A245" s="194" t="str">
        <f>IF($C245="","",MAX($A$3:A244)+1)</f>
        <v/>
      </c>
      <c r="B245" s="197" t="str">
        <f t="shared" si="9"/>
        <v/>
      </c>
      <c r="C245" s="201"/>
      <c r="D245" s="199"/>
      <c r="E245" s="200"/>
      <c r="F245" s="196" t="str">
        <f>IF($B245="","",SUMIFS('Daily Inward'!$G:$G,'Daily Inward'!$C:$C,$B245,'Daily Inward'!$E:$E,"Patty Cash"))</f>
        <v/>
      </c>
      <c r="G245" s="30" t="str">
        <f>IF($B245="","",SUMIFS('Daily Issuance'!$G:$G,'Daily Issuance'!$C:$C,$B245,'Daily Issuance'!$E:$E,"Patty Cash"))</f>
        <v/>
      </c>
      <c r="H245" s="30" t="str">
        <f t="shared" si="10"/>
        <v/>
      </c>
      <c r="I245" s="33"/>
      <c r="J245" s="34" t="str">
        <f t="shared" si="11"/>
        <v/>
      </c>
    </row>
    <row r="246" spans="1:10" s="27" customFormat="1" ht="23.1" customHeight="1">
      <c r="A246" s="194" t="str">
        <f>IF($C246="","",MAX($A$3:A245)+1)</f>
        <v/>
      </c>
      <c r="B246" s="197" t="str">
        <f t="shared" si="9"/>
        <v/>
      </c>
      <c r="C246" s="201"/>
      <c r="D246" s="199"/>
      <c r="E246" s="200"/>
      <c r="F246" s="196" t="str">
        <f>IF($B246="","",SUMIFS('Daily Inward'!$G:$G,'Daily Inward'!$C:$C,$B246,'Daily Inward'!$E:$E,"Patty Cash"))</f>
        <v/>
      </c>
      <c r="G246" s="30" t="str">
        <f>IF($B246="","",SUMIFS('Daily Issuance'!$G:$G,'Daily Issuance'!$C:$C,$B246,'Daily Issuance'!$E:$E,"Patty Cash"))</f>
        <v/>
      </c>
      <c r="H246" s="30" t="str">
        <f t="shared" si="10"/>
        <v/>
      </c>
      <c r="I246" s="33"/>
      <c r="J246" s="34" t="str">
        <f t="shared" si="11"/>
        <v/>
      </c>
    </row>
    <row r="247" spans="1:10" s="27" customFormat="1" ht="23.1" customHeight="1">
      <c r="A247" s="194" t="str">
        <f>IF($C247="","",MAX($A$3:A246)+1)</f>
        <v/>
      </c>
      <c r="B247" s="197" t="str">
        <f t="shared" si="9"/>
        <v/>
      </c>
      <c r="C247" s="201"/>
      <c r="D247" s="199"/>
      <c r="E247" s="200"/>
      <c r="F247" s="196" t="str">
        <f>IF($B247="","",SUMIFS('Daily Inward'!$G:$G,'Daily Inward'!$C:$C,$B247,'Daily Inward'!$E:$E,"Patty Cash"))</f>
        <v/>
      </c>
      <c r="G247" s="30" t="str">
        <f>IF($B247="","",SUMIFS('Daily Issuance'!$G:$G,'Daily Issuance'!$C:$C,$B247,'Daily Issuance'!$E:$E,"Patty Cash"))</f>
        <v/>
      </c>
      <c r="H247" s="30" t="str">
        <f t="shared" si="10"/>
        <v/>
      </c>
      <c r="I247" s="33"/>
      <c r="J247" s="34" t="str">
        <f t="shared" si="11"/>
        <v/>
      </c>
    </row>
    <row r="248" spans="1:10" s="27" customFormat="1" ht="23.1" customHeight="1">
      <c r="A248" s="194" t="str">
        <f>IF($C248="","",MAX($A$3:A247)+1)</f>
        <v/>
      </c>
      <c r="B248" s="197" t="str">
        <f t="shared" si="9"/>
        <v/>
      </c>
      <c r="C248" s="201"/>
      <c r="D248" s="199"/>
      <c r="E248" s="200"/>
      <c r="F248" s="196" t="str">
        <f>IF($B248="","",SUMIFS('Daily Inward'!$G:$G,'Daily Inward'!$C:$C,$B248,'Daily Inward'!$E:$E,"Patty Cash"))</f>
        <v/>
      </c>
      <c r="G248" s="30" t="str">
        <f>IF($B248="","",SUMIFS('Daily Issuance'!$G:$G,'Daily Issuance'!$C:$C,$B248,'Daily Issuance'!$E:$E,"Patty Cash"))</f>
        <v/>
      </c>
      <c r="H248" s="30" t="str">
        <f t="shared" si="10"/>
        <v/>
      </c>
      <c r="I248" s="33"/>
      <c r="J248" s="34" t="str">
        <f t="shared" si="11"/>
        <v/>
      </c>
    </row>
    <row r="249" spans="1:10" s="27" customFormat="1" ht="23.1" customHeight="1">
      <c r="A249" s="194" t="str">
        <f>IF($C249="","",MAX($A$3:A248)+1)</f>
        <v/>
      </c>
      <c r="B249" s="197" t="str">
        <f t="shared" si="9"/>
        <v/>
      </c>
      <c r="C249" s="201"/>
      <c r="D249" s="199"/>
      <c r="E249" s="200"/>
      <c r="F249" s="196" t="str">
        <f>IF($B249="","",SUMIFS('Daily Inward'!$G:$G,'Daily Inward'!$C:$C,$B249,'Daily Inward'!$E:$E,"Patty Cash"))</f>
        <v/>
      </c>
      <c r="G249" s="30" t="str">
        <f>IF($B249="","",SUMIFS('Daily Issuance'!$G:$G,'Daily Issuance'!$C:$C,$B249,'Daily Issuance'!$E:$E,"Patty Cash"))</f>
        <v/>
      </c>
      <c r="H249" s="30" t="str">
        <f t="shared" si="10"/>
        <v/>
      </c>
      <c r="I249" s="33"/>
      <c r="J249" s="34" t="str">
        <f t="shared" si="11"/>
        <v/>
      </c>
    </row>
    <row r="250" spans="1:10" s="27" customFormat="1" ht="23.1" customHeight="1">
      <c r="A250" s="194" t="str">
        <f>IF($C250="","",MAX($A$3:A249)+1)</f>
        <v/>
      </c>
      <c r="B250" s="197" t="str">
        <f t="shared" si="9"/>
        <v/>
      </c>
      <c r="C250" s="201"/>
      <c r="D250" s="199"/>
      <c r="E250" s="200"/>
      <c r="F250" s="196" t="str">
        <f>IF($B250="","",SUMIFS('Daily Inward'!$G:$G,'Daily Inward'!$C:$C,$B250,'Daily Inward'!$E:$E,"Patty Cash"))</f>
        <v/>
      </c>
      <c r="G250" s="30" t="str">
        <f>IF($B250="","",SUMIFS('Daily Issuance'!$G:$G,'Daily Issuance'!$C:$C,$B250,'Daily Issuance'!$E:$E,"Patty Cash"))</f>
        <v/>
      </c>
      <c r="H250" s="30" t="str">
        <f t="shared" si="10"/>
        <v/>
      </c>
      <c r="I250" s="33"/>
      <c r="J250" s="34" t="str">
        <f t="shared" si="11"/>
        <v/>
      </c>
    </row>
    <row r="251" spans="1:10" s="27" customFormat="1" ht="23.1" customHeight="1">
      <c r="A251" s="194" t="str">
        <f>IF($C251="","",MAX($A$3:A250)+1)</f>
        <v/>
      </c>
      <c r="B251" s="197" t="str">
        <f t="shared" si="9"/>
        <v/>
      </c>
      <c r="C251" s="201"/>
      <c r="D251" s="199"/>
      <c r="E251" s="200"/>
      <c r="F251" s="196" t="str">
        <f>IF($B251="","",SUMIFS('Daily Inward'!$G:$G,'Daily Inward'!$C:$C,$B251,'Daily Inward'!$E:$E,"Patty Cash"))</f>
        <v/>
      </c>
      <c r="G251" s="30" t="str">
        <f>IF($B251="","",SUMIFS('Daily Issuance'!$G:$G,'Daily Issuance'!$C:$C,$B251,'Daily Issuance'!$E:$E,"Patty Cash"))</f>
        <v/>
      </c>
      <c r="H251" s="30" t="str">
        <f t="shared" si="10"/>
        <v/>
      </c>
      <c r="I251" s="33"/>
      <c r="J251" s="34" t="str">
        <f t="shared" si="11"/>
        <v/>
      </c>
    </row>
    <row r="252" spans="1:10" s="27" customFormat="1" ht="23.1" customHeight="1">
      <c r="A252" s="194" t="str">
        <f>IF($C252="","",MAX($A$3:A251)+1)</f>
        <v/>
      </c>
      <c r="B252" s="197" t="str">
        <f t="shared" si="9"/>
        <v/>
      </c>
      <c r="C252" s="201"/>
      <c r="D252" s="199"/>
      <c r="E252" s="200"/>
      <c r="F252" s="196" t="str">
        <f>IF($B252="","",SUMIFS('Daily Inward'!$G:$G,'Daily Inward'!$C:$C,$B252,'Daily Inward'!$E:$E,"Patty Cash"))</f>
        <v/>
      </c>
      <c r="G252" s="30" t="str">
        <f>IF($B252="","",SUMIFS('Daily Issuance'!$G:$G,'Daily Issuance'!$C:$C,$B252,'Daily Issuance'!$E:$E,"Patty Cash"))</f>
        <v/>
      </c>
      <c r="H252" s="30" t="str">
        <f t="shared" si="10"/>
        <v/>
      </c>
      <c r="I252" s="33"/>
      <c r="J252" s="34" t="str">
        <f t="shared" si="11"/>
        <v/>
      </c>
    </row>
    <row r="253" spans="1:10" s="27" customFormat="1" ht="23.1" customHeight="1">
      <c r="A253" s="194" t="str">
        <f>IF($C253="","",MAX($A$3:A252)+1)</f>
        <v/>
      </c>
      <c r="B253" s="197" t="str">
        <f t="shared" si="9"/>
        <v/>
      </c>
      <c r="C253" s="201"/>
      <c r="D253" s="199"/>
      <c r="E253" s="200"/>
      <c r="F253" s="196" t="str">
        <f>IF($B253="","",SUMIFS('Daily Inward'!$G:$G,'Daily Inward'!$C:$C,$B253,'Daily Inward'!$E:$E,"Patty Cash"))</f>
        <v/>
      </c>
      <c r="G253" s="30" t="str">
        <f>IF($B253="","",SUMIFS('Daily Issuance'!$G:$G,'Daily Issuance'!$C:$C,$B253,'Daily Issuance'!$E:$E,"Patty Cash"))</f>
        <v/>
      </c>
      <c r="H253" s="30" t="str">
        <f t="shared" si="10"/>
        <v/>
      </c>
      <c r="I253" s="33"/>
      <c r="J253" s="34" t="str">
        <f t="shared" si="11"/>
        <v/>
      </c>
    </row>
    <row r="254" spans="1:10" s="27" customFormat="1" ht="23.1" customHeight="1">
      <c r="A254" s="194" t="str">
        <f>IF($C254="","",MAX($A$3:A253)+1)</f>
        <v/>
      </c>
      <c r="B254" s="197" t="str">
        <f t="shared" si="9"/>
        <v/>
      </c>
      <c r="C254" s="201"/>
      <c r="D254" s="199"/>
      <c r="E254" s="200"/>
      <c r="F254" s="196" t="str">
        <f>IF($B254="","",SUMIFS('Daily Inward'!$G:$G,'Daily Inward'!$C:$C,$B254,'Daily Inward'!$E:$E,"Patty Cash"))</f>
        <v/>
      </c>
      <c r="G254" s="30" t="str">
        <f>IF($B254="","",SUMIFS('Daily Issuance'!$G:$G,'Daily Issuance'!$C:$C,$B254,'Daily Issuance'!$E:$E,"Patty Cash"))</f>
        <v/>
      </c>
      <c r="H254" s="30" t="str">
        <f t="shared" si="10"/>
        <v/>
      </c>
      <c r="I254" s="33"/>
      <c r="J254" s="34" t="str">
        <f t="shared" si="11"/>
        <v/>
      </c>
    </row>
    <row r="255" spans="1:10" s="27" customFormat="1" ht="23.1" customHeight="1">
      <c r="A255" s="194" t="str">
        <f>IF($C255="","",MAX($A$3:A254)+1)</f>
        <v/>
      </c>
      <c r="B255" s="197" t="str">
        <f t="shared" si="9"/>
        <v/>
      </c>
      <c r="C255" s="201"/>
      <c r="D255" s="199"/>
      <c r="E255" s="200"/>
      <c r="F255" s="196" t="str">
        <f>IF($B255="","",SUMIFS('Daily Inward'!$G:$G,'Daily Inward'!$C:$C,$B255,'Daily Inward'!$E:$E,"Patty Cash"))</f>
        <v/>
      </c>
      <c r="G255" s="30" t="str">
        <f>IF($B255="","",SUMIFS('Daily Issuance'!$G:$G,'Daily Issuance'!$C:$C,$B255,'Daily Issuance'!$E:$E,"Patty Cash"))</f>
        <v/>
      </c>
      <c r="H255" s="30" t="str">
        <f t="shared" si="10"/>
        <v/>
      </c>
      <c r="I255" s="33"/>
      <c r="J255" s="34" t="str">
        <f t="shared" si="11"/>
        <v/>
      </c>
    </row>
    <row r="256" spans="1:10" s="27" customFormat="1" ht="23.1" customHeight="1">
      <c r="A256" s="194" t="str">
        <f>IF($C256="","",MAX($A$3:A255)+1)</f>
        <v/>
      </c>
      <c r="B256" s="197" t="str">
        <f t="shared" si="9"/>
        <v/>
      </c>
      <c r="C256" s="201"/>
      <c r="D256" s="199"/>
      <c r="E256" s="200"/>
      <c r="F256" s="196" t="str">
        <f>IF($B256="","",SUMIFS('Daily Inward'!$G:$G,'Daily Inward'!$C:$C,$B256,'Daily Inward'!$E:$E,"Patty Cash"))</f>
        <v/>
      </c>
      <c r="G256" s="30" t="str">
        <f>IF($B256="","",SUMIFS('Daily Issuance'!$G:$G,'Daily Issuance'!$C:$C,$B256,'Daily Issuance'!$E:$E,"Patty Cash"))</f>
        <v/>
      </c>
      <c r="H256" s="30" t="str">
        <f t="shared" si="10"/>
        <v/>
      </c>
      <c r="I256" s="33"/>
      <c r="J256" s="34" t="str">
        <f t="shared" si="11"/>
        <v/>
      </c>
    </row>
    <row r="257" spans="1:10" s="27" customFormat="1" ht="23.1" customHeight="1">
      <c r="A257" s="194" t="str">
        <f>IF($C257="","",MAX($A$3:A256)+1)</f>
        <v/>
      </c>
      <c r="B257" s="197" t="str">
        <f t="shared" si="9"/>
        <v/>
      </c>
      <c r="C257" s="201"/>
      <c r="D257" s="199"/>
      <c r="E257" s="200"/>
      <c r="F257" s="196" t="str">
        <f>IF($B257="","",SUMIFS('Daily Inward'!$G:$G,'Daily Inward'!$C:$C,$B257,'Daily Inward'!$E:$E,"Patty Cash"))</f>
        <v/>
      </c>
      <c r="G257" s="30" t="str">
        <f>IF($B257="","",SUMIFS('Daily Issuance'!$G:$G,'Daily Issuance'!$C:$C,$B257,'Daily Issuance'!$E:$E,"Patty Cash"))</f>
        <v/>
      </c>
      <c r="H257" s="30" t="str">
        <f t="shared" si="10"/>
        <v/>
      </c>
      <c r="I257" s="33"/>
      <c r="J257" s="34" t="str">
        <f t="shared" si="11"/>
        <v/>
      </c>
    </row>
    <row r="258" spans="1:10" s="27" customFormat="1" ht="23.1" customHeight="1">
      <c r="A258" s="194" t="str">
        <f>IF($C258="","",MAX($A$3:A257)+1)</f>
        <v/>
      </c>
      <c r="B258" s="197" t="str">
        <f t="shared" si="9"/>
        <v/>
      </c>
      <c r="C258" s="201"/>
      <c r="D258" s="199"/>
      <c r="E258" s="200"/>
      <c r="F258" s="196" t="str">
        <f>IF($B258="","",SUMIFS('Daily Inward'!$G:$G,'Daily Inward'!$C:$C,$B258,'Daily Inward'!$E:$E,"Patty Cash"))</f>
        <v/>
      </c>
      <c r="G258" s="30" t="str">
        <f>IF($B258="","",SUMIFS('Daily Issuance'!$G:$G,'Daily Issuance'!$C:$C,$B258,'Daily Issuance'!$E:$E,"Patty Cash"))</f>
        <v/>
      </c>
      <c r="H258" s="30" t="str">
        <f t="shared" si="10"/>
        <v/>
      </c>
      <c r="I258" s="33"/>
      <c r="J258" s="34" t="str">
        <f t="shared" si="11"/>
        <v/>
      </c>
    </row>
    <row r="259" spans="1:10" s="27" customFormat="1" ht="23.1" customHeight="1">
      <c r="A259" s="194" t="str">
        <f>IF($C259="","",MAX($A$3:A258)+1)</f>
        <v/>
      </c>
      <c r="B259" s="197" t="str">
        <f t="shared" si="9"/>
        <v/>
      </c>
      <c r="C259" s="201"/>
      <c r="D259" s="199"/>
      <c r="E259" s="200"/>
      <c r="F259" s="196" t="str">
        <f>IF($B259="","",SUMIFS('Daily Inward'!$G:$G,'Daily Inward'!$C:$C,$B259,'Daily Inward'!$E:$E,"Patty Cash"))</f>
        <v/>
      </c>
      <c r="G259" s="30" t="str">
        <f>IF($B259="","",SUMIFS('Daily Issuance'!$G:$G,'Daily Issuance'!$C:$C,$B259,'Daily Issuance'!$E:$E,"Patty Cash"))</f>
        <v/>
      </c>
      <c r="H259" s="30" t="str">
        <f t="shared" si="10"/>
        <v/>
      </c>
      <c r="I259" s="33"/>
      <c r="J259" s="34" t="str">
        <f t="shared" si="11"/>
        <v/>
      </c>
    </row>
    <row r="260" spans="1:10" s="27" customFormat="1" ht="23.1" customHeight="1">
      <c r="A260" s="194" t="str">
        <f>IF($C260="","",MAX($A$3:A259)+1)</f>
        <v/>
      </c>
      <c r="B260" s="197" t="str">
        <f t="shared" si="9"/>
        <v/>
      </c>
      <c r="C260" s="201"/>
      <c r="D260" s="199"/>
      <c r="E260" s="200"/>
      <c r="F260" s="196" t="str">
        <f>IF($B260="","",SUMIFS('Daily Inward'!$G:$G,'Daily Inward'!$C:$C,$B260,'Daily Inward'!$E:$E,"Patty Cash"))</f>
        <v/>
      </c>
      <c r="G260" s="30" t="str">
        <f>IF($B260="","",SUMIFS('Daily Issuance'!$G:$G,'Daily Issuance'!$C:$C,$B260,'Daily Issuance'!$E:$E,"Patty Cash"))</f>
        <v/>
      </c>
      <c r="H260" s="30" t="str">
        <f t="shared" si="10"/>
        <v/>
      </c>
      <c r="I260" s="33"/>
      <c r="J260" s="34" t="str">
        <f t="shared" si="11"/>
        <v/>
      </c>
    </row>
    <row r="261" spans="1:10" s="27" customFormat="1" ht="23.1" customHeight="1">
      <c r="A261" s="194" t="str">
        <f>IF($C261="","",MAX($A$3:A260)+1)</f>
        <v/>
      </c>
      <c r="B261" s="197" t="str">
        <f t="shared" ref="B261:B324" si="12">IF($C261="","","PTC"&amp;TEXT(ROW()-4,"000"))</f>
        <v/>
      </c>
      <c r="C261" s="201"/>
      <c r="D261" s="199"/>
      <c r="E261" s="200"/>
      <c r="F261" s="196" t="str">
        <f>IF($B261="","",SUMIFS('Daily Inward'!$G:$G,'Daily Inward'!$C:$C,$B261,'Daily Inward'!$E:$E,"Patty Cash"))</f>
        <v/>
      </c>
      <c r="G261" s="30" t="str">
        <f>IF($B261="","",SUMIFS('Daily Issuance'!$G:$G,'Daily Issuance'!$C:$C,$B261,'Daily Issuance'!$E:$E,"Patty Cash"))</f>
        <v/>
      </c>
      <c r="H261" s="30" t="str">
        <f t="shared" ref="H261:H324" si="13">IF($B261="","",F261-G261)</f>
        <v/>
      </c>
      <c r="I261" s="33"/>
      <c r="J261" s="34" t="str">
        <f t="shared" ref="J261:J324" si="14">IF(OR(H261="",I261=""),"",H261*I261)</f>
        <v/>
      </c>
    </row>
    <row r="262" spans="1:10" s="27" customFormat="1" ht="23.1" customHeight="1">
      <c r="A262" s="194" t="str">
        <f>IF($C262="","",MAX($A$3:A261)+1)</f>
        <v/>
      </c>
      <c r="B262" s="197" t="str">
        <f t="shared" si="12"/>
        <v/>
      </c>
      <c r="C262" s="201"/>
      <c r="D262" s="199"/>
      <c r="E262" s="200"/>
      <c r="F262" s="196" t="str">
        <f>IF($B262="","",SUMIFS('Daily Inward'!$G:$G,'Daily Inward'!$C:$C,$B262,'Daily Inward'!$E:$E,"Patty Cash"))</f>
        <v/>
      </c>
      <c r="G262" s="30" t="str">
        <f>IF($B262="","",SUMIFS('Daily Issuance'!$G:$G,'Daily Issuance'!$C:$C,$B262,'Daily Issuance'!$E:$E,"Patty Cash"))</f>
        <v/>
      </c>
      <c r="H262" s="30" t="str">
        <f t="shared" si="13"/>
        <v/>
      </c>
      <c r="I262" s="33"/>
      <c r="J262" s="34" t="str">
        <f t="shared" si="14"/>
        <v/>
      </c>
    </row>
    <row r="263" spans="1:10" s="27" customFormat="1" ht="23.1" customHeight="1">
      <c r="A263" s="194" t="str">
        <f>IF($C263="","",MAX($A$3:A262)+1)</f>
        <v/>
      </c>
      <c r="B263" s="197" t="str">
        <f t="shared" si="12"/>
        <v/>
      </c>
      <c r="C263" s="201"/>
      <c r="D263" s="199"/>
      <c r="E263" s="200"/>
      <c r="F263" s="196" t="str">
        <f>IF($B263="","",SUMIFS('Daily Inward'!$G:$G,'Daily Inward'!$C:$C,$B263,'Daily Inward'!$E:$E,"Patty Cash"))</f>
        <v/>
      </c>
      <c r="G263" s="30" t="str">
        <f>IF($B263="","",SUMIFS('Daily Issuance'!$G:$G,'Daily Issuance'!$C:$C,$B263,'Daily Issuance'!$E:$E,"Patty Cash"))</f>
        <v/>
      </c>
      <c r="H263" s="30" t="str">
        <f t="shared" si="13"/>
        <v/>
      </c>
      <c r="I263" s="33"/>
      <c r="J263" s="34" t="str">
        <f t="shared" si="14"/>
        <v/>
      </c>
    </row>
    <row r="264" spans="1:10" s="27" customFormat="1" ht="23.1" customHeight="1">
      <c r="A264" s="194" t="str">
        <f>IF($C264="","",MAX($A$3:A263)+1)</f>
        <v/>
      </c>
      <c r="B264" s="197" t="str">
        <f t="shared" si="12"/>
        <v/>
      </c>
      <c r="C264" s="201"/>
      <c r="D264" s="199"/>
      <c r="E264" s="200"/>
      <c r="F264" s="196" t="str">
        <f>IF($B264="","",SUMIFS('Daily Inward'!$G:$G,'Daily Inward'!$C:$C,$B264,'Daily Inward'!$E:$E,"Patty Cash"))</f>
        <v/>
      </c>
      <c r="G264" s="30" t="str">
        <f>IF($B264="","",SUMIFS('Daily Issuance'!$G:$G,'Daily Issuance'!$C:$C,$B264,'Daily Issuance'!$E:$E,"Patty Cash"))</f>
        <v/>
      </c>
      <c r="H264" s="30" t="str">
        <f t="shared" si="13"/>
        <v/>
      </c>
      <c r="I264" s="33"/>
      <c r="J264" s="34" t="str">
        <f t="shared" si="14"/>
        <v/>
      </c>
    </row>
    <row r="265" spans="1:10" s="27" customFormat="1" ht="23.1" customHeight="1">
      <c r="A265" s="194" t="str">
        <f>IF($C265="","",MAX($A$3:A264)+1)</f>
        <v/>
      </c>
      <c r="B265" s="197" t="str">
        <f t="shared" si="12"/>
        <v/>
      </c>
      <c r="C265" s="201"/>
      <c r="D265" s="199"/>
      <c r="E265" s="200"/>
      <c r="F265" s="196" t="str">
        <f>IF($B265="","",SUMIFS('Daily Inward'!$G:$G,'Daily Inward'!$C:$C,$B265,'Daily Inward'!$E:$E,"Patty Cash"))</f>
        <v/>
      </c>
      <c r="G265" s="30" t="str">
        <f>IF($B265="","",SUMIFS('Daily Issuance'!$G:$G,'Daily Issuance'!$C:$C,$B265,'Daily Issuance'!$E:$E,"Patty Cash"))</f>
        <v/>
      </c>
      <c r="H265" s="30" t="str">
        <f t="shared" si="13"/>
        <v/>
      </c>
      <c r="I265" s="33"/>
      <c r="J265" s="34" t="str">
        <f t="shared" si="14"/>
        <v/>
      </c>
    </row>
    <row r="266" spans="1:10" s="27" customFormat="1" ht="23.1" customHeight="1">
      <c r="A266" s="194" t="str">
        <f>IF($C266="","",MAX($A$3:A265)+1)</f>
        <v/>
      </c>
      <c r="B266" s="197" t="str">
        <f t="shared" si="12"/>
        <v/>
      </c>
      <c r="C266" s="201"/>
      <c r="D266" s="199"/>
      <c r="E266" s="200"/>
      <c r="F266" s="196" t="str">
        <f>IF($B266="","",SUMIFS('Daily Inward'!$G:$G,'Daily Inward'!$C:$C,$B266,'Daily Inward'!$E:$E,"Patty Cash"))</f>
        <v/>
      </c>
      <c r="G266" s="30" t="str">
        <f>IF($B266="","",SUMIFS('Daily Issuance'!$G:$G,'Daily Issuance'!$C:$C,$B266,'Daily Issuance'!$E:$E,"Patty Cash"))</f>
        <v/>
      </c>
      <c r="H266" s="30" t="str">
        <f t="shared" si="13"/>
        <v/>
      </c>
      <c r="I266" s="33"/>
      <c r="J266" s="34" t="str">
        <f t="shared" si="14"/>
        <v/>
      </c>
    </row>
    <row r="267" spans="1:10" s="27" customFormat="1" ht="23.1" customHeight="1">
      <c r="A267" s="194" t="str">
        <f>IF($C267="","",MAX($A$3:A266)+1)</f>
        <v/>
      </c>
      <c r="B267" s="197" t="str">
        <f t="shared" si="12"/>
        <v/>
      </c>
      <c r="C267" s="201"/>
      <c r="D267" s="199"/>
      <c r="E267" s="200"/>
      <c r="F267" s="196" t="str">
        <f>IF($B267="","",SUMIFS('Daily Inward'!$G:$G,'Daily Inward'!$C:$C,$B267,'Daily Inward'!$E:$E,"Patty Cash"))</f>
        <v/>
      </c>
      <c r="G267" s="30" t="str">
        <f>IF($B267="","",SUMIFS('Daily Issuance'!$G:$G,'Daily Issuance'!$C:$C,$B267,'Daily Issuance'!$E:$E,"Patty Cash"))</f>
        <v/>
      </c>
      <c r="H267" s="30" t="str">
        <f t="shared" si="13"/>
        <v/>
      </c>
      <c r="I267" s="33"/>
      <c r="J267" s="34" t="str">
        <f t="shared" si="14"/>
        <v/>
      </c>
    </row>
    <row r="268" spans="1:10" s="27" customFormat="1" ht="23.1" customHeight="1">
      <c r="A268" s="194" t="str">
        <f>IF($C268="","",MAX($A$3:A267)+1)</f>
        <v/>
      </c>
      <c r="B268" s="197" t="str">
        <f t="shared" si="12"/>
        <v/>
      </c>
      <c r="C268" s="201"/>
      <c r="D268" s="199"/>
      <c r="E268" s="200"/>
      <c r="F268" s="196" t="str">
        <f>IF($B268="","",SUMIFS('Daily Inward'!$G:$G,'Daily Inward'!$C:$C,$B268,'Daily Inward'!$E:$E,"Patty Cash"))</f>
        <v/>
      </c>
      <c r="G268" s="30" t="str">
        <f>IF($B268="","",SUMIFS('Daily Issuance'!$G:$G,'Daily Issuance'!$C:$C,$B268,'Daily Issuance'!$E:$E,"Patty Cash"))</f>
        <v/>
      </c>
      <c r="H268" s="30" t="str">
        <f t="shared" si="13"/>
        <v/>
      </c>
      <c r="I268" s="33"/>
      <c r="J268" s="34" t="str">
        <f t="shared" si="14"/>
        <v/>
      </c>
    </row>
    <row r="269" spans="1:10" s="27" customFormat="1" ht="23.1" customHeight="1">
      <c r="A269" s="194" t="str">
        <f>IF($C269="","",MAX($A$3:A268)+1)</f>
        <v/>
      </c>
      <c r="B269" s="197" t="str">
        <f t="shared" si="12"/>
        <v/>
      </c>
      <c r="C269" s="201"/>
      <c r="D269" s="199"/>
      <c r="E269" s="200"/>
      <c r="F269" s="196" t="str">
        <f>IF($B269="","",SUMIFS('Daily Inward'!$G:$G,'Daily Inward'!$C:$C,$B269,'Daily Inward'!$E:$E,"Patty Cash"))</f>
        <v/>
      </c>
      <c r="G269" s="30" t="str">
        <f>IF($B269="","",SUMIFS('Daily Issuance'!$G:$G,'Daily Issuance'!$C:$C,$B269,'Daily Issuance'!$E:$E,"Patty Cash"))</f>
        <v/>
      </c>
      <c r="H269" s="30" t="str">
        <f t="shared" si="13"/>
        <v/>
      </c>
      <c r="I269" s="33"/>
      <c r="J269" s="34" t="str">
        <f t="shared" si="14"/>
        <v/>
      </c>
    </row>
    <row r="270" spans="1:10" s="27" customFormat="1" ht="23.1" customHeight="1">
      <c r="A270" s="194" t="str">
        <f>IF($C270="","",MAX($A$3:A269)+1)</f>
        <v/>
      </c>
      <c r="B270" s="197" t="str">
        <f t="shared" si="12"/>
        <v/>
      </c>
      <c r="C270" s="201"/>
      <c r="D270" s="199"/>
      <c r="E270" s="200"/>
      <c r="F270" s="196" t="str">
        <f>IF($B270="","",SUMIFS('Daily Inward'!$G:$G,'Daily Inward'!$C:$C,$B270,'Daily Inward'!$E:$E,"Patty Cash"))</f>
        <v/>
      </c>
      <c r="G270" s="30" t="str">
        <f>IF($B270="","",SUMIFS('Daily Issuance'!$G:$G,'Daily Issuance'!$C:$C,$B270,'Daily Issuance'!$E:$E,"Patty Cash"))</f>
        <v/>
      </c>
      <c r="H270" s="30" t="str">
        <f t="shared" si="13"/>
        <v/>
      </c>
      <c r="I270" s="33"/>
      <c r="J270" s="34" t="str">
        <f t="shared" si="14"/>
        <v/>
      </c>
    </row>
    <row r="271" spans="1:10" s="27" customFormat="1" ht="23.1" customHeight="1">
      <c r="A271" s="194" t="str">
        <f>IF($C271="","",MAX($A$3:A270)+1)</f>
        <v/>
      </c>
      <c r="B271" s="197" t="str">
        <f t="shared" si="12"/>
        <v/>
      </c>
      <c r="C271" s="201"/>
      <c r="D271" s="199"/>
      <c r="E271" s="200"/>
      <c r="F271" s="196" t="str">
        <f>IF($B271="","",SUMIFS('Daily Inward'!$G:$G,'Daily Inward'!$C:$C,$B271,'Daily Inward'!$E:$E,"Patty Cash"))</f>
        <v/>
      </c>
      <c r="G271" s="30" t="str">
        <f>IF($B271="","",SUMIFS('Daily Issuance'!$G:$G,'Daily Issuance'!$C:$C,$B271,'Daily Issuance'!$E:$E,"Patty Cash"))</f>
        <v/>
      </c>
      <c r="H271" s="30" t="str">
        <f t="shared" si="13"/>
        <v/>
      </c>
      <c r="I271" s="33"/>
      <c r="J271" s="34" t="str">
        <f t="shared" si="14"/>
        <v/>
      </c>
    </row>
    <row r="272" spans="1:10" s="27" customFormat="1" ht="23.1" customHeight="1">
      <c r="A272" s="194" t="str">
        <f>IF($C272="","",MAX($A$3:A271)+1)</f>
        <v/>
      </c>
      <c r="B272" s="197" t="str">
        <f t="shared" si="12"/>
        <v/>
      </c>
      <c r="C272" s="201"/>
      <c r="D272" s="199"/>
      <c r="E272" s="200"/>
      <c r="F272" s="196" t="str">
        <f>IF($B272="","",SUMIFS('Daily Inward'!$G:$G,'Daily Inward'!$C:$C,$B272,'Daily Inward'!$E:$E,"Patty Cash"))</f>
        <v/>
      </c>
      <c r="G272" s="30" t="str">
        <f>IF($B272="","",SUMIFS('Daily Issuance'!$G:$G,'Daily Issuance'!$C:$C,$B272,'Daily Issuance'!$E:$E,"Patty Cash"))</f>
        <v/>
      </c>
      <c r="H272" s="30" t="str">
        <f t="shared" si="13"/>
        <v/>
      </c>
      <c r="I272" s="33"/>
      <c r="J272" s="34" t="str">
        <f t="shared" si="14"/>
        <v/>
      </c>
    </row>
    <row r="273" spans="1:10" s="27" customFormat="1" ht="23.1" customHeight="1">
      <c r="A273" s="194" t="str">
        <f>IF($C273="","",MAX($A$3:A272)+1)</f>
        <v/>
      </c>
      <c r="B273" s="197" t="str">
        <f t="shared" si="12"/>
        <v/>
      </c>
      <c r="C273" s="201"/>
      <c r="D273" s="199"/>
      <c r="E273" s="200"/>
      <c r="F273" s="196" t="str">
        <f>IF($B273="","",SUMIFS('Daily Inward'!$G:$G,'Daily Inward'!$C:$C,$B273,'Daily Inward'!$E:$E,"Patty Cash"))</f>
        <v/>
      </c>
      <c r="G273" s="30" t="str">
        <f>IF($B273="","",SUMIFS('Daily Issuance'!$G:$G,'Daily Issuance'!$C:$C,$B273,'Daily Issuance'!$E:$E,"Patty Cash"))</f>
        <v/>
      </c>
      <c r="H273" s="30" t="str">
        <f t="shared" si="13"/>
        <v/>
      </c>
      <c r="I273" s="33"/>
      <c r="J273" s="34" t="str">
        <f t="shared" si="14"/>
        <v/>
      </c>
    </row>
    <row r="274" spans="1:10" s="27" customFormat="1" ht="23.1" customHeight="1">
      <c r="A274" s="194" t="str">
        <f>IF($C274="","",MAX($A$3:A273)+1)</f>
        <v/>
      </c>
      <c r="B274" s="197" t="str">
        <f t="shared" si="12"/>
        <v/>
      </c>
      <c r="C274" s="201"/>
      <c r="D274" s="199"/>
      <c r="E274" s="200"/>
      <c r="F274" s="196" t="str">
        <f>IF($B274="","",SUMIFS('Daily Inward'!$G:$G,'Daily Inward'!$C:$C,$B274,'Daily Inward'!$E:$E,"Patty Cash"))</f>
        <v/>
      </c>
      <c r="G274" s="30" t="str">
        <f>IF($B274="","",SUMIFS('Daily Issuance'!$G:$G,'Daily Issuance'!$C:$C,$B274,'Daily Issuance'!$E:$E,"Patty Cash"))</f>
        <v/>
      </c>
      <c r="H274" s="30" t="str">
        <f t="shared" si="13"/>
        <v/>
      </c>
      <c r="I274" s="33"/>
      <c r="J274" s="34" t="str">
        <f t="shared" si="14"/>
        <v/>
      </c>
    </row>
    <row r="275" spans="1:10" s="27" customFormat="1" ht="23.1" customHeight="1">
      <c r="A275" s="194" t="str">
        <f>IF($C275="","",MAX($A$3:A274)+1)</f>
        <v/>
      </c>
      <c r="B275" s="197" t="str">
        <f t="shared" si="12"/>
        <v/>
      </c>
      <c r="C275" s="201"/>
      <c r="D275" s="199"/>
      <c r="E275" s="200"/>
      <c r="F275" s="196" t="str">
        <f>IF($B275="","",SUMIFS('Daily Inward'!$G:$G,'Daily Inward'!$C:$C,$B275,'Daily Inward'!$E:$E,"Patty Cash"))</f>
        <v/>
      </c>
      <c r="G275" s="30" t="str">
        <f>IF($B275="","",SUMIFS('Daily Issuance'!$G:$G,'Daily Issuance'!$C:$C,$B275,'Daily Issuance'!$E:$E,"Patty Cash"))</f>
        <v/>
      </c>
      <c r="H275" s="30" t="str">
        <f t="shared" si="13"/>
        <v/>
      </c>
      <c r="I275" s="33"/>
      <c r="J275" s="34" t="str">
        <f t="shared" si="14"/>
        <v/>
      </c>
    </row>
    <row r="276" spans="1:10" s="27" customFormat="1" ht="23.1" customHeight="1">
      <c r="A276" s="194" t="str">
        <f>IF($C276="","",MAX($A$3:A275)+1)</f>
        <v/>
      </c>
      <c r="B276" s="197" t="str">
        <f t="shared" si="12"/>
        <v/>
      </c>
      <c r="C276" s="201"/>
      <c r="D276" s="199"/>
      <c r="E276" s="200"/>
      <c r="F276" s="196" t="str">
        <f>IF($B276="","",SUMIFS('Daily Inward'!$G:$G,'Daily Inward'!$C:$C,$B276,'Daily Inward'!$E:$E,"Patty Cash"))</f>
        <v/>
      </c>
      <c r="G276" s="30" t="str">
        <f>IF($B276="","",SUMIFS('Daily Issuance'!$G:$G,'Daily Issuance'!$C:$C,$B276,'Daily Issuance'!$E:$E,"Patty Cash"))</f>
        <v/>
      </c>
      <c r="H276" s="30" t="str">
        <f t="shared" si="13"/>
        <v/>
      </c>
      <c r="I276" s="33"/>
      <c r="J276" s="34" t="str">
        <f t="shared" si="14"/>
        <v/>
      </c>
    </row>
    <row r="277" spans="1:10" s="27" customFormat="1" ht="23.1" customHeight="1">
      <c r="A277" s="194" t="str">
        <f>IF($C277="","",MAX($A$3:A276)+1)</f>
        <v/>
      </c>
      <c r="B277" s="197" t="str">
        <f t="shared" si="12"/>
        <v/>
      </c>
      <c r="C277" s="201"/>
      <c r="D277" s="199"/>
      <c r="E277" s="200"/>
      <c r="F277" s="196" t="str">
        <f>IF($B277="","",SUMIFS('Daily Inward'!$G:$G,'Daily Inward'!$C:$C,$B277,'Daily Inward'!$E:$E,"Patty Cash"))</f>
        <v/>
      </c>
      <c r="G277" s="30" t="str">
        <f>IF($B277="","",SUMIFS('Daily Issuance'!$G:$G,'Daily Issuance'!$C:$C,$B277,'Daily Issuance'!$E:$E,"Patty Cash"))</f>
        <v/>
      </c>
      <c r="H277" s="30" t="str">
        <f t="shared" si="13"/>
        <v/>
      </c>
      <c r="I277" s="33"/>
      <c r="J277" s="34" t="str">
        <f t="shared" si="14"/>
        <v/>
      </c>
    </row>
    <row r="278" spans="1:10" s="27" customFormat="1" ht="23.1" customHeight="1">
      <c r="A278" s="194" t="str">
        <f>IF($C278="","",MAX($A$3:A277)+1)</f>
        <v/>
      </c>
      <c r="B278" s="197" t="str">
        <f t="shared" si="12"/>
        <v/>
      </c>
      <c r="C278" s="201"/>
      <c r="D278" s="199"/>
      <c r="E278" s="200"/>
      <c r="F278" s="196" t="str">
        <f>IF($B278="","",SUMIFS('Daily Inward'!$G:$G,'Daily Inward'!$C:$C,$B278,'Daily Inward'!$E:$E,"Patty Cash"))</f>
        <v/>
      </c>
      <c r="G278" s="30" t="str">
        <f>IF($B278="","",SUMIFS('Daily Issuance'!$G:$G,'Daily Issuance'!$C:$C,$B278,'Daily Issuance'!$E:$E,"Patty Cash"))</f>
        <v/>
      </c>
      <c r="H278" s="30" t="str">
        <f t="shared" si="13"/>
        <v/>
      </c>
      <c r="I278" s="33"/>
      <c r="J278" s="34" t="str">
        <f t="shared" si="14"/>
        <v/>
      </c>
    </row>
    <row r="279" spans="1:10" s="27" customFormat="1" ht="23.1" customHeight="1">
      <c r="A279" s="194" t="str">
        <f>IF($C279="","",MAX($A$3:A278)+1)</f>
        <v/>
      </c>
      <c r="B279" s="197" t="str">
        <f t="shared" si="12"/>
        <v/>
      </c>
      <c r="C279" s="201"/>
      <c r="D279" s="199"/>
      <c r="E279" s="200"/>
      <c r="F279" s="196" t="str">
        <f>IF($B279="","",SUMIFS('Daily Inward'!$G:$G,'Daily Inward'!$C:$C,$B279,'Daily Inward'!$E:$E,"Patty Cash"))</f>
        <v/>
      </c>
      <c r="G279" s="30" t="str">
        <f>IF($B279="","",SUMIFS('Daily Issuance'!$G:$G,'Daily Issuance'!$C:$C,$B279,'Daily Issuance'!$E:$E,"Patty Cash"))</f>
        <v/>
      </c>
      <c r="H279" s="30" t="str">
        <f t="shared" si="13"/>
        <v/>
      </c>
      <c r="I279" s="33"/>
      <c r="J279" s="34" t="str">
        <f t="shared" si="14"/>
        <v/>
      </c>
    </row>
    <row r="280" spans="1:10" s="27" customFormat="1" ht="23.1" customHeight="1">
      <c r="A280" s="194" t="str">
        <f>IF($C280="","",MAX($A$3:A279)+1)</f>
        <v/>
      </c>
      <c r="B280" s="197" t="str">
        <f t="shared" si="12"/>
        <v/>
      </c>
      <c r="C280" s="201"/>
      <c r="D280" s="199"/>
      <c r="E280" s="200"/>
      <c r="F280" s="196" t="str">
        <f>IF($B280="","",SUMIFS('Daily Inward'!$G:$G,'Daily Inward'!$C:$C,$B280,'Daily Inward'!$E:$E,"Patty Cash"))</f>
        <v/>
      </c>
      <c r="G280" s="30" t="str">
        <f>IF($B280="","",SUMIFS('Daily Issuance'!$G:$G,'Daily Issuance'!$C:$C,$B280,'Daily Issuance'!$E:$E,"Patty Cash"))</f>
        <v/>
      </c>
      <c r="H280" s="30" t="str">
        <f t="shared" si="13"/>
        <v/>
      </c>
      <c r="I280" s="33"/>
      <c r="J280" s="34" t="str">
        <f t="shared" si="14"/>
        <v/>
      </c>
    </row>
    <row r="281" spans="1:10" s="27" customFormat="1" ht="23.1" customHeight="1">
      <c r="A281" s="194" t="str">
        <f>IF($C281="","",MAX($A$3:A280)+1)</f>
        <v/>
      </c>
      <c r="B281" s="197" t="str">
        <f t="shared" si="12"/>
        <v/>
      </c>
      <c r="C281" s="201"/>
      <c r="D281" s="199"/>
      <c r="E281" s="200"/>
      <c r="F281" s="196" t="str">
        <f>IF($B281="","",SUMIFS('Daily Inward'!$G:$G,'Daily Inward'!$C:$C,$B281,'Daily Inward'!$E:$E,"Patty Cash"))</f>
        <v/>
      </c>
      <c r="G281" s="30" t="str">
        <f>IF($B281="","",SUMIFS('Daily Issuance'!$G:$G,'Daily Issuance'!$C:$C,$B281,'Daily Issuance'!$E:$E,"Patty Cash"))</f>
        <v/>
      </c>
      <c r="H281" s="30" t="str">
        <f t="shared" si="13"/>
        <v/>
      </c>
      <c r="I281" s="33"/>
      <c r="J281" s="34" t="str">
        <f t="shared" si="14"/>
        <v/>
      </c>
    </row>
    <row r="282" spans="1:10" s="27" customFormat="1" ht="23.1" customHeight="1">
      <c r="A282" s="194" t="str">
        <f>IF($C282="","",MAX($A$3:A281)+1)</f>
        <v/>
      </c>
      <c r="B282" s="197" t="str">
        <f t="shared" si="12"/>
        <v/>
      </c>
      <c r="C282" s="201"/>
      <c r="D282" s="199"/>
      <c r="E282" s="200"/>
      <c r="F282" s="196" t="str">
        <f>IF($B282="","",SUMIFS('Daily Inward'!$G:$G,'Daily Inward'!$C:$C,$B282,'Daily Inward'!$E:$E,"Patty Cash"))</f>
        <v/>
      </c>
      <c r="G282" s="30" t="str">
        <f>IF($B282="","",SUMIFS('Daily Issuance'!$G:$G,'Daily Issuance'!$C:$C,$B282,'Daily Issuance'!$E:$E,"Patty Cash"))</f>
        <v/>
      </c>
      <c r="H282" s="30" t="str">
        <f t="shared" si="13"/>
        <v/>
      </c>
      <c r="I282" s="33"/>
      <c r="J282" s="34" t="str">
        <f t="shared" si="14"/>
        <v/>
      </c>
    </row>
    <row r="283" spans="1:10" s="27" customFormat="1" ht="23.1" customHeight="1">
      <c r="A283" s="194" t="str">
        <f>IF($C283="","",MAX($A$3:A282)+1)</f>
        <v/>
      </c>
      <c r="B283" s="197" t="str">
        <f t="shared" si="12"/>
        <v/>
      </c>
      <c r="C283" s="201"/>
      <c r="D283" s="199"/>
      <c r="E283" s="200"/>
      <c r="F283" s="196" t="str">
        <f>IF($B283="","",SUMIFS('Daily Inward'!$G:$G,'Daily Inward'!$C:$C,$B283,'Daily Inward'!$E:$E,"Patty Cash"))</f>
        <v/>
      </c>
      <c r="G283" s="30" t="str">
        <f>IF($B283="","",SUMIFS('Daily Issuance'!$G:$G,'Daily Issuance'!$C:$C,$B283,'Daily Issuance'!$E:$E,"Patty Cash"))</f>
        <v/>
      </c>
      <c r="H283" s="30" t="str">
        <f t="shared" si="13"/>
        <v/>
      </c>
      <c r="I283" s="33"/>
      <c r="J283" s="34" t="str">
        <f t="shared" si="14"/>
        <v/>
      </c>
    </row>
    <row r="284" spans="1:10" s="27" customFormat="1" ht="23.1" customHeight="1">
      <c r="A284" s="194" t="str">
        <f>IF($C284="","",MAX($A$3:A283)+1)</f>
        <v/>
      </c>
      <c r="B284" s="197" t="str">
        <f t="shared" si="12"/>
        <v/>
      </c>
      <c r="C284" s="201"/>
      <c r="D284" s="199"/>
      <c r="E284" s="200"/>
      <c r="F284" s="196" t="str">
        <f>IF($B284="","",SUMIFS('Daily Inward'!$G:$G,'Daily Inward'!$C:$C,$B284,'Daily Inward'!$E:$E,"Patty Cash"))</f>
        <v/>
      </c>
      <c r="G284" s="30" t="str">
        <f>IF($B284="","",SUMIFS('Daily Issuance'!$G:$G,'Daily Issuance'!$C:$C,$B284,'Daily Issuance'!$E:$E,"Patty Cash"))</f>
        <v/>
      </c>
      <c r="H284" s="30" t="str">
        <f t="shared" si="13"/>
        <v/>
      </c>
      <c r="I284" s="33"/>
      <c r="J284" s="34" t="str">
        <f t="shared" si="14"/>
        <v/>
      </c>
    </row>
    <row r="285" spans="1:10" s="27" customFormat="1" ht="23.1" customHeight="1">
      <c r="A285" s="194" t="str">
        <f>IF($C285="","",MAX($A$3:A284)+1)</f>
        <v/>
      </c>
      <c r="B285" s="197" t="str">
        <f t="shared" si="12"/>
        <v/>
      </c>
      <c r="C285" s="201"/>
      <c r="D285" s="199"/>
      <c r="E285" s="200"/>
      <c r="F285" s="196" t="str">
        <f>IF($B285="","",SUMIFS('Daily Inward'!$G:$G,'Daily Inward'!$C:$C,$B285,'Daily Inward'!$E:$E,"Patty Cash"))</f>
        <v/>
      </c>
      <c r="G285" s="30" t="str">
        <f>IF($B285="","",SUMIFS('Daily Issuance'!$G:$G,'Daily Issuance'!$C:$C,$B285,'Daily Issuance'!$E:$E,"Patty Cash"))</f>
        <v/>
      </c>
      <c r="H285" s="30" t="str">
        <f t="shared" si="13"/>
        <v/>
      </c>
      <c r="I285" s="33"/>
      <c r="J285" s="34" t="str">
        <f t="shared" si="14"/>
        <v/>
      </c>
    </row>
    <row r="286" spans="1:10" s="27" customFormat="1" ht="23.1" customHeight="1">
      <c r="A286" s="194" t="str">
        <f>IF($C286="","",MAX($A$3:A285)+1)</f>
        <v/>
      </c>
      <c r="B286" s="197" t="str">
        <f t="shared" si="12"/>
        <v/>
      </c>
      <c r="C286" s="201"/>
      <c r="D286" s="199"/>
      <c r="E286" s="200"/>
      <c r="F286" s="196" t="str">
        <f>IF($B286="","",SUMIFS('Daily Inward'!$G:$G,'Daily Inward'!$C:$C,$B286,'Daily Inward'!$E:$E,"Patty Cash"))</f>
        <v/>
      </c>
      <c r="G286" s="30" t="str">
        <f>IF($B286="","",SUMIFS('Daily Issuance'!$G:$G,'Daily Issuance'!$C:$C,$B286,'Daily Issuance'!$E:$E,"Patty Cash"))</f>
        <v/>
      </c>
      <c r="H286" s="30" t="str">
        <f t="shared" si="13"/>
        <v/>
      </c>
      <c r="I286" s="33"/>
      <c r="J286" s="34" t="str">
        <f t="shared" si="14"/>
        <v/>
      </c>
    </row>
    <row r="287" spans="1:10" s="27" customFormat="1" ht="23.1" customHeight="1">
      <c r="A287" s="194" t="str">
        <f>IF($C287="","",MAX($A$3:A286)+1)</f>
        <v/>
      </c>
      <c r="B287" s="197" t="str">
        <f t="shared" si="12"/>
        <v/>
      </c>
      <c r="C287" s="201"/>
      <c r="D287" s="199"/>
      <c r="E287" s="200"/>
      <c r="F287" s="196" t="str">
        <f>IF($B287="","",SUMIFS('Daily Inward'!$G:$G,'Daily Inward'!$C:$C,$B287,'Daily Inward'!$E:$E,"Patty Cash"))</f>
        <v/>
      </c>
      <c r="G287" s="30" t="str">
        <f>IF($B287="","",SUMIFS('Daily Issuance'!$G:$G,'Daily Issuance'!$C:$C,$B287,'Daily Issuance'!$E:$E,"Patty Cash"))</f>
        <v/>
      </c>
      <c r="H287" s="30" t="str">
        <f t="shared" si="13"/>
        <v/>
      </c>
      <c r="I287" s="33"/>
      <c r="J287" s="34" t="str">
        <f t="shared" si="14"/>
        <v/>
      </c>
    </row>
    <row r="288" spans="1:10" s="27" customFormat="1" ht="23.1" customHeight="1">
      <c r="A288" s="194" t="str">
        <f>IF($C288="","",MAX($A$3:A287)+1)</f>
        <v/>
      </c>
      <c r="B288" s="197" t="str">
        <f t="shared" si="12"/>
        <v/>
      </c>
      <c r="C288" s="201"/>
      <c r="D288" s="199"/>
      <c r="E288" s="200"/>
      <c r="F288" s="196" t="str">
        <f>IF($B288="","",SUMIFS('Daily Inward'!$G:$G,'Daily Inward'!$C:$C,$B288,'Daily Inward'!$E:$E,"Patty Cash"))</f>
        <v/>
      </c>
      <c r="G288" s="30" t="str">
        <f>IF($B288="","",SUMIFS('Daily Issuance'!$G:$G,'Daily Issuance'!$C:$C,$B288,'Daily Issuance'!$E:$E,"Patty Cash"))</f>
        <v/>
      </c>
      <c r="H288" s="30" t="str">
        <f t="shared" si="13"/>
        <v/>
      </c>
      <c r="I288" s="33"/>
      <c r="J288" s="34" t="str">
        <f t="shared" si="14"/>
        <v/>
      </c>
    </row>
    <row r="289" spans="1:10" s="27" customFormat="1" ht="23.1" customHeight="1">
      <c r="A289" s="194" t="str">
        <f>IF($C289="","",MAX($A$3:A288)+1)</f>
        <v/>
      </c>
      <c r="B289" s="197" t="str">
        <f t="shared" si="12"/>
        <v/>
      </c>
      <c r="C289" s="201"/>
      <c r="D289" s="199"/>
      <c r="E289" s="200"/>
      <c r="F289" s="196" t="str">
        <f>IF($B289="","",SUMIFS('Daily Inward'!$G:$G,'Daily Inward'!$C:$C,$B289,'Daily Inward'!$E:$E,"Patty Cash"))</f>
        <v/>
      </c>
      <c r="G289" s="30" t="str">
        <f>IF($B289="","",SUMIFS('Daily Issuance'!$G:$G,'Daily Issuance'!$C:$C,$B289,'Daily Issuance'!$E:$E,"Patty Cash"))</f>
        <v/>
      </c>
      <c r="H289" s="30" t="str">
        <f t="shared" si="13"/>
        <v/>
      </c>
      <c r="I289" s="33"/>
      <c r="J289" s="34" t="str">
        <f t="shared" si="14"/>
        <v/>
      </c>
    </row>
    <row r="290" spans="1:10" s="27" customFormat="1" ht="23.1" customHeight="1">
      <c r="A290" s="194" t="str">
        <f>IF($C290="","",MAX($A$3:A289)+1)</f>
        <v/>
      </c>
      <c r="B290" s="197" t="str">
        <f t="shared" si="12"/>
        <v/>
      </c>
      <c r="C290" s="201"/>
      <c r="D290" s="199"/>
      <c r="E290" s="200"/>
      <c r="F290" s="196" t="str">
        <f>IF($B290="","",SUMIFS('Daily Inward'!$G:$G,'Daily Inward'!$C:$C,$B290,'Daily Inward'!$E:$E,"Patty Cash"))</f>
        <v/>
      </c>
      <c r="G290" s="30" t="str">
        <f>IF($B290="","",SUMIFS('Daily Issuance'!$G:$G,'Daily Issuance'!$C:$C,$B290,'Daily Issuance'!$E:$E,"Patty Cash"))</f>
        <v/>
      </c>
      <c r="H290" s="30" t="str">
        <f t="shared" si="13"/>
        <v/>
      </c>
      <c r="I290" s="33"/>
      <c r="J290" s="34" t="str">
        <f t="shared" si="14"/>
        <v/>
      </c>
    </row>
    <row r="291" spans="1:10" s="27" customFormat="1" ht="23.1" customHeight="1">
      <c r="A291" s="194" t="str">
        <f>IF($C291="","",MAX($A$3:A290)+1)</f>
        <v/>
      </c>
      <c r="B291" s="197" t="str">
        <f t="shared" si="12"/>
        <v/>
      </c>
      <c r="C291" s="201"/>
      <c r="D291" s="199"/>
      <c r="E291" s="200"/>
      <c r="F291" s="196" t="str">
        <f>IF($B291="","",SUMIFS('Daily Inward'!$G:$G,'Daily Inward'!$C:$C,$B291,'Daily Inward'!$E:$E,"Patty Cash"))</f>
        <v/>
      </c>
      <c r="G291" s="30" t="str">
        <f>IF($B291="","",SUMIFS('Daily Issuance'!$G:$G,'Daily Issuance'!$C:$C,$B291,'Daily Issuance'!$E:$E,"Patty Cash"))</f>
        <v/>
      </c>
      <c r="H291" s="30" t="str">
        <f t="shared" si="13"/>
        <v/>
      </c>
      <c r="I291" s="33"/>
      <c r="J291" s="34" t="str">
        <f t="shared" si="14"/>
        <v/>
      </c>
    </row>
    <row r="292" spans="1:10" s="27" customFormat="1" ht="23.1" customHeight="1">
      <c r="A292" s="194" t="str">
        <f>IF($C292="","",MAX($A$3:A291)+1)</f>
        <v/>
      </c>
      <c r="B292" s="197" t="str">
        <f t="shared" si="12"/>
        <v/>
      </c>
      <c r="C292" s="201"/>
      <c r="D292" s="199"/>
      <c r="E292" s="200"/>
      <c r="F292" s="196" t="str">
        <f>IF($B292="","",SUMIFS('Daily Inward'!$G:$G,'Daily Inward'!$C:$C,$B292,'Daily Inward'!$E:$E,"Patty Cash"))</f>
        <v/>
      </c>
      <c r="G292" s="30" t="str">
        <f>IF($B292="","",SUMIFS('Daily Issuance'!$G:$G,'Daily Issuance'!$C:$C,$B292,'Daily Issuance'!$E:$E,"Patty Cash"))</f>
        <v/>
      </c>
      <c r="H292" s="30" t="str">
        <f t="shared" si="13"/>
        <v/>
      </c>
      <c r="I292" s="33"/>
      <c r="J292" s="34" t="str">
        <f t="shared" si="14"/>
        <v/>
      </c>
    </row>
    <row r="293" spans="1:10" s="27" customFormat="1" ht="23.1" customHeight="1">
      <c r="A293" s="194" t="str">
        <f>IF($C293="","",MAX($A$3:A292)+1)</f>
        <v/>
      </c>
      <c r="B293" s="197" t="str">
        <f t="shared" si="12"/>
        <v/>
      </c>
      <c r="C293" s="201"/>
      <c r="D293" s="199"/>
      <c r="E293" s="200"/>
      <c r="F293" s="196" t="str">
        <f>IF($B293="","",SUMIFS('Daily Inward'!$G:$G,'Daily Inward'!$C:$C,$B293,'Daily Inward'!$E:$E,"Patty Cash"))</f>
        <v/>
      </c>
      <c r="G293" s="30" t="str">
        <f>IF($B293="","",SUMIFS('Daily Issuance'!$G:$G,'Daily Issuance'!$C:$C,$B293,'Daily Issuance'!$E:$E,"Patty Cash"))</f>
        <v/>
      </c>
      <c r="H293" s="30" t="str">
        <f t="shared" si="13"/>
        <v/>
      </c>
      <c r="I293" s="33"/>
      <c r="J293" s="34" t="str">
        <f t="shared" si="14"/>
        <v/>
      </c>
    </row>
    <row r="294" spans="1:10" s="27" customFormat="1" ht="23.1" customHeight="1">
      <c r="A294" s="194" t="str">
        <f>IF($C294="","",MAX($A$3:A293)+1)</f>
        <v/>
      </c>
      <c r="B294" s="197" t="str">
        <f t="shared" si="12"/>
        <v/>
      </c>
      <c r="C294" s="201"/>
      <c r="D294" s="199"/>
      <c r="E294" s="200"/>
      <c r="F294" s="196" t="str">
        <f>IF($B294="","",SUMIFS('Daily Inward'!$G:$G,'Daily Inward'!$C:$C,$B294,'Daily Inward'!$E:$E,"Patty Cash"))</f>
        <v/>
      </c>
      <c r="G294" s="30" t="str">
        <f>IF($B294="","",SUMIFS('Daily Issuance'!$G:$G,'Daily Issuance'!$C:$C,$B294,'Daily Issuance'!$E:$E,"Patty Cash"))</f>
        <v/>
      </c>
      <c r="H294" s="30" t="str">
        <f t="shared" si="13"/>
        <v/>
      </c>
      <c r="I294" s="33"/>
      <c r="J294" s="34" t="str">
        <f t="shared" si="14"/>
        <v/>
      </c>
    </row>
    <row r="295" spans="1:10" s="27" customFormat="1" ht="23.1" customHeight="1">
      <c r="A295" s="194" t="str">
        <f>IF($C295="","",MAX($A$3:A294)+1)</f>
        <v/>
      </c>
      <c r="B295" s="197" t="str">
        <f t="shared" si="12"/>
        <v/>
      </c>
      <c r="C295" s="201"/>
      <c r="D295" s="199"/>
      <c r="E295" s="200"/>
      <c r="F295" s="196" t="str">
        <f>IF($B295="","",SUMIFS('Daily Inward'!$G:$G,'Daily Inward'!$C:$C,$B295,'Daily Inward'!$E:$E,"Patty Cash"))</f>
        <v/>
      </c>
      <c r="G295" s="30" t="str">
        <f>IF($B295="","",SUMIFS('Daily Issuance'!$G:$G,'Daily Issuance'!$C:$C,$B295,'Daily Issuance'!$E:$E,"Patty Cash"))</f>
        <v/>
      </c>
      <c r="H295" s="30" t="str">
        <f t="shared" si="13"/>
        <v/>
      </c>
      <c r="I295" s="33"/>
      <c r="J295" s="34" t="str">
        <f t="shared" si="14"/>
        <v/>
      </c>
    </row>
    <row r="296" spans="1:10" s="27" customFormat="1" ht="23.1" customHeight="1">
      <c r="A296" s="194" t="str">
        <f>IF($C296="","",MAX($A$3:A295)+1)</f>
        <v/>
      </c>
      <c r="B296" s="197" t="str">
        <f t="shared" si="12"/>
        <v/>
      </c>
      <c r="C296" s="201"/>
      <c r="D296" s="199"/>
      <c r="E296" s="200"/>
      <c r="F296" s="196" t="str">
        <f>IF($B296="","",SUMIFS('Daily Inward'!$G:$G,'Daily Inward'!$C:$C,$B296,'Daily Inward'!$E:$E,"Patty Cash"))</f>
        <v/>
      </c>
      <c r="G296" s="30" t="str">
        <f>IF($B296="","",SUMIFS('Daily Issuance'!$G:$G,'Daily Issuance'!$C:$C,$B296,'Daily Issuance'!$E:$E,"Patty Cash"))</f>
        <v/>
      </c>
      <c r="H296" s="30" t="str">
        <f t="shared" si="13"/>
        <v/>
      </c>
      <c r="I296" s="33"/>
      <c r="J296" s="34" t="str">
        <f t="shared" si="14"/>
        <v/>
      </c>
    </row>
    <row r="297" spans="1:10" s="27" customFormat="1" ht="23.1" customHeight="1">
      <c r="A297" s="194" t="str">
        <f>IF($C297="","",MAX($A$3:A296)+1)</f>
        <v/>
      </c>
      <c r="B297" s="197" t="str">
        <f t="shared" si="12"/>
        <v/>
      </c>
      <c r="C297" s="201"/>
      <c r="D297" s="199"/>
      <c r="E297" s="200"/>
      <c r="F297" s="196" t="str">
        <f>IF($B297="","",SUMIFS('Daily Inward'!$G:$G,'Daily Inward'!$C:$C,$B297,'Daily Inward'!$E:$E,"Patty Cash"))</f>
        <v/>
      </c>
      <c r="G297" s="30" t="str">
        <f>IF($B297="","",SUMIFS('Daily Issuance'!$G:$G,'Daily Issuance'!$C:$C,$B297,'Daily Issuance'!$E:$E,"Patty Cash"))</f>
        <v/>
      </c>
      <c r="H297" s="30" t="str">
        <f t="shared" si="13"/>
        <v/>
      </c>
      <c r="I297" s="33"/>
      <c r="J297" s="34" t="str">
        <f t="shared" si="14"/>
        <v/>
      </c>
    </row>
    <row r="298" spans="1:10" s="27" customFormat="1" ht="23.1" customHeight="1">
      <c r="A298" s="194" t="str">
        <f>IF($C298="","",MAX($A$3:A297)+1)</f>
        <v/>
      </c>
      <c r="B298" s="197" t="str">
        <f t="shared" si="12"/>
        <v/>
      </c>
      <c r="C298" s="201"/>
      <c r="D298" s="199"/>
      <c r="E298" s="200"/>
      <c r="F298" s="196" t="str">
        <f>IF($B298="","",SUMIFS('Daily Inward'!$G:$G,'Daily Inward'!$C:$C,$B298,'Daily Inward'!$E:$E,"Patty Cash"))</f>
        <v/>
      </c>
      <c r="G298" s="30" t="str">
        <f>IF($B298="","",SUMIFS('Daily Issuance'!$G:$G,'Daily Issuance'!$C:$C,$B298,'Daily Issuance'!$E:$E,"Patty Cash"))</f>
        <v/>
      </c>
      <c r="H298" s="30" t="str">
        <f t="shared" si="13"/>
        <v/>
      </c>
      <c r="I298" s="33"/>
      <c r="J298" s="34" t="str">
        <f t="shared" si="14"/>
        <v/>
      </c>
    </row>
    <row r="299" spans="1:10" s="27" customFormat="1" ht="23.1" customHeight="1">
      <c r="A299" s="194" t="str">
        <f>IF($C299="","",MAX($A$3:A298)+1)</f>
        <v/>
      </c>
      <c r="B299" s="197" t="str">
        <f t="shared" si="12"/>
        <v/>
      </c>
      <c r="C299" s="201"/>
      <c r="D299" s="199"/>
      <c r="E299" s="200"/>
      <c r="F299" s="196" t="str">
        <f>IF($B299="","",SUMIFS('Daily Inward'!$G:$G,'Daily Inward'!$C:$C,$B299,'Daily Inward'!$E:$E,"Patty Cash"))</f>
        <v/>
      </c>
      <c r="G299" s="30" t="str">
        <f>IF($B299="","",SUMIFS('Daily Issuance'!$G:$G,'Daily Issuance'!$C:$C,$B299,'Daily Issuance'!$E:$E,"Patty Cash"))</f>
        <v/>
      </c>
      <c r="H299" s="30" t="str">
        <f t="shared" si="13"/>
        <v/>
      </c>
      <c r="I299" s="33"/>
      <c r="J299" s="34" t="str">
        <f t="shared" si="14"/>
        <v/>
      </c>
    </row>
    <row r="300" spans="1:10" s="27" customFormat="1" ht="23.1" customHeight="1">
      <c r="A300" s="194" t="str">
        <f>IF($C300="","",MAX($A$3:A299)+1)</f>
        <v/>
      </c>
      <c r="B300" s="197" t="str">
        <f t="shared" si="12"/>
        <v/>
      </c>
      <c r="C300" s="201"/>
      <c r="D300" s="199"/>
      <c r="E300" s="200"/>
      <c r="F300" s="196" t="str">
        <f>IF($B300="","",SUMIFS('Daily Inward'!$G:$G,'Daily Inward'!$C:$C,$B300,'Daily Inward'!$E:$E,"Patty Cash"))</f>
        <v/>
      </c>
      <c r="G300" s="30" t="str">
        <f>IF($B300="","",SUMIFS('Daily Issuance'!$G:$G,'Daily Issuance'!$C:$C,$B300,'Daily Issuance'!$E:$E,"Patty Cash"))</f>
        <v/>
      </c>
      <c r="H300" s="30" t="str">
        <f t="shared" si="13"/>
        <v/>
      </c>
      <c r="I300" s="33"/>
      <c r="J300" s="34" t="str">
        <f t="shared" si="14"/>
        <v/>
      </c>
    </row>
    <row r="301" spans="1:10" s="27" customFormat="1" ht="23.1" customHeight="1">
      <c r="A301" s="194" t="str">
        <f>IF($C301="","",MAX($A$3:A300)+1)</f>
        <v/>
      </c>
      <c r="B301" s="197" t="str">
        <f t="shared" si="12"/>
        <v/>
      </c>
      <c r="C301" s="201"/>
      <c r="D301" s="199"/>
      <c r="E301" s="200"/>
      <c r="F301" s="196" t="str">
        <f>IF($B301="","",SUMIFS('Daily Inward'!$G:$G,'Daily Inward'!$C:$C,$B301,'Daily Inward'!$E:$E,"Patty Cash"))</f>
        <v/>
      </c>
      <c r="G301" s="30" t="str">
        <f>IF($B301="","",SUMIFS('Daily Issuance'!$G:$G,'Daily Issuance'!$C:$C,$B301,'Daily Issuance'!$E:$E,"Patty Cash"))</f>
        <v/>
      </c>
      <c r="H301" s="30" t="str">
        <f t="shared" si="13"/>
        <v/>
      </c>
      <c r="I301" s="33"/>
      <c r="J301" s="34" t="str">
        <f t="shared" si="14"/>
        <v/>
      </c>
    </row>
    <row r="302" spans="1:10" s="27" customFormat="1" ht="23.1" customHeight="1">
      <c r="A302" s="194" t="str">
        <f>IF($C302="","",MAX($A$3:A301)+1)</f>
        <v/>
      </c>
      <c r="B302" s="197" t="str">
        <f t="shared" si="12"/>
        <v/>
      </c>
      <c r="C302" s="201"/>
      <c r="D302" s="199"/>
      <c r="E302" s="200"/>
      <c r="F302" s="196" t="str">
        <f>IF($B302="","",SUMIFS('Daily Inward'!$G:$G,'Daily Inward'!$C:$C,$B302,'Daily Inward'!$E:$E,"Patty Cash"))</f>
        <v/>
      </c>
      <c r="G302" s="30" t="str">
        <f>IF($B302="","",SUMIFS('Daily Issuance'!$G:$G,'Daily Issuance'!$C:$C,$B302,'Daily Issuance'!$E:$E,"Patty Cash"))</f>
        <v/>
      </c>
      <c r="H302" s="30" t="str">
        <f t="shared" si="13"/>
        <v/>
      </c>
      <c r="I302" s="33"/>
      <c r="J302" s="34" t="str">
        <f t="shared" si="14"/>
        <v/>
      </c>
    </row>
    <row r="303" spans="1:10" s="27" customFormat="1" ht="23.1" customHeight="1">
      <c r="A303" s="194" t="str">
        <f>IF($C303="","",MAX($A$3:A302)+1)</f>
        <v/>
      </c>
      <c r="B303" s="197" t="str">
        <f t="shared" si="12"/>
        <v/>
      </c>
      <c r="C303" s="201"/>
      <c r="D303" s="199"/>
      <c r="E303" s="200"/>
      <c r="F303" s="196" t="str">
        <f>IF($B303="","",SUMIFS('Daily Inward'!$G:$G,'Daily Inward'!$C:$C,$B303,'Daily Inward'!$E:$E,"Patty Cash"))</f>
        <v/>
      </c>
      <c r="G303" s="30" t="str">
        <f>IF($B303="","",SUMIFS('Daily Issuance'!$G:$G,'Daily Issuance'!$C:$C,$B303,'Daily Issuance'!$E:$E,"Patty Cash"))</f>
        <v/>
      </c>
      <c r="H303" s="30" t="str">
        <f t="shared" si="13"/>
        <v/>
      </c>
      <c r="I303" s="33"/>
      <c r="J303" s="34" t="str">
        <f t="shared" si="14"/>
        <v/>
      </c>
    </row>
    <row r="304" spans="1:10" s="27" customFormat="1" ht="23.1" customHeight="1">
      <c r="A304" s="194" t="str">
        <f>IF($C304="","",MAX($A$3:A303)+1)</f>
        <v/>
      </c>
      <c r="B304" s="197" t="str">
        <f t="shared" si="12"/>
        <v/>
      </c>
      <c r="C304" s="201"/>
      <c r="D304" s="199"/>
      <c r="E304" s="200"/>
      <c r="F304" s="196" t="str">
        <f>IF($B304="","",SUMIFS('Daily Inward'!$G:$G,'Daily Inward'!$C:$C,$B304,'Daily Inward'!$E:$E,"Patty Cash"))</f>
        <v/>
      </c>
      <c r="G304" s="30" t="str">
        <f>IF($B304="","",SUMIFS('Daily Issuance'!$G:$G,'Daily Issuance'!$C:$C,$B304,'Daily Issuance'!$E:$E,"Patty Cash"))</f>
        <v/>
      </c>
      <c r="H304" s="30" t="str">
        <f t="shared" si="13"/>
        <v/>
      </c>
      <c r="I304" s="33"/>
      <c r="J304" s="34" t="str">
        <f t="shared" si="14"/>
        <v/>
      </c>
    </row>
    <row r="305" spans="1:10" s="27" customFormat="1" ht="23.1" customHeight="1">
      <c r="A305" s="194" t="str">
        <f>IF($C305="","",MAX($A$3:A304)+1)</f>
        <v/>
      </c>
      <c r="B305" s="197" t="str">
        <f t="shared" si="12"/>
        <v/>
      </c>
      <c r="C305" s="201"/>
      <c r="D305" s="199"/>
      <c r="E305" s="200"/>
      <c r="F305" s="196" t="str">
        <f>IF($B305="","",SUMIFS('Daily Inward'!$G:$G,'Daily Inward'!$C:$C,$B305,'Daily Inward'!$E:$E,"Patty Cash"))</f>
        <v/>
      </c>
      <c r="G305" s="30" t="str">
        <f>IF($B305="","",SUMIFS('Daily Issuance'!$G:$G,'Daily Issuance'!$C:$C,$B305,'Daily Issuance'!$E:$E,"Patty Cash"))</f>
        <v/>
      </c>
      <c r="H305" s="30" t="str">
        <f t="shared" si="13"/>
        <v/>
      </c>
      <c r="I305" s="33"/>
      <c r="J305" s="34" t="str">
        <f t="shared" si="14"/>
        <v/>
      </c>
    </row>
    <row r="306" spans="1:10" s="27" customFormat="1" ht="23.1" customHeight="1">
      <c r="A306" s="194" t="str">
        <f>IF($C306="","",MAX($A$3:A305)+1)</f>
        <v/>
      </c>
      <c r="B306" s="197" t="str">
        <f t="shared" si="12"/>
        <v/>
      </c>
      <c r="C306" s="201"/>
      <c r="D306" s="199"/>
      <c r="E306" s="200"/>
      <c r="F306" s="196" t="str">
        <f>IF($B306="","",SUMIFS('Daily Inward'!$G:$G,'Daily Inward'!$C:$C,$B306,'Daily Inward'!$E:$E,"Patty Cash"))</f>
        <v/>
      </c>
      <c r="G306" s="30" t="str">
        <f>IF($B306="","",SUMIFS('Daily Issuance'!$G:$G,'Daily Issuance'!$C:$C,$B306,'Daily Issuance'!$E:$E,"Patty Cash"))</f>
        <v/>
      </c>
      <c r="H306" s="30" t="str">
        <f t="shared" si="13"/>
        <v/>
      </c>
      <c r="I306" s="33"/>
      <c r="J306" s="34" t="str">
        <f t="shared" si="14"/>
        <v/>
      </c>
    </row>
    <row r="307" spans="1:10" s="27" customFormat="1" ht="23.1" customHeight="1">
      <c r="A307" s="194" t="str">
        <f>IF($C307="","",MAX($A$3:A306)+1)</f>
        <v/>
      </c>
      <c r="B307" s="197" t="str">
        <f t="shared" si="12"/>
        <v/>
      </c>
      <c r="C307" s="201"/>
      <c r="D307" s="199"/>
      <c r="E307" s="200"/>
      <c r="F307" s="196" t="str">
        <f>IF($B307="","",SUMIFS('Daily Inward'!$G:$G,'Daily Inward'!$C:$C,$B307,'Daily Inward'!$E:$E,"Patty Cash"))</f>
        <v/>
      </c>
      <c r="G307" s="30" t="str">
        <f>IF($B307="","",SUMIFS('Daily Issuance'!$G:$G,'Daily Issuance'!$C:$C,$B307,'Daily Issuance'!$E:$E,"Patty Cash"))</f>
        <v/>
      </c>
      <c r="H307" s="30" t="str">
        <f t="shared" si="13"/>
        <v/>
      </c>
      <c r="I307" s="33"/>
      <c r="J307" s="34" t="str">
        <f t="shared" si="14"/>
        <v/>
      </c>
    </row>
    <row r="308" spans="1:10" s="27" customFormat="1" ht="23.1" customHeight="1">
      <c r="A308" s="194" t="str">
        <f>IF($C308="","",MAX($A$3:A307)+1)</f>
        <v/>
      </c>
      <c r="B308" s="197" t="str">
        <f t="shared" si="12"/>
        <v/>
      </c>
      <c r="C308" s="201"/>
      <c r="D308" s="199"/>
      <c r="E308" s="200"/>
      <c r="F308" s="196" t="str">
        <f>IF($B308="","",SUMIFS('Daily Inward'!$G:$G,'Daily Inward'!$C:$C,$B308,'Daily Inward'!$E:$E,"Patty Cash"))</f>
        <v/>
      </c>
      <c r="G308" s="30" t="str">
        <f>IF($B308="","",SUMIFS('Daily Issuance'!$G:$G,'Daily Issuance'!$C:$C,$B308,'Daily Issuance'!$E:$E,"Patty Cash"))</f>
        <v/>
      </c>
      <c r="H308" s="30" t="str">
        <f t="shared" si="13"/>
        <v/>
      </c>
      <c r="I308" s="33"/>
      <c r="J308" s="34" t="str">
        <f t="shared" si="14"/>
        <v/>
      </c>
    </row>
    <row r="309" spans="1:10" s="27" customFormat="1" ht="23.1" customHeight="1">
      <c r="A309" s="194" t="str">
        <f>IF($C309="","",MAX($A$3:A308)+1)</f>
        <v/>
      </c>
      <c r="B309" s="197" t="str">
        <f t="shared" si="12"/>
        <v/>
      </c>
      <c r="C309" s="201"/>
      <c r="D309" s="199"/>
      <c r="E309" s="200"/>
      <c r="F309" s="196" t="str">
        <f>IF($B309="","",SUMIFS('Daily Inward'!$G:$G,'Daily Inward'!$C:$C,$B309,'Daily Inward'!$E:$E,"Patty Cash"))</f>
        <v/>
      </c>
      <c r="G309" s="30" t="str">
        <f>IF($B309="","",SUMIFS('Daily Issuance'!$G:$G,'Daily Issuance'!$C:$C,$B309,'Daily Issuance'!$E:$E,"Patty Cash"))</f>
        <v/>
      </c>
      <c r="H309" s="30" t="str">
        <f t="shared" si="13"/>
        <v/>
      </c>
      <c r="I309" s="33"/>
      <c r="J309" s="34" t="str">
        <f t="shared" si="14"/>
        <v/>
      </c>
    </row>
    <row r="310" spans="1:10" s="27" customFormat="1" ht="23.1" customHeight="1">
      <c r="A310" s="194" t="str">
        <f>IF($C310="","",MAX($A$3:A309)+1)</f>
        <v/>
      </c>
      <c r="B310" s="197" t="str">
        <f t="shared" si="12"/>
        <v/>
      </c>
      <c r="C310" s="201"/>
      <c r="D310" s="199"/>
      <c r="E310" s="200"/>
      <c r="F310" s="196" t="str">
        <f>IF($B310="","",SUMIFS('Daily Inward'!$G:$G,'Daily Inward'!$C:$C,$B310,'Daily Inward'!$E:$E,"Patty Cash"))</f>
        <v/>
      </c>
      <c r="G310" s="30" t="str">
        <f>IF($B310="","",SUMIFS('Daily Issuance'!$G:$G,'Daily Issuance'!$C:$C,$B310,'Daily Issuance'!$E:$E,"Patty Cash"))</f>
        <v/>
      </c>
      <c r="H310" s="30" t="str">
        <f t="shared" si="13"/>
        <v/>
      </c>
      <c r="I310" s="33"/>
      <c r="J310" s="34" t="str">
        <f t="shared" si="14"/>
        <v/>
      </c>
    </row>
    <row r="311" spans="1:10" s="27" customFormat="1" ht="23.1" customHeight="1">
      <c r="A311" s="194" t="str">
        <f>IF($C311="","",MAX($A$3:A310)+1)</f>
        <v/>
      </c>
      <c r="B311" s="197" t="str">
        <f t="shared" si="12"/>
        <v/>
      </c>
      <c r="C311" s="201"/>
      <c r="D311" s="199"/>
      <c r="E311" s="200"/>
      <c r="F311" s="196" t="str">
        <f>IF($B311="","",SUMIFS('Daily Inward'!$G:$G,'Daily Inward'!$C:$C,$B311,'Daily Inward'!$E:$E,"Patty Cash"))</f>
        <v/>
      </c>
      <c r="G311" s="30" t="str">
        <f>IF($B311="","",SUMIFS('Daily Issuance'!$G:$G,'Daily Issuance'!$C:$C,$B311,'Daily Issuance'!$E:$E,"Patty Cash"))</f>
        <v/>
      </c>
      <c r="H311" s="30" t="str">
        <f t="shared" si="13"/>
        <v/>
      </c>
      <c r="I311" s="33"/>
      <c r="J311" s="34" t="str">
        <f t="shared" si="14"/>
        <v/>
      </c>
    </row>
    <row r="312" spans="1:10" s="27" customFormat="1" ht="23.1" customHeight="1">
      <c r="A312" s="194" t="str">
        <f>IF($C312="","",MAX($A$3:A311)+1)</f>
        <v/>
      </c>
      <c r="B312" s="197" t="str">
        <f t="shared" si="12"/>
        <v/>
      </c>
      <c r="C312" s="201"/>
      <c r="D312" s="199"/>
      <c r="E312" s="200"/>
      <c r="F312" s="196" t="str">
        <f>IF($B312="","",SUMIFS('Daily Inward'!$G:$G,'Daily Inward'!$C:$C,$B312,'Daily Inward'!$E:$E,"Patty Cash"))</f>
        <v/>
      </c>
      <c r="G312" s="30" t="str">
        <f>IF($B312="","",SUMIFS('Daily Issuance'!$G:$G,'Daily Issuance'!$C:$C,$B312,'Daily Issuance'!$E:$E,"Patty Cash"))</f>
        <v/>
      </c>
      <c r="H312" s="30" t="str">
        <f t="shared" si="13"/>
        <v/>
      </c>
      <c r="I312" s="33"/>
      <c r="J312" s="34" t="str">
        <f t="shared" si="14"/>
        <v/>
      </c>
    </row>
    <row r="313" spans="1:10" s="27" customFormat="1" ht="23.1" customHeight="1">
      <c r="A313" s="194" t="str">
        <f>IF($C313="","",MAX($A$3:A312)+1)</f>
        <v/>
      </c>
      <c r="B313" s="197" t="str">
        <f t="shared" si="12"/>
        <v/>
      </c>
      <c r="C313" s="201"/>
      <c r="D313" s="199"/>
      <c r="E313" s="200"/>
      <c r="F313" s="196" t="str">
        <f>IF($B313="","",SUMIFS('Daily Inward'!$G:$G,'Daily Inward'!$C:$C,$B313,'Daily Inward'!$E:$E,"Patty Cash"))</f>
        <v/>
      </c>
      <c r="G313" s="30" t="str">
        <f>IF($B313="","",SUMIFS('Daily Issuance'!$G:$G,'Daily Issuance'!$C:$C,$B313,'Daily Issuance'!$E:$E,"Patty Cash"))</f>
        <v/>
      </c>
      <c r="H313" s="30" t="str">
        <f t="shared" si="13"/>
        <v/>
      </c>
      <c r="I313" s="33"/>
      <c r="J313" s="34" t="str">
        <f t="shared" si="14"/>
        <v/>
      </c>
    </row>
    <row r="314" spans="1:10" s="27" customFormat="1" ht="23.1" customHeight="1">
      <c r="A314" s="194" t="str">
        <f>IF($C314="","",MAX($A$3:A313)+1)</f>
        <v/>
      </c>
      <c r="B314" s="197" t="str">
        <f t="shared" si="12"/>
        <v/>
      </c>
      <c r="C314" s="201"/>
      <c r="D314" s="199"/>
      <c r="E314" s="200"/>
      <c r="F314" s="196" t="str">
        <f>IF($B314="","",SUMIFS('Daily Inward'!$G:$G,'Daily Inward'!$C:$C,$B314,'Daily Inward'!$E:$E,"Patty Cash"))</f>
        <v/>
      </c>
      <c r="G314" s="30" t="str">
        <f>IF($B314="","",SUMIFS('Daily Issuance'!$G:$G,'Daily Issuance'!$C:$C,$B314,'Daily Issuance'!$E:$E,"Patty Cash"))</f>
        <v/>
      </c>
      <c r="H314" s="30" t="str">
        <f t="shared" si="13"/>
        <v/>
      </c>
      <c r="I314" s="33"/>
      <c r="J314" s="34" t="str">
        <f t="shared" si="14"/>
        <v/>
      </c>
    </row>
    <row r="315" spans="1:10" s="27" customFormat="1" ht="23.1" customHeight="1">
      <c r="A315" s="194" t="str">
        <f>IF($C315="","",MAX($A$3:A314)+1)</f>
        <v/>
      </c>
      <c r="B315" s="197" t="str">
        <f t="shared" si="12"/>
        <v/>
      </c>
      <c r="C315" s="201"/>
      <c r="D315" s="199"/>
      <c r="E315" s="200"/>
      <c r="F315" s="196" t="str">
        <f>IF($B315="","",SUMIFS('Daily Inward'!$G:$G,'Daily Inward'!$C:$C,$B315,'Daily Inward'!$E:$E,"Patty Cash"))</f>
        <v/>
      </c>
      <c r="G315" s="30" t="str">
        <f>IF($B315="","",SUMIFS('Daily Issuance'!$G:$G,'Daily Issuance'!$C:$C,$B315,'Daily Issuance'!$E:$E,"Patty Cash"))</f>
        <v/>
      </c>
      <c r="H315" s="30" t="str">
        <f t="shared" si="13"/>
        <v/>
      </c>
      <c r="I315" s="33"/>
      <c r="J315" s="34" t="str">
        <f t="shared" si="14"/>
        <v/>
      </c>
    </row>
    <row r="316" spans="1:10" s="27" customFormat="1" ht="23.1" customHeight="1">
      <c r="A316" s="194" t="str">
        <f>IF($C316="","",MAX($A$3:A315)+1)</f>
        <v/>
      </c>
      <c r="B316" s="197" t="str">
        <f t="shared" si="12"/>
        <v/>
      </c>
      <c r="C316" s="201"/>
      <c r="D316" s="199"/>
      <c r="E316" s="200"/>
      <c r="F316" s="196" t="str">
        <f>IF($B316="","",SUMIFS('Daily Inward'!$G:$G,'Daily Inward'!$C:$C,$B316,'Daily Inward'!$E:$E,"Patty Cash"))</f>
        <v/>
      </c>
      <c r="G316" s="30" t="str">
        <f>IF($B316="","",SUMIFS('Daily Issuance'!$G:$G,'Daily Issuance'!$C:$C,$B316,'Daily Issuance'!$E:$E,"Patty Cash"))</f>
        <v/>
      </c>
      <c r="H316" s="30" t="str">
        <f t="shared" si="13"/>
        <v/>
      </c>
      <c r="I316" s="33"/>
      <c r="J316" s="34" t="str">
        <f t="shared" si="14"/>
        <v/>
      </c>
    </row>
    <row r="317" spans="1:10" s="27" customFormat="1" ht="23.1" customHeight="1">
      <c r="A317" s="194" t="str">
        <f>IF($C317="","",MAX($A$3:A316)+1)</f>
        <v/>
      </c>
      <c r="B317" s="197" t="str">
        <f t="shared" si="12"/>
        <v/>
      </c>
      <c r="C317" s="201"/>
      <c r="D317" s="199"/>
      <c r="E317" s="200"/>
      <c r="F317" s="196" t="str">
        <f>IF($B317="","",SUMIFS('Daily Inward'!$G:$G,'Daily Inward'!$C:$C,$B317,'Daily Inward'!$E:$E,"Patty Cash"))</f>
        <v/>
      </c>
      <c r="G317" s="30" t="str">
        <f>IF($B317="","",SUMIFS('Daily Issuance'!$G:$G,'Daily Issuance'!$C:$C,$B317,'Daily Issuance'!$E:$E,"Patty Cash"))</f>
        <v/>
      </c>
      <c r="H317" s="30" t="str">
        <f t="shared" si="13"/>
        <v/>
      </c>
      <c r="I317" s="33"/>
      <c r="J317" s="34" t="str">
        <f t="shared" si="14"/>
        <v/>
      </c>
    </row>
    <row r="318" spans="1:10" s="27" customFormat="1" ht="23.1" customHeight="1">
      <c r="A318" s="194" t="str">
        <f>IF($C318="","",MAX($A$3:A317)+1)</f>
        <v/>
      </c>
      <c r="B318" s="197" t="str">
        <f t="shared" si="12"/>
        <v/>
      </c>
      <c r="C318" s="201"/>
      <c r="D318" s="199"/>
      <c r="E318" s="200"/>
      <c r="F318" s="196" t="str">
        <f>IF($B318="","",SUMIFS('Daily Inward'!$G:$G,'Daily Inward'!$C:$C,$B318,'Daily Inward'!$E:$E,"Patty Cash"))</f>
        <v/>
      </c>
      <c r="G318" s="30" t="str">
        <f>IF($B318="","",SUMIFS('Daily Issuance'!$G:$G,'Daily Issuance'!$C:$C,$B318,'Daily Issuance'!$E:$E,"Patty Cash"))</f>
        <v/>
      </c>
      <c r="H318" s="30" t="str">
        <f t="shared" si="13"/>
        <v/>
      </c>
      <c r="I318" s="33"/>
      <c r="J318" s="34" t="str">
        <f t="shared" si="14"/>
        <v/>
      </c>
    </row>
    <row r="319" spans="1:10" s="27" customFormat="1" ht="23.1" customHeight="1">
      <c r="A319" s="194" t="str">
        <f>IF($C319="","",MAX($A$3:A318)+1)</f>
        <v/>
      </c>
      <c r="B319" s="197" t="str">
        <f t="shared" si="12"/>
        <v/>
      </c>
      <c r="C319" s="201"/>
      <c r="D319" s="199"/>
      <c r="E319" s="200"/>
      <c r="F319" s="196" t="str">
        <f>IF($B319="","",SUMIFS('Daily Inward'!$G:$G,'Daily Inward'!$C:$C,$B319,'Daily Inward'!$E:$E,"Patty Cash"))</f>
        <v/>
      </c>
      <c r="G319" s="30" t="str">
        <f>IF($B319="","",SUMIFS('Daily Issuance'!$G:$G,'Daily Issuance'!$C:$C,$B319,'Daily Issuance'!$E:$E,"Patty Cash"))</f>
        <v/>
      </c>
      <c r="H319" s="30" t="str">
        <f t="shared" si="13"/>
        <v/>
      </c>
      <c r="I319" s="33"/>
      <c r="J319" s="34" t="str">
        <f t="shared" si="14"/>
        <v/>
      </c>
    </row>
    <row r="320" spans="1:10" s="27" customFormat="1" ht="23.1" customHeight="1">
      <c r="A320" s="194" t="str">
        <f>IF($C320="","",MAX($A$3:A319)+1)</f>
        <v/>
      </c>
      <c r="B320" s="197" t="str">
        <f t="shared" si="12"/>
        <v/>
      </c>
      <c r="C320" s="201"/>
      <c r="D320" s="199"/>
      <c r="E320" s="200"/>
      <c r="F320" s="196" t="str">
        <f>IF($B320="","",SUMIFS('Daily Inward'!$G:$G,'Daily Inward'!$C:$C,$B320,'Daily Inward'!$E:$E,"Patty Cash"))</f>
        <v/>
      </c>
      <c r="G320" s="30" t="str">
        <f>IF($B320="","",SUMIFS('Daily Issuance'!$G:$G,'Daily Issuance'!$C:$C,$B320,'Daily Issuance'!$E:$E,"Patty Cash"))</f>
        <v/>
      </c>
      <c r="H320" s="30" t="str">
        <f t="shared" si="13"/>
        <v/>
      </c>
      <c r="I320" s="33"/>
      <c r="J320" s="34" t="str">
        <f t="shared" si="14"/>
        <v/>
      </c>
    </row>
    <row r="321" spans="1:10" s="27" customFormat="1" ht="23.1" customHeight="1">
      <c r="A321" s="194" t="str">
        <f>IF($C321="","",MAX($A$3:A320)+1)</f>
        <v/>
      </c>
      <c r="B321" s="197" t="str">
        <f t="shared" si="12"/>
        <v/>
      </c>
      <c r="C321" s="201"/>
      <c r="D321" s="199"/>
      <c r="E321" s="200"/>
      <c r="F321" s="196" t="str">
        <f>IF($B321="","",SUMIFS('Daily Inward'!$G:$G,'Daily Inward'!$C:$C,$B321,'Daily Inward'!$E:$E,"Patty Cash"))</f>
        <v/>
      </c>
      <c r="G321" s="30" t="str">
        <f>IF($B321="","",SUMIFS('Daily Issuance'!$G:$G,'Daily Issuance'!$C:$C,$B321,'Daily Issuance'!$E:$E,"Patty Cash"))</f>
        <v/>
      </c>
      <c r="H321" s="30" t="str">
        <f t="shared" si="13"/>
        <v/>
      </c>
      <c r="I321" s="33"/>
      <c r="J321" s="34" t="str">
        <f t="shared" si="14"/>
        <v/>
      </c>
    </row>
    <row r="322" spans="1:10" s="27" customFormat="1" ht="23.1" customHeight="1">
      <c r="A322" s="194" t="str">
        <f>IF($C322="","",MAX($A$3:A321)+1)</f>
        <v/>
      </c>
      <c r="B322" s="197" t="str">
        <f t="shared" si="12"/>
        <v/>
      </c>
      <c r="C322" s="201"/>
      <c r="D322" s="199"/>
      <c r="E322" s="200"/>
      <c r="F322" s="196" t="str">
        <f>IF($B322="","",SUMIFS('Daily Inward'!$G:$G,'Daily Inward'!$C:$C,$B322,'Daily Inward'!$E:$E,"Patty Cash"))</f>
        <v/>
      </c>
      <c r="G322" s="30" t="str">
        <f>IF($B322="","",SUMIFS('Daily Issuance'!$G:$G,'Daily Issuance'!$C:$C,$B322,'Daily Issuance'!$E:$E,"Patty Cash"))</f>
        <v/>
      </c>
      <c r="H322" s="30" t="str">
        <f t="shared" si="13"/>
        <v/>
      </c>
      <c r="I322" s="33"/>
      <c r="J322" s="34" t="str">
        <f t="shared" si="14"/>
        <v/>
      </c>
    </row>
    <row r="323" spans="1:10" s="27" customFormat="1" ht="23.1" customHeight="1">
      <c r="A323" s="194" t="str">
        <f>IF($C323="","",MAX($A$3:A322)+1)</f>
        <v/>
      </c>
      <c r="B323" s="197" t="str">
        <f t="shared" si="12"/>
        <v/>
      </c>
      <c r="C323" s="201"/>
      <c r="D323" s="199"/>
      <c r="E323" s="200"/>
      <c r="F323" s="196" t="str">
        <f>IF($B323="","",SUMIFS('Daily Inward'!$G:$G,'Daily Inward'!$C:$C,$B323,'Daily Inward'!$E:$E,"Patty Cash"))</f>
        <v/>
      </c>
      <c r="G323" s="30" t="str">
        <f>IF($B323="","",SUMIFS('Daily Issuance'!$G:$G,'Daily Issuance'!$C:$C,$B323,'Daily Issuance'!$E:$E,"Patty Cash"))</f>
        <v/>
      </c>
      <c r="H323" s="30" t="str">
        <f t="shared" si="13"/>
        <v/>
      </c>
      <c r="I323" s="33"/>
      <c r="J323" s="34" t="str">
        <f t="shared" si="14"/>
        <v/>
      </c>
    </row>
    <row r="324" spans="1:10" s="27" customFormat="1" ht="23.1" customHeight="1">
      <c r="A324" s="194" t="str">
        <f>IF($C324="","",MAX($A$3:A323)+1)</f>
        <v/>
      </c>
      <c r="B324" s="197" t="str">
        <f t="shared" si="12"/>
        <v/>
      </c>
      <c r="C324" s="201"/>
      <c r="D324" s="199"/>
      <c r="E324" s="200"/>
      <c r="F324" s="196" t="str">
        <f>IF($B324="","",SUMIFS('Daily Inward'!$G:$G,'Daily Inward'!$C:$C,$B324,'Daily Inward'!$E:$E,"Patty Cash"))</f>
        <v/>
      </c>
      <c r="G324" s="30" t="str">
        <f>IF($B324="","",SUMIFS('Daily Issuance'!$G:$G,'Daily Issuance'!$C:$C,$B324,'Daily Issuance'!$E:$E,"Patty Cash"))</f>
        <v/>
      </c>
      <c r="H324" s="30" t="str">
        <f t="shared" si="13"/>
        <v/>
      </c>
      <c r="I324" s="33"/>
      <c r="J324" s="34" t="str">
        <f t="shared" si="14"/>
        <v/>
      </c>
    </row>
    <row r="325" spans="1:10" s="27" customFormat="1" ht="23.1" customHeight="1">
      <c r="A325" s="194" t="str">
        <f>IF($C325="","",MAX($A$3:A324)+1)</f>
        <v/>
      </c>
      <c r="B325" s="197" t="str">
        <f t="shared" ref="B325:B388" si="15">IF($C325="","","PTC"&amp;TEXT(ROW()-4,"000"))</f>
        <v/>
      </c>
      <c r="C325" s="201"/>
      <c r="D325" s="199"/>
      <c r="E325" s="200"/>
      <c r="F325" s="196" t="str">
        <f>IF($B325="","",SUMIFS('Daily Inward'!$G:$G,'Daily Inward'!$C:$C,$B325,'Daily Inward'!$E:$E,"Patty Cash"))</f>
        <v/>
      </c>
      <c r="G325" s="30" t="str">
        <f>IF($B325="","",SUMIFS('Daily Issuance'!$G:$G,'Daily Issuance'!$C:$C,$B325,'Daily Issuance'!$E:$E,"Patty Cash"))</f>
        <v/>
      </c>
      <c r="H325" s="30" t="str">
        <f t="shared" ref="H325:H388" si="16">IF($B325="","",F325-G325)</f>
        <v/>
      </c>
      <c r="I325" s="33"/>
      <c r="J325" s="34" t="str">
        <f t="shared" ref="J325:J388" si="17">IF(OR(H325="",I325=""),"",H325*I325)</f>
        <v/>
      </c>
    </row>
    <row r="326" spans="1:10" s="27" customFormat="1" ht="23.1" customHeight="1">
      <c r="A326" s="194" t="str">
        <f>IF($C326="","",MAX($A$3:A325)+1)</f>
        <v/>
      </c>
      <c r="B326" s="197" t="str">
        <f t="shared" si="15"/>
        <v/>
      </c>
      <c r="C326" s="201"/>
      <c r="D326" s="199"/>
      <c r="E326" s="200"/>
      <c r="F326" s="196" t="str">
        <f>IF($B326="","",SUMIFS('Daily Inward'!$G:$G,'Daily Inward'!$C:$C,$B326,'Daily Inward'!$E:$E,"Patty Cash"))</f>
        <v/>
      </c>
      <c r="G326" s="30" t="str">
        <f>IF($B326="","",SUMIFS('Daily Issuance'!$G:$G,'Daily Issuance'!$C:$C,$B326,'Daily Issuance'!$E:$E,"Patty Cash"))</f>
        <v/>
      </c>
      <c r="H326" s="30" t="str">
        <f t="shared" si="16"/>
        <v/>
      </c>
      <c r="I326" s="33"/>
      <c r="J326" s="34" t="str">
        <f t="shared" si="17"/>
        <v/>
      </c>
    </row>
    <row r="327" spans="1:10" s="27" customFormat="1" ht="23.1" customHeight="1">
      <c r="A327" s="194" t="str">
        <f>IF($C327="","",MAX($A$3:A326)+1)</f>
        <v/>
      </c>
      <c r="B327" s="197" t="str">
        <f t="shared" si="15"/>
        <v/>
      </c>
      <c r="C327" s="201"/>
      <c r="D327" s="199"/>
      <c r="E327" s="200"/>
      <c r="F327" s="196" t="str">
        <f>IF($B327="","",SUMIFS('Daily Inward'!$G:$G,'Daily Inward'!$C:$C,$B327,'Daily Inward'!$E:$E,"Patty Cash"))</f>
        <v/>
      </c>
      <c r="G327" s="30" t="str">
        <f>IF($B327="","",SUMIFS('Daily Issuance'!$G:$G,'Daily Issuance'!$C:$C,$B327,'Daily Issuance'!$E:$E,"Patty Cash"))</f>
        <v/>
      </c>
      <c r="H327" s="30" t="str">
        <f t="shared" si="16"/>
        <v/>
      </c>
      <c r="I327" s="33"/>
      <c r="J327" s="34" t="str">
        <f t="shared" si="17"/>
        <v/>
      </c>
    </row>
    <row r="328" spans="1:10" s="27" customFormat="1" ht="23.1" customHeight="1">
      <c r="A328" s="194" t="str">
        <f>IF($C328="","",MAX($A$3:A327)+1)</f>
        <v/>
      </c>
      <c r="B328" s="197" t="str">
        <f t="shared" si="15"/>
        <v/>
      </c>
      <c r="C328" s="201"/>
      <c r="D328" s="199"/>
      <c r="E328" s="200"/>
      <c r="F328" s="196" t="str">
        <f>IF($B328="","",SUMIFS('Daily Inward'!$G:$G,'Daily Inward'!$C:$C,$B328,'Daily Inward'!$E:$E,"Patty Cash"))</f>
        <v/>
      </c>
      <c r="G328" s="30" t="str">
        <f>IF($B328="","",SUMIFS('Daily Issuance'!$G:$G,'Daily Issuance'!$C:$C,$B328,'Daily Issuance'!$E:$E,"Patty Cash"))</f>
        <v/>
      </c>
      <c r="H328" s="30" t="str">
        <f t="shared" si="16"/>
        <v/>
      </c>
      <c r="I328" s="33"/>
      <c r="J328" s="34" t="str">
        <f t="shared" si="17"/>
        <v/>
      </c>
    </row>
    <row r="329" spans="1:10" s="27" customFormat="1" ht="23.1" customHeight="1">
      <c r="A329" s="194" t="str">
        <f>IF($C329="","",MAX($A$3:A328)+1)</f>
        <v/>
      </c>
      <c r="B329" s="197" t="str">
        <f t="shared" si="15"/>
        <v/>
      </c>
      <c r="C329" s="201"/>
      <c r="D329" s="199"/>
      <c r="E329" s="200"/>
      <c r="F329" s="196" t="str">
        <f>IF($B329="","",SUMIFS('Daily Inward'!$G:$G,'Daily Inward'!$C:$C,$B329,'Daily Inward'!$E:$E,"Patty Cash"))</f>
        <v/>
      </c>
      <c r="G329" s="30" t="str">
        <f>IF($B329="","",SUMIFS('Daily Issuance'!$G:$G,'Daily Issuance'!$C:$C,$B329,'Daily Issuance'!$E:$E,"Patty Cash"))</f>
        <v/>
      </c>
      <c r="H329" s="30" t="str">
        <f t="shared" si="16"/>
        <v/>
      </c>
      <c r="I329" s="33"/>
      <c r="J329" s="34" t="str">
        <f t="shared" si="17"/>
        <v/>
      </c>
    </row>
    <row r="330" spans="1:10" s="27" customFormat="1" ht="23.1" customHeight="1">
      <c r="A330" s="194" t="str">
        <f>IF($C330="","",MAX($A$3:A329)+1)</f>
        <v/>
      </c>
      <c r="B330" s="197" t="str">
        <f t="shared" si="15"/>
        <v/>
      </c>
      <c r="C330" s="201"/>
      <c r="D330" s="199"/>
      <c r="E330" s="200"/>
      <c r="F330" s="196" t="str">
        <f>IF($B330="","",SUMIFS('Daily Inward'!$G:$G,'Daily Inward'!$C:$C,$B330,'Daily Inward'!$E:$E,"Patty Cash"))</f>
        <v/>
      </c>
      <c r="G330" s="30" t="str">
        <f>IF($B330="","",SUMIFS('Daily Issuance'!$G:$G,'Daily Issuance'!$C:$C,$B330,'Daily Issuance'!$E:$E,"Patty Cash"))</f>
        <v/>
      </c>
      <c r="H330" s="30" t="str">
        <f t="shared" si="16"/>
        <v/>
      </c>
      <c r="I330" s="33"/>
      <c r="J330" s="34" t="str">
        <f t="shared" si="17"/>
        <v/>
      </c>
    </row>
    <row r="331" spans="1:10" s="27" customFormat="1" ht="23.1" customHeight="1">
      <c r="A331" s="194" t="str">
        <f>IF($C331="","",MAX($A$3:A330)+1)</f>
        <v/>
      </c>
      <c r="B331" s="197" t="str">
        <f t="shared" si="15"/>
        <v/>
      </c>
      <c r="C331" s="201"/>
      <c r="D331" s="199"/>
      <c r="E331" s="200"/>
      <c r="F331" s="196" t="str">
        <f>IF($B331="","",SUMIFS('Daily Inward'!$G:$G,'Daily Inward'!$C:$C,$B331,'Daily Inward'!$E:$E,"Patty Cash"))</f>
        <v/>
      </c>
      <c r="G331" s="30" t="str">
        <f>IF($B331="","",SUMIFS('Daily Issuance'!$G:$G,'Daily Issuance'!$C:$C,$B331,'Daily Issuance'!$E:$E,"Patty Cash"))</f>
        <v/>
      </c>
      <c r="H331" s="30" t="str">
        <f t="shared" si="16"/>
        <v/>
      </c>
      <c r="I331" s="33"/>
      <c r="J331" s="34" t="str">
        <f t="shared" si="17"/>
        <v/>
      </c>
    </row>
    <row r="332" spans="1:10" s="27" customFormat="1" ht="23.1" customHeight="1">
      <c r="A332" s="194" t="str">
        <f>IF($C332="","",MAX($A$3:A331)+1)</f>
        <v/>
      </c>
      <c r="B332" s="197" t="str">
        <f t="shared" si="15"/>
        <v/>
      </c>
      <c r="C332" s="201"/>
      <c r="D332" s="199"/>
      <c r="E332" s="200"/>
      <c r="F332" s="196" t="str">
        <f>IF($B332="","",SUMIFS('Daily Inward'!$G:$G,'Daily Inward'!$C:$C,$B332,'Daily Inward'!$E:$E,"Patty Cash"))</f>
        <v/>
      </c>
      <c r="G332" s="30" t="str">
        <f>IF($B332="","",SUMIFS('Daily Issuance'!$G:$G,'Daily Issuance'!$C:$C,$B332,'Daily Issuance'!$E:$E,"Patty Cash"))</f>
        <v/>
      </c>
      <c r="H332" s="30" t="str">
        <f t="shared" si="16"/>
        <v/>
      </c>
      <c r="I332" s="33"/>
      <c r="J332" s="34" t="str">
        <f t="shared" si="17"/>
        <v/>
      </c>
    </row>
    <row r="333" spans="1:10" s="27" customFormat="1" ht="23.1" customHeight="1">
      <c r="A333" s="194" t="str">
        <f>IF($C333="","",MAX($A$3:A332)+1)</f>
        <v/>
      </c>
      <c r="B333" s="197" t="str">
        <f t="shared" si="15"/>
        <v/>
      </c>
      <c r="C333" s="201"/>
      <c r="D333" s="199"/>
      <c r="E333" s="200"/>
      <c r="F333" s="196" t="str">
        <f>IF($B333="","",SUMIFS('Daily Inward'!$G:$G,'Daily Inward'!$C:$C,$B333,'Daily Inward'!$E:$E,"Patty Cash"))</f>
        <v/>
      </c>
      <c r="G333" s="30" t="str">
        <f>IF($B333="","",SUMIFS('Daily Issuance'!$G:$G,'Daily Issuance'!$C:$C,$B333,'Daily Issuance'!$E:$E,"Patty Cash"))</f>
        <v/>
      </c>
      <c r="H333" s="30" t="str">
        <f t="shared" si="16"/>
        <v/>
      </c>
      <c r="I333" s="33"/>
      <c r="J333" s="34" t="str">
        <f t="shared" si="17"/>
        <v/>
      </c>
    </row>
    <row r="334" spans="1:10" s="27" customFormat="1" ht="23.1" customHeight="1">
      <c r="A334" s="194" t="str">
        <f>IF($C334="","",MAX($A$3:A333)+1)</f>
        <v/>
      </c>
      <c r="B334" s="197" t="str">
        <f t="shared" si="15"/>
        <v/>
      </c>
      <c r="C334" s="201"/>
      <c r="D334" s="199"/>
      <c r="E334" s="200"/>
      <c r="F334" s="196" t="str">
        <f>IF($B334="","",SUMIFS('Daily Inward'!$G:$G,'Daily Inward'!$C:$C,$B334,'Daily Inward'!$E:$E,"Patty Cash"))</f>
        <v/>
      </c>
      <c r="G334" s="30" t="str">
        <f>IF($B334="","",SUMIFS('Daily Issuance'!$G:$G,'Daily Issuance'!$C:$C,$B334,'Daily Issuance'!$E:$E,"Patty Cash"))</f>
        <v/>
      </c>
      <c r="H334" s="30" t="str">
        <f t="shared" si="16"/>
        <v/>
      </c>
      <c r="I334" s="33"/>
      <c r="J334" s="34" t="str">
        <f t="shared" si="17"/>
        <v/>
      </c>
    </row>
    <row r="335" spans="1:10" s="27" customFormat="1" ht="23.1" customHeight="1">
      <c r="A335" s="194" t="str">
        <f>IF($C335="","",MAX($A$3:A334)+1)</f>
        <v/>
      </c>
      <c r="B335" s="197" t="str">
        <f t="shared" si="15"/>
        <v/>
      </c>
      <c r="C335" s="201"/>
      <c r="D335" s="199"/>
      <c r="E335" s="200"/>
      <c r="F335" s="196" t="str">
        <f>IF($B335="","",SUMIFS('Daily Inward'!$G:$G,'Daily Inward'!$C:$C,$B335,'Daily Inward'!$E:$E,"Patty Cash"))</f>
        <v/>
      </c>
      <c r="G335" s="30" t="str">
        <f>IF($B335="","",SUMIFS('Daily Issuance'!$G:$G,'Daily Issuance'!$C:$C,$B335,'Daily Issuance'!$E:$E,"Patty Cash"))</f>
        <v/>
      </c>
      <c r="H335" s="30" t="str">
        <f t="shared" si="16"/>
        <v/>
      </c>
      <c r="I335" s="33"/>
      <c r="J335" s="34" t="str">
        <f t="shared" si="17"/>
        <v/>
      </c>
    </row>
    <row r="336" spans="1:10" s="27" customFormat="1" ht="23.1" customHeight="1">
      <c r="A336" s="194" t="str">
        <f>IF($C336="","",MAX($A$3:A335)+1)</f>
        <v/>
      </c>
      <c r="B336" s="197" t="str">
        <f t="shared" si="15"/>
        <v/>
      </c>
      <c r="C336" s="201"/>
      <c r="D336" s="199"/>
      <c r="E336" s="200"/>
      <c r="F336" s="196" t="str">
        <f>IF($B336="","",SUMIFS('Daily Inward'!$G:$G,'Daily Inward'!$C:$C,$B336,'Daily Inward'!$E:$E,"Patty Cash"))</f>
        <v/>
      </c>
      <c r="G336" s="30" t="str">
        <f>IF($B336="","",SUMIFS('Daily Issuance'!$G:$G,'Daily Issuance'!$C:$C,$B336,'Daily Issuance'!$E:$E,"Patty Cash"))</f>
        <v/>
      </c>
      <c r="H336" s="30" t="str">
        <f t="shared" si="16"/>
        <v/>
      </c>
      <c r="I336" s="33"/>
      <c r="J336" s="34" t="str">
        <f t="shared" si="17"/>
        <v/>
      </c>
    </row>
    <row r="337" spans="1:10" s="27" customFormat="1" ht="23.1" customHeight="1">
      <c r="A337" s="194" t="str">
        <f>IF($C337="","",MAX($A$3:A336)+1)</f>
        <v/>
      </c>
      <c r="B337" s="197" t="str">
        <f t="shared" si="15"/>
        <v/>
      </c>
      <c r="C337" s="201"/>
      <c r="D337" s="199"/>
      <c r="E337" s="200"/>
      <c r="F337" s="196" t="str">
        <f>IF($B337="","",SUMIFS('Daily Inward'!$G:$G,'Daily Inward'!$C:$C,$B337,'Daily Inward'!$E:$E,"Patty Cash"))</f>
        <v/>
      </c>
      <c r="G337" s="30" t="str">
        <f>IF($B337="","",SUMIFS('Daily Issuance'!$G:$G,'Daily Issuance'!$C:$C,$B337,'Daily Issuance'!$E:$E,"Patty Cash"))</f>
        <v/>
      </c>
      <c r="H337" s="30" t="str">
        <f t="shared" si="16"/>
        <v/>
      </c>
      <c r="I337" s="33"/>
      <c r="J337" s="34" t="str">
        <f t="shared" si="17"/>
        <v/>
      </c>
    </row>
    <row r="338" spans="1:10" s="27" customFormat="1" ht="23.1" customHeight="1">
      <c r="A338" s="194" t="str">
        <f>IF($C338="","",MAX($A$3:A337)+1)</f>
        <v/>
      </c>
      <c r="B338" s="197" t="str">
        <f t="shared" si="15"/>
        <v/>
      </c>
      <c r="C338" s="201"/>
      <c r="D338" s="199"/>
      <c r="E338" s="200"/>
      <c r="F338" s="196" t="str">
        <f>IF($B338="","",SUMIFS('Daily Inward'!$G:$G,'Daily Inward'!$C:$C,$B338,'Daily Inward'!$E:$E,"Patty Cash"))</f>
        <v/>
      </c>
      <c r="G338" s="30" t="str">
        <f>IF($B338="","",SUMIFS('Daily Issuance'!$G:$G,'Daily Issuance'!$C:$C,$B338,'Daily Issuance'!$E:$E,"Patty Cash"))</f>
        <v/>
      </c>
      <c r="H338" s="30" t="str">
        <f t="shared" si="16"/>
        <v/>
      </c>
      <c r="I338" s="33"/>
      <c r="J338" s="34" t="str">
        <f t="shared" si="17"/>
        <v/>
      </c>
    </row>
    <row r="339" spans="1:10" s="27" customFormat="1" ht="23.1" customHeight="1">
      <c r="A339" s="194" t="str">
        <f>IF($C339="","",MAX($A$3:A338)+1)</f>
        <v/>
      </c>
      <c r="B339" s="197" t="str">
        <f t="shared" si="15"/>
        <v/>
      </c>
      <c r="C339" s="201"/>
      <c r="D339" s="199"/>
      <c r="E339" s="200"/>
      <c r="F339" s="196" t="str">
        <f>IF($B339="","",SUMIFS('Daily Inward'!$G:$G,'Daily Inward'!$C:$C,$B339,'Daily Inward'!$E:$E,"Patty Cash"))</f>
        <v/>
      </c>
      <c r="G339" s="30" t="str">
        <f>IF($B339="","",SUMIFS('Daily Issuance'!$G:$G,'Daily Issuance'!$C:$C,$B339,'Daily Issuance'!$E:$E,"Patty Cash"))</f>
        <v/>
      </c>
      <c r="H339" s="30" t="str">
        <f t="shared" si="16"/>
        <v/>
      </c>
      <c r="I339" s="33"/>
      <c r="J339" s="34" t="str">
        <f t="shared" si="17"/>
        <v/>
      </c>
    </row>
    <row r="340" spans="1:10" s="27" customFormat="1" ht="23.1" customHeight="1">
      <c r="A340" s="194" t="str">
        <f>IF($C340="","",MAX($A$3:A339)+1)</f>
        <v/>
      </c>
      <c r="B340" s="197" t="str">
        <f t="shared" si="15"/>
        <v/>
      </c>
      <c r="C340" s="201"/>
      <c r="D340" s="199"/>
      <c r="E340" s="200"/>
      <c r="F340" s="196" t="str">
        <f>IF($B340="","",SUMIFS('Daily Inward'!$G:$G,'Daily Inward'!$C:$C,$B340,'Daily Inward'!$E:$E,"Patty Cash"))</f>
        <v/>
      </c>
      <c r="G340" s="30" t="str">
        <f>IF($B340="","",SUMIFS('Daily Issuance'!$G:$G,'Daily Issuance'!$C:$C,$B340,'Daily Issuance'!$E:$E,"Patty Cash"))</f>
        <v/>
      </c>
      <c r="H340" s="30" t="str">
        <f t="shared" si="16"/>
        <v/>
      </c>
      <c r="I340" s="33"/>
      <c r="J340" s="34" t="str">
        <f t="shared" si="17"/>
        <v/>
      </c>
    </row>
    <row r="341" spans="1:10" s="27" customFormat="1" ht="23.1" customHeight="1">
      <c r="A341" s="194" t="str">
        <f>IF($C341="","",MAX($A$3:A340)+1)</f>
        <v/>
      </c>
      <c r="B341" s="197" t="str">
        <f t="shared" si="15"/>
        <v/>
      </c>
      <c r="C341" s="201"/>
      <c r="D341" s="199"/>
      <c r="E341" s="200"/>
      <c r="F341" s="196" t="str">
        <f>IF($B341="","",SUMIFS('Daily Inward'!$G:$G,'Daily Inward'!$C:$C,$B341,'Daily Inward'!$E:$E,"Patty Cash"))</f>
        <v/>
      </c>
      <c r="G341" s="30" t="str">
        <f>IF($B341="","",SUMIFS('Daily Issuance'!$G:$G,'Daily Issuance'!$C:$C,$B341,'Daily Issuance'!$E:$E,"Patty Cash"))</f>
        <v/>
      </c>
      <c r="H341" s="30" t="str">
        <f t="shared" si="16"/>
        <v/>
      </c>
      <c r="I341" s="33"/>
      <c r="J341" s="34" t="str">
        <f t="shared" si="17"/>
        <v/>
      </c>
    </row>
    <row r="342" spans="1:10" s="27" customFormat="1" ht="23.1" customHeight="1">
      <c r="A342" s="194" t="str">
        <f>IF($C342="","",MAX($A$3:A341)+1)</f>
        <v/>
      </c>
      <c r="B342" s="197" t="str">
        <f t="shared" si="15"/>
        <v/>
      </c>
      <c r="C342" s="201"/>
      <c r="D342" s="199"/>
      <c r="E342" s="200"/>
      <c r="F342" s="196" t="str">
        <f>IF($B342="","",SUMIFS('Daily Inward'!$G:$G,'Daily Inward'!$C:$C,$B342,'Daily Inward'!$E:$E,"Patty Cash"))</f>
        <v/>
      </c>
      <c r="G342" s="30" t="str">
        <f>IF($B342="","",SUMIFS('Daily Issuance'!$G:$G,'Daily Issuance'!$C:$C,$B342,'Daily Issuance'!$E:$E,"Patty Cash"))</f>
        <v/>
      </c>
      <c r="H342" s="30" t="str">
        <f t="shared" si="16"/>
        <v/>
      </c>
      <c r="I342" s="33"/>
      <c r="J342" s="34" t="str">
        <f t="shared" si="17"/>
        <v/>
      </c>
    </row>
    <row r="343" spans="1:10" s="27" customFormat="1" ht="23.1" customHeight="1">
      <c r="A343" s="194" t="str">
        <f>IF($C343="","",MAX($A$3:A342)+1)</f>
        <v/>
      </c>
      <c r="B343" s="197" t="str">
        <f t="shared" si="15"/>
        <v/>
      </c>
      <c r="C343" s="201"/>
      <c r="D343" s="199"/>
      <c r="E343" s="200"/>
      <c r="F343" s="196" t="str">
        <f>IF($B343="","",SUMIFS('Daily Inward'!$G:$G,'Daily Inward'!$C:$C,$B343,'Daily Inward'!$E:$E,"Patty Cash"))</f>
        <v/>
      </c>
      <c r="G343" s="30" t="str">
        <f>IF($B343="","",SUMIFS('Daily Issuance'!$G:$G,'Daily Issuance'!$C:$C,$B343,'Daily Issuance'!$E:$E,"Patty Cash"))</f>
        <v/>
      </c>
      <c r="H343" s="30" t="str">
        <f t="shared" si="16"/>
        <v/>
      </c>
      <c r="I343" s="33"/>
      <c r="J343" s="34" t="str">
        <f t="shared" si="17"/>
        <v/>
      </c>
    </row>
    <row r="344" spans="1:10" s="27" customFormat="1" ht="23.1" customHeight="1">
      <c r="A344" s="194" t="str">
        <f>IF($C344="","",MAX($A$3:A343)+1)</f>
        <v/>
      </c>
      <c r="B344" s="197" t="str">
        <f t="shared" si="15"/>
        <v/>
      </c>
      <c r="C344" s="201"/>
      <c r="D344" s="199"/>
      <c r="E344" s="200"/>
      <c r="F344" s="196" t="str">
        <f>IF($B344="","",SUMIFS('Daily Inward'!$G:$G,'Daily Inward'!$C:$C,$B344,'Daily Inward'!$E:$E,"Patty Cash"))</f>
        <v/>
      </c>
      <c r="G344" s="30" t="str">
        <f>IF($B344="","",SUMIFS('Daily Issuance'!$G:$G,'Daily Issuance'!$C:$C,$B344,'Daily Issuance'!$E:$E,"Patty Cash"))</f>
        <v/>
      </c>
      <c r="H344" s="30" t="str">
        <f t="shared" si="16"/>
        <v/>
      </c>
      <c r="I344" s="33"/>
      <c r="J344" s="34" t="str">
        <f t="shared" si="17"/>
        <v/>
      </c>
    </row>
    <row r="345" spans="1:10" s="27" customFormat="1" ht="23.1" customHeight="1">
      <c r="A345" s="194" t="str">
        <f>IF($C345="","",MAX($A$3:A344)+1)</f>
        <v/>
      </c>
      <c r="B345" s="197" t="str">
        <f t="shared" si="15"/>
        <v/>
      </c>
      <c r="C345" s="201"/>
      <c r="D345" s="199"/>
      <c r="E345" s="200"/>
      <c r="F345" s="196" t="str">
        <f>IF($B345="","",SUMIFS('Daily Inward'!$G:$G,'Daily Inward'!$C:$C,$B345,'Daily Inward'!$E:$E,"Patty Cash"))</f>
        <v/>
      </c>
      <c r="G345" s="30" t="str">
        <f>IF($B345="","",SUMIFS('Daily Issuance'!$G:$G,'Daily Issuance'!$C:$C,$B345,'Daily Issuance'!$E:$E,"Patty Cash"))</f>
        <v/>
      </c>
      <c r="H345" s="30" t="str">
        <f t="shared" si="16"/>
        <v/>
      </c>
      <c r="I345" s="33"/>
      <c r="J345" s="34" t="str">
        <f t="shared" si="17"/>
        <v/>
      </c>
    </row>
    <row r="346" spans="1:10" s="27" customFormat="1" ht="23.1" customHeight="1">
      <c r="A346" s="194" t="str">
        <f>IF($C346="","",MAX($A$3:A345)+1)</f>
        <v/>
      </c>
      <c r="B346" s="197" t="str">
        <f t="shared" si="15"/>
        <v/>
      </c>
      <c r="C346" s="201"/>
      <c r="D346" s="199"/>
      <c r="E346" s="200"/>
      <c r="F346" s="196" t="str">
        <f>IF($B346="","",SUMIFS('Daily Inward'!$G:$G,'Daily Inward'!$C:$C,$B346,'Daily Inward'!$E:$E,"Patty Cash"))</f>
        <v/>
      </c>
      <c r="G346" s="30" t="str">
        <f>IF($B346="","",SUMIFS('Daily Issuance'!$G:$G,'Daily Issuance'!$C:$C,$B346,'Daily Issuance'!$E:$E,"Patty Cash"))</f>
        <v/>
      </c>
      <c r="H346" s="30" t="str">
        <f t="shared" si="16"/>
        <v/>
      </c>
      <c r="I346" s="33"/>
      <c r="J346" s="34" t="str">
        <f t="shared" si="17"/>
        <v/>
      </c>
    </row>
    <row r="347" spans="1:10" s="27" customFormat="1" ht="23.1" customHeight="1">
      <c r="A347" s="194" t="str">
        <f>IF($C347="","",MAX($A$3:A346)+1)</f>
        <v/>
      </c>
      <c r="B347" s="197" t="str">
        <f t="shared" si="15"/>
        <v/>
      </c>
      <c r="C347" s="201"/>
      <c r="D347" s="199"/>
      <c r="E347" s="200"/>
      <c r="F347" s="196" t="str">
        <f>IF($B347="","",SUMIFS('Daily Inward'!$G:$G,'Daily Inward'!$C:$C,$B347,'Daily Inward'!$E:$E,"Patty Cash"))</f>
        <v/>
      </c>
      <c r="G347" s="30" t="str">
        <f>IF($B347="","",SUMIFS('Daily Issuance'!$G:$G,'Daily Issuance'!$C:$C,$B347,'Daily Issuance'!$E:$E,"Patty Cash"))</f>
        <v/>
      </c>
      <c r="H347" s="30" t="str">
        <f t="shared" si="16"/>
        <v/>
      </c>
      <c r="I347" s="33"/>
      <c r="J347" s="34" t="str">
        <f t="shared" si="17"/>
        <v/>
      </c>
    </row>
    <row r="348" spans="1:10" s="27" customFormat="1" ht="23.1" customHeight="1">
      <c r="A348" s="194" t="str">
        <f>IF($C348="","",MAX($A$3:A347)+1)</f>
        <v/>
      </c>
      <c r="B348" s="197" t="str">
        <f t="shared" si="15"/>
        <v/>
      </c>
      <c r="C348" s="201"/>
      <c r="D348" s="199"/>
      <c r="E348" s="200"/>
      <c r="F348" s="196" t="str">
        <f>IF($B348="","",SUMIFS('Daily Inward'!$G:$G,'Daily Inward'!$C:$C,$B348,'Daily Inward'!$E:$E,"Patty Cash"))</f>
        <v/>
      </c>
      <c r="G348" s="30" t="str">
        <f>IF($B348="","",SUMIFS('Daily Issuance'!$G:$G,'Daily Issuance'!$C:$C,$B348,'Daily Issuance'!$E:$E,"Patty Cash"))</f>
        <v/>
      </c>
      <c r="H348" s="30" t="str">
        <f t="shared" si="16"/>
        <v/>
      </c>
      <c r="I348" s="33"/>
      <c r="J348" s="34" t="str">
        <f t="shared" si="17"/>
        <v/>
      </c>
    </row>
    <row r="349" spans="1:10" s="27" customFormat="1" ht="23.1" customHeight="1">
      <c r="A349" s="194" t="str">
        <f>IF($C349="","",MAX($A$3:A348)+1)</f>
        <v/>
      </c>
      <c r="B349" s="197" t="str">
        <f t="shared" si="15"/>
        <v/>
      </c>
      <c r="C349" s="201"/>
      <c r="D349" s="199"/>
      <c r="E349" s="200"/>
      <c r="F349" s="196" t="str">
        <f>IF($B349="","",SUMIFS('Daily Inward'!$G:$G,'Daily Inward'!$C:$C,$B349,'Daily Inward'!$E:$E,"Patty Cash"))</f>
        <v/>
      </c>
      <c r="G349" s="30" t="str">
        <f>IF($B349="","",SUMIFS('Daily Issuance'!$G:$G,'Daily Issuance'!$C:$C,$B349,'Daily Issuance'!$E:$E,"Patty Cash"))</f>
        <v/>
      </c>
      <c r="H349" s="30" t="str">
        <f t="shared" si="16"/>
        <v/>
      </c>
      <c r="I349" s="33"/>
      <c r="J349" s="34" t="str">
        <f t="shared" si="17"/>
        <v/>
      </c>
    </row>
    <row r="350" spans="1:10" s="27" customFormat="1" ht="23.1" customHeight="1">
      <c r="A350" s="194" t="str">
        <f>IF($C350="","",MAX($A$3:A349)+1)</f>
        <v/>
      </c>
      <c r="B350" s="197" t="str">
        <f t="shared" si="15"/>
        <v/>
      </c>
      <c r="C350" s="201"/>
      <c r="D350" s="199"/>
      <c r="E350" s="200"/>
      <c r="F350" s="196" t="str">
        <f>IF($B350="","",SUMIFS('Daily Inward'!$G:$G,'Daily Inward'!$C:$C,$B350,'Daily Inward'!$E:$E,"Patty Cash"))</f>
        <v/>
      </c>
      <c r="G350" s="30" t="str">
        <f>IF($B350="","",SUMIFS('Daily Issuance'!$G:$G,'Daily Issuance'!$C:$C,$B350,'Daily Issuance'!$E:$E,"Patty Cash"))</f>
        <v/>
      </c>
      <c r="H350" s="30" t="str">
        <f t="shared" si="16"/>
        <v/>
      </c>
      <c r="I350" s="33"/>
      <c r="J350" s="34" t="str">
        <f t="shared" si="17"/>
        <v/>
      </c>
    </row>
    <row r="351" spans="1:10" s="27" customFormat="1" ht="23.1" customHeight="1">
      <c r="A351" s="194" t="str">
        <f>IF($C351="","",MAX($A$3:A350)+1)</f>
        <v/>
      </c>
      <c r="B351" s="197" t="str">
        <f t="shared" si="15"/>
        <v/>
      </c>
      <c r="C351" s="201"/>
      <c r="D351" s="199"/>
      <c r="E351" s="200"/>
      <c r="F351" s="196" t="str">
        <f>IF($B351="","",SUMIFS('Daily Inward'!$G:$G,'Daily Inward'!$C:$C,$B351,'Daily Inward'!$E:$E,"Patty Cash"))</f>
        <v/>
      </c>
      <c r="G351" s="30" t="str">
        <f>IF($B351="","",SUMIFS('Daily Issuance'!$G:$G,'Daily Issuance'!$C:$C,$B351,'Daily Issuance'!$E:$E,"Patty Cash"))</f>
        <v/>
      </c>
      <c r="H351" s="30" t="str">
        <f t="shared" si="16"/>
        <v/>
      </c>
      <c r="I351" s="33"/>
      <c r="J351" s="34" t="str">
        <f t="shared" si="17"/>
        <v/>
      </c>
    </row>
    <row r="352" spans="1:10" s="27" customFormat="1" ht="23.1" customHeight="1">
      <c r="A352" s="194" t="str">
        <f>IF($C352="","",MAX($A$3:A351)+1)</f>
        <v/>
      </c>
      <c r="B352" s="197" t="str">
        <f t="shared" si="15"/>
        <v/>
      </c>
      <c r="C352" s="201"/>
      <c r="D352" s="199"/>
      <c r="E352" s="200"/>
      <c r="F352" s="196" t="str">
        <f>IF($B352="","",SUMIFS('Daily Inward'!$G:$G,'Daily Inward'!$C:$C,$B352,'Daily Inward'!$E:$E,"Patty Cash"))</f>
        <v/>
      </c>
      <c r="G352" s="30" t="str">
        <f>IF($B352="","",SUMIFS('Daily Issuance'!$G:$G,'Daily Issuance'!$C:$C,$B352,'Daily Issuance'!$E:$E,"Patty Cash"))</f>
        <v/>
      </c>
      <c r="H352" s="30" t="str">
        <f t="shared" si="16"/>
        <v/>
      </c>
      <c r="I352" s="33"/>
      <c r="J352" s="34" t="str">
        <f t="shared" si="17"/>
        <v/>
      </c>
    </row>
    <row r="353" spans="1:10" s="27" customFormat="1" ht="23.1" customHeight="1">
      <c r="A353" s="194" t="str">
        <f>IF($C353="","",MAX($A$3:A352)+1)</f>
        <v/>
      </c>
      <c r="B353" s="197" t="str">
        <f t="shared" si="15"/>
        <v/>
      </c>
      <c r="C353" s="201"/>
      <c r="D353" s="199"/>
      <c r="E353" s="200"/>
      <c r="F353" s="196" t="str">
        <f>IF($B353="","",SUMIFS('Daily Inward'!$G:$G,'Daily Inward'!$C:$C,$B353,'Daily Inward'!$E:$E,"Patty Cash"))</f>
        <v/>
      </c>
      <c r="G353" s="30" t="str">
        <f>IF($B353="","",SUMIFS('Daily Issuance'!$G:$G,'Daily Issuance'!$C:$C,$B353,'Daily Issuance'!$E:$E,"Patty Cash"))</f>
        <v/>
      </c>
      <c r="H353" s="30" t="str">
        <f t="shared" si="16"/>
        <v/>
      </c>
      <c r="I353" s="33"/>
      <c r="J353" s="34" t="str">
        <f t="shared" si="17"/>
        <v/>
      </c>
    </row>
    <row r="354" spans="1:10" s="27" customFormat="1" ht="23.1" customHeight="1">
      <c r="A354" s="194" t="str">
        <f>IF($C354="","",MAX($A$3:A353)+1)</f>
        <v/>
      </c>
      <c r="B354" s="197" t="str">
        <f t="shared" si="15"/>
        <v/>
      </c>
      <c r="C354" s="201"/>
      <c r="D354" s="199"/>
      <c r="E354" s="200"/>
      <c r="F354" s="196" t="str">
        <f>IF($B354="","",SUMIFS('Daily Inward'!$G:$G,'Daily Inward'!$C:$C,$B354,'Daily Inward'!$E:$E,"Patty Cash"))</f>
        <v/>
      </c>
      <c r="G354" s="30" t="str">
        <f>IF($B354="","",SUMIFS('Daily Issuance'!$G:$G,'Daily Issuance'!$C:$C,$B354,'Daily Issuance'!$E:$E,"Patty Cash"))</f>
        <v/>
      </c>
      <c r="H354" s="30" t="str">
        <f t="shared" si="16"/>
        <v/>
      </c>
      <c r="I354" s="33"/>
      <c r="J354" s="34" t="str">
        <f t="shared" si="17"/>
        <v/>
      </c>
    </row>
    <row r="355" spans="1:10" s="27" customFormat="1" ht="23.1" customHeight="1">
      <c r="A355" s="194" t="str">
        <f>IF($C355="","",MAX($A$3:A354)+1)</f>
        <v/>
      </c>
      <c r="B355" s="197" t="str">
        <f t="shared" si="15"/>
        <v/>
      </c>
      <c r="C355" s="201"/>
      <c r="D355" s="199"/>
      <c r="E355" s="200"/>
      <c r="F355" s="196" t="str">
        <f>IF($B355="","",SUMIFS('Daily Inward'!$G:$G,'Daily Inward'!$C:$C,$B355,'Daily Inward'!$E:$E,"Patty Cash"))</f>
        <v/>
      </c>
      <c r="G355" s="30" t="str">
        <f>IF($B355="","",SUMIFS('Daily Issuance'!$G:$G,'Daily Issuance'!$C:$C,$B355,'Daily Issuance'!$E:$E,"Patty Cash"))</f>
        <v/>
      </c>
      <c r="H355" s="30" t="str">
        <f t="shared" si="16"/>
        <v/>
      </c>
      <c r="I355" s="33"/>
      <c r="J355" s="34" t="str">
        <f t="shared" si="17"/>
        <v/>
      </c>
    </row>
    <row r="356" spans="1:10" s="27" customFormat="1" ht="23.1" customHeight="1">
      <c r="A356" s="194" t="str">
        <f>IF($C356="","",MAX($A$3:A355)+1)</f>
        <v/>
      </c>
      <c r="B356" s="197" t="str">
        <f t="shared" si="15"/>
        <v/>
      </c>
      <c r="C356" s="201"/>
      <c r="D356" s="199"/>
      <c r="E356" s="200"/>
      <c r="F356" s="196" t="str">
        <f>IF($B356="","",SUMIFS('Daily Inward'!$G:$G,'Daily Inward'!$C:$C,$B356,'Daily Inward'!$E:$E,"Patty Cash"))</f>
        <v/>
      </c>
      <c r="G356" s="30" t="str">
        <f>IF($B356="","",SUMIFS('Daily Issuance'!$G:$G,'Daily Issuance'!$C:$C,$B356,'Daily Issuance'!$E:$E,"Patty Cash"))</f>
        <v/>
      </c>
      <c r="H356" s="30" t="str">
        <f t="shared" si="16"/>
        <v/>
      </c>
      <c r="I356" s="33"/>
      <c r="J356" s="34" t="str">
        <f t="shared" si="17"/>
        <v/>
      </c>
    </row>
    <row r="357" spans="1:10" s="27" customFormat="1" ht="23.1" customHeight="1">
      <c r="A357" s="194" t="str">
        <f>IF($C357="","",MAX($A$3:A356)+1)</f>
        <v/>
      </c>
      <c r="B357" s="197" t="str">
        <f t="shared" si="15"/>
        <v/>
      </c>
      <c r="C357" s="201"/>
      <c r="D357" s="199"/>
      <c r="E357" s="200"/>
      <c r="F357" s="196" t="str">
        <f>IF($B357="","",SUMIFS('Daily Inward'!$G:$G,'Daily Inward'!$C:$C,$B357,'Daily Inward'!$E:$E,"Patty Cash"))</f>
        <v/>
      </c>
      <c r="G357" s="30" t="str">
        <f>IF($B357="","",SUMIFS('Daily Issuance'!$G:$G,'Daily Issuance'!$C:$C,$B357,'Daily Issuance'!$E:$E,"Patty Cash"))</f>
        <v/>
      </c>
      <c r="H357" s="30" t="str">
        <f t="shared" si="16"/>
        <v/>
      </c>
      <c r="I357" s="33"/>
      <c r="J357" s="34" t="str">
        <f t="shared" si="17"/>
        <v/>
      </c>
    </row>
    <row r="358" spans="1:10" s="27" customFormat="1" ht="23.1" customHeight="1">
      <c r="A358" s="194" t="str">
        <f>IF($C358="","",MAX($A$3:A357)+1)</f>
        <v/>
      </c>
      <c r="B358" s="197" t="str">
        <f t="shared" si="15"/>
        <v/>
      </c>
      <c r="C358" s="201"/>
      <c r="D358" s="199"/>
      <c r="E358" s="200"/>
      <c r="F358" s="196" t="str">
        <f>IF($B358="","",SUMIFS('Daily Inward'!$G:$G,'Daily Inward'!$C:$C,$B358,'Daily Inward'!$E:$E,"Patty Cash"))</f>
        <v/>
      </c>
      <c r="G358" s="30" t="str">
        <f>IF($B358="","",SUMIFS('Daily Issuance'!$G:$G,'Daily Issuance'!$C:$C,$B358,'Daily Issuance'!$E:$E,"Patty Cash"))</f>
        <v/>
      </c>
      <c r="H358" s="30" t="str">
        <f t="shared" si="16"/>
        <v/>
      </c>
      <c r="I358" s="33"/>
      <c r="J358" s="34" t="str">
        <f t="shared" si="17"/>
        <v/>
      </c>
    </row>
    <row r="359" spans="1:10" s="27" customFormat="1" ht="23.1" customHeight="1">
      <c r="A359" s="194" t="str">
        <f>IF($C359="","",MAX($A$3:A358)+1)</f>
        <v/>
      </c>
      <c r="B359" s="197" t="str">
        <f t="shared" si="15"/>
        <v/>
      </c>
      <c r="C359" s="201"/>
      <c r="D359" s="199"/>
      <c r="E359" s="200"/>
      <c r="F359" s="196" t="str">
        <f>IF($B359="","",SUMIFS('Daily Inward'!$G:$G,'Daily Inward'!$C:$C,$B359,'Daily Inward'!$E:$E,"Patty Cash"))</f>
        <v/>
      </c>
      <c r="G359" s="30" t="str">
        <f>IF($B359="","",SUMIFS('Daily Issuance'!$G:$G,'Daily Issuance'!$C:$C,$B359,'Daily Issuance'!$E:$E,"Patty Cash"))</f>
        <v/>
      </c>
      <c r="H359" s="30" t="str">
        <f t="shared" si="16"/>
        <v/>
      </c>
      <c r="I359" s="33"/>
      <c r="J359" s="34" t="str">
        <f t="shared" si="17"/>
        <v/>
      </c>
    </row>
    <row r="360" spans="1:10" s="27" customFormat="1" ht="23.1" customHeight="1">
      <c r="A360" s="194" t="str">
        <f>IF($C360="","",MAX($A$3:A359)+1)</f>
        <v/>
      </c>
      <c r="B360" s="197" t="str">
        <f t="shared" si="15"/>
        <v/>
      </c>
      <c r="C360" s="201"/>
      <c r="D360" s="199"/>
      <c r="E360" s="200"/>
      <c r="F360" s="196" t="str">
        <f>IF($B360="","",SUMIFS('Daily Inward'!$G:$G,'Daily Inward'!$C:$C,$B360,'Daily Inward'!$E:$E,"Patty Cash"))</f>
        <v/>
      </c>
      <c r="G360" s="30" t="str">
        <f>IF($B360="","",SUMIFS('Daily Issuance'!$G:$G,'Daily Issuance'!$C:$C,$B360,'Daily Issuance'!$E:$E,"Patty Cash"))</f>
        <v/>
      </c>
      <c r="H360" s="30" t="str">
        <f t="shared" si="16"/>
        <v/>
      </c>
      <c r="I360" s="33"/>
      <c r="J360" s="34" t="str">
        <f t="shared" si="17"/>
        <v/>
      </c>
    </row>
    <row r="361" spans="1:10" s="27" customFormat="1" ht="23.1" customHeight="1">
      <c r="A361" s="194" t="str">
        <f>IF($C361="","",MAX($A$3:A360)+1)</f>
        <v/>
      </c>
      <c r="B361" s="197" t="str">
        <f t="shared" si="15"/>
        <v/>
      </c>
      <c r="C361" s="201"/>
      <c r="D361" s="199"/>
      <c r="E361" s="200"/>
      <c r="F361" s="196" t="str">
        <f>IF($B361="","",SUMIFS('Daily Inward'!$G:$G,'Daily Inward'!$C:$C,$B361,'Daily Inward'!$E:$E,"Patty Cash"))</f>
        <v/>
      </c>
      <c r="G361" s="30" t="str">
        <f>IF($B361="","",SUMIFS('Daily Issuance'!$G:$G,'Daily Issuance'!$C:$C,$B361,'Daily Issuance'!$E:$E,"Patty Cash"))</f>
        <v/>
      </c>
      <c r="H361" s="30" t="str">
        <f t="shared" si="16"/>
        <v/>
      </c>
      <c r="I361" s="33"/>
      <c r="J361" s="34" t="str">
        <f t="shared" si="17"/>
        <v/>
      </c>
    </row>
    <row r="362" spans="1:10" s="27" customFormat="1" ht="23.1" customHeight="1">
      <c r="A362" s="194" t="str">
        <f>IF($C362="","",MAX($A$3:A361)+1)</f>
        <v/>
      </c>
      <c r="B362" s="197" t="str">
        <f t="shared" si="15"/>
        <v/>
      </c>
      <c r="C362" s="201"/>
      <c r="D362" s="199"/>
      <c r="E362" s="200"/>
      <c r="F362" s="196" t="str">
        <f>IF($B362="","",SUMIFS('Daily Inward'!$G:$G,'Daily Inward'!$C:$C,$B362,'Daily Inward'!$E:$E,"Patty Cash"))</f>
        <v/>
      </c>
      <c r="G362" s="30" t="str">
        <f>IF($B362="","",SUMIFS('Daily Issuance'!$G:$G,'Daily Issuance'!$C:$C,$B362,'Daily Issuance'!$E:$E,"Patty Cash"))</f>
        <v/>
      </c>
      <c r="H362" s="30" t="str">
        <f t="shared" si="16"/>
        <v/>
      </c>
      <c r="I362" s="33"/>
      <c r="J362" s="34" t="str">
        <f t="shared" si="17"/>
        <v/>
      </c>
    </row>
    <row r="363" spans="1:10" s="27" customFormat="1" ht="23.1" customHeight="1">
      <c r="A363" s="194" t="str">
        <f>IF($C363="","",MAX($A$3:A362)+1)</f>
        <v/>
      </c>
      <c r="B363" s="197" t="str">
        <f t="shared" si="15"/>
        <v/>
      </c>
      <c r="C363" s="201"/>
      <c r="D363" s="199"/>
      <c r="E363" s="200"/>
      <c r="F363" s="196" t="str">
        <f>IF($B363="","",SUMIFS('Daily Inward'!$G:$G,'Daily Inward'!$C:$C,$B363,'Daily Inward'!$E:$E,"Patty Cash"))</f>
        <v/>
      </c>
      <c r="G363" s="30" t="str">
        <f>IF($B363="","",SUMIFS('Daily Issuance'!$G:$G,'Daily Issuance'!$C:$C,$B363,'Daily Issuance'!$E:$E,"Patty Cash"))</f>
        <v/>
      </c>
      <c r="H363" s="30" t="str">
        <f t="shared" si="16"/>
        <v/>
      </c>
      <c r="I363" s="33"/>
      <c r="J363" s="34" t="str">
        <f t="shared" si="17"/>
        <v/>
      </c>
    </row>
    <row r="364" spans="1:10" s="27" customFormat="1" ht="23.1" customHeight="1">
      <c r="A364" s="194" t="str">
        <f>IF($C364="","",MAX($A$3:A363)+1)</f>
        <v/>
      </c>
      <c r="B364" s="197" t="str">
        <f t="shared" si="15"/>
        <v/>
      </c>
      <c r="C364" s="201"/>
      <c r="D364" s="199"/>
      <c r="E364" s="200"/>
      <c r="F364" s="196" t="str">
        <f>IF($B364="","",SUMIFS('Daily Inward'!$G:$G,'Daily Inward'!$C:$C,$B364,'Daily Inward'!$E:$E,"Patty Cash"))</f>
        <v/>
      </c>
      <c r="G364" s="30" t="str">
        <f>IF($B364="","",SUMIFS('Daily Issuance'!$G:$G,'Daily Issuance'!$C:$C,$B364,'Daily Issuance'!$E:$E,"Patty Cash"))</f>
        <v/>
      </c>
      <c r="H364" s="30" t="str">
        <f t="shared" si="16"/>
        <v/>
      </c>
      <c r="I364" s="33"/>
      <c r="J364" s="34" t="str">
        <f t="shared" si="17"/>
        <v/>
      </c>
    </row>
    <row r="365" spans="1:10" s="27" customFormat="1" ht="23.1" customHeight="1">
      <c r="A365" s="194" t="str">
        <f>IF($C365="","",MAX($A$3:A364)+1)</f>
        <v/>
      </c>
      <c r="B365" s="197" t="str">
        <f t="shared" si="15"/>
        <v/>
      </c>
      <c r="C365" s="201"/>
      <c r="D365" s="199"/>
      <c r="E365" s="200"/>
      <c r="F365" s="196" t="str">
        <f>IF($B365="","",SUMIFS('Daily Inward'!$G:$G,'Daily Inward'!$C:$C,$B365,'Daily Inward'!$E:$E,"Patty Cash"))</f>
        <v/>
      </c>
      <c r="G365" s="30" t="str">
        <f>IF($B365="","",SUMIFS('Daily Issuance'!$G:$G,'Daily Issuance'!$C:$C,$B365,'Daily Issuance'!$E:$E,"Patty Cash"))</f>
        <v/>
      </c>
      <c r="H365" s="30" t="str">
        <f t="shared" si="16"/>
        <v/>
      </c>
      <c r="I365" s="33"/>
      <c r="J365" s="34" t="str">
        <f t="shared" si="17"/>
        <v/>
      </c>
    </row>
    <row r="366" spans="1:10" s="27" customFormat="1" ht="23.1" customHeight="1">
      <c r="A366" s="194" t="str">
        <f>IF($C366="","",MAX($A$3:A365)+1)</f>
        <v/>
      </c>
      <c r="B366" s="197" t="str">
        <f t="shared" si="15"/>
        <v/>
      </c>
      <c r="C366" s="201"/>
      <c r="D366" s="199"/>
      <c r="E366" s="200"/>
      <c r="F366" s="196" t="str">
        <f>IF($B366="","",SUMIFS('Daily Inward'!$G:$G,'Daily Inward'!$C:$C,$B366,'Daily Inward'!$E:$E,"Patty Cash"))</f>
        <v/>
      </c>
      <c r="G366" s="30" t="str">
        <f>IF($B366="","",SUMIFS('Daily Issuance'!$G:$G,'Daily Issuance'!$C:$C,$B366,'Daily Issuance'!$E:$E,"Patty Cash"))</f>
        <v/>
      </c>
      <c r="H366" s="30" t="str">
        <f t="shared" si="16"/>
        <v/>
      </c>
      <c r="I366" s="33"/>
      <c r="J366" s="34" t="str">
        <f t="shared" si="17"/>
        <v/>
      </c>
    </row>
    <row r="367" spans="1:10" s="27" customFormat="1" ht="23.1" customHeight="1">
      <c r="A367" s="194" t="str">
        <f>IF($C367="","",MAX($A$3:A366)+1)</f>
        <v/>
      </c>
      <c r="B367" s="197" t="str">
        <f t="shared" si="15"/>
        <v/>
      </c>
      <c r="C367" s="201"/>
      <c r="D367" s="199"/>
      <c r="E367" s="200"/>
      <c r="F367" s="196" t="str">
        <f>IF($B367="","",SUMIFS('Daily Inward'!$G:$G,'Daily Inward'!$C:$C,$B367,'Daily Inward'!$E:$E,"Patty Cash"))</f>
        <v/>
      </c>
      <c r="G367" s="30" t="str">
        <f>IF($B367="","",SUMIFS('Daily Issuance'!$G:$G,'Daily Issuance'!$C:$C,$B367,'Daily Issuance'!$E:$E,"Patty Cash"))</f>
        <v/>
      </c>
      <c r="H367" s="30" t="str">
        <f t="shared" si="16"/>
        <v/>
      </c>
      <c r="I367" s="33"/>
      <c r="J367" s="34" t="str">
        <f t="shared" si="17"/>
        <v/>
      </c>
    </row>
    <row r="368" spans="1:10" s="27" customFormat="1" ht="23.1" customHeight="1">
      <c r="A368" s="194" t="str">
        <f>IF($C368="","",MAX($A$3:A367)+1)</f>
        <v/>
      </c>
      <c r="B368" s="197" t="str">
        <f t="shared" si="15"/>
        <v/>
      </c>
      <c r="C368" s="201"/>
      <c r="D368" s="199"/>
      <c r="E368" s="200"/>
      <c r="F368" s="196" t="str">
        <f>IF($B368="","",SUMIFS('Daily Inward'!$G:$G,'Daily Inward'!$C:$C,$B368,'Daily Inward'!$E:$E,"Patty Cash"))</f>
        <v/>
      </c>
      <c r="G368" s="30" t="str">
        <f>IF($B368="","",SUMIFS('Daily Issuance'!$G:$G,'Daily Issuance'!$C:$C,$B368,'Daily Issuance'!$E:$E,"Patty Cash"))</f>
        <v/>
      </c>
      <c r="H368" s="30" t="str">
        <f t="shared" si="16"/>
        <v/>
      </c>
      <c r="I368" s="33"/>
      <c r="J368" s="34" t="str">
        <f t="shared" si="17"/>
        <v/>
      </c>
    </row>
    <row r="369" spans="1:10" s="27" customFormat="1" ht="23.1" customHeight="1">
      <c r="A369" s="194" t="str">
        <f>IF($C369="","",MAX($A$3:A368)+1)</f>
        <v/>
      </c>
      <c r="B369" s="197" t="str">
        <f t="shared" si="15"/>
        <v/>
      </c>
      <c r="C369" s="201"/>
      <c r="D369" s="199"/>
      <c r="E369" s="200"/>
      <c r="F369" s="196" t="str">
        <f>IF($B369="","",SUMIFS('Daily Inward'!$G:$G,'Daily Inward'!$C:$C,$B369,'Daily Inward'!$E:$E,"Patty Cash"))</f>
        <v/>
      </c>
      <c r="G369" s="30" t="str">
        <f>IF($B369="","",SUMIFS('Daily Issuance'!$G:$G,'Daily Issuance'!$C:$C,$B369,'Daily Issuance'!$E:$E,"Patty Cash"))</f>
        <v/>
      </c>
      <c r="H369" s="30" t="str">
        <f t="shared" si="16"/>
        <v/>
      </c>
      <c r="I369" s="33"/>
      <c r="J369" s="34" t="str">
        <f t="shared" si="17"/>
        <v/>
      </c>
    </row>
    <row r="370" spans="1:10" s="27" customFormat="1" ht="23.1" customHeight="1">
      <c r="A370" s="194" t="str">
        <f>IF($C370="","",MAX($A$3:A369)+1)</f>
        <v/>
      </c>
      <c r="B370" s="197" t="str">
        <f t="shared" si="15"/>
        <v/>
      </c>
      <c r="C370" s="201"/>
      <c r="D370" s="199"/>
      <c r="E370" s="200"/>
      <c r="F370" s="196" t="str">
        <f>IF($B370="","",SUMIFS('Daily Inward'!$G:$G,'Daily Inward'!$C:$C,$B370,'Daily Inward'!$E:$E,"Patty Cash"))</f>
        <v/>
      </c>
      <c r="G370" s="30" t="str">
        <f>IF($B370="","",SUMIFS('Daily Issuance'!$G:$G,'Daily Issuance'!$C:$C,$B370,'Daily Issuance'!$E:$E,"Patty Cash"))</f>
        <v/>
      </c>
      <c r="H370" s="30" t="str">
        <f t="shared" si="16"/>
        <v/>
      </c>
      <c r="I370" s="33"/>
      <c r="J370" s="34" t="str">
        <f t="shared" si="17"/>
        <v/>
      </c>
    </row>
    <row r="371" spans="1:10" s="27" customFormat="1" ht="23.1" customHeight="1">
      <c r="A371" s="194" t="str">
        <f>IF($C371="","",MAX($A$3:A370)+1)</f>
        <v/>
      </c>
      <c r="B371" s="197" t="str">
        <f t="shared" si="15"/>
        <v/>
      </c>
      <c r="C371" s="201"/>
      <c r="D371" s="199"/>
      <c r="E371" s="200"/>
      <c r="F371" s="196" t="str">
        <f>IF($B371="","",SUMIFS('Daily Inward'!$G:$G,'Daily Inward'!$C:$C,$B371,'Daily Inward'!$E:$E,"Patty Cash"))</f>
        <v/>
      </c>
      <c r="G371" s="30" t="str">
        <f>IF($B371="","",SUMIFS('Daily Issuance'!$G:$G,'Daily Issuance'!$C:$C,$B371,'Daily Issuance'!$E:$E,"Patty Cash"))</f>
        <v/>
      </c>
      <c r="H371" s="30" t="str">
        <f t="shared" si="16"/>
        <v/>
      </c>
      <c r="I371" s="33"/>
      <c r="J371" s="34" t="str">
        <f t="shared" si="17"/>
        <v/>
      </c>
    </row>
    <row r="372" spans="1:10" s="27" customFormat="1" ht="23.1" customHeight="1">
      <c r="A372" s="194" t="str">
        <f>IF($C372="","",MAX($A$3:A371)+1)</f>
        <v/>
      </c>
      <c r="B372" s="197" t="str">
        <f t="shared" si="15"/>
        <v/>
      </c>
      <c r="C372" s="201"/>
      <c r="D372" s="199"/>
      <c r="E372" s="200"/>
      <c r="F372" s="196" t="str">
        <f>IF($B372="","",SUMIFS('Daily Inward'!$G:$G,'Daily Inward'!$C:$C,$B372,'Daily Inward'!$E:$E,"Patty Cash"))</f>
        <v/>
      </c>
      <c r="G372" s="30" t="str">
        <f>IF($B372="","",SUMIFS('Daily Issuance'!$G:$G,'Daily Issuance'!$C:$C,$B372,'Daily Issuance'!$E:$E,"Patty Cash"))</f>
        <v/>
      </c>
      <c r="H372" s="30" t="str">
        <f t="shared" si="16"/>
        <v/>
      </c>
      <c r="I372" s="33"/>
      <c r="J372" s="34" t="str">
        <f t="shared" si="17"/>
        <v/>
      </c>
    </row>
    <row r="373" spans="1:10" s="27" customFormat="1" ht="23.1" customHeight="1">
      <c r="A373" s="194" t="str">
        <f>IF($C373="","",MAX($A$3:A372)+1)</f>
        <v/>
      </c>
      <c r="B373" s="197" t="str">
        <f t="shared" si="15"/>
        <v/>
      </c>
      <c r="C373" s="201"/>
      <c r="D373" s="199"/>
      <c r="E373" s="200"/>
      <c r="F373" s="196" t="str">
        <f>IF($B373="","",SUMIFS('Daily Inward'!$G:$G,'Daily Inward'!$C:$C,$B373,'Daily Inward'!$E:$E,"Patty Cash"))</f>
        <v/>
      </c>
      <c r="G373" s="30" t="str">
        <f>IF($B373="","",SUMIFS('Daily Issuance'!$G:$G,'Daily Issuance'!$C:$C,$B373,'Daily Issuance'!$E:$E,"Patty Cash"))</f>
        <v/>
      </c>
      <c r="H373" s="30" t="str">
        <f t="shared" si="16"/>
        <v/>
      </c>
      <c r="I373" s="33"/>
      <c r="J373" s="34" t="str">
        <f t="shared" si="17"/>
        <v/>
      </c>
    </row>
    <row r="374" spans="1:10" s="27" customFormat="1" ht="23.1" customHeight="1">
      <c r="A374" s="194" t="str">
        <f>IF($C374="","",MAX($A$3:A373)+1)</f>
        <v/>
      </c>
      <c r="B374" s="197" t="str">
        <f t="shared" si="15"/>
        <v/>
      </c>
      <c r="C374" s="201"/>
      <c r="D374" s="199"/>
      <c r="E374" s="200"/>
      <c r="F374" s="196" t="str">
        <f>IF($B374="","",SUMIFS('Daily Inward'!$G:$G,'Daily Inward'!$C:$C,$B374,'Daily Inward'!$E:$E,"Patty Cash"))</f>
        <v/>
      </c>
      <c r="G374" s="30" t="str">
        <f>IF($B374="","",SUMIFS('Daily Issuance'!$G:$G,'Daily Issuance'!$C:$C,$B374,'Daily Issuance'!$E:$E,"Patty Cash"))</f>
        <v/>
      </c>
      <c r="H374" s="30" t="str">
        <f t="shared" si="16"/>
        <v/>
      </c>
      <c r="I374" s="33"/>
      <c r="J374" s="34" t="str">
        <f t="shared" si="17"/>
        <v/>
      </c>
    </row>
    <row r="375" spans="1:10" s="27" customFormat="1" ht="23.1" customHeight="1">
      <c r="A375" s="194" t="str">
        <f>IF($C375="","",MAX($A$3:A374)+1)</f>
        <v/>
      </c>
      <c r="B375" s="197" t="str">
        <f t="shared" si="15"/>
        <v/>
      </c>
      <c r="C375" s="201"/>
      <c r="D375" s="199"/>
      <c r="E375" s="200"/>
      <c r="F375" s="196" t="str">
        <f>IF($B375="","",SUMIFS('Daily Inward'!$G:$G,'Daily Inward'!$C:$C,$B375,'Daily Inward'!$E:$E,"Patty Cash"))</f>
        <v/>
      </c>
      <c r="G375" s="30" t="str">
        <f>IF($B375="","",SUMIFS('Daily Issuance'!$G:$G,'Daily Issuance'!$C:$C,$B375,'Daily Issuance'!$E:$E,"Patty Cash"))</f>
        <v/>
      </c>
      <c r="H375" s="30" t="str">
        <f t="shared" si="16"/>
        <v/>
      </c>
      <c r="I375" s="33"/>
      <c r="J375" s="34" t="str">
        <f t="shared" si="17"/>
        <v/>
      </c>
    </row>
    <row r="376" spans="1:10" s="27" customFormat="1" ht="23.1" customHeight="1">
      <c r="A376" s="194" t="str">
        <f>IF($C376="","",MAX($A$3:A375)+1)</f>
        <v/>
      </c>
      <c r="B376" s="197" t="str">
        <f t="shared" si="15"/>
        <v/>
      </c>
      <c r="C376" s="201"/>
      <c r="D376" s="199"/>
      <c r="E376" s="200"/>
      <c r="F376" s="196" t="str">
        <f>IF($B376="","",SUMIFS('Daily Inward'!$G:$G,'Daily Inward'!$C:$C,$B376,'Daily Inward'!$E:$E,"Patty Cash"))</f>
        <v/>
      </c>
      <c r="G376" s="30" t="str">
        <f>IF($B376="","",SUMIFS('Daily Issuance'!$G:$G,'Daily Issuance'!$C:$C,$B376,'Daily Issuance'!$E:$E,"Patty Cash"))</f>
        <v/>
      </c>
      <c r="H376" s="30" t="str">
        <f t="shared" si="16"/>
        <v/>
      </c>
      <c r="I376" s="33"/>
      <c r="J376" s="34" t="str">
        <f t="shared" si="17"/>
        <v/>
      </c>
    </row>
    <row r="377" spans="1:10" s="27" customFormat="1" ht="23.1" customHeight="1">
      <c r="A377" s="194" t="str">
        <f>IF($C377="","",MAX($A$3:A376)+1)</f>
        <v/>
      </c>
      <c r="B377" s="197" t="str">
        <f t="shared" si="15"/>
        <v/>
      </c>
      <c r="C377" s="201"/>
      <c r="D377" s="199"/>
      <c r="E377" s="200"/>
      <c r="F377" s="196" t="str">
        <f>IF($B377="","",SUMIFS('Daily Inward'!$G:$G,'Daily Inward'!$C:$C,$B377,'Daily Inward'!$E:$E,"Patty Cash"))</f>
        <v/>
      </c>
      <c r="G377" s="30" t="str">
        <f>IF($B377="","",SUMIFS('Daily Issuance'!$G:$G,'Daily Issuance'!$C:$C,$B377,'Daily Issuance'!$E:$E,"Patty Cash"))</f>
        <v/>
      </c>
      <c r="H377" s="30" t="str">
        <f t="shared" si="16"/>
        <v/>
      </c>
      <c r="I377" s="33"/>
      <c r="J377" s="34" t="str">
        <f t="shared" si="17"/>
        <v/>
      </c>
    </row>
    <row r="378" spans="1:10" s="27" customFormat="1" ht="23.1" customHeight="1">
      <c r="A378" s="194" t="str">
        <f>IF($C378="","",MAX($A$3:A377)+1)</f>
        <v/>
      </c>
      <c r="B378" s="197" t="str">
        <f t="shared" si="15"/>
        <v/>
      </c>
      <c r="C378" s="201"/>
      <c r="D378" s="199"/>
      <c r="E378" s="200"/>
      <c r="F378" s="196" t="str">
        <f>IF($B378="","",SUMIFS('Daily Inward'!$G:$G,'Daily Inward'!$C:$C,$B378,'Daily Inward'!$E:$E,"Patty Cash"))</f>
        <v/>
      </c>
      <c r="G378" s="30" t="str">
        <f>IF($B378="","",SUMIFS('Daily Issuance'!$G:$G,'Daily Issuance'!$C:$C,$B378,'Daily Issuance'!$E:$E,"Patty Cash"))</f>
        <v/>
      </c>
      <c r="H378" s="30" t="str">
        <f t="shared" si="16"/>
        <v/>
      </c>
      <c r="I378" s="33"/>
      <c r="J378" s="34" t="str">
        <f t="shared" si="17"/>
        <v/>
      </c>
    </row>
    <row r="379" spans="1:10" s="27" customFormat="1" ht="23.1" customHeight="1">
      <c r="A379" s="194" t="str">
        <f>IF($C379="","",MAX($A$3:A378)+1)</f>
        <v/>
      </c>
      <c r="B379" s="197" t="str">
        <f t="shared" si="15"/>
        <v/>
      </c>
      <c r="C379" s="201"/>
      <c r="D379" s="199"/>
      <c r="E379" s="200"/>
      <c r="F379" s="196" t="str">
        <f>IF($B379="","",SUMIFS('Daily Inward'!$G:$G,'Daily Inward'!$C:$C,$B379,'Daily Inward'!$E:$E,"Patty Cash"))</f>
        <v/>
      </c>
      <c r="G379" s="30" t="str">
        <f>IF($B379="","",SUMIFS('Daily Issuance'!$G:$G,'Daily Issuance'!$C:$C,$B379,'Daily Issuance'!$E:$E,"Patty Cash"))</f>
        <v/>
      </c>
      <c r="H379" s="30" t="str">
        <f t="shared" si="16"/>
        <v/>
      </c>
      <c r="I379" s="33"/>
      <c r="J379" s="34" t="str">
        <f t="shared" si="17"/>
        <v/>
      </c>
    </row>
    <row r="380" spans="1:10" s="27" customFormat="1" ht="23.1" customHeight="1">
      <c r="A380" s="194" t="str">
        <f>IF($C380="","",MAX($A$3:A379)+1)</f>
        <v/>
      </c>
      <c r="B380" s="197" t="str">
        <f t="shared" si="15"/>
        <v/>
      </c>
      <c r="C380" s="201"/>
      <c r="D380" s="199"/>
      <c r="E380" s="200"/>
      <c r="F380" s="196" t="str">
        <f>IF($B380="","",SUMIFS('Daily Inward'!$G:$G,'Daily Inward'!$C:$C,$B380,'Daily Inward'!$E:$E,"Patty Cash"))</f>
        <v/>
      </c>
      <c r="G380" s="30" t="str">
        <f>IF($B380="","",SUMIFS('Daily Issuance'!$G:$G,'Daily Issuance'!$C:$C,$B380,'Daily Issuance'!$E:$E,"Patty Cash"))</f>
        <v/>
      </c>
      <c r="H380" s="30" t="str">
        <f t="shared" si="16"/>
        <v/>
      </c>
      <c r="I380" s="33"/>
      <c r="J380" s="34" t="str">
        <f t="shared" si="17"/>
        <v/>
      </c>
    </row>
    <row r="381" spans="1:10" s="27" customFormat="1" ht="23.1" customHeight="1">
      <c r="A381" s="194" t="str">
        <f>IF($C381="","",MAX($A$3:A380)+1)</f>
        <v/>
      </c>
      <c r="B381" s="197" t="str">
        <f t="shared" si="15"/>
        <v/>
      </c>
      <c r="C381" s="201"/>
      <c r="D381" s="199"/>
      <c r="E381" s="200"/>
      <c r="F381" s="196" t="str">
        <f>IF($B381="","",SUMIFS('Daily Inward'!$G:$G,'Daily Inward'!$C:$C,$B381,'Daily Inward'!$E:$E,"Patty Cash"))</f>
        <v/>
      </c>
      <c r="G381" s="30" t="str">
        <f>IF($B381="","",SUMIFS('Daily Issuance'!$G:$G,'Daily Issuance'!$C:$C,$B381,'Daily Issuance'!$E:$E,"Patty Cash"))</f>
        <v/>
      </c>
      <c r="H381" s="30" t="str">
        <f t="shared" si="16"/>
        <v/>
      </c>
      <c r="I381" s="33"/>
      <c r="J381" s="34" t="str">
        <f t="shared" si="17"/>
        <v/>
      </c>
    </row>
    <row r="382" spans="1:10" s="27" customFormat="1" ht="23.1" customHeight="1">
      <c r="A382" s="194" t="str">
        <f>IF($C382="","",MAX($A$3:A381)+1)</f>
        <v/>
      </c>
      <c r="B382" s="197" t="str">
        <f t="shared" si="15"/>
        <v/>
      </c>
      <c r="C382" s="201"/>
      <c r="D382" s="199"/>
      <c r="E382" s="200"/>
      <c r="F382" s="196" t="str">
        <f>IF($B382="","",SUMIFS('Daily Inward'!$G:$G,'Daily Inward'!$C:$C,$B382,'Daily Inward'!$E:$E,"Patty Cash"))</f>
        <v/>
      </c>
      <c r="G382" s="30" t="str">
        <f>IF($B382="","",SUMIFS('Daily Issuance'!$G:$G,'Daily Issuance'!$C:$C,$B382,'Daily Issuance'!$E:$E,"Patty Cash"))</f>
        <v/>
      </c>
      <c r="H382" s="30" t="str">
        <f t="shared" si="16"/>
        <v/>
      </c>
      <c r="I382" s="33"/>
      <c r="J382" s="34" t="str">
        <f t="shared" si="17"/>
        <v/>
      </c>
    </row>
    <row r="383" spans="1:10" s="27" customFormat="1" ht="23.1" customHeight="1">
      <c r="A383" s="194" t="str">
        <f>IF($C383="","",MAX($A$3:A382)+1)</f>
        <v/>
      </c>
      <c r="B383" s="197" t="str">
        <f t="shared" si="15"/>
        <v/>
      </c>
      <c r="C383" s="201"/>
      <c r="D383" s="199"/>
      <c r="E383" s="200"/>
      <c r="F383" s="196" t="str">
        <f>IF($B383="","",SUMIFS('Daily Inward'!$G:$G,'Daily Inward'!$C:$C,$B383,'Daily Inward'!$E:$E,"Patty Cash"))</f>
        <v/>
      </c>
      <c r="G383" s="30" t="str">
        <f>IF($B383="","",SUMIFS('Daily Issuance'!$G:$G,'Daily Issuance'!$C:$C,$B383,'Daily Issuance'!$E:$E,"Patty Cash"))</f>
        <v/>
      </c>
      <c r="H383" s="30" t="str">
        <f t="shared" si="16"/>
        <v/>
      </c>
      <c r="I383" s="33"/>
      <c r="J383" s="34" t="str">
        <f t="shared" si="17"/>
        <v/>
      </c>
    </row>
    <row r="384" spans="1:10" s="27" customFormat="1" ht="23.1" customHeight="1">
      <c r="A384" s="194" t="str">
        <f>IF($C384="","",MAX($A$3:A383)+1)</f>
        <v/>
      </c>
      <c r="B384" s="197" t="str">
        <f t="shared" si="15"/>
        <v/>
      </c>
      <c r="C384" s="201"/>
      <c r="D384" s="199"/>
      <c r="E384" s="200"/>
      <c r="F384" s="196" t="str">
        <f>IF($B384="","",SUMIFS('Daily Inward'!$G:$G,'Daily Inward'!$C:$C,$B384,'Daily Inward'!$E:$E,"Patty Cash"))</f>
        <v/>
      </c>
      <c r="G384" s="30" t="str">
        <f>IF($B384="","",SUMIFS('Daily Issuance'!$G:$G,'Daily Issuance'!$C:$C,$B384,'Daily Issuance'!$E:$E,"Patty Cash"))</f>
        <v/>
      </c>
      <c r="H384" s="30" t="str">
        <f t="shared" si="16"/>
        <v/>
      </c>
      <c r="I384" s="33"/>
      <c r="J384" s="34" t="str">
        <f t="shared" si="17"/>
        <v/>
      </c>
    </row>
    <row r="385" spans="1:10" s="27" customFormat="1" ht="23.1" customHeight="1">
      <c r="A385" s="194" t="str">
        <f>IF($C385="","",MAX($A$3:A384)+1)</f>
        <v/>
      </c>
      <c r="B385" s="197" t="str">
        <f t="shared" si="15"/>
        <v/>
      </c>
      <c r="C385" s="201"/>
      <c r="D385" s="199"/>
      <c r="E385" s="200"/>
      <c r="F385" s="196" t="str">
        <f>IF($B385="","",SUMIFS('Daily Inward'!$G:$G,'Daily Inward'!$C:$C,$B385,'Daily Inward'!$E:$E,"Patty Cash"))</f>
        <v/>
      </c>
      <c r="G385" s="30" t="str">
        <f>IF($B385="","",SUMIFS('Daily Issuance'!$G:$G,'Daily Issuance'!$C:$C,$B385,'Daily Issuance'!$E:$E,"Patty Cash"))</f>
        <v/>
      </c>
      <c r="H385" s="30" t="str">
        <f t="shared" si="16"/>
        <v/>
      </c>
      <c r="I385" s="33"/>
      <c r="J385" s="34" t="str">
        <f t="shared" si="17"/>
        <v/>
      </c>
    </row>
    <row r="386" spans="1:10" s="27" customFormat="1" ht="23.1" customHeight="1">
      <c r="A386" s="194" t="str">
        <f>IF($C386="","",MAX($A$3:A385)+1)</f>
        <v/>
      </c>
      <c r="B386" s="197" t="str">
        <f t="shared" si="15"/>
        <v/>
      </c>
      <c r="C386" s="201"/>
      <c r="D386" s="199"/>
      <c r="E386" s="200"/>
      <c r="F386" s="196" t="str">
        <f>IF($B386="","",SUMIFS('Daily Inward'!$G:$G,'Daily Inward'!$C:$C,$B386,'Daily Inward'!$E:$E,"Patty Cash"))</f>
        <v/>
      </c>
      <c r="G386" s="30" t="str">
        <f>IF($B386="","",SUMIFS('Daily Issuance'!$G:$G,'Daily Issuance'!$C:$C,$B386,'Daily Issuance'!$E:$E,"Patty Cash"))</f>
        <v/>
      </c>
      <c r="H386" s="30" t="str">
        <f t="shared" si="16"/>
        <v/>
      </c>
      <c r="I386" s="33"/>
      <c r="J386" s="34" t="str">
        <f t="shared" si="17"/>
        <v/>
      </c>
    </row>
    <row r="387" spans="1:10" s="27" customFormat="1" ht="23.1" customHeight="1">
      <c r="A387" s="194" t="str">
        <f>IF($C387="","",MAX($A$3:A386)+1)</f>
        <v/>
      </c>
      <c r="B387" s="197" t="str">
        <f t="shared" si="15"/>
        <v/>
      </c>
      <c r="C387" s="201"/>
      <c r="D387" s="199"/>
      <c r="E387" s="200"/>
      <c r="F387" s="196" t="str">
        <f>IF($B387="","",SUMIFS('Daily Inward'!$G:$G,'Daily Inward'!$C:$C,$B387,'Daily Inward'!$E:$E,"Patty Cash"))</f>
        <v/>
      </c>
      <c r="G387" s="30" t="str">
        <f>IF($B387="","",SUMIFS('Daily Issuance'!$G:$G,'Daily Issuance'!$C:$C,$B387,'Daily Issuance'!$E:$E,"Patty Cash"))</f>
        <v/>
      </c>
      <c r="H387" s="30" t="str">
        <f t="shared" si="16"/>
        <v/>
      </c>
      <c r="I387" s="33"/>
      <c r="J387" s="34" t="str">
        <f t="shared" si="17"/>
        <v/>
      </c>
    </row>
    <row r="388" spans="1:10" s="27" customFormat="1" ht="23.1" customHeight="1">
      <c r="A388" s="194" t="str">
        <f>IF($C388="","",MAX($A$3:A387)+1)</f>
        <v/>
      </c>
      <c r="B388" s="197" t="str">
        <f t="shared" si="15"/>
        <v/>
      </c>
      <c r="C388" s="201"/>
      <c r="D388" s="199"/>
      <c r="E388" s="200"/>
      <c r="F388" s="196" t="str">
        <f>IF($B388="","",SUMIFS('Daily Inward'!$G:$G,'Daily Inward'!$C:$C,$B388,'Daily Inward'!$E:$E,"Patty Cash"))</f>
        <v/>
      </c>
      <c r="G388" s="30" t="str">
        <f>IF($B388="","",SUMIFS('Daily Issuance'!$G:$G,'Daily Issuance'!$C:$C,$B388,'Daily Issuance'!$E:$E,"Patty Cash"))</f>
        <v/>
      </c>
      <c r="H388" s="30" t="str">
        <f t="shared" si="16"/>
        <v/>
      </c>
      <c r="I388" s="33"/>
      <c r="J388" s="34" t="str">
        <f t="shared" si="17"/>
        <v/>
      </c>
    </row>
    <row r="389" spans="1:10" s="27" customFormat="1" ht="23.1" customHeight="1">
      <c r="A389" s="194" t="str">
        <f>IF($C389="","",MAX($A$3:A388)+1)</f>
        <v/>
      </c>
      <c r="B389" s="197" t="str">
        <f t="shared" ref="B389:B452" si="18">IF($C389="","","PTC"&amp;TEXT(ROW()-4,"000"))</f>
        <v/>
      </c>
      <c r="C389" s="201"/>
      <c r="D389" s="199"/>
      <c r="E389" s="200"/>
      <c r="F389" s="196" t="str">
        <f>IF($B389="","",SUMIFS('Daily Inward'!$G:$G,'Daily Inward'!$C:$C,$B389,'Daily Inward'!$E:$E,"Patty Cash"))</f>
        <v/>
      </c>
      <c r="G389" s="30" t="str">
        <f>IF($B389="","",SUMIFS('Daily Issuance'!$G:$G,'Daily Issuance'!$C:$C,$B389,'Daily Issuance'!$E:$E,"Patty Cash"))</f>
        <v/>
      </c>
      <c r="H389" s="30" t="str">
        <f t="shared" ref="H389:H452" si="19">IF($B389="","",F389-G389)</f>
        <v/>
      </c>
      <c r="I389" s="33"/>
      <c r="J389" s="34" t="str">
        <f t="shared" ref="J389:J452" si="20">IF(OR(H389="",I389=""),"",H389*I389)</f>
        <v/>
      </c>
    </row>
    <row r="390" spans="1:10" s="27" customFormat="1" ht="23.1" customHeight="1">
      <c r="A390" s="194" t="str">
        <f>IF($C390="","",MAX($A$3:A389)+1)</f>
        <v/>
      </c>
      <c r="B390" s="197" t="str">
        <f t="shared" si="18"/>
        <v/>
      </c>
      <c r="C390" s="201"/>
      <c r="D390" s="199"/>
      <c r="E390" s="200"/>
      <c r="F390" s="196" t="str">
        <f>IF($B390="","",SUMIFS('Daily Inward'!$G:$G,'Daily Inward'!$C:$C,$B390,'Daily Inward'!$E:$E,"Patty Cash"))</f>
        <v/>
      </c>
      <c r="G390" s="30" t="str">
        <f>IF($B390="","",SUMIFS('Daily Issuance'!$G:$G,'Daily Issuance'!$C:$C,$B390,'Daily Issuance'!$E:$E,"Patty Cash"))</f>
        <v/>
      </c>
      <c r="H390" s="30" t="str">
        <f t="shared" si="19"/>
        <v/>
      </c>
      <c r="I390" s="33"/>
      <c r="J390" s="34" t="str">
        <f t="shared" si="20"/>
        <v/>
      </c>
    </row>
    <row r="391" spans="1:10" s="27" customFormat="1" ht="23.1" customHeight="1">
      <c r="A391" s="194" t="str">
        <f>IF($C391="","",MAX($A$3:A390)+1)</f>
        <v/>
      </c>
      <c r="B391" s="197" t="str">
        <f t="shared" si="18"/>
        <v/>
      </c>
      <c r="C391" s="201"/>
      <c r="D391" s="199"/>
      <c r="E391" s="200"/>
      <c r="F391" s="196" t="str">
        <f>IF($B391="","",SUMIFS('Daily Inward'!$G:$G,'Daily Inward'!$C:$C,$B391,'Daily Inward'!$E:$E,"Patty Cash"))</f>
        <v/>
      </c>
      <c r="G391" s="30" t="str">
        <f>IF($B391="","",SUMIFS('Daily Issuance'!$G:$G,'Daily Issuance'!$C:$C,$B391,'Daily Issuance'!$E:$E,"Patty Cash"))</f>
        <v/>
      </c>
      <c r="H391" s="30" t="str">
        <f t="shared" si="19"/>
        <v/>
      </c>
      <c r="I391" s="33"/>
      <c r="J391" s="34" t="str">
        <f t="shared" si="20"/>
        <v/>
      </c>
    </row>
    <row r="392" spans="1:10" s="27" customFormat="1" ht="23.1" customHeight="1">
      <c r="A392" s="194" t="str">
        <f>IF($C392="","",MAX($A$3:A391)+1)</f>
        <v/>
      </c>
      <c r="B392" s="197" t="str">
        <f t="shared" si="18"/>
        <v/>
      </c>
      <c r="C392" s="201"/>
      <c r="D392" s="199"/>
      <c r="E392" s="200"/>
      <c r="F392" s="196" t="str">
        <f>IF($B392="","",SUMIFS('Daily Inward'!$G:$G,'Daily Inward'!$C:$C,$B392,'Daily Inward'!$E:$E,"Patty Cash"))</f>
        <v/>
      </c>
      <c r="G392" s="30" t="str">
        <f>IF($B392="","",SUMIFS('Daily Issuance'!$G:$G,'Daily Issuance'!$C:$C,$B392,'Daily Issuance'!$E:$E,"Patty Cash"))</f>
        <v/>
      </c>
      <c r="H392" s="30" t="str">
        <f t="shared" si="19"/>
        <v/>
      </c>
      <c r="I392" s="33"/>
      <c r="J392" s="34" t="str">
        <f t="shared" si="20"/>
        <v/>
      </c>
    </row>
    <row r="393" spans="1:10" s="27" customFormat="1" ht="23.1" customHeight="1">
      <c r="A393" s="194" t="str">
        <f>IF($C393="","",MAX($A$3:A392)+1)</f>
        <v/>
      </c>
      <c r="B393" s="197" t="str">
        <f t="shared" si="18"/>
        <v/>
      </c>
      <c r="C393" s="201"/>
      <c r="D393" s="199"/>
      <c r="E393" s="200"/>
      <c r="F393" s="196" t="str">
        <f>IF($B393="","",SUMIFS('Daily Inward'!$G:$G,'Daily Inward'!$C:$C,$B393,'Daily Inward'!$E:$E,"Patty Cash"))</f>
        <v/>
      </c>
      <c r="G393" s="30" t="str">
        <f>IF($B393="","",SUMIFS('Daily Issuance'!$G:$G,'Daily Issuance'!$C:$C,$B393,'Daily Issuance'!$E:$E,"Patty Cash"))</f>
        <v/>
      </c>
      <c r="H393" s="30" t="str">
        <f t="shared" si="19"/>
        <v/>
      </c>
      <c r="I393" s="33"/>
      <c r="J393" s="34" t="str">
        <f t="shared" si="20"/>
        <v/>
      </c>
    </row>
    <row r="394" spans="1:10" s="27" customFormat="1" ht="23.1" customHeight="1">
      <c r="A394" s="194" t="str">
        <f>IF($C394="","",MAX($A$3:A393)+1)</f>
        <v/>
      </c>
      <c r="B394" s="197" t="str">
        <f t="shared" si="18"/>
        <v/>
      </c>
      <c r="C394" s="201"/>
      <c r="D394" s="199"/>
      <c r="E394" s="200"/>
      <c r="F394" s="196" t="str">
        <f>IF($B394="","",SUMIFS('Daily Inward'!$G:$G,'Daily Inward'!$C:$C,$B394,'Daily Inward'!$E:$E,"Patty Cash"))</f>
        <v/>
      </c>
      <c r="G394" s="30" t="str">
        <f>IF($B394="","",SUMIFS('Daily Issuance'!$G:$G,'Daily Issuance'!$C:$C,$B394,'Daily Issuance'!$E:$E,"Patty Cash"))</f>
        <v/>
      </c>
      <c r="H394" s="30" t="str">
        <f t="shared" si="19"/>
        <v/>
      </c>
      <c r="I394" s="33"/>
      <c r="J394" s="34" t="str">
        <f t="shared" si="20"/>
        <v/>
      </c>
    </row>
    <row r="395" spans="1:10" s="27" customFormat="1" ht="23.1" customHeight="1">
      <c r="A395" s="194" t="str">
        <f>IF($C395="","",MAX($A$3:A394)+1)</f>
        <v/>
      </c>
      <c r="B395" s="197" t="str">
        <f t="shared" si="18"/>
        <v/>
      </c>
      <c r="C395" s="201"/>
      <c r="D395" s="199"/>
      <c r="E395" s="200"/>
      <c r="F395" s="196" t="str">
        <f>IF($B395="","",SUMIFS('Daily Inward'!$G:$G,'Daily Inward'!$C:$C,$B395,'Daily Inward'!$E:$E,"Patty Cash"))</f>
        <v/>
      </c>
      <c r="G395" s="30" t="str">
        <f>IF($B395="","",SUMIFS('Daily Issuance'!$G:$G,'Daily Issuance'!$C:$C,$B395,'Daily Issuance'!$E:$E,"Patty Cash"))</f>
        <v/>
      </c>
      <c r="H395" s="30" t="str">
        <f t="shared" si="19"/>
        <v/>
      </c>
      <c r="I395" s="33"/>
      <c r="J395" s="34" t="str">
        <f t="shared" si="20"/>
        <v/>
      </c>
    </row>
    <row r="396" spans="1:10" s="27" customFormat="1" ht="23.1" customHeight="1">
      <c r="A396" s="194" t="str">
        <f>IF($C396="","",MAX($A$3:A395)+1)</f>
        <v/>
      </c>
      <c r="B396" s="197" t="str">
        <f t="shared" si="18"/>
        <v/>
      </c>
      <c r="C396" s="201"/>
      <c r="D396" s="199"/>
      <c r="E396" s="200"/>
      <c r="F396" s="196" t="str">
        <f>IF($B396="","",SUMIFS('Daily Inward'!$G:$G,'Daily Inward'!$C:$C,$B396,'Daily Inward'!$E:$E,"Patty Cash"))</f>
        <v/>
      </c>
      <c r="G396" s="30" t="str">
        <f>IF($B396="","",SUMIFS('Daily Issuance'!$G:$G,'Daily Issuance'!$C:$C,$B396,'Daily Issuance'!$E:$E,"Patty Cash"))</f>
        <v/>
      </c>
      <c r="H396" s="30" t="str">
        <f t="shared" si="19"/>
        <v/>
      </c>
      <c r="I396" s="33"/>
      <c r="J396" s="34" t="str">
        <f t="shared" si="20"/>
        <v/>
      </c>
    </row>
    <row r="397" spans="1:10" s="27" customFormat="1" ht="23.1" customHeight="1">
      <c r="A397" s="194" t="str">
        <f>IF($C397="","",MAX($A$3:A396)+1)</f>
        <v/>
      </c>
      <c r="B397" s="197" t="str">
        <f t="shared" si="18"/>
        <v/>
      </c>
      <c r="C397" s="201"/>
      <c r="D397" s="199"/>
      <c r="E397" s="200"/>
      <c r="F397" s="196" t="str">
        <f>IF($B397="","",SUMIFS('Daily Inward'!$G:$G,'Daily Inward'!$C:$C,$B397,'Daily Inward'!$E:$E,"Patty Cash"))</f>
        <v/>
      </c>
      <c r="G397" s="30" t="str">
        <f>IF($B397="","",SUMIFS('Daily Issuance'!$G:$G,'Daily Issuance'!$C:$C,$B397,'Daily Issuance'!$E:$E,"Patty Cash"))</f>
        <v/>
      </c>
      <c r="H397" s="30" t="str">
        <f t="shared" si="19"/>
        <v/>
      </c>
      <c r="I397" s="33"/>
      <c r="J397" s="34" t="str">
        <f t="shared" si="20"/>
        <v/>
      </c>
    </row>
    <row r="398" spans="1:10" s="27" customFormat="1" ht="23.1" customHeight="1">
      <c r="A398" s="194" t="str">
        <f>IF($C398="","",MAX($A$3:A397)+1)</f>
        <v/>
      </c>
      <c r="B398" s="197" t="str">
        <f t="shared" si="18"/>
        <v/>
      </c>
      <c r="C398" s="201"/>
      <c r="D398" s="199"/>
      <c r="E398" s="200"/>
      <c r="F398" s="196" t="str">
        <f>IF($B398="","",SUMIFS('Daily Inward'!$G:$G,'Daily Inward'!$C:$C,$B398,'Daily Inward'!$E:$E,"Patty Cash"))</f>
        <v/>
      </c>
      <c r="G398" s="30" t="str">
        <f>IF($B398="","",SUMIFS('Daily Issuance'!$G:$G,'Daily Issuance'!$C:$C,$B398,'Daily Issuance'!$E:$E,"Patty Cash"))</f>
        <v/>
      </c>
      <c r="H398" s="30" t="str">
        <f t="shared" si="19"/>
        <v/>
      </c>
      <c r="I398" s="33"/>
      <c r="J398" s="34" t="str">
        <f t="shared" si="20"/>
        <v/>
      </c>
    </row>
    <row r="399" spans="1:10" s="27" customFormat="1" ht="23.1" customHeight="1">
      <c r="A399" s="194" t="str">
        <f>IF($C399="","",MAX($A$3:A398)+1)</f>
        <v/>
      </c>
      <c r="B399" s="197" t="str">
        <f t="shared" si="18"/>
        <v/>
      </c>
      <c r="C399" s="201"/>
      <c r="D399" s="199"/>
      <c r="E399" s="200"/>
      <c r="F399" s="196" t="str">
        <f>IF($B399="","",SUMIFS('Daily Inward'!$G:$G,'Daily Inward'!$C:$C,$B399,'Daily Inward'!$E:$E,"Patty Cash"))</f>
        <v/>
      </c>
      <c r="G399" s="30" t="str">
        <f>IF($B399="","",SUMIFS('Daily Issuance'!$G:$G,'Daily Issuance'!$C:$C,$B399,'Daily Issuance'!$E:$E,"Patty Cash"))</f>
        <v/>
      </c>
      <c r="H399" s="30" t="str">
        <f t="shared" si="19"/>
        <v/>
      </c>
      <c r="I399" s="33"/>
      <c r="J399" s="34" t="str">
        <f t="shared" si="20"/>
        <v/>
      </c>
    </row>
    <row r="400" spans="1:10" s="27" customFormat="1" ht="23.1" customHeight="1">
      <c r="A400" s="194" t="str">
        <f>IF($C400="","",MAX($A$3:A399)+1)</f>
        <v/>
      </c>
      <c r="B400" s="197" t="str">
        <f t="shared" si="18"/>
        <v/>
      </c>
      <c r="C400" s="201"/>
      <c r="D400" s="199"/>
      <c r="E400" s="200"/>
      <c r="F400" s="196" t="str">
        <f>IF($B400="","",SUMIFS('Daily Inward'!$G:$G,'Daily Inward'!$C:$C,$B400,'Daily Inward'!$E:$E,"Patty Cash"))</f>
        <v/>
      </c>
      <c r="G400" s="30" t="str">
        <f>IF($B400="","",SUMIFS('Daily Issuance'!$G:$G,'Daily Issuance'!$C:$C,$B400,'Daily Issuance'!$E:$E,"Patty Cash"))</f>
        <v/>
      </c>
      <c r="H400" s="30" t="str">
        <f t="shared" si="19"/>
        <v/>
      </c>
      <c r="I400" s="33"/>
      <c r="J400" s="34" t="str">
        <f t="shared" si="20"/>
        <v/>
      </c>
    </row>
    <row r="401" spans="1:10" s="27" customFormat="1" ht="23.1" customHeight="1">
      <c r="A401" s="194" t="str">
        <f>IF($C401="","",MAX($A$3:A400)+1)</f>
        <v/>
      </c>
      <c r="B401" s="197" t="str">
        <f t="shared" si="18"/>
        <v/>
      </c>
      <c r="C401" s="201"/>
      <c r="D401" s="199"/>
      <c r="E401" s="200"/>
      <c r="F401" s="196" t="str">
        <f>IF($B401="","",SUMIFS('Daily Inward'!$G:$G,'Daily Inward'!$C:$C,$B401,'Daily Inward'!$E:$E,"Patty Cash"))</f>
        <v/>
      </c>
      <c r="G401" s="30" t="str">
        <f>IF($B401="","",SUMIFS('Daily Issuance'!$G:$G,'Daily Issuance'!$C:$C,$B401,'Daily Issuance'!$E:$E,"Patty Cash"))</f>
        <v/>
      </c>
      <c r="H401" s="30" t="str">
        <f t="shared" si="19"/>
        <v/>
      </c>
      <c r="I401" s="33"/>
      <c r="J401" s="34" t="str">
        <f t="shared" si="20"/>
        <v/>
      </c>
    </row>
    <row r="402" spans="1:10" s="27" customFormat="1" ht="23.1" customHeight="1">
      <c r="A402" s="194" t="str">
        <f>IF($C402="","",MAX($A$3:A401)+1)</f>
        <v/>
      </c>
      <c r="B402" s="197" t="str">
        <f t="shared" si="18"/>
        <v/>
      </c>
      <c r="C402" s="201"/>
      <c r="D402" s="199"/>
      <c r="E402" s="200"/>
      <c r="F402" s="196" t="str">
        <f>IF($B402="","",SUMIFS('Daily Inward'!$G:$G,'Daily Inward'!$C:$C,$B402,'Daily Inward'!$E:$E,"Patty Cash"))</f>
        <v/>
      </c>
      <c r="G402" s="30" t="str">
        <f>IF($B402="","",SUMIFS('Daily Issuance'!$G:$G,'Daily Issuance'!$C:$C,$B402,'Daily Issuance'!$E:$E,"Patty Cash"))</f>
        <v/>
      </c>
      <c r="H402" s="30" t="str">
        <f t="shared" si="19"/>
        <v/>
      </c>
      <c r="I402" s="33"/>
      <c r="J402" s="34" t="str">
        <f t="shared" si="20"/>
        <v/>
      </c>
    </row>
    <row r="403" spans="1:10" s="27" customFormat="1" ht="23.1" customHeight="1">
      <c r="A403" s="194" t="str">
        <f>IF($C403="","",MAX($A$3:A402)+1)</f>
        <v/>
      </c>
      <c r="B403" s="197" t="str">
        <f t="shared" si="18"/>
        <v/>
      </c>
      <c r="C403" s="201"/>
      <c r="D403" s="199"/>
      <c r="E403" s="200"/>
      <c r="F403" s="196" t="str">
        <f>IF($B403="","",SUMIFS('Daily Inward'!$G:$G,'Daily Inward'!$C:$C,$B403,'Daily Inward'!$E:$E,"Patty Cash"))</f>
        <v/>
      </c>
      <c r="G403" s="30" t="str">
        <f>IF($B403="","",SUMIFS('Daily Issuance'!$G:$G,'Daily Issuance'!$C:$C,$B403,'Daily Issuance'!$E:$E,"Patty Cash"))</f>
        <v/>
      </c>
      <c r="H403" s="30" t="str">
        <f t="shared" si="19"/>
        <v/>
      </c>
      <c r="I403" s="33"/>
      <c r="J403" s="34" t="str">
        <f t="shared" si="20"/>
        <v/>
      </c>
    </row>
    <row r="404" spans="1:10" s="27" customFormat="1" ht="23.1" customHeight="1">
      <c r="A404" s="194" t="str">
        <f>IF($C404="","",MAX($A$3:A403)+1)</f>
        <v/>
      </c>
      <c r="B404" s="197" t="str">
        <f t="shared" si="18"/>
        <v/>
      </c>
      <c r="C404" s="201"/>
      <c r="D404" s="199"/>
      <c r="E404" s="200"/>
      <c r="F404" s="196" t="str">
        <f>IF($B404="","",SUMIFS('Daily Inward'!$G:$G,'Daily Inward'!$C:$C,$B404,'Daily Inward'!$E:$E,"Patty Cash"))</f>
        <v/>
      </c>
      <c r="G404" s="30" t="str">
        <f>IF($B404="","",SUMIFS('Daily Issuance'!$G:$G,'Daily Issuance'!$C:$C,$B404,'Daily Issuance'!$E:$E,"Patty Cash"))</f>
        <v/>
      </c>
      <c r="H404" s="30" t="str">
        <f t="shared" si="19"/>
        <v/>
      </c>
      <c r="I404" s="33"/>
      <c r="J404" s="34" t="str">
        <f t="shared" si="20"/>
        <v/>
      </c>
    </row>
    <row r="405" spans="1:10" s="27" customFormat="1" ht="23.1" customHeight="1">
      <c r="A405" s="194" t="str">
        <f>IF($C405="","",MAX($A$3:A404)+1)</f>
        <v/>
      </c>
      <c r="B405" s="197" t="str">
        <f t="shared" si="18"/>
        <v/>
      </c>
      <c r="C405" s="201"/>
      <c r="D405" s="199"/>
      <c r="E405" s="200"/>
      <c r="F405" s="196" t="str">
        <f>IF($B405="","",SUMIFS('Daily Inward'!$G:$G,'Daily Inward'!$C:$C,$B405,'Daily Inward'!$E:$E,"Patty Cash"))</f>
        <v/>
      </c>
      <c r="G405" s="30" t="str">
        <f>IF($B405="","",SUMIFS('Daily Issuance'!$G:$G,'Daily Issuance'!$C:$C,$B405,'Daily Issuance'!$E:$E,"Patty Cash"))</f>
        <v/>
      </c>
      <c r="H405" s="30" t="str">
        <f t="shared" si="19"/>
        <v/>
      </c>
      <c r="I405" s="33"/>
      <c r="J405" s="34" t="str">
        <f t="shared" si="20"/>
        <v/>
      </c>
    </row>
    <row r="406" spans="1:10" s="27" customFormat="1" ht="23.1" customHeight="1">
      <c r="A406" s="194" t="str">
        <f>IF($C406="","",MAX($A$3:A405)+1)</f>
        <v/>
      </c>
      <c r="B406" s="197" t="str">
        <f t="shared" si="18"/>
        <v/>
      </c>
      <c r="C406" s="201"/>
      <c r="D406" s="199"/>
      <c r="E406" s="200"/>
      <c r="F406" s="196" t="str">
        <f>IF($B406="","",SUMIFS('Daily Inward'!$G:$G,'Daily Inward'!$C:$C,$B406,'Daily Inward'!$E:$E,"Patty Cash"))</f>
        <v/>
      </c>
      <c r="G406" s="30" t="str">
        <f>IF($B406="","",SUMIFS('Daily Issuance'!$G:$G,'Daily Issuance'!$C:$C,$B406,'Daily Issuance'!$E:$E,"Patty Cash"))</f>
        <v/>
      </c>
      <c r="H406" s="30" t="str">
        <f t="shared" si="19"/>
        <v/>
      </c>
      <c r="I406" s="33"/>
      <c r="J406" s="34" t="str">
        <f t="shared" si="20"/>
        <v/>
      </c>
    </row>
    <row r="407" spans="1:10" s="27" customFormat="1" ht="23.1" customHeight="1">
      <c r="A407" s="194" t="str">
        <f>IF($C407="","",MAX($A$3:A406)+1)</f>
        <v/>
      </c>
      <c r="B407" s="197" t="str">
        <f t="shared" si="18"/>
        <v/>
      </c>
      <c r="C407" s="201"/>
      <c r="D407" s="199"/>
      <c r="E407" s="200"/>
      <c r="F407" s="196" t="str">
        <f>IF($B407="","",SUMIFS('Daily Inward'!$G:$G,'Daily Inward'!$C:$C,$B407,'Daily Inward'!$E:$E,"Patty Cash"))</f>
        <v/>
      </c>
      <c r="G407" s="30" t="str">
        <f>IF($B407="","",SUMIFS('Daily Issuance'!$G:$G,'Daily Issuance'!$C:$C,$B407,'Daily Issuance'!$E:$E,"Patty Cash"))</f>
        <v/>
      </c>
      <c r="H407" s="30" t="str">
        <f t="shared" si="19"/>
        <v/>
      </c>
      <c r="I407" s="33"/>
      <c r="J407" s="34" t="str">
        <f t="shared" si="20"/>
        <v/>
      </c>
    </row>
    <row r="408" spans="1:10" s="27" customFormat="1" ht="23.1" customHeight="1">
      <c r="A408" s="194" t="str">
        <f>IF($C408="","",MAX($A$3:A407)+1)</f>
        <v/>
      </c>
      <c r="B408" s="197" t="str">
        <f t="shared" si="18"/>
        <v/>
      </c>
      <c r="C408" s="201"/>
      <c r="D408" s="199"/>
      <c r="E408" s="200"/>
      <c r="F408" s="196" t="str">
        <f>IF($B408="","",SUMIFS('Daily Inward'!$G:$G,'Daily Inward'!$C:$C,$B408,'Daily Inward'!$E:$E,"Patty Cash"))</f>
        <v/>
      </c>
      <c r="G408" s="30" t="str">
        <f>IF($B408="","",SUMIFS('Daily Issuance'!$G:$G,'Daily Issuance'!$C:$C,$B408,'Daily Issuance'!$E:$E,"Patty Cash"))</f>
        <v/>
      </c>
      <c r="H408" s="30" t="str">
        <f t="shared" si="19"/>
        <v/>
      </c>
      <c r="I408" s="33"/>
      <c r="J408" s="34" t="str">
        <f t="shared" si="20"/>
        <v/>
      </c>
    </row>
    <row r="409" spans="1:10" s="27" customFormat="1" ht="23.1" customHeight="1">
      <c r="A409" s="194" t="str">
        <f>IF($C409="","",MAX($A$3:A408)+1)</f>
        <v/>
      </c>
      <c r="B409" s="197" t="str">
        <f t="shared" si="18"/>
        <v/>
      </c>
      <c r="C409" s="201"/>
      <c r="D409" s="199"/>
      <c r="E409" s="200"/>
      <c r="F409" s="196" t="str">
        <f>IF($B409="","",SUMIFS('Daily Inward'!$G:$G,'Daily Inward'!$C:$C,$B409,'Daily Inward'!$E:$E,"Patty Cash"))</f>
        <v/>
      </c>
      <c r="G409" s="30" t="str">
        <f>IF($B409="","",SUMIFS('Daily Issuance'!$G:$G,'Daily Issuance'!$C:$C,$B409,'Daily Issuance'!$E:$E,"Patty Cash"))</f>
        <v/>
      </c>
      <c r="H409" s="30" t="str">
        <f t="shared" si="19"/>
        <v/>
      </c>
      <c r="I409" s="33"/>
      <c r="J409" s="34" t="str">
        <f t="shared" si="20"/>
        <v/>
      </c>
    </row>
    <row r="410" spans="1:10" s="27" customFormat="1" ht="23.1" customHeight="1">
      <c r="A410" s="194" t="str">
        <f>IF($C410="","",MAX($A$3:A409)+1)</f>
        <v/>
      </c>
      <c r="B410" s="197" t="str">
        <f t="shared" si="18"/>
        <v/>
      </c>
      <c r="C410" s="201"/>
      <c r="D410" s="199"/>
      <c r="E410" s="200"/>
      <c r="F410" s="196" t="str">
        <f>IF($B410="","",SUMIFS('Daily Inward'!$G:$G,'Daily Inward'!$C:$C,$B410,'Daily Inward'!$E:$E,"Patty Cash"))</f>
        <v/>
      </c>
      <c r="G410" s="30" t="str">
        <f>IF($B410="","",SUMIFS('Daily Issuance'!$G:$G,'Daily Issuance'!$C:$C,$B410,'Daily Issuance'!$E:$E,"Patty Cash"))</f>
        <v/>
      </c>
      <c r="H410" s="30" t="str">
        <f t="shared" si="19"/>
        <v/>
      </c>
      <c r="I410" s="33"/>
      <c r="J410" s="34" t="str">
        <f t="shared" si="20"/>
        <v/>
      </c>
    </row>
    <row r="411" spans="1:10" s="27" customFormat="1" ht="23.1" customHeight="1">
      <c r="A411" s="194" t="str">
        <f>IF($C411="","",MAX($A$3:A410)+1)</f>
        <v/>
      </c>
      <c r="B411" s="197" t="str">
        <f t="shared" si="18"/>
        <v/>
      </c>
      <c r="C411" s="201"/>
      <c r="D411" s="199"/>
      <c r="E411" s="200"/>
      <c r="F411" s="196" t="str">
        <f>IF($B411="","",SUMIFS('Daily Inward'!$G:$G,'Daily Inward'!$C:$C,$B411,'Daily Inward'!$E:$E,"Patty Cash"))</f>
        <v/>
      </c>
      <c r="G411" s="30" t="str">
        <f>IF($B411="","",SUMIFS('Daily Issuance'!$G:$G,'Daily Issuance'!$C:$C,$B411,'Daily Issuance'!$E:$E,"Patty Cash"))</f>
        <v/>
      </c>
      <c r="H411" s="30" t="str">
        <f t="shared" si="19"/>
        <v/>
      </c>
      <c r="I411" s="33"/>
      <c r="J411" s="34" t="str">
        <f t="shared" si="20"/>
        <v/>
      </c>
    </row>
    <row r="412" spans="1:10" s="27" customFormat="1" ht="23.1" customHeight="1">
      <c r="A412" s="194" t="str">
        <f>IF($C412="","",MAX($A$3:A411)+1)</f>
        <v/>
      </c>
      <c r="B412" s="197" t="str">
        <f t="shared" si="18"/>
        <v/>
      </c>
      <c r="C412" s="201"/>
      <c r="D412" s="199"/>
      <c r="E412" s="200"/>
      <c r="F412" s="196" t="str">
        <f>IF($B412="","",SUMIFS('Daily Inward'!$G:$G,'Daily Inward'!$C:$C,$B412,'Daily Inward'!$E:$E,"Patty Cash"))</f>
        <v/>
      </c>
      <c r="G412" s="30" t="str">
        <f>IF($B412="","",SUMIFS('Daily Issuance'!$G:$G,'Daily Issuance'!$C:$C,$B412,'Daily Issuance'!$E:$E,"Patty Cash"))</f>
        <v/>
      </c>
      <c r="H412" s="30" t="str">
        <f t="shared" si="19"/>
        <v/>
      </c>
      <c r="I412" s="33"/>
      <c r="J412" s="34" t="str">
        <f t="shared" si="20"/>
        <v/>
      </c>
    </row>
    <row r="413" spans="1:10" s="27" customFormat="1" ht="23.1" customHeight="1">
      <c r="A413" s="194" t="str">
        <f>IF($C413="","",MAX($A$3:A412)+1)</f>
        <v/>
      </c>
      <c r="B413" s="197" t="str">
        <f t="shared" si="18"/>
        <v/>
      </c>
      <c r="C413" s="201"/>
      <c r="D413" s="199"/>
      <c r="E413" s="200"/>
      <c r="F413" s="196" t="str">
        <f>IF($B413="","",SUMIFS('Daily Inward'!$G:$G,'Daily Inward'!$C:$C,$B413,'Daily Inward'!$E:$E,"Patty Cash"))</f>
        <v/>
      </c>
      <c r="G413" s="30" t="str">
        <f>IF($B413="","",SUMIFS('Daily Issuance'!$G:$G,'Daily Issuance'!$C:$C,$B413,'Daily Issuance'!$E:$E,"Patty Cash"))</f>
        <v/>
      </c>
      <c r="H413" s="30" t="str">
        <f t="shared" si="19"/>
        <v/>
      </c>
      <c r="I413" s="33"/>
      <c r="J413" s="34" t="str">
        <f t="shared" si="20"/>
        <v/>
      </c>
    </row>
    <row r="414" spans="1:10" s="27" customFormat="1" ht="23.1" customHeight="1">
      <c r="A414" s="194" t="str">
        <f>IF($C414="","",MAX($A$3:A413)+1)</f>
        <v/>
      </c>
      <c r="B414" s="197" t="str">
        <f t="shared" si="18"/>
        <v/>
      </c>
      <c r="C414" s="201"/>
      <c r="D414" s="199"/>
      <c r="E414" s="200"/>
      <c r="F414" s="196" t="str">
        <f>IF($B414="","",SUMIFS('Daily Inward'!$G:$G,'Daily Inward'!$C:$C,$B414,'Daily Inward'!$E:$E,"Patty Cash"))</f>
        <v/>
      </c>
      <c r="G414" s="30" t="str">
        <f>IF($B414="","",SUMIFS('Daily Issuance'!$G:$G,'Daily Issuance'!$C:$C,$B414,'Daily Issuance'!$E:$E,"Patty Cash"))</f>
        <v/>
      </c>
      <c r="H414" s="30" t="str">
        <f t="shared" si="19"/>
        <v/>
      </c>
      <c r="I414" s="33"/>
      <c r="J414" s="34" t="str">
        <f t="shared" si="20"/>
        <v/>
      </c>
    </row>
    <row r="415" spans="1:10" s="27" customFormat="1" ht="23.1" customHeight="1">
      <c r="A415" s="194" t="str">
        <f>IF($C415="","",MAX($A$3:A414)+1)</f>
        <v/>
      </c>
      <c r="B415" s="197" t="str">
        <f t="shared" si="18"/>
        <v/>
      </c>
      <c r="C415" s="201"/>
      <c r="D415" s="199"/>
      <c r="E415" s="200"/>
      <c r="F415" s="196" t="str">
        <f>IF($B415="","",SUMIFS('Daily Inward'!$G:$G,'Daily Inward'!$C:$C,$B415,'Daily Inward'!$E:$E,"Patty Cash"))</f>
        <v/>
      </c>
      <c r="G415" s="30" t="str">
        <f>IF($B415="","",SUMIFS('Daily Issuance'!$G:$G,'Daily Issuance'!$C:$C,$B415,'Daily Issuance'!$E:$E,"Patty Cash"))</f>
        <v/>
      </c>
      <c r="H415" s="30" t="str">
        <f t="shared" si="19"/>
        <v/>
      </c>
      <c r="I415" s="33"/>
      <c r="J415" s="34" t="str">
        <f t="shared" si="20"/>
        <v/>
      </c>
    </row>
    <row r="416" spans="1:10" s="27" customFormat="1" ht="23.1" customHeight="1">
      <c r="A416" s="194" t="str">
        <f>IF($C416="","",MAX($A$3:A415)+1)</f>
        <v/>
      </c>
      <c r="B416" s="197" t="str">
        <f t="shared" si="18"/>
        <v/>
      </c>
      <c r="C416" s="201"/>
      <c r="D416" s="199"/>
      <c r="E416" s="200"/>
      <c r="F416" s="196" t="str">
        <f>IF($B416="","",SUMIFS('Daily Inward'!$G:$G,'Daily Inward'!$C:$C,$B416,'Daily Inward'!$E:$E,"Patty Cash"))</f>
        <v/>
      </c>
      <c r="G416" s="30" t="str">
        <f>IF($B416="","",SUMIFS('Daily Issuance'!$G:$G,'Daily Issuance'!$C:$C,$B416,'Daily Issuance'!$E:$E,"Patty Cash"))</f>
        <v/>
      </c>
      <c r="H416" s="30" t="str">
        <f t="shared" si="19"/>
        <v/>
      </c>
      <c r="I416" s="33"/>
      <c r="J416" s="34" t="str">
        <f t="shared" si="20"/>
        <v/>
      </c>
    </row>
    <row r="417" spans="1:10" s="27" customFormat="1" ht="23.1" customHeight="1">
      <c r="A417" s="194" t="str">
        <f>IF($C417="","",MAX($A$3:A416)+1)</f>
        <v/>
      </c>
      <c r="B417" s="197" t="str">
        <f t="shared" si="18"/>
        <v/>
      </c>
      <c r="C417" s="201"/>
      <c r="D417" s="199"/>
      <c r="E417" s="200"/>
      <c r="F417" s="196" t="str">
        <f>IF($B417="","",SUMIFS('Daily Inward'!$G:$G,'Daily Inward'!$C:$C,$B417,'Daily Inward'!$E:$E,"Patty Cash"))</f>
        <v/>
      </c>
      <c r="G417" s="30" t="str">
        <f>IF($B417="","",SUMIFS('Daily Issuance'!$G:$G,'Daily Issuance'!$C:$C,$B417,'Daily Issuance'!$E:$E,"Patty Cash"))</f>
        <v/>
      </c>
      <c r="H417" s="30" t="str">
        <f t="shared" si="19"/>
        <v/>
      </c>
      <c r="I417" s="33"/>
      <c r="J417" s="34" t="str">
        <f t="shared" si="20"/>
        <v/>
      </c>
    </row>
    <row r="418" spans="1:10" s="27" customFormat="1" ht="23.1" customHeight="1">
      <c r="A418" s="194" t="str">
        <f>IF($C418="","",MAX($A$3:A417)+1)</f>
        <v/>
      </c>
      <c r="B418" s="197" t="str">
        <f t="shared" si="18"/>
        <v/>
      </c>
      <c r="C418" s="201"/>
      <c r="D418" s="199"/>
      <c r="E418" s="200"/>
      <c r="F418" s="196" t="str">
        <f>IF($B418="","",SUMIFS('Daily Inward'!$G:$G,'Daily Inward'!$C:$C,$B418,'Daily Inward'!$E:$E,"Patty Cash"))</f>
        <v/>
      </c>
      <c r="G418" s="30" t="str">
        <f>IF($B418="","",SUMIFS('Daily Issuance'!$G:$G,'Daily Issuance'!$C:$C,$B418,'Daily Issuance'!$E:$E,"Patty Cash"))</f>
        <v/>
      </c>
      <c r="H418" s="30" t="str">
        <f t="shared" si="19"/>
        <v/>
      </c>
      <c r="I418" s="33"/>
      <c r="J418" s="34" t="str">
        <f t="shared" si="20"/>
        <v/>
      </c>
    </row>
    <row r="419" spans="1:10" s="27" customFormat="1" ht="23.1" customHeight="1">
      <c r="A419" s="194" t="str">
        <f>IF($C419="","",MAX($A$3:A418)+1)</f>
        <v/>
      </c>
      <c r="B419" s="197" t="str">
        <f t="shared" si="18"/>
        <v/>
      </c>
      <c r="C419" s="201"/>
      <c r="D419" s="199"/>
      <c r="E419" s="200"/>
      <c r="F419" s="196" t="str">
        <f>IF($B419="","",SUMIFS('Daily Inward'!$G:$G,'Daily Inward'!$C:$C,$B419,'Daily Inward'!$E:$E,"Patty Cash"))</f>
        <v/>
      </c>
      <c r="G419" s="30" t="str">
        <f>IF($B419="","",SUMIFS('Daily Issuance'!$G:$G,'Daily Issuance'!$C:$C,$B419,'Daily Issuance'!$E:$E,"Patty Cash"))</f>
        <v/>
      </c>
      <c r="H419" s="30" t="str">
        <f t="shared" si="19"/>
        <v/>
      </c>
      <c r="I419" s="33"/>
      <c r="J419" s="34" t="str">
        <f t="shared" si="20"/>
        <v/>
      </c>
    </row>
    <row r="420" spans="1:10" s="27" customFormat="1" ht="23.1" customHeight="1">
      <c r="A420" s="194" t="str">
        <f>IF($C420="","",MAX($A$3:A419)+1)</f>
        <v/>
      </c>
      <c r="B420" s="197" t="str">
        <f t="shared" si="18"/>
        <v/>
      </c>
      <c r="C420" s="201"/>
      <c r="D420" s="199"/>
      <c r="E420" s="200"/>
      <c r="F420" s="196" t="str">
        <f>IF($B420="","",SUMIFS('Daily Inward'!$G:$G,'Daily Inward'!$C:$C,$B420,'Daily Inward'!$E:$E,"Patty Cash"))</f>
        <v/>
      </c>
      <c r="G420" s="30" t="str">
        <f>IF($B420="","",SUMIFS('Daily Issuance'!$G:$G,'Daily Issuance'!$C:$C,$B420,'Daily Issuance'!$E:$E,"Patty Cash"))</f>
        <v/>
      </c>
      <c r="H420" s="30" t="str">
        <f t="shared" si="19"/>
        <v/>
      </c>
      <c r="I420" s="33"/>
      <c r="J420" s="34" t="str">
        <f t="shared" si="20"/>
        <v/>
      </c>
    </row>
    <row r="421" spans="1:10" s="27" customFormat="1" ht="23.1" customHeight="1">
      <c r="A421" s="194" t="str">
        <f>IF($C421="","",MAX($A$3:A420)+1)</f>
        <v/>
      </c>
      <c r="B421" s="197" t="str">
        <f t="shared" si="18"/>
        <v/>
      </c>
      <c r="C421" s="201"/>
      <c r="D421" s="199"/>
      <c r="E421" s="200"/>
      <c r="F421" s="196" t="str">
        <f>IF($B421="","",SUMIFS('Daily Inward'!$G:$G,'Daily Inward'!$C:$C,$B421,'Daily Inward'!$E:$E,"Patty Cash"))</f>
        <v/>
      </c>
      <c r="G421" s="30" t="str">
        <f>IF($B421="","",SUMIFS('Daily Issuance'!$G:$G,'Daily Issuance'!$C:$C,$B421,'Daily Issuance'!$E:$E,"Patty Cash"))</f>
        <v/>
      </c>
      <c r="H421" s="30" t="str">
        <f t="shared" si="19"/>
        <v/>
      </c>
      <c r="I421" s="33"/>
      <c r="J421" s="34" t="str">
        <f t="shared" si="20"/>
        <v/>
      </c>
    </row>
    <row r="422" spans="1:10" s="27" customFormat="1" ht="23.1" customHeight="1">
      <c r="A422" s="194" t="str">
        <f>IF($C422="","",MAX($A$3:A421)+1)</f>
        <v/>
      </c>
      <c r="B422" s="197" t="str">
        <f t="shared" si="18"/>
        <v/>
      </c>
      <c r="C422" s="201"/>
      <c r="D422" s="199"/>
      <c r="E422" s="200"/>
      <c r="F422" s="196" t="str">
        <f>IF($B422="","",SUMIFS('Daily Inward'!$G:$G,'Daily Inward'!$C:$C,$B422,'Daily Inward'!$E:$E,"Patty Cash"))</f>
        <v/>
      </c>
      <c r="G422" s="30" t="str">
        <f>IF($B422="","",SUMIFS('Daily Issuance'!$G:$G,'Daily Issuance'!$C:$C,$B422,'Daily Issuance'!$E:$E,"Patty Cash"))</f>
        <v/>
      </c>
      <c r="H422" s="30" t="str">
        <f t="shared" si="19"/>
        <v/>
      </c>
      <c r="I422" s="33"/>
      <c r="J422" s="34" t="str">
        <f t="shared" si="20"/>
        <v/>
      </c>
    </row>
    <row r="423" spans="1:10" s="27" customFormat="1" ht="23.1" customHeight="1">
      <c r="A423" s="194" t="str">
        <f>IF($C423="","",MAX($A$3:A422)+1)</f>
        <v/>
      </c>
      <c r="B423" s="197" t="str">
        <f t="shared" si="18"/>
        <v/>
      </c>
      <c r="C423" s="201"/>
      <c r="D423" s="199"/>
      <c r="E423" s="200"/>
      <c r="F423" s="196" t="str">
        <f>IF($B423="","",SUMIFS('Daily Inward'!$G:$G,'Daily Inward'!$C:$C,$B423,'Daily Inward'!$E:$E,"Patty Cash"))</f>
        <v/>
      </c>
      <c r="G423" s="30" t="str">
        <f>IF($B423="","",SUMIFS('Daily Issuance'!$G:$G,'Daily Issuance'!$C:$C,$B423,'Daily Issuance'!$E:$E,"Patty Cash"))</f>
        <v/>
      </c>
      <c r="H423" s="30" t="str">
        <f t="shared" si="19"/>
        <v/>
      </c>
      <c r="I423" s="33"/>
      <c r="J423" s="34" t="str">
        <f t="shared" si="20"/>
        <v/>
      </c>
    </row>
    <row r="424" spans="1:10" s="27" customFormat="1" ht="23.1" customHeight="1">
      <c r="A424" s="194" t="str">
        <f>IF($C424="","",MAX($A$3:A423)+1)</f>
        <v/>
      </c>
      <c r="B424" s="197" t="str">
        <f t="shared" si="18"/>
        <v/>
      </c>
      <c r="C424" s="201"/>
      <c r="D424" s="199"/>
      <c r="E424" s="200"/>
      <c r="F424" s="196" t="str">
        <f>IF($B424="","",SUMIFS('Daily Inward'!$G:$G,'Daily Inward'!$C:$C,$B424,'Daily Inward'!$E:$E,"Patty Cash"))</f>
        <v/>
      </c>
      <c r="G424" s="30" t="str">
        <f>IF($B424="","",SUMIFS('Daily Issuance'!$G:$G,'Daily Issuance'!$C:$C,$B424,'Daily Issuance'!$E:$E,"Patty Cash"))</f>
        <v/>
      </c>
      <c r="H424" s="30" t="str">
        <f t="shared" si="19"/>
        <v/>
      </c>
      <c r="I424" s="33"/>
      <c r="J424" s="34" t="str">
        <f t="shared" si="20"/>
        <v/>
      </c>
    </row>
    <row r="425" spans="1:10" s="27" customFormat="1" ht="23.1" customHeight="1">
      <c r="A425" s="194" t="str">
        <f>IF($C425="","",MAX($A$3:A424)+1)</f>
        <v/>
      </c>
      <c r="B425" s="197" t="str">
        <f t="shared" si="18"/>
        <v/>
      </c>
      <c r="C425" s="201"/>
      <c r="D425" s="199"/>
      <c r="E425" s="200"/>
      <c r="F425" s="196" t="str">
        <f>IF($B425="","",SUMIFS('Daily Inward'!$G:$G,'Daily Inward'!$C:$C,$B425,'Daily Inward'!$E:$E,"Patty Cash"))</f>
        <v/>
      </c>
      <c r="G425" s="30" t="str">
        <f>IF($B425="","",SUMIFS('Daily Issuance'!$G:$G,'Daily Issuance'!$C:$C,$B425,'Daily Issuance'!$E:$E,"Patty Cash"))</f>
        <v/>
      </c>
      <c r="H425" s="30" t="str">
        <f t="shared" si="19"/>
        <v/>
      </c>
      <c r="I425" s="33"/>
      <c r="J425" s="34" t="str">
        <f t="shared" si="20"/>
        <v/>
      </c>
    </row>
    <row r="426" spans="1:10" s="27" customFormat="1" ht="23.1" customHeight="1">
      <c r="A426" s="194" t="str">
        <f>IF($C426="","",MAX($A$3:A425)+1)</f>
        <v/>
      </c>
      <c r="B426" s="197" t="str">
        <f t="shared" si="18"/>
        <v/>
      </c>
      <c r="C426" s="201"/>
      <c r="D426" s="199"/>
      <c r="E426" s="200"/>
      <c r="F426" s="196" t="str">
        <f>IF($B426="","",SUMIFS('Daily Inward'!$G:$G,'Daily Inward'!$C:$C,$B426,'Daily Inward'!$E:$E,"Patty Cash"))</f>
        <v/>
      </c>
      <c r="G426" s="30" t="str">
        <f>IF($B426="","",SUMIFS('Daily Issuance'!$G:$G,'Daily Issuance'!$C:$C,$B426,'Daily Issuance'!$E:$E,"Patty Cash"))</f>
        <v/>
      </c>
      <c r="H426" s="30" t="str">
        <f t="shared" si="19"/>
        <v/>
      </c>
      <c r="I426" s="33"/>
      <c r="J426" s="34" t="str">
        <f t="shared" si="20"/>
        <v/>
      </c>
    </row>
    <row r="427" spans="1:10" s="27" customFormat="1" ht="23.1" customHeight="1">
      <c r="A427" s="194" t="str">
        <f>IF($C427="","",MAX($A$3:A426)+1)</f>
        <v/>
      </c>
      <c r="B427" s="197" t="str">
        <f t="shared" si="18"/>
        <v/>
      </c>
      <c r="C427" s="201"/>
      <c r="D427" s="199"/>
      <c r="E427" s="200"/>
      <c r="F427" s="196" t="str">
        <f>IF($B427="","",SUMIFS('Daily Inward'!$G:$G,'Daily Inward'!$C:$C,$B427,'Daily Inward'!$E:$E,"Patty Cash"))</f>
        <v/>
      </c>
      <c r="G427" s="30" t="str">
        <f>IF($B427="","",SUMIFS('Daily Issuance'!$G:$G,'Daily Issuance'!$C:$C,$B427,'Daily Issuance'!$E:$E,"Patty Cash"))</f>
        <v/>
      </c>
      <c r="H427" s="30" t="str">
        <f t="shared" si="19"/>
        <v/>
      </c>
      <c r="I427" s="33"/>
      <c r="J427" s="34" t="str">
        <f t="shared" si="20"/>
        <v/>
      </c>
    </row>
    <row r="428" spans="1:10" s="27" customFormat="1" ht="23.1" customHeight="1">
      <c r="A428" s="194" t="str">
        <f>IF($C428="","",MAX($A$3:A427)+1)</f>
        <v/>
      </c>
      <c r="B428" s="197" t="str">
        <f t="shared" si="18"/>
        <v/>
      </c>
      <c r="C428" s="201"/>
      <c r="D428" s="199"/>
      <c r="E428" s="200"/>
      <c r="F428" s="196" t="str">
        <f>IF($B428="","",SUMIFS('Daily Inward'!$G:$G,'Daily Inward'!$C:$C,$B428,'Daily Inward'!$E:$E,"Patty Cash"))</f>
        <v/>
      </c>
      <c r="G428" s="30" t="str">
        <f>IF($B428="","",SUMIFS('Daily Issuance'!$G:$G,'Daily Issuance'!$C:$C,$B428,'Daily Issuance'!$E:$E,"Patty Cash"))</f>
        <v/>
      </c>
      <c r="H428" s="30" t="str">
        <f t="shared" si="19"/>
        <v/>
      </c>
      <c r="I428" s="33"/>
      <c r="J428" s="34" t="str">
        <f t="shared" si="20"/>
        <v/>
      </c>
    </row>
    <row r="429" spans="1:10" s="27" customFormat="1" ht="23.1" customHeight="1">
      <c r="A429" s="194" t="str">
        <f>IF($C429="","",MAX($A$3:A428)+1)</f>
        <v/>
      </c>
      <c r="B429" s="197" t="str">
        <f t="shared" si="18"/>
        <v/>
      </c>
      <c r="C429" s="201"/>
      <c r="D429" s="199"/>
      <c r="E429" s="200"/>
      <c r="F429" s="196" t="str">
        <f>IF($B429="","",SUMIFS('Daily Inward'!$G:$G,'Daily Inward'!$C:$C,$B429,'Daily Inward'!$E:$E,"Patty Cash"))</f>
        <v/>
      </c>
      <c r="G429" s="30" t="str">
        <f>IF($B429="","",SUMIFS('Daily Issuance'!$G:$G,'Daily Issuance'!$C:$C,$B429,'Daily Issuance'!$E:$E,"Patty Cash"))</f>
        <v/>
      </c>
      <c r="H429" s="30" t="str">
        <f t="shared" si="19"/>
        <v/>
      </c>
      <c r="I429" s="33"/>
      <c r="J429" s="34" t="str">
        <f t="shared" si="20"/>
        <v/>
      </c>
    </row>
    <row r="430" spans="1:10" s="27" customFormat="1" ht="23.1" customHeight="1">
      <c r="A430" s="194" t="str">
        <f>IF($C430="","",MAX($A$3:A429)+1)</f>
        <v/>
      </c>
      <c r="B430" s="197" t="str">
        <f t="shared" si="18"/>
        <v/>
      </c>
      <c r="C430" s="201"/>
      <c r="D430" s="199"/>
      <c r="E430" s="200"/>
      <c r="F430" s="196" t="str">
        <f>IF($B430="","",SUMIFS('Daily Inward'!$G:$G,'Daily Inward'!$C:$C,$B430,'Daily Inward'!$E:$E,"Patty Cash"))</f>
        <v/>
      </c>
      <c r="G430" s="30" t="str">
        <f>IF($B430="","",SUMIFS('Daily Issuance'!$G:$G,'Daily Issuance'!$C:$C,$B430,'Daily Issuance'!$E:$E,"Patty Cash"))</f>
        <v/>
      </c>
      <c r="H430" s="30" t="str">
        <f t="shared" si="19"/>
        <v/>
      </c>
      <c r="I430" s="33"/>
      <c r="J430" s="34" t="str">
        <f t="shared" si="20"/>
        <v/>
      </c>
    </row>
    <row r="431" spans="1:10" s="27" customFormat="1" ht="23.1" customHeight="1">
      <c r="A431" s="194" t="str">
        <f>IF($C431="","",MAX($A$3:A430)+1)</f>
        <v/>
      </c>
      <c r="B431" s="197" t="str">
        <f t="shared" si="18"/>
        <v/>
      </c>
      <c r="C431" s="201"/>
      <c r="D431" s="199"/>
      <c r="E431" s="200"/>
      <c r="F431" s="196" t="str">
        <f>IF($B431="","",SUMIFS('Daily Inward'!$G:$G,'Daily Inward'!$C:$C,$B431,'Daily Inward'!$E:$E,"Patty Cash"))</f>
        <v/>
      </c>
      <c r="G431" s="30" t="str">
        <f>IF($B431="","",SUMIFS('Daily Issuance'!$G:$G,'Daily Issuance'!$C:$C,$B431,'Daily Issuance'!$E:$E,"Patty Cash"))</f>
        <v/>
      </c>
      <c r="H431" s="30" t="str">
        <f t="shared" si="19"/>
        <v/>
      </c>
      <c r="I431" s="33"/>
      <c r="J431" s="34" t="str">
        <f t="shared" si="20"/>
        <v/>
      </c>
    </row>
    <row r="432" spans="1:10" s="27" customFormat="1" ht="23.1" customHeight="1">
      <c r="A432" s="194" t="str">
        <f>IF($C432="","",MAX($A$3:A431)+1)</f>
        <v/>
      </c>
      <c r="B432" s="197" t="str">
        <f t="shared" si="18"/>
        <v/>
      </c>
      <c r="C432" s="201"/>
      <c r="D432" s="199"/>
      <c r="E432" s="200"/>
      <c r="F432" s="196" t="str">
        <f>IF($B432="","",SUMIFS('Daily Inward'!$G:$G,'Daily Inward'!$C:$C,$B432,'Daily Inward'!$E:$E,"Patty Cash"))</f>
        <v/>
      </c>
      <c r="G432" s="30" t="str">
        <f>IF($B432="","",SUMIFS('Daily Issuance'!$G:$G,'Daily Issuance'!$C:$C,$B432,'Daily Issuance'!$E:$E,"Patty Cash"))</f>
        <v/>
      </c>
      <c r="H432" s="30" t="str">
        <f t="shared" si="19"/>
        <v/>
      </c>
      <c r="I432" s="33"/>
      <c r="J432" s="34" t="str">
        <f t="shared" si="20"/>
        <v/>
      </c>
    </row>
    <row r="433" spans="1:10" s="27" customFormat="1" ht="23.1" customHeight="1">
      <c r="A433" s="194" t="str">
        <f>IF($C433="","",MAX($A$3:A432)+1)</f>
        <v/>
      </c>
      <c r="B433" s="197" t="str">
        <f t="shared" si="18"/>
        <v/>
      </c>
      <c r="C433" s="201"/>
      <c r="D433" s="199"/>
      <c r="E433" s="200"/>
      <c r="F433" s="196" t="str">
        <f>IF($B433="","",SUMIFS('Daily Inward'!$G:$G,'Daily Inward'!$C:$C,$B433,'Daily Inward'!$E:$E,"Patty Cash"))</f>
        <v/>
      </c>
      <c r="G433" s="30" t="str">
        <f>IF($B433="","",SUMIFS('Daily Issuance'!$G:$G,'Daily Issuance'!$C:$C,$B433,'Daily Issuance'!$E:$E,"Patty Cash"))</f>
        <v/>
      </c>
      <c r="H433" s="30" t="str">
        <f t="shared" si="19"/>
        <v/>
      </c>
      <c r="I433" s="33"/>
      <c r="J433" s="34" t="str">
        <f t="shared" si="20"/>
        <v/>
      </c>
    </row>
    <row r="434" spans="1:10" s="27" customFormat="1" ht="23.1" customHeight="1">
      <c r="A434" s="194" t="str">
        <f>IF($C434="","",MAX($A$3:A433)+1)</f>
        <v/>
      </c>
      <c r="B434" s="197" t="str">
        <f t="shared" si="18"/>
        <v/>
      </c>
      <c r="C434" s="201"/>
      <c r="D434" s="199"/>
      <c r="E434" s="200"/>
      <c r="F434" s="196" t="str">
        <f>IF($B434="","",SUMIFS('Daily Inward'!$G:$G,'Daily Inward'!$C:$C,$B434,'Daily Inward'!$E:$E,"Patty Cash"))</f>
        <v/>
      </c>
      <c r="G434" s="30" t="str">
        <f>IF($B434="","",SUMIFS('Daily Issuance'!$G:$G,'Daily Issuance'!$C:$C,$B434,'Daily Issuance'!$E:$E,"Patty Cash"))</f>
        <v/>
      </c>
      <c r="H434" s="30" t="str">
        <f t="shared" si="19"/>
        <v/>
      </c>
      <c r="I434" s="33"/>
      <c r="J434" s="34" t="str">
        <f t="shared" si="20"/>
        <v/>
      </c>
    </row>
    <row r="435" spans="1:10" s="27" customFormat="1" ht="23.1" customHeight="1">
      <c r="A435" s="194" t="str">
        <f>IF($C435="","",MAX($A$3:A434)+1)</f>
        <v/>
      </c>
      <c r="B435" s="197" t="str">
        <f t="shared" si="18"/>
        <v/>
      </c>
      <c r="C435" s="201"/>
      <c r="D435" s="199"/>
      <c r="E435" s="200"/>
      <c r="F435" s="196" t="str">
        <f>IF($B435="","",SUMIFS('Daily Inward'!$G:$G,'Daily Inward'!$C:$C,$B435,'Daily Inward'!$E:$E,"Patty Cash"))</f>
        <v/>
      </c>
      <c r="G435" s="30" t="str">
        <f>IF($B435="","",SUMIFS('Daily Issuance'!$G:$G,'Daily Issuance'!$C:$C,$B435,'Daily Issuance'!$E:$E,"Patty Cash"))</f>
        <v/>
      </c>
      <c r="H435" s="30" t="str">
        <f t="shared" si="19"/>
        <v/>
      </c>
      <c r="I435" s="33"/>
      <c r="J435" s="34" t="str">
        <f t="shared" si="20"/>
        <v/>
      </c>
    </row>
    <row r="436" spans="1:10" s="27" customFormat="1" ht="23.1" customHeight="1">
      <c r="A436" s="194" t="str">
        <f>IF($C436="","",MAX($A$3:A435)+1)</f>
        <v/>
      </c>
      <c r="B436" s="197" t="str">
        <f t="shared" si="18"/>
        <v/>
      </c>
      <c r="C436" s="201"/>
      <c r="D436" s="199"/>
      <c r="E436" s="200"/>
      <c r="F436" s="196" t="str">
        <f>IF($B436="","",SUMIFS('Daily Inward'!$G:$G,'Daily Inward'!$C:$C,$B436,'Daily Inward'!$E:$E,"Patty Cash"))</f>
        <v/>
      </c>
      <c r="G436" s="30" t="str">
        <f>IF($B436="","",SUMIFS('Daily Issuance'!$G:$G,'Daily Issuance'!$C:$C,$B436,'Daily Issuance'!$E:$E,"Patty Cash"))</f>
        <v/>
      </c>
      <c r="H436" s="30" t="str">
        <f t="shared" si="19"/>
        <v/>
      </c>
      <c r="I436" s="33"/>
      <c r="J436" s="34" t="str">
        <f t="shared" si="20"/>
        <v/>
      </c>
    </row>
    <row r="437" spans="1:10" s="27" customFormat="1" ht="23.1" customHeight="1">
      <c r="A437" s="194" t="str">
        <f>IF($C437="","",MAX($A$3:A436)+1)</f>
        <v/>
      </c>
      <c r="B437" s="197" t="str">
        <f t="shared" si="18"/>
        <v/>
      </c>
      <c r="C437" s="201"/>
      <c r="D437" s="199"/>
      <c r="E437" s="200"/>
      <c r="F437" s="196" t="str">
        <f>IF($B437="","",SUMIFS('Daily Inward'!$G:$G,'Daily Inward'!$C:$C,$B437,'Daily Inward'!$E:$E,"Patty Cash"))</f>
        <v/>
      </c>
      <c r="G437" s="30" t="str">
        <f>IF($B437="","",SUMIFS('Daily Issuance'!$G:$G,'Daily Issuance'!$C:$C,$B437,'Daily Issuance'!$E:$E,"Patty Cash"))</f>
        <v/>
      </c>
      <c r="H437" s="30" t="str">
        <f t="shared" si="19"/>
        <v/>
      </c>
      <c r="I437" s="33"/>
      <c r="J437" s="34" t="str">
        <f t="shared" si="20"/>
        <v/>
      </c>
    </row>
    <row r="438" spans="1:10" s="27" customFormat="1" ht="23.1" customHeight="1">
      <c r="A438" s="194" t="str">
        <f>IF($C438="","",MAX($A$3:A437)+1)</f>
        <v/>
      </c>
      <c r="B438" s="197" t="str">
        <f t="shared" si="18"/>
        <v/>
      </c>
      <c r="C438" s="201"/>
      <c r="D438" s="199"/>
      <c r="E438" s="200"/>
      <c r="F438" s="196" t="str">
        <f>IF($B438="","",SUMIFS('Daily Inward'!$G:$G,'Daily Inward'!$C:$C,$B438,'Daily Inward'!$E:$E,"Patty Cash"))</f>
        <v/>
      </c>
      <c r="G438" s="30" t="str">
        <f>IF($B438="","",SUMIFS('Daily Issuance'!$G:$G,'Daily Issuance'!$C:$C,$B438,'Daily Issuance'!$E:$E,"Patty Cash"))</f>
        <v/>
      </c>
      <c r="H438" s="30" t="str">
        <f t="shared" si="19"/>
        <v/>
      </c>
      <c r="I438" s="33"/>
      <c r="J438" s="34" t="str">
        <f t="shared" si="20"/>
        <v/>
      </c>
    </row>
    <row r="439" spans="1:10" s="27" customFormat="1" ht="23.1" customHeight="1">
      <c r="A439" s="194" t="str">
        <f>IF($C439="","",MAX($A$3:A438)+1)</f>
        <v/>
      </c>
      <c r="B439" s="197" t="str">
        <f t="shared" si="18"/>
        <v/>
      </c>
      <c r="C439" s="201"/>
      <c r="D439" s="199"/>
      <c r="E439" s="200"/>
      <c r="F439" s="196" t="str">
        <f>IF($B439="","",SUMIFS('Daily Inward'!$G:$G,'Daily Inward'!$C:$C,$B439,'Daily Inward'!$E:$E,"Patty Cash"))</f>
        <v/>
      </c>
      <c r="G439" s="30" t="str">
        <f>IF($B439="","",SUMIFS('Daily Issuance'!$G:$G,'Daily Issuance'!$C:$C,$B439,'Daily Issuance'!$E:$E,"Patty Cash"))</f>
        <v/>
      </c>
      <c r="H439" s="30" t="str">
        <f t="shared" si="19"/>
        <v/>
      </c>
      <c r="I439" s="33"/>
      <c r="J439" s="34" t="str">
        <f t="shared" si="20"/>
        <v/>
      </c>
    </row>
    <row r="440" spans="1:10" s="27" customFormat="1" ht="23.1" customHeight="1">
      <c r="A440" s="194" t="str">
        <f>IF($C440="","",MAX($A$3:A439)+1)</f>
        <v/>
      </c>
      <c r="B440" s="197" t="str">
        <f t="shared" si="18"/>
        <v/>
      </c>
      <c r="C440" s="201"/>
      <c r="D440" s="199"/>
      <c r="E440" s="200"/>
      <c r="F440" s="196" t="str">
        <f>IF($B440="","",SUMIFS('Daily Inward'!$G:$G,'Daily Inward'!$C:$C,$B440,'Daily Inward'!$E:$E,"Patty Cash"))</f>
        <v/>
      </c>
      <c r="G440" s="30" t="str">
        <f>IF($B440="","",SUMIFS('Daily Issuance'!$G:$G,'Daily Issuance'!$C:$C,$B440,'Daily Issuance'!$E:$E,"Patty Cash"))</f>
        <v/>
      </c>
      <c r="H440" s="30" t="str">
        <f t="shared" si="19"/>
        <v/>
      </c>
      <c r="I440" s="33"/>
      <c r="J440" s="34" t="str">
        <f t="shared" si="20"/>
        <v/>
      </c>
    </row>
    <row r="441" spans="1:10" s="27" customFormat="1" ht="23.1" customHeight="1">
      <c r="A441" s="194" t="str">
        <f>IF($C441="","",MAX($A$3:A440)+1)</f>
        <v/>
      </c>
      <c r="B441" s="197" t="str">
        <f t="shared" si="18"/>
        <v/>
      </c>
      <c r="C441" s="201"/>
      <c r="D441" s="199"/>
      <c r="E441" s="200"/>
      <c r="F441" s="196" t="str">
        <f>IF($B441="","",SUMIFS('Daily Inward'!$G:$G,'Daily Inward'!$C:$C,$B441,'Daily Inward'!$E:$E,"Patty Cash"))</f>
        <v/>
      </c>
      <c r="G441" s="30" t="str">
        <f>IF($B441="","",SUMIFS('Daily Issuance'!$G:$G,'Daily Issuance'!$C:$C,$B441,'Daily Issuance'!$E:$E,"Patty Cash"))</f>
        <v/>
      </c>
      <c r="H441" s="30" t="str">
        <f t="shared" si="19"/>
        <v/>
      </c>
      <c r="I441" s="33"/>
      <c r="J441" s="34" t="str">
        <f t="shared" si="20"/>
        <v/>
      </c>
    </row>
    <row r="442" spans="1:10" s="27" customFormat="1" ht="23.1" customHeight="1">
      <c r="A442" s="194" t="str">
        <f>IF($C442="","",MAX($A$3:A441)+1)</f>
        <v/>
      </c>
      <c r="B442" s="197" t="str">
        <f t="shared" si="18"/>
        <v/>
      </c>
      <c r="C442" s="201"/>
      <c r="D442" s="199"/>
      <c r="E442" s="200"/>
      <c r="F442" s="196" t="str">
        <f>IF($B442="","",SUMIFS('Daily Inward'!$G:$G,'Daily Inward'!$C:$C,$B442,'Daily Inward'!$E:$E,"Patty Cash"))</f>
        <v/>
      </c>
      <c r="G442" s="30" t="str">
        <f>IF($B442="","",SUMIFS('Daily Issuance'!$G:$G,'Daily Issuance'!$C:$C,$B442,'Daily Issuance'!$E:$E,"Patty Cash"))</f>
        <v/>
      </c>
      <c r="H442" s="30" t="str">
        <f t="shared" si="19"/>
        <v/>
      </c>
      <c r="I442" s="33"/>
      <c r="J442" s="34" t="str">
        <f t="shared" si="20"/>
        <v/>
      </c>
    </row>
    <row r="443" spans="1:10" s="27" customFormat="1" ht="23.1" customHeight="1">
      <c r="A443" s="194" t="str">
        <f>IF($C443="","",MAX($A$3:A442)+1)</f>
        <v/>
      </c>
      <c r="B443" s="197" t="str">
        <f t="shared" si="18"/>
        <v/>
      </c>
      <c r="C443" s="201"/>
      <c r="D443" s="199"/>
      <c r="E443" s="200"/>
      <c r="F443" s="196" t="str">
        <f>IF($B443="","",SUMIFS('Daily Inward'!$G:$G,'Daily Inward'!$C:$C,$B443,'Daily Inward'!$E:$E,"Patty Cash"))</f>
        <v/>
      </c>
      <c r="G443" s="30" t="str">
        <f>IF($B443="","",SUMIFS('Daily Issuance'!$G:$G,'Daily Issuance'!$C:$C,$B443,'Daily Issuance'!$E:$E,"Patty Cash"))</f>
        <v/>
      </c>
      <c r="H443" s="30" t="str">
        <f t="shared" si="19"/>
        <v/>
      </c>
      <c r="I443" s="33"/>
      <c r="J443" s="34" t="str">
        <f t="shared" si="20"/>
        <v/>
      </c>
    </row>
    <row r="444" spans="1:10" s="27" customFormat="1" ht="23.1" customHeight="1">
      <c r="A444" s="194" t="str">
        <f>IF($C444="","",MAX($A$3:A443)+1)</f>
        <v/>
      </c>
      <c r="B444" s="197" t="str">
        <f t="shared" si="18"/>
        <v/>
      </c>
      <c r="C444" s="201"/>
      <c r="D444" s="199"/>
      <c r="E444" s="200"/>
      <c r="F444" s="196" t="str">
        <f>IF($B444="","",SUMIFS('Daily Inward'!$G:$G,'Daily Inward'!$C:$C,$B444,'Daily Inward'!$E:$E,"Patty Cash"))</f>
        <v/>
      </c>
      <c r="G444" s="30" t="str">
        <f>IF($B444="","",SUMIFS('Daily Issuance'!$G:$G,'Daily Issuance'!$C:$C,$B444,'Daily Issuance'!$E:$E,"Patty Cash"))</f>
        <v/>
      </c>
      <c r="H444" s="30" t="str">
        <f t="shared" si="19"/>
        <v/>
      </c>
      <c r="I444" s="33"/>
      <c r="J444" s="34" t="str">
        <f t="shared" si="20"/>
        <v/>
      </c>
    </row>
    <row r="445" spans="1:10" s="27" customFormat="1" ht="23.1" customHeight="1">
      <c r="A445" s="194" t="str">
        <f>IF($C445="","",MAX($A$3:A444)+1)</f>
        <v/>
      </c>
      <c r="B445" s="197" t="str">
        <f t="shared" si="18"/>
        <v/>
      </c>
      <c r="C445" s="201"/>
      <c r="D445" s="199"/>
      <c r="E445" s="200"/>
      <c r="F445" s="196" t="str">
        <f>IF($B445="","",SUMIFS('Daily Inward'!$G:$G,'Daily Inward'!$C:$C,$B445,'Daily Inward'!$E:$E,"Patty Cash"))</f>
        <v/>
      </c>
      <c r="G445" s="30" t="str">
        <f>IF($B445="","",SUMIFS('Daily Issuance'!$G:$G,'Daily Issuance'!$C:$C,$B445,'Daily Issuance'!$E:$E,"Patty Cash"))</f>
        <v/>
      </c>
      <c r="H445" s="30" t="str">
        <f t="shared" si="19"/>
        <v/>
      </c>
      <c r="I445" s="33"/>
      <c r="J445" s="34" t="str">
        <f t="shared" si="20"/>
        <v/>
      </c>
    </row>
    <row r="446" spans="1:10" s="27" customFormat="1" ht="23.1" customHeight="1">
      <c r="A446" s="194" t="str">
        <f>IF($C446="","",MAX($A$3:A445)+1)</f>
        <v/>
      </c>
      <c r="B446" s="197" t="str">
        <f t="shared" si="18"/>
        <v/>
      </c>
      <c r="C446" s="201"/>
      <c r="D446" s="199"/>
      <c r="E446" s="200"/>
      <c r="F446" s="196" t="str">
        <f>IF($B446="","",SUMIFS('Daily Inward'!$G:$G,'Daily Inward'!$C:$C,$B446,'Daily Inward'!$E:$E,"Patty Cash"))</f>
        <v/>
      </c>
      <c r="G446" s="30" t="str">
        <f>IF($B446="","",SUMIFS('Daily Issuance'!$G:$G,'Daily Issuance'!$C:$C,$B446,'Daily Issuance'!$E:$E,"Patty Cash"))</f>
        <v/>
      </c>
      <c r="H446" s="30" t="str">
        <f t="shared" si="19"/>
        <v/>
      </c>
      <c r="I446" s="33"/>
      <c r="J446" s="34" t="str">
        <f t="shared" si="20"/>
        <v/>
      </c>
    </row>
    <row r="447" spans="1:10" s="27" customFormat="1" ht="23.1" customHeight="1">
      <c r="A447" s="194" t="str">
        <f>IF($C447="","",MAX($A$3:A446)+1)</f>
        <v/>
      </c>
      <c r="B447" s="197" t="str">
        <f t="shared" si="18"/>
        <v/>
      </c>
      <c r="C447" s="201"/>
      <c r="D447" s="199"/>
      <c r="E447" s="200"/>
      <c r="F447" s="196" t="str">
        <f>IF($B447="","",SUMIFS('Daily Inward'!$G:$G,'Daily Inward'!$C:$C,$B447,'Daily Inward'!$E:$E,"Patty Cash"))</f>
        <v/>
      </c>
      <c r="G447" s="30" t="str">
        <f>IF($B447="","",SUMIFS('Daily Issuance'!$G:$G,'Daily Issuance'!$C:$C,$B447,'Daily Issuance'!$E:$E,"Patty Cash"))</f>
        <v/>
      </c>
      <c r="H447" s="30" t="str">
        <f t="shared" si="19"/>
        <v/>
      </c>
      <c r="I447" s="33"/>
      <c r="J447" s="34" t="str">
        <f t="shared" si="20"/>
        <v/>
      </c>
    </row>
    <row r="448" spans="1:10" s="27" customFormat="1" ht="23.1" customHeight="1">
      <c r="A448" s="194" t="str">
        <f>IF($C448="","",MAX($A$3:A447)+1)</f>
        <v/>
      </c>
      <c r="B448" s="197" t="str">
        <f t="shared" si="18"/>
        <v/>
      </c>
      <c r="C448" s="201"/>
      <c r="D448" s="199"/>
      <c r="E448" s="200"/>
      <c r="F448" s="196" t="str">
        <f>IF($B448="","",SUMIFS('Daily Inward'!$G:$G,'Daily Inward'!$C:$C,$B448,'Daily Inward'!$E:$E,"Patty Cash"))</f>
        <v/>
      </c>
      <c r="G448" s="30" t="str">
        <f>IF($B448="","",SUMIFS('Daily Issuance'!$G:$G,'Daily Issuance'!$C:$C,$B448,'Daily Issuance'!$E:$E,"Patty Cash"))</f>
        <v/>
      </c>
      <c r="H448" s="30" t="str">
        <f t="shared" si="19"/>
        <v/>
      </c>
      <c r="I448" s="33"/>
      <c r="J448" s="34" t="str">
        <f t="shared" si="20"/>
        <v/>
      </c>
    </row>
    <row r="449" spans="1:10" s="27" customFormat="1" ht="23.1" customHeight="1">
      <c r="A449" s="194" t="str">
        <f>IF($C449="","",MAX($A$3:A448)+1)</f>
        <v/>
      </c>
      <c r="B449" s="197" t="str">
        <f t="shared" si="18"/>
        <v/>
      </c>
      <c r="C449" s="201"/>
      <c r="D449" s="199"/>
      <c r="E449" s="200"/>
      <c r="F449" s="196" t="str">
        <f>IF($B449="","",SUMIFS('Daily Inward'!$G:$G,'Daily Inward'!$C:$C,$B449,'Daily Inward'!$E:$E,"Patty Cash"))</f>
        <v/>
      </c>
      <c r="G449" s="30" t="str">
        <f>IF($B449="","",SUMIFS('Daily Issuance'!$G:$G,'Daily Issuance'!$C:$C,$B449,'Daily Issuance'!$E:$E,"Patty Cash"))</f>
        <v/>
      </c>
      <c r="H449" s="30" t="str">
        <f t="shared" si="19"/>
        <v/>
      </c>
      <c r="I449" s="33"/>
      <c r="J449" s="34" t="str">
        <f t="shared" si="20"/>
        <v/>
      </c>
    </row>
    <row r="450" spans="1:10" s="27" customFormat="1" ht="23.1" customHeight="1">
      <c r="A450" s="194" t="str">
        <f>IF($C450="","",MAX($A$3:A449)+1)</f>
        <v/>
      </c>
      <c r="B450" s="197" t="str">
        <f t="shared" si="18"/>
        <v/>
      </c>
      <c r="C450" s="201"/>
      <c r="D450" s="199"/>
      <c r="E450" s="200"/>
      <c r="F450" s="196" t="str">
        <f>IF($B450="","",SUMIFS('Daily Inward'!$G:$G,'Daily Inward'!$C:$C,$B450,'Daily Inward'!$E:$E,"Patty Cash"))</f>
        <v/>
      </c>
      <c r="G450" s="30" t="str">
        <f>IF($B450="","",SUMIFS('Daily Issuance'!$G:$G,'Daily Issuance'!$C:$C,$B450,'Daily Issuance'!$E:$E,"Patty Cash"))</f>
        <v/>
      </c>
      <c r="H450" s="30" t="str">
        <f t="shared" si="19"/>
        <v/>
      </c>
      <c r="I450" s="33"/>
      <c r="J450" s="34" t="str">
        <f t="shared" si="20"/>
        <v/>
      </c>
    </row>
    <row r="451" spans="1:10" s="27" customFormat="1" ht="23.1" customHeight="1">
      <c r="A451" s="194" t="str">
        <f>IF($C451="","",MAX($A$3:A450)+1)</f>
        <v/>
      </c>
      <c r="B451" s="197" t="str">
        <f t="shared" si="18"/>
        <v/>
      </c>
      <c r="C451" s="201"/>
      <c r="D451" s="199"/>
      <c r="E451" s="200"/>
      <c r="F451" s="196" t="str">
        <f>IF($B451="","",SUMIFS('Daily Inward'!$G:$G,'Daily Inward'!$C:$C,$B451,'Daily Inward'!$E:$E,"Patty Cash"))</f>
        <v/>
      </c>
      <c r="G451" s="30" t="str">
        <f>IF($B451="","",SUMIFS('Daily Issuance'!$G:$G,'Daily Issuance'!$C:$C,$B451,'Daily Issuance'!$E:$E,"Patty Cash"))</f>
        <v/>
      </c>
      <c r="H451" s="30" t="str">
        <f t="shared" si="19"/>
        <v/>
      </c>
      <c r="I451" s="33"/>
      <c r="J451" s="34" t="str">
        <f t="shared" si="20"/>
        <v/>
      </c>
    </row>
    <row r="452" spans="1:10" s="27" customFormat="1" ht="23.1" customHeight="1">
      <c r="A452" s="194" t="str">
        <f>IF($C452="","",MAX($A$3:A451)+1)</f>
        <v/>
      </c>
      <c r="B452" s="197" t="str">
        <f t="shared" si="18"/>
        <v/>
      </c>
      <c r="C452" s="201"/>
      <c r="D452" s="199"/>
      <c r="E452" s="200"/>
      <c r="F452" s="196" t="str">
        <f>IF($B452="","",SUMIFS('Daily Inward'!$G:$G,'Daily Inward'!$C:$C,$B452,'Daily Inward'!$E:$E,"Patty Cash"))</f>
        <v/>
      </c>
      <c r="G452" s="30" t="str">
        <f>IF($B452="","",SUMIFS('Daily Issuance'!$G:$G,'Daily Issuance'!$C:$C,$B452,'Daily Issuance'!$E:$E,"Patty Cash"))</f>
        <v/>
      </c>
      <c r="H452" s="30" t="str">
        <f t="shared" si="19"/>
        <v/>
      </c>
      <c r="I452" s="33"/>
      <c r="J452" s="34" t="str">
        <f t="shared" si="20"/>
        <v/>
      </c>
    </row>
    <row r="453" spans="1:10" s="27" customFormat="1" ht="23.1" customHeight="1">
      <c r="A453" s="194" t="str">
        <f>IF($C453="","",MAX($A$3:A452)+1)</f>
        <v/>
      </c>
      <c r="B453" s="197" t="str">
        <f t="shared" ref="B453:B516" si="21">IF($C453="","","PTC"&amp;TEXT(ROW()-4,"000"))</f>
        <v/>
      </c>
      <c r="C453" s="201"/>
      <c r="D453" s="199"/>
      <c r="E453" s="200"/>
      <c r="F453" s="196" t="str">
        <f>IF($B453="","",SUMIFS('Daily Inward'!$G:$G,'Daily Inward'!$C:$C,$B453,'Daily Inward'!$E:$E,"Patty Cash"))</f>
        <v/>
      </c>
      <c r="G453" s="30" t="str">
        <f>IF($B453="","",SUMIFS('Daily Issuance'!$G:$G,'Daily Issuance'!$C:$C,$B453,'Daily Issuance'!$E:$E,"Patty Cash"))</f>
        <v/>
      </c>
      <c r="H453" s="30" t="str">
        <f t="shared" ref="H453:H516" si="22">IF($B453="","",F453-G453)</f>
        <v/>
      </c>
      <c r="I453" s="33"/>
      <c r="J453" s="34" t="str">
        <f t="shared" ref="J453:J516" si="23">IF(OR(H453="",I453=""),"",H453*I453)</f>
        <v/>
      </c>
    </row>
    <row r="454" spans="1:10" s="27" customFormat="1" ht="23.1" customHeight="1">
      <c r="A454" s="194" t="str">
        <f>IF($C454="","",MAX($A$3:A453)+1)</f>
        <v/>
      </c>
      <c r="B454" s="197" t="str">
        <f t="shared" si="21"/>
        <v/>
      </c>
      <c r="C454" s="201"/>
      <c r="D454" s="199"/>
      <c r="E454" s="200"/>
      <c r="F454" s="196" t="str">
        <f>IF($B454="","",SUMIFS('Daily Inward'!$G:$G,'Daily Inward'!$C:$C,$B454,'Daily Inward'!$E:$E,"Patty Cash"))</f>
        <v/>
      </c>
      <c r="G454" s="30" t="str">
        <f>IF($B454="","",SUMIFS('Daily Issuance'!$G:$G,'Daily Issuance'!$C:$C,$B454,'Daily Issuance'!$E:$E,"Patty Cash"))</f>
        <v/>
      </c>
      <c r="H454" s="30" t="str">
        <f t="shared" si="22"/>
        <v/>
      </c>
      <c r="I454" s="33"/>
      <c r="J454" s="34" t="str">
        <f t="shared" si="23"/>
        <v/>
      </c>
    </row>
    <row r="455" spans="1:10" s="27" customFormat="1" ht="23.1" customHeight="1">
      <c r="A455" s="194" t="str">
        <f>IF($C455="","",MAX($A$3:A454)+1)</f>
        <v/>
      </c>
      <c r="B455" s="197" t="str">
        <f t="shared" si="21"/>
        <v/>
      </c>
      <c r="C455" s="201"/>
      <c r="D455" s="199"/>
      <c r="E455" s="200"/>
      <c r="F455" s="196" t="str">
        <f>IF($B455="","",SUMIFS('Daily Inward'!$G:$G,'Daily Inward'!$C:$C,$B455,'Daily Inward'!$E:$E,"Patty Cash"))</f>
        <v/>
      </c>
      <c r="G455" s="30" t="str">
        <f>IF($B455="","",SUMIFS('Daily Issuance'!$G:$G,'Daily Issuance'!$C:$C,$B455,'Daily Issuance'!$E:$E,"Patty Cash"))</f>
        <v/>
      </c>
      <c r="H455" s="30" t="str">
        <f t="shared" si="22"/>
        <v/>
      </c>
      <c r="I455" s="33"/>
      <c r="J455" s="34" t="str">
        <f t="shared" si="23"/>
        <v/>
      </c>
    </row>
    <row r="456" spans="1:10" s="27" customFormat="1" ht="23.1" customHeight="1">
      <c r="A456" s="194" t="str">
        <f>IF($C456="","",MAX($A$3:A455)+1)</f>
        <v/>
      </c>
      <c r="B456" s="197" t="str">
        <f t="shared" si="21"/>
        <v/>
      </c>
      <c r="C456" s="201"/>
      <c r="D456" s="199"/>
      <c r="E456" s="200"/>
      <c r="F456" s="196" t="str">
        <f>IF($B456="","",SUMIFS('Daily Inward'!$G:$G,'Daily Inward'!$C:$C,$B456,'Daily Inward'!$E:$E,"Patty Cash"))</f>
        <v/>
      </c>
      <c r="G456" s="30" t="str">
        <f>IF($B456="","",SUMIFS('Daily Issuance'!$G:$G,'Daily Issuance'!$C:$C,$B456,'Daily Issuance'!$E:$E,"Patty Cash"))</f>
        <v/>
      </c>
      <c r="H456" s="30" t="str">
        <f t="shared" si="22"/>
        <v/>
      </c>
      <c r="I456" s="33"/>
      <c r="J456" s="34" t="str">
        <f t="shared" si="23"/>
        <v/>
      </c>
    </row>
    <row r="457" spans="1:10" s="27" customFormat="1" ht="23.1" customHeight="1">
      <c r="A457" s="194" t="str">
        <f>IF($C457="","",MAX($A$3:A456)+1)</f>
        <v/>
      </c>
      <c r="B457" s="197" t="str">
        <f t="shared" si="21"/>
        <v/>
      </c>
      <c r="C457" s="201"/>
      <c r="D457" s="199"/>
      <c r="E457" s="200"/>
      <c r="F457" s="196" t="str">
        <f>IF($B457="","",SUMIFS('Daily Inward'!$G:$G,'Daily Inward'!$C:$C,$B457,'Daily Inward'!$E:$E,"Patty Cash"))</f>
        <v/>
      </c>
      <c r="G457" s="30" t="str">
        <f>IF($B457="","",SUMIFS('Daily Issuance'!$G:$G,'Daily Issuance'!$C:$C,$B457,'Daily Issuance'!$E:$E,"Patty Cash"))</f>
        <v/>
      </c>
      <c r="H457" s="30" t="str">
        <f t="shared" si="22"/>
        <v/>
      </c>
      <c r="I457" s="33"/>
      <c r="J457" s="34" t="str">
        <f t="shared" si="23"/>
        <v/>
      </c>
    </row>
    <row r="458" spans="1:10" s="27" customFormat="1" ht="23.1" customHeight="1">
      <c r="A458" s="194" t="str">
        <f>IF($C458="","",MAX($A$3:A457)+1)</f>
        <v/>
      </c>
      <c r="B458" s="197" t="str">
        <f t="shared" si="21"/>
        <v/>
      </c>
      <c r="C458" s="201"/>
      <c r="D458" s="199"/>
      <c r="E458" s="200"/>
      <c r="F458" s="196" t="str">
        <f>IF($B458="","",SUMIFS('Daily Inward'!$G:$G,'Daily Inward'!$C:$C,$B458,'Daily Inward'!$E:$E,"Patty Cash"))</f>
        <v/>
      </c>
      <c r="G458" s="30" t="str">
        <f>IF($B458="","",SUMIFS('Daily Issuance'!$G:$G,'Daily Issuance'!$C:$C,$B458,'Daily Issuance'!$E:$E,"Patty Cash"))</f>
        <v/>
      </c>
      <c r="H458" s="30" t="str">
        <f t="shared" si="22"/>
        <v/>
      </c>
      <c r="I458" s="33"/>
      <c r="J458" s="34" t="str">
        <f t="shared" si="23"/>
        <v/>
      </c>
    </row>
    <row r="459" spans="1:10" s="27" customFormat="1" ht="23.1" customHeight="1">
      <c r="A459" s="194" t="str">
        <f>IF($C459="","",MAX($A$3:A458)+1)</f>
        <v/>
      </c>
      <c r="B459" s="197" t="str">
        <f t="shared" si="21"/>
        <v/>
      </c>
      <c r="C459" s="201"/>
      <c r="D459" s="199"/>
      <c r="E459" s="200"/>
      <c r="F459" s="196" t="str">
        <f>IF($B459="","",SUMIFS('Daily Inward'!$G:$G,'Daily Inward'!$C:$C,$B459,'Daily Inward'!$E:$E,"Patty Cash"))</f>
        <v/>
      </c>
      <c r="G459" s="30" t="str">
        <f>IF($B459="","",SUMIFS('Daily Issuance'!$G:$G,'Daily Issuance'!$C:$C,$B459,'Daily Issuance'!$E:$E,"Patty Cash"))</f>
        <v/>
      </c>
      <c r="H459" s="30" t="str">
        <f t="shared" si="22"/>
        <v/>
      </c>
      <c r="I459" s="33"/>
      <c r="J459" s="34" t="str">
        <f t="shared" si="23"/>
        <v/>
      </c>
    </row>
    <row r="460" spans="1:10" s="27" customFormat="1" ht="23.1" customHeight="1">
      <c r="A460" s="194" t="str">
        <f>IF($C460="","",MAX($A$3:A459)+1)</f>
        <v/>
      </c>
      <c r="B460" s="197" t="str">
        <f t="shared" si="21"/>
        <v/>
      </c>
      <c r="C460" s="201"/>
      <c r="D460" s="199"/>
      <c r="E460" s="200"/>
      <c r="F460" s="196" t="str">
        <f>IF($B460="","",SUMIFS('Daily Inward'!$G:$G,'Daily Inward'!$C:$C,$B460,'Daily Inward'!$E:$E,"Patty Cash"))</f>
        <v/>
      </c>
      <c r="G460" s="30" t="str">
        <f>IF($B460="","",SUMIFS('Daily Issuance'!$G:$G,'Daily Issuance'!$C:$C,$B460,'Daily Issuance'!$E:$E,"Patty Cash"))</f>
        <v/>
      </c>
      <c r="H460" s="30" t="str">
        <f t="shared" si="22"/>
        <v/>
      </c>
      <c r="I460" s="33"/>
      <c r="J460" s="34" t="str">
        <f t="shared" si="23"/>
        <v/>
      </c>
    </row>
    <row r="461" spans="1:10" s="27" customFormat="1" ht="23.1" customHeight="1">
      <c r="A461" s="194" t="str">
        <f>IF($C461="","",MAX($A$3:A460)+1)</f>
        <v/>
      </c>
      <c r="B461" s="197" t="str">
        <f t="shared" si="21"/>
        <v/>
      </c>
      <c r="C461" s="201"/>
      <c r="D461" s="199"/>
      <c r="E461" s="200"/>
      <c r="F461" s="196" t="str">
        <f>IF($B461="","",SUMIFS('Daily Inward'!$G:$G,'Daily Inward'!$C:$C,$B461,'Daily Inward'!$E:$E,"Patty Cash"))</f>
        <v/>
      </c>
      <c r="G461" s="30" t="str">
        <f>IF($B461="","",SUMIFS('Daily Issuance'!$G:$G,'Daily Issuance'!$C:$C,$B461,'Daily Issuance'!$E:$E,"Patty Cash"))</f>
        <v/>
      </c>
      <c r="H461" s="30" t="str">
        <f t="shared" si="22"/>
        <v/>
      </c>
      <c r="I461" s="33"/>
      <c r="J461" s="34" t="str">
        <f t="shared" si="23"/>
        <v/>
      </c>
    </row>
    <row r="462" spans="1:10" s="27" customFormat="1" ht="23.1" customHeight="1">
      <c r="A462" s="194" t="str">
        <f>IF($C462="","",MAX($A$3:A461)+1)</f>
        <v/>
      </c>
      <c r="B462" s="197" t="str">
        <f t="shared" si="21"/>
        <v/>
      </c>
      <c r="C462" s="201"/>
      <c r="D462" s="199"/>
      <c r="E462" s="200"/>
      <c r="F462" s="196" t="str">
        <f>IF($B462="","",SUMIFS('Daily Inward'!$G:$G,'Daily Inward'!$C:$C,$B462,'Daily Inward'!$E:$E,"Patty Cash"))</f>
        <v/>
      </c>
      <c r="G462" s="30" t="str">
        <f>IF($B462="","",SUMIFS('Daily Issuance'!$G:$G,'Daily Issuance'!$C:$C,$B462,'Daily Issuance'!$E:$E,"Patty Cash"))</f>
        <v/>
      </c>
      <c r="H462" s="30" t="str">
        <f t="shared" si="22"/>
        <v/>
      </c>
      <c r="I462" s="33"/>
      <c r="J462" s="34" t="str">
        <f t="shared" si="23"/>
        <v/>
      </c>
    </row>
    <row r="463" spans="1:10" s="27" customFormat="1" ht="23.1" customHeight="1">
      <c r="A463" s="194" t="str">
        <f>IF($C463="","",MAX($A$3:A462)+1)</f>
        <v/>
      </c>
      <c r="B463" s="197" t="str">
        <f t="shared" si="21"/>
        <v/>
      </c>
      <c r="C463" s="201"/>
      <c r="D463" s="199"/>
      <c r="E463" s="200"/>
      <c r="F463" s="196" t="str">
        <f>IF($B463="","",SUMIFS('Daily Inward'!$G:$G,'Daily Inward'!$C:$C,$B463,'Daily Inward'!$E:$E,"Patty Cash"))</f>
        <v/>
      </c>
      <c r="G463" s="30" t="str">
        <f>IF($B463="","",SUMIFS('Daily Issuance'!$G:$G,'Daily Issuance'!$C:$C,$B463,'Daily Issuance'!$E:$E,"Patty Cash"))</f>
        <v/>
      </c>
      <c r="H463" s="30" t="str">
        <f t="shared" si="22"/>
        <v/>
      </c>
      <c r="I463" s="33"/>
      <c r="J463" s="34" t="str">
        <f t="shared" si="23"/>
        <v/>
      </c>
    </row>
    <row r="464" spans="1:10" s="27" customFormat="1" ht="23.1" customHeight="1">
      <c r="A464" s="194" t="str">
        <f>IF($C464="","",MAX($A$3:A463)+1)</f>
        <v/>
      </c>
      <c r="B464" s="197" t="str">
        <f t="shared" si="21"/>
        <v/>
      </c>
      <c r="C464" s="201"/>
      <c r="D464" s="199"/>
      <c r="E464" s="200"/>
      <c r="F464" s="196" t="str">
        <f>IF($B464="","",SUMIFS('Daily Inward'!$G:$G,'Daily Inward'!$C:$C,$B464,'Daily Inward'!$E:$E,"Patty Cash"))</f>
        <v/>
      </c>
      <c r="G464" s="30" t="str">
        <f>IF($B464="","",SUMIFS('Daily Issuance'!$G:$G,'Daily Issuance'!$C:$C,$B464,'Daily Issuance'!$E:$E,"Patty Cash"))</f>
        <v/>
      </c>
      <c r="H464" s="30" t="str">
        <f t="shared" si="22"/>
        <v/>
      </c>
      <c r="I464" s="33"/>
      <c r="J464" s="34" t="str">
        <f t="shared" si="23"/>
        <v/>
      </c>
    </row>
    <row r="465" spans="1:10" s="27" customFormat="1" ht="23.1" customHeight="1">
      <c r="A465" s="194" t="str">
        <f>IF($C465="","",MAX($A$3:A464)+1)</f>
        <v/>
      </c>
      <c r="B465" s="197" t="str">
        <f t="shared" si="21"/>
        <v/>
      </c>
      <c r="C465" s="201"/>
      <c r="D465" s="199"/>
      <c r="E465" s="200"/>
      <c r="F465" s="196" t="str">
        <f>IF($B465="","",SUMIFS('Daily Inward'!$G:$G,'Daily Inward'!$C:$C,$B465,'Daily Inward'!$E:$E,"Patty Cash"))</f>
        <v/>
      </c>
      <c r="G465" s="30" t="str">
        <f>IF($B465="","",SUMIFS('Daily Issuance'!$G:$G,'Daily Issuance'!$C:$C,$B465,'Daily Issuance'!$E:$E,"Patty Cash"))</f>
        <v/>
      </c>
      <c r="H465" s="30" t="str">
        <f t="shared" si="22"/>
        <v/>
      </c>
      <c r="I465" s="33"/>
      <c r="J465" s="34" t="str">
        <f t="shared" si="23"/>
        <v/>
      </c>
    </row>
    <row r="466" spans="1:10" s="27" customFormat="1" ht="23.1" customHeight="1">
      <c r="A466" s="194" t="str">
        <f>IF($C466="","",MAX($A$3:A465)+1)</f>
        <v/>
      </c>
      <c r="B466" s="197" t="str">
        <f t="shared" si="21"/>
        <v/>
      </c>
      <c r="C466" s="201"/>
      <c r="D466" s="199"/>
      <c r="E466" s="200"/>
      <c r="F466" s="196" t="str">
        <f>IF($B466="","",SUMIFS('Daily Inward'!$G:$G,'Daily Inward'!$C:$C,$B466,'Daily Inward'!$E:$E,"Patty Cash"))</f>
        <v/>
      </c>
      <c r="G466" s="30" t="str">
        <f>IF($B466="","",SUMIFS('Daily Issuance'!$G:$G,'Daily Issuance'!$C:$C,$B466,'Daily Issuance'!$E:$E,"Patty Cash"))</f>
        <v/>
      </c>
      <c r="H466" s="30" t="str">
        <f t="shared" si="22"/>
        <v/>
      </c>
      <c r="I466" s="33"/>
      <c r="J466" s="34" t="str">
        <f t="shared" si="23"/>
        <v/>
      </c>
    </row>
    <row r="467" spans="1:10" s="27" customFormat="1" ht="23.1" customHeight="1">
      <c r="A467" s="194" t="str">
        <f>IF($C467="","",MAX($A$3:A466)+1)</f>
        <v/>
      </c>
      <c r="B467" s="197" t="str">
        <f t="shared" si="21"/>
        <v/>
      </c>
      <c r="C467" s="201"/>
      <c r="D467" s="199"/>
      <c r="E467" s="200"/>
      <c r="F467" s="196" t="str">
        <f>IF($B467="","",SUMIFS('Daily Inward'!$G:$G,'Daily Inward'!$C:$C,$B467,'Daily Inward'!$E:$E,"Patty Cash"))</f>
        <v/>
      </c>
      <c r="G467" s="30" t="str">
        <f>IF($B467="","",SUMIFS('Daily Issuance'!$G:$G,'Daily Issuance'!$C:$C,$B467,'Daily Issuance'!$E:$E,"Patty Cash"))</f>
        <v/>
      </c>
      <c r="H467" s="30" t="str">
        <f t="shared" si="22"/>
        <v/>
      </c>
      <c r="I467" s="33"/>
      <c r="J467" s="34" t="str">
        <f t="shared" si="23"/>
        <v/>
      </c>
    </row>
    <row r="468" spans="1:10" s="27" customFormat="1" ht="23.1" customHeight="1">
      <c r="A468" s="194" t="str">
        <f>IF($C468="","",MAX($A$3:A467)+1)</f>
        <v/>
      </c>
      <c r="B468" s="197" t="str">
        <f t="shared" si="21"/>
        <v/>
      </c>
      <c r="C468" s="201"/>
      <c r="D468" s="199"/>
      <c r="E468" s="200"/>
      <c r="F468" s="196" t="str">
        <f>IF($B468="","",SUMIFS('Daily Inward'!$G:$G,'Daily Inward'!$C:$C,$B468,'Daily Inward'!$E:$E,"Patty Cash"))</f>
        <v/>
      </c>
      <c r="G468" s="30" t="str">
        <f>IF($B468="","",SUMIFS('Daily Issuance'!$G:$G,'Daily Issuance'!$C:$C,$B468,'Daily Issuance'!$E:$E,"Patty Cash"))</f>
        <v/>
      </c>
      <c r="H468" s="30" t="str">
        <f t="shared" si="22"/>
        <v/>
      </c>
      <c r="I468" s="33"/>
      <c r="J468" s="34" t="str">
        <f t="shared" si="23"/>
        <v/>
      </c>
    </row>
    <row r="469" spans="1:10" s="27" customFormat="1" ht="23.1" customHeight="1">
      <c r="A469" s="194" t="str">
        <f>IF($C469="","",MAX($A$3:A468)+1)</f>
        <v/>
      </c>
      <c r="B469" s="197" t="str">
        <f t="shared" si="21"/>
        <v/>
      </c>
      <c r="C469" s="201"/>
      <c r="D469" s="199"/>
      <c r="E469" s="200"/>
      <c r="F469" s="196" t="str">
        <f>IF($B469="","",SUMIFS('Daily Inward'!$G:$G,'Daily Inward'!$C:$C,$B469,'Daily Inward'!$E:$E,"Patty Cash"))</f>
        <v/>
      </c>
      <c r="G469" s="30" t="str">
        <f>IF($B469="","",SUMIFS('Daily Issuance'!$G:$G,'Daily Issuance'!$C:$C,$B469,'Daily Issuance'!$E:$E,"Patty Cash"))</f>
        <v/>
      </c>
      <c r="H469" s="30" t="str">
        <f t="shared" si="22"/>
        <v/>
      </c>
      <c r="I469" s="33"/>
      <c r="J469" s="34" t="str">
        <f t="shared" si="23"/>
        <v/>
      </c>
    </row>
    <row r="470" spans="1:10" s="27" customFormat="1" ht="23.1" customHeight="1">
      <c r="A470" s="194" t="str">
        <f>IF($C470="","",MAX($A$3:A469)+1)</f>
        <v/>
      </c>
      <c r="B470" s="197" t="str">
        <f t="shared" si="21"/>
        <v/>
      </c>
      <c r="C470" s="201"/>
      <c r="D470" s="199"/>
      <c r="E470" s="200"/>
      <c r="F470" s="196" t="str">
        <f>IF($B470="","",SUMIFS('Daily Inward'!$G:$G,'Daily Inward'!$C:$C,$B470,'Daily Inward'!$E:$E,"Patty Cash"))</f>
        <v/>
      </c>
      <c r="G470" s="30" t="str">
        <f>IF($B470="","",SUMIFS('Daily Issuance'!$G:$G,'Daily Issuance'!$C:$C,$B470,'Daily Issuance'!$E:$E,"Patty Cash"))</f>
        <v/>
      </c>
      <c r="H470" s="30" t="str">
        <f t="shared" si="22"/>
        <v/>
      </c>
      <c r="I470" s="33"/>
      <c r="J470" s="34" t="str">
        <f t="shared" si="23"/>
        <v/>
      </c>
    </row>
    <row r="471" spans="1:10" s="27" customFormat="1" ht="23.1" customHeight="1">
      <c r="A471" s="194" t="str">
        <f>IF($C471="","",MAX($A$3:A470)+1)</f>
        <v/>
      </c>
      <c r="B471" s="197" t="str">
        <f t="shared" si="21"/>
        <v/>
      </c>
      <c r="C471" s="201"/>
      <c r="D471" s="199"/>
      <c r="E471" s="200"/>
      <c r="F471" s="196" t="str">
        <f>IF($B471="","",SUMIFS('Daily Inward'!$G:$G,'Daily Inward'!$C:$C,$B471,'Daily Inward'!$E:$E,"Patty Cash"))</f>
        <v/>
      </c>
      <c r="G471" s="30" t="str">
        <f>IF($B471="","",SUMIFS('Daily Issuance'!$G:$G,'Daily Issuance'!$C:$C,$B471,'Daily Issuance'!$E:$E,"Patty Cash"))</f>
        <v/>
      </c>
      <c r="H471" s="30" t="str">
        <f t="shared" si="22"/>
        <v/>
      </c>
      <c r="I471" s="33"/>
      <c r="J471" s="34" t="str">
        <f t="shared" si="23"/>
        <v/>
      </c>
    </row>
    <row r="472" spans="1:10" s="27" customFormat="1" ht="23.1" customHeight="1">
      <c r="A472" s="194" t="str">
        <f>IF($C472="","",MAX($A$3:A471)+1)</f>
        <v/>
      </c>
      <c r="B472" s="197" t="str">
        <f t="shared" si="21"/>
        <v/>
      </c>
      <c r="C472" s="201"/>
      <c r="D472" s="199"/>
      <c r="E472" s="200"/>
      <c r="F472" s="196" t="str">
        <f>IF($B472="","",SUMIFS('Daily Inward'!$G:$G,'Daily Inward'!$C:$C,$B472,'Daily Inward'!$E:$E,"Patty Cash"))</f>
        <v/>
      </c>
      <c r="G472" s="30" t="str">
        <f>IF($B472="","",SUMIFS('Daily Issuance'!$G:$G,'Daily Issuance'!$C:$C,$B472,'Daily Issuance'!$E:$E,"Patty Cash"))</f>
        <v/>
      </c>
      <c r="H472" s="30" t="str">
        <f t="shared" si="22"/>
        <v/>
      </c>
      <c r="I472" s="33"/>
      <c r="J472" s="34" t="str">
        <f t="shared" si="23"/>
        <v/>
      </c>
    </row>
    <row r="473" spans="1:10" s="27" customFormat="1" ht="23.1" customHeight="1">
      <c r="A473" s="194" t="str">
        <f>IF($C473="","",MAX($A$3:A472)+1)</f>
        <v/>
      </c>
      <c r="B473" s="197" t="str">
        <f t="shared" si="21"/>
        <v/>
      </c>
      <c r="C473" s="201"/>
      <c r="D473" s="199"/>
      <c r="E473" s="200"/>
      <c r="F473" s="196" t="str">
        <f>IF($B473="","",SUMIFS('Daily Inward'!$G:$G,'Daily Inward'!$C:$C,$B473,'Daily Inward'!$E:$E,"Patty Cash"))</f>
        <v/>
      </c>
      <c r="G473" s="30" t="str">
        <f>IF($B473="","",SUMIFS('Daily Issuance'!$G:$G,'Daily Issuance'!$C:$C,$B473,'Daily Issuance'!$E:$E,"Patty Cash"))</f>
        <v/>
      </c>
      <c r="H473" s="30" t="str">
        <f t="shared" si="22"/>
        <v/>
      </c>
      <c r="I473" s="33"/>
      <c r="J473" s="34" t="str">
        <f t="shared" si="23"/>
        <v/>
      </c>
    </row>
    <row r="474" spans="1:10" s="27" customFormat="1" ht="23.1" customHeight="1">
      <c r="A474" s="194" t="str">
        <f>IF($C474="","",MAX($A$3:A473)+1)</f>
        <v/>
      </c>
      <c r="B474" s="197" t="str">
        <f t="shared" si="21"/>
        <v/>
      </c>
      <c r="C474" s="201"/>
      <c r="D474" s="199"/>
      <c r="E474" s="200"/>
      <c r="F474" s="196" t="str">
        <f>IF($B474="","",SUMIFS('Daily Inward'!$G:$G,'Daily Inward'!$C:$C,$B474,'Daily Inward'!$E:$E,"Patty Cash"))</f>
        <v/>
      </c>
      <c r="G474" s="30" t="str">
        <f>IF($B474="","",SUMIFS('Daily Issuance'!$G:$G,'Daily Issuance'!$C:$C,$B474,'Daily Issuance'!$E:$E,"Patty Cash"))</f>
        <v/>
      </c>
      <c r="H474" s="30" t="str">
        <f t="shared" si="22"/>
        <v/>
      </c>
      <c r="I474" s="33"/>
      <c r="J474" s="34" t="str">
        <f t="shared" si="23"/>
        <v/>
      </c>
    </row>
    <row r="475" spans="1:10" s="27" customFormat="1" ht="23.1" customHeight="1">
      <c r="A475" s="194" t="str">
        <f>IF($C475="","",MAX($A$3:A474)+1)</f>
        <v/>
      </c>
      <c r="B475" s="197" t="str">
        <f t="shared" si="21"/>
        <v/>
      </c>
      <c r="C475" s="201"/>
      <c r="D475" s="199"/>
      <c r="E475" s="200"/>
      <c r="F475" s="196" t="str">
        <f>IF($B475="","",SUMIFS('Daily Inward'!$G:$G,'Daily Inward'!$C:$C,$B475,'Daily Inward'!$E:$E,"Patty Cash"))</f>
        <v/>
      </c>
      <c r="G475" s="30" t="str">
        <f>IF($B475="","",SUMIFS('Daily Issuance'!$G:$G,'Daily Issuance'!$C:$C,$B475,'Daily Issuance'!$E:$E,"Patty Cash"))</f>
        <v/>
      </c>
      <c r="H475" s="30" t="str">
        <f t="shared" si="22"/>
        <v/>
      </c>
      <c r="I475" s="33"/>
      <c r="J475" s="34" t="str">
        <f t="shared" si="23"/>
        <v/>
      </c>
    </row>
    <row r="476" spans="1:10" s="27" customFormat="1" ht="23.1" customHeight="1">
      <c r="A476" s="194" t="str">
        <f>IF($C476="","",MAX($A$3:A475)+1)</f>
        <v/>
      </c>
      <c r="B476" s="197" t="str">
        <f t="shared" si="21"/>
        <v/>
      </c>
      <c r="C476" s="201"/>
      <c r="D476" s="199"/>
      <c r="E476" s="200"/>
      <c r="F476" s="196" t="str">
        <f>IF($B476="","",SUMIFS('Daily Inward'!$G:$G,'Daily Inward'!$C:$C,$B476,'Daily Inward'!$E:$E,"Patty Cash"))</f>
        <v/>
      </c>
      <c r="G476" s="30" t="str">
        <f>IF($B476="","",SUMIFS('Daily Issuance'!$G:$G,'Daily Issuance'!$C:$C,$B476,'Daily Issuance'!$E:$E,"Patty Cash"))</f>
        <v/>
      </c>
      <c r="H476" s="30" t="str">
        <f t="shared" si="22"/>
        <v/>
      </c>
      <c r="I476" s="33"/>
      <c r="J476" s="34" t="str">
        <f t="shared" si="23"/>
        <v/>
      </c>
    </row>
    <row r="477" spans="1:10" s="27" customFormat="1" ht="23.1" customHeight="1">
      <c r="A477" s="194" t="str">
        <f>IF($C477="","",MAX($A$3:A476)+1)</f>
        <v/>
      </c>
      <c r="B477" s="197" t="str">
        <f t="shared" si="21"/>
        <v/>
      </c>
      <c r="C477" s="201"/>
      <c r="D477" s="199"/>
      <c r="E477" s="200"/>
      <c r="F477" s="196" t="str">
        <f>IF($B477="","",SUMIFS('Daily Inward'!$G:$G,'Daily Inward'!$C:$C,$B477,'Daily Inward'!$E:$E,"Patty Cash"))</f>
        <v/>
      </c>
      <c r="G477" s="30" t="str">
        <f>IF($B477="","",SUMIFS('Daily Issuance'!$G:$G,'Daily Issuance'!$C:$C,$B477,'Daily Issuance'!$E:$E,"Patty Cash"))</f>
        <v/>
      </c>
      <c r="H477" s="30" t="str">
        <f t="shared" si="22"/>
        <v/>
      </c>
      <c r="I477" s="33"/>
      <c r="J477" s="34" t="str">
        <f t="shared" si="23"/>
        <v/>
      </c>
    </row>
    <row r="478" spans="1:10" s="27" customFormat="1" ht="23.1" customHeight="1">
      <c r="A478" s="194" t="str">
        <f>IF($C478="","",MAX($A$3:A477)+1)</f>
        <v/>
      </c>
      <c r="B478" s="197" t="str">
        <f t="shared" si="21"/>
        <v/>
      </c>
      <c r="C478" s="201"/>
      <c r="D478" s="199"/>
      <c r="E478" s="200"/>
      <c r="F478" s="196" t="str">
        <f>IF($B478="","",SUMIFS('Daily Inward'!$G:$G,'Daily Inward'!$C:$C,$B478,'Daily Inward'!$E:$E,"Patty Cash"))</f>
        <v/>
      </c>
      <c r="G478" s="30" t="str">
        <f>IF($B478="","",SUMIFS('Daily Issuance'!$G:$G,'Daily Issuance'!$C:$C,$B478,'Daily Issuance'!$E:$E,"Patty Cash"))</f>
        <v/>
      </c>
      <c r="H478" s="30" t="str">
        <f t="shared" si="22"/>
        <v/>
      </c>
      <c r="I478" s="33"/>
      <c r="J478" s="34" t="str">
        <f t="shared" si="23"/>
        <v/>
      </c>
    </row>
    <row r="479" spans="1:10" s="27" customFormat="1" ht="23.1" customHeight="1">
      <c r="A479" s="194" t="str">
        <f>IF($C479="","",MAX($A$3:A478)+1)</f>
        <v/>
      </c>
      <c r="B479" s="197" t="str">
        <f t="shared" si="21"/>
        <v/>
      </c>
      <c r="C479" s="201"/>
      <c r="D479" s="199"/>
      <c r="E479" s="200"/>
      <c r="F479" s="196" t="str">
        <f>IF($B479="","",SUMIFS('Daily Inward'!$G:$G,'Daily Inward'!$C:$C,$B479,'Daily Inward'!$E:$E,"Patty Cash"))</f>
        <v/>
      </c>
      <c r="G479" s="30" t="str">
        <f>IF($B479="","",SUMIFS('Daily Issuance'!$G:$G,'Daily Issuance'!$C:$C,$B479,'Daily Issuance'!$E:$E,"Patty Cash"))</f>
        <v/>
      </c>
      <c r="H479" s="30" t="str">
        <f t="shared" si="22"/>
        <v/>
      </c>
      <c r="I479" s="33"/>
      <c r="J479" s="34" t="str">
        <f t="shared" si="23"/>
        <v/>
      </c>
    </row>
    <row r="480" spans="1:10" s="27" customFormat="1" ht="23.1" customHeight="1">
      <c r="A480" s="194" t="str">
        <f>IF($C480="","",MAX($A$3:A479)+1)</f>
        <v/>
      </c>
      <c r="B480" s="197" t="str">
        <f t="shared" si="21"/>
        <v/>
      </c>
      <c r="C480" s="201"/>
      <c r="D480" s="199"/>
      <c r="E480" s="200"/>
      <c r="F480" s="196" t="str">
        <f>IF($B480="","",SUMIFS('Daily Inward'!$G:$G,'Daily Inward'!$C:$C,$B480,'Daily Inward'!$E:$E,"Patty Cash"))</f>
        <v/>
      </c>
      <c r="G480" s="30" t="str">
        <f>IF($B480="","",SUMIFS('Daily Issuance'!$G:$G,'Daily Issuance'!$C:$C,$B480,'Daily Issuance'!$E:$E,"Patty Cash"))</f>
        <v/>
      </c>
      <c r="H480" s="30" t="str">
        <f t="shared" si="22"/>
        <v/>
      </c>
      <c r="I480" s="33"/>
      <c r="J480" s="34" t="str">
        <f t="shared" si="23"/>
        <v/>
      </c>
    </row>
    <row r="481" spans="1:10" s="27" customFormat="1" ht="23.1" customHeight="1">
      <c r="A481" s="194" t="str">
        <f>IF($C481="","",MAX($A$3:A480)+1)</f>
        <v/>
      </c>
      <c r="B481" s="197" t="str">
        <f t="shared" si="21"/>
        <v/>
      </c>
      <c r="C481" s="201"/>
      <c r="D481" s="199"/>
      <c r="E481" s="200"/>
      <c r="F481" s="196" t="str">
        <f>IF($B481="","",SUMIFS('Daily Inward'!$G:$G,'Daily Inward'!$C:$C,$B481,'Daily Inward'!$E:$E,"Patty Cash"))</f>
        <v/>
      </c>
      <c r="G481" s="30" t="str">
        <f>IF($B481="","",SUMIFS('Daily Issuance'!$G:$G,'Daily Issuance'!$C:$C,$B481,'Daily Issuance'!$E:$E,"Patty Cash"))</f>
        <v/>
      </c>
      <c r="H481" s="30" t="str">
        <f t="shared" si="22"/>
        <v/>
      </c>
      <c r="I481" s="33"/>
      <c r="J481" s="34" t="str">
        <f t="shared" si="23"/>
        <v/>
      </c>
    </row>
    <row r="482" spans="1:10" s="27" customFormat="1" ht="23.1" customHeight="1">
      <c r="A482" s="194" t="str">
        <f>IF($C482="","",MAX($A$3:A481)+1)</f>
        <v/>
      </c>
      <c r="B482" s="197" t="str">
        <f t="shared" si="21"/>
        <v/>
      </c>
      <c r="C482" s="201"/>
      <c r="D482" s="199"/>
      <c r="E482" s="200"/>
      <c r="F482" s="196" t="str">
        <f>IF($B482="","",SUMIFS('Daily Inward'!$G:$G,'Daily Inward'!$C:$C,$B482,'Daily Inward'!$E:$E,"Patty Cash"))</f>
        <v/>
      </c>
      <c r="G482" s="30" t="str">
        <f>IF($B482="","",SUMIFS('Daily Issuance'!$G:$G,'Daily Issuance'!$C:$C,$B482,'Daily Issuance'!$E:$E,"Patty Cash"))</f>
        <v/>
      </c>
      <c r="H482" s="30" t="str">
        <f t="shared" si="22"/>
        <v/>
      </c>
      <c r="I482" s="33"/>
      <c r="J482" s="34" t="str">
        <f t="shared" si="23"/>
        <v/>
      </c>
    </row>
    <row r="483" spans="1:10" s="27" customFormat="1" ht="23.1" customHeight="1">
      <c r="A483" s="194" t="str">
        <f>IF($C483="","",MAX($A$3:A482)+1)</f>
        <v/>
      </c>
      <c r="B483" s="197" t="str">
        <f t="shared" si="21"/>
        <v/>
      </c>
      <c r="C483" s="201"/>
      <c r="D483" s="199"/>
      <c r="E483" s="200"/>
      <c r="F483" s="196" t="str">
        <f>IF($B483="","",SUMIFS('Daily Inward'!$G:$G,'Daily Inward'!$C:$C,$B483,'Daily Inward'!$E:$E,"Patty Cash"))</f>
        <v/>
      </c>
      <c r="G483" s="30" t="str">
        <f>IF($B483="","",SUMIFS('Daily Issuance'!$G:$G,'Daily Issuance'!$C:$C,$B483,'Daily Issuance'!$E:$E,"Patty Cash"))</f>
        <v/>
      </c>
      <c r="H483" s="30" t="str">
        <f t="shared" si="22"/>
        <v/>
      </c>
      <c r="I483" s="33"/>
      <c r="J483" s="34" t="str">
        <f t="shared" si="23"/>
        <v/>
      </c>
    </row>
    <row r="484" spans="1:10" s="27" customFormat="1" ht="23.1" customHeight="1">
      <c r="A484" s="194" t="str">
        <f>IF($C484="","",MAX($A$3:A483)+1)</f>
        <v/>
      </c>
      <c r="B484" s="197" t="str">
        <f t="shared" si="21"/>
        <v/>
      </c>
      <c r="C484" s="201"/>
      <c r="D484" s="199"/>
      <c r="E484" s="200"/>
      <c r="F484" s="196" t="str">
        <f>IF($B484="","",SUMIFS('Daily Inward'!$G:$G,'Daily Inward'!$C:$C,$B484,'Daily Inward'!$E:$E,"Patty Cash"))</f>
        <v/>
      </c>
      <c r="G484" s="30" t="str">
        <f>IF($B484="","",SUMIFS('Daily Issuance'!$G:$G,'Daily Issuance'!$C:$C,$B484,'Daily Issuance'!$E:$E,"Patty Cash"))</f>
        <v/>
      </c>
      <c r="H484" s="30" t="str">
        <f t="shared" si="22"/>
        <v/>
      </c>
      <c r="I484" s="33"/>
      <c r="J484" s="34" t="str">
        <f t="shared" si="23"/>
        <v/>
      </c>
    </row>
    <row r="485" spans="1:10" s="27" customFormat="1" ht="23.1" customHeight="1">
      <c r="A485" s="194" t="str">
        <f>IF($C485="","",MAX($A$3:A484)+1)</f>
        <v/>
      </c>
      <c r="B485" s="197" t="str">
        <f t="shared" si="21"/>
        <v/>
      </c>
      <c r="C485" s="201"/>
      <c r="D485" s="199"/>
      <c r="E485" s="200"/>
      <c r="F485" s="196" t="str">
        <f>IF($B485="","",SUMIFS('Daily Inward'!$G:$G,'Daily Inward'!$C:$C,$B485,'Daily Inward'!$E:$E,"Patty Cash"))</f>
        <v/>
      </c>
      <c r="G485" s="30" t="str">
        <f>IF($B485="","",SUMIFS('Daily Issuance'!$G:$G,'Daily Issuance'!$C:$C,$B485,'Daily Issuance'!$E:$E,"Patty Cash"))</f>
        <v/>
      </c>
      <c r="H485" s="30" t="str">
        <f t="shared" si="22"/>
        <v/>
      </c>
      <c r="I485" s="33"/>
      <c r="J485" s="34" t="str">
        <f t="shared" si="23"/>
        <v/>
      </c>
    </row>
    <row r="486" spans="1:10" s="27" customFormat="1" ht="23.1" customHeight="1">
      <c r="A486" s="194" t="str">
        <f>IF($C486="","",MAX($A$3:A485)+1)</f>
        <v/>
      </c>
      <c r="B486" s="197" t="str">
        <f t="shared" si="21"/>
        <v/>
      </c>
      <c r="C486" s="201"/>
      <c r="D486" s="199"/>
      <c r="E486" s="200"/>
      <c r="F486" s="196" t="str">
        <f>IF($B486="","",SUMIFS('Daily Inward'!$G:$G,'Daily Inward'!$C:$C,$B486,'Daily Inward'!$E:$E,"Patty Cash"))</f>
        <v/>
      </c>
      <c r="G486" s="30" t="str">
        <f>IF($B486="","",SUMIFS('Daily Issuance'!$G:$G,'Daily Issuance'!$C:$C,$B486,'Daily Issuance'!$E:$E,"Patty Cash"))</f>
        <v/>
      </c>
      <c r="H486" s="30" t="str">
        <f t="shared" si="22"/>
        <v/>
      </c>
      <c r="I486" s="33"/>
      <c r="J486" s="34" t="str">
        <f t="shared" si="23"/>
        <v/>
      </c>
    </row>
    <row r="487" spans="1:10" s="27" customFormat="1" ht="23.1" customHeight="1">
      <c r="A487" s="194" t="str">
        <f>IF($C487="","",MAX($A$3:A486)+1)</f>
        <v/>
      </c>
      <c r="B487" s="197" t="str">
        <f t="shared" si="21"/>
        <v/>
      </c>
      <c r="C487" s="201"/>
      <c r="D487" s="199"/>
      <c r="E487" s="200"/>
      <c r="F487" s="196" t="str">
        <f>IF($B487="","",SUMIFS('Daily Inward'!$G:$G,'Daily Inward'!$C:$C,$B487,'Daily Inward'!$E:$E,"Patty Cash"))</f>
        <v/>
      </c>
      <c r="G487" s="30" t="str">
        <f>IF($B487="","",SUMIFS('Daily Issuance'!$G:$G,'Daily Issuance'!$C:$C,$B487,'Daily Issuance'!$E:$E,"Patty Cash"))</f>
        <v/>
      </c>
      <c r="H487" s="30" t="str">
        <f t="shared" si="22"/>
        <v/>
      </c>
      <c r="I487" s="33"/>
      <c r="J487" s="34" t="str">
        <f t="shared" si="23"/>
        <v/>
      </c>
    </row>
    <row r="488" spans="1:10" s="27" customFormat="1" ht="23.1" customHeight="1">
      <c r="A488" s="194" t="str">
        <f>IF($C488="","",MAX($A$3:A487)+1)</f>
        <v/>
      </c>
      <c r="B488" s="197" t="str">
        <f t="shared" si="21"/>
        <v/>
      </c>
      <c r="C488" s="201"/>
      <c r="D488" s="199"/>
      <c r="E488" s="200"/>
      <c r="F488" s="196" t="str">
        <f>IF($B488="","",SUMIFS('Daily Inward'!$G:$G,'Daily Inward'!$C:$C,$B488,'Daily Inward'!$E:$E,"Patty Cash"))</f>
        <v/>
      </c>
      <c r="G488" s="30" t="str">
        <f>IF($B488="","",SUMIFS('Daily Issuance'!$G:$G,'Daily Issuance'!$C:$C,$B488,'Daily Issuance'!$E:$E,"Patty Cash"))</f>
        <v/>
      </c>
      <c r="H488" s="30" t="str">
        <f t="shared" si="22"/>
        <v/>
      </c>
      <c r="I488" s="33"/>
      <c r="J488" s="34" t="str">
        <f t="shared" si="23"/>
        <v/>
      </c>
    </row>
    <row r="489" spans="1:10" s="27" customFormat="1" ht="23.1" customHeight="1">
      <c r="A489" s="194" t="str">
        <f>IF($C489="","",MAX($A$3:A488)+1)</f>
        <v/>
      </c>
      <c r="B489" s="197" t="str">
        <f t="shared" si="21"/>
        <v/>
      </c>
      <c r="C489" s="201"/>
      <c r="D489" s="199"/>
      <c r="E489" s="200"/>
      <c r="F489" s="196" t="str">
        <f>IF($B489="","",SUMIFS('Daily Inward'!$G:$G,'Daily Inward'!$C:$C,$B489,'Daily Inward'!$E:$E,"Patty Cash"))</f>
        <v/>
      </c>
      <c r="G489" s="30" t="str">
        <f>IF($B489="","",SUMIFS('Daily Issuance'!$G:$G,'Daily Issuance'!$C:$C,$B489,'Daily Issuance'!$E:$E,"Patty Cash"))</f>
        <v/>
      </c>
      <c r="H489" s="30" t="str">
        <f t="shared" si="22"/>
        <v/>
      </c>
      <c r="I489" s="33"/>
      <c r="J489" s="34" t="str">
        <f t="shared" si="23"/>
        <v/>
      </c>
    </row>
    <row r="490" spans="1:10" s="27" customFormat="1" ht="23.1" customHeight="1">
      <c r="A490" s="194" t="str">
        <f>IF($C490="","",MAX($A$3:A489)+1)</f>
        <v/>
      </c>
      <c r="B490" s="197" t="str">
        <f t="shared" si="21"/>
        <v/>
      </c>
      <c r="C490" s="201"/>
      <c r="D490" s="199"/>
      <c r="E490" s="200"/>
      <c r="F490" s="196" t="str">
        <f>IF($B490="","",SUMIFS('Daily Inward'!$G:$G,'Daily Inward'!$C:$C,$B490,'Daily Inward'!$E:$E,"Patty Cash"))</f>
        <v/>
      </c>
      <c r="G490" s="30" t="str">
        <f>IF($B490="","",SUMIFS('Daily Issuance'!$G:$G,'Daily Issuance'!$C:$C,$B490,'Daily Issuance'!$E:$E,"Patty Cash"))</f>
        <v/>
      </c>
      <c r="H490" s="30" t="str">
        <f t="shared" si="22"/>
        <v/>
      </c>
      <c r="I490" s="33"/>
      <c r="J490" s="34" t="str">
        <f t="shared" si="23"/>
        <v/>
      </c>
    </row>
    <row r="491" spans="1:10" s="27" customFormat="1" ht="23.1" customHeight="1">
      <c r="A491" s="194" t="str">
        <f>IF($C491="","",MAX($A$3:A490)+1)</f>
        <v/>
      </c>
      <c r="B491" s="197" t="str">
        <f t="shared" si="21"/>
        <v/>
      </c>
      <c r="C491" s="201"/>
      <c r="D491" s="199"/>
      <c r="E491" s="200"/>
      <c r="F491" s="196" t="str">
        <f>IF($B491="","",SUMIFS('Daily Inward'!$G:$G,'Daily Inward'!$C:$C,$B491,'Daily Inward'!$E:$E,"Patty Cash"))</f>
        <v/>
      </c>
      <c r="G491" s="30" t="str">
        <f>IF($B491="","",SUMIFS('Daily Issuance'!$G:$G,'Daily Issuance'!$C:$C,$B491,'Daily Issuance'!$E:$E,"Patty Cash"))</f>
        <v/>
      </c>
      <c r="H491" s="30" t="str">
        <f t="shared" si="22"/>
        <v/>
      </c>
      <c r="I491" s="33"/>
      <c r="J491" s="34" t="str">
        <f t="shared" si="23"/>
        <v/>
      </c>
    </row>
    <row r="492" spans="1:10" s="27" customFormat="1" ht="23.1" customHeight="1">
      <c r="A492" s="194" t="str">
        <f>IF($C492="","",MAX($A$3:A491)+1)</f>
        <v/>
      </c>
      <c r="B492" s="197" t="str">
        <f t="shared" si="21"/>
        <v/>
      </c>
      <c r="C492" s="201"/>
      <c r="D492" s="199"/>
      <c r="E492" s="200"/>
      <c r="F492" s="196" t="str">
        <f>IF($B492="","",SUMIFS('Daily Inward'!$G:$G,'Daily Inward'!$C:$C,$B492,'Daily Inward'!$E:$E,"Patty Cash"))</f>
        <v/>
      </c>
      <c r="G492" s="30" t="str">
        <f>IF($B492="","",SUMIFS('Daily Issuance'!$G:$G,'Daily Issuance'!$C:$C,$B492,'Daily Issuance'!$E:$E,"Patty Cash"))</f>
        <v/>
      </c>
      <c r="H492" s="30" t="str">
        <f t="shared" si="22"/>
        <v/>
      </c>
      <c r="I492" s="33"/>
      <c r="J492" s="34" t="str">
        <f t="shared" si="23"/>
        <v/>
      </c>
    </row>
    <row r="493" spans="1:10" s="27" customFormat="1" ht="23.1" customHeight="1">
      <c r="A493" s="194" t="str">
        <f>IF($C493="","",MAX($A$3:A492)+1)</f>
        <v/>
      </c>
      <c r="B493" s="197" t="str">
        <f t="shared" si="21"/>
        <v/>
      </c>
      <c r="C493" s="201"/>
      <c r="D493" s="199"/>
      <c r="E493" s="200"/>
      <c r="F493" s="196" t="str">
        <f>IF($B493="","",SUMIFS('Daily Inward'!$G:$G,'Daily Inward'!$C:$C,$B493,'Daily Inward'!$E:$E,"Patty Cash"))</f>
        <v/>
      </c>
      <c r="G493" s="30" t="str">
        <f>IF($B493="","",SUMIFS('Daily Issuance'!$G:$G,'Daily Issuance'!$C:$C,$B493,'Daily Issuance'!$E:$E,"Patty Cash"))</f>
        <v/>
      </c>
      <c r="H493" s="30" t="str">
        <f t="shared" si="22"/>
        <v/>
      </c>
      <c r="I493" s="33"/>
      <c r="J493" s="34" t="str">
        <f t="shared" si="23"/>
        <v/>
      </c>
    </row>
    <row r="494" spans="1:10" s="27" customFormat="1" ht="23.1" customHeight="1">
      <c r="A494" s="194" t="str">
        <f>IF($C494="","",MAX($A$3:A493)+1)</f>
        <v/>
      </c>
      <c r="B494" s="197" t="str">
        <f t="shared" si="21"/>
        <v/>
      </c>
      <c r="C494" s="201"/>
      <c r="D494" s="199"/>
      <c r="E494" s="200"/>
      <c r="F494" s="196" t="str">
        <f>IF($B494="","",SUMIFS('Daily Inward'!$G:$G,'Daily Inward'!$C:$C,$B494,'Daily Inward'!$E:$E,"Patty Cash"))</f>
        <v/>
      </c>
      <c r="G494" s="30" t="str">
        <f>IF($B494="","",SUMIFS('Daily Issuance'!$G:$G,'Daily Issuance'!$C:$C,$B494,'Daily Issuance'!$E:$E,"Patty Cash"))</f>
        <v/>
      </c>
      <c r="H494" s="30" t="str">
        <f t="shared" si="22"/>
        <v/>
      </c>
      <c r="I494" s="33"/>
      <c r="J494" s="34" t="str">
        <f t="shared" si="23"/>
        <v/>
      </c>
    </row>
    <row r="495" spans="1:10" s="27" customFormat="1" ht="23.1" customHeight="1">
      <c r="A495" s="194" t="str">
        <f>IF($C495="","",MAX($A$3:A494)+1)</f>
        <v/>
      </c>
      <c r="B495" s="197" t="str">
        <f t="shared" si="21"/>
        <v/>
      </c>
      <c r="C495" s="201"/>
      <c r="D495" s="199"/>
      <c r="E495" s="200"/>
      <c r="F495" s="196" t="str">
        <f>IF($B495="","",SUMIFS('Daily Inward'!$G:$G,'Daily Inward'!$C:$C,$B495,'Daily Inward'!$E:$E,"Patty Cash"))</f>
        <v/>
      </c>
      <c r="G495" s="30" t="str">
        <f>IF($B495="","",SUMIFS('Daily Issuance'!$G:$G,'Daily Issuance'!$C:$C,$B495,'Daily Issuance'!$E:$E,"Patty Cash"))</f>
        <v/>
      </c>
      <c r="H495" s="30" t="str">
        <f t="shared" si="22"/>
        <v/>
      </c>
      <c r="I495" s="33"/>
      <c r="J495" s="34" t="str">
        <f t="shared" si="23"/>
        <v/>
      </c>
    </row>
    <row r="496" spans="1:10" s="27" customFormat="1" ht="23.1" customHeight="1">
      <c r="A496" s="194" t="str">
        <f>IF($C496="","",MAX($A$3:A495)+1)</f>
        <v/>
      </c>
      <c r="B496" s="197" t="str">
        <f t="shared" si="21"/>
        <v/>
      </c>
      <c r="C496" s="201"/>
      <c r="D496" s="199"/>
      <c r="E496" s="200"/>
      <c r="F496" s="196" t="str">
        <f>IF($B496="","",SUMIFS('Daily Inward'!$G:$G,'Daily Inward'!$C:$C,$B496,'Daily Inward'!$E:$E,"Patty Cash"))</f>
        <v/>
      </c>
      <c r="G496" s="30" t="str">
        <f>IF($B496="","",SUMIFS('Daily Issuance'!$G:$G,'Daily Issuance'!$C:$C,$B496,'Daily Issuance'!$E:$E,"Patty Cash"))</f>
        <v/>
      </c>
      <c r="H496" s="30" t="str">
        <f t="shared" si="22"/>
        <v/>
      </c>
      <c r="I496" s="33"/>
      <c r="J496" s="34" t="str">
        <f t="shared" si="23"/>
        <v/>
      </c>
    </row>
    <row r="497" spans="1:10" s="27" customFormat="1" ht="23.1" customHeight="1">
      <c r="A497" s="194" t="str">
        <f>IF($C497="","",MAX($A$3:A496)+1)</f>
        <v/>
      </c>
      <c r="B497" s="197" t="str">
        <f t="shared" si="21"/>
        <v/>
      </c>
      <c r="C497" s="201"/>
      <c r="D497" s="199"/>
      <c r="E497" s="200"/>
      <c r="F497" s="196" t="str">
        <f>IF($B497="","",SUMIFS('Daily Inward'!$G:$G,'Daily Inward'!$C:$C,$B497,'Daily Inward'!$E:$E,"Patty Cash"))</f>
        <v/>
      </c>
      <c r="G497" s="30" t="str">
        <f>IF($B497="","",SUMIFS('Daily Issuance'!$G:$G,'Daily Issuance'!$C:$C,$B497,'Daily Issuance'!$E:$E,"Patty Cash"))</f>
        <v/>
      </c>
      <c r="H497" s="30" t="str">
        <f t="shared" si="22"/>
        <v/>
      </c>
      <c r="I497" s="33"/>
      <c r="J497" s="34" t="str">
        <f t="shared" si="23"/>
        <v/>
      </c>
    </row>
    <row r="498" spans="1:10" s="27" customFormat="1" ht="23.1" customHeight="1">
      <c r="A498" s="194" t="str">
        <f>IF($C498="","",MAX($A$3:A497)+1)</f>
        <v/>
      </c>
      <c r="B498" s="197" t="str">
        <f t="shared" si="21"/>
        <v/>
      </c>
      <c r="C498" s="201"/>
      <c r="D498" s="199"/>
      <c r="E498" s="200"/>
      <c r="F498" s="196" t="str">
        <f>IF($B498="","",SUMIFS('Daily Inward'!$G:$G,'Daily Inward'!$C:$C,$B498,'Daily Inward'!$E:$E,"Patty Cash"))</f>
        <v/>
      </c>
      <c r="G498" s="30" t="str">
        <f>IF($B498="","",SUMIFS('Daily Issuance'!$G:$G,'Daily Issuance'!$C:$C,$B498,'Daily Issuance'!$E:$E,"Patty Cash"))</f>
        <v/>
      </c>
      <c r="H498" s="30" t="str">
        <f t="shared" si="22"/>
        <v/>
      </c>
      <c r="I498" s="33"/>
      <c r="J498" s="34" t="str">
        <f t="shared" si="23"/>
        <v/>
      </c>
    </row>
    <row r="499" spans="1:10" s="27" customFormat="1" ht="23.1" customHeight="1">
      <c r="A499" s="194" t="str">
        <f>IF($C499="","",MAX($A$3:A498)+1)</f>
        <v/>
      </c>
      <c r="B499" s="197" t="str">
        <f t="shared" si="21"/>
        <v/>
      </c>
      <c r="C499" s="201"/>
      <c r="D499" s="199"/>
      <c r="E499" s="200"/>
      <c r="F499" s="196" t="str">
        <f>IF($B499="","",SUMIFS('Daily Inward'!$G:$G,'Daily Inward'!$C:$C,$B499,'Daily Inward'!$E:$E,"Patty Cash"))</f>
        <v/>
      </c>
      <c r="G499" s="30" t="str">
        <f>IF($B499="","",SUMIFS('Daily Issuance'!$G:$G,'Daily Issuance'!$C:$C,$B499,'Daily Issuance'!$E:$E,"Patty Cash"))</f>
        <v/>
      </c>
      <c r="H499" s="30" t="str">
        <f t="shared" si="22"/>
        <v/>
      </c>
      <c r="I499" s="33"/>
      <c r="J499" s="34" t="str">
        <f t="shared" si="23"/>
        <v/>
      </c>
    </row>
    <row r="500" spans="1:10" s="27" customFormat="1" ht="23.1" customHeight="1">
      <c r="A500" s="194" t="str">
        <f>IF($C500="","",MAX($A$3:A499)+1)</f>
        <v/>
      </c>
      <c r="B500" s="197" t="str">
        <f t="shared" si="21"/>
        <v/>
      </c>
      <c r="C500" s="201"/>
      <c r="D500" s="199"/>
      <c r="E500" s="200"/>
      <c r="F500" s="196" t="str">
        <f>IF($B500="","",SUMIFS('Daily Inward'!$G:$G,'Daily Inward'!$C:$C,$B500,'Daily Inward'!$E:$E,"Patty Cash"))</f>
        <v/>
      </c>
      <c r="G500" s="30" t="str">
        <f>IF($B500="","",SUMIFS('Daily Issuance'!$G:$G,'Daily Issuance'!$C:$C,$B500,'Daily Issuance'!$E:$E,"Patty Cash"))</f>
        <v/>
      </c>
      <c r="H500" s="30" t="str">
        <f t="shared" si="22"/>
        <v/>
      </c>
      <c r="I500" s="33"/>
      <c r="J500" s="34" t="str">
        <f t="shared" si="23"/>
        <v/>
      </c>
    </row>
    <row r="501" spans="1:10" s="27" customFormat="1" ht="23.1" customHeight="1">
      <c r="A501" s="194" t="str">
        <f>IF($C501="","",MAX($A$3:A500)+1)</f>
        <v/>
      </c>
      <c r="B501" s="197" t="str">
        <f t="shared" si="21"/>
        <v/>
      </c>
      <c r="C501" s="201"/>
      <c r="D501" s="199"/>
      <c r="E501" s="200"/>
      <c r="F501" s="196" t="str">
        <f>IF($B501="","",SUMIFS('Daily Inward'!$G:$G,'Daily Inward'!$C:$C,$B501,'Daily Inward'!$E:$E,"Patty Cash"))</f>
        <v/>
      </c>
      <c r="G501" s="30" t="str">
        <f>IF($B501="","",SUMIFS('Daily Issuance'!$G:$G,'Daily Issuance'!$C:$C,$B501,'Daily Issuance'!$E:$E,"Patty Cash"))</f>
        <v/>
      </c>
      <c r="H501" s="30" t="str">
        <f t="shared" si="22"/>
        <v/>
      </c>
      <c r="I501" s="33"/>
      <c r="J501" s="34" t="str">
        <f t="shared" si="23"/>
        <v/>
      </c>
    </row>
    <row r="502" spans="1:10" s="27" customFormat="1" ht="23.1" customHeight="1">
      <c r="A502" s="194" t="str">
        <f>IF($C502="","",MAX($A$3:A501)+1)</f>
        <v/>
      </c>
      <c r="B502" s="197" t="str">
        <f t="shared" si="21"/>
        <v/>
      </c>
      <c r="C502" s="201"/>
      <c r="D502" s="199"/>
      <c r="E502" s="200"/>
      <c r="F502" s="196" t="str">
        <f>IF($B502="","",SUMIFS('Daily Inward'!$G:$G,'Daily Inward'!$C:$C,$B502,'Daily Inward'!$E:$E,"Patty Cash"))</f>
        <v/>
      </c>
      <c r="G502" s="30" t="str">
        <f>IF($B502="","",SUMIFS('Daily Issuance'!$G:$G,'Daily Issuance'!$C:$C,$B502,'Daily Issuance'!$E:$E,"Patty Cash"))</f>
        <v/>
      </c>
      <c r="H502" s="30" t="str">
        <f t="shared" si="22"/>
        <v/>
      </c>
      <c r="I502" s="33"/>
      <c r="J502" s="34" t="str">
        <f t="shared" si="23"/>
        <v/>
      </c>
    </row>
    <row r="503" spans="1:10" s="27" customFormat="1" ht="23.1" customHeight="1">
      <c r="A503" s="194" t="str">
        <f>IF($C503="","",MAX($A$3:A502)+1)</f>
        <v/>
      </c>
      <c r="B503" s="197" t="str">
        <f t="shared" si="21"/>
        <v/>
      </c>
      <c r="C503" s="201"/>
      <c r="D503" s="199"/>
      <c r="E503" s="200"/>
      <c r="F503" s="196" t="str">
        <f>IF($B503="","",SUMIFS('Daily Inward'!$G:$G,'Daily Inward'!$C:$C,$B503,'Daily Inward'!$E:$E,"Patty Cash"))</f>
        <v/>
      </c>
      <c r="G503" s="30" t="str">
        <f>IF($B503="","",SUMIFS('Daily Issuance'!$G:$G,'Daily Issuance'!$C:$C,$B503,'Daily Issuance'!$E:$E,"Patty Cash"))</f>
        <v/>
      </c>
      <c r="H503" s="30" t="str">
        <f t="shared" si="22"/>
        <v/>
      </c>
      <c r="I503" s="33"/>
      <c r="J503" s="34" t="str">
        <f t="shared" si="23"/>
        <v/>
      </c>
    </row>
    <row r="504" spans="1:10" s="27" customFormat="1" ht="23.1" customHeight="1">
      <c r="A504" s="194" t="str">
        <f>IF($C504="","",MAX($A$3:A503)+1)</f>
        <v/>
      </c>
      <c r="B504" s="197" t="str">
        <f t="shared" si="21"/>
        <v/>
      </c>
      <c r="C504" s="201"/>
      <c r="D504" s="199"/>
      <c r="E504" s="200"/>
      <c r="F504" s="196" t="str">
        <f>IF($B504="","",SUMIFS('Daily Inward'!$G:$G,'Daily Inward'!$C:$C,$B504,'Daily Inward'!$E:$E,"Patty Cash"))</f>
        <v/>
      </c>
      <c r="G504" s="30" t="str">
        <f>IF($B504="","",SUMIFS('Daily Issuance'!$G:$G,'Daily Issuance'!$C:$C,$B504,'Daily Issuance'!$E:$E,"Patty Cash"))</f>
        <v/>
      </c>
      <c r="H504" s="30" t="str">
        <f t="shared" si="22"/>
        <v/>
      </c>
      <c r="I504" s="33"/>
      <c r="J504" s="34" t="str">
        <f t="shared" si="23"/>
        <v/>
      </c>
    </row>
    <row r="505" spans="1:10" s="27" customFormat="1" ht="23.1" customHeight="1">
      <c r="A505" s="194" t="str">
        <f>IF($C505="","",MAX($A$3:A504)+1)</f>
        <v/>
      </c>
      <c r="B505" s="197" t="str">
        <f t="shared" si="21"/>
        <v/>
      </c>
      <c r="C505" s="201"/>
      <c r="D505" s="199"/>
      <c r="E505" s="200"/>
      <c r="F505" s="196" t="str">
        <f>IF($B505="","",SUMIFS('Daily Inward'!$G:$G,'Daily Inward'!$C:$C,$B505,'Daily Inward'!$E:$E,"Patty Cash"))</f>
        <v/>
      </c>
      <c r="G505" s="30" t="str">
        <f>IF($B505="","",SUMIFS('Daily Issuance'!$G:$G,'Daily Issuance'!$C:$C,$B505,'Daily Issuance'!$E:$E,"Patty Cash"))</f>
        <v/>
      </c>
      <c r="H505" s="30" t="str">
        <f t="shared" si="22"/>
        <v/>
      </c>
      <c r="I505" s="33"/>
      <c r="J505" s="34" t="str">
        <f t="shared" si="23"/>
        <v/>
      </c>
    </row>
    <row r="506" spans="1:10" s="27" customFormat="1" ht="23.1" customHeight="1">
      <c r="A506" s="194" t="str">
        <f>IF($C506="","",MAX($A$3:A505)+1)</f>
        <v/>
      </c>
      <c r="B506" s="197" t="str">
        <f t="shared" si="21"/>
        <v/>
      </c>
      <c r="C506" s="201"/>
      <c r="D506" s="199"/>
      <c r="E506" s="200"/>
      <c r="F506" s="196" t="str">
        <f>IF($B506="","",SUMIFS('Daily Inward'!$G:$G,'Daily Inward'!$C:$C,$B506,'Daily Inward'!$E:$E,"Patty Cash"))</f>
        <v/>
      </c>
      <c r="G506" s="30" t="str">
        <f>IF($B506="","",SUMIFS('Daily Issuance'!$G:$G,'Daily Issuance'!$C:$C,$B506,'Daily Issuance'!$E:$E,"Patty Cash"))</f>
        <v/>
      </c>
      <c r="H506" s="30" t="str">
        <f t="shared" si="22"/>
        <v/>
      </c>
      <c r="I506" s="33"/>
      <c r="J506" s="34" t="str">
        <f t="shared" si="23"/>
        <v/>
      </c>
    </row>
    <row r="507" spans="1:10" s="27" customFormat="1" ht="23.1" customHeight="1">
      <c r="A507" s="194" t="str">
        <f>IF($C507="","",MAX($A$3:A506)+1)</f>
        <v/>
      </c>
      <c r="B507" s="197" t="str">
        <f t="shared" si="21"/>
        <v/>
      </c>
      <c r="C507" s="201"/>
      <c r="D507" s="199"/>
      <c r="E507" s="200"/>
      <c r="F507" s="196" t="str">
        <f>IF($B507="","",SUMIFS('Daily Inward'!$G:$G,'Daily Inward'!$C:$C,$B507,'Daily Inward'!$E:$E,"Patty Cash"))</f>
        <v/>
      </c>
      <c r="G507" s="30" t="str">
        <f>IF($B507="","",SUMIFS('Daily Issuance'!$G:$G,'Daily Issuance'!$C:$C,$B507,'Daily Issuance'!$E:$E,"Patty Cash"))</f>
        <v/>
      </c>
      <c r="H507" s="30" t="str">
        <f t="shared" si="22"/>
        <v/>
      </c>
      <c r="I507" s="33"/>
      <c r="J507" s="34" t="str">
        <f t="shared" si="23"/>
        <v/>
      </c>
    </row>
    <row r="508" spans="1:10" s="27" customFormat="1" ht="23.1" customHeight="1">
      <c r="A508" s="194" t="str">
        <f>IF($C508="","",MAX($A$3:A507)+1)</f>
        <v/>
      </c>
      <c r="B508" s="197" t="str">
        <f t="shared" si="21"/>
        <v/>
      </c>
      <c r="C508" s="201"/>
      <c r="D508" s="199"/>
      <c r="E508" s="200"/>
      <c r="F508" s="196" t="str">
        <f>IF($B508="","",SUMIFS('Daily Inward'!$G:$G,'Daily Inward'!$C:$C,$B508,'Daily Inward'!$E:$E,"Patty Cash"))</f>
        <v/>
      </c>
      <c r="G508" s="30" t="str">
        <f>IF($B508="","",SUMIFS('Daily Issuance'!$G:$G,'Daily Issuance'!$C:$C,$B508,'Daily Issuance'!$E:$E,"Patty Cash"))</f>
        <v/>
      </c>
      <c r="H508" s="30" t="str">
        <f t="shared" si="22"/>
        <v/>
      </c>
      <c r="I508" s="33"/>
      <c r="J508" s="34" t="str">
        <f t="shared" si="23"/>
        <v/>
      </c>
    </row>
    <row r="509" spans="1:10" s="27" customFormat="1" ht="23.1" customHeight="1">
      <c r="A509" s="194" t="str">
        <f>IF($C509="","",MAX($A$3:A508)+1)</f>
        <v/>
      </c>
      <c r="B509" s="197" t="str">
        <f t="shared" si="21"/>
        <v/>
      </c>
      <c r="C509" s="201"/>
      <c r="D509" s="199"/>
      <c r="E509" s="200"/>
      <c r="F509" s="196" t="str">
        <f>IF($B509="","",SUMIFS('Daily Inward'!$G:$G,'Daily Inward'!$C:$C,$B509,'Daily Inward'!$E:$E,"Patty Cash"))</f>
        <v/>
      </c>
      <c r="G509" s="30" t="str">
        <f>IF($B509="","",SUMIFS('Daily Issuance'!$G:$G,'Daily Issuance'!$C:$C,$B509,'Daily Issuance'!$E:$E,"Patty Cash"))</f>
        <v/>
      </c>
      <c r="H509" s="30" t="str">
        <f t="shared" si="22"/>
        <v/>
      </c>
      <c r="I509" s="33"/>
      <c r="J509" s="34" t="str">
        <f t="shared" si="23"/>
        <v/>
      </c>
    </row>
    <row r="510" spans="1:10" s="27" customFormat="1" ht="23.1" customHeight="1">
      <c r="A510" s="194" t="str">
        <f>IF($C510="","",MAX($A$3:A509)+1)</f>
        <v/>
      </c>
      <c r="B510" s="197" t="str">
        <f t="shared" si="21"/>
        <v/>
      </c>
      <c r="C510" s="201"/>
      <c r="D510" s="199"/>
      <c r="E510" s="200"/>
      <c r="F510" s="196" t="str">
        <f>IF($B510="","",SUMIFS('Daily Inward'!$G:$G,'Daily Inward'!$C:$C,$B510,'Daily Inward'!$E:$E,"Patty Cash"))</f>
        <v/>
      </c>
      <c r="G510" s="30" t="str">
        <f>IF($B510="","",SUMIFS('Daily Issuance'!$G:$G,'Daily Issuance'!$C:$C,$B510,'Daily Issuance'!$E:$E,"Patty Cash"))</f>
        <v/>
      </c>
      <c r="H510" s="30" t="str">
        <f t="shared" si="22"/>
        <v/>
      </c>
      <c r="I510" s="33"/>
      <c r="J510" s="34" t="str">
        <f t="shared" si="23"/>
        <v/>
      </c>
    </row>
    <row r="511" spans="1:10" s="27" customFormat="1" ht="23.1" customHeight="1">
      <c r="A511" s="194" t="str">
        <f>IF($C511="","",MAX($A$3:A510)+1)</f>
        <v/>
      </c>
      <c r="B511" s="197" t="str">
        <f t="shared" si="21"/>
        <v/>
      </c>
      <c r="C511" s="201"/>
      <c r="D511" s="199"/>
      <c r="E511" s="200"/>
      <c r="F511" s="196" t="str">
        <f>IF($B511="","",SUMIFS('Daily Inward'!$G:$G,'Daily Inward'!$C:$C,$B511,'Daily Inward'!$E:$E,"Patty Cash"))</f>
        <v/>
      </c>
      <c r="G511" s="30" t="str">
        <f>IF($B511="","",SUMIFS('Daily Issuance'!$G:$G,'Daily Issuance'!$C:$C,$B511,'Daily Issuance'!$E:$E,"Patty Cash"))</f>
        <v/>
      </c>
      <c r="H511" s="30" t="str">
        <f t="shared" si="22"/>
        <v/>
      </c>
      <c r="I511" s="33"/>
      <c r="J511" s="34" t="str">
        <f t="shared" si="23"/>
        <v/>
      </c>
    </row>
    <row r="512" spans="1:10" s="27" customFormat="1" ht="23.1" customHeight="1">
      <c r="A512" s="194" t="str">
        <f>IF($C512="","",MAX($A$3:A511)+1)</f>
        <v/>
      </c>
      <c r="B512" s="197" t="str">
        <f t="shared" si="21"/>
        <v/>
      </c>
      <c r="C512" s="201"/>
      <c r="D512" s="199"/>
      <c r="E512" s="200"/>
      <c r="F512" s="196" t="str">
        <f>IF($B512="","",SUMIFS('Daily Inward'!$G:$G,'Daily Inward'!$C:$C,$B512,'Daily Inward'!$E:$E,"Patty Cash"))</f>
        <v/>
      </c>
      <c r="G512" s="30" t="str">
        <f>IF($B512="","",SUMIFS('Daily Issuance'!$G:$G,'Daily Issuance'!$C:$C,$B512,'Daily Issuance'!$E:$E,"Patty Cash"))</f>
        <v/>
      </c>
      <c r="H512" s="30" t="str">
        <f t="shared" si="22"/>
        <v/>
      </c>
      <c r="I512" s="33"/>
      <c r="J512" s="34" t="str">
        <f t="shared" si="23"/>
        <v/>
      </c>
    </row>
    <row r="513" spans="1:10" s="27" customFormat="1" ht="23.1" customHeight="1">
      <c r="A513" s="194" t="str">
        <f>IF($C513="","",MAX($A$3:A512)+1)</f>
        <v/>
      </c>
      <c r="B513" s="197" t="str">
        <f t="shared" si="21"/>
        <v/>
      </c>
      <c r="C513" s="201"/>
      <c r="D513" s="199"/>
      <c r="E513" s="200"/>
      <c r="F513" s="196" t="str">
        <f>IF($B513="","",SUMIFS('Daily Inward'!$G:$G,'Daily Inward'!$C:$C,$B513,'Daily Inward'!$E:$E,"Patty Cash"))</f>
        <v/>
      </c>
      <c r="G513" s="30" t="str">
        <f>IF($B513="","",SUMIFS('Daily Issuance'!$G:$G,'Daily Issuance'!$C:$C,$B513,'Daily Issuance'!$E:$E,"Patty Cash"))</f>
        <v/>
      </c>
      <c r="H513" s="30" t="str">
        <f t="shared" si="22"/>
        <v/>
      </c>
      <c r="I513" s="33"/>
      <c r="J513" s="34" t="str">
        <f t="shared" si="23"/>
        <v/>
      </c>
    </row>
    <row r="514" spans="1:10" s="27" customFormat="1" ht="23.1" customHeight="1">
      <c r="A514" s="194" t="str">
        <f>IF($C514="","",MAX($A$3:A513)+1)</f>
        <v/>
      </c>
      <c r="B514" s="197" t="str">
        <f t="shared" si="21"/>
        <v/>
      </c>
      <c r="C514" s="201"/>
      <c r="D514" s="199"/>
      <c r="E514" s="200"/>
      <c r="F514" s="196" t="str">
        <f>IF($B514="","",SUMIFS('Daily Inward'!$G:$G,'Daily Inward'!$C:$C,$B514,'Daily Inward'!$E:$E,"Patty Cash"))</f>
        <v/>
      </c>
      <c r="G514" s="30" t="str">
        <f>IF($B514="","",SUMIFS('Daily Issuance'!$G:$G,'Daily Issuance'!$C:$C,$B514,'Daily Issuance'!$E:$E,"Patty Cash"))</f>
        <v/>
      </c>
      <c r="H514" s="30" t="str">
        <f t="shared" si="22"/>
        <v/>
      </c>
      <c r="I514" s="33"/>
      <c r="J514" s="34" t="str">
        <f t="shared" si="23"/>
        <v/>
      </c>
    </row>
    <row r="515" spans="1:10" s="27" customFormat="1" ht="23.1" customHeight="1">
      <c r="A515" s="194" t="str">
        <f>IF($C515="","",MAX($A$3:A514)+1)</f>
        <v/>
      </c>
      <c r="B515" s="197" t="str">
        <f t="shared" si="21"/>
        <v/>
      </c>
      <c r="C515" s="201"/>
      <c r="D515" s="199"/>
      <c r="E515" s="200"/>
      <c r="F515" s="196" t="str">
        <f>IF($B515="","",SUMIFS('Daily Inward'!$G:$G,'Daily Inward'!$C:$C,$B515,'Daily Inward'!$E:$E,"Patty Cash"))</f>
        <v/>
      </c>
      <c r="G515" s="30" t="str">
        <f>IF($B515="","",SUMIFS('Daily Issuance'!$G:$G,'Daily Issuance'!$C:$C,$B515,'Daily Issuance'!$E:$E,"Patty Cash"))</f>
        <v/>
      </c>
      <c r="H515" s="30" t="str">
        <f t="shared" si="22"/>
        <v/>
      </c>
      <c r="I515" s="33"/>
      <c r="J515" s="34" t="str">
        <f t="shared" si="23"/>
        <v/>
      </c>
    </row>
    <row r="516" spans="1:10" s="27" customFormat="1" ht="23.1" customHeight="1">
      <c r="A516" s="194" t="str">
        <f>IF($C516="","",MAX($A$3:A515)+1)</f>
        <v/>
      </c>
      <c r="B516" s="197" t="str">
        <f t="shared" si="21"/>
        <v/>
      </c>
      <c r="C516" s="201"/>
      <c r="D516" s="199"/>
      <c r="E516" s="200"/>
      <c r="F516" s="196" t="str">
        <f>IF($B516="","",SUMIFS('Daily Inward'!$G:$G,'Daily Inward'!$C:$C,$B516,'Daily Inward'!$E:$E,"Patty Cash"))</f>
        <v/>
      </c>
      <c r="G516" s="30" t="str">
        <f>IF($B516="","",SUMIFS('Daily Issuance'!$G:$G,'Daily Issuance'!$C:$C,$B516,'Daily Issuance'!$E:$E,"Patty Cash"))</f>
        <v/>
      </c>
      <c r="H516" s="30" t="str">
        <f t="shared" si="22"/>
        <v/>
      </c>
      <c r="I516" s="33"/>
      <c r="J516" s="34" t="str">
        <f t="shared" si="23"/>
        <v/>
      </c>
    </row>
    <row r="517" spans="1:10" s="27" customFormat="1" ht="23.1" customHeight="1">
      <c r="A517" s="194" t="str">
        <f>IF($C517="","",MAX($A$3:A516)+1)</f>
        <v/>
      </c>
      <c r="B517" s="197" t="str">
        <f t="shared" ref="B517:B580" si="24">IF($C517="","","PTC"&amp;TEXT(ROW()-4,"000"))</f>
        <v/>
      </c>
      <c r="C517" s="201"/>
      <c r="D517" s="199"/>
      <c r="E517" s="200"/>
      <c r="F517" s="196" t="str">
        <f>IF($B517="","",SUMIFS('Daily Inward'!$G:$G,'Daily Inward'!$C:$C,$B517,'Daily Inward'!$E:$E,"Patty Cash"))</f>
        <v/>
      </c>
      <c r="G517" s="30" t="str">
        <f>IF($B517="","",SUMIFS('Daily Issuance'!$G:$G,'Daily Issuance'!$C:$C,$B517,'Daily Issuance'!$E:$E,"Patty Cash"))</f>
        <v/>
      </c>
      <c r="H517" s="30" t="str">
        <f t="shared" ref="H517:H580" si="25">IF($B517="","",F517-G517)</f>
        <v/>
      </c>
      <c r="I517" s="33"/>
      <c r="J517" s="34" t="str">
        <f t="shared" ref="J517:J580" si="26">IF(OR(H517="",I517=""),"",H517*I517)</f>
        <v/>
      </c>
    </row>
    <row r="518" spans="1:10" s="27" customFormat="1" ht="23.1" customHeight="1">
      <c r="A518" s="194" t="str">
        <f>IF($C518="","",MAX($A$3:A517)+1)</f>
        <v/>
      </c>
      <c r="B518" s="197" t="str">
        <f t="shared" si="24"/>
        <v/>
      </c>
      <c r="C518" s="201"/>
      <c r="D518" s="199"/>
      <c r="E518" s="200"/>
      <c r="F518" s="196" t="str">
        <f>IF($B518="","",SUMIFS('Daily Inward'!$G:$G,'Daily Inward'!$C:$C,$B518,'Daily Inward'!$E:$E,"Patty Cash"))</f>
        <v/>
      </c>
      <c r="G518" s="30" t="str">
        <f>IF($B518="","",SUMIFS('Daily Issuance'!$G:$G,'Daily Issuance'!$C:$C,$B518,'Daily Issuance'!$E:$E,"Patty Cash"))</f>
        <v/>
      </c>
      <c r="H518" s="30" t="str">
        <f t="shared" si="25"/>
        <v/>
      </c>
      <c r="I518" s="33"/>
      <c r="J518" s="34" t="str">
        <f t="shared" si="26"/>
        <v/>
      </c>
    </row>
    <row r="519" spans="1:10" s="27" customFormat="1" ht="23.1" customHeight="1">
      <c r="A519" s="194" t="str">
        <f>IF($C519="","",MAX($A$3:A518)+1)</f>
        <v/>
      </c>
      <c r="B519" s="197" t="str">
        <f t="shared" si="24"/>
        <v/>
      </c>
      <c r="C519" s="201"/>
      <c r="D519" s="199"/>
      <c r="E519" s="200"/>
      <c r="F519" s="196" t="str">
        <f>IF($B519="","",SUMIFS('Daily Inward'!$G:$G,'Daily Inward'!$C:$C,$B519,'Daily Inward'!$E:$E,"Patty Cash"))</f>
        <v/>
      </c>
      <c r="G519" s="30" t="str">
        <f>IF($B519="","",SUMIFS('Daily Issuance'!$G:$G,'Daily Issuance'!$C:$C,$B519,'Daily Issuance'!$E:$E,"Patty Cash"))</f>
        <v/>
      </c>
      <c r="H519" s="30" t="str">
        <f t="shared" si="25"/>
        <v/>
      </c>
      <c r="I519" s="33"/>
      <c r="J519" s="34" t="str">
        <f t="shared" si="26"/>
        <v/>
      </c>
    </row>
    <row r="520" spans="1:10" s="27" customFormat="1" ht="23.1" customHeight="1">
      <c r="A520" s="194" t="str">
        <f>IF($C520="","",MAX($A$3:A519)+1)</f>
        <v/>
      </c>
      <c r="B520" s="197" t="str">
        <f t="shared" si="24"/>
        <v/>
      </c>
      <c r="C520" s="201"/>
      <c r="D520" s="199"/>
      <c r="E520" s="200"/>
      <c r="F520" s="196" t="str">
        <f>IF($B520="","",SUMIFS('Daily Inward'!$G:$G,'Daily Inward'!$C:$C,$B520,'Daily Inward'!$E:$E,"Patty Cash"))</f>
        <v/>
      </c>
      <c r="G520" s="30" t="str">
        <f>IF($B520="","",SUMIFS('Daily Issuance'!$G:$G,'Daily Issuance'!$C:$C,$B520,'Daily Issuance'!$E:$E,"Patty Cash"))</f>
        <v/>
      </c>
      <c r="H520" s="30" t="str">
        <f t="shared" si="25"/>
        <v/>
      </c>
      <c r="I520" s="33"/>
      <c r="J520" s="34" t="str">
        <f t="shared" si="26"/>
        <v/>
      </c>
    </row>
    <row r="521" spans="1:10" s="27" customFormat="1" ht="23.1" customHeight="1">
      <c r="A521" s="194" t="str">
        <f>IF($C521="","",MAX($A$3:A520)+1)</f>
        <v/>
      </c>
      <c r="B521" s="197" t="str">
        <f t="shared" si="24"/>
        <v/>
      </c>
      <c r="C521" s="201"/>
      <c r="D521" s="199"/>
      <c r="E521" s="200"/>
      <c r="F521" s="196" t="str">
        <f>IF($B521="","",SUMIFS('Daily Inward'!$G:$G,'Daily Inward'!$C:$C,$B521,'Daily Inward'!$E:$E,"Patty Cash"))</f>
        <v/>
      </c>
      <c r="G521" s="30" t="str">
        <f>IF($B521="","",SUMIFS('Daily Issuance'!$G:$G,'Daily Issuance'!$C:$C,$B521,'Daily Issuance'!$E:$E,"Patty Cash"))</f>
        <v/>
      </c>
      <c r="H521" s="30" t="str">
        <f t="shared" si="25"/>
        <v/>
      </c>
      <c r="I521" s="33"/>
      <c r="J521" s="34" t="str">
        <f t="shared" si="26"/>
        <v/>
      </c>
    </row>
    <row r="522" spans="1:10" s="27" customFormat="1" ht="23.1" customHeight="1">
      <c r="A522" s="194" t="str">
        <f>IF($C522="","",MAX($A$3:A521)+1)</f>
        <v/>
      </c>
      <c r="B522" s="197" t="str">
        <f t="shared" si="24"/>
        <v/>
      </c>
      <c r="C522" s="201"/>
      <c r="D522" s="199"/>
      <c r="E522" s="200"/>
      <c r="F522" s="196" t="str">
        <f>IF($B522="","",SUMIFS('Daily Inward'!$G:$G,'Daily Inward'!$C:$C,$B522,'Daily Inward'!$E:$E,"Patty Cash"))</f>
        <v/>
      </c>
      <c r="G522" s="30" t="str">
        <f>IF($B522="","",SUMIFS('Daily Issuance'!$G:$G,'Daily Issuance'!$C:$C,$B522,'Daily Issuance'!$E:$E,"Patty Cash"))</f>
        <v/>
      </c>
      <c r="H522" s="30" t="str">
        <f t="shared" si="25"/>
        <v/>
      </c>
      <c r="I522" s="33"/>
      <c r="J522" s="34" t="str">
        <f t="shared" si="26"/>
        <v/>
      </c>
    </row>
    <row r="523" spans="1:10" s="27" customFormat="1" ht="23.1" customHeight="1">
      <c r="A523" s="194" t="str">
        <f>IF($C523="","",MAX($A$3:A522)+1)</f>
        <v/>
      </c>
      <c r="B523" s="197" t="str">
        <f t="shared" si="24"/>
        <v/>
      </c>
      <c r="C523" s="201"/>
      <c r="D523" s="199"/>
      <c r="E523" s="200"/>
      <c r="F523" s="196" t="str">
        <f>IF($B523="","",SUMIFS('Daily Inward'!$G:$G,'Daily Inward'!$C:$C,$B523,'Daily Inward'!$E:$E,"Patty Cash"))</f>
        <v/>
      </c>
      <c r="G523" s="30" t="str">
        <f>IF($B523="","",SUMIFS('Daily Issuance'!$G:$G,'Daily Issuance'!$C:$C,$B523,'Daily Issuance'!$E:$E,"Patty Cash"))</f>
        <v/>
      </c>
      <c r="H523" s="30" t="str">
        <f t="shared" si="25"/>
        <v/>
      </c>
      <c r="I523" s="33"/>
      <c r="J523" s="34" t="str">
        <f t="shared" si="26"/>
        <v/>
      </c>
    </row>
    <row r="524" spans="1:10" s="27" customFormat="1" ht="23.1" customHeight="1">
      <c r="A524" s="194" t="str">
        <f>IF($C524="","",MAX($A$3:A523)+1)</f>
        <v/>
      </c>
      <c r="B524" s="197" t="str">
        <f t="shared" si="24"/>
        <v/>
      </c>
      <c r="C524" s="201"/>
      <c r="D524" s="199"/>
      <c r="E524" s="200"/>
      <c r="F524" s="196" t="str">
        <f>IF($B524="","",SUMIFS('Daily Inward'!$G:$G,'Daily Inward'!$C:$C,$B524,'Daily Inward'!$E:$E,"Patty Cash"))</f>
        <v/>
      </c>
      <c r="G524" s="30" t="str">
        <f>IF($B524="","",SUMIFS('Daily Issuance'!$G:$G,'Daily Issuance'!$C:$C,$B524,'Daily Issuance'!$E:$E,"Patty Cash"))</f>
        <v/>
      </c>
      <c r="H524" s="30" t="str">
        <f t="shared" si="25"/>
        <v/>
      </c>
      <c r="I524" s="33"/>
      <c r="J524" s="34" t="str">
        <f t="shared" si="26"/>
        <v/>
      </c>
    </row>
    <row r="525" spans="1:10" s="27" customFormat="1" ht="23.1" customHeight="1">
      <c r="A525" s="194" t="str">
        <f>IF($C525="","",MAX($A$3:A524)+1)</f>
        <v/>
      </c>
      <c r="B525" s="197" t="str">
        <f t="shared" si="24"/>
        <v/>
      </c>
      <c r="C525" s="201"/>
      <c r="D525" s="199"/>
      <c r="E525" s="200"/>
      <c r="F525" s="196" t="str">
        <f>IF($B525="","",SUMIFS('Daily Inward'!$G:$G,'Daily Inward'!$C:$C,$B525,'Daily Inward'!$E:$E,"Patty Cash"))</f>
        <v/>
      </c>
      <c r="G525" s="30" t="str">
        <f>IF($B525="","",SUMIFS('Daily Issuance'!$G:$G,'Daily Issuance'!$C:$C,$B525,'Daily Issuance'!$E:$E,"Patty Cash"))</f>
        <v/>
      </c>
      <c r="H525" s="30" t="str">
        <f t="shared" si="25"/>
        <v/>
      </c>
      <c r="I525" s="33"/>
      <c r="J525" s="34" t="str">
        <f t="shared" si="26"/>
        <v/>
      </c>
    </row>
    <row r="526" spans="1:10" s="27" customFormat="1" ht="23.1" customHeight="1">
      <c r="A526" s="194" t="str">
        <f>IF($C526="","",MAX($A$3:A525)+1)</f>
        <v/>
      </c>
      <c r="B526" s="197" t="str">
        <f t="shared" si="24"/>
        <v/>
      </c>
      <c r="C526" s="201"/>
      <c r="D526" s="199"/>
      <c r="E526" s="200"/>
      <c r="F526" s="196" t="str">
        <f>IF($B526="","",SUMIFS('Daily Inward'!$G:$G,'Daily Inward'!$C:$C,$B526,'Daily Inward'!$E:$E,"Patty Cash"))</f>
        <v/>
      </c>
      <c r="G526" s="30" t="str">
        <f>IF($B526="","",SUMIFS('Daily Issuance'!$G:$G,'Daily Issuance'!$C:$C,$B526,'Daily Issuance'!$E:$E,"Patty Cash"))</f>
        <v/>
      </c>
      <c r="H526" s="30" t="str">
        <f t="shared" si="25"/>
        <v/>
      </c>
      <c r="I526" s="33"/>
      <c r="J526" s="34" t="str">
        <f t="shared" si="26"/>
        <v/>
      </c>
    </row>
    <row r="527" spans="1:10" s="27" customFormat="1" ht="23.1" customHeight="1">
      <c r="A527" s="194" t="str">
        <f>IF($C527="","",MAX($A$3:A526)+1)</f>
        <v/>
      </c>
      <c r="B527" s="197" t="str">
        <f t="shared" si="24"/>
        <v/>
      </c>
      <c r="C527" s="201"/>
      <c r="D527" s="199"/>
      <c r="E527" s="200"/>
      <c r="F527" s="196" t="str">
        <f>IF($B527="","",SUMIFS('Daily Inward'!$G:$G,'Daily Inward'!$C:$C,$B527,'Daily Inward'!$E:$E,"Patty Cash"))</f>
        <v/>
      </c>
      <c r="G527" s="30" t="str">
        <f>IF($B527="","",SUMIFS('Daily Issuance'!$G:$G,'Daily Issuance'!$C:$C,$B527,'Daily Issuance'!$E:$E,"Patty Cash"))</f>
        <v/>
      </c>
      <c r="H527" s="30" t="str">
        <f t="shared" si="25"/>
        <v/>
      </c>
      <c r="I527" s="33"/>
      <c r="J527" s="34" t="str">
        <f t="shared" si="26"/>
        <v/>
      </c>
    </row>
    <row r="528" spans="1:10" s="27" customFormat="1" ht="23.1" customHeight="1">
      <c r="A528" s="194" t="str">
        <f>IF($C528="","",MAX($A$3:A527)+1)</f>
        <v/>
      </c>
      <c r="B528" s="197" t="str">
        <f t="shared" si="24"/>
        <v/>
      </c>
      <c r="C528" s="201"/>
      <c r="D528" s="199"/>
      <c r="E528" s="200"/>
      <c r="F528" s="196" t="str">
        <f>IF($B528="","",SUMIFS('Daily Inward'!$G:$G,'Daily Inward'!$C:$C,$B528,'Daily Inward'!$E:$E,"Patty Cash"))</f>
        <v/>
      </c>
      <c r="G528" s="30" t="str">
        <f>IF($B528="","",SUMIFS('Daily Issuance'!$G:$G,'Daily Issuance'!$C:$C,$B528,'Daily Issuance'!$E:$E,"Patty Cash"))</f>
        <v/>
      </c>
      <c r="H528" s="30" t="str">
        <f t="shared" si="25"/>
        <v/>
      </c>
      <c r="I528" s="33"/>
      <c r="J528" s="34" t="str">
        <f t="shared" si="26"/>
        <v/>
      </c>
    </row>
    <row r="529" spans="1:10" s="27" customFormat="1" ht="23.1" customHeight="1">
      <c r="A529" s="194" t="str">
        <f>IF($C529="","",MAX($A$3:A528)+1)</f>
        <v/>
      </c>
      <c r="B529" s="197" t="str">
        <f t="shared" si="24"/>
        <v/>
      </c>
      <c r="C529" s="201"/>
      <c r="D529" s="199"/>
      <c r="E529" s="200"/>
      <c r="F529" s="196" t="str">
        <f>IF($B529="","",SUMIFS('Daily Inward'!$G:$G,'Daily Inward'!$C:$C,$B529,'Daily Inward'!$E:$E,"Patty Cash"))</f>
        <v/>
      </c>
      <c r="G529" s="30" t="str">
        <f>IF($B529="","",SUMIFS('Daily Issuance'!$G:$G,'Daily Issuance'!$C:$C,$B529,'Daily Issuance'!$E:$E,"Patty Cash"))</f>
        <v/>
      </c>
      <c r="H529" s="30" t="str">
        <f t="shared" si="25"/>
        <v/>
      </c>
      <c r="I529" s="33"/>
      <c r="J529" s="34" t="str">
        <f t="shared" si="26"/>
        <v/>
      </c>
    </row>
    <row r="530" spans="1:10" s="27" customFormat="1" ht="23.1" customHeight="1">
      <c r="A530" s="194" t="str">
        <f>IF($C530="","",MAX($A$3:A529)+1)</f>
        <v/>
      </c>
      <c r="B530" s="197" t="str">
        <f t="shared" si="24"/>
        <v/>
      </c>
      <c r="C530" s="201"/>
      <c r="D530" s="199"/>
      <c r="E530" s="200"/>
      <c r="F530" s="196" t="str">
        <f>IF($B530="","",SUMIFS('Daily Inward'!$G:$G,'Daily Inward'!$C:$C,$B530,'Daily Inward'!$E:$E,"Patty Cash"))</f>
        <v/>
      </c>
      <c r="G530" s="30" t="str">
        <f>IF($B530="","",SUMIFS('Daily Issuance'!$G:$G,'Daily Issuance'!$C:$C,$B530,'Daily Issuance'!$E:$E,"Patty Cash"))</f>
        <v/>
      </c>
      <c r="H530" s="30" t="str">
        <f t="shared" si="25"/>
        <v/>
      </c>
      <c r="I530" s="33"/>
      <c r="J530" s="34" t="str">
        <f t="shared" si="26"/>
        <v/>
      </c>
    </row>
    <row r="531" spans="1:10" s="27" customFormat="1" ht="23.1" customHeight="1">
      <c r="A531" s="194" t="str">
        <f>IF($C531="","",MAX($A$3:A530)+1)</f>
        <v/>
      </c>
      <c r="B531" s="197" t="str">
        <f t="shared" si="24"/>
        <v/>
      </c>
      <c r="C531" s="201"/>
      <c r="D531" s="199"/>
      <c r="E531" s="200"/>
      <c r="F531" s="196" t="str">
        <f>IF($B531="","",SUMIFS('Daily Inward'!$G:$G,'Daily Inward'!$C:$C,$B531,'Daily Inward'!$E:$E,"Patty Cash"))</f>
        <v/>
      </c>
      <c r="G531" s="30" t="str">
        <f>IF($B531="","",SUMIFS('Daily Issuance'!$G:$G,'Daily Issuance'!$C:$C,$B531,'Daily Issuance'!$E:$E,"Patty Cash"))</f>
        <v/>
      </c>
      <c r="H531" s="30" t="str">
        <f t="shared" si="25"/>
        <v/>
      </c>
      <c r="I531" s="33"/>
      <c r="J531" s="34" t="str">
        <f t="shared" si="26"/>
        <v/>
      </c>
    </row>
    <row r="532" spans="1:10" s="27" customFormat="1" ht="23.1" customHeight="1">
      <c r="A532" s="194" t="str">
        <f>IF($C532="","",MAX($A$3:A531)+1)</f>
        <v/>
      </c>
      <c r="B532" s="197" t="str">
        <f t="shared" si="24"/>
        <v/>
      </c>
      <c r="C532" s="201"/>
      <c r="D532" s="199"/>
      <c r="E532" s="200"/>
      <c r="F532" s="196" t="str">
        <f>IF($B532="","",SUMIFS('Daily Inward'!$G:$G,'Daily Inward'!$C:$C,$B532,'Daily Inward'!$E:$E,"Patty Cash"))</f>
        <v/>
      </c>
      <c r="G532" s="30" t="str">
        <f>IF($B532="","",SUMIFS('Daily Issuance'!$G:$G,'Daily Issuance'!$C:$C,$B532,'Daily Issuance'!$E:$E,"Patty Cash"))</f>
        <v/>
      </c>
      <c r="H532" s="30" t="str">
        <f t="shared" si="25"/>
        <v/>
      </c>
      <c r="I532" s="33"/>
      <c r="J532" s="34" t="str">
        <f t="shared" si="26"/>
        <v/>
      </c>
    </row>
    <row r="533" spans="1:10" s="27" customFormat="1" ht="23.1" customHeight="1">
      <c r="A533" s="194" t="str">
        <f>IF($C533="","",MAX($A$3:A532)+1)</f>
        <v/>
      </c>
      <c r="B533" s="197" t="str">
        <f t="shared" si="24"/>
        <v/>
      </c>
      <c r="C533" s="201"/>
      <c r="D533" s="199"/>
      <c r="E533" s="200"/>
      <c r="F533" s="196" t="str">
        <f>IF($B533="","",SUMIFS('Daily Inward'!$G:$G,'Daily Inward'!$C:$C,$B533,'Daily Inward'!$E:$E,"Patty Cash"))</f>
        <v/>
      </c>
      <c r="G533" s="30" t="str">
        <f>IF($B533="","",SUMIFS('Daily Issuance'!$G:$G,'Daily Issuance'!$C:$C,$B533,'Daily Issuance'!$E:$E,"Patty Cash"))</f>
        <v/>
      </c>
      <c r="H533" s="30" t="str">
        <f t="shared" si="25"/>
        <v/>
      </c>
      <c r="I533" s="33"/>
      <c r="J533" s="34" t="str">
        <f t="shared" si="26"/>
        <v/>
      </c>
    </row>
    <row r="534" spans="1:10" s="27" customFormat="1" ht="23.1" customHeight="1">
      <c r="A534" s="194" t="str">
        <f>IF($C534="","",MAX($A$3:A533)+1)</f>
        <v/>
      </c>
      <c r="B534" s="197" t="str">
        <f t="shared" si="24"/>
        <v/>
      </c>
      <c r="C534" s="201"/>
      <c r="D534" s="199"/>
      <c r="E534" s="200"/>
      <c r="F534" s="196" t="str">
        <f>IF($B534="","",SUMIFS('Daily Inward'!$G:$G,'Daily Inward'!$C:$C,$B534,'Daily Inward'!$E:$E,"Patty Cash"))</f>
        <v/>
      </c>
      <c r="G534" s="30" t="str">
        <f>IF($B534="","",SUMIFS('Daily Issuance'!$G:$G,'Daily Issuance'!$C:$C,$B534,'Daily Issuance'!$E:$E,"Patty Cash"))</f>
        <v/>
      </c>
      <c r="H534" s="30" t="str">
        <f t="shared" si="25"/>
        <v/>
      </c>
      <c r="I534" s="33"/>
      <c r="J534" s="34" t="str">
        <f t="shared" si="26"/>
        <v/>
      </c>
    </row>
    <row r="535" spans="1:10" s="27" customFormat="1" ht="23.1" customHeight="1">
      <c r="A535" s="194" t="str">
        <f>IF($C535="","",MAX($A$3:A534)+1)</f>
        <v/>
      </c>
      <c r="B535" s="197" t="str">
        <f t="shared" si="24"/>
        <v/>
      </c>
      <c r="C535" s="201"/>
      <c r="D535" s="199"/>
      <c r="E535" s="200"/>
      <c r="F535" s="196" t="str">
        <f>IF($B535="","",SUMIFS('Daily Inward'!$G:$G,'Daily Inward'!$C:$C,$B535,'Daily Inward'!$E:$E,"Patty Cash"))</f>
        <v/>
      </c>
      <c r="G535" s="30" t="str">
        <f>IF($B535="","",SUMIFS('Daily Issuance'!$G:$G,'Daily Issuance'!$C:$C,$B535,'Daily Issuance'!$E:$E,"Patty Cash"))</f>
        <v/>
      </c>
      <c r="H535" s="30" t="str">
        <f t="shared" si="25"/>
        <v/>
      </c>
      <c r="I535" s="33"/>
      <c r="J535" s="34" t="str">
        <f t="shared" si="26"/>
        <v/>
      </c>
    </row>
    <row r="536" spans="1:10" s="27" customFormat="1" ht="23.1" customHeight="1">
      <c r="A536" s="194" t="str">
        <f>IF($C536="","",MAX($A$3:A535)+1)</f>
        <v/>
      </c>
      <c r="B536" s="197" t="str">
        <f t="shared" si="24"/>
        <v/>
      </c>
      <c r="C536" s="201"/>
      <c r="D536" s="199"/>
      <c r="E536" s="200"/>
      <c r="F536" s="196" t="str">
        <f>IF($B536="","",SUMIFS('Daily Inward'!$G:$G,'Daily Inward'!$C:$C,$B536,'Daily Inward'!$E:$E,"Patty Cash"))</f>
        <v/>
      </c>
      <c r="G536" s="30" t="str">
        <f>IF($B536="","",SUMIFS('Daily Issuance'!$G:$G,'Daily Issuance'!$C:$C,$B536,'Daily Issuance'!$E:$E,"Patty Cash"))</f>
        <v/>
      </c>
      <c r="H536" s="30" t="str">
        <f t="shared" si="25"/>
        <v/>
      </c>
      <c r="I536" s="33"/>
      <c r="J536" s="34" t="str">
        <f t="shared" si="26"/>
        <v/>
      </c>
    </row>
    <row r="537" spans="1:10" s="27" customFormat="1" ht="23.1" customHeight="1">
      <c r="A537" s="194" t="str">
        <f>IF($C537="","",MAX($A$3:A536)+1)</f>
        <v/>
      </c>
      <c r="B537" s="197" t="str">
        <f t="shared" si="24"/>
        <v/>
      </c>
      <c r="C537" s="201"/>
      <c r="D537" s="199"/>
      <c r="E537" s="200"/>
      <c r="F537" s="196" t="str">
        <f>IF($B537="","",SUMIFS('Daily Inward'!$G:$G,'Daily Inward'!$C:$C,$B537,'Daily Inward'!$E:$E,"Patty Cash"))</f>
        <v/>
      </c>
      <c r="G537" s="30" t="str">
        <f>IF($B537="","",SUMIFS('Daily Issuance'!$G:$G,'Daily Issuance'!$C:$C,$B537,'Daily Issuance'!$E:$E,"Patty Cash"))</f>
        <v/>
      </c>
      <c r="H537" s="30" t="str">
        <f t="shared" si="25"/>
        <v/>
      </c>
      <c r="I537" s="33"/>
      <c r="J537" s="34" t="str">
        <f t="shared" si="26"/>
        <v/>
      </c>
    </row>
    <row r="538" spans="1:10" s="27" customFormat="1" ht="23.1" customHeight="1">
      <c r="A538" s="194" t="str">
        <f>IF($C538="","",MAX($A$3:A537)+1)</f>
        <v/>
      </c>
      <c r="B538" s="197" t="str">
        <f t="shared" si="24"/>
        <v/>
      </c>
      <c r="C538" s="201"/>
      <c r="D538" s="199"/>
      <c r="E538" s="200"/>
      <c r="F538" s="196" t="str">
        <f>IF($B538="","",SUMIFS('Daily Inward'!$G:$G,'Daily Inward'!$C:$C,$B538,'Daily Inward'!$E:$E,"Patty Cash"))</f>
        <v/>
      </c>
      <c r="G538" s="30" t="str">
        <f>IF($B538="","",SUMIFS('Daily Issuance'!$G:$G,'Daily Issuance'!$C:$C,$B538,'Daily Issuance'!$E:$E,"Patty Cash"))</f>
        <v/>
      </c>
      <c r="H538" s="30" t="str">
        <f t="shared" si="25"/>
        <v/>
      </c>
      <c r="I538" s="33"/>
      <c r="J538" s="34" t="str">
        <f t="shared" si="26"/>
        <v/>
      </c>
    </row>
    <row r="539" spans="1:10" s="27" customFormat="1" ht="23.1" customHeight="1">
      <c r="A539" s="194" t="str">
        <f>IF($C539="","",MAX($A$3:A538)+1)</f>
        <v/>
      </c>
      <c r="B539" s="197" t="str">
        <f t="shared" si="24"/>
        <v/>
      </c>
      <c r="C539" s="201"/>
      <c r="D539" s="199"/>
      <c r="E539" s="200"/>
      <c r="F539" s="196" t="str">
        <f>IF($B539="","",SUMIFS('Daily Inward'!$G:$G,'Daily Inward'!$C:$C,$B539,'Daily Inward'!$E:$E,"Patty Cash"))</f>
        <v/>
      </c>
      <c r="G539" s="30" t="str">
        <f>IF($B539="","",SUMIFS('Daily Issuance'!$G:$G,'Daily Issuance'!$C:$C,$B539,'Daily Issuance'!$E:$E,"Patty Cash"))</f>
        <v/>
      </c>
      <c r="H539" s="30" t="str">
        <f t="shared" si="25"/>
        <v/>
      </c>
      <c r="I539" s="33"/>
      <c r="J539" s="34" t="str">
        <f t="shared" si="26"/>
        <v/>
      </c>
    </row>
    <row r="540" spans="1:10" s="27" customFormat="1" ht="23.1" customHeight="1">
      <c r="A540" s="194" t="str">
        <f>IF($C540="","",MAX($A$3:A539)+1)</f>
        <v/>
      </c>
      <c r="B540" s="197" t="str">
        <f t="shared" si="24"/>
        <v/>
      </c>
      <c r="C540" s="201"/>
      <c r="D540" s="199"/>
      <c r="E540" s="200"/>
      <c r="F540" s="196" t="str">
        <f>IF($B540="","",SUMIFS('Daily Inward'!$G:$G,'Daily Inward'!$C:$C,$B540,'Daily Inward'!$E:$E,"Patty Cash"))</f>
        <v/>
      </c>
      <c r="G540" s="30" t="str">
        <f>IF($B540="","",SUMIFS('Daily Issuance'!$G:$G,'Daily Issuance'!$C:$C,$B540,'Daily Issuance'!$E:$E,"Patty Cash"))</f>
        <v/>
      </c>
      <c r="H540" s="30" t="str">
        <f t="shared" si="25"/>
        <v/>
      </c>
      <c r="I540" s="33"/>
      <c r="J540" s="34" t="str">
        <f t="shared" si="26"/>
        <v/>
      </c>
    </row>
    <row r="541" spans="1:10" s="27" customFormat="1" ht="23.1" customHeight="1">
      <c r="A541" s="194" t="str">
        <f>IF($C541="","",MAX($A$3:A540)+1)</f>
        <v/>
      </c>
      <c r="B541" s="197" t="str">
        <f t="shared" si="24"/>
        <v/>
      </c>
      <c r="C541" s="201"/>
      <c r="D541" s="199"/>
      <c r="E541" s="200"/>
      <c r="F541" s="196" t="str">
        <f>IF($B541="","",SUMIFS('Daily Inward'!$G:$G,'Daily Inward'!$C:$C,$B541,'Daily Inward'!$E:$E,"Patty Cash"))</f>
        <v/>
      </c>
      <c r="G541" s="30" t="str">
        <f>IF($B541="","",SUMIFS('Daily Issuance'!$G:$G,'Daily Issuance'!$C:$C,$B541,'Daily Issuance'!$E:$E,"Patty Cash"))</f>
        <v/>
      </c>
      <c r="H541" s="30" t="str">
        <f t="shared" si="25"/>
        <v/>
      </c>
      <c r="I541" s="33"/>
      <c r="J541" s="34" t="str">
        <f t="shared" si="26"/>
        <v/>
      </c>
    </row>
    <row r="542" spans="1:10" s="27" customFormat="1" ht="23.1" customHeight="1">
      <c r="A542" s="194" t="str">
        <f>IF($C542="","",MAX($A$3:A541)+1)</f>
        <v/>
      </c>
      <c r="B542" s="197" t="str">
        <f t="shared" si="24"/>
        <v/>
      </c>
      <c r="C542" s="201"/>
      <c r="D542" s="199"/>
      <c r="E542" s="200"/>
      <c r="F542" s="196" t="str">
        <f>IF($B542="","",SUMIFS('Daily Inward'!$G:$G,'Daily Inward'!$C:$C,$B542,'Daily Inward'!$E:$E,"Patty Cash"))</f>
        <v/>
      </c>
      <c r="G542" s="30" t="str">
        <f>IF($B542="","",SUMIFS('Daily Issuance'!$G:$G,'Daily Issuance'!$C:$C,$B542,'Daily Issuance'!$E:$E,"Patty Cash"))</f>
        <v/>
      </c>
      <c r="H542" s="30" t="str">
        <f t="shared" si="25"/>
        <v/>
      </c>
      <c r="I542" s="33"/>
      <c r="J542" s="34" t="str">
        <f t="shared" si="26"/>
        <v/>
      </c>
    </row>
    <row r="543" spans="1:10" s="27" customFormat="1" ht="23.1" customHeight="1">
      <c r="A543" s="194" t="str">
        <f>IF($C543="","",MAX($A$3:A542)+1)</f>
        <v/>
      </c>
      <c r="B543" s="197" t="str">
        <f t="shared" si="24"/>
        <v/>
      </c>
      <c r="C543" s="201"/>
      <c r="D543" s="199"/>
      <c r="E543" s="200"/>
      <c r="F543" s="196" t="str">
        <f>IF($B543="","",SUMIFS('Daily Inward'!$G:$G,'Daily Inward'!$C:$C,$B543,'Daily Inward'!$E:$E,"Patty Cash"))</f>
        <v/>
      </c>
      <c r="G543" s="30" t="str">
        <f>IF($B543="","",SUMIFS('Daily Issuance'!$G:$G,'Daily Issuance'!$C:$C,$B543,'Daily Issuance'!$E:$E,"Patty Cash"))</f>
        <v/>
      </c>
      <c r="H543" s="30" t="str">
        <f t="shared" si="25"/>
        <v/>
      </c>
      <c r="I543" s="33"/>
      <c r="J543" s="34" t="str">
        <f t="shared" si="26"/>
        <v/>
      </c>
    </row>
    <row r="544" spans="1:10" s="27" customFormat="1" ht="23.1" customHeight="1">
      <c r="A544" s="194" t="str">
        <f>IF($C544="","",MAX($A$3:A543)+1)</f>
        <v/>
      </c>
      <c r="B544" s="197" t="str">
        <f t="shared" si="24"/>
        <v/>
      </c>
      <c r="C544" s="201"/>
      <c r="D544" s="199"/>
      <c r="E544" s="200"/>
      <c r="F544" s="196" t="str">
        <f>IF($B544="","",SUMIFS('Daily Inward'!$G:$G,'Daily Inward'!$C:$C,$B544,'Daily Inward'!$E:$E,"Patty Cash"))</f>
        <v/>
      </c>
      <c r="G544" s="30" t="str">
        <f>IF($B544="","",SUMIFS('Daily Issuance'!$G:$G,'Daily Issuance'!$C:$C,$B544,'Daily Issuance'!$E:$E,"Patty Cash"))</f>
        <v/>
      </c>
      <c r="H544" s="30" t="str">
        <f t="shared" si="25"/>
        <v/>
      </c>
      <c r="I544" s="33"/>
      <c r="J544" s="34" t="str">
        <f t="shared" si="26"/>
        <v/>
      </c>
    </row>
    <row r="545" spans="1:10" s="27" customFormat="1" ht="23.1" customHeight="1">
      <c r="A545" s="194" t="str">
        <f>IF($C545="","",MAX($A$3:A544)+1)</f>
        <v/>
      </c>
      <c r="B545" s="197" t="str">
        <f t="shared" si="24"/>
        <v/>
      </c>
      <c r="C545" s="201"/>
      <c r="D545" s="199"/>
      <c r="E545" s="200"/>
      <c r="F545" s="196" t="str">
        <f>IF($B545="","",SUMIFS('Daily Inward'!$G:$G,'Daily Inward'!$C:$C,$B545,'Daily Inward'!$E:$E,"Patty Cash"))</f>
        <v/>
      </c>
      <c r="G545" s="30" t="str">
        <f>IF($B545="","",SUMIFS('Daily Issuance'!$G:$G,'Daily Issuance'!$C:$C,$B545,'Daily Issuance'!$E:$E,"Patty Cash"))</f>
        <v/>
      </c>
      <c r="H545" s="30" t="str">
        <f t="shared" si="25"/>
        <v/>
      </c>
      <c r="I545" s="33"/>
      <c r="J545" s="34" t="str">
        <f t="shared" si="26"/>
        <v/>
      </c>
    </row>
    <row r="546" spans="1:10" s="27" customFormat="1" ht="23.1" customHeight="1">
      <c r="A546" s="194" t="str">
        <f>IF($C546="","",MAX($A$3:A545)+1)</f>
        <v/>
      </c>
      <c r="B546" s="197" t="str">
        <f t="shared" si="24"/>
        <v/>
      </c>
      <c r="C546" s="201"/>
      <c r="D546" s="199"/>
      <c r="E546" s="200"/>
      <c r="F546" s="196" t="str">
        <f>IF($B546="","",SUMIFS('Daily Inward'!$G:$G,'Daily Inward'!$C:$C,$B546,'Daily Inward'!$E:$E,"Patty Cash"))</f>
        <v/>
      </c>
      <c r="G546" s="30" t="str">
        <f>IF($B546="","",SUMIFS('Daily Issuance'!$G:$G,'Daily Issuance'!$C:$C,$B546,'Daily Issuance'!$E:$E,"Patty Cash"))</f>
        <v/>
      </c>
      <c r="H546" s="30" t="str">
        <f t="shared" si="25"/>
        <v/>
      </c>
      <c r="I546" s="33"/>
      <c r="J546" s="34" t="str">
        <f t="shared" si="26"/>
        <v/>
      </c>
    </row>
    <row r="547" spans="1:10" s="27" customFormat="1" ht="23.1" customHeight="1">
      <c r="A547" s="194" t="str">
        <f>IF($C547="","",MAX($A$3:A546)+1)</f>
        <v/>
      </c>
      <c r="B547" s="197" t="str">
        <f t="shared" si="24"/>
        <v/>
      </c>
      <c r="C547" s="201"/>
      <c r="D547" s="199"/>
      <c r="E547" s="200"/>
      <c r="F547" s="196" t="str">
        <f>IF($B547="","",SUMIFS('Daily Inward'!$G:$G,'Daily Inward'!$C:$C,$B547,'Daily Inward'!$E:$E,"Patty Cash"))</f>
        <v/>
      </c>
      <c r="G547" s="30" t="str">
        <f>IF($B547="","",SUMIFS('Daily Issuance'!$G:$G,'Daily Issuance'!$C:$C,$B547,'Daily Issuance'!$E:$E,"Patty Cash"))</f>
        <v/>
      </c>
      <c r="H547" s="30" t="str">
        <f t="shared" si="25"/>
        <v/>
      </c>
      <c r="I547" s="33"/>
      <c r="J547" s="34" t="str">
        <f t="shared" si="26"/>
        <v/>
      </c>
    </row>
    <row r="548" spans="1:10" s="27" customFormat="1" ht="23.1" customHeight="1">
      <c r="A548" s="194" t="str">
        <f>IF($C548="","",MAX($A$3:A547)+1)</f>
        <v/>
      </c>
      <c r="B548" s="197" t="str">
        <f t="shared" si="24"/>
        <v/>
      </c>
      <c r="C548" s="201"/>
      <c r="D548" s="199"/>
      <c r="E548" s="200"/>
      <c r="F548" s="196" t="str">
        <f>IF($B548="","",SUMIFS('Daily Inward'!$G:$G,'Daily Inward'!$C:$C,$B548,'Daily Inward'!$E:$E,"Patty Cash"))</f>
        <v/>
      </c>
      <c r="G548" s="30" t="str">
        <f>IF($B548="","",SUMIFS('Daily Issuance'!$G:$G,'Daily Issuance'!$C:$C,$B548,'Daily Issuance'!$E:$E,"Patty Cash"))</f>
        <v/>
      </c>
      <c r="H548" s="30" t="str">
        <f t="shared" si="25"/>
        <v/>
      </c>
      <c r="I548" s="33"/>
      <c r="J548" s="34" t="str">
        <f t="shared" si="26"/>
        <v/>
      </c>
    </row>
    <row r="549" spans="1:10" s="27" customFormat="1" ht="23.1" customHeight="1">
      <c r="A549" s="194" t="str">
        <f>IF($C549="","",MAX($A$3:A548)+1)</f>
        <v/>
      </c>
      <c r="B549" s="197" t="str">
        <f t="shared" si="24"/>
        <v/>
      </c>
      <c r="C549" s="201"/>
      <c r="D549" s="199"/>
      <c r="E549" s="200"/>
      <c r="F549" s="196" t="str">
        <f>IF($B549="","",SUMIFS('Daily Inward'!$G:$G,'Daily Inward'!$C:$C,$B549,'Daily Inward'!$E:$E,"Patty Cash"))</f>
        <v/>
      </c>
      <c r="G549" s="30" t="str">
        <f>IF($B549="","",SUMIFS('Daily Issuance'!$G:$G,'Daily Issuance'!$C:$C,$B549,'Daily Issuance'!$E:$E,"Patty Cash"))</f>
        <v/>
      </c>
      <c r="H549" s="30" t="str">
        <f t="shared" si="25"/>
        <v/>
      </c>
      <c r="I549" s="33"/>
      <c r="J549" s="34" t="str">
        <f t="shared" si="26"/>
        <v/>
      </c>
    </row>
    <row r="550" spans="1:10" s="27" customFormat="1" ht="23.1" customHeight="1">
      <c r="A550" s="194" t="str">
        <f>IF($C550="","",MAX($A$3:A549)+1)</f>
        <v/>
      </c>
      <c r="B550" s="197" t="str">
        <f t="shared" si="24"/>
        <v/>
      </c>
      <c r="C550" s="201"/>
      <c r="D550" s="199"/>
      <c r="E550" s="200"/>
      <c r="F550" s="196" t="str">
        <f>IF($B550="","",SUMIFS('Daily Inward'!$G:$G,'Daily Inward'!$C:$C,$B550,'Daily Inward'!$E:$E,"Patty Cash"))</f>
        <v/>
      </c>
      <c r="G550" s="30" t="str">
        <f>IF($B550="","",SUMIFS('Daily Issuance'!$G:$G,'Daily Issuance'!$C:$C,$B550,'Daily Issuance'!$E:$E,"Patty Cash"))</f>
        <v/>
      </c>
      <c r="H550" s="30" t="str">
        <f t="shared" si="25"/>
        <v/>
      </c>
      <c r="I550" s="33"/>
      <c r="J550" s="34" t="str">
        <f t="shared" si="26"/>
        <v/>
      </c>
    </row>
    <row r="551" spans="1:10" s="27" customFormat="1" ht="23.1" customHeight="1">
      <c r="A551" s="194" t="str">
        <f>IF($C551="","",MAX($A$3:A550)+1)</f>
        <v/>
      </c>
      <c r="B551" s="197" t="str">
        <f t="shared" si="24"/>
        <v/>
      </c>
      <c r="C551" s="201"/>
      <c r="D551" s="199"/>
      <c r="E551" s="200"/>
      <c r="F551" s="196" t="str">
        <f>IF($B551="","",SUMIFS('Daily Inward'!$G:$G,'Daily Inward'!$C:$C,$B551,'Daily Inward'!$E:$E,"Patty Cash"))</f>
        <v/>
      </c>
      <c r="G551" s="30" t="str">
        <f>IF($B551="","",SUMIFS('Daily Issuance'!$G:$G,'Daily Issuance'!$C:$C,$B551,'Daily Issuance'!$E:$E,"Patty Cash"))</f>
        <v/>
      </c>
      <c r="H551" s="30" t="str">
        <f t="shared" si="25"/>
        <v/>
      </c>
      <c r="I551" s="33"/>
      <c r="J551" s="34" t="str">
        <f t="shared" si="26"/>
        <v/>
      </c>
    </row>
    <row r="552" spans="1:10" s="27" customFormat="1" ht="23.1" customHeight="1">
      <c r="A552" s="194" t="str">
        <f>IF($C552="","",MAX($A$3:A551)+1)</f>
        <v/>
      </c>
      <c r="B552" s="197" t="str">
        <f t="shared" si="24"/>
        <v/>
      </c>
      <c r="C552" s="201"/>
      <c r="D552" s="199"/>
      <c r="E552" s="200"/>
      <c r="F552" s="196" t="str">
        <f>IF($B552="","",SUMIFS('Daily Inward'!$G:$G,'Daily Inward'!$C:$C,$B552,'Daily Inward'!$E:$E,"Patty Cash"))</f>
        <v/>
      </c>
      <c r="G552" s="30" t="str">
        <f>IF($B552="","",SUMIFS('Daily Issuance'!$G:$G,'Daily Issuance'!$C:$C,$B552,'Daily Issuance'!$E:$E,"Patty Cash"))</f>
        <v/>
      </c>
      <c r="H552" s="30" t="str">
        <f t="shared" si="25"/>
        <v/>
      </c>
      <c r="I552" s="33"/>
      <c r="J552" s="34" t="str">
        <f t="shared" si="26"/>
        <v/>
      </c>
    </row>
    <row r="553" spans="1:10" s="27" customFormat="1" ht="23.1" customHeight="1">
      <c r="A553" s="194" t="str">
        <f>IF($C553="","",MAX($A$3:A552)+1)</f>
        <v/>
      </c>
      <c r="B553" s="197" t="str">
        <f t="shared" si="24"/>
        <v/>
      </c>
      <c r="C553" s="201"/>
      <c r="D553" s="199"/>
      <c r="E553" s="200"/>
      <c r="F553" s="196" t="str">
        <f>IF($B553="","",SUMIFS('Daily Inward'!$G:$G,'Daily Inward'!$C:$C,$B553,'Daily Inward'!$E:$E,"Patty Cash"))</f>
        <v/>
      </c>
      <c r="G553" s="30" t="str">
        <f>IF($B553="","",SUMIFS('Daily Issuance'!$G:$G,'Daily Issuance'!$C:$C,$B553,'Daily Issuance'!$E:$E,"Patty Cash"))</f>
        <v/>
      </c>
      <c r="H553" s="30" t="str">
        <f t="shared" si="25"/>
        <v/>
      </c>
      <c r="I553" s="33"/>
      <c r="J553" s="34" t="str">
        <f t="shared" si="26"/>
        <v/>
      </c>
    </row>
    <row r="554" spans="1:10" s="27" customFormat="1" ht="23.1" customHeight="1">
      <c r="A554" s="194" t="str">
        <f>IF($C554="","",MAX($A$3:A553)+1)</f>
        <v/>
      </c>
      <c r="B554" s="197" t="str">
        <f t="shared" si="24"/>
        <v/>
      </c>
      <c r="C554" s="201"/>
      <c r="D554" s="199"/>
      <c r="E554" s="200"/>
      <c r="F554" s="196" t="str">
        <f>IF($B554="","",SUMIFS('Daily Inward'!$G:$G,'Daily Inward'!$C:$C,$B554,'Daily Inward'!$E:$E,"Patty Cash"))</f>
        <v/>
      </c>
      <c r="G554" s="30" t="str">
        <f>IF($B554="","",SUMIFS('Daily Issuance'!$G:$G,'Daily Issuance'!$C:$C,$B554,'Daily Issuance'!$E:$E,"Patty Cash"))</f>
        <v/>
      </c>
      <c r="H554" s="30" t="str">
        <f t="shared" si="25"/>
        <v/>
      </c>
      <c r="I554" s="33"/>
      <c r="J554" s="34" t="str">
        <f t="shared" si="26"/>
        <v/>
      </c>
    </row>
    <row r="555" spans="1:10" s="27" customFormat="1" ht="23.1" customHeight="1">
      <c r="A555" s="194" t="str">
        <f>IF($C555="","",MAX($A$3:A554)+1)</f>
        <v/>
      </c>
      <c r="B555" s="197" t="str">
        <f t="shared" si="24"/>
        <v/>
      </c>
      <c r="C555" s="201"/>
      <c r="D555" s="199"/>
      <c r="E555" s="200"/>
      <c r="F555" s="196" t="str">
        <f>IF($B555="","",SUMIFS('Daily Inward'!$G:$G,'Daily Inward'!$C:$C,$B555,'Daily Inward'!$E:$E,"Patty Cash"))</f>
        <v/>
      </c>
      <c r="G555" s="30" t="str">
        <f>IF($B555="","",SUMIFS('Daily Issuance'!$G:$G,'Daily Issuance'!$C:$C,$B555,'Daily Issuance'!$E:$E,"Patty Cash"))</f>
        <v/>
      </c>
      <c r="H555" s="30" t="str">
        <f t="shared" si="25"/>
        <v/>
      </c>
      <c r="I555" s="33"/>
      <c r="J555" s="34" t="str">
        <f t="shared" si="26"/>
        <v/>
      </c>
    </row>
    <row r="556" spans="1:10" s="27" customFormat="1" ht="23.1" customHeight="1">
      <c r="A556" s="194" t="str">
        <f>IF($C556="","",MAX($A$3:A555)+1)</f>
        <v/>
      </c>
      <c r="B556" s="197" t="str">
        <f t="shared" si="24"/>
        <v/>
      </c>
      <c r="C556" s="201"/>
      <c r="D556" s="199"/>
      <c r="E556" s="200"/>
      <c r="F556" s="196" t="str">
        <f>IF($B556="","",SUMIFS('Daily Inward'!$G:$G,'Daily Inward'!$C:$C,$B556,'Daily Inward'!$E:$E,"Patty Cash"))</f>
        <v/>
      </c>
      <c r="G556" s="30" t="str">
        <f>IF($B556="","",SUMIFS('Daily Issuance'!$G:$G,'Daily Issuance'!$C:$C,$B556,'Daily Issuance'!$E:$E,"Patty Cash"))</f>
        <v/>
      </c>
      <c r="H556" s="30" t="str">
        <f t="shared" si="25"/>
        <v/>
      </c>
      <c r="I556" s="33"/>
      <c r="J556" s="34" t="str">
        <f t="shared" si="26"/>
        <v/>
      </c>
    </row>
    <row r="557" spans="1:10" s="27" customFormat="1" ht="23.1" customHeight="1">
      <c r="A557" s="194" t="str">
        <f>IF($C557="","",MAX($A$3:A556)+1)</f>
        <v/>
      </c>
      <c r="B557" s="197" t="str">
        <f t="shared" si="24"/>
        <v/>
      </c>
      <c r="C557" s="201"/>
      <c r="D557" s="199"/>
      <c r="E557" s="200"/>
      <c r="F557" s="196" t="str">
        <f>IF($B557="","",SUMIFS('Daily Inward'!$G:$G,'Daily Inward'!$C:$C,$B557,'Daily Inward'!$E:$E,"Patty Cash"))</f>
        <v/>
      </c>
      <c r="G557" s="30" t="str">
        <f>IF($B557="","",SUMIFS('Daily Issuance'!$G:$G,'Daily Issuance'!$C:$C,$B557,'Daily Issuance'!$E:$E,"Patty Cash"))</f>
        <v/>
      </c>
      <c r="H557" s="30" t="str">
        <f t="shared" si="25"/>
        <v/>
      </c>
      <c r="I557" s="33"/>
      <c r="J557" s="34" t="str">
        <f t="shared" si="26"/>
        <v/>
      </c>
    </row>
    <row r="558" spans="1:10" s="27" customFormat="1" ht="23.1" customHeight="1">
      <c r="A558" s="194" t="str">
        <f>IF($C558="","",MAX($A$3:A557)+1)</f>
        <v/>
      </c>
      <c r="B558" s="197" t="str">
        <f t="shared" si="24"/>
        <v/>
      </c>
      <c r="C558" s="201"/>
      <c r="D558" s="199"/>
      <c r="E558" s="200"/>
      <c r="F558" s="196" t="str">
        <f>IF($B558="","",SUMIFS('Daily Inward'!$G:$G,'Daily Inward'!$C:$C,$B558,'Daily Inward'!$E:$E,"Patty Cash"))</f>
        <v/>
      </c>
      <c r="G558" s="30" t="str">
        <f>IF($B558="","",SUMIFS('Daily Issuance'!$G:$G,'Daily Issuance'!$C:$C,$B558,'Daily Issuance'!$E:$E,"Patty Cash"))</f>
        <v/>
      </c>
      <c r="H558" s="30" t="str">
        <f t="shared" si="25"/>
        <v/>
      </c>
      <c r="I558" s="33"/>
      <c r="J558" s="34" t="str">
        <f t="shared" si="26"/>
        <v/>
      </c>
    </row>
    <row r="559" spans="1:10" s="27" customFormat="1" ht="23.1" customHeight="1">
      <c r="A559" s="194" t="str">
        <f>IF($C559="","",MAX($A$3:A558)+1)</f>
        <v/>
      </c>
      <c r="B559" s="197" t="str">
        <f t="shared" si="24"/>
        <v/>
      </c>
      <c r="C559" s="201"/>
      <c r="D559" s="199"/>
      <c r="E559" s="200"/>
      <c r="F559" s="196" t="str">
        <f>IF($B559="","",SUMIFS('Daily Inward'!$G:$G,'Daily Inward'!$C:$C,$B559,'Daily Inward'!$E:$E,"Patty Cash"))</f>
        <v/>
      </c>
      <c r="G559" s="30" t="str">
        <f>IF($B559="","",SUMIFS('Daily Issuance'!$G:$G,'Daily Issuance'!$C:$C,$B559,'Daily Issuance'!$E:$E,"Patty Cash"))</f>
        <v/>
      </c>
      <c r="H559" s="30" t="str">
        <f t="shared" si="25"/>
        <v/>
      </c>
      <c r="I559" s="33"/>
      <c r="J559" s="34" t="str">
        <f t="shared" si="26"/>
        <v/>
      </c>
    </row>
    <row r="560" spans="1:10" s="27" customFormat="1" ht="23.1" customHeight="1">
      <c r="A560" s="194" t="str">
        <f>IF($C560="","",MAX($A$3:A559)+1)</f>
        <v/>
      </c>
      <c r="B560" s="197" t="str">
        <f t="shared" si="24"/>
        <v/>
      </c>
      <c r="C560" s="201"/>
      <c r="D560" s="199"/>
      <c r="E560" s="200"/>
      <c r="F560" s="196" t="str">
        <f>IF($B560="","",SUMIFS('Daily Inward'!$G:$G,'Daily Inward'!$C:$C,$B560,'Daily Inward'!$E:$E,"Patty Cash"))</f>
        <v/>
      </c>
      <c r="G560" s="30" t="str">
        <f>IF($B560="","",SUMIFS('Daily Issuance'!$G:$G,'Daily Issuance'!$C:$C,$B560,'Daily Issuance'!$E:$E,"Patty Cash"))</f>
        <v/>
      </c>
      <c r="H560" s="30" t="str">
        <f t="shared" si="25"/>
        <v/>
      </c>
      <c r="I560" s="33"/>
      <c r="J560" s="34" t="str">
        <f t="shared" si="26"/>
        <v/>
      </c>
    </row>
    <row r="561" spans="1:10" s="27" customFormat="1" ht="23.1" customHeight="1">
      <c r="A561" s="194" t="str">
        <f>IF($C561="","",MAX($A$3:A560)+1)</f>
        <v/>
      </c>
      <c r="B561" s="197" t="str">
        <f t="shared" si="24"/>
        <v/>
      </c>
      <c r="C561" s="201"/>
      <c r="D561" s="199"/>
      <c r="E561" s="200"/>
      <c r="F561" s="196" t="str">
        <f>IF($B561="","",SUMIFS('Daily Inward'!$G:$G,'Daily Inward'!$C:$C,$B561,'Daily Inward'!$E:$E,"Patty Cash"))</f>
        <v/>
      </c>
      <c r="G561" s="30" t="str">
        <f>IF($B561="","",SUMIFS('Daily Issuance'!$G:$G,'Daily Issuance'!$C:$C,$B561,'Daily Issuance'!$E:$E,"Patty Cash"))</f>
        <v/>
      </c>
      <c r="H561" s="30" t="str">
        <f t="shared" si="25"/>
        <v/>
      </c>
      <c r="I561" s="33"/>
      <c r="J561" s="34" t="str">
        <f t="shared" si="26"/>
        <v/>
      </c>
    </row>
    <row r="562" spans="1:10" s="27" customFormat="1" ht="23.1" customHeight="1">
      <c r="A562" s="194" t="str">
        <f>IF($C562="","",MAX($A$3:A561)+1)</f>
        <v/>
      </c>
      <c r="B562" s="197" t="str">
        <f t="shared" si="24"/>
        <v/>
      </c>
      <c r="C562" s="201"/>
      <c r="D562" s="199"/>
      <c r="E562" s="200"/>
      <c r="F562" s="196" t="str">
        <f>IF($B562="","",SUMIFS('Daily Inward'!$G:$G,'Daily Inward'!$C:$C,$B562,'Daily Inward'!$E:$E,"Patty Cash"))</f>
        <v/>
      </c>
      <c r="G562" s="30" t="str">
        <f>IF($B562="","",SUMIFS('Daily Issuance'!$G:$G,'Daily Issuance'!$C:$C,$B562,'Daily Issuance'!$E:$E,"Patty Cash"))</f>
        <v/>
      </c>
      <c r="H562" s="30" t="str">
        <f t="shared" si="25"/>
        <v/>
      </c>
      <c r="I562" s="33"/>
      <c r="J562" s="34" t="str">
        <f t="shared" si="26"/>
        <v/>
      </c>
    </row>
    <row r="563" spans="1:10" s="27" customFormat="1" ht="23.1" customHeight="1">
      <c r="A563" s="194" t="str">
        <f>IF($C563="","",MAX($A$3:A562)+1)</f>
        <v/>
      </c>
      <c r="B563" s="197" t="str">
        <f t="shared" si="24"/>
        <v/>
      </c>
      <c r="C563" s="201"/>
      <c r="D563" s="199"/>
      <c r="E563" s="200"/>
      <c r="F563" s="196" t="str">
        <f>IF($B563="","",SUMIFS('Daily Inward'!$G:$G,'Daily Inward'!$C:$C,$B563,'Daily Inward'!$E:$E,"Patty Cash"))</f>
        <v/>
      </c>
      <c r="G563" s="30" t="str">
        <f>IF($B563="","",SUMIFS('Daily Issuance'!$G:$G,'Daily Issuance'!$C:$C,$B563,'Daily Issuance'!$E:$E,"Patty Cash"))</f>
        <v/>
      </c>
      <c r="H563" s="30" t="str">
        <f t="shared" si="25"/>
        <v/>
      </c>
      <c r="I563" s="33"/>
      <c r="J563" s="34" t="str">
        <f t="shared" si="26"/>
        <v/>
      </c>
    </row>
    <row r="564" spans="1:10" s="27" customFormat="1" ht="23.1" customHeight="1">
      <c r="A564" s="194" t="str">
        <f>IF($C564="","",MAX($A$3:A563)+1)</f>
        <v/>
      </c>
      <c r="B564" s="197" t="str">
        <f t="shared" si="24"/>
        <v/>
      </c>
      <c r="C564" s="201"/>
      <c r="D564" s="199"/>
      <c r="E564" s="200"/>
      <c r="F564" s="196" t="str">
        <f>IF($B564="","",SUMIFS('Daily Inward'!$G:$G,'Daily Inward'!$C:$C,$B564,'Daily Inward'!$E:$E,"Patty Cash"))</f>
        <v/>
      </c>
      <c r="G564" s="30" t="str">
        <f>IF($B564="","",SUMIFS('Daily Issuance'!$G:$G,'Daily Issuance'!$C:$C,$B564,'Daily Issuance'!$E:$E,"Patty Cash"))</f>
        <v/>
      </c>
      <c r="H564" s="30" t="str">
        <f t="shared" si="25"/>
        <v/>
      </c>
      <c r="I564" s="33"/>
      <c r="J564" s="34" t="str">
        <f t="shared" si="26"/>
        <v/>
      </c>
    </row>
    <row r="565" spans="1:10" s="27" customFormat="1" ht="23.1" customHeight="1">
      <c r="A565" s="194" t="str">
        <f>IF($C565="","",MAX($A$3:A564)+1)</f>
        <v/>
      </c>
      <c r="B565" s="197" t="str">
        <f t="shared" si="24"/>
        <v/>
      </c>
      <c r="C565" s="201"/>
      <c r="D565" s="199"/>
      <c r="E565" s="200"/>
      <c r="F565" s="196" t="str">
        <f>IF($B565="","",SUMIFS('Daily Inward'!$G:$G,'Daily Inward'!$C:$C,$B565,'Daily Inward'!$E:$E,"Patty Cash"))</f>
        <v/>
      </c>
      <c r="G565" s="30" t="str">
        <f>IF($B565="","",SUMIFS('Daily Issuance'!$G:$G,'Daily Issuance'!$C:$C,$B565,'Daily Issuance'!$E:$E,"Patty Cash"))</f>
        <v/>
      </c>
      <c r="H565" s="30" t="str">
        <f t="shared" si="25"/>
        <v/>
      </c>
      <c r="I565" s="33"/>
      <c r="J565" s="34" t="str">
        <f t="shared" si="26"/>
        <v/>
      </c>
    </row>
    <row r="566" spans="1:10" s="27" customFormat="1" ht="23.1" customHeight="1">
      <c r="A566" s="194" t="str">
        <f>IF($C566="","",MAX($A$3:A565)+1)</f>
        <v/>
      </c>
      <c r="B566" s="197" t="str">
        <f t="shared" si="24"/>
        <v/>
      </c>
      <c r="C566" s="201"/>
      <c r="D566" s="199"/>
      <c r="E566" s="200"/>
      <c r="F566" s="196" t="str">
        <f>IF($B566="","",SUMIFS('Daily Inward'!$G:$G,'Daily Inward'!$C:$C,$B566,'Daily Inward'!$E:$E,"Patty Cash"))</f>
        <v/>
      </c>
      <c r="G566" s="30" t="str">
        <f>IF($B566="","",SUMIFS('Daily Issuance'!$G:$G,'Daily Issuance'!$C:$C,$B566,'Daily Issuance'!$E:$E,"Patty Cash"))</f>
        <v/>
      </c>
      <c r="H566" s="30" t="str">
        <f t="shared" si="25"/>
        <v/>
      </c>
      <c r="I566" s="33"/>
      <c r="J566" s="34" t="str">
        <f t="shared" si="26"/>
        <v/>
      </c>
    </row>
    <row r="567" spans="1:10" s="27" customFormat="1" ht="23.1" customHeight="1">
      <c r="A567" s="194" t="str">
        <f>IF($C567="","",MAX($A$3:A566)+1)</f>
        <v/>
      </c>
      <c r="B567" s="197" t="str">
        <f t="shared" si="24"/>
        <v/>
      </c>
      <c r="C567" s="201"/>
      <c r="D567" s="199"/>
      <c r="E567" s="200"/>
      <c r="F567" s="196" t="str">
        <f>IF($B567="","",SUMIFS('Daily Inward'!$G:$G,'Daily Inward'!$C:$C,$B567,'Daily Inward'!$E:$E,"Patty Cash"))</f>
        <v/>
      </c>
      <c r="G567" s="30" t="str">
        <f>IF($B567="","",SUMIFS('Daily Issuance'!$G:$G,'Daily Issuance'!$C:$C,$B567,'Daily Issuance'!$E:$E,"Patty Cash"))</f>
        <v/>
      </c>
      <c r="H567" s="30" t="str">
        <f t="shared" si="25"/>
        <v/>
      </c>
      <c r="I567" s="33"/>
      <c r="J567" s="34" t="str">
        <f t="shared" si="26"/>
        <v/>
      </c>
    </row>
    <row r="568" spans="1:10" s="27" customFormat="1" ht="23.1" customHeight="1">
      <c r="A568" s="194" t="str">
        <f>IF($C568="","",MAX($A$3:A567)+1)</f>
        <v/>
      </c>
      <c r="B568" s="197" t="str">
        <f t="shared" si="24"/>
        <v/>
      </c>
      <c r="C568" s="201"/>
      <c r="D568" s="199"/>
      <c r="E568" s="200"/>
      <c r="F568" s="196" t="str">
        <f>IF($B568="","",SUMIFS('Daily Inward'!$G:$G,'Daily Inward'!$C:$C,$B568,'Daily Inward'!$E:$E,"Patty Cash"))</f>
        <v/>
      </c>
      <c r="G568" s="30" t="str">
        <f>IF($B568="","",SUMIFS('Daily Issuance'!$G:$G,'Daily Issuance'!$C:$C,$B568,'Daily Issuance'!$E:$E,"Patty Cash"))</f>
        <v/>
      </c>
      <c r="H568" s="30" t="str">
        <f t="shared" si="25"/>
        <v/>
      </c>
      <c r="I568" s="33"/>
      <c r="J568" s="34" t="str">
        <f t="shared" si="26"/>
        <v/>
      </c>
    </row>
    <row r="569" spans="1:10" s="27" customFormat="1" ht="23.1" customHeight="1">
      <c r="A569" s="194" t="str">
        <f>IF($C569="","",MAX($A$3:A568)+1)</f>
        <v/>
      </c>
      <c r="B569" s="197" t="str">
        <f t="shared" si="24"/>
        <v/>
      </c>
      <c r="C569" s="201"/>
      <c r="D569" s="199"/>
      <c r="E569" s="200"/>
      <c r="F569" s="196" t="str">
        <f>IF($B569="","",SUMIFS('Daily Inward'!$G:$G,'Daily Inward'!$C:$C,$B569,'Daily Inward'!$E:$E,"Patty Cash"))</f>
        <v/>
      </c>
      <c r="G569" s="30" t="str">
        <f>IF($B569="","",SUMIFS('Daily Issuance'!$G:$G,'Daily Issuance'!$C:$C,$B569,'Daily Issuance'!$E:$E,"Patty Cash"))</f>
        <v/>
      </c>
      <c r="H569" s="30" t="str">
        <f t="shared" si="25"/>
        <v/>
      </c>
      <c r="I569" s="33"/>
      <c r="J569" s="34" t="str">
        <f t="shared" si="26"/>
        <v/>
      </c>
    </row>
    <row r="570" spans="1:10" s="27" customFormat="1" ht="23.1" customHeight="1">
      <c r="A570" s="194" t="str">
        <f>IF($C570="","",MAX($A$3:A569)+1)</f>
        <v/>
      </c>
      <c r="B570" s="197" t="str">
        <f t="shared" si="24"/>
        <v/>
      </c>
      <c r="C570" s="201"/>
      <c r="D570" s="199"/>
      <c r="E570" s="200"/>
      <c r="F570" s="196" t="str">
        <f>IF($B570="","",SUMIFS('Daily Inward'!$G:$G,'Daily Inward'!$C:$C,$B570,'Daily Inward'!$E:$E,"Patty Cash"))</f>
        <v/>
      </c>
      <c r="G570" s="30" t="str">
        <f>IF($B570="","",SUMIFS('Daily Issuance'!$G:$G,'Daily Issuance'!$C:$C,$B570,'Daily Issuance'!$E:$E,"Patty Cash"))</f>
        <v/>
      </c>
      <c r="H570" s="30" t="str">
        <f t="shared" si="25"/>
        <v/>
      </c>
      <c r="I570" s="33"/>
      <c r="J570" s="34" t="str">
        <f t="shared" si="26"/>
        <v/>
      </c>
    </row>
    <row r="571" spans="1:10" s="27" customFormat="1" ht="23.1" customHeight="1">
      <c r="A571" s="194" t="str">
        <f>IF($C571="","",MAX($A$3:A570)+1)</f>
        <v/>
      </c>
      <c r="B571" s="197" t="str">
        <f t="shared" si="24"/>
        <v/>
      </c>
      <c r="C571" s="201"/>
      <c r="D571" s="199"/>
      <c r="E571" s="200"/>
      <c r="F571" s="196" t="str">
        <f>IF($B571="","",SUMIFS('Daily Inward'!$G:$G,'Daily Inward'!$C:$C,$B571,'Daily Inward'!$E:$E,"Patty Cash"))</f>
        <v/>
      </c>
      <c r="G571" s="30" t="str">
        <f>IF($B571="","",SUMIFS('Daily Issuance'!$G:$G,'Daily Issuance'!$C:$C,$B571,'Daily Issuance'!$E:$E,"Patty Cash"))</f>
        <v/>
      </c>
      <c r="H571" s="30" t="str">
        <f t="shared" si="25"/>
        <v/>
      </c>
      <c r="I571" s="33"/>
      <c r="J571" s="34" t="str">
        <f t="shared" si="26"/>
        <v/>
      </c>
    </row>
    <row r="572" spans="1:10" s="27" customFormat="1" ht="23.1" customHeight="1">
      <c r="A572" s="194" t="str">
        <f>IF($C572="","",MAX($A$3:A571)+1)</f>
        <v/>
      </c>
      <c r="B572" s="197" t="str">
        <f t="shared" si="24"/>
        <v/>
      </c>
      <c r="C572" s="201"/>
      <c r="D572" s="199"/>
      <c r="E572" s="200"/>
      <c r="F572" s="196" t="str">
        <f>IF($B572="","",SUMIFS('Daily Inward'!$G:$G,'Daily Inward'!$C:$C,$B572,'Daily Inward'!$E:$E,"Patty Cash"))</f>
        <v/>
      </c>
      <c r="G572" s="30" t="str">
        <f>IF($B572="","",SUMIFS('Daily Issuance'!$G:$G,'Daily Issuance'!$C:$C,$B572,'Daily Issuance'!$E:$E,"Patty Cash"))</f>
        <v/>
      </c>
      <c r="H572" s="30" t="str">
        <f t="shared" si="25"/>
        <v/>
      </c>
      <c r="I572" s="33"/>
      <c r="J572" s="34" t="str">
        <f t="shared" si="26"/>
        <v/>
      </c>
    </row>
    <row r="573" spans="1:10" s="27" customFormat="1" ht="23.1" customHeight="1">
      <c r="A573" s="194" t="str">
        <f>IF($C573="","",MAX($A$3:A572)+1)</f>
        <v/>
      </c>
      <c r="B573" s="197" t="str">
        <f t="shared" si="24"/>
        <v/>
      </c>
      <c r="C573" s="201"/>
      <c r="D573" s="199"/>
      <c r="E573" s="200"/>
      <c r="F573" s="196" t="str">
        <f>IF($B573="","",SUMIFS('Daily Inward'!$G:$G,'Daily Inward'!$C:$C,$B573,'Daily Inward'!$E:$E,"Patty Cash"))</f>
        <v/>
      </c>
      <c r="G573" s="30" t="str">
        <f>IF($B573="","",SUMIFS('Daily Issuance'!$G:$G,'Daily Issuance'!$C:$C,$B573,'Daily Issuance'!$E:$E,"Patty Cash"))</f>
        <v/>
      </c>
      <c r="H573" s="30" t="str">
        <f t="shared" si="25"/>
        <v/>
      </c>
      <c r="I573" s="33"/>
      <c r="J573" s="34" t="str">
        <f t="shared" si="26"/>
        <v/>
      </c>
    </row>
    <row r="574" spans="1:10" s="27" customFormat="1" ht="23.1" customHeight="1">
      <c r="A574" s="194" t="str">
        <f>IF($C574="","",MAX($A$3:A573)+1)</f>
        <v/>
      </c>
      <c r="B574" s="197" t="str">
        <f t="shared" si="24"/>
        <v/>
      </c>
      <c r="C574" s="201"/>
      <c r="D574" s="199"/>
      <c r="E574" s="200"/>
      <c r="F574" s="196" t="str">
        <f>IF($B574="","",SUMIFS('Daily Inward'!$G:$G,'Daily Inward'!$C:$C,$B574,'Daily Inward'!$E:$E,"Patty Cash"))</f>
        <v/>
      </c>
      <c r="G574" s="30" t="str">
        <f>IF($B574="","",SUMIFS('Daily Issuance'!$G:$G,'Daily Issuance'!$C:$C,$B574,'Daily Issuance'!$E:$E,"Patty Cash"))</f>
        <v/>
      </c>
      <c r="H574" s="30" t="str">
        <f t="shared" si="25"/>
        <v/>
      </c>
      <c r="I574" s="33"/>
      <c r="J574" s="34" t="str">
        <f t="shared" si="26"/>
        <v/>
      </c>
    </row>
    <row r="575" spans="1:10" s="27" customFormat="1" ht="23.1" customHeight="1">
      <c r="A575" s="194" t="str">
        <f>IF($C575="","",MAX($A$3:A574)+1)</f>
        <v/>
      </c>
      <c r="B575" s="197" t="str">
        <f t="shared" si="24"/>
        <v/>
      </c>
      <c r="C575" s="201"/>
      <c r="D575" s="199"/>
      <c r="E575" s="200"/>
      <c r="F575" s="196" t="str">
        <f>IF($B575="","",SUMIFS('Daily Inward'!$G:$G,'Daily Inward'!$C:$C,$B575,'Daily Inward'!$E:$E,"Patty Cash"))</f>
        <v/>
      </c>
      <c r="G575" s="30" t="str">
        <f>IF($B575="","",SUMIFS('Daily Issuance'!$G:$G,'Daily Issuance'!$C:$C,$B575,'Daily Issuance'!$E:$E,"Patty Cash"))</f>
        <v/>
      </c>
      <c r="H575" s="30" t="str">
        <f t="shared" si="25"/>
        <v/>
      </c>
      <c r="I575" s="33"/>
      <c r="J575" s="34" t="str">
        <f t="shared" si="26"/>
        <v/>
      </c>
    </row>
    <row r="576" spans="1:10" s="27" customFormat="1" ht="23.1" customHeight="1">
      <c r="A576" s="194" t="str">
        <f>IF($C576="","",MAX($A$3:A575)+1)</f>
        <v/>
      </c>
      <c r="B576" s="197" t="str">
        <f t="shared" si="24"/>
        <v/>
      </c>
      <c r="C576" s="201"/>
      <c r="D576" s="199"/>
      <c r="E576" s="200"/>
      <c r="F576" s="196" t="str">
        <f>IF($B576="","",SUMIFS('Daily Inward'!$G:$G,'Daily Inward'!$C:$C,$B576,'Daily Inward'!$E:$E,"Patty Cash"))</f>
        <v/>
      </c>
      <c r="G576" s="30" t="str">
        <f>IF($B576="","",SUMIFS('Daily Issuance'!$G:$G,'Daily Issuance'!$C:$C,$B576,'Daily Issuance'!$E:$E,"Patty Cash"))</f>
        <v/>
      </c>
      <c r="H576" s="30" t="str">
        <f t="shared" si="25"/>
        <v/>
      </c>
      <c r="I576" s="33"/>
      <c r="J576" s="34" t="str">
        <f t="shared" si="26"/>
        <v/>
      </c>
    </row>
    <row r="577" spans="1:10" s="27" customFormat="1" ht="23.1" customHeight="1">
      <c r="A577" s="194" t="str">
        <f>IF($C577="","",MAX($A$3:A576)+1)</f>
        <v/>
      </c>
      <c r="B577" s="197" t="str">
        <f t="shared" si="24"/>
        <v/>
      </c>
      <c r="C577" s="201"/>
      <c r="D577" s="199"/>
      <c r="E577" s="200"/>
      <c r="F577" s="196" t="str">
        <f>IF($B577="","",SUMIFS('Daily Inward'!$G:$G,'Daily Inward'!$C:$C,$B577,'Daily Inward'!$E:$E,"Patty Cash"))</f>
        <v/>
      </c>
      <c r="G577" s="30" t="str">
        <f>IF($B577="","",SUMIFS('Daily Issuance'!$G:$G,'Daily Issuance'!$C:$C,$B577,'Daily Issuance'!$E:$E,"Patty Cash"))</f>
        <v/>
      </c>
      <c r="H577" s="30" t="str">
        <f t="shared" si="25"/>
        <v/>
      </c>
      <c r="I577" s="33"/>
      <c r="J577" s="34" t="str">
        <f t="shared" si="26"/>
        <v/>
      </c>
    </row>
    <row r="578" spans="1:10" s="27" customFormat="1" ht="23.1" customHeight="1">
      <c r="A578" s="194" t="str">
        <f>IF($C578="","",MAX($A$3:A577)+1)</f>
        <v/>
      </c>
      <c r="B578" s="197" t="str">
        <f t="shared" si="24"/>
        <v/>
      </c>
      <c r="C578" s="201"/>
      <c r="D578" s="199"/>
      <c r="E578" s="200"/>
      <c r="F578" s="196" t="str">
        <f>IF($B578="","",SUMIFS('Daily Inward'!$G:$G,'Daily Inward'!$C:$C,$B578,'Daily Inward'!$E:$E,"Patty Cash"))</f>
        <v/>
      </c>
      <c r="G578" s="30" t="str">
        <f>IF($B578="","",SUMIFS('Daily Issuance'!$G:$G,'Daily Issuance'!$C:$C,$B578,'Daily Issuance'!$E:$E,"Patty Cash"))</f>
        <v/>
      </c>
      <c r="H578" s="30" t="str">
        <f t="shared" si="25"/>
        <v/>
      </c>
      <c r="I578" s="33"/>
      <c r="J578" s="34" t="str">
        <f t="shared" si="26"/>
        <v/>
      </c>
    </row>
    <row r="579" spans="1:10" s="27" customFormat="1" ht="23.1" customHeight="1">
      <c r="A579" s="194" t="str">
        <f>IF($C579="","",MAX($A$3:A578)+1)</f>
        <v/>
      </c>
      <c r="B579" s="197" t="str">
        <f t="shared" si="24"/>
        <v/>
      </c>
      <c r="C579" s="201"/>
      <c r="D579" s="199"/>
      <c r="E579" s="200"/>
      <c r="F579" s="196" t="str">
        <f>IF($B579="","",SUMIFS('Daily Inward'!$G:$G,'Daily Inward'!$C:$C,$B579,'Daily Inward'!$E:$E,"Patty Cash"))</f>
        <v/>
      </c>
      <c r="G579" s="30" t="str">
        <f>IF($B579="","",SUMIFS('Daily Issuance'!$G:$G,'Daily Issuance'!$C:$C,$B579,'Daily Issuance'!$E:$E,"Patty Cash"))</f>
        <v/>
      </c>
      <c r="H579" s="30" t="str">
        <f t="shared" si="25"/>
        <v/>
      </c>
      <c r="I579" s="33"/>
      <c r="J579" s="34" t="str">
        <f t="shared" si="26"/>
        <v/>
      </c>
    </row>
    <row r="580" spans="1:10" s="27" customFormat="1" ht="23.1" customHeight="1">
      <c r="A580" s="194" t="str">
        <f>IF($C580="","",MAX($A$3:A579)+1)</f>
        <v/>
      </c>
      <c r="B580" s="197" t="str">
        <f t="shared" si="24"/>
        <v/>
      </c>
      <c r="C580" s="201"/>
      <c r="D580" s="199"/>
      <c r="E580" s="200"/>
      <c r="F580" s="196" t="str">
        <f>IF($B580="","",SUMIFS('Daily Inward'!$G:$G,'Daily Inward'!$C:$C,$B580,'Daily Inward'!$E:$E,"Patty Cash"))</f>
        <v/>
      </c>
      <c r="G580" s="30" t="str">
        <f>IF($B580="","",SUMIFS('Daily Issuance'!$G:$G,'Daily Issuance'!$C:$C,$B580,'Daily Issuance'!$E:$E,"Patty Cash"))</f>
        <v/>
      </c>
      <c r="H580" s="30" t="str">
        <f t="shared" si="25"/>
        <v/>
      </c>
      <c r="I580" s="33"/>
      <c r="J580" s="34" t="str">
        <f t="shared" si="26"/>
        <v/>
      </c>
    </row>
    <row r="581" spans="1:10" s="27" customFormat="1" ht="23.1" customHeight="1">
      <c r="A581" s="194" t="str">
        <f>IF($C581="","",MAX($A$3:A580)+1)</f>
        <v/>
      </c>
      <c r="B581" s="197" t="str">
        <f t="shared" ref="B581:B644" si="27">IF($C581="","","PTC"&amp;TEXT(ROW()-4,"000"))</f>
        <v/>
      </c>
      <c r="C581" s="201"/>
      <c r="D581" s="199"/>
      <c r="E581" s="200"/>
      <c r="F581" s="196" t="str">
        <f>IF($B581="","",SUMIFS('Daily Inward'!$G:$G,'Daily Inward'!$C:$C,$B581,'Daily Inward'!$E:$E,"Patty Cash"))</f>
        <v/>
      </c>
      <c r="G581" s="30" t="str">
        <f>IF($B581="","",SUMIFS('Daily Issuance'!$G:$G,'Daily Issuance'!$C:$C,$B581,'Daily Issuance'!$E:$E,"Patty Cash"))</f>
        <v/>
      </c>
      <c r="H581" s="30" t="str">
        <f t="shared" ref="H581:H644" si="28">IF($B581="","",F581-G581)</f>
        <v/>
      </c>
      <c r="I581" s="33"/>
      <c r="J581" s="34" t="str">
        <f t="shared" ref="J581:J644" si="29">IF(OR(H581="",I581=""),"",H581*I581)</f>
        <v/>
      </c>
    </row>
    <row r="582" spans="1:10" s="27" customFormat="1" ht="23.1" customHeight="1">
      <c r="A582" s="194" t="str">
        <f>IF($C582="","",MAX($A$3:A581)+1)</f>
        <v/>
      </c>
      <c r="B582" s="197" t="str">
        <f t="shared" si="27"/>
        <v/>
      </c>
      <c r="C582" s="201"/>
      <c r="D582" s="199"/>
      <c r="E582" s="200"/>
      <c r="F582" s="196" t="str">
        <f>IF($B582="","",SUMIFS('Daily Inward'!$G:$G,'Daily Inward'!$C:$C,$B582,'Daily Inward'!$E:$E,"Patty Cash"))</f>
        <v/>
      </c>
      <c r="G582" s="30" t="str">
        <f>IF($B582="","",SUMIFS('Daily Issuance'!$G:$G,'Daily Issuance'!$C:$C,$B582,'Daily Issuance'!$E:$E,"Patty Cash"))</f>
        <v/>
      </c>
      <c r="H582" s="30" t="str">
        <f t="shared" si="28"/>
        <v/>
      </c>
      <c r="I582" s="33"/>
      <c r="J582" s="34" t="str">
        <f t="shared" si="29"/>
        <v/>
      </c>
    </row>
    <row r="583" spans="1:10" s="27" customFormat="1" ht="23.1" customHeight="1">
      <c r="A583" s="194" t="str">
        <f>IF($C583="","",MAX($A$3:A582)+1)</f>
        <v/>
      </c>
      <c r="B583" s="197" t="str">
        <f t="shared" si="27"/>
        <v/>
      </c>
      <c r="C583" s="201"/>
      <c r="D583" s="199"/>
      <c r="E583" s="200"/>
      <c r="F583" s="196" t="str">
        <f>IF($B583="","",SUMIFS('Daily Inward'!$G:$G,'Daily Inward'!$C:$C,$B583,'Daily Inward'!$E:$E,"Patty Cash"))</f>
        <v/>
      </c>
      <c r="G583" s="30" t="str">
        <f>IF($B583="","",SUMIFS('Daily Issuance'!$G:$G,'Daily Issuance'!$C:$C,$B583,'Daily Issuance'!$E:$E,"Patty Cash"))</f>
        <v/>
      </c>
      <c r="H583" s="30" t="str">
        <f t="shared" si="28"/>
        <v/>
      </c>
      <c r="I583" s="33"/>
      <c r="J583" s="34" t="str">
        <f t="shared" si="29"/>
        <v/>
      </c>
    </row>
    <row r="584" spans="1:10" s="27" customFormat="1" ht="23.1" customHeight="1">
      <c r="A584" s="194" t="str">
        <f>IF($C584="","",MAX($A$3:A583)+1)</f>
        <v/>
      </c>
      <c r="B584" s="197" t="str">
        <f t="shared" si="27"/>
        <v/>
      </c>
      <c r="C584" s="201"/>
      <c r="D584" s="199"/>
      <c r="E584" s="200"/>
      <c r="F584" s="196" t="str">
        <f>IF($B584="","",SUMIFS('Daily Inward'!$G:$G,'Daily Inward'!$C:$C,$B584,'Daily Inward'!$E:$E,"Patty Cash"))</f>
        <v/>
      </c>
      <c r="G584" s="30" t="str">
        <f>IF($B584="","",SUMIFS('Daily Issuance'!$G:$G,'Daily Issuance'!$C:$C,$B584,'Daily Issuance'!$E:$E,"Patty Cash"))</f>
        <v/>
      </c>
      <c r="H584" s="30" t="str">
        <f t="shared" si="28"/>
        <v/>
      </c>
      <c r="I584" s="33"/>
      <c r="J584" s="34" t="str">
        <f t="shared" si="29"/>
        <v/>
      </c>
    </row>
    <row r="585" spans="1:10" s="27" customFormat="1" ht="23.1" customHeight="1">
      <c r="A585" s="194" t="str">
        <f>IF($C585="","",MAX($A$3:A584)+1)</f>
        <v/>
      </c>
      <c r="B585" s="197" t="str">
        <f t="shared" si="27"/>
        <v/>
      </c>
      <c r="C585" s="201"/>
      <c r="D585" s="199"/>
      <c r="E585" s="200"/>
      <c r="F585" s="196" t="str">
        <f>IF($B585="","",SUMIFS('Daily Inward'!$G:$G,'Daily Inward'!$C:$C,$B585,'Daily Inward'!$E:$E,"Patty Cash"))</f>
        <v/>
      </c>
      <c r="G585" s="30" t="str">
        <f>IF($B585="","",SUMIFS('Daily Issuance'!$G:$G,'Daily Issuance'!$C:$C,$B585,'Daily Issuance'!$E:$E,"Patty Cash"))</f>
        <v/>
      </c>
      <c r="H585" s="30" t="str">
        <f t="shared" si="28"/>
        <v/>
      </c>
      <c r="I585" s="33"/>
      <c r="J585" s="34" t="str">
        <f t="shared" si="29"/>
        <v/>
      </c>
    </row>
    <row r="586" spans="1:10" s="27" customFormat="1" ht="23.1" customHeight="1">
      <c r="A586" s="194" t="str">
        <f>IF($C586="","",MAX($A$3:A585)+1)</f>
        <v/>
      </c>
      <c r="B586" s="197" t="str">
        <f t="shared" si="27"/>
        <v/>
      </c>
      <c r="C586" s="201"/>
      <c r="D586" s="199"/>
      <c r="E586" s="200"/>
      <c r="F586" s="196" t="str">
        <f>IF($B586="","",SUMIFS('Daily Inward'!$G:$G,'Daily Inward'!$C:$C,$B586,'Daily Inward'!$E:$E,"Patty Cash"))</f>
        <v/>
      </c>
      <c r="G586" s="30" t="str">
        <f>IF($B586="","",SUMIFS('Daily Issuance'!$G:$G,'Daily Issuance'!$C:$C,$B586,'Daily Issuance'!$E:$E,"Patty Cash"))</f>
        <v/>
      </c>
      <c r="H586" s="30" t="str">
        <f t="shared" si="28"/>
        <v/>
      </c>
      <c r="I586" s="33"/>
      <c r="J586" s="34" t="str">
        <f t="shared" si="29"/>
        <v/>
      </c>
    </row>
    <row r="587" spans="1:10" s="27" customFormat="1" ht="23.1" customHeight="1">
      <c r="A587" s="194" t="str">
        <f>IF($C587="","",MAX($A$3:A586)+1)</f>
        <v/>
      </c>
      <c r="B587" s="197" t="str">
        <f t="shared" si="27"/>
        <v/>
      </c>
      <c r="C587" s="201"/>
      <c r="D587" s="199"/>
      <c r="E587" s="200"/>
      <c r="F587" s="196" t="str">
        <f>IF($B587="","",SUMIFS('Daily Inward'!$G:$G,'Daily Inward'!$C:$C,$B587,'Daily Inward'!$E:$E,"Patty Cash"))</f>
        <v/>
      </c>
      <c r="G587" s="30" t="str">
        <f>IF($B587="","",SUMIFS('Daily Issuance'!$G:$G,'Daily Issuance'!$C:$C,$B587,'Daily Issuance'!$E:$E,"Patty Cash"))</f>
        <v/>
      </c>
      <c r="H587" s="30" t="str">
        <f t="shared" si="28"/>
        <v/>
      </c>
      <c r="I587" s="33"/>
      <c r="J587" s="34" t="str">
        <f t="shared" si="29"/>
        <v/>
      </c>
    </row>
    <row r="588" spans="1:10" s="27" customFormat="1" ht="23.1" customHeight="1">
      <c r="A588" s="194" t="str">
        <f>IF($C588="","",MAX($A$3:A587)+1)</f>
        <v/>
      </c>
      <c r="B588" s="197" t="str">
        <f t="shared" si="27"/>
        <v/>
      </c>
      <c r="C588" s="201"/>
      <c r="D588" s="199"/>
      <c r="E588" s="200"/>
      <c r="F588" s="196" t="str">
        <f>IF($B588="","",SUMIFS('Daily Inward'!$G:$G,'Daily Inward'!$C:$C,$B588,'Daily Inward'!$E:$E,"Patty Cash"))</f>
        <v/>
      </c>
      <c r="G588" s="30" t="str">
        <f>IF($B588="","",SUMIFS('Daily Issuance'!$G:$G,'Daily Issuance'!$C:$C,$B588,'Daily Issuance'!$E:$E,"Patty Cash"))</f>
        <v/>
      </c>
      <c r="H588" s="30" t="str">
        <f t="shared" si="28"/>
        <v/>
      </c>
      <c r="I588" s="33"/>
      <c r="J588" s="34" t="str">
        <f t="shared" si="29"/>
        <v/>
      </c>
    </row>
    <row r="589" spans="1:10" s="27" customFormat="1" ht="23.1" customHeight="1">
      <c r="A589" s="194" t="str">
        <f>IF($C589="","",MAX($A$3:A588)+1)</f>
        <v/>
      </c>
      <c r="B589" s="197" t="str">
        <f t="shared" si="27"/>
        <v/>
      </c>
      <c r="C589" s="201"/>
      <c r="D589" s="199"/>
      <c r="E589" s="200"/>
      <c r="F589" s="196" t="str">
        <f>IF($B589="","",SUMIFS('Daily Inward'!$G:$G,'Daily Inward'!$C:$C,$B589,'Daily Inward'!$E:$E,"Patty Cash"))</f>
        <v/>
      </c>
      <c r="G589" s="30" t="str">
        <f>IF($B589="","",SUMIFS('Daily Issuance'!$G:$G,'Daily Issuance'!$C:$C,$B589,'Daily Issuance'!$E:$E,"Patty Cash"))</f>
        <v/>
      </c>
      <c r="H589" s="30" t="str">
        <f t="shared" si="28"/>
        <v/>
      </c>
      <c r="I589" s="33"/>
      <c r="J589" s="34" t="str">
        <f t="shared" si="29"/>
        <v/>
      </c>
    </row>
    <row r="590" spans="1:10" s="27" customFormat="1" ht="23.1" customHeight="1">
      <c r="A590" s="194" t="str">
        <f>IF($C590="","",MAX($A$3:A589)+1)</f>
        <v/>
      </c>
      <c r="B590" s="197" t="str">
        <f t="shared" si="27"/>
        <v/>
      </c>
      <c r="C590" s="201"/>
      <c r="D590" s="199"/>
      <c r="E590" s="200"/>
      <c r="F590" s="196" t="str">
        <f>IF($B590="","",SUMIFS('Daily Inward'!$G:$G,'Daily Inward'!$C:$C,$B590,'Daily Inward'!$E:$E,"Patty Cash"))</f>
        <v/>
      </c>
      <c r="G590" s="30" t="str">
        <f>IF($B590="","",SUMIFS('Daily Issuance'!$G:$G,'Daily Issuance'!$C:$C,$B590,'Daily Issuance'!$E:$E,"Patty Cash"))</f>
        <v/>
      </c>
      <c r="H590" s="30" t="str">
        <f t="shared" si="28"/>
        <v/>
      </c>
      <c r="I590" s="33"/>
      <c r="J590" s="34" t="str">
        <f t="shared" si="29"/>
        <v/>
      </c>
    </row>
    <row r="591" spans="1:10" s="27" customFormat="1" ht="23.1" customHeight="1">
      <c r="A591" s="194" t="str">
        <f>IF($C591="","",MAX($A$3:A590)+1)</f>
        <v/>
      </c>
      <c r="B591" s="197" t="str">
        <f t="shared" si="27"/>
        <v/>
      </c>
      <c r="C591" s="201"/>
      <c r="D591" s="199"/>
      <c r="E591" s="200"/>
      <c r="F591" s="196" t="str">
        <f>IF($B591="","",SUMIFS('Daily Inward'!$G:$G,'Daily Inward'!$C:$C,$B591,'Daily Inward'!$E:$E,"Patty Cash"))</f>
        <v/>
      </c>
      <c r="G591" s="30" t="str">
        <f>IF($B591="","",SUMIFS('Daily Issuance'!$G:$G,'Daily Issuance'!$C:$C,$B591,'Daily Issuance'!$E:$E,"Patty Cash"))</f>
        <v/>
      </c>
      <c r="H591" s="30" t="str">
        <f t="shared" si="28"/>
        <v/>
      </c>
      <c r="I591" s="33"/>
      <c r="J591" s="34" t="str">
        <f t="shared" si="29"/>
        <v/>
      </c>
    </row>
    <row r="592" spans="1:10" s="27" customFormat="1" ht="23.1" customHeight="1">
      <c r="A592" s="194" t="str">
        <f>IF($C592="","",MAX($A$3:A591)+1)</f>
        <v/>
      </c>
      <c r="B592" s="197" t="str">
        <f t="shared" si="27"/>
        <v/>
      </c>
      <c r="C592" s="201"/>
      <c r="D592" s="199"/>
      <c r="E592" s="200"/>
      <c r="F592" s="196" t="str">
        <f>IF($B592="","",SUMIFS('Daily Inward'!$G:$G,'Daily Inward'!$C:$C,$B592,'Daily Inward'!$E:$E,"Patty Cash"))</f>
        <v/>
      </c>
      <c r="G592" s="30" t="str">
        <f>IF($B592="","",SUMIFS('Daily Issuance'!$G:$G,'Daily Issuance'!$C:$C,$B592,'Daily Issuance'!$E:$E,"Patty Cash"))</f>
        <v/>
      </c>
      <c r="H592" s="30" t="str">
        <f t="shared" si="28"/>
        <v/>
      </c>
      <c r="I592" s="33"/>
      <c r="J592" s="34" t="str">
        <f t="shared" si="29"/>
        <v/>
      </c>
    </row>
    <row r="593" spans="1:10" s="27" customFormat="1" ht="23.1" customHeight="1">
      <c r="A593" s="194" t="str">
        <f>IF($C593="","",MAX($A$3:A592)+1)</f>
        <v/>
      </c>
      <c r="B593" s="197" t="str">
        <f t="shared" si="27"/>
        <v/>
      </c>
      <c r="C593" s="201"/>
      <c r="D593" s="199"/>
      <c r="E593" s="200"/>
      <c r="F593" s="196" t="str">
        <f>IF($B593="","",SUMIFS('Daily Inward'!$G:$G,'Daily Inward'!$C:$C,$B593,'Daily Inward'!$E:$E,"Patty Cash"))</f>
        <v/>
      </c>
      <c r="G593" s="30" t="str">
        <f>IF($B593="","",SUMIFS('Daily Issuance'!$G:$G,'Daily Issuance'!$C:$C,$B593,'Daily Issuance'!$E:$E,"Patty Cash"))</f>
        <v/>
      </c>
      <c r="H593" s="30" t="str">
        <f t="shared" si="28"/>
        <v/>
      </c>
      <c r="I593" s="33"/>
      <c r="J593" s="34" t="str">
        <f t="shared" si="29"/>
        <v/>
      </c>
    </row>
    <row r="594" spans="1:10" s="27" customFormat="1" ht="23.1" customHeight="1">
      <c r="A594" s="194" t="str">
        <f>IF($C594="","",MAX($A$3:A593)+1)</f>
        <v/>
      </c>
      <c r="B594" s="197" t="str">
        <f t="shared" si="27"/>
        <v/>
      </c>
      <c r="C594" s="201"/>
      <c r="D594" s="199"/>
      <c r="E594" s="200"/>
      <c r="F594" s="196" t="str">
        <f>IF($B594="","",SUMIFS('Daily Inward'!$G:$G,'Daily Inward'!$C:$C,$B594,'Daily Inward'!$E:$E,"Patty Cash"))</f>
        <v/>
      </c>
      <c r="G594" s="30" t="str">
        <f>IF($B594="","",SUMIFS('Daily Issuance'!$G:$G,'Daily Issuance'!$C:$C,$B594,'Daily Issuance'!$E:$E,"Patty Cash"))</f>
        <v/>
      </c>
      <c r="H594" s="30" t="str">
        <f t="shared" si="28"/>
        <v/>
      </c>
      <c r="I594" s="33"/>
      <c r="J594" s="34" t="str">
        <f t="shared" si="29"/>
        <v/>
      </c>
    </row>
    <row r="595" spans="1:10" s="27" customFormat="1" ht="23.1" customHeight="1">
      <c r="A595" s="194" t="str">
        <f>IF($C595="","",MAX($A$3:A594)+1)</f>
        <v/>
      </c>
      <c r="B595" s="197" t="str">
        <f t="shared" si="27"/>
        <v/>
      </c>
      <c r="C595" s="201"/>
      <c r="D595" s="199"/>
      <c r="E595" s="200"/>
      <c r="F595" s="196" t="str">
        <f>IF($B595="","",SUMIFS('Daily Inward'!$G:$G,'Daily Inward'!$C:$C,$B595,'Daily Inward'!$E:$E,"Patty Cash"))</f>
        <v/>
      </c>
      <c r="G595" s="30" t="str">
        <f>IF($B595="","",SUMIFS('Daily Issuance'!$G:$G,'Daily Issuance'!$C:$C,$B595,'Daily Issuance'!$E:$E,"Patty Cash"))</f>
        <v/>
      </c>
      <c r="H595" s="30" t="str">
        <f t="shared" si="28"/>
        <v/>
      </c>
      <c r="I595" s="33"/>
      <c r="J595" s="34" t="str">
        <f t="shared" si="29"/>
        <v/>
      </c>
    </row>
    <row r="596" spans="1:10" s="27" customFormat="1" ht="23.1" customHeight="1">
      <c r="A596" s="194" t="str">
        <f>IF($C596="","",MAX($A$3:A595)+1)</f>
        <v/>
      </c>
      <c r="B596" s="197" t="str">
        <f t="shared" si="27"/>
        <v/>
      </c>
      <c r="C596" s="201"/>
      <c r="D596" s="199"/>
      <c r="E596" s="200"/>
      <c r="F596" s="196" t="str">
        <f>IF($B596="","",SUMIFS('Daily Inward'!$G:$G,'Daily Inward'!$C:$C,$B596,'Daily Inward'!$E:$E,"Patty Cash"))</f>
        <v/>
      </c>
      <c r="G596" s="30" t="str">
        <f>IF($B596="","",SUMIFS('Daily Issuance'!$G:$G,'Daily Issuance'!$C:$C,$B596,'Daily Issuance'!$E:$E,"Patty Cash"))</f>
        <v/>
      </c>
      <c r="H596" s="30" t="str">
        <f t="shared" si="28"/>
        <v/>
      </c>
      <c r="I596" s="33"/>
      <c r="J596" s="34" t="str">
        <f t="shared" si="29"/>
        <v/>
      </c>
    </row>
    <row r="597" spans="1:10" s="27" customFormat="1" ht="23.1" customHeight="1">
      <c r="A597" s="194" t="str">
        <f>IF($C597="","",MAX($A$3:A596)+1)</f>
        <v/>
      </c>
      <c r="B597" s="197" t="str">
        <f t="shared" si="27"/>
        <v/>
      </c>
      <c r="C597" s="201"/>
      <c r="D597" s="199"/>
      <c r="E597" s="200"/>
      <c r="F597" s="196" t="str">
        <f>IF($B597="","",SUMIFS('Daily Inward'!$G:$G,'Daily Inward'!$C:$C,$B597,'Daily Inward'!$E:$E,"Patty Cash"))</f>
        <v/>
      </c>
      <c r="G597" s="30" t="str">
        <f>IF($B597="","",SUMIFS('Daily Issuance'!$G:$G,'Daily Issuance'!$C:$C,$B597,'Daily Issuance'!$E:$E,"Patty Cash"))</f>
        <v/>
      </c>
      <c r="H597" s="30" t="str">
        <f t="shared" si="28"/>
        <v/>
      </c>
      <c r="I597" s="33"/>
      <c r="J597" s="34" t="str">
        <f t="shared" si="29"/>
        <v/>
      </c>
    </row>
    <row r="598" spans="1:10" s="27" customFormat="1" ht="23.1" customHeight="1">
      <c r="A598" s="194" t="str">
        <f>IF($C598="","",MAX($A$3:A597)+1)</f>
        <v/>
      </c>
      <c r="B598" s="197" t="str">
        <f t="shared" si="27"/>
        <v/>
      </c>
      <c r="C598" s="201"/>
      <c r="D598" s="199"/>
      <c r="E598" s="200"/>
      <c r="F598" s="196" t="str">
        <f>IF($B598="","",SUMIFS('Daily Inward'!$G:$G,'Daily Inward'!$C:$C,$B598,'Daily Inward'!$E:$E,"Patty Cash"))</f>
        <v/>
      </c>
      <c r="G598" s="30" t="str">
        <f>IF($B598="","",SUMIFS('Daily Issuance'!$G:$G,'Daily Issuance'!$C:$C,$B598,'Daily Issuance'!$E:$E,"Patty Cash"))</f>
        <v/>
      </c>
      <c r="H598" s="30" t="str">
        <f t="shared" si="28"/>
        <v/>
      </c>
      <c r="I598" s="33"/>
      <c r="J598" s="34" t="str">
        <f t="shared" si="29"/>
        <v/>
      </c>
    </row>
    <row r="599" spans="1:10" s="27" customFormat="1" ht="23.1" customHeight="1">
      <c r="A599" s="194" t="str">
        <f>IF($C599="","",MAX($A$3:A598)+1)</f>
        <v/>
      </c>
      <c r="B599" s="197" t="str">
        <f t="shared" si="27"/>
        <v/>
      </c>
      <c r="C599" s="201"/>
      <c r="D599" s="199"/>
      <c r="E599" s="200"/>
      <c r="F599" s="196" t="str">
        <f>IF($B599="","",SUMIFS('Daily Inward'!$G:$G,'Daily Inward'!$C:$C,$B599,'Daily Inward'!$E:$E,"Patty Cash"))</f>
        <v/>
      </c>
      <c r="G599" s="30" t="str">
        <f>IF($B599="","",SUMIFS('Daily Issuance'!$G:$G,'Daily Issuance'!$C:$C,$B599,'Daily Issuance'!$E:$E,"Patty Cash"))</f>
        <v/>
      </c>
      <c r="H599" s="30" t="str">
        <f t="shared" si="28"/>
        <v/>
      </c>
      <c r="I599" s="33"/>
      <c r="J599" s="34" t="str">
        <f t="shared" si="29"/>
        <v/>
      </c>
    </row>
    <row r="600" spans="1:10" s="27" customFormat="1" ht="23.1" customHeight="1">
      <c r="A600" s="194" t="str">
        <f>IF($C600="","",MAX($A$3:A599)+1)</f>
        <v/>
      </c>
      <c r="B600" s="197" t="str">
        <f t="shared" si="27"/>
        <v/>
      </c>
      <c r="C600" s="201"/>
      <c r="D600" s="199"/>
      <c r="E600" s="200"/>
      <c r="F600" s="196" t="str">
        <f>IF($B600="","",SUMIFS('Daily Inward'!$G:$G,'Daily Inward'!$C:$C,$B600,'Daily Inward'!$E:$E,"Patty Cash"))</f>
        <v/>
      </c>
      <c r="G600" s="30" t="str">
        <f>IF($B600="","",SUMIFS('Daily Issuance'!$G:$G,'Daily Issuance'!$C:$C,$B600,'Daily Issuance'!$E:$E,"Patty Cash"))</f>
        <v/>
      </c>
      <c r="H600" s="30" t="str">
        <f t="shared" si="28"/>
        <v/>
      </c>
      <c r="I600" s="33"/>
      <c r="J600" s="34" t="str">
        <f t="shared" si="29"/>
        <v/>
      </c>
    </row>
    <row r="601" spans="1:10" s="27" customFormat="1" ht="23.1" customHeight="1">
      <c r="A601" s="194" t="str">
        <f>IF($C601="","",MAX($A$3:A600)+1)</f>
        <v/>
      </c>
      <c r="B601" s="197" t="str">
        <f t="shared" si="27"/>
        <v/>
      </c>
      <c r="C601" s="201"/>
      <c r="D601" s="199"/>
      <c r="E601" s="200"/>
      <c r="F601" s="196" t="str">
        <f>IF($B601="","",SUMIFS('Daily Inward'!$G:$G,'Daily Inward'!$C:$C,$B601,'Daily Inward'!$E:$E,"Patty Cash"))</f>
        <v/>
      </c>
      <c r="G601" s="30" t="str">
        <f>IF($B601="","",SUMIFS('Daily Issuance'!$G:$G,'Daily Issuance'!$C:$C,$B601,'Daily Issuance'!$E:$E,"Patty Cash"))</f>
        <v/>
      </c>
      <c r="H601" s="30" t="str">
        <f t="shared" si="28"/>
        <v/>
      </c>
      <c r="I601" s="33"/>
      <c r="J601" s="34" t="str">
        <f t="shared" si="29"/>
        <v/>
      </c>
    </row>
    <row r="602" spans="1:10" s="27" customFormat="1" ht="23.1" customHeight="1">
      <c r="A602" s="194" t="str">
        <f>IF($C602="","",MAX($A$3:A601)+1)</f>
        <v/>
      </c>
      <c r="B602" s="197" t="str">
        <f t="shared" si="27"/>
        <v/>
      </c>
      <c r="C602" s="201"/>
      <c r="D602" s="199"/>
      <c r="E602" s="200"/>
      <c r="F602" s="196" t="str">
        <f>IF($B602="","",SUMIFS('Daily Inward'!$G:$G,'Daily Inward'!$C:$C,$B602,'Daily Inward'!$E:$E,"Patty Cash"))</f>
        <v/>
      </c>
      <c r="G602" s="30" t="str">
        <f>IF($B602="","",SUMIFS('Daily Issuance'!$G:$G,'Daily Issuance'!$C:$C,$B602,'Daily Issuance'!$E:$E,"Patty Cash"))</f>
        <v/>
      </c>
      <c r="H602" s="30" t="str">
        <f t="shared" si="28"/>
        <v/>
      </c>
      <c r="I602" s="33"/>
      <c r="J602" s="34" t="str">
        <f t="shared" si="29"/>
        <v/>
      </c>
    </row>
    <row r="603" spans="1:10" s="27" customFormat="1" ht="23.1" customHeight="1">
      <c r="A603" s="194" t="str">
        <f>IF($C603="","",MAX($A$3:A602)+1)</f>
        <v/>
      </c>
      <c r="B603" s="197" t="str">
        <f t="shared" si="27"/>
        <v/>
      </c>
      <c r="C603" s="201"/>
      <c r="D603" s="199"/>
      <c r="E603" s="200"/>
      <c r="F603" s="196" t="str">
        <f>IF($B603="","",SUMIFS('Daily Inward'!$G:$G,'Daily Inward'!$C:$C,$B603,'Daily Inward'!$E:$E,"Patty Cash"))</f>
        <v/>
      </c>
      <c r="G603" s="30" t="str">
        <f>IF($B603="","",SUMIFS('Daily Issuance'!$G:$G,'Daily Issuance'!$C:$C,$B603,'Daily Issuance'!$E:$E,"Patty Cash"))</f>
        <v/>
      </c>
      <c r="H603" s="30" t="str">
        <f t="shared" si="28"/>
        <v/>
      </c>
      <c r="I603" s="33"/>
      <c r="J603" s="34" t="str">
        <f t="shared" si="29"/>
        <v/>
      </c>
    </row>
    <row r="604" spans="1:10" s="27" customFormat="1" ht="23.1" customHeight="1">
      <c r="A604" s="194" t="str">
        <f>IF($C604="","",MAX($A$3:A603)+1)</f>
        <v/>
      </c>
      <c r="B604" s="197" t="str">
        <f t="shared" si="27"/>
        <v/>
      </c>
      <c r="C604" s="201"/>
      <c r="D604" s="199"/>
      <c r="E604" s="200"/>
      <c r="F604" s="196" t="str">
        <f>IF($B604="","",SUMIFS('Daily Inward'!$G:$G,'Daily Inward'!$C:$C,$B604,'Daily Inward'!$E:$E,"Patty Cash"))</f>
        <v/>
      </c>
      <c r="G604" s="30" t="str">
        <f>IF($B604="","",SUMIFS('Daily Issuance'!$G:$G,'Daily Issuance'!$C:$C,$B604,'Daily Issuance'!$E:$E,"Patty Cash"))</f>
        <v/>
      </c>
      <c r="H604" s="30" t="str">
        <f t="shared" si="28"/>
        <v/>
      </c>
      <c r="I604" s="33"/>
      <c r="J604" s="34" t="str">
        <f t="shared" si="29"/>
        <v/>
      </c>
    </row>
    <row r="605" spans="1:10" s="27" customFormat="1" ht="23.1" customHeight="1">
      <c r="A605" s="194" t="str">
        <f>IF($C605="","",MAX($A$3:A604)+1)</f>
        <v/>
      </c>
      <c r="B605" s="197" t="str">
        <f t="shared" si="27"/>
        <v/>
      </c>
      <c r="C605" s="201"/>
      <c r="D605" s="199"/>
      <c r="E605" s="200"/>
      <c r="F605" s="196" t="str">
        <f>IF($B605="","",SUMIFS('Daily Inward'!$G:$G,'Daily Inward'!$C:$C,$B605,'Daily Inward'!$E:$E,"Patty Cash"))</f>
        <v/>
      </c>
      <c r="G605" s="30" t="str">
        <f>IF($B605="","",SUMIFS('Daily Issuance'!$G:$G,'Daily Issuance'!$C:$C,$B605,'Daily Issuance'!$E:$E,"Patty Cash"))</f>
        <v/>
      </c>
      <c r="H605" s="30" t="str">
        <f t="shared" si="28"/>
        <v/>
      </c>
      <c r="I605" s="33"/>
      <c r="J605" s="34" t="str">
        <f t="shared" si="29"/>
        <v/>
      </c>
    </row>
    <row r="606" spans="1:10" s="27" customFormat="1" ht="23.1" customHeight="1">
      <c r="A606" s="194" t="str">
        <f>IF($C606="","",MAX($A$3:A605)+1)</f>
        <v/>
      </c>
      <c r="B606" s="197" t="str">
        <f t="shared" si="27"/>
        <v/>
      </c>
      <c r="C606" s="201"/>
      <c r="D606" s="199"/>
      <c r="E606" s="200"/>
      <c r="F606" s="196" t="str">
        <f>IF($B606="","",SUMIFS('Daily Inward'!$G:$G,'Daily Inward'!$C:$C,$B606,'Daily Inward'!$E:$E,"Patty Cash"))</f>
        <v/>
      </c>
      <c r="G606" s="30" t="str">
        <f>IF($B606="","",SUMIFS('Daily Issuance'!$G:$G,'Daily Issuance'!$C:$C,$B606,'Daily Issuance'!$E:$E,"Patty Cash"))</f>
        <v/>
      </c>
      <c r="H606" s="30" t="str">
        <f t="shared" si="28"/>
        <v/>
      </c>
      <c r="I606" s="33"/>
      <c r="J606" s="34" t="str">
        <f t="shared" si="29"/>
        <v/>
      </c>
    </row>
    <row r="607" spans="1:10" s="27" customFormat="1" ht="23.1" customHeight="1">
      <c r="A607" s="194" t="str">
        <f>IF($C607="","",MAX($A$3:A606)+1)</f>
        <v/>
      </c>
      <c r="B607" s="197" t="str">
        <f t="shared" si="27"/>
        <v/>
      </c>
      <c r="C607" s="201"/>
      <c r="D607" s="199"/>
      <c r="E607" s="200"/>
      <c r="F607" s="196" t="str">
        <f>IF($B607="","",SUMIFS('Daily Inward'!$G:$G,'Daily Inward'!$C:$C,$B607,'Daily Inward'!$E:$E,"Patty Cash"))</f>
        <v/>
      </c>
      <c r="G607" s="30" t="str">
        <f>IF($B607="","",SUMIFS('Daily Issuance'!$G:$G,'Daily Issuance'!$C:$C,$B607,'Daily Issuance'!$E:$E,"Patty Cash"))</f>
        <v/>
      </c>
      <c r="H607" s="30" t="str">
        <f t="shared" si="28"/>
        <v/>
      </c>
      <c r="I607" s="33"/>
      <c r="J607" s="34" t="str">
        <f t="shared" si="29"/>
        <v/>
      </c>
    </row>
    <row r="608" spans="1:10" s="27" customFormat="1" ht="23.1" customHeight="1">
      <c r="A608" s="194" t="str">
        <f>IF($C608="","",MAX($A$3:A607)+1)</f>
        <v/>
      </c>
      <c r="B608" s="197" t="str">
        <f t="shared" si="27"/>
        <v/>
      </c>
      <c r="C608" s="201"/>
      <c r="D608" s="199"/>
      <c r="E608" s="200"/>
      <c r="F608" s="196" t="str">
        <f>IF($B608="","",SUMIFS('Daily Inward'!$G:$G,'Daily Inward'!$C:$C,$B608,'Daily Inward'!$E:$E,"Patty Cash"))</f>
        <v/>
      </c>
      <c r="G608" s="30" t="str">
        <f>IF($B608="","",SUMIFS('Daily Issuance'!$G:$G,'Daily Issuance'!$C:$C,$B608,'Daily Issuance'!$E:$E,"Patty Cash"))</f>
        <v/>
      </c>
      <c r="H608" s="30" t="str">
        <f t="shared" si="28"/>
        <v/>
      </c>
      <c r="I608" s="33"/>
      <c r="J608" s="34" t="str">
        <f t="shared" si="29"/>
        <v/>
      </c>
    </row>
    <row r="609" spans="1:10" s="27" customFormat="1" ht="23.1" customHeight="1">
      <c r="A609" s="194" t="str">
        <f>IF($C609="","",MAX($A$3:A608)+1)</f>
        <v/>
      </c>
      <c r="B609" s="197" t="str">
        <f t="shared" si="27"/>
        <v/>
      </c>
      <c r="C609" s="201"/>
      <c r="D609" s="199"/>
      <c r="E609" s="200"/>
      <c r="F609" s="196" t="str">
        <f>IF($B609="","",SUMIFS('Daily Inward'!$G:$G,'Daily Inward'!$C:$C,$B609,'Daily Inward'!$E:$E,"Patty Cash"))</f>
        <v/>
      </c>
      <c r="G609" s="30" t="str">
        <f>IF($B609="","",SUMIFS('Daily Issuance'!$G:$G,'Daily Issuance'!$C:$C,$B609,'Daily Issuance'!$E:$E,"Patty Cash"))</f>
        <v/>
      </c>
      <c r="H609" s="30" t="str">
        <f t="shared" si="28"/>
        <v/>
      </c>
      <c r="I609" s="33"/>
      <c r="J609" s="34" t="str">
        <f t="shared" si="29"/>
        <v/>
      </c>
    </row>
    <row r="610" spans="1:10" s="27" customFormat="1" ht="23.1" customHeight="1">
      <c r="A610" s="194" t="str">
        <f>IF($C610="","",MAX($A$3:A609)+1)</f>
        <v/>
      </c>
      <c r="B610" s="197" t="str">
        <f t="shared" si="27"/>
        <v/>
      </c>
      <c r="C610" s="201"/>
      <c r="D610" s="199"/>
      <c r="E610" s="200"/>
      <c r="F610" s="196" t="str">
        <f>IF($B610="","",SUMIFS('Daily Inward'!$G:$G,'Daily Inward'!$C:$C,$B610,'Daily Inward'!$E:$E,"Patty Cash"))</f>
        <v/>
      </c>
      <c r="G610" s="30" t="str">
        <f>IF($B610="","",SUMIFS('Daily Issuance'!$G:$G,'Daily Issuance'!$C:$C,$B610,'Daily Issuance'!$E:$E,"Patty Cash"))</f>
        <v/>
      </c>
      <c r="H610" s="30" t="str">
        <f t="shared" si="28"/>
        <v/>
      </c>
      <c r="I610" s="33"/>
      <c r="J610" s="34" t="str">
        <f t="shared" si="29"/>
        <v/>
      </c>
    </row>
    <row r="611" spans="1:10" s="27" customFormat="1" ht="23.1" customHeight="1">
      <c r="A611" s="194" t="str">
        <f>IF($C611="","",MAX($A$3:A610)+1)</f>
        <v/>
      </c>
      <c r="B611" s="197" t="str">
        <f t="shared" si="27"/>
        <v/>
      </c>
      <c r="C611" s="201"/>
      <c r="D611" s="199"/>
      <c r="E611" s="200"/>
      <c r="F611" s="196" t="str">
        <f>IF($B611="","",SUMIFS('Daily Inward'!$G:$G,'Daily Inward'!$C:$C,$B611,'Daily Inward'!$E:$E,"Patty Cash"))</f>
        <v/>
      </c>
      <c r="G611" s="30" t="str">
        <f>IF($B611="","",SUMIFS('Daily Issuance'!$G:$G,'Daily Issuance'!$C:$C,$B611,'Daily Issuance'!$E:$E,"Patty Cash"))</f>
        <v/>
      </c>
      <c r="H611" s="30" t="str">
        <f t="shared" si="28"/>
        <v/>
      </c>
      <c r="I611" s="33"/>
      <c r="J611" s="34" t="str">
        <f t="shared" si="29"/>
        <v/>
      </c>
    </row>
    <row r="612" spans="1:10" s="27" customFormat="1" ht="23.1" customHeight="1">
      <c r="A612" s="194" t="str">
        <f>IF($C612="","",MAX($A$3:A611)+1)</f>
        <v/>
      </c>
      <c r="B612" s="197" t="str">
        <f t="shared" si="27"/>
        <v/>
      </c>
      <c r="C612" s="201"/>
      <c r="D612" s="199"/>
      <c r="E612" s="200"/>
      <c r="F612" s="196" t="str">
        <f>IF($B612="","",SUMIFS('Daily Inward'!$G:$G,'Daily Inward'!$C:$C,$B612,'Daily Inward'!$E:$E,"Patty Cash"))</f>
        <v/>
      </c>
      <c r="G612" s="30" t="str">
        <f>IF($B612="","",SUMIFS('Daily Issuance'!$G:$G,'Daily Issuance'!$C:$C,$B612,'Daily Issuance'!$E:$E,"Patty Cash"))</f>
        <v/>
      </c>
      <c r="H612" s="30" t="str">
        <f t="shared" si="28"/>
        <v/>
      </c>
      <c r="I612" s="33"/>
      <c r="J612" s="34" t="str">
        <f t="shared" si="29"/>
        <v/>
      </c>
    </row>
    <row r="613" spans="1:10" s="27" customFormat="1" ht="23.1" customHeight="1">
      <c r="A613" s="194" t="str">
        <f>IF($C613="","",MAX($A$3:A612)+1)</f>
        <v/>
      </c>
      <c r="B613" s="197" t="str">
        <f t="shared" si="27"/>
        <v/>
      </c>
      <c r="C613" s="201"/>
      <c r="D613" s="199"/>
      <c r="E613" s="200"/>
      <c r="F613" s="196" t="str">
        <f>IF($B613="","",SUMIFS('Daily Inward'!$G:$G,'Daily Inward'!$C:$C,$B613,'Daily Inward'!$E:$E,"Patty Cash"))</f>
        <v/>
      </c>
      <c r="G613" s="30" t="str">
        <f>IF($B613="","",SUMIFS('Daily Issuance'!$G:$G,'Daily Issuance'!$C:$C,$B613,'Daily Issuance'!$E:$E,"Patty Cash"))</f>
        <v/>
      </c>
      <c r="H613" s="30" t="str">
        <f t="shared" si="28"/>
        <v/>
      </c>
      <c r="I613" s="33"/>
      <c r="J613" s="34" t="str">
        <f t="shared" si="29"/>
        <v/>
      </c>
    </row>
    <row r="614" spans="1:10" s="27" customFormat="1" ht="23.1" customHeight="1">
      <c r="A614" s="194" t="str">
        <f>IF($C614="","",MAX($A$3:A613)+1)</f>
        <v/>
      </c>
      <c r="B614" s="197" t="str">
        <f t="shared" si="27"/>
        <v/>
      </c>
      <c r="C614" s="201"/>
      <c r="D614" s="199"/>
      <c r="E614" s="200"/>
      <c r="F614" s="196" t="str">
        <f>IF($B614="","",SUMIFS('Daily Inward'!$G:$G,'Daily Inward'!$C:$C,$B614,'Daily Inward'!$E:$E,"Patty Cash"))</f>
        <v/>
      </c>
      <c r="G614" s="30" t="str">
        <f>IF($B614="","",SUMIFS('Daily Issuance'!$G:$G,'Daily Issuance'!$C:$C,$B614,'Daily Issuance'!$E:$E,"Patty Cash"))</f>
        <v/>
      </c>
      <c r="H614" s="30" t="str">
        <f t="shared" si="28"/>
        <v/>
      </c>
      <c r="I614" s="33"/>
      <c r="J614" s="34" t="str">
        <f t="shared" si="29"/>
        <v/>
      </c>
    </row>
    <row r="615" spans="1:10" s="27" customFormat="1" ht="23.1" customHeight="1">
      <c r="A615" s="194" t="str">
        <f>IF($C615="","",MAX($A$3:A614)+1)</f>
        <v/>
      </c>
      <c r="B615" s="197" t="str">
        <f t="shared" si="27"/>
        <v/>
      </c>
      <c r="C615" s="201"/>
      <c r="D615" s="199"/>
      <c r="E615" s="200"/>
      <c r="F615" s="196" t="str">
        <f>IF($B615="","",SUMIFS('Daily Inward'!$G:$G,'Daily Inward'!$C:$C,$B615,'Daily Inward'!$E:$E,"Patty Cash"))</f>
        <v/>
      </c>
      <c r="G615" s="30" t="str">
        <f>IF($B615="","",SUMIFS('Daily Issuance'!$G:$G,'Daily Issuance'!$C:$C,$B615,'Daily Issuance'!$E:$E,"Patty Cash"))</f>
        <v/>
      </c>
      <c r="H615" s="30" t="str">
        <f t="shared" si="28"/>
        <v/>
      </c>
      <c r="I615" s="33"/>
      <c r="J615" s="34" t="str">
        <f t="shared" si="29"/>
        <v/>
      </c>
    </row>
    <row r="616" spans="1:10" s="27" customFormat="1" ht="23.1" customHeight="1">
      <c r="A616" s="194" t="str">
        <f>IF($C616="","",MAX($A$3:A615)+1)</f>
        <v/>
      </c>
      <c r="B616" s="197" t="str">
        <f t="shared" si="27"/>
        <v/>
      </c>
      <c r="C616" s="201"/>
      <c r="D616" s="199"/>
      <c r="E616" s="200"/>
      <c r="F616" s="196" t="str">
        <f>IF($B616="","",SUMIFS('Daily Inward'!$G:$G,'Daily Inward'!$C:$C,$B616,'Daily Inward'!$E:$E,"Patty Cash"))</f>
        <v/>
      </c>
      <c r="G616" s="30" t="str">
        <f>IF($B616="","",SUMIFS('Daily Issuance'!$G:$G,'Daily Issuance'!$C:$C,$B616,'Daily Issuance'!$E:$E,"Patty Cash"))</f>
        <v/>
      </c>
      <c r="H616" s="30" t="str">
        <f t="shared" si="28"/>
        <v/>
      </c>
      <c r="I616" s="33"/>
      <c r="J616" s="34" t="str">
        <f t="shared" si="29"/>
        <v/>
      </c>
    </row>
    <row r="617" spans="1:10" s="27" customFormat="1" ht="23.1" customHeight="1">
      <c r="A617" s="194" t="str">
        <f>IF($C617="","",MAX($A$3:A616)+1)</f>
        <v/>
      </c>
      <c r="B617" s="197" t="str">
        <f t="shared" si="27"/>
        <v/>
      </c>
      <c r="C617" s="201"/>
      <c r="D617" s="199"/>
      <c r="E617" s="200"/>
      <c r="F617" s="196" t="str">
        <f>IF($B617="","",SUMIFS('Daily Inward'!$G:$G,'Daily Inward'!$C:$C,$B617,'Daily Inward'!$E:$E,"Patty Cash"))</f>
        <v/>
      </c>
      <c r="G617" s="30" t="str">
        <f>IF($B617="","",SUMIFS('Daily Issuance'!$G:$G,'Daily Issuance'!$C:$C,$B617,'Daily Issuance'!$E:$E,"Patty Cash"))</f>
        <v/>
      </c>
      <c r="H617" s="30" t="str">
        <f t="shared" si="28"/>
        <v/>
      </c>
      <c r="I617" s="33"/>
      <c r="J617" s="34" t="str">
        <f t="shared" si="29"/>
        <v/>
      </c>
    </row>
    <row r="618" spans="1:10" s="27" customFormat="1" ht="23.1" customHeight="1">
      <c r="A618" s="194" t="str">
        <f>IF($C618="","",MAX($A$3:A617)+1)</f>
        <v/>
      </c>
      <c r="B618" s="197" t="str">
        <f t="shared" si="27"/>
        <v/>
      </c>
      <c r="C618" s="201"/>
      <c r="D618" s="199"/>
      <c r="E618" s="200"/>
      <c r="F618" s="196" t="str">
        <f>IF($B618="","",SUMIFS('Daily Inward'!$G:$G,'Daily Inward'!$C:$C,$B618,'Daily Inward'!$E:$E,"Patty Cash"))</f>
        <v/>
      </c>
      <c r="G618" s="30" t="str">
        <f>IF($B618="","",SUMIFS('Daily Issuance'!$G:$G,'Daily Issuance'!$C:$C,$B618,'Daily Issuance'!$E:$E,"Patty Cash"))</f>
        <v/>
      </c>
      <c r="H618" s="30" t="str">
        <f t="shared" si="28"/>
        <v/>
      </c>
      <c r="I618" s="33"/>
      <c r="J618" s="34" t="str">
        <f t="shared" si="29"/>
        <v/>
      </c>
    </row>
    <row r="619" spans="1:10" s="27" customFormat="1" ht="23.1" customHeight="1">
      <c r="A619" s="194" t="str">
        <f>IF($C619="","",MAX($A$3:A618)+1)</f>
        <v/>
      </c>
      <c r="B619" s="197" t="str">
        <f t="shared" si="27"/>
        <v/>
      </c>
      <c r="C619" s="201"/>
      <c r="D619" s="199"/>
      <c r="E619" s="200"/>
      <c r="F619" s="196" t="str">
        <f>IF($B619="","",SUMIFS('Daily Inward'!$G:$G,'Daily Inward'!$C:$C,$B619,'Daily Inward'!$E:$E,"Patty Cash"))</f>
        <v/>
      </c>
      <c r="G619" s="30" t="str">
        <f>IF($B619="","",SUMIFS('Daily Issuance'!$G:$G,'Daily Issuance'!$C:$C,$B619,'Daily Issuance'!$E:$E,"Patty Cash"))</f>
        <v/>
      </c>
      <c r="H619" s="30" t="str">
        <f t="shared" si="28"/>
        <v/>
      </c>
      <c r="I619" s="33"/>
      <c r="J619" s="34" t="str">
        <f t="shared" si="29"/>
        <v/>
      </c>
    </row>
    <row r="620" spans="1:10" s="27" customFormat="1" ht="23.1" customHeight="1">
      <c r="A620" s="194" t="str">
        <f>IF($C620="","",MAX($A$3:A619)+1)</f>
        <v/>
      </c>
      <c r="B620" s="197" t="str">
        <f t="shared" si="27"/>
        <v/>
      </c>
      <c r="C620" s="201"/>
      <c r="D620" s="199"/>
      <c r="E620" s="200"/>
      <c r="F620" s="196" t="str">
        <f>IF($B620="","",SUMIFS('Daily Inward'!$G:$G,'Daily Inward'!$C:$C,$B620,'Daily Inward'!$E:$E,"Patty Cash"))</f>
        <v/>
      </c>
      <c r="G620" s="30" t="str">
        <f>IF($B620="","",SUMIFS('Daily Issuance'!$G:$G,'Daily Issuance'!$C:$C,$B620,'Daily Issuance'!$E:$E,"Patty Cash"))</f>
        <v/>
      </c>
      <c r="H620" s="30" t="str">
        <f t="shared" si="28"/>
        <v/>
      </c>
      <c r="I620" s="33"/>
      <c r="J620" s="34" t="str">
        <f t="shared" si="29"/>
        <v/>
      </c>
    </row>
    <row r="621" spans="1:10" s="27" customFormat="1" ht="23.1" customHeight="1">
      <c r="A621" s="194" t="str">
        <f>IF($C621="","",MAX($A$3:A620)+1)</f>
        <v/>
      </c>
      <c r="B621" s="197" t="str">
        <f t="shared" si="27"/>
        <v/>
      </c>
      <c r="C621" s="201"/>
      <c r="D621" s="199"/>
      <c r="E621" s="200"/>
      <c r="F621" s="196" t="str">
        <f>IF($B621="","",SUMIFS('Daily Inward'!$G:$G,'Daily Inward'!$C:$C,$B621,'Daily Inward'!$E:$E,"Patty Cash"))</f>
        <v/>
      </c>
      <c r="G621" s="30" t="str">
        <f>IF($B621="","",SUMIFS('Daily Issuance'!$G:$G,'Daily Issuance'!$C:$C,$B621,'Daily Issuance'!$E:$E,"Patty Cash"))</f>
        <v/>
      </c>
      <c r="H621" s="30" t="str">
        <f t="shared" si="28"/>
        <v/>
      </c>
      <c r="I621" s="33"/>
      <c r="J621" s="34" t="str">
        <f t="shared" si="29"/>
        <v/>
      </c>
    </row>
    <row r="622" spans="1:10" s="27" customFormat="1" ht="23.1" customHeight="1">
      <c r="A622" s="194" t="str">
        <f>IF($C622="","",MAX($A$3:A621)+1)</f>
        <v/>
      </c>
      <c r="B622" s="197" t="str">
        <f t="shared" si="27"/>
        <v/>
      </c>
      <c r="C622" s="201"/>
      <c r="D622" s="199"/>
      <c r="E622" s="200"/>
      <c r="F622" s="196" t="str">
        <f>IF($B622="","",SUMIFS('Daily Inward'!$G:$G,'Daily Inward'!$C:$C,$B622,'Daily Inward'!$E:$E,"Patty Cash"))</f>
        <v/>
      </c>
      <c r="G622" s="30" t="str">
        <f>IF($B622="","",SUMIFS('Daily Issuance'!$G:$G,'Daily Issuance'!$C:$C,$B622,'Daily Issuance'!$E:$E,"Patty Cash"))</f>
        <v/>
      </c>
      <c r="H622" s="30" t="str">
        <f t="shared" si="28"/>
        <v/>
      </c>
      <c r="I622" s="33"/>
      <c r="J622" s="34" t="str">
        <f t="shared" si="29"/>
        <v/>
      </c>
    </row>
    <row r="623" spans="1:10" s="27" customFormat="1" ht="23.1" customHeight="1">
      <c r="A623" s="194" t="str">
        <f>IF($C623="","",MAX($A$3:A622)+1)</f>
        <v/>
      </c>
      <c r="B623" s="197" t="str">
        <f t="shared" si="27"/>
        <v/>
      </c>
      <c r="C623" s="201"/>
      <c r="D623" s="199"/>
      <c r="E623" s="200"/>
      <c r="F623" s="196" t="str">
        <f>IF($B623="","",SUMIFS('Daily Inward'!$G:$G,'Daily Inward'!$C:$C,$B623,'Daily Inward'!$E:$E,"Patty Cash"))</f>
        <v/>
      </c>
      <c r="G623" s="30" t="str">
        <f>IF($B623="","",SUMIFS('Daily Issuance'!$G:$G,'Daily Issuance'!$C:$C,$B623,'Daily Issuance'!$E:$E,"Patty Cash"))</f>
        <v/>
      </c>
      <c r="H623" s="30" t="str">
        <f t="shared" si="28"/>
        <v/>
      </c>
      <c r="I623" s="33"/>
      <c r="J623" s="34" t="str">
        <f t="shared" si="29"/>
        <v/>
      </c>
    </row>
    <row r="624" spans="1:10" s="27" customFormat="1" ht="23.1" customHeight="1">
      <c r="A624" s="194" t="str">
        <f>IF($C624="","",MAX($A$3:A623)+1)</f>
        <v/>
      </c>
      <c r="B624" s="197" t="str">
        <f t="shared" si="27"/>
        <v/>
      </c>
      <c r="C624" s="201"/>
      <c r="D624" s="199"/>
      <c r="E624" s="200"/>
      <c r="F624" s="196" t="str">
        <f>IF($B624="","",SUMIFS('Daily Inward'!$G:$G,'Daily Inward'!$C:$C,$B624,'Daily Inward'!$E:$E,"Patty Cash"))</f>
        <v/>
      </c>
      <c r="G624" s="30" t="str">
        <f>IF($B624="","",SUMIFS('Daily Issuance'!$G:$G,'Daily Issuance'!$C:$C,$B624,'Daily Issuance'!$E:$E,"Patty Cash"))</f>
        <v/>
      </c>
      <c r="H624" s="30" t="str">
        <f t="shared" si="28"/>
        <v/>
      </c>
      <c r="I624" s="33"/>
      <c r="J624" s="34" t="str">
        <f t="shared" si="29"/>
        <v/>
      </c>
    </row>
    <row r="625" spans="1:10" s="27" customFormat="1" ht="23.1" customHeight="1">
      <c r="A625" s="194" t="str">
        <f>IF($C625="","",MAX($A$3:A624)+1)</f>
        <v/>
      </c>
      <c r="B625" s="197" t="str">
        <f t="shared" si="27"/>
        <v/>
      </c>
      <c r="C625" s="201"/>
      <c r="D625" s="199"/>
      <c r="E625" s="200"/>
      <c r="F625" s="196" t="str">
        <f>IF($B625="","",SUMIFS('Daily Inward'!$G:$G,'Daily Inward'!$C:$C,$B625,'Daily Inward'!$E:$E,"Patty Cash"))</f>
        <v/>
      </c>
      <c r="G625" s="30" t="str">
        <f>IF($B625="","",SUMIFS('Daily Issuance'!$G:$G,'Daily Issuance'!$C:$C,$B625,'Daily Issuance'!$E:$E,"Patty Cash"))</f>
        <v/>
      </c>
      <c r="H625" s="30" t="str">
        <f t="shared" si="28"/>
        <v/>
      </c>
      <c r="I625" s="33"/>
      <c r="J625" s="34" t="str">
        <f t="shared" si="29"/>
        <v/>
      </c>
    </row>
    <row r="626" spans="1:10" s="27" customFormat="1" ht="23.1" customHeight="1">
      <c r="A626" s="194" t="str">
        <f>IF($C626="","",MAX($A$3:A625)+1)</f>
        <v/>
      </c>
      <c r="B626" s="197" t="str">
        <f t="shared" si="27"/>
        <v/>
      </c>
      <c r="C626" s="201"/>
      <c r="D626" s="199"/>
      <c r="E626" s="200"/>
      <c r="F626" s="196" t="str">
        <f>IF($B626="","",SUMIFS('Daily Inward'!$G:$G,'Daily Inward'!$C:$C,$B626,'Daily Inward'!$E:$E,"Patty Cash"))</f>
        <v/>
      </c>
      <c r="G626" s="30" t="str">
        <f>IF($B626="","",SUMIFS('Daily Issuance'!$G:$G,'Daily Issuance'!$C:$C,$B626,'Daily Issuance'!$E:$E,"Patty Cash"))</f>
        <v/>
      </c>
      <c r="H626" s="30" t="str">
        <f t="shared" si="28"/>
        <v/>
      </c>
      <c r="I626" s="33"/>
      <c r="J626" s="34" t="str">
        <f t="shared" si="29"/>
        <v/>
      </c>
    </row>
    <row r="627" spans="1:10" s="27" customFormat="1" ht="23.1" customHeight="1">
      <c r="A627" s="194" t="str">
        <f>IF($C627="","",MAX($A$3:A626)+1)</f>
        <v/>
      </c>
      <c r="B627" s="197" t="str">
        <f t="shared" si="27"/>
        <v/>
      </c>
      <c r="C627" s="201"/>
      <c r="D627" s="199"/>
      <c r="E627" s="200"/>
      <c r="F627" s="196" t="str">
        <f>IF($B627="","",SUMIFS('Daily Inward'!$G:$G,'Daily Inward'!$C:$C,$B627,'Daily Inward'!$E:$E,"Patty Cash"))</f>
        <v/>
      </c>
      <c r="G627" s="30" t="str">
        <f>IF($B627="","",SUMIFS('Daily Issuance'!$G:$G,'Daily Issuance'!$C:$C,$B627,'Daily Issuance'!$E:$E,"Patty Cash"))</f>
        <v/>
      </c>
      <c r="H627" s="30" t="str">
        <f t="shared" si="28"/>
        <v/>
      </c>
      <c r="I627" s="33"/>
      <c r="J627" s="34" t="str">
        <f t="shared" si="29"/>
        <v/>
      </c>
    </row>
    <row r="628" spans="1:10" s="27" customFormat="1" ht="23.1" customHeight="1">
      <c r="A628" s="194" t="str">
        <f>IF($C628="","",MAX($A$3:A627)+1)</f>
        <v/>
      </c>
      <c r="B628" s="197" t="str">
        <f t="shared" si="27"/>
        <v/>
      </c>
      <c r="C628" s="201"/>
      <c r="D628" s="199"/>
      <c r="E628" s="200"/>
      <c r="F628" s="196" t="str">
        <f>IF($B628="","",SUMIFS('Daily Inward'!$G:$G,'Daily Inward'!$C:$C,$B628,'Daily Inward'!$E:$E,"Patty Cash"))</f>
        <v/>
      </c>
      <c r="G628" s="30" t="str">
        <f>IF($B628="","",SUMIFS('Daily Issuance'!$G:$G,'Daily Issuance'!$C:$C,$B628,'Daily Issuance'!$E:$E,"Patty Cash"))</f>
        <v/>
      </c>
      <c r="H628" s="30" t="str">
        <f t="shared" si="28"/>
        <v/>
      </c>
      <c r="I628" s="33"/>
      <c r="J628" s="34" t="str">
        <f t="shared" si="29"/>
        <v/>
      </c>
    </row>
    <row r="629" spans="1:10" s="27" customFormat="1" ht="23.1" customHeight="1">
      <c r="A629" s="194" t="str">
        <f>IF($C629="","",MAX($A$3:A628)+1)</f>
        <v/>
      </c>
      <c r="B629" s="197" t="str">
        <f t="shared" si="27"/>
        <v/>
      </c>
      <c r="C629" s="201"/>
      <c r="D629" s="199"/>
      <c r="E629" s="200"/>
      <c r="F629" s="196" t="str">
        <f>IF($B629="","",SUMIFS('Daily Inward'!$G:$G,'Daily Inward'!$C:$C,$B629,'Daily Inward'!$E:$E,"Patty Cash"))</f>
        <v/>
      </c>
      <c r="G629" s="30" t="str">
        <f>IF($B629="","",SUMIFS('Daily Issuance'!$G:$G,'Daily Issuance'!$C:$C,$B629,'Daily Issuance'!$E:$E,"Patty Cash"))</f>
        <v/>
      </c>
      <c r="H629" s="30" t="str">
        <f t="shared" si="28"/>
        <v/>
      </c>
      <c r="I629" s="33"/>
      <c r="J629" s="34" t="str">
        <f t="shared" si="29"/>
        <v/>
      </c>
    </row>
    <row r="630" spans="1:10" s="27" customFormat="1" ht="23.1" customHeight="1">
      <c r="A630" s="194" t="str">
        <f>IF($C630="","",MAX($A$3:A629)+1)</f>
        <v/>
      </c>
      <c r="B630" s="197" t="str">
        <f t="shared" si="27"/>
        <v/>
      </c>
      <c r="C630" s="201"/>
      <c r="D630" s="199"/>
      <c r="E630" s="200"/>
      <c r="F630" s="196" t="str">
        <f>IF($B630="","",SUMIFS('Daily Inward'!$G:$G,'Daily Inward'!$C:$C,$B630,'Daily Inward'!$E:$E,"Patty Cash"))</f>
        <v/>
      </c>
      <c r="G630" s="30" t="str">
        <f>IF($B630="","",SUMIFS('Daily Issuance'!$G:$G,'Daily Issuance'!$C:$C,$B630,'Daily Issuance'!$E:$E,"Patty Cash"))</f>
        <v/>
      </c>
      <c r="H630" s="30" t="str">
        <f t="shared" si="28"/>
        <v/>
      </c>
      <c r="I630" s="33"/>
      <c r="J630" s="34" t="str">
        <f t="shared" si="29"/>
        <v/>
      </c>
    </row>
    <row r="631" spans="1:10" s="27" customFormat="1" ht="23.1" customHeight="1">
      <c r="A631" s="194" t="str">
        <f>IF($C631="","",MAX($A$3:A630)+1)</f>
        <v/>
      </c>
      <c r="B631" s="197" t="str">
        <f t="shared" si="27"/>
        <v/>
      </c>
      <c r="C631" s="201"/>
      <c r="D631" s="199"/>
      <c r="E631" s="200"/>
      <c r="F631" s="196" t="str">
        <f>IF($B631="","",SUMIFS('Daily Inward'!$G:$G,'Daily Inward'!$C:$C,$B631,'Daily Inward'!$E:$E,"Patty Cash"))</f>
        <v/>
      </c>
      <c r="G631" s="30" t="str">
        <f>IF($B631="","",SUMIFS('Daily Issuance'!$G:$G,'Daily Issuance'!$C:$C,$B631,'Daily Issuance'!$E:$E,"Patty Cash"))</f>
        <v/>
      </c>
      <c r="H631" s="30" t="str">
        <f t="shared" si="28"/>
        <v/>
      </c>
      <c r="I631" s="33"/>
      <c r="J631" s="34" t="str">
        <f t="shared" si="29"/>
        <v/>
      </c>
    </row>
    <row r="632" spans="1:10" s="27" customFormat="1" ht="23.1" customHeight="1">
      <c r="A632" s="194" t="str">
        <f>IF($C632="","",MAX($A$3:A631)+1)</f>
        <v/>
      </c>
      <c r="B632" s="197" t="str">
        <f t="shared" si="27"/>
        <v/>
      </c>
      <c r="C632" s="201"/>
      <c r="D632" s="199"/>
      <c r="E632" s="200"/>
      <c r="F632" s="196" t="str">
        <f>IF($B632="","",SUMIFS('Daily Inward'!$G:$G,'Daily Inward'!$C:$C,$B632,'Daily Inward'!$E:$E,"Patty Cash"))</f>
        <v/>
      </c>
      <c r="G632" s="30" t="str">
        <f>IF($B632="","",SUMIFS('Daily Issuance'!$G:$G,'Daily Issuance'!$C:$C,$B632,'Daily Issuance'!$E:$E,"Patty Cash"))</f>
        <v/>
      </c>
      <c r="H632" s="30" t="str">
        <f t="shared" si="28"/>
        <v/>
      </c>
      <c r="I632" s="33"/>
      <c r="J632" s="34" t="str">
        <f t="shared" si="29"/>
        <v/>
      </c>
    </row>
    <row r="633" spans="1:10" s="27" customFormat="1" ht="23.1" customHeight="1">
      <c r="A633" s="194" t="str">
        <f>IF($C633="","",MAX($A$3:A632)+1)</f>
        <v/>
      </c>
      <c r="B633" s="197" t="str">
        <f t="shared" si="27"/>
        <v/>
      </c>
      <c r="C633" s="201"/>
      <c r="D633" s="199"/>
      <c r="E633" s="200"/>
      <c r="F633" s="196" t="str">
        <f>IF($B633="","",SUMIFS('Daily Inward'!$G:$G,'Daily Inward'!$C:$C,$B633,'Daily Inward'!$E:$E,"Patty Cash"))</f>
        <v/>
      </c>
      <c r="G633" s="30" t="str">
        <f>IF($B633="","",SUMIFS('Daily Issuance'!$G:$G,'Daily Issuance'!$C:$C,$B633,'Daily Issuance'!$E:$E,"Patty Cash"))</f>
        <v/>
      </c>
      <c r="H633" s="30" t="str">
        <f t="shared" si="28"/>
        <v/>
      </c>
      <c r="I633" s="33"/>
      <c r="J633" s="34" t="str">
        <f t="shared" si="29"/>
        <v/>
      </c>
    </row>
    <row r="634" spans="1:10" s="27" customFormat="1" ht="23.1" customHeight="1">
      <c r="A634" s="194" t="str">
        <f>IF($C634="","",MAX($A$3:A633)+1)</f>
        <v/>
      </c>
      <c r="B634" s="197" t="str">
        <f t="shared" si="27"/>
        <v/>
      </c>
      <c r="C634" s="201"/>
      <c r="D634" s="199"/>
      <c r="E634" s="200"/>
      <c r="F634" s="196" t="str">
        <f>IF($B634="","",SUMIFS('Daily Inward'!$G:$G,'Daily Inward'!$C:$C,$B634,'Daily Inward'!$E:$E,"Patty Cash"))</f>
        <v/>
      </c>
      <c r="G634" s="30" t="str">
        <f>IF($B634="","",SUMIFS('Daily Issuance'!$G:$G,'Daily Issuance'!$C:$C,$B634,'Daily Issuance'!$E:$E,"Patty Cash"))</f>
        <v/>
      </c>
      <c r="H634" s="30" t="str">
        <f t="shared" si="28"/>
        <v/>
      </c>
      <c r="I634" s="33"/>
      <c r="J634" s="34" t="str">
        <f t="shared" si="29"/>
        <v/>
      </c>
    </row>
    <row r="635" spans="1:10" s="27" customFormat="1" ht="23.1" customHeight="1">
      <c r="A635" s="194" t="str">
        <f>IF($C635="","",MAX($A$3:A634)+1)</f>
        <v/>
      </c>
      <c r="B635" s="197" t="str">
        <f t="shared" si="27"/>
        <v/>
      </c>
      <c r="C635" s="201"/>
      <c r="D635" s="199"/>
      <c r="E635" s="200"/>
      <c r="F635" s="196" t="str">
        <f>IF($B635="","",SUMIFS('Daily Inward'!$G:$G,'Daily Inward'!$C:$C,$B635,'Daily Inward'!$E:$E,"Patty Cash"))</f>
        <v/>
      </c>
      <c r="G635" s="30" t="str">
        <f>IF($B635="","",SUMIFS('Daily Issuance'!$G:$G,'Daily Issuance'!$C:$C,$B635,'Daily Issuance'!$E:$E,"Patty Cash"))</f>
        <v/>
      </c>
      <c r="H635" s="30" t="str">
        <f t="shared" si="28"/>
        <v/>
      </c>
      <c r="I635" s="33"/>
      <c r="J635" s="34" t="str">
        <f t="shared" si="29"/>
        <v/>
      </c>
    </row>
    <row r="636" spans="1:10" s="27" customFormat="1" ht="23.1" customHeight="1">
      <c r="A636" s="194" t="str">
        <f>IF($C636="","",MAX($A$3:A635)+1)</f>
        <v/>
      </c>
      <c r="B636" s="197" t="str">
        <f t="shared" si="27"/>
        <v/>
      </c>
      <c r="C636" s="201"/>
      <c r="D636" s="199"/>
      <c r="E636" s="200"/>
      <c r="F636" s="196" t="str">
        <f>IF($B636="","",SUMIFS('Daily Inward'!$G:$G,'Daily Inward'!$C:$C,$B636,'Daily Inward'!$E:$E,"Patty Cash"))</f>
        <v/>
      </c>
      <c r="G636" s="30" t="str">
        <f>IF($B636="","",SUMIFS('Daily Issuance'!$G:$G,'Daily Issuance'!$C:$C,$B636,'Daily Issuance'!$E:$E,"Patty Cash"))</f>
        <v/>
      </c>
      <c r="H636" s="30" t="str">
        <f t="shared" si="28"/>
        <v/>
      </c>
      <c r="I636" s="33"/>
      <c r="J636" s="34" t="str">
        <f t="shared" si="29"/>
        <v/>
      </c>
    </row>
    <row r="637" spans="1:10" s="27" customFormat="1" ht="23.1" customHeight="1">
      <c r="A637" s="194" t="str">
        <f>IF($C637="","",MAX($A$3:A636)+1)</f>
        <v/>
      </c>
      <c r="B637" s="197" t="str">
        <f t="shared" si="27"/>
        <v/>
      </c>
      <c r="C637" s="201"/>
      <c r="D637" s="199"/>
      <c r="E637" s="200"/>
      <c r="F637" s="196" t="str">
        <f>IF($B637="","",SUMIFS('Daily Inward'!$G:$G,'Daily Inward'!$C:$C,$B637,'Daily Inward'!$E:$E,"Patty Cash"))</f>
        <v/>
      </c>
      <c r="G637" s="30" t="str">
        <f>IF($B637="","",SUMIFS('Daily Issuance'!$G:$G,'Daily Issuance'!$C:$C,$B637,'Daily Issuance'!$E:$E,"Patty Cash"))</f>
        <v/>
      </c>
      <c r="H637" s="30" t="str">
        <f t="shared" si="28"/>
        <v/>
      </c>
      <c r="I637" s="33"/>
      <c r="J637" s="34" t="str">
        <f t="shared" si="29"/>
        <v/>
      </c>
    </row>
    <row r="638" spans="1:10" s="27" customFormat="1" ht="23.1" customHeight="1">
      <c r="A638" s="194" t="str">
        <f>IF($C638="","",MAX($A$3:A637)+1)</f>
        <v/>
      </c>
      <c r="B638" s="197" t="str">
        <f t="shared" si="27"/>
        <v/>
      </c>
      <c r="C638" s="201"/>
      <c r="D638" s="199"/>
      <c r="E638" s="200"/>
      <c r="F638" s="196" t="str">
        <f>IF($B638="","",SUMIFS('Daily Inward'!$G:$G,'Daily Inward'!$C:$C,$B638,'Daily Inward'!$E:$E,"Patty Cash"))</f>
        <v/>
      </c>
      <c r="G638" s="30" t="str">
        <f>IF($B638="","",SUMIFS('Daily Issuance'!$G:$G,'Daily Issuance'!$C:$C,$B638,'Daily Issuance'!$E:$E,"Patty Cash"))</f>
        <v/>
      </c>
      <c r="H638" s="30" t="str">
        <f t="shared" si="28"/>
        <v/>
      </c>
      <c r="I638" s="33"/>
      <c r="J638" s="34" t="str">
        <f t="shared" si="29"/>
        <v/>
      </c>
    </row>
    <row r="639" spans="1:10" s="27" customFormat="1" ht="23.1" customHeight="1">
      <c r="A639" s="194" t="str">
        <f>IF($C639="","",MAX($A$3:A638)+1)</f>
        <v/>
      </c>
      <c r="B639" s="197" t="str">
        <f t="shared" si="27"/>
        <v/>
      </c>
      <c r="C639" s="201"/>
      <c r="D639" s="199"/>
      <c r="E639" s="200"/>
      <c r="F639" s="196" t="str">
        <f>IF($B639="","",SUMIFS('Daily Inward'!$G:$G,'Daily Inward'!$C:$C,$B639,'Daily Inward'!$E:$E,"Patty Cash"))</f>
        <v/>
      </c>
      <c r="G639" s="30" t="str">
        <f>IF($B639="","",SUMIFS('Daily Issuance'!$G:$G,'Daily Issuance'!$C:$C,$B639,'Daily Issuance'!$E:$E,"Patty Cash"))</f>
        <v/>
      </c>
      <c r="H639" s="30" t="str">
        <f t="shared" si="28"/>
        <v/>
      </c>
      <c r="I639" s="33"/>
      <c r="J639" s="34" t="str">
        <f t="shared" si="29"/>
        <v/>
      </c>
    </row>
    <row r="640" spans="1:10" s="27" customFormat="1" ht="23.1" customHeight="1">
      <c r="A640" s="194" t="str">
        <f>IF($C640="","",MAX($A$3:A639)+1)</f>
        <v/>
      </c>
      <c r="B640" s="197" t="str">
        <f t="shared" si="27"/>
        <v/>
      </c>
      <c r="C640" s="201"/>
      <c r="D640" s="199"/>
      <c r="E640" s="200"/>
      <c r="F640" s="196" t="str">
        <f>IF($B640="","",SUMIFS('Daily Inward'!$G:$G,'Daily Inward'!$C:$C,$B640,'Daily Inward'!$E:$E,"Patty Cash"))</f>
        <v/>
      </c>
      <c r="G640" s="30" t="str">
        <f>IF($B640="","",SUMIFS('Daily Issuance'!$G:$G,'Daily Issuance'!$C:$C,$B640,'Daily Issuance'!$E:$E,"Patty Cash"))</f>
        <v/>
      </c>
      <c r="H640" s="30" t="str">
        <f t="shared" si="28"/>
        <v/>
      </c>
      <c r="I640" s="33"/>
      <c r="J640" s="34" t="str">
        <f t="shared" si="29"/>
        <v/>
      </c>
    </row>
    <row r="641" spans="1:10" s="27" customFormat="1" ht="23.1" customHeight="1">
      <c r="A641" s="194" t="str">
        <f>IF($C641="","",MAX($A$3:A640)+1)</f>
        <v/>
      </c>
      <c r="B641" s="197" t="str">
        <f t="shared" si="27"/>
        <v/>
      </c>
      <c r="C641" s="201"/>
      <c r="D641" s="199"/>
      <c r="E641" s="200"/>
      <c r="F641" s="196" t="str">
        <f>IF($B641="","",SUMIFS('Daily Inward'!$G:$G,'Daily Inward'!$C:$C,$B641,'Daily Inward'!$E:$E,"Patty Cash"))</f>
        <v/>
      </c>
      <c r="G641" s="30" t="str">
        <f>IF($B641="","",SUMIFS('Daily Issuance'!$G:$G,'Daily Issuance'!$C:$C,$B641,'Daily Issuance'!$E:$E,"Patty Cash"))</f>
        <v/>
      </c>
      <c r="H641" s="30" t="str">
        <f t="shared" si="28"/>
        <v/>
      </c>
      <c r="I641" s="33"/>
      <c r="J641" s="34" t="str">
        <f t="shared" si="29"/>
        <v/>
      </c>
    </row>
    <row r="642" spans="1:10" s="27" customFormat="1" ht="23.1" customHeight="1">
      <c r="A642" s="194" t="str">
        <f>IF($C642="","",MAX($A$3:A641)+1)</f>
        <v/>
      </c>
      <c r="B642" s="197" t="str">
        <f t="shared" si="27"/>
        <v/>
      </c>
      <c r="C642" s="201"/>
      <c r="D642" s="199"/>
      <c r="E642" s="200"/>
      <c r="F642" s="196" t="str">
        <f>IF($B642="","",SUMIFS('Daily Inward'!$G:$G,'Daily Inward'!$C:$C,$B642,'Daily Inward'!$E:$E,"Patty Cash"))</f>
        <v/>
      </c>
      <c r="G642" s="30" t="str">
        <f>IF($B642="","",SUMIFS('Daily Issuance'!$G:$G,'Daily Issuance'!$C:$C,$B642,'Daily Issuance'!$E:$E,"Patty Cash"))</f>
        <v/>
      </c>
      <c r="H642" s="30" t="str">
        <f t="shared" si="28"/>
        <v/>
      </c>
      <c r="I642" s="33"/>
      <c r="J642" s="34" t="str">
        <f t="shared" si="29"/>
        <v/>
      </c>
    </row>
    <row r="643" spans="1:10" s="27" customFormat="1" ht="23.1" customHeight="1">
      <c r="A643" s="194" t="str">
        <f>IF($C643="","",MAX($A$3:A642)+1)</f>
        <v/>
      </c>
      <c r="B643" s="197" t="str">
        <f t="shared" si="27"/>
        <v/>
      </c>
      <c r="C643" s="201"/>
      <c r="D643" s="199"/>
      <c r="E643" s="200"/>
      <c r="F643" s="196" t="str">
        <f>IF($B643="","",SUMIFS('Daily Inward'!$G:$G,'Daily Inward'!$C:$C,$B643,'Daily Inward'!$E:$E,"Patty Cash"))</f>
        <v/>
      </c>
      <c r="G643" s="30" t="str">
        <f>IF($B643="","",SUMIFS('Daily Issuance'!$G:$G,'Daily Issuance'!$C:$C,$B643,'Daily Issuance'!$E:$E,"Patty Cash"))</f>
        <v/>
      </c>
      <c r="H643" s="30" t="str">
        <f t="shared" si="28"/>
        <v/>
      </c>
      <c r="I643" s="33"/>
      <c r="J643" s="34" t="str">
        <f t="shared" si="29"/>
        <v/>
      </c>
    </row>
    <row r="644" spans="1:10" s="27" customFormat="1" ht="23.1" customHeight="1">
      <c r="A644" s="194" t="str">
        <f>IF($C644="","",MAX($A$3:A643)+1)</f>
        <v/>
      </c>
      <c r="B644" s="197" t="str">
        <f t="shared" si="27"/>
        <v/>
      </c>
      <c r="C644" s="201"/>
      <c r="D644" s="199"/>
      <c r="E644" s="200"/>
      <c r="F644" s="196" t="str">
        <f>IF($B644="","",SUMIFS('Daily Inward'!$G:$G,'Daily Inward'!$C:$C,$B644,'Daily Inward'!$E:$E,"Patty Cash"))</f>
        <v/>
      </c>
      <c r="G644" s="30" t="str">
        <f>IF($B644="","",SUMIFS('Daily Issuance'!$G:$G,'Daily Issuance'!$C:$C,$B644,'Daily Issuance'!$E:$E,"Patty Cash"))</f>
        <v/>
      </c>
      <c r="H644" s="30" t="str">
        <f t="shared" si="28"/>
        <v/>
      </c>
      <c r="I644" s="33"/>
      <c r="J644" s="34" t="str">
        <f t="shared" si="29"/>
        <v/>
      </c>
    </row>
    <row r="645" spans="1:10" s="27" customFormat="1" ht="23.1" customHeight="1">
      <c r="A645" s="194" t="str">
        <f>IF($C645="","",MAX($A$3:A644)+1)</f>
        <v/>
      </c>
      <c r="B645" s="197" t="str">
        <f t="shared" ref="B645:B708" si="30">IF($C645="","","PTC"&amp;TEXT(ROW()-4,"000"))</f>
        <v/>
      </c>
      <c r="C645" s="201"/>
      <c r="D645" s="199"/>
      <c r="E645" s="200"/>
      <c r="F645" s="196" t="str">
        <f>IF($B645="","",SUMIFS('Daily Inward'!$G:$G,'Daily Inward'!$C:$C,$B645,'Daily Inward'!$E:$E,"Patty Cash"))</f>
        <v/>
      </c>
      <c r="G645" s="30" t="str">
        <f>IF($B645="","",SUMIFS('Daily Issuance'!$G:$G,'Daily Issuance'!$C:$C,$B645,'Daily Issuance'!$E:$E,"Patty Cash"))</f>
        <v/>
      </c>
      <c r="H645" s="30" t="str">
        <f t="shared" ref="H645:H708" si="31">IF($B645="","",F645-G645)</f>
        <v/>
      </c>
      <c r="I645" s="33"/>
      <c r="J645" s="34" t="str">
        <f t="shared" ref="J645:J708" si="32">IF(OR(H645="",I645=""),"",H645*I645)</f>
        <v/>
      </c>
    </row>
    <row r="646" spans="1:10" s="27" customFormat="1" ht="23.1" customHeight="1">
      <c r="A646" s="194" t="str">
        <f>IF($C646="","",MAX($A$3:A645)+1)</f>
        <v/>
      </c>
      <c r="B646" s="197" t="str">
        <f t="shared" si="30"/>
        <v/>
      </c>
      <c r="C646" s="201"/>
      <c r="D646" s="199"/>
      <c r="E646" s="200"/>
      <c r="F646" s="196" t="str">
        <f>IF($B646="","",SUMIFS('Daily Inward'!$G:$G,'Daily Inward'!$C:$C,$B646,'Daily Inward'!$E:$E,"Patty Cash"))</f>
        <v/>
      </c>
      <c r="G646" s="30" t="str">
        <f>IF($B646="","",SUMIFS('Daily Issuance'!$G:$G,'Daily Issuance'!$C:$C,$B646,'Daily Issuance'!$E:$E,"Patty Cash"))</f>
        <v/>
      </c>
      <c r="H646" s="30" t="str">
        <f t="shared" si="31"/>
        <v/>
      </c>
      <c r="I646" s="33"/>
      <c r="J646" s="34" t="str">
        <f t="shared" si="32"/>
        <v/>
      </c>
    </row>
    <row r="647" spans="1:10" s="27" customFormat="1" ht="23.1" customHeight="1">
      <c r="A647" s="194" t="str">
        <f>IF($C647="","",MAX($A$3:A646)+1)</f>
        <v/>
      </c>
      <c r="B647" s="197" t="str">
        <f t="shared" si="30"/>
        <v/>
      </c>
      <c r="C647" s="201"/>
      <c r="D647" s="199"/>
      <c r="E647" s="200"/>
      <c r="F647" s="196" t="str">
        <f>IF($B647="","",SUMIFS('Daily Inward'!$G:$G,'Daily Inward'!$C:$C,$B647,'Daily Inward'!$E:$E,"Patty Cash"))</f>
        <v/>
      </c>
      <c r="G647" s="30" t="str">
        <f>IF($B647="","",SUMIFS('Daily Issuance'!$G:$G,'Daily Issuance'!$C:$C,$B647,'Daily Issuance'!$E:$E,"Patty Cash"))</f>
        <v/>
      </c>
      <c r="H647" s="30" t="str">
        <f t="shared" si="31"/>
        <v/>
      </c>
      <c r="I647" s="33"/>
      <c r="J647" s="34" t="str">
        <f t="shared" si="32"/>
        <v/>
      </c>
    </row>
    <row r="648" spans="1:10" s="27" customFormat="1" ht="23.1" customHeight="1">
      <c r="A648" s="194" t="str">
        <f>IF($C648="","",MAX($A$3:A647)+1)</f>
        <v/>
      </c>
      <c r="B648" s="197" t="str">
        <f t="shared" si="30"/>
        <v/>
      </c>
      <c r="C648" s="201"/>
      <c r="D648" s="199"/>
      <c r="E648" s="200"/>
      <c r="F648" s="196" t="str">
        <f>IF($B648="","",SUMIFS('Daily Inward'!$G:$G,'Daily Inward'!$C:$C,$B648,'Daily Inward'!$E:$E,"Patty Cash"))</f>
        <v/>
      </c>
      <c r="G648" s="30" t="str">
        <f>IF($B648="","",SUMIFS('Daily Issuance'!$G:$G,'Daily Issuance'!$C:$C,$B648,'Daily Issuance'!$E:$E,"Patty Cash"))</f>
        <v/>
      </c>
      <c r="H648" s="30" t="str">
        <f t="shared" si="31"/>
        <v/>
      </c>
      <c r="I648" s="33"/>
      <c r="J648" s="34" t="str">
        <f t="shared" si="32"/>
        <v/>
      </c>
    </row>
    <row r="649" spans="1:10" s="27" customFormat="1" ht="23.1" customHeight="1">
      <c r="A649" s="194" t="str">
        <f>IF($C649="","",MAX($A$3:A648)+1)</f>
        <v/>
      </c>
      <c r="B649" s="197" t="str">
        <f t="shared" si="30"/>
        <v/>
      </c>
      <c r="C649" s="201"/>
      <c r="D649" s="199"/>
      <c r="E649" s="200"/>
      <c r="F649" s="196" t="str">
        <f>IF($B649="","",SUMIFS('Daily Inward'!$G:$G,'Daily Inward'!$C:$C,$B649,'Daily Inward'!$E:$E,"Patty Cash"))</f>
        <v/>
      </c>
      <c r="G649" s="30" t="str">
        <f>IF($B649="","",SUMIFS('Daily Issuance'!$G:$G,'Daily Issuance'!$C:$C,$B649,'Daily Issuance'!$E:$E,"Patty Cash"))</f>
        <v/>
      </c>
      <c r="H649" s="30" t="str">
        <f t="shared" si="31"/>
        <v/>
      </c>
      <c r="I649" s="33"/>
      <c r="J649" s="34" t="str">
        <f t="shared" si="32"/>
        <v/>
      </c>
    </row>
    <row r="650" spans="1:10" s="27" customFormat="1" ht="23.1" customHeight="1">
      <c r="A650" s="194" t="str">
        <f>IF($C650="","",MAX($A$3:A649)+1)</f>
        <v/>
      </c>
      <c r="B650" s="197" t="str">
        <f t="shared" si="30"/>
        <v/>
      </c>
      <c r="C650" s="201"/>
      <c r="D650" s="199"/>
      <c r="E650" s="200"/>
      <c r="F650" s="196" t="str">
        <f>IF($B650="","",SUMIFS('Daily Inward'!$G:$G,'Daily Inward'!$C:$C,$B650,'Daily Inward'!$E:$E,"Patty Cash"))</f>
        <v/>
      </c>
      <c r="G650" s="30" t="str">
        <f>IF($B650="","",SUMIFS('Daily Issuance'!$G:$G,'Daily Issuance'!$C:$C,$B650,'Daily Issuance'!$E:$E,"Patty Cash"))</f>
        <v/>
      </c>
      <c r="H650" s="30" t="str">
        <f t="shared" si="31"/>
        <v/>
      </c>
      <c r="I650" s="33"/>
      <c r="J650" s="34" t="str">
        <f t="shared" si="32"/>
        <v/>
      </c>
    </row>
    <row r="651" spans="1:10" s="27" customFormat="1" ht="23.1" customHeight="1">
      <c r="A651" s="194" t="str">
        <f>IF($C651="","",MAX($A$3:A650)+1)</f>
        <v/>
      </c>
      <c r="B651" s="197" t="str">
        <f t="shared" si="30"/>
        <v/>
      </c>
      <c r="C651" s="201"/>
      <c r="D651" s="199"/>
      <c r="E651" s="200"/>
      <c r="F651" s="196" t="str">
        <f>IF($B651="","",SUMIFS('Daily Inward'!$G:$G,'Daily Inward'!$C:$C,$B651,'Daily Inward'!$E:$E,"Patty Cash"))</f>
        <v/>
      </c>
      <c r="G651" s="30" t="str">
        <f>IF($B651="","",SUMIFS('Daily Issuance'!$G:$G,'Daily Issuance'!$C:$C,$B651,'Daily Issuance'!$E:$E,"Patty Cash"))</f>
        <v/>
      </c>
      <c r="H651" s="30" t="str">
        <f t="shared" si="31"/>
        <v/>
      </c>
      <c r="I651" s="33"/>
      <c r="J651" s="34" t="str">
        <f t="shared" si="32"/>
        <v/>
      </c>
    </row>
    <row r="652" spans="1:10" s="27" customFormat="1" ht="23.1" customHeight="1">
      <c r="A652" s="194" t="str">
        <f>IF($C652="","",MAX($A$3:A651)+1)</f>
        <v/>
      </c>
      <c r="B652" s="197" t="str">
        <f t="shared" si="30"/>
        <v/>
      </c>
      <c r="C652" s="201"/>
      <c r="D652" s="199"/>
      <c r="E652" s="200"/>
      <c r="F652" s="196" t="str">
        <f>IF($B652="","",SUMIFS('Daily Inward'!$G:$G,'Daily Inward'!$C:$C,$B652,'Daily Inward'!$E:$E,"Patty Cash"))</f>
        <v/>
      </c>
      <c r="G652" s="30" t="str">
        <f>IF($B652="","",SUMIFS('Daily Issuance'!$G:$G,'Daily Issuance'!$C:$C,$B652,'Daily Issuance'!$E:$E,"Patty Cash"))</f>
        <v/>
      </c>
      <c r="H652" s="30" t="str">
        <f t="shared" si="31"/>
        <v/>
      </c>
      <c r="I652" s="33"/>
      <c r="J652" s="34" t="str">
        <f t="shared" si="32"/>
        <v/>
      </c>
    </row>
    <row r="653" spans="1:10" s="27" customFormat="1" ht="23.1" customHeight="1">
      <c r="A653" s="194" t="str">
        <f>IF($C653="","",MAX($A$3:A652)+1)</f>
        <v/>
      </c>
      <c r="B653" s="197" t="str">
        <f t="shared" si="30"/>
        <v/>
      </c>
      <c r="C653" s="201"/>
      <c r="D653" s="199"/>
      <c r="E653" s="200"/>
      <c r="F653" s="196" t="str">
        <f>IF($B653="","",SUMIFS('Daily Inward'!$G:$G,'Daily Inward'!$C:$C,$B653,'Daily Inward'!$E:$E,"Patty Cash"))</f>
        <v/>
      </c>
      <c r="G653" s="30" t="str">
        <f>IF($B653="","",SUMIFS('Daily Issuance'!$G:$G,'Daily Issuance'!$C:$C,$B653,'Daily Issuance'!$E:$E,"Patty Cash"))</f>
        <v/>
      </c>
      <c r="H653" s="30" t="str">
        <f t="shared" si="31"/>
        <v/>
      </c>
      <c r="I653" s="33"/>
      <c r="J653" s="34" t="str">
        <f t="shared" si="32"/>
        <v/>
      </c>
    </row>
    <row r="654" spans="1:10" s="27" customFormat="1" ht="23.1" customHeight="1">
      <c r="A654" s="194" t="str">
        <f>IF($C654="","",MAX($A$3:A653)+1)</f>
        <v/>
      </c>
      <c r="B654" s="197" t="str">
        <f t="shared" si="30"/>
        <v/>
      </c>
      <c r="C654" s="201"/>
      <c r="D654" s="199"/>
      <c r="E654" s="200"/>
      <c r="F654" s="196" t="str">
        <f>IF($B654="","",SUMIFS('Daily Inward'!$G:$G,'Daily Inward'!$C:$C,$B654,'Daily Inward'!$E:$E,"Patty Cash"))</f>
        <v/>
      </c>
      <c r="G654" s="30" t="str">
        <f>IF($B654="","",SUMIFS('Daily Issuance'!$G:$G,'Daily Issuance'!$C:$C,$B654,'Daily Issuance'!$E:$E,"Patty Cash"))</f>
        <v/>
      </c>
      <c r="H654" s="30" t="str">
        <f t="shared" si="31"/>
        <v/>
      </c>
      <c r="I654" s="33"/>
      <c r="J654" s="34" t="str">
        <f t="shared" si="32"/>
        <v/>
      </c>
    </row>
    <row r="655" spans="1:10" s="27" customFormat="1" ht="23.1" customHeight="1">
      <c r="A655" s="194" t="str">
        <f>IF($C655="","",MAX($A$3:A654)+1)</f>
        <v/>
      </c>
      <c r="B655" s="197" t="str">
        <f t="shared" si="30"/>
        <v/>
      </c>
      <c r="C655" s="201"/>
      <c r="D655" s="199"/>
      <c r="E655" s="200"/>
      <c r="F655" s="196" t="str">
        <f>IF($B655="","",SUMIFS('Daily Inward'!$G:$G,'Daily Inward'!$C:$C,$B655,'Daily Inward'!$E:$E,"Patty Cash"))</f>
        <v/>
      </c>
      <c r="G655" s="30" t="str">
        <f>IF($B655="","",SUMIFS('Daily Issuance'!$G:$G,'Daily Issuance'!$C:$C,$B655,'Daily Issuance'!$E:$E,"Patty Cash"))</f>
        <v/>
      </c>
      <c r="H655" s="30" t="str">
        <f t="shared" si="31"/>
        <v/>
      </c>
      <c r="I655" s="33"/>
      <c r="J655" s="34" t="str">
        <f t="shared" si="32"/>
        <v/>
      </c>
    </row>
    <row r="656" spans="1:10" s="27" customFormat="1" ht="23.1" customHeight="1">
      <c r="A656" s="194" t="str">
        <f>IF($C656="","",MAX($A$3:A655)+1)</f>
        <v/>
      </c>
      <c r="B656" s="197" t="str">
        <f t="shared" si="30"/>
        <v/>
      </c>
      <c r="C656" s="201"/>
      <c r="D656" s="199"/>
      <c r="E656" s="200"/>
      <c r="F656" s="196" t="str">
        <f>IF($B656="","",SUMIFS('Daily Inward'!$G:$G,'Daily Inward'!$C:$C,$B656,'Daily Inward'!$E:$E,"Patty Cash"))</f>
        <v/>
      </c>
      <c r="G656" s="30" t="str">
        <f>IF($B656="","",SUMIFS('Daily Issuance'!$G:$G,'Daily Issuance'!$C:$C,$B656,'Daily Issuance'!$E:$E,"Patty Cash"))</f>
        <v/>
      </c>
      <c r="H656" s="30" t="str">
        <f t="shared" si="31"/>
        <v/>
      </c>
      <c r="I656" s="33"/>
      <c r="J656" s="34" t="str">
        <f t="shared" si="32"/>
        <v/>
      </c>
    </row>
    <row r="657" spans="1:10" s="27" customFormat="1" ht="23.1" customHeight="1">
      <c r="A657" s="194" t="str">
        <f>IF($C657="","",MAX($A$3:A656)+1)</f>
        <v/>
      </c>
      <c r="B657" s="197" t="str">
        <f t="shared" si="30"/>
        <v/>
      </c>
      <c r="C657" s="201"/>
      <c r="D657" s="199"/>
      <c r="E657" s="200"/>
      <c r="F657" s="196" t="str">
        <f>IF($B657="","",SUMIFS('Daily Inward'!$G:$G,'Daily Inward'!$C:$C,$B657,'Daily Inward'!$E:$E,"Patty Cash"))</f>
        <v/>
      </c>
      <c r="G657" s="30" t="str">
        <f>IF($B657="","",SUMIFS('Daily Issuance'!$G:$G,'Daily Issuance'!$C:$C,$B657,'Daily Issuance'!$E:$E,"Patty Cash"))</f>
        <v/>
      </c>
      <c r="H657" s="30" t="str">
        <f t="shared" si="31"/>
        <v/>
      </c>
      <c r="I657" s="33"/>
      <c r="J657" s="34" t="str">
        <f t="shared" si="32"/>
        <v/>
      </c>
    </row>
    <row r="658" spans="1:10" s="27" customFormat="1" ht="23.1" customHeight="1">
      <c r="A658" s="194" t="str">
        <f>IF($C658="","",MAX($A$3:A657)+1)</f>
        <v/>
      </c>
      <c r="B658" s="197" t="str">
        <f t="shared" si="30"/>
        <v/>
      </c>
      <c r="C658" s="201"/>
      <c r="D658" s="199"/>
      <c r="E658" s="200"/>
      <c r="F658" s="196" t="str">
        <f>IF($B658="","",SUMIFS('Daily Inward'!$G:$G,'Daily Inward'!$C:$C,$B658,'Daily Inward'!$E:$E,"Patty Cash"))</f>
        <v/>
      </c>
      <c r="G658" s="30" t="str">
        <f>IF($B658="","",SUMIFS('Daily Issuance'!$G:$G,'Daily Issuance'!$C:$C,$B658,'Daily Issuance'!$E:$E,"Patty Cash"))</f>
        <v/>
      </c>
      <c r="H658" s="30" t="str">
        <f t="shared" si="31"/>
        <v/>
      </c>
      <c r="I658" s="33"/>
      <c r="J658" s="34" t="str">
        <f t="shared" si="32"/>
        <v/>
      </c>
    </row>
    <row r="659" spans="1:10" s="27" customFormat="1" ht="23.1" customHeight="1">
      <c r="A659" s="194" t="str">
        <f>IF($C659="","",MAX($A$3:A658)+1)</f>
        <v/>
      </c>
      <c r="B659" s="197" t="str">
        <f t="shared" si="30"/>
        <v/>
      </c>
      <c r="C659" s="201"/>
      <c r="D659" s="199"/>
      <c r="E659" s="200"/>
      <c r="F659" s="196" t="str">
        <f>IF($B659="","",SUMIFS('Daily Inward'!$G:$G,'Daily Inward'!$C:$C,$B659,'Daily Inward'!$E:$E,"Patty Cash"))</f>
        <v/>
      </c>
      <c r="G659" s="30" t="str">
        <f>IF($B659="","",SUMIFS('Daily Issuance'!$G:$G,'Daily Issuance'!$C:$C,$B659,'Daily Issuance'!$E:$E,"Patty Cash"))</f>
        <v/>
      </c>
      <c r="H659" s="30" t="str">
        <f t="shared" si="31"/>
        <v/>
      </c>
      <c r="I659" s="33"/>
      <c r="J659" s="34" t="str">
        <f t="shared" si="32"/>
        <v/>
      </c>
    </row>
    <row r="660" spans="1:10" s="27" customFormat="1" ht="23.1" customHeight="1">
      <c r="A660" s="194" t="str">
        <f>IF($C660="","",MAX($A$3:A659)+1)</f>
        <v/>
      </c>
      <c r="B660" s="197" t="str">
        <f t="shared" si="30"/>
        <v/>
      </c>
      <c r="C660" s="201"/>
      <c r="D660" s="199"/>
      <c r="E660" s="200"/>
      <c r="F660" s="196" t="str">
        <f>IF($B660="","",SUMIFS('Daily Inward'!$G:$G,'Daily Inward'!$C:$C,$B660,'Daily Inward'!$E:$E,"Patty Cash"))</f>
        <v/>
      </c>
      <c r="G660" s="30" t="str">
        <f>IF($B660="","",SUMIFS('Daily Issuance'!$G:$G,'Daily Issuance'!$C:$C,$B660,'Daily Issuance'!$E:$E,"Patty Cash"))</f>
        <v/>
      </c>
      <c r="H660" s="30" t="str">
        <f t="shared" si="31"/>
        <v/>
      </c>
      <c r="I660" s="33"/>
      <c r="J660" s="34" t="str">
        <f t="shared" si="32"/>
        <v/>
      </c>
    </row>
    <row r="661" spans="1:10" s="27" customFormat="1" ht="23.1" customHeight="1">
      <c r="A661" s="194" t="str">
        <f>IF($C661="","",MAX($A$3:A660)+1)</f>
        <v/>
      </c>
      <c r="B661" s="197" t="str">
        <f t="shared" si="30"/>
        <v/>
      </c>
      <c r="C661" s="201"/>
      <c r="D661" s="199"/>
      <c r="E661" s="200"/>
      <c r="F661" s="196" t="str">
        <f>IF($B661="","",SUMIFS('Daily Inward'!$G:$G,'Daily Inward'!$C:$C,$B661,'Daily Inward'!$E:$E,"Patty Cash"))</f>
        <v/>
      </c>
      <c r="G661" s="30" t="str">
        <f>IF($B661="","",SUMIFS('Daily Issuance'!$G:$G,'Daily Issuance'!$C:$C,$B661,'Daily Issuance'!$E:$E,"Patty Cash"))</f>
        <v/>
      </c>
      <c r="H661" s="30" t="str">
        <f t="shared" si="31"/>
        <v/>
      </c>
      <c r="I661" s="33"/>
      <c r="J661" s="34" t="str">
        <f t="shared" si="32"/>
        <v/>
      </c>
    </row>
    <row r="662" spans="1:10" s="27" customFormat="1" ht="23.1" customHeight="1">
      <c r="A662" s="194" t="str">
        <f>IF($C662="","",MAX($A$3:A661)+1)</f>
        <v/>
      </c>
      <c r="B662" s="197" t="str">
        <f t="shared" si="30"/>
        <v/>
      </c>
      <c r="C662" s="201"/>
      <c r="D662" s="199"/>
      <c r="E662" s="200"/>
      <c r="F662" s="196" t="str">
        <f>IF($B662="","",SUMIFS('Daily Inward'!$G:$G,'Daily Inward'!$C:$C,$B662,'Daily Inward'!$E:$E,"Patty Cash"))</f>
        <v/>
      </c>
      <c r="G662" s="30" t="str">
        <f>IF($B662="","",SUMIFS('Daily Issuance'!$G:$G,'Daily Issuance'!$C:$C,$B662,'Daily Issuance'!$E:$E,"Patty Cash"))</f>
        <v/>
      </c>
      <c r="H662" s="30" t="str">
        <f t="shared" si="31"/>
        <v/>
      </c>
      <c r="I662" s="33"/>
      <c r="J662" s="34" t="str">
        <f t="shared" si="32"/>
        <v/>
      </c>
    </row>
    <row r="663" spans="1:10" s="27" customFormat="1" ht="23.1" customHeight="1">
      <c r="A663" s="194" t="str">
        <f>IF($C663="","",MAX($A$3:A662)+1)</f>
        <v/>
      </c>
      <c r="B663" s="197" t="str">
        <f t="shared" si="30"/>
        <v/>
      </c>
      <c r="C663" s="201"/>
      <c r="D663" s="199"/>
      <c r="E663" s="200"/>
      <c r="F663" s="196" t="str">
        <f>IF($B663="","",SUMIFS('Daily Inward'!$G:$G,'Daily Inward'!$C:$C,$B663,'Daily Inward'!$E:$E,"Patty Cash"))</f>
        <v/>
      </c>
      <c r="G663" s="30" t="str">
        <f>IF($B663="","",SUMIFS('Daily Issuance'!$G:$G,'Daily Issuance'!$C:$C,$B663,'Daily Issuance'!$E:$E,"Patty Cash"))</f>
        <v/>
      </c>
      <c r="H663" s="30" t="str">
        <f t="shared" si="31"/>
        <v/>
      </c>
      <c r="I663" s="33"/>
      <c r="J663" s="34" t="str">
        <f t="shared" si="32"/>
        <v/>
      </c>
    </row>
    <row r="664" spans="1:10" s="27" customFormat="1" ht="23.1" customHeight="1">
      <c r="A664" s="194" t="str">
        <f>IF($C664="","",MAX($A$3:A663)+1)</f>
        <v/>
      </c>
      <c r="B664" s="197" t="str">
        <f t="shared" si="30"/>
        <v/>
      </c>
      <c r="C664" s="201"/>
      <c r="D664" s="199"/>
      <c r="E664" s="200"/>
      <c r="F664" s="196" t="str">
        <f>IF($B664="","",SUMIFS('Daily Inward'!$G:$G,'Daily Inward'!$C:$C,$B664,'Daily Inward'!$E:$E,"Patty Cash"))</f>
        <v/>
      </c>
      <c r="G664" s="30" t="str">
        <f>IF($B664="","",SUMIFS('Daily Issuance'!$G:$G,'Daily Issuance'!$C:$C,$B664,'Daily Issuance'!$E:$E,"Patty Cash"))</f>
        <v/>
      </c>
      <c r="H664" s="30" t="str">
        <f t="shared" si="31"/>
        <v/>
      </c>
      <c r="I664" s="33"/>
      <c r="J664" s="34" t="str">
        <f t="shared" si="32"/>
        <v/>
      </c>
    </row>
    <row r="665" spans="1:10" s="27" customFormat="1" ht="23.1" customHeight="1">
      <c r="A665" s="194" t="str">
        <f>IF($C665="","",MAX($A$3:A664)+1)</f>
        <v/>
      </c>
      <c r="B665" s="197" t="str">
        <f t="shared" si="30"/>
        <v/>
      </c>
      <c r="C665" s="201"/>
      <c r="D665" s="199"/>
      <c r="E665" s="200"/>
      <c r="F665" s="196" t="str">
        <f>IF($B665="","",SUMIFS('Daily Inward'!$G:$G,'Daily Inward'!$C:$C,$B665,'Daily Inward'!$E:$E,"Patty Cash"))</f>
        <v/>
      </c>
      <c r="G665" s="30" t="str">
        <f>IF($B665="","",SUMIFS('Daily Issuance'!$G:$G,'Daily Issuance'!$C:$C,$B665,'Daily Issuance'!$E:$E,"Patty Cash"))</f>
        <v/>
      </c>
      <c r="H665" s="30" t="str">
        <f t="shared" si="31"/>
        <v/>
      </c>
      <c r="I665" s="33"/>
      <c r="J665" s="34" t="str">
        <f t="shared" si="32"/>
        <v/>
      </c>
    </row>
    <row r="666" spans="1:10" s="27" customFormat="1" ht="23.1" customHeight="1">
      <c r="A666" s="194" t="str">
        <f>IF($C666="","",MAX($A$3:A665)+1)</f>
        <v/>
      </c>
      <c r="B666" s="197" t="str">
        <f t="shared" si="30"/>
        <v/>
      </c>
      <c r="C666" s="201"/>
      <c r="D666" s="199"/>
      <c r="E666" s="200"/>
      <c r="F666" s="196" t="str">
        <f>IF($B666="","",SUMIFS('Daily Inward'!$G:$G,'Daily Inward'!$C:$C,$B666,'Daily Inward'!$E:$E,"Patty Cash"))</f>
        <v/>
      </c>
      <c r="G666" s="30" t="str">
        <f>IF($B666="","",SUMIFS('Daily Issuance'!$G:$G,'Daily Issuance'!$C:$C,$B666,'Daily Issuance'!$E:$E,"Patty Cash"))</f>
        <v/>
      </c>
      <c r="H666" s="30" t="str">
        <f t="shared" si="31"/>
        <v/>
      </c>
      <c r="I666" s="33"/>
      <c r="J666" s="34" t="str">
        <f t="shared" si="32"/>
        <v/>
      </c>
    </row>
    <row r="667" spans="1:10" s="27" customFormat="1" ht="23.1" customHeight="1">
      <c r="A667" s="194" t="str">
        <f>IF($C667="","",MAX($A$3:A666)+1)</f>
        <v/>
      </c>
      <c r="B667" s="197" t="str">
        <f t="shared" si="30"/>
        <v/>
      </c>
      <c r="C667" s="201"/>
      <c r="D667" s="199"/>
      <c r="E667" s="200"/>
      <c r="F667" s="196" t="str">
        <f>IF($B667="","",SUMIFS('Daily Inward'!$G:$G,'Daily Inward'!$C:$C,$B667,'Daily Inward'!$E:$E,"Patty Cash"))</f>
        <v/>
      </c>
      <c r="G667" s="30" t="str">
        <f>IF($B667="","",SUMIFS('Daily Issuance'!$G:$G,'Daily Issuance'!$C:$C,$B667,'Daily Issuance'!$E:$E,"Patty Cash"))</f>
        <v/>
      </c>
      <c r="H667" s="30" t="str">
        <f t="shared" si="31"/>
        <v/>
      </c>
      <c r="I667" s="33"/>
      <c r="J667" s="34" t="str">
        <f t="shared" si="32"/>
        <v/>
      </c>
    </row>
    <row r="668" spans="1:10" s="27" customFormat="1" ht="23.1" customHeight="1">
      <c r="A668" s="194" t="str">
        <f>IF($C668="","",MAX($A$3:A667)+1)</f>
        <v/>
      </c>
      <c r="B668" s="197" t="str">
        <f t="shared" si="30"/>
        <v/>
      </c>
      <c r="C668" s="201"/>
      <c r="D668" s="199"/>
      <c r="E668" s="200"/>
      <c r="F668" s="196" t="str">
        <f>IF($B668="","",SUMIFS('Daily Inward'!$G:$G,'Daily Inward'!$C:$C,$B668,'Daily Inward'!$E:$E,"Patty Cash"))</f>
        <v/>
      </c>
      <c r="G668" s="30" t="str">
        <f>IF($B668="","",SUMIFS('Daily Issuance'!$G:$G,'Daily Issuance'!$C:$C,$B668,'Daily Issuance'!$E:$E,"Patty Cash"))</f>
        <v/>
      </c>
      <c r="H668" s="30" t="str">
        <f t="shared" si="31"/>
        <v/>
      </c>
      <c r="I668" s="33"/>
      <c r="J668" s="34" t="str">
        <f t="shared" si="32"/>
        <v/>
      </c>
    </row>
    <row r="669" spans="1:10" s="27" customFormat="1" ht="23.1" customHeight="1">
      <c r="A669" s="194" t="str">
        <f>IF($C669="","",MAX($A$3:A668)+1)</f>
        <v/>
      </c>
      <c r="B669" s="197" t="str">
        <f t="shared" si="30"/>
        <v/>
      </c>
      <c r="C669" s="201"/>
      <c r="D669" s="199"/>
      <c r="E669" s="200"/>
      <c r="F669" s="196" t="str">
        <f>IF($B669="","",SUMIFS('Daily Inward'!$G:$G,'Daily Inward'!$C:$C,$B669,'Daily Inward'!$E:$E,"Patty Cash"))</f>
        <v/>
      </c>
      <c r="G669" s="30" t="str">
        <f>IF($B669="","",SUMIFS('Daily Issuance'!$G:$G,'Daily Issuance'!$C:$C,$B669,'Daily Issuance'!$E:$E,"Patty Cash"))</f>
        <v/>
      </c>
      <c r="H669" s="30" t="str">
        <f t="shared" si="31"/>
        <v/>
      </c>
      <c r="I669" s="33"/>
      <c r="J669" s="34" t="str">
        <f t="shared" si="32"/>
        <v/>
      </c>
    </row>
    <row r="670" spans="1:10" s="27" customFormat="1" ht="23.1" customHeight="1">
      <c r="A670" s="194" t="str">
        <f>IF($C670="","",MAX($A$3:A669)+1)</f>
        <v/>
      </c>
      <c r="B670" s="197" t="str">
        <f t="shared" si="30"/>
        <v/>
      </c>
      <c r="C670" s="201"/>
      <c r="D670" s="199"/>
      <c r="E670" s="200"/>
      <c r="F670" s="196" t="str">
        <f>IF($B670="","",SUMIFS('Daily Inward'!$G:$G,'Daily Inward'!$C:$C,$B670,'Daily Inward'!$E:$E,"Patty Cash"))</f>
        <v/>
      </c>
      <c r="G670" s="30" t="str">
        <f>IF($B670="","",SUMIFS('Daily Issuance'!$G:$G,'Daily Issuance'!$C:$C,$B670,'Daily Issuance'!$E:$E,"Patty Cash"))</f>
        <v/>
      </c>
      <c r="H670" s="30" t="str">
        <f t="shared" si="31"/>
        <v/>
      </c>
      <c r="I670" s="33"/>
      <c r="J670" s="34" t="str">
        <f t="shared" si="32"/>
        <v/>
      </c>
    </row>
    <row r="671" spans="1:10" s="27" customFormat="1" ht="23.1" customHeight="1">
      <c r="A671" s="194" t="str">
        <f>IF($C671="","",MAX($A$3:A670)+1)</f>
        <v/>
      </c>
      <c r="B671" s="197" t="str">
        <f t="shared" si="30"/>
        <v/>
      </c>
      <c r="C671" s="201"/>
      <c r="D671" s="199"/>
      <c r="E671" s="200"/>
      <c r="F671" s="196" t="str">
        <f>IF($B671="","",SUMIFS('Daily Inward'!$G:$G,'Daily Inward'!$C:$C,$B671,'Daily Inward'!$E:$E,"Patty Cash"))</f>
        <v/>
      </c>
      <c r="G671" s="30" t="str">
        <f>IF($B671="","",SUMIFS('Daily Issuance'!$G:$G,'Daily Issuance'!$C:$C,$B671,'Daily Issuance'!$E:$E,"Patty Cash"))</f>
        <v/>
      </c>
      <c r="H671" s="30" t="str">
        <f t="shared" si="31"/>
        <v/>
      </c>
      <c r="I671" s="33"/>
      <c r="J671" s="34" t="str">
        <f t="shared" si="32"/>
        <v/>
      </c>
    </row>
    <row r="672" spans="1:10" s="27" customFormat="1" ht="23.1" customHeight="1">
      <c r="A672" s="194" t="str">
        <f>IF($C672="","",MAX($A$3:A671)+1)</f>
        <v/>
      </c>
      <c r="B672" s="197" t="str">
        <f t="shared" si="30"/>
        <v/>
      </c>
      <c r="C672" s="201"/>
      <c r="D672" s="199"/>
      <c r="E672" s="200"/>
      <c r="F672" s="196" t="str">
        <f>IF($B672="","",SUMIFS('Daily Inward'!$G:$G,'Daily Inward'!$C:$C,$B672,'Daily Inward'!$E:$E,"Patty Cash"))</f>
        <v/>
      </c>
      <c r="G672" s="30" t="str">
        <f>IF($B672="","",SUMIFS('Daily Issuance'!$G:$G,'Daily Issuance'!$C:$C,$B672,'Daily Issuance'!$E:$E,"Patty Cash"))</f>
        <v/>
      </c>
      <c r="H672" s="30" t="str">
        <f t="shared" si="31"/>
        <v/>
      </c>
      <c r="I672" s="33"/>
      <c r="J672" s="34" t="str">
        <f t="shared" si="32"/>
        <v/>
      </c>
    </row>
    <row r="673" spans="1:10" s="27" customFormat="1" ht="23.1" customHeight="1">
      <c r="A673" s="194" t="str">
        <f>IF($C673="","",MAX($A$3:A672)+1)</f>
        <v/>
      </c>
      <c r="B673" s="197" t="str">
        <f t="shared" si="30"/>
        <v/>
      </c>
      <c r="C673" s="201"/>
      <c r="D673" s="199"/>
      <c r="E673" s="200"/>
      <c r="F673" s="196" t="str">
        <f>IF($B673="","",SUMIFS('Daily Inward'!$G:$G,'Daily Inward'!$C:$C,$B673,'Daily Inward'!$E:$E,"Patty Cash"))</f>
        <v/>
      </c>
      <c r="G673" s="30" t="str">
        <f>IF($B673="","",SUMIFS('Daily Issuance'!$G:$G,'Daily Issuance'!$C:$C,$B673,'Daily Issuance'!$E:$E,"Patty Cash"))</f>
        <v/>
      </c>
      <c r="H673" s="30" t="str">
        <f t="shared" si="31"/>
        <v/>
      </c>
      <c r="I673" s="33"/>
      <c r="J673" s="34" t="str">
        <f t="shared" si="32"/>
        <v/>
      </c>
    </row>
    <row r="674" spans="1:10" s="27" customFormat="1" ht="23.1" customHeight="1">
      <c r="A674" s="194" t="str">
        <f>IF($C674="","",MAX($A$3:A673)+1)</f>
        <v/>
      </c>
      <c r="B674" s="197" t="str">
        <f t="shared" si="30"/>
        <v/>
      </c>
      <c r="C674" s="201"/>
      <c r="D674" s="199"/>
      <c r="E674" s="200"/>
      <c r="F674" s="196" t="str">
        <f>IF($B674="","",SUMIFS('Daily Inward'!$G:$G,'Daily Inward'!$C:$C,$B674,'Daily Inward'!$E:$E,"Patty Cash"))</f>
        <v/>
      </c>
      <c r="G674" s="30" t="str">
        <f>IF($B674="","",SUMIFS('Daily Issuance'!$G:$G,'Daily Issuance'!$C:$C,$B674,'Daily Issuance'!$E:$E,"Patty Cash"))</f>
        <v/>
      </c>
      <c r="H674" s="30" t="str">
        <f t="shared" si="31"/>
        <v/>
      </c>
      <c r="I674" s="33"/>
      <c r="J674" s="34" t="str">
        <f t="shared" si="32"/>
        <v/>
      </c>
    </row>
    <row r="675" spans="1:10" s="27" customFormat="1" ht="23.1" customHeight="1">
      <c r="A675" s="194" t="str">
        <f>IF($C675="","",MAX($A$3:A674)+1)</f>
        <v/>
      </c>
      <c r="B675" s="197" t="str">
        <f t="shared" si="30"/>
        <v/>
      </c>
      <c r="C675" s="201"/>
      <c r="D675" s="199"/>
      <c r="E675" s="200"/>
      <c r="F675" s="196" t="str">
        <f>IF($B675="","",SUMIFS('Daily Inward'!$G:$G,'Daily Inward'!$C:$C,$B675,'Daily Inward'!$E:$E,"Patty Cash"))</f>
        <v/>
      </c>
      <c r="G675" s="30" t="str">
        <f>IF($B675="","",SUMIFS('Daily Issuance'!$G:$G,'Daily Issuance'!$C:$C,$B675,'Daily Issuance'!$E:$E,"Patty Cash"))</f>
        <v/>
      </c>
      <c r="H675" s="30" t="str">
        <f t="shared" si="31"/>
        <v/>
      </c>
      <c r="I675" s="33"/>
      <c r="J675" s="34" t="str">
        <f t="shared" si="32"/>
        <v/>
      </c>
    </row>
    <row r="676" spans="1:10" s="27" customFormat="1" ht="23.1" customHeight="1">
      <c r="A676" s="194" t="str">
        <f>IF($C676="","",MAX($A$3:A675)+1)</f>
        <v/>
      </c>
      <c r="B676" s="197" t="str">
        <f t="shared" si="30"/>
        <v/>
      </c>
      <c r="C676" s="201"/>
      <c r="D676" s="199"/>
      <c r="E676" s="200"/>
      <c r="F676" s="196" t="str">
        <f>IF($B676="","",SUMIFS('Daily Inward'!$G:$G,'Daily Inward'!$C:$C,$B676,'Daily Inward'!$E:$E,"Patty Cash"))</f>
        <v/>
      </c>
      <c r="G676" s="30" t="str">
        <f>IF($B676="","",SUMIFS('Daily Issuance'!$G:$G,'Daily Issuance'!$C:$C,$B676,'Daily Issuance'!$E:$E,"Patty Cash"))</f>
        <v/>
      </c>
      <c r="H676" s="30" t="str">
        <f t="shared" si="31"/>
        <v/>
      </c>
      <c r="I676" s="33"/>
      <c r="J676" s="34" t="str">
        <f t="shared" si="32"/>
        <v/>
      </c>
    </row>
    <row r="677" spans="1:10" s="27" customFormat="1" ht="23.1" customHeight="1">
      <c r="A677" s="194" t="str">
        <f>IF($C677="","",MAX($A$3:A676)+1)</f>
        <v/>
      </c>
      <c r="B677" s="197" t="str">
        <f t="shared" si="30"/>
        <v/>
      </c>
      <c r="C677" s="201"/>
      <c r="D677" s="199"/>
      <c r="E677" s="200"/>
      <c r="F677" s="196" t="str">
        <f>IF($B677="","",SUMIFS('Daily Inward'!$G:$G,'Daily Inward'!$C:$C,$B677,'Daily Inward'!$E:$E,"Patty Cash"))</f>
        <v/>
      </c>
      <c r="G677" s="30" t="str">
        <f>IF($B677="","",SUMIFS('Daily Issuance'!$G:$G,'Daily Issuance'!$C:$C,$B677,'Daily Issuance'!$E:$E,"Patty Cash"))</f>
        <v/>
      </c>
      <c r="H677" s="30" t="str">
        <f t="shared" si="31"/>
        <v/>
      </c>
      <c r="I677" s="33"/>
      <c r="J677" s="34" t="str">
        <f t="shared" si="32"/>
        <v/>
      </c>
    </row>
    <row r="678" spans="1:10" s="27" customFormat="1" ht="23.1" customHeight="1">
      <c r="A678" s="194" t="str">
        <f>IF($C678="","",MAX($A$3:A677)+1)</f>
        <v/>
      </c>
      <c r="B678" s="197" t="str">
        <f t="shared" si="30"/>
        <v/>
      </c>
      <c r="C678" s="201"/>
      <c r="D678" s="199"/>
      <c r="E678" s="200"/>
      <c r="F678" s="196" t="str">
        <f>IF($B678="","",SUMIFS('Daily Inward'!$G:$G,'Daily Inward'!$C:$C,$B678,'Daily Inward'!$E:$E,"Patty Cash"))</f>
        <v/>
      </c>
      <c r="G678" s="30" t="str">
        <f>IF($B678="","",SUMIFS('Daily Issuance'!$G:$G,'Daily Issuance'!$C:$C,$B678,'Daily Issuance'!$E:$E,"Patty Cash"))</f>
        <v/>
      </c>
      <c r="H678" s="30" t="str">
        <f t="shared" si="31"/>
        <v/>
      </c>
      <c r="I678" s="33"/>
      <c r="J678" s="34" t="str">
        <f t="shared" si="32"/>
        <v/>
      </c>
    </row>
    <row r="679" spans="1:10" s="27" customFormat="1" ht="23.1" customHeight="1">
      <c r="A679" s="194" t="str">
        <f>IF($C679="","",MAX($A$3:A678)+1)</f>
        <v/>
      </c>
      <c r="B679" s="197" t="str">
        <f t="shared" si="30"/>
        <v/>
      </c>
      <c r="C679" s="201"/>
      <c r="D679" s="199"/>
      <c r="E679" s="200"/>
      <c r="F679" s="196" t="str">
        <f>IF($B679="","",SUMIFS('Daily Inward'!$G:$G,'Daily Inward'!$C:$C,$B679,'Daily Inward'!$E:$E,"Patty Cash"))</f>
        <v/>
      </c>
      <c r="G679" s="30" t="str">
        <f>IF($B679="","",SUMIFS('Daily Issuance'!$G:$G,'Daily Issuance'!$C:$C,$B679,'Daily Issuance'!$E:$E,"Patty Cash"))</f>
        <v/>
      </c>
      <c r="H679" s="30" t="str">
        <f t="shared" si="31"/>
        <v/>
      </c>
      <c r="I679" s="33"/>
      <c r="J679" s="34" t="str">
        <f t="shared" si="32"/>
        <v/>
      </c>
    </row>
    <row r="680" spans="1:10" s="27" customFormat="1" ht="23.1" customHeight="1">
      <c r="A680" s="194" t="str">
        <f>IF($C680="","",MAX($A$3:A679)+1)</f>
        <v/>
      </c>
      <c r="B680" s="197" t="str">
        <f t="shared" si="30"/>
        <v/>
      </c>
      <c r="C680" s="201"/>
      <c r="D680" s="199"/>
      <c r="E680" s="200"/>
      <c r="F680" s="196" t="str">
        <f>IF($B680="","",SUMIFS('Daily Inward'!$G:$G,'Daily Inward'!$C:$C,$B680,'Daily Inward'!$E:$E,"Patty Cash"))</f>
        <v/>
      </c>
      <c r="G680" s="30" t="str">
        <f>IF($B680="","",SUMIFS('Daily Issuance'!$G:$G,'Daily Issuance'!$C:$C,$B680,'Daily Issuance'!$E:$E,"Patty Cash"))</f>
        <v/>
      </c>
      <c r="H680" s="30" t="str">
        <f t="shared" si="31"/>
        <v/>
      </c>
      <c r="I680" s="33"/>
      <c r="J680" s="34" t="str">
        <f t="shared" si="32"/>
        <v/>
      </c>
    </row>
    <row r="681" spans="1:10" s="27" customFormat="1" ht="23.1" customHeight="1">
      <c r="A681" s="194" t="str">
        <f>IF($C681="","",MAX($A$3:A680)+1)</f>
        <v/>
      </c>
      <c r="B681" s="197" t="str">
        <f t="shared" si="30"/>
        <v/>
      </c>
      <c r="C681" s="201"/>
      <c r="D681" s="199"/>
      <c r="E681" s="200"/>
      <c r="F681" s="196" t="str">
        <f>IF($B681="","",SUMIFS('Daily Inward'!$G:$G,'Daily Inward'!$C:$C,$B681,'Daily Inward'!$E:$E,"Patty Cash"))</f>
        <v/>
      </c>
      <c r="G681" s="30" t="str">
        <f>IF($B681="","",SUMIFS('Daily Issuance'!$G:$G,'Daily Issuance'!$C:$C,$B681,'Daily Issuance'!$E:$E,"Patty Cash"))</f>
        <v/>
      </c>
      <c r="H681" s="30" t="str">
        <f t="shared" si="31"/>
        <v/>
      </c>
      <c r="I681" s="33"/>
      <c r="J681" s="34" t="str">
        <f t="shared" si="32"/>
        <v/>
      </c>
    </row>
    <row r="682" spans="1:10" s="27" customFormat="1" ht="23.1" customHeight="1">
      <c r="A682" s="194" t="str">
        <f>IF($C682="","",MAX($A$3:A681)+1)</f>
        <v/>
      </c>
      <c r="B682" s="197" t="str">
        <f t="shared" si="30"/>
        <v/>
      </c>
      <c r="C682" s="201"/>
      <c r="D682" s="199"/>
      <c r="E682" s="200"/>
      <c r="F682" s="196" t="str">
        <f>IF($B682="","",SUMIFS('Daily Inward'!$G:$G,'Daily Inward'!$C:$C,$B682,'Daily Inward'!$E:$E,"Patty Cash"))</f>
        <v/>
      </c>
      <c r="G682" s="30" t="str">
        <f>IF($B682="","",SUMIFS('Daily Issuance'!$G:$G,'Daily Issuance'!$C:$C,$B682,'Daily Issuance'!$E:$E,"Patty Cash"))</f>
        <v/>
      </c>
      <c r="H682" s="30" t="str">
        <f t="shared" si="31"/>
        <v/>
      </c>
      <c r="I682" s="33"/>
      <c r="J682" s="34" t="str">
        <f t="shared" si="32"/>
        <v/>
      </c>
    </row>
    <row r="683" spans="1:10" s="27" customFormat="1" ht="23.1" customHeight="1">
      <c r="A683" s="194" t="str">
        <f>IF($C683="","",MAX($A$3:A682)+1)</f>
        <v/>
      </c>
      <c r="B683" s="197" t="str">
        <f t="shared" si="30"/>
        <v/>
      </c>
      <c r="C683" s="201"/>
      <c r="D683" s="199"/>
      <c r="E683" s="200"/>
      <c r="F683" s="196" t="str">
        <f>IF($B683="","",SUMIFS('Daily Inward'!$G:$G,'Daily Inward'!$C:$C,$B683,'Daily Inward'!$E:$E,"Patty Cash"))</f>
        <v/>
      </c>
      <c r="G683" s="30" t="str">
        <f>IF($B683="","",SUMIFS('Daily Issuance'!$G:$G,'Daily Issuance'!$C:$C,$B683,'Daily Issuance'!$E:$E,"Patty Cash"))</f>
        <v/>
      </c>
      <c r="H683" s="30" t="str">
        <f t="shared" si="31"/>
        <v/>
      </c>
      <c r="I683" s="33"/>
      <c r="J683" s="34" t="str">
        <f t="shared" si="32"/>
        <v/>
      </c>
    </row>
    <row r="684" spans="1:10" s="27" customFormat="1" ht="23.1" customHeight="1">
      <c r="A684" s="194" t="str">
        <f>IF($C684="","",MAX($A$3:A683)+1)</f>
        <v/>
      </c>
      <c r="B684" s="197" t="str">
        <f t="shared" si="30"/>
        <v/>
      </c>
      <c r="C684" s="201"/>
      <c r="D684" s="199"/>
      <c r="E684" s="200"/>
      <c r="F684" s="196" t="str">
        <f>IF($B684="","",SUMIFS('Daily Inward'!$G:$G,'Daily Inward'!$C:$C,$B684,'Daily Inward'!$E:$E,"Patty Cash"))</f>
        <v/>
      </c>
      <c r="G684" s="30" t="str">
        <f>IF($B684="","",SUMIFS('Daily Issuance'!$G:$G,'Daily Issuance'!$C:$C,$B684,'Daily Issuance'!$E:$E,"Patty Cash"))</f>
        <v/>
      </c>
      <c r="H684" s="30" t="str">
        <f t="shared" si="31"/>
        <v/>
      </c>
      <c r="I684" s="33"/>
      <c r="J684" s="34" t="str">
        <f t="shared" si="32"/>
        <v/>
      </c>
    </row>
    <row r="685" spans="1:10" s="27" customFormat="1" ht="23.1" customHeight="1">
      <c r="A685" s="194" t="str">
        <f>IF($C685="","",MAX($A$3:A684)+1)</f>
        <v/>
      </c>
      <c r="B685" s="197" t="str">
        <f t="shared" si="30"/>
        <v/>
      </c>
      <c r="C685" s="201"/>
      <c r="D685" s="199"/>
      <c r="E685" s="200"/>
      <c r="F685" s="196" t="str">
        <f>IF($B685="","",SUMIFS('Daily Inward'!$G:$G,'Daily Inward'!$C:$C,$B685,'Daily Inward'!$E:$E,"Patty Cash"))</f>
        <v/>
      </c>
      <c r="G685" s="30" t="str">
        <f>IF($B685="","",SUMIFS('Daily Issuance'!$G:$G,'Daily Issuance'!$C:$C,$B685,'Daily Issuance'!$E:$E,"Patty Cash"))</f>
        <v/>
      </c>
      <c r="H685" s="30" t="str">
        <f t="shared" si="31"/>
        <v/>
      </c>
      <c r="I685" s="33"/>
      <c r="J685" s="34" t="str">
        <f t="shared" si="32"/>
        <v/>
      </c>
    </row>
    <row r="686" spans="1:10" s="27" customFormat="1" ht="23.1" customHeight="1">
      <c r="A686" s="194" t="str">
        <f>IF($C686="","",MAX($A$3:A685)+1)</f>
        <v/>
      </c>
      <c r="B686" s="197" t="str">
        <f t="shared" si="30"/>
        <v/>
      </c>
      <c r="C686" s="201"/>
      <c r="D686" s="199"/>
      <c r="E686" s="200"/>
      <c r="F686" s="196" t="str">
        <f>IF($B686="","",SUMIFS('Daily Inward'!$G:$G,'Daily Inward'!$C:$C,$B686,'Daily Inward'!$E:$E,"Patty Cash"))</f>
        <v/>
      </c>
      <c r="G686" s="30" t="str">
        <f>IF($B686="","",SUMIFS('Daily Issuance'!$G:$G,'Daily Issuance'!$C:$C,$B686,'Daily Issuance'!$E:$E,"Patty Cash"))</f>
        <v/>
      </c>
      <c r="H686" s="30" t="str">
        <f t="shared" si="31"/>
        <v/>
      </c>
      <c r="I686" s="33"/>
      <c r="J686" s="34" t="str">
        <f t="shared" si="32"/>
        <v/>
      </c>
    </row>
    <row r="687" spans="1:10" s="27" customFormat="1" ht="23.1" customHeight="1">
      <c r="A687" s="194" t="str">
        <f>IF($C687="","",MAX($A$3:A686)+1)</f>
        <v/>
      </c>
      <c r="B687" s="197" t="str">
        <f t="shared" si="30"/>
        <v/>
      </c>
      <c r="C687" s="201"/>
      <c r="D687" s="199"/>
      <c r="E687" s="200"/>
      <c r="F687" s="196" t="str">
        <f>IF($B687="","",SUMIFS('Daily Inward'!$G:$G,'Daily Inward'!$C:$C,$B687,'Daily Inward'!$E:$E,"Patty Cash"))</f>
        <v/>
      </c>
      <c r="G687" s="30" t="str">
        <f>IF($B687="","",SUMIFS('Daily Issuance'!$G:$G,'Daily Issuance'!$C:$C,$B687,'Daily Issuance'!$E:$E,"Patty Cash"))</f>
        <v/>
      </c>
      <c r="H687" s="30" t="str">
        <f t="shared" si="31"/>
        <v/>
      </c>
      <c r="I687" s="33"/>
      <c r="J687" s="34" t="str">
        <f t="shared" si="32"/>
        <v/>
      </c>
    </row>
    <row r="688" spans="1:10" s="27" customFormat="1" ht="23.1" customHeight="1">
      <c r="A688" s="194" t="str">
        <f>IF($C688="","",MAX($A$3:A687)+1)</f>
        <v/>
      </c>
      <c r="B688" s="197" t="str">
        <f t="shared" si="30"/>
        <v/>
      </c>
      <c r="C688" s="201"/>
      <c r="D688" s="199"/>
      <c r="E688" s="200"/>
      <c r="F688" s="196" t="str">
        <f>IF($B688="","",SUMIFS('Daily Inward'!$G:$G,'Daily Inward'!$C:$C,$B688,'Daily Inward'!$E:$E,"Patty Cash"))</f>
        <v/>
      </c>
      <c r="G688" s="30" t="str">
        <f>IF($B688="","",SUMIFS('Daily Issuance'!$G:$G,'Daily Issuance'!$C:$C,$B688,'Daily Issuance'!$E:$E,"Patty Cash"))</f>
        <v/>
      </c>
      <c r="H688" s="30" t="str">
        <f t="shared" si="31"/>
        <v/>
      </c>
      <c r="I688" s="33"/>
      <c r="J688" s="34" t="str">
        <f t="shared" si="32"/>
        <v/>
      </c>
    </row>
    <row r="689" spans="1:10" s="27" customFormat="1" ht="23.1" customHeight="1">
      <c r="A689" s="194" t="str">
        <f>IF($C689="","",MAX($A$3:A688)+1)</f>
        <v/>
      </c>
      <c r="B689" s="197" t="str">
        <f t="shared" si="30"/>
        <v/>
      </c>
      <c r="C689" s="201"/>
      <c r="D689" s="199"/>
      <c r="E689" s="200"/>
      <c r="F689" s="196" t="str">
        <f>IF($B689="","",SUMIFS('Daily Inward'!$G:$G,'Daily Inward'!$C:$C,$B689,'Daily Inward'!$E:$E,"Patty Cash"))</f>
        <v/>
      </c>
      <c r="G689" s="30" t="str">
        <f>IF($B689="","",SUMIFS('Daily Issuance'!$G:$G,'Daily Issuance'!$C:$C,$B689,'Daily Issuance'!$E:$E,"Patty Cash"))</f>
        <v/>
      </c>
      <c r="H689" s="30" t="str">
        <f t="shared" si="31"/>
        <v/>
      </c>
      <c r="I689" s="33"/>
      <c r="J689" s="34" t="str">
        <f t="shared" si="32"/>
        <v/>
      </c>
    </row>
    <row r="690" spans="1:10" s="27" customFormat="1" ht="23.1" customHeight="1">
      <c r="A690" s="194" t="str">
        <f>IF($C690="","",MAX($A$3:A689)+1)</f>
        <v/>
      </c>
      <c r="B690" s="197" t="str">
        <f t="shared" si="30"/>
        <v/>
      </c>
      <c r="C690" s="201"/>
      <c r="D690" s="199"/>
      <c r="E690" s="200"/>
      <c r="F690" s="196" t="str">
        <f>IF($B690="","",SUMIFS('Daily Inward'!$G:$G,'Daily Inward'!$C:$C,$B690,'Daily Inward'!$E:$E,"Patty Cash"))</f>
        <v/>
      </c>
      <c r="G690" s="30" t="str">
        <f>IF($B690="","",SUMIFS('Daily Issuance'!$G:$G,'Daily Issuance'!$C:$C,$B690,'Daily Issuance'!$E:$E,"Patty Cash"))</f>
        <v/>
      </c>
      <c r="H690" s="30" t="str">
        <f t="shared" si="31"/>
        <v/>
      </c>
      <c r="I690" s="33"/>
      <c r="J690" s="34" t="str">
        <f t="shared" si="32"/>
        <v/>
      </c>
    </row>
    <row r="691" spans="1:10" s="27" customFormat="1" ht="23.1" customHeight="1">
      <c r="A691" s="194" t="str">
        <f>IF($C691="","",MAX($A$3:A690)+1)</f>
        <v/>
      </c>
      <c r="B691" s="197" t="str">
        <f t="shared" si="30"/>
        <v/>
      </c>
      <c r="C691" s="201"/>
      <c r="D691" s="199"/>
      <c r="E691" s="200"/>
      <c r="F691" s="196" t="str">
        <f>IF($B691="","",SUMIFS('Daily Inward'!$G:$G,'Daily Inward'!$C:$C,$B691,'Daily Inward'!$E:$E,"Patty Cash"))</f>
        <v/>
      </c>
      <c r="G691" s="30" t="str">
        <f>IF($B691="","",SUMIFS('Daily Issuance'!$G:$G,'Daily Issuance'!$C:$C,$B691,'Daily Issuance'!$E:$E,"Patty Cash"))</f>
        <v/>
      </c>
      <c r="H691" s="30" t="str">
        <f t="shared" si="31"/>
        <v/>
      </c>
      <c r="I691" s="33"/>
      <c r="J691" s="34" t="str">
        <f t="shared" si="32"/>
        <v/>
      </c>
    </row>
    <row r="692" spans="1:10" s="27" customFormat="1" ht="23.1" customHeight="1">
      <c r="A692" s="194" t="str">
        <f>IF($C692="","",MAX($A$3:A691)+1)</f>
        <v/>
      </c>
      <c r="B692" s="197" t="str">
        <f t="shared" si="30"/>
        <v/>
      </c>
      <c r="C692" s="201"/>
      <c r="D692" s="199"/>
      <c r="E692" s="200"/>
      <c r="F692" s="196" t="str">
        <f>IF($B692="","",SUMIFS('Daily Inward'!$G:$G,'Daily Inward'!$C:$C,$B692,'Daily Inward'!$E:$E,"Patty Cash"))</f>
        <v/>
      </c>
      <c r="G692" s="30" t="str">
        <f>IF($B692="","",SUMIFS('Daily Issuance'!$G:$G,'Daily Issuance'!$C:$C,$B692,'Daily Issuance'!$E:$E,"Patty Cash"))</f>
        <v/>
      </c>
      <c r="H692" s="30" t="str">
        <f t="shared" si="31"/>
        <v/>
      </c>
      <c r="I692" s="33"/>
      <c r="J692" s="34" t="str">
        <f t="shared" si="32"/>
        <v/>
      </c>
    </row>
    <row r="693" spans="1:10" s="27" customFormat="1" ht="23.1" customHeight="1">
      <c r="A693" s="194" t="str">
        <f>IF($C693="","",MAX($A$3:A692)+1)</f>
        <v/>
      </c>
      <c r="B693" s="197" t="str">
        <f t="shared" si="30"/>
        <v/>
      </c>
      <c r="C693" s="201"/>
      <c r="D693" s="199"/>
      <c r="E693" s="200"/>
      <c r="F693" s="196" t="str">
        <f>IF($B693="","",SUMIFS('Daily Inward'!$G:$G,'Daily Inward'!$C:$C,$B693,'Daily Inward'!$E:$E,"Patty Cash"))</f>
        <v/>
      </c>
      <c r="G693" s="30" t="str">
        <f>IF($B693="","",SUMIFS('Daily Issuance'!$G:$G,'Daily Issuance'!$C:$C,$B693,'Daily Issuance'!$E:$E,"Patty Cash"))</f>
        <v/>
      </c>
      <c r="H693" s="30" t="str">
        <f t="shared" si="31"/>
        <v/>
      </c>
      <c r="I693" s="33"/>
      <c r="J693" s="34" t="str">
        <f t="shared" si="32"/>
        <v/>
      </c>
    </row>
    <row r="694" spans="1:10" s="27" customFormat="1" ht="23.1" customHeight="1">
      <c r="A694" s="194" t="str">
        <f>IF($C694="","",MAX($A$3:A693)+1)</f>
        <v/>
      </c>
      <c r="B694" s="197" t="str">
        <f t="shared" si="30"/>
        <v/>
      </c>
      <c r="C694" s="201"/>
      <c r="D694" s="199"/>
      <c r="E694" s="200"/>
      <c r="F694" s="196" t="str">
        <f>IF($B694="","",SUMIFS('Daily Inward'!$G:$G,'Daily Inward'!$C:$C,$B694,'Daily Inward'!$E:$E,"Patty Cash"))</f>
        <v/>
      </c>
      <c r="G694" s="30" t="str">
        <f>IF($B694="","",SUMIFS('Daily Issuance'!$G:$G,'Daily Issuance'!$C:$C,$B694,'Daily Issuance'!$E:$E,"Patty Cash"))</f>
        <v/>
      </c>
      <c r="H694" s="30" t="str">
        <f t="shared" si="31"/>
        <v/>
      </c>
      <c r="I694" s="33"/>
      <c r="J694" s="34" t="str">
        <f t="shared" si="32"/>
        <v/>
      </c>
    </row>
    <row r="695" spans="1:10" s="27" customFormat="1" ht="23.1" customHeight="1">
      <c r="A695" s="194" t="str">
        <f>IF($C695="","",MAX($A$3:A694)+1)</f>
        <v/>
      </c>
      <c r="B695" s="197" t="str">
        <f t="shared" si="30"/>
        <v/>
      </c>
      <c r="C695" s="201"/>
      <c r="D695" s="199"/>
      <c r="E695" s="200"/>
      <c r="F695" s="196" t="str">
        <f>IF($B695="","",SUMIFS('Daily Inward'!$G:$G,'Daily Inward'!$C:$C,$B695,'Daily Inward'!$E:$E,"Patty Cash"))</f>
        <v/>
      </c>
      <c r="G695" s="30" t="str">
        <f>IF($B695="","",SUMIFS('Daily Issuance'!$G:$G,'Daily Issuance'!$C:$C,$B695,'Daily Issuance'!$E:$E,"Patty Cash"))</f>
        <v/>
      </c>
      <c r="H695" s="30" t="str">
        <f t="shared" si="31"/>
        <v/>
      </c>
      <c r="I695" s="33"/>
      <c r="J695" s="34" t="str">
        <f t="shared" si="32"/>
        <v/>
      </c>
    </row>
    <row r="696" spans="1:10" s="27" customFormat="1" ht="23.1" customHeight="1">
      <c r="A696" s="194" t="str">
        <f>IF($C696="","",MAX($A$3:A695)+1)</f>
        <v/>
      </c>
      <c r="B696" s="197" t="str">
        <f t="shared" si="30"/>
        <v/>
      </c>
      <c r="C696" s="201"/>
      <c r="D696" s="199"/>
      <c r="E696" s="200"/>
      <c r="F696" s="196" t="str">
        <f>IF($B696="","",SUMIFS('Daily Inward'!$G:$G,'Daily Inward'!$C:$C,$B696,'Daily Inward'!$E:$E,"Patty Cash"))</f>
        <v/>
      </c>
      <c r="G696" s="30" t="str">
        <f>IF($B696="","",SUMIFS('Daily Issuance'!$G:$G,'Daily Issuance'!$C:$C,$B696,'Daily Issuance'!$E:$E,"Patty Cash"))</f>
        <v/>
      </c>
      <c r="H696" s="30" t="str">
        <f t="shared" si="31"/>
        <v/>
      </c>
      <c r="I696" s="33"/>
      <c r="J696" s="34" t="str">
        <f t="shared" si="32"/>
        <v/>
      </c>
    </row>
    <row r="697" spans="1:10" s="27" customFormat="1" ht="23.1" customHeight="1">
      <c r="A697" s="194" t="str">
        <f>IF($C697="","",MAX($A$3:A696)+1)</f>
        <v/>
      </c>
      <c r="B697" s="197" t="str">
        <f t="shared" si="30"/>
        <v/>
      </c>
      <c r="C697" s="201"/>
      <c r="D697" s="199"/>
      <c r="E697" s="200"/>
      <c r="F697" s="196" t="str">
        <f>IF($B697="","",SUMIFS('Daily Inward'!$G:$G,'Daily Inward'!$C:$C,$B697,'Daily Inward'!$E:$E,"Patty Cash"))</f>
        <v/>
      </c>
      <c r="G697" s="30" t="str">
        <f>IF($B697="","",SUMIFS('Daily Issuance'!$G:$G,'Daily Issuance'!$C:$C,$B697,'Daily Issuance'!$E:$E,"Patty Cash"))</f>
        <v/>
      </c>
      <c r="H697" s="30" t="str">
        <f t="shared" si="31"/>
        <v/>
      </c>
      <c r="I697" s="33"/>
      <c r="J697" s="34" t="str">
        <f t="shared" si="32"/>
        <v/>
      </c>
    </row>
    <row r="698" spans="1:10" s="27" customFormat="1" ht="23.1" customHeight="1">
      <c r="A698" s="194" t="str">
        <f>IF($C698="","",MAX($A$3:A697)+1)</f>
        <v/>
      </c>
      <c r="B698" s="197" t="str">
        <f t="shared" si="30"/>
        <v/>
      </c>
      <c r="C698" s="201"/>
      <c r="D698" s="199"/>
      <c r="E698" s="200"/>
      <c r="F698" s="196" t="str">
        <f>IF($B698="","",SUMIFS('Daily Inward'!$G:$G,'Daily Inward'!$C:$C,$B698,'Daily Inward'!$E:$E,"Patty Cash"))</f>
        <v/>
      </c>
      <c r="G698" s="30" t="str">
        <f>IF($B698="","",SUMIFS('Daily Issuance'!$G:$G,'Daily Issuance'!$C:$C,$B698,'Daily Issuance'!$E:$E,"Patty Cash"))</f>
        <v/>
      </c>
      <c r="H698" s="30" t="str">
        <f t="shared" si="31"/>
        <v/>
      </c>
      <c r="I698" s="33"/>
      <c r="J698" s="34" t="str">
        <f t="shared" si="32"/>
        <v/>
      </c>
    </row>
    <row r="699" spans="1:10" s="27" customFormat="1" ht="23.1" customHeight="1">
      <c r="A699" s="194" t="str">
        <f>IF($C699="","",MAX($A$3:A698)+1)</f>
        <v/>
      </c>
      <c r="B699" s="197" t="str">
        <f t="shared" si="30"/>
        <v/>
      </c>
      <c r="C699" s="201"/>
      <c r="D699" s="199"/>
      <c r="E699" s="200"/>
      <c r="F699" s="196" t="str">
        <f>IF($B699="","",SUMIFS('Daily Inward'!$G:$G,'Daily Inward'!$C:$C,$B699,'Daily Inward'!$E:$E,"Patty Cash"))</f>
        <v/>
      </c>
      <c r="G699" s="30" t="str">
        <f>IF($B699="","",SUMIFS('Daily Issuance'!$G:$G,'Daily Issuance'!$C:$C,$B699,'Daily Issuance'!$E:$E,"Patty Cash"))</f>
        <v/>
      </c>
      <c r="H699" s="30" t="str">
        <f t="shared" si="31"/>
        <v/>
      </c>
      <c r="I699" s="33"/>
      <c r="J699" s="34" t="str">
        <f t="shared" si="32"/>
        <v/>
      </c>
    </row>
    <row r="700" spans="1:10" s="27" customFormat="1" ht="23.1" customHeight="1">
      <c r="A700" s="194" t="str">
        <f>IF($C700="","",MAX($A$3:A699)+1)</f>
        <v/>
      </c>
      <c r="B700" s="197" t="str">
        <f t="shared" si="30"/>
        <v/>
      </c>
      <c r="C700" s="201"/>
      <c r="D700" s="199"/>
      <c r="E700" s="200"/>
      <c r="F700" s="196" t="str">
        <f>IF($B700="","",SUMIFS('Daily Inward'!$G:$G,'Daily Inward'!$C:$C,$B700,'Daily Inward'!$E:$E,"Patty Cash"))</f>
        <v/>
      </c>
      <c r="G700" s="30" t="str">
        <f>IF($B700="","",SUMIFS('Daily Issuance'!$G:$G,'Daily Issuance'!$C:$C,$B700,'Daily Issuance'!$E:$E,"Patty Cash"))</f>
        <v/>
      </c>
      <c r="H700" s="30" t="str">
        <f t="shared" si="31"/>
        <v/>
      </c>
      <c r="I700" s="33"/>
      <c r="J700" s="34" t="str">
        <f t="shared" si="32"/>
        <v/>
      </c>
    </row>
    <row r="701" spans="1:10" s="27" customFormat="1" ht="23.1" customHeight="1">
      <c r="A701" s="194" t="str">
        <f>IF($C701="","",MAX($A$3:A700)+1)</f>
        <v/>
      </c>
      <c r="B701" s="197" t="str">
        <f t="shared" si="30"/>
        <v/>
      </c>
      <c r="C701" s="201"/>
      <c r="D701" s="199"/>
      <c r="E701" s="200"/>
      <c r="F701" s="196" t="str">
        <f>IF($B701="","",SUMIFS('Daily Inward'!$G:$G,'Daily Inward'!$C:$C,$B701,'Daily Inward'!$E:$E,"Patty Cash"))</f>
        <v/>
      </c>
      <c r="G701" s="30" t="str">
        <f>IF($B701="","",SUMIFS('Daily Issuance'!$G:$G,'Daily Issuance'!$C:$C,$B701,'Daily Issuance'!$E:$E,"Patty Cash"))</f>
        <v/>
      </c>
      <c r="H701" s="30" t="str">
        <f t="shared" si="31"/>
        <v/>
      </c>
      <c r="I701" s="33"/>
      <c r="J701" s="34" t="str">
        <f t="shared" si="32"/>
        <v/>
      </c>
    </row>
    <row r="702" spans="1:10" s="27" customFormat="1" ht="23.1" customHeight="1">
      <c r="A702" s="194" t="str">
        <f>IF($C702="","",MAX($A$3:A701)+1)</f>
        <v/>
      </c>
      <c r="B702" s="197" t="str">
        <f t="shared" si="30"/>
        <v/>
      </c>
      <c r="C702" s="201"/>
      <c r="D702" s="199"/>
      <c r="E702" s="200"/>
      <c r="F702" s="196" t="str">
        <f>IF($B702="","",SUMIFS('Daily Inward'!$G:$G,'Daily Inward'!$C:$C,$B702,'Daily Inward'!$E:$E,"Patty Cash"))</f>
        <v/>
      </c>
      <c r="G702" s="30" t="str">
        <f>IF($B702="","",SUMIFS('Daily Issuance'!$G:$G,'Daily Issuance'!$C:$C,$B702,'Daily Issuance'!$E:$E,"Patty Cash"))</f>
        <v/>
      </c>
      <c r="H702" s="30" t="str">
        <f t="shared" si="31"/>
        <v/>
      </c>
      <c r="I702" s="33"/>
      <c r="J702" s="34" t="str">
        <f t="shared" si="32"/>
        <v/>
      </c>
    </row>
    <row r="703" spans="1:10" s="27" customFormat="1" ht="23.1" customHeight="1">
      <c r="A703" s="194" t="str">
        <f>IF($C703="","",MAX($A$3:A702)+1)</f>
        <v/>
      </c>
      <c r="B703" s="197" t="str">
        <f t="shared" si="30"/>
        <v/>
      </c>
      <c r="C703" s="201"/>
      <c r="D703" s="199"/>
      <c r="E703" s="200"/>
      <c r="F703" s="196" t="str">
        <f>IF($B703="","",SUMIFS('Daily Inward'!$G:$G,'Daily Inward'!$C:$C,$B703,'Daily Inward'!$E:$E,"Patty Cash"))</f>
        <v/>
      </c>
      <c r="G703" s="30" t="str">
        <f>IF($B703="","",SUMIFS('Daily Issuance'!$G:$G,'Daily Issuance'!$C:$C,$B703,'Daily Issuance'!$E:$E,"Patty Cash"))</f>
        <v/>
      </c>
      <c r="H703" s="30" t="str">
        <f t="shared" si="31"/>
        <v/>
      </c>
      <c r="I703" s="33"/>
      <c r="J703" s="34" t="str">
        <f t="shared" si="32"/>
        <v/>
      </c>
    </row>
    <row r="704" spans="1:10" s="27" customFormat="1" ht="23.1" customHeight="1">
      <c r="A704" s="194" t="str">
        <f>IF($C704="","",MAX($A$3:A703)+1)</f>
        <v/>
      </c>
      <c r="B704" s="197" t="str">
        <f t="shared" si="30"/>
        <v/>
      </c>
      <c r="C704" s="201"/>
      <c r="D704" s="199"/>
      <c r="E704" s="200"/>
      <c r="F704" s="196" t="str">
        <f>IF($B704="","",SUMIFS('Daily Inward'!$G:$G,'Daily Inward'!$C:$C,$B704,'Daily Inward'!$E:$E,"Patty Cash"))</f>
        <v/>
      </c>
      <c r="G704" s="30" t="str">
        <f>IF($B704="","",SUMIFS('Daily Issuance'!$G:$G,'Daily Issuance'!$C:$C,$B704,'Daily Issuance'!$E:$E,"Patty Cash"))</f>
        <v/>
      </c>
      <c r="H704" s="30" t="str">
        <f t="shared" si="31"/>
        <v/>
      </c>
      <c r="I704" s="33"/>
      <c r="J704" s="34" t="str">
        <f t="shared" si="32"/>
        <v/>
      </c>
    </row>
    <row r="705" spans="1:10" s="27" customFormat="1" ht="23.1" customHeight="1">
      <c r="A705" s="194" t="str">
        <f>IF($C705="","",MAX($A$3:A704)+1)</f>
        <v/>
      </c>
      <c r="B705" s="197" t="str">
        <f t="shared" si="30"/>
        <v/>
      </c>
      <c r="C705" s="201"/>
      <c r="D705" s="199"/>
      <c r="E705" s="200"/>
      <c r="F705" s="196" t="str">
        <f>IF($B705="","",SUMIFS('Daily Inward'!$G:$G,'Daily Inward'!$C:$C,$B705,'Daily Inward'!$E:$E,"Patty Cash"))</f>
        <v/>
      </c>
      <c r="G705" s="30" t="str">
        <f>IF($B705="","",SUMIFS('Daily Issuance'!$G:$G,'Daily Issuance'!$C:$C,$B705,'Daily Issuance'!$E:$E,"Patty Cash"))</f>
        <v/>
      </c>
      <c r="H705" s="30" t="str">
        <f t="shared" si="31"/>
        <v/>
      </c>
      <c r="I705" s="33"/>
      <c r="J705" s="34" t="str">
        <f t="shared" si="32"/>
        <v/>
      </c>
    </row>
    <row r="706" spans="1:10" s="27" customFormat="1" ht="23.1" customHeight="1">
      <c r="A706" s="194" t="str">
        <f>IF($C706="","",MAX($A$3:A705)+1)</f>
        <v/>
      </c>
      <c r="B706" s="197" t="str">
        <f t="shared" si="30"/>
        <v/>
      </c>
      <c r="C706" s="201"/>
      <c r="D706" s="199"/>
      <c r="E706" s="200"/>
      <c r="F706" s="196" t="str">
        <f>IF($B706="","",SUMIFS('Daily Inward'!$G:$G,'Daily Inward'!$C:$C,$B706,'Daily Inward'!$E:$E,"Patty Cash"))</f>
        <v/>
      </c>
      <c r="G706" s="30" t="str">
        <f>IF($B706="","",SUMIFS('Daily Issuance'!$G:$G,'Daily Issuance'!$C:$C,$B706,'Daily Issuance'!$E:$E,"Patty Cash"))</f>
        <v/>
      </c>
      <c r="H706" s="30" t="str">
        <f t="shared" si="31"/>
        <v/>
      </c>
      <c r="I706" s="33"/>
      <c r="J706" s="34" t="str">
        <f t="shared" si="32"/>
        <v/>
      </c>
    </row>
    <row r="707" spans="1:10" s="27" customFormat="1" ht="23.1" customHeight="1">
      <c r="A707" s="194" t="str">
        <f>IF($C707="","",MAX($A$3:A706)+1)</f>
        <v/>
      </c>
      <c r="B707" s="197" t="str">
        <f t="shared" si="30"/>
        <v/>
      </c>
      <c r="C707" s="201"/>
      <c r="D707" s="199"/>
      <c r="E707" s="200"/>
      <c r="F707" s="196" t="str">
        <f>IF($B707="","",SUMIFS('Daily Inward'!$G:$G,'Daily Inward'!$C:$C,$B707,'Daily Inward'!$E:$E,"Patty Cash"))</f>
        <v/>
      </c>
      <c r="G707" s="30" t="str">
        <f>IF($B707="","",SUMIFS('Daily Issuance'!$G:$G,'Daily Issuance'!$C:$C,$B707,'Daily Issuance'!$E:$E,"Patty Cash"))</f>
        <v/>
      </c>
      <c r="H707" s="30" t="str">
        <f t="shared" si="31"/>
        <v/>
      </c>
      <c r="I707" s="33"/>
      <c r="J707" s="34" t="str">
        <f t="shared" si="32"/>
        <v/>
      </c>
    </row>
    <row r="708" spans="1:10" s="27" customFormat="1" ht="23.1" customHeight="1">
      <c r="A708" s="194" t="str">
        <f>IF($C708="","",MAX($A$3:A707)+1)</f>
        <v/>
      </c>
      <c r="B708" s="197" t="str">
        <f t="shared" si="30"/>
        <v/>
      </c>
      <c r="C708" s="201"/>
      <c r="D708" s="199"/>
      <c r="E708" s="200"/>
      <c r="F708" s="196" t="str">
        <f>IF($B708="","",SUMIFS('Daily Inward'!$G:$G,'Daily Inward'!$C:$C,$B708,'Daily Inward'!$E:$E,"Patty Cash"))</f>
        <v/>
      </c>
      <c r="G708" s="30" t="str">
        <f>IF($B708="","",SUMIFS('Daily Issuance'!$G:$G,'Daily Issuance'!$C:$C,$B708,'Daily Issuance'!$E:$E,"Patty Cash"))</f>
        <v/>
      </c>
      <c r="H708" s="30" t="str">
        <f t="shared" si="31"/>
        <v/>
      </c>
      <c r="I708" s="33"/>
      <c r="J708" s="34" t="str">
        <f t="shared" si="32"/>
        <v/>
      </c>
    </row>
    <row r="709" spans="1:10" s="27" customFormat="1" ht="23.1" customHeight="1">
      <c r="A709" s="194" t="str">
        <f>IF($C709="","",MAX($A$3:A708)+1)</f>
        <v/>
      </c>
      <c r="B709" s="197" t="str">
        <f t="shared" ref="B709:B772" si="33">IF($C709="","","PTC"&amp;TEXT(ROW()-4,"000"))</f>
        <v/>
      </c>
      <c r="C709" s="201"/>
      <c r="D709" s="199"/>
      <c r="E709" s="200"/>
      <c r="F709" s="196" t="str">
        <f>IF($B709="","",SUMIFS('Daily Inward'!$G:$G,'Daily Inward'!$C:$C,$B709,'Daily Inward'!$E:$E,"Patty Cash"))</f>
        <v/>
      </c>
      <c r="G709" s="30" t="str">
        <f>IF($B709="","",SUMIFS('Daily Issuance'!$G:$G,'Daily Issuance'!$C:$C,$B709,'Daily Issuance'!$E:$E,"Patty Cash"))</f>
        <v/>
      </c>
      <c r="H709" s="30" t="str">
        <f t="shared" ref="H709:H772" si="34">IF($B709="","",F709-G709)</f>
        <v/>
      </c>
      <c r="I709" s="33"/>
      <c r="J709" s="34" t="str">
        <f t="shared" ref="J709:J772" si="35">IF(OR(H709="",I709=""),"",H709*I709)</f>
        <v/>
      </c>
    </row>
    <row r="710" spans="1:10" s="27" customFormat="1" ht="23.1" customHeight="1">
      <c r="A710" s="194" t="str">
        <f>IF($C710="","",MAX($A$3:A709)+1)</f>
        <v/>
      </c>
      <c r="B710" s="197" t="str">
        <f t="shared" si="33"/>
        <v/>
      </c>
      <c r="C710" s="201"/>
      <c r="D710" s="199"/>
      <c r="E710" s="200"/>
      <c r="F710" s="196" t="str">
        <f>IF($B710="","",SUMIFS('Daily Inward'!$G:$G,'Daily Inward'!$C:$C,$B710,'Daily Inward'!$E:$E,"Patty Cash"))</f>
        <v/>
      </c>
      <c r="G710" s="30" t="str">
        <f>IF($B710="","",SUMIFS('Daily Issuance'!$G:$G,'Daily Issuance'!$C:$C,$B710,'Daily Issuance'!$E:$E,"Patty Cash"))</f>
        <v/>
      </c>
      <c r="H710" s="30" t="str">
        <f t="shared" si="34"/>
        <v/>
      </c>
      <c r="I710" s="33"/>
      <c r="J710" s="34" t="str">
        <f t="shared" si="35"/>
        <v/>
      </c>
    </row>
    <row r="711" spans="1:10" s="27" customFormat="1" ht="23.1" customHeight="1">
      <c r="A711" s="194" t="str">
        <f>IF($C711="","",MAX($A$3:A710)+1)</f>
        <v/>
      </c>
      <c r="B711" s="197" t="str">
        <f t="shared" si="33"/>
        <v/>
      </c>
      <c r="C711" s="201"/>
      <c r="D711" s="199"/>
      <c r="E711" s="200"/>
      <c r="F711" s="196" t="str">
        <f>IF($B711="","",SUMIFS('Daily Inward'!$G:$G,'Daily Inward'!$C:$C,$B711,'Daily Inward'!$E:$E,"Patty Cash"))</f>
        <v/>
      </c>
      <c r="G711" s="30" t="str">
        <f>IF($B711="","",SUMIFS('Daily Issuance'!$G:$G,'Daily Issuance'!$C:$C,$B711,'Daily Issuance'!$E:$E,"Patty Cash"))</f>
        <v/>
      </c>
      <c r="H711" s="30" t="str">
        <f t="shared" si="34"/>
        <v/>
      </c>
      <c r="I711" s="33"/>
      <c r="J711" s="34" t="str">
        <f t="shared" si="35"/>
        <v/>
      </c>
    </row>
    <row r="712" spans="1:10" s="27" customFormat="1" ht="23.1" customHeight="1">
      <c r="A712" s="194" t="str">
        <f>IF($C712="","",MAX($A$3:A711)+1)</f>
        <v/>
      </c>
      <c r="B712" s="197" t="str">
        <f t="shared" si="33"/>
        <v/>
      </c>
      <c r="C712" s="201"/>
      <c r="D712" s="199"/>
      <c r="E712" s="200"/>
      <c r="F712" s="196" t="str">
        <f>IF($B712="","",SUMIFS('Daily Inward'!$G:$G,'Daily Inward'!$C:$C,$B712,'Daily Inward'!$E:$E,"Patty Cash"))</f>
        <v/>
      </c>
      <c r="G712" s="30" t="str">
        <f>IF($B712="","",SUMIFS('Daily Issuance'!$G:$G,'Daily Issuance'!$C:$C,$B712,'Daily Issuance'!$E:$E,"Patty Cash"))</f>
        <v/>
      </c>
      <c r="H712" s="30" t="str">
        <f t="shared" si="34"/>
        <v/>
      </c>
      <c r="I712" s="33"/>
      <c r="J712" s="34" t="str">
        <f t="shared" si="35"/>
        <v/>
      </c>
    </row>
    <row r="713" spans="1:10" s="27" customFormat="1" ht="23.1" customHeight="1">
      <c r="A713" s="194" t="str">
        <f>IF($C713="","",MAX($A$3:A712)+1)</f>
        <v/>
      </c>
      <c r="B713" s="197" t="str">
        <f t="shared" si="33"/>
        <v/>
      </c>
      <c r="C713" s="201"/>
      <c r="D713" s="199"/>
      <c r="E713" s="200"/>
      <c r="F713" s="196" t="str">
        <f>IF($B713="","",SUMIFS('Daily Inward'!$G:$G,'Daily Inward'!$C:$C,$B713,'Daily Inward'!$E:$E,"Patty Cash"))</f>
        <v/>
      </c>
      <c r="G713" s="30" t="str">
        <f>IF($B713="","",SUMIFS('Daily Issuance'!$G:$G,'Daily Issuance'!$C:$C,$B713,'Daily Issuance'!$E:$E,"Patty Cash"))</f>
        <v/>
      </c>
      <c r="H713" s="30" t="str">
        <f t="shared" si="34"/>
        <v/>
      </c>
      <c r="I713" s="33"/>
      <c r="J713" s="34" t="str">
        <f t="shared" si="35"/>
        <v/>
      </c>
    </row>
    <row r="714" spans="1:10" s="27" customFormat="1" ht="23.1" customHeight="1">
      <c r="A714" s="194" t="str">
        <f>IF($C714="","",MAX($A$3:A713)+1)</f>
        <v/>
      </c>
      <c r="B714" s="197" t="str">
        <f t="shared" si="33"/>
        <v/>
      </c>
      <c r="C714" s="201"/>
      <c r="D714" s="199"/>
      <c r="E714" s="200"/>
      <c r="F714" s="196" t="str">
        <f>IF($B714="","",SUMIFS('Daily Inward'!$G:$G,'Daily Inward'!$C:$C,$B714,'Daily Inward'!$E:$E,"Patty Cash"))</f>
        <v/>
      </c>
      <c r="G714" s="30" t="str">
        <f>IF($B714="","",SUMIFS('Daily Issuance'!$G:$G,'Daily Issuance'!$C:$C,$B714,'Daily Issuance'!$E:$E,"Patty Cash"))</f>
        <v/>
      </c>
      <c r="H714" s="30" t="str">
        <f t="shared" si="34"/>
        <v/>
      </c>
      <c r="I714" s="33"/>
      <c r="J714" s="34" t="str">
        <f t="shared" si="35"/>
        <v/>
      </c>
    </row>
    <row r="715" spans="1:10" s="27" customFormat="1" ht="23.1" customHeight="1">
      <c r="A715" s="194" t="str">
        <f>IF($C715="","",MAX($A$3:A714)+1)</f>
        <v/>
      </c>
      <c r="B715" s="197" t="str">
        <f t="shared" si="33"/>
        <v/>
      </c>
      <c r="C715" s="201"/>
      <c r="D715" s="199"/>
      <c r="E715" s="200"/>
      <c r="F715" s="196" t="str">
        <f>IF($B715="","",SUMIFS('Daily Inward'!$G:$G,'Daily Inward'!$C:$C,$B715,'Daily Inward'!$E:$E,"Patty Cash"))</f>
        <v/>
      </c>
      <c r="G715" s="30" t="str">
        <f>IF($B715="","",SUMIFS('Daily Issuance'!$G:$G,'Daily Issuance'!$C:$C,$B715,'Daily Issuance'!$E:$E,"Patty Cash"))</f>
        <v/>
      </c>
      <c r="H715" s="30" t="str">
        <f t="shared" si="34"/>
        <v/>
      </c>
      <c r="I715" s="33"/>
      <c r="J715" s="34" t="str">
        <f t="shared" si="35"/>
        <v/>
      </c>
    </row>
    <row r="716" spans="1:10" s="27" customFormat="1" ht="23.1" customHeight="1">
      <c r="A716" s="194" t="str">
        <f>IF($C716="","",MAX($A$3:A715)+1)</f>
        <v/>
      </c>
      <c r="B716" s="197" t="str">
        <f t="shared" si="33"/>
        <v/>
      </c>
      <c r="C716" s="201"/>
      <c r="D716" s="199"/>
      <c r="E716" s="200"/>
      <c r="F716" s="196" t="str">
        <f>IF($B716="","",SUMIFS('Daily Inward'!$G:$G,'Daily Inward'!$C:$C,$B716,'Daily Inward'!$E:$E,"Patty Cash"))</f>
        <v/>
      </c>
      <c r="G716" s="30" t="str">
        <f>IF($B716="","",SUMIFS('Daily Issuance'!$G:$G,'Daily Issuance'!$C:$C,$B716,'Daily Issuance'!$E:$E,"Patty Cash"))</f>
        <v/>
      </c>
      <c r="H716" s="30" t="str">
        <f t="shared" si="34"/>
        <v/>
      </c>
      <c r="I716" s="33"/>
      <c r="J716" s="34" t="str">
        <f t="shared" si="35"/>
        <v/>
      </c>
    </row>
    <row r="717" spans="1:10" s="27" customFormat="1" ht="23.1" customHeight="1">
      <c r="A717" s="194" t="str">
        <f>IF($C717="","",MAX($A$3:A716)+1)</f>
        <v/>
      </c>
      <c r="B717" s="197" t="str">
        <f t="shared" si="33"/>
        <v/>
      </c>
      <c r="C717" s="201"/>
      <c r="D717" s="199"/>
      <c r="E717" s="200"/>
      <c r="F717" s="196" t="str">
        <f>IF($B717="","",SUMIFS('Daily Inward'!$G:$G,'Daily Inward'!$C:$C,$B717,'Daily Inward'!$E:$E,"Patty Cash"))</f>
        <v/>
      </c>
      <c r="G717" s="30" t="str">
        <f>IF($B717="","",SUMIFS('Daily Issuance'!$G:$G,'Daily Issuance'!$C:$C,$B717,'Daily Issuance'!$E:$E,"Patty Cash"))</f>
        <v/>
      </c>
      <c r="H717" s="30" t="str">
        <f t="shared" si="34"/>
        <v/>
      </c>
      <c r="I717" s="33"/>
      <c r="J717" s="34" t="str">
        <f t="shared" si="35"/>
        <v/>
      </c>
    </row>
    <row r="718" spans="1:10" s="27" customFormat="1" ht="23.1" customHeight="1">
      <c r="A718" s="194" t="str">
        <f>IF($C718="","",MAX($A$3:A717)+1)</f>
        <v/>
      </c>
      <c r="B718" s="197" t="str">
        <f t="shared" si="33"/>
        <v/>
      </c>
      <c r="C718" s="201"/>
      <c r="D718" s="199"/>
      <c r="E718" s="200"/>
      <c r="F718" s="196" t="str">
        <f>IF($B718="","",SUMIFS('Daily Inward'!$G:$G,'Daily Inward'!$C:$C,$B718,'Daily Inward'!$E:$E,"Patty Cash"))</f>
        <v/>
      </c>
      <c r="G718" s="30" t="str">
        <f>IF($B718="","",SUMIFS('Daily Issuance'!$G:$G,'Daily Issuance'!$C:$C,$B718,'Daily Issuance'!$E:$E,"Patty Cash"))</f>
        <v/>
      </c>
      <c r="H718" s="30" t="str">
        <f t="shared" si="34"/>
        <v/>
      </c>
      <c r="I718" s="33"/>
      <c r="J718" s="34" t="str">
        <f t="shared" si="35"/>
        <v/>
      </c>
    </row>
    <row r="719" spans="1:10" s="27" customFormat="1" ht="23.1" customHeight="1">
      <c r="A719" s="194" t="str">
        <f>IF($C719="","",MAX($A$3:A718)+1)</f>
        <v/>
      </c>
      <c r="B719" s="197" t="str">
        <f t="shared" si="33"/>
        <v/>
      </c>
      <c r="C719" s="201"/>
      <c r="D719" s="199"/>
      <c r="E719" s="200"/>
      <c r="F719" s="196" t="str">
        <f>IF($B719="","",SUMIFS('Daily Inward'!$G:$G,'Daily Inward'!$C:$C,$B719,'Daily Inward'!$E:$E,"Patty Cash"))</f>
        <v/>
      </c>
      <c r="G719" s="30" t="str">
        <f>IF($B719="","",SUMIFS('Daily Issuance'!$G:$G,'Daily Issuance'!$C:$C,$B719,'Daily Issuance'!$E:$E,"Patty Cash"))</f>
        <v/>
      </c>
      <c r="H719" s="30" t="str">
        <f t="shared" si="34"/>
        <v/>
      </c>
      <c r="I719" s="33"/>
      <c r="J719" s="34" t="str">
        <f t="shared" si="35"/>
        <v/>
      </c>
    </row>
    <row r="720" spans="1:10" s="27" customFormat="1" ht="23.1" customHeight="1">
      <c r="A720" s="194" t="str">
        <f>IF($C720="","",MAX($A$3:A719)+1)</f>
        <v/>
      </c>
      <c r="B720" s="197" t="str">
        <f t="shared" si="33"/>
        <v/>
      </c>
      <c r="C720" s="201"/>
      <c r="D720" s="199"/>
      <c r="E720" s="200"/>
      <c r="F720" s="196" t="str">
        <f>IF($B720="","",SUMIFS('Daily Inward'!$G:$G,'Daily Inward'!$C:$C,$B720,'Daily Inward'!$E:$E,"Patty Cash"))</f>
        <v/>
      </c>
      <c r="G720" s="30" t="str">
        <f>IF($B720="","",SUMIFS('Daily Issuance'!$G:$G,'Daily Issuance'!$C:$C,$B720,'Daily Issuance'!$E:$E,"Patty Cash"))</f>
        <v/>
      </c>
      <c r="H720" s="30" t="str">
        <f t="shared" si="34"/>
        <v/>
      </c>
      <c r="I720" s="33"/>
      <c r="J720" s="34" t="str">
        <f t="shared" si="35"/>
        <v/>
      </c>
    </row>
    <row r="721" spans="1:10" s="27" customFormat="1" ht="23.1" customHeight="1">
      <c r="A721" s="194" t="str">
        <f>IF($C721="","",MAX($A$3:A720)+1)</f>
        <v/>
      </c>
      <c r="B721" s="197" t="str">
        <f t="shared" si="33"/>
        <v/>
      </c>
      <c r="C721" s="201"/>
      <c r="D721" s="199"/>
      <c r="E721" s="200"/>
      <c r="F721" s="196" t="str">
        <f>IF($B721="","",SUMIFS('Daily Inward'!$G:$G,'Daily Inward'!$C:$C,$B721,'Daily Inward'!$E:$E,"Patty Cash"))</f>
        <v/>
      </c>
      <c r="G721" s="30" t="str">
        <f>IF($B721="","",SUMIFS('Daily Issuance'!$G:$G,'Daily Issuance'!$C:$C,$B721,'Daily Issuance'!$E:$E,"Patty Cash"))</f>
        <v/>
      </c>
      <c r="H721" s="30" t="str">
        <f t="shared" si="34"/>
        <v/>
      </c>
      <c r="I721" s="33"/>
      <c r="J721" s="34" t="str">
        <f t="shared" si="35"/>
        <v/>
      </c>
    </row>
    <row r="722" spans="1:10" s="27" customFormat="1" ht="23.1" customHeight="1">
      <c r="A722" s="194" t="str">
        <f>IF($C722="","",MAX($A$3:A721)+1)</f>
        <v/>
      </c>
      <c r="B722" s="197" t="str">
        <f t="shared" si="33"/>
        <v/>
      </c>
      <c r="C722" s="201"/>
      <c r="D722" s="199"/>
      <c r="E722" s="200"/>
      <c r="F722" s="196" t="str">
        <f>IF($B722="","",SUMIFS('Daily Inward'!$G:$G,'Daily Inward'!$C:$C,$B722,'Daily Inward'!$E:$E,"Patty Cash"))</f>
        <v/>
      </c>
      <c r="G722" s="30" t="str">
        <f>IF($B722="","",SUMIFS('Daily Issuance'!$G:$G,'Daily Issuance'!$C:$C,$B722,'Daily Issuance'!$E:$E,"Patty Cash"))</f>
        <v/>
      </c>
      <c r="H722" s="30" t="str">
        <f t="shared" si="34"/>
        <v/>
      </c>
      <c r="I722" s="33"/>
      <c r="J722" s="34" t="str">
        <f t="shared" si="35"/>
        <v/>
      </c>
    </row>
    <row r="723" spans="1:10" s="27" customFormat="1" ht="23.1" customHeight="1">
      <c r="A723" s="194" t="str">
        <f>IF($C723="","",MAX($A$3:A722)+1)</f>
        <v/>
      </c>
      <c r="B723" s="197" t="str">
        <f t="shared" si="33"/>
        <v/>
      </c>
      <c r="C723" s="201"/>
      <c r="D723" s="199"/>
      <c r="E723" s="200"/>
      <c r="F723" s="196" t="str">
        <f>IF($B723="","",SUMIFS('Daily Inward'!$G:$G,'Daily Inward'!$C:$C,$B723,'Daily Inward'!$E:$E,"Patty Cash"))</f>
        <v/>
      </c>
      <c r="G723" s="30" t="str">
        <f>IF($B723="","",SUMIFS('Daily Issuance'!$G:$G,'Daily Issuance'!$C:$C,$B723,'Daily Issuance'!$E:$E,"Patty Cash"))</f>
        <v/>
      </c>
      <c r="H723" s="30" t="str">
        <f t="shared" si="34"/>
        <v/>
      </c>
      <c r="I723" s="33"/>
      <c r="J723" s="34" t="str">
        <f t="shared" si="35"/>
        <v/>
      </c>
    </row>
    <row r="724" spans="1:10" s="27" customFormat="1" ht="23.1" customHeight="1">
      <c r="A724" s="194" t="str">
        <f>IF($C724="","",MAX($A$3:A723)+1)</f>
        <v/>
      </c>
      <c r="B724" s="197" t="str">
        <f t="shared" si="33"/>
        <v/>
      </c>
      <c r="C724" s="201"/>
      <c r="D724" s="199"/>
      <c r="E724" s="200"/>
      <c r="F724" s="196" t="str">
        <f>IF($B724="","",SUMIFS('Daily Inward'!$G:$G,'Daily Inward'!$C:$C,$B724,'Daily Inward'!$E:$E,"Patty Cash"))</f>
        <v/>
      </c>
      <c r="G724" s="30" t="str">
        <f>IF($B724="","",SUMIFS('Daily Issuance'!$G:$G,'Daily Issuance'!$C:$C,$B724,'Daily Issuance'!$E:$E,"Patty Cash"))</f>
        <v/>
      </c>
      <c r="H724" s="30" t="str">
        <f t="shared" si="34"/>
        <v/>
      </c>
      <c r="I724" s="33"/>
      <c r="J724" s="34" t="str">
        <f t="shared" si="35"/>
        <v/>
      </c>
    </row>
    <row r="725" spans="1:10" s="27" customFormat="1" ht="23.1" customHeight="1">
      <c r="A725" s="194" t="str">
        <f>IF($C725="","",MAX($A$3:A724)+1)</f>
        <v/>
      </c>
      <c r="B725" s="197" t="str">
        <f t="shared" si="33"/>
        <v/>
      </c>
      <c r="C725" s="201"/>
      <c r="D725" s="199"/>
      <c r="E725" s="200"/>
      <c r="F725" s="196" t="str">
        <f>IF($B725="","",SUMIFS('Daily Inward'!$G:$G,'Daily Inward'!$C:$C,$B725,'Daily Inward'!$E:$E,"Patty Cash"))</f>
        <v/>
      </c>
      <c r="G725" s="30" t="str">
        <f>IF($B725="","",SUMIFS('Daily Issuance'!$G:$G,'Daily Issuance'!$C:$C,$B725,'Daily Issuance'!$E:$E,"Patty Cash"))</f>
        <v/>
      </c>
      <c r="H725" s="30" t="str">
        <f t="shared" si="34"/>
        <v/>
      </c>
      <c r="I725" s="33"/>
      <c r="J725" s="34" t="str">
        <f t="shared" si="35"/>
        <v/>
      </c>
    </row>
    <row r="726" spans="1:10" s="27" customFormat="1" ht="23.1" customHeight="1">
      <c r="A726" s="194" t="str">
        <f>IF($C726="","",MAX($A$3:A725)+1)</f>
        <v/>
      </c>
      <c r="B726" s="197" t="str">
        <f t="shared" si="33"/>
        <v/>
      </c>
      <c r="C726" s="201"/>
      <c r="D726" s="199"/>
      <c r="E726" s="200"/>
      <c r="F726" s="196" t="str">
        <f>IF($B726="","",SUMIFS('Daily Inward'!$G:$G,'Daily Inward'!$C:$C,$B726,'Daily Inward'!$E:$E,"Patty Cash"))</f>
        <v/>
      </c>
      <c r="G726" s="30" t="str">
        <f>IF($B726="","",SUMIFS('Daily Issuance'!$G:$G,'Daily Issuance'!$C:$C,$B726,'Daily Issuance'!$E:$E,"Patty Cash"))</f>
        <v/>
      </c>
      <c r="H726" s="30" t="str">
        <f t="shared" si="34"/>
        <v/>
      </c>
      <c r="I726" s="33"/>
      <c r="J726" s="34" t="str">
        <f t="shared" si="35"/>
        <v/>
      </c>
    </row>
    <row r="727" spans="1:10" s="27" customFormat="1" ht="23.1" customHeight="1">
      <c r="A727" s="194" t="str">
        <f>IF($C727="","",MAX($A$3:A726)+1)</f>
        <v/>
      </c>
      <c r="B727" s="197" t="str">
        <f t="shared" si="33"/>
        <v/>
      </c>
      <c r="C727" s="201"/>
      <c r="D727" s="199"/>
      <c r="E727" s="200"/>
      <c r="F727" s="196" t="str">
        <f>IF($B727="","",SUMIFS('Daily Inward'!$G:$G,'Daily Inward'!$C:$C,$B727,'Daily Inward'!$E:$E,"Patty Cash"))</f>
        <v/>
      </c>
      <c r="G727" s="30" t="str">
        <f>IF($B727="","",SUMIFS('Daily Issuance'!$G:$G,'Daily Issuance'!$C:$C,$B727,'Daily Issuance'!$E:$E,"Patty Cash"))</f>
        <v/>
      </c>
      <c r="H727" s="30" t="str">
        <f t="shared" si="34"/>
        <v/>
      </c>
      <c r="I727" s="33"/>
      <c r="J727" s="34" t="str">
        <f t="shared" si="35"/>
        <v/>
      </c>
    </row>
    <row r="728" spans="1:10" s="27" customFormat="1" ht="23.1" customHeight="1">
      <c r="A728" s="194" t="str">
        <f>IF($C728="","",MAX($A$3:A727)+1)</f>
        <v/>
      </c>
      <c r="B728" s="197" t="str">
        <f t="shared" si="33"/>
        <v/>
      </c>
      <c r="C728" s="201"/>
      <c r="D728" s="199"/>
      <c r="E728" s="200"/>
      <c r="F728" s="196" t="str">
        <f>IF($B728="","",SUMIFS('Daily Inward'!$G:$G,'Daily Inward'!$C:$C,$B728,'Daily Inward'!$E:$E,"Patty Cash"))</f>
        <v/>
      </c>
      <c r="G728" s="30" t="str">
        <f>IF($B728="","",SUMIFS('Daily Issuance'!$G:$G,'Daily Issuance'!$C:$C,$B728,'Daily Issuance'!$E:$E,"Patty Cash"))</f>
        <v/>
      </c>
      <c r="H728" s="30" t="str">
        <f t="shared" si="34"/>
        <v/>
      </c>
      <c r="I728" s="33"/>
      <c r="J728" s="34" t="str">
        <f t="shared" si="35"/>
        <v/>
      </c>
    </row>
    <row r="729" spans="1:10" s="27" customFormat="1" ht="23.1" customHeight="1">
      <c r="A729" s="194" t="str">
        <f>IF($C729="","",MAX($A$3:A728)+1)</f>
        <v/>
      </c>
      <c r="B729" s="197" t="str">
        <f t="shared" si="33"/>
        <v/>
      </c>
      <c r="C729" s="201"/>
      <c r="D729" s="199"/>
      <c r="E729" s="200"/>
      <c r="F729" s="196" t="str">
        <f>IF($B729="","",SUMIFS('Daily Inward'!$G:$G,'Daily Inward'!$C:$C,$B729,'Daily Inward'!$E:$E,"Patty Cash"))</f>
        <v/>
      </c>
      <c r="G729" s="30" t="str">
        <f>IF($B729="","",SUMIFS('Daily Issuance'!$G:$G,'Daily Issuance'!$C:$C,$B729,'Daily Issuance'!$E:$E,"Patty Cash"))</f>
        <v/>
      </c>
      <c r="H729" s="30" t="str">
        <f t="shared" si="34"/>
        <v/>
      </c>
      <c r="I729" s="33"/>
      <c r="J729" s="34" t="str">
        <f t="shared" si="35"/>
        <v/>
      </c>
    </row>
    <row r="730" spans="1:10" s="27" customFormat="1" ht="23.1" customHeight="1">
      <c r="A730" s="194" t="str">
        <f>IF($C730="","",MAX($A$3:A729)+1)</f>
        <v/>
      </c>
      <c r="B730" s="197" t="str">
        <f t="shared" si="33"/>
        <v/>
      </c>
      <c r="C730" s="201"/>
      <c r="D730" s="199"/>
      <c r="E730" s="200"/>
      <c r="F730" s="196" t="str">
        <f>IF($B730="","",SUMIFS('Daily Inward'!$G:$G,'Daily Inward'!$C:$C,$B730,'Daily Inward'!$E:$E,"Patty Cash"))</f>
        <v/>
      </c>
      <c r="G730" s="30" t="str">
        <f>IF($B730="","",SUMIFS('Daily Issuance'!$G:$G,'Daily Issuance'!$C:$C,$B730,'Daily Issuance'!$E:$E,"Patty Cash"))</f>
        <v/>
      </c>
      <c r="H730" s="30" t="str">
        <f t="shared" si="34"/>
        <v/>
      </c>
      <c r="I730" s="33"/>
      <c r="J730" s="34" t="str">
        <f t="shared" si="35"/>
        <v/>
      </c>
    </row>
    <row r="731" spans="1:10" s="27" customFormat="1" ht="23.1" customHeight="1">
      <c r="A731" s="194" t="str">
        <f>IF($C731="","",MAX($A$3:A730)+1)</f>
        <v/>
      </c>
      <c r="B731" s="197" t="str">
        <f t="shared" si="33"/>
        <v/>
      </c>
      <c r="C731" s="201"/>
      <c r="D731" s="199"/>
      <c r="E731" s="200"/>
      <c r="F731" s="196" t="str">
        <f>IF($B731="","",SUMIFS('Daily Inward'!$G:$G,'Daily Inward'!$C:$C,$B731,'Daily Inward'!$E:$E,"Patty Cash"))</f>
        <v/>
      </c>
      <c r="G731" s="30" t="str">
        <f>IF($B731="","",SUMIFS('Daily Issuance'!$G:$G,'Daily Issuance'!$C:$C,$B731,'Daily Issuance'!$E:$E,"Patty Cash"))</f>
        <v/>
      </c>
      <c r="H731" s="30" t="str">
        <f t="shared" si="34"/>
        <v/>
      </c>
      <c r="I731" s="33"/>
      <c r="J731" s="34" t="str">
        <f t="shared" si="35"/>
        <v/>
      </c>
    </row>
    <row r="732" spans="1:10" s="27" customFormat="1" ht="23.1" customHeight="1">
      <c r="A732" s="194" t="str">
        <f>IF($C732="","",MAX($A$3:A731)+1)</f>
        <v/>
      </c>
      <c r="B732" s="197" t="str">
        <f t="shared" si="33"/>
        <v/>
      </c>
      <c r="C732" s="201"/>
      <c r="D732" s="199"/>
      <c r="E732" s="200"/>
      <c r="F732" s="196" t="str">
        <f>IF($B732="","",SUMIFS('Daily Inward'!$G:$G,'Daily Inward'!$C:$C,$B732,'Daily Inward'!$E:$E,"Patty Cash"))</f>
        <v/>
      </c>
      <c r="G732" s="30" t="str">
        <f>IF($B732="","",SUMIFS('Daily Issuance'!$G:$G,'Daily Issuance'!$C:$C,$B732,'Daily Issuance'!$E:$E,"Patty Cash"))</f>
        <v/>
      </c>
      <c r="H732" s="30" t="str">
        <f t="shared" si="34"/>
        <v/>
      </c>
      <c r="I732" s="33"/>
      <c r="J732" s="34" t="str">
        <f t="shared" si="35"/>
        <v/>
      </c>
    </row>
    <row r="733" spans="1:10" s="27" customFormat="1" ht="23.1" customHeight="1">
      <c r="A733" s="194" t="str">
        <f>IF($C733="","",MAX($A$3:A732)+1)</f>
        <v/>
      </c>
      <c r="B733" s="197" t="str">
        <f t="shared" si="33"/>
        <v/>
      </c>
      <c r="C733" s="201"/>
      <c r="D733" s="199"/>
      <c r="E733" s="200"/>
      <c r="F733" s="196" t="str">
        <f>IF($B733="","",SUMIFS('Daily Inward'!$G:$G,'Daily Inward'!$C:$C,$B733,'Daily Inward'!$E:$E,"Patty Cash"))</f>
        <v/>
      </c>
      <c r="G733" s="30" t="str">
        <f>IF($B733="","",SUMIFS('Daily Issuance'!$G:$G,'Daily Issuance'!$C:$C,$B733,'Daily Issuance'!$E:$E,"Patty Cash"))</f>
        <v/>
      </c>
      <c r="H733" s="30" t="str">
        <f t="shared" si="34"/>
        <v/>
      </c>
      <c r="I733" s="33"/>
      <c r="J733" s="34" t="str">
        <f t="shared" si="35"/>
        <v/>
      </c>
    </row>
    <row r="734" spans="1:10" s="27" customFormat="1" ht="23.1" customHeight="1">
      <c r="A734" s="194" t="str">
        <f>IF($C734="","",MAX($A$3:A733)+1)</f>
        <v/>
      </c>
      <c r="B734" s="197" t="str">
        <f t="shared" si="33"/>
        <v/>
      </c>
      <c r="C734" s="201"/>
      <c r="D734" s="199"/>
      <c r="E734" s="200"/>
      <c r="F734" s="196" t="str">
        <f>IF($B734="","",SUMIFS('Daily Inward'!$G:$G,'Daily Inward'!$C:$C,$B734,'Daily Inward'!$E:$E,"Patty Cash"))</f>
        <v/>
      </c>
      <c r="G734" s="30" t="str">
        <f>IF($B734="","",SUMIFS('Daily Issuance'!$G:$G,'Daily Issuance'!$C:$C,$B734,'Daily Issuance'!$E:$E,"Patty Cash"))</f>
        <v/>
      </c>
      <c r="H734" s="30" t="str">
        <f t="shared" si="34"/>
        <v/>
      </c>
      <c r="I734" s="33"/>
      <c r="J734" s="34" t="str">
        <f t="shared" si="35"/>
        <v/>
      </c>
    </row>
    <row r="735" spans="1:10" s="27" customFormat="1" ht="23.1" customHeight="1">
      <c r="A735" s="194" t="str">
        <f>IF($C735="","",MAX($A$3:A734)+1)</f>
        <v/>
      </c>
      <c r="B735" s="197" t="str">
        <f t="shared" si="33"/>
        <v/>
      </c>
      <c r="C735" s="201"/>
      <c r="D735" s="199"/>
      <c r="E735" s="200"/>
      <c r="F735" s="196" t="str">
        <f>IF($B735="","",SUMIFS('Daily Inward'!$G:$G,'Daily Inward'!$C:$C,$B735,'Daily Inward'!$E:$E,"Patty Cash"))</f>
        <v/>
      </c>
      <c r="G735" s="30" t="str">
        <f>IF($B735="","",SUMIFS('Daily Issuance'!$G:$G,'Daily Issuance'!$C:$C,$B735,'Daily Issuance'!$E:$E,"Patty Cash"))</f>
        <v/>
      </c>
      <c r="H735" s="30" t="str">
        <f t="shared" si="34"/>
        <v/>
      </c>
      <c r="I735" s="33"/>
      <c r="J735" s="34" t="str">
        <f t="shared" si="35"/>
        <v/>
      </c>
    </row>
    <row r="736" spans="1:10" s="27" customFormat="1" ht="23.1" customHeight="1">
      <c r="A736" s="194" t="str">
        <f>IF($C736="","",MAX($A$3:A735)+1)</f>
        <v/>
      </c>
      <c r="B736" s="197" t="str">
        <f t="shared" si="33"/>
        <v/>
      </c>
      <c r="C736" s="201"/>
      <c r="D736" s="199"/>
      <c r="E736" s="200"/>
      <c r="F736" s="196" t="str">
        <f>IF($B736="","",SUMIFS('Daily Inward'!$G:$G,'Daily Inward'!$C:$C,$B736,'Daily Inward'!$E:$E,"Patty Cash"))</f>
        <v/>
      </c>
      <c r="G736" s="30" t="str">
        <f>IF($B736="","",SUMIFS('Daily Issuance'!$G:$G,'Daily Issuance'!$C:$C,$B736,'Daily Issuance'!$E:$E,"Patty Cash"))</f>
        <v/>
      </c>
      <c r="H736" s="30" t="str">
        <f t="shared" si="34"/>
        <v/>
      </c>
      <c r="I736" s="33"/>
      <c r="J736" s="34" t="str">
        <f t="shared" si="35"/>
        <v/>
      </c>
    </row>
    <row r="737" spans="1:10" s="27" customFormat="1" ht="23.1" customHeight="1">
      <c r="A737" s="194" t="str">
        <f>IF($C737="","",MAX($A$3:A736)+1)</f>
        <v/>
      </c>
      <c r="B737" s="197" t="str">
        <f t="shared" si="33"/>
        <v/>
      </c>
      <c r="C737" s="201"/>
      <c r="D737" s="199"/>
      <c r="E737" s="200"/>
      <c r="F737" s="196" t="str">
        <f>IF($B737="","",SUMIFS('Daily Inward'!$G:$G,'Daily Inward'!$C:$C,$B737,'Daily Inward'!$E:$E,"Patty Cash"))</f>
        <v/>
      </c>
      <c r="G737" s="30" t="str">
        <f>IF($B737="","",SUMIFS('Daily Issuance'!$G:$G,'Daily Issuance'!$C:$C,$B737,'Daily Issuance'!$E:$E,"Patty Cash"))</f>
        <v/>
      </c>
      <c r="H737" s="30" t="str">
        <f t="shared" si="34"/>
        <v/>
      </c>
      <c r="I737" s="33"/>
      <c r="J737" s="34" t="str">
        <f t="shared" si="35"/>
        <v/>
      </c>
    </row>
    <row r="738" spans="1:10" s="27" customFormat="1" ht="23.1" customHeight="1">
      <c r="A738" s="194" t="str">
        <f>IF($C738="","",MAX($A$3:A737)+1)</f>
        <v/>
      </c>
      <c r="B738" s="197" t="str">
        <f t="shared" si="33"/>
        <v/>
      </c>
      <c r="C738" s="201"/>
      <c r="D738" s="199"/>
      <c r="E738" s="200"/>
      <c r="F738" s="196" t="str">
        <f>IF($B738="","",SUMIFS('Daily Inward'!$G:$G,'Daily Inward'!$C:$C,$B738,'Daily Inward'!$E:$E,"Patty Cash"))</f>
        <v/>
      </c>
      <c r="G738" s="30" t="str">
        <f>IF($B738="","",SUMIFS('Daily Issuance'!$G:$G,'Daily Issuance'!$C:$C,$B738,'Daily Issuance'!$E:$E,"Patty Cash"))</f>
        <v/>
      </c>
      <c r="H738" s="30" t="str">
        <f t="shared" si="34"/>
        <v/>
      </c>
      <c r="I738" s="33"/>
      <c r="J738" s="34" t="str">
        <f t="shared" si="35"/>
        <v/>
      </c>
    </row>
    <row r="739" spans="1:10" s="27" customFormat="1" ht="23.1" customHeight="1">
      <c r="A739" s="194" t="str">
        <f>IF($C739="","",MAX($A$3:A738)+1)</f>
        <v/>
      </c>
      <c r="B739" s="197" t="str">
        <f t="shared" si="33"/>
        <v/>
      </c>
      <c r="C739" s="201"/>
      <c r="D739" s="199"/>
      <c r="E739" s="200"/>
      <c r="F739" s="196" t="str">
        <f>IF($B739="","",SUMIFS('Daily Inward'!$G:$G,'Daily Inward'!$C:$C,$B739,'Daily Inward'!$E:$E,"Patty Cash"))</f>
        <v/>
      </c>
      <c r="G739" s="30" t="str">
        <f>IF($B739="","",SUMIFS('Daily Issuance'!$G:$G,'Daily Issuance'!$C:$C,$B739,'Daily Issuance'!$E:$E,"Patty Cash"))</f>
        <v/>
      </c>
      <c r="H739" s="30" t="str">
        <f t="shared" si="34"/>
        <v/>
      </c>
      <c r="I739" s="33"/>
      <c r="J739" s="34" t="str">
        <f t="shared" si="35"/>
        <v/>
      </c>
    </row>
    <row r="740" spans="1:10" s="27" customFormat="1" ht="23.1" customHeight="1">
      <c r="A740" s="194" t="str">
        <f>IF($C740="","",MAX($A$3:A739)+1)</f>
        <v/>
      </c>
      <c r="B740" s="197" t="str">
        <f t="shared" si="33"/>
        <v/>
      </c>
      <c r="C740" s="201"/>
      <c r="D740" s="199"/>
      <c r="E740" s="200"/>
      <c r="F740" s="196" t="str">
        <f>IF($B740="","",SUMIFS('Daily Inward'!$G:$G,'Daily Inward'!$C:$C,$B740,'Daily Inward'!$E:$E,"Patty Cash"))</f>
        <v/>
      </c>
      <c r="G740" s="30" t="str">
        <f>IF($B740="","",SUMIFS('Daily Issuance'!$G:$G,'Daily Issuance'!$C:$C,$B740,'Daily Issuance'!$E:$E,"Patty Cash"))</f>
        <v/>
      </c>
      <c r="H740" s="30" t="str">
        <f t="shared" si="34"/>
        <v/>
      </c>
      <c r="I740" s="33"/>
      <c r="J740" s="34" t="str">
        <f t="shared" si="35"/>
        <v/>
      </c>
    </row>
    <row r="741" spans="1:10" s="27" customFormat="1" ht="23.1" customHeight="1">
      <c r="A741" s="194" t="str">
        <f>IF($C741="","",MAX($A$3:A740)+1)</f>
        <v/>
      </c>
      <c r="B741" s="197" t="str">
        <f t="shared" si="33"/>
        <v/>
      </c>
      <c r="C741" s="201"/>
      <c r="D741" s="199"/>
      <c r="E741" s="200"/>
      <c r="F741" s="196" t="str">
        <f>IF($B741="","",SUMIFS('Daily Inward'!$G:$G,'Daily Inward'!$C:$C,$B741,'Daily Inward'!$E:$E,"Patty Cash"))</f>
        <v/>
      </c>
      <c r="G741" s="30" t="str">
        <f>IF($B741="","",SUMIFS('Daily Issuance'!$G:$G,'Daily Issuance'!$C:$C,$B741,'Daily Issuance'!$E:$E,"Patty Cash"))</f>
        <v/>
      </c>
      <c r="H741" s="30" t="str">
        <f t="shared" si="34"/>
        <v/>
      </c>
      <c r="I741" s="33"/>
      <c r="J741" s="34" t="str">
        <f t="shared" si="35"/>
        <v/>
      </c>
    </row>
    <row r="742" spans="1:10" s="27" customFormat="1" ht="23.1" customHeight="1">
      <c r="A742" s="194" t="str">
        <f>IF($C742="","",MAX($A$3:A741)+1)</f>
        <v/>
      </c>
      <c r="B742" s="197" t="str">
        <f t="shared" si="33"/>
        <v/>
      </c>
      <c r="C742" s="201"/>
      <c r="D742" s="199"/>
      <c r="E742" s="200"/>
      <c r="F742" s="196" t="str">
        <f>IF($B742="","",SUMIFS('Daily Inward'!$G:$G,'Daily Inward'!$C:$C,$B742,'Daily Inward'!$E:$E,"Patty Cash"))</f>
        <v/>
      </c>
      <c r="G742" s="30" t="str">
        <f>IF($B742="","",SUMIFS('Daily Issuance'!$G:$G,'Daily Issuance'!$C:$C,$B742,'Daily Issuance'!$E:$E,"Patty Cash"))</f>
        <v/>
      </c>
      <c r="H742" s="30" t="str">
        <f t="shared" si="34"/>
        <v/>
      </c>
      <c r="I742" s="33"/>
      <c r="J742" s="34" t="str">
        <f t="shared" si="35"/>
        <v/>
      </c>
    </row>
    <row r="743" spans="1:10" s="27" customFormat="1" ht="23.1" customHeight="1">
      <c r="A743" s="194" t="str">
        <f>IF($C743="","",MAX($A$3:A742)+1)</f>
        <v/>
      </c>
      <c r="B743" s="197" t="str">
        <f t="shared" si="33"/>
        <v/>
      </c>
      <c r="C743" s="201"/>
      <c r="D743" s="199"/>
      <c r="E743" s="200"/>
      <c r="F743" s="196" t="str">
        <f>IF($B743="","",SUMIFS('Daily Inward'!$G:$G,'Daily Inward'!$C:$C,$B743,'Daily Inward'!$E:$E,"Patty Cash"))</f>
        <v/>
      </c>
      <c r="G743" s="30" t="str">
        <f>IF($B743="","",SUMIFS('Daily Issuance'!$G:$G,'Daily Issuance'!$C:$C,$B743,'Daily Issuance'!$E:$E,"Patty Cash"))</f>
        <v/>
      </c>
      <c r="H743" s="30" t="str">
        <f t="shared" si="34"/>
        <v/>
      </c>
      <c r="I743" s="33"/>
      <c r="J743" s="34" t="str">
        <f t="shared" si="35"/>
        <v/>
      </c>
    </row>
    <row r="744" spans="1:10" s="27" customFormat="1" ht="23.1" customHeight="1">
      <c r="A744" s="194" t="str">
        <f>IF($C744="","",MAX($A$3:A743)+1)</f>
        <v/>
      </c>
      <c r="B744" s="197" t="str">
        <f t="shared" si="33"/>
        <v/>
      </c>
      <c r="C744" s="201"/>
      <c r="D744" s="199"/>
      <c r="E744" s="200"/>
      <c r="F744" s="196" t="str">
        <f>IF($B744="","",SUMIFS('Daily Inward'!$G:$G,'Daily Inward'!$C:$C,$B744,'Daily Inward'!$E:$E,"Patty Cash"))</f>
        <v/>
      </c>
      <c r="G744" s="30" t="str">
        <f>IF($B744="","",SUMIFS('Daily Issuance'!$G:$G,'Daily Issuance'!$C:$C,$B744,'Daily Issuance'!$E:$E,"Patty Cash"))</f>
        <v/>
      </c>
      <c r="H744" s="30" t="str">
        <f t="shared" si="34"/>
        <v/>
      </c>
      <c r="I744" s="33"/>
      <c r="J744" s="34" t="str">
        <f t="shared" si="35"/>
        <v/>
      </c>
    </row>
    <row r="745" spans="1:10" s="27" customFormat="1" ht="23.1" customHeight="1">
      <c r="A745" s="194" t="str">
        <f>IF($C745="","",MAX($A$3:A744)+1)</f>
        <v/>
      </c>
      <c r="B745" s="197" t="str">
        <f t="shared" si="33"/>
        <v/>
      </c>
      <c r="C745" s="201"/>
      <c r="D745" s="199"/>
      <c r="E745" s="200"/>
      <c r="F745" s="196" t="str">
        <f>IF($B745="","",SUMIFS('Daily Inward'!$G:$G,'Daily Inward'!$C:$C,$B745,'Daily Inward'!$E:$E,"Patty Cash"))</f>
        <v/>
      </c>
      <c r="G745" s="30" t="str">
        <f>IF($B745="","",SUMIFS('Daily Issuance'!$G:$G,'Daily Issuance'!$C:$C,$B745,'Daily Issuance'!$E:$E,"Patty Cash"))</f>
        <v/>
      </c>
      <c r="H745" s="30" t="str">
        <f t="shared" si="34"/>
        <v/>
      </c>
      <c r="I745" s="33"/>
      <c r="J745" s="34" t="str">
        <f t="shared" si="35"/>
        <v/>
      </c>
    </row>
    <row r="746" spans="1:10" s="27" customFormat="1" ht="23.1" customHeight="1">
      <c r="A746" s="194" t="str">
        <f>IF($C746="","",MAX($A$3:A745)+1)</f>
        <v/>
      </c>
      <c r="B746" s="197" t="str">
        <f t="shared" si="33"/>
        <v/>
      </c>
      <c r="C746" s="201"/>
      <c r="D746" s="199"/>
      <c r="E746" s="200"/>
      <c r="F746" s="196" t="str">
        <f>IF($B746="","",SUMIFS('Daily Inward'!$G:$G,'Daily Inward'!$C:$C,$B746,'Daily Inward'!$E:$E,"Patty Cash"))</f>
        <v/>
      </c>
      <c r="G746" s="30" t="str">
        <f>IF($B746="","",SUMIFS('Daily Issuance'!$G:$G,'Daily Issuance'!$C:$C,$B746,'Daily Issuance'!$E:$E,"Patty Cash"))</f>
        <v/>
      </c>
      <c r="H746" s="30" t="str">
        <f t="shared" si="34"/>
        <v/>
      </c>
      <c r="I746" s="33"/>
      <c r="J746" s="34" t="str">
        <f t="shared" si="35"/>
        <v/>
      </c>
    </row>
    <row r="747" spans="1:10" s="27" customFormat="1" ht="23.1" customHeight="1">
      <c r="A747" s="194" t="str">
        <f>IF($C747="","",MAX($A$3:A746)+1)</f>
        <v/>
      </c>
      <c r="B747" s="197" t="str">
        <f t="shared" si="33"/>
        <v/>
      </c>
      <c r="C747" s="201"/>
      <c r="D747" s="199"/>
      <c r="E747" s="200"/>
      <c r="F747" s="196" t="str">
        <f>IF($B747="","",SUMIFS('Daily Inward'!$G:$G,'Daily Inward'!$C:$C,$B747,'Daily Inward'!$E:$E,"Patty Cash"))</f>
        <v/>
      </c>
      <c r="G747" s="30" t="str">
        <f>IF($B747="","",SUMIFS('Daily Issuance'!$G:$G,'Daily Issuance'!$C:$C,$B747,'Daily Issuance'!$E:$E,"Patty Cash"))</f>
        <v/>
      </c>
      <c r="H747" s="30" t="str">
        <f t="shared" si="34"/>
        <v/>
      </c>
      <c r="I747" s="33"/>
      <c r="J747" s="34" t="str">
        <f t="shared" si="35"/>
        <v/>
      </c>
    </row>
    <row r="748" spans="1:10" s="27" customFormat="1" ht="23.1" customHeight="1">
      <c r="A748" s="194" t="str">
        <f>IF($C748="","",MAX($A$3:A747)+1)</f>
        <v/>
      </c>
      <c r="B748" s="197" t="str">
        <f t="shared" si="33"/>
        <v/>
      </c>
      <c r="C748" s="201"/>
      <c r="D748" s="199"/>
      <c r="E748" s="200"/>
      <c r="F748" s="196" t="str">
        <f>IF($B748="","",SUMIFS('Daily Inward'!$G:$G,'Daily Inward'!$C:$C,$B748,'Daily Inward'!$E:$E,"Patty Cash"))</f>
        <v/>
      </c>
      <c r="G748" s="30" t="str">
        <f>IF($B748="","",SUMIFS('Daily Issuance'!$G:$G,'Daily Issuance'!$C:$C,$B748,'Daily Issuance'!$E:$E,"Patty Cash"))</f>
        <v/>
      </c>
      <c r="H748" s="30" t="str">
        <f t="shared" si="34"/>
        <v/>
      </c>
      <c r="I748" s="33"/>
      <c r="J748" s="34" t="str">
        <f t="shared" si="35"/>
        <v/>
      </c>
    </row>
    <row r="749" spans="1:10" s="27" customFormat="1" ht="23.1" customHeight="1">
      <c r="A749" s="194" t="str">
        <f>IF($C749="","",MAX($A$3:A748)+1)</f>
        <v/>
      </c>
      <c r="B749" s="197" t="str">
        <f t="shared" si="33"/>
        <v/>
      </c>
      <c r="C749" s="201"/>
      <c r="D749" s="199"/>
      <c r="E749" s="200"/>
      <c r="F749" s="196" t="str">
        <f>IF($B749="","",SUMIFS('Daily Inward'!$G:$G,'Daily Inward'!$C:$C,$B749,'Daily Inward'!$E:$E,"Patty Cash"))</f>
        <v/>
      </c>
      <c r="G749" s="30" t="str">
        <f>IF($B749="","",SUMIFS('Daily Issuance'!$G:$G,'Daily Issuance'!$C:$C,$B749,'Daily Issuance'!$E:$E,"Patty Cash"))</f>
        <v/>
      </c>
      <c r="H749" s="30" t="str">
        <f t="shared" si="34"/>
        <v/>
      </c>
      <c r="I749" s="33"/>
      <c r="J749" s="34" t="str">
        <f t="shared" si="35"/>
        <v/>
      </c>
    </row>
    <row r="750" spans="1:10" s="27" customFormat="1" ht="23.1" customHeight="1">
      <c r="A750" s="194" t="str">
        <f>IF($C750="","",MAX($A$3:A749)+1)</f>
        <v/>
      </c>
      <c r="B750" s="197" t="str">
        <f t="shared" si="33"/>
        <v/>
      </c>
      <c r="C750" s="201"/>
      <c r="D750" s="199"/>
      <c r="E750" s="200"/>
      <c r="F750" s="196" t="str">
        <f>IF($B750="","",SUMIFS('Daily Inward'!$G:$G,'Daily Inward'!$C:$C,$B750,'Daily Inward'!$E:$E,"Patty Cash"))</f>
        <v/>
      </c>
      <c r="G750" s="30" t="str">
        <f>IF($B750="","",SUMIFS('Daily Issuance'!$G:$G,'Daily Issuance'!$C:$C,$B750,'Daily Issuance'!$E:$E,"Patty Cash"))</f>
        <v/>
      </c>
      <c r="H750" s="30" t="str">
        <f t="shared" si="34"/>
        <v/>
      </c>
      <c r="I750" s="33"/>
      <c r="J750" s="34" t="str">
        <f t="shared" si="35"/>
        <v/>
      </c>
    </row>
    <row r="751" spans="1:10" s="27" customFormat="1" ht="23.1" customHeight="1">
      <c r="A751" s="194" t="str">
        <f>IF($C751="","",MAX($A$3:A750)+1)</f>
        <v/>
      </c>
      <c r="B751" s="197" t="str">
        <f t="shared" si="33"/>
        <v/>
      </c>
      <c r="C751" s="201"/>
      <c r="D751" s="199"/>
      <c r="E751" s="200"/>
      <c r="F751" s="196" t="str">
        <f>IF($B751="","",SUMIFS('Daily Inward'!$G:$G,'Daily Inward'!$C:$C,$B751,'Daily Inward'!$E:$E,"Patty Cash"))</f>
        <v/>
      </c>
      <c r="G751" s="30" t="str">
        <f>IF($B751="","",SUMIFS('Daily Issuance'!$G:$G,'Daily Issuance'!$C:$C,$B751,'Daily Issuance'!$E:$E,"Patty Cash"))</f>
        <v/>
      </c>
      <c r="H751" s="30" t="str">
        <f t="shared" si="34"/>
        <v/>
      </c>
      <c r="I751" s="33"/>
      <c r="J751" s="34" t="str">
        <f t="shared" si="35"/>
        <v/>
      </c>
    </row>
    <row r="752" spans="1:10" s="27" customFormat="1" ht="23.1" customHeight="1">
      <c r="A752" s="194" t="str">
        <f>IF($C752="","",MAX($A$3:A751)+1)</f>
        <v/>
      </c>
      <c r="B752" s="197" t="str">
        <f t="shared" si="33"/>
        <v/>
      </c>
      <c r="C752" s="201"/>
      <c r="D752" s="199"/>
      <c r="E752" s="200"/>
      <c r="F752" s="196" t="str">
        <f>IF($B752="","",SUMIFS('Daily Inward'!$G:$G,'Daily Inward'!$C:$C,$B752,'Daily Inward'!$E:$E,"Patty Cash"))</f>
        <v/>
      </c>
      <c r="G752" s="30" t="str">
        <f>IF($B752="","",SUMIFS('Daily Issuance'!$G:$G,'Daily Issuance'!$C:$C,$B752,'Daily Issuance'!$E:$E,"Patty Cash"))</f>
        <v/>
      </c>
      <c r="H752" s="30" t="str">
        <f t="shared" si="34"/>
        <v/>
      </c>
      <c r="I752" s="33"/>
      <c r="J752" s="34" t="str">
        <f t="shared" si="35"/>
        <v/>
      </c>
    </row>
    <row r="753" spans="1:10" s="27" customFormat="1" ht="23.1" customHeight="1">
      <c r="A753" s="194" t="str">
        <f>IF($C753="","",MAX($A$3:A752)+1)</f>
        <v/>
      </c>
      <c r="B753" s="197" t="str">
        <f t="shared" si="33"/>
        <v/>
      </c>
      <c r="C753" s="201"/>
      <c r="D753" s="199"/>
      <c r="E753" s="200"/>
      <c r="F753" s="196" t="str">
        <f>IF($B753="","",SUMIFS('Daily Inward'!$G:$G,'Daily Inward'!$C:$C,$B753,'Daily Inward'!$E:$E,"Patty Cash"))</f>
        <v/>
      </c>
      <c r="G753" s="30" t="str">
        <f>IF($B753="","",SUMIFS('Daily Issuance'!$G:$G,'Daily Issuance'!$C:$C,$B753,'Daily Issuance'!$E:$E,"Patty Cash"))</f>
        <v/>
      </c>
      <c r="H753" s="30" t="str">
        <f t="shared" si="34"/>
        <v/>
      </c>
      <c r="I753" s="33"/>
      <c r="J753" s="34" t="str">
        <f t="shared" si="35"/>
        <v/>
      </c>
    </row>
    <row r="754" spans="1:10" s="27" customFormat="1" ht="23.1" customHeight="1">
      <c r="A754" s="194" t="str">
        <f>IF($C754="","",MAX($A$3:A753)+1)</f>
        <v/>
      </c>
      <c r="B754" s="197" t="str">
        <f t="shared" si="33"/>
        <v/>
      </c>
      <c r="C754" s="201"/>
      <c r="D754" s="199"/>
      <c r="E754" s="200"/>
      <c r="F754" s="196" t="str">
        <f>IF($B754="","",SUMIFS('Daily Inward'!$G:$G,'Daily Inward'!$C:$C,$B754,'Daily Inward'!$E:$E,"Patty Cash"))</f>
        <v/>
      </c>
      <c r="G754" s="30" t="str">
        <f>IF($B754="","",SUMIFS('Daily Issuance'!$G:$G,'Daily Issuance'!$C:$C,$B754,'Daily Issuance'!$E:$E,"Patty Cash"))</f>
        <v/>
      </c>
      <c r="H754" s="30" t="str">
        <f t="shared" si="34"/>
        <v/>
      </c>
      <c r="I754" s="33"/>
      <c r="J754" s="34" t="str">
        <f t="shared" si="35"/>
        <v/>
      </c>
    </row>
    <row r="755" spans="1:10" s="27" customFormat="1" ht="23.1" customHeight="1">
      <c r="A755" s="194" t="str">
        <f>IF($C755="","",MAX($A$3:A754)+1)</f>
        <v/>
      </c>
      <c r="B755" s="197" t="str">
        <f t="shared" si="33"/>
        <v/>
      </c>
      <c r="C755" s="201"/>
      <c r="D755" s="199"/>
      <c r="E755" s="200"/>
      <c r="F755" s="196" t="str">
        <f>IF($B755="","",SUMIFS('Daily Inward'!$G:$G,'Daily Inward'!$C:$C,$B755,'Daily Inward'!$E:$E,"Patty Cash"))</f>
        <v/>
      </c>
      <c r="G755" s="30" t="str">
        <f>IF($B755="","",SUMIFS('Daily Issuance'!$G:$G,'Daily Issuance'!$C:$C,$B755,'Daily Issuance'!$E:$E,"Patty Cash"))</f>
        <v/>
      </c>
      <c r="H755" s="30" t="str">
        <f t="shared" si="34"/>
        <v/>
      </c>
      <c r="I755" s="33"/>
      <c r="J755" s="34" t="str">
        <f t="shared" si="35"/>
        <v/>
      </c>
    </row>
    <row r="756" spans="1:10" s="27" customFormat="1" ht="23.1" customHeight="1">
      <c r="A756" s="194" t="str">
        <f>IF($C756="","",MAX($A$3:A755)+1)</f>
        <v/>
      </c>
      <c r="B756" s="197" t="str">
        <f t="shared" si="33"/>
        <v/>
      </c>
      <c r="C756" s="201"/>
      <c r="D756" s="199"/>
      <c r="E756" s="200"/>
      <c r="F756" s="196" t="str">
        <f>IF($B756="","",SUMIFS('Daily Inward'!$G:$G,'Daily Inward'!$C:$C,$B756,'Daily Inward'!$E:$E,"Patty Cash"))</f>
        <v/>
      </c>
      <c r="G756" s="30" t="str">
        <f>IF($B756="","",SUMIFS('Daily Issuance'!$G:$G,'Daily Issuance'!$C:$C,$B756,'Daily Issuance'!$E:$E,"Patty Cash"))</f>
        <v/>
      </c>
      <c r="H756" s="30" t="str">
        <f t="shared" si="34"/>
        <v/>
      </c>
      <c r="I756" s="33"/>
      <c r="J756" s="34" t="str">
        <f t="shared" si="35"/>
        <v/>
      </c>
    </row>
    <row r="757" spans="1:10" s="27" customFormat="1" ht="23.1" customHeight="1">
      <c r="A757" s="194" t="str">
        <f>IF($C757="","",MAX($A$3:A756)+1)</f>
        <v/>
      </c>
      <c r="B757" s="197" t="str">
        <f t="shared" si="33"/>
        <v/>
      </c>
      <c r="C757" s="201"/>
      <c r="D757" s="199"/>
      <c r="E757" s="200"/>
      <c r="F757" s="196" t="str">
        <f>IF($B757="","",SUMIFS('Daily Inward'!$G:$G,'Daily Inward'!$C:$C,$B757,'Daily Inward'!$E:$E,"Patty Cash"))</f>
        <v/>
      </c>
      <c r="G757" s="30" t="str">
        <f>IF($B757="","",SUMIFS('Daily Issuance'!$G:$G,'Daily Issuance'!$C:$C,$B757,'Daily Issuance'!$E:$E,"Patty Cash"))</f>
        <v/>
      </c>
      <c r="H757" s="30" t="str">
        <f t="shared" si="34"/>
        <v/>
      </c>
      <c r="I757" s="33"/>
      <c r="J757" s="34" t="str">
        <f t="shared" si="35"/>
        <v/>
      </c>
    </row>
    <row r="758" spans="1:10" s="27" customFormat="1" ht="23.1" customHeight="1">
      <c r="A758" s="194" t="str">
        <f>IF($C758="","",MAX($A$3:A757)+1)</f>
        <v/>
      </c>
      <c r="B758" s="197" t="str">
        <f t="shared" si="33"/>
        <v/>
      </c>
      <c r="C758" s="201"/>
      <c r="D758" s="199"/>
      <c r="E758" s="200"/>
      <c r="F758" s="196" t="str">
        <f>IF($B758="","",SUMIFS('Daily Inward'!$G:$G,'Daily Inward'!$C:$C,$B758,'Daily Inward'!$E:$E,"Patty Cash"))</f>
        <v/>
      </c>
      <c r="G758" s="30" t="str">
        <f>IF($B758="","",SUMIFS('Daily Issuance'!$G:$G,'Daily Issuance'!$C:$C,$B758,'Daily Issuance'!$E:$E,"Patty Cash"))</f>
        <v/>
      </c>
      <c r="H758" s="30" t="str">
        <f t="shared" si="34"/>
        <v/>
      </c>
      <c r="I758" s="33"/>
      <c r="J758" s="34" t="str">
        <f t="shared" si="35"/>
        <v/>
      </c>
    </row>
    <row r="759" spans="1:10" s="27" customFormat="1" ht="23.1" customHeight="1">
      <c r="A759" s="194" t="str">
        <f>IF($C759="","",MAX($A$3:A758)+1)</f>
        <v/>
      </c>
      <c r="B759" s="197" t="str">
        <f t="shared" si="33"/>
        <v/>
      </c>
      <c r="C759" s="201"/>
      <c r="D759" s="199"/>
      <c r="E759" s="200"/>
      <c r="F759" s="196" t="str">
        <f>IF($B759="","",SUMIFS('Daily Inward'!$G:$G,'Daily Inward'!$C:$C,$B759,'Daily Inward'!$E:$E,"Patty Cash"))</f>
        <v/>
      </c>
      <c r="G759" s="30" t="str">
        <f>IF($B759="","",SUMIFS('Daily Issuance'!$G:$G,'Daily Issuance'!$C:$C,$B759,'Daily Issuance'!$E:$E,"Patty Cash"))</f>
        <v/>
      </c>
      <c r="H759" s="30" t="str">
        <f t="shared" si="34"/>
        <v/>
      </c>
      <c r="I759" s="33"/>
      <c r="J759" s="34" t="str">
        <f t="shared" si="35"/>
        <v/>
      </c>
    </row>
    <row r="760" spans="1:10" s="27" customFormat="1" ht="23.1" customHeight="1">
      <c r="A760" s="194" t="str">
        <f>IF($C760="","",MAX($A$3:A759)+1)</f>
        <v/>
      </c>
      <c r="B760" s="197" t="str">
        <f t="shared" si="33"/>
        <v/>
      </c>
      <c r="C760" s="201"/>
      <c r="D760" s="199"/>
      <c r="E760" s="200"/>
      <c r="F760" s="196" t="str">
        <f>IF($B760="","",SUMIFS('Daily Inward'!$G:$G,'Daily Inward'!$C:$C,$B760,'Daily Inward'!$E:$E,"Patty Cash"))</f>
        <v/>
      </c>
      <c r="G760" s="30" t="str">
        <f>IF($B760="","",SUMIFS('Daily Issuance'!$G:$G,'Daily Issuance'!$C:$C,$B760,'Daily Issuance'!$E:$E,"Patty Cash"))</f>
        <v/>
      </c>
      <c r="H760" s="30" t="str">
        <f t="shared" si="34"/>
        <v/>
      </c>
      <c r="I760" s="33"/>
      <c r="J760" s="34" t="str">
        <f t="shared" si="35"/>
        <v/>
      </c>
    </row>
    <row r="761" spans="1:10" s="27" customFormat="1" ht="23.1" customHeight="1">
      <c r="A761" s="194" t="str">
        <f>IF($C761="","",MAX($A$3:A760)+1)</f>
        <v/>
      </c>
      <c r="B761" s="197" t="str">
        <f t="shared" si="33"/>
        <v/>
      </c>
      <c r="C761" s="201"/>
      <c r="D761" s="199"/>
      <c r="E761" s="200"/>
      <c r="F761" s="196" t="str">
        <f>IF($B761="","",SUMIFS('Daily Inward'!$G:$G,'Daily Inward'!$C:$C,$B761,'Daily Inward'!$E:$E,"Patty Cash"))</f>
        <v/>
      </c>
      <c r="G761" s="30" t="str">
        <f>IF($B761="","",SUMIFS('Daily Issuance'!$G:$G,'Daily Issuance'!$C:$C,$B761,'Daily Issuance'!$E:$E,"Patty Cash"))</f>
        <v/>
      </c>
      <c r="H761" s="30" t="str">
        <f t="shared" si="34"/>
        <v/>
      </c>
      <c r="I761" s="33"/>
      <c r="J761" s="34" t="str">
        <f t="shared" si="35"/>
        <v/>
      </c>
    </row>
    <row r="762" spans="1:10" s="27" customFormat="1" ht="23.1" customHeight="1">
      <c r="A762" s="194" t="str">
        <f>IF($C762="","",MAX($A$3:A761)+1)</f>
        <v/>
      </c>
      <c r="B762" s="197" t="str">
        <f t="shared" si="33"/>
        <v/>
      </c>
      <c r="C762" s="201"/>
      <c r="D762" s="199"/>
      <c r="E762" s="200"/>
      <c r="F762" s="196" t="str">
        <f>IF($B762="","",SUMIFS('Daily Inward'!$G:$G,'Daily Inward'!$C:$C,$B762,'Daily Inward'!$E:$E,"Patty Cash"))</f>
        <v/>
      </c>
      <c r="G762" s="30" t="str">
        <f>IF($B762="","",SUMIFS('Daily Issuance'!$G:$G,'Daily Issuance'!$C:$C,$B762,'Daily Issuance'!$E:$E,"Patty Cash"))</f>
        <v/>
      </c>
      <c r="H762" s="30" t="str">
        <f t="shared" si="34"/>
        <v/>
      </c>
      <c r="I762" s="33"/>
      <c r="J762" s="34" t="str">
        <f t="shared" si="35"/>
        <v/>
      </c>
    </row>
    <row r="763" spans="1:10" s="27" customFormat="1" ht="23.1" customHeight="1">
      <c r="A763" s="194" t="str">
        <f>IF($C763="","",MAX($A$3:A762)+1)</f>
        <v/>
      </c>
      <c r="B763" s="197" t="str">
        <f t="shared" si="33"/>
        <v/>
      </c>
      <c r="C763" s="201"/>
      <c r="D763" s="199"/>
      <c r="E763" s="200"/>
      <c r="F763" s="196" t="str">
        <f>IF($B763="","",SUMIFS('Daily Inward'!$G:$G,'Daily Inward'!$C:$C,$B763,'Daily Inward'!$E:$E,"Patty Cash"))</f>
        <v/>
      </c>
      <c r="G763" s="30" t="str">
        <f>IF($B763="","",SUMIFS('Daily Issuance'!$G:$G,'Daily Issuance'!$C:$C,$B763,'Daily Issuance'!$E:$E,"Patty Cash"))</f>
        <v/>
      </c>
      <c r="H763" s="30" t="str">
        <f t="shared" si="34"/>
        <v/>
      </c>
      <c r="I763" s="33"/>
      <c r="J763" s="34" t="str">
        <f t="shared" si="35"/>
        <v/>
      </c>
    </row>
    <row r="764" spans="1:10" s="27" customFormat="1" ht="23.1" customHeight="1">
      <c r="A764" s="194" t="str">
        <f>IF($C764="","",MAX($A$3:A763)+1)</f>
        <v/>
      </c>
      <c r="B764" s="197" t="str">
        <f t="shared" si="33"/>
        <v/>
      </c>
      <c r="C764" s="201"/>
      <c r="D764" s="199"/>
      <c r="E764" s="200"/>
      <c r="F764" s="196" t="str">
        <f>IF($B764="","",SUMIFS('Daily Inward'!$G:$G,'Daily Inward'!$C:$C,$B764,'Daily Inward'!$E:$E,"Patty Cash"))</f>
        <v/>
      </c>
      <c r="G764" s="30" t="str">
        <f>IF($B764="","",SUMIFS('Daily Issuance'!$G:$G,'Daily Issuance'!$C:$C,$B764,'Daily Issuance'!$E:$E,"Patty Cash"))</f>
        <v/>
      </c>
      <c r="H764" s="30" t="str">
        <f t="shared" si="34"/>
        <v/>
      </c>
      <c r="I764" s="33"/>
      <c r="J764" s="34" t="str">
        <f t="shared" si="35"/>
        <v/>
      </c>
    </row>
    <row r="765" spans="1:10" s="27" customFormat="1" ht="23.1" customHeight="1">
      <c r="A765" s="194" t="str">
        <f>IF($C765="","",MAX($A$3:A764)+1)</f>
        <v/>
      </c>
      <c r="B765" s="197" t="str">
        <f t="shared" si="33"/>
        <v/>
      </c>
      <c r="C765" s="201"/>
      <c r="D765" s="199"/>
      <c r="E765" s="200"/>
      <c r="F765" s="196" t="str">
        <f>IF($B765="","",SUMIFS('Daily Inward'!$G:$G,'Daily Inward'!$C:$C,$B765,'Daily Inward'!$E:$E,"Patty Cash"))</f>
        <v/>
      </c>
      <c r="G765" s="30" t="str">
        <f>IF($B765="","",SUMIFS('Daily Issuance'!$G:$G,'Daily Issuance'!$C:$C,$B765,'Daily Issuance'!$E:$E,"Patty Cash"))</f>
        <v/>
      </c>
      <c r="H765" s="30" t="str">
        <f t="shared" si="34"/>
        <v/>
      </c>
      <c r="I765" s="33"/>
      <c r="J765" s="34" t="str">
        <f t="shared" si="35"/>
        <v/>
      </c>
    </row>
    <row r="766" spans="1:10" s="27" customFormat="1" ht="23.1" customHeight="1">
      <c r="A766" s="194" t="str">
        <f>IF($C766="","",MAX($A$3:A765)+1)</f>
        <v/>
      </c>
      <c r="B766" s="197" t="str">
        <f t="shared" si="33"/>
        <v/>
      </c>
      <c r="C766" s="201"/>
      <c r="D766" s="199"/>
      <c r="E766" s="200"/>
      <c r="F766" s="196" t="str">
        <f>IF($B766="","",SUMIFS('Daily Inward'!$G:$G,'Daily Inward'!$C:$C,$B766,'Daily Inward'!$E:$E,"Patty Cash"))</f>
        <v/>
      </c>
      <c r="G766" s="30" t="str">
        <f>IF($B766="","",SUMIFS('Daily Issuance'!$G:$G,'Daily Issuance'!$C:$C,$B766,'Daily Issuance'!$E:$E,"Patty Cash"))</f>
        <v/>
      </c>
      <c r="H766" s="30" t="str">
        <f t="shared" si="34"/>
        <v/>
      </c>
      <c r="I766" s="33"/>
      <c r="J766" s="34" t="str">
        <f t="shared" si="35"/>
        <v/>
      </c>
    </row>
    <row r="767" spans="1:10" s="27" customFormat="1" ht="23.1" customHeight="1">
      <c r="A767" s="194" t="str">
        <f>IF($C767="","",MAX($A$3:A766)+1)</f>
        <v/>
      </c>
      <c r="B767" s="197" t="str">
        <f t="shared" si="33"/>
        <v/>
      </c>
      <c r="C767" s="201"/>
      <c r="D767" s="199"/>
      <c r="E767" s="200"/>
      <c r="F767" s="196" t="str">
        <f>IF($B767="","",SUMIFS('Daily Inward'!$G:$G,'Daily Inward'!$C:$C,$B767,'Daily Inward'!$E:$E,"Patty Cash"))</f>
        <v/>
      </c>
      <c r="G767" s="30" t="str">
        <f>IF($B767="","",SUMIFS('Daily Issuance'!$G:$G,'Daily Issuance'!$C:$C,$B767,'Daily Issuance'!$E:$E,"Patty Cash"))</f>
        <v/>
      </c>
      <c r="H767" s="30" t="str">
        <f t="shared" si="34"/>
        <v/>
      </c>
      <c r="I767" s="33"/>
      <c r="J767" s="34" t="str">
        <f t="shared" si="35"/>
        <v/>
      </c>
    </row>
    <row r="768" spans="1:10" s="27" customFormat="1" ht="23.1" customHeight="1">
      <c r="A768" s="194" t="str">
        <f>IF($C768="","",MAX($A$3:A767)+1)</f>
        <v/>
      </c>
      <c r="B768" s="197" t="str">
        <f t="shared" si="33"/>
        <v/>
      </c>
      <c r="C768" s="201"/>
      <c r="D768" s="199"/>
      <c r="E768" s="200"/>
      <c r="F768" s="196" t="str">
        <f>IF($B768="","",SUMIFS('Daily Inward'!$G:$G,'Daily Inward'!$C:$C,$B768,'Daily Inward'!$E:$E,"Patty Cash"))</f>
        <v/>
      </c>
      <c r="G768" s="30" t="str">
        <f>IF($B768="","",SUMIFS('Daily Issuance'!$G:$G,'Daily Issuance'!$C:$C,$B768,'Daily Issuance'!$E:$E,"Patty Cash"))</f>
        <v/>
      </c>
      <c r="H768" s="30" t="str">
        <f t="shared" si="34"/>
        <v/>
      </c>
      <c r="I768" s="33"/>
      <c r="J768" s="34" t="str">
        <f t="shared" si="35"/>
        <v/>
      </c>
    </row>
    <row r="769" spans="1:10" s="27" customFormat="1" ht="23.1" customHeight="1">
      <c r="A769" s="194" t="str">
        <f>IF($C769="","",MAX($A$3:A768)+1)</f>
        <v/>
      </c>
      <c r="B769" s="197" t="str">
        <f t="shared" si="33"/>
        <v/>
      </c>
      <c r="C769" s="201"/>
      <c r="D769" s="199"/>
      <c r="E769" s="200"/>
      <c r="F769" s="196" t="str">
        <f>IF($B769="","",SUMIFS('Daily Inward'!$G:$G,'Daily Inward'!$C:$C,$B769,'Daily Inward'!$E:$E,"Patty Cash"))</f>
        <v/>
      </c>
      <c r="G769" s="30" t="str">
        <f>IF($B769="","",SUMIFS('Daily Issuance'!$G:$G,'Daily Issuance'!$C:$C,$B769,'Daily Issuance'!$E:$E,"Patty Cash"))</f>
        <v/>
      </c>
      <c r="H769" s="30" t="str">
        <f t="shared" si="34"/>
        <v/>
      </c>
      <c r="I769" s="33"/>
      <c r="J769" s="34" t="str">
        <f t="shared" si="35"/>
        <v/>
      </c>
    </row>
    <row r="770" spans="1:10" s="27" customFormat="1" ht="23.1" customHeight="1">
      <c r="A770" s="194" t="str">
        <f>IF($C770="","",MAX($A$3:A769)+1)</f>
        <v/>
      </c>
      <c r="B770" s="197" t="str">
        <f t="shared" si="33"/>
        <v/>
      </c>
      <c r="C770" s="201"/>
      <c r="D770" s="199"/>
      <c r="E770" s="200"/>
      <c r="F770" s="196" t="str">
        <f>IF($B770="","",SUMIFS('Daily Inward'!$G:$G,'Daily Inward'!$C:$C,$B770,'Daily Inward'!$E:$E,"Patty Cash"))</f>
        <v/>
      </c>
      <c r="G770" s="30" t="str">
        <f>IF($B770="","",SUMIFS('Daily Issuance'!$G:$G,'Daily Issuance'!$C:$C,$B770,'Daily Issuance'!$E:$E,"Patty Cash"))</f>
        <v/>
      </c>
      <c r="H770" s="30" t="str">
        <f t="shared" si="34"/>
        <v/>
      </c>
      <c r="I770" s="33"/>
      <c r="J770" s="34" t="str">
        <f t="shared" si="35"/>
        <v/>
      </c>
    </row>
    <row r="771" spans="1:10" s="27" customFormat="1" ht="23.1" customHeight="1">
      <c r="A771" s="194" t="str">
        <f>IF($C771="","",MAX($A$3:A770)+1)</f>
        <v/>
      </c>
      <c r="B771" s="197" t="str">
        <f t="shared" si="33"/>
        <v/>
      </c>
      <c r="C771" s="201"/>
      <c r="D771" s="199"/>
      <c r="E771" s="200"/>
      <c r="F771" s="196" t="str">
        <f>IF($B771="","",SUMIFS('Daily Inward'!$G:$G,'Daily Inward'!$C:$C,$B771,'Daily Inward'!$E:$E,"Patty Cash"))</f>
        <v/>
      </c>
      <c r="G771" s="30" t="str">
        <f>IF($B771="","",SUMIFS('Daily Issuance'!$G:$G,'Daily Issuance'!$C:$C,$B771,'Daily Issuance'!$E:$E,"Patty Cash"))</f>
        <v/>
      </c>
      <c r="H771" s="30" t="str">
        <f t="shared" si="34"/>
        <v/>
      </c>
      <c r="I771" s="33"/>
      <c r="J771" s="34" t="str">
        <f t="shared" si="35"/>
        <v/>
      </c>
    </row>
    <row r="772" spans="1:10" s="27" customFormat="1" ht="23.1" customHeight="1">
      <c r="A772" s="194" t="str">
        <f>IF($C772="","",MAX($A$3:A771)+1)</f>
        <v/>
      </c>
      <c r="B772" s="197" t="str">
        <f t="shared" si="33"/>
        <v/>
      </c>
      <c r="C772" s="201"/>
      <c r="D772" s="199"/>
      <c r="E772" s="200"/>
      <c r="F772" s="196" t="str">
        <f>IF($B772="","",SUMIFS('Daily Inward'!$G:$G,'Daily Inward'!$C:$C,$B772,'Daily Inward'!$E:$E,"Patty Cash"))</f>
        <v/>
      </c>
      <c r="G772" s="30" t="str">
        <f>IF($B772="","",SUMIFS('Daily Issuance'!$G:$G,'Daily Issuance'!$C:$C,$B772,'Daily Issuance'!$E:$E,"Patty Cash"))</f>
        <v/>
      </c>
      <c r="H772" s="30" t="str">
        <f t="shared" si="34"/>
        <v/>
      </c>
      <c r="I772" s="33"/>
      <c r="J772" s="34" t="str">
        <f t="shared" si="35"/>
        <v/>
      </c>
    </row>
    <row r="773" spans="1:10" s="27" customFormat="1" ht="23.1" customHeight="1">
      <c r="A773" s="194" t="str">
        <f>IF($C773="","",MAX($A$3:A772)+1)</f>
        <v/>
      </c>
      <c r="B773" s="197" t="str">
        <f t="shared" ref="B773:B836" si="36">IF($C773="","","PTC"&amp;TEXT(ROW()-4,"000"))</f>
        <v/>
      </c>
      <c r="C773" s="201"/>
      <c r="D773" s="199"/>
      <c r="E773" s="200"/>
      <c r="F773" s="196" t="str">
        <f>IF($B773="","",SUMIFS('Daily Inward'!$G:$G,'Daily Inward'!$C:$C,$B773,'Daily Inward'!$E:$E,"Patty Cash"))</f>
        <v/>
      </c>
      <c r="G773" s="30" t="str">
        <f>IF($B773="","",SUMIFS('Daily Issuance'!$G:$G,'Daily Issuance'!$C:$C,$B773,'Daily Issuance'!$E:$E,"Patty Cash"))</f>
        <v/>
      </c>
      <c r="H773" s="30" t="str">
        <f t="shared" ref="H773:H836" si="37">IF($B773="","",F773-G773)</f>
        <v/>
      </c>
      <c r="I773" s="33"/>
      <c r="J773" s="34" t="str">
        <f t="shared" ref="J773:J836" si="38">IF(OR(H773="",I773=""),"",H773*I773)</f>
        <v/>
      </c>
    </row>
    <row r="774" spans="1:10" s="27" customFormat="1" ht="23.1" customHeight="1">
      <c r="A774" s="194" t="str">
        <f>IF($C774="","",MAX($A$3:A773)+1)</f>
        <v/>
      </c>
      <c r="B774" s="197" t="str">
        <f t="shared" si="36"/>
        <v/>
      </c>
      <c r="C774" s="201"/>
      <c r="D774" s="199"/>
      <c r="E774" s="200"/>
      <c r="F774" s="196" t="str">
        <f>IF($B774="","",SUMIFS('Daily Inward'!$G:$G,'Daily Inward'!$C:$C,$B774,'Daily Inward'!$E:$E,"Patty Cash"))</f>
        <v/>
      </c>
      <c r="G774" s="30" t="str">
        <f>IF($B774="","",SUMIFS('Daily Issuance'!$G:$G,'Daily Issuance'!$C:$C,$B774,'Daily Issuance'!$E:$E,"Patty Cash"))</f>
        <v/>
      </c>
      <c r="H774" s="30" t="str">
        <f t="shared" si="37"/>
        <v/>
      </c>
      <c r="I774" s="33"/>
      <c r="J774" s="34" t="str">
        <f t="shared" si="38"/>
        <v/>
      </c>
    </row>
    <row r="775" spans="1:10" s="27" customFormat="1" ht="23.1" customHeight="1">
      <c r="A775" s="194" t="str">
        <f>IF($C775="","",MAX($A$3:A774)+1)</f>
        <v/>
      </c>
      <c r="B775" s="197" t="str">
        <f t="shared" si="36"/>
        <v/>
      </c>
      <c r="C775" s="201"/>
      <c r="D775" s="199"/>
      <c r="E775" s="200"/>
      <c r="F775" s="196" t="str">
        <f>IF($B775="","",SUMIFS('Daily Inward'!$G:$G,'Daily Inward'!$C:$C,$B775,'Daily Inward'!$E:$E,"Patty Cash"))</f>
        <v/>
      </c>
      <c r="G775" s="30" t="str">
        <f>IF($B775="","",SUMIFS('Daily Issuance'!$G:$G,'Daily Issuance'!$C:$C,$B775,'Daily Issuance'!$E:$E,"Patty Cash"))</f>
        <v/>
      </c>
      <c r="H775" s="30" t="str">
        <f t="shared" si="37"/>
        <v/>
      </c>
      <c r="I775" s="33"/>
      <c r="J775" s="34" t="str">
        <f t="shared" si="38"/>
        <v/>
      </c>
    </row>
    <row r="776" spans="1:10" s="27" customFormat="1" ht="23.1" customHeight="1">
      <c r="A776" s="194" t="str">
        <f>IF($C776="","",MAX($A$3:A775)+1)</f>
        <v/>
      </c>
      <c r="B776" s="197" t="str">
        <f t="shared" si="36"/>
        <v/>
      </c>
      <c r="C776" s="201"/>
      <c r="D776" s="199"/>
      <c r="E776" s="200"/>
      <c r="F776" s="196" t="str">
        <f>IF($B776="","",SUMIFS('Daily Inward'!$G:$G,'Daily Inward'!$C:$C,$B776,'Daily Inward'!$E:$E,"Patty Cash"))</f>
        <v/>
      </c>
      <c r="G776" s="30" t="str">
        <f>IF($B776="","",SUMIFS('Daily Issuance'!$G:$G,'Daily Issuance'!$C:$C,$B776,'Daily Issuance'!$E:$E,"Patty Cash"))</f>
        <v/>
      </c>
      <c r="H776" s="30" t="str">
        <f t="shared" si="37"/>
        <v/>
      </c>
      <c r="I776" s="33"/>
      <c r="J776" s="34" t="str">
        <f t="shared" si="38"/>
        <v/>
      </c>
    </row>
    <row r="777" spans="1:10" s="27" customFormat="1" ht="23.1" customHeight="1">
      <c r="A777" s="194" t="str">
        <f>IF($C777="","",MAX($A$3:A776)+1)</f>
        <v/>
      </c>
      <c r="B777" s="197" t="str">
        <f t="shared" si="36"/>
        <v/>
      </c>
      <c r="C777" s="201"/>
      <c r="D777" s="199"/>
      <c r="E777" s="200"/>
      <c r="F777" s="196" t="str">
        <f>IF($B777="","",SUMIFS('Daily Inward'!$G:$G,'Daily Inward'!$C:$C,$B777,'Daily Inward'!$E:$E,"Patty Cash"))</f>
        <v/>
      </c>
      <c r="G777" s="30" t="str">
        <f>IF($B777="","",SUMIFS('Daily Issuance'!$G:$G,'Daily Issuance'!$C:$C,$B777,'Daily Issuance'!$E:$E,"Patty Cash"))</f>
        <v/>
      </c>
      <c r="H777" s="30" t="str">
        <f t="shared" si="37"/>
        <v/>
      </c>
      <c r="I777" s="33"/>
      <c r="J777" s="34" t="str">
        <f t="shared" si="38"/>
        <v/>
      </c>
    </row>
    <row r="778" spans="1:10" s="27" customFormat="1" ht="23.1" customHeight="1">
      <c r="A778" s="194" t="str">
        <f>IF($C778="","",MAX($A$3:A777)+1)</f>
        <v/>
      </c>
      <c r="B778" s="197" t="str">
        <f t="shared" si="36"/>
        <v/>
      </c>
      <c r="C778" s="201"/>
      <c r="D778" s="199"/>
      <c r="E778" s="200"/>
      <c r="F778" s="196" t="str">
        <f>IF($B778="","",SUMIFS('Daily Inward'!$G:$G,'Daily Inward'!$C:$C,$B778,'Daily Inward'!$E:$E,"Patty Cash"))</f>
        <v/>
      </c>
      <c r="G778" s="30" t="str">
        <f>IF($B778="","",SUMIFS('Daily Issuance'!$G:$G,'Daily Issuance'!$C:$C,$B778,'Daily Issuance'!$E:$E,"Patty Cash"))</f>
        <v/>
      </c>
      <c r="H778" s="30" t="str">
        <f t="shared" si="37"/>
        <v/>
      </c>
      <c r="I778" s="33"/>
      <c r="J778" s="34" t="str">
        <f t="shared" si="38"/>
        <v/>
      </c>
    </row>
    <row r="779" spans="1:10" s="27" customFormat="1" ht="23.1" customHeight="1">
      <c r="A779" s="194" t="str">
        <f>IF($C779="","",MAX($A$3:A778)+1)</f>
        <v/>
      </c>
      <c r="B779" s="197" t="str">
        <f t="shared" si="36"/>
        <v/>
      </c>
      <c r="C779" s="201"/>
      <c r="D779" s="199"/>
      <c r="E779" s="200"/>
      <c r="F779" s="196" t="str">
        <f>IF($B779="","",SUMIFS('Daily Inward'!$G:$G,'Daily Inward'!$C:$C,$B779,'Daily Inward'!$E:$E,"Patty Cash"))</f>
        <v/>
      </c>
      <c r="G779" s="30" t="str">
        <f>IF($B779="","",SUMIFS('Daily Issuance'!$G:$G,'Daily Issuance'!$C:$C,$B779,'Daily Issuance'!$E:$E,"Patty Cash"))</f>
        <v/>
      </c>
      <c r="H779" s="30" t="str">
        <f t="shared" si="37"/>
        <v/>
      </c>
      <c r="I779" s="33"/>
      <c r="J779" s="34" t="str">
        <f t="shared" si="38"/>
        <v/>
      </c>
    </row>
    <row r="780" spans="1:10" s="27" customFormat="1" ht="23.1" customHeight="1">
      <c r="A780" s="194" t="str">
        <f>IF($C780="","",MAX($A$3:A779)+1)</f>
        <v/>
      </c>
      <c r="B780" s="197" t="str">
        <f t="shared" si="36"/>
        <v/>
      </c>
      <c r="C780" s="201"/>
      <c r="D780" s="199"/>
      <c r="E780" s="200"/>
      <c r="F780" s="196" t="str">
        <f>IF($B780="","",SUMIFS('Daily Inward'!$G:$G,'Daily Inward'!$C:$C,$B780,'Daily Inward'!$E:$E,"Patty Cash"))</f>
        <v/>
      </c>
      <c r="G780" s="30" t="str">
        <f>IF($B780="","",SUMIFS('Daily Issuance'!$G:$G,'Daily Issuance'!$C:$C,$B780,'Daily Issuance'!$E:$E,"Patty Cash"))</f>
        <v/>
      </c>
      <c r="H780" s="30" t="str">
        <f t="shared" si="37"/>
        <v/>
      </c>
      <c r="I780" s="33"/>
      <c r="J780" s="34" t="str">
        <f t="shared" si="38"/>
        <v/>
      </c>
    </row>
    <row r="781" spans="1:10" s="27" customFormat="1" ht="23.1" customHeight="1">
      <c r="A781" s="194" t="str">
        <f>IF($C781="","",MAX($A$3:A780)+1)</f>
        <v/>
      </c>
      <c r="B781" s="197" t="str">
        <f t="shared" si="36"/>
        <v/>
      </c>
      <c r="C781" s="201"/>
      <c r="D781" s="199"/>
      <c r="E781" s="200"/>
      <c r="F781" s="196" t="str">
        <f>IF($B781="","",SUMIFS('Daily Inward'!$G:$G,'Daily Inward'!$C:$C,$B781,'Daily Inward'!$E:$E,"Patty Cash"))</f>
        <v/>
      </c>
      <c r="G781" s="30" t="str">
        <f>IF($B781="","",SUMIFS('Daily Issuance'!$G:$G,'Daily Issuance'!$C:$C,$B781,'Daily Issuance'!$E:$E,"Patty Cash"))</f>
        <v/>
      </c>
      <c r="H781" s="30" t="str">
        <f t="shared" si="37"/>
        <v/>
      </c>
      <c r="I781" s="33"/>
      <c r="J781" s="34" t="str">
        <f t="shared" si="38"/>
        <v/>
      </c>
    </row>
    <row r="782" spans="1:10" s="27" customFormat="1" ht="23.1" customHeight="1">
      <c r="A782" s="194" t="str">
        <f>IF($C782="","",MAX($A$3:A781)+1)</f>
        <v/>
      </c>
      <c r="B782" s="197" t="str">
        <f t="shared" si="36"/>
        <v/>
      </c>
      <c r="C782" s="201"/>
      <c r="D782" s="199"/>
      <c r="E782" s="200"/>
      <c r="F782" s="196" t="str">
        <f>IF($B782="","",SUMIFS('Daily Inward'!$G:$G,'Daily Inward'!$C:$C,$B782,'Daily Inward'!$E:$E,"Patty Cash"))</f>
        <v/>
      </c>
      <c r="G782" s="30" t="str">
        <f>IF($B782="","",SUMIFS('Daily Issuance'!$G:$G,'Daily Issuance'!$C:$C,$B782,'Daily Issuance'!$E:$E,"Patty Cash"))</f>
        <v/>
      </c>
      <c r="H782" s="30" t="str">
        <f t="shared" si="37"/>
        <v/>
      </c>
      <c r="I782" s="33"/>
      <c r="J782" s="34" t="str">
        <f t="shared" si="38"/>
        <v/>
      </c>
    </row>
    <row r="783" spans="1:10" s="27" customFormat="1" ht="23.1" customHeight="1">
      <c r="A783" s="194" t="str">
        <f>IF($C783="","",MAX($A$3:A782)+1)</f>
        <v/>
      </c>
      <c r="B783" s="197" t="str">
        <f t="shared" si="36"/>
        <v/>
      </c>
      <c r="C783" s="201"/>
      <c r="D783" s="199"/>
      <c r="E783" s="200"/>
      <c r="F783" s="196" t="str">
        <f>IF($B783="","",SUMIFS('Daily Inward'!$G:$G,'Daily Inward'!$C:$C,$B783,'Daily Inward'!$E:$E,"Patty Cash"))</f>
        <v/>
      </c>
      <c r="G783" s="30" t="str">
        <f>IF($B783="","",SUMIFS('Daily Issuance'!$G:$G,'Daily Issuance'!$C:$C,$B783,'Daily Issuance'!$E:$E,"Patty Cash"))</f>
        <v/>
      </c>
      <c r="H783" s="30" t="str">
        <f t="shared" si="37"/>
        <v/>
      </c>
      <c r="I783" s="33"/>
      <c r="J783" s="34" t="str">
        <f t="shared" si="38"/>
        <v/>
      </c>
    </row>
    <row r="784" spans="1:10" s="27" customFormat="1" ht="23.1" customHeight="1">
      <c r="A784" s="194" t="str">
        <f>IF($C784="","",MAX($A$3:A783)+1)</f>
        <v/>
      </c>
      <c r="B784" s="197" t="str">
        <f t="shared" si="36"/>
        <v/>
      </c>
      <c r="C784" s="201"/>
      <c r="D784" s="199"/>
      <c r="E784" s="200"/>
      <c r="F784" s="196" t="str">
        <f>IF($B784="","",SUMIFS('Daily Inward'!$G:$G,'Daily Inward'!$C:$C,$B784,'Daily Inward'!$E:$E,"Patty Cash"))</f>
        <v/>
      </c>
      <c r="G784" s="30" t="str">
        <f>IF($B784="","",SUMIFS('Daily Issuance'!$G:$G,'Daily Issuance'!$C:$C,$B784,'Daily Issuance'!$E:$E,"Patty Cash"))</f>
        <v/>
      </c>
      <c r="H784" s="30" t="str">
        <f t="shared" si="37"/>
        <v/>
      </c>
      <c r="I784" s="33"/>
      <c r="J784" s="34" t="str">
        <f t="shared" si="38"/>
        <v/>
      </c>
    </row>
    <row r="785" spans="1:10" s="27" customFormat="1" ht="23.1" customHeight="1">
      <c r="A785" s="194" t="str">
        <f>IF($C785="","",MAX($A$3:A784)+1)</f>
        <v/>
      </c>
      <c r="B785" s="197" t="str">
        <f t="shared" si="36"/>
        <v/>
      </c>
      <c r="C785" s="201"/>
      <c r="D785" s="199"/>
      <c r="E785" s="200"/>
      <c r="F785" s="196" t="str">
        <f>IF($B785="","",SUMIFS('Daily Inward'!$G:$G,'Daily Inward'!$C:$C,$B785,'Daily Inward'!$E:$E,"Patty Cash"))</f>
        <v/>
      </c>
      <c r="G785" s="30" t="str">
        <f>IF($B785="","",SUMIFS('Daily Issuance'!$G:$G,'Daily Issuance'!$C:$C,$B785,'Daily Issuance'!$E:$E,"Patty Cash"))</f>
        <v/>
      </c>
      <c r="H785" s="30" t="str">
        <f t="shared" si="37"/>
        <v/>
      </c>
      <c r="I785" s="33"/>
      <c r="J785" s="34" t="str">
        <f t="shared" si="38"/>
        <v/>
      </c>
    </row>
    <row r="786" spans="1:10" s="27" customFormat="1" ht="23.1" customHeight="1">
      <c r="A786" s="194" t="str">
        <f>IF($C786="","",MAX($A$3:A785)+1)</f>
        <v/>
      </c>
      <c r="B786" s="197" t="str">
        <f t="shared" si="36"/>
        <v/>
      </c>
      <c r="C786" s="201"/>
      <c r="D786" s="199"/>
      <c r="E786" s="200"/>
      <c r="F786" s="196" t="str">
        <f>IF($B786="","",SUMIFS('Daily Inward'!$G:$G,'Daily Inward'!$C:$C,$B786,'Daily Inward'!$E:$E,"Patty Cash"))</f>
        <v/>
      </c>
      <c r="G786" s="30" t="str">
        <f>IF($B786="","",SUMIFS('Daily Issuance'!$G:$G,'Daily Issuance'!$C:$C,$B786,'Daily Issuance'!$E:$E,"Patty Cash"))</f>
        <v/>
      </c>
      <c r="H786" s="30" t="str">
        <f t="shared" si="37"/>
        <v/>
      </c>
      <c r="I786" s="33"/>
      <c r="J786" s="34" t="str">
        <f t="shared" si="38"/>
        <v/>
      </c>
    </row>
    <row r="787" spans="1:10" s="27" customFormat="1" ht="23.1" customHeight="1">
      <c r="A787" s="194" t="str">
        <f>IF($C787="","",MAX($A$3:A786)+1)</f>
        <v/>
      </c>
      <c r="B787" s="197" t="str">
        <f t="shared" si="36"/>
        <v/>
      </c>
      <c r="C787" s="201"/>
      <c r="D787" s="199"/>
      <c r="E787" s="200"/>
      <c r="F787" s="196" t="str">
        <f>IF($B787="","",SUMIFS('Daily Inward'!$G:$G,'Daily Inward'!$C:$C,$B787,'Daily Inward'!$E:$E,"Patty Cash"))</f>
        <v/>
      </c>
      <c r="G787" s="30" t="str">
        <f>IF($B787="","",SUMIFS('Daily Issuance'!$G:$G,'Daily Issuance'!$C:$C,$B787,'Daily Issuance'!$E:$E,"Patty Cash"))</f>
        <v/>
      </c>
      <c r="H787" s="30" t="str">
        <f t="shared" si="37"/>
        <v/>
      </c>
      <c r="I787" s="33"/>
      <c r="J787" s="34" t="str">
        <f t="shared" si="38"/>
        <v/>
      </c>
    </row>
    <row r="788" spans="1:10" s="27" customFormat="1" ht="23.1" customHeight="1">
      <c r="A788" s="194" t="str">
        <f>IF($C788="","",MAX($A$3:A787)+1)</f>
        <v/>
      </c>
      <c r="B788" s="197" t="str">
        <f t="shared" si="36"/>
        <v/>
      </c>
      <c r="C788" s="201"/>
      <c r="D788" s="199"/>
      <c r="E788" s="200"/>
      <c r="F788" s="196" t="str">
        <f>IF($B788="","",SUMIFS('Daily Inward'!$G:$G,'Daily Inward'!$C:$C,$B788,'Daily Inward'!$E:$E,"Patty Cash"))</f>
        <v/>
      </c>
      <c r="G788" s="30" t="str">
        <f>IF($B788="","",SUMIFS('Daily Issuance'!$G:$G,'Daily Issuance'!$C:$C,$B788,'Daily Issuance'!$E:$E,"Patty Cash"))</f>
        <v/>
      </c>
      <c r="H788" s="30" t="str">
        <f t="shared" si="37"/>
        <v/>
      </c>
      <c r="I788" s="33"/>
      <c r="J788" s="34" t="str">
        <f t="shared" si="38"/>
        <v/>
      </c>
    </row>
    <row r="789" spans="1:10" s="27" customFormat="1" ht="23.1" customHeight="1">
      <c r="A789" s="194" t="str">
        <f>IF($C789="","",MAX($A$3:A788)+1)</f>
        <v/>
      </c>
      <c r="B789" s="197" t="str">
        <f t="shared" si="36"/>
        <v/>
      </c>
      <c r="C789" s="201"/>
      <c r="D789" s="199"/>
      <c r="E789" s="200"/>
      <c r="F789" s="196" t="str">
        <f>IF($B789="","",SUMIFS('Daily Inward'!$G:$G,'Daily Inward'!$C:$C,$B789,'Daily Inward'!$E:$E,"Patty Cash"))</f>
        <v/>
      </c>
      <c r="G789" s="30" t="str">
        <f>IF($B789="","",SUMIFS('Daily Issuance'!$G:$G,'Daily Issuance'!$C:$C,$B789,'Daily Issuance'!$E:$E,"Patty Cash"))</f>
        <v/>
      </c>
      <c r="H789" s="30" t="str">
        <f t="shared" si="37"/>
        <v/>
      </c>
      <c r="I789" s="33"/>
      <c r="J789" s="34" t="str">
        <f t="shared" si="38"/>
        <v/>
      </c>
    </row>
    <row r="790" spans="1:10" s="27" customFormat="1" ht="23.1" customHeight="1">
      <c r="A790" s="194" t="str">
        <f>IF($C790="","",MAX($A$3:A789)+1)</f>
        <v/>
      </c>
      <c r="B790" s="197" t="str">
        <f t="shared" si="36"/>
        <v/>
      </c>
      <c r="C790" s="201"/>
      <c r="D790" s="199"/>
      <c r="E790" s="200"/>
      <c r="F790" s="196" t="str">
        <f>IF($B790="","",SUMIFS('Daily Inward'!$G:$G,'Daily Inward'!$C:$C,$B790,'Daily Inward'!$E:$E,"Patty Cash"))</f>
        <v/>
      </c>
      <c r="G790" s="30" t="str">
        <f>IF($B790="","",SUMIFS('Daily Issuance'!$G:$G,'Daily Issuance'!$C:$C,$B790,'Daily Issuance'!$E:$E,"Patty Cash"))</f>
        <v/>
      </c>
      <c r="H790" s="30" t="str">
        <f t="shared" si="37"/>
        <v/>
      </c>
      <c r="I790" s="33"/>
      <c r="J790" s="34" t="str">
        <f t="shared" si="38"/>
        <v/>
      </c>
    </row>
    <row r="791" spans="1:10" s="27" customFormat="1" ht="23.1" customHeight="1">
      <c r="A791" s="194" t="str">
        <f>IF($C791="","",MAX($A$3:A790)+1)</f>
        <v/>
      </c>
      <c r="B791" s="197" t="str">
        <f t="shared" si="36"/>
        <v/>
      </c>
      <c r="C791" s="201"/>
      <c r="D791" s="199"/>
      <c r="E791" s="200"/>
      <c r="F791" s="196" t="str">
        <f>IF($B791="","",SUMIFS('Daily Inward'!$G:$G,'Daily Inward'!$C:$C,$B791,'Daily Inward'!$E:$E,"Patty Cash"))</f>
        <v/>
      </c>
      <c r="G791" s="30" t="str">
        <f>IF($B791="","",SUMIFS('Daily Issuance'!$G:$G,'Daily Issuance'!$C:$C,$B791,'Daily Issuance'!$E:$E,"Patty Cash"))</f>
        <v/>
      </c>
      <c r="H791" s="30" t="str">
        <f t="shared" si="37"/>
        <v/>
      </c>
      <c r="I791" s="33"/>
      <c r="J791" s="34" t="str">
        <f t="shared" si="38"/>
        <v/>
      </c>
    </row>
    <row r="792" spans="1:10" s="27" customFormat="1" ht="23.1" customHeight="1">
      <c r="A792" s="194" t="str">
        <f>IF($C792="","",MAX($A$3:A791)+1)</f>
        <v/>
      </c>
      <c r="B792" s="197" t="str">
        <f t="shared" si="36"/>
        <v/>
      </c>
      <c r="C792" s="201"/>
      <c r="D792" s="199"/>
      <c r="E792" s="200"/>
      <c r="F792" s="196" t="str">
        <f>IF($B792="","",SUMIFS('Daily Inward'!$G:$G,'Daily Inward'!$C:$C,$B792,'Daily Inward'!$E:$E,"Patty Cash"))</f>
        <v/>
      </c>
      <c r="G792" s="30" t="str">
        <f>IF($B792="","",SUMIFS('Daily Issuance'!$G:$G,'Daily Issuance'!$C:$C,$B792,'Daily Issuance'!$E:$E,"Patty Cash"))</f>
        <v/>
      </c>
      <c r="H792" s="30" t="str">
        <f t="shared" si="37"/>
        <v/>
      </c>
      <c r="I792" s="33"/>
      <c r="J792" s="34" t="str">
        <f t="shared" si="38"/>
        <v/>
      </c>
    </row>
    <row r="793" spans="1:10" s="27" customFormat="1" ht="23.1" customHeight="1">
      <c r="A793" s="194" t="str">
        <f>IF($C793="","",MAX($A$3:A792)+1)</f>
        <v/>
      </c>
      <c r="B793" s="197" t="str">
        <f t="shared" si="36"/>
        <v/>
      </c>
      <c r="C793" s="201"/>
      <c r="D793" s="199"/>
      <c r="E793" s="200"/>
      <c r="F793" s="196" t="str">
        <f>IF($B793="","",SUMIFS('Daily Inward'!$G:$G,'Daily Inward'!$C:$C,$B793,'Daily Inward'!$E:$E,"Patty Cash"))</f>
        <v/>
      </c>
      <c r="G793" s="30" t="str">
        <f>IF($B793="","",SUMIFS('Daily Issuance'!$G:$G,'Daily Issuance'!$C:$C,$B793,'Daily Issuance'!$E:$E,"Patty Cash"))</f>
        <v/>
      </c>
      <c r="H793" s="30" t="str">
        <f t="shared" si="37"/>
        <v/>
      </c>
      <c r="I793" s="33"/>
      <c r="J793" s="34" t="str">
        <f t="shared" si="38"/>
        <v/>
      </c>
    </row>
    <row r="794" spans="1:10" s="27" customFormat="1" ht="23.1" customHeight="1">
      <c r="A794" s="194" t="str">
        <f>IF($C794="","",MAX($A$3:A793)+1)</f>
        <v/>
      </c>
      <c r="B794" s="197" t="str">
        <f t="shared" si="36"/>
        <v/>
      </c>
      <c r="C794" s="201"/>
      <c r="D794" s="199"/>
      <c r="E794" s="200"/>
      <c r="F794" s="196" t="str">
        <f>IF($B794="","",SUMIFS('Daily Inward'!$G:$G,'Daily Inward'!$C:$C,$B794,'Daily Inward'!$E:$E,"Patty Cash"))</f>
        <v/>
      </c>
      <c r="G794" s="30" t="str">
        <f>IF($B794="","",SUMIFS('Daily Issuance'!$G:$G,'Daily Issuance'!$C:$C,$B794,'Daily Issuance'!$E:$E,"Patty Cash"))</f>
        <v/>
      </c>
      <c r="H794" s="30" t="str">
        <f t="shared" si="37"/>
        <v/>
      </c>
      <c r="I794" s="33"/>
      <c r="J794" s="34" t="str">
        <f t="shared" si="38"/>
        <v/>
      </c>
    </row>
    <row r="795" spans="1:10" s="27" customFormat="1" ht="23.1" customHeight="1">
      <c r="A795" s="194" t="str">
        <f>IF($C795="","",MAX($A$3:A794)+1)</f>
        <v/>
      </c>
      <c r="B795" s="197" t="str">
        <f t="shared" si="36"/>
        <v/>
      </c>
      <c r="C795" s="201"/>
      <c r="D795" s="199"/>
      <c r="E795" s="200"/>
      <c r="F795" s="196" t="str">
        <f>IF($B795="","",SUMIFS('Daily Inward'!$G:$G,'Daily Inward'!$C:$C,$B795,'Daily Inward'!$E:$E,"Patty Cash"))</f>
        <v/>
      </c>
      <c r="G795" s="30" t="str">
        <f>IF($B795="","",SUMIFS('Daily Issuance'!$G:$G,'Daily Issuance'!$C:$C,$B795,'Daily Issuance'!$E:$E,"Patty Cash"))</f>
        <v/>
      </c>
      <c r="H795" s="30" t="str">
        <f t="shared" si="37"/>
        <v/>
      </c>
      <c r="I795" s="33"/>
      <c r="J795" s="34" t="str">
        <f t="shared" si="38"/>
        <v/>
      </c>
    </row>
    <row r="796" spans="1:10" s="27" customFormat="1" ht="23.1" customHeight="1">
      <c r="A796" s="194" t="str">
        <f>IF($C796="","",MAX($A$3:A795)+1)</f>
        <v/>
      </c>
      <c r="B796" s="197" t="str">
        <f t="shared" si="36"/>
        <v/>
      </c>
      <c r="C796" s="201"/>
      <c r="D796" s="199"/>
      <c r="E796" s="200"/>
      <c r="F796" s="196" t="str">
        <f>IF($B796="","",SUMIFS('Daily Inward'!$G:$G,'Daily Inward'!$C:$C,$B796,'Daily Inward'!$E:$E,"Patty Cash"))</f>
        <v/>
      </c>
      <c r="G796" s="30" t="str">
        <f>IF($B796="","",SUMIFS('Daily Issuance'!$G:$G,'Daily Issuance'!$C:$C,$B796,'Daily Issuance'!$E:$E,"Patty Cash"))</f>
        <v/>
      </c>
      <c r="H796" s="30" t="str">
        <f t="shared" si="37"/>
        <v/>
      </c>
      <c r="I796" s="33"/>
      <c r="J796" s="34" t="str">
        <f t="shared" si="38"/>
        <v/>
      </c>
    </row>
    <row r="797" spans="1:10" s="27" customFormat="1" ht="23.1" customHeight="1">
      <c r="A797" s="194" t="str">
        <f>IF($C797="","",MAX($A$3:A796)+1)</f>
        <v/>
      </c>
      <c r="B797" s="197" t="str">
        <f t="shared" si="36"/>
        <v/>
      </c>
      <c r="C797" s="201"/>
      <c r="D797" s="199"/>
      <c r="E797" s="200"/>
      <c r="F797" s="196" t="str">
        <f>IF($B797="","",SUMIFS('Daily Inward'!$G:$G,'Daily Inward'!$C:$C,$B797,'Daily Inward'!$E:$E,"Patty Cash"))</f>
        <v/>
      </c>
      <c r="G797" s="30" t="str">
        <f>IF($B797="","",SUMIFS('Daily Issuance'!$G:$G,'Daily Issuance'!$C:$C,$B797,'Daily Issuance'!$E:$E,"Patty Cash"))</f>
        <v/>
      </c>
      <c r="H797" s="30" t="str">
        <f t="shared" si="37"/>
        <v/>
      </c>
      <c r="I797" s="33"/>
      <c r="J797" s="34" t="str">
        <f t="shared" si="38"/>
        <v/>
      </c>
    </row>
    <row r="798" spans="1:10" s="27" customFormat="1" ht="23.1" customHeight="1">
      <c r="A798" s="194" t="str">
        <f>IF($C798="","",MAX($A$3:A797)+1)</f>
        <v/>
      </c>
      <c r="B798" s="197" t="str">
        <f t="shared" si="36"/>
        <v/>
      </c>
      <c r="C798" s="201"/>
      <c r="D798" s="199"/>
      <c r="E798" s="200"/>
      <c r="F798" s="196" t="str">
        <f>IF($B798="","",SUMIFS('Daily Inward'!$G:$G,'Daily Inward'!$C:$C,$B798,'Daily Inward'!$E:$E,"Patty Cash"))</f>
        <v/>
      </c>
      <c r="G798" s="30" t="str">
        <f>IF($B798="","",SUMIFS('Daily Issuance'!$G:$G,'Daily Issuance'!$C:$C,$B798,'Daily Issuance'!$E:$E,"Patty Cash"))</f>
        <v/>
      </c>
      <c r="H798" s="30" t="str">
        <f t="shared" si="37"/>
        <v/>
      </c>
      <c r="I798" s="33"/>
      <c r="J798" s="34" t="str">
        <f t="shared" si="38"/>
        <v/>
      </c>
    </row>
    <row r="799" spans="1:10" s="27" customFormat="1" ht="23.1" customHeight="1">
      <c r="A799" s="194" t="str">
        <f>IF($C799="","",MAX($A$3:A798)+1)</f>
        <v/>
      </c>
      <c r="B799" s="197" t="str">
        <f t="shared" si="36"/>
        <v/>
      </c>
      <c r="C799" s="201"/>
      <c r="D799" s="199"/>
      <c r="E799" s="200"/>
      <c r="F799" s="196" t="str">
        <f>IF($B799="","",SUMIFS('Daily Inward'!$G:$G,'Daily Inward'!$C:$C,$B799,'Daily Inward'!$E:$E,"Patty Cash"))</f>
        <v/>
      </c>
      <c r="G799" s="30" t="str">
        <f>IF($B799="","",SUMIFS('Daily Issuance'!$G:$G,'Daily Issuance'!$C:$C,$B799,'Daily Issuance'!$E:$E,"Patty Cash"))</f>
        <v/>
      </c>
      <c r="H799" s="30" t="str">
        <f t="shared" si="37"/>
        <v/>
      </c>
      <c r="I799" s="33"/>
      <c r="J799" s="34" t="str">
        <f t="shared" si="38"/>
        <v/>
      </c>
    </row>
    <row r="800" spans="1:10" s="27" customFormat="1" ht="23.1" customHeight="1">
      <c r="A800" s="194" t="str">
        <f>IF($C800="","",MAX($A$3:A799)+1)</f>
        <v/>
      </c>
      <c r="B800" s="197" t="str">
        <f t="shared" si="36"/>
        <v/>
      </c>
      <c r="C800" s="201"/>
      <c r="D800" s="199"/>
      <c r="E800" s="200"/>
      <c r="F800" s="196" t="str">
        <f>IF($B800="","",SUMIFS('Daily Inward'!$G:$G,'Daily Inward'!$C:$C,$B800,'Daily Inward'!$E:$E,"Patty Cash"))</f>
        <v/>
      </c>
      <c r="G800" s="30" t="str">
        <f>IF($B800="","",SUMIFS('Daily Issuance'!$G:$G,'Daily Issuance'!$C:$C,$B800,'Daily Issuance'!$E:$E,"Patty Cash"))</f>
        <v/>
      </c>
      <c r="H800" s="30" t="str">
        <f t="shared" si="37"/>
        <v/>
      </c>
      <c r="I800" s="33"/>
      <c r="J800" s="34" t="str">
        <f t="shared" si="38"/>
        <v/>
      </c>
    </row>
    <row r="801" spans="1:10" s="27" customFormat="1" ht="23.1" customHeight="1">
      <c r="A801" s="194" t="str">
        <f>IF($C801="","",MAX($A$3:A800)+1)</f>
        <v/>
      </c>
      <c r="B801" s="197" t="str">
        <f t="shared" si="36"/>
        <v/>
      </c>
      <c r="C801" s="201"/>
      <c r="D801" s="199"/>
      <c r="E801" s="200"/>
      <c r="F801" s="196" t="str">
        <f>IF($B801="","",SUMIFS('Daily Inward'!$G:$G,'Daily Inward'!$C:$C,$B801,'Daily Inward'!$E:$E,"Patty Cash"))</f>
        <v/>
      </c>
      <c r="G801" s="30" t="str">
        <f>IF($B801="","",SUMIFS('Daily Issuance'!$G:$G,'Daily Issuance'!$C:$C,$B801,'Daily Issuance'!$E:$E,"Patty Cash"))</f>
        <v/>
      </c>
      <c r="H801" s="30" t="str">
        <f t="shared" si="37"/>
        <v/>
      </c>
      <c r="I801" s="33"/>
      <c r="J801" s="34" t="str">
        <f t="shared" si="38"/>
        <v/>
      </c>
    </row>
    <row r="802" spans="1:10" s="27" customFormat="1" ht="23.1" customHeight="1">
      <c r="A802" s="194" t="str">
        <f>IF($C802="","",MAX($A$3:A801)+1)</f>
        <v/>
      </c>
      <c r="B802" s="197" t="str">
        <f t="shared" si="36"/>
        <v/>
      </c>
      <c r="C802" s="201"/>
      <c r="D802" s="199"/>
      <c r="E802" s="200"/>
      <c r="F802" s="196" t="str">
        <f>IF($B802="","",SUMIFS('Daily Inward'!$G:$G,'Daily Inward'!$C:$C,$B802,'Daily Inward'!$E:$E,"Patty Cash"))</f>
        <v/>
      </c>
      <c r="G802" s="30" t="str">
        <f>IF($B802="","",SUMIFS('Daily Issuance'!$G:$G,'Daily Issuance'!$C:$C,$B802,'Daily Issuance'!$E:$E,"Patty Cash"))</f>
        <v/>
      </c>
      <c r="H802" s="30" t="str">
        <f t="shared" si="37"/>
        <v/>
      </c>
      <c r="I802" s="33"/>
      <c r="J802" s="34" t="str">
        <f t="shared" si="38"/>
        <v/>
      </c>
    </row>
    <row r="803" spans="1:10" s="27" customFormat="1" ht="23.1" customHeight="1">
      <c r="A803" s="194" t="str">
        <f>IF($C803="","",MAX($A$3:A802)+1)</f>
        <v/>
      </c>
      <c r="B803" s="197" t="str">
        <f t="shared" si="36"/>
        <v/>
      </c>
      <c r="C803" s="201"/>
      <c r="D803" s="199"/>
      <c r="E803" s="200"/>
      <c r="F803" s="196" t="str">
        <f>IF($B803="","",SUMIFS('Daily Inward'!$G:$G,'Daily Inward'!$C:$C,$B803,'Daily Inward'!$E:$E,"Patty Cash"))</f>
        <v/>
      </c>
      <c r="G803" s="30" t="str">
        <f>IF($B803="","",SUMIFS('Daily Issuance'!$G:$G,'Daily Issuance'!$C:$C,$B803,'Daily Issuance'!$E:$E,"Patty Cash"))</f>
        <v/>
      </c>
      <c r="H803" s="30" t="str">
        <f t="shared" si="37"/>
        <v/>
      </c>
      <c r="I803" s="33"/>
      <c r="J803" s="34" t="str">
        <f t="shared" si="38"/>
        <v/>
      </c>
    </row>
    <row r="804" spans="1:10" s="27" customFormat="1" ht="23.1" customHeight="1">
      <c r="A804" s="194" t="str">
        <f>IF($C804="","",MAX($A$3:A803)+1)</f>
        <v/>
      </c>
      <c r="B804" s="197" t="str">
        <f t="shared" si="36"/>
        <v/>
      </c>
      <c r="C804" s="201"/>
      <c r="D804" s="199"/>
      <c r="E804" s="200"/>
      <c r="F804" s="196" t="str">
        <f>IF($B804="","",SUMIFS('Daily Inward'!$G:$G,'Daily Inward'!$C:$C,$B804,'Daily Inward'!$E:$E,"Patty Cash"))</f>
        <v/>
      </c>
      <c r="G804" s="30" t="str">
        <f>IF($B804="","",SUMIFS('Daily Issuance'!$G:$G,'Daily Issuance'!$C:$C,$B804,'Daily Issuance'!$E:$E,"Patty Cash"))</f>
        <v/>
      </c>
      <c r="H804" s="30" t="str">
        <f t="shared" si="37"/>
        <v/>
      </c>
      <c r="I804" s="33"/>
      <c r="J804" s="34" t="str">
        <f t="shared" si="38"/>
        <v/>
      </c>
    </row>
    <row r="805" spans="1:10" s="27" customFormat="1" ht="23.1" customHeight="1">
      <c r="A805" s="194" t="str">
        <f>IF($C805="","",MAX($A$3:A804)+1)</f>
        <v/>
      </c>
      <c r="B805" s="197" t="str">
        <f t="shared" si="36"/>
        <v/>
      </c>
      <c r="C805" s="201"/>
      <c r="D805" s="199"/>
      <c r="E805" s="200"/>
      <c r="F805" s="196" t="str">
        <f>IF($B805="","",SUMIFS('Daily Inward'!$G:$G,'Daily Inward'!$C:$C,$B805,'Daily Inward'!$E:$E,"Patty Cash"))</f>
        <v/>
      </c>
      <c r="G805" s="30" t="str">
        <f>IF($B805="","",SUMIFS('Daily Issuance'!$G:$G,'Daily Issuance'!$C:$C,$B805,'Daily Issuance'!$E:$E,"Patty Cash"))</f>
        <v/>
      </c>
      <c r="H805" s="30" t="str">
        <f t="shared" si="37"/>
        <v/>
      </c>
      <c r="I805" s="33"/>
      <c r="J805" s="34" t="str">
        <f t="shared" si="38"/>
        <v/>
      </c>
    </row>
    <row r="806" spans="1:10" s="27" customFormat="1" ht="23.1" customHeight="1">
      <c r="A806" s="194" t="str">
        <f>IF($C806="","",MAX($A$3:A805)+1)</f>
        <v/>
      </c>
      <c r="B806" s="197" t="str">
        <f t="shared" si="36"/>
        <v/>
      </c>
      <c r="C806" s="201"/>
      <c r="D806" s="199"/>
      <c r="E806" s="200"/>
      <c r="F806" s="196" t="str">
        <f>IF($B806="","",SUMIFS('Daily Inward'!$G:$G,'Daily Inward'!$C:$C,$B806,'Daily Inward'!$E:$E,"Patty Cash"))</f>
        <v/>
      </c>
      <c r="G806" s="30" t="str">
        <f>IF($B806="","",SUMIFS('Daily Issuance'!$G:$G,'Daily Issuance'!$C:$C,$B806,'Daily Issuance'!$E:$E,"Patty Cash"))</f>
        <v/>
      </c>
      <c r="H806" s="30" t="str">
        <f t="shared" si="37"/>
        <v/>
      </c>
      <c r="I806" s="33"/>
      <c r="J806" s="34" t="str">
        <f t="shared" si="38"/>
        <v/>
      </c>
    </row>
    <row r="807" spans="1:10" s="27" customFormat="1" ht="23.1" customHeight="1">
      <c r="A807" s="194" t="str">
        <f>IF($C807="","",MAX($A$3:A806)+1)</f>
        <v/>
      </c>
      <c r="B807" s="197" t="str">
        <f t="shared" si="36"/>
        <v/>
      </c>
      <c r="C807" s="201"/>
      <c r="D807" s="199"/>
      <c r="E807" s="200"/>
      <c r="F807" s="196" t="str">
        <f>IF($B807="","",SUMIFS('Daily Inward'!$G:$G,'Daily Inward'!$C:$C,$B807,'Daily Inward'!$E:$E,"Patty Cash"))</f>
        <v/>
      </c>
      <c r="G807" s="30" t="str">
        <f>IF($B807="","",SUMIFS('Daily Issuance'!$G:$G,'Daily Issuance'!$C:$C,$B807,'Daily Issuance'!$E:$E,"Patty Cash"))</f>
        <v/>
      </c>
      <c r="H807" s="30" t="str">
        <f t="shared" si="37"/>
        <v/>
      </c>
      <c r="I807" s="33"/>
      <c r="J807" s="34" t="str">
        <f t="shared" si="38"/>
        <v/>
      </c>
    </row>
    <row r="808" spans="1:10" s="27" customFormat="1" ht="23.1" customHeight="1">
      <c r="A808" s="194" t="str">
        <f>IF($C808="","",MAX($A$3:A807)+1)</f>
        <v/>
      </c>
      <c r="B808" s="197" t="str">
        <f t="shared" si="36"/>
        <v/>
      </c>
      <c r="C808" s="201"/>
      <c r="D808" s="199"/>
      <c r="E808" s="200"/>
      <c r="F808" s="196" t="str">
        <f>IF($B808="","",SUMIFS('Daily Inward'!$G:$G,'Daily Inward'!$C:$C,$B808,'Daily Inward'!$E:$E,"Patty Cash"))</f>
        <v/>
      </c>
      <c r="G808" s="30" t="str">
        <f>IF($B808="","",SUMIFS('Daily Issuance'!$G:$G,'Daily Issuance'!$C:$C,$B808,'Daily Issuance'!$E:$E,"Patty Cash"))</f>
        <v/>
      </c>
      <c r="H808" s="30" t="str">
        <f t="shared" si="37"/>
        <v/>
      </c>
      <c r="I808" s="33"/>
      <c r="J808" s="34" t="str">
        <f t="shared" si="38"/>
        <v/>
      </c>
    </row>
    <row r="809" spans="1:10" s="27" customFormat="1" ht="23.1" customHeight="1">
      <c r="A809" s="194" t="str">
        <f>IF($C809="","",MAX($A$3:A808)+1)</f>
        <v/>
      </c>
      <c r="B809" s="197" t="str">
        <f t="shared" si="36"/>
        <v/>
      </c>
      <c r="C809" s="201"/>
      <c r="D809" s="199"/>
      <c r="E809" s="200"/>
      <c r="F809" s="196" t="str">
        <f>IF($B809="","",SUMIFS('Daily Inward'!$G:$G,'Daily Inward'!$C:$C,$B809,'Daily Inward'!$E:$E,"Patty Cash"))</f>
        <v/>
      </c>
      <c r="G809" s="30" t="str">
        <f>IF($B809="","",SUMIFS('Daily Issuance'!$G:$G,'Daily Issuance'!$C:$C,$B809,'Daily Issuance'!$E:$E,"Patty Cash"))</f>
        <v/>
      </c>
      <c r="H809" s="30" t="str">
        <f t="shared" si="37"/>
        <v/>
      </c>
      <c r="I809" s="33"/>
      <c r="J809" s="34" t="str">
        <f t="shared" si="38"/>
        <v/>
      </c>
    </row>
    <row r="810" spans="1:10" s="27" customFormat="1" ht="23.1" customHeight="1">
      <c r="A810" s="194" t="str">
        <f>IF($C810="","",MAX($A$3:A809)+1)</f>
        <v/>
      </c>
      <c r="B810" s="197" t="str">
        <f t="shared" si="36"/>
        <v/>
      </c>
      <c r="C810" s="201"/>
      <c r="D810" s="199"/>
      <c r="E810" s="200"/>
      <c r="F810" s="196" t="str">
        <f>IF($B810="","",SUMIFS('Daily Inward'!$G:$G,'Daily Inward'!$C:$C,$B810,'Daily Inward'!$E:$E,"Patty Cash"))</f>
        <v/>
      </c>
      <c r="G810" s="30" t="str">
        <f>IF($B810="","",SUMIFS('Daily Issuance'!$G:$G,'Daily Issuance'!$C:$C,$B810,'Daily Issuance'!$E:$E,"Patty Cash"))</f>
        <v/>
      </c>
      <c r="H810" s="30" t="str">
        <f t="shared" si="37"/>
        <v/>
      </c>
      <c r="I810" s="33"/>
      <c r="J810" s="34" t="str">
        <f t="shared" si="38"/>
        <v/>
      </c>
    </row>
    <row r="811" spans="1:10" s="27" customFormat="1" ht="23.1" customHeight="1">
      <c r="A811" s="194" t="str">
        <f>IF($C811="","",MAX($A$3:A810)+1)</f>
        <v/>
      </c>
      <c r="B811" s="197" t="str">
        <f t="shared" si="36"/>
        <v/>
      </c>
      <c r="C811" s="201"/>
      <c r="D811" s="199"/>
      <c r="E811" s="200"/>
      <c r="F811" s="196" t="str">
        <f>IF($B811="","",SUMIFS('Daily Inward'!$G:$G,'Daily Inward'!$C:$C,$B811,'Daily Inward'!$E:$E,"Patty Cash"))</f>
        <v/>
      </c>
      <c r="G811" s="30" t="str">
        <f>IF($B811="","",SUMIFS('Daily Issuance'!$G:$G,'Daily Issuance'!$C:$C,$B811,'Daily Issuance'!$E:$E,"Patty Cash"))</f>
        <v/>
      </c>
      <c r="H811" s="30" t="str">
        <f t="shared" si="37"/>
        <v/>
      </c>
      <c r="I811" s="33"/>
      <c r="J811" s="34" t="str">
        <f t="shared" si="38"/>
        <v/>
      </c>
    </row>
    <row r="812" spans="1:10" s="27" customFormat="1" ht="23.1" customHeight="1">
      <c r="A812" s="194" t="str">
        <f>IF($C812="","",MAX($A$3:A811)+1)</f>
        <v/>
      </c>
      <c r="B812" s="197" t="str">
        <f t="shared" si="36"/>
        <v/>
      </c>
      <c r="C812" s="201"/>
      <c r="D812" s="199"/>
      <c r="E812" s="200"/>
      <c r="F812" s="196" t="str">
        <f>IF($B812="","",SUMIFS('Daily Inward'!$G:$G,'Daily Inward'!$C:$C,$B812,'Daily Inward'!$E:$E,"Patty Cash"))</f>
        <v/>
      </c>
      <c r="G812" s="30" t="str">
        <f>IF($B812="","",SUMIFS('Daily Issuance'!$G:$G,'Daily Issuance'!$C:$C,$B812,'Daily Issuance'!$E:$E,"Patty Cash"))</f>
        <v/>
      </c>
      <c r="H812" s="30" t="str">
        <f t="shared" si="37"/>
        <v/>
      </c>
      <c r="I812" s="33"/>
      <c r="J812" s="34" t="str">
        <f t="shared" si="38"/>
        <v/>
      </c>
    </row>
    <row r="813" spans="1:10" s="27" customFormat="1" ht="23.1" customHeight="1">
      <c r="A813" s="194" t="str">
        <f>IF($C813="","",MAX($A$3:A812)+1)</f>
        <v/>
      </c>
      <c r="B813" s="197" t="str">
        <f t="shared" si="36"/>
        <v/>
      </c>
      <c r="C813" s="201"/>
      <c r="D813" s="199"/>
      <c r="E813" s="200"/>
      <c r="F813" s="196" t="str">
        <f>IF($B813="","",SUMIFS('Daily Inward'!$G:$G,'Daily Inward'!$C:$C,$B813,'Daily Inward'!$E:$E,"Patty Cash"))</f>
        <v/>
      </c>
      <c r="G813" s="30" t="str">
        <f>IF($B813="","",SUMIFS('Daily Issuance'!$G:$G,'Daily Issuance'!$C:$C,$B813,'Daily Issuance'!$E:$E,"Patty Cash"))</f>
        <v/>
      </c>
      <c r="H813" s="30" t="str">
        <f t="shared" si="37"/>
        <v/>
      </c>
      <c r="I813" s="33"/>
      <c r="J813" s="34" t="str">
        <f t="shared" si="38"/>
        <v/>
      </c>
    </row>
    <row r="814" spans="1:10" s="27" customFormat="1" ht="23.1" customHeight="1">
      <c r="A814" s="194" t="str">
        <f>IF($C814="","",MAX($A$3:A813)+1)</f>
        <v/>
      </c>
      <c r="B814" s="197" t="str">
        <f t="shared" si="36"/>
        <v/>
      </c>
      <c r="C814" s="201"/>
      <c r="D814" s="199"/>
      <c r="E814" s="200"/>
      <c r="F814" s="196" t="str">
        <f>IF($B814="","",SUMIFS('Daily Inward'!$G:$G,'Daily Inward'!$C:$C,$B814,'Daily Inward'!$E:$E,"Patty Cash"))</f>
        <v/>
      </c>
      <c r="G814" s="30" t="str">
        <f>IF($B814="","",SUMIFS('Daily Issuance'!$G:$G,'Daily Issuance'!$C:$C,$B814,'Daily Issuance'!$E:$E,"Patty Cash"))</f>
        <v/>
      </c>
      <c r="H814" s="30" t="str">
        <f t="shared" si="37"/>
        <v/>
      </c>
      <c r="I814" s="33"/>
      <c r="J814" s="34" t="str">
        <f t="shared" si="38"/>
        <v/>
      </c>
    </row>
    <row r="815" spans="1:10" s="27" customFormat="1" ht="23.1" customHeight="1">
      <c r="A815" s="194" t="str">
        <f>IF($C815="","",MAX($A$3:A814)+1)</f>
        <v/>
      </c>
      <c r="B815" s="197" t="str">
        <f t="shared" si="36"/>
        <v/>
      </c>
      <c r="C815" s="201"/>
      <c r="D815" s="199"/>
      <c r="E815" s="200"/>
      <c r="F815" s="196" t="str">
        <f>IF($B815="","",SUMIFS('Daily Inward'!$G:$G,'Daily Inward'!$C:$C,$B815,'Daily Inward'!$E:$E,"Patty Cash"))</f>
        <v/>
      </c>
      <c r="G815" s="30" t="str">
        <f>IF($B815="","",SUMIFS('Daily Issuance'!$G:$G,'Daily Issuance'!$C:$C,$B815,'Daily Issuance'!$E:$E,"Patty Cash"))</f>
        <v/>
      </c>
      <c r="H815" s="30" t="str">
        <f t="shared" si="37"/>
        <v/>
      </c>
      <c r="I815" s="33"/>
      <c r="J815" s="34" t="str">
        <f t="shared" si="38"/>
        <v/>
      </c>
    </row>
    <row r="816" spans="1:10" s="27" customFormat="1" ht="23.1" customHeight="1">
      <c r="A816" s="194" t="str">
        <f>IF($C816="","",MAX($A$3:A815)+1)</f>
        <v/>
      </c>
      <c r="B816" s="197" t="str">
        <f t="shared" si="36"/>
        <v/>
      </c>
      <c r="C816" s="201"/>
      <c r="D816" s="199"/>
      <c r="E816" s="200"/>
      <c r="F816" s="196" t="str">
        <f>IF($B816="","",SUMIFS('Daily Inward'!$G:$G,'Daily Inward'!$C:$C,$B816,'Daily Inward'!$E:$E,"Patty Cash"))</f>
        <v/>
      </c>
      <c r="G816" s="30" t="str">
        <f>IF($B816="","",SUMIFS('Daily Issuance'!$G:$G,'Daily Issuance'!$C:$C,$B816,'Daily Issuance'!$E:$E,"Patty Cash"))</f>
        <v/>
      </c>
      <c r="H816" s="30" t="str">
        <f t="shared" si="37"/>
        <v/>
      </c>
      <c r="I816" s="33"/>
      <c r="J816" s="34" t="str">
        <f t="shared" si="38"/>
        <v/>
      </c>
    </row>
    <row r="817" spans="1:10" s="27" customFormat="1" ht="23.1" customHeight="1">
      <c r="A817" s="194" t="str">
        <f>IF($C817="","",MAX($A$3:A816)+1)</f>
        <v/>
      </c>
      <c r="B817" s="197" t="str">
        <f t="shared" si="36"/>
        <v/>
      </c>
      <c r="C817" s="201"/>
      <c r="D817" s="199"/>
      <c r="E817" s="200"/>
      <c r="F817" s="196" t="str">
        <f>IF($B817="","",SUMIFS('Daily Inward'!$G:$G,'Daily Inward'!$C:$C,$B817,'Daily Inward'!$E:$E,"Patty Cash"))</f>
        <v/>
      </c>
      <c r="G817" s="30" t="str">
        <f>IF($B817="","",SUMIFS('Daily Issuance'!$G:$G,'Daily Issuance'!$C:$C,$B817,'Daily Issuance'!$E:$E,"Patty Cash"))</f>
        <v/>
      </c>
      <c r="H817" s="30" t="str">
        <f t="shared" si="37"/>
        <v/>
      </c>
      <c r="I817" s="33"/>
      <c r="J817" s="34" t="str">
        <f t="shared" si="38"/>
        <v/>
      </c>
    </row>
    <row r="818" spans="1:10" s="27" customFormat="1" ht="23.1" customHeight="1">
      <c r="A818" s="194" t="str">
        <f>IF($C818="","",MAX($A$3:A817)+1)</f>
        <v/>
      </c>
      <c r="B818" s="197" t="str">
        <f t="shared" si="36"/>
        <v/>
      </c>
      <c r="C818" s="201"/>
      <c r="D818" s="199"/>
      <c r="E818" s="200"/>
      <c r="F818" s="196" t="str">
        <f>IF($B818="","",SUMIFS('Daily Inward'!$G:$G,'Daily Inward'!$C:$C,$B818,'Daily Inward'!$E:$E,"Patty Cash"))</f>
        <v/>
      </c>
      <c r="G818" s="30" t="str">
        <f>IF($B818="","",SUMIFS('Daily Issuance'!$G:$G,'Daily Issuance'!$C:$C,$B818,'Daily Issuance'!$E:$E,"Patty Cash"))</f>
        <v/>
      </c>
      <c r="H818" s="30" t="str">
        <f t="shared" si="37"/>
        <v/>
      </c>
      <c r="I818" s="33"/>
      <c r="J818" s="34" t="str">
        <f t="shared" si="38"/>
        <v/>
      </c>
    </row>
    <row r="819" spans="1:10" s="27" customFormat="1" ht="23.1" customHeight="1">
      <c r="A819" s="194" t="str">
        <f>IF($C819="","",MAX($A$3:A818)+1)</f>
        <v/>
      </c>
      <c r="B819" s="197" t="str">
        <f t="shared" si="36"/>
        <v/>
      </c>
      <c r="C819" s="201"/>
      <c r="D819" s="199"/>
      <c r="E819" s="200"/>
      <c r="F819" s="196" t="str">
        <f>IF($B819="","",SUMIFS('Daily Inward'!$G:$G,'Daily Inward'!$C:$C,$B819,'Daily Inward'!$E:$E,"Patty Cash"))</f>
        <v/>
      </c>
      <c r="G819" s="30" t="str">
        <f>IF($B819="","",SUMIFS('Daily Issuance'!$G:$G,'Daily Issuance'!$C:$C,$B819,'Daily Issuance'!$E:$E,"Patty Cash"))</f>
        <v/>
      </c>
      <c r="H819" s="30" t="str">
        <f t="shared" si="37"/>
        <v/>
      </c>
      <c r="I819" s="33"/>
      <c r="J819" s="34" t="str">
        <f t="shared" si="38"/>
        <v/>
      </c>
    </row>
    <row r="820" spans="1:10" s="27" customFormat="1" ht="23.1" customHeight="1">
      <c r="A820" s="194" t="str">
        <f>IF($C820="","",MAX($A$3:A819)+1)</f>
        <v/>
      </c>
      <c r="B820" s="197" t="str">
        <f t="shared" si="36"/>
        <v/>
      </c>
      <c r="C820" s="201"/>
      <c r="D820" s="199"/>
      <c r="E820" s="200"/>
      <c r="F820" s="196" t="str">
        <f>IF($B820="","",SUMIFS('Daily Inward'!$G:$G,'Daily Inward'!$C:$C,$B820,'Daily Inward'!$E:$E,"Patty Cash"))</f>
        <v/>
      </c>
      <c r="G820" s="30" t="str">
        <f>IF($B820="","",SUMIFS('Daily Issuance'!$G:$G,'Daily Issuance'!$C:$C,$B820,'Daily Issuance'!$E:$E,"Patty Cash"))</f>
        <v/>
      </c>
      <c r="H820" s="30" t="str">
        <f t="shared" si="37"/>
        <v/>
      </c>
      <c r="I820" s="33"/>
      <c r="J820" s="34" t="str">
        <f t="shared" si="38"/>
        <v/>
      </c>
    </row>
    <row r="821" spans="1:10" s="27" customFormat="1" ht="23.1" customHeight="1">
      <c r="A821" s="194" t="str">
        <f>IF($C821="","",MAX($A$3:A820)+1)</f>
        <v/>
      </c>
      <c r="B821" s="197" t="str">
        <f t="shared" si="36"/>
        <v/>
      </c>
      <c r="C821" s="201"/>
      <c r="D821" s="199"/>
      <c r="E821" s="200"/>
      <c r="F821" s="196" t="str">
        <f>IF($B821="","",SUMIFS('Daily Inward'!$G:$G,'Daily Inward'!$C:$C,$B821,'Daily Inward'!$E:$E,"Patty Cash"))</f>
        <v/>
      </c>
      <c r="G821" s="30" t="str">
        <f>IF($B821="","",SUMIFS('Daily Issuance'!$G:$G,'Daily Issuance'!$C:$C,$B821,'Daily Issuance'!$E:$E,"Patty Cash"))</f>
        <v/>
      </c>
      <c r="H821" s="30" t="str">
        <f t="shared" si="37"/>
        <v/>
      </c>
      <c r="I821" s="33"/>
      <c r="J821" s="34" t="str">
        <f t="shared" si="38"/>
        <v/>
      </c>
    </row>
    <row r="822" spans="1:10" s="27" customFormat="1" ht="23.1" customHeight="1">
      <c r="A822" s="194" t="str">
        <f>IF($C822="","",MAX($A$3:A821)+1)</f>
        <v/>
      </c>
      <c r="B822" s="197" t="str">
        <f t="shared" si="36"/>
        <v/>
      </c>
      <c r="C822" s="201"/>
      <c r="D822" s="199"/>
      <c r="E822" s="200"/>
      <c r="F822" s="196" t="str">
        <f>IF($B822="","",SUMIFS('Daily Inward'!$G:$G,'Daily Inward'!$C:$C,$B822,'Daily Inward'!$E:$E,"Patty Cash"))</f>
        <v/>
      </c>
      <c r="G822" s="30" t="str">
        <f>IF($B822="","",SUMIFS('Daily Issuance'!$G:$G,'Daily Issuance'!$C:$C,$B822,'Daily Issuance'!$E:$E,"Patty Cash"))</f>
        <v/>
      </c>
      <c r="H822" s="30" t="str">
        <f t="shared" si="37"/>
        <v/>
      </c>
      <c r="I822" s="33"/>
      <c r="J822" s="34" t="str">
        <f t="shared" si="38"/>
        <v/>
      </c>
    </row>
    <row r="823" spans="1:10" s="27" customFormat="1" ht="23.1" customHeight="1">
      <c r="A823" s="194" t="str">
        <f>IF($C823="","",MAX($A$3:A822)+1)</f>
        <v/>
      </c>
      <c r="B823" s="197" t="str">
        <f t="shared" si="36"/>
        <v/>
      </c>
      <c r="C823" s="201"/>
      <c r="D823" s="199"/>
      <c r="E823" s="200"/>
      <c r="F823" s="196" t="str">
        <f>IF($B823="","",SUMIFS('Daily Inward'!$G:$G,'Daily Inward'!$C:$C,$B823,'Daily Inward'!$E:$E,"Patty Cash"))</f>
        <v/>
      </c>
      <c r="G823" s="30" t="str">
        <f>IF($B823="","",SUMIFS('Daily Issuance'!$G:$G,'Daily Issuance'!$C:$C,$B823,'Daily Issuance'!$E:$E,"Patty Cash"))</f>
        <v/>
      </c>
      <c r="H823" s="30" t="str">
        <f t="shared" si="37"/>
        <v/>
      </c>
      <c r="I823" s="33"/>
      <c r="J823" s="34" t="str">
        <f t="shared" si="38"/>
        <v/>
      </c>
    </row>
    <row r="824" spans="1:10" s="27" customFormat="1" ht="23.1" customHeight="1">
      <c r="A824" s="194" t="str">
        <f>IF($C824="","",MAX($A$3:A823)+1)</f>
        <v/>
      </c>
      <c r="B824" s="197" t="str">
        <f t="shared" si="36"/>
        <v/>
      </c>
      <c r="C824" s="201"/>
      <c r="D824" s="199"/>
      <c r="E824" s="200"/>
      <c r="F824" s="196" t="str">
        <f>IF($B824="","",SUMIFS('Daily Inward'!$G:$G,'Daily Inward'!$C:$C,$B824,'Daily Inward'!$E:$E,"Patty Cash"))</f>
        <v/>
      </c>
      <c r="G824" s="30" t="str">
        <f>IF($B824="","",SUMIFS('Daily Issuance'!$G:$G,'Daily Issuance'!$C:$C,$B824,'Daily Issuance'!$E:$E,"Patty Cash"))</f>
        <v/>
      </c>
      <c r="H824" s="30" t="str">
        <f t="shared" si="37"/>
        <v/>
      </c>
      <c r="I824" s="33"/>
      <c r="J824" s="34" t="str">
        <f t="shared" si="38"/>
        <v/>
      </c>
    </row>
    <row r="825" spans="1:10" s="27" customFormat="1" ht="23.1" customHeight="1">
      <c r="A825" s="194" t="str">
        <f>IF($C825="","",MAX($A$3:A824)+1)</f>
        <v/>
      </c>
      <c r="B825" s="197" t="str">
        <f t="shared" si="36"/>
        <v/>
      </c>
      <c r="C825" s="201"/>
      <c r="D825" s="199"/>
      <c r="E825" s="200"/>
      <c r="F825" s="196" t="str">
        <f>IF($B825="","",SUMIFS('Daily Inward'!$G:$G,'Daily Inward'!$C:$C,$B825,'Daily Inward'!$E:$E,"Patty Cash"))</f>
        <v/>
      </c>
      <c r="G825" s="30" t="str">
        <f>IF($B825="","",SUMIFS('Daily Issuance'!$G:$G,'Daily Issuance'!$C:$C,$B825,'Daily Issuance'!$E:$E,"Patty Cash"))</f>
        <v/>
      </c>
      <c r="H825" s="30" t="str">
        <f t="shared" si="37"/>
        <v/>
      </c>
      <c r="I825" s="33"/>
      <c r="J825" s="34" t="str">
        <f t="shared" si="38"/>
        <v/>
      </c>
    </row>
    <row r="826" spans="1:10" s="27" customFormat="1" ht="23.1" customHeight="1">
      <c r="A826" s="194" t="str">
        <f>IF($C826="","",MAX($A$3:A825)+1)</f>
        <v/>
      </c>
      <c r="B826" s="197" t="str">
        <f t="shared" si="36"/>
        <v/>
      </c>
      <c r="C826" s="201"/>
      <c r="D826" s="199"/>
      <c r="E826" s="200"/>
      <c r="F826" s="196" t="str">
        <f>IF($B826="","",SUMIFS('Daily Inward'!$G:$G,'Daily Inward'!$C:$C,$B826,'Daily Inward'!$E:$E,"Patty Cash"))</f>
        <v/>
      </c>
      <c r="G826" s="30" t="str">
        <f>IF($B826="","",SUMIFS('Daily Issuance'!$G:$G,'Daily Issuance'!$C:$C,$B826,'Daily Issuance'!$E:$E,"Patty Cash"))</f>
        <v/>
      </c>
      <c r="H826" s="30" t="str">
        <f t="shared" si="37"/>
        <v/>
      </c>
      <c r="I826" s="33"/>
      <c r="J826" s="34" t="str">
        <f t="shared" si="38"/>
        <v/>
      </c>
    </row>
    <row r="827" spans="1:10" s="27" customFormat="1" ht="23.1" customHeight="1">
      <c r="A827" s="194" t="str">
        <f>IF($C827="","",MAX($A$3:A826)+1)</f>
        <v/>
      </c>
      <c r="B827" s="197" t="str">
        <f t="shared" si="36"/>
        <v/>
      </c>
      <c r="C827" s="201"/>
      <c r="D827" s="199"/>
      <c r="E827" s="200"/>
      <c r="F827" s="196" t="str">
        <f>IF($B827="","",SUMIFS('Daily Inward'!$G:$G,'Daily Inward'!$C:$C,$B827,'Daily Inward'!$E:$E,"Patty Cash"))</f>
        <v/>
      </c>
      <c r="G827" s="30" t="str">
        <f>IF($B827="","",SUMIFS('Daily Issuance'!$G:$G,'Daily Issuance'!$C:$C,$B827,'Daily Issuance'!$E:$E,"Patty Cash"))</f>
        <v/>
      </c>
      <c r="H827" s="30" t="str">
        <f t="shared" si="37"/>
        <v/>
      </c>
      <c r="I827" s="33"/>
      <c r="J827" s="34" t="str">
        <f t="shared" si="38"/>
        <v/>
      </c>
    </row>
    <row r="828" spans="1:10" s="27" customFormat="1" ht="23.1" customHeight="1">
      <c r="A828" s="194" t="str">
        <f>IF($C828="","",MAX($A$3:A827)+1)</f>
        <v/>
      </c>
      <c r="B828" s="197" t="str">
        <f t="shared" si="36"/>
        <v/>
      </c>
      <c r="C828" s="201"/>
      <c r="D828" s="199"/>
      <c r="E828" s="200"/>
      <c r="F828" s="196" t="str">
        <f>IF($B828="","",SUMIFS('Daily Inward'!$G:$G,'Daily Inward'!$C:$C,$B828,'Daily Inward'!$E:$E,"Patty Cash"))</f>
        <v/>
      </c>
      <c r="G828" s="30" t="str">
        <f>IF($B828="","",SUMIFS('Daily Issuance'!$G:$G,'Daily Issuance'!$C:$C,$B828,'Daily Issuance'!$E:$E,"Patty Cash"))</f>
        <v/>
      </c>
      <c r="H828" s="30" t="str">
        <f t="shared" si="37"/>
        <v/>
      </c>
      <c r="I828" s="33"/>
      <c r="J828" s="34" t="str">
        <f t="shared" si="38"/>
        <v/>
      </c>
    </row>
    <row r="829" spans="1:10" s="27" customFormat="1" ht="23.1" customHeight="1">
      <c r="A829" s="194" t="str">
        <f>IF($C829="","",MAX($A$3:A828)+1)</f>
        <v/>
      </c>
      <c r="B829" s="197" t="str">
        <f t="shared" si="36"/>
        <v/>
      </c>
      <c r="C829" s="201"/>
      <c r="D829" s="199"/>
      <c r="E829" s="200"/>
      <c r="F829" s="196" t="str">
        <f>IF($B829="","",SUMIFS('Daily Inward'!$G:$G,'Daily Inward'!$C:$C,$B829,'Daily Inward'!$E:$E,"Patty Cash"))</f>
        <v/>
      </c>
      <c r="G829" s="30" t="str">
        <f>IF($B829="","",SUMIFS('Daily Issuance'!$G:$G,'Daily Issuance'!$C:$C,$B829,'Daily Issuance'!$E:$E,"Patty Cash"))</f>
        <v/>
      </c>
      <c r="H829" s="30" t="str">
        <f t="shared" si="37"/>
        <v/>
      </c>
      <c r="I829" s="33"/>
      <c r="J829" s="34" t="str">
        <f t="shared" si="38"/>
        <v/>
      </c>
    </row>
    <row r="830" spans="1:10" s="27" customFormat="1" ht="23.1" customHeight="1">
      <c r="A830" s="194" t="str">
        <f>IF($C830="","",MAX($A$3:A829)+1)</f>
        <v/>
      </c>
      <c r="B830" s="197" t="str">
        <f t="shared" si="36"/>
        <v/>
      </c>
      <c r="C830" s="201"/>
      <c r="D830" s="199"/>
      <c r="E830" s="200"/>
      <c r="F830" s="196" t="str">
        <f>IF($B830="","",SUMIFS('Daily Inward'!$G:$G,'Daily Inward'!$C:$C,$B830,'Daily Inward'!$E:$E,"Patty Cash"))</f>
        <v/>
      </c>
      <c r="G830" s="30" t="str">
        <f>IF($B830="","",SUMIFS('Daily Issuance'!$G:$G,'Daily Issuance'!$C:$C,$B830,'Daily Issuance'!$E:$E,"Patty Cash"))</f>
        <v/>
      </c>
      <c r="H830" s="30" t="str">
        <f t="shared" si="37"/>
        <v/>
      </c>
      <c r="I830" s="33"/>
      <c r="J830" s="34" t="str">
        <f t="shared" si="38"/>
        <v/>
      </c>
    </row>
    <row r="831" spans="1:10" s="27" customFormat="1" ht="23.1" customHeight="1">
      <c r="A831" s="194" t="str">
        <f>IF($C831="","",MAX($A$3:A830)+1)</f>
        <v/>
      </c>
      <c r="B831" s="197" t="str">
        <f t="shared" si="36"/>
        <v/>
      </c>
      <c r="C831" s="201"/>
      <c r="D831" s="199"/>
      <c r="E831" s="200"/>
      <c r="F831" s="196" t="str">
        <f>IF($B831="","",SUMIFS('Daily Inward'!$G:$G,'Daily Inward'!$C:$C,$B831,'Daily Inward'!$E:$E,"Patty Cash"))</f>
        <v/>
      </c>
      <c r="G831" s="30" t="str">
        <f>IF($B831="","",SUMIFS('Daily Issuance'!$G:$G,'Daily Issuance'!$C:$C,$B831,'Daily Issuance'!$E:$E,"Patty Cash"))</f>
        <v/>
      </c>
      <c r="H831" s="30" t="str">
        <f t="shared" si="37"/>
        <v/>
      </c>
      <c r="I831" s="33"/>
      <c r="J831" s="34" t="str">
        <f t="shared" si="38"/>
        <v/>
      </c>
    </row>
    <row r="832" spans="1:10" s="27" customFormat="1" ht="23.1" customHeight="1">
      <c r="A832" s="194" t="str">
        <f>IF($C832="","",MAX($A$3:A831)+1)</f>
        <v/>
      </c>
      <c r="B832" s="197" t="str">
        <f t="shared" si="36"/>
        <v/>
      </c>
      <c r="C832" s="201"/>
      <c r="D832" s="199"/>
      <c r="E832" s="200"/>
      <c r="F832" s="196" t="str">
        <f>IF($B832="","",SUMIFS('Daily Inward'!$G:$G,'Daily Inward'!$C:$C,$B832,'Daily Inward'!$E:$E,"Patty Cash"))</f>
        <v/>
      </c>
      <c r="G832" s="30" t="str">
        <f>IF($B832="","",SUMIFS('Daily Issuance'!$G:$G,'Daily Issuance'!$C:$C,$B832,'Daily Issuance'!$E:$E,"Patty Cash"))</f>
        <v/>
      </c>
      <c r="H832" s="30" t="str">
        <f t="shared" si="37"/>
        <v/>
      </c>
      <c r="I832" s="33"/>
      <c r="J832" s="34" t="str">
        <f t="shared" si="38"/>
        <v/>
      </c>
    </row>
    <row r="833" spans="1:10" s="27" customFormat="1" ht="23.1" customHeight="1">
      <c r="A833" s="194" t="str">
        <f>IF($C833="","",MAX($A$3:A832)+1)</f>
        <v/>
      </c>
      <c r="B833" s="197" t="str">
        <f t="shared" si="36"/>
        <v/>
      </c>
      <c r="C833" s="201"/>
      <c r="D833" s="199"/>
      <c r="E833" s="200"/>
      <c r="F833" s="196" t="str">
        <f>IF($B833="","",SUMIFS('Daily Inward'!$G:$G,'Daily Inward'!$C:$C,$B833,'Daily Inward'!$E:$E,"Patty Cash"))</f>
        <v/>
      </c>
      <c r="G833" s="30" t="str">
        <f>IF($B833="","",SUMIFS('Daily Issuance'!$G:$G,'Daily Issuance'!$C:$C,$B833,'Daily Issuance'!$E:$E,"Patty Cash"))</f>
        <v/>
      </c>
      <c r="H833" s="30" t="str">
        <f t="shared" si="37"/>
        <v/>
      </c>
      <c r="I833" s="33"/>
      <c r="J833" s="34" t="str">
        <f t="shared" si="38"/>
        <v/>
      </c>
    </row>
    <row r="834" spans="1:10" s="27" customFormat="1" ht="23.1" customHeight="1">
      <c r="A834" s="194" t="str">
        <f>IF($C834="","",MAX($A$3:A833)+1)</f>
        <v/>
      </c>
      <c r="B834" s="197" t="str">
        <f t="shared" si="36"/>
        <v/>
      </c>
      <c r="C834" s="201"/>
      <c r="D834" s="199"/>
      <c r="E834" s="200"/>
      <c r="F834" s="196" t="str">
        <f>IF($B834="","",SUMIFS('Daily Inward'!$G:$G,'Daily Inward'!$C:$C,$B834,'Daily Inward'!$E:$E,"Patty Cash"))</f>
        <v/>
      </c>
      <c r="G834" s="30" t="str">
        <f>IF($B834="","",SUMIFS('Daily Issuance'!$G:$G,'Daily Issuance'!$C:$C,$B834,'Daily Issuance'!$E:$E,"Patty Cash"))</f>
        <v/>
      </c>
      <c r="H834" s="30" t="str">
        <f t="shared" si="37"/>
        <v/>
      </c>
      <c r="I834" s="33"/>
      <c r="J834" s="34" t="str">
        <f t="shared" si="38"/>
        <v/>
      </c>
    </row>
    <row r="835" spans="1:10" s="27" customFormat="1" ht="23.1" customHeight="1">
      <c r="A835" s="194" t="str">
        <f>IF($C835="","",MAX($A$3:A834)+1)</f>
        <v/>
      </c>
      <c r="B835" s="197" t="str">
        <f t="shared" si="36"/>
        <v/>
      </c>
      <c r="C835" s="201"/>
      <c r="D835" s="199"/>
      <c r="E835" s="200"/>
      <c r="F835" s="196" t="str">
        <f>IF($B835="","",SUMIFS('Daily Inward'!$G:$G,'Daily Inward'!$C:$C,$B835,'Daily Inward'!$E:$E,"Patty Cash"))</f>
        <v/>
      </c>
      <c r="G835" s="30" t="str">
        <f>IF($B835="","",SUMIFS('Daily Issuance'!$G:$G,'Daily Issuance'!$C:$C,$B835,'Daily Issuance'!$E:$E,"Patty Cash"))</f>
        <v/>
      </c>
      <c r="H835" s="30" t="str">
        <f t="shared" si="37"/>
        <v/>
      </c>
      <c r="I835" s="33"/>
      <c r="J835" s="34" t="str">
        <f t="shared" si="38"/>
        <v/>
      </c>
    </row>
    <row r="836" spans="1:10" s="27" customFormat="1" ht="23.1" customHeight="1">
      <c r="A836" s="194" t="str">
        <f>IF($C836="","",MAX($A$3:A835)+1)</f>
        <v/>
      </c>
      <c r="B836" s="197" t="str">
        <f t="shared" si="36"/>
        <v/>
      </c>
      <c r="C836" s="201"/>
      <c r="D836" s="199"/>
      <c r="E836" s="200"/>
      <c r="F836" s="196" t="str">
        <f>IF($B836="","",SUMIFS('Daily Inward'!$G:$G,'Daily Inward'!$C:$C,$B836,'Daily Inward'!$E:$E,"Patty Cash"))</f>
        <v/>
      </c>
      <c r="G836" s="30" t="str">
        <f>IF($B836="","",SUMIFS('Daily Issuance'!$G:$G,'Daily Issuance'!$C:$C,$B836,'Daily Issuance'!$E:$E,"Patty Cash"))</f>
        <v/>
      </c>
      <c r="H836" s="30" t="str">
        <f t="shared" si="37"/>
        <v/>
      </c>
      <c r="I836" s="33"/>
      <c r="J836" s="34" t="str">
        <f t="shared" si="38"/>
        <v/>
      </c>
    </row>
    <row r="837" spans="1:10" s="27" customFormat="1" ht="23.1" customHeight="1">
      <c r="A837" s="194" t="str">
        <f>IF($C837="","",MAX($A$3:A836)+1)</f>
        <v/>
      </c>
      <c r="B837" s="197" t="str">
        <f t="shared" ref="B837:B900" si="39">IF($C837="","","PTC"&amp;TEXT(ROW()-4,"000"))</f>
        <v/>
      </c>
      <c r="C837" s="201"/>
      <c r="D837" s="199"/>
      <c r="E837" s="200"/>
      <c r="F837" s="196" t="str">
        <f>IF($B837="","",SUMIFS('Daily Inward'!$G:$G,'Daily Inward'!$C:$C,$B837,'Daily Inward'!$E:$E,"Patty Cash"))</f>
        <v/>
      </c>
      <c r="G837" s="30" t="str">
        <f>IF($B837="","",SUMIFS('Daily Issuance'!$G:$G,'Daily Issuance'!$C:$C,$B837,'Daily Issuance'!$E:$E,"Patty Cash"))</f>
        <v/>
      </c>
      <c r="H837" s="30" t="str">
        <f t="shared" ref="H837:H900" si="40">IF($B837="","",F837-G837)</f>
        <v/>
      </c>
      <c r="I837" s="33"/>
      <c r="J837" s="34" t="str">
        <f t="shared" ref="J837:J900" si="41">IF(OR(H837="",I837=""),"",H837*I837)</f>
        <v/>
      </c>
    </row>
    <row r="838" spans="1:10" s="27" customFormat="1" ht="23.1" customHeight="1">
      <c r="A838" s="194" t="str">
        <f>IF($C838="","",MAX($A$3:A837)+1)</f>
        <v/>
      </c>
      <c r="B838" s="197" t="str">
        <f t="shared" si="39"/>
        <v/>
      </c>
      <c r="C838" s="201"/>
      <c r="D838" s="199"/>
      <c r="E838" s="200"/>
      <c r="F838" s="196" t="str">
        <f>IF($B838="","",SUMIFS('Daily Inward'!$G:$G,'Daily Inward'!$C:$C,$B838,'Daily Inward'!$E:$E,"Patty Cash"))</f>
        <v/>
      </c>
      <c r="G838" s="30" t="str">
        <f>IF($B838="","",SUMIFS('Daily Issuance'!$G:$G,'Daily Issuance'!$C:$C,$B838,'Daily Issuance'!$E:$E,"Patty Cash"))</f>
        <v/>
      </c>
      <c r="H838" s="30" t="str">
        <f t="shared" si="40"/>
        <v/>
      </c>
      <c r="I838" s="33"/>
      <c r="J838" s="34" t="str">
        <f t="shared" si="41"/>
        <v/>
      </c>
    </row>
    <row r="839" spans="1:10" s="27" customFormat="1" ht="23.1" customHeight="1">
      <c r="A839" s="194" t="str">
        <f>IF($C839="","",MAX($A$3:A838)+1)</f>
        <v/>
      </c>
      <c r="B839" s="197" t="str">
        <f t="shared" si="39"/>
        <v/>
      </c>
      <c r="C839" s="201"/>
      <c r="D839" s="199"/>
      <c r="E839" s="200"/>
      <c r="F839" s="196" t="str">
        <f>IF($B839="","",SUMIFS('Daily Inward'!$G:$G,'Daily Inward'!$C:$C,$B839,'Daily Inward'!$E:$E,"Patty Cash"))</f>
        <v/>
      </c>
      <c r="G839" s="30" t="str">
        <f>IF($B839="","",SUMIFS('Daily Issuance'!$G:$G,'Daily Issuance'!$C:$C,$B839,'Daily Issuance'!$E:$E,"Patty Cash"))</f>
        <v/>
      </c>
      <c r="H839" s="30" t="str">
        <f t="shared" si="40"/>
        <v/>
      </c>
      <c r="I839" s="33"/>
      <c r="J839" s="34" t="str">
        <f t="shared" si="41"/>
        <v/>
      </c>
    </row>
    <row r="840" spans="1:10" s="27" customFormat="1" ht="23.1" customHeight="1">
      <c r="A840" s="194" t="str">
        <f>IF($C840="","",MAX($A$3:A839)+1)</f>
        <v/>
      </c>
      <c r="B840" s="197" t="str">
        <f t="shared" si="39"/>
        <v/>
      </c>
      <c r="C840" s="201"/>
      <c r="D840" s="199"/>
      <c r="E840" s="200"/>
      <c r="F840" s="196" t="str">
        <f>IF($B840="","",SUMIFS('Daily Inward'!$G:$G,'Daily Inward'!$C:$C,$B840,'Daily Inward'!$E:$E,"Patty Cash"))</f>
        <v/>
      </c>
      <c r="G840" s="30" t="str">
        <f>IF($B840="","",SUMIFS('Daily Issuance'!$G:$G,'Daily Issuance'!$C:$C,$B840,'Daily Issuance'!$E:$E,"Patty Cash"))</f>
        <v/>
      </c>
      <c r="H840" s="30" t="str">
        <f t="shared" si="40"/>
        <v/>
      </c>
      <c r="I840" s="33"/>
      <c r="J840" s="34" t="str">
        <f t="shared" si="41"/>
        <v/>
      </c>
    </row>
    <row r="841" spans="1:10" s="27" customFormat="1" ht="23.1" customHeight="1">
      <c r="A841" s="194" t="str">
        <f>IF($C841="","",MAX($A$3:A840)+1)</f>
        <v/>
      </c>
      <c r="B841" s="197" t="str">
        <f t="shared" si="39"/>
        <v/>
      </c>
      <c r="C841" s="201"/>
      <c r="D841" s="199"/>
      <c r="E841" s="200"/>
      <c r="F841" s="196" t="str">
        <f>IF($B841="","",SUMIFS('Daily Inward'!$G:$G,'Daily Inward'!$C:$C,$B841,'Daily Inward'!$E:$E,"Patty Cash"))</f>
        <v/>
      </c>
      <c r="G841" s="30" t="str">
        <f>IF($B841="","",SUMIFS('Daily Issuance'!$G:$G,'Daily Issuance'!$C:$C,$B841,'Daily Issuance'!$E:$E,"Patty Cash"))</f>
        <v/>
      </c>
      <c r="H841" s="30" t="str">
        <f t="shared" si="40"/>
        <v/>
      </c>
      <c r="I841" s="33"/>
      <c r="J841" s="34" t="str">
        <f t="shared" si="41"/>
        <v/>
      </c>
    </row>
    <row r="842" spans="1:10" s="27" customFormat="1" ht="23.1" customHeight="1">
      <c r="A842" s="194" t="str">
        <f>IF($C842="","",MAX($A$3:A841)+1)</f>
        <v/>
      </c>
      <c r="B842" s="197" t="str">
        <f t="shared" si="39"/>
        <v/>
      </c>
      <c r="C842" s="201"/>
      <c r="D842" s="199"/>
      <c r="E842" s="200"/>
      <c r="F842" s="196" t="str">
        <f>IF($B842="","",SUMIFS('Daily Inward'!$G:$G,'Daily Inward'!$C:$C,$B842,'Daily Inward'!$E:$E,"Patty Cash"))</f>
        <v/>
      </c>
      <c r="G842" s="30" t="str">
        <f>IF($B842="","",SUMIFS('Daily Issuance'!$G:$G,'Daily Issuance'!$C:$C,$B842,'Daily Issuance'!$E:$E,"Patty Cash"))</f>
        <v/>
      </c>
      <c r="H842" s="30" t="str">
        <f t="shared" si="40"/>
        <v/>
      </c>
      <c r="I842" s="33"/>
      <c r="J842" s="34" t="str">
        <f t="shared" si="41"/>
        <v/>
      </c>
    </row>
    <row r="843" spans="1:10" s="27" customFormat="1" ht="23.1" customHeight="1">
      <c r="A843" s="194" t="str">
        <f>IF($C843="","",MAX($A$3:A842)+1)</f>
        <v/>
      </c>
      <c r="B843" s="197" t="str">
        <f t="shared" si="39"/>
        <v/>
      </c>
      <c r="C843" s="201"/>
      <c r="D843" s="199"/>
      <c r="E843" s="200"/>
      <c r="F843" s="196" t="str">
        <f>IF($B843="","",SUMIFS('Daily Inward'!$G:$G,'Daily Inward'!$C:$C,$B843,'Daily Inward'!$E:$E,"Patty Cash"))</f>
        <v/>
      </c>
      <c r="G843" s="30" t="str">
        <f>IF($B843="","",SUMIFS('Daily Issuance'!$G:$G,'Daily Issuance'!$C:$C,$B843,'Daily Issuance'!$E:$E,"Patty Cash"))</f>
        <v/>
      </c>
      <c r="H843" s="30" t="str">
        <f t="shared" si="40"/>
        <v/>
      </c>
      <c r="I843" s="33"/>
      <c r="J843" s="34" t="str">
        <f t="shared" si="41"/>
        <v/>
      </c>
    </row>
    <row r="844" spans="1:10" s="27" customFormat="1" ht="23.1" customHeight="1">
      <c r="A844" s="194" t="str">
        <f>IF($C844="","",MAX($A$3:A843)+1)</f>
        <v/>
      </c>
      <c r="B844" s="197" t="str">
        <f t="shared" si="39"/>
        <v/>
      </c>
      <c r="C844" s="201"/>
      <c r="D844" s="199"/>
      <c r="E844" s="200"/>
      <c r="F844" s="196" t="str">
        <f>IF($B844="","",SUMIFS('Daily Inward'!$G:$G,'Daily Inward'!$C:$C,$B844,'Daily Inward'!$E:$E,"Patty Cash"))</f>
        <v/>
      </c>
      <c r="G844" s="30" t="str">
        <f>IF($B844="","",SUMIFS('Daily Issuance'!$G:$G,'Daily Issuance'!$C:$C,$B844,'Daily Issuance'!$E:$E,"Patty Cash"))</f>
        <v/>
      </c>
      <c r="H844" s="30" t="str">
        <f t="shared" si="40"/>
        <v/>
      </c>
      <c r="I844" s="33"/>
      <c r="J844" s="34" t="str">
        <f t="shared" si="41"/>
        <v/>
      </c>
    </row>
    <row r="845" spans="1:10" s="27" customFormat="1" ht="23.1" customHeight="1">
      <c r="A845" s="194" t="str">
        <f>IF($C845="","",MAX($A$3:A844)+1)</f>
        <v/>
      </c>
      <c r="B845" s="197" t="str">
        <f t="shared" si="39"/>
        <v/>
      </c>
      <c r="C845" s="201"/>
      <c r="D845" s="199"/>
      <c r="E845" s="200"/>
      <c r="F845" s="196" t="str">
        <f>IF($B845="","",SUMIFS('Daily Inward'!$G:$G,'Daily Inward'!$C:$C,$B845,'Daily Inward'!$E:$E,"Patty Cash"))</f>
        <v/>
      </c>
      <c r="G845" s="30" t="str">
        <f>IF($B845="","",SUMIFS('Daily Issuance'!$G:$G,'Daily Issuance'!$C:$C,$B845,'Daily Issuance'!$E:$E,"Patty Cash"))</f>
        <v/>
      </c>
      <c r="H845" s="30" t="str">
        <f t="shared" si="40"/>
        <v/>
      </c>
      <c r="I845" s="33"/>
      <c r="J845" s="34" t="str">
        <f t="shared" si="41"/>
        <v/>
      </c>
    </row>
    <row r="846" spans="1:10" s="27" customFormat="1" ht="23.1" customHeight="1">
      <c r="A846" s="194" t="str">
        <f>IF($C846="","",MAX($A$3:A845)+1)</f>
        <v/>
      </c>
      <c r="B846" s="197" t="str">
        <f t="shared" si="39"/>
        <v/>
      </c>
      <c r="C846" s="201"/>
      <c r="D846" s="199"/>
      <c r="E846" s="200"/>
      <c r="F846" s="196" t="str">
        <f>IF($B846="","",SUMIFS('Daily Inward'!$G:$G,'Daily Inward'!$C:$C,$B846,'Daily Inward'!$E:$E,"Patty Cash"))</f>
        <v/>
      </c>
      <c r="G846" s="30" t="str">
        <f>IF($B846="","",SUMIFS('Daily Issuance'!$G:$G,'Daily Issuance'!$C:$C,$B846,'Daily Issuance'!$E:$E,"Patty Cash"))</f>
        <v/>
      </c>
      <c r="H846" s="30" t="str">
        <f t="shared" si="40"/>
        <v/>
      </c>
      <c r="I846" s="33"/>
      <c r="J846" s="34" t="str">
        <f t="shared" si="41"/>
        <v/>
      </c>
    </row>
    <row r="847" spans="1:10" s="27" customFormat="1" ht="23.1" customHeight="1">
      <c r="A847" s="194" t="str">
        <f>IF($C847="","",MAX($A$3:A846)+1)</f>
        <v/>
      </c>
      <c r="B847" s="197" t="str">
        <f t="shared" si="39"/>
        <v/>
      </c>
      <c r="C847" s="201"/>
      <c r="D847" s="199"/>
      <c r="E847" s="200"/>
      <c r="F847" s="196" t="str">
        <f>IF($B847="","",SUMIFS('Daily Inward'!$G:$G,'Daily Inward'!$C:$C,$B847,'Daily Inward'!$E:$E,"Patty Cash"))</f>
        <v/>
      </c>
      <c r="G847" s="30" t="str">
        <f>IF($B847="","",SUMIFS('Daily Issuance'!$G:$G,'Daily Issuance'!$C:$C,$B847,'Daily Issuance'!$E:$E,"Patty Cash"))</f>
        <v/>
      </c>
      <c r="H847" s="30" t="str">
        <f t="shared" si="40"/>
        <v/>
      </c>
      <c r="I847" s="33"/>
      <c r="J847" s="34" t="str">
        <f t="shared" si="41"/>
        <v/>
      </c>
    </row>
    <row r="848" spans="1:10" s="27" customFormat="1" ht="23.1" customHeight="1">
      <c r="A848" s="194" t="str">
        <f>IF($C848="","",MAX($A$3:A847)+1)</f>
        <v/>
      </c>
      <c r="B848" s="197" t="str">
        <f t="shared" si="39"/>
        <v/>
      </c>
      <c r="C848" s="201"/>
      <c r="D848" s="199"/>
      <c r="E848" s="200"/>
      <c r="F848" s="196" t="str">
        <f>IF($B848="","",SUMIFS('Daily Inward'!$G:$G,'Daily Inward'!$C:$C,$B848,'Daily Inward'!$E:$E,"Patty Cash"))</f>
        <v/>
      </c>
      <c r="G848" s="30" t="str">
        <f>IF($B848="","",SUMIFS('Daily Issuance'!$G:$G,'Daily Issuance'!$C:$C,$B848,'Daily Issuance'!$E:$E,"Patty Cash"))</f>
        <v/>
      </c>
      <c r="H848" s="30" t="str">
        <f t="shared" si="40"/>
        <v/>
      </c>
      <c r="I848" s="33"/>
      <c r="J848" s="34" t="str">
        <f t="shared" si="41"/>
        <v/>
      </c>
    </row>
    <row r="849" spans="1:10" s="27" customFormat="1" ht="23.1" customHeight="1">
      <c r="A849" s="194" t="str">
        <f>IF($C849="","",MAX($A$3:A848)+1)</f>
        <v/>
      </c>
      <c r="B849" s="197" t="str">
        <f t="shared" si="39"/>
        <v/>
      </c>
      <c r="C849" s="201"/>
      <c r="D849" s="199"/>
      <c r="E849" s="200"/>
      <c r="F849" s="196" t="str">
        <f>IF($B849="","",SUMIFS('Daily Inward'!$G:$G,'Daily Inward'!$C:$C,$B849,'Daily Inward'!$E:$E,"Patty Cash"))</f>
        <v/>
      </c>
      <c r="G849" s="30" t="str">
        <f>IF($B849="","",SUMIFS('Daily Issuance'!$G:$G,'Daily Issuance'!$C:$C,$B849,'Daily Issuance'!$E:$E,"Patty Cash"))</f>
        <v/>
      </c>
      <c r="H849" s="30" t="str">
        <f t="shared" si="40"/>
        <v/>
      </c>
      <c r="I849" s="33"/>
      <c r="J849" s="34" t="str">
        <f t="shared" si="41"/>
        <v/>
      </c>
    </row>
    <row r="850" spans="1:10" s="27" customFormat="1" ht="23.1" customHeight="1">
      <c r="A850" s="194" t="str">
        <f>IF($C850="","",MAX($A$3:A849)+1)</f>
        <v/>
      </c>
      <c r="B850" s="197" t="str">
        <f t="shared" si="39"/>
        <v/>
      </c>
      <c r="C850" s="201"/>
      <c r="D850" s="199"/>
      <c r="E850" s="200"/>
      <c r="F850" s="196" t="str">
        <f>IF($B850="","",SUMIFS('Daily Inward'!$G:$G,'Daily Inward'!$C:$C,$B850,'Daily Inward'!$E:$E,"Patty Cash"))</f>
        <v/>
      </c>
      <c r="G850" s="30" t="str">
        <f>IF($B850="","",SUMIFS('Daily Issuance'!$G:$G,'Daily Issuance'!$C:$C,$B850,'Daily Issuance'!$E:$E,"Patty Cash"))</f>
        <v/>
      </c>
      <c r="H850" s="30" t="str">
        <f t="shared" si="40"/>
        <v/>
      </c>
      <c r="I850" s="33"/>
      <c r="J850" s="34" t="str">
        <f t="shared" si="41"/>
        <v/>
      </c>
    </row>
    <row r="851" spans="1:10" s="27" customFormat="1" ht="23.1" customHeight="1">
      <c r="A851" s="194" t="str">
        <f>IF($C851="","",MAX($A$3:A850)+1)</f>
        <v/>
      </c>
      <c r="B851" s="197" t="str">
        <f t="shared" si="39"/>
        <v/>
      </c>
      <c r="C851" s="201"/>
      <c r="D851" s="199"/>
      <c r="E851" s="200"/>
      <c r="F851" s="196" t="str">
        <f>IF($B851="","",SUMIFS('Daily Inward'!$G:$G,'Daily Inward'!$C:$C,$B851,'Daily Inward'!$E:$E,"Patty Cash"))</f>
        <v/>
      </c>
      <c r="G851" s="30" t="str">
        <f>IF($B851="","",SUMIFS('Daily Issuance'!$G:$G,'Daily Issuance'!$C:$C,$B851,'Daily Issuance'!$E:$E,"Patty Cash"))</f>
        <v/>
      </c>
      <c r="H851" s="30" t="str">
        <f t="shared" si="40"/>
        <v/>
      </c>
      <c r="I851" s="33"/>
      <c r="J851" s="34" t="str">
        <f t="shared" si="41"/>
        <v/>
      </c>
    </row>
    <row r="852" spans="1:10" s="27" customFormat="1" ht="23.1" customHeight="1">
      <c r="A852" s="194" t="str">
        <f>IF($C852="","",MAX($A$3:A851)+1)</f>
        <v/>
      </c>
      <c r="B852" s="197" t="str">
        <f t="shared" si="39"/>
        <v/>
      </c>
      <c r="C852" s="201"/>
      <c r="D852" s="199"/>
      <c r="E852" s="200"/>
      <c r="F852" s="196" t="str">
        <f>IF($B852="","",SUMIFS('Daily Inward'!$G:$G,'Daily Inward'!$C:$C,$B852,'Daily Inward'!$E:$E,"Patty Cash"))</f>
        <v/>
      </c>
      <c r="G852" s="30" t="str">
        <f>IF($B852="","",SUMIFS('Daily Issuance'!$G:$G,'Daily Issuance'!$C:$C,$B852,'Daily Issuance'!$E:$E,"Patty Cash"))</f>
        <v/>
      </c>
      <c r="H852" s="30" t="str">
        <f t="shared" si="40"/>
        <v/>
      </c>
      <c r="I852" s="33"/>
      <c r="J852" s="34" t="str">
        <f t="shared" si="41"/>
        <v/>
      </c>
    </row>
    <row r="853" spans="1:10" s="27" customFormat="1" ht="23.1" customHeight="1">
      <c r="A853" s="194" t="str">
        <f>IF($C853="","",MAX($A$3:A852)+1)</f>
        <v/>
      </c>
      <c r="B853" s="197" t="str">
        <f t="shared" si="39"/>
        <v/>
      </c>
      <c r="C853" s="201"/>
      <c r="D853" s="199"/>
      <c r="E853" s="200"/>
      <c r="F853" s="196" t="str">
        <f>IF($B853="","",SUMIFS('Daily Inward'!$G:$G,'Daily Inward'!$C:$C,$B853,'Daily Inward'!$E:$E,"Patty Cash"))</f>
        <v/>
      </c>
      <c r="G853" s="30" t="str">
        <f>IF($B853="","",SUMIFS('Daily Issuance'!$G:$G,'Daily Issuance'!$C:$C,$B853,'Daily Issuance'!$E:$E,"Patty Cash"))</f>
        <v/>
      </c>
      <c r="H853" s="30" t="str">
        <f t="shared" si="40"/>
        <v/>
      </c>
      <c r="I853" s="33"/>
      <c r="J853" s="34" t="str">
        <f t="shared" si="41"/>
        <v/>
      </c>
    </row>
    <row r="854" spans="1:10" s="27" customFormat="1" ht="23.1" customHeight="1">
      <c r="A854" s="194" t="str">
        <f>IF($C854="","",MAX($A$3:A853)+1)</f>
        <v/>
      </c>
      <c r="B854" s="197" t="str">
        <f t="shared" si="39"/>
        <v/>
      </c>
      <c r="C854" s="201"/>
      <c r="D854" s="199"/>
      <c r="E854" s="200"/>
      <c r="F854" s="196" t="str">
        <f>IF($B854="","",SUMIFS('Daily Inward'!$G:$G,'Daily Inward'!$C:$C,$B854,'Daily Inward'!$E:$E,"Patty Cash"))</f>
        <v/>
      </c>
      <c r="G854" s="30" t="str">
        <f>IF($B854="","",SUMIFS('Daily Issuance'!$G:$G,'Daily Issuance'!$C:$C,$B854,'Daily Issuance'!$E:$E,"Patty Cash"))</f>
        <v/>
      </c>
      <c r="H854" s="30" t="str">
        <f t="shared" si="40"/>
        <v/>
      </c>
      <c r="I854" s="33"/>
      <c r="J854" s="34" t="str">
        <f t="shared" si="41"/>
        <v/>
      </c>
    </row>
    <row r="855" spans="1:10" s="27" customFormat="1" ht="23.1" customHeight="1">
      <c r="A855" s="194" t="str">
        <f>IF($C855="","",MAX($A$3:A854)+1)</f>
        <v/>
      </c>
      <c r="B855" s="197" t="str">
        <f t="shared" si="39"/>
        <v/>
      </c>
      <c r="C855" s="201"/>
      <c r="D855" s="199"/>
      <c r="E855" s="200"/>
      <c r="F855" s="196" t="str">
        <f>IF($B855="","",SUMIFS('Daily Inward'!$G:$G,'Daily Inward'!$C:$C,$B855,'Daily Inward'!$E:$E,"Patty Cash"))</f>
        <v/>
      </c>
      <c r="G855" s="30" t="str">
        <f>IF($B855="","",SUMIFS('Daily Issuance'!$G:$G,'Daily Issuance'!$C:$C,$B855,'Daily Issuance'!$E:$E,"Patty Cash"))</f>
        <v/>
      </c>
      <c r="H855" s="30" t="str">
        <f t="shared" si="40"/>
        <v/>
      </c>
      <c r="I855" s="33"/>
      <c r="J855" s="34" t="str">
        <f t="shared" si="41"/>
        <v/>
      </c>
    </row>
    <row r="856" spans="1:10" s="27" customFormat="1" ht="23.1" customHeight="1">
      <c r="A856" s="194" t="str">
        <f>IF($C856="","",MAX($A$3:A855)+1)</f>
        <v/>
      </c>
      <c r="B856" s="197" t="str">
        <f t="shared" si="39"/>
        <v/>
      </c>
      <c r="C856" s="201"/>
      <c r="D856" s="199"/>
      <c r="E856" s="200"/>
      <c r="F856" s="196" t="str">
        <f>IF($B856="","",SUMIFS('Daily Inward'!$G:$G,'Daily Inward'!$C:$C,$B856,'Daily Inward'!$E:$E,"Patty Cash"))</f>
        <v/>
      </c>
      <c r="G856" s="30" t="str">
        <f>IF($B856="","",SUMIFS('Daily Issuance'!$G:$G,'Daily Issuance'!$C:$C,$B856,'Daily Issuance'!$E:$E,"Patty Cash"))</f>
        <v/>
      </c>
      <c r="H856" s="30" t="str">
        <f t="shared" si="40"/>
        <v/>
      </c>
      <c r="I856" s="33"/>
      <c r="J856" s="34" t="str">
        <f t="shared" si="41"/>
        <v/>
      </c>
    </row>
    <row r="857" spans="1:10" s="27" customFormat="1" ht="23.1" customHeight="1">
      <c r="A857" s="194" t="str">
        <f>IF($C857="","",MAX($A$3:A856)+1)</f>
        <v/>
      </c>
      <c r="B857" s="197" t="str">
        <f t="shared" si="39"/>
        <v/>
      </c>
      <c r="C857" s="201"/>
      <c r="D857" s="199"/>
      <c r="E857" s="200"/>
      <c r="F857" s="196" t="str">
        <f>IF($B857="","",SUMIFS('Daily Inward'!$G:$G,'Daily Inward'!$C:$C,$B857,'Daily Inward'!$E:$E,"Patty Cash"))</f>
        <v/>
      </c>
      <c r="G857" s="30" t="str">
        <f>IF($B857="","",SUMIFS('Daily Issuance'!$G:$G,'Daily Issuance'!$C:$C,$B857,'Daily Issuance'!$E:$E,"Patty Cash"))</f>
        <v/>
      </c>
      <c r="H857" s="30" t="str">
        <f t="shared" si="40"/>
        <v/>
      </c>
      <c r="I857" s="33"/>
      <c r="J857" s="34" t="str">
        <f t="shared" si="41"/>
        <v/>
      </c>
    </row>
    <row r="858" spans="1:10" s="27" customFormat="1" ht="23.1" customHeight="1">
      <c r="A858" s="194" t="str">
        <f>IF($C858="","",MAX($A$3:A857)+1)</f>
        <v/>
      </c>
      <c r="B858" s="197" t="str">
        <f t="shared" si="39"/>
        <v/>
      </c>
      <c r="C858" s="201"/>
      <c r="D858" s="199"/>
      <c r="E858" s="200"/>
      <c r="F858" s="196" t="str">
        <f>IF($B858="","",SUMIFS('Daily Inward'!$G:$G,'Daily Inward'!$C:$C,$B858,'Daily Inward'!$E:$E,"Patty Cash"))</f>
        <v/>
      </c>
      <c r="G858" s="30" t="str">
        <f>IF($B858="","",SUMIFS('Daily Issuance'!$G:$G,'Daily Issuance'!$C:$C,$B858,'Daily Issuance'!$E:$E,"Patty Cash"))</f>
        <v/>
      </c>
      <c r="H858" s="30" t="str">
        <f t="shared" si="40"/>
        <v/>
      </c>
      <c r="I858" s="33"/>
      <c r="J858" s="34" t="str">
        <f t="shared" si="41"/>
        <v/>
      </c>
    </row>
    <row r="859" spans="1:10" s="27" customFormat="1" ht="23.1" customHeight="1">
      <c r="A859" s="194" t="str">
        <f>IF($C859="","",MAX($A$3:A858)+1)</f>
        <v/>
      </c>
      <c r="B859" s="197" t="str">
        <f t="shared" si="39"/>
        <v/>
      </c>
      <c r="C859" s="201"/>
      <c r="D859" s="199"/>
      <c r="E859" s="200"/>
      <c r="F859" s="196" t="str">
        <f>IF($B859="","",SUMIFS('Daily Inward'!$G:$G,'Daily Inward'!$C:$C,$B859,'Daily Inward'!$E:$E,"Patty Cash"))</f>
        <v/>
      </c>
      <c r="G859" s="30" t="str">
        <f>IF($B859="","",SUMIFS('Daily Issuance'!$G:$G,'Daily Issuance'!$C:$C,$B859,'Daily Issuance'!$E:$E,"Patty Cash"))</f>
        <v/>
      </c>
      <c r="H859" s="30" t="str">
        <f t="shared" si="40"/>
        <v/>
      </c>
      <c r="I859" s="33"/>
      <c r="J859" s="34" t="str">
        <f t="shared" si="41"/>
        <v/>
      </c>
    </row>
    <row r="860" spans="1:10" s="27" customFormat="1" ht="23.1" customHeight="1">
      <c r="A860" s="194" t="str">
        <f>IF($C860="","",MAX($A$3:A859)+1)</f>
        <v/>
      </c>
      <c r="B860" s="197" t="str">
        <f t="shared" si="39"/>
        <v/>
      </c>
      <c r="C860" s="201"/>
      <c r="D860" s="199"/>
      <c r="E860" s="200"/>
      <c r="F860" s="196" t="str">
        <f>IF($B860="","",SUMIFS('Daily Inward'!$G:$G,'Daily Inward'!$C:$C,$B860,'Daily Inward'!$E:$E,"Patty Cash"))</f>
        <v/>
      </c>
      <c r="G860" s="30" t="str">
        <f>IF($B860="","",SUMIFS('Daily Issuance'!$G:$G,'Daily Issuance'!$C:$C,$B860,'Daily Issuance'!$E:$E,"Patty Cash"))</f>
        <v/>
      </c>
      <c r="H860" s="30" t="str">
        <f t="shared" si="40"/>
        <v/>
      </c>
      <c r="I860" s="33"/>
      <c r="J860" s="34" t="str">
        <f t="shared" si="41"/>
        <v/>
      </c>
    </row>
    <row r="861" spans="1:10" s="27" customFormat="1" ht="23.1" customHeight="1">
      <c r="A861" s="194" t="str">
        <f>IF($C861="","",MAX($A$3:A860)+1)</f>
        <v/>
      </c>
      <c r="B861" s="197" t="str">
        <f t="shared" si="39"/>
        <v/>
      </c>
      <c r="C861" s="201"/>
      <c r="D861" s="199"/>
      <c r="E861" s="200"/>
      <c r="F861" s="196" t="str">
        <f>IF($B861="","",SUMIFS('Daily Inward'!$G:$G,'Daily Inward'!$C:$C,$B861,'Daily Inward'!$E:$E,"Patty Cash"))</f>
        <v/>
      </c>
      <c r="G861" s="30" t="str">
        <f>IF($B861="","",SUMIFS('Daily Issuance'!$G:$G,'Daily Issuance'!$C:$C,$B861,'Daily Issuance'!$E:$E,"Patty Cash"))</f>
        <v/>
      </c>
      <c r="H861" s="30" t="str">
        <f t="shared" si="40"/>
        <v/>
      </c>
      <c r="I861" s="33"/>
      <c r="J861" s="34" t="str">
        <f t="shared" si="41"/>
        <v/>
      </c>
    </row>
    <row r="862" spans="1:10" s="27" customFormat="1" ht="23.1" customHeight="1">
      <c r="A862" s="194" t="str">
        <f>IF($C862="","",MAX($A$3:A861)+1)</f>
        <v/>
      </c>
      <c r="B862" s="197" t="str">
        <f t="shared" si="39"/>
        <v/>
      </c>
      <c r="C862" s="201"/>
      <c r="D862" s="199"/>
      <c r="E862" s="200"/>
      <c r="F862" s="196" t="str">
        <f>IF($B862="","",SUMIFS('Daily Inward'!$G:$G,'Daily Inward'!$C:$C,$B862,'Daily Inward'!$E:$E,"Patty Cash"))</f>
        <v/>
      </c>
      <c r="G862" s="30" t="str">
        <f>IF($B862="","",SUMIFS('Daily Issuance'!$G:$G,'Daily Issuance'!$C:$C,$B862,'Daily Issuance'!$E:$E,"Patty Cash"))</f>
        <v/>
      </c>
      <c r="H862" s="30" t="str">
        <f t="shared" si="40"/>
        <v/>
      </c>
      <c r="I862" s="33"/>
      <c r="J862" s="34" t="str">
        <f t="shared" si="41"/>
        <v/>
      </c>
    </row>
    <row r="863" spans="1:10" s="27" customFormat="1" ht="23.1" customHeight="1">
      <c r="A863" s="194" t="str">
        <f>IF($C863="","",MAX($A$3:A862)+1)</f>
        <v/>
      </c>
      <c r="B863" s="197" t="str">
        <f t="shared" si="39"/>
        <v/>
      </c>
      <c r="C863" s="201"/>
      <c r="D863" s="199"/>
      <c r="E863" s="200"/>
      <c r="F863" s="196" t="str">
        <f>IF($B863="","",SUMIFS('Daily Inward'!$G:$G,'Daily Inward'!$C:$C,$B863,'Daily Inward'!$E:$E,"Patty Cash"))</f>
        <v/>
      </c>
      <c r="G863" s="30" t="str">
        <f>IF($B863="","",SUMIFS('Daily Issuance'!$G:$G,'Daily Issuance'!$C:$C,$B863,'Daily Issuance'!$E:$E,"Patty Cash"))</f>
        <v/>
      </c>
      <c r="H863" s="30" t="str">
        <f t="shared" si="40"/>
        <v/>
      </c>
      <c r="I863" s="33"/>
      <c r="J863" s="34" t="str">
        <f t="shared" si="41"/>
        <v/>
      </c>
    </row>
    <row r="864" spans="1:10" s="27" customFormat="1" ht="23.1" customHeight="1">
      <c r="A864" s="194" t="str">
        <f>IF($C864="","",MAX($A$3:A863)+1)</f>
        <v/>
      </c>
      <c r="B864" s="197" t="str">
        <f t="shared" si="39"/>
        <v/>
      </c>
      <c r="C864" s="201"/>
      <c r="D864" s="199"/>
      <c r="E864" s="200"/>
      <c r="F864" s="196" t="str">
        <f>IF($B864="","",SUMIFS('Daily Inward'!$G:$G,'Daily Inward'!$C:$C,$B864,'Daily Inward'!$E:$E,"Patty Cash"))</f>
        <v/>
      </c>
      <c r="G864" s="30" t="str">
        <f>IF($B864="","",SUMIFS('Daily Issuance'!$G:$G,'Daily Issuance'!$C:$C,$B864,'Daily Issuance'!$E:$E,"Patty Cash"))</f>
        <v/>
      </c>
      <c r="H864" s="30" t="str">
        <f t="shared" si="40"/>
        <v/>
      </c>
      <c r="I864" s="33"/>
      <c r="J864" s="34" t="str">
        <f t="shared" si="41"/>
        <v/>
      </c>
    </row>
    <row r="865" spans="1:10" s="27" customFormat="1" ht="23.1" customHeight="1">
      <c r="A865" s="194" t="str">
        <f>IF($C865="","",MAX($A$3:A864)+1)</f>
        <v/>
      </c>
      <c r="B865" s="197" t="str">
        <f t="shared" si="39"/>
        <v/>
      </c>
      <c r="C865" s="201"/>
      <c r="D865" s="199"/>
      <c r="E865" s="200"/>
      <c r="F865" s="196" t="str">
        <f>IF($B865="","",SUMIFS('Daily Inward'!$G:$G,'Daily Inward'!$C:$C,$B865,'Daily Inward'!$E:$E,"Patty Cash"))</f>
        <v/>
      </c>
      <c r="G865" s="30" t="str">
        <f>IF($B865="","",SUMIFS('Daily Issuance'!$G:$G,'Daily Issuance'!$C:$C,$B865,'Daily Issuance'!$E:$E,"Patty Cash"))</f>
        <v/>
      </c>
      <c r="H865" s="30" t="str">
        <f t="shared" si="40"/>
        <v/>
      </c>
      <c r="I865" s="33"/>
      <c r="J865" s="34" t="str">
        <f t="shared" si="41"/>
        <v/>
      </c>
    </row>
    <row r="866" spans="1:10" s="27" customFormat="1" ht="23.1" customHeight="1">
      <c r="A866" s="194" t="str">
        <f>IF($C866="","",MAX($A$3:A865)+1)</f>
        <v/>
      </c>
      <c r="B866" s="197" t="str">
        <f t="shared" si="39"/>
        <v/>
      </c>
      <c r="C866" s="201"/>
      <c r="D866" s="199"/>
      <c r="E866" s="200"/>
      <c r="F866" s="196" t="str">
        <f>IF($B866="","",SUMIFS('Daily Inward'!$G:$G,'Daily Inward'!$C:$C,$B866,'Daily Inward'!$E:$E,"Patty Cash"))</f>
        <v/>
      </c>
      <c r="G866" s="30" t="str">
        <f>IF($B866="","",SUMIFS('Daily Issuance'!$G:$G,'Daily Issuance'!$C:$C,$B866,'Daily Issuance'!$E:$E,"Patty Cash"))</f>
        <v/>
      </c>
      <c r="H866" s="30" t="str">
        <f t="shared" si="40"/>
        <v/>
      </c>
      <c r="I866" s="33"/>
      <c r="J866" s="34" t="str">
        <f t="shared" si="41"/>
        <v/>
      </c>
    </row>
    <row r="867" spans="1:10" s="27" customFormat="1" ht="23.1" customHeight="1">
      <c r="A867" s="194" t="str">
        <f>IF($C867="","",MAX($A$3:A866)+1)</f>
        <v/>
      </c>
      <c r="B867" s="197" t="str">
        <f t="shared" si="39"/>
        <v/>
      </c>
      <c r="C867" s="201"/>
      <c r="D867" s="199"/>
      <c r="E867" s="200"/>
      <c r="F867" s="196" t="str">
        <f>IF($B867="","",SUMIFS('Daily Inward'!$G:$G,'Daily Inward'!$C:$C,$B867,'Daily Inward'!$E:$E,"Patty Cash"))</f>
        <v/>
      </c>
      <c r="G867" s="30" t="str">
        <f>IF($B867="","",SUMIFS('Daily Issuance'!$G:$G,'Daily Issuance'!$C:$C,$B867,'Daily Issuance'!$E:$E,"Patty Cash"))</f>
        <v/>
      </c>
      <c r="H867" s="30" t="str">
        <f t="shared" si="40"/>
        <v/>
      </c>
      <c r="I867" s="33"/>
      <c r="J867" s="34" t="str">
        <f t="shared" si="41"/>
        <v/>
      </c>
    </row>
    <row r="868" spans="1:10" s="27" customFormat="1" ht="23.1" customHeight="1">
      <c r="A868" s="194" t="str">
        <f>IF($C868="","",MAX($A$3:A867)+1)</f>
        <v/>
      </c>
      <c r="B868" s="197" t="str">
        <f t="shared" si="39"/>
        <v/>
      </c>
      <c r="C868" s="201"/>
      <c r="D868" s="199"/>
      <c r="E868" s="200"/>
      <c r="F868" s="196" t="str">
        <f>IF($B868="","",SUMIFS('Daily Inward'!$G:$G,'Daily Inward'!$C:$C,$B868,'Daily Inward'!$E:$E,"Patty Cash"))</f>
        <v/>
      </c>
      <c r="G868" s="30" t="str">
        <f>IF($B868="","",SUMIFS('Daily Issuance'!$G:$G,'Daily Issuance'!$C:$C,$B868,'Daily Issuance'!$E:$E,"Patty Cash"))</f>
        <v/>
      </c>
      <c r="H868" s="30" t="str">
        <f t="shared" si="40"/>
        <v/>
      </c>
      <c r="I868" s="33"/>
      <c r="J868" s="34" t="str">
        <f t="shared" si="41"/>
        <v/>
      </c>
    </row>
    <row r="869" spans="1:10" s="27" customFormat="1" ht="23.1" customHeight="1">
      <c r="A869" s="194" t="str">
        <f>IF($C869="","",MAX($A$3:A868)+1)</f>
        <v/>
      </c>
      <c r="B869" s="197" t="str">
        <f t="shared" si="39"/>
        <v/>
      </c>
      <c r="C869" s="201"/>
      <c r="D869" s="199"/>
      <c r="E869" s="200"/>
      <c r="F869" s="196" t="str">
        <f>IF($B869="","",SUMIFS('Daily Inward'!$G:$G,'Daily Inward'!$C:$C,$B869,'Daily Inward'!$E:$E,"Patty Cash"))</f>
        <v/>
      </c>
      <c r="G869" s="30" t="str">
        <f>IF($B869="","",SUMIFS('Daily Issuance'!$G:$G,'Daily Issuance'!$C:$C,$B869,'Daily Issuance'!$E:$E,"Patty Cash"))</f>
        <v/>
      </c>
      <c r="H869" s="30" t="str">
        <f t="shared" si="40"/>
        <v/>
      </c>
      <c r="I869" s="33"/>
      <c r="J869" s="34" t="str">
        <f t="shared" si="41"/>
        <v/>
      </c>
    </row>
    <row r="870" spans="1:10" s="27" customFormat="1" ht="23.1" customHeight="1">
      <c r="A870" s="194" t="str">
        <f>IF($C870="","",MAX($A$3:A869)+1)</f>
        <v/>
      </c>
      <c r="B870" s="197" t="str">
        <f t="shared" si="39"/>
        <v/>
      </c>
      <c r="C870" s="201"/>
      <c r="D870" s="199"/>
      <c r="E870" s="200"/>
      <c r="F870" s="196" t="str">
        <f>IF($B870="","",SUMIFS('Daily Inward'!$G:$G,'Daily Inward'!$C:$C,$B870,'Daily Inward'!$E:$E,"Patty Cash"))</f>
        <v/>
      </c>
      <c r="G870" s="30" t="str">
        <f>IF($B870="","",SUMIFS('Daily Issuance'!$G:$G,'Daily Issuance'!$C:$C,$B870,'Daily Issuance'!$E:$E,"Patty Cash"))</f>
        <v/>
      </c>
      <c r="H870" s="30" t="str">
        <f t="shared" si="40"/>
        <v/>
      </c>
      <c r="I870" s="33"/>
      <c r="J870" s="34" t="str">
        <f t="shared" si="41"/>
        <v/>
      </c>
    </row>
    <row r="871" spans="1:10" s="27" customFormat="1" ht="23.1" customHeight="1">
      <c r="A871" s="194" t="str">
        <f>IF($C871="","",MAX($A$3:A870)+1)</f>
        <v/>
      </c>
      <c r="B871" s="197" t="str">
        <f t="shared" si="39"/>
        <v/>
      </c>
      <c r="C871" s="201"/>
      <c r="D871" s="199"/>
      <c r="E871" s="200"/>
      <c r="F871" s="196" t="str">
        <f>IF($B871="","",SUMIFS('Daily Inward'!$G:$G,'Daily Inward'!$C:$C,$B871,'Daily Inward'!$E:$E,"Patty Cash"))</f>
        <v/>
      </c>
      <c r="G871" s="30" t="str">
        <f>IF($B871="","",SUMIFS('Daily Issuance'!$G:$G,'Daily Issuance'!$C:$C,$B871,'Daily Issuance'!$E:$E,"Patty Cash"))</f>
        <v/>
      </c>
      <c r="H871" s="30" t="str">
        <f t="shared" si="40"/>
        <v/>
      </c>
      <c r="I871" s="33"/>
      <c r="J871" s="34" t="str">
        <f t="shared" si="41"/>
        <v/>
      </c>
    </row>
    <row r="872" spans="1:10" s="27" customFormat="1" ht="23.1" customHeight="1">
      <c r="A872" s="194" t="str">
        <f>IF($C872="","",MAX($A$3:A871)+1)</f>
        <v/>
      </c>
      <c r="B872" s="197" t="str">
        <f t="shared" si="39"/>
        <v/>
      </c>
      <c r="C872" s="201"/>
      <c r="D872" s="199"/>
      <c r="E872" s="200"/>
      <c r="F872" s="196" t="str">
        <f>IF($B872="","",SUMIFS('Daily Inward'!$G:$G,'Daily Inward'!$C:$C,$B872,'Daily Inward'!$E:$E,"Patty Cash"))</f>
        <v/>
      </c>
      <c r="G872" s="30" t="str">
        <f>IF($B872="","",SUMIFS('Daily Issuance'!$G:$G,'Daily Issuance'!$C:$C,$B872,'Daily Issuance'!$E:$E,"Patty Cash"))</f>
        <v/>
      </c>
      <c r="H872" s="30" t="str">
        <f t="shared" si="40"/>
        <v/>
      </c>
      <c r="I872" s="33"/>
      <c r="J872" s="34" t="str">
        <f t="shared" si="41"/>
        <v/>
      </c>
    </row>
    <row r="873" spans="1:10" s="27" customFormat="1" ht="23.1" customHeight="1">
      <c r="A873" s="194" t="str">
        <f>IF($C873="","",MAX($A$3:A872)+1)</f>
        <v/>
      </c>
      <c r="B873" s="197" t="str">
        <f t="shared" si="39"/>
        <v/>
      </c>
      <c r="C873" s="201"/>
      <c r="D873" s="199"/>
      <c r="E873" s="200"/>
      <c r="F873" s="196" t="str">
        <f>IF($B873="","",SUMIFS('Daily Inward'!$G:$G,'Daily Inward'!$C:$C,$B873,'Daily Inward'!$E:$E,"Patty Cash"))</f>
        <v/>
      </c>
      <c r="G873" s="30" t="str">
        <f>IF($B873="","",SUMIFS('Daily Issuance'!$G:$G,'Daily Issuance'!$C:$C,$B873,'Daily Issuance'!$E:$E,"Patty Cash"))</f>
        <v/>
      </c>
      <c r="H873" s="30" t="str">
        <f t="shared" si="40"/>
        <v/>
      </c>
      <c r="I873" s="33"/>
      <c r="J873" s="34" t="str">
        <f t="shared" si="41"/>
        <v/>
      </c>
    </row>
    <row r="874" spans="1:10" s="27" customFormat="1" ht="23.1" customHeight="1">
      <c r="A874" s="194" t="str">
        <f>IF($C874="","",MAX($A$3:A873)+1)</f>
        <v/>
      </c>
      <c r="B874" s="197" t="str">
        <f t="shared" si="39"/>
        <v/>
      </c>
      <c r="C874" s="201"/>
      <c r="D874" s="199"/>
      <c r="E874" s="200"/>
      <c r="F874" s="196" t="str">
        <f>IF($B874="","",SUMIFS('Daily Inward'!$G:$G,'Daily Inward'!$C:$C,$B874,'Daily Inward'!$E:$E,"Patty Cash"))</f>
        <v/>
      </c>
      <c r="G874" s="30" t="str">
        <f>IF($B874="","",SUMIFS('Daily Issuance'!$G:$G,'Daily Issuance'!$C:$C,$B874,'Daily Issuance'!$E:$E,"Patty Cash"))</f>
        <v/>
      </c>
      <c r="H874" s="30" t="str">
        <f t="shared" si="40"/>
        <v/>
      </c>
      <c r="I874" s="33"/>
      <c r="J874" s="34" t="str">
        <f t="shared" si="41"/>
        <v/>
      </c>
    </row>
    <row r="875" spans="1:10" s="27" customFormat="1" ht="23.1" customHeight="1">
      <c r="A875" s="194" t="str">
        <f>IF($C875="","",MAX($A$3:A874)+1)</f>
        <v/>
      </c>
      <c r="B875" s="197" t="str">
        <f t="shared" si="39"/>
        <v/>
      </c>
      <c r="C875" s="201"/>
      <c r="D875" s="199"/>
      <c r="E875" s="200"/>
      <c r="F875" s="196" t="str">
        <f>IF($B875="","",SUMIFS('Daily Inward'!$G:$G,'Daily Inward'!$C:$C,$B875,'Daily Inward'!$E:$E,"Patty Cash"))</f>
        <v/>
      </c>
      <c r="G875" s="30" t="str">
        <f>IF($B875="","",SUMIFS('Daily Issuance'!$G:$G,'Daily Issuance'!$C:$C,$B875,'Daily Issuance'!$E:$E,"Patty Cash"))</f>
        <v/>
      </c>
      <c r="H875" s="30" t="str">
        <f t="shared" si="40"/>
        <v/>
      </c>
      <c r="I875" s="33"/>
      <c r="J875" s="34" t="str">
        <f t="shared" si="41"/>
        <v/>
      </c>
    </row>
    <row r="876" spans="1:10" s="27" customFormat="1" ht="23.1" customHeight="1">
      <c r="A876" s="194" t="str">
        <f>IF($C876="","",MAX($A$3:A875)+1)</f>
        <v/>
      </c>
      <c r="B876" s="197" t="str">
        <f t="shared" si="39"/>
        <v/>
      </c>
      <c r="C876" s="201"/>
      <c r="D876" s="199"/>
      <c r="E876" s="200"/>
      <c r="F876" s="196" t="str">
        <f>IF($B876="","",SUMIFS('Daily Inward'!$G:$G,'Daily Inward'!$C:$C,$B876,'Daily Inward'!$E:$E,"Patty Cash"))</f>
        <v/>
      </c>
      <c r="G876" s="30" t="str">
        <f>IF($B876="","",SUMIFS('Daily Issuance'!$G:$G,'Daily Issuance'!$C:$C,$B876,'Daily Issuance'!$E:$E,"Patty Cash"))</f>
        <v/>
      </c>
      <c r="H876" s="30" t="str">
        <f t="shared" si="40"/>
        <v/>
      </c>
      <c r="I876" s="33"/>
      <c r="J876" s="34" t="str">
        <f t="shared" si="41"/>
        <v/>
      </c>
    </row>
    <row r="877" spans="1:10" s="27" customFormat="1" ht="23.1" customHeight="1">
      <c r="A877" s="194" t="str">
        <f>IF($C877="","",MAX($A$3:A876)+1)</f>
        <v/>
      </c>
      <c r="B877" s="197" t="str">
        <f t="shared" si="39"/>
        <v/>
      </c>
      <c r="C877" s="201"/>
      <c r="D877" s="199"/>
      <c r="E877" s="200"/>
      <c r="F877" s="196" t="str">
        <f>IF($B877="","",SUMIFS('Daily Inward'!$G:$G,'Daily Inward'!$C:$C,$B877,'Daily Inward'!$E:$E,"Patty Cash"))</f>
        <v/>
      </c>
      <c r="G877" s="30" t="str">
        <f>IF($B877="","",SUMIFS('Daily Issuance'!$G:$G,'Daily Issuance'!$C:$C,$B877,'Daily Issuance'!$E:$E,"Patty Cash"))</f>
        <v/>
      </c>
      <c r="H877" s="30" t="str">
        <f t="shared" si="40"/>
        <v/>
      </c>
      <c r="I877" s="33"/>
      <c r="J877" s="34" t="str">
        <f t="shared" si="41"/>
        <v/>
      </c>
    </row>
    <row r="878" spans="1:10" s="27" customFormat="1" ht="23.1" customHeight="1">
      <c r="A878" s="194" t="str">
        <f>IF($C878="","",MAX($A$3:A877)+1)</f>
        <v/>
      </c>
      <c r="B878" s="197" t="str">
        <f t="shared" si="39"/>
        <v/>
      </c>
      <c r="C878" s="201"/>
      <c r="D878" s="199"/>
      <c r="E878" s="200"/>
      <c r="F878" s="196" t="str">
        <f>IF($B878="","",SUMIFS('Daily Inward'!$G:$G,'Daily Inward'!$C:$C,$B878,'Daily Inward'!$E:$E,"Patty Cash"))</f>
        <v/>
      </c>
      <c r="G878" s="30" t="str">
        <f>IF($B878="","",SUMIFS('Daily Issuance'!$G:$G,'Daily Issuance'!$C:$C,$B878,'Daily Issuance'!$E:$E,"Patty Cash"))</f>
        <v/>
      </c>
      <c r="H878" s="30" t="str">
        <f t="shared" si="40"/>
        <v/>
      </c>
      <c r="I878" s="33"/>
      <c r="J878" s="34" t="str">
        <f t="shared" si="41"/>
        <v/>
      </c>
    </row>
    <row r="879" spans="1:10" s="27" customFormat="1" ht="23.1" customHeight="1">
      <c r="A879" s="194" t="str">
        <f>IF($C879="","",MAX($A$3:A878)+1)</f>
        <v/>
      </c>
      <c r="B879" s="197" t="str">
        <f t="shared" si="39"/>
        <v/>
      </c>
      <c r="C879" s="201"/>
      <c r="D879" s="199"/>
      <c r="E879" s="200"/>
      <c r="F879" s="196" t="str">
        <f>IF($B879="","",SUMIFS('Daily Inward'!$G:$G,'Daily Inward'!$C:$C,$B879,'Daily Inward'!$E:$E,"Patty Cash"))</f>
        <v/>
      </c>
      <c r="G879" s="30" t="str">
        <f>IF($B879="","",SUMIFS('Daily Issuance'!$G:$G,'Daily Issuance'!$C:$C,$B879,'Daily Issuance'!$E:$E,"Patty Cash"))</f>
        <v/>
      </c>
      <c r="H879" s="30" t="str">
        <f t="shared" si="40"/>
        <v/>
      </c>
      <c r="I879" s="33"/>
      <c r="J879" s="34" t="str">
        <f t="shared" si="41"/>
        <v/>
      </c>
    </row>
    <row r="880" spans="1:10" s="27" customFormat="1" ht="23.1" customHeight="1">
      <c r="A880" s="194" t="str">
        <f>IF($C880="","",MAX($A$3:A879)+1)</f>
        <v/>
      </c>
      <c r="B880" s="197" t="str">
        <f t="shared" si="39"/>
        <v/>
      </c>
      <c r="C880" s="201"/>
      <c r="D880" s="199"/>
      <c r="E880" s="200"/>
      <c r="F880" s="196" t="str">
        <f>IF($B880="","",SUMIFS('Daily Inward'!$G:$G,'Daily Inward'!$C:$C,$B880,'Daily Inward'!$E:$E,"Patty Cash"))</f>
        <v/>
      </c>
      <c r="G880" s="30" t="str">
        <f>IF($B880="","",SUMIFS('Daily Issuance'!$G:$G,'Daily Issuance'!$C:$C,$B880,'Daily Issuance'!$E:$E,"Patty Cash"))</f>
        <v/>
      </c>
      <c r="H880" s="30" t="str">
        <f t="shared" si="40"/>
        <v/>
      </c>
      <c r="I880" s="33"/>
      <c r="J880" s="34" t="str">
        <f t="shared" si="41"/>
        <v/>
      </c>
    </row>
    <row r="881" spans="1:10" s="27" customFormat="1" ht="23.1" customHeight="1">
      <c r="A881" s="194" t="str">
        <f>IF($C881="","",MAX($A$3:A880)+1)</f>
        <v/>
      </c>
      <c r="B881" s="197" t="str">
        <f t="shared" si="39"/>
        <v/>
      </c>
      <c r="C881" s="201"/>
      <c r="D881" s="199"/>
      <c r="E881" s="200"/>
      <c r="F881" s="196" t="str">
        <f>IF($B881="","",SUMIFS('Daily Inward'!$G:$G,'Daily Inward'!$C:$C,$B881,'Daily Inward'!$E:$E,"Patty Cash"))</f>
        <v/>
      </c>
      <c r="G881" s="30" t="str">
        <f>IF($B881="","",SUMIFS('Daily Issuance'!$G:$G,'Daily Issuance'!$C:$C,$B881,'Daily Issuance'!$E:$E,"Patty Cash"))</f>
        <v/>
      </c>
      <c r="H881" s="30" t="str">
        <f t="shared" si="40"/>
        <v/>
      </c>
      <c r="I881" s="33"/>
      <c r="J881" s="34" t="str">
        <f t="shared" si="41"/>
        <v/>
      </c>
    </row>
    <row r="882" spans="1:10" s="27" customFormat="1" ht="23.1" customHeight="1">
      <c r="A882" s="194" t="str">
        <f>IF($C882="","",MAX($A$3:A881)+1)</f>
        <v/>
      </c>
      <c r="B882" s="197" t="str">
        <f t="shared" si="39"/>
        <v/>
      </c>
      <c r="C882" s="201"/>
      <c r="D882" s="199"/>
      <c r="E882" s="200"/>
      <c r="F882" s="196" t="str">
        <f>IF($B882="","",SUMIFS('Daily Inward'!$G:$G,'Daily Inward'!$C:$C,$B882,'Daily Inward'!$E:$E,"Patty Cash"))</f>
        <v/>
      </c>
      <c r="G882" s="30" t="str">
        <f>IF($B882="","",SUMIFS('Daily Issuance'!$G:$G,'Daily Issuance'!$C:$C,$B882,'Daily Issuance'!$E:$E,"Patty Cash"))</f>
        <v/>
      </c>
      <c r="H882" s="30" t="str">
        <f t="shared" si="40"/>
        <v/>
      </c>
      <c r="I882" s="33"/>
      <c r="J882" s="34" t="str">
        <f t="shared" si="41"/>
        <v/>
      </c>
    </row>
    <row r="883" spans="1:10" s="27" customFormat="1" ht="23.1" customHeight="1">
      <c r="A883" s="194" t="str">
        <f>IF($C883="","",MAX($A$3:A882)+1)</f>
        <v/>
      </c>
      <c r="B883" s="197" t="str">
        <f t="shared" si="39"/>
        <v/>
      </c>
      <c r="C883" s="201"/>
      <c r="D883" s="199"/>
      <c r="E883" s="200"/>
      <c r="F883" s="196" t="str">
        <f>IF($B883="","",SUMIFS('Daily Inward'!$G:$G,'Daily Inward'!$C:$C,$B883,'Daily Inward'!$E:$E,"Patty Cash"))</f>
        <v/>
      </c>
      <c r="G883" s="30" t="str">
        <f>IF($B883="","",SUMIFS('Daily Issuance'!$G:$G,'Daily Issuance'!$C:$C,$B883,'Daily Issuance'!$E:$E,"Patty Cash"))</f>
        <v/>
      </c>
      <c r="H883" s="30" t="str">
        <f t="shared" si="40"/>
        <v/>
      </c>
      <c r="I883" s="33"/>
      <c r="J883" s="34" t="str">
        <f t="shared" si="41"/>
        <v/>
      </c>
    </row>
    <row r="884" spans="1:10" s="27" customFormat="1" ht="23.1" customHeight="1">
      <c r="A884" s="194" t="str">
        <f>IF($C884="","",MAX($A$3:A883)+1)</f>
        <v/>
      </c>
      <c r="B884" s="197" t="str">
        <f t="shared" si="39"/>
        <v/>
      </c>
      <c r="C884" s="201"/>
      <c r="D884" s="199"/>
      <c r="E884" s="200"/>
      <c r="F884" s="196" t="str">
        <f>IF($B884="","",SUMIFS('Daily Inward'!$G:$G,'Daily Inward'!$C:$C,$B884,'Daily Inward'!$E:$E,"Patty Cash"))</f>
        <v/>
      </c>
      <c r="G884" s="30" t="str">
        <f>IF($B884="","",SUMIFS('Daily Issuance'!$G:$G,'Daily Issuance'!$C:$C,$B884,'Daily Issuance'!$E:$E,"Patty Cash"))</f>
        <v/>
      </c>
      <c r="H884" s="30" t="str">
        <f t="shared" si="40"/>
        <v/>
      </c>
      <c r="I884" s="33"/>
      <c r="J884" s="34" t="str">
        <f t="shared" si="41"/>
        <v/>
      </c>
    </row>
    <row r="885" spans="1:10" s="27" customFormat="1" ht="23.1" customHeight="1">
      <c r="A885" s="194" t="str">
        <f>IF($C885="","",MAX($A$3:A884)+1)</f>
        <v/>
      </c>
      <c r="B885" s="197" t="str">
        <f t="shared" si="39"/>
        <v/>
      </c>
      <c r="C885" s="201"/>
      <c r="D885" s="199"/>
      <c r="E885" s="200"/>
      <c r="F885" s="196" t="str">
        <f>IF($B885="","",SUMIFS('Daily Inward'!$G:$G,'Daily Inward'!$C:$C,$B885,'Daily Inward'!$E:$E,"Patty Cash"))</f>
        <v/>
      </c>
      <c r="G885" s="30" t="str">
        <f>IF($B885="","",SUMIFS('Daily Issuance'!$G:$G,'Daily Issuance'!$C:$C,$B885,'Daily Issuance'!$E:$E,"Patty Cash"))</f>
        <v/>
      </c>
      <c r="H885" s="30" t="str">
        <f t="shared" si="40"/>
        <v/>
      </c>
      <c r="I885" s="33"/>
      <c r="J885" s="34" t="str">
        <f t="shared" si="41"/>
        <v/>
      </c>
    </row>
    <row r="886" spans="1:10" s="27" customFormat="1" ht="23.1" customHeight="1">
      <c r="A886" s="194" t="str">
        <f>IF($C886="","",MAX($A$3:A885)+1)</f>
        <v/>
      </c>
      <c r="B886" s="197" t="str">
        <f t="shared" si="39"/>
        <v/>
      </c>
      <c r="C886" s="201"/>
      <c r="D886" s="199"/>
      <c r="E886" s="200"/>
      <c r="F886" s="196" t="str">
        <f>IF($B886="","",SUMIFS('Daily Inward'!$G:$G,'Daily Inward'!$C:$C,$B886,'Daily Inward'!$E:$E,"Patty Cash"))</f>
        <v/>
      </c>
      <c r="G886" s="30" t="str">
        <f>IF($B886="","",SUMIFS('Daily Issuance'!$G:$G,'Daily Issuance'!$C:$C,$B886,'Daily Issuance'!$E:$E,"Patty Cash"))</f>
        <v/>
      </c>
      <c r="H886" s="30" t="str">
        <f t="shared" si="40"/>
        <v/>
      </c>
      <c r="I886" s="33"/>
      <c r="J886" s="34" t="str">
        <f t="shared" si="41"/>
        <v/>
      </c>
    </row>
    <row r="887" spans="1:10" s="27" customFormat="1" ht="23.1" customHeight="1">
      <c r="A887" s="194" t="str">
        <f>IF($C887="","",MAX($A$3:A886)+1)</f>
        <v/>
      </c>
      <c r="B887" s="197" t="str">
        <f t="shared" si="39"/>
        <v/>
      </c>
      <c r="C887" s="201"/>
      <c r="D887" s="199"/>
      <c r="E887" s="200"/>
      <c r="F887" s="196" t="str">
        <f>IF($B887="","",SUMIFS('Daily Inward'!$G:$G,'Daily Inward'!$C:$C,$B887,'Daily Inward'!$E:$E,"Patty Cash"))</f>
        <v/>
      </c>
      <c r="G887" s="30" t="str">
        <f>IF($B887="","",SUMIFS('Daily Issuance'!$G:$G,'Daily Issuance'!$C:$C,$B887,'Daily Issuance'!$E:$E,"Patty Cash"))</f>
        <v/>
      </c>
      <c r="H887" s="30" t="str">
        <f t="shared" si="40"/>
        <v/>
      </c>
      <c r="I887" s="33"/>
      <c r="J887" s="34" t="str">
        <f t="shared" si="41"/>
        <v/>
      </c>
    </row>
    <row r="888" spans="1:10" s="27" customFormat="1" ht="23.1" customHeight="1">
      <c r="A888" s="194" t="str">
        <f>IF($C888="","",MAX($A$3:A887)+1)</f>
        <v/>
      </c>
      <c r="B888" s="197" t="str">
        <f t="shared" si="39"/>
        <v/>
      </c>
      <c r="C888" s="201"/>
      <c r="D888" s="199"/>
      <c r="E888" s="200"/>
      <c r="F888" s="196" t="str">
        <f>IF($B888="","",SUMIFS('Daily Inward'!$G:$G,'Daily Inward'!$C:$C,$B888,'Daily Inward'!$E:$E,"Patty Cash"))</f>
        <v/>
      </c>
      <c r="G888" s="30" t="str">
        <f>IF($B888="","",SUMIFS('Daily Issuance'!$G:$G,'Daily Issuance'!$C:$C,$B888,'Daily Issuance'!$E:$E,"Patty Cash"))</f>
        <v/>
      </c>
      <c r="H888" s="30" t="str">
        <f t="shared" si="40"/>
        <v/>
      </c>
      <c r="I888" s="33"/>
      <c r="J888" s="34" t="str">
        <f t="shared" si="41"/>
        <v/>
      </c>
    </row>
    <row r="889" spans="1:10" s="27" customFormat="1" ht="23.1" customHeight="1">
      <c r="A889" s="194" t="str">
        <f>IF($C889="","",MAX($A$3:A888)+1)</f>
        <v/>
      </c>
      <c r="B889" s="197" t="str">
        <f t="shared" si="39"/>
        <v/>
      </c>
      <c r="C889" s="201"/>
      <c r="D889" s="199"/>
      <c r="E889" s="200"/>
      <c r="F889" s="196" t="str">
        <f>IF($B889="","",SUMIFS('Daily Inward'!$G:$G,'Daily Inward'!$C:$C,$B889,'Daily Inward'!$E:$E,"Patty Cash"))</f>
        <v/>
      </c>
      <c r="G889" s="30" t="str">
        <f>IF($B889="","",SUMIFS('Daily Issuance'!$G:$G,'Daily Issuance'!$C:$C,$B889,'Daily Issuance'!$E:$E,"Patty Cash"))</f>
        <v/>
      </c>
      <c r="H889" s="30" t="str">
        <f t="shared" si="40"/>
        <v/>
      </c>
      <c r="I889" s="33"/>
      <c r="J889" s="34" t="str">
        <f t="shared" si="41"/>
        <v/>
      </c>
    </row>
    <row r="890" spans="1:10" s="27" customFormat="1" ht="23.1" customHeight="1">
      <c r="A890" s="194" t="str">
        <f>IF($C890="","",MAX($A$3:A889)+1)</f>
        <v/>
      </c>
      <c r="B890" s="197" t="str">
        <f t="shared" si="39"/>
        <v/>
      </c>
      <c r="C890" s="201"/>
      <c r="D890" s="199"/>
      <c r="E890" s="200"/>
      <c r="F890" s="196" t="str">
        <f>IF($B890="","",SUMIFS('Daily Inward'!$G:$G,'Daily Inward'!$C:$C,$B890,'Daily Inward'!$E:$E,"Patty Cash"))</f>
        <v/>
      </c>
      <c r="G890" s="30" t="str">
        <f>IF($B890="","",SUMIFS('Daily Issuance'!$G:$G,'Daily Issuance'!$C:$C,$B890,'Daily Issuance'!$E:$E,"Patty Cash"))</f>
        <v/>
      </c>
      <c r="H890" s="30" t="str">
        <f t="shared" si="40"/>
        <v/>
      </c>
      <c r="I890" s="33"/>
      <c r="J890" s="34" t="str">
        <f t="shared" si="41"/>
        <v/>
      </c>
    </row>
    <row r="891" spans="1:10" s="27" customFormat="1" ht="23.1" customHeight="1">
      <c r="A891" s="194" t="str">
        <f>IF($C891="","",MAX($A$3:A890)+1)</f>
        <v/>
      </c>
      <c r="B891" s="197" t="str">
        <f t="shared" si="39"/>
        <v/>
      </c>
      <c r="C891" s="201"/>
      <c r="D891" s="199"/>
      <c r="E891" s="200"/>
      <c r="F891" s="196" t="str">
        <f>IF($B891="","",SUMIFS('Daily Inward'!$G:$G,'Daily Inward'!$C:$C,$B891,'Daily Inward'!$E:$E,"Patty Cash"))</f>
        <v/>
      </c>
      <c r="G891" s="30" t="str">
        <f>IF($B891="","",SUMIFS('Daily Issuance'!$G:$G,'Daily Issuance'!$C:$C,$B891,'Daily Issuance'!$E:$E,"Patty Cash"))</f>
        <v/>
      </c>
      <c r="H891" s="30" t="str">
        <f t="shared" si="40"/>
        <v/>
      </c>
      <c r="I891" s="33"/>
      <c r="J891" s="34" t="str">
        <f t="shared" si="41"/>
        <v/>
      </c>
    </row>
    <row r="892" spans="1:10" s="27" customFormat="1" ht="23.1" customHeight="1">
      <c r="A892" s="194" t="str">
        <f>IF($C892="","",MAX($A$3:A891)+1)</f>
        <v/>
      </c>
      <c r="B892" s="197" t="str">
        <f t="shared" si="39"/>
        <v/>
      </c>
      <c r="C892" s="201"/>
      <c r="D892" s="199"/>
      <c r="E892" s="200"/>
      <c r="F892" s="196" t="str">
        <f>IF($B892="","",SUMIFS('Daily Inward'!$G:$G,'Daily Inward'!$C:$C,$B892,'Daily Inward'!$E:$E,"Patty Cash"))</f>
        <v/>
      </c>
      <c r="G892" s="30" t="str">
        <f>IF($B892="","",SUMIFS('Daily Issuance'!$G:$G,'Daily Issuance'!$C:$C,$B892,'Daily Issuance'!$E:$E,"Patty Cash"))</f>
        <v/>
      </c>
      <c r="H892" s="30" t="str">
        <f t="shared" si="40"/>
        <v/>
      </c>
      <c r="I892" s="33"/>
      <c r="J892" s="34" t="str">
        <f t="shared" si="41"/>
        <v/>
      </c>
    </row>
    <row r="893" spans="1:10" s="27" customFormat="1" ht="23.1" customHeight="1">
      <c r="A893" s="194" t="str">
        <f>IF($C893="","",MAX($A$3:A892)+1)</f>
        <v/>
      </c>
      <c r="B893" s="197" t="str">
        <f t="shared" si="39"/>
        <v/>
      </c>
      <c r="C893" s="201"/>
      <c r="D893" s="199"/>
      <c r="E893" s="200"/>
      <c r="F893" s="196" t="str">
        <f>IF($B893="","",SUMIFS('Daily Inward'!$G:$G,'Daily Inward'!$C:$C,$B893,'Daily Inward'!$E:$E,"Patty Cash"))</f>
        <v/>
      </c>
      <c r="G893" s="30" t="str">
        <f>IF($B893="","",SUMIFS('Daily Issuance'!$G:$G,'Daily Issuance'!$C:$C,$B893,'Daily Issuance'!$E:$E,"Patty Cash"))</f>
        <v/>
      </c>
      <c r="H893" s="30" t="str">
        <f t="shared" si="40"/>
        <v/>
      </c>
      <c r="I893" s="33"/>
      <c r="J893" s="34" t="str">
        <f t="shared" si="41"/>
        <v/>
      </c>
    </row>
    <row r="894" spans="1:10" s="27" customFormat="1" ht="23.1" customHeight="1">
      <c r="A894" s="194" t="str">
        <f>IF($C894="","",MAX($A$3:A893)+1)</f>
        <v/>
      </c>
      <c r="B894" s="197" t="str">
        <f t="shared" si="39"/>
        <v/>
      </c>
      <c r="C894" s="201"/>
      <c r="D894" s="199"/>
      <c r="E894" s="200"/>
      <c r="F894" s="196" t="str">
        <f>IF($B894="","",SUMIFS('Daily Inward'!$G:$G,'Daily Inward'!$C:$C,$B894,'Daily Inward'!$E:$E,"Patty Cash"))</f>
        <v/>
      </c>
      <c r="G894" s="30" t="str">
        <f>IF($B894="","",SUMIFS('Daily Issuance'!$G:$G,'Daily Issuance'!$C:$C,$B894,'Daily Issuance'!$E:$E,"Patty Cash"))</f>
        <v/>
      </c>
      <c r="H894" s="30" t="str">
        <f t="shared" si="40"/>
        <v/>
      </c>
      <c r="I894" s="33"/>
      <c r="J894" s="34" t="str">
        <f t="shared" si="41"/>
        <v/>
      </c>
    </row>
    <row r="895" spans="1:10" s="27" customFormat="1" ht="23.1" customHeight="1">
      <c r="A895" s="194" t="str">
        <f>IF($C895="","",MAX($A$3:A894)+1)</f>
        <v/>
      </c>
      <c r="B895" s="197" t="str">
        <f t="shared" si="39"/>
        <v/>
      </c>
      <c r="C895" s="201"/>
      <c r="D895" s="199"/>
      <c r="E895" s="200"/>
      <c r="F895" s="196" t="str">
        <f>IF($B895="","",SUMIFS('Daily Inward'!$G:$G,'Daily Inward'!$C:$C,$B895,'Daily Inward'!$E:$E,"Patty Cash"))</f>
        <v/>
      </c>
      <c r="G895" s="30" t="str">
        <f>IF($B895="","",SUMIFS('Daily Issuance'!$G:$G,'Daily Issuance'!$C:$C,$B895,'Daily Issuance'!$E:$E,"Patty Cash"))</f>
        <v/>
      </c>
      <c r="H895" s="30" t="str">
        <f t="shared" si="40"/>
        <v/>
      </c>
      <c r="I895" s="33"/>
      <c r="J895" s="34" t="str">
        <f t="shared" si="41"/>
        <v/>
      </c>
    </row>
    <row r="896" spans="1:10" s="27" customFormat="1" ht="23.1" customHeight="1">
      <c r="A896" s="194" t="str">
        <f>IF($C896="","",MAX($A$3:A895)+1)</f>
        <v/>
      </c>
      <c r="B896" s="197" t="str">
        <f t="shared" si="39"/>
        <v/>
      </c>
      <c r="C896" s="201"/>
      <c r="D896" s="199"/>
      <c r="E896" s="200"/>
      <c r="F896" s="196" t="str">
        <f>IF($B896="","",SUMIFS('Daily Inward'!$G:$G,'Daily Inward'!$C:$C,$B896,'Daily Inward'!$E:$E,"Patty Cash"))</f>
        <v/>
      </c>
      <c r="G896" s="30" t="str">
        <f>IF($B896="","",SUMIFS('Daily Issuance'!$G:$G,'Daily Issuance'!$C:$C,$B896,'Daily Issuance'!$E:$E,"Patty Cash"))</f>
        <v/>
      </c>
      <c r="H896" s="30" t="str">
        <f t="shared" si="40"/>
        <v/>
      </c>
      <c r="I896" s="33"/>
      <c r="J896" s="34" t="str">
        <f t="shared" si="41"/>
        <v/>
      </c>
    </row>
    <row r="897" spans="1:10" s="27" customFormat="1" ht="23.1" customHeight="1">
      <c r="A897" s="194" t="str">
        <f>IF($C897="","",MAX($A$3:A896)+1)</f>
        <v/>
      </c>
      <c r="B897" s="197" t="str">
        <f t="shared" si="39"/>
        <v/>
      </c>
      <c r="C897" s="201"/>
      <c r="D897" s="199"/>
      <c r="E897" s="200"/>
      <c r="F897" s="196" t="str">
        <f>IF($B897="","",SUMIFS('Daily Inward'!$G:$G,'Daily Inward'!$C:$C,$B897,'Daily Inward'!$E:$E,"Patty Cash"))</f>
        <v/>
      </c>
      <c r="G897" s="30" t="str">
        <f>IF($B897="","",SUMIFS('Daily Issuance'!$G:$G,'Daily Issuance'!$C:$C,$B897,'Daily Issuance'!$E:$E,"Patty Cash"))</f>
        <v/>
      </c>
      <c r="H897" s="30" t="str">
        <f t="shared" si="40"/>
        <v/>
      </c>
      <c r="I897" s="33"/>
      <c r="J897" s="34" t="str">
        <f t="shared" si="41"/>
        <v/>
      </c>
    </row>
    <row r="898" spans="1:10" s="27" customFormat="1" ht="23.1" customHeight="1">
      <c r="A898" s="194" t="str">
        <f>IF($C898="","",MAX($A$3:A897)+1)</f>
        <v/>
      </c>
      <c r="B898" s="197" t="str">
        <f t="shared" si="39"/>
        <v/>
      </c>
      <c r="C898" s="201"/>
      <c r="D898" s="199"/>
      <c r="E898" s="200"/>
      <c r="F898" s="196" t="str">
        <f>IF($B898="","",SUMIFS('Daily Inward'!$G:$G,'Daily Inward'!$C:$C,$B898,'Daily Inward'!$E:$E,"Patty Cash"))</f>
        <v/>
      </c>
      <c r="G898" s="30" t="str">
        <f>IF($B898="","",SUMIFS('Daily Issuance'!$G:$G,'Daily Issuance'!$C:$C,$B898,'Daily Issuance'!$E:$E,"Patty Cash"))</f>
        <v/>
      </c>
      <c r="H898" s="30" t="str">
        <f t="shared" si="40"/>
        <v/>
      </c>
      <c r="I898" s="33"/>
      <c r="J898" s="34" t="str">
        <f t="shared" si="41"/>
        <v/>
      </c>
    </row>
    <row r="899" spans="1:10" s="27" customFormat="1" ht="23.1" customHeight="1">
      <c r="A899" s="194" t="str">
        <f>IF($C899="","",MAX($A$3:A898)+1)</f>
        <v/>
      </c>
      <c r="B899" s="197" t="str">
        <f t="shared" si="39"/>
        <v/>
      </c>
      <c r="C899" s="201"/>
      <c r="D899" s="199"/>
      <c r="E899" s="200"/>
      <c r="F899" s="196" t="str">
        <f>IF($B899="","",SUMIFS('Daily Inward'!$G:$G,'Daily Inward'!$C:$C,$B899,'Daily Inward'!$E:$E,"Patty Cash"))</f>
        <v/>
      </c>
      <c r="G899" s="30" t="str">
        <f>IF($B899="","",SUMIFS('Daily Issuance'!$G:$G,'Daily Issuance'!$C:$C,$B899,'Daily Issuance'!$E:$E,"Patty Cash"))</f>
        <v/>
      </c>
      <c r="H899" s="30" t="str">
        <f t="shared" si="40"/>
        <v/>
      </c>
      <c r="I899" s="33"/>
      <c r="J899" s="34" t="str">
        <f t="shared" si="41"/>
        <v/>
      </c>
    </row>
    <row r="900" spans="1:10" s="27" customFormat="1" ht="23.1" customHeight="1">
      <c r="A900" s="194" t="str">
        <f>IF($C900="","",MAX($A$3:A899)+1)</f>
        <v/>
      </c>
      <c r="B900" s="197" t="str">
        <f t="shared" si="39"/>
        <v/>
      </c>
      <c r="C900" s="201"/>
      <c r="D900" s="199"/>
      <c r="E900" s="200"/>
      <c r="F900" s="196" t="str">
        <f>IF($B900="","",SUMIFS('Daily Inward'!$G:$G,'Daily Inward'!$C:$C,$B900,'Daily Inward'!$E:$E,"Patty Cash"))</f>
        <v/>
      </c>
      <c r="G900" s="30" t="str">
        <f>IF($B900="","",SUMIFS('Daily Issuance'!$G:$G,'Daily Issuance'!$C:$C,$B900,'Daily Issuance'!$E:$E,"Patty Cash"))</f>
        <v/>
      </c>
      <c r="H900" s="30" t="str">
        <f t="shared" si="40"/>
        <v/>
      </c>
      <c r="I900" s="33"/>
      <c r="J900" s="34" t="str">
        <f t="shared" si="41"/>
        <v/>
      </c>
    </row>
    <row r="901" spans="1:10" s="27" customFormat="1" ht="23.1" customHeight="1">
      <c r="A901" s="194" t="str">
        <f>IF($C901="","",MAX($A$3:A900)+1)</f>
        <v/>
      </c>
      <c r="B901" s="197" t="str">
        <f t="shared" ref="B901:B964" si="42">IF($C901="","","PTC"&amp;TEXT(ROW()-4,"000"))</f>
        <v/>
      </c>
      <c r="C901" s="201"/>
      <c r="D901" s="199"/>
      <c r="E901" s="200"/>
      <c r="F901" s="196" t="str">
        <f>IF($B901="","",SUMIFS('Daily Inward'!$G:$G,'Daily Inward'!$C:$C,$B901,'Daily Inward'!$E:$E,"Patty Cash"))</f>
        <v/>
      </c>
      <c r="G901" s="30" t="str">
        <f>IF($B901="","",SUMIFS('Daily Issuance'!$G:$G,'Daily Issuance'!$C:$C,$B901,'Daily Issuance'!$E:$E,"Patty Cash"))</f>
        <v/>
      </c>
      <c r="H901" s="30" t="str">
        <f t="shared" ref="H901:H964" si="43">IF($B901="","",F901-G901)</f>
        <v/>
      </c>
      <c r="I901" s="33"/>
      <c r="J901" s="34" t="str">
        <f t="shared" ref="J901:J964" si="44">IF(OR(H901="",I901=""),"",H901*I901)</f>
        <v/>
      </c>
    </row>
    <row r="902" spans="1:10" s="27" customFormat="1" ht="23.1" customHeight="1">
      <c r="A902" s="194" t="str">
        <f>IF($C902="","",MAX($A$3:A901)+1)</f>
        <v/>
      </c>
      <c r="B902" s="197" t="str">
        <f t="shared" si="42"/>
        <v/>
      </c>
      <c r="C902" s="201"/>
      <c r="D902" s="199"/>
      <c r="E902" s="200"/>
      <c r="F902" s="196" t="str">
        <f>IF($B902="","",SUMIFS('Daily Inward'!$G:$G,'Daily Inward'!$C:$C,$B902,'Daily Inward'!$E:$E,"Patty Cash"))</f>
        <v/>
      </c>
      <c r="G902" s="30" t="str">
        <f>IF($B902="","",SUMIFS('Daily Issuance'!$G:$G,'Daily Issuance'!$C:$C,$B902,'Daily Issuance'!$E:$E,"Patty Cash"))</f>
        <v/>
      </c>
      <c r="H902" s="30" t="str">
        <f t="shared" si="43"/>
        <v/>
      </c>
      <c r="I902" s="33"/>
      <c r="J902" s="34" t="str">
        <f t="shared" si="44"/>
        <v/>
      </c>
    </row>
    <row r="903" spans="1:10" s="27" customFormat="1" ht="23.1" customHeight="1">
      <c r="A903" s="194" t="str">
        <f>IF($C903="","",MAX($A$3:A902)+1)</f>
        <v/>
      </c>
      <c r="B903" s="197" t="str">
        <f t="shared" si="42"/>
        <v/>
      </c>
      <c r="C903" s="201"/>
      <c r="D903" s="199"/>
      <c r="E903" s="200"/>
      <c r="F903" s="196" t="str">
        <f>IF($B903="","",SUMIFS('Daily Inward'!$G:$G,'Daily Inward'!$C:$C,$B903,'Daily Inward'!$E:$E,"Patty Cash"))</f>
        <v/>
      </c>
      <c r="G903" s="30" t="str">
        <f>IF($B903="","",SUMIFS('Daily Issuance'!$G:$G,'Daily Issuance'!$C:$C,$B903,'Daily Issuance'!$E:$E,"Patty Cash"))</f>
        <v/>
      </c>
      <c r="H903" s="30" t="str">
        <f t="shared" si="43"/>
        <v/>
      </c>
      <c r="I903" s="33"/>
      <c r="J903" s="34" t="str">
        <f t="shared" si="44"/>
        <v/>
      </c>
    </row>
    <row r="904" spans="1:10" s="27" customFormat="1" ht="23.1" customHeight="1">
      <c r="A904" s="194" t="str">
        <f>IF($C904="","",MAX($A$3:A903)+1)</f>
        <v/>
      </c>
      <c r="B904" s="197" t="str">
        <f t="shared" si="42"/>
        <v/>
      </c>
      <c r="C904" s="201"/>
      <c r="D904" s="199"/>
      <c r="E904" s="200"/>
      <c r="F904" s="196" t="str">
        <f>IF($B904="","",SUMIFS('Daily Inward'!$G:$G,'Daily Inward'!$C:$C,$B904,'Daily Inward'!$E:$E,"Patty Cash"))</f>
        <v/>
      </c>
      <c r="G904" s="30" t="str">
        <f>IF($B904="","",SUMIFS('Daily Issuance'!$G:$G,'Daily Issuance'!$C:$C,$B904,'Daily Issuance'!$E:$E,"Patty Cash"))</f>
        <v/>
      </c>
      <c r="H904" s="30" t="str">
        <f t="shared" si="43"/>
        <v/>
      </c>
      <c r="I904" s="33"/>
      <c r="J904" s="34" t="str">
        <f t="shared" si="44"/>
        <v/>
      </c>
    </row>
    <row r="905" spans="1:10" s="27" customFormat="1" ht="23.1" customHeight="1">
      <c r="A905" s="194" t="str">
        <f>IF($C905="","",MAX($A$3:A904)+1)</f>
        <v/>
      </c>
      <c r="B905" s="197" t="str">
        <f t="shared" si="42"/>
        <v/>
      </c>
      <c r="C905" s="201"/>
      <c r="D905" s="199"/>
      <c r="E905" s="200"/>
      <c r="F905" s="196" t="str">
        <f>IF($B905="","",SUMIFS('Daily Inward'!$G:$G,'Daily Inward'!$C:$C,$B905,'Daily Inward'!$E:$E,"Patty Cash"))</f>
        <v/>
      </c>
      <c r="G905" s="30" t="str">
        <f>IF($B905="","",SUMIFS('Daily Issuance'!$G:$G,'Daily Issuance'!$C:$C,$B905,'Daily Issuance'!$E:$E,"Patty Cash"))</f>
        <v/>
      </c>
      <c r="H905" s="30" t="str">
        <f t="shared" si="43"/>
        <v/>
      </c>
      <c r="I905" s="33"/>
      <c r="J905" s="34" t="str">
        <f t="shared" si="44"/>
        <v/>
      </c>
    </row>
    <row r="906" spans="1:10" s="27" customFormat="1" ht="23.1" customHeight="1">
      <c r="A906" s="194" t="str">
        <f>IF($C906="","",MAX($A$3:A905)+1)</f>
        <v/>
      </c>
      <c r="B906" s="197" t="str">
        <f t="shared" si="42"/>
        <v/>
      </c>
      <c r="C906" s="201"/>
      <c r="D906" s="199"/>
      <c r="E906" s="200"/>
      <c r="F906" s="196" t="str">
        <f>IF($B906="","",SUMIFS('Daily Inward'!$G:$G,'Daily Inward'!$C:$C,$B906,'Daily Inward'!$E:$E,"Patty Cash"))</f>
        <v/>
      </c>
      <c r="G906" s="30" t="str">
        <f>IF($B906="","",SUMIFS('Daily Issuance'!$G:$G,'Daily Issuance'!$C:$C,$B906,'Daily Issuance'!$E:$E,"Patty Cash"))</f>
        <v/>
      </c>
      <c r="H906" s="30" t="str">
        <f t="shared" si="43"/>
        <v/>
      </c>
      <c r="I906" s="33"/>
      <c r="J906" s="34" t="str">
        <f t="shared" si="44"/>
        <v/>
      </c>
    </row>
    <row r="907" spans="1:10" s="27" customFormat="1" ht="23.1" customHeight="1">
      <c r="A907" s="194" t="str">
        <f>IF($C907="","",MAX($A$3:A906)+1)</f>
        <v/>
      </c>
      <c r="B907" s="197" t="str">
        <f t="shared" si="42"/>
        <v/>
      </c>
      <c r="C907" s="201"/>
      <c r="D907" s="199"/>
      <c r="E907" s="200"/>
      <c r="F907" s="196" t="str">
        <f>IF($B907="","",SUMIFS('Daily Inward'!$G:$G,'Daily Inward'!$C:$C,$B907,'Daily Inward'!$E:$E,"Patty Cash"))</f>
        <v/>
      </c>
      <c r="G907" s="30" t="str">
        <f>IF($B907="","",SUMIFS('Daily Issuance'!$G:$G,'Daily Issuance'!$C:$C,$B907,'Daily Issuance'!$E:$E,"Patty Cash"))</f>
        <v/>
      </c>
      <c r="H907" s="30" t="str">
        <f t="shared" si="43"/>
        <v/>
      </c>
      <c r="I907" s="33"/>
      <c r="J907" s="34" t="str">
        <f t="shared" si="44"/>
        <v/>
      </c>
    </row>
    <row r="908" spans="1:10" s="27" customFormat="1" ht="23.1" customHeight="1">
      <c r="A908" s="194" t="str">
        <f>IF($C908="","",MAX($A$3:A907)+1)</f>
        <v/>
      </c>
      <c r="B908" s="197" t="str">
        <f t="shared" si="42"/>
        <v/>
      </c>
      <c r="C908" s="201"/>
      <c r="D908" s="199"/>
      <c r="E908" s="200"/>
      <c r="F908" s="196" t="str">
        <f>IF($B908="","",SUMIFS('Daily Inward'!$G:$G,'Daily Inward'!$C:$C,$B908,'Daily Inward'!$E:$E,"Patty Cash"))</f>
        <v/>
      </c>
      <c r="G908" s="30" t="str">
        <f>IF($B908="","",SUMIFS('Daily Issuance'!$G:$G,'Daily Issuance'!$C:$C,$B908,'Daily Issuance'!$E:$E,"Patty Cash"))</f>
        <v/>
      </c>
      <c r="H908" s="30" t="str">
        <f t="shared" si="43"/>
        <v/>
      </c>
      <c r="I908" s="33"/>
      <c r="J908" s="34" t="str">
        <f t="shared" si="44"/>
        <v/>
      </c>
    </row>
    <row r="909" spans="1:10" s="27" customFormat="1" ht="23.1" customHeight="1">
      <c r="A909" s="194" t="str">
        <f>IF($C909="","",MAX($A$3:A908)+1)</f>
        <v/>
      </c>
      <c r="B909" s="197" t="str">
        <f t="shared" si="42"/>
        <v/>
      </c>
      <c r="C909" s="201"/>
      <c r="D909" s="199"/>
      <c r="E909" s="200"/>
      <c r="F909" s="196" t="str">
        <f>IF($B909="","",SUMIFS('Daily Inward'!$G:$G,'Daily Inward'!$C:$C,$B909,'Daily Inward'!$E:$E,"Patty Cash"))</f>
        <v/>
      </c>
      <c r="G909" s="30" t="str">
        <f>IF($B909="","",SUMIFS('Daily Issuance'!$G:$G,'Daily Issuance'!$C:$C,$B909,'Daily Issuance'!$E:$E,"Patty Cash"))</f>
        <v/>
      </c>
      <c r="H909" s="30" t="str">
        <f t="shared" si="43"/>
        <v/>
      </c>
      <c r="I909" s="33"/>
      <c r="J909" s="34" t="str">
        <f t="shared" si="44"/>
        <v/>
      </c>
    </row>
    <row r="910" spans="1:10" s="27" customFormat="1" ht="23.1" customHeight="1">
      <c r="A910" s="194" t="str">
        <f>IF($C910="","",MAX($A$3:A909)+1)</f>
        <v/>
      </c>
      <c r="B910" s="197" t="str">
        <f t="shared" si="42"/>
        <v/>
      </c>
      <c r="C910" s="201"/>
      <c r="D910" s="199"/>
      <c r="E910" s="200"/>
      <c r="F910" s="196" t="str">
        <f>IF($B910="","",SUMIFS('Daily Inward'!$G:$G,'Daily Inward'!$C:$C,$B910,'Daily Inward'!$E:$E,"Patty Cash"))</f>
        <v/>
      </c>
      <c r="G910" s="30" t="str">
        <f>IF($B910="","",SUMIFS('Daily Issuance'!$G:$G,'Daily Issuance'!$C:$C,$B910,'Daily Issuance'!$E:$E,"Patty Cash"))</f>
        <v/>
      </c>
      <c r="H910" s="30" t="str">
        <f t="shared" si="43"/>
        <v/>
      </c>
      <c r="I910" s="33"/>
      <c r="J910" s="34" t="str">
        <f t="shared" si="44"/>
        <v/>
      </c>
    </row>
    <row r="911" spans="1:10" s="27" customFormat="1" ht="23.1" customHeight="1">
      <c r="A911" s="194" t="str">
        <f>IF($C911="","",MAX($A$3:A910)+1)</f>
        <v/>
      </c>
      <c r="B911" s="197" t="str">
        <f t="shared" si="42"/>
        <v/>
      </c>
      <c r="C911" s="201"/>
      <c r="D911" s="199"/>
      <c r="E911" s="200"/>
      <c r="F911" s="196" t="str">
        <f>IF($B911="","",SUMIFS('Daily Inward'!$G:$G,'Daily Inward'!$C:$C,$B911,'Daily Inward'!$E:$E,"Patty Cash"))</f>
        <v/>
      </c>
      <c r="G911" s="30" t="str">
        <f>IF($B911="","",SUMIFS('Daily Issuance'!$G:$G,'Daily Issuance'!$C:$C,$B911,'Daily Issuance'!$E:$E,"Patty Cash"))</f>
        <v/>
      </c>
      <c r="H911" s="30" t="str">
        <f t="shared" si="43"/>
        <v/>
      </c>
      <c r="I911" s="33"/>
      <c r="J911" s="34" t="str">
        <f t="shared" si="44"/>
        <v/>
      </c>
    </row>
    <row r="912" spans="1:10" s="27" customFormat="1" ht="23.1" customHeight="1">
      <c r="A912" s="194" t="str">
        <f>IF($C912="","",MAX($A$3:A911)+1)</f>
        <v/>
      </c>
      <c r="B912" s="197" t="str">
        <f t="shared" si="42"/>
        <v/>
      </c>
      <c r="C912" s="201"/>
      <c r="D912" s="199"/>
      <c r="E912" s="200"/>
      <c r="F912" s="196" t="str">
        <f>IF($B912="","",SUMIFS('Daily Inward'!$G:$G,'Daily Inward'!$C:$C,$B912,'Daily Inward'!$E:$E,"Patty Cash"))</f>
        <v/>
      </c>
      <c r="G912" s="30" t="str">
        <f>IF($B912="","",SUMIFS('Daily Issuance'!$G:$G,'Daily Issuance'!$C:$C,$B912,'Daily Issuance'!$E:$E,"Patty Cash"))</f>
        <v/>
      </c>
      <c r="H912" s="30" t="str">
        <f t="shared" si="43"/>
        <v/>
      </c>
      <c r="I912" s="33"/>
      <c r="J912" s="34" t="str">
        <f t="shared" si="44"/>
        <v/>
      </c>
    </row>
    <row r="913" spans="1:10" s="27" customFormat="1" ht="23.1" customHeight="1">
      <c r="A913" s="194" t="str">
        <f>IF($C913="","",MAX($A$3:A912)+1)</f>
        <v/>
      </c>
      <c r="B913" s="197" t="str">
        <f t="shared" si="42"/>
        <v/>
      </c>
      <c r="C913" s="201"/>
      <c r="D913" s="199"/>
      <c r="E913" s="200"/>
      <c r="F913" s="196" t="str">
        <f>IF($B913="","",SUMIFS('Daily Inward'!$G:$G,'Daily Inward'!$C:$C,$B913,'Daily Inward'!$E:$E,"Patty Cash"))</f>
        <v/>
      </c>
      <c r="G913" s="30" t="str">
        <f>IF($B913="","",SUMIFS('Daily Issuance'!$G:$G,'Daily Issuance'!$C:$C,$B913,'Daily Issuance'!$E:$E,"Patty Cash"))</f>
        <v/>
      </c>
      <c r="H913" s="30" t="str">
        <f t="shared" si="43"/>
        <v/>
      </c>
      <c r="I913" s="33"/>
      <c r="J913" s="34" t="str">
        <f t="shared" si="44"/>
        <v/>
      </c>
    </row>
    <row r="914" spans="1:10" s="27" customFormat="1" ht="23.1" customHeight="1">
      <c r="A914" s="194" t="str">
        <f>IF($C914="","",MAX($A$3:A913)+1)</f>
        <v/>
      </c>
      <c r="B914" s="197" t="str">
        <f t="shared" si="42"/>
        <v/>
      </c>
      <c r="C914" s="201"/>
      <c r="D914" s="199"/>
      <c r="E914" s="200"/>
      <c r="F914" s="196" t="str">
        <f>IF($B914="","",SUMIFS('Daily Inward'!$G:$G,'Daily Inward'!$C:$C,$B914,'Daily Inward'!$E:$E,"Patty Cash"))</f>
        <v/>
      </c>
      <c r="G914" s="30" t="str">
        <f>IF($B914="","",SUMIFS('Daily Issuance'!$G:$G,'Daily Issuance'!$C:$C,$B914,'Daily Issuance'!$E:$E,"Patty Cash"))</f>
        <v/>
      </c>
      <c r="H914" s="30" t="str">
        <f t="shared" si="43"/>
        <v/>
      </c>
      <c r="I914" s="33"/>
      <c r="J914" s="34" t="str">
        <f t="shared" si="44"/>
        <v/>
      </c>
    </row>
    <row r="915" spans="1:10" s="27" customFormat="1" ht="23.1" customHeight="1">
      <c r="A915" s="194" t="str">
        <f>IF($C915="","",MAX($A$3:A914)+1)</f>
        <v/>
      </c>
      <c r="B915" s="197" t="str">
        <f t="shared" si="42"/>
        <v/>
      </c>
      <c r="C915" s="201"/>
      <c r="D915" s="199"/>
      <c r="E915" s="200"/>
      <c r="F915" s="196" t="str">
        <f>IF($B915="","",SUMIFS('Daily Inward'!$G:$G,'Daily Inward'!$C:$C,$B915,'Daily Inward'!$E:$E,"Patty Cash"))</f>
        <v/>
      </c>
      <c r="G915" s="30" t="str">
        <f>IF($B915="","",SUMIFS('Daily Issuance'!$G:$G,'Daily Issuance'!$C:$C,$B915,'Daily Issuance'!$E:$E,"Patty Cash"))</f>
        <v/>
      </c>
      <c r="H915" s="30" t="str">
        <f t="shared" si="43"/>
        <v/>
      </c>
      <c r="I915" s="33"/>
      <c r="J915" s="34" t="str">
        <f t="shared" si="44"/>
        <v/>
      </c>
    </row>
    <row r="916" spans="1:10" s="27" customFormat="1" ht="23.1" customHeight="1">
      <c r="A916" s="194" t="str">
        <f>IF($C916="","",MAX($A$3:A915)+1)</f>
        <v/>
      </c>
      <c r="B916" s="197" t="str">
        <f t="shared" si="42"/>
        <v/>
      </c>
      <c r="C916" s="201"/>
      <c r="D916" s="199"/>
      <c r="E916" s="200"/>
      <c r="F916" s="196" t="str">
        <f>IF($B916="","",SUMIFS('Daily Inward'!$G:$G,'Daily Inward'!$C:$C,$B916,'Daily Inward'!$E:$E,"Patty Cash"))</f>
        <v/>
      </c>
      <c r="G916" s="30" t="str">
        <f>IF($B916="","",SUMIFS('Daily Issuance'!$G:$G,'Daily Issuance'!$C:$C,$B916,'Daily Issuance'!$E:$E,"Patty Cash"))</f>
        <v/>
      </c>
      <c r="H916" s="30" t="str">
        <f t="shared" si="43"/>
        <v/>
      </c>
      <c r="I916" s="33"/>
      <c r="J916" s="34" t="str">
        <f t="shared" si="44"/>
        <v/>
      </c>
    </row>
    <row r="917" spans="1:10" s="27" customFormat="1" ht="23.1" customHeight="1">
      <c r="A917" s="194" t="str">
        <f>IF($C917="","",MAX($A$3:A916)+1)</f>
        <v/>
      </c>
      <c r="B917" s="197" t="str">
        <f t="shared" si="42"/>
        <v/>
      </c>
      <c r="C917" s="201"/>
      <c r="D917" s="199"/>
      <c r="E917" s="200"/>
      <c r="F917" s="196" t="str">
        <f>IF($B917="","",SUMIFS('Daily Inward'!$G:$G,'Daily Inward'!$C:$C,$B917,'Daily Inward'!$E:$E,"Patty Cash"))</f>
        <v/>
      </c>
      <c r="G917" s="30" t="str">
        <f>IF($B917="","",SUMIFS('Daily Issuance'!$G:$G,'Daily Issuance'!$C:$C,$B917,'Daily Issuance'!$E:$E,"Patty Cash"))</f>
        <v/>
      </c>
      <c r="H917" s="30" t="str">
        <f t="shared" si="43"/>
        <v/>
      </c>
      <c r="I917" s="33"/>
      <c r="J917" s="34" t="str">
        <f t="shared" si="44"/>
        <v/>
      </c>
    </row>
    <row r="918" spans="1:10" s="27" customFormat="1" ht="23.1" customHeight="1">
      <c r="A918" s="194" t="str">
        <f>IF($C918="","",MAX($A$3:A917)+1)</f>
        <v/>
      </c>
      <c r="B918" s="197" t="str">
        <f t="shared" si="42"/>
        <v/>
      </c>
      <c r="C918" s="201"/>
      <c r="D918" s="199"/>
      <c r="E918" s="200"/>
      <c r="F918" s="196" t="str">
        <f>IF($B918="","",SUMIFS('Daily Inward'!$G:$G,'Daily Inward'!$C:$C,$B918,'Daily Inward'!$E:$E,"Patty Cash"))</f>
        <v/>
      </c>
      <c r="G918" s="30" t="str">
        <f>IF($B918="","",SUMIFS('Daily Issuance'!$G:$G,'Daily Issuance'!$C:$C,$B918,'Daily Issuance'!$E:$E,"Patty Cash"))</f>
        <v/>
      </c>
      <c r="H918" s="30" t="str">
        <f t="shared" si="43"/>
        <v/>
      </c>
      <c r="I918" s="33"/>
      <c r="J918" s="34" t="str">
        <f t="shared" si="44"/>
        <v/>
      </c>
    </row>
    <row r="919" spans="1:10" s="27" customFormat="1" ht="23.1" customHeight="1">
      <c r="A919" s="194" t="str">
        <f>IF($C919="","",MAX($A$3:A918)+1)</f>
        <v/>
      </c>
      <c r="B919" s="197" t="str">
        <f t="shared" si="42"/>
        <v/>
      </c>
      <c r="C919" s="201"/>
      <c r="D919" s="199"/>
      <c r="E919" s="200"/>
      <c r="F919" s="196" t="str">
        <f>IF($B919="","",SUMIFS('Daily Inward'!$G:$G,'Daily Inward'!$C:$C,$B919,'Daily Inward'!$E:$E,"Patty Cash"))</f>
        <v/>
      </c>
      <c r="G919" s="30" t="str">
        <f>IF($B919="","",SUMIFS('Daily Issuance'!$G:$G,'Daily Issuance'!$C:$C,$B919,'Daily Issuance'!$E:$E,"Patty Cash"))</f>
        <v/>
      </c>
      <c r="H919" s="30" t="str">
        <f t="shared" si="43"/>
        <v/>
      </c>
      <c r="I919" s="33"/>
      <c r="J919" s="34" t="str">
        <f t="shared" si="44"/>
        <v/>
      </c>
    </row>
    <row r="920" spans="1:10" s="27" customFormat="1" ht="23.1" customHeight="1">
      <c r="A920" s="194" t="str">
        <f>IF($C920="","",MAX($A$3:A919)+1)</f>
        <v/>
      </c>
      <c r="B920" s="197" t="str">
        <f t="shared" si="42"/>
        <v/>
      </c>
      <c r="C920" s="201"/>
      <c r="D920" s="199"/>
      <c r="E920" s="200"/>
      <c r="F920" s="196" t="str">
        <f>IF($B920="","",SUMIFS('Daily Inward'!$G:$G,'Daily Inward'!$C:$C,$B920,'Daily Inward'!$E:$E,"Patty Cash"))</f>
        <v/>
      </c>
      <c r="G920" s="30" t="str">
        <f>IF($B920="","",SUMIFS('Daily Issuance'!$G:$G,'Daily Issuance'!$C:$C,$B920,'Daily Issuance'!$E:$E,"Patty Cash"))</f>
        <v/>
      </c>
      <c r="H920" s="30" t="str">
        <f t="shared" si="43"/>
        <v/>
      </c>
      <c r="I920" s="33"/>
      <c r="J920" s="34" t="str">
        <f t="shared" si="44"/>
        <v/>
      </c>
    </row>
    <row r="921" spans="1:10" s="27" customFormat="1" ht="23.1" customHeight="1">
      <c r="A921" s="194" t="str">
        <f>IF($C921="","",MAX($A$3:A920)+1)</f>
        <v/>
      </c>
      <c r="B921" s="197" t="str">
        <f t="shared" si="42"/>
        <v/>
      </c>
      <c r="C921" s="201"/>
      <c r="D921" s="199"/>
      <c r="E921" s="200"/>
      <c r="F921" s="196" t="str">
        <f>IF($B921="","",SUMIFS('Daily Inward'!$G:$G,'Daily Inward'!$C:$C,$B921,'Daily Inward'!$E:$E,"Patty Cash"))</f>
        <v/>
      </c>
      <c r="G921" s="30" t="str">
        <f>IF($B921="","",SUMIFS('Daily Issuance'!$G:$G,'Daily Issuance'!$C:$C,$B921,'Daily Issuance'!$E:$E,"Patty Cash"))</f>
        <v/>
      </c>
      <c r="H921" s="30" t="str">
        <f t="shared" si="43"/>
        <v/>
      </c>
      <c r="I921" s="33"/>
      <c r="J921" s="34" t="str">
        <f t="shared" si="44"/>
        <v/>
      </c>
    </row>
    <row r="922" spans="1:10" s="27" customFormat="1" ht="23.1" customHeight="1">
      <c r="A922" s="194" t="str">
        <f>IF($C922="","",MAX($A$3:A921)+1)</f>
        <v/>
      </c>
      <c r="B922" s="197" t="str">
        <f t="shared" si="42"/>
        <v/>
      </c>
      <c r="C922" s="201"/>
      <c r="D922" s="199"/>
      <c r="E922" s="200"/>
      <c r="F922" s="196" t="str">
        <f>IF($B922="","",SUMIFS('Daily Inward'!$G:$G,'Daily Inward'!$C:$C,$B922,'Daily Inward'!$E:$E,"Patty Cash"))</f>
        <v/>
      </c>
      <c r="G922" s="30" t="str">
        <f>IF($B922="","",SUMIFS('Daily Issuance'!$G:$G,'Daily Issuance'!$C:$C,$B922,'Daily Issuance'!$E:$E,"Patty Cash"))</f>
        <v/>
      </c>
      <c r="H922" s="30" t="str">
        <f t="shared" si="43"/>
        <v/>
      </c>
      <c r="I922" s="33"/>
      <c r="J922" s="34" t="str">
        <f t="shared" si="44"/>
        <v/>
      </c>
    </row>
    <row r="923" spans="1:10" s="27" customFormat="1" ht="23.1" customHeight="1">
      <c r="A923" s="194" t="str">
        <f>IF($C923="","",MAX($A$3:A922)+1)</f>
        <v/>
      </c>
      <c r="B923" s="197" t="str">
        <f t="shared" si="42"/>
        <v/>
      </c>
      <c r="C923" s="201"/>
      <c r="D923" s="199"/>
      <c r="E923" s="200"/>
      <c r="F923" s="196" t="str">
        <f>IF($B923="","",SUMIFS('Daily Inward'!$G:$G,'Daily Inward'!$C:$C,$B923,'Daily Inward'!$E:$E,"Patty Cash"))</f>
        <v/>
      </c>
      <c r="G923" s="30" t="str">
        <f>IF($B923="","",SUMIFS('Daily Issuance'!$G:$G,'Daily Issuance'!$C:$C,$B923,'Daily Issuance'!$E:$E,"Patty Cash"))</f>
        <v/>
      </c>
      <c r="H923" s="30" t="str">
        <f t="shared" si="43"/>
        <v/>
      </c>
      <c r="I923" s="33"/>
      <c r="J923" s="34" t="str">
        <f t="shared" si="44"/>
        <v/>
      </c>
    </row>
    <row r="924" spans="1:10" s="27" customFormat="1" ht="23.1" customHeight="1">
      <c r="A924" s="194" t="str">
        <f>IF($C924="","",MAX($A$3:A923)+1)</f>
        <v/>
      </c>
      <c r="B924" s="197" t="str">
        <f t="shared" si="42"/>
        <v/>
      </c>
      <c r="C924" s="201"/>
      <c r="D924" s="199"/>
      <c r="E924" s="200"/>
      <c r="F924" s="196" t="str">
        <f>IF($B924="","",SUMIFS('Daily Inward'!$G:$G,'Daily Inward'!$C:$C,$B924,'Daily Inward'!$E:$E,"Patty Cash"))</f>
        <v/>
      </c>
      <c r="G924" s="30" t="str">
        <f>IF($B924="","",SUMIFS('Daily Issuance'!$G:$G,'Daily Issuance'!$C:$C,$B924,'Daily Issuance'!$E:$E,"Patty Cash"))</f>
        <v/>
      </c>
      <c r="H924" s="30" t="str">
        <f t="shared" si="43"/>
        <v/>
      </c>
      <c r="I924" s="33"/>
      <c r="J924" s="34" t="str">
        <f t="shared" si="44"/>
        <v/>
      </c>
    </row>
    <row r="925" spans="1:10" s="27" customFormat="1" ht="23.1" customHeight="1">
      <c r="A925" s="194" t="str">
        <f>IF($C925="","",MAX($A$3:A924)+1)</f>
        <v/>
      </c>
      <c r="B925" s="197" t="str">
        <f t="shared" si="42"/>
        <v/>
      </c>
      <c r="C925" s="201"/>
      <c r="D925" s="199"/>
      <c r="E925" s="200"/>
      <c r="F925" s="196" t="str">
        <f>IF($B925="","",SUMIFS('Daily Inward'!$G:$G,'Daily Inward'!$C:$C,$B925,'Daily Inward'!$E:$E,"Patty Cash"))</f>
        <v/>
      </c>
      <c r="G925" s="30" t="str">
        <f>IF($B925="","",SUMIFS('Daily Issuance'!$G:$G,'Daily Issuance'!$C:$C,$B925,'Daily Issuance'!$E:$E,"Patty Cash"))</f>
        <v/>
      </c>
      <c r="H925" s="30" t="str">
        <f t="shared" si="43"/>
        <v/>
      </c>
      <c r="I925" s="33"/>
      <c r="J925" s="34" t="str">
        <f t="shared" si="44"/>
        <v/>
      </c>
    </row>
    <row r="926" spans="1:10" s="27" customFormat="1" ht="23.1" customHeight="1">
      <c r="A926" s="194" t="str">
        <f>IF($C926="","",MAX($A$3:A925)+1)</f>
        <v/>
      </c>
      <c r="B926" s="197" t="str">
        <f t="shared" si="42"/>
        <v/>
      </c>
      <c r="C926" s="201"/>
      <c r="D926" s="199"/>
      <c r="E926" s="200"/>
      <c r="F926" s="196" t="str">
        <f>IF($B926="","",SUMIFS('Daily Inward'!$G:$G,'Daily Inward'!$C:$C,$B926,'Daily Inward'!$E:$E,"Patty Cash"))</f>
        <v/>
      </c>
      <c r="G926" s="30" t="str">
        <f>IF($B926="","",SUMIFS('Daily Issuance'!$G:$G,'Daily Issuance'!$C:$C,$B926,'Daily Issuance'!$E:$E,"Patty Cash"))</f>
        <v/>
      </c>
      <c r="H926" s="30" t="str">
        <f t="shared" si="43"/>
        <v/>
      </c>
      <c r="I926" s="33"/>
      <c r="J926" s="34" t="str">
        <f t="shared" si="44"/>
        <v/>
      </c>
    </row>
    <row r="927" spans="1:10" s="27" customFormat="1" ht="23.1" customHeight="1">
      <c r="A927" s="194" t="str">
        <f>IF($C927="","",MAX($A$3:A926)+1)</f>
        <v/>
      </c>
      <c r="B927" s="197" t="str">
        <f t="shared" si="42"/>
        <v/>
      </c>
      <c r="C927" s="201"/>
      <c r="D927" s="199"/>
      <c r="E927" s="200"/>
      <c r="F927" s="196" t="str">
        <f>IF($B927="","",SUMIFS('Daily Inward'!$G:$G,'Daily Inward'!$C:$C,$B927,'Daily Inward'!$E:$E,"Patty Cash"))</f>
        <v/>
      </c>
      <c r="G927" s="30" t="str">
        <f>IF($B927="","",SUMIFS('Daily Issuance'!$G:$G,'Daily Issuance'!$C:$C,$B927,'Daily Issuance'!$E:$E,"Patty Cash"))</f>
        <v/>
      </c>
      <c r="H927" s="30" t="str">
        <f t="shared" si="43"/>
        <v/>
      </c>
      <c r="I927" s="33"/>
      <c r="J927" s="34" t="str">
        <f t="shared" si="44"/>
        <v/>
      </c>
    </row>
    <row r="928" spans="1:10" s="27" customFormat="1" ht="23.1" customHeight="1">
      <c r="A928" s="194" t="str">
        <f>IF($C928="","",MAX($A$3:A927)+1)</f>
        <v/>
      </c>
      <c r="B928" s="197" t="str">
        <f t="shared" si="42"/>
        <v/>
      </c>
      <c r="C928" s="201"/>
      <c r="D928" s="199"/>
      <c r="E928" s="200"/>
      <c r="F928" s="196" t="str">
        <f>IF($B928="","",SUMIFS('Daily Inward'!$G:$G,'Daily Inward'!$C:$C,$B928,'Daily Inward'!$E:$E,"Patty Cash"))</f>
        <v/>
      </c>
      <c r="G928" s="30" t="str">
        <f>IF($B928="","",SUMIFS('Daily Issuance'!$G:$G,'Daily Issuance'!$C:$C,$B928,'Daily Issuance'!$E:$E,"Patty Cash"))</f>
        <v/>
      </c>
      <c r="H928" s="30" t="str">
        <f t="shared" si="43"/>
        <v/>
      </c>
      <c r="I928" s="33"/>
      <c r="J928" s="34" t="str">
        <f t="shared" si="44"/>
        <v/>
      </c>
    </row>
    <row r="929" spans="1:10" s="27" customFormat="1" ht="23.1" customHeight="1">
      <c r="A929" s="194" t="str">
        <f>IF($C929="","",MAX($A$3:A928)+1)</f>
        <v/>
      </c>
      <c r="B929" s="197" t="str">
        <f t="shared" si="42"/>
        <v/>
      </c>
      <c r="C929" s="201"/>
      <c r="D929" s="199"/>
      <c r="E929" s="200"/>
      <c r="F929" s="196" t="str">
        <f>IF($B929="","",SUMIFS('Daily Inward'!$G:$G,'Daily Inward'!$C:$C,$B929,'Daily Inward'!$E:$E,"Patty Cash"))</f>
        <v/>
      </c>
      <c r="G929" s="30" t="str">
        <f>IF($B929="","",SUMIFS('Daily Issuance'!$G:$G,'Daily Issuance'!$C:$C,$B929,'Daily Issuance'!$E:$E,"Patty Cash"))</f>
        <v/>
      </c>
      <c r="H929" s="30" t="str">
        <f t="shared" si="43"/>
        <v/>
      </c>
      <c r="I929" s="33"/>
      <c r="J929" s="34" t="str">
        <f t="shared" si="44"/>
        <v/>
      </c>
    </row>
    <row r="930" spans="1:10" s="27" customFormat="1" ht="23.1" customHeight="1">
      <c r="A930" s="194" t="str">
        <f>IF($C930="","",MAX($A$3:A929)+1)</f>
        <v/>
      </c>
      <c r="B930" s="197" t="str">
        <f t="shared" si="42"/>
        <v/>
      </c>
      <c r="C930" s="201"/>
      <c r="D930" s="199"/>
      <c r="E930" s="200"/>
      <c r="F930" s="196" t="str">
        <f>IF($B930="","",SUMIFS('Daily Inward'!$G:$G,'Daily Inward'!$C:$C,$B930,'Daily Inward'!$E:$E,"Patty Cash"))</f>
        <v/>
      </c>
      <c r="G930" s="30" t="str">
        <f>IF($B930="","",SUMIFS('Daily Issuance'!$G:$G,'Daily Issuance'!$C:$C,$B930,'Daily Issuance'!$E:$E,"Patty Cash"))</f>
        <v/>
      </c>
      <c r="H930" s="30" t="str">
        <f t="shared" si="43"/>
        <v/>
      </c>
      <c r="I930" s="33"/>
      <c r="J930" s="34" t="str">
        <f t="shared" si="44"/>
        <v/>
      </c>
    </row>
    <row r="931" spans="1:10" s="27" customFormat="1" ht="23.1" customHeight="1">
      <c r="A931" s="194" t="str">
        <f>IF($C931="","",MAX($A$3:A930)+1)</f>
        <v/>
      </c>
      <c r="B931" s="197" t="str">
        <f t="shared" si="42"/>
        <v/>
      </c>
      <c r="C931" s="201"/>
      <c r="D931" s="199"/>
      <c r="E931" s="200"/>
      <c r="F931" s="196" t="str">
        <f>IF($B931="","",SUMIFS('Daily Inward'!$G:$G,'Daily Inward'!$C:$C,$B931,'Daily Inward'!$E:$E,"Patty Cash"))</f>
        <v/>
      </c>
      <c r="G931" s="30" t="str">
        <f>IF($B931="","",SUMIFS('Daily Issuance'!$G:$G,'Daily Issuance'!$C:$C,$B931,'Daily Issuance'!$E:$E,"Patty Cash"))</f>
        <v/>
      </c>
      <c r="H931" s="30" t="str">
        <f t="shared" si="43"/>
        <v/>
      </c>
      <c r="I931" s="33"/>
      <c r="J931" s="34" t="str">
        <f t="shared" si="44"/>
        <v/>
      </c>
    </row>
    <row r="932" spans="1:10" s="27" customFormat="1" ht="23.1" customHeight="1">
      <c r="A932" s="194" t="str">
        <f>IF($C932="","",MAX($A$3:A931)+1)</f>
        <v/>
      </c>
      <c r="B932" s="197" t="str">
        <f t="shared" si="42"/>
        <v/>
      </c>
      <c r="C932" s="201"/>
      <c r="D932" s="199"/>
      <c r="E932" s="200"/>
      <c r="F932" s="196" t="str">
        <f>IF($B932="","",SUMIFS('Daily Inward'!$G:$G,'Daily Inward'!$C:$C,$B932,'Daily Inward'!$E:$E,"Patty Cash"))</f>
        <v/>
      </c>
      <c r="G932" s="30" t="str">
        <f>IF($B932="","",SUMIFS('Daily Issuance'!$G:$G,'Daily Issuance'!$C:$C,$B932,'Daily Issuance'!$E:$E,"Patty Cash"))</f>
        <v/>
      </c>
      <c r="H932" s="30" t="str">
        <f t="shared" si="43"/>
        <v/>
      </c>
      <c r="I932" s="33"/>
      <c r="J932" s="34" t="str">
        <f t="shared" si="44"/>
        <v/>
      </c>
    </row>
    <row r="933" spans="1:10" s="27" customFormat="1" ht="23.1" customHeight="1">
      <c r="A933" s="194" t="str">
        <f>IF($C933="","",MAX($A$3:A932)+1)</f>
        <v/>
      </c>
      <c r="B933" s="197" t="str">
        <f t="shared" si="42"/>
        <v/>
      </c>
      <c r="C933" s="201"/>
      <c r="D933" s="199"/>
      <c r="E933" s="200"/>
      <c r="F933" s="196" t="str">
        <f>IF($B933="","",SUMIFS('Daily Inward'!$G:$G,'Daily Inward'!$C:$C,$B933,'Daily Inward'!$E:$E,"Patty Cash"))</f>
        <v/>
      </c>
      <c r="G933" s="30" t="str">
        <f>IF($B933="","",SUMIFS('Daily Issuance'!$G:$G,'Daily Issuance'!$C:$C,$B933,'Daily Issuance'!$E:$E,"Patty Cash"))</f>
        <v/>
      </c>
      <c r="H933" s="30" t="str">
        <f t="shared" si="43"/>
        <v/>
      </c>
      <c r="I933" s="33"/>
      <c r="J933" s="34" t="str">
        <f t="shared" si="44"/>
        <v/>
      </c>
    </row>
    <row r="934" spans="1:10" s="27" customFormat="1" ht="23.1" customHeight="1">
      <c r="A934" s="194" t="str">
        <f>IF($C934="","",MAX($A$3:A933)+1)</f>
        <v/>
      </c>
      <c r="B934" s="197" t="str">
        <f t="shared" si="42"/>
        <v/>
      </c>
      <c r="C934" s="201"/>
      <c r="D934" s="199"/>
      <c r="E934" s="200"/>
      <c r="F934" s="196" t="str">
        <f>IF($B934="","",SUMIFS('Daily Inward'!$G:$G,'Daily Inward'!$C:$C,$B934,'Daily Inward'!$E:$E,"Patty Cash"))</f>
        <v/>
      </c>
      <c r="G934" s="30" t="str">
        <f>IF($B934="","",SUMIFS('Daily Issuance'!$G:$G,'Daily Issuance'!$C:$C,$B934,'Daily Issuance'!$E:$E,"Patty Cash"))</f>
        <v/>
      </c>
      <c r="H934" s="30" t="str">
        <f t="shared" si="43"/>
        <v/>
      </c>
      <c r="I934" s="33"/>
      <c r="J934" s="34" t="str">
        <f t="shared" si="44"/>
        <v/>
      </c>
    </row>
    <row r="935" spans="1:10" s="27" customFormat="1" ht="23.1" customHeight="1">
      <c r="A935" s="194" t="str">
        <f>IF($C935="","",MAX($A$3:A934)+1)</f>
        <v/>
      </c>
      <c r="B935" s="197" t="str">
        <f t="shared" si="42"/>
        <v/>
      </c>
      <c r="C935" s="201"/>
      <c r="D935" s="199"/>
      <c r="E935" s="200"/>
      <c r="F935" s="196" t="str">
        <f>IF($B935="","",SUMIFS('Daily Inward'!$G:$G,'Daily Inward'!$C:$C,$B935,'Daily Inward'!$E:$E,"Patty Cash"))</f>
        <v/>
      </c>
      <c r="G935" s="30" t="str">
        <f>IF($B935="","",SUMIFS('Daily Issuance'!$G:$G,'Daily Issuance'!$C:$C,$B935,'Daily Issuance'!$E:$E,"Patty Cash"))</f>
        <v/>
      </c>
      <c r="H935" s="30" t="str">
        <f t="shared" si="43"/>
        <v/>
      </c>
      <c r="I935" s="33"/>
      <c r="J935" s="34" t="str">
        <f t="shared" si="44"/>
        <v/>
      </c>
    </row>
    <row r="936" spans="1:10" s="27" customFormat="1" ht="23.1" customHeight="1">
      <c r="A936" s="194" t="str">
        <f>IF($C936="","",MAX($A$3:A935)+1)</f>
        <v/>
      </c>
      <c r="B936" s="197" t="str">
        <f t="shared" si="42"/>
        <v/>
      </c>
      <c r="C936" s="201"/>
      <c r="D936" s="199"/>
      <c r="E936" s="200"/>
      <c r="F936" s="196" t="str">
        <f>IF($B936="","",SUMIFS('Daily Inward'!$G:$G,'Daily Inward'!$C:$C,$B936,'Daily Inward'!$E:$E,"Patty Cash"))</f>
        <v/>
      </c>
      <c r="G936" s="30" t="str">
        <f>IF($B936="","",SUMIFS('Daily Issuance'!$G:$G,'Daily Issuance'!$C:$C,$B936,'Daily Issuance'!$E:$E,"Patty Cash"))</f>
        <v/>
      </c>
      <c r="H936" s="30" t="str">
        <f t="shared" si="43"/>
        <v/>
      </c>
      <c r="I936" s="33"/>
      <c r="J936" s="34" t="str">
        <f t="shared" si="44"/>
        <v/>
      </c>
    </row>
    <row r="937" spans="1:10" s="27" customFormat="1" ht="23.1" customHeight="1">
      <c r="A937" s="194" t="str">
        <f>IF($C937="","",MAX($A$3:A936)+1)</f>
        <v/>
      </c>
      <c r="B937" s="197" t="str">
        <f t="shared" si="42"/>
        <v/>
      </c>
      <c r="C937" s="201"/>
      <c r="D937" s="199"/>
      <c r="E937" s="200"/>
      <c r="F937" s="196" t="str">
        <f>IF($B937="","",SUMIFS('Daily Inward'!$G:$G,'Daily Inward'!$C:$C,$B937,'Daily Inward'!$E:$E,"Patty Cash"))</f>
        <v/>
      </c>
      <c r="G937" s="30" t="str">
        <f>IF($B937="","",SUMIFS('Daily Issuance'!$G:$G,'Daily Issuance'!$C:$C,$B937,'Daily Issuance'!$E:$E,"Patty Cash"))</f>
        <v/>
      </c>
      <c r="H937" s="30" t="str">
        <f t="shared" si="43"/>
        <v/>
      </c>
      <c r="I937" s="33"/>
      <c r="J937" s="34" t="str">
        <f t="shared" si="44"/>
        <v/>
      </c>
    </row>
    <row r="938" spans="1:10" s="27" customFormat="1" ht="23.1" customHeight="1">
      <c r="A938" s="194" t="str">
        <f>IF($C938="","",MAX($A$3:A937)+1)</f>
        <v/>
      </c>
      <c r="B938" s="197" t="str">
        <f t="shared" si="42"/>
        <v/>
      </c>
      <c r="C938" s="201"/>
      <c r="D938" s="199"/>
      <c r="E938" s="200"/>
      <c r="F938" s="196" t="str">
        <f>IF($B938="","",SUMIFS('Daily Inward'!$G:$G,'Daily Inward'!$C:$C,$B938,'Daily Inward'!$E:$E,"Patty Cash"))</f>
        <v/>
      </c>
      <c r="G938" s="30" t="str">
        <f>IF($B938="","",SUMIFS('Daily Issuance'!$G:$G,'Daily Issuance'!$C:$C,$B938,'Daily Issuance'!$E:$E,"Patty Cash"))</f>
        <v/>
      </c>
      <c r="H938" s="30" t="str">
        <f t="shared" si="43"/>
        <v/>
      </c>
      <c r="I938" s="33"/>
      <c r="J938" s="34" t="str">
        <f t="shared" si="44"/>
        <v/>
      </c>
    </row>
    <row r="939" spans="1:10" s="27" customFormat="1" ht="23.1" customHeight="1">
      <c r="A939" s="194" t="str">
        <f>IF($C939="","",MAX($A$3:A938)+1)</f>
        <v/>
      </c>
      <c r="B939" s="197" t="str">
        <f t="shared" si="42"/>
        <v/>
      </c>
      <c r="C939" s="201"/>
      <c r="D939" s="199"/>
      <c r="E939" s="200"/>
      <c r="F939" s="196" t="str">
        <f>IF($B939="","",SUMIFS('Daily Inward'!$G:$G,'Daily Inward'!$C:$C,$B939,'Daily Inward'!$E:$E,"Patty Cash"))</f>
        <v/>
      </c>
      <c r="G939" s="30" t="str">
        <f>IF($B939="","",SUMIFS('Daily Issuance'!$G:$G,'Daily Issuance'!$C:$C,$B939,'Daily Issuance'!$E:$E,"Patty Cash"))</f>
        <v/>
      </c>
      <c r="H939" s="30" t="str">
        <f t="shared" si="43"/>
        <v/>
      </c>
      <c r="I939" s="33"/>
      <c r="J939" s="34" t="str">
        <f t="shared" si="44"/>
        <v/>
      </c>
    </row>
    <row r="940" spans="1:10" s="27" customFormat="1" ht="23.1" customHeight="1">
      <c r="A940" s="194" t="str">
        <f>IF($C940="","",MAX($A$3:A939)+1)</f>
        <v/>
      </c>
      <c r="B940" s="197" t="str">
        <f t="shared" si="42"/>
        <v/>
      </c>
      <c r="C940" s="201"/>
      <c r="D940" s="199"/>
      <c r="E940" s="200"/>
      <c r="F940" s="196" t="str">
        <f>IF($B940="","",SUMIFS('Daily Inward'!$G:$G,'Daily Inward'!$C:$C,$B940,'Daily Inward'!$E:$E,"Patty Cash"))</f>
        <v/>
      </c>
      <c r="G940" s="30" t="str">
        <f>IF($B940="","",SUMIFS('Daily Issuance'!$G:$G,'Daily Issuance'!$C:$C,$B940,'Daily Issuance'!$E:$E,"Patty Cash"))</f>
        <v/>
      </c>
      <c r="H940" s="30" t="str">
        <f t="shared" si="43"/>
        <v/>
      </c>
      <c r="I940" s="33"/>
      <c r="J940" s="34" t="str">
        <f t="shared" si="44"/>
        <v/>
      </c>
    </row>
    <row r="941" spans="1:10" s="27" customFormat="1" ht="23.1" customHeight="1">
      <c r="A941" s="194" t="str">
        <f>IF($C941="","",MAX($A$3:A940)+1)</f>
        <v/>
      </c>
      <c r="B941" s="197" t="str">
        <f t="shared" si="42"/>
        <v/>
      </c>
      <c r="C941" s="201"/>
      <c r="D941" s="199"/>
      <c r="E941" s="200"/>
      <c r="F941" s="196" t="str">
        <f>IF($B941="","",SUMIFS('Daily Inward'!$G:$G,'Daily Inward'!$C:$C,$B941,'Daily Inward'!$E:$E,"Patty Cash"))</f>
        <v/>
      </c>
      <c r="G941" s="30" t="str">
        <f>IF($B941="","",SUMIFS('Daily Issuance'!$G:$G,'Daily Issuance'!$C:$C,$B941,'Daily Issuance'!$E:$E,"Patty Cash"))</f>
        <v/>
      </c>
      <c r="H941" s="30" t="str">
        <f t="shared" si="43"/>
        <v/>
      </c>
      <c r="I941" s="33"/>
      <c r="J941" s="34" t="str">
        <f t="shared" si="44"/>
        <v/>
      </c>
    </row>
    <row r="942" spans="1:10" s="27" customFormat="1" ht="23.1" customHeight="1">
      <c r="A942" s="194" t="str">
        <f>IF($C942="","",MAX($A$3:A941)+1)</f>
        <v/>
      </c>
      <c r="B942" s="197" t="str">
        <f t="shared" si="42"/>
        <v/>
      </c>
      <c r="C942" s="201"/>
      <c r="D942" s="199"/>
      <c r="E942" s="200"/>
      <c r="F942" s="196" t="str">
        <f>IF($B942="","",SUMIFS('Daily Inward'!$G:$G,'Daily Inward'!$C:$C,$B942,'Daily Inward'!$E:$E,"Patty Cash"))</f>
        <v/>
      </c>
      <c r="G942" s="30" t="str">
        <f>IF($B942="","",SUMIFS('Daily Issuance'!$G:$G,'Daily Issuance'!$C:$C,$B942,'Daily Issuance'!$E:$E,"Patty Cash"))</f>
        <v/>
      </c>
      <c r="H942" s="30" t="str">
        <f t="shared" si="43"/>
        <v/>
      </c>
      <c r="I942" s="33"/>
      <c r="J942" s="34" t="str">
        <f t="shared" si="44"/>
        <v/>
      </c>
    </row>
    <row r="943" spans="1:10" s="27" customFormat="1" ht="23.1" customHeight="1">
      <c r="A943" s="194" t="str">
        <f>IF($C943="","",MAX($A$3:A942)+1)</f>
        <v/>
      </c>
      <c r="B943" s="197" t="str">
        <f t="shared" si="42"/>
        <v/>
      </c>
      <c r="C943" s="201"/>
      <c r="D943" s="199"/>
      <c r="E943" s="200"/>
      <c r="F943" s="196" t="str">
        <f>IF($B943="","",SUMIFS('Daily Inward'!$G:$G,'Daily Inward'!$C:$C,$B943,'Daily Inward'!$E:$E,"Patty Cash"))</f>
        <v/>
      </c>
      <c r="G943" s="30" t="str">
        <f>IF($B943="","",SUMIFS('Daily Issuance'!$G:$G,'Daily Issuance'!$C:$C,$B943,'Daily Issuance'!$E:$E,"Patty Cash"))</f>
        <v/>
      </c>
      <c r="H943" s="30" t="str">
        <f t="shared" si="43"/>
        <v/>
      </c>
      <c r="I943" s="33"/>
      <c r="J943" s="34" t="str">
        <f t="shared" si="44"/>
        <v/>
      </c>
    </row>
    <row r="944" spans="1:10" s="27" customFormat="1" ht="23.1" customHeight="1">
      <c r="A944" s="194" t="str">
        <f>IF($C944="","",MAX($A$3:A943)+1)</f>
        <v/>
      </c>
      <c r="B944" s="197" t="str">
        <f t="shared" si="42"/>
        <v/>
      </c>
      <c r="C944" s="201"/>
      <c r="D944" s="199"/>
      <c r="E944" s="200"/>
      <c r="F944" s="196" t="str">
        <f>IF($B944="","",SUMIFS('Daily Inward'!$G:$G,'Daily Inward'!$C:$C,$B944,'Daily Inward'!$E:$E,"Patty Cash"))</f>
        <v/>
      </c>
      <c r="G944" s="30" t="str">
        <f>IF($B944="","",SUMIFS('Daily Issuance'!$G:$G,'Daily Issuance'!$C:$C,$B944,'Daily Issuance'!$E:$E,"Patty Cash"))</f>
        <v/>
      </c>
      <c r="H944" s="30" t="str">
        <f t="shared" si="43"/>
        <v/>
      </c>
      <c r="I944" s="33"/>
      <c r="J944" s="34" t="str">
        <f t="shared" si="44"/>
        <v/>
      </c>
    </row>
    <row r="945" spans="1:10" s="27" customFormat="1" ht="23.1" customHeight="1">
      <c r="A945" s="194" t="str">
        <f>IF($C945="","",MAX($A$3:A944)+1)</f>
        <v/>
      </c>
      <c r="B945" s="197" t="str">
        <f t="shared" si="42"/>
        <v/>
      </c>
      <c r="C945" s="201"/>
      <c r="D945" s="199"/>
      <c r="E945" s="200"/>
      <c r="F945" s="196" t="str">
        <f>IF($B945="","",SUMIFS('Daily Inward'!$G:$G,'Daily Inward'!$C:$C,$B945,'Daily Inward'!$E:$E,"Patty Cash"))</f>
        <v/>
      </c>
      <c r="G945" s="30" t="str">
        <f>IF($B945="","",SUMIFS('Daily Issuance'!$G:$G,'Daily Issuance'!$C:$C,$B945,'Daily Issuance'!$E:$E,"Patty Cash"))</f>
        <v/>
      </c>
      <c r="H945" s="30" t="str">
        <f t="shared" si="43"/>
        <v/>
      </c>
      <c r="I945" s="33"/>
      <c r="J945" s="34" t="str">
        <f t="shared" si="44"/>
        <v/>
      </c>
    </row>
    <row r="946" spans="1:10" s="27" customFormat="1" ht="23.1" customHeight="1">
      <c r="A946" s="194" t="str">
        <f>IF($C946="","",MAX($A$3:A945)+1)</f>
        <v/>
      </c>
      <c r="B946" s="197" t="str">
        <f t="shared" si="42"/>
        <v/>
      </c>
      <c r="C946" s="201"/>
      <c r="D946" s="199"/>
      <c r="E946" s="200"/>
      <c r="F946" s="196" t="str">
        <f>IF($B946="","",SUMIFS('Daily Inward'!$G:$G,'Daily Inward'!$C:$C,$B946,'Daily Inward'!$E:$E,"Patty Cash"))</f>
        <v/>
      </c>
      <c r="G946" s="30" t="str">
        <f>IF($B946="","",SUMIFS('Daily Issuance'!$G:$G,'Daily Issuance'!$C:$C,$B946,'Daily Issuance'!$E:$E,"Patty Cash"))</f>
        <v/>
      </c>
      <c r="H946" s="30" t="str">
        <f t="shared" si="43"/>
        <v/>
      </c>
      <c r="I946" s="33"/>
      <c r="J946" s="34" t="str">
        <f t="shared" si="44"/>
        <v/>
      </c>
    </row>
    <row r="947" spans="1:10" s="27" customFormat="1" ht="23.1" customHeight="1">
      <c r="A947" s="194" t="str">
        <f>IF($C947="","",MAX($A$3:A946)+1)</f>
        <v/>
      </c>
      <c r="B947" s="197" t="str">
        <f t="shared" si="42"/>
        <v/>
      </c>
      <c r="C947" s="201"/>
      <c r="D947" s="199"/>
      <c r="E947" s="200"/>
      <c r="F947" s="196" t="str">
        <f>IF($B947="","",SUMIFS('Daily Inward'!$G:$G,'Daily Inward'!$C:$C,$B947,'Daily Inward'!$E:$E,"Patty Cash"))</f>
        <v/>
      </c>
      <c r="G947" s="30" t="str">
        <f>IF($B947="","",SUMIFS('Daily Issuance'!$G:$G,'Daily Issuance'!$C:$C,$B947,'Daily Issuance'!$E:$E,"Patty Cash"))</f>
        <v/>
      </c>
      <c r="H947" s="30" t="str">
        <f t="shared" si="43"/>
        <v/>
      </c>
      <c r="I947" s="33"/>
      <c r="J947" s="34" t="str">
        <f t="shared" si="44"/>
        <v/>
      </c>
    </row>
    <row r="948" spans="1:10" s="27" customFormat="1" ht="23.1" customHeight="1">
      <c r="A948" s="194" t="str">
        <f>IF($C948="","",MAX($A$3:A947)+1)</f>
        <v/>
      </c>
      <c r="B948" s="197" t="str">
        <f t="shared" si="42"/>
        <v/>
      </c>
      <c r="C948" s="201"/>
      <c r="D948" s="199"/>
      <c r="E948" s="200"/>
      <c r="F948" s="196" t="str">
        <f>IF($B948="","",SUMIFS('Daily Inward'!$G:$G,'Daily Inward'!$C:$C,$B948,'Daily Inward'!$E:$E,"Patty Cash"))</f>
        <v/>
      </c>
      <c r="G948" s="30" t="str">
        <f>IF($B948="","",SUMIFS('Daily Issuance'!$G:$G,'Daily Issuance'!$C:$C,$B948,'Daily Issuance'!$E:$E,"Patty Cash"))</f>
        <v/>
      </c>
      <c r="H948" s="30" t="str">
        <f t="shared" si="43"/>
        <v/>
      </c>
      <c r="I948" s="33"/>
      <c r="J948" s="34" t="str">
        <f t="shared" si="44"/>
        <v/>
      </c>
    </row>
    <row r="949" spans="1:10" s="27" customFormat="1" ht="23.1" customHeight="1">
      <c r="A949" s="194" t="str">
        <f>IF($C949="","",MAX($A$3:A948)+1)</f>
        <v/>
      </c>
      <c r="B949" s="197" t="str">
        <f t="shared" si="42"/>
        <v/>
      </c>
      <c r="C949" s="201"/>
      <c r="D949" s="199"/>
      <c r="E949" s="200"/>
      <c r="F949" s="196" t="str">
        <f>IF($B949="","",SUMIFS('Daily Inward'!$G:$G,'Daily Inward'!$C:$C,$B949,'Daily Inward'!$E:$E,"Patty Cash"))</f>
        <v/>
      </c>
      <c r="G949" s="30" t="str">
        <f>IF($B949="","",SUMIFS('Daily Issuance'!$G:$G,'Daily Issuance'!$C:$C,$B949,'Daily Issuance'!$E:$E,"Patty Cash"))</f>
        <v/>
      </c>
      <c r="H949" s="30" t="str">
        <f t="shared" si="43"/>
        <v/>
      </c>
      <c r="I949" s="33"/>
      <c r="J949" s="34" t="str">
        <f t="shared" si="44"/>
        <v/>
      </c>
    </row>
    <row r="950" spans="1:10" s="27" customFormat="1" ht="23.1" customHeight="1">
      <c r="A950" s="194" t="str">
        <f>IF($C950="","",MAX($A$3:A949)+1)</f>
        <v/>
      </c>
      <c r="B950" s="197" t="str">
        <f t="shared" si="42"/>
        <v/>
      </c>
      <c r="C950" s="201"/>
      <c r="D950" s="199"/>
      <c r="E950" s="200"/>
      <c r="F950" s="196" t="str">
        <f>IF($B950="","",SUMIFS('Daily Inward'!$G:$G,'Daily Inward'!$C:$C,$B950,'Daily Inward'!$E:$E,"Patty Cash"))</f>
        <v/>
      </c>
      <c r="G950" s="30" t="str">
        <f>IF($B950="","",SUMIFS('Daily Issuance'!$G:$G,'Daily Issuance'!$C:$C,$B950,'Daily Issuance'!$E:$E,"Patty Cash"))</f>
        <v/>
      </c>
      <c r="H950" s="30" t="str">
        <f t="shared" si="43"/>
        <v/>
      </c>
      <c r="I950" s="33"/>
      <c r="J950" s="34" t="str">
        <f t="shared" si="44"/>
        <v/>
      </c>
    </row>
    <row r="951" spans="1:10" s="27" customFormat="1" ht="23.1" customHeight="1">
      <c r="A951" s="194" t="str">
        <f>IF($C951="","",MAX($A$3:A950)+1)</f>
        <v/>
      </c>
      <c r="B951" s="197" t="str">
        <f t="shared" si="42"/>
        <v/>
      </c>
      <c r="C951" s="201"/>
      <c r="D951" s="199"/>
      <c r="E951" s="200"/>
      <c r="F951" s="196" t="str">
        <f>IF($B951="","",SUMIFS('Daily Inward'!$G:$G,'Daily Inward'!$C:$C,$B951,'Daily Inward'!$E:$E,"Patty Cash"))</f>
        <v/>
      </c>
      <c r="G951" s="30" t="str">
        <f>IF($B951="","",SUMIFS('Daily Issuance'!$G:$G,'Daily Issuance'!$C:$C,$B951,'Daily Issuance'!$E:$E,"Patty Cash"))</f>
        <v/>
      </c>
      <c r="H951" s="30" t="str">
        <f t="shared" si="43"/>
        <v/>
      </c>
      <c r="I951" s="33"/>
      <c r="J951" s="34" t="str">
        <f t="shared" si="44"/>
        <v/>
      </c>
    </row>
    <row r="952" spans="1:10" s="27" customFormat="1" ht="23.1" customHeight="1">
      <c r="A952" s="194" t="str">
        <f>IF($C952="","",MAX($A$3:A951)+1)</f>
        <v/>
      </c>
      <c r="B952" s="197" t="str">
        <f t="shared" si="42"/>
        <v/>
      </c>
      <c r="C952" s="201"/>
      <c r="D952" s="199"/>
      <c r="E952" s="200"/>
      <c r="F952" s="196" t="str">
        <f>IF($B952="","",SUMIFS('Daily Inward'!$G:$G,'Daily Inward'!$C:$C,$B952,'Daily Inward'!$E:$E,"Patty Cash"))</f>
        <v/>
      </c>
      <c r="G952" s="30" t="str">
        <f>IF($B952="","",SUMIFS('Daily Issuance'!$G:$G,'Daily Issuance'!$C:$C,$B952,'Daily Issuance'!$E:$E,"Patty Cash"))</f>
        <v/>
      </c>
      <c r="H952" s="30" t="str">
        <f t="shared" si="43"/>
        <v/>
      </c>
      <c r="I952" s="33"/>
      <c r="J952" s="34" t="str">
        <f t="shared" si="44"/>
        <v/>
      </c>
    </row>
    <row r="953" spans="1:10" s="27" customFormat="1" ht="23.1" customHeight="1">
      <c r="A953" s="194" t="str">
        <f>IF($C953="","",MAX($A$3:A952)+1)</f>
        <v/>
      </c>
      <c r="B953" s="197" t="str">
        <f t="shared" si="42"/>
        <v/>
      </c>
      <c r="C953" s="201"/>
      <c r="D953" s="199"/>
      <c r="E953" s="200"/>
      <c r="F953" s="196" t="str">
        <f>IF($B953="","",SUMIFS('Daily Inward'!$G:$G,'Daily Inward'!$C:$C,$B953,'Daily Inward'!$E:$E,"Patty Cash"))</f>
        <v/>
      </c>
      <c r="G953" s="30" t="str">
        <f>IF($B953="","",SUMIFS('Daily Issuance'!$G:$G,'Daily Issuance'!$C:$C,$B953,'Daily Issuance'!$E:$E,"Patty Cash"))</f>
        <v/>
      </c>
      <c r="H953" s="30" t="str">
        <f t="shared" si="43"/>
        <v/>
      </c>
      <c r="I953" s="33"/>
      <c r="J953" s="34" t="str">
        <f t="shared" si="44"/>
        <v/>
      </c>
    </row>
    <row r="954" spans="1:10" s="27" customFormat="1" ht="23.1" customHeight="1">
      <c r="A954" s="194" t="str">
        <f>IF($C954="","",MAX($A$3:A953)+1)</f>
        <v/>
      </c>
      <c r="B954" s="197" t="str">
        <f t="shared" si="42"/>
        <v/>
      </c>
      <c r="C954" s="201"/>
      <c r="D954" s="199"/>
      <c r="E954" s="200"/>
      <c r="F954" s="196" t="str">
        <f>IF($B954="","",SUMIFS('Daily Inward'!$G:$G,'Daily Inward'!$C:$C,$B954,'Daily Inward'!$E:$E,"Patty Cash"))</f>
        <v/>
      </c>
      <c r="G954" s="30" t="str">
        <f>IF($B954="","",SUMIFS('Daily Issuance'!$G:$G,'Daily Issuance'!$C:$C,$B954,'Daily Issuance'!$E:$E,"Patty Cash"))</f>
        <v/>
      </c>
      <c r="H954" s="30" t="str">
        <f t="shared" si="43"/>
        <v/>
      </c>
      <c r="I954" s="33"/>
      <c r="J954" s="34" t="str">
        <f t="shared" si="44"/>
        <v/>
      </c>
    </row>
    <row r="955" spans="1:10" s="27" customFormat="1" ht="23.1" customHeight="1">
      <c r="A955" s="194" t="str">
        <f>IF($C955="","",MAX($A$3:A954)+1)</f>
        <v/>
      </c>
      <c r="B955" s="197" t="str">
        <f t="shared" si="42"/>
        <v/>
      </c>
      <c r="C955" s="201"/>
      <c r="D955" s="199"/>
      <c r="E955" s="200"/>
      <c r="F955" s="196" t="str">
        <f>IF($B955="","",SUMIFS('Daily Inward'!$G:$G,'Daily Inward'!$C:$C,$B955,'Daily Inward'!$E:$E,"Patty Cash"))</f>
        <v/>
      </c>
      <c r="G955" s="30" t="str">
        <f>IF($B955="","",SUMIFS('Daily Issuance'!$G:$G,'Daily Issuance'!$C:$C,$B955,'Daily Issuance'!$E:$E,"Patty Cash"))</f>
        <v/>
      </c>
      <c r="H955" s="30" t="str">
        <f t="shared" si="43"/>
        <v/>
      </c>
      <c r="I955" s="33"/>
      <c r="J955" s="34" t="str">
        <f t="shared" si="44"/>
        <v/>
      </c>
    </row>
    <row r="956" spans="1:10" s="27" customFormat="1" ht="23.1" customHeight="1">
      <c r="A956" s="194" t="str">
        <f>IF($C956="","",MAX($A$3:A955)+1)</f>
        <v/>
      </c>
      <c r="B956" s="197" t="str">
        <f t="shared" si="42"/>
        <v/>
      </c>
      <c r="C956" s="201"/>
      <c r="D956" s="199"/>
      <c r="E956" s="200"/>
      <c r="F956" s="196" t="str">
        <f>IF($B956="","",SUMIFS('Daily Inward'!$G:$G,'Daily Inward'!$C:$C,$B956,'Daily Inward'!$E:$E,"Patty Cash"))</f>
        <v/>
      </c>
      <c r="G956" s="30" t="str">
        <f>IF($B956="","",SUMIFS('Daily Issuance'!$G:$G,'Daily Issuance'!$C:$C,$B956,'Daily Issuance'!$E:$E,"Patty Cash"))</f>
        <v/>
      </c>
      <c r="H956" s="30" t="str">
        <f t="shared" si="43"/>
        <v/>
      </c>
      <c r="I956" s="33"/>
      <c r="J956" s="34" t="str">
        <f t="shared" si="44"/>
        <v/>
      </c>
    </row>
    <row r="957" spans="1:10" s="27" customFormat="1" ht="23.1" customHeight="1">
      <c r="A957" s="194" t="str">
        <f>IF($C957="","",MAX($A$3:A956)+1)</f>
        <v/>
      </c>
      <c r="B957" s="197" t="str">
        <f t="shared" si="42"/>
        <v/>
      </c>
      <c r="C957" s="201"/>
      <c r="D957" s="199"/>
      <c r="E957" s="200"/>
      <c r="F957" s="196" t="str">
        <f>IF($B957="","",SUMIFS('Daily Inward'!$G:$G,'Daily Inward'!$C:$C,$B957,'Daily Inward'!$E:$E,"Patty Cash"))</f>
        <v/>
      </c>
      <c r="G957" s="30" t="str">
        <f>IF($B957="","",SUMIFS('Daily Issuance'!$G:$G,'Daily Issuance'!$C:$C,$B957,'Daily Issuance'!$E:$E,"Patty Cash"))</f>
        <v/>
      </c>
      <c r="H957" s="30" t="str">
        <f t="shared" si="43"/>
        <v/>
      </c>
      <c r="I957" s="33"/>
      <c r="J957" s="34" t="str">
        <f t="shared" si="44"/>
        <v/>
      </c>
    </row>
    <row r="958" spans="1:10" s="27" customFormat="1" ht="23.1" customHeight="1">
      <c r="A958" s="194" t="str">
        <f>IF($C958="","",MAX($A$3:A957)+1)</f>
        <v/>
      </c>
      <c r="B958" s="197" t="str">
        <f t="shared" si="42"/>
        <v/>
      </c>
      <c r="C958" s="201"/>
      <c r="D958" s="199"/>
      <c r="E958" s="200"/>
      <c r="F958" s="196" t="str">
        <f>IF($B958="","",SUMIFS('Daily Inward'!$G:$G,'Daily Inward'!$C:$C,$B958,'Daily Inward'!$E:$E,"Patty Cash"))</f>
        <v/>
      </c>
      <c r="G958" s="30" t="str">
        <f>IF($B958="","",SUMIFS('Daily Issuance'!$G:$G,'Daily Issuance'!$C:$C,$B958,'Daily Issuance'!$E:$E,"Patty Cash"))</f>
        <v/>
      </c>
      <c r="H958" s="30" t="str">
        <f t="shared" si="43"/>
        <v/>
      </c>
      <c r="I958" s="33"/>
      <c r="J958" s="34" t="str">
        <f t="shared" si="44"/>
        <v/>
      </c>
    </row>
    <row r="959" spans="1:10" s="27" customFormat="1" ht="23.1" customHeight="1">
      <c r="A959" s="194" t="str">
        <f>IF($C959="","",MAX($A$3:A958)+1)</f>
        <v/>
      </c>
      <c r="B959" s="197" t="str">
        <f t="shared" si="42"/>
        <v/>
      </c>
      <c r="C959" s="201"/>
      <c r="D959" s="199"/>
      <c r="E959" s="200"/>
      <c r="F959" s="196" t="str">
        <f>IF($B959="","",SUMIFS('Daily Inward'!$G:$G,'Daily Inward'!$C:$C,$B959,'Daily Inward'!$E:$E,"Patty Cash"))</f>
        <v/>
      </c>
      <c r="G959" s="30" t="str">
        <f>IF($B959="","",SUMIFS('Daily Issuance'!$G:$G,'Daily Issuance'!$C:$C,$B959,'Daily Issuance'!$E:$E,"Patty Cash"))</f>
        <v/>
      </c>
      <c r="H959" s="30" t="str">
        <f t="shared" si="43"/>
        <v/>
      </c>
      <c r="I959" s="33"/>
      <c r="J959" s="34" t="str">
        <f t="shared" si="44"/>
        <v/>
      </c>
    </row>
    <row r="960" spans="1:10" s="27" customFormat="1" ht="23.1" customHeight="1">
      <c r="A960" s="194" t="str">
        <f>IF($C960="","",MAX($A$3:A959)+1)</f>
        <v/>
      </c>
      <c r="B960" s="197" t="str">
        <f t="shared" si="42"/>
        <v/>
      </c>
      <c r="C960" s="201"/>
      <c r="D960" s="199"/>
      <c r="E960" s="200"/>
      <c r="F960" s="196" t="str">
        <f>IF($B960="","",SUMIFS('Daily Inward'!$G:$G,'Daily Inward'!$C:$C,$B960,'Daily Inward'!$E:$E,"Patty Cash"))</f>
        <v/>
      </c>
      <c r="G960" s="30" t="str">
        <f>IF($B960="","",SUMIFS('Daily Issuance'!$G:$G,'Daily Issuance'!$C:$C,$B960,'Daily Issuance'!$E:$E,"Patty Cash"))</f>
        <v/>
      </c>
      <c r="H960" s="30" t="str">
        <f t="shared" si="43"/>
        <v/>
      </c>
      <c r="I960" s="33"/>
      <c r="J960" s="34" t="str">
        <f t="shared" si="44"/>
        <v/>
      </c>
    </row>
    <row r="961" spans="1:10" s="27" customFormat="1" ht="23.1" customHeight="1">
      <c r="A961" s="194" t="str">
        <f>IF($C961="","",MAX($A$3:A960)+1)</f>
        <v/>
      </c>
      <c r="B961" s="197" t="str">
        <f t="shared" si="42"/>
        <v/>
      </c>
      <c r="C961" s="201"/>
      <c r="D961" s="199"/>
      <c r="E961" s="200"/>
      <c r="F961" s="196" t="str">
        <f>IF($B961="","",SUMIFS('Daily Inward'!$G:$G,'Daily Inward'!$C:$C,$B961,'Daily Inward'!$E:$E,"Patty Cash"))</f>
        <v/>
      </c>
      <c r="G961" s="30" t="str">
        <f>IF($B961="","",SUMIFS('Daily Issuance'!$G:$G,'Daily Issuance'!$C:$C,$B961,'Daily Issuance'!$E:$E,"Patty Cash"))</f>
        <v/>
      </c>
      <c r="H961" s="30" t="str">
        <f t="shared" si="43"/>
        <v/>
      </c>
      <c r="I961" s="33"/>
      <c r="J961" s="34" t="str">
        <f t="shared" si="44"/>
        <v/>
      </c>
    </row>
    <row r="962" spans="1:10" s="27" customFormat="1" ht="23.1" customHeight="1">
      <c r="A962" s="194" t="str">
        <f>IF($C962="","",MAX($A$3:A961)+1)</f>
        <v/>
      </c>
      <c r="B962" s="197" t="str">
        <f t="shared" si="42"/>
        <v/>
      </c>
      <c r="C962" s="201"/>
      <c r="D962" s="199"/>
      <c r="E962" s="200"/>
      <c r="F962" s="196" t="str">
        <f>IF($B962="","",SUMIFS('Daily Inward'!$G:$G,'Daily Inward'!$C:$C,$B962,'Daily Inward'!$E:$E,"Patty Cash"))</f>
        <v/>
      </c>
      <c r="G962" s="30" t="str">
        <f>IF($B962="","",SUMIFS('Daily Issuance'!$G:$G,'Daily Issuance'!$C:$C,$B962,'Daily Issuance'!$E:$E,"Patty Cash"))</f>
        <v/>
      </c>
      <c r="H962" s="30" t="str">
        <f t="shared" si="43"/>
        <v/>
      </c>
      <c r="I962" s="33"/>
      <c r="J962" s="34" t="str">
        <f t="shared" si="44"/>
        <v/>
      </c>
    </row>
    <row r="963" spans="1:10" s="27" customFormat="1" ht="23.1" customHeight="1">
      <c r="A963" s="194" t="str">
        <f>IF($C963="","",MAX($A$3:A962)+1)</f>
        <v/>
      </c>
      <c r="B963" s="197" t="str">
        <f t="shared" si="42"/>
        <v/>
      </c>
      <c r="C963" s="201"/>
      <c r="D963" s="199"/>
      <c r="E963" s="200"/>
      <c r="F963" s="196" t="str">
        <f>IF($B963="","",SUMIFS('Daily Inward'!$G:$G,'Daily Inward'!$C:$C,$B963,'Daily Inward'!$E:$E,"Patty Cash"))</f>
        <v/>
      </c>
      <c r="G963" s="30" t="str">
        <f>IF($B963="","",SUMIFS('Daily Issuance'!$G:$G,'Daily Issuance'!$C:$C,$B963,'Daily Issuance'!$E:$E,"Patty Cash"))</f>
        <v/>
      </c>
      <c r="H963" s="30" t="str">
        <f t="shared" si="43"/>
        <v/>
      </c>
      <c r="I963" s="33"/>
      <c r="J963" s="34" t="str">
        <f t="shared" si="44"/>
        <v/>
      </c>
    </row>
    <row r="964" spans="1:10" s="27" customFormat="1" ht="23.1" customHeight="1">
      <c r="A964" s="194" t="str">
        <f>IF($C964="","",MAX($A$3:A963)+1)</f>
        <v/>
      </c>
      <c r="B964" s="197" t="str">
        <f t="shared" si="42"/>
        <v/>
      </c>
      <c r="C964" s="201"/>
      <c r="D964" s="199"/>
      <c r="E964" s="200"/>
      <c r="F964" s="196" t="str">
        <f>IF($B964="","",SUMIFS('Daily Inward'!$G:$G,'Daily Inward'!$C:$C,$B964,'Daily Inward'!$E:$E,"Patty Cash"))</f>
        <v/>
      </c>
      <c r="G964" s="30" t="str">
        <f>IF($B964="","",SUMIFS('Daily Issuance'!$G:$G,'Daily Issuance'!$C:$C,$B964,'Daily Issuance'!$E:$E,"Patty Cash"))</f>
        <v/>
      </c>
      <c r="H964" s="30" t="str">
        <f t="shared" si="43"/>
        <v/>
      </c>
      <c r="I964" s="33"/>
      <c r="J964" s="34" t="str">
        <f t="shared" si="44"/>
        <v/>
      </c>
    </row>
    <row r="965" spans="1:10" s="27" customFormat="1" ht="23.1" customHeight="1">
      <c r="A965" s="194" t="str">
        <f>IF($C965="","",MAX($A$3:A964)+1)</f>
        <v/>
      </c>
      <c r="B965" s="197" t="str">
        <f t="shared" ref="B965:B1003" si="45">IF($C965="","","PTC"&amp;TEXT(ROW()-4,"000"))</f>
        <v/>
      </c>
      <c r="C965" s="201"/>
      <c r="D965" s="199"/>
      <c r="E965" s="200"/>
      <c r="F965" s="196" t="str">
        <f>IF($B965="","",SUMIFS('Daily Inward'!$G:$G,'Daily Inward'!$C:$C,$B965,'Daily Inward'!$E:$E,"Patty Cash"))</f>
        <v/>
      </c>
      <c r="G965" s="30" t="str">
        <f>IF($B965="","",SUMIFS('Daily Issuance'!$G:$G,'Daily Issuance'!$C:$C,$B965,'Daily Issuance'!$E:$E,"Patty Cash"))</f>
        <v/>
      </c>
      <c r="H965" s="30" t="str">
        <f t="shared" ref="H965:H1003" si="46">IF($B965="","",F965-G965)</f>
        <v/>
      </c>
      <c r="I965" s="33"/>
      <c r="J965" s="34" t="str">
        <f t="shared" ref="J965:J1003" si="47">IF(OR(H965="",I965=""),"",H965*I965)</f>
        <v/>
      </c>
    </row>
    <row r="966" spans="1:10" s="27" customFormat="1" ht="23.1" customHeight="1">
      <c r="A966" s="194" t="str">
        <f>IF($C966="","",MAX($A$3:A965)+1)</f>
        <v/>
      </c>
      <c r="B966" s="197" t="str">
        <f t="shared" si="45"/>
        <v/>
      </c>
      <c r="C966" s="201"/>
      <c r="D966" s="199"/>
      <c r="E966" s="200"/>
      <c r="F966" s="196" t="str">
        <f>IF($B966="","",SUMIFS('Daily Inward'!$G:$G,'Daily Inward'!$C:$C,$B966,'Daily Inward'!$E:$E,"Patty Cash"))</f>
        <v/>
      </c>
      <c r="G966" s="30" t="str">
        <f>IF($B966="","",SUMIFS('Daily Issuance'!$G:$G,'Daily Issuance'!$C:$C,$B966,'Daily Issuance'!$E:$E,"Patty Cash"))</f>
        <v/>
      </c>
      <c r="H966" s="30" t="str">
        <f t="shared" si="46"/>
        <v/>
      </c>
      <c r="I966" s="33"/>
      <c r="J966" s="34" t="str">
        <f t="shared" si="47"/>
        <v/>
      </c>
    </row>
    <row r="967" spans="1:10" s="27" customFormat="1" ht="23.1" customHeight="1">
      <c r="A967" s="194" t="str">
        <f>IF($C967="","",MAX($A$3:A966)+1)</f>
        <v/>
      </c>
      <c r="B967" s="197" t="str">
        <f t="shared" si="45"/>
        <v/>
      </c>
      <c r="C967" s="201"/>
      <c r="D967" s="199"/>
      <c r="E967" s="200"/>
      <c r="F967" s="196" t="str">
        <f>IF($B967="","",SUMIFS('Daily Inward'!$G:$G,'Daily Inward'!$C:$C,$B967,'Daily Inward'!$E:$E,"Patty Cash"))</f>
        <v/>
      </c>
      <c r="G967" s="30" t="str">
        <f>IF($B967="","",SUMIFS('Daily Issuance'!$G:$G,'Daily Issuance'!$C:$C,$B967,'Daily Issuance'!$E:$E,"Patty Cash"))</f>
        <v/>
      </c>
      <c r="H967" s="30" t="str">
        <f t="shared" si="46"/>
        <v/>
      </c>
      <c r="I967" s="33"/>
      <c r="J967" s="34" t="str">
        <f t="shared" si="47"/>
        <v/>
      </c>
    </row>
    <row r="968" spans="1:10" s="27" customFormat="1" ht="23.1" customHeight="1">
      <c r="A968" s="194" t="str">
        <f>IF($C968="","",MAX($A$3:A967)+1)</f>
        <v/>
      </c>
      <c r="B968" s="197" t="str">
        <f t="shared" si="45"/>
        <v/>
      </c>
      <c r="C968" s="201"/>
      <c r="D968" s="199"/>
      <c r="E968" s="200"/>
      <c r="F968" s="196" t="str">
        <f>IF($B968="","",SUMIFS('Daily Inward'!$G:$G,'Daily Inward'!$C:$C,$B968,'Daily Inward'!$E:$E,"Patty Cash"))</f>
        <v/>
      </c>
      <c r="G968" s="30" t="str">
        <f>IF($B968="","",SUMIFS('Daily Issuance'!$G:$G,'Daily Issuance'!$C:$C,$B968,'Daily Issuance'!$E:$E,"Patty Cash"))</f>
        <v/>
      </c>
      <c r="H968" s="30" t="str">
        <f t="shared" si="46"/>
        <v/>
      </c>
      <c r="I968" s="33"/>
      <c r="J968" s="34" t="str">
        <f t="shared" si="47"/>
        <v/>
      </c>
    </row>
    <row r="969" spans="1:10" s="27" customFormat="1" ht="23.1" customHeight="1">
      <c r="A969" s="194" t="str">
        <f>IF($C969="","",MAX($A$3:A968)+1)</f>
        <v/>
      </c>
      <c r="B969" s="197" t="str">
        <f t="shared" si="45"/>
        <v/>
      </c>
      <c r="C969" s="201"/>
      <c r="D969" s="199"/>
      <c r="E969" s="200"/>
      <c r="F969" s="196" t="str">
        <f>IF($B969="","",SUMIFS('Daily Inward'!$G:$G,'Daily Inward'!$C:$C,$B969,'Daily Inward'!$E:$E,"Patty Cash"))</f>
        <v/>
      </c>
      <c r="G969" s="30" t="str">
        <f>IF($B969="","",SUMIFS('Daily Issuance'!$G:$G,'Daily Issuance'!$C:$C,$B969,'Daily Issuance'!$E:$E,"Patty Cash"))</f>
        <v/>
      </c>
      <c r="H969" s="30" t="str">
        <f t="shared" si="46"/>
        <v/>
      </c>
      <c r="I969" s="33"/>
      <c r="J969" s="34" t="str">
        <f t="shared" si="47"/>
        <v/>
      </c>
    </row>
    <row r="970" spans="1:10" s="27" customFormat="1" ht="23.1" customHeight="1">
      <c r="A970" s="194" t="str">
        <f>IF($C970="","",MAX($A$3:A969)+1)</f>
        <v/>
      </c>
      <c r="B970" s="197" t="str">
        <f t="shared" si="45"/>
        <v/>
      </c>
      <c r="C970" s="201"/>
      <c r="D970" s="199"/>
      <c r="E970" s="200"/>
      <c r="F970" s="196" t="str">
        <f>IF($B970="","",SUMIFS('Daily Inward'!$G:$G,'Daily Inward'!$C:$C,$B970,'Daily Inward'!$E:$E,"Patty Cash"))</f>
        <v/>
      </c>
      <c r="G970" s="30" t="str">
        <f>IF($B970="","",SUMIFS('Daily Issuance'!$G:$G,'Daily Issuance'!$C:$C,$B970,'Daily Issuance'!$E:$E,"Patty Cash"))</f>
        <v/>
      </c>
      <c r="H970" s="30" t="str">
        <f t="shared" si="46"/>
        <v/>
      </c>
      <c r="I970" s="33"/>
      <c r="J970" s="34" t="str">
        <f t="shared" si="47"/>
        <v/>
      </c>
    </row>
    <row r="971" spans="1:10" s="27" customFormat="1" ht="23.1" customHeight="1">
      <c r="A971" s="194" t="str">
        <f>IF($C971="","",MAX($A$3:A970)+1)</f>
        <v/>
      </c>
      <c r="B971" s="197" t="str">
        <f t="shared" si="45"/>
        <v/>
      </c>
      <c r="C971" s="201"/>
      <c r="D971" s="199"/>
      <c r="E971" s="200"/>
      <c r="F971" s="196" t="str">
        <f>IF($B971="","",SUMIFS('Daily Inward'!$G:$G,'Daily Inward'!$C:$C,$B971,'Daily Inward'!$E:$E,"Patty Cash"))</f>
        <v/>
      </c>
      <c r="G971" s="30" t="str">
        <f>IF($B971="","",SUMIFS('Daily Issuance'!$G:$G,'Daily Issuance'!$C:$C,$B971,'Daily Issuance'!$E:$E,"Patty Cash"))</f>
        <v/>
      </c>
      <c r="H971" s="30" t="str">
        <f t="shared" si="46"/>
        <v/>
      </c>
      <c r="I971" s="33"/>
      <c r="J971" s="34" t="str">
        <f t="shared" si="47"/>
        <v/>
      </c>
    </row>
    <row r="972" spans="1:10" s="27" customFormat="1" ht="23.1" customHeight="1">
      <c r="A972" s="194" t="str">
        <f>IF($C972="","",MAX($A$3:A971)+1)</f>
        <v/>
      </c>
      <c r="B972" s="197" t="str">
        <f t="shared" si="45"/>
        <v/>
      </c>
      <c r="C972" s="201"/>
      <c r="D972" s="199"/>
      <c r="E972" s="200"/>
      <c r="F972" s="196" t="str">
        <f>IF($B972="","",SUMIFS('Daily Inward'!$G:$G,'Daily Inward'!$C:$C,$B972,'Daily Inward'!$E:$E,"Patty Cash"))</f>
        <v/>
      </c>
      <c r="G972" s="30" t="str">
        <f>IF($B972="","",SUMIFS('Daily Issuance'!$G:$G,'Daily Issuance'!$C:$C,$B972,'Daily Issuance'!$E:$E,"Patty Cash"))</f>
        <v/>
      </c>
      <c r="H972" s="30" t="str">
        <f t="shared" si="46"/>
        <v/>
      </c>
      <c r="I972" s="33"/>
      <c r="J972" s="34" t="str">
        <f t="shared" si="47"/>
        <v/>
      </c>
    </row>
    <row r="973" spans="1:10" s="27" customFormat="1" ht="23.1" customHeight="1">
      <c r="A973" s="194" t="str">
        <f>IF($C973="","",MAX($A$3:A972)+1)</f>
        <v/>
      </c>
      <c r="B973" s="197" t="str">
        <f t="shared" si="45"/>
        <v/>
      </c>
      <c r="C973" s="201"/>
      <c r="D973" s="199"/>
      <c r="E973" s="200"/>
      <c r="F973" s="196" t="str">
        <f>IF($B973="","",SUMIFS('Daily Inward'!$G:$G,'Daily Inward'!$C:$C,$B973,'Daily Inward'!$E:$E,"Patty Cash"))</f>
        <v/>
      </c>
      <c r="G973" s="30" t="str">
        <f>IF($B973="","",SUMIFS('Daily Issuance'!$G:$G,'Daily Issuance'!$C:$C,$B973,'Daily Issuance'!$E:$E,"Patty Cash"))</f>
        <v/>
      </c>
      <c r="H973" s="30" t="str">
        <f t="shared" si="46"/>
        <v/>
      </c>
      <c r="I973" s="33"/>
      <c r="J973" s="34" t="str">
        <f t="shared" si="47"/>
        <v/>
      </c>
    </row>
    <row r="974" spans="1:10" s="27" customFormat="1" ht="23.1" customHeight="1">
      <c r="A974" s="194" t="str">
        <f>IF($C974="","",MAX($A$3:A973)+1)</f>
        <v/>
      </c>
      <c r="B974" s="197" t="str">
        <f t="shared" si="45"/>
        <v/>
      </c>
      <c r="C974" s="201"/>
      <c r="D974" s="199"/>
      <c r="E974" s="200"/>
      <c r="F974" s="196" t="str">
        <f>IF($B974="","",SUMIFS('Daily Inward'!$G:$G,'Daily Inward'!$C:$C,$B974,'Daily Inward'!$E:$E,"Patty Cash"))</f>
        <v/>
      </c>
      <c r="G974" s="30" t="str">
        <f>IF($B974="","",SUMIFS('Daily Issuance'!$G:$G,'Daily Issuance'!$C:$C,$B974,'Daily Issuance'!$E:$E,"Patty Cash"))</f>
        <v/>
      </c>
      <c r="H974" s="30" t="str">
        <f t="shared" si="46"/>
        <v/>
      </c>
      <c r="I974" s="33"/>
      <c r="J974" s="34" t="str">
        <f t="shared" si="47"/>
        <v/>
      </c>
    </row>
    <row r="975" spans="1:10" s="27" customFormat="1" ht="23.1" customHeight="1">
      <c r="A975" s="194" t="str">
        <f>IF($C975="","",MAX($A$3:A974)+1)</f>
        <v/>
      </c>
      <c r="B975" s="197" t="str">
        <f t="shared" si="45"/>
        <v/>
      </c>
      <c r="C975" s="201"/>
      <c r="D975" s="199"/>
      <c r="E975" s="200"/>
      <c r="F975" s="196" t="str">
        <f>IF($B975="","",SUMIFS('Daily Inward'!$G:$G,'Daily Inward'!$C:$C,$B975,'Daily Inward'!$E:$E,"Patty Cash"))</f>
        <v/>
      </c>
      <c r="G975" s="30" t="str">
        <f>IF($B975="","",SUMIFS('Daily Issuance'!$G:$G,'Daily Issuance'!$C:$C,$B975,'Daily Issuance'!$E:$E,"Patty Cash"))</f>
        <v/>
      </c>
      <c r="H975" s="30" t="str">
        <f t="shared" si="46"/>
        <v/>
      </c>
      <c r="I975" s="33"/>
      <c r="J975" s="34" t="str">
        <f t="shared" si="47"/>
        <v/>
      </c>
    </row>
    <row r="976" spans="1:10" s="27" customFormat="1" ht="23.1" customHeight="1">
      <c r="A976" s="194" t="str">
        <f>IF($C976="","",MAX($A$3:A975)+1)</f>
        <v/>
      </c>
      <c r="B976" s="197" t="str">
        <f t="shared" si="45"/>
        <v/>
      </c>
      <c r="C976" s="201"/>
      <c r="D976" s="199"/>
      <c r="E976" s="200"/>
      <c r="F976" s="196" t="str">
        <f>IF($B976="","",SUMIFS('Daily Inward'!$G:$G,'Daily Inward'!$C:$C,$B976,'Daily Inward'!$E:$E,"Patty Cash"))</f>
        <v/>
      </c>
      <c r="G976" s="30" t="str">
        <f>IF($B976="","",SUMIFS('Daily Issuance'!$G:$G,'Daily Issuance'!$C:$C,$B976,'Daily Issuance'!$E:$E,"Patty Cash"))</f>
        <v/>
      </c>
      <c r="H976" s="30" t="str">
        <f t="shared" si="46"/>
        <v/>
      </c>
      <c r="I976" s="33"/>
      <c r="J976" s="34" t="str">
        <f t="shared" si="47"/>
        <v/>
      </c>
    </row>
    <row r="977" spans="1:10" s="27" customFormat="1" ht="23.1" customHeight="1">
      <c r="A977" s="194" t="str">
        <f>IF($C977="","",MAX($A$3:A976)+1)</f>
        <v/>
      </c>
      <c r="B977" s="197" t="str">
        <f t="shared" si="45"/>
        <v/>
      </c>
      <c r="C977" s="201"/>
      <c r="D977" s="199"/>
      <c r="E977" s="200"/>
      <c r="F977" s="196" t="str">
        <f>IF($B977="","",SUMIFS('Daily Inward'!$G:$G,'Daily Inward'!$C:$C,$B977,'Daily Inward'!$E:$E,"Patty Cash"))</f>
        <v/>
      </c>
      <c r="G977" s="30" t="str">
        <f>IF($B977="","",SUMIFS('Daily Issuance'!$G:$G,'Daily Issuance'!$C:$C,$B977,'Daily Issuance'!$E:$E,"Patty Cash"))</f>
        <v/>
      </c>
      <c r="H977" s="30" t="str">
        <f t="shared" si="46"/>
        <v/>
      </c>
      <c r="I977" s="33"/>
      <c r="J977" s="34" t="str">
        <f t="shared" si="47"/>
        <v/>
      </c>
    </row>
    <row r="978" spans="1:10" s="27" customFormat="1" ht="23.1" customHeight="1">
      <c r="A978" s="194" t="str">
        <f>IF($C978="","",MAX($A$3:A977)+1)</f>
        <v/>
      </c>
      <c r="B978" s="197" t="str">
        <f t="shared" si="45"/>
        <v/>
      </c>
      <c r="C978" s="201"/>
      <c r="D978" s="199"/>
      <c r="E978" s="200"/>
      <c r="F978" s="196" t="str">
        <f>IF($B978="","",SUMIFS('Daily Inward'!$G:$G,'Daily Inward'!$C:$C,$B978,'Daily Inward'!$E:$E,"Patty Cash"))</f>
        <v/>
      </c>
      <c r="G978" s="30" t="str">
        <f>IF($B978="","",SUMIFS('Daily Issuance'!$G:$G,'Daily Issuance'!$C:$C,$B978,'Daily Issuance'!$E:$E,"Patty Cash"))</f>
        <v/>
      </c>
      <c r="H978" s="30" t="str">
        <f t="shared" si="46"/>
        <v/>
      </c>
      <c r="I978" s="33"/>
      <c r="J978" s="34" t="str">
        <f t="shared" si="47"/>
        <v/>
      </c>
    </row>
    <row r="979" spans="1:10" s="27" customFormat="1" ht="23.1" customHeight="1">
      <c r="A979" s="194" t="str">
        <f>IF($C979="","",MAX($A$3:A978)+1)</f>
        <v/>
      </c>
      <c r="B979" s="197" t="str">
        <f t="shared" si="45"/>
        <v/>
      </c>
      <c r="C979" s="201"/>
      <c r="D979" s="199"/>
      <c r="E979" s="200"/>
      <c r="F979" s="196" t="str">
        <f>IF($B979="","",SUMIFS('Daily Inward'!$G:$G,'Daily Inward'!$C:$C,$B979,'Daily Inward'!$E:$E,"Patty Cash"))</f>
        <v/>
      </c>
      <c r="G979" s="30" t="str">
        <f>IF($B979="","",SUMIFS('Daily Issuance'!$G:$G,'Daily Issuance'!$C:$C,$B979,'Daily Issuance'!$E:$E,"Patty Cash"))</f>
        <v/>
      </c>
      <c r="H979" s="30" t="str">
        <f t="shared" si="46"/>
        <v/>
      </c>
      <c r="I979" s="33"/>
      <c r="J979" s="34" t="str">
        <f t="shared" si="47"/>
        <v/>
      </c>
    </row>
    <row r="980" spans="1:10" s="27" customFormat="1" ht="23.1" customHeight="1">
      <c r="A980" s="194" t="str">
        <f>IF($C980="","",MAX($A$3:A979)+1)</f>
        <v/>
      </c>
      <c r="B980" s="197" t="str">
        <f t="shared" si="45"/>
        <v/>
      </c>
      <c r="C980" s="201"/>
      <c r="D980" s="199"/>
      <c r="E980" s="200"/>
      <c r="F980" s="196" t="str">
        <f>IF($B980="","",SUMIFS('Daily Inward'!$G:$G,'Daily Inward'!$C:$C,$B980,'Daily Inward'!$E:$E,"Patty Cash"))</f>
        <v/>
      </c>
      <c r="G980" s="30" t="str">
        <f>IF($B980="","",SUMIFS('Daily Issuance'!$G:$G,'Daily Issuance'!$C:$C,$B980,'Daily Issuance'!$E:$E,"Patty Cash"))</f>
        <v/>
      </c>
      <c r="H980" s="30" t="str">
        <f t="shared" si="46"/>
        <v/>
      </c>
      <c r="I980" s="33"/>
      <c r="J980" s="34" t="str">
        <f t="shared" si="47"/>
        <v/>
      </c>
    </row>
    <row r="981" spans="1:10" s="27" customFormat="1" ht="23.1" customHeight="1">
      <c r="A981" s="194" t="str">
        <f>IF($C981="","",MAX($A$3:A980)+1)</f>
        <v/>
      </c>
      <c r="B981" s="197" t="str">
        <f t="shared" si="45"/>
        <v/>
      </c>
      <c r="C981" s="201"/>
      <c r="D981" s="199"/>
      <c r="E981" s="200"/>
      <c r="F981" s="196" t="str">
        <f>IF($B981="","",SUMIFS('Daily Inward'!$G:$G,'Daily Inward'!$C:$C,$B981,'Daily Inward'!$E:$E,"Patty Cash"))</f>
        <v/>
      </c>
      <c r="G981" s="30" t="str">
        <f>IF($B981="","",SUMIFS('Daily Issuance'!$G:$G,'Daily Issuance'!$C:$C,$B981,'Daily Issuance'!$E:$E,"Patty Cash"))</f>
        <v/>
      </c>
      <c r="H981" s="30" t="str">
        <f t="shared" si="46"/>
        <v/>
      </c>
      <c r="I981" s="33"/>
      <c r="J981" s="34" t="str">
        <f t="shared" si="47"/>
        <v/>
      </c>
    </row>
    <row r="982" spans="1:10" s="27" customFormat="1" ht="23.1" customHeight="1">
      <c r="A982" s="194" t="str">
        <f>IF($C982="","",MAX($A$3:A981)+1)</f>
        <v/>
      </c>
      <c r="B982" s="197" t="str">
        <f t="shared" si="45"/>
        <v/>
      </c>
      <c r="C982" s="201"/>
      <c r="D982" s="199"/>
      <c r="E982" s="200"/>
      <c r="F982" s="196" t="str">
        <f>IF($B982="","",SUMIFS('Daily Inward'!$G:$G,'Daily Inward'!$C:$C,$B982,'Daily Inward'!$E:$E,"Patty Cash"))</f>
        <v/>
      </c>
      <c r="G982" s="30" t="str">
        <f>IF($B982="","",SUMIFS('Daily Issuance'!$G:$G,'Daily Issuance'!$C:$C,$B982,'Daily Issuance'!$E:$E,"Patty Cash"))</f>
        <v/>
      </c>
      <c r="H982" s="30" t="str">
        <f t="shared" si="46"/>
        <v/>
      </c>
      <c r="I982" s="33"/>
      <c r="J982" s="34" t="str">
        <f t="shared" si="47"/>
        <v/>
      </c>
    </row>
    <row r="983" spans="1:10" s="27" customFormat="1" ht="23.1" customHeight="1">
      <c r="A983" s="194" t="str">
        <f>IF($C983="","",MAX($A$3:A982)+1)</f>
        <v/>
      </c>
      <c r="B983" s="197" t="str">
        <f t="shared" si="45"/>
        <v/>
      </c>
      <c r="C983" s="201"/>
      <c r="D983" s="199"/>
      <c r="E983" s="200"/>
      <c r="F983" s="196" t="str">
        <f>IF($B983="","",SUMIFS('Daily Inward'!$G:$G,'Daily Inward'!$C:$C,$B983,'Daily Inward'!$E:$E,"Patty Cash"))</f>
        <v/>
      </c>
      <c r="G983" s="30" t="str">
        <f>IF($B983="","",SUMIFS('Daily Issuance'!$G:$G,'Daily Issuance'!$C:$C,$B983,'Daily Issuance'!$E:$E,"Patty Cash"))</f>
        <v/>
      </c>
      <c r="H983" s="30" t="str">
        <f t="shared" si="46"/>
        <v/>
      </c>
      <c r="I983" s="33"/>
      <c r="J983" s="34" t="str">
        <f t="shared" si="47"/>
        <v/>
      </c>
    </row>
    <row r="984" spans="1:10" s="27" customFormat="1" ht="23.1" customHeight="1">
      <c r="A984" s="194" t="str">
        <f>IF($C984="","",MAX($A$3:A983)+1)</f>
        <v/>
      </c>
      <c r="B984" s="197" t="str">
        <f t="shared" si="45"/>
        <v/>
      </c>
      <c r="C984" s="201"/>
      <c r="D984" s="199"/>
      <c r="E984" s="200"/>
      <c r="F984" s="196" t="str">
        <f>IF($B984="","",SUMIFS('Daily Inward'!$G:$G,'Daily Inward'!$C:$C,$B984,'Daily Inward'!$E:$E,"Patty Cash"))</f>
        <v/>
      </c>
      <c r="G984" s="30" t="str">
        <f>IF($B984="","",SUMIFS('Daily Issuance'!$G:$G,'Daily Issuance'!$C:$C,$B984,'Daily Issuance'!$E:$E,"Patty Cash"))</f>
        <v/>
      </c>
      <c r="H984" s="30" t="str">
        <f t="shared" si="46"/>
        <v/>
      </c>
      <c r="I984" s="33"/>
      <c r="J984" s="34" t="str">
        <f t="shared" si="47"/>
        <v/>
      </c>
    </row>
    <row r="985" spans="1:10" s="27" customFormat="1" ht="23.1" customHeight="1">
      <c r="A985" s="194" t="str">
        <f>IF($C985="","",MAX($A$3:A984)+1)</f>
        <v/>
      </c>
      <c r="B985" s="197" t="str">
        <f t="shared" si="45"/>
        <v/>
      </c>
      <c r="C985" s="201"/>
      <c r="D985" s="199"/>
      <c r="E985" s="200"/>
      <c r="F985" s="196" t="str">
        <f>IF($B985="","",SUMIFS('Daily Inward'!$G:$G,'Daily Inward'!$C:$C,$B985,'Daily Inward'!$E:$E,"Patty Cash"))</f>
        <v/>
      </c>
      <c r="G985" s="30" t="str">
        <f>IF($B985="","",SUMIFS('Daily Issuance'!$G:$G,'Daily Issuance'!$C:$C,$B985,'Daily Issuance'!$E:$E,"Patty Cash"))</f>
        <v/>
      </c>
      <c r="H985" s="30" t="str">
        <f t="shared" si="46"/>
        <v/>
      </c>
      <c r="I985" s="33"/>
      <c r="J985" s="34" t="str">
        <f t="shared" si="47"/>
        <v/>
      </c>
    </row>
    <row r="986" spans="1:10" s="27" customFormat="1" ht="23.1" customHeight="1">
      <c r="A986" s="194" t="str">
        <f>IF($C986="","",MAX($A$3:A985)+1)</f>
        <v/>
      </c>
      <c r="B986" s="197" t="str">
        <f t="shared" si="45"/>
        <v/>
      </c>
      <c r="C986" s="201"/>
      <c r="D986" s="199"/>
      <c r="E986" s="200"/>
      <c r="F986" s="196" t="str">
        <f>IF($B986="","",SUMIFS('Daily Inward'!$G:$G,'Daily Inward'!$C:$C,$B986,'Daily Inward'!$E:$E,"Patty Cash"))</f>
        <v/>
      </c>
      <c r="G986" s="30" t="str">
        <f>IF($B986="","",SUMIFS('Daily Issuance'!$G:$G,'Daily Issuance'!$C:$C,$B986,'Daily Issuance'!$E:$E,"Patty Cash"))</f>
        <v/>
      </c>
      <c r="H986" s="30" t="str">
        <f t="shared" si="46"/>
        <v/>
      </c>
      <c r="I986" s="33"/>
      <c r="J986" s="34" t="str">
        <f t="shared" si="47"/>
        <v/>
      </c>
    </row>
    <row r="987" spans="1:10" s="27" customFormat="1" ht="23.1" customHeight="1">
      <c r="A987" s="194" t="str">
        <f>IF($C987="","",MAX($A$3:A986)+1)</f>
        <v/>
      </c>
      <c r="B987" s="197" t="str">
        <f t="shared" si="45"/>
        <v/>
      </c>
      <c r="C987" s="201"/>
      <c r="D987" s="199"/>
      <c r="E987" s="200"/>
      <c r="F987" s="196" t="str">
        <f>IF($B987="","",SUMIFS('Daily Inward'!$G:$G,'Daily Inward'!$C:$C,$B987,'Daily Inward'!$E:$E,"Patty Cash"))</f>
        <v/>
      </c>
      <c r="G987" s="30" t="str">
        <f>IF($B987="","",SUMIFS('Daily Issuance'!$G:$G,'Daily Issuance'!$C:$C,$B987,'Daily Issuance'!$E:$E,"Patty Cash"))</f>
        <v/>
      </c>
      <c r="H987" s="30" t="str">
        <f t="shared" si="46"/>
        <v/>
      </c>
      <c r="I987" s="33"/>
      <c r="J987" s="34" t="str">
        <f t="shared" si="47"/>
        <v/>
      </c>
    </row>
    <row r="988" spans="1:10" s="27" customFormat="1" ht="23.1" customHeight="1">
      <c r="A988" s="194" t="str">
        <f>IF($C988="","",MAX($A$3:A987)+1)</f>
        <v/>
      </c>
      <c r="B988" s="197" t="str">
        <f t="shared" si="45"/>
        <v/>
      </c>
      <c r="C988" s="201"/>
      <c r="D988" s="199"/>
      <c r="E988" s="200"/>
      <c r="F988" s="196" t="str">
        <f>IF($B988="","",SUMIFS('Daily Inward'!$G:$G,'Daily Inward'!$C:$C,$B988,'Daily Inward'!$E:$E,"Patty Cash"))</f>
        <v/>
      </c>
      <c r="G988" s="30" t="str">
        <f>IF($B988="","",SUMIFS('Daily Issuance'!$G:$G,'Daily Issuance'!$C:$C,$B988,'Daily Issuance'!$E:$E,"Patty Cash"))</f>
        <v/>
      </c>
      <c r="H988" s="30" t="str">
        <f t="shared" si="46"/>
        <v/>
      </c>
      <c r="I988" s="33"/>
      <c r="J988" s="34" t="str">
        <f t="shared" si="47"/>
        <v/>
      </c>
    </row>
    <row r="989" spans="1:10" s="27" customFormat="1" ht="23.1" customHeight="1">
      <c r="A989" s="194" t="str">
        <f>IF($C989="","",MAX($A$3:A988)+1)</f>
        <v/>
      </c>
      <c r="B989" s="197" t="str">
        <f t="shared" si="45"/>
        <v/>
      </c>
      <c r="C989" s="201"/>
      <c r="D989" s="199"/>
      <c r="E989" s="200"/>
      <c r="F989" s="196" t="str">
        <f>IF($B989="","",SUMIFS('Daily Inward'!$G:$G,'Daily Inward'!$C:$C,$B989,'Daily Inward'!$E:$E,"Patty Cash"))</f>
        <v/>
      </c>
      <c r="G989" s="30" t="str">
        <f>IF($B989="","",SUMIFS('Daily Issuance'!$G:$G,'Daily Issuance'!$C:$C,$B989,'Daily Issuance'!$E:$E,"Patty Cash"))</f>
        <v/>
      </c>
      <c r="H989" s="30" t="str">
        <f t="shared" si="46"/>
        <v/>
      </c>
      <c r="I989" s="33"/>
      <c r="J989" s="34" t="str">
        <f t="shared" si="47"/>
        <v/>
      </c>
    </row>
    <row r="990" spans="1:10" s="27" customFormat="1" ht="23.1" customHeight="1">
      <c r="A990" s="194" t="str">
        <f>IF($C990="","",MAX($A$3:A989)+1)</f>
        <v/>
      </c>
      <c r="B990" s="197" t="str">
        <f t="shared" si="45"/>
        <v/>
      </c>
      <c r="C990" s="201"/>
      <c r="D990" s="199"/>
      <c r="E990" s="200"/>
      <c r="F990" s="196" t="str">
        <f>IF($B990="","",SUMIFS('Daily Inward'!$G:$G,'Daily Inward'!$C:$C,$B990,'Daily Inward'!$E:$E,"Patty Cash"))</f>
        <v/>
      </c>
      <c r="G990" s="30" t="str">
        <f>IF($B990="","",SUMIFS('Daily Issuance'!$G:$G,'Daily Issuance'!$C:$C,$B990,'Daily Issuance'!$E:$E,"Patty Cash"))</f>
        <v/>
      </c>
      <c r="H990" s="30" t="str">
        <f t="shared" si="46"/>
        <v/>
      </c>
      <c r="I990" s="33"/>
      <c r="J990" s="34" t="str">
        <f t="shared" si="47"/>
        <v/>
      </c>
    </row>
    <row r="991" spans="1:10" s="27" customFormat="1" ht="23.1" customHeight="1">
      <c r="A991" s="194" t="str">
        <f>IF($C991="","",MAX($A$3:A990)+1)</f>
        <v/>
      </c>
      <c r="B991" s="197" t="str">
        <f t="shared" si="45"/>
        <v/>
      </c>
      <c r="C991" s="201"/>
      <c r="D991" s="199"/>
      <c r="E991" s="200"/>
      <c r="F991" s="196" t="str">
        <f>IF($B991="","",SUMIFS('Daily Inward'!$G:$G,'Daily Inward'!$C:$C,$B991,'Daily Inward'!$E:$E,"Patty Cash"))</f>
        <v/>
      </c>
      <c r="G991" s="30" t="str">
        <f>IF($B991="","",SUMIFS('Daily Issuance'!$G:$G,'Daily Issuance'!$C:$C,$B991,'Daily Issuance'!$E:$E,"Patty Cash"))</f>
        <v/>
      </c>
      <c r="H991" s="30" t="str">
        <f t="shared" si="46"/>
        <v/>
      </c>
      <c r="I991" s="33"/>
      <c r="J991" s="34" t="str">
        <f t="shared" si="47"/>
        <v/>
      </c>
    </row>
    <row r="992" spans="1:10" s="27" customFormat="1" ht="23.1" customHeight="1">
      <c r="A992" s="194" t="str">
        <f>IF($C992="","",MAX($A$3:A991)+1)</f>
        <v/>
      </c>
      <c r="B992" s="197" t="str">
        <f t="shared" si="45"/>
        <v/>
      </c>
      <c r="C992" s="201"/>
      <c r="D992" s="199"/>
      <c r="E992" s="200"/>
      <c r="F992" s="196" t="str">
        <f>IF($B992="","",SUMIFS('Daily Inward'!$G:$G,'Daily Inward'!$C:$C,$B992,'Daily Inward'!$E:$E,"Patty Cash"))</f>
        <v/>
      </c>
      <c r="G992" s="30" t="str">
        <f>IF($B992="","",SUMIFS('Daily Issuance'!$G:$G,'Daily Issuance'!$C:$C,$B992,'Daily Issuance'!$E:$E,"Patty Cash"))</f>
        <v/>
      </c>
      <c r="H992" s="30" t="str">
        <f t="shared" si="46"/>
        <v/>
      </c>
      <c r="I992" s="33"/>
      <c r="J992" s="34" t="str">
        <f t="shared" si="47"/>
        <v/>
      </c>
    </row>
    <row r="993" spans="1:10" s="27" customFormat="1" ht="23.1" customHeight="1">
      <c r="A993" s="194" t="str">
        <f>IF($C993="","",MAX($A$3:A992)+1)</f>
        <v/>
      </c>
      <c r="B993" s="197" t="str">
        <f t="shared" si="45"/>
        <v/>
      </c>
      <c r="C993" s="201"/>
      <c r="D993" s="199"/>
      <c r="E993" s="200"/>
      <c r="F993" s="196" t="str">
        <f>IF($B993="","",SUMIFS('Daily Inward'!$G:$G,'Daily Inward'!$C:$C,$B993,'Daily Inward'!$E:$E,"Patty Cash"))</f>
        <v/>
      </c>
      <c r="G993" s="30" t="str">
        <f>IF($B993="","",SUMIFS('Daily Issuance'!$G:$G,'Daily Issuance'!$C:$C,$B993,'Daily Issuance'!$E:$E,"Patty Cash"))</f>
        <v/>
      </c>
      <c r="H993" s="30" t="str">
        <f t="shared" si="46"/>
        <v/>
      </c>
      <c r="I993" s="33"/>
      <c r="J993" s="34" t="str">
        <f t="shared" si="47"/>
        <v/>
      </c>
    </row>
    <row r="994" spans="1:10" s="27" customFormat="1" ht="23.1" customHeight="1">
      <c r="A994" s="194" t="str">
        <f>IF($C994="","",MAX($A$3:A993)+1)</f>
        <v/>
      </c>
      <c r="B994" s="197" t="str">
        <f t="shared" si="45"/>
        <v/>
      </c>
      <c r="C994" s="201"/>
      <c r="D994" s="199"/>
      <c r="E994" s="200"/>
      <c r="F994" s="196" t="str">
        <f>IF($B994="","",SUMIFS('Daily Inward'!$G:$G,'Daily Inward'!$C:$C,$B994,'Daily Inward'!$E:$E,"Patty Cash"))</f>
        <v/>
      </c>
      <c r="G994" s="30" t="str">
        <f>IF($B994="","",SUMIFS('Daily Issuance'!$G:$G,'Daily Issuance'!$C:$C,$B994,'Daily Issuance'!$E:$E,"Patty Cash"))</f>
        <v/>
      </c>
      <c r="H994" s="30" t="str">
        <f t="shared" si="46"/>
        <v/>
      </c>
      <c r="I994" s="33"/>
      <c r="J994" s="34" t="str">
        <f t="shared" si="47"/>
        <v/>
      </c>
    </row>
    <row r="995" spans="1:10" s="27" customFormat="1" ht="23.1" customHeight="1">
      <c r="A995" s="194" t="str">
        <f>IF($C995="","",MAX($A$3:A994)+1)</f>
        <v/>
      </c>
      <c r="B995" s="197" t="str">
        <f t="shared" si="45"/>
        <v/>
      </c>
      <c r="C995" s="201"/>
      <c r="D995" s="199"/>
      <c r="E995" s="200"/>
      <c r="F995" s="196" t="str">
        <f>IF($B995="","",SUMIFS('Daily Inward'!$G:$G,'Daily Inward'!$C:$C,$B995,'Daily Inward'!$E:$E,"Patty Cash"))</f>
        <v/>
      </c>
      <c r="G995" s="30" t="str">
        <f>IF($B995="","",SUMIFS('Daily Issuance'!$G:$G,'Daily Issuance'!$C:$C,$B995,'Daily Issuance'!$E:$E,"Patty Cash"))</f>
        <v/>
      </c>
      <c r="H995" s="30" t="str">
        <f t="shared" si="46"/>
        <v/>
      </c>
      <c r="I995" s="33"/>
      <c r="J995" s="34" t="str">
        <f t="shared" si="47"/>
        <v/>
      </c>
    </row>
    <row r="996" spans="1:10" s="27" customFormat="1" ht="23.1" customHeight="1">
      <c r="A996" s="194" t="str">
        <f>IF($C996="","",MAX($A$3:A995)+1)</f>
        <v/>
      </c>
      <c r="B996" s="197" t="str">
        <f t="shared" si="45"/>
        <v/>
      </c>
      <c r="C996" s="201"/>
      <c r="D996" s="199"/>
      <c r="E996" s="200"/>
      <c r="F996" s="196" t="str">
        <f>IF($B996="","",SUMIFS('Daily Inward'!$G:$G,'Daily Inward'!$C:$C,$B996,'Daily Inward'!$E:$E,"Patty Cash"))</f>
        <v/>
      </c>
      <c r="G996" s="30" t="str">
        <f>IF($B996="","",SUMIFS('Daily Issuance'!$G:$G,'Daily Issuance'!$C:$C,$B996,'Daily Issuance'!$E:$E,"Patty Cash"))</f>
        <v/>
      </c>
      <c r="H996" s="30" t="str">
        <f t="shared" si="46"/>
        <v/>
      </c>
      <c r="I996" s="33"/>
      <c r="J996" s="34" t="str">
        <f t="shared" si="47"/>
        <v/>
      </c>
    </row>
    <row r="997" spans="1:10" s="27" customFormat="1" ht="23.1" customHeight="1">
      <c r="A997" s="194" t="str">
        <f>IF($C997="","",MAX($A$3:A996)+1)</f>
        <v/>
      </c>
      <c r="B997" s="197" t="str">
        <f t="shared" si="45"/>
        <v/>
      </c>
      <c r="C997" s="201"/>
      <c r="D997" s="199"/>
      <c r="E997" s="200"/>
      <c r="F997" s="196" t="str">
        <f>IF($B997="","",SUMIFS('Daily Inward'!$G:$G,'Daily Inward'!$C:$C,$B997,'Daily Inward'!$E:$E,"Patty Cash"))</f>
        <v/>
      </c>
      <c r="G997" s="30" t="str">
        <f>IF($B997="","",SUMIFS('Daily Issuance'!$G:$G,'Daily Issuance'!$C:$C,$B997,'Daily Issuance'!$E:$E,"Patty Cash"))</f>
        <v/>
      </c>
      <c r="H997" s="30" t="str">
        <f t="shared" si="46"/>
        <v/>
      </c>
      <c r="I997" s="33"/>
      <c r="J997" s="34" t="str">
        <f t="shared" si="47"/>
        <v/>
      </c>
    </row>
    <row r="998" spans="1:10" s="27" customFormat="1" ht="23.1" customHeight="1">
      <c r="A998" s="194" t="str">
        <f>IF($C998="","",MAX($A$3:A997)+1)</f>
        <v/>
      </c>
      <c r="B998" s="197" t="str">
        <f t="shared" si="45"/>
        <v/>
      </c>
      <c r="C998" s="201"/>
      <c r="D998" s="199"/>
      <c r="E998" s="200"/>
      <c r="F998" s="196" t="str">
        <f>IF($B998="","",SUMIFS('Daily Inward'!$G:$G,'Daily Inward'!$C:$C,$B998,'Daily Inward'!$E:$E,"Patty Cash"))</f>
        <v/>
      </c>
      <c r="G998" s="30" t="str">
        <f>IF($B998="","",SUMIFS('Daily Issuance'!$G:$G,'Daily Issuance'!$C:$C,$B998,'Daily Issuance'!$E:$E,"Patty Cash"))</f>
        <v/>
      </c>
      <c r="H998" s="30" t="str">
        <f t="shared" si="46"/>
        <v/>
      </c>
      <c r="I998" s="33"/>
      <c r="J998" s="34" t="str">
        <f t="shared" si="47"/>
        <v/>
      </c>
    </row>
    <row r="999" spans="1:10" s="27" customFormat="1" ht="23.1" customHeight="1">
      <c r="A999" s="194" t="str">
        <f>IF($C999="","",MAX($A$3:A998)+1)</f>
        <v/>
      </c>
      <c r="B999" s="197" t="str">
        <f t="shared" si="45"/>
        <v/>
      </c>
      <c r="C999" s="201"/>
      <c r="D999" s="199"/>
      <c r="E999" s="200"/>
      <c r="F999" s="196" t="str">
        <f>IF($B999="","",SUMIFS('Daily Inward'!$G:$G,'Daily Inward'!$C:$C,$B999,'Daily Inward'!$E:$E,"Patty Cash"))</f>
        <v/>
      </c>
      <c r="G999" s="30" t="str">
        <f>IF($B999="","",SUMIFS('Daily Issuance'!$G:$G,'Daily Issuance'!$C:$C,$B999,'Daily Issuance'!$E:$E,"Patty Cash"))</f>
        <v/>
      </c>
      <c r="H999" s="30" t="str">
        <f t="shared" si="46"/>
        <v/>
      </c>
      <c r="I999" s="33"/>
      <c r="J999" s="34" t="str">
        <f t="shared" si="47"/>
        <v/>
      </c>
    </row>
    <row r="1000" spans="1:10" s="27" customFormat="1" ht="23.1" customHeight="1">
      <c r="A1000" s="194" t="str">
        <f>IF($C1000="","",MAX($A$3:A999)+1)</f>
        <v/>
      </c>
      <c r="B1000" s="197" t="str">
        <f t="shared" si="45"/>
        <v/>
      </c>
      <c r="C1000" s="201"/>
      <c r="D1000" s="199"/>
      <c r="E1000" s="200"/>
      <c r="F1000" s="196" t="str">
        <f>IF($B1000="","",SUMIFS('Daily Inward'!$G:$G,'Daily Inward'!$C:$C,$B1000,'Daily Inward'!$E:$E,"Patty Cash"))</f>
        <v/>
      </c>
      <c r="G1000" s="30" t="str">
        <f>IF($B1000="","",SUMIFS('Daily Issuance'!$G:$G,'Daily Issuance'!$C:$C,$B1000,'Daily Issuance'!$E:$E,"Patty Cash"))</f>
        <v/>
      </c>
      <c r="H1000" s="30" t="str">
        <f t="shared" si="46"/>
        <v/>
      </c>
      <c r="I1000" s="33"/>
      <c r="J1000" s="34" t="str">
        <f t="shared" si="47"/>
        <v/>
      </c>
    </row>
    <row r="1001" spans="1:10" s="27" customFormat="1" ht="23.1" customHeight="1">
      <c r="A1001" s="194" t="str">
        <f>IF($C1001="","",MAX($A$3:A1000)+1)</f>
        <v/>
      </c>
      <c r="B1001" s="197" t="str">
        <f t="shared" si="45"/>
        <v/>
      </c>
      <c r="C1001" s="201"/>
      <c r="D1001" s="199"/>
      <c r="E1001" s="200"/>
      <c r="F1001" s="196" t="str">
        <f>IF($B1001="","",SUMIFS('Daily Inward'!$G:$G,'Daily Inward'!$C:$C,$B1001,'Daily Inward'!$E:$E,"Patty Cash"))</f>
        <v/>
      </c>
      <c r="G1001" s="30" t="str">
        <f>IF($B1001="","",SUMIFS('Daily Issuance'!$G:$G,'Daily Issuance'!$C:$C,$B1001,'Daily Issuance'!$E:$E,"Patty Cash"))</f>
        <v/>
      </c>
      <c r="H1001" s="30" t="str">
        <f t="shared" si="46"/>
        <v/>
      </c>
      <c r="I1001" s="33"/>
      <c r="J1001" s="34" t="str">
        <f t="shared" si="47"/>
        <v/>
      </c>
    </row>
    <row r="1002" spans="1:10" s="27" customFormat="1" ht="23.1" customHeight="1">
      <c r="A1002" s="194" t="str">
        <f>IF($C1002="","",MAX($A$3:A1001)+1)</f>
        <v/>
      </c>
      <c r="B1002" s="197" t="str">
        <f t="shared" si="45"/>
        <v/>
      </c>
      <c r="C1002" s="201"/>
      <c r="D1002" s="199"/>
      <c r="E1002" s="200"/>
      <c r="F1002" s="196" t="str">
        <f>IF($B1002="","",SUMIFS('Daily Inward'!$G:$G,'Daily Inward'!$C:$C,$B1002,'Daily Inward'!$E:$E,"Patty Cash"))</f>
        <v/>
      </c>
      <c r="G1002" s="30" t="str">
        <f>IF($B1002="","",SUMIFS('Daily Issuance'!$G:$G,'Daily Issuance'!$C:$C,$B1002,'Daily Issuance'!$E:$E,"Patty Cash"))</f>
        <v/>
      </c>
      <c r="H1002" s="30" t="str">
        <f t="shared" si="46"/>
        <v/>
      </c>
      <c r="I1002" s="33"/>
      <c r="J1002" s="34" t="str">
        <f t="shared" si="47"/>
        <v/>
      </c>
    </row>
    <row r="1003" spans="1:10" s="27" customFormat="1" ht="23.1" customHeight="1">
      <c r="A1003" s="194" t="str">
        <f>IF($C1003="","",MAX($A$3:A1002)+1)</f>
        <v/>
      </c>
      <c r="B1003" s="197" t="str">
        <f t="shared" si="45"/>
        <v/>
      </c>
      <c r="C1003" s="201"/>
      <c r="D1003" s="199"/>
      <c r="E1003" s="200"/>
      <c r="F1003" s="196" t="str">
        <f>IF($B1003="","",SUMIFS('Daily Inward'!$G:$G,'Daily Inward'!$C:$C,$B1003,'Daily Inward'!$E:$E,"Patty Cash"))</f>
        <v/>
      </c>
      <c r="G1003" s="30" t="str">
        <f>IF($B1003="","",SUMIFS('Daily Issuance'!$G:$G,'Daily Issuance'!$C:$C,$B1003,'Daily Issuance'!$E:$E,"Patty Cash"))</f>
        <v/>
      </c>
      <c r="H1003" s="30" t="str">
        <f t="shared" si="46"/>
        <v/>
      </c>
      <c r="I1003" s="33"/>
      <c r="J1003" s="34" t="str">
        <f t="shared" si="47"/>
        <v/>
      </c>
    </row>
  </sheetData>
  <autoFilter ref="A3:J1003" xr:uid="{00000000-0001-0000-0500-000000000000}"/>
  <mergeCells count="2">
    <mergeCell ref="A1:J1"/>
    <mergeCell ref="A2:J2"/>
  </mergeCells>
  <conditionalFormatting sqref="H4:H1003">
    <cfRule type="expression" dxfId="66" priority="1">
      <formula>AND($H4&lt;&gt;"",OR($H4=0,$H4=1))</formula>
    </cfRule>
  </conditionalFormatting>
  <conditionalFormatting sqref="H4:H1003">
    <cfRule type="expression" dxfId="65" priority="2">
      <formula>AND($H4&lt;&gt;"",$H4&lt;&gt;0,$H4&lt;&gt;1)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List!$E$5:$E$21</xm:f>
          </x14:formula1>
          <xm:sqref>D4:D1003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2F5597"/>
  </sheetPr>
  <dimension ref="A1:O998"/>
  <sheetViews>
    <sheetView showGridLines="0" zoomScaleNormal="100" workbookViewId="0">
      <pane ySplit="3" topLeftCell="A367" activePane="bottomLeft" state="frozen"/>
      <selection activeCell="F1" sqref="F1"/>
      <selection pane="bottomLeft" activeCell="L373" sqref="L373"/>
    </sheetView>
  </sheetViews>
  <sheetFormatPr defaultColWidth="9.140625" defaultRowHeight="20.100000000000001" customHeight="1"/>
  <cols>
    <col min="1" max="1" width="8.140625" style="16" bestFit="1" customWidth="1"/>
    <col min="2" max="2" width="11.28515625" style="17" bestFit="1" customWidth="1"/>
    <col min="3" max="3" width="17.42578125" style="16" bestFit="1" customWidth="1"/>
    <col min="4" max="4" width="64.140625" style="19" customWidth="1"/>
    <col min="5" max="5" width="18.28515625" style="12" customWidth="1"/>
    <col min="6" max="6" width="11" style="16" customWidth="1"/>
    <col min="7" max="7" width="13.7109375" style="21" customWidth="1"/>
    <col min="8" max="8" width="15.5703125" style="22" customWidth="1"/>
    <col min="9" max="9" width="27.140625" style="23" bestFit="1" customWidth="1"/>
    <col min="10" max="10" width="29" style="24" customWidth="1"/>
    <col min="11" max="11" width="16.42578125" style="25" bestFit="1" customWidth="1"/>
    <col min="12" max="12" width="11.140625" style="24" bestFit="1" customWidth="1"/>
    <col min="13" max="13" width="19.85546875" style="24" bestFit="1" customWidth="1"/>
    <col min="14" max="14" width="17" style="24" bestFit="1" customWidth="1"/>
    <col min="15" max="15" width="13.140625" style="20" bestFit="1" customWidth="1"/>
    <col min="16" max="16384" width="9.140625" style="2"/>
  </cols>
  <sheetData>
    <row r="1" spans="1:15" ht="27.95" customHeight="1" thickTop="1">
      <c r="A1" s="480" t="s">
        <v>1184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  <c r="O1" s="482"/>
    </row>
    <row r="2" spans="1:15" ht="24" customHeight="1" thickBot="1">
      <c r="A2" s="483" t="s">
        <v>1</v>
      </c>
      <c r="B2" s="484"/>
      <c r="C2" s="484"/>
      <c r="D2" s="484"/>
      <c r="E2" s="484"/>
      <c r="F2" s="484"/>
      <c r="G2" s="484"/>
      <c r="H2" s="484"/>
      <c r="I2" s="484"/>
      <c r="J2" s="484"/>
      <c r="K2" s="484"/>
      <c r="L2" s="484"/>
      <c r="M2" s="484"/>
      <c r="N2" s="484"/>
      <c r="O2" s="485"/>
    </row>
    <row r="3" spans="1:15" ht="22.5" customHeight="1" thickBot="1">
      <c r="A3" s="183" t="s">
        <v>1185</v>
      </c>
      <c r="B3" s="243" t="s">
        <v>1186</v>
      </c>
      <c r="C3" s="183" t="s">
        <v>91</v>
      </c>
      <c r="D3" s="353" t="s">
        <v>92</v>
      </c>
      <c r="E3" s="183" t="s">
        <v>5</v>
      </c>
      <c r="F3" s="183" t="s">
        <v>93</v>
      </c>
      <c r="G3" s="248" t="s">
        <v>1187</v>
      </c>
      <c r="H3" s="244" t="s">
        <v>97</v>
      </c>
      <c r="I3" s="183" t="s">
        <v>1188</v>
      </c>
      <c r="J3" s="192" t="s">
        <v>1189</v>
      </c>
      <c r="K3" s="183" t="s">
        <v>1190</v>
      </c>
      <c r="L3" s="183" t="s">
        <v>1191</v>
      </c>
      <c r="M3" s="183" t="s">
        <v>1192</v>
      </c>
      <c r="N3" s="183" t="s">
        <v>98</v>
      </c>
      <c r="O3" s="183" t="s">
        <v>88</v>
      </c>
    </row>
    <row r="4" spans="1:15" ht="23.1" customHeight="1">
      <c r="A4" s="231">
        <f>IF(AND($B4="",$C4=""),"",MAX($A$3:A3)+1)</f>
        <v>1</v>
      </c>
      <c r="B4" s="232">
        <v>46146</v>
      </c>
      <c r="C4" s="233">
        <v>6680</v>
      </c>
      <c r="D4" s="234" t="str">
        <f>IFERROR(IF($E4="Inventory",VLOOKUP($C4,Inventory!$B:$I,2,FALSE()),IF($E4="Non Inventory",VLOOKUP($C4,'Non Inventory'!$B:$I,2,FALSE()),IF($E4="Services",VLOOKUP($C4,Services!$B:$I,2,FALSE()),IF($E4="Patty Cash",VLOOKUP($C4,'Patty Cash'!$B:$J,2,FALSE()),"")))),"")</f>
        <v>Taping Machine Belt With Center Guide Size L-75" X W-2" (CTN.Sealer Machine)</v>
      </c>
      <c r="E4" s="245" t="s">
        <v>6</v>
      </c>
      <c r="F4" s="235" t="str">
        <f>IFERROR(IF($E4="Inventory",VLOOKUP($C4,Inventory!$B:$I,3,FALSE()),IF($E4="Non Inventory",VLOOKUP($C4,'Non Inventory'!$B:$I,3,FALSE()),IF($E4="Services",VLOOKUP($C4,Services!$B:$I,3,FALSE()),IF($E4="Patty Cash",VLOOKUP($C4,'Patty Cash'!$B:$J,3,FALSE()),"")))),"")</f>
        <v>NOS</v>
      </c>
      <c r="G4" s="236">
        <v>4</v>
      </c>
      <c r="H4" s="237">
        <f>IF($E4="","",IF($E4="Inventory",IFERROR(VLOOKUP($C4,Inventory!$B:$H,7,FALSE()),0),IF($E4="Non Inventory",IFERROR(VLOOKUP($C4,'Non Inventory'!$B:$H,7,FALSE()),0),IF($E4="Services",IFERROR(VLOOKUP($C4,Services!$B:$H,7,FALSE()),0),IF($E4="Patty Cash",IFERROR(VLOOKUP($C4,'Patty Cash'!$B:$H,7,FALSE()),0),0)))))</f>
        <v>3</v>
      </c>
      <c r="I4" s="238" t="s">
        <v>64</v>
      </c>
      <c r="J4" s="239" t="s">
        <v>1193</v>
      </c>
      <c r="K4" s="240" t="s">
        <v>1194</v>
      </c>
      <c r="L4" s="202" t="s">
        <v>1195</v>
      </c>
      <c r="M4" s="240" t="s">
        <v>1196</v>
      </c>
      <c r="N4" s="241">
        <f>IFERROR(IF($E4="Inventory",VLOOKUP($C4,Inventory!$B:$I,8,FALSE()),IF($E4="Non Inventory",VLOOKUP($C4,'Non Inventory'!$B:$I,8,FALSE()),IF($E4="Services",VLOOKUP($C4,Services!$B:$I,8,FALSE()),IF($E4="Patty Cash",VLOOKUP($C4,'Patty Cash'!$B:$J,8,FALSE()),0)))),0)</f>
        <v>5500</v>
      </c>
      <c r="O4" s="242">
        <f t="shared" ref="O4:O68" si="0">IF($G4="","",G4*N4)</f>
        <v>22000</v>
      </c>
    </row>
    <row r="5" spans="1:15" ht="23.1" customHeight="1">
      <c r="A5" s="206">
        <f>IF(AND($B5="",$C5=""),"",MAX($A$3:A4)+1)</f>
        <v>2</v>
      </c>
      <c r="B5" s="207">
        <v>46146</v>
      </c>
      <c r="C5" s="208">
        <v>9837</v>
      </c>
      <c r="D5" s="209" t="str">
        <f>IFERROR(IF($E5="Inventory",VLOOKUP($C5,Inventory!$B:$I,2,FALSE()),IF($E5="Non Inventory",VLOOKUP($C5,'Non Inventory'!$B:$I,2,FALSE()),IF($E5="Services",VLOOKUP($C5,Services!$B:$I,2,FALSE()),IF($E5="Patty Cash",VLOOKUP($C5,'Patty Cash'!$B:$J,2,FALSE()),"")))),"")</f>
        <v>Heat proof backed tape Width: 1m Brand: TYGAFLOR</v>
      </c>
      <c r="E5" s="246" t="s">
        <v>7</v>
      </c>
      <c r="F5" s="210" t="str">
        <f>IFERROR(IF($E5="Inventory",VLOOKUP($C5,Inventory!$B:$I,3,FALSE()),IF($E5="Non Inventory",VLOOKUP($C5,'Non Inventory'!$B:$I,3,FALSE()),IF($E5="Services",VLOOKUP($C5,Services!$B:$I,3,FALSE()),IF($E5="Patty Cash",VLOOKUP($C5,'Patty Cash'!$B:$J,3,FALSE()),"")))),"")</f>
        <v>FT</v>
      </c>
      <c r="G5" s="211">
        <v>1</v>
      </c>
      <c r="H5" s="212">
        <f>IF($E5="","",IF($E5="Inventory",IFERROR(VLOOKUP($C5,Inventory!$B:$H,7,FALSE()),0),IF($E5="Non Inventory",IFERROR(VLOOKUP($C5,'Non Inventory'!$B:$H,7,FALSE()),0),IF($E5="Services",IFERROR(VLOOKUP($C5,Services!$B:$H,7,FALSE()),0),IF($E5="Patty Cash",IFERROR(VLOOKUP($C5,'Patty Cash'!$B:$H,7,FALSE()),0),0)))))</f>
        <v>25</v>
      </c>
      <c r="I5" s="213" t="s">
        <v>1222</v>
      </c>
      <c r="J5" s="214" t="s">
        <v>67</v>
      </c>
      <c r="K5" s="215" t="s">
        <v>1197</v>
      </c>
      <c r="L5" s="197" t="s">
        <v>1195</v>
      </c>
      <c r="M5" s="215" t="s">
        <v>1196</v>
      </c>
      <c r="N5" s="216">
        <f>IFERROR(IF($E5="Inventory",VLOOKUP($C5,Inventory!$B:$I,8,FALSE()),IF($E5="Non Inventory",VLOOKUP($C5,'Non Inventory'!$B:$I,8,FALSE()),IF($E5="Services",VLOOKUP($C5,Services!$B:$I,8,FALSE()),IF($E5="Patty Cash",VLOOKUP($C5,'Patty Cash'!$B:$J,8,FALSE()),0)))),0)</f>
        <v>3200</v>
      </c>
      <c r="O5" s="217">
        <f t="shared" si="0"/>
        <v>3200</v>
      </c>
    </row>
    <row r="6" spans="1:15" ht="23.1" customHeight="1">
      <c r="A6" s="206">
        <f>IF(AND($B6="",$C6=""),"",MAX($A$3:A5)+1)</f>
        <v>3</v>
      </c>
      <c r="B6" s="207">
        <v>46146</v>
      </c>
      <c r="C6" s="208">
        <v>2091</v>
      </c>
      <c r="D6" s="209" t="str">
        <f>IFERROR(IF($E6="Inventory",VLOOKUP($C6,Inventory!$B:$I,2,FALSE()),IF($E6="Non Inventory",VLOOKUP($C6,'Non Inventory'!$B:$I,2,FALSE()),IF($E6="Services",VLOOKUP($C6,Services!$B:$I,2,FALSE()),IF($E6="Patty Cash",VLOOKUP($C6,'Patty Cash'!$B:$J,2,FALSE()),"")))),"")</f>
        <v>Ball Bearing 6203 2ZR C3</v>
      </c>
      <c r="E6" s="246" t="s">
        <v>6</v>
      </c>
      <c r="F6" s="210" t="str">
        <f>IFERROR(IF($E6="Inventory",VLOOKUP($C6,Inventory!$B:$I,3,FALSE()),IF($E6="Non Inventory",VLOOKUP($C6,'Non Inventory'!$B:$I,3,FALSE()),IF($E6="Services",VLOOKUP($C6,Services!$B:$I,3,FALSE()),IF($E6="Patty Cash",VLOOKUP($C6,'Patty Cash'!$B:$J,3,FALSE()),"")))),"")</f>
        <v>PCS</v>
      </c>
      <c r="G6" s="211">
        <v>2</v>
      </c>
      <c r="H6" s="212">
        <f>IF($E6="","",IF($E6="Inventory",IFERROR(VLOOKUP($C6,Inventory!$B:$H,7,FALSE()),0),IF($E6="Non Inventory",IFERROR(VLOOKUP($C6,'Non Inventory'!$B:$H,7,FALSE()),0),IF($E6="Services",IFERROR(VLOOKUP($C6,Services!$B:$H,7,FALSE()),0),IF($E6="Patty Cash",IFERROR(VLOOKUP($C6,'Patty Cash'!$B:$H,7,FALSE()),0),0)))))</f>
        <v>4</v>
      </c>
      <c r="I6" s="213" t="s">
        <v>1222</v>
      </c>
      <c r="J6" s="214" t="s">
        <v>1198</v>
      </c>
      <c r="K6" s="215" t="s">
        <v>1199</v>
      </c>
      <c r="L6" s="197" t="s">
        <v>1195</v>
      </c>
      <c r="M6" s="215" t="s">
        <v>1196</v>
      </c>
      <c r="N6" s="216">
        <f>IFERROR(IF($E6="Inventory",VLOOKUP($C6,Inventory!$B:$I,8,FALSE()),IF($E6="Non Inventory",VLOOKUP($C6,'Non Inventory'!$B:$I,8,FALSE()),IF($E6="Services",VLOOKUP($C6,Services!$B:$I,8,FALSE()),IF($E6="Patty Cash",VLOOKUP($C6,'Patty Cash'!$B:$J,8,FALSE()),0)))),0)</f>
        <v>1048</v>
      </c>
      <c r="O6" s="217">
        <f t="shared" si="0"/>
        <v>2096</v>
      </c>
    </row>
    <row r="7" spans="1:15" ht="23.1" customHeight="1">
      <c r="A7" s="206">
        <f>IF(AND($B7="",$C7=""),"",MAX($A$3:A6)+1)</f>
        <v>4</v>
      </c>
      <c r="B7" s="207">
        <v>46146</v>
      </c>
      <c r="C7" s="208">
        <v>17299</v>
      </c>
      <c r="D7" s="209" t="str">
        <f>IFERROR(IF($E7="Inventory",VLOOKUP($C7,Inventory!$B:$I,2,FALSE()),IF($E7="Non Inventory",VLOOKUP($C7,'Non Inventory'!$B:$I,2,FALSE()),IF($E7="Services",VLOOKUP($C7,Services!$B:$I,2,FALSE()),IF($E7="Patty Cash",VLOOKUP($C7,'Patty Cash'!$B:$J,2,FALSE()),"")))),"")</f>
        <v>Pneumatic Male Coonector Size 1/2" x 10mm</v>
      </c>
      <c r="E7" s="246" t="s">
        <v>7</v>
      </c>
      <c r="F7" s="210" t="str">
        <f>IFERROR(IF($E7="Inventory",VLOOKUP($C7,Inventory!$B:$I,3,FALSE()),IF($E7="Non Inventory",VLOOKUP($C7,'Non Inventory'!$B:$I,3,FALSE()),IF($E7="Services",VLOOKUP($C7,Services!$B:$I,3,FALSE()),IF($E7="Patty Cash",VLOOKUP($C7,'Patty Cash'!$B:$J,3,FALSE()),"")))),"")</f>
        <v>NOS</v>
      </c>
      <c r="G7" s="211">
        <v>1</v>
      </c>
      <c r="H7" s="212">
        <f>IF($E7="","",IF($E7="Inventory",IFERROR(VLOOKUP($C7,Inventory!$B:$H,7,FALSE()),0),IF($E7="Non Inventory",IFERROR(VLOOKUP($C7,'Non Inventory'!$B:$H,7,FALSE()),0),IF($E7="Services",IFERROR(VLOOKUP($C7,Services!$B:$H,7,FALSE()),0),IF($E7="Patty Cash",IFERROR(VLOOKUP($C7,'Patty Cash'!$B:$H,7,FALSE()),0),0)))))</f>
        <v>12</v>
      </c>
      <c r="I7" s="213" t="s">
        <v>40</v>
      </c>
      <c r="J7" s="214" t="s">
        <v>1200</v>
      </c>
      <c r="K7" s="215" t="s">
        <v>1199</v>
      </c>
      <c r="L7" s="197" t="s">
        <v>1195</v>
      </c>
      <c r="M7" s="215" t="s">
        <v>1196</v>
      </c>
      <c r="N7" s="216">
        <f>IFERROR(IF($E7="Inventory",VLOOKUP($C7,Inventory!$B:$I,8,FALSE()),IF($E7="Non Inventory",VLOOKUP($C7,'Non Inventory'!$B:$I,8,FALSE()),IF($E7="Services",VLOOKUP($C7,Services!$B:$I,8,FALSE()),IF($E7="Patty Cash",VLOOKUP($C7,'Patty Cash'!$B:$J,8,FALSE()),0)))),0)</f>
        <v>300</v>
      </c>
      <c r="O7" s="217">
        <f t="shared" si="0"/>
        <v>300</v>
      </c>
    </row>
    <row r="8" spans="1:15" ht="23.1" customHeight="1">
      <c r="A8" s="206">
        <f>IF(AND($B8="",$C8=""),"",MAX($A$3:A7)+1)</f>
        <v>5</v>
      </c>
      <c r="B8" s="207">
        <v>46146</v>
      </c>
      <c r="C8" s="208">
        <v>7503</v>
      </c>
      <c r="D8" s="209" t="str">
        <f>IFERROR(IF($E8="Inventory",VLOOKUP($C8,Inventory!$B:$I,2,FALSE()),IF($E8="Non Inventory",VLOOKUP($C8,'Non Inventory'!$B:$I,2,FALSE()),IF($E8="Services",VLOOKUP($C8,Services!$B:$I,2,FALSE()),IF($E8="Patty Cash",VLOOKUP($C8,'Patty Cash'!$B:$J,2,FALSE()),"")))),"")</f>
        <v>Pneumatic Pipe Size 8mm</v>
      </c>
      <c r="E8" s="246" t="s">
        <v>7</v>
      </c>
      <c r="F8" s="210" t="str">
        <f>IFERROR(IF($E8="Inventory",VLOOKUP($C8,Inventory!$B:$I,3,FALSE()),IF($E8="Non Inventory",VLOOKUP($C8,'Non Inventory'!$B:$I,3,FALSE()),IF($E8="Services",VLOOKUP($C8,Services!$B:$I,3,FALSE()),IF($E8="Patty Cash",VLOOKUP($C8,'Patty Cash'!$B:$J,3,FALSE()),"")))),"")</f>
        <v>MTR</v>
      </c>
      <c r="G8" s="211">
        <v>3</v>
      </c>
      <c r="H8" s="212">
        <f>IF($E8="","",IF($E8="Inventory",IFERROR(VLOOKUP($C8,Inventory!$B:$H,7,FALSE()),0),IF($E8="Non Inventory",IFERROR(VLOOKUP($C8,'Non Inventory'!$B:$H,7,FALSE()),0),IF($E8="Services",IFERROR(VLOOKUP($C8,Services!$B:$H,7,FALSE()),0),IF($E8="Patty Cash",IFERROR(VLOOKUP($C8,'Patty Cash'!$B:$H,7,FALSE()),0),0)))))</f>
        <v>60</v>
      </c>
      <c r="I8" s="213" t="s">
        <v>40</v>
      </c>
      <c r="J8" s="214" t="s">
        <v>1201</v>
      </c>
      <c r="K8" s="215" t="s">
        <v>1199</v>
      </c>
      <c r="L8" s="197" t="s">
        <v>1195</v>
      </c>
      <c r="M8" s="215" t="s">
        <v>1196</v>
      </c>
      <c r="N8" s="216">
        <f>IFERROR(IF($E8="Inventory",VLOOKUP($C8,Inventory!$B:$I,8,FALSE()),IF($E8="Non Inventory",VLOOKUP($C8,'Non Inventory'!$B:$I,8,FALSE()),IF($E8="Services",VLOOKUP($C8,Services!$B:$I,8,FALSE()),IF($E8="Patty Cash",VLOOKUP($C8,'Patty Cash'!$B:$J,8,FALSE()),0)))),0)</f>
        <v>124</v>
      </c>
      <c r="O8" s="217">
        <f t="shared" si="0"/>
        <v>372</v>
      </c>
    </row>
    <row r="9" spans="1:15" ht="23.1" customHeight="1">
      <c r="A9" s="206">
        <f>IF(AND($B9="",$C9=""),"",MAX($A$3:A8)+1)</f>
        <v>6</v>
      </c>
      <c r="B9" s="207">
        <v>46146</v>
      </c>
      <c r="C9" s="208">
        <v>11468</v>
      </c>
      <c r="D9" s="209" t="str">
        <f>IFERROR(IF($E9="Inventory",VLOOKUP($C9,Inventory!$B:$I,2,FALSE()),IF($E9="Non Inventory",VLOOKUP($C9,'Non Inventory'!$B:$I,2,FALSE()),IF($E9="Services",VLOOKUP($C9,Services!$B:$I,2,FALSE()),IF($E9="Patty Cash",VLOOKUP($C9,'Patty Cash'!$B:$J,2,FALSE()),"")))),"")</f>
        <v>Timing Belt S5M P/N #091-8500-04, B250DBS5M-975, Width 25mm</v>
      </c>
      <c r="E9" s="246" t="s">
        <v>6</v>
      </c>
      <c r="F9" s="210" t="str">
        <f>IFERROR(IF($E9="Inventory",VLOOKUP($C9,Inventory!$B:$I,3,FALSE()),IF($E9="Non Inventory",VLOOKUP($C9,'Non Inventory'!$B:$I,3,FALSE()),IF($E9="Services",VLOOKUP($C9,Services!$B:$I,3,FALSE()),IF($E9="Patty Cash",VLOOKUP($C9,'Patty Cash'!$B:$J,3,FALSE()),"")))),"")</f>
        <v>NOS</v>
      </c>
      <c r="G9" s="211">
        <v>1</v>
      </c>
      <c r="H9" s="212">
        <f>IF($E9="","",IF($E9="Inventory",IFERROR(VLOOKUP($C9,Inventory!$B:$H,7,FALSE()),0),IF($E9="Non Inventory",IFERROR(VLOOKUP($C9,'Non Inventory'!$B:$H,7,FALSE()),0),IF($E9="Services",IFERROR(VLOOKUP($C9,Services!$B:$H,7,FALSE()),0),IF($E9="Patty Cash",IFERROR(VLOOKUP($C9,'Patty Cash'!$B:$H,7,FALSE()),0),0)))))</f>
        <v>7</v>
      </c>
      <c r="I9" s="213" t="s">
        <v>41</v>
      </c>
      <c r="J9" s="214" t="s">
        <v>1202</v>
      </c>
      <c r="K9" s="215" t="s">
        <v>1203</v>
      </c>
      <c r="L9" s="197" t="s">
        <v>1204</v>
      </c>
      <c r="M9" s="215" t="s">
        <v>1196</v>
      </c>
      <c r="N9" s="216">
        <f>IFERROR(IF($E9="Inventory",VLOOKUP($C9,Inventory!$B:$I,8,FALSE()),IF($E9="Non Inventory",VLOOKUP($C9,'Non Inventory'!$B:$I,8,FALSE()),IF($E9="Services",VLOOKUP($C9,Services!$B:$I,8,FALSE()),IF($E9="Patty Cash",VLOOKUP($C9,'Patty Cash'!$B:$J,8,FALSE()),0)))),0)</f>
        <v>3750</v>
      </c>
      <c r="O9" s="217">
        <f t="shared" si="0"/>
        <v>3750</v>
      </c>
    </row>
    <row r="10" spans="1:15" ht="23.1" customHeight="1">
      <c r="A10" s="206">
        <f>IF(AND($B10="",$C10=""),"",MAX($A$3:A9)+1)</f>
        <v>7</v>
      </c>
      <c r="B10" s="207">
        <v>46146</v>
      </c>
      <c r="C10" s="208">
        <v>13581</v>
      </c>
      <c r="D10" s="209" t="str">
        <f>IFERROR(IF($E10="Inventory",VLOOKUP($C10,Inventory!$B:$I,2,FALSE()),IF($E10="Non Inventory",VLOOKUP($C10,'Non Inventory'!$B:$I,2,FALSE()),IF($E10="Services",VLOOKUP($C10,Services!$B:$I,2,FALSE()),IF($E10="Patty Cash",VLOOKUP($C10,'Patty Cash'!$B:$J,2,FALSE()),"")))),"")</f>
        <v>Photoelectric sensor Model: FS- N18 (Keyence)</v>
      </c>
      <c r="E10" s="246" t="s">
        <v>6</v>
      </c>
      <c r="F10" s="210" t="str">
        <f>IFERROR(IF($E10="Inventory",VLOOKUP($C10,Inventory!$B:$I,3,FALSE()),IF($E10="Non Inventory",VLOOKUP($C10,'Non Inventory'!$B:$I,3,FALSE()),IF($E10="Services",VLOOKUP($C10,Services!$B:$I,3,FALSE()),IF($E10="Patty Cash",VLOOKUP($C10,'Patty Cash'!$B:$J,3,FALSE()),"")))),"")</f>
        <v>NOS</v>
      </c>
      <c r="G10" s="211">
        <v>1</v>
      </c>
      <c r="H10" s="212">
        <f>IF($E10="","",IF($E10="Inventory",IFERROR(VLOOKUP($C10,Inventory!$B:$H,7,FALSE()),0),IF($E10="Non Inventory",IFERROR(VLOOKUP($C10,'Non Inventory'!$B:$H,7,FALSE()),0),IF($E10="Services",IFERROR(VLOOKUP($C10,Services!$B:$H,7,FALSE()),0),IF($E10="Patty Cash",IFERROR(VLOOKUP($C10,'Patty Cash'!$B:$H,7,FALSE()),0),0)))))</f>
        <v>2</v>
      </c>
      <c r="I10" s="213" t="s">
        <v>51</v>
      </c>
      <c r="J10" s="214" t="s">
        <v>1205</v>
      </c>
      <c r="K10" s="215" t="s">
        <v>1206</v>
      </c>
      <c r="L10" s="197" t="s">
        <v>1195</v>
      </c>
      <c r="M10" s="215" t="s">
        <v>1207</v>
      </c>
      <c r="N10" s="216">
        <f>IFERROR(IF($E10="Inventory",VLOOKUP($C10,Inventory!$B:$I,8,FALSE()),IF($E10="Non Inventory",VLOOKUP($C10,'Non Inventory'!$B:$I,8,FALSE()),IF($E10="Services",VLOOKUP($C10,Services!$B:$I,8,FALSE()),IF($E10="Patty Cash",VLOOKUP($C10,'Patty Cash'!$B:$J,8,FALSE()),0)))),0)</f>
        <v>10000</v>
      </c>
      <c r="O10" s="217">
        <f t="shared" si="0"/>
        <v>10000</v>
      </c>
    </row>
    <row r="11" spans="1:15" ht="23.1" customHeight="1">
      <c r="A11" s="206">
        <f>IF(AND($B11="",$C11=""),"",MAX($A$3:A10)+1)</f>
        <v>8</v>
      </c>
      <c r="B11" s="207">
        <v>46146</v>
      </c>
      <c r="C11" s="208">
        <v>20162</v>
      </c>
      <c r="D11" s="209" t="str">
        <f>IFERROR(IF($E11="Inventory",VLOOKUP($C11,Inventory!$B:$I,2,FALSE()),IF($E11="Non Inventory",VLOOKUP($C11,'Non Inventory'!$B:$I,2,FALSE()),IF($E11="Services",VLOOKUP($C11,Services!$B:$I,2,FALSE()),IF($E11="Patty Cash",VLOOKUP($C11,'Patty Cash'!$B:$J,2,FALSE()),"")))),"")</f>
        <v>Digital Frequency Controller M# SWH-10C (Ishida
Packing Machine)</v>
      </c>
      <c r="E11" s="246" t="s">
        <v>6</v>
      </c>
      <c r="F11" s="210" t="str">
        <f>IFERROR(IF($E11="Inventory",VLOOKUP($C11,Inventory!$B:$I,3,FALSE()),IF($E11="Non Inventory",VLOOKUP($C11,'Non Inventory'!$B:$I,3,FALSE()),IF($E11="Services",VLOOKUP($C11,Services!$B:$I,3,FALSE()),IF($E11="Patty Cash",VLOOKUP($C11,'Patty Cash'!$B:$J,3,FALSE()),"")))),"")</f>
        <v>NOS</v>
      </c>
      <c r="G11" s="211">
        <v>1</v>
      </c>
      <c r="H11" s="212">
        <f>IF($E11="","",IF($E11="Inventory",IFERROR(VLOOKUP($C11,Inventory!$B:$H,7,FALSE()),0),IF($E11="Non Inventory",IFERROR(VLOOKUP($C11,'Non Inventory'!$B:$H,7,FALSE()),0),IF($E11="Services",IFERROR(VLOOKUP($C11,Services!$B:$H,7,FALSE()),0),IF($E11="Patty Cash",IFERROR(VLOOKUP($C11,'Patty Cash'!$B:$H,7,FALSE()),0),0)))))</f>
        <v>1</v>
      </c>
      <c r="I11" s="213" t="s">
        <v>40</v>
      </c>
      <c r="J11" s="214" t="s">
        <v>1208</v>
      </c>
      <c r="K11" s="215" t="s">
        <v>1209</v>
      </c>
      <c r="L11" s="197" t="s">
        <v>1195</v>
      </c>
      <c r="M11" s="215" t="s">
        <v>1207</v>
      </c>
      <c r="N11" s="216">
        <f>IFERROR(IF($E11="Inventory",VLOOKUP($C11,Inventory!$B:$I,8,FALSE()),IF($E11="Non Inventory",VLOOKUP($C11,'Non Inventory'!$B:$I,8,FALSE()),IF($E11="Services",VLOOKUP($C11,Services!$B:$I,8,FALSE()),IF($E11="Patty Cash",VLOOKUP($C11,'Patty Cash'!$B:$J,8,FALSE()),0)))),0)</f>
        <v>167000</v>
      </c>
      <c r="O11" s="217">
        <f t="shared" si="0"/>
        <v>167000</v>
      </c>
    </row>
    <row r="12" spans="1:15" s="6" customFormat="1" ht="23.1" customHeight="1">
      <c r="A12" s="206">
        <f>IF(AND($B12="",$C12=""),"",MAX($A$3:A11)+1)</f>
        <v>9</v>
      </c>
      <c r="B12" s="207">
        <v>46146</v>
      </c>
      <c r="C12" s="208">
        <v>21865</v>
      </c>
      <c r="D12" s="209" t="str">
        <f>IFERROR(IF($E12="Inventory",VLOOKUP($C12,Inventory!$B:$I,2,FALSE()),IF($E12="Non Inventory",VLOOKUP($C12,'Non Inventory'!$B:$I,2,FALSE()),IF($E12="Services",VLOOKUP($C12,Services!$B:$I,2,FALSE()),IF($E12="Patty Cash",VLOOKUP($C12,'Patty Cash'!$B:$J,2,FALSE()),"")))),"")</f>
        <v xml:space="preserve">Serv. Monthly Contract For Sng Plant Operation </v>
      </c>
      <c r="E12" s="246" t="s">
        <v>1280</v>
      </c>
      <c r="F12" s="210" t="str">
        <f>IFERROR(IF($E12="Inventory",VLOOKUP($C12,Inventory!$B:$I,3,FALSE()),IF($E12="Non Inventory",VLOOKUP($C12,'Non Inventory'!$B:$I,3,FALSE()),IF($E12="Services",VLOOKUP($C12,Services!$B:$I,3,FALSE()),IF($E12="Patty Cash",VLOOKUP($C12,'Patty Cash'!$B:$J,3,FALSE()),"")))),"")</f>
        <v>NOS</v>
      </c>
      <c r="G12" s="211">
        <v>1</v>
      </c>
      <c r="H12" s="212">
        <f>IF($E12="","",IF($E12="Inventory",IFERROR(VLOOKUP($C12,Inventory!$B:$H,7,FALSE()),0),IF($E12="Non Inventory",IFERROR(VLOOKUP($C12,'Non Inventory'!$B:$H,7,FALSE()),0),IF($E12="Services",IFERROR(VLOOKUP($C12,Services!$B:$H,7,FALSE()),0),IF($E12="Patty Cash",IFERROR(VLOOKUP($C12,'Patty Cash'!$B:$H,7,FALSE()),0),0)))))</f>
        <v>0</v>
      </c>
      <c r="I12" s="213" t="s">
        <v>1320</v>
      </c>
      <c r="J12" s="214" t="s">
        <v>1325</v>
      </c>
      <c r="K12" s="215" t="s">
        <v>1223</v>
      </c>
      <c r="L12" s="197" t="s">
        <v>1195</v>
      </c>
      <c r="M12" s="215" t="s">
        <v>1320</v>
      </c>
      <c r="N12" s="216">
        <f>IFERROR(IF($E12="Inventory",VLOOKUP($C12,Inventory!$B:$I,8,FALSE()),IF($E12="Non Inventory",VLOOKUP($C12,'Non Inventory'!$B:$I,8,FALSE()),IF($E12="Services",VLOOKUP($C12,Services!$B:$I,8,FALSE()),IF($E12="Patty Cash",VLOOKUP($C12,'Patty Cash'!$B:$J,8,FALSE()),0)))),0)</f>
        <v>220000</v>
      </c>
      <c r="O12" s="217">
        <f t="shared" si="0"/>
        <v>220000</v>
      </c>
    </row>
    <row r="13" spans="1:15" ht="23.1" customHeight="1">
      <c r="A13" s="206">
        <f>IF(AND($B13="",$C13=""),"",MAX($A$3:A12)+1)</f>
        <v>10</v>
      </c>
      <c r="B13" s="207">
        <v>46146</v>
      </c>
      <c r="C13" s="208">
        <v>11231</v>
      </c>
      <c r="D13" s="209" t="str">
        <f>IFERROR(IF($E13="Inventory",VLOOKUP($C13,Inventory!$B:$I,2,FALSE()),IF($E13="Non Inventory",VLOOKUP($C13,'Non Inventory'!$B:$I,2,FALSE()),IF($E13="Services",VLOOKUP($C13,Services!$B:$I,2,FALSE()),IF($E13="Patty Cash",VLOOKUP($C13,'Patty Cash'!$B:$J,2,FALSE()),"")))),"")</f>
        <v>Fiber Optic Sensor (Fotek) Model# FPR-51</v>
      </c>
      <c r="E13" s="246" t="s">
        <v>6</v>
      </c>
      <c r="F13" s="210" t="str">
        <f>IFERROR(IF($E13="Inventory",VLOOKUP($C13,Inventory!$B:$I,3,FALSE()),IF($E13="Non Inventory",VLOOKUP($C13,'Non Inventory'!$B:$I,3,FALSE()),IF($E13="Services",VLOOKUP($C13,Services!$B:$I,3,FALSE()),IF($E13="Patty Cash",VLOOKUP($C13,'Patty Cash'!$B:$J,3,FALSE()),"")))),"")</f>
        <v>NOS</v>
      </c>
      <c r="G13" s="211">
        <v>1</v>
      </c>
      <c r="H13" s="212">
        <f>IF($E13="","",IF($E13="Inventory",IFERROR(VLOOKUP($C13,Inventory!$B:$H,7,FALSE()),0),IF($E13="Non Inventory",IFERROR(VLOOKUP($C13,'Non Inventory'!$B:$H,7,FALSE()),0),IF($E13="Services",IFERROR(VLOOKUP($C13,Services!$B:$H,7,FALSE()),0),IF($E13="Patty Cash",IFERROR(VLOOKUP($C13,'Patty Cash'!$B:$H,7,FALSE()),0),0)))))</f>
        <v>15</v>
      </c>
      <c r="I13" s="213" t="s">
        <v>51</v>
      </c>
      <c r="J13" s="214" t="s">
        <v>1205</v>
      </c>
      <c r="K13" s="215" t="s">
        <v>1210</v>
      </c>
      <c r="L13" s="197" t="s">
        <v>1204</v>
      </c>
      <c r="M13" s="215" t="s">
        <v>1207</v>
      </c>
      <c r="N13" s="216">
        <f>IFERROR(IF($E13="Inventory",VLOOKUP($C13,Inventory!$B:$I,8,FALSE()),IF($E13="Non Inventory",VLOOKUP($C13,'Non Inventory'!$B:$I,8,FALSE()),IF($E13="Services",VLOOKUP($C13,Services!$B:$I,8,FALSE()),IF($E13="Patty Cash",VLOOKUP($C13,'Patty Cash'!$B:$J,8,FALSE()),0)))),0)</f>
        <v>3200</v>
      </c>
      <c r="O13" s="217">
        <f t="shared" si="0"/>
        <v>3200</v>
      </c>
    </row>
    <row r="14" spans="1:15" ht="23.1" customHeight="1">
      <c r="A14" s="206">
        <f>IF(AND($B14="",$C14=""),"",MAX($A$3:A13)+1)</f>
        <v>11</v>
      </c>
      <c r="B14" s="207">
        <v>46147</v>
      </c>
      <c r="C14" s="208">
        <v>16895</v>
      </c>
      <c r="D14" s="209" t="str">
        <f>IFERROR(IF($E14="Inventory",VLOOKUP($C14,Inventory!$B:$I,2,FALSE()),IF($E14="Non Inventory",VLOOKUP($C14,'Non Inventory'!$B:$I,2,FALSE()),IF($E14="Services",VLOOKUP($C14,Services!$B:$I,2,FALSE()),IF($E14="Patty Cash",VLOOKUP($C14,'Patty Cash'!$B:$J,2,FALSE()),"")))),"")</f>
        <v>Color Mark Sensor Type BZJ-211 (Sama Machine)</v>
      </c>
      <c r="E14" s="246" t="s">
        <v>6</v>
      </c>
      <c r="F14" s="210" t="str">
        <f>IFERROR(IF($E14="Inventory",VLOOKUP($C14,Inventory!$B:$I,3,FALSE()),IF($E14="Non Inventory",VLOOKUP($C14,'Non Inventory'!$B:$I,3,FALSE()),IF($E14="Services",VLOOKUP($C14,Services!$B:$I,3,FALSE()),IF($E14="Patty Cash",VLOOKUP($C14,'Patty Cash'!$B:$J,3,FALSE()),"")))),"")</f>
        <v>NOS</v>
      </c>
      <c r="G14" s="211">
        <v>1</v>
      </c>
      <c r="H14" s="212">
        <f>IF($E14="","",IF($E14="Inventory",IFERROR(VLOOKUP($C14,Inventory!$B:$H,7,FALSE()),0),IF($E14="Non Inventory",IFERROR(VLOOKUP($C14,'Non Inventory'!$B:$H,7,FALSE()),0),IF($E14="Services",IFERROR(VLOOKUP($C14,Services!$B:$H,7,FALSE()),0),IF($E14="Patty Cash",IFERROR(VLOOKUP($C14,'Patty Cash'!$B:$H,7,FALSE()),0),0)))))</f>
        <v>1</v>
      </c>
      <c r="I14" s="213" t="s">
        <v>77</v>
      </c>
      <c r="J14" s="214" t="s">
        <v>1205</v>
      </c>
      <c r="K14" s="215" t="s">
        <v>1211</v>
      </c>
      <c r="L14" s="197" t="s">
        <v>1204</v>
      </c>
      <c r="M14" s="215" t="s">
        <v>1207</v>
      </c>
      <c r="N14" s="216">
        <f>IFERROR(IF($E14="Inventory",VLOOKUP($C14,Inventory!$B:$I,8,FALSE()),IF($E14="Non Inventory",VLOOKUP($C14,'Non Inventory'!$B:$I,8,FALSE()),IF($E14="Services",VLOOKUP($C14,Services!$B:$I,8,FALSE()),IF($E14="Patty Cash",VLOOKUP($C14,'Patty Cash'!$B:$J,8,FALSE()),0)))),0)</f>
        <v>6800</v>
      </c>
      <c r="O14" s="217">
        <f t="shared" si="0"/>
        <v>6800</v>
      </c>
    </row>
    <row r="15" spans="1:15" ht="23.1" customHeight="1">
      <c r="A15" s="206">
        <f>IF(AND($B15="",$C15=""),"",MAX($A$3:A14)+1)</f>
        <v>12</v>
      </c>
      <c r="B15" s="207">
        <v>46147</v>
      </c>
      <c r="C15" s="208">
        <v>2281</v>
      </c>
      <c r="D15" s="209" t="str">
        <f>IFERROR(IF($E15="Inventory",VLOOKUP($C15,Inventory!$B:$I,2,FALSE()),IF($E15="Non Inventory",VLOOKUP($C15,'Non Inventory'!$B:$I,2,FALSE()),IF($E15="Services",VLOOKUP($C15,Services!$B:$I,2,FALSE()),IF($E15="Patty Cash",VLOOKUP($C15,'Patty Cash'!$B:$J,2,FALSE()),"")))),"")</f>
        <v>Relay 8 Pin 220V Flat Type 94.82 (Finder/Omron)</v>
      </c>
      <c r="E15" s="246" t="s">
        <v>6</v>
      </c>
      <c r="F15" s="210" t="str">
        <f>IFERROR(IF($E15="Inventory",VLOOKUP($C15,Inventory!$B:$I,3,FALSE()),IF($E15="Non Inventory",VLOOKUP($C15,'Non Inventory'!$B:$I,3,FALSE()),IF($E15="Services",VLOOKUP($C15,Services!$B:$I,3,FALSE()),IF($E15="Patty Cash",VLOOKUP($C15,'Patty Cash'!$B:$J,3,FALSE()),"")))),"")</f>
        <v>PCS</v>
      </c>
      <c r="G15" s="211">
        <v>1</v>
      </c>
      <c r="H15" s="212">
        <f>IF($E15="","",IF($E15="Inventory",IFERROR(VLOOKUP($C15,Inventory!$B:$H,7,FALSE()),0),IF($E15="Non Inventory",IFERROR(VLOOKUP($C15,'Non Inventory'!$B:$H,7,FALSE()),0),IF($E15="Services",IFERROR(VLOOKUP($C15,Services!$B:$H,7,FALSE()),0),IF($E15="Patty Cash",IFERROR(VLOOKUP($C15,'Patty Cash'!$B:$H,7,FALSE()),0),0)))))</f>
        <v>32</v>
      </c>
      <c r="I15" s="213" t="s">
        <v>57</v>
      </c>
      <c r="J15" s="214" t="s">
        <v>1212</v>
      </c>
      <c r="K15" s="215" t="s">
        <v>1206</v>
      </c>
      <c r="L15" s="197" t="s">
        <v>1195</v>
      </c>
      <c r="M15" s="215" t="s">
        <v>1207</v>
      </c>
      <c r="N15" s="216">
        <f>IFERROR(IF($E15="Inventory",VLOOKUP($C15,Inventory!$B:$I,8,FALSE()),IF($E15="Non Inventory",VLOOKUP($C15,'Non Inventory'!$B:$I,8,FALSE()),IF($E15="Services",VLOOKUP($C15,Services!$B:$I,8,FALSE()),IF($E15="Patty Cash",VLOOKUP($C15,'Patty Cash'!$B:$J,8,FALSE()),0)))),0)</f>
        <v>350</v>
      </c>
      <c r="O15" s="217">
        <f t="shared" si="0"/>
        <v>350</v>
      </c>
    </row>
    <row r="16" spans="1:15" ht="23.1" customHeight="1">
      <c r="A16" s="206">
        <f>IF(AND($B16="",$C16=""),"",MAX($A$3:A15)+1)</f>
        <v>13</v>
      </c>
      <c r="B16" s="207">
        <v>46147</v>
      </c>
      <c r="C16" s="208">
        <v>10952</v>
      </c>
      <c r="D16" s="209" t="str">
        <f>IFERROR(IF($E16="Inventory",VLOOKUP($C16,Inventory!$B:$I,2,FALSE()),IF($E16="Non Inventory",VLOOKUP($C16,'Non Inventory'!$B:$I,2,FALSE()),IF($E16="Services",VLOOKUP($C16,Services!$B:$I,2,FALSE()),IF($E16="Patty Cash",VLOOKUP($C16,'Patty Cash'!$B:$J,2,FALSE()),"")))),"")</f>
        <v>Cutting Knife Size L=246mm, W=66mm, T=0.8mm (Tecalit Plant)</v>
      </c>
      <c r="E16" s="246" t="s">
        <v>7</v>
      </c>
      <c r="F16" s="210" t="str">
        <f>IFERROR(IF($E16="Inventory",VLOOKUP($C16,Inventory!$B:$I,3,FALSE()),IF($E16="Non Inventory",VLOOKUP($C16,'Non Inventory'!$B:$I,3,FALSE()),IF($E16="Services",VLOOKUP($C16,Services!$B:$I,3,FALSE()),IF($E16="Patty Cash",VLOOKUP($C16,'Patty Cash'!$B:$J,3,FALSE()),"")))),"")</f>
        <v>NOS</v>
      </c>
      <c r="G16" s="211">
        <v>1</v>
      </c>
      <c r="H16" s="212">
        <f>IF($E16="","",IF($E16="Inventory",IFERROR(VLOOKUP($C16,Inventory!$B:$H,7,FALSE()),0),IF($E16="Non Inventory",IFERROR(VLOOKUP($C16,'Non Inventory'!$B:$H,7,FALSE()),0),IF($E16="Services",IFERROR(VLOOKUP($C16,Services!$B:$H,7,FALSE()),0),IF($E16="Patty Cash",IFERROR(VLOOKUP($C16,'Patty Cash'!$B:$H,7,FALSE()),0),0)))))</f>
        <v>5</v>
      </c>
      <c r="I16" s="213" t="s">
        <v>57</v>
      </c>
      <c r="J16" s="214" t="s">
        <v>1213</v>
      </c>
      <c r="K16" s="215" t="s">
        <v>1214</v>
      </c>
      <c r="L16" s="197" t="s">
        <v>1204</v>
      </c>
      <c r="M16" s="215" t="s">
        <v>1196</v>
      </c>
      <c r="N16" s="216">
        <f>IFERROR(IF($E16="Inventory",VLOOKUP($C16,Inventory!$B:$I,8,FALSE()),IF($E16="Non Inventory",VLOOKUP($C16,'Non Inventory'!$B:$I,8,FALSE()),IF($E16="Services",VLOOKUP($C16,Services!$B:$I,8,FALSE()),IF($E16="Patty Cash",VLOOKUP($C16,'Patty Cash'!$B:$J,8,FALSE()),0)))),0)</f>
        <v>1150</v>
      </c>
      <c r="O16" s="217">
        <f t="shared" si="0"/>
        <v>1150</v>
      </c>
    </row>
    <row r="17" spans="1:15" ht="23.1" customHeight="1">
      <c r="A17" s="206">
        <f>IF(AND($B17="",$C17=""),"",MAX($A$3:A16)+1)</f>
        <v>14</v>
      </c>
      <c r="B17" s="207">
        <v>46148</v>
      </c>
      <c r="C17" s="208">
        <v>2102</v>
      </c>
      <c r="D17" s="209" t="str">
        <f>IFERROR(IF($E17="Inventory",VLOOKUP($C17,Inventory!$B:$I,2,FALSE()),IF($E17="Non Inventory",VLOOKUP($C17,'Non Inventory'!$B:$I,2,FALSE()),IF($E17="Services",VLOOKUP($C17,Services!$B:$I,2,FALSE()),IF($E17="Patty Cash",VLOOKUP($C17,'Patty Cash'!$B:$J,2,FALSE()),"")))),"")</f>
        <v>BEARING 6007 2RSR/C3</v>
      </c>
      <c r="E17" s="246" t="s">
        <v>6</v>
      </c>
      <c r="F17" s="210" t="str">
        <f>IFERROR(IF($E17="Inventory",VLOOKUP($C17,Inventory!$B:$I,3,FALSE()),IF($E17="Non Inventory",VLOOKUP($C17,'Non Inventory'!$B:$I,3,FALSE()),IF($E17="Services",VLOOKUP($C17,Services!$B:$I,3,FALSE()),IF($E17="Patty Cash",VLOOKUP($C17,'Patty Cash'!$B:$J,3,FALSE()),"")))),"")</f>
        <v>PCS</v>
      </c>
      <c r="G17" s="211">
        <v>1</v>
      </c>
      <c r="H17" s="212">
        <f>IF($E17="","",IF($E17="Inventory",IFERROR(VLOOKUP($C17,Inventory!$B:$H,7,FALSE()),0),IF($E17="Non Inventory",IFERROR(VLOOKUP($C17,'Non Inventory'!$B:$H,7,FALSE()),0),IF($E17="Services",IFERROR(VLOOKUP($C17,Services!$B:$H,7,FALSE()),0),IF($E17="Patty Cash",IFERROR(VLOOKUP($C17,'Patty Cash'!$B:$H,7,FALSE()),0),0)))))</f>
        <v>2</v>
      </c>
      <c r="I17" s="213" t="s">
        <v>57</v>
      </c>
      <c r="J17" s="214" t="s">
        <v>1215</v>
      </c>
      <c r="K17" s="215" t="s">
        <v>1199</v>
      </c>
      <c r="L17" s="197" t="s">
        <v>1195</v>
      </c>
      <c r="M17" s="215" t="s">
        <v>1196</v>
      </c>
      <c r="N17" s="216">
        <f>IFERROR(IF($E17="Inventory",VLOOKUP($C17,Inventory!$B:$I,8,FALSE()),IF($E17="Non Inventory",VLOOKUP($C17,'Non Inventory'!$B:$I,8,FALSE()),IF($E17="Services",VLOOKUP($C17,Services!$B:$I,8,FALSE()),IF($E17="Patty Cash",VLOOKUP($C17,'Patty Cash'!$B:$J,8,FALSE()),0)))),0)</f>
        <v>570</v>
      </c>
      <c r="O17" s="217">
        <f t="shared" si="0"/>
        <v>570</v>
      </c>
    </row>
    <row r="18" spans="1:15" ht="23.1" customHeight="1">
      <c r="A18" s="206">
        <f>IF(AND($B18="",$C18=""),"",MAX($A$3:A17)+1)</f>
        <v>15</v>
      </c>
      <c r="B18" s="207">
        <v>46148</v>
      </c>
      <c r="C18" s="208">
        <v>21140</v>
      </c>
      <c r="D18" s="209" t="str">
        <f>IFERROR(IF($E18="Inventory",VLOOKUP($C18,Inventory!$B:$I,2,FALSE()),IF($E18="Non Inventory",VLOOKUP($C18,'Non Inventory'!$B:$I,2,FALSE()),IF($E18="Services",VLOOKUP($C18,Services!$B:$I,2,FALSE()),IF($E18="Patty Cash",VLOOKUP($C18,'Patty Cash'!$B:$J,2,FALSE()),"")))),"")</f>
        <v>Gas Refrigerant R-32 Cylinder 9.5 Kg</v>
      </c>
      <c r="E18" s="246" t="s">
        <v>7</v>
      </c>
      <c r="F18" s="210" t="str">
        <f>IFERROR(IF($E18="Inventory",VLOOKUP($C18,Inventory!$B:$I,3,FALSE()),IF($E18="Non Inventory",VLOOKUP($C18,'Non Inventory'!$B:$I,3,FALSE()),IF($E18="Services",VLOOKUP($C18,Services!$B:$I,3,FALSE()),IF($E18="Patty Cash",VLOOKUP($C18,'Patty Cash'!$B:$J,3,FALSE()),"")))),"")</f>
        <v>NOS</v>
      </c>
      <c r="G18" s="211">
        <v>1</v>
      </c>
      <c r="H18" s="212">
        <f>IF($E18="","",IF($E18="Inventory",IFERROR(VLOOKUP($C18,Inventory!$B:$H,7,FALSE()),0),IF($E18="Non Inventory",IFERROR(VLOOKUP($C18,'Non Inventory'!$B:$H,7,FALSE()),0),IF($E18="Services",IFERROR(VLOOKUP($C18,Services!$B:$H,7,FALSE()),0),IF($E18="Patty Cash",IFERROR(VLOOKUP($C18,'Patty Cash'!$B:$H,7,FALSE()),0),0)))))</f>
        <v>0</v>
      </c>
      <c r="I18" s="213" t="s">
        <v>57</v>
      </c>
      <c r="J18" s="214" t="s">
        <v>1216</v>
      </c>
      <c r="K18" s="215" t="s">
        <v>1217</v>
      </c>
      <c r="L18" s="197" t="s">
        <v>1195</v>
      </c>
      <c r="M18" s="215" t="s">
        <v>1196</v>
      </c>
      <c r="N18" s="216">
        <f>IFERROR(IF($E18="Inventory",VLOOKUP($C18,Inventory!$B:$I,8,FALSE()),IF($E18="Non Inventory",VLOOKUP($C18,'Non Inventory'!$B:$I,8,FALSE()),IF($E18="Services",VLOOKUP($C18,Services!$B:$I,8,FALSE()),IF($E18="Patty Cash",VLOOKUP($C18,'Patty Cash'!$B:$J,8,FALSE()),0)))),0)</f>
        <v>30475</v>
      </c>
      <c r="O18" s="217">
        <f t="shared" si="0"/>
        <v>30475</v>
      </c>
    </row>
    <row r="19" spans="1:15" ht="23.1" customHeight="1">
      <c r="A19" s="206">
        <f>IF(AND($B19="",$C19=""),"",MAX($A$3:A18)+1)</f>
        <v>16</v>
      </c>
      <c r="B19" s="207">
        <v>46148</v>
      </c>
      <c r="C19" s="208">
        <v>2024</v>
      </c>
      <c r="D19" s="209" t="str">
        <f>IFERROR(IF($E19="Inventory",VLOOKUP($C19,Inventory!$B:$I,2,FALSE()),IF($E19="Non Inventory",VLOOKUP($C19,'Non Inventory'!$B:$I,2,FALSE()),IF($E19="Services",VLOOKUP($C19,Services!$B:$I,2,FALSE()),IF($E19="Patty Cash",VLOOKUP($C19,'Patty Cash'!$B:$J,2,FALSE()),"")))),"")</f>
        <v>Ball Bearing Type 6305 2ZR/C3</v>
      </c>
      <c r="E19" s="246" t="s">
        <v>6</v>
      </c>
      <c r="F19" s="210" t="str">
        <f>IFERROR(IF($E19="Inventory",VLOOKUP($C19,Inventory!$B:$I,3,FALSE()),IF($E19="Non Inventory",VLOOKUP($C19,'Non Inventory'!$B:$I,3,FALSE()),IF($E19="Services",VLOOKUP($C19,Services!$B:$I,3,FALSE()),IF($E19="Patty Cash",VLOOKUP($C19,'Patty Cash'!$B:$J,3,FALSE()),"")))),"")</f>
        <v>PCS</v>
      </c>
      <c r="G19" s="211">
        <v>1</v>
      </c>
      <c r="H19" s="212">
        <f>IF($E19="","",IF($E19="Inventory",IFERROR(VLOOKUP($C19,Inventory!$B:$H,7,FALSE()),0),IF($E19="Non Inventory",IFERROR(VLOOKUP($C19,'Non Inventory'!$B:$H,7,FALSE()),0),IF($E19="Services",IFERROR(VLOOKUP($C19,Services!$B:$H,7,FALSE()),0),IF($E19="Patty Cash",IFERROR(VLOOKUP($C19,'Patty Cash'!$B:$H,7,FALSE()),0),0)))))</f>
        <v>2</v>
      </c>
      <c r="I19" s="213" t="s">
        <v>58</v>
      </c>
      <c r="J19" s="214" t="s">
        <v>1218</v>
      </c>
      <c r="K19" s="215" t="s">
        <v>1199</v>
      </c>
      <c r="L19" s="197" t="s">
        <v>1195</v>
      </c>
      <c r="M19" s="215" t="s">
        <v>1196</v>
      </c>
      <c r="N19" s="216">
        <f>IFERROR(IF($E19="Inventory",VLOOKUP($C19,Inventory!$B:$I,8,FALSE()),IF($E19="Non Inventory",VLOOKUP($C19,'Non Inventory'!$B:$I,8,FALSE()),IF($E19="Services",VLOOKUP($C19,Services!$B:$I,8,FALSE()),IF($E19="Patty Cash",VLOOKUP($C19,'Patty Cash'!$B:$J,8,FALSE()),0)))),0)</f>
        <v>1375</v>
      </c>
      <c r="O19" s="217">
        <f t="shared" si="0"/>
        <v>1375</v>
      </c>
    </row>
    <row r="20" spans="1:15" ht="23.1" customHeight="1">
      <c r="A20" s="206">
        <f>IF(AND($B20="",$C20=""),"",MAX($A$3:A19)+1)</f>
        <v>17</v>
      </c>
      <c r="B20" s="207">
        <v>46148</v>
      </c>
      <c r="C20" s="208">
        <v>7584</v>
      </c>
      <c r="D20" s="209" t="str">
        <f>IFERROR(IF($E20="Inventory",VLOOKUP($C20,Inventory!$B:$I,2,FALSE()),IF($E20="Non Inventory",VLOOKUP($C20,'Non Inventory'!$B:$I,2,FALSE()),IF($E20="Services",VLOOKUP($C20,Services!$B:$I,2,FALSE()),IF($E20="Patty Cash",VLOOKUP($C20,'Patty Cash'!$B:$J,2,FALSE()),"")))),"")</f>
        <v>Pneumatic Socket Size 10mm</v>
      </c>
      <c r="E20" s="246" t="s">
        <v>7</v>
      </c>
      <c r="F20" s="210" t="str">
        <f>IFERROR(IF($E20="Inventory",VLOOKUP($C20,Inventory!$B:$I,3,FALSE()),IF($E20="Non Inventory",VLOOKUP($C20,'Non Inventory'!$B:$I,3,FALSE()),IF($E20="Services",VLOOKUP($C20,Services!$B:$I,3,FALSE()),IF($E20="Patty Cash",VLOOKUP($C20,'Patty Cash'!$B:$J,3,FALSE()),"")))),"")</f>
        <v>NOS</v>
      </c>
      <c r="G20" s="211">
        <v>1</v>
      </c>
      <c r="H20" s="212">
        <f>IF($E20="","",IF($E20="Inventory",IFERROR(VLOOKUP($C20,Inventory!$B:$H,7,FALSE()),0),IF($E20="Non Inventory",IFERROR(VLOOKUP($C20,'Non Inventory'!$B:$H,7,FALSE()),0),IF($E20="Services",IFERROR(VLOOKUP($C20,Services!$B:$H,7,FALSE()),0),IF($E20="Patty Cash",IFERROR(VLOOKUP($C20,'Patty Cash'!$B:$H,7,FALSE()),0),0)))))</f>
        <v>2</v>
      </c>
      <c r="I20" s="213" t="s">
        <v>1222</v>
      </c>
      <c r="J20" s="214" t="s">
        <v>1200</v>
      </c>
      <c r="K20" s="215" t="s">
        <v>1197</v>
      </c>
      <c r="L20" s="197" t="s">
        <v>1195</v>
      </c>
      <c r="M20" s="215" t="s">
        <v>1196</v>
      </c>
      <c r="N20" s="216">
        <f>IFERROR(IF($E20="Inventory",VLOOKUP($C20,Inventory!$B:$I,8,FALSE()),IF($E20="Non Inventory",VLOOKUP($C20,'Non Inventory'!$B:$I,8,FALSE()),IF($E20="Services",VLOOKUP($C20,Services!$B:$I,8,FALSE()),IF($E20="Patty Cash",VLOOKUP($C20,'Patty Cash'!$B:$J,8,FALSE()),0)))),0)</f>
        <v>120</v>
      </c>
      <c r="O20" s="217">
        <f t="shared" si="0"/>
        <v>120</v>
      </c>
    </row>
    <row r="21" spans="1:15" ht="23.1" customHeight="1">
      <c r="A21" s="206">
        <f>IF(AND($B21="",$C21=""),"",MAX($A$3:A20)+1)</f>
        <v>18</v>
      </c>
      <c r="B21" s="207">
        <v>46149</v>
      </c>
      <c r="C21" s="208">
        <v>8994</v>
      </c>
      <c r="D21" s="209" t="str">
        <f>IFERROR(IF($E21="Inventory",VLOOKUP($C21,Inventory!$B:$I,2,FALSE()),IF($E21="Non Inventory",VLOOKUP($C21,'Non Inventory'!$B:$I,2,FALSE()),IF($E21="Services",VLOOKUP($C21,Services!$B:$I,2,FALSE()),IF($E21="Patty Cash",VLOOKUP($C21,'Patty Cash'!$B:$J,2,FALSE()),"")))),"")</f>
        <v>Linear Bushing Bearing LM203242</v>
      </c>
      <c r="E21" s="246" t="s">
        <v>6</v>
      </c>
      <c r="F21" s="210" t="str">
        <f>IFERROR(IF($E21="Inventory",VLOOKUP($C21,Inventory!$B:$I,3,FALSE()),IF($E21="Non Inventory",VLOOKUP($C21,'Non Inventory'!$B:$I,3,FALSE()),IF($E21="Services",VLOOKUP($C21,Services!$B:$I,3,FALSE()),IF($E21="Patty Cash",VLOOKUP($C21,'Patty Cash'!$B:$J,3,FALSE()),"")))),"")</f>
        <v>NOS</v>
      </c>
      <c r="G21" s="211">
        <v>2</v>
      </c>
      <c r="H21" s="212">
        <f>IF($E21="","",IF($E21="Inventory",IFERROR(VLOOKUP($C21,Inventory!$B:$H,7,FALSE()),0),IF($E21="Non Inventory",IFERROR(VLOOKUP($C21,'Non Inventory'!$B:$H,7,FALSE()),0),IF($E21="Services",IFERROR(VLOOKUP($C21,Services!$B:$H,7,FALSE()),0),IF($E21="Patty Cash",IFERROR(VLOOKUP($C21,'Patty Cash'!$B:$H,7,FALSE()),0),0)))))</f>
        <v>17</v>
      </c>
      <c r="I21" s="213" t="s">
        <v>72</v>
      </c>
      <c r="J21" s="214" t="s">
        <v>1219</v>
      </c>
      <c r="K21" s="215" t="s">
        <v>1220</v>
      </c>
      <c r="L21" s="197" t="s">
        <v>1195</v>
      </c>
      <c r="M21" s="215" t="s">
        <v>1196</v>
      </c>
      <c r="N21" s="216">
        <f>IFERROR(IF($E21="Inventory",VLOOKUP($C21,Inventory!$B:$I,8,FALSE()),IF($E21="Non Inventory",VLOOKUP($C21,'Non Inventory'!$B:$I,8,FALSE()),IF($E21="Services",VLOOKUP($C21,Services!$B:$I,8,FALSE()),IF($E21="Patty Cash",VLOOKUP($C21,'Patty Cash'!$B:$J,8,FALSE()),0)))),0)</f>
        <v>1500</v>
      </c>
      <c r="O21" s="217">
        <f t="shared" si="0"/>
        <v>3000</v>
      </c>
    </row>
    <row r="22" spans="1:15" ht="23.1" customHeight="1">
      <c r="A22" s="206">
        <f>IF(AND($B22="",$C22=""),"",MAX($A$3:A21)+1)</f>
        <v>19</v>
      </c>
      <c r="B22" s="207">
        <v>46149</v>
      </c>
      <c r="C22" s="208">
        <v>2722</v>
      </c>
      <c r="D22" s="209" t="str">
        <f>IFERROR(IF($E22="Inventory",VLOOKUP($C22,Inventory!$B:$I,2,FALSE()),IF($E22="Non Inventory",VLOOKUP($C22,'Non Inventory'!$B:$I,2,FALSE()),IF($E22="Services",VLOOKUP($C22,Services!$B:$I,2,FALSE()),IF($E22="Patty Cash",VLOOKUP($C22,'Patty Cash'!$B:$J,2,FALSE()),"")))),"")</f>
        <v>"T" Type Comb Knife Size : L=252mm , W=110mm , T=2.5mm (Material Funner Steel) Ishida Packing Machine</v>
      </c>
      <c r="E22" s="246" t="s">
        <v>6</v>
      </c>
      <c r="F22" s="210" t="str">
        <f>IFERROR(IF($E22="Inventory",VLOOKUP($C22,Inventory!$B:$I,3,FALSE()),IF($E22="Non Inventory",VLOOKUP($C22,'Non Inventory'!$B:$I,3,FALSE()),IF($E22="Services",VLOOKUP($C22,Services!$B:$I,3,FALSE()),IF($E22="Patty Cash",VLOOKUP($C22,'Patty Cash'!$B:$J,3,FALSE()),"")))),"")</f>
        <v>PCS</v>
      </c>
      <c r="G22" s="211">
        <v>1</v>
      </c>
      <c r="H22" s="212">
        <f>IF($E22="","",IF($E22="Inventory",IFERROR(VLOOKUP($C22,Inventory!$B:$H,7,FALSE()),0),IF($E22="Non Inventory",IFERROR(VLOOKUP($C22,'Non Inventory'!$B:$H,7,FALSE()),0),IF($E22="Services",IFERROR(VLOOKUP($C22,Services!$B:$H,7,FALSE()),0),IF($E22="Patty Cash",IFERROR(VLOOKUP($C22,'Patty Cash'!$B:$H,7,FALSE()),0),0)))))</f>
        <v>7</v>
      </c>
      <c r="I22" s="213" t="s">
        <v>42</v>
      </c>
      <c r="J22" s="214" t="s">
        <v>1221</v>
      </c>
      <c r="K22" s="215" t="s">
        <v>1217</v>
      </c>
      <c r="L22" s="197" t="s">
        <v>1195</v>
      </c>
      <c r="M22" s="215" t="s">
        <v>1196</v>
      </c>
      <c r="N22" s="216">
        <f>IFERROR(IF($E22="Inventory",VLOOKUP($C22,Inventory!$B:$I,8,FALSE()),IF($E22="Non Inventory",VLOOKUP($C22,'Non Inventory'!$B:$I,8,FALSE()),IF($E22="Services",VLOOKUP($C22,Services!$B:$I,8,FALSE()),IF($E22="Patty Cash",VLOOKUP($C22,'Patty Cash'!$B:$J,8,FALSE()),0)))),0)</f>
        <v>5500</v>
      </c>
      <c r="O22" s="217">
        <f t="shared" si="0"/>
        <v>5500</v>
      </c>
    </row>
    <row r="23" spans="1:15" ht="23.1" customHeight="1">
      <c r="A23" s="206">
        <f>IF(AND($B23="",$C23=""),"",MAX($A$3:A22)+1)</f>
        <v>20</v>
      </c>
      <c r="B23" s="207">
        <v>46149</v>
      </c>
      <c r="C23" s="208">
        <v>6302</v>
      </c>
      <c r="D23" s="209" t="str">
        <f>IFERROR(IF($E23="Inventory",VLOOKUP($C23,Inventory!$B:$I,2,FALSE()),IF($E23="Non Inventory",VLOOKUP($C23,'Non Inventory'!$B:$I,2,FALSE()),IF($E23="Services",VLOOKUP($C23,Services!$B:$I,2,FALSE()),IF($E23="Patty Cash",VLOOKUP($C23,'Patty Cash'!$B:$J,2,FALSE()),"")))),"")</f>
        <v>Tape Insulation PVC GreenWidth 3/4" x10yds
Nitto/Osaka</v>
      </c>
      <c r="E23" s="246" t="s">
        <v>7</v>
      </c>
      <c r="F23" s="210" t="str">
        <f>IFERROR(IF($E23="Inventory",VLOOKUP($C23,Inventory!$B:$I,3,FALSE()),IF($E23="Non Inventory",VLOOKUP($C23,'Non Inventory'!$B:$I,3,FALSE()),IF($E23="Services",VLOOKUP($C23,Services!$B:$I,3,FALSE()),IF($E23="Patty Cash",VLOOKUP($C23,'Patty Cash'!$B:$J,3,FALSE()),"")))),"")</f>
        <v>NOS</v>
      </c>
      <c r="G23" s="211">
        <v>1</v>
      </c>
      <c r="H23" s="212">
        <f>IF($E23="","",IF($E23="Inventory",IFERROR(VLOOKUP($C23,Inventory!$B:$H,7,FALSE()),0),IF($E23="Non Inventory",IFERROR(VLOOKUP($C23,'Non Inventory'!$B:$H,7,FALSE()),0),IF($E23="Services",IFERROR(VLOOKUP($C23,Services!$B:$H,7,FALSE()),0),IF($E23="Patty Cash",IFERROR(VLOOKUP($C23,'Patty Cash'!$B:$H,7,FALSE()),0),0)))))</f>
        <v>7</v>
      </c>
      <c r="I23" s="213" t="s">
        <v>1305</v>
      </c>
      <c r="J23" s="214" t="s">
        <v>1222</v>
      </c>
      <c r="K23" s="215" t="s">
        <v>1223</v>
      </c>
      <c r="L23" s="197" t="s">
        <v>1195</v>
      </c>
      <c r="M23" s="215" t="s">
        <v>1207</v>
      </c>
      <c r="N23" s="216">
        <f>IFERROR(IF($E23="Inventory",VLOOKUP($C23,Inventory!$B:$I,8,FALSE()),IF($E23="Non Inventory",VLOOKUP($C23,'Non Inventory'!$B:$I,8,FALSE()),IF($E23="Services",VLOOKUP($C23,Services!$B:$I,8,FALSE()),IF($E23="Patty Cash",VLOOKUP($C23,'Patty Cash'!$B:$J,8,FALSE()),0)))),0)</f>
        <v>57</v>
      </c>
      <c r="O23" s="217">
        <f t="shared" si="0"/>
        <v>57</v>
      </c>
    </row>
    <row r="24" spans="1:15" ht="23.1" customHeight="1">
      <c r="A24" s="206">
        <f>IF(AND($B24="",$C24=""),"",MAX($A$3:A23)+1)</f>
        <v>21</v>
      </c>
      <c r="B24" s="207">
        <v>46149</v>
      </c>
      <c r="C24" s="208">
        <v>15596</v>
      </c>
      <c r="D24" s="209" t="str">
        <f>IFERROR(IF($E24="Inventory",VLOOKUP($C24,Inventory!$B:$I,2,FALSE()),IF($E24="Non Inventory",VLOOKUP($C24,'Non Inventory'!$B:$I,2,FALSE()),IF($E24="Services",VLOOKUP($C24,Services!$B:$I,2,FALSE()),IF($E24="Patty Cash",VLOOKUP($C24,'Patty Cash'!$B:$J,2,FALSE()),"")))),"")</f>
        <v>Thermocouple K Type Size 3mm X 50mm</v>
      </c>
      <c r="E24" s="246" t="s">
        <v>6</v>
      </c>
      <c r="F24" s="210" t="str">
        <f>IFERROR(IF($E24="Inventory",VLOOKUP($C24,Inventory!$B:$I,3,FALSE()),IF($E24="Non Inventory",VLOOKUP($C24,'Non Inventory'!$B:$I,3,FALSE()),IF($E24="Services",VLOOKUP($C24,Services!$B:$I,3,FALSE()),IF($E24="Patty Cash",VLOOKUP($C24,'Patty Cash'!$B:$J,3,FALSE()),"")))),"")</f>
        <v>NOS</v>
      </c>
      <c r="G24" s="211">
        <v>1</v>
      </c>
      <c r="H24" s="212">
        <f>IF($E24="","",IF($E24="Inventory",IFERROR(VLOOKUP($C24,Inventory!$B:$H,7,FALSE()),0),IF($E24="Non Inventory",IFERROR(VLOOKUP($C24,'Non Inventory'!$B:$H,7,FALSE()),0),IF($E24="Services",IFERROR(VLOOKUP($C24,Services!$B:$H,7,FALSE()),0),IF($E24="Patty Cash",IFERROR(VLOOKUP($C24,'Patty Cash'!$B:$H,7,FALSE()),0),0)))))</f>
        <v>13</v>
      </c>
      <c r="I24" s="213" t="s">
        <v>42</v>
      </c>
      <c r="J24" s="214" t="s">
        <v>1224</v>
      </c>
      <c r="K24" s="215" t="s">
        <v>1206</v>
      </c>
      <c r="L24" s="197" t="s">
        <v>1195</v>
      </c>
      <c r="M24" s="215" t="s">
        <v>1207</v>
      </c>
      <c r="N24" s="216">
        <f>IFERROR(IF($E24="Inventory",VLOOKUP($C24,Inventory!$B:$I,8,FALSE()),IF($E24="Non Inventory",VLOOKUP($C24,'Non Inventory'!$B:$I,8,FALSE()),IF($E24="Services",VLOOKUP($C24,Services!$B:$I,8,FALSE()),IF($E24="Patty Cash",VLOOKUP($C24,'Patty Cash'!$B:$J,8,FALSE()),0)))),0)</f>
        <v>1500</v>
      </c>
      <c r="O24" s="217">
        <f t="shared" si="0"/>
        <v>1500</v>
      </c>
    </row>
    <row r="25" spans="1:15" ht="23.1" customHeight="1">
      <c r="A25" s="206">
        <f>IF(AND($B25="",$C25=""),"",MAX($A$3:A24)+1)</f>
        <v>22</v>
      </c>
      <c r="B25" s="207">
        <v>46149</v>
      </c>
      <c r="C25" s="208">
        <v>11231</v>
      </c>
      <c r="D25" s="209" t="str">
        <f>IFERROR(IF($E25="Inventory",VLOOKUP($C25,Inventory!$B:$I,2,FALSE()),IF($E25="Non Inventory",VLOOKUP($C25,'Non Inventory'!$B:$I,2,FALSE()),IF($E25="Services",VLOOKUP($C25,Services!$B:$I,2,FALSE()),IF($E25="Patty Cash",VLOOKUP($C25,'Patty Cash'!$B:$J,2,FALSE()),"")))),"")</f>
        <v>Fiber Optic Sensor (Fotek) Model# FPR-51</v>
      </c>
      <c r="E25" s="246" t="s">
        <v>6</v>
      </c>
      <c r="F25" s="210" t="str">
        <f>IFERROR(IF($E25="Inventory",VLOOKUP($C25,Inventory!$B:$I,3,FALSE()),IF($E25="Non Inventory",VLOOKUP($C25,'Non Inventory'!$B:$I,3,FALSE()),IF($E25="Services",VLOOKUP($C25,Services!$B:$I,3,FALSE()),IF($E25="Patty Cash",VLOOKUP($C25,'Patty Cash'!$B:$J,3,FALSE()),"")))),"")</f>
        <v>NOS</v>
      </c>
      <c r="G25" s="211">
        <v>1</v>
      </c>
      <c r="H25" s="212">
        <f>IF($E25="","",IF($E25="Inventory",IFERROR(VLOOKUP($C25,Inventory!$B:$H,7,FALSE()),0),IF($E25="Non Inventory",IFERROR(VLOOKUP($C25,'Non Inventory'!$B:$H,7,FALSE()),0),IF($E25="Services",IFERROR(VLOOKUP($C25,Services!$B:$H,7,FALSE()),0),IF($E25="Patty Cash",IFERROR(VLOOKUP($C25,'Patty Cash'!$B:$H,7,FALSE()),0),0)))))</f>
        <v>15</v>
      </c>
      <c r="I25" s="213" t="s">
        <v>53</v>
      </c>
      <c r="J25" s="214" t="s">
        <v>1205</v>
      </c>
      <c r="K25" s="215" t="s">
        <v>1206</v>
      </c>
      <c r="L25" s="197" t="s">
        <v>1195</v>
      </c>
      <c r="M25" s="215" t="s">
        <v>1207</v>
      </c>
      <c r="N25" s="216">
        <f>IFERROR(IF($E25="Inventory",VLOOKUP($C25,Inventory!$B:$I,8,FALSE()),IF($E25="Non Inventory",VLOOKUP($C25,'Non Inventory'!$B:$I,8,FALSE()),IF($E25="Services",VLOOKUP($C25,Services!$B:$I,8,FALSE()),IF($E25="Patty Cash",VLOOKUP($C25,'Patty Cash'!$B:$J,8,FALSE()),0)))),0)</f>
        <v>3200</v>
      </c>
      <c r="O25" s="217">
        <f t="shared" si="0"/>
        <v>3200</v>
      </c>
    </row>
    <row r="26" spans="1:15" ht="23.1" customHeight="1">
      <c r="A26" s="206">
        <f>IF(AND($B26="",$C26=""),"",MAX($A$3:A25)+1)</f>
        <v>23</v>
      </c>
      <c r="B26" s="207">
        <v>46149</v>
      </c>
      <c r="C26" s="208">
        <v>15596</v>
      </c>
      <c r="D26" s="209" t="str">
        <f>IFERROR(IF($E26="Inventory",VLOOKUP($C26,Inventory!$B:$I,2,FALSE()),IF($E26="Non Inventory",VLOOKUP($C26,'Non Inventory'!$B:$I,2,FALSE()),IF($E26="Services",VLOOKUP($C26,Services!$B:$I,2,FALSE()),IF($E26="Patty Cash",VLOOKUP($C26,'Patty Cash'!$B:$J,2,FALSE()),"")))),"")</f>
        <v>Thermocouple K Type Size 3mm X 50mm</v>
      </c>
      <c r="E26" s="246" t="s">
        <v>6</v>
      </c>
      <c r="F26" s="210" t="str">
        <f>IFERROR(IF($E26="Inventory",VLOOKUP($C26,Inventory!$B:$I,3,FALSE()),IF($E26="Non Inventory",VLOOKUP($C26,'Non Inventory'!$B:$I,3,FALSE()),IF($E26="Services",VLOOKUP($C26,Services!$B:$I,3,FALSE()),IF($E26="Patty Cash",VLOOKUP($C26,'Patty Cash'!$B:$J,3,FALSE()),"")))),"")</f>
        <v>NOS</v>
      </c>
      <c r="G26" s="211">
        <v>1</v>
      </c>
      <c r="H26" s="212">
        <f>IF($E26="","",IF($E26="Inventory",IFERROR(VLOOKUP($C26,Inventory!$B:$H,7,FALSE()),0),IF($E26="Non Inventory",IFERROR(VLOOKUP($C26,'Non Inventory'!$B:$H,7,FALSE()),0),IF($E26="Services",IFERROR(VLOOKUP($C26,Services!$B:$H,7,FALSE()),0),IF($E26="Patty Cash",IFERROR(VLOOKUP($C26,'Patty Cash'!$B:$H,7,FALSE()),0),0)))))</f>
        <v>13</v>
      </c>
      <c r="I26" s="213" t="s">
        <v>42</v>
      </c>
      <c r="J26" s="214" t="s">
        <v>1224</v>
      </c>
      <c r="K26" s="215" t="s">
        <v>1210</v>
      </c>
      <c r="L26" s="197" t="s">
        <v>1204</v>
      </c>
      <c r="M26" s="215" t="s">
        <v>1207</v>
      </c>
      <c r="N26" s="216">
        <f>IFERROR(IF($E26="Inventory",VLOOKUP($C26,Inventory!$B:$I,8,FALSE()),IF($E26="Non Inventory",VLOOKUP($C26,'Non Inventory'!$B:$I,8,FALSE()),IF($E26="Services",VLOOKUP($C26,Services!$B:$I,8,FALSE()),IF($E26="Patty Cash",VLOOKUP($C26,'Patty Cash'!$B:$J,8,FALSE()),0)))),0)</f>
        <v>1500</v>
      </c>
      <c r="O26" s="217">
        <f t="shared" si="0"/>
        <v>1500</v>
      </c>
    </row>
    <row r="27" spans="1:15" ht="23.1" customHeight="1">
      <c r="A27" s="206">
        <f>IF(AND($B27="",$C27=""),"",MAX($A$3:A26)+1)</f>
        <v>24</v>
      </c>
      <c r="B27" s="207">
        <v>46149</v>
      </c>
      <c r="C27" s="208">
        <v>1970</v>
      </c>
      <c r="D27" s="209" t="str">
        <f>IFERROR(IF($E27="Inventory",VLOOKUP($C27,Inventory!$B:$I,2,FALSE()),IF($E27="Non Inventory",VLOOKUP($C27,'Non Inventory'!$B:$I,2,FALSE()),IF($E27="Services",VLOOKUP($C27,Services!$B:$I,2,FALSE()),IF($E27="Patty Cash",VLOOKUP($C27,'Patty Cash'!$B:$J,2,FALSE()),"")))),"")</f>
        <v>Ball Bearing 6004 2ZR C3</v>
      </c>
      <c r="E27" s="246" t="s">
        <v>6</v>
      </c>
      <c r="F27" s="210" t="str">
        <f>IFERROR(IF($E27="Inventory",VLOOKUP($C27,Inventory!$B:$I,3,FALSE()),IF($E27="Non Inventory",VLOOKUP($C27,'Non Inventory'!$B:$I,3,FALSE()),IF($E27="Services",VLOOKUP($C27,Services!$B:$I,3,FALSE()),IF($E27="Patty Cash",VLOOKUP($C27,'Patty Cash'!$B:$J,3,FALSE()),"")))),"")</f>
        <v>PCS</v>
      </c>
      <c r="G27" s="211">
        <v>4</v>
      </c>
      <c r="H27" s="212">
        <f>IF($E27="","",IF($E27="Inventory",IFERROR(VLOOKUP($C27,Inventory!$B:$H,7,FALSE()),0),IF($E27="Non Inventory",IFERROR(VLOOKUP($C27,'Non Inventory'!$B:$H,7,FALSE()),0),IF($E27="Services",IFERROR(VLOOKUP($C27,Services!$B:$H,7,FALSE()),0),IF($E27="Patty Cash",IFERROR(VLOOKUP($C27,'Patty Cash'!$B:$H,7,FALSE()),0),0)))))</f>
        <v>11</v>
      </c>
      <c r="I27" s="213" t="s">
        <v>42</v>
      </c>
      <c r="J27" s="214" t="s">
        <v>1225</v>
      </c>
      <c r="K27" s="215" t="s">
        <v>1203</v>
      </c>
      <c r="L27" s="197" t="s">
        <v>1204</v>
      </c>
      <c r="M27" s="215" t="s">
        <v>1196</v>
      </c>
      <c r="N27" s="216">
        <f>IFERROR(IF($E27="Inventory",VLOOKUP($C27,Inventory!$B:$I,8,FALSE()),IF($E27="Non Inventory",VLOOKUP($C27,'Non Inventory'!$B:$I,8,FALSE()),IF($E27="Services",VLOOKUP($C27,Services!$B:$I,8,FALSE()),IF($E27="Patty Cash",VLOOKUP($C27,'Patty Cash'!$B:$J,8,FALSE()),0)))),0)</f>
        <v>1088</v>
      </c>
      <c r="O27" s="217">
        <f t="shared" si="0"/>
        <v>4352</v>
      </c>
    </row>
    <row r="28" spans="1:15" ht="23.1" customHeight="1">
      <c r="A28" s="206">
        <f>IF(AND($B28="",$C28=""),"",MAX($A$3:A27)+1)</f>
        <v>25</v>
      </c>
      <c r="B28" s="207">
        <v>46149</v>
      </c>
      <c r="C28" s="208">
        <v>19421</v>
      </c>
      <c r="D28" s="209" t="str">
        <f>IFERROR(IF($E28="Inventory",VLOOKUP($C28,Inventory!$B:$I,2,FALSE()),IF($E28="Non Inventory",VLOOKUP($C28,'Non Inventory'!$B:$I,2,FALSE()),IF($E28="Services",VLOOKUP($C28,Services!$B:$I,2,FALSE()),IF($E28="Patty Cash",VLOOKUP($C28,'Patty Cash'!$B:$J,2,FALSE()),"")))),"")</f>
        <v>Film Puling Shaft (Ishida Packing Machine)</v>
      </c>
      <c r="E28" s="246" t="s">
        <v>7</v>
      </c>
      <c r="F28" s="210" t="str">
        <f>IFERROR(IF($E28="Inventory",VLOOKUP($C28,Inventory!$B:$I,3,FALSE()),IF($E28="Non Inventory",VLOOKUP($C28,'Non Inventory'!$B:$I,3,FALSE()),IF($E28="Services",VLOOKUP($C28,Services!$B:$I,3,FALSE()),IF($E28="Patty Cash",VLOOKUP($C28,'Patty Cash'!$B:$J,3,FALSE()),"")))),"")</f>
        <v>NOS</v>
      </c>
      <c r="G28" s="211">
        <v>2</v>
      </c>
      <c r="H28" s="212">
        <f>IF($E28="","",IF($E28="Inventory",IFERROR(VLOOKUP($C28,Inventory!$B:$H,7,FALSE()),0),IF($E28="Non Inventory",IFERROR(VLOOKUP($C28,'Non Inventory'!$B:$H,7,FALSE()),0),IF($E28="Services",IFERROR(VLOOKUP($C28,Services!$B:$H,7,FALSE()),0),IF($E28="Patty Cash",IFERROR(VLOOKUP($C28,'Patty Cash'!$B:$H,7,FALSE()),0),0)))))</f>
        <v>2</v>
      </c>
      <c r="I28" s="213" t="s">
        <v>42</v>
      </c>
      <c r="J28" s="214" t="s">
        <v>1226</v>
      </c>
      <c r="K28" s="215" t="s">
        <v>1214</v>
      </c>
      <c r="L28" s="197" t="s">
        <v>1204</v>
      </c>
      <c r="M28" s="215" t="s">
        <v>1196</v>
      </c>
      <c r="N28" s="216">
        <f>IFERROR(IF($E28="Inventory",VLOOKUP($C28,Inventory!$B:$I,8,FALSE()),IF($E28="Non Inventory",VLOOKUP($C28,'Non Inventory'!$B:$I,8,FALSE()),IF($E28="Services",VLOOKUP($C28,Services!$B:$I,8,FALSE()),IF($E28="Patty Cash",VLOOKUP($C28,'Patty Cash'!$B:$J,8,FALSE()),0)))),0)</f>
        <v>3000</v>
      </c>
      <c r="O28" s="217">
        <f t="shared" si="0"/>
        <v>6000</v>
      </c>
    </row>
    <row r="29" spans="1:15" ht="23.1" customHeight="1">
      <c r="A29" s="206">
        <f>IF(AND($B29="",$C29=""),"",MAX($A$3:A28)+1)</f>
        <v>26</v>
      </c>
      <c r="B29" s="207">
        <v>46150</v>
      </c>
      <c r="C29" s="208">
        <v>10150</v>
      </c>
      <c r="D29" s="209" t="str">
        <f>IFERROR(IF($E29="Inventory",VLOOKUP($C29,Inventory!$B:$I,2,FALSE()),IF($E29="Non Inventory",VLOOKUP($C29,'Non Inventory'!$B:$I,2,FALSE()),IF($E29="Services",VLOOKUP($C29,Services!$B:$I,2,FALSE()),IF($E29="Patty Cash",VLOOKUP($C29,'Patty Cash'!$B:$J,2,FALSE()),"")))),"")</f>
        <v>Limit Switch WL CA 12 (OMRON)</v>
      </c>
      <c r="E29" s="246" t="s">
        <v>7</v>
      </c>
      <c r="F29" s="210" t="str">
        <f>IFERROR(IF($E29="Inventory",VLOOKUP($C29,Inventory!$B:$I,3,FALSE()),IF($E29="Non Inventory",VLOOKUP($C29,'Non Inventory'!$B:$I,3,FALSE()),IF($E29="Services",VLOOKUP($C29,Services!$B:$I,3,FALSE()),IF($E29="Patty Cash",VLOOKUP($C29,'Patty Cash'!$B:$J,3,FALSE()),"")))),"")</f>
        <v>NOS</v>
      </c>
      <c r="G29" s="211">
        <v>1</v>
      </c>
      <c r="H29" s="212">
        <f>IF($E29="","",IF($E29="Inventory",IFERROR(VLOOKUP($C29,Inventory!$B:$H,7,FALSE()),0),IF($E29="Non Inventory",IFERROR(VLOOKUP($C29,'Non Inventory'!$B:$H,7,FALSE()),0),IF($E29="Services",IFERROR(VLOOKUP($C29,Services!$B:$H,7,FALSE()),0),IF($E29="Patty Cash",IFERROR(VLOOKUP($C29,'Patty Cash'!$B:$H,7,FALSE()),0),0)))))</f>
        <v>14</v>
      </c>
      <c r="I29" s="213" t="s">
        <v>62</v>
      </c>
      <c r="J29" s="214" t="s">
        <v>1227</v>
      </c>
      <c r="K29" s="215" t="s">
        <v>1210</v>
      </c>
      <c r="L29" s="197" t="s">
        <v>1204</v>
      </c>
      <c r="M29" s="215" t="s">
        <v>1207</v>
      </c>
      <c r="N29" s="216">
        <f>IFERROR(IF($E29="Inventory",VLOOKUP($C29,Inventory!$B:$I,8,FALSE()),IF($E29="Non Inventory",VLOOKUP($C29,'Non Inventory'!$B:$I,8,FALSE()),IF($E29="Services",VLOOKUP($C29,Services!$B:$I,8,FALSE()),IF($E29="Patty Cash",VLOOKUP($C29,'Patty Cash'!$B:$J,8,FALSE()),0)))),0)</f>
        <v>2500</v>
      </c>
      <c r="O29" s="217">
        <f t="shared" si="0"/>
        <v>2500</v>
      </c>
    </row>
    <row r="30" spans="1:15" ht="23.1" customHeight="1">
      <c r="A30" s="206">
        <f>IF(AND($B30="",$C30=""),"",MAX($A$3:A29)+1)</f>
        <v>27</v>
      </c>
      <c r="B30" s="207">
        <v>46150</v>
      </c>
      <c r="C30" s="208">
        <v>17633</v>
      </c>
      <c r="D30" s="209" t="str">
        <f>IFERROR(IF($E30="Inventory",VLOOKUP($C30,Inventory!$B:$I,2,FALSE()),IF($E30="Non Inventory",VLOOKUP($C30,'Non Inventory'!$B:$I,2,FALSE()),IF($E30="Services",VLOOKUP($C30,Services!$B:$I,2,FALSE()),IF($E30="Patty Cash",VLOOKUP($C30,'Patty Cash'!$B:$J,2,FALSE()),"")))),"")</f>
        <v>Thermocouple K-Type 3 X 120 MM For Ishida Machine</v>
      </c>
      <c r="E30" s="246" t="s">
        <v>6</v>
      </c>
      <c r="F30" s="210" t="str">
        <f>IFERROR(IF($E30="Inventory",VLOOKUP($C30,Inventory!$B:$I,3,FALSE()),IF($E30="Non Inventory",VLOOKUP($C30,'Non Inventory'!$B:$I,3,FALSE()),IF($E30="Services",VLOOKUP($C30,Services!$B:$I,3,FALSE()),IF($E30="Patty Cash",VLOOKUP($C30,'Patty Cash'!$B:$J,3,FALSE()),"")))),"")</f>
        <v>NOS</v>
      </c>
      <c r="G30" s="211">
        <v>1</v>
      </c>
      <c r="H30" s="212">
        <f>IF($E30="","",IF($E30="Inventory",IFERROR(VLOOKUP($C30,Inventory!$B:$H,7,FALSE()),0),IF($E30="Non Inventory",IFERROR(VLOOKUP($C30,'Non Inventory'!$B:$H,7,FALSE()),0),IF($E30="Services",IFERROR(VLOOKUP($C30,Services!$B:$H,7,FALSE()),0),IF($E30="Patty Cash",IFERROR(VLOOKUP($C30,'Patty Cash'!$B:$H,7,FALSE()),0),0)))))</f>
        <v>18</v>
      </c>
      <c r="I30" s="213" t="s">
        <v>42</v>
      </c>
      <c r="J30" s="214" t="s">
        <v>1228</v>
      </c>
      <c r="K30" s="215" t="s">
        <v>1206</v>
      </c>
      <c r="L30" s="197" t="s">
        <v>1195</v>
      </c>
      <c r="M30" s="215" t="s">
        <v>1207</v>
      </c>
      <c r="N30" s="216">
        <f>IFERROR(IF($E30="Inventory",VLOOKUP($C30,Inventory!$B:$I,8,FALSE()),IF($E30="Non Inventory",VLOOKUP($C30,'Non Inventory'!$B:$I,8,FALSE()),IF($E30="Services",VLOOKUP($C30,Services!$B:$I,8,FALSE()),IF($E30="Patty Cash",VLOOKUP($C30,'Patty Cash'!$B:$J,8,FALSE()),0)))),0)</f>
        <v>2500</v>
      </c>
      <c r="O30" s="217">
        <f t="shared" si="0"/>
        <v>2500</v>
      </c>
    </row>
    <row r="31" spans="1:15" ht="23.1" customHeight="1">
      <c r="A31" s="206">
        <f>IF(AND($B31="",$C31=""),"",MAX($A$3:A30)+1)</f>
        <v>28</v>
      </c>
      <c r="B31" s="207">
        <v>46150</v>
      </c>
      <c r="C31" s="208">
        <v>2080</v>
      </c>
      <c r="D31" s="209" t="str">
        <f>IFERROR(IF($E31="Inventory",VLOOKUP($C31,Inventory!$B:$I,2,FALSE()),IF($E31="Non Inventory",VLOOKUP($C31,'Non Inventory'!$B:$I,2,FALSE()),IF($E31="Services",VLOOKUP($C31,Services!$B:$I,2,FALSE()),IF($E31="Patty Cash",VLOOKUP($C31,'Patty Cash'!$B:$J,2,FALSE()),"")))),"")</f>
        <v>Ball Bearing Type 6201 2ZR C3</v>
      </c>
      <c r="E31" s="246" t="s">
        <v>6</v>
      </c>
      <c r="F31" s="210" t="str">
        <f>IFERROR(IF($E31="Inventory",VLOOKUP($C31,Inventory!$B:$I,3,FALSE()),IF($E31="Non Inventory",VLOOKUP($C31,'Non Inventory'!$B:$I,3,FALSE()),IF($E31="Services",VLOOKUP($C31,Services!$B:$I,3,FALSE()),IF($E31="Patty Cash",VLOOKUP($C31,'Patty Cash'!$B:$J,3,FALSE()),"")))),"")</f>
        <v>PCS</v>
      </c>
      <c r="G31" s="211">
        <v>1</v>
      </c>
      <c r="H31" s="212">
        <f>IF($E31="","",IF($E31="Inventory",IFERROR(VLOOKUP($C31,Inventory!$B:$H,7,FALSE()),0),IF($E31="Non Inventory",IFERROR(VLOOKUP($C31,'Non Inventory'!$B:$H,7,FALSE()),0),IF($E31="Services",IFERROR(VLOOKUP($C31,Services!$B:$H,7,FALSE()),0),IF($E31="Patty Cash",IFERROR(VLOOKUP($C31,'Patty Cash'!$B:$H,7,FALSE()),0),0)))))</f>
        <v>11</v>
      </c>
      <c r="I31" s="213" t="s">
        <v>1222</v>
      </c>
      <c r="J31" s="214" t="s">
        <v>1229</v>
      </c>
      <c r="K31" s="215" t="s">
        <v>1203</v>
      </c>
      <c r="L31" s="197" t="s">
        <v>1204</v>
      </c>
      <c r="M31" s="215" t="s">
        <v>1196</v>
      </c>
      <c r="N31" s="216">
        <f>IFERROR(IF($E31="Inventory",VLOOKUP($C31,Inventory!$B:$I,8,FALSE()),IF($E31="Non Inventory",VLOOKUP($C31,'Non Inventory'!$B:$I,8,FALSE()),IF($E31="Services",VLOOKUP($C31,Services!$B:$I,8,FALSE()),IF($E31="Patty Cash",VLOOKUP($C31,'Patty Cash'!$B:$J,8,FALSE()),0)))),0)</f>
        <v>645</v>
      </c>
      <c r="O31" s="217">
        <f t="shared" si="0"/>
        <v>645</v>
      </c>
    </row>
    <row r="32" spans="1:15" ht="23.1" customHeight="1">
      <c r="A32" s="206">
        <f>IF(AND($B32="",$C32=""),"",MAX($A$3:A31)+1)</f>
        <v>29</v>
      </c>
      <c r="B32" s="207">
        <v>46151</v>
      </c>
      <c r="C32" s="208">
        <v>9765</v>
      </c>
      <c r="D32" s="209" t="str">
        <f>IFERROR(IF($E32="Inventory",VLOOKUP($C32,Inventory!$B:$I,2,FALSE()),IF($E32="Non Inventory",VLOOKUP($C32,'Non Inventory'!$B:$I,2,FALSE()),IF($E32="Services",VLOOKUP($C32,Services!$B:$I,2,FALSE()),IF($E32="Patty Cash",VLOOKUP($C32,'Patty Cash'!$B:$J,2,FALSE()),"")))),"")</f>
        <v>Buffing Disc 125mm x 16mm x 7mm Max.63 M/S 13.0RPM (Flexovit)</v>
      </c>
      <c r="E32" s="246" t="s">
        <v>7</v>
      </c>
      <c r="F32" s="210" t="str">
        <f>IFERROR(IF($E32="Inventory",VLOOKUP($C32,Inventory!$B:$I,3,FALSE()),IF($E32="Non Inventory",VLOOKUP($C32,'Non Inventory'!$B:$I,3,FALSE()),IF($E32="Services",VLOOKUP($C32,Services!$B:$I,3,FALSE()),IF($E32="Patty Cash",VLOOKUP($C32,'Patty Cash'!$B:$J,3,FALSE()),"")))),"")</f>
        <v>NOS</v>
      </c>
      <c r="G32" s="211">
        <v>1</v>
      </c>
      <c r="H32" s="212">
        <f>IF($E32="","",IF($E32="Inventory",IFERROR(VLOOKUP($C32,Inventory!$B:$H,7,FALSE()),0),IF($E32="Non Inventory",IFERROR(VLOOKUP($C32,'Non Inventory'!$B:$H,7,FALSE()),0),IF($E32="Services",IFERROR(VLOOKUP($C32,Services!$B:$H,7,FALSE()),0),IF($E32="Patty Cash",IFERROR(VLOOKUP($C32,'Patty Cash'!$B:$H,7,FALSE()),0),0)))))</f>
        <v>30</v>
      </c>
      <c r="I32" s="213" t="s">
        <v>1222</v>
      </c>
      <c r="J32" s="214" t="s">
        <v>1230</v>
      </c>
      <c r="K32" s="215" t="s">
        <v>1199</v>
      </c>
      <c r="L32" s="197" t="s">
        <v>1195</v>
      </c>
      <c r="M32" s="215" t="s">
        <v>1196</v>
      </c>
      <c r="N32" s="216">
        <f>IFERROR(IF($E32="Inventory",VLOOKUP($C32,Inventory!$B:$I,8,FALSE()),IF($E32="Non Inventory",VLOOKUP($C32,'Non Inventory'!$B:$I,8,FALSE()),IF($E32="Services",VLOOKUP($C32,Services!$B:$I,8,FALSE()),IF($E32="Patty Cash",VLOOKUP($C32,'Patty Cash'!$B:$J,8,FALSE()),0)))),0)</f>
        <v>280</v>
      </c>
      <c r="O32" s="217">
        <f t="shared" si="0"/>
        <v>280</v>
      </c>
    </row>
    <row r="33" spans="1:15" ht="23.1" customHeight="1">
      <c r="A33" s="206">
        <f>IF(AND($B33="",$C33=""),"",MAX($A$3:A32)+1)</f>
        <v>30</v>
      </c>
      <c r="B33" s="207">
        <v>46151</v>
      </c>
      <c r="C33" s="208">
        <v>3299</v>
      </c>
      <c r="D33" s="209" t="str">
        <f>IFERROR(IF($E33="Inventory",VLOOKUP($C33,Inventory!$B:$I,2,FALSE()),IF($E33="Non Inventory",VLOOKUP($C33,'Non Inventory'!$B:$I,2,FALSE()),IF($E33="Services",VLOOKUP($C33,Services!$B:$I,2,FALSE()),IF($E33="Patty Cash",VLOOKUP($C33,'Patty Cash'!$B:$J,2,FALSE()),"")))),"")</f>
        <v>Grinding Disc 5" x 5mm x</v>
      </c>
      <c r="E33" s="246" t="s">
        <v>7</v>
      </c>
      <c r="F33" s="210" t="str">
        <f>IFERROR(IF($E33="Inventory",VLOOKUP($C33,Inventory!$B:$I,3,FALSE()),IF($E33="Non Inventory",VLOOKUP($C33,'Non Inventory'!$B:$I,3,FALSE()),IF($E33="Services",VLOOKUP($C33,Services!$B:$I,3,FALSE()),IF($E33="Patty Cash",VLOOKUP($C33,'Patty Cash'!$B:$J,3,FALSE()),"")))),"")</f>
        <v>NOS</v>
      </c>
      <c r="G33" s="211">
        <v>1</v>
      </c>
      <c r="H33" s="212">
        <f>IF($E33="","",IF($E33="Inventory",IFERROR(VLOOKUP($C33,Inventory!$B:$H,7,FALSE()),0),IF($E33="Non Inventory",IFERROR(VLOOKUP($C33,'Non Inventory'!$B:$H,7,FALSE()),0),IF($E33="Services",IFERROR(VLOOKUP($C33,Services!$B:$H,7,FALSE()),0),IF($E33="Patty Cash",IFERROR(VLOOKUP($C33,'Patty Cash'!$B:$H,7,FALSE()),0),0)))))</f>
        <v>5</v>
      </c>
      <c r="I33" s="213" t="s">
        <v>1222</v>
      </c>
      <c r="J33" s="214" t="s">
        <v>1230</v>
      </c>
      <c r="K33" s="215" t="s">
        <v>1199</v>
      </c>
      <c r="L33" s="197" t="s">
        <v>1195</v>
      </c>
      <c r="M33" s="215" t="s">
        <v>1196</v>
      </c>
      <c r="N33" s="216">
        <f>IFERROR(IF($E33="Inventory",VLOOKUP($C33,Inventory!$B:$I,8,FALSE()),IF($E33="Non Inventory",VLOOKUP($C33,'Non Inventory'!$B:$I,8,FALSE()),IF($E33="Services",VLOOKUP($C33,Services!$B:$I,8,FALSE()),IF($E33="Patty Cash",VLOOKUP($C33,'Patty Cash'!$B:$J,8,FALSE()),0)))),0)</f>
        <v>212</v>
      </c>
      <c r="O33" s="217">
        <f t="shared" si="0"/>
        <v>212</v>
      </c>
    </row>
    <row r="34" spans="1:15" ht="23.1" customHeight="1">
      <c r="A34" s="206">
        <f>IF(AND($B34="",$C34=""),"",MAX($A$3:A33)+1)</f>
        <v>31</v>
      </c>
      <c r="B34" s="207">
        <v>46151</v>
      </c>
      <c r="C34" s="208">
        <v>4781</v>
      </c>
      <c r="D34" s="209" t="str">
        <f>IFERROR(IF($E34="Inventory",VLOOKUP($C34,Inventory!$B:$I,2,FALSE()),IF($E34="Non Inventory",VLOOKUP($C34,'Non Inventory'!$B:$I,2,FALSE()),IF($E34="Services",VLOOKUP($C34,Services!$B:$I,2,FALSE()),IF($E34="Patty Cash",VLOOKUP($C34,'Patty Cash'!$B:$J,2,FALSE()),"")))),"")</f>
        <v>S.S Welding Rod 12 NO</v>
      </c>
      <c r="E34" s="246" t="s">
        <v>7</v>
      </c>
      <c r="F34" s="210" t="str">
        <f>IFERROR(IF($E34="Inventory",VLOOKUP($C34,Inventory!$B:$I,3,FALSE()),IF($E34="Non Inventory",VLOOKUP($C34,'Non Inventory'!$B:$I,3,FALSE()),IF($E34="Services",VLOOKUP($C34,Services!$B:$I,3,FALSE()),IF($E34="Patty Cash",VLOOKUP($C34,'Patty Cash'!$B:$J,3,FALSE()),"")))),"")</f>
        <v>KGS</v>
      </c>
      <c r="G34" s="211">
        <v>0.5</v>
      </c>
      <c r="H34" s="212">
        <f>IF($E34="","",IF($E34="Inventory",IFERROR(VLOOKUP($C34,Inventory!$B:$H,7,FALSE()),0),IF($E34="Non Inventory",IFERROR(VLOOKUP($C34,'Non Inventory'!$B:$H,7,FALSE()),0),IF($E34="Services",IFERROR(VLOOKUP($C34,Services!$B:$H,7,FALSE()),0),IF($E34="Patty Cash",IFERROR(VLOOKUP($C34,'Patty Cash'!$B:$H,7,FALSE()),0),0)))))</f>
        <v>0.5</v>
      </c>
      <c r="I34" s="213" t="s">
        <v>1222</v>
      </c>
      <c r="J34" s="214" t="s">
        <v>1230</v>
      </c>
      <c r="K34" s="215" t="s">
        <v>1199</v>
      </c>
      <c r="L34" s="197" t="s">
        <v>1195</v>
      </c>
      <c r="M34" s="215" t="s">
        <v>1196</v>
      </c>
      <c r="N34" s="216">
        <f>IFERROR(IF($E34="Inventory",VLOOKUP($C34,Inventory!$B:$I,8,FALSE()),IF($E34="Non Inventory",VLOOKUP($C34,'Non Inventory'!$B:$I,8,FALSE()),IF($E34="Services",VLOOKUP($C34,Services!$B:$I,8,FALSE()),IF($E34="Patty Cash",VLOOKUP($C34,'Patty Cash'!$B:$J,8,FALSE()),0)))),0)</f>
        <v>3250</v>
      </c>
      <c r="O34" s="217">
        <f t="shared" si="0"/>
        <v>1625</v>
      </c>
    </row>
    <row r="35" spans="1:15" ht="23.1" customHeight="1">
      <c r="A35" s="206">
        <f>IF(AND($B35="",$C35=""),"",MAX($A$3:A34)+1)</f>
        <v>32</v>
      </c>
      <c r="B35" s="207">
        <v>46151</v>
      </c>
      <c r="C35" s="208">
        <v>6212</v>
      </c>
      <c r="D35" s="209" t="str">
        <f>IFERROR(IF($E35="Inventory",VLOOKUP($C35,Inventory!$B:$I,2,FALSE()),IF($E35="Non Inventory",VLOOKUP($C35,'Non Inventory'!$B:$I,2,FALSE()),IF($E35="Services",VLOOKUP($C35,Services!$B:$I,2,FALSE()),IF($E35="Patty Cash",VLOOKUP($C35,'Patty Cash'!$B:$J,2,FALSE()),"")))),"")</f>
        <v>Welding Electrode ( carbon steel) No 10 (3.2 mm) AWS 6013</v>
      </c>
      <c r="E35" s="246" t="s">
        <v>7</v>
      </c>
      <c r="F35" s="210" t="str">
        <f>IFERROR(IF($E35="Inventory",VLOOKUP($C35,Inventory!$B:$I,3,FALSE()),IF($E35="Non Inventory",VLOOKUP($C35,'Non Inventory'!$B:$I,3,FALSE()),IF($E35="Services",VLOOKUP($C35,Services!$B:$I,3,FALSE()),IF($E35="Patty Cash",VLOOKUP($C35,'Patty Cash'!$B:$J,3,FALSE()),"")))),"")</f>
        <v>PAK</v>
      </c>
      <c r="G35" s="211">
        <v>0.5</v>
      </c>
      <c r="H35" s="212">
        <f>IF($E35="","",IF($E35="Inventory",IFERROR(VLOOKUP($C35,Inventory!$B:$H,7,FALSE()),0),IF($E35="Non Inventory",IFERROR(VLOOKUP($C35,'Non Inventory'!$B:$H,7,FALSE()),0),IF($E35="Services",IFERROR(VLOOKUP($C35,Services!$B:$H,7,FALSE()),0),IF($E35="Patty Cash",IFERROR(VLOOKUP($C35,'Patty Cash'!$B:$H,7,FALSE()),0),0)))))</f>
        <v>2</v>
      </c>
      <c r="I35" s="213" t="s">
        <v>1222</v>
      </c>
      <c r="J35" s="214" t="s">
        <v>1230</v>
      </c>
      <c r="K35" s="215" t="s">
        <v>1199</v>
      </c>
      <c r="L35" s="197" t="s">
        <v>1195</v>
      </c>
      <c r="M35" s="215" t="s">
        <v>1196</v>
      </c>
      <c r="N35" s="216">
        <f>IFERROR(IF($E35="Inventory",VLOOKUP($C35,Inventory!$B:$I,8,FALSE()),IF($E35="Non Inventory",VLOOKUP($C35,'Non Inventory'!$B:$I,8,FALSE()),IF($E35="Services",VLOOKUP($C35,Services!$B:$I,8,FALSE()),IF($E35="Patty Cash",VLOOKUP($C35,'Patty Cash'!$B:$J,8,FALSE()),0)))),0)</f>
        <v>4850</v>
      </c>
      <c r="O35" s="217">
        <f t="shared" si="0"/>
        <v>2425</v>
      </c>
    </row>
    <row r="36" spans="1:15" ht="23.1" customHeight="1">
      <c r="A36" s="206">
        <f>IF(AND($B36="",$C36=""),"",MAX($A$3:A35)+1)</f>
        <v>33</v>
      </c>
      <c r="B36" s="207">
        <v>46151</v>
      </c>
      <c r="C36" s="208">
        <v>2123</v>
      </c>
      <c r="D36" s="209" t="str">
        <f>IFERROR(IF($E36="Inventory",VLOOKUP($C36,Inventory!$B:$I,2,FALSE()),IF($E36="Non Inventory",VLOOKUP($C36,'Non Inventory'!$B:$I,2,FALSE()),IF($E36="Services",VLOOKUP($C36,Services!$B:$I,2,FALSE()),IF($E36="Patty Cash",VLOOKUP($C36,'Patty Cash'!$B:$J,2,FALSE()),"")))),"")</f>
        <v>Ball Bearing  6900 RSR C3</v>
      </c>
      <c r="E36" s="246" t="s">
        <v>6</v>
      </c>
      <c r="F36" s="210" t="str">
        <f>IFERROR(IF($E36="Inventory",VLOOKUP($C36,Inventory!$B:$I,3,FALSE()),IF($E36="Non Inventory",VLOOKUP($C36,'Non Inventory'!$B:$I,3,FALSE()),IF($E36="Services",VLOOKUP($C36,Services!$B:$I,3,FALSE()),IF($E36="Patty Cash",VLOOKUP($C36,'Patty Cash'!$B:$J,3,FALSE()),"")))),"")</f>
        <v>PCS</v>
      </c>
      <c r="G36" s="211">
        <v>1</v>
      </c>
      <c r="H36" s="212">
        <f>IF($E36="","",IF($E36="Inventory",IFERROR(VLOOKUP($C36,Inventory!$B:$H,7,FALSE()),0),IF($E36="Non Inventory",IFERROR(VLOOKUP($C36,'Non Inventory'!$B:$H,7,FALSE()),0),IF($E36="Services",IFERROR(VLOOKUP($C36,Services!$B:$H,7,FALSE()),0),IF($E36="Patty Cash",IFERROR(VLOOKUP($C36,'Patty Cash'!$B:$H,7,FALSE()),0),0)))))</f>
        <v>7</v>
      </c>
      <c r="I36" s="213" t="s">
        <v>47</v>
      </c>
      <c r="J36" s="214" t="s">
        <v>1231</v>
      </c>
      <c r="K36" s="215" t="s">
        <v>1232</v>
      </c>
      <c r="L36" s="197" t="s">
        <v>1195</v>
      </c>
      <c r="M36" s="215" t="s">
        <v>1196</v>
      </c>
      <c r="N36" s="216">
        <f>IFERROR(IF($E36="Inventory",VLOOKUP($C36,Inventory!$B:$I,8,FALSE()),IF($E36="Non Inventory",VLOOKUP($C36,'Non Inventory'!$B:$I,8,FALSE()),IF($E36="Services",VLOOKUP($C36,Services!$B:$I,8,FALSE()),IF($E36="Patty Cash",VLOOKUP($C36,'Patty Cash'!$B:$J,8,FALSE()),0)))),0)</f>
        <v>1775</v>
      </c>
      <c r="O36" s="217">
        <f t="shared" si="0"/>
        <v>1775</v>
      </c>
    </row>
    <row r="37" spans="1:15" ht="23.1" customHeight="1">
      <c r="A37" s="206">
        <f>IF(AND($B37="",$C37=""),"",MAX($A$3:A36)+1)</f>
        <v>34</v>
      </c>
      <c r="B37" s="207">
        <v>46151</v>
      </c>
      <c r="C37" s="208">
        <v>2123</v>
      </c>
      <c r="D37" s="209" t="str">
        <f>IFERROR(IF($E37="Inventory",VLOOKUP($C37,Inventory!$B:$I,2,FALSE()),IF($E37="Non Inventory",VLOOKUP($C37,'Non Inventory'!$B:$I,2,FALSE()),IF($E37="Services",VLOOKUP($C37,Services!$B:$I,2,FALSE()),IF($E37="Patty Cash",VLOOKUP($C37,'Patty Cash'!$B:$J,2,FALSE()),"")))),"")</f>
        <v>Ball Bearing  6900 RSR C3</v>
      </c>
      <c r="E37" s="246" t="s">
        <v>6</v>
      </c>
      <c r="F37" s="210" t="str">
        <f>IFERROR(IF($E37="Inventory",VLOOKUP($C37,Inventory!$B:$I,3,FALSE()),IF($E37="Non Inventory",VLOOKUP($C37,'Non Inventory'!$B:$I,3,FALSE()),IF($E37="Services",VLOOKUP($C37,Services!$B:$I,3,FALSE()),IF($E37="Patty Cash",VLOOKUP($C37,'Patty Cash'!$B:$J,3,FALSE()),"")))),"")</f>
        <v>PCS</v>
      </c>
      <c r="G37" s="211">
        <v>2</v>
      </c>
      <c r="H37" s="212">
        <f>IF($E37="","",IF($E37="Inventory",IFERROR(VLOOKUP($C37,Inventory!$B:$H,7,FALSE()),0),IF($E37="Non Inventory",IFERROR(VLOOKUP($C37,'Non Inventory'!$B:$H,7,FALSE()),0),IF($E37="Services",IFERROR(VLOOKUP($C37,Services!$B:$H,7,FALSE()),0),IF($E37="Patty Cash",IFERROR(VLOOKUP($C37,'Patty Cash'!$B:$H,7,FALSE()),0),0)))))</f>
        <v>7</v>
      </c>
      <c r="I37" s="213" t="s">
        <v>44</v>
      </c>
      <c r="J37" s="214" t="s">
        <v>1231</v>
      </c>
      <c r="K37" s="215" t="s">
        <v>1232</v>
      </c>
      <c r="L37" s="197" t="s">
        <v>1195</v>
      </c>
      <c r="M37" s="215" t="s">
        <v>1196</v>
      </c>
      <c r="N37" s="216">
        <f>IFERROR(IF($E37="Inventory",VLOOKUP($C37,Inventory!$B:$I,8,FALSE()),IF($E37="Non Inventory",VLOOKUP($C37,'Non Inventory'!$B:$I,8,FALSE()),IF($E37="Services",VLOOKUP($C37,Services!$B:$I,8,FALSE()),IF($E37="Patty Cash",VLOOKUP($C37,'Patty Cash'!$B:$J,8,FALSE()),0)))),0)</f>
        <v>1775</v>
      </c>
      <c r="O37" s="217">
        <f t="shared" si="0"/>
        <v>3550</v>
      </c>
    </row>
    <row r="38" spans="1:15" ht="23.1" customHeight="1">
      <c r="A38" s="206">
        <f>IF(AND($B38="",$C38=""),"",MAX($A$3:A37)+1)</f>
        <v>35</v>
      </c>
      <c r="B38" s="207">
        <v>46151</v>
      </c>
      <c r="C38" s="208">
        <v>1970</v>
      </c>
      <c r="D38" s="209" t="str">
        <f>IFERROR(IF($E38="Inventory",VLOOKUP($C38,Inventory!$B:$I,2,FALSE()),IF($E38="Non Inventory",VLOOKUP($C38,'Non Inventory'!$B:$I,2,FALSE()),IF($E38="Services",VLOOKUP($C38,Services!$B:$I,2,FALSE()),IF($E38="Patty Cash",VLOOKUP($C38,'Patty Cash'!$B:$J,2,FALSE()),"")))),"")</f>
        <v>Ball Bearing 6004 2ZR C3</v>
      </c>
      <c r="E38" s="246" t="s">
        <v>6</v>
      </c>
      <c r="F38" s="210" t="str">
        <f>IFERROR(IF($E38="Inventory",VLOOKUP($C38,Inventory!$B:$I,3,FALSE()),IF($E38="Non Inventory",VLOOKUP($C38,'Non Inventory'!$B:$I,3,FALSE()),IF($E38="Services",VLOOKUP($C38,Services!$B:$I,3,FALSE()),IF($E38="Patty Cash",VLOOKUP($C38,'Patty Cash'!$B:$J,3,FALSE()),"")))),"")</f>
        <v>PCS</v>
      </c>
      <c r="G38" s="211">
        <v>1</v>
      </c>
      <c r="H38" s="212">
        <f>IF($E38="","",IF($E38="Inventory",IFERROR(VLOOKUP($C38,Inventory!$B:$H,7,FALSE()),0),IF($E38="Non Inventory",IFERROR(VLOOKUP($C38,'Non Inventory'!$B:$H,7,FALSE()),0),IF($E38="Services",IFERROR(VLOOKUP($C38,Services!$B:$H,7,FALSE()),0),IF($E38="Patty Cash",IFERROR(VLOOKUP($C38,'Patty Cash'!$B:$H,7,FALSE()),0),0)))))</f>
        <v>11</v>
      </c>
      <c r="I38" s="213" t="s">
        <v>46</v>
      </c>
      <c r="J38" s="214" t="s">
        <v>1225</v>
      </c>
      <c r="K38" s="215" t="s">
        <v>1232</v>
      </c>
      <c r="L38" s="197" t="s">
        <v>1195</v>
      </c>
      <c r="M38" s="215" t="s">
        <v>1196</v>
      </c>
      <c r="N38" s="216">
        <f>IFERROR(IF($E38="Inventory",VLOOKUP($C38,Inventory!$B:$I,8,FALSE()),IF($E38="Non Inventory",VLOOKUP($C38,'Non Inventory'!$B:$I,8,FALSE()),IF($E38="Services",VLOOKUP($C38,Services!$B:$I,8,FALSE()),IF($E38="Patty Cash",VLOOKUP($C38,'Patty Cash'!$B:$J,8,FALSE()),0)))),0)</f>
        <v>1088</v>
      </c>
      <c r="O38" s="217">
        <f t="shared" si="0"/>
        <v>1088</v>
      </c>
    </row>
    <row r="39" spans="1:15" ht="23.1" customHeight="1">
      <c r="A39" s="206">
        <f>IF(AND($B39="",$C39=""),"",MAX($A$3:A38)+1)</f>
        <v>36</v>
      </c>
      <c r="B39" s="207">
        <v>46151</v>
      </c>
      <c r="C39" s="208">
        <v>19824</v>
      </c>
      <c r="D39" s="209" t="str">
        <f>IFERROR(IF($E39="Inventory",VLOOKUP($C39,Inventory!$B:$I,2,FALSE()),IF($E39="Non Inventory",VLOOKUP($C39,'Non Inventory'!$B:$I,2,FALSE()),IF($E39="Services",VLOOKUP($C39,Services!$B:$I,2,FALSE()),IF($E39="Patty Cash",VLOOKUP($C39,'Patty Cash'!$B:$J,2,FALSE()),"")))),"")</f>
        <v>Vertical Cylinder Plate Size 110 x 20 x 6mm Bolt Size 8mm,Bush Dia 12mm (Ishida Machine)</v>
      </c>
      <c r="E39" s="246" t="s">
        <v>7</v>
      </c>
      <c r="F39" s="210" t="str">
        <f>IFERROR(IF($E39="Inventory",VLOOKUP($C39,Inventory!$B:$I,3,FALSE()),IF($E39="Non Inventory",VLOOKUP($C39,'Non Inventory'!$B:$I,3,FALSE()),IF($E39="Services",VLOOKUP($C39,Services!$B:$I,3,FALSE()),IF($E39="Patty Cash",VLOOKUP($C39,'Patty Cash'!$B:$J,3,FALSE()),"")))),"")</f>
        <v>NOS</v>
      </c>
      <c r="G39" s="211">
        <v>1</v>
      </c>
      <c r="H39" s="212">
        <f>IF($E39="","",IF($E39="Inventory",IFERROR(VLOOKUP($C39,Inventory!$B:$H,7,FALSE()),0),IF($E39="Non Inventory",IFERROR(VLOOKUP($C39,'Non Inventory'!$B:$H,7,FALSE()),0),IF($E39="Services",IFERROR(VLOOKUP($C39,Services!$B:$H,7,FALSE()),0),IF($E39="Patty Cash",IFERROR(VLOOKUP($C39,'Patty Cash'!$B:$H,7,FALSE()),0),0)))))</f>
        <v>10</v>
      </c>
      <c r="I39" s="213" t="s">
        <v>51</v>
      </c>
      <c r="J39" s="214" t="s">
        <v>1233</v>
      </c>
      <c r="K39" s="215" t="s">
        <v>1232</v>
      </c>
      <c r="L39" s="197" t="s">
        <v>1195</v>
      </c>
      <c r="M39" s="215" t="s">
        <v>1196</v>
      </c>
      <c r="N39" s="216">
        <f>IFERROR(IF($E39="Inventory",VLOOKUP($C39,Inventory!$B:$I,8,FALSE()),IF($E39="Non Inventory",VLOOKUP($C39,'Non Inventory'!$B:$I,8,FALSE()),IF($E39="Services",VLOOKUP($C39,Services!$B:$I,8,FALSE()),IF($E39="Patty Cash",VLOOKUP($C39,'Patty Cash'!$B:$J,8,FALSE()),0)))),0)</f>
        <v>2000</v>
      </c>
      <c r="O39" s="217">
        <f t="shared" si="0"/>
        <v>2000</v>
      </c>
    </row>
    <row r="40" spans="1:15" ht="23.1" customHeight="1">
      <c r="A40" s="206">
        <f>IF(AND($B40="",$C40=""),"",MAX($A$3:A39)+1)</f>
        <v>37</v>
      </c>
      <c r="B40" s="207">
        <v>46151</v>
      </c>
      <c r="C40" s="208">
        <v>7968</v>
      </c>
      <c r="D40" s="209" t="str">
        <f>IFERROR(IF($E40="Inventory",VLOOKUP($C40,Inventory!$B:$I,2,FALSE()),IF($E40="Non Inventory",VLOOKUP($C40,'Non Inventory'!$B:$I,2,FALSE()),IF($E40="Services",VLOOKUP($C40,Services!$B:$I,2,FALSE()),IF($E40="Patty Cash",VLOOKUP($C40,'Patty Cash'!$B:$J,2,FALSE()),"")))),"")</f>
        <v>V-BELT B-52</v>
      </c>
      <c r="E40" s="246" t="s">
        <v>7</v>
      </c>
      <c r="F40" s="210" t="str">
        <f>IFERROR(IF($E40="Inventory",VLOOKUP($C40,Inventory!$B:$I,3,FALSE()),IF($E40="Non Inventory",VLOOKUP($C40,'Non Inventory'!$B:$I,3,FALSE()),IF($E40="Services",VLOOKUP($C40,Services!$B:$I,3,FALSE()),IF($E40="Patty Cash",VLOOKUP($C40,'Patty Cash'!$B:$J,3,FALSE()),"")))),"")</f>
        <v>NOS</v>
      </c>
      <c r="G40" s="211">
        <v>1</v>
      </c>
      <c r="H40" s="212">
        <f>IF($E40="","",IF($E40="Inventory",IFERROR(VLOOKUP($C40,Inventory!$B:$H,7,FALSE()),0),IF($E40="Non Inventory",IFERROR(VLOOKUP($C40,'Non Inventory'!$B:$H,7,FALSE()),0),IF($E40="Services",IFERROR(VLOOKUP($C40,Services!$B:$H,7,FALSE()),0),IF($E40="Patty Cash",IFERROR(VLOOKUP($C40,'Patty Cash'!$B:$H,7,FALSE()),0),0)))))</f>
        <v>2</v>
      </c>
      <c r="I40" s="213" t="s">
        <v>55</v>
      </c>
      <c r="J40" s="214" t="s">
        <v>1234</v>
      </c>
      <c r="K40" s="215" t="s">
        <v>1203</v>
      </c>
      <c r="L40" s="197" t="s">
        <v>1204</v>
      </c>
      <c r="M40" s="215" t="s">
        <v>1196</v>
      </c>
      <c r="N40" s="216">
        <f>IFERROR(IF($E40="Inventory",VLOOKUP($C40,Inventory!$B:$I,8,FALSE()),IF($E40="Non Inventory",VLOOKUP($C40,'Non Inventory'!$B:$I,8,FALSE()),IF($E40="Services",VLOOKUP($C40,Services!$B:$I,8,FALSE()),IF($E40="Patty Cash",VLOOKUP($C40,'Patty Cash'!$B:$J,8,FALSE()),0)))),0)</f>
        <v>432</v>
      </c>
      <c r="O40" s="217">
        <f t="shared" si="0"/>
        <v>432</v>
      </c>
    </row>
    <row r="41" spans="1:15" ht="23.1" customHeight="1">
      <c r="A41" s="206">
        <f>IF(AND($B41="",$C41=""),"",MAX($A$3:A40)+1)</f>
        <v>38</v>
      </c>
      <c r="B41" s="207">
        <v>46151</v>
      </c>
      <c r="C41" s="208">
        <v>7503</v>
      </c>
      <c r="D41" s="209" t="str">
        <f>IFERROR(IF($E41="Inventory",VLOOKUP($C41,Inventory!$B:$I,2,FALSE()),IF($E41="Non Inventory",VLOOKUP($C41,'Non Inventory'!$B:$I,2,FALSE()),IF($E41="Services",VLOOKUP($C41,Services!$B:$I,2,FALSE()),IF($E41="Patty Cash",VLOOKUP($C41,'Patty Cash'!$B:$J,2,FALSE()),"")))),"")</f>
        <v>Pneumatic Pipe Size 8mm</v>
      </c>
      <c r="E41" s="246" t="s">
        <v>7</v>
      </c>
      <c r="F41" s="210" t="str">
        <f>IFERROR(IF($E41="Inventory",VLOOKUP($C41,Inventory!$B:$I,3,FALSE()),IF($E41="Non Inventory",VLOOKUP($C41,'Non Inventory'!$B:$I,3,FALSE()),IF($E41="Services",VLOOKUP($C41,Services!$B:$I,3,FALSE()),IF($E41="Patty Cash",VLOOKUP($C41,'Patty Cash'!$B:$J,3,FALSE()),"")))),"")</f>
        <v>MTR</v>
      </c>
      <c r="G41" s="211">
        <v>8</v>
      </c>
      <c r="H41" s="212">
        <f>IF($E41="","",IF($E41="Inventory",IFERROR(VLOOKUP($C41,Inventory!$B:$H,7,FALSE()),0),IF($E41="Non Inventory",IFERROR(VLOOKUP($C41,'Non Inventory'!$B:$H,7,FALSE()),0),IF($E41="Services",IFERROR(VLOOKUP($C41,Services!$B:$H,7,FALSE()),0),IF($E41="Patty Cash",IFERROR(VLOOKUP($C41,'Patty Cash'!$B:$H,7,FALSE()),0),0)))))</f>
        <v>60</v>
      </c>
      <c r="I41" s="213" t="s">
        <v>1222</v>
      </c>
      <c r="J41" s="214" t="s">
        <v>1235</v>
      </c>
      <c r="K41" s="215" t="s">
        <v>1199</v>
      </c>
      <c r="L41" s="197" t="s">
        <v>1195</v>
      </c>
      <c r="M41" s="215" t="s">
        <v>1196</v>
      </c>
      <c r="N41" s="216">
        <f>IFERROR(IF($E41="Inventory",VLOOKUP($C41,Inventory!$B:$I,8,FALSE()),IF($E41="Non Inventory",VLOOKUP($C41,'Non Inventory'!$B:$I,8,FALSE()),IF($E41="Services",VLOOKUP($C41,Services!$B:$I,8,FALSE()),IF($E41="Patty Cash",VLOOKUP($C41,'Patty Cash'!$B:$J,8,FALSE()),0)))),0)</f>
        <v>124</v>
      </c>
      <c r="O41" s="217">
        <f t="shared" si="0"/>
        <v>992</v>
      </c>
    </row>
    <row r="42" spans="1:15" ht="23.1" customHeight="1">
      <c r="A42" s="206">
        <f>IF(AND($B42="",$C42=""),"",MAX($A$3:A41)+1)</f>
        <v>39</v>
      </c>
      <c r="B42" s="207">
        <v>46151</v>
      </c>
      <c r="C42" s="208">
        <v>16780</v>
      </c>
      <c r="D42" s="209" t="str">
        <f>IFERROR(IF($E42="Inventory",VLOOKUP($C42,Inventory!$B:$I,2,FALSE()),IF($E42="Non Inventory",VLOOKUP($C42,'Non Inventory'!$B:$I,2,FALSE()),IF($E42="Services",VLOOKUP($C42,Services!$B:$I,2,FALSE()),IF($E42="Patty Cash",VLOOKUP($C42,'Patty Cash'!$B:$J,2,FALSE()),"")))),"")</f>
        <v>Pneumatic Male Connector Size 1/2" x 8mm</v>
      </c>
      <c r="E42" s="246" t="s">
        <v>7</v>
      </c>
      <c r="F42" s="210" t="str">
        <f>IFERROR(IF($E42="Inventory",VLOOKUP($C42,Inventory!$B:$I,3,FALSE()),IF($E42="Non Inventory",VLOOKUP($C42,'Non Inventory'!$B:$I,3,FALSE()),IF($E42="Services",VLOOKUP($C42,Services!$B:$I,3,FALSE()),IF($E42="Patty Cash",VLOOKUP($C42,'Patty Cash'!$B:$J,3,FALSE()),"")))),"")</f>
        <v>NOS</v>
      </c>
      <c r="G42" s="211">
        <v>1</v>
      </c>
      <c r="H42" s="212">
        <f>IF($E42="","",IF($E42="Inventory",IFERROR(VLOOKUP($C42,Inventory!$B:$H,7,FALSE()),0),IF($E42="Non Inventory",IFERROR(VLOOKUP($C42,'Non Inventory'!$B:$H,7,FALSE()),0),IF($E42="Services",IFERROR(VLOOKUP($C42,Services!$B:$H,7,FALSE()),0),IF($E42="Patty Cash",IFERROR(VLOOKUP($C42,'Patty Cash'!$B:$H,7,FALSE()),0),0)))))</f>
        <v>17</v>
      </c>
      <c r="I42" s="213" t="s">
        <v>1222</v>
      </c>
      <c r="J42" s="214" t="s">
        <v>1235</v>
      </c>
      <c r="K42" s="215" t="s">
        <v>1199</v>
      </c>
      <c r="L42" s="197" t="s">
        <v>1195</v>
      </c>
      <c r="M42" s="215" t="s">
        <v>1196</v>
      </c>
      <c r="N42" s="216">
        <f>IFERROR(IF($E42="Inventory",VLOOKUP($C42,Inventory!$B:$I,8,FALSE()),IF($E42="Non Inventory",VLOOKUP($C42,'Non Inventory'!$B:$I,8,FALSE()),IF($E42="Services",VLOOKUP($C42,Services!$B:$I,8,FALSE()),IF($E42="Patty Cash",VLOOKUP($C42,'Patty Cash'!$B:$J,8,FALSE()),0)))),0)</f>
        <v>250</v>
      </c>
      <c r="O42" s="217">
        <f t="shared" si="0"/>
        <v>250</v>
      </c>
    </row>
    <row r="43" spans="1:15" ht="23.1" customHeight="1">
      <c r="A43" s="206">
        <f>IF(AND($B43="",$C43=""),"",MAX($A$3:A42)+1)</f>
        <v>40</v>
      </c>
      <c r="B43" s="207">
        <v>46151</v>
      </c>
      <c r="C43" s="208">
        <v>9595</v>
      </c>
      <c r="D43" s="209" t="str">
        <f>IFERROR(IF($E43="Inventory",VLOOKUP($C43,Inventory!$B:$I,2,FALSE()),IF($E43="Non Inventory",VLOOKUP($C43,'Non Inventory'!$B:$I,2,FALSE()),IF($E43="Services",VLOOKUP($C43,Services!$B:$I,2,FALSE()),IF($E43="Patty Cash",VLOOKUP($C43,'Patty Cash'!$B:$J,2,FALSE()),"")))),"")</f>
        <v>Cable Ties Size 14"</v>
      </c>
      <c r="E43" s="246" t="s">
        <v>7</v>
      </c>
      <c r="F43" s="210" t="str">
        <f>IFERROR(IF($E43="Inventory",VLOOKUP($C43,Inventory!$B:$I,3,FALSE()),IF($E43="Non Inventory",VLOOKUP($C43,'Non Inventory'!$B:$I,3,FALSE()),IF($E43="Services",VLOOKUP($C43,Services!$B:$I,3,FALSE()),IF($E43="Patty Cash",VLOOKUP($C43,'Patty Cash'!$B:$J,3,FALSE()),"")))),"")</f>
        <v>NOS</v>
      </c>
      <c r="G43" s="211">
        <v>1</v>
      </c>
      <c r="H43" s="212">
        <f>IF($E43="","",IF($E43="Inventory",IFERROR(VLOOKUP($C43,Inventory!$B:$H,7,FALSE()),0),IF($E43="Non Inventory",IFERROR(VLOOKUP($C43,'Non Inventory'!$B:$H,7,FALSE()),0),IF($E43="Services",IFERROR(VLOOKUP($C43,Services!$B:$H,7,FALSE()),0),IF($E43="Patty Cash",IFERROR(VLOOKUP($C43,'Patty Cash'!$B:$H,7,FALSE()),0),0)))))</f>
        <v>13</v>
      </c>
      <c r="I43" s="213" t="s">
        <v>1222</v>
      </c>
      <c r="J43" s="214" t="s">
        <v>1236</v>
      </c>
      <c r="K43" s="215" t="s">
        <v>1206</v>
      </c>
      <c r="L43" s="197" t="s">
        <v>1195</v>
      </c>
      <c r="M43" s="215" t="s">
        <v>1207</v>
      </c>
      <c r="N43" s="216">
        <f>IFERROR(IF($E43="Inventory",VLOOKUP($C43,Inventory!$B:$I,8,FALSE()),IF($E43="Non Inventory",VLOOKUP($C43,'Non Inventory'!$B:$I,8,FALSE()),IF($E43="Services",VLOOKUP($C43,Services!$B:$I,8,FALSE()),IF($E43="Patty Cash",VLOOKUP($C43,'Patty Cash'!$B:$J,8,FALSE()),0)))),0)</f>
        <v>320</v>
      </c>
      <c r="O43" s="217">
        <f t="shared" si="0"/>
        <v>320</v>
      </c>
    </row>
    <row r="44" spans="1:15" ht="23.1" customHeight="1">
      <c r="A44" s="206">
        <f>IF(AND($B44="",$C44=""),"",MAX($A$3:A43)+1)</f>
        <v>41</v>
      </c>
      <c r="B44" s="207">
        <v>46151</v>
      </c>
      <c r="C44" s="208">
        <v>9562</v>
      </c>
      <c r="D44" s="209" t="str">
        <f>IFERROR(IF($E44="Inventory",VLOOKUP($C44,Inventory!$B:$I,2,FALSE()),IF($E44="Non Inventory",VLOOKUP($C44,'Non Inventory'!$B:$I,2,FALSE()),IF($E44="Services",VLOOKUP($C44,Services!$B:$I,2,FALSE()),IF($E44="Patty Cash",VLOOKUP($C44,'Patty Cash'!$B:$J,2,FALSE()),"")))),"")</f>
        <v>Cable Ties Size 18"</v>
      </c>
      <c r="E44" s="246" t="s">
        <v>7</v>
      </c>
      <c r="F44" s="210" t="str">
        <f>IFERROR(IF($E44="Inventory",VLOOKUP($C44,Inventory!$B:$I,3,FALSE()),IF($E44="Non Inventory",VLOOKUP($C44,'Non Inventory'!$B:$I,3,FALSE()),IF($E44="Services",VLOOKUP($C44,Services!$B:$I,3,FALSE()),IF($E44="Patty Cash",VLOOKUP($C44,'Patty Cash'!$B:$J,3,FALSE()),"")))),"")</f>
        <v>NOS</v>
      </c>
      <c r="G44" s="211">
        <v>1</v>
      </c>
      <c r="H44" s="212">
        <f>IF($E44="","",IF($E44="Inventory",IFERROR(VLOOKUP($C44,Inventory!$B:$H,7,FALSE()),0),IF($E44="Non Inventory",IFERROR(VLOOKUP($C44,'Non Inventory'!$B:$H,7,FALSE()),0),IF($E44="Services",IFERROR(VLOOKUP($C44,Services!$B:$H,7,FALSE()),0),IF($E44="Patty Cash",IFERROR(VLOOKUP($C44,'Patty Cash'!$B:$H,7,FALSE()),0),0)))))</f>
        <v>12</v>
      </c>
      <c r="I44" s="213" t="s">
        <v>1222</v>
      </c>
      <c r="J44" s="214" t="s">
        <v>1237</v>
      </c>
      <c r="K44" s="215" t="s">
        <v>1197</v>
      </c>
      <c r="L44" s="197" t="s">
        <v>1195</v>
      </c>
      <c r="M44" s="215" t="s">
        <v>1207</v>
      </c>
      <c r="N44" s="216">
        <f>IFERROR(IF($E44="Inventory",VLOOKUP($C44,Inventory!$B:$I,8,FALSE()),IF($E44="Non Inventory",VLOOKUP($C44,'Non Inventory'!$B:$I,8,FALSE()),IF($E44="Services",VLOOKUP($C44,Services!$B:$I,8,FALSE()),IF($E44="Patty Cash",VLOOKUP($C44,'Patty Cash'!$B:$J,8,FALSE()),0)))),0)</f>
        <v>450</v>
      </c>
      <c r="O44" s="217">
        <f t="shared" si="0"/>
        <v>450</v>
      </c>
    </row>
    <row r="45" spans="1:15" ht="23.1" customHeight="1">
      <c r="A45" s="206">
        <f>IF(AND($B45="",$C45=""),"",MAX($A$3:A44)+1)</f>
        <v>42</v>
      </c>
      <c r="B45" s="207">
        <v>46153</v>
      </c>
      <c r="C45" s="208">
        <v>2722</v>
      </c>
      <c r="D45" s="209" t="str">
        <f>IFERROR(IF($E45="Inventory",VLOOKUP($C45,Inventory!$B:$I,2,FALSE()),IF($E45="Non Inventory",VLOOKUP($C45,'Non Inventory'!$B:$I,2,FALSE()),IF($E45="Services",VLOOKUP($C45,Services!$B:$I,2,FALSE()),IF($E45="Patty Cash",VLOOKUP($C45,'Patty Cash'!$B:$J,2,FALSE()),"")))),"")</f>
        <v>"T" Type Comb Knife Size : L=252mm , W=110mm , T=2.5mm (Material Funner Steel) Ishida Packing Machine</v>
      </c>
      <c r="E45" s="246" t="s">
        <v>6</v>
      </c>
      <c r="F45" s="210" t="str">
        <f>IFERROR(IF($E45="Inventory",VLOOKUP($C45,Inventory!$B:$I,3,FALSE()),IF($E45="Non Inventory",VLOOKUP($C45,'Non Inventory'!$B:$I,3,FALSE()),IF($E45="Services",VLOOKUP($C45,Services!$B:$I,3,FALSE()),IF($E45="Patty Cash",VLOOKUP($C45,'Patty Cash'!$B:$J,3,FALSE()),"")))),"")</f>
        <v>PCS</v>
      </c>
      <c r="G45" s="211">
        <v>1</v>
      </c>
      <c r="H45" s="212">
        <f>IF($E45="","",IF($E45="Inventory",IFERROR(VLOOKUP($C45,Inventory!$B:$H,7,FALSE()),0),IF($E45="Non Inventory",IFERROR(VLOOKUP($C45,'Non Inventory'!$B:$H,7,FALSE()),0),IF($E45="Services",IFERROR(VLOOKUP($C45,Services!$B:$H,7,FALSE()),0),IF($E45="Patty Cash",IFERROR(VLOOKUP($C45,'Patty Cash'!$B:$H,7,FALSE()),0),0)))))</f>
        <v>7</v>
      </c>
      <c r="I45" s="213" t="s">
        <v>47</v>
      </c>
      <c r="J45" s="214" t="s">
        <v>1221</v>
      </c>
      <c r="K45" s="215" t="s">
        <v>1194</v>
      </c>
      <c r="L45" s="197" t="s">
        <v>1195</v>
      </c>
      <c r="M45" s="215" t="s">
        <v>1196</v>
      </c>
      <c r="N45" s="216">
        <f>IFERROR(IF($E45="Inventory",VLOOKUP($C45,Inventory!$B:$I,8,FALSE()),IF($E45="Non Inventory",VLOOKUP($C45,'Non Inventory'!$B:$I,8,FALSE()),IF($E45="Services",VLOOKUP($C45,Services!$B:$I,8,FALSE()),IF($E45="Patty Cash",VLOOKUP($C45,'Patty Cash'!$B:$J,8,FALSE()),0)))),0)</f>
        <v>5500</v>
      </c>
      <c r="O45" s="217">
        <f t="shared" si="0"/>
        <v>5500</v>
      </c>
    </row>
    <row r="46" spans="1:15" ht="23.1" customHeight="1">
      <c r="A46" s="206">
        <f>IF(AND($B46="",$C46=""),"",MAX($A$3:A45)+1)</f>
        <v>43</v>
      </c>
      <c r="B46" s="207">
        <v>46153</v>
      </c>
      <c r="C46" s="208">
        <v>2466</v>
      </c>
      <c r="D46" s="209" t="str">
        <f>IFERROR(IF($E46="Inventory",VLOOKUP($C46,Inventory!$B:$I,2,FALSE()),IF($E46="Non Inventory",VLOOKUP($C46,'Non Inventory'!$B:$I,2,FALSE()),IF($E46="Services",VLOOKUP($C46,Services!$B:$I,2,FALSE()),IF($E46="Patty Cash",VLOOKUP($C46,'Patty Cash'!$B:$J,2,FALSE()),"")))),"")</f>
        <v>EMERGENCY PUSH BUTTON</v>
      </c>
      <c r="E46" s="246" t="s">
        <v>6</v>
      </c>
      <c r="F46" s="210" t="str">
        <f>IFERROR(IF($E46="Inventory",VLOOKUP($C46,Inventory!$B:$I,3,FALSE()),IF($E46="Non Inventory",VLOOKUP($C46,'Non Inventory'!$B:$I,3,FALSE()),IF($E46="Services",VLOOKUP($C46,Services!$B:$I,3,FALSE()),IF($E46="Patty Cash",VLOOKUP($C46,'Patty Cash'!$B:$J,3,FALSE()),"")))),"")</f>
        <v>PCS</v>
      </c>
      <c r="G46" s="211">
        <v>1</v>
      </c>
      <c r="H46" s="212">
        <f>IF($E46="","",IF($E46="Inventory",IFERROR(VLOOKUP($C46,Inventory!$B:$H,7,FALSE()),0),IF($E46="Non Inventory",IFERROR(VLOOKUP($C46,'Non Inventory'!$B:$H,7,FALSE()),0),IF($E46="Services",IFERROR(VLOOKUP($C46,Services!$B:$H,7,FALSE()),0),IF($E46="Patty Cash",IFERROR(VLOOKUP($C46,'Patty Cash'!$B:$H,7,FALSE()),0),0)))))</f>
        <v>0</v>
      </c>
      <c r="I46" s="213" t="s">
        <v>63</v>
      </c>
      <c r="J46" s="214" t="s">
        <v>67</v>
      </c>
      <c r="K46" s="215" t="s">
        <v>1209</v>
      </c>
      <c r="L46" s="197" t="s">
        <v>1195</v>
      </c>
      <c r="M46" s="215" t="s">
        <v>1207</v>
      </c>
      <c r="N46" s="216">
        <f>IFERROR(IF($E46="Inventory",VLOOKUP($C46,Inventory!$B:$I,8,FALSE()),IF($E46="Non Inventory",VLOOKUP($C46,'Non Inventory'!$B:$I,8,FALSE()),IF($E46="Services",VLOOKUP($C46,Services!$B:$I,8,FALSE()),IF($E46="Patty Cash",VLOOKUP($C46,'Patty Cash'!$B:$J,8,FALSE()),0)))),0)</f>
        <v>2100</v>
      </c>
      <c r="O46" s="217">
        <f t="shared" si="0"/>
        <v>2100</v>
      </c>
    </row>
    <row r="47" spans="1:15" ht="23.1" customHeight="1">
      <c r="A47" s="206">
        <f>IF(AND($B47="",$C47=""),"",MAX($A$3:A46)+1)</f>
        <v>44</v>
      </c>
      <c r="B47" s="207">
        <v>46153</v>
      </c>
      <c r="C47" s="208">
        <v>6300</v>
      </c>
      <c r="D47" s="209" t="str">
        <f>IFERROR(IF($E47="Inventory",VLOOKUP($C47,Inventory!$B:$I,2,FALSE()),IF($E47="Non Inventory",VLOOKUP($C47,'Non Inventory'!$B:$I,2,FALSE()),IF($E47="Services",VLOOKUP($C47,Services!$B:$I,2,FALSE()),IF($E47="Patty Cash",VLOOKUP($C47,'Patty Cash'!$B:$J,2,FALSE()),"")))),"")</f>
        <v>Tape Insulation PVC  Black Width 3/4" x10yds Nitto/Osaka</v>
      </c>
      <c r="E47" s="246" t="s">
        <v>7</v>
      </c>
      <c r="F47" s="210" t="str">
        <f>IFERROR(IF($E47="Inventory",VLOOKUP($C47,Inventory!$B:$I,3,FALSE()),IF($E47="Non Inventory",VLOOKUP($C47,'Non Inventory'!$B:$I,3,FALSE()),IF($E47="Services",VLOOKUP($C47,Services!$B:$I,3,FALSE()),IF($E47="Patty Cash",VLOOKUP($C47,'Patty Cash'!$B:$J,3,FALSE()),"")))),"")</f>
        <v>NOS</v>
      </c>
      <c r="G47" s="211">
        <v>1</v>
      </c>
      <c r="H47" s="212">
        <f>IF($E47="","",IF($E47="Inventory",IFERROR(VLOOKUP($C47,Inventory!$B:$H,7,FALSE()),0),IF($E47="Non Inventory",IFERROR(VLOOKUP($C47,'Non Inventory'!$B:$H,7,FALSE()),0),IF($E47="Services",IFERROR(VLOOKUP($C47,Services!$B:$H,7,FALSE()),0),IF($E47="Patty Cash",IFERROR(VLOOKUP($C47,'Patty Cash'!$B:$H,7,FALSE()),0),0)))))</f>
        <v>22</v>
      </c>
      <c r="I47" s="213" t="s">
        <v>1222</v>
      </c>
      <c r="J47" s="214" t="s">
        <v>1236</v>
      </c>
      <c r="K47" s="215" t="s">
        <v>1238</v>
      </c>
      <c r="L47" s="197" t="s">
        <v>1195</v>
      </c>
      <c r="M47" s="215" t="s">
        <v>1207</v>
      </c>
      <c r="N47" s="216">
        <f>IFERROR(IF($E47="Inventory",VLOOKUP($C47,Inventory!$B:$I,8,FALSE()),IF($E47="Non Inventory",VLOOKUP($C47,'Non Inventory'!$B:$I,8,FALSE()),IF($E47="Services",VLOOKUP($C47,Services!$B:$I,8,FALSE()),IF($E47="Patty Cash",VLOOKUP($C47,'Patty Cash'!$B:$J,8,FALSE()),0)))),0)</f>
        <v>57</v>
      </c>
      <c r="O47" s="217">
        <f t="shared" si="0"/>
        <v>57</v>
      </c>
    </row>
    <row r="48" spans="1:15" ht="23.1" customHeight="1">
      <c r="A48" s="206">
        <f>IF(AND($B48="",$C48=""),"",MAX($A$3:A47)+1)</f>
        <v>45</v>
      </c>
      <c r="B48" s="207">
        <v>46153</v>
      </c>
      <c r="C48" s="208">
        <v>3484</v>
      </c>
      <c r="D48" s="209" t="str">
        <f>IFERROR(IF($E48="Inventory",VLOOKUP($C48,Inventory!$B:$I,2,FALSE()),IF($E48="Non Inventory",VLOOKUP($C48,'Non Inventory'!$B:$I,2,FALSE()),IF($E48="Services",VLOOKUP($C48,Services!$B:$I,2,FALSE()),IF($E48="Patty Cash",VLOOKUP($C48,'Patty Cash'!$B:$J,2,FALSE()),"")))),"")</f>
        <v>PVC Connector 100 Amp</v>
      </c>
      <c r="E48" s="246" t="s">
        <v>7</v>
      </c>
      <c r="F48" s="210" t="str">
        <f>IFERROR(IF($E48="Inventory",VLOOKUP($C48,Inventory!$B:$I,3,FALSE()),IF($E48="Non Inventory",VLOOKUP($C48,'Non Inventory'!$B:$I,3,FALSE()),IF($E48="Services",VLOOKUP($C48,Services!$B:$I,3,FALSE()),IF($E48="Patty Cash",VLOOKUP($C48,'Patty Cash'!$B:$J,3,FALSE()),"")))),"")</f>
        <v>NOS</v>
      </c>
      <c r="G48" s="211">
        <v>1</v>
      </c>
      <c r="H48" s="212">
        <f>IF($E48="","",IF($E48="Inventory",IFERROR(VLOOKUP($C48,Inventory!$B:$H,7,FALSE()),0),IF($E48="Non Inventory",IFERROR(VLOOKUP($C48,'Non Inventory'!$B:$H,7,FALSE()),0),IF($E48="Services",IFERROR(VLOOKUP($C48,Services!$B:$H,7,FALSE()),0),IF($E48="Patty Cash",IFERROR(VLOOKUP($C48,'Patty Cash'!$B:$H,7,FALSE()),0),0)))))</f>
        <v>21</v>
      </c>
      <c r="I48" s="213" t="s">
        <v>1222</v>
      </c>
      <c r="J48" s="214" t="s">
        <v>1236</v>
      </c>
      <c r="K48" s="215" t="s">
        <v>1238</v>
      </c>
      <c r="L48" s="197" t="s">
        <v>1195</v>
      </c>
      <c r="M48" s="215" t="s">
        <v>1207</v>
      </c>
      <c r="N48" s="216">
        <f>IFERROR(IF($E48="Inventory",VLOOKUP($C48,Inventory!$B:$I,8,FALSE()),IF($E48="Non Inventory",VLOOKUP($C48,'Non Inventory'!$B:$I,8,FALSE()),IF($E48="Services",VLOOKUP($C48,Services!$B:$I,8,FALSE()),IF($E48="Patty Cash",VLOOKUP($C48,'Patty Cash'!$B:$J,8,FALSE()),0)))),0)</f>
        <v>350</v>
      </c>
      <c r="O48" s="217">
        <f t="shared" si="0"/>
        <v>350</v>
      </c>
    </row>
    <row r="49" spans="1:15" ht="23.1" customHeight="1">
      <c r="A49" s="206">
        <f>IF(AND($B49="",$C49=""),"",MAX($A$3:A48)+1)</f>
        <v>46</v>
      </c>
      <c r="B49" s="207">
        <v>46153</v>
      </c>
      <c r="C49" s="208">
        <v>6253</v>
      </c>
      <c r="D49" s="209" t="str">
        <f>IFERROR(IF($E49="Inventory",VLOOKUP($C49,Inventory!$B:$I,2,FALSE()),IF($E49="Non Inventory",VLOOKUP($C49,'Non Inventory'!$B:$I,2,FALSE()),IF($E49="Services",VLOOKUP($C49,Services!$B:$I,2,FALSE()),IF($E49="Patty Cash",VLOOKUP($C49,'Patty Cash'!$B:$J,2,FALSE()),"")))),"")</f>
        <v>Teflon Tape ( Thread Sealing Tape)</v>
      </c>
      <c r="E49" s="246" t="s">
        <v>7</v>
      </c>
      <c r="F49" s="210" t="str">
        <f>IFERROR(IF($E49="Inventory",VLOOKUP($C49,Inventory!$B:$I,3,FALSE()),IF($E49="Non Inventory",VLOOKUP($C49,'Non Inventory'!$B:$I,3,FALSE()),IF($E49="Services",VLOOKUP($C49,Services!$B:$I,3,FALSE()),IF($E49="Patty Cash",VLOOKUP($C49,'Patty Cash'!$B:$J,3,FALSE()),"")))),"")</f>
        <v>NOS</v>
      </c>
      <c r="G49" s="211">
        <v>2</v>
      </c>
      <c r="H49" s="212">
        <f>IF($E49="","",IF($E49="Inventory",IFERROR(VLOOKUP($C49,Inventory!$B:$H,7,FALSE()),0),IF($E49="Non Inventory",IFERROR(VLOOKUP($C49,'Non Inventory'!$B:$H,7,FALSE()),0),IF($E49="Services",IFERROR(VLOOKUP($C49,Services!$B:$H,7,FALSE()),0),IF($E49="Patty Cash",IFERROR(VLOOKUP($C49,'Patty Cash'!$B:$H,7,FALSE()),0),0)))))</f>
        <v>5</v>
      </c>
      <c r="I49" s="213" t="s">
        <v>57</v>
      </c>
      <c r="J49" s="214" t="s">
        <v>1212</v>
      </c>
      <c r="K49" s="215" t="s">
        <v>1217</v>
      </c>
      <c r="L49" s="197" t="s">
        <v>1195</v>
      </c>
      <c r="M49" s="215" t="s">
        <v>1196</v>
      </c>
      <c r="N49" s="216">
        <f>IFERROR(IF($E49="Inventory",VLOOKUP($C49,Inventory!$B:$I,8,FALSE()),IF($E49="Non Inventory",VLOOKUP($C49,'Non Inventory'!$B:$I,8,FALSE()),IF($E49="Services",VLOOKUP($C49,Services!$B:$I,8,FALSE()),IF($E49="Patty Cash",VLOOKUP($C49,'Patty Cash'!$B:$J,8,FALSE()),0)))),0)</f>
        <v>30</v>
      </c>
      <c r="O49" s="217">
        <f t="shared" si="0"/>
        <v>60</v>
      </c>
    </row>
    <row r="50" spans="1:15" ht="23.1" customHeight="1">
      <c r="A50" s="206">
        <f>IF(AND($B50="",$C50=""),"",MAX($A$3:A49)+1)</f>
        <v>47</v>
      </c>
      <c r="B50" s="207">
        <v>46153</v>
      </c>
      <c r="C50" s="208">
        <v>6253</v>
      </c>
      <c r="D50" s="209" t="str">
        <f>IFERROR(IF($E50="Inventory",VLOOKUP($C50,Inventory!$B:$I,2,FALSE()),IF($E50="Non Inventory",VLOOKUP($C50,'Non Inventory'!$B:$I,2,FALSE()),IF($E50="Services",VLOOKUP($C50,Services!$B:$I,2,FALSE()),IF($E50="Patty Cash",VLOOKUP($C50,'Patty Cash'!$B:$J,2,FALSE()),"")))),"")</f>
        <v>Teflon Tape ( Thread Sealing Tape)</v>
      </c>
      <c r="E50" s="246" t="s">
        <v>7</v>
      </c>
      <c r="F50" s="210" t="str">
        <f>IFERROR(IF($E50="Inventory",VLOOKUP($C50,Inventory!$B:$I,3,FALSE()),IF($E50="Non Inventory",VLOOKUP($C50,'Non Inventory'!$B:$I,3,FALSE()),IF($E50="Services",VLOOKUP($C50,Services!$B:$I,3,FALSE()),IF($E50="Patty Cash",VLOOKUP($C50,'Patty Cash'!$B:$J,3,FALSE()),"")))),"")</f>
        <v>NOS</v>
      </c>
      <c r="G50" s="211">
        <v>2</v>
      </c>
      <c r="H50" s="212">
        <f>IF($E50="","",IF($E50="Inventory",IFERROR(VLOOKUP($C50,Inventory!$B:$H,7,FALSE()),0),IF($E50="Non Inventory",IFERROR(VLOOKUP($C50,'Non Inventory'!$B:$H,7,FALSE()),0),IF($E50="Services",IFERROR(VLOOKUP($C50,Services!$B:$H,7,FALSE()),0),IF($E50="Patty Cash",IFERROR(VLOOKUP($C50,'Patty Cash'!$B:$H,7,FALSE()),0),0)))))</f>
        <v>5</v>
      </c>
      <c r="I50" s="213" t="s">
        <v>1222</v>
      </c>
      <c r="J50" s="214" t="s">
        <v>1239</v>
      </c>
      <c r="K50" s="215" t="s">
        <v>1199</v>
      </c>
      <c r="L50" s="197" t="s">
        <v>1195</v>
      </c>
      <c r="M50" s="215" t="s">
        <v>1196</v>
      </c>
      <c r="N50" s="216">
        <f>IFERROR(IF($E50="Inventory",VLOOKUP($C50,Inventory!$B:$I,8,FALSE()),IF($E50="Non Inventory",VLOOKUP($C50,'Non Inventory'!$B:$I,8,FALSE()),IF($E50="Services",VLOOKUP($C50,Services!$B:$I,8,FALSE()),IF($E50="Patty Cash",VLOOKUP($C50,'Patty Cash'!$B:$J,8,FALSE()),0)))),0)</f>
        <v>30</v>
      </c>
      <c r="O50" s="217">
        <f t="shared" si="0"/>
        <v>60</v>
      </c>
    </row>
    <row r="51" spans="1:15" ht="23.1" customHeight="1">
      <c r="A51" s="206">
        <f>IF(AND($B51="",$C51=""),"",MAX($A$3:A50)+1)</f>
        <v>48</v>
      </c>
      <c r="B51" s="207">
        <v>46153</v>
      </c>
      <c r="C51" s="208">
        <v>25617</v>
      </c>
      <c r="D51" s="209" t="str">
        <f>IFERROR(IF($E51="Inventory",VLOOKUP($C51,Inventory!$B:$I,2,FALSE()),IF($E51="Non Inventory",VLOOKUP($C51,'Non Inventory'!$B:$I,2,FALSE()),IF($E51="Services",VLOOKUP($C51,Services!$B:$I,2,FALSE()),IF($E51="Patty Cash",VLOOKUP($C51,'Patty Cash'!$B:$J,2,FALSE()),"")))),"")</f>
        <v>Magnetic Contactor 220V (Allen Bradley)</v>
      </c>
      <c r="E51" s="246" t="s">
        <v>6</v>
      </c>
      <c r="F51" s="210" t="str">
        <f>IFERROR(IF($E51="Inventory",VLOOKUP($C51,Inventory!$B:$I,3,FALSE()),IF($E51="Non Inventory",VLOOKUP($C51,'Non Inventory'!$B:$I,3,FALSE()),IF($E51="Services",VLOOKUP($C51,Services!$B:$I,3,FALSE()),IF($E51="Patty Cash",VLOOKUP($C51,'Patty Cash'!$B:$J,3,FALSE()),"")))),"")</f>
        <v>NOS</v>
      </c>
      <c r="G51" s="211">
        <v>1</v>
      </c>
      <c r="H51" s="212">
        <f>IF($E51="","",IF($E51="Inventory",IFERROR(VLOOKUP($C51,Inventory!$B:$H,7,FALSE()),0),IF($E51="Non Inventory",IFERROR(VLOOKUP($C51,'Non Inventory'!$B:$H,7,FALSE()),0),IF($E51="Services",IFERROR(VLOOKUP($C51,Services!$B:$H,7,FALSE()),0),IF($E51="Patty Cash",IFERROR(VLOOKUP($C51,'Patty Cash'!$B:$H,7,FALSE()),0),0)))))</f>
        <v>0</v>
      </c>
      <c r="I51" s="213" t="s">
        <v>57</v>
      </c>
      <c r="J51" s="214" t="s">
        <v>1240</v>
      </c>
      <c r="K51" s="215" t="s">
        <v>1209</v>
      </c>
      <c r="L51" s="197" t="s">
        <v>1195</v>
      </c>
      <c r="M51" s="215" t="s">
        <v>1207</v>
      </c>
      <c r="N51" s="216">
        <f>IFERROR(IF($E51="Inventory",VLOOKUP($C51,Inventory!$B:$I,8,FALSE()),IF($E51="Non Inventory",VLOOKUP($C51,'Non Inventory'!$B:$I,8,FALSE()),IF($E51="Services",VLOOKUP($C51,Services!$B:$I,8,FALSE()),IF($E51="Patty Cash",VLOOKUP($C51,'Patty Cash'!$B:$J,8,FALSE()),0)))),0)</f>
        <v>9500</v>
      </c>
      <c r="O51" s="217">
        <f t="shared" si="0"/>
        <v>9500</v>
      </c>
    </row>
    <row r="52" spans="1:15" ht="23.1" customHeight="1">
      <c r="A52" s="206">
        <f>IF(AND($B52="",$C52=""),"",MAX($A$3:A51)+1)</f>
        <v>49</v>
      </c>
      <c r="B52" s="207">
        <v>46153</v>
      </c>
      <c r="C52" s="208">
        <v>10175</v>
      </c>
      <c r="D52" s="209" t="str">
        <f>IFERROR(IF($E52="Inventory",VLOOKUP($C52,Inventory!$B:$I,2,FALSE()),IF($E52="Non Inventory",VLOOKUP($C52,'Non Inventory'!$B:$I,2,FALSE()),IF($E52="Services",VLOOKUP($C52,Services!$B:$I,2,FALSE()),IF($E52="Patty Cash",VLOOKUP($C52,'Patty Cash'!$B:$J,2,FALSE()),"")))),"")</f>
        <v>Universal Joint For PFM Packing Machine Shaft</v>
      </c>
      <c r="E52" s="246" t="s">
        <v>7</v>
      </c>
      <c r="F52" s="210" t="str">
        <f>IFERROR(IF($E52="Inventory",VLOOKUP($C52,Inventory!$B:$I,3,FALSE()),IF($E52="Non Inventory",VLOOKUP($C52,'Non Inventory'!$B:$I,3,FALSE()),IF($E52="Services",VLOOKUP($C52,Services!$B:$I,3,FALSE()),IF($E52="Patty Cash",VLOOKUP($C52,'Patty Cash'!$B:$J,3,FALSE()),"")))),"")</f>
        <v>NOS</v>
      </c>
      <c r="G52" s="211">
        <v>1</v>
      </c>
      <c r="H52" s="212">
        <f>IF($E52="","",IF($E52="Inventory",IFERROR(VLOOKUP($C52,Inventory!$B:$H,7,FALSE()),0),IF($E52="Non Inventory",IFERROR(VLOOKUP($C52,'Non Inventory'!$B:$H,7,FALSE()),0),IF($E52="Services",IFERROR(VLOOKUP($C52,Services!$B:$H,7,FALSE()),0),IF($E52="Patty Cash",IFERROR(VLOOKUP($C52,'Patty Cash'!$B:$H,7,FALSE()),0),0)))))</f>
        <v>5</v>
      </c>
      <c r="I52" s="213" t="s">
        <v>59</v>
      </c>
      <c r="J52" s="214" t="s">
        <v>1241</v>
      </c>
      <c r="K52" s="215" t="s">
        <v>1214</v>
      </c>
      <c r="L52" s="197" t="s">
        <v>1204</v>
      </c>
      <c r="M52" s="215" t="s">
        <v>1196</v>
      </c>
      <c r="N52" s="216">
        <f>IFERROR(IF($E52="Inventory",VLOOKUP($C52,Inventory!$B:$I,8,FALSE()),IF($E52="Non Inventory",VLOOKUP($C52,'Non Inventory'!$B:$I,8,FALSE()),IF($E52="Services",VLOOKUP($C52,Services!$B:$I,8,FALSE()),IF($E52="Patty Cash",VLOOKUP($C52,'Patty Cash'!$B:$J,8,FALSE()),0)))),0)</f>
        <v>6500</v>
      </c>
      <c r="O52" s="217">
        <f t="shared" si="0"/>
        <v>6500</v>
      </c>
    </row>
    <row r="53" spans="1:15" ht="23.1" customHeight="1">
      <c r="A53" s="206">
        <f>IF(AND($B53="",$C53=""),"",MAX($A$3:A52)+1)</f>
        <v>50</v>
      </c>
      <c r="B53" s="207">
        <v>46153</v>
      </c>
      <c r="C53" s="208">
        <v>11468</v>
      </c>
      <c r="D53" s="209" t="str">
        <f>IFERROR(IF($E53="Inventory",VLOOKUP($C53,Inventory!$B:$I,2,FALSE()),IF($E53="Non Inventory",VLOOKUP($C53,'Non Inventory'!$B:$I,2,FALSE()),IF($E53="Services",VLOOKUP($C53,Services!$B:$I,2,FALSE()),IF($E53="Patty Cash",VLOOKUP($C53,'Patty Cash'!$B:$J,2,FALSE()),"")))),"")</f>
        <v>Timing Belt S5M P/N #091-8500-04, B250DBS5M-975, Width 25mm</v>
      </c>
      <c r="E53" s="246" t="s">
        <v>6</v>
      </c>
      <c r="F53" s="210" t="str">
        <f>IFERROR(IF($E53="Inventory",VLOOKUP($C53,Inventory!$B:$I,3,FALSE()),IF($E53="Non Inventory",VLOOKUP($C53,'Non Inventory'!$B:$I,3,FALSE()),IF($E53="Services",VLOOKUP($C53,Services!$B:$I,3,FALSE()),IF($E53="Patty Cash",VLOOKUP($C53,'Patty Cash'!$B:$J,3,FALSE()),"")))),"")</f>
        <v>NOS</v>
      </c>
      <c r="G53" s="211">
        <v>1</v>
      </c>
      <c r="H53" s="212">
        <f>IF($E53="","",IF($E53="Inventory",IFERROR(VLOOKUP($C53,Inventory!$B:$H,7,FALSE()),0),IF($E53="Non Inventory",IFERROR(VLOOKUP($C53,'Non Inventory'!$B:$H,7,FALSE()),0),IF($E53="Services",IFERROR(VLOOKUP($C53,Services!$B:$H,7,FALSE()),0),IF($E53="Patty Cash",IFERROR(VLOOKUP($C53,'Patty Cash'!$B:$H,7,FALSE()),0),0)))))</f>
        <v>7</v>
      </c>
      <c r="I53" s="213" t="s">
        <v>44</v>
      </c>
      <c r="J53" s="214" t="s">
        <v>1202</v>
      </c>
      <c r="K53" s="215" t="s">
        <v>1214</v>
      </c>
      <c r="L53" s="197" t="s">
        <v>1204</v>
      </c>
      <c r="M53" s="215" t="s">
        <v>1196</v>
      </c>
      <c r="N53" s="216">
        <f>IFERROR(IF($E53="Inventory",VLOOKUP($C53,Inventory!$B:$I,8,FALSE()),IF($E53="Non Inventory",VLOOKUP($C53,'Non Inventory'!$B:$I,8,FALSE()),IF($E53="Services",VLOOKUP($C53,Services!$B:$I,8,FALSE()),IF($E53="Patty Cash",VLOOKUP($C53,'Patty Cash'!$B:$J,8,FALSE()),0)))),0)</f>
        <v>3750</v>
      </c>
      <c r="O53" s="217">
        <f t="shared" si="0"/>
        <v>3750</v>
      </c>
    </row>
    <row r="54" spans="1:15" ht="23.1" customHeight="1">
      <c r="A54" s="206">
        <f>IF(AND($B54="",$C54=""),"",MAX($A$3:A53)+1)</f>
        <v>51</v>
      </c>
      <c r="B54" s="207">
        <v>46153</v>
      </c>
      <c r="C54" s="208">
        <v>13581</v>
      </c>
      <c r="D54" s="209" t="str">
        <f>IFERROR(IF($E54="Inventory",VLOOKUP($C54,Inventory!$B:$I,2,FALSE()),IF($E54="Non Inventory",VLOOKUP($C54,'Non Inventory'!$B:$I,2,FALSE()),IF($E54="Services",VLOOKUP($C54,Services!$B:$I,2,FALSE()),IF($E54="Patty Cash",VLOOKUP($C54,'Patty Cash'!$B:$J,2,FALSE()),"")))),"")</f>
        <v>Photoelectric sensor Model: FS- N18 (Keyence)</v>
      </c>
      <c r="E54" s="246" t="s">
        <v>6</v>
      </c>
      <c r="F54" s="210" t="str">
        <f>IFERROR(IF($E54="Inventory",VLOOKUP($C54,Inventory!$B:$I,3,FALSE()),IF($E54="Non Inventory",VLOOKUP($C54,'Non Inventory'!$B:$I,3,FALSE()),IF($E54="Services",VLOOKUP($C54,Services!$B:$I,3,FALSE()),IF($E54="Patty Cash",VLOOKUP($C54,'Patty Cash'!$B:$J,3,FALSE()),"")))),"")</f>
        <v>NOS</v>
      </c>
      <c r="G54" s="211">
        <v>1</v>
      </c>
      <c r="H54" s="212">
        <f>IF($E54="","",IF($E54="Inventory",IFERROR(VLOOKUP($C54,Inventory!$B:$H,7,FALSE()),0),IF($E54="Non Inventory",IFERROR(VLOOKUP($C54,'Non Inventory'!$B:$H,7,FALSE()),0),IF($E54="Services",IFERROR(VLOOKUP($C54,Services!$B:$H,7,FALSE()),0),IF($E54="Patty Cash",IFERROR(VLOOKUP($C54,'Patty Cash'!$B:$H,7,FALSE()),0),0)))))</f>
        <v>2</v>
      </c>
      <c r="I54" s="213" t="s">
        <v>45</v>
      </c>
      <c r="J54" s="214" t="s">
        <v>1205</v>
      </c>
      <c r="K54" s="215" t="s">
        <v>1211</v>
      </c>
      <c r="L54" s="197" t="s">
        <v>1204</v>
      </c>
      <c r="M54" s="215" t="s">
        <v>1196</v>
      </c>
      <c r="N54" s="216">
        <f>IFERROR(IF($E54="Inventory",VLOOKUP($C54,Inventory!$B:$I,8,FALSE()),IF($E54="Non Inventory",VLOOKUP($C54,'Non Inventory'!$B:$I,8,FALSE()),IF($E54="Services",VLOOKUP($C54,Services!$B:$I,8,FALSE()),IF($E54="Patty Cash",VLOOKUP($C54,'Patty Cash'!$B:$J,8,FALSE()),0)))),0)</f>
        <v>10000</v>
      </c>
      <c r="O54" s="217">
        <f t="shared" si="0"/>
        <v>10000</v>
      </c>
    </row>
    <row r="55" spans="1:15" ht="23.1" customHeight="1">
      <c r="A55" s="206">
        <f>IF(AND($B55="",$C55=""),"",MAX($A$3:A54)+1)</f>
        <v>52</v>
      </c>
      <c r="B55" s="207">
        <v>46154</v>
      </c>
      <c r="C55" s="208">
        <v>14057</v>
      </c>
      <c r="D55" s="209" t="str">
        <f>IFERROR(IF($E55="Inventory",VLOOKUP($C55,Inventory!$B:$I,2,FALSE()),IF($E55="Non Inventory",VLOOKUP($C55,'Non Inventory'!$B:$I,2,FALSE()),IF($E55="Services",VLOOKUP($C55,Services!$B:$I,2,FALSE()),IF($E55="Patty Cash",VLOOKUP($C55,'Patty Cash'!$B:$J,2,FALSE()),"")))),"")</f>
        <v>Film Pulling Belt Size Dia=318mm W=40mm T=7mm Material NBR (Korea Interpack Packing Machine)</v>
      </c>
      <c r="E55" s="246" t="s">
        <v>6</v>
      </c>
      <c r="F55" s="210" t="str">
        <f>IFERROR(IF($E55="Inventory",VLOOKUP($C55,Inventory!$B:$I,3,FALSE()),IF($E55="Non Inventory",VLOOKUP($C55,'Non Inventory'!$B:$I,3,FALSE()),IF($E55="Services",VLOOKUP($C55,Services!$B:$I,3,FALSE()),IF($E55="Patty Cash",VLOOKUP($C55,'Patty Cash'!$B:$J,3,FALSE()),"")))),"")</f>
        <v>NOS</v>
      </c>
      <c r="G55" s="211">
        <v>2</v>
      </c>
      <c r="H55" s="212">
        <f>IF($E55="","",IF($E55="Inventory",IFERROR(VLOOKUP($C55,Inventory!$B:$H,7,FALSE()),0),IF($E55="Non Inventory",IFERROR(VLOOKUP($C55,'Non Inventory'!$B:$H,7,FALSE()),0),IF($E55="Services",IFERROR(VLOOKUP($C55,Services!$B:$H,7,FALSE()),0),IF($E55="Patty Cash",IFERROR(VLOOKUP($C55,'Patty Cash'!$B:$H,7,FALSE()),0),0)))))</f>
        <v>3</v>
      </c>
      <c r="I55" s="213" t="s">
        <v>59</v>
      </c>
      <c r="J55" s="214" t="s">
        <v>1242</v>
      </c>
      <c r="K55" s="215" t="s">
        <v>1194</v>
      </c>
      <c r="L55" s="197" t="s">
        <v>1195</v>
      </c>
      <c r="M55" s="215" t="s">
        <v>1196</v>
      </c>
      <c r="N55" s="216">
        <f>IFERROR(IF($E55="Inventory",VLOOKUP($C55,Inventory!$B:$I,8,FALSE()),IF($E55="Non Inventory",VLOOKUP($C55,'Non Inventory'!$B:$I,8,FALSE()),IF($E55="Services",VLOOKUP($C55,Services!$B:$I,8,FALSE()),IF($E55="Patty Cash",VLOOKUP($C55,'Patty Cash'!$B:$J,8,FALSE()),0)))),0)</f>
        <v>10000</v>
      </c>
      <c r="O55" s="217">
        <f t="shared" si="0"/>
        <v>20000</v>
      </c>
    </row>
    <row r="56" spans="1:15" ht="23.1" customHeight="1">
      <c r="A56" s="206">
        <f>IF(AND($B56="",$C56=""),"",MAX($A$3:A55)+1)</f>
        <v>53</v>
      </c>
      <c r="B56" s="207">
        <v>46154</v>
      </c>
      <c r="C56" s="208">
        <v>17026</v>
      </c>
      <c r="D56" s="209" t="str">
        <f>IFERROR(IF($E56="Inventory",VLOOKUP($C56,Inventory!$B:$I,2,FALSE()),IF($E56="Non Inventory",VLOOKUP($C56,'Non Inventory'!$B:$I,2,FALSE()),IF($E56="Services",VLOOKUP($C56,Services!$B:$I,2,FALSE()),IF($E56="Patty Cash",VLOOKUP($C56,'Patty Cash'!$B:$J,2,FALSE()),"")))),"")</f>
        <v>Nylatron Bearing Housing Bush Size 60 x 55mm (Korea Interpack Modular Conveyor) DRG#LK. U-2-001-19</v>
      </c>
      <c r="E56" s="246" t="s">
        <v>6</v>
      </c>
      <c r="F56" s="210" t="str">
        <f>IFERROR(IF($E56="Inventory",VLOOKUP($C56,Inventory!$B:$I,3,FALSE()),IF($E56="Non Inventory",VLOOKUP($C56,'Non Inventory'!$B:$I,3,FALSE()),IF($E56="Services",VLOOKUP($C56,Services!$B:$I,3,FALSE()),IF($E56="Patty Cash",VLOOKUP($C56,'Patty Cash'!$B:$J,3,FALSE()),"")))),"")</f>
        <v>NOS</v>
      </c>
      <c r="G56" s="211">
        <v>26</v>
      </c>
      <c r="H56" s="212">
        <f>IF($E56="","",IF($E56="Inventory",IFERROR(VLOOKUP($C56,Inventory!$B:$H,7,FALSE()),0),IF($E56="Non Inventory",IFERROR(VLOOKUP($C56,'Non Inventory'!$B:$H,7,FALSE()),0),IF($E56="Services",IFERROR(VLOOKUP($C56,Services!$B:$H,7,FALSE()),0),IF($E56="Patty Cash",IFERROR(VLOOKUP($C56,'Patty Cash'!$B:$H,7,FALSE()),0),0)))))</f>
        <v>0</v>
      </c>
      <c r="I56" s="213" t="s">
        <v>57</v>
      </c>
      <c r="J56" s="214" t="s">
        <v>1243</v>
      </c>
      <c r="K56" s="215" t="s">
        <v>1199</v>
      </c>
      <c r="L56" s="197" t="s">
        <v>1195</v>
      </c>
      <c r="M56" s="215" t="s">
        <v>1196</v>
      </c>
      <c r="N56" s="216">
        <f>IFERROR(IF($E56="Inventory",VLOOKUP($C56,Inventory!$B:$I,8,FALSE()),IF($E56="Non Inventory",VLOOKUP($C56,'Non Inventory'!$B:$I,8,FALSE()),IF($E56="Services",VLOOKUP($C56,Services!$B:$I,8,FALSE()),IF($E56="Patty Cash",VLOOKUP($C56,'Patty Cash'!$B:$J,8,FALSE()),0)))),0)</f>
        <v>1500</v>
      </c>
      <c r="O56" s="217">
        <f t="shared" si="0"/>
        <v>39000</v>
      </c>
    </row>
    <row r="57" spans="1:15" ht="23.1" customHeight="1">
      <c r="A57" s="206">
        <f>IF(AND($B57="",$C57=""),"",MAX($A$3:A56)+1)</f>
        <v>54</v>
      </c>
      <c r="B57" s="207">
        <v>46154</v>
      </c>
      <c r="C57" s="208">
        <v>10952</v>
      </c>
      <c r="D57" s="209" t="str">
        <f>IFERROR(IF($E57="Inventory",VLOOKUP($C57,Inventory!$B:$I,2,FALSE()),IF($E57="Non Inventory",VLOOKUP($C57,'Non Inventory'!$B:$I,2,FALSE()),IF($E57="Services",VLOOKUP($C57,Services!$B:$I,2,FALSE()),IF($E57="Patty Cash",VLOOKUP($C57,'Patty Cash'!$B:$J,2,FALSE()),"")))),"")</f>
        <v>Cutting Knife Size L=246mm, W=66mm, T=0.8mm (Tecalit Plant)</v>
      </c>
      <c r="E57" s="246" t="s">
        <v>7</v>
      </c>
      <c r="F57" s="210" t="str">
        <f>IFERROR(IF($E57="Inventory",VLOOKUP($C57,Inventory!$B:$I,3,FALSE()),IF($E57="Non Inventory",VLOOKUP($C57,'Non Inventory'!$B:$I,3,FALSE()),IF($E57="Services",VLOOKUP($C57,Services!$B:$I,3,FALSE()),IF($E57="Patty Cash",VLOOKUP($C57,'Patty Cash'!$B:$J,3,FALSE()),"")))),"")</f>
        <v>NOS</v>
      </c>
      <c r="G57" s="211">
        <v>1</v>
      </c>
      <c r="H57" s="212">
        <f>IF($E57="","",IF($E57="Inventory",IFERROR(VLOOKUP($C57,Inventory!$B:$H,7,FALSE()),0),IF($E57="Non Inventory",IFERROR(VLOOKUP($C57,'Non Inventory'!$B:$H,7,FALSE()),0),IF($E57="Services",IFERROR(VLOOKUP($C57,Services!$B:$H,7,FALSE()),0),IF($E57="Patty Cash",IFERROR(VLOOKUP($C57,'Patty Cash'!$B:$H,7,FALSE()),0),0)))))</f>
        <v>5</v>
      </c>
      <c r="I57" s="213" t="s">
        <v>57</v>
      </c>
      <c r="J57" s="214" t="s">
        <v>1213</v>
      </c>
      <c r="K57" s="215" t="s">
        <v>1197</v>
      </c>
      <c r="L57" s="197" t="s">
        <v>1195</v>
      </c>
      <c r="M57" s="215" t="s">
        <v>1196</v>
      </c>
      <c r="N57" s="216">
        <f>IFERROR(IF($E57="Inventory",VLOOKUP($C57,Inventory!$B:$I,8,FALSE()),IF($E57="Non Inventory",VLOOKUP($C57,'Non Inventory'!$B:$I,8,FALSE()),IF($E57="Services",VLOOKUP($C57,Services!$B:$I,8,FALSE()),IF($E57="Patty Cash",VLOOKUP($C57,'Patty Cash'!$B:$J,8,FALSE()),0)))),0)</f>
        <v>1150</v>
      </c>
      <c r="O57" s="217">
        <f t="shared" si="0"/>
        <v>1150</v>
      </c>
    </row>
    <row r="58" spans="1:15" ht="23.1" customHeight="1">
      <c r="A58" s="206">
        <f>IF(AND($B58="",$C58=""),"",MAX($A$3:A57)+1)</f>
        <v>55</v>
      </c>
      <c r="B58" s="207">
        <v>46154</v>
      </c>
      <c r="C58" s="208">
        <v>6331</v>
      </c>
      <c r="D58" s="209" t="str">
        <f>IFERROR(IF($E58="Inventory",VLOOKUP($C58,Inventory!$B:$I,2,FALSE()),IF($E58="Non Inventory",VLOOKUP($C58,'Non Inventory'!$B:$I,2,FALSE()),IF($E58="Services",VLOOKUP($C58,Services!$B:$I,2,FALSE()),IF($E58="Patty Cash",VLOOKUP($C58,'Patty Cash'!$B:$J,2,FALSE()),"")))),"")</f>
        <v>Tape Insulation PVC Yellow Width 3/4" x10yds
Nitto/Osaka</v>
      </c>
      <c r="E58" s="246" t="s">
        <v>7</v>
      </c>
      <c r="F58" s="210" t="str">
        <f>IFERROR(IF($E58="Inventory",VLOOKUP($C58,Inventory!$B:$I,3,FALSE()),IF($E58="Non Inventory",VLOOKUP($C58,'Non Inventory'!$B:$I,3,FALSE()),IF($E58="Services",VLOOKUP($C58,Services!$B:$I,3,FALSE()),IF($E58="Patty Cash",VLOOKUP($C58,'Patty Cash'!$B:$J,3,FALSE()),"")))),"")</f>
        <v>NOS</v>
      </c>
      <c r="G58" s="211">
        <v>1</v>
      </c>
      <c r="H58" s="212">
        <f>IF($E58="","",IF($E58="Inventory",IFERROR(VLOOKUP($C58,Inventory!$B:$H,7,FALSE()),0),IF($E58="Non Inventory",IFERROR(VLOOKUP($C58,'Non Inventory'!$B:$H,7,FALSE()),0),IF($E58="Services",IFERROR(VLOOKUP($C58,Services!$B:$H,7,FALSE()),0),IF($E58="Patty Cash",IFERROR(VLOOKUP($C58,'Patty Cash'!$B:$H,7,FALSE()),0),0)))))</f>
        <v>6</v>
      </c>
      <c r="I58" s="213" t="s">
        <v>1222</v>
      </c>
      <c r="J58" s="214" t="s">
        <v>1244</v>
      </c>
      <c r="K58" s="215" t="s">
        <v>1199</v>
      </c>
      <c r="L58" s="197" t="s">
        <v>1195</v>
      </c>
      <c r="M58" s="215" t="s">
        <v>1207</v>
      </c>
      <c r="N58" s="216">
        <f>IFERROR(IF($E58="Inventory",VLOOKUP($C58,Inventory!$B:$I,8,FALSE()),IF($E58="Non Inventory",VLOOKUP($C58,'Non Inventory'!$B:$I,8,FALSE()),IF($E58="Services",VLOOKUP($C58,Services!$B:$I,8,FALSE()),IF($E58="Patty Cash",VLOOKUP($C58,'Patty Cash'!$B:$J,8,FALSE()),0)))),0)</f>
        <v>57</v>
      </c>
      <c r="O58" s="217">
        <f t="shared" si="0"/>
        <v>57</v>
      </c>
    </row>
    <row r="59" spans="1:15" ht="23.1" customHeight="1">
      <c r="A59" s="206">
        <f>IF(AND($B59="",$C59=""),"",MAX($A$3:A58)+1)</f>
        <v>56</v>
      </c>
      <c r="B59" s="207">
        <v>46154</v>
      </c>
      <c r="C59" s="208">
        <v>7430</v>
      </c>
      <c r="D59" s="209" t="str">
        <f>IFERROR(IF($E59="Inventory",VLOOKUP($C59,Inventory!$B:$I,2,FALSE()),IF($E59="Non Inventory",VLOOKUP($C59,'Non Inventory'!$B:$I,2,FALSE()),IF($E59="Services",VLOOKUP($C59,Services!$B:$I,2,FALSE()),IF($E59="Patty Cash",VLOOKUP($C59,'Patty Cash'!$B:$J,2,FALSE()),"")))),"")</f>
        <v>Outer Lock Size 20mm</v>
      </c>
      <c r="E59" s="246" t="s">
        <v>7</v>
      </c>
      <c r="F59" s="210" t="str">
        <f>IFERROR(IF($E59="Inventory",VLOOKUP($C59,Inventory!$B:$I,3,FALSE()),IF($E59="Non Inventory",VLOOKUP($C59,'Non Inventory'!$B:$I,3,FALSE()),IF($E59="Services",VLOOKUP($C59,Services!$B:$I,3,FALSE()),IF($E59="Patty Cash",VLOOKUP($C59,'Patty Cash'!$B:$J,3,FALSE()),"")))),"")</f>
        <v>NOS</v>
      </c>
      <c r="G59" s="211">
        <v>2</v>
      </c>
      <c r="H59" s="212">
        <f>IF($E59="","",IF($E59="Inventory",IFERROR(VLOOKUP($C59,Inventory!$B:$H,7,FALSE()),0),IF($E59="Non Inventory",IFERROR(VLOOKUP($C59,'Non Inventory'!$B:$H,7,FALSE()),0),IF($E59="Services",IFERROR(VLOOKUP($C59,Services!$B:$H,7,FALSE()),0),IF($E59="Patty Cash",IFERROR(VLOOKUP($C59,'Patty Cash'!$B:$H,7,FALSE()),0),0)))))</f>
        <v>4</v>
      </c>
      <c r="I59" s="213" t="s">
        <v>1222</v>
      </c>
      <c r="J59" s="214" t="s">
        <v>1243</v>
      </c>
      <c r="K59" s="215" t="s">
        <v>1199</v>
      </c>
      <c r="L59" s="197" t="s">
        <v>1195</v>
      </c>
      <c r="M59" s="215" t="s">
        <v>1196</v>
      </c>
      <c r="N59" s="216">
        <f>IFERROR(IF($E59="Inventory",VLOOKUP($C59,Inventory!$B:$I,8,FALSE()),IF($E59="Non Inventory",VLOOKUP($C59,'Non Inventory'!$B:$I,8,FALSE()),IF($E59="Services",VLOOKUP($C59,Services!$B:$I,8,FALSE()),IF($E59="Patty Cash",VLOOKUP($C59,'Patty Cash'!$B:$J,8,FALSE()),0)))),0)</f>
        <v>45</v>
      </c>
      <c r="O59" s="217">
        <f t="shared" si="0"/>
        <v>90</v>
      </c>
    </row>
    <row r="60" spans="1:15" ht="23.1" customHeight="1">
      <c r="A60" s="206">
        <f>IF(AND($B60="",$C60=""),"",MAX($A$3:A59)+1)</f>
        <v>57</v>
      </c>
      <c r="B60" s="207">
        <v>46155</v>
      </c>
      <c r="C60" s="208">
        <v>21475</v>
      </c>
      <c r="D60" s="209" t="str">
        <f>IFERROR(IF($E60="Inventory",VLOOKUP($C60,Inventory!$B:$I,2,FALSE()),IF($E60="Non Inventory",VLOOKUP($C60,'Non Inventory'!$B:$I,2,FALSE()),IF($E60="Services",VLOOKUP($C60,Services!$B:$I,2,FALSE()),IF($E60="Patty Cash",VLOOKUP($C60,'Patty Cash'!$B:$J,2,FALSE()),"")))),"")</f>
        <v>Teflon Chain Sprocket O/D-93mm,I/D-35mm, No Of Teeth 24, T-38mm (Slanty Auto Fryer)</v>
      </c>
      <c r="E60" s="246" t="s">
        <v>6</v>
      </c>
      <c r="F60" s="210" t="str">
        <f>IFERROR(IF($E60="Inventory",VLOOKUP($C60,Inventory!$B:$I,3,FALSE()),IF($E60="Non Inventory",VLOOKUP($C60,'Non Inventory'!$B:$I,3,FALSE()),IF($E60="Services",VLOOKUP($C60,Services!$B:$I,3,FALSE()),IF($E60="Patty Cash",VLOOKUP($C60,'Patty Cash'!$B:$J,3,FALSE()),"")))),"")</f>
        <v>NOS</v>
      </c>
      <c r="G60" s="211">
        <v>4</v>
      </c>
      <c r="H60" s="212">
        <f>IF($E60="","",IF($E60="Inventory",IFERROR(VLOOKUP($C60,Inventory!$B:$H,7,FALSE()),0),IF($E60="Non Inventory",IFERROR(VLOOKUP($C60,'Non Inventory'!$B:$H,7,FALSE()),0),IF($E60="Services",IFERROR(VLOOKUP($C60,Services!$B:$H,7,FALSE()),0),IF($E60="Patty Cash",IFERROR(VLOOKUP($C60,'Patty Cash'!$B:$H,7,FALSE()),0),0)))))</f>
        <v>0</v>
      </c>
      <c r="I60" s="213" t="s">
        <v>54</v>
      </c>
      <c r="J60" s="214" t="s">
        <v>1245</v>
      </c>
      <c r="K60" s="215" t="s">
        <v>1199</v>
      </c>
      <c r="L60" s="197" t="s">
        <v>1195</v>
      </c>
      <c r="M60" s="215" t="s">
        <v>1196</v>
      </c>
      <c r="N60" s="216" t="str">
        <f>IFERROR(IF($E60="Inventory",VLOOKUP($C60,Inventory!$B:$I,8,FALSE()),IF($E60="Non Inventory",VLOOKUP($C60,'Non Inventory'!$B:$I,8,FALSE()),IF($E60="Services",VLOOKUP($C60,Services!$B:$I,8,FALSE()),IF($E60="Patty Cash",VLOOKUP($C60,'Patty Cash'!$B:$J,8,FALSE()),0)))),0)</f>
        <v>3250</v>
      </c>
      <c r="O60" s="217">
        <f t="shared" si="0"/>
        <v>13000</v>
      </c>
    </row>
    <row r="61" spans="1:15" ht="23.1" customHeight="1">
      <c r="A61" s="206">
        <f>IF(AND($B61="",$C61=""),"",MAX($A$3:A60)+1)</f>
        <v>58</v>
      </c>
      <c r="B61" s="207">
        <v>46155</v>
      </c>
      <c r="C61" s="208">
        <v>6331</v>
      </c>
      <c r="D61" s="209" t="str">
        <f>IFERROR(IF($E61="Inventory",VLOOKUP($C61,Inventory!$B:$I,2,FALSE()),IF($E61="Non Inventory",VLOOKUP($C61,'Non Inventory'!$B:$I,2,FALSE()),IF($E61="Services",VLOOKUP($C61,Services!$B:$I,2,FALSE()),IF($E61="Patty Cash",VLOOKUP($C61,'Patty Cash'!$B:$J,2,FALSE()),"")))),"")</f>
        <v>Tape Insulation PVC Yellow Width 3/4" x10yds
Nitto/Osaka</v>
      </c>
      <c r="E61" s="246" t="s">
        <v>7</v>
      </c>
      <c r="F61" s="210" t="str">
        <f>IFERROR(IF($E61="Inventory",VLOOKUP($C61,Inventory!$B:$I,3,FALSE()),IF($E61="Non Inventory",VLOOKUP($C61,'Non Inventory'!$B:$I,3,FALSE()),IF($E61="Services",VLOOKUP($C61,Services!$B:$I,3,FALSE()),IF($E61="Patty Cash",VLOOKUP($C61,'Patty Cash'!$B:$J,3,FALSE()),"")))),"")</f>
        <v>NOS</v>
      </c>
      <c r="G61" s="211">
        <v>1</v>
      </c>
      <c r="H61" s="212">
        <f>IF($E61="","",IF($E61="Inventory",IFERROR(VLOOKUP($C61,Inventory!$B:$H,7,FALSE()),0),IF($E61="Non Inventory",IFERROR(VLOOKUP($C61,'Non Inventory'!$B:$H,7,FALSE()),0),IF($E61="Services",IFERROR(VLOOKUP($C61,Services!$B:$H,7,FALSE()),0),IF($E61="Patty Cash",IFERROR(VLOOKUP($C61,'Patty Cash'!$B:$H,7,FALSE()),0),0)))))</f>
        <v>6</v>
      </c>
      <c r="I61" s="213" t="s">
        <v>54</v>
      </c>
      <c r="J61" s="214" t="s">
        <v>1246</v>
      </c>
      <c r="K61" s="215" t="s">
        <v>1238</v>
      </c>
      <c r="L61" s="197" t="s">
        <v>1195</v>
      </c>
      <c r="M61" s="215" t="s">
        <v>1207</v>
      </c>
      <c r="N61" s="216">
        <f>IFERROR(IF($E61="Inventory",VLOOKUP($C61,Inventory!$B:$I,8,FALSE()),IF($E61="Non Inventory",VLOOKUP($C61,'Non Inventory'!$B:$I,8,FALSE()),IF($E61="Services",VLOOKUP($C61,Services!$B:$I,8,FALSE()),IF($E61="Patty Cash",VLOOKUP($C61,'Patty Cash'!$B:$J,8,FALSE()),0)))),0)</f>
        <v>57</v>
      </c>
      <c r="O61" s="217">
        <f t="shared" si="0"/>
        <v>57</v>
      </c>
    </row>
    <row r="62" spans="1:15" ht="23.1" customHeight="1">
      <c r="A62" s="206">
        <f>IF(AND($B62="",$C62=""),"",MAX($A$3:A61)+1)</f>
        <v>59</v>
      </c>
      <c r="B62" s="207">
        <v>46155</v>
      </c>
      <c r="C62" s="208">
        <v>2064</v>
      </c>
      <c r="D62" s="209" t="str">
        <f>IFERROR(IF($E62="Inventory",VLOOKUP($C62,Inventory!$B:$I,2,FALSE()),IF($E62="Non Inventory",VLOOKUP($C62,'Non Inventory'!$B:$I,2,FALSE()),IF($E62="Services",VLOOKUP($C62,Services!$B:$I,2,FALSE()),IF($E62="Patty Cash",VLOOKUP($C62,'Patty Cash'!$B:$J,2,FALSE()),"")))),"")</f>
        <v>Ball Bearing UC 206 [56206]</v>
      </c>
      <c r="E62" s="246" t="s">
        <v>6</v>
      </c>
      <c r="F62" s="210" t="str">
        <f>IFERROR(IF($E62="Inventory",VLOOKUP($C62,Inventory!$B:$I,3,FALSE()),IF($E62="Non Inventory",VLOOKUP($C62,'Non Inventory'!$B:$I,3,FALSE()),IF($E62="Services",VLOOKUP($C62,Services!$B:$I,3,FALSE()),IF($E62="Patty Cash",VLOOKUP($C62,'Patty Cash'!$B:$J,3,FALSE()),"")))),"")</f>
        <v>PCS</v>
      </c>
      <c r="G62" s="211">
        <v>1</v>
      </c>
      <c r="H62" s="212">
        <f>IF($E62="","",IF($E62="Inventory",IFERROR(VLOOKUP($C62,Inventory!$B:$H,7,FALSE()),0),IF($E62="Non Inventory",IFERROR(VLOOKUP($C62,'Non Inventory'!$B:$H,7,FALSE()),0),IF($E62="Services",IFERROR(VLOOKUP($C62,Services!$B:$H,7,FALSE()),0),IF($E62="Patty Cash",IFERROR(VLOOKUP($C62,'Patty Cash'!$B:$H,7,FALSE()),0),0)))))</f>
        <v>5</v>
      </c>
      <c r="I62" s="213" t="s">
        <v>54</v>
      </c>
      <c r="J62" s="214" t="s">
        <v>1245</v>
      </c>
      <c r="K62" s="215" t="s">
        <v>1199</v>
      </c>
      <c r="L62" s="197" t="s">
        <v>1195</v>
      </c>
      <c r="M62" s="215" t="s">
        <v>1196</v>
      </c>
      <c r="N62" s="216">
        <f>IFERROR(IF($E62="Inventory",VLOOKUP($C62,Inventory!$B:$I,8,FALSE()),IF($E62="Non Inventory",VLOOKUP($C62,'Non Inventory'!$B:$I,8,FALSE()),IF($E62="Services",VLOOKUP($C62,Services!$B:$I,8,FALSE()),IF($E62="Patty Cash",VLOOKUP($C62,'Patty Cash'!$B:$J,8,FALSE()),0)))),0)</f>
        <v>2375</v>
      </c>
      <c r="O62" s="217">
        <f t="shared" si="0"/>
        <v>2375</v>
      </c>
    </row>
    <row r="63" spans="1:15" ht="23.1" customHeight="1">
      <c r="A63" s="206">
        <f>IF(AND($B63="",$C63=""),"",MAX($A$3:A62)+1)</f>
        <v>60</v>
      </c>
      <c r="B63" s="207">
        <v>46155</v>
      </c>
      <c r="C63" s="208">
        <v>2941</v>
      </c>
      <c r="D63" s="209" t="str">
        <f>IFERROR(IF($E63="Inventory",VLOOKUP($C63,Inventory!$B:$I,2,FALSE()),IF($E63="Non Inventory",VLOOKUP($C63,'Non Inventory'!$B:$I,2,FALSE()),IF($E63="Services",VLOOKUP($C63,Services!$B:$I,2,FALSE()),IF($E63="Patty Cash",VLOOKUP($C63,'Patty Cash'!$B:$J,2,FALSE()),"")))),"")</f>
        <v>Relay 14 Pin 24VDC Flat Type 55.34 (Finder/Omron)</v>
      </c>
      <c r="E63" s="246" t="s">
        <v>6</v>
      </c>
      <c r="F63" s="210" t="str">
        <f>IFERROR(IF($E63="Inventory",VLOOKUP($C63,Inventory!$B:$I,3,FALSE()),IF($E63="Non Inventory",VLOOKUP($C63,'Non Inventory'!$B:$I,3,FALSE()),IF($E63="Services",VLOOKUP($C63,Services!$B:$I,3,FALSE()),IF($E63="Patty Cash",VLOOKUP($C63,'Patty Cash'!$B:$J,3,FALSE()),"")))),"")</f>
        <v>PCS</v>
      </c>
      <c r="G63" s="211">
        <v>1</v>
      </c>
      <c r="H63" s="212">
        <f>IF($E63="","",IF($E63="Inventory",IFERROR(VLOOKUP($C63,Inventory!$B:$H,7,FALSE()),0),IF($E63="Non Inventory",IFERROR(VLOOKUP($C63,'Non Inventory'!$B:$H,7,FALSE()),0),IF($E63="Services",IFERROR(VLOOKUP($C63,Services!$B:$H,7,FALSE()),0),IF($E63="Patty Cash",IFERROR(VLOOKUP($C63,'Patty Cash'!$B:$H,7,FALSE()),0),0)))))</f>
        <v>5</v>
      </c>
      <c r="I63" s="213" t="s">
        <v>57</v>
      </c>
      <c r="J63" s="214" t="s">
        <v>1212</v>
      </c>
      <c r="K63" s="215" t="s">
        <v>1206</v>
      </c>
      <c r="L63" s="197" t="s">
        <v>1195</v>
      </c>
      <c r="M63" s="215" t="s">
        <v>1207</v>
      </c>
      <c r="N63" s="216">
        <f>IFERROR(IF($E63="Inventory",VLOOKUP($C63,Inventory!$B:$I,8,FALSE()),IF($E63="Non Inventory",VLOOKUP($C63,'Non Inventory'!$B:$I,8,FALSE()),IF($E63="Services",VLOOKUP($C63,Services!$B:$I,8,FALSE()),IF($E63="Patty Cash",VLOOKUP($C63,'Patty Cash'!$B:$J,8,FALSE()),0)))),0)</f>
        <v>900</v>
      </c>
      <c r="O63" s="217">
        <f t="shared" si="0"/>
        <v>900</v>
      </c>
    </row>
    <row r="64" spans="1:15" ht="23.1" customHeight="1">
      <c r="A64" s="206">
        <f>IF(AND($B64="",$C64=""),"",MAX($A$3:A63)+1)</f>
        <v>61</v>
      </c>
      <c r="B64" s="207">
        <v>46155</v>
      </c>
      <c r="C64" s="208">
        <v>3510</v>
      </c>
      <c r="D64" s="209" t="str">
        <f>IFERROR(IF($E64="Inventory",VLOOKUP($C64,Inventory!$B:$I,2,FALSE()),IF($E64="Non Inventory",VLOOKUP($C64,'Non Inventory'!$B:$I,2,FALSE()),IF($E64="Services",VLOOKUP($C64,Services!$B:$I,2,FALSE()),IF($E64="Patty Cash",VLOOKUP($C64,'Patty Cash'!$B:$J,2,FALSE()),"")))),"")</f>
        <v>Shell Omala Gear Oil S2 GX 320</v>
      </c>
      <c r="E64" s="246" t="s">
        <v>7</v>
      </c>
      <c r="F64" s="210" t="str">
        <f>IFERROR(IF($E64="Inventory",VLOOKUP($C64,Inventory!$B:$I,3,FALSE()),IF($E64="Non Inventory",VLOOKUP($C64,'Non Inventory'!$B:$I,3,FALSE()),IF($E64="Services",VLOOKUP($C64,Services!$B:$I,3,FALSE()),IF($E64="Patty Cash",VLOOKUP($C64,'Patty Cash'!$B:$J,3,FALSE()),"")))),"")</f>
        <v>LTR</v>
      </c>
      <c r="G64" s="211">
        <v>60</v>
      </c>
      <c r="H64" s="212">
        <f>IF($E64="","",IF($E64="Inventory",IFERROR(VLOOKUP($C64,Inventory!$B:$H,7,FALSE()),0),IF($E64="Non Inventory",IFERROR(VLOOKUP($C64,'Non Inventory'!$B:$H,7,FALSE()),0),IF($E64="Services",IFERROR(VLOOKUP($C64,Services!$B:$H,7,FALSE()),0),IF($E64="Patty Cash",IFERROR(VLOOKUP($C64,'Patty Cash'!$B:$H,7,FALSE()),0),0)))))</f>
        <v>10</v>
      </c>
      <c r="I64" s="213" t="s">
        <v>69</v>
      </c>
      <c r="J64" s="214" t="s">
        <v>1247</v>
      </c>
      <c r="K64" s="215" t="s">
        <v>1199</v>
      </c>
      <c r="L64" s="197" t="s">
        <v>1195</v>
      </c>
      <c r="M64" s="215" t="s">
        <v>1196</v>
      </c>
      <c r="N64" s="216">
        <f>IFERROR(IF($E64="Inventory",VLOOKUP($C64,Inventory!$B:$I,8,FALSE()),IF($E64="Non Inventory",VLOOKUP($C64,'Non Inventory'!$B:$I,8,FALSE()),IF($E64="Services",VLOOKUP($C64,Services!$B:$I,8,FALSE()),IF($E64="Patty Cash",VLOOKUP($C64,'Patty Cash'!$B:$J,8,FALSE()),0)))),0)</f>
        <v>950</v>
      </c>
      <c r="O64" s="217">
        <f t="shared" si="0"/>
        <v>57000</v>
      </c>
    </row>
    <row r="65" spans="1:15" ht="23.1" customHeight="1">
      <c r="A65" s="206">
        <f>IF(AND($B65="",$C65=""),"",MAX($A$3:A64)+1)</f>
        <v>62</v>
      </c>
      <c r="B65" s="207">
        <v>46155</v>
      </c>
      <c r="C65" s="208">
        <v>14715</v>
      </c>
      <c r="D65" s="209" t="str">
        <f>IFERROR(IF($E65="Inventory",VLOOKUP($C65,Inventory!$B:$I,2,FALSE()),IF($E65="Non Inventory",VLOOKUP($C65,'Non Inventory'!$B:$I,2,FALSE()),IF($E65="Services",VLOOKUP($C65,Services!$B:$I,2,FALSE()),IF($E65="Patty Cash",VLOOKUP($C65,'Patty Cash'!$B:$J,2,FALSE()),"")))),"")</f>
        <v>Auto Drain Valve Size 1/2"</v>
      </c>
      <c r="E65" s="246" t="s">
        <v>7</v>
      </c>
      <c r="F65" s="210" t="str">
        <f>IFERROR(IF($E65="Inventory",VLOOKUP($C65,Inventory!$B:$I,3,FALSE()),IF($E65="Non Inventory",VLOOKUP($C65,'Non Inventory'!$B:$I,3,FALSE()),IF($E65="Services",VLOOKUP($C65,Services!$B:$I,3,FALSE()),IF($E65="Patty Cash",VLOOKUP($C65,'Patty Cash'!$B:$J,3,FALSE()),"")))),"")</f>
        <v>NOS</v>
      </c>
      <c r="G65" s="211">
        <v>1</v>
      </c>
      <c r="H65" s="212">
        <f>IF($E65="","",IF($E65="Inventory",IFERROR(VLOOKUP($C65,Inventory!$B:$H,7,FALSE()),0),IF($E65="Non Inventory",IFERROR(VLOOKUP($C65,'Non Inventory'!$B:$H,7,FALSE()),0),IF($E65="Services",IFERROR(VLOOKUP($C65,Services!$B:$H,7,FALSE()),0),IF($E65="Patty Cash",IFERROR(VLOOKUP($C65,'Patty Cash'!$B:$H,7,FALSE()),0),0)))))</f>
        <v>0</v>
      </c>
      <c r="I65" s="213" t="s">
        <v>1306</v>
      </c>
      <c r="J65" s="214" t="s">
        <v>1248</v>
      </c>
      <c r="K65" s="215" t="s">
        <v>1249</v>
      </c>
      <c r="L65" s="197" t="s">
        <v>1195</v>
      </c>
      <c r="M65" s="215" t="s">
        <v>1196</v>
      </c>
      <c r="N65" s="216">
        <f>IFERROR(IF($E65="Inventory",VLOOKUP($C65,Inventory!$B:$I,8,FALSE()),IF($E65="Non Inventory",VLOOKUP($C65,'Non Inventory'!$B:$I,8,FALSE()),IF($E65="Services",VLOOKUP($C65,Services!$B:$I,8,FALSE()),IF($E65="Patty Cash",VLOOKUP($C65,'Patty Cash'!$B:$J,8,FALSE()),0)))),0)</f>
        <v>9000</v>
      </c>
      <c r="O65" s="217">
        <f t="shared" si="0"/>
        <v>9000</v>
      </c>
    </row>
    <row r="66" spans="1:15" ht="23.1" customHeight="1">
      <c r="A66" s="206">
        <f>IF(AND($B66="",$C66=""),"",MAX($A$3:A65)+1)</f>
        <v>63</v>
      </c>
      <c r="B66" s="207">
        <v>46155</v>
      </c>
      <c r="C66" s="208">
        <v>14715</v>
      </c>
      <c r="D66" s="209" t="str">
        <f>IFERROR(IF($E66="Inventory",VLOOKUP($C66,Inventory!$B:$I,2,FALSE()),IF($E66="Non Inventory",VLOOKUP($C66,'Non Inventory'!$B:$I,2,FALSE()),IF($E66="Services",VLOOKUP($C66,Services!$B:$I,2,FALSE()),IF($E66="Patty Cash",VLOOKUP($C66,'Patty Cash'!$B:$J,2,FALSE()),"")))),"")</f>
        <v>Auto Drain Valve Size 1/2"</v>
      </c>
      <c r="E66" s="246" t="s">
        <v>7</v>
      </c>
      <c r="F66" s="210" t="str">
        <f>IFERROR(IF($E66="Inventory",VLOOKUP($C66,Inventory!$B:$I,3,FALSE()),IF($E66="Non Inventory",VLOOKUP($C66,'Non Inventory'!$B:$I,3,FALSE()),IF($E66="Services",VLOOKUP($C66,Services!$B:$I,3,FALSE()),IF($E66="Patty Cash",VLOOKUP($C66,'Patty Cash'!$B:$J,3,FALSE()),"")))),"")</f>
        <v>NOS</v>
      </c>
      <c r="G66" s="211">
        <v>1</v>
      </c>
      <c r="H66" s="212">
        <f>IF($E66="","",IF($E66="Inventory",IFERROR(VLOOKUP($C66,Inventory!$B:$H,7,FALSE()),0),IF($E66="Non Inventory",IFERROR(VLOOKUP($C66,'Non Inventory'!$B:$H,7,FALSE()),0),IF($E66="Services",IFERROR(VLOOKUP($C66,Services!$B:$H,7,FALSE()),0),IF($E66="Patty Cash",IFERROR(VLOOKUP($C66,'Patty Cash'!$B:$H,7,FALSE()),0),0)))))</f>
        <v>0</v>
      </c>
      <c r="I66" s="213" t="s">
        <v>1307</v>
      </c>
      <c r="J66" s="214" t="s">
        <v>1248</v>
      </c>
      <c r="K66" s="215" t="s">
        <v>1249</v>
      </c>
      <c r="L66" s="197" t="s">
        <v>1195</v>
      </c>
      <c r="M66" s="215" t="s">
        <v>1196</v>
      </c>
      <c r="N66" s="216">
        <f>IFERROR(IF($E66="Inventory",VLOOKUP($C66,Inventory!$B:$I,8,FALSE()),IF($E66="Non Inventory",VLOOKUP($C66,'Non Inventory'!$B:$I,8,FALSE()),IF($E66="Services",VLOOKUP($C66,Services!$B:$I,8,FALSE()),IF($E66="Patty Cash",VLOOKUP($C66,'Patty Cash'!$B:$J,8,FALSE()),0)))),0)</f>
        <v>9000</v>
      </c>
      <c r="O66" s="217">
        <f t="shared" si="0"/>
        <v>9000</v>
      </c>
    </row>
    <row r="67" spans="1:15" ht="23.1" customHeight="1">
      <c r="A67" s="206">
        <f>IF(AND($B67="",$C67=""),"",MAX($A$3:A66)+1)</f>
        <v>64</v>
      </c>
      <c r="B67" s="207">
        <v>46155</v>
      </c>
      <c r="C67" s="208">
        <v>13660</v>
      </c>
      <c r="D67" s="209" t="str">
        <f>IFERROR(IF($E67="Inventory",VLOOKUP($C67,Inventory!$B:$I,2,FALSE()),IF($E67="Non Inventory",VLOOKUP($C67,'Non Inventory'!$B:$I,2,FALSE()),IF($E67="Services",VLOOKUP($C67,Services!$B:$I,2,FALSE()),IF($E67="Patty Cash",VLOOKUP($C67,'Patty Cash'!$B:$J,2,FALSE()),"")))),"")</f>
        <v>Pneumatic Reducer Socket Size 8mm x 6mm</v>
      </c>
      <c r="E67" s="246" t="s">
        <v>7</v>
      </c>
      <c r="F67" s="210" t="str">
        <f>IFERROR(IF($E67="Inventory",VLOOKUP($C67,Inventory!$B:$I,3,FALSE()),IF($E67="Non Inventory",VLOOKUP($C67,'Non Inventory'!$B:$I,3,FALSE()),IF($E67="Services",VLOOKUP($C67,Services!$B:$I,3,FALSE()),IF($E67="Patty Cash",VLOOKUP($C67,'Patty Cash'!$B:$J,3,FALSE()),"")))),"")</f>
        <v>NOS</v>
      </c>
      <c r="G67" s="211">
        <v>1</v>
      </c>
      <c r="H67" s="212">
        <f>IF($E67="","",IF($E67="Inventory",IFERROR(VLOOKUP($C67,Inventory!$B:$H,7,FALSE()),0),IF($E67="Non Inventory",IFERROR(VLOOKUP($C67,'Non Inventory'!$B:$H,7,FALSE()),0),IF($E67="Services",IFERROR(VLOOKUP($C67,Services!$B:$H,7,FALSE()),0),IF($E67="Patty Cash",IFERROR(VLOOKUP($C67,'Patty Cash'!$B:$H,7,FALSE()),0),0)))))</f>
        <v>4</v>
      </c>
      <c r="I67" s="213" t="s">
        <v>1307</v>
      </c>
      <c r="J67" s="214" t="s">
        <v>67</v>
      </c>
      <c r="K67" s="215" t="s">
        <v>1249</v>
      </c>
      <c r="L67" s="197" t="s">
        <v>1195</v>
      </c>
      <c r="M67" s="215" t="s">
        <v>1196</v>
      </c>
      <c r="N67" s="216">
        <f>IFERROR(IF($E67="Inventory",VLOOKUP($C67,Inventory!$B:$I,8,FALSE()),IF($E67="Non Inventory",VLOOKUP($C67,'Non Inventory'!$B:$I,8,FALSE()),IF($E67="Services",VLOOKUP($C67,Services!$B:$I,8,FALSE()),IF($E67="Patty Cash",VLOOKUP($C67,'Patty Cash'!$B:$J,8,FALSE()),0)))),0)</f>
        <v>65</v>
      </c>
      <c r="O67" s="217">
        <f t="shared" si="0"/>
        <v>65</v>
      </c>
    </row>
    <row r="68" spans="1:15" ht="23.1" customHeight="1">
      <c r="A68" s="206">
        <f>IF(AND($B68="",$C68=""),"",MAX($A$3:A67)+1)</f>
        <v>65</v>
      </c>
      <c r="B68" s="207">
        <v>46155</v>
      </c>
      <c r="C68" s="208">
        <v>16780</v>
      </c>
      <c r="D68" s="209" t="str">
        <f>IFERROR(IF($E68="Inventory",VLOOKUP($C68,Inventory!$B:$I,2,FALSE()),IF($E68="Non Inventory",VLOOKUP($C68,'Non Inventory'!$B:$I,2,FALSE()),IF($E68="Services",VLOOKUP($C68,Services!$B:$I,2,FALSE()),IF($E68="Patty Cash",VLOOKUP($C68,'Patty Cash'!$B:$J,2,FALSE()),"")))),"")</f>
        <v>Pneumatic Male Connector Size 1/2" x 8mm</v>
      </c>
      <c r="E68" s="246" t="s">
        <v>7</v>
      </c>
      <c r="F68" s="210" t="str">
        <f>IFERROR(IF($E68="Inventory",VLOOKUP($C68,Inventory!$B:$I,3,FALSE()),IF($E68="Non Inventory",VLOOKUP($C68,'Non Inventory'!$B:$I,3,FALSE()),IF($E68="Services",VLOOKUP($C68,Services!$B:$I,3,FALSE()),IF($E68="Patty Cash",VLOOKUP($C68,'Patty Cash'!$B:$J,3,FALSE()),"")))),"")</f>
        <v>NOS</v>
      </c>
      <c r="G68" s="211">
        <v>1</v>
      </c>
      <c r="H68" s="212">
        <f>IF($E68="","",IF($E68="Inventory",IFERROR(VLOOKUP($C68,Inventory!$B:$H,7,FALSE()),0),IF($E68="Non Inventory",IFERROR(VLOOKUP($C68,'Non Inventory'!$B:$H,7,FALSE()),0),IF($E68="Services",IFERROR(VLOOKUP($C68,Services!$B:$H,7,FALSE()),0),IF($E68="Patty Cash",IFERROR(VLOOKUP($C68,'Patty Cash'!$B:$H,7,FALSE()),0),0)))))</f>
        <v>17</v>
      </c>
      <c r="I68" s="213" t="s">
        <v>1307</v>
      </c>
      <c r="J68" s="214" t="s">
        <v>67</v>
      </c>
      <c r="K68" s="215" t="s">
        <v>1249</v>
      </c>
      <c r="L68" s="197" t="s">
        <v>1195</v>
      </c>
      <c r="M68" s="215" t="s">
        <v>1196</v>
      </c>
      <c r="N68" s="216">
        <f>IFERROR(IF($E68="Inventory",VLOOKUP($C68,Inventory!$B:$I,8,FALSE()),IF($E68="Non Inventory",VLOOKUP($C68,'Non Inventory'!$B:$I,8,FALSE()),IF($E68="Services",VLOOKUP($C68,Services!$B:$I,8,FALSE()),IF($E68="Patty Cash",VLOOKUP($C68,'Patty Cash'!$B:$J,8,FALSE()),0)))),0)</f>
        <v>250</v>
      </c>
      <c r="O68" s="217">
        <f t="shared" si="0"/>
        <v>250</v>
      </c>
    </row>
    <row r="69" spans="1:15" ht="23.1" customHeight="1">
      <c r="A69" s="206">
        <f>IF(AND($B69="",$C69=""),"",MAX($A$3:A68)+1)</f>
        <v>66</v>
      </c>
      <c r="B69" s="207">
        <v>46155</v>
      </c>
      <c r="C69" s="208">
        <v>7579</v>
      </c>
      <c r="D69" s="209" t="str">
        <f>IFERROR(IF($E69="Inventory",VLOOKUP($C69,Inventory!$B:$I,2,FALSE()),IF($E69="Non Inventory",VLOOKUP($C69,'Non Inventory'!$B:$I,2,FALSE()),IF($E69="Services",VLOOKUP($C69,Services!$B:$I,2,FALSE()),IF($E69="Patty Cash",VLOOKUP($C69,'Patty Cash'!$B:$J,2,FALSE()),"")))),"")</f>
        <v>Pneumatic Speed Control Valve Size 1/4" x 6mm</v>
      </c>
      <c r="E69" s="246" t="s">
        <v>7</v>
      </c>
      <c r="F69" s="210" t="str">
        <f>IFERROR(IF($E69="Inventory",VLOOKUP($C69,Inventory!$B:$I,3,FALSE()),IF($E69="Non Inventory",VLOOKUP($C69,'Non Inventory'!$B:$I,3,FALSE()),IF($E69="Services",VLOOKUP($C69,Services!$B:$I,3,FALSE()),IF($E69="Patty Cash",VLOOKUP($C69,'Patty Cash'!$B:$J,3,FALSE()),"")))),"")</f>
        <v>NOS</v>
      </c>
      <c r="G69" s="211">
        <v>1</v>
      </c>
      <c r="H69" s="212">
        <f>IF($E69="","",IF($E69="Inventory",IFERROR(VLOOKUP($C69,Inventory!$B:$H,7,FALSE()),0),IF($E69="Non Inventory",IFERROR(VLOOKUP($C69,'Non Inventory'!$B:$H,7,FALSE()),0),IF($E69="Services",IFERROR(VLOOKUP($C69,Services!$B:$H,7,FALSE()),0),IF($E69="Patty Cash",IFERROR(VLOOKUP($C69,'Patty Cash'!$B:$H,7,FALSE()),0),0)))))</f>
        <v>26</v>
      </c>
      <c r="I69" s="213" t="s">
        <v>1307</v>
      </c>
      <c r="J69" s="214" t="s">
        <v>67</v>
      </c>
      <c r="K69" s="215" t="s">
        <v>1249</v>
      </c>
      <c r="L69" s="197" t="s">
        <v>1195</v>
      </c>
      <c r="M69" s="215" t="s">
        <v>1196</v>
      </c>
      <c r="N69" s="216">
        <f>IFERROR(IF($E69="Inventory",VLOOKUP($C69,Inventory!$B:$I,8,FALSE()),IF($E69="Non Inventory",VLOOKUP($C69,'Non Inventory'!$B:$I,8,FALSE()),IF($E69="Services",VLOOKUP($C69,Services!$B:$I,8,FALSE()),IF($E69="Patty Cash",VLOOKUP($C69,'Patty Cash'!$B:$J,8,FALSE()),0)))),0)</f>
        <v>350</v>
      </c>
      <c r="O69" s="217">
        <f t="shared" ref="O69:O132" si="1">IF($G69="","",G69*N69)</f>
        <v>350</v>
      </c>
    </row>
    <row r="70" spans="1:15" ht="23.1" customHeight="1">
      <c r="A70" s="206">
        <f>IF(AND($B70="",$C70=""),"",MAX($A$3:A69)+1)</f>
        <v>67</v>
      </c>
      <c r="B70" s="207">
        <v>46155</v>
      </c>
      <c r="C70" s="208">
        <v>4859</v>
      </c>
      <c r="D70" s="209" t="str">
        <f>IFERROR(IF($E70="Inventory",VLOOKUP($C70,Inventory!$B:$I,2,FALSE()),IF($E70="Non Inventory",VLOOKUP($C70,'Non Inventory'!$B:$I,2,FALSE()),IF($E70="Services",VLOOKUP($C70,Services!$B:$I,2,FALSE()),IF($E70="Patty Cash",VLOOKUP($C70,'Patty Cash'!$B:$J,2,FALSE()),"")))),"")</f>
        <v>Bearing Hmk 1819 (Ta 1819) P/N# 0942072-07</v>
      </c>
      <c r="E70" s="246" t="s">
        <v>6</v>
      </c>
      <c r="F70" s="210" t="str">
        <f>IFERROR(IF($E70="Inventory",VLOOKUP($C70,Inventory!$B:$I,3,FALSE()),IF($E70="Non Inventory",VLOOKUP($C70,'Non Inventory'!$B:$I,3,FALSE()),IF($E70="Services",VLOOKUP($C70,Services!$B:$I,3,FALSE()),IF($E70="Patty Cash",VLOOKUP($C70,'Patty Cash'!$B:$J,3,FALSE()),"")))),"")</f>
        <v>NOS</v>
      </c>
      <c r="G70" s="211">
        <v>1</v>
      </c>
      <c r="H70" s="212">
        <f>IF($E70="","",IF($E70="Inventory",IFERROR(VLOOKUP($C70,Inventory!$B:$H,7,FALSE()),0),IF($E70="Non Inventory",IFERROR(VLOOKUP($C70,'Non Inventory'!$B:$H,7,FALSE()),0),IF($E70="Services",IFERROR(VLOOKUP($C70,Services!$B:$H,7,FALSE()),0),IF($E70="Patty Cash",IFERROR(VLOOKUP($C70,'Patty Cash'!$B:$H,7,FALSE()),0),0)))))</f>
        <v>26</v>
      </c>
      <c r="I70" s="213" t="s">
        <v>49</v>
      </c>
      <c r="J70" s="214" t="s">
        <v>1250</v>
      </c>
      <c r="K70" s="215" t="s">
        <v>1199</v>
      </c>
      <c r="L70" s="197" t="s">
        <v>1195</v>
      </c>
      <c r="M70" s="215" t="s">
        <v>1196</v>
      </c>
      <c r="N70" s="216">
        <f>IFERROR(IF($E70="Inventory",VLOOKUP($C70,Inventory!$B:$I,8,FALSE()),IF($E70="Non Inventory",VLOOKUP($C70,'Non Inventory'!$B:$I,8,FALSE()),IF($E70="Services",VLOOKUP($C70,Services!$B:$I,8,FALSE()),IF($E70="Patty Cash",VLOOKUP($C70,'Patty Cash'!$B:$J,8,FALSE()),0)))),0)</f>
        <v>1500</v>
      </c>
      <c r="O70" s="217">
        <f t="shared" si="1"/>
        <v>1500</v>
      </c>
    </row>
    <row r="71" spans="1:15" ht="23.1" customHeight="1">
      <c r="A71" s="206">
        <f>IF(AND($B71="",$C71=""),"",MAX($A$3:A70)+1)</f>
        <v>68</v>
      </c>
      <c r="B71" s="207">
        <v>46155</v>
      </c>
      <c r="C71" s="208">
        <v>19824</v>
      </c>
      <c r="D71" s="209" t="str">
        <f>IFERROR(IF($E71="Inventory",VLOOKUP($C71,Inventory!$B:$I,2,FALSE()),IF($E71="Non Inventory",VLOOKUP($C71,'Non Inventory'!$B:$I,2,FALSE()),IF($E71="Services",VLOOKUP($C71,Services!$B:$I,2,FALSE()),IF($E71="Patty Cash",VLOOKUP($C71,'Patty Cash'!$B:$J,2,FALSE()),"")))),"")</f>
        <v>Vertical Cylinder Plate Size 110 x 20 x 6mm Bolt Size 8mm,Bush Dia 12mm (Ishida Machine)</v>
      </c>
      <c r="E71" s="246" t="s">
        <v>7</v>
      </c>
      <c r="F71" s="210" t="str">
        <f>IFERROR(IF($E71="Inventory",VLOOKUP($C71,Inventory!$B:$I,3,FALSE()),IF($E71="Non Inventory",VLOOKUP($C71,'Non Inventory'!$B:$I,3,FALSE()),IF($E71="Services",VLOOKUP($C71,Services!$B:$I,3,FALSE()),IF($E71="Patty Cash",VLOOKUP($C71,'Patty Cash'!$B:$J,3,FALSE()),"")))),"")</f>
        <v>NOS</v>
      </c>
      <c r="G71" s="211">
        <v>1</v>
      </c>
      <c r="H71" s="212">
        <f>IF($E71="","",IF($E71="Inventory",IFERROR(VLOOKUP($C71,Inventory!$B:$H,7,FALSE()),0),IF($E71="Non Inventory",IFERROR(VLOOKUP($C71,'Non Inventory'!$B:$H,7,FALSE()),0),IF($E71="Services",IFERROR(VLOOKUP($C71,Services!$B:$H,7,FALSE()),0),IF($E71="Patty Cash",IFERROR(VLOOKUP($C71,'Patty Cash'!$B:$H,7,FALSE()),0),0)))))</f>
        <v>10</v>
      </c>
      <c r="I71" s="213" t="s">
        <v>49</v>
      </c>
      <c r="J71" s="214" t="s">
        <v>1251</v>
      </c>
      <c r="K71" s="215" t="s">
        <v>1199</v>
      </c>
      <c r="L71" s="197" t="s">
        <v>1195</v>
      </c>
      <c r="M71" s="215" t="s">
        <v>1196</v>
      </c>
      <c r="N71" s="216">
        <f>IFERROR(IF($E71="Inventory",VLOOKUP($C71,Inventory!$B:$I,8,FALSE()),IF($E71="Non Inventory",VLOOKUP($C71,'Non Inventory'!$B:$I,8,FALSE()),IF($E71="Services",VLOOKUP($C71,Services!$B:$I,8,FALSE()),IF($E71="Patty Cash",VLOOKUP($C71,'Patty Cash'!$B:$J,8,FALSE()),0)))),0)</f>
        <v>2000</v>
      </c>
      <c r="O71" s="217">
        <f t="shared" si="1"/>
        <v>2000</v>
      </c>
    </row>
    <row r="72" spans="1:15" ht="23.1" customHeight="1">
      <c r="A72" s="206">
        <f>IF(AND($B72="",$C72=""),"",MAX($A$3:A71)+1)</f>
        <v>69</v>
      </c>
      <c r="B72" s="207">
        <v>46155</v>
      </c>
      <c r="C72" s="208">
        <v>6253</v>
      </c>
      <c r="D72" s="209" t="str">
        <f>IFERROR(IF($E72="Inventory",VLOOKUP($C72,Inventory!$B:$I,2,FALSE()),IF($E72="Non Inventory",VLOOKUP($C72,'Non Inventory'!$B:$I,2,FALSE()),IF($E72="Services",VLOOKUP($C72,Services!$B:$I,2,FALSE()),IF($E72="Patty Cash",VLOOKUP($C72,'Patty Cash'!$B:$J,2,FALSE()),"")))),"")</f>
        <v>Teflon Tape ( Thread Sealing Tape)</v>
      </c>
      <c r="E72" s="246" t="s">
        <v>7</v>
      </c>
      <c r="F72" s="210" t="str">
        <f>IFERROR(IF($E72="Inventory",VLOOKUP($C72,Inventory!$B:$I,3,FALSE()),IF($E72="Non Inventory",VLOOKUP($C72,'Non Inventory'!$B:$I,3,FALSE()),IF($E72="Services",VLOOKUP($C72,Services!$B:$I,3,FALSE()),IF($E72="Patty Cash",VLOOKUP($C72,'Patty Cash'!$B:$J,3,FALSE()),"")))),"")</f>
        <v>NOS</v>
      </c>
      <c r="G72" s="211">
        <v>2</v>
      </c>
      <c r="H72" s="212">
        <f>IF($E72="","",IF($E72="Inventory",IFERROR(VLOOKUP($C72,Inventory!$B:$H,7,FALSE()),0),IF($E72="Non Inventory",IFERROR(VLOOKUP($C72,'Non Inventory'!$B:$H,7,FALSE()),0),IF($E72="Services",IFERROR(VLOOKUP($C72,Services!$B:$H,7,FALSE()),0),IF($E72="Patty Cash",IFERROR(VLOOKUP($C72,'Patty Cash'!$B:$H,7,FALSE()),0),0)))))</f>
        <v>5</v>
      </c>
      <c r="I72" s="213" t="s">
        <v>1307</v>
      </c>
      <c r="J72" s="214" t="s">
        <v>67</v>
      </c>
      <c r="K72" s="215" t="s">
        <v>1249</v>
      </c>
      <c r="L72" s="197" t="s">
        <v>1195</v>
      </c>
      <c r="M72" s="215" t="s">
        <v>1196</v>
      </c>
      <c r="N72" s="216">
        <f>IFERROR(IF($E72="Inventory",VLOOKUP($C72,Inventory!$B:$I,8,FALSE()),IF($E72="Non Inventory",VLOOKUP($C72,'Non Inventory'!$B:$I,8,FALSE()),IF($E72="Services",VLOOKUP($C72,Services!$B:$I,8,FALSE()),IF($E72="Patty Cash",VLOOKUP($C72,'Patty Cash'!$B:$J,8,FALSE()),0)))),0)</f>
        <v>30</v>
      </c>
      <c r="O72" s="217">
        <f t="shared" si="1"/>
        <v>60</v>
      </c>
    </row>
    <row r="73" spans="1:15" ht="23.1" customHeight="1">
      <c r="A73" s="206">
        <f>IF(AND($B73="",$C73=""),"",MAX($A$3:A72)+1)</f>
        <v>70</v>
      </c>
      <c r="B73" s="207">
        <v>46156</v>
      </c>
      <c r="C73" s="208">
        <v>6300</v>
      </c>
      <c r="D73" s="209" t="str">
        <f>IFERROR(IF($E73="Inventory",VLOOKUP($C73,Inventory!$B:$I,2,FALSE()),IF($E73="Non Inventory",VLOOKUP($C73,'Non Inventory'!$B:$I,2,FALSE()),IF($E73="Services",VLOOKUP($C73,Services!$B:$I,2,FALSE()),IF($E73="Patty Cash",VLOOKUP($C73,'Patty Cash'!$B:$J,2,FALSE()),"")))),"")</f>
        <v>Tape Insulation PVC  Black Width 3/4" x10yds Nitto/Osaka</v>
      </c>
      <c r="E73" s="246" t="s">
        <v>7</v>
      </c>
      <c r="F73" s="210" t="str">
        <f>IFERROR(IF($E73="Inventory",VLOOKUP($C73,Inventory!$B:$I,3,FALSE()),IF($E73="Non Inventory",VLOOKUP($C73,'Non Inventory'!$B:$I,3,FALSE()),IF($E73="Services",VLOOKUP($C73,Services!$B:$I,3,FALSE()),IF($E73="Patty Cash",VLOOKUP($C73,'Patty Cash'!$B:$J,3,FALSE()),"")))),"")</f>
        <v>NOS</v>
      </c>
      <c r="G73" s="211">
        <v>1</v>
      </c>
      <c r="H73" s="212">
        <f>IF($E73="","",IF($E73="Inventory",IFERROR(VLOOKUP($C73,Inventory!$B:$H,7,FALSE()),0),IF($E73="Non Inventory",IFERROR(VLOOKUP($C73,'Non Inventory'!$B:$H,7,FALSE()),0),IF($E73="Services",IFERROR(VLOOKUP($C73,Services!$B:$H,7,FALSE()),0),IF($E73="Patty Cash",IFERROR(VLOOKUP($C73,'Patty Cash'!$B:$H,7,FALSE()),0),0)))))</f>
        <v>22</v>
      </c>
      <c r="I73" s="213" t="s">
        <v>1305</v>
      </c>
      <c r="J73" s="214" t="s">
        <v>67</v>
      </c>
      <c r="K73" s="215" t="s">
        <v>1223</v>
      </c>
      <c r="L73" s="197" t="s">
        <v>1195</v>
      </c>
      <c r="M73" s="215" t="s">
        <v>1196</v>
      </c>
      <c r="N73" s="216">
        <f>IFERROR(IF($E73="Inventory",VLOOKUP($C73,Inventory!$B:$I,8,FALSE()),IF($E73="Non Inventory",VLOOKUP($C73,'Non Inventory'!$B:$I,8,FALSE()),IF($E73="Services",VLOOKUP($C73,Services!$B:$I,8,FALSE()),IF($E73="Patty Cash",VLOOKUP($C73,'Patty Cash'!$B:$J,8,FALSE()),0)))),0)</f>
        <v>57</v>
      </c>
      <c r="O73" s="217">
        <f t="shared" si="1"/>
        <v>57</v>
      </c>
    </row>
    <row r="74" spans="1:15" ht="23.1" customHeight="1">
      <c r="A74" s="206">
        <f>IF(AND($B74="",$C74=""),"",MAX($A$3:A73)+1)</f>
        <v>71</v>
      </c>
      <c r="B74" s="207">
        <v>46156</v>
      </c>
      <c r="C74" s="208">
        <v>6253</v>
      </c>
      <c r="D74" s="209" t="str">
        <f>IFERROR(IF($E74="Inventory",VLOOKUP($C74,Inventory!$B:$I,2,FALSE()),IF($E74="Non Inventory",VLOOKUP($C74,'Non Inventory'!$B:$I,2,FALSE()),IF($E74="Services",VLOOKUP($C74,Services!$B:$I,2,FALSE()),IF($E74="Patty Cash",VLOOKUP($C74,'Patty Cash'!$B:$J,2,FALSE()),"")))),"")</f>
        <v>Teflon Tape ( Thread Sealing Tape)</v>
      </c>
      <c r="E74" s="246" t="s">
        <v>7</v>
      </c>
      <c r="F74" s="210" t="str">
        <f>IFERROR(IF($E74="Inventory",VLOOKUP($C74,Inventory!$B:$I,3,FALSE()),IF($E74="Non Inventory",VLOOKUP($C74,'Non Inventory'!$B:$I,3,FALSE()),IF($E74="Services",VLOOKUP($C74,Services!$B:$I,3,FALSE()),IF($E74="Patty Cash",VLOOKUP($C74,'Patty Cash'!$B:$J,3,FALSE()),"")))),"")</f>
        <v>NOS</v>
      </c>
      <c r="G74" s="211">
        <v>2</v>
      </c>
      <c r="H74" s="212">
        <f>IF($E74="","",IF($E74="Inventory",IFERROR(VLOOKUP($C74,Inventory!$B:$H,7,FALSE()),0),IF($E74="Non Inventory",IFERROR(VLOOKUP($C74,'Non Inventory'!$B:$H,7,FALSE()),0),IF($E74="Services",IFERROR(VLOOKUP($C74,Services!$B:$H,7,FALSE()),0),IF($E74="Patty Cash",IFERROR(VLOOKUP($C74,'Patty Cash'!$B:$H,7,FALSE()),0),0)))))</f>
        <v>5</v>
      </c>
      <c r="I74" s="213" t="s">
        <v>1305</v>
      </c>
      <c r="J74" s="214" t="s">
        <v>67</v>
      </c>
      <c r="K74" s="215" t="s">
        <v>1223</v>
      </c>
      <c r="L74" s="197" t="s">
        <v>1195</v>
      </c>
      <c r="M74" s="215" t="s">
        <v>1196</v>
      </c>
      <c r="N74" s="216">
        <f>IFERROR(IF($E74="Inventory",VLOOKUP($C74,Inventory!$B:$I,8,FALSE()),IF($E74="Non Inventory",VLOOKUP($C74,'Non Inventory'!$B:$I,8,FALSE()),IF($E74="Services",VLOOKUP($C74,Services!$B:$I,8,FALSE()),IF($E74="Patty Cash",VLOOKUP($C74,'Patty Cash'!$B:$J,8,FALSE()),0)))),0)</f>
        <v>30</v>
      </c>
      <c r="O74" s="217">
        <f t="shared" si="1"/>
        <v>60</v>
      </c>
    </row>
    <row r="75" spans="1:15" ht="23.1" customHeight="1">
      <c r="A75" s="206">
        <f>IF(AND($B75="",$C75=""),"",MAX($A$3:A74)+1)</f>
        <v>72</v>
      </c>
      <c r="B75" s="207">
        <v>46156</v>
      </c>
      <c r="C75" s="208">
        <v>7518</v>
      </c>
      <c r="D75" s="209" t="str">
        <f>IFERROR(IF($E75="Inventory",VLOOKUP($C75,Inventory!$B:$I,2,FALSE()),IF($E75="Non Inventory",VLOOKUP($C75,'Non Inventory'!$B:$I,2,FALSE()),IF($E75="Services",VLOOKUP($C75,Services!$B:$I,2,FALSE()),IF($E75="Patty Cash",VLOOKUP($C75,'Patty Cash'!$B:$J,2,FALSE()),"")))),"")</f>
        <v>Ball Bearing 6800 ZR</v>
      </c>
      <c r="E75" s="246" t="s">
        <v>6</v>
      </c>
      <c r="F75" s="210" t="str">
        <f>IFERROR(IF($E75="Inventory",VLOOKUP($C75,Inventory!$B:$I,3,FALSE()),IF($E75="Non Inventory",VLOOKUP($C75,'Non Inventory'!$B:$I,3,FALSE()),IF($E75="Services",VLOOKUP($C75,Services!$B:$I,3,FALSE()),IF($E75="Patty Cash",VLOOKUP($C75,'Patty Cash'!$B:$J,3,FALSE()),"")))),"")</f>
        <v>NOS</v>
      </c>
      <c r="G75" s="211">
        <v>1</v>
      </c>
      <c r="H75" s="212">
        <f>IF($E75="","",IF($E75="Inventory",IFERROR(VLOOKUP($C75,Inventory!$B:$H,7,FALSE()),0),IF($E75="Non Inventory",IFERROR(VLOOKUP($C75,'Non Inventory'!$B:$H,7,FALSE()),0),IF($E75="Services",IFERROR(VLOOKUP($C75,Services!$B:$H,7,FALSE()),0),IF($E75="Patty Cash",IFERROR(VLOOKUP($C75,'Patty Cash'!$B:$H,7,FALSE()),0),0)))))</f>
        <v>11</v>
      </c>
      <c r="I75" s="213" t="s">
        <v>50</v>
      </c>
      <c r="J75" s="214" t="s">
        <v>1252</v>
      </c>
      <c r="K75" s="215" t="s">
        <v>1199</v>
      </c>
      <c r="L75" s="197" t="s">
        <v>1195</v>
      </c>
      <c r="M75" s="215" t="s">
        <v>1196</v>
      </c>
      <c r="N75" s="216">
        <f>IFERROR(IF($E75="Inventory",VLOOKUP($C75,Inventory!$B:$I,8,FALSE()),IF($E75="Non Inventory",VLOOKUP($C75,'Non Inventory'!$B:$I,8,FALSE()),IF($E75="Services",VLOOKUP($C75,Services!$B:$I,8,FALSE()),IF($E75="Patty Cash",VLOOKUP($C75,'Patty Cash'!$B:$J,8,FALSE()),0)))),0)</f>
        <v>625</v>
      </c>
      <c r="O75" s="217">
        <f t="shared" si="1"/>
        <v>625</v>
      </c>
    </row>
    <row r="76" spans="1:15" ht="23.1" customHeight="1">
      <c r="A76" s="206">
        <f>IF(AND($B76="",$C76=""),"",MAX($A$3:A75)+1)</f>
        <v>73</v>
      </c>
      <c r="B76" s="207">
        <v>46156</v>
      </c>
      <c r="C76" s="208">
        <v>17360</v>
      </c>
      <c r="D76" s="209" t="str">
        <f>IFERROR(IF($E76="Inventory",VLOOKUP($C76,Inventory!$B:$I,2,FALSE()),IF($E76="Non Inventory",VLOOKUP($C76,'Non Inventory'!$B:$I,2,FALSE()),IF($E76="Services",VLOOKUP($C76,Services!$B:$I,2,FALSE()),IF($E76="Patty Cash",VLOOKUP($C76,'Patty Cash'!$B:$J,2,FALSE()),"")))),"")</f>
        <v>Modular Conveyor Belt Size762mm,Flight Heigth100mm,Side Guide Height 100mm,Flight Gap 200mm indent80mm</v>
      </c>
      <c r="E76" s="246" t="s">
        <v>6</v>
      </c>
      <c r="F76" s="210" t="str">
        <f>IFERROR(IF($E76="Inventory",VLOOKUP($C76,Inventory!$B:$I,3,FALSE()),IF($E76="Non Inventory",VLOOKUP($C76,'Non Inventory'!$B:$I,3,FALSE()),IF($E76="Services",VLOOKUP($C76,Services!$B:$I,3,FALSE()),IF($E76="Patty Cash",VLOOKUP($C76,'Patty Cash'!$B:$J,3,FALSE()),"")))),"")</f>
        <v>LFT</v>
      </c>
      <c r="G76" s="211">
        <v>59</v>
      </c>
      <c r="H76" s="212">
        <f>IF($E76="","",IF($E76="Inventory",IFERROR(VLOOKUP($C76,Inventory!$B:$H,7,FALSE()),0),IF($E76="Non Inventory",IFERROR(VLOOKUP($C76,'Non Inventory'!$B:$H,7,FALSE()),0),IF($E76="Services",IFERROR(VLOOKUP($C76,Services!$B:$H,7,FALSE()),0),IF($E76="Patty Cash",IFERROR(VLOOKUP($C76,'Patty Cash'!$B:$H,7,FALSE()),0),0)))))</f>
        <v>0</v>
      </c>
      <c r="I76" s="213" t="s">
        <v>54</v>
      </c>
      <c r="J76" s="214" t="s">
        <v>1253</v>
      </c>
      <c r="K76" s="215" t="s">
        <v>1220</v>
      </c>
      <c r="L76" s="197" t="s">
        <v>1195</v>
      </c>
      <c r="M76" s="215" t="s">
        <v>1196</v>
      </c>
      <c r="N76" s="216">
        <f>IFERROR(IF($E76="Inventory",VLOOKUP($C76,Inventory!$B:$I,8,FALSE()),IF($E76="Non Inventory",VLOOKUP($C76,'Non Inventory'!$B:$I,8,FALSE()),IF($E76="Services",VLOOKUP($C76,Services!$B:$I,8,FALSE()),IF($E76="Patty Cash",VLOOKUP($C76,'Patty Cash'!$B:$J,8,FALSE()),0)))),0)</f>
        <v>20475</v>
      </c>
      <c r="O76" s="217">
        <f t="shared" si="1"/>
        <v>1208025</v>
      </c>
    </row>
    <row r="77" spans="1:15" ht="23.1" customHeight="1">
      <c r="A77" s="206">
        <f>IF(AND($B77="",$C77=""),"",MAX($A$3:A76)+1)</f>
        <v>74</v>
      </c>
      <c r="B77" s="207">
        <v>46156</v>
      </c>
      <c r="C77" s="208">
        <v>7518</v>
      </c>
      <c r="D77" s="209" t="str">
        <f>IFERROR(IF($E77="Inventory",VLOOKUP($C77,Inventory!$B:$I,2,FALSE()),IF($E77="Non Inventory",VLOOKUP($C77,'Non Inventory'!$B:$I,2,FALSE()),IF($E77="Services",VLOOKUP($C77,Services!$B:$I,2,FALSE()),IF($E77="Patty Cash",VLOOKUP($C77,'Patty Cash'!$B:$J,2,FALSE()),"")))),"")</f>
        <v>Ball Bearing 6800 ZR</v>
      </c>
      <c r="E77" s="246" t="s">
        <v>6</v>
      </c>
      <c r="F77" s="210" t="str">
        <f>IFERROR(IF($E77="Inventory",VLOOKUP($C77,Inventory!$B:$I,3,FALSE()),IF($E77="Non Inventory",VLOOKUP($C77,'Non Inventory'!$B:$I,3,FALSE()),IF($E77="Services",VLOOKUP($C77,Services!$B:$I,3,FALSE()),IF($E77="Patty Cash",VLOOKUP($C77,'Patty Cash'!$B:$J,3,FALSE()),"")))),"")</f>
        <v>NOS</v>
      </c>
      <c r="G77" s="211">
        <v>1</v>
      </c>
      <c r="H77" s="212">
        <f>IF($E77="","",IF($E77="Inventory",IFERROR(VLOOKUP($C77,Inventory!$B:$H,7,FALSE()),0),IF($E77="Non Inventory",IFERROR(VLOOKUP($C77,'Non Inventory'!$B:$H,7,FALSE()),0),IF($E77="Services",IFERROR(VLOOKUP($C77,Services!$B:$H,7,FALSE()),0),IF($E77="Patty Cash",IFERROR(VLOOKUP($C77,'Patty Cash'!$B:$H,7,FALSE()),0),0)))))</f>
        <v>11</v>
      </c>
      <c r="I77" s="213" t="s">
        <v>53</v>
      </c>
      <c r="J77" s="214" t="s">
        <v>1252</v>
      </c>
      <c r="K77" s="215" t="s">
        <v>1199</v>
      </c>
      <c r="L77" s="197" t="s">
        <v>1195</v>
      </c>
      <c r="M77" s="215" t="s">
        <v>1196</v>
      </c>
      <c r="N77" s="216">
        <f>IFERROR(IF($E77="Inventory",VLOOKUP($C77,Inventory!$B:$I,8,FALSE()),IF($E77="Non Inventory",VLOOKUP($C77,'Non Inventory'!$B:$I,8,FALSE()),IF($E77="Services",VLOOKUP($C77,Services!$B:$I,8,FALSE()),IF($E77="Patty Cash",VLOOKUP($C77,'Patty Cash'!$B:$J,8,FALSE()),0)))),0)</f>
        <v>625</v>
      </c>
      <c r="O77" s="217">
        <f t="shared" si="1"/>
        <v>625</v>
      </c>
    </row>
    <row r="78" spans="1:15" ht="23.1" customHeight="1">
      <c r="A78" s="206">
        <f>IF(AND($B78="",$C78=""),"",MAX($A$3:A77)+1)</f>
        <v>75</v>
      </c>
      <c r="B78" s="207">
        <v>46156</v>
      </c>
      <c r="C78" s="208">
        <v>2026</v>
      </c>
      <c r="D78" s="209" t="str">
        <f>IFERROR(IF($E78="Inventory",VLOOKUP($C78,Inventory!$B:$I,2,FALSE()),IF($E78="Non Inventory",VLOOKUP($C78,'Non Inventory'!$B:$I,2,FALSE()),IF($E78="Services",VLOOKUP($C78,Services!$B:$I,2,FALSE()),IF($E78="Patty Cash",VLOOKUP($C78,'Patty Cash'!$B:$J,2,FALSE()),"")))),"")</f>
        <v>BALL BEARING TYPE 6204 2ZR C3</v>
      </c>
      <c r="E78" s="246" t="s">
        <v>6</v>
      </c>
      <c r="F78" s="210" t="str">
        <f>IFERROR(IF($E78="Inventory",VLOOKUP($C78,Inventory!$B:$I,3,FALSE()),IF($E78="Non Inventory",VLOOKUP($C78,'Non Inventory'!$B:$I,3,FALSE()),IF($E78="Services",VLOOKUP($C78,Services!$B:$I,3,FALSE()),IF($E78="Patty Cash",VLOOKUP($C78,'Patty Cash'!$B:$J,3,FALSE()),"")))),"")</f>
        <v>PCS</v>
      </c>
      <c r="G78" s="211">
        <v>1</v>
      </c>
      <c r="H78" s="212">
        <f>IF($E78="","",IF($E78="Inventory",IFERROR(VLOOKUP($C78,Inventory!$B:$H,7,FALSE()),0),IF($E78="Non Inventory",IFERROR(VLOOKUP($C78,'Non Inventory'!$B:$H,7,FALSE()),0),IF($E78="Services",IFERROR(VLOOKUP($C78,Services!$B:$H,7,FALSE()),0),IF($E78="Patty Cash",IFERROR(VLOOKUP($C78,'Patty Cash'!$B:$H,7,FALSE()),0),0)))))</f>
        <v>10</v>
      </c>
      <c r="I78" s="213" t="s">
        <v>1254</v>
      </c>
      <c r="J78" s="214" t="s">
        <v>1255</v>
      </c>
      <c r="K78" s="215" t="s">
        <v>1199</v>
      </c>
      <c r="L78" s="197" t="s">
        <v>1195</v>
      </c>
      <c r="M78" s="215" t="s">
        <v>1196</v>
      </c>
      <c r="N78" s="216">
        <f>IFERROR(IF($E78="Inventory",VLOOKUP($C78,Inventory!$B:$I,8,FALSE()),IF($E78="Non Inventory",VLOOKUP($C78,'Non Inventory'!$B:$I,8,FALSE()),IF($E78="Services",VLOOKUP($C78,Services!$B:$I,8,FALSE()),IF($E78="Patty Cash",VLOOKUP($C78,'Patty Cash'!$B:$J,8,FALSE()),0)))),0)</f>
        <v>1188</v>
      </c>
      <c r="O78" s="217">
        <f t="shared" si="1"/>
        <v>1188</v>
      </c>
    </row>
    <row r="79" spans="1:15" ht="23.1" customHeight="1">
      <c r="A79" s="206">
        <f>IF(AND($B79="",$C79=""),"",MAX($A$3:A78)+1)</f>
        <v>76</v>
      </c>
      <c r="B79" s="207">
        <v>46157</v>
      </c>
      <c r="C79" s="208">
        <v>8722</v>
      </c>
      <c r="D79" s="209" t="str">
        <f>IFERROR(IF($E79="Inventory",VLOOKUP($C79,Inventory!$B:$I,2,FALSE()),IF($E79="Non Inventory",VLOOKUP($C79,'Non Inventory'!$B:$I,2,FALSE()),IF($E79="Services",VLOOKUP($C79,Services!$B:$I,2,FALSE()),IF($E79="Patty Cash",VLOOKUP($C79,'Patty Cash'!$B:$J,2,FALSE()),"")))),"")</f>
        <v>Pannel Lock</v>
      </c>
      <c r="E79" s="246" t="s">
        <v>7</v>
      </c>
      <c r="F79" s="210" t="str">
        <f>IFERROR(IF($E79="Inventory",VLOOKUP($C79,Inventory!$B:$I,3,FALSE()),IF($E79="Non Inventory",VLOOKUP($C79,'Non Inventory'!$B:$I,3,FALSE()),IF($E79="Services",VLOOKUP($C79,Services!$B:$I,3,FALSE()),IF($E79="Patty Cash",VLOOKUP($C79,'Patty Cash'!$B:$J,3,FALSE()),"")))),"")</f>
        <v>NOS</v>
      </c>
      <c r="G79" s="211">
        <v>2</v>
      </c>
      <c r="H79" s="212">
        <f>IF($E79="","",IF($E79="Inventory",IFERROR(VLOOKUP($C79,Inventory!$B:$H,7,FALSE()),0),IF($E79="Non Inventory",IFERROR(VLOOKUP($C79,'Non Inventory'!$B:$H,7,FALSE()),0),IF($E79="Services",IFERROR(VLOOKUP($C79,Services!$B:$H,7,FALSE()),0),IF($E79="Patty Cash",IFERROR(VLOOKUP($C79,'Patty Cash'!$B:$H,7,FALSE()),0),0)))))</f>
        <v>14</v>
      </c>
      <c r="I79" s="213" t="s">
        <v>54</v>
      </c>
      <c r="J79" s="214" t="s">
        <v>1256</v>
      </c>
      <c r="K79" s="215" t="s">
        <v>1206</v>
      </c>
      <c r="L79" s="197" t="s">
        <v>1195</v>
      </c>
      <c r="M79" s="215" t="s">
        <v>1196</v>
      </c>
      <c r="N79" s="216">
        <f>IFERROR(IF($E79="Inventory",VLOOKUP($C79,Inventory!$B:$I,8,FALSE()),IF($E79="Non Inventory",VLOOKUP($C79,'Non Inventory'!$B:$I,8,FALSE()),IF($E79="Services",VLOOKUP($C79,Services!$B:$I,8,FALSE()),IF($E79="Patty Cash",VLOOKUP($C79,'Patty Cash'!$B:$J,8,FALSE()),0)))),0)</f>
        <v>325</v>
      </c>
      <c r="O79" s="217">
        <f t="shared" si="1"/>
        <v>650</v>
      </c>
    </row>
    <row r="80" spans="1:15" ht="23.1" customHeight="1">
      <c r="A80" s="206">
        <f>IF(AND($B80="",$C80=""),"",MAX($A$3:A79)+1)</f>
        <v>77</v>
      </c>
      <c r="B80" s="207">
        <v>46157</v>
      </c>
      <c r="C80" s="208">
        <v>4859</v>
      </c>
      <c r="D80" s="209" t="str">
        <f>IFERROR(IF($E80="Inventory",VLOOKUP($C80,Inventory!$B:$I,2,FALSE()),IF($E80="Non Inventory",VLOOKUP($C80,'Non Inventory'!$B:$I,2,FALSE()),IF($E80="Services",VLOOKUP($C80,Services!$B:$I,2,FALSE()),IF($E80="Patty Cash",VLOOKUP($C80,'Patty Cash'!$B:$J,2,FALSE()),"")))),"")</f>
        <v>Bearing Hmk 1819 (Ta 1819) P/N# 0942072-07</v>
      </c>
      <c r="E80" s="246" t="s">
        <v>6</v>
      </c>
      <c r="F80" s="210" t="str">
        <f>IFERROR(IF($E80="Inventory",VLOOKUP($C80,Inventory!$B:$I,3,FALSE()),IF($E80="Non Inventory",VLOOKUP($C80,'Non Inventory'!$B:$I,3,FALSE()),IF($E80="Services",VLOOKUP($C80,Services!$B:$I,3,FALSE()),IF($E80="Patty Cash",VLOOKUP($C80,'Patty Cash'!$B:$J,3,FALSE()),"")))),"")</f>
        <v>NOS</v>
      </c>
      <c r="G80" s="211">
        <v>1</v>
      </c>
      <c r="H80" s="212">
        <f>IF($E80="","",IF($E80="Inventory",IFERROR(VLOOKUP($C80,Inventory!$B:$H,7,FALSE()),0),IF($E80="Non Inventory",IFERROR(VLOOKUP($C80,'Non Inventory'!$B:$H,7,FALSE()),0),IF($E80="Services",IFERROR(VLOOKUP($C80,Services!$B:$H,7,FALSE()),0),IF($E80="Patty Cash",IFERROR(VLOOKUP($C80,'Patty Cash'!$B:$H,7,FALSE()),0),0)))))</f>
        <v>26</v>
      </c>
      <c r="I80" s="213" t="s">
        <v>48</v>
      </c>
      <c r="J80" s="214" t="s">
        <v>1250</v>
      </c>
      <c r="K80" s="215" t="s">
        <v>1194</v>
      </c>
      <c r="L80" s="197" t="s">
        <v>1195</v>
      </c>
      <c r="M80" s="215" t="s">
        <v>1196</v>
      </c>
      <c r="N80" s="216">
        <f>IFERROR(IF($E80="Inventory",VLOOKUP($C80,Inventory!$B:$I,8,FALSE()),IF($E80="Non Inventory",VLOOKUP($C80,'Non Inventory'!$B:$I,8,FALSE()),IF($E80="Services",VLOOKUP($C80,Services!$B:$I,8,FALSE()),IF($E80="Patty Cash",VLOOKUP($C80,'Patty Cash'!$B:$J,8,FALSE()),0)))),0)</f>
        <v>1500</v>
      </c>
      <c r="O80" s="217">
        <f t="shared" si="1"/>
        <v>1500</v>
      </c>
    </row>
    <row r="81" spans="1:15" ht="23.1" customHeight="1">
      <c r="A81" s="206">
        <f>IF(AND($B81="",$C81=""),"",MAX($A$3:A80)+1)</f>
        <v>78</v>
      </c>
      <c r="B81" s="207">
        <v>46157</v>
      </c>
      <c r="C81" s="208">
        <v>10640</v>
      </c>
      <c r="D81" s="209" t="str">
        <f>IFERROR(IF($E81="Inventory",VLOOKUP($C81,Inventory!$B:$I,2,FALSE()),IF($E81="Non Inventory",VLOOKUP($C81,'Non Inventory'!$B:$I,2,FALSE()),IF($E81="Services",VLOOKUP($C81,Services!$B:$I,2,FALSE()),IF($E81="Patty Cash",VLOOKUP($C81,'Patty Cash'!$B:$J,2,FALSE()),"")))),"")</f>
        <v>Magnetic Contactor 24 Vdc, Model # 3rt26
(Siemens)</v>
      </c>
      <c r="E81" s="246" t="s">
        <v>6</v>
      </c>
      <c r="F81" s="210" t="str">
        <f>IFERROR(IF($E81="Inventory",VLOOKUP($C81,Inventory!$B:$I,3,FALSE()),IF($E81="Non Inventory",VLOOKUP($C81,'Non Inventory'!$B:$I,3,FALSE()),IF($E81="Services",VLOOKUP($C81,Services!$B:$I,3,FALSE()),IF($E81="Patty Cash",VLOOKUP($C81,'Patty Cash'!$B:$J,3,FALSE()),"")))),"")</f>
        <v>NOS</v>
      </c>
      <c r="G81" s="211">
        <v>1</v>
      </c>
      <c r="H81" s="212">
        <f>IF($E81="","",IF($E81="Inventory",IFERROR(VLOOKUP($C81,Inventory!$B:$H,7,FALSE()),0),IF($E81="Non Inventory",IFERROR(VLOOKUP($C81,'Non Inventory'!$B:$H,7,FALSE()),0),IF($E81="Services",IFERROR(VLOOKUP($C81,Services!$B:$H,7,FALSE()),0),IF($E81="Patty Cash",IFERROR(VLOOKUP($C81,'Patty Cash'!$B:$H,7,FALSE()),0),0)))))</f>
        <v>1</v>
      </c>
      <c r="I81" s="213" t="s">
        <v>58</v>
      </c>
      <c r="J81" s="214" t="s">
        <v>1308</v>
      </c>
      <c r="K81" s="215" t="s">
        <v>1209</v>
      </c>
      <c r="L81" s="197" t="s">
        <v>1195</v>
      </c>
      <c r="M81" s="215" t="s">
        <v>1196</v>
      </c>
      <c r="N81" s="216">
        <f>IFERROR(IF($E81="Inventory",VLOOKUP($C81,Inventory!$B:$I,8,FALSE()),IF($E81="Non Inventory",VLOOKUP($C81,'Non Inventory'!$B:$I,8,FALSE()),IF($E81="Services",VLOOKUP($C81,Services!$B:$I,8,FALSE()),IF($E81="Patty Cash",VLOOKUP($C81,'Patty Cash'!$B:$J,8,FALSE()),0)))),0)</f>
        <v>22000</v>
      </c>
      <c r="O81" s="217">
        <f t="shared" si="1"/>
        <v>22000</v>
      </c>
    </row>
    <row r="82" spans="1:15" ht="23.1" customHeight="1">
      <c r="A82" s="206">
        <f>IF(AND($B82="",$C82=""),"",MAX($A$3:A81)+1)</f>
        <v>79</v>
      </c>
      <c r="B82" s="207">
        <v>46157</v>
      </c>
      <c r="C82" s="208">
        <v>27049</v>
      </c>
      <c r="D82" s="209" t="str">
        <f>IFERROR(IF($E82="Inventory",VLOOKUP($C82,Inventory!$B:$I,2,FALSE()),IF($E82="Non Inventory",VLOOKUP($C82,'Non Inventory'!$B:$I,2,FALSE()),IF($E82="Services",VLOOKUP($C82,Services!$B:$I,2,FALSE()),IF($E82="Patty Cash",VLOOKUP($C82,'Patty Cash'!$B:$J,2,FALSE()),"")))),"")</f>
        <v>Aluminum Insulation Tubing Dia 1-1/2"</v>
      </c>
      <c r="E82" s="246" t="s">
        <v>7</v>
      </c>
      <c r="F82" s="210" t="str">
        <f>IFERROR(IF($E82="Inventory",VLOOKUP($C82,Inventory!$B:$I,3,FALSE()),IF($E82="Non Inventory",VLOOKUP($C82,'Non Inventory'!$B:$I,3,FALSE()),IF($E82="Services",VLOOKUP($C82,Services!$B:$I,3,FALSE()),IF($E82="Patty Cash",VLOOKUP($C82,'Patty Cash'!$B:$J,3,FALSE()),"")))),"")</f>
        <v>LFT</v>
      </c>
      <c r="G82" s="211">
        <v>66</v>
      </c>
      <c r="H82" s="212">
        <f>IF($E82="","",IF($E82="Inventory",IFERROR(VLOOKUP($C82,Inventory!$B:$H,7,FALSE()),0),IF($E82="Non Inventory",IFERROR(VLOOKUP($C82,'Non Inventory'!$B:$H,7,FALSE()),0),IF($E82="Services",IFERROR(VLOOKUP($C82,Services!$B:$H,7,FALSE()),0),IF($E82="Patty Cash",IFERROR(VLOOKUP($C82,'Patty Cash'!$B:$H,7,FALSE()),0),0)))))</f>
        <v>194</v>
      </c>
      <c r="I82" s="213" t="s">
        <v>1222</v>
      </c>
      <c r="J82" s="214" t="s">
        <v>1312</v>
      </c>
      <c r="K82" s="215" t="s">
        <v>1223</v>
      </c>
      <c r="L82" s="197" t="s">
        <v>1195</v>
      </c>
      <c r="M82" s="215" t="s">
        <v>1196</v>
      </c>
      <c r="N82" s="216">
        <f>IFERROR(IF($E82="Inventory",VLOOKUP($C82,Inventory!$B:$I,8,FALSE()),IF($E82="Non Inventory",VLOOKUP($C82,'Non Inventory'!$B:$I,8,FALSE()),IF($E82="Services",VLOOKUP($C82,Services!$B:$I,8,FALSE()),IF($E82="Patty Cash",VLOOKUP($C82,'Patty Cash'!$B:$J,8,FALSE()),0)))),0)</f>
        <v>467</v>
      </c>
      <c r="O82" s="217">
        <f t="shared" si="1"/>
        <v>30822</v>
      </c>
    </row>
    <row r="83" spans="1:15" ht="23.1" customHeight="1">
      <c r="A83" s="206">
        <f>IF(AND($B83="",$C83=""),"",MAX($A$3:A82)+1)</f>
        <v>80</v>
      </c>
      <c r="B83" s="207">
        <v>46158</v>
      </c>
      <c r="C83" s="208">
        <v>11156</v>
      </c>
      <c r="D83" s="209" t="str">
        <f>IFERROR(IF($E83="Inventory",VLOOKUP($C83,Inventory!$B:$I,2,FALSE()),IF($E83="Non Inventory",VLOOKUP($C83,'Non Inventory'!$B:$I,2,FALSE()),IF($E83="Services",VLOOKUP($C83,Services!$B:$I,2,FALSE()),IF($E83="Patty Cash",VLOOKUP($C83,'Patty Cash'!$B:$J,2,FALSE()),"")))),"")</f>
        <v>Cutting Disc Size 9" x 2mm</v>
      </c>
      <c r="E83" s="246" t="s">
        <v>7</v>
      </c>
      <c r="F83" s="210" t="str">
        <f>IFERROR(IF($E83="Inventory",VLOOKUP($C83,Inventory!$B:$I,3,FALSE()),IF($E83="Non Inventory",VLOOKUP($C83,'Non Inventory'!$B:$I,3,FALSE()),IF($E83="Services",VLOOKUP($C83,Services!$B:$I,3,FALSE()),IF($E83="Patty Cash",VLOOKUP($C83,'Patty Cash'!$B:$J,3,FALSE()),"")))),"")</f>
        <v>NOS</v>
      </c>
      <c r="G83" s="211">
        <v>2</v>
      </c>
      <c r="H83" s="212">
        <f>IF($E83="","",IF($E83="Inventory",IFERROR(VLOOKUP($C83,Inventory!$B:$H,7,FALSE()),0),IF($E83="Non Inventory",IFERROR(VLOOKUP($C83,'Non Inventory'!$B:$H,7,FALSE()),0),IF($E83="Services",IFERROR(VLOOKUP($C83,Services!$B:$H,7,FALSE()),0),IF($E83="Patty Cash",IFERROR(VLOOKUP($C83,'Patty Cash'!$B:$H,7,FALSE()),0),0)))))</f>
        <v>1</v>
      </c>
      <c r="I83" s="213" t="s">
        <v>1222</v>
      </c>
      <c r="J83" s="214" t="s">
        <v>67</v>
      </c>
      <c r="K83" s="215" t="s">
        <v>1199</v>
      </c>
      <c r="L83" s="197" t="s">
        <v>1195</v>
      </c>
      <c r="M83" s="215" t="s">
        <v>1196</v>
      </c>
      <c r="N83" s="216">
        <f>IFERROR(IF($E83="Inventory",VLOOKUP($C83,Inventory!$B:$I,8,FALSE()),IF($E83="Non Inventory",VLOOKUP($C83,'Non Inventory'!$B:$I,8,FALSE()),IF($E83="Services",VLOOKUP($C83,Services!$B:$I,8,FALSE()),IF($E83="Patty Cash",VLOOKUP($C83,'Patty Cash'!$B:$J,8,FALSE()),0)))),0)</f>
        <v>850</v>
      </c>
      <c r="O83" s="217">
        <f t="shared" si="1"/>
        <v>1700</v>
      </c>
    </row>
    <row r="84" spans="1:15" ht="23.1" customHeight="1">
      <c r="A84" s="206">
        <f>IF(AND($B84="",$C84=""),"",MAX($A$3:A83)+1)</f>
        <v>81</v>
      </c>
      <c r="B84" s="207">
        <v>46158</v>
      </c>
      <c r="C84" s="208">
        <v>7386</v>
      </c>
      <c r="D84" s="209" t="str">
        <f>IFERROR(IF($E84="Inventory",VLOOKUP($C84,Inventory!$B:$I,2,FALSE()),IF($E84="Non Inventory",VLOOKUP($C84,'Non Inventory'!$B:$I,2,FALSE()),IF($E84="Services",VLOOKUP($C84,Services!$B:$I,2,FALSE()),IF($E84="Patty Cash",VLOOKUP($C84,'Patty Cash'!$B:$J,2,FALSE()),"")))),"")</f>
        <v>UC 205 (56205) MM</v>
      </c>
      <c r="E84" s="246" t="s">
        <v>6</v>
      </c>
      <c r="F84" s="210" t="str">
        <f>IFERROR(IF($E84="Inventory",VLOOKUP($C84,Inventory!$B:$I,3,FALSE()),IF($E84="Non Inventory",VLOOKUP($C84,'Non Inventory'!$B:$I,3,FALSE()),IF($E84="Services",VLOOKUP($C84,Services!$B:$I,3,FALSE()),IF($E84="Patty Cash",VLOOKUP($C84,'Patty Cash'!$B:$J,3,FALSE()),"")))),"")</f>
        <v>NOS</v>
      </c>
      <c r="G84" s="211">
        <v>1</v>
      </c>
      <c r="H84" s="212">
        <f>IF($E84="","",IF($E84="Inventory",IFERROR(VLOOKUP($C84,Inventory!$B:$H,7,FALSE()),0),IF($E84="Non Inventory",IFERROR(VLOOKUP($C84,'Non Inventory'!$B:$H,7,FALSE()),0),IF($E84="Services",IFERROR(VLOOKUP($C84,Services!$B:$H,7,FALSE()),0),IF($E84="Patty Cash",IFERROR(VLOOKUP($C84,'Patty Cash'!$B:$H,7,FALSE()),0),0)))))</f>
        <v>2</v>
      </c>
      <c r="I84" s="213" t="s">
        <v>54</v>
      </c>
      <c r="J84" s="214" t="s">
        <v>1313</v>
      </c>
      <c r="K84" s="215" t="s">
        <v>1220</v>
      </c>
      <c r="L84" s="197" t="s">
        <v>1195</v>
      </c>
      <c r="M84" s="215" t="s">
        <v>1196</v>
      </c>
      <c r="N84" s="216">
        <f>IFERROR(IF($E84="Inventory",VLOOKUP($C84,Inventory!$B:$I,8,FALSE()),IF($E84="Non Inventory",VLOOKUP($C84,'Non Inventory'!$B:$I,8,FALSE()),IF($E84="Services",VLOOKUP($C84,Services!$B:$I,8,FALSE()),IF($E84="Patty Cash",VLOOKUP($C84,'Patty Cash'!$B:$J,8,FALSE()),0)))),0)</f>
        <v>1950</v>
      </c>
      <c r="O84" s="217">
        <f t="shared" si="1"/>
        <v>1950</v>
      </c>
    </row>
    <row r="85" spans="1:15" ht="23.1" customHeight="1">
      <c r="A85" s="206">
        <f>IF(AND($B85="",$C85=""),"",MAX($A$3:A84)+1)</f>
        <v>82</v>
      </c>
      <c r="B85" s="207">
        <v>46158</v>
      </c>
      <c r="C85" s="208">
        <v>3484</v>
      </c>
      <c r="D85" s="209" t="str">
        <f>IFERROR(IF($E85="Inventory",VLOOKUP($C85,Inventory!$B:$I,2,FALSE()),IF($E85="Non Inventory",VLOOKUP($C85,'Non Inventory'!$B:$I,2,FALSE()),IF($E85="Services",VLOOKUP($C85,Services!$B:$I,2,FALSE()),IF($E85="Patty Cash",VLOOKUP($C85,'Patty Cash'!$B:$J,2,FALSE()),"")))),"")</f>
        <v>PVC Connector 100 Amp</v>
      </c>
      <c r="E85" s="246" t="s">
        <v>7</v>
      </c>
      <c r="F85" s="210" t="str">
        <f>IFERROR(IF($E85="Inventory",VLOOKUP($C85,Inventory!$B:$I,3,FALSE()),IF($E85="Non Inventory",VLOOKUP($C85,'Non Inventory'!$B:$I,3,FALSE()),IF($E85="Services",VLOOKUP($C85,Services!$B:$I,3,FALSE()),IF($E85="Patty Cash",VLOOKUP($C85,'Patty Cash'!$B:$J,3,FALSE()),"")))),"")</f>
        <v>NOS</v>
      </c>
      <c r="G85" s="211">
        <v>1</v>
      </c>
      <c r="H85" s="212">
        <f>IF($E85="","",IF($E85="Inventory",IFERROR(VLOOKUP($C85,Inventory!$B:$H,7,FALSE()),0),IF($E85="Non Inventory",IFERROR(VLOOKUP($C85,'Non Inventory'!$B:$H,7,FALSE()),0),IF($E85="Services",IFERROR(VLOOKUP($C85,Services!$B:$H,7,FALSE()),0),IF($E85="Patty Cash",IFERROR(VLOOKUP($C85,'Patty Cash'!$B:$H,7,FALSE()),0),0)))))</f>
        <v>21</v>
      </c>
      <c r="I85" s="213" t="s">
        <v>1222</v>
      </c>
      <c r="J85" s="214" t="s">
        <v>67</v>
      </c>
      <c r="K85" s="215" t="s">
        <v>1238</v>
      </c>
      <c r="L85" s="197" t="s">
        <v>1195</v>
      </c>
      <c r="M85" s="215" t="s">
        <v>1207</v>
      </c>
      <c r="N85" s="216">
        <f>IFERROR(IF($E85="Inventory",VLOOKUP($C85,Inventory!$B:$I,8,FALSE()),IF($E85="Non Inventory",VLOOKUP($C85,'Non Inventory'!$B:$I,8,FALSE()),IF($E85="Services",VLOOKUP($C85,Services!$B:$I,8,FALSE()),IF($E85="Patty Cash",VLOOKUP($C85,'Patty Cash'!$B:$J,8,FALSE()),0)))),0)</f>
        <v>350</v>
      </c>
      <c r="O85" s="217">
        <f t="shared" si="1"/>
        <v>350</v>
      </c>
    </row>
    <row r="86" spans="1:15" ht="23.1" customHeight="1">
      <c r="A86" s="206">
        <f>IF(AND($B86="",$C86=""),"",MAX($A$3:A85)+1)</f>
        <v>83</v>
      </c>
      <c r="B86" s="207">
        <v>46158</v>
      </c>
      <c r="C86" s="208">
        <v>8379</v>
      </c>
      <c r="D86" s="209" t="str">
        <f>IFERROR(IF($E86="Inventory",VLOOKUP($C86,Inventory!$B:$I,2,FALSE()),IF($E86="Non Inventory",VLOOKUP($C86,'Non Inventory'!$B:$I,2,FALSE()),IF($E86="Services",VLOOKUP($C86,Services!$B:$I,2,FALSE()),IF($E86="Patty Cash",VLOOKUP($C86,'Patty Cash'!$B:$J,2,FALSE()),"")))),"")</f>
        <v>Rawal Bolt 16mm</v>
      </c>
      <c r="E86" s="246" t="s">
        <v>7</v>
      </c>
      <c r="F86" s="210" t="str">
        <f>IFERROR(IF($E86="Inventory",VLOOKUP($C86,Inventory!$B:$I,3,FALSE()),IF($E86="Non Inventory",VLOOKUP($C86,'Non Inventory'!$B:$I,3,FALSE()),IF($E86="Services",VLOOKUP($C86,Services!$B:$I,3,FALSE()),IF($E86="Patty Cash",VLOOKUP($C86,'Patty Cash'!$B:$J,3,FALSE()),"")))),"")</f>
        <v>NOS</v>
      </c>
      <c r="G86" s="211">
        <v>2</v>
      </c>
      <c r="H86" s="212">
        <f>IF($E86="","",IF($E86="Inventory",IFERROR(VLOOKUP($C86,Inventory!$B:$H,7,FALSE()),0),IF($E86="Non Inventory",IFERROR(VLOOKUP($C86,'Non Inventory'!$B:$H,7,FALSE()),0),IF($E86="Services",IFERROR(VLOOKUP($C86,Services!$B:$H,7,FALSE()),0),IF($E86="Patty Cash",IFERROR(VLOOKUP($C86,'Patty Cash'!$B:$H,7,FALSE()),0),0)))))</f>
        <v>46</v>
      </c>
      <c r="I86" s="213" t="s">
        <v>54</v>
      </c>
      <c r="J86" s="214" t="s">
        <v>1316</v>
      </c>
      <c r="K86" s="215" t="s">
        <v>1217</v>
      </c>
      <c r="L86" s="197" t="s">
        <v>1195</v>
      </c>
      <c r="M86" s="215" t="s">
        <v>1196</v>
      </c>
      <c r="N86" s="216">
        <f>IFERROR(IF($E86="Inventory",VLOOKUP($C86,Inventory!$B:$I,8,FALSE()),IF($E86="Non Inventory",VLOOKUP($C86,'Non Inventory'!$B:$I,8,FALSE()),IF($E86="Services",VLOOKUP($C86,Services!$B:$I,8,FALSE()),IF($E86="Patty Cash",VLOOKUP($C86,'Patty Cash'!$B:$J,8,FALSE()),0)))),0)</f>
        <v>180</v>
      </c>
      <c r="O86" s="217">
        <f t="shared" si="1"/>
        <v>360</v>
      </c>
    </row>
    <row r="87" spans="1:15" ht="23.1" customHeight="1">
      <c r="A87" s="206">
        <f>IF(AND($B87="",$C87=""),"",MAX($A$3:A86)+1)</f>
        <v>84</v>
      </c>
      <c r="B87" s="207">
        <v>46158</v>
      </c>
      <c r="C87" s="208">
        <v>14658</v>
      </c>
      <c r="D87" s="209" t="str">
        <f>IFERROR(IF($E87="Inventory",VLOOKUP($C87,Inventory!$B:$I,2,FALSE()),IF($E87="Non Inventory",VLOOKUP($C87,'Non Inventory'!$B:$I,2,FALSE()),IF($E87="Services",VLOOKUP($C87,Services!$B:$I,2,FALSE()),IF($E87="Patty Cash",VLOOKUP($C87,'Patty Cash'!$B:$J,2,FALSE()),"")))),"")</f>
        <v>Conveyor Belt Size 12375x254x3mm, Shifter Dis
8", Height 20mm(Lalesse Plant)</v>
      </c>
      <c r="E87" s="246" t="s">
        <v>7</v>
      </c>
      <c r="F87" s="210" t="str">
        <f>IFERROR(IF($E87="Inventory",VLOOKUP($C87,Inventory!$B:$I,3,FALSE()),IF($E87="Non Inventory",VLOOKUP($C87,'Non Inventory'!$B:$I,3,FALSE()),IF($E87="Services",VLOOKUP($C87,Services!$B:$I,3,FALSE()),IF($E87="Patty Cash",VLOOKUP($C87,'Patty Cash'!$B:$J,3,FALSE()),"")))),"")</f>
        <v>NOS</v>
      </c>
      <c r="G87" s="211">
        <v>2</v>
      </c>
      <c r="H87" s="212">
        <f>IF($E87="","",IF($E87="Inventory",IFERROR(VLOOKUP($C87,Inventory!$B:$H,7,FALSE()),0),IF($E87="Non Inventory",IFERROR(VLOOKUP($C87,'Non Inventory'!$B:$H,7,FALSE()),0),IF($E87="Services",IFERROR(VLOOKUP($C87,Services!$B:$H,7,FALSE()),0),IF($E87="Patty Cash",IFERROR(VLOOKUP($C87,'Patty Cash'!$B:$H,7,FALSE()),0),0)))))</f>
        <v>0</v>
      </c>
      <c r="I87" s="213" t="s">
        <v>69</v>
      </c>
      <c r="J87" s="214" t="s">
        <v>1326</v>
      </c>
      <c r="K87" s="215" t="s">
        <v>1232</v>
      </c>
      <c r="L87" s="197" t="s">
        <v>1195</v>
      </c>
      <c r="M87" s="215" t="s">
        <v>1196</v>
      </c>
      <c r="N87" s="216">
        <f>IFERROR(IF($E87="Inventory",VLOOKUP($C87,Inventory!$B:$I,8,FALSE()),IF($E87="Non Inventory",VLOOKUP($C87,'Non Inventory'!$B:$I,8,FALSE()),IF($E87="Services",VLOOKUP($C87,Services!$B:$I,8,FALSE()),IF($E87="Patty Cash",VLOOKUP($C87,'Patty Cash'!$B:$J,8,FALSE()),0)))),0)</f>
        <v>42318</v>
      </c>
      <c r="O87" s="217">
        <f t="shared" si="1"/>
        <v>84636</v>
      </c>
    </row>
    <row r="88" spans="1:15" ht="23.1" customHeight="1">
      <c r="A88" s="206">
        <f>IF(AND($B88="",$C88=""),"",MAX($A$3:A87)+1)</f>
        <v>85</v>
      </c>
      <c r="B88" s="207">
        <v>46158</v>
      </c>
      <c r="C88" s="208">
        <v>1855</v>
      </c>
      <c r="D88" s="209" t="str">
        <f>IFERROR(IF($E88="Inventory",VLOOKUP($C88,Inventory!$B:$I,2,FALSE()),IF($E88="Non Inventory",VLOOKUP($C88,'Non Inventory'!$B:$I,2,FALSE()),IF($E88="Services",VLOOKUP($C88,Services!$B:$I,2,FALSE()),IF($E88="Patty Cash",VLOOKUP($C88,'Patty Cash'!$B:$J,2,FALSE()),"")))),"")</f>
        <v>Comb Type Knife Size L-180mm, W-65mm, T-2mm (Material Funner Steel) Sama Packing Machine</v>
      </c>
      <c r="E88" s="246" t="s">
        <v>6</v>
      </c>
      <c r="F88" s="210" t="str">
        <f>IFERROR(IF($E88="Inventory",VLOOKUP($C88,Inventory!$B:$I,3,FALSE()),IF($E88="Non Inventory",VLOOKUP($C88,'Non Inventory'!$B:$I,3,FALSE()),IF($E88="Services",VLOOKUP($C88,Services!$B:$I,3,FALSE()),IF($E88="Patty Cash",VLOOKUP($C88,'Patty Cash'!$B:$J,3,FALSE()),"")))),"")</f>
        <v>PCS</v>
      </c>
      <c r="G88" s="211">
        <v>1</v>
      </c>
      <c r="H88" s="212">
        <f>IF($E88="","",IF($E88="Inventory",IFERROR(VLOOKUP($C88,Inventory!$B:$H,7,FALSE()),0),IF($E88="Non Inventory",IFERROR(VLOOKUP($C88,'Non Inventory'!$B:$H,7,FALSE()),0),IF($E88="Services",IFERROR(VLOOKUP($C88,Services!$B:$H,7,FALSE()),0),IF($E88="Patty Cash",IFERROR(VLOOKUP($C88,'Patty Cash'!$B:$H,7,FALSE()),0),0)))))</f>
        <v>2</v>
      </c>
      <c r="I88" s="213" t="s">
        <v>75</v>
      </c>
      <c r="J88" s="214" t="s">
        <v>1224</v>
      </c>
      <c r="K88" s="215" t="s">
        <v>1194</v>
      </c>
      <c r="L88" s="197" t="s">
        <v>1195</v>
      </c>
      <c r="M88" s="215" t="s">
        <v>1196</v>
      </c>
      <c r="N88" s="216">
        <f>IFERROR(IF($E88="Inventory",VLOOKUP($C88,Inventory!$B:$I,8,FALSE()),IF($E88="Non Inventory",VLOOKUP($C88,'Non Inventory'!$B:$I,8,FALSE()),IF($E88="Services",VLOOKUP($C88,Services!$B:$I,8,FALSE()),IF($E88="Patty Cash",VLOOKUP($C88,'Patty Cash'!$B:$J,8,FALSE()),0)))),0)</f>
        <v>3000</v>
      </c>
      <c r="O88" s="217">
        <f t="shared" si="1"/>
        <v>3000</v>
      </c>
    </row>
    <row r="89" spans="1:15" ht="23.1" customHeight="1">
      <c r="A89" s="206">
        <f>IF(AND($B89="",$C89=""),"",MAX($A$3:A88)+1)</f>
        <v>86</v>
      </c>
      <c r="B89" s="207">
        <v>46158</v>
      </c>
      <c r="C89" s="208">
        <v>7399</v>
      </c>
      <c r="D89" s="209" t="str">
        <f>IFERROR(IF($E89="Inventory",VLOOKUP($C89,Inventory!$B:$I,2,FALSE()),IF($E89="Non Inventory",VLOOKUP($C89,'Non Inventory'!$B:$I,2,FALSE()),IF($E89="Services",VLOOKUP($C89,Services!$B:$I,2,FALSE()),IF($E89="Patty Cash",VLOOKUP($C89,'Patty Cash'!$B:$J,2,FALSE()),"")))),"")</f>
        <v>Cable Ties Size 12"</v>
      </c>
      <c r="E89" s="246" t="s">
        <v>7</v>
      </c>
      <c r="F89" s="210" t="str">
        <f>IFERROR(IF($E89="Inventory",VLOOKUP($C89,Inventory!$B:$I,3,FALSE()),IF($E89="Non Inventory",VLOOKUP($C89,'Non Inventory'!$B:$I,3,FALSE()),IF($E89="Services",VLOOKUP($C89,Services!$B:$I,3,FALSE()),IF($E89="Patty Cash",VLOOKUP($C89,'Patty Cash'!$B:$J,3,FALSE()),"")))),"")</f>
        <v>PAK</v>
      </c>
      <c r="G89" s="211">
        <v>1</v>
      </c>
      <c r="H89" s="212">
        <f>IF($E89="","",IF($E89="Inventory",IFERROR(VLOOKUP($C89,Inventory!$B:$H,7,FALSE()),0),IF($E89="Non Inventory",IFERROR(VLOOKUP($C89,'Non Inventory'!$B:$H,7,FALSE()),0),IF($E89="Services",IFERROR(VLOOKUP($C89,Services!$B:$H,7,FALSE()),0),IF($E89="Patty Cash",IFERROR(VLOOKUP($C89,'Patty Cash'!$B:$H,7,FALSE()),0),0)))))</f>
        <v>1</v>
      </c>
      <c r="I89" s="213" t="s">
        <v>1222</v>
      </c>
      <c r="J89" s="214" t="s">
        <v>67</v>
      </c>
      <c r="K89" s="215" t="s">
        <v>1206</v>
      </c>
      <c r="L89" s="197" t="s">
        <v>1195</v>
      </c>
      <c r="M89" s="215" t="s">
        <v>1207</v>
      </c>
      <c r="N89" s="216">
        <f>IFERROR(IF($E89="Inventory",VLOOKUP($C89,Inventory!$B:$I,8,FALSE()),IF($E89="Non Inventory",VLOOKUP($C89,'Non Inventory'!$B:$I,8,FALSE()),IF($E89="Services",VLOOKUP($C89,Services!$B:$I,8,FALSE()),IF($E89="Patty Cash",VLOOKUP($C89,'Patty Cash'!$B:$J,8,FALSE()),0)))),0)</f>
        <v>467</v>
      </c>
      <c r="O89" s="217">
        <f t="shared" si="1"/>
        <v>467</v>
      </c>
    </row>
    <row r="90" spans="1:15" ht="23.1" customHeight="1">
      <c r="A90" s="206">
        <f>IF(AND($B90="",$C90=""),"",MAX($A$3:A89)+1)</f>
        <v>87</v>
      </c>
      <c r="B90" s="207">
        <v>46158</v>
      </c>
      <c r="C90" s="208">
        <v>9595</v>
      </c>
      <c r="D90" s="209" t="str">
        <f>IFERROR(IF($E90="Inventory",VLOOKUP($C90,Inventory!$B:$I,2,FALSE()),IF($E90="Non Inventory",VLOOKUP($C90,'Non Inventory'!$B:$I,2,FALSE()),IF($E90="Services",VLOOKUP($C90,Services!$B:$I,2,FALSE()),IF($E90="Patty Cash",VLOOKUP($C90,'Patty Cash'!$B:$J,2,FALSE()),"")))),"")</f>
        <v>Cable Ties Size 14"</v>
      </c>
      <c r="E90" s="246" t="s">
        <v>7</v>
      </c>
      <c r="F90" s="210" t="str">
        <f>IFERROR(IF($E90="Inventory",VLOOKUP($C90,Inventory!$B:$I,3,FALSE()),IF($E90="Non Inventory",VLOOKUP($C90,'Non Inventory'!$B:$I,3,FALSE()),IF($E90="Services",VLOOKUP($C90,Services!$B:$I,3,FALSE()),IF($E90="Patty Cash",VLOOKUP($C90,'Patty Cash'!$B:$J,3,FALSE()),"")))),"")</f>
        <v>NOS</v>
      </c>
      <c r="G90" s="211">
        <v>1</v>
      </c>
      <c r="H90" s="212">
        <f>IF($E90="","",IF($E90="Inventory",IFERROR(VLOOKUP($C90,Inventory!$B:$H,7,FALSE()),0),IF($E90="Non Inventory",IFERROR(VLOOKUP($C90,'Non Inventory'!$B:$H,7,FALSE()),0),IF($E90="Services",IFERROR(VLOOKUP($C90,Services!$B:$H,7,FALSE()),0),IF($E90="Patty Cash",IFERROR(VLOOKUP($C90,'Patty Cash'!$B:$H,7,FALSE()),0),0)))))</f>
        <v>13</v>
      </c>
      <c r="I90" s="213" t="s">
        <v>1222</v>
      </c>
      <c r="J90" s="214" t="s">
        <v>67</v>
      </c>
      <c r="K90" s="215" t="s">
        <v>1209</v>
      </c>
      <c r="L90" s="197" t="s">
        <v>1195</v>
      </c>
      <c r="M90" s="215" t="s">
        <v>1207</v>
      </c>
      <c r="N90" s="216">
        <f>IFERROR(IF($E90="Inventory",VLOOKUP($C90,Inventory!$B:$I,8,FALSE()),IF($E90="Non Inventory",VLOOKUP($C90,'Non Inventory'!$B:$I,8,FALSE()),IF($E90="Services",VLOOKUP($C90,Services!$B:$I,8,FALSE()),IF($E90="Patty Cash",VLOOKUP($C90,'Patty Cash'!$B:$J,8,FALSE()),0)))),0)</f>
        <v>320</v>
      </c>
      <c r="O90" s="217">
        <f t="shared" si="1"/>
        <v>320</v>
      </c>
    </row>
    <row r="91" spans="1:15" ht="23.1" customHeight="1">
      <c r="A91" s="206">
        <f>IF(AND($B91="",$C91=""),"",MAX($A$3:A90)+1)</f>
        <v>88</v>
      </c>
      <c r="B91" s="207">
        <v>46158</v>
      </c>
      <c r="C91" s="208">
        <v>2389</v>
      </c>
      <c r="D91" s="209" t="str">
        <f>IFERROR(IF($E91="Inventory",VLOOKUP($C91,Inventory!$B:$I,2,FALSE()),IF($E91="Non Inventory",VLOOKUP($C91,'Non Inventory'!$B:$I,2,FALSE()),IF($E91="Services",VLOOKUP($C91,Services!$B:$I,2,FALSE()),IF($E91="Patty Cash",VLOOKUP($C91,'Patty Cash'!$B:$J,2,FALSE()),"")))),"")</f>
        <v>CIR. BREAKER 16 A 1 POLE</v>
      </c>
      <c r="E91" s="246" t="s">
        <v>6</v>
      </c>
      <c r="F91" s="210" t="str">
        <f>IFERROR(IF($E91="Inventory",VLOOKUP($C91,Inventory!$B:$I,3,FALSE()),IF($E91="Non Inventory",VLOOKUP($C91,'Non Inventory'!$B:$I,3,FALSE()),IF($E91="Services",VLOOKUP($C91,Services!$B:$I,3,FALSE()),IF($E91="Patty Cash",VLOOKUP($C91,'Patty Cash'!$B:$J,3,FALSE()),"")))),"")</f>
        <v>PCS</v>
      </c>
      <c r="G91" s="211">
        <v>1</v>
      </c>
      <c r="H91" s="212">
        <f>IF($E91="","",IF($E91="Inventory",IFERROR(VLOOKUP($C91,Inventory!$B:$H,7,FALSE()),0),IF($E91="Non Inventory",IFERROR(VLOOKUP($C91,'Non Inventory'!$B:$H,7,FALSE()),0),IF($E91="Services",IFERROR(VLOOKUP($C91,Services!$B:$H,7,FALSE()),0),IF($E91="Patty Cash",IFERROR(VLOOKUP($C91,'Patty Cash'!$B:$H,7,FALSE()),0),0)))))</f>
        <v>0</v>
      </c>
      <c r="I91" s="213" t="s">
        <v>69</v>
      </c>
      <c r="J91" s="214" t="s">
        <v>1256</v>
      </c>
      <c r="K91" s="215" t="s">
        <v>1211</v>
      </c>
      <c r="L91" s="197" t="s">
        <v>1204</v>
      </c>
      <c r="M91" s="215" t="s">
        <v>1207</v>
      </c>
      <c r="N91" s="216">
        <f>IFERROR(IF($E91="Inventory",VLOOKUP($C91,Inventory!$B:$I,8,FALSE()),IF($E91="Non Inventory",VLOOKUP($C91,'Non Inventory'!$B:$I,8,FALSE()),IF($E91="Services",VLOOKUP($C91,Services!$B:$I,8,FALSE()),IF($E91="Patty Cash",VLOOKUP($C91,'Patty Cash'!$B:$J,8,FALSE()),0)))),0)</f>
        <v>750</v>
      </c>
      <c r="O91" s="217">
        <f t="shared" si="1"/>
        <v>750</v>
      </c>
    </row>
    <row r="92" spans="1:15" ht="23.1" customHeight="1">
      <c r="A92" s="206">
        <f>IF(AND($B92="",$C92=""),"",MAX($A$3:A91)+1)</f>
        <v>89</v>
      </c>
      <c r="B92" s="207">
        <v>46158</v>
      </c>
      <c r="C92" s="208">
        <v>1855</v>
      </c>
      <c r="D92" s="209" t="str">
        <f>IFERROR(IF($E92="Inventory",VLOOKUP($C92,Inventory!$B:$I,2,FALSE()),IF($E92="Non Inventory",VLOOKUP($C92,'Non Inventory'!$B:$I,2,FALSE()),IF($E92="Services",VLOOKUP($C92,Services!$B:$I,2,FALSE()),IF($E92="Patty Cash",VLOOKUP($C92,'Patty Cash'!$B:$J,2,FALSE()),"")))),"")</f>
        <v>Comb Type Knife Size L-180mm, W-65mm, T-2mm (Material Funner Steel) Sama Packing Machine</v>
      </c>
      <c r="E92" s="246" t="s">
        <v>6</v>
      </c>
      <c r="F92" s="210" t="str">
        <f>IFERROR(IF($E92="Inventory",VLOOKUP($C92,Inventory!$B:$I,3,FALSE()),IF($E92="Non Inventory",VLOOKUP($C92,'Non Inventory'!$B:$I,3,FALSE()),IF($E92="Services",VLOOKUP($C92,Services!$B:$I,3,FALSE()),IF($E92="Patty Cash",VLOOKUP($C92,'Patty Cash'!$B:$J,3,FALSE()),"")))),"")</f>
        <v>PCS</v>
      </c>
      <c r="G92" s="211">
        <v>1</v>
      </c>
      <c r="H92" s="212">
        <f>IF($E92="","",IF($E92="Inventory",IFERROR(VLOOKUP($C92,Inventory!$B:$H,7,FALSE()),0),IF($E92="Non Inventory",IFERROR(VLOOKUP($C92,'Non Inventory'!$B:$H,7,FALSE()),0),IF($E92="Services",IFERROR(VLOOKUP($C92,Services!$B:$H,7,FALSE()),0),IF($E92="Patty Cash",IFERROR(VLOOKUP($C92,'Patty Cash'!$B:$H,7,FALSE()),0),0)))))</f>
        <v>2</v>
      </c>
      <c r="I92" s="213" t="s">
        <v>76</v>
      </c>
      <c r="J92" s="214" t="s">
        <v>1224</v>
      </c>
      <c r="K92" s="215" t="s">
        <v>1203</v>
      </c>
      <c r="L92" s="197" t="s">
        <v>1204</v>
      </c>
      <c r="M92" s="215" t="s">
        <v>1207</v>
      </c>
      <c r="N92" s="216">
        <f>IFERROR(IF($E92="Inventory",VLOOKUP($C92,Inventory!$B:$I,8,FALSE()),IF($E92="Non Inventory",VLOOKUP($C92,'Non Inventory'!$B:$I,8,FALSE()),IF($E92="Services",VLOOKUP($C92,Services!$B:$I,8,FALSE()),IF($E92="Patty Cash",VLOOKUP($C92,'Patty Cash'!$B:$J,8,FALSE()),0)))),0)</f>
        <v>3000</v>
      </c>
      <c r="O92" s="217">
        <f t="shared" si="1"/>
        <v>3000</v>
      </c>
    </row>
    <row r="93" spans="1:15" ht="23.1" customHeight="1">
      <c r="A93" s="206">
        <f>IF(AND($B93="",$C93=""),"",MAX($A$3:A92)+1)</f>
        <v>90</v>
      </c>
      <c r="B93" s="207">
        <v>46160</v>
      </c>
      <c r="C93" s="208">
        <v>5197</v>
      </c>
      <c r="D93" s="209" t="str">
        <f>IFERROR(IF($E93="Inventory",VLOOKUP($C93,Inventory!$B:$I,2,FALSE()),IF($E93="Non Inventory",VLOOKUP($C93,'Non Inventory'!$B:$I,2,FALSE()),IF($E93="Services",VLOOKUP($C93,Services!$B:$I,2,FALSE()),IF($E93="Patty Cash",VLOOKUP($C93,'Patty Cash'!$B:$J,2,FALSE()),"")))),"")</f>
        <v>V-BELT A-23</v>
      </c>
      <c r="E93" s="246" t="s">
        <v>7</v>
      </c>
      <c r="F93" s="210" t="str">
        <f>IFERROR(IF($E93="Inventory",VLOOKUP($C93,Inventory!$B:$I,3,FALSE()),IF($E93="Non Inventory",VLOOKUP($C93,'Non Inventory'!$B:$I,3,FALSE()),IF($E93="Services",VLOOKUP($C93,Services!$B:$I,3,FALSE()),IF($E93="Patty Cash",VLOOKUP($C93,'Patty Cash'!$B:$J,3,FALSE()),"")))),"")</f>
        <v>NOS</v>
      </c>
      <c r="G93" s="211">
        <v>1</v>
      </c>
      <c r="H93" s="212">
        <f>IF($E93="","",IF($E93="Inventory",IFERROR(VLOOKUP($C93,Inventory!$B:$H,7,FALSE()),0),IF($E93="Non Inventory",IFERROR(VLOOKUP($C93,'Non Inventory'!$B:$H,7,FALSE()),0),IF($E93="Services",IFERROR(VLOOKUP($C93,Services!$B:$H,7,FALSE()),0),IF($E93="Patty Cash",IFERROR(VLOOKUP($C93,'Patty Cash'!$B:$H,7,FALSE()),0),0)))))</f>
        <v>14</v>
      </c>
      <c r="I93" s="213" t="s">
        <v>56</v>
      </c>
      <c r="J93" s="214" t="s">
        <v>1339</v>
      </c>
      <c r="K93" s="215" t="s">
        <v>1199</v>
      </c>
      <c r="L93" s="197" t="s">
        <v>1195</v>
      </c>
      <c r="M93" s="215" t="s">
        <v>1196</v>
      </c>
      <c r="N93" s="216">
        <f>IFERROR(IF($E93="Inventory",VLOOKUP($C93,Inventory!$B:$I,8,FALSE()),IF($E93="Non Inventory",VLOOKUP($C93,'Non Inventory'!$B:$I,8,FALSE()),IF($E93="Services",VLOOKUP($C93,Services!$B:$I,8,FALSE()),IF($E93="Patty Cash",VLOOKUP($C93,'Patty Cash'!$B:$J,8,FALSE()),0)))),0)</f>
        <v>230</v>
      </c>
      <c r="O93" s="217">
        <f t="shared" si="1"/>
        <v>230</v>
      </c>
    </row>
    <row r="94" spans="1:15" ht="23.1" customHeight="1">
      <c r="A94" s="206">
        <f>IF(AND($B94="",$C94=""),"",MAX($A$3:A93)+1)</f>
        <v>91</v>
      </c>
      <c r="B94" s="207">
        <v>46160</v>
      </c>
      <c r="C94" s="208">
        <v>2026</v>
      </c>
      <c r="D94" s="209" t="str">
        <f>IFERROR(IF($E94="Inventory",VLOOKUP($C94,Inventory!$B:$I,2,FALSE()),IF($E94="Non Inventory",VLOOKUP($C94,'Non Inventory'!$B:$I,2,FALSE()),IF($E94="Services",VLOOKUP($C94,Services!$B:$I,2,FALSE()),IF($E94="Patty Cash",VLOOKUP($C94,'Patty Cash'!$B:$J,2,FALSE()),"")))),"")</f>
        <v>BALL BEARING TYPE 6204 2ZR C3</v>
      </c>
      <c r="E94" s="246" t="s">
        <v>6</v>
      </c>
      <c r="F94" s="210" t="str">
        <f>IFERROR(IF($E94="Inventory",VLOOKUP($C94,Inventory!$B:$I,3,FALSE()),IF($E94="Non Inventory",VLOOKUP($C94,'Non Inventory'!$B:$I,3,FALSE()),IF($E94="Services",VLOOKUP($C94,Services!$B:$I,3,FALSE()),IF($E94="Patty Cash",VLOOKUP($C94,'Patty Cash'!$B:$J,3,FALSE()),"")))),"")</f>
        <v>PCS</v>
      </c>
      <c r="G94" s="211">
        <v>2</v>
      </c>
      <c r="H94" s="212">
        <f>IF($E94="","",IF($E94="Inventory",IFERROR(VLOOKUP($C94,Inventory!$B:$H,7,FALSE()),0),IF($E94="Non Inventory",IFERROR(VLOOKUP($C94,'Non Inventory'!$B:$H,7,FALSE()),0),IF($E94="Services",IFERROR(VLOOKUP($C94,Services!$B:$H,7,FALSE()),0),IF($E94="Patty Cash",IFERROR(VLOOKUP($C94,'Patty Cash'!$B:$H,7,FALSE()),0),0)))))</f>
        <v>10</v>
      </c>
      <c r="I94" s="213" t="s">
        <v>58</v>
      </c>
      <c r="J94" s="214" t="s">
        <v>1337</v>
      </c>
      <c r="K94" s="215" t="s">
        <v>1238</v>
      </c>
      <c r="L94" s="197" t="s">
        <v>1195</v>
      </c>
      <c r="M94" s="215" t="s">
        <v>1196</v>
      </c>
      <c r="N94" s="216">
        <f>IFERROR(IF($E94="Inventory",VLOOKUP($C94,Inventory!$B:$I,8,FALSE()),IF($E94="Non Inventory",VLOOKUP($C94,'Non Inventory'!$B:$I,8,FALSE()),IF($E94="Services",VLOOKUP($C94,Services!$B:$I,8,FALSE()),IF($E94="Patty Cash",VLOOKUP($C94,'Patty Cash'!$B:$J,8,FALSE()),0)))),0)</f>
        <v>1188</v>
      </c>
      <c r="O94" s="217">
        <f t="shared" si="1"/>
        <v>2376</v>
      </c>
    </row>
    <row r="95" spans="1:15" ht="23.1" customHeight="1">
      <c r="A95" s="206">
        <f>IF(AND($B95="",$C95=""),"",MAX($A$3:A94)+1)</f>
        <v>92</v>
      </c>
      <c r="B95" s="207">
        <v>46160</v>
      </c>
      <c r="C95" s="208">
        <v>10701</v>
      </c>
      <c r="D95" s="209" t="str">
        <f>IFERROR(IF($E95="Inventory",VLOOKUP($C95,Inventory!$B:$I,2,FALSE()),IF($E95="Non Inventory",VLOOKUP($C95,'Non Inventory'!$B:$I,2,FALSE()),IF($E95="Services",VLOOKUP($C95,Services!$B:$I,2,FALSE()),IF($E95="Patty Cash",VLOOKUP($C95,'Patty Cash'!$B:$J,2,FALSE()),"")))),"")</f>
        <v>Bearing Block FL-205</v>
      </c>
      <c r="E95" s="246" t="s">
        <v>7</v>
      </c>
      <c r="F95" s="210" t="str">
        <f>IFERROR(IF($E95="Inventory",VLOOKUP($C95,Inventory!$B:$I,3,FALSE()),IF($E95="Non Inventory",VLOOKUP($C95,'Non Inventory'!$B:$I,3,FALSE()),IF($E95="Services",VLOOKUP($C95,Services!$B:$I,3,FALSE()),IF($E95="Patty Cash",VLOOKUP($C95,'Patty Cash'!$B:$J,3,FALSE()),"")))),"")</f>
        <v>NOS</v>
      </c>
      <c r="G95" s="211">
        <v>2</v>
      </c>
      <c r="H95" s="212">
        <f>IF($E95="","",IF($E95="Inventory",IFERROR(VLOOKUP($C95,Inventory!$B:$H,7,FALSE()),0),IF($E95="Non Inventory",IFERROR(VLOOKUP($C95,'Non Inventory'!$B:$H,7,FALSE()),0),IF($E95="Services",IFERROR(VLOOKUP($C95,Services!$B:$H,7,FALSE()),0),IF($E95="Patty Cash",IFERROR(VLOOKUP($C95,'Patty Cash'!$B:$H,7,FALSE()),0),0)))))</f>
        <v>6</v>
      </c>
      <c r="I95" s="213" t="s">
        <v>54</v>
      </c>
      <c r="J95" s="214" t="s">
        <v>1338</v>
      </c>
      <c r="K95" s="215" t="s">
        <v>1199</v>
      </c>
      <c r="L95" s="197" t="s">
        <v>1195</v>
      </c>
      <c r="M95" s="215" t="s">
        <v>1196</v>
      </c>
      <c r="N95" s="216">
        <f>IFERROR(IF($E95="Inventory",VLOOKUP($C95,Inventory!$B:$I,8,FALSE()),IF($E95="Non Inventory",VLOOKUP($C95,'Non Inventory'!$B:$I,8,FALSE()),IF($E95="Services",VLOOKUP($C95,Services!$B:$I,8,FALSE()),IF($E95="Patty Cash",VLOOKUP($C95,'Patty Cash'!$B:$J,8,FALSE()),0)))),0)</f>
        <v>750</v>
      </c>
      <c r="O95" s="217">
        <f t="shared" si="1"/>
        <v>1500</v>
      </c>
    </row>
    <row r="96" spans="1:15" ht="23.1" customHeight="1">
      <c r="A96" s="206">
        <f>IF(AND($B96="",$C96=""),"",MAX($A$3:A95)+1)</f>
        <v>93</v>
      </c>
      <c r="B96" s="207">
        <v>46160</v>
      </c>
      <c r="C96" s="208">
        <v>7386</v>
      </c>
      <c r="D96" s="209" t="str">
        <f>IFERROR(IF($E96="Inventory",VLOOKUP($C96,Inventory!$B:$I,2,FALSE()),IF($E96="Non Inventory",VLOOKUP($C96,'Non Inventory'!$B:$I,2,FALSE()),IF($E96="Services",VLOOKUP($C96,Services!$B:$I,2,FALSE()),IF($E96="Patty Cash",VLOOKUP($C96,'Patty Cash'!$B:$J,2,FALSE()),"")))),"")</f>
        <v>UC 205 (56205) MM</v>
      </c>
      <c r="E96" s="246" t="s">
        <v>6</v>
      </c>
      <c r="F96" s="210" t="str">
        <f>IFERROR(IF($E96="Inventory",VLOOKUP($C96,Inventory!$B:$I,3,FALSE()),IF($E96="Non Inventory",VLOOKUP($C96,'Non Inventory'!$B:$I,3,FALSE()),IF($E96="Services",VLOOKUP($C96,Services!$B:$I,3,FALSE()),IF($E96="Patty Cash",VLOOKUP($C96,'Patty Cash'!$B:$J,3,FALSE()),"")))),"")</f>
        <v>NOS</v>
      </c>
      <c r="G96" s="211">
        <v>2</v>
      </c>
      <c r="H96" s="212">
        <f>IF($E96="","",IF($E96="Inventory",IFERROR(VLOOKUP($C96,Inventory!$B:$H,7,FALSE()),0),IF($E96="Non Inventory",IFERROR(VLOOKUP($C96,'Non Inventory'!$B:$H,7,FALSE()),0),IF($E96="Services",IFERROR(VLOOKUP($C96,Services!$B:$H,7,FALSE()),0),IF($E96="Patty Cash",IFERROR(VLOOKUP($C96,'Patty Cash'!$B:$H,7,FALSE()),0),0)))))</f>
        <v>2</v>
      </c>
      <c r="I96" s="213" t="s">
        <v>54</v>
      </c>
      <c r="J96" s="214" t="s">
        <v>1338</v>
      </c>
      <c r="K96" s="215" t="s">
        <v>1199</v>
      </c>
      <c r="L96" s="197" t="s">
        <v>1195</v>
      </c>
      <c r="M96" s="215" t="s">
        <v>1196</v>
      </c>
      <c r="N96" s="216">
        <f>IFERROR(IF($E96="Inventory",VLOOKUP($C96,Inventory!$B:$I,8,FALSE()),IF($E96="Non Inventory",VLOOKUP($C96,'Non Inventory'!$B:$I,8,FALSE()),IF($E96="Services",VLOOKUP($C96,Services!$B:$I,8,FALSE()),IF($E96="Patty Cash",VLOOKUP($C96,'Patty Cash'!$B:$J,8,FALSE()),0)))),0)</f>
        <v>1950</v>
      </c>
      <c r="O96" s="217">
        <f t="shared" si="1"/>
        <v>3900</v>
      </c>
    </row>
    <row r="97" spans="1:15" ht="23.1" customHeight="1">
      <c r="A97" s="206">
        <f>IF(AND($B97="",$C97=""),"",MAX($A$3:A96)+1)</f>
        <v>94</v>
      </c>
      <c r="B97" s="207">
        <v>46158</v>
      </c>
      <c r="C97" s="208">
        <v>4781</v>
      </c>
      <c r="D97" s="209" t="str">
        <f>IFERROR(IF($E97="Inventory",VLOOKUP($C97,Inventory!$B:$I,2,FALSE()),IF($E97="Non Inventory",VLOOKUP($C97,'Non Inventory'!$B:$I,2,FALSE()),IF($E97="Services",VLOOKUP($C97,Services!$B:$I,2,FALSE()),IF($E97="Patty Cash",VLOOKUP($C97,'Patty Cash'!$B:$J,2,FALSE()),"")))),"")</f>
        <v>S.S Welding Rod 12 NO</v>
      </c>
      <c r="E97" s="246" t="s">
        <v>7</v>
      </c>
      <c r="F97" s="210" t="str">
        <f>IFERROR(IF($E97="Inventory",VLOOKUP($C97,Inventory!$B:$I,3,FALSE()),IF($E97="Non Inventory",VLOOKUP($C97,'Non Inventory'!$B:$I,3,FALSE()),IF($E97="Services",VLOOKUP($C97,Services!$B:$I,3,FALSE()),IF($E97="Patty Cash",VLOOKUP($C97,'Patty Cash'!$B:$J,3,FALSE()),"")))),"")</f>
        <v>KGS</v>
      </c>
      <c r="G97" s="211">
        <v>1</v>
      </c>
      <c r="H97" s="212">
        <f>IF($E97="","",IF($E97="Inventory",IFERROR(VLOOKUP($C97,Inventory!$B:$H,7,FALSE()),0),IF($E97="Non Inventory",IFERROR(VLOOKUP($C97,'Non Inventory'!$B:$H,7,FALSE()),0),IF($E97="Services",IFERROR(VLOOKUP($C97,Services!$B:$H,7,FALSE()),0),IF($E97="Patty Cash",IFERROR(VLOOKUP($C97,'Patty Cash'!$B:$H,7,FALSE()),0),0)))))</f>
        <v>0.5</v>
      </c>
      <c r="I97" s="213" t="s">
        <v>1222</v>
      </c>
      <c r="J97" s="214" t="s">
        <v>67</v>
      </c>
      <c r="K97" s="215" t="s">
        <v>1203</v>
      </c>
      <c r="L97" s="197" t="s">
        <v>1204</v>
      </c>
      <c r="M97" s="215" t="s">
        <v>1196</v>
      </c>
      <c r="N97" s="216">
        <f>IFERROR(IF($E97="Inventory",VLOOKUP($C97,Inventory!$B:$I,8,FALSE()),IF($E97="Non Inventory",VLOOKUP($C97,'Non Inventory'!$B:$I,8,FALSE()),IF($E97="Services",VLOOKUP($C97,Services!$B:$I,8,FALSE()),IF($E97="Patty Cash",VLOOKUP($C97,'Patty Cash'!$B:$J,8,FALSE()),0)))),0)</f>
        <v>3250</v>
      </c>
      <c r="O97" s="217">
        <f t="shared" si="1"/>
        <v>3250</v>
      </c>
    </row>
    <row r="98" spans="1:15" ht="23.1" customHeight="1">
      <c r="A98" s="206">
        <f>IF(AND($B98="",$C98=""),"",MAX($A$3:A97)+1)</f>
        <v>95</v>
      </c>
      <c r="B98" s="207">
        <v>46160</v>
      </c>
      <c r="C98" s="208">
        <v>10636</v>
      </c>
      <c r="D98" s="209" t="str">
        <f>IFERROR(IF($E98="Inventory",VLOOKUP($C98,Inventory!$B:$I,2,FALSE()),IF($E98="Non Inventory",VLOOKUP($C98,'Non Inventory'!$B:$I,2,FALSE()),IF($E98="Services",VLOOKUP($C98,Services!$B:$I,2,FALSE()),IF($E98="Patty Cash",VLOOKUP($C98,'Patty Cash'!$B:$J,2,FALSE()),"")))),"")</f>
        <v>HIGH TEMPRETURE SILICON SEALANT TUBE</v>
      </c>
      <c r="E98" s="246" t="s">
        <v>7</v>
      </c>
      <c r="F98" s="210" t="str">
        <f>IFERROR(IF($E98="Inventory",VLOOKUP($C98,Inventory!$B:$I,3,FALSE()),IF($E98="Non Inventory",VLOOKUP($C98,'Non Inventory'!$B:$I,3,FALSE()),IF($E98="Services",VLOOKUP($C98,Services!$B:$I,3,FALSE()),IF($E98="Patty Cash",VLOOKUP($C98,'Patty Cash'!$B:$J,3,FALSE()),"")))),"")</f>
        <v>NOS</v>
      </c>
      <c r="G98" s="211">
        <v>1</v>
      </c>
      <c r="H98" s="212">
        <f>IF($E98="","",IF($E98="Inventory",IFERROR(VLOOKUP($C98,Inventory!$B:$H,7,FALSE()),0),IF($E98="Non Inventory",IFERROR(VLOOKUP($C98,'Non Inventory'!$B:$H,7,FALSE()),0),IF($E98="Services",IFERROR(VLOOKUP($C98,Services!$B:$H,7,FALSE()),0),IF($E98="Patty Cash",IFERROR(VLOOKUP($C98,'Patty Cash'!$B:$H,7,FALSE()),0),0)))))</f>
        <v>12</v>
      </c>
      <c r="I98" s="213" t="s">
        <v>1222</v>
      </c>
      <c r="J98" s="214" t="s">
        <v>67</v>
      </c>
      <c r="K98" s="215" t="s">
        <v>1203</v>
      </c>
      <c r="L98" s="197" t="s">
        <v>1204</v>
      </c>
      <c r="M98" s="215" t="s">
        <v>1196</v>
      </c>
      <c r="N98" s="216">
        <f>IFERROR(IF($E98="Inventory",VLOOKUP($C98,Inventory!$B:$I,8,FALSE()),IF($E98="Non Inventory",VLOOKUP($C98,'Non Inventory'!$B:$I,8,FALSE()),IF($E98="Services",VLOOKUP($C98,Services!$B:$I,8,FALSE()),IF($E98="Patty Cash",VLOOKUP($C98,'Patty Cash'!$B:$J,8,FALSE()),0)))),0)</f>
        <v>465</v>
      </c>
      <c r="O98" s="217">
        <f t="shared" si="1"/>
        <v>465</v>
      </c>
    </row>
    <row r="99" spans="1:15" ht="23.1" customHeight="1">
      <c r="A99" s="206">
        <f>IF(AND($B99="",$C99=""),"",MAX($A$3:A98)+1)</f>
        <v>96</v>
      </c>
      <c r="B99" s="207">
        <v>46160</v>
      </c>
      <c r="C99" s="208">
        <v>10636</v>
      </c>
      <c r="D99" s="209" t="str">
        <f>IFERROR(IF($E99="Inventory",VLOOKUP($C99,Inventory!$B:$I,2,FALSE()),IF($E99="Non Inventory",VLOOKUP($C99,'Non Inventory'!$B:$I,2,FALSE()),IF($E99="Services",VLOOKUP($C99,Services!$B:$I,2,FALSE()),IF($E99="Patty Cash",VLOOKUP($C99,'Patty Cash'!$B:$J,2,FALSE()),"")))),"")</f>
        <v>HIGH TEMPRETURE SILICON SEALANT TUBE</v>
      </c>
      <c r="E99" s="246" t="s">
        <v>7</v>
      </c>
      <c r="F99" s="210" t="str">
        <f>IFERROR(IF($E99="Inventory",VLOOKUP($C99,Inventory!$B:$I,3,FALSE()),IF($E99="Non Inventory",VLOOKUP($C99,'Non Inventory'!$B:$I,3,FALSE()),IF($E99="Services",VLOOKUP($C99,Services!$B:$I,3,FALSE()),IF($E99="Patty Cash",VLOOKUP($C99,'Patty Cash'!$B:$J,3,FALSE()),"")))),"")</f>
        <v>NOS</v>
      </c>
      <c r="G99" s="211">
        <v>1</v>
      </c>
      <c r="H99" s="212">
        <f>IF($E99="","",IF($E99="Inventory",IFERROR(VLOOKUP($C99,Inventory!$B:$H,7,FALSE()),0),IF($E99="Non Inventory",IFERROR(VLOOKUP($C99,'Non Inventory'!$B:$H,7,FALSE()),0),IF($E99="Services",IFERROR(VLOOKUP($C99,Services!$B:$H,7,FALSE()),0),IF($E99="Patty Cash",IFERROR(VLOOKUP($C99,'Patty Cash'!$B:$H,7,FALSE()),0),0)))))</f>
        <v>12</v>
      </c>
      <c r="I99" s="213" t="s">
        <v>58</v>
      </c>
      <c r="J99" s="214" t="s">
        <v>1313</v>
      </c>
      <c r="K99" s="215" t="s">
        <v>1217</v>
      </c>
      <c r="L99" s="197" t="s">
        <v>1195</v>
      </c>
      <c r="M99" s="215" t="s">
        <v>1196</v>
      </c>
      <c r="N99" s="216">
        <f>IFERROR(IF($E99="Inventory",VLOOKUP($C99,Inventory!$B:$I,8,FALSE()),IF($E99="Non Inventory",VLOOKUP($C99,'Non Inventory'!$B:$I,8,FALSE()),IF($E99="Services",VLOOKUP($C99,Services!$B:$I,8,FALSE()),IF($E99="Patty Cash",VLOOKUP($C99,'Patty Cash'!$B:$J,8,FALSE()),0)))),0)</f>
        <v>465</v>
      </c>
      <c r="O99" s="217">
        <f t="shared" si="1"/>
        <v>465</v>
      </c>
    </row>
    <row r="100" spans="1:15" ht="23.1" customHeight="1">
      <c r="A100" s="206">
        <f>IF(AND($B100="",$C100=""),"",MAX($A$3:A99)+1)</f>
        <v>97</v>
      </c>
      <c r="B100" s="207">
        <v>46160</v>
      </c>
      <c r="C100" s="208">
        <v>3307</v>
      </c>
      <c r="D100" s="209" t="str">
        <f>IFERROR(IF($E100="Inventory",VLOOKUP($C100,Inventory!$B:$I,2,FALSE()),IF($E100="Non Inventory",VLOOKUP($C100,'Non Inventory'!$B:$I,2,FALSE()),IF($E100="Services",VLOOKUP($C100,Services!$B:$I,2,FALSE()),IF($E100="Patty Cash",VLOOKUP($C100,'Patty Cash'!$B:$J,2,FALSE()),"")))),"")</f>
        <v>W.D 40 Spray</v>
      </c>
      <c r="E100" s="246" t="s">
        <v>7</v>
      </c>
      <c r="F100" s="210" t="str">
        <f>IFERROR(IF($E100="Inventory",VLOOKUP($C100,Inventory!$B:$I,3,FALSE()),IF($E100="Non Inventory",VLOOKUP($C100,'Non Inventory'!$B:$I,3,FALSE()),IF($E100="Services",VLOOKUP($C100,Services!$B:$I,3,FALSE()),IF($E100="Patty Cash",VLOOKUP($C100,'Patty Cash'!$B:$J,3,FALSE()),"")))),"")</f>
        <v>NOS</v>
      </c>
      <c r="G100" s="211">
        <v>1</v>
      </c>
      <c r="H100" s="212">
        <f>IF($E100="","",IF($E100="Inventory",IFERROR(VLOOKUP($C100,Inventory!$B:$H,7,FALSE()),0),IF($E100="Non Inventory",IFERROR(VLOOKUP($C100,'Non Inventory'!$B:$H,7,FALSE()),0),IF($E100="Services",IFERROR(VLOOKUP($C100,Services!$B:$H,7,FALSE()),0),IF($E100="Patty Cash",IFERROR(VLOOKUP($C100,'Patty Cash'!$B:$H,7,FALSE()),0),0)))))</f>
        <v>0</v>
      </c>
      <c r="I100" s="213" t="s">
        <v>68</v>
      </c>
      <c r="J100" s="214" t="s">
        <v>67</v>
      </c>
      <c r="K100" s="215" t="s">
        <v>1217</v>
      </c>
      <c r="L100" s="197" t="s">
        <v>1195</v>
      </c>
      <c r="M100" s="215" t="s">
        <v>1196</v>
      </c>
      <c r="N100" s="216">
        <f>IFERROR(IF($E100="Inventory",VLOOKUP($C100,Inventory!$B:$I,8,FALSE()),IF($E100="Non Inventory",VLOOKUP($C100,'Non Inventory'!$B:$I,8,FALSE()),IF($E100="Services",VLOOKUP($C100,Services!$B:$I,8,FALSE()),IF($E100="Patty Cash",VLOOKUP($C100,'Patty Cash'!$B:$J,8,FALSE()),0)))),0)</f>
        <v>1010</v>
      </c>
      <c r="O100" s="217">
        <f t="shared" si="1"/>
        <v>1010</v>
      </c>
    </row>
    <row r="101" spans="1:15" ht="23.1" customHeight="1">
      <c r="A101" s="206">
        <f>IF(AND($B101="",$C101=""),"",MAX($A$3:A100)+1)</f>
        <v>98</v>
      </c>
      <c r="B101" s="207">
        <v>46160</v>
      </c>
      <c r="C101" s="208">
        <v>4777</v>
      </c>
      <c r="D101" s="209" t="str">
        <f>IFERROR(IF($E101="Inventory",VLOOKUP($C101,Inventory!$B:$I,2,FALSE()),IF($E101="Non Inventory",VLOOKUP($C101,'Non Inventory'!$B:$I,2,FALSE()),IF($E101="Services",VLOOKUP($C101,Services!$B:$I,2,FALSE()),IF($E101="Patty Cash",VLOOKUP($C101,'Patty Cash'!$B:$J,2,FALSE()),"")))),"")</f>
        <v xml:space="preserve">Elfy </v>
      </c>
      <c r="E101" s="246" t="s">
        <v>7</v>
      </c>
      <c r="F101" s="210" t="str">
        <f>IFERROR(IF($E101="Inventory",VLOOKUP($C101,Inventory!$B:$I,3,FALSE()),IF($E101="Non Inventory",VLOOKUP($C101,'Non Inventory'!$B:$I,3,FALSE()),IF($E101="Services",VLOOKUP($C101,Services!$B:$I,3,FALSE()),IF($E101="Patty Cash",VLOOKUP($C101,'Patty Cash'!$B:$J,3,FALSE()),"")))),"")</f>
        <v>NOS</v>
      </c>
      <c r="G101" s="211">
        <v>1</v>
      </c>
      <c r="H101" s="212">
        <f>IF($E101="","",IF($E101="Inventory",IFERROR(VLOOKUP($C101,Inventory!$B:$H,7,FALSE()),0),IF($E101="Non Inventory",IFERROR(VLOOKUP($C101,'Non Inventory'!$B:$H,7,FALSE()),0),IF($E101="Services",IFERROR(VLOOKUP($C101,Services!$B:$H,7,FALSE()),0),IF($E101="Patty Cash",IFERROR(VLOOKUP($C101,'Patty Cash'!$B:$H,7,FALSE()),0),0)))))</f>
        <v>0</v>
      </c>
      <c r="I101" s="213" t="s">
        <v>64</v>
      </c>
      <c r="J101" s="214" t="s">
        <v>1387</v>
      </c>
      <c r="K101" s="215" t="s">
        <v>1194</v>
      </c>
      <c r="L101" s="197" t="s">
        <v>1195</v>
      </c>
      <c r="M101" s="215" t="s">
        <v>1196</v>
      </c>
      <c r="N101" s="216">
        <f>IFERROR(IF($E101="Inventory",VLOOKUP($C101,Inventory!$B:$I,8,FALSE()),IF($E101="Non Inventory",VLOOKUP($C101,'Non Inventory'!$B:$I,8,FALSE()),IF($E101="Services",VLOOKUP($C101,Services!$B:$I,8,FALSE()),IF($E101="Patty Cash",VLOOKUP($C101,'Patty Cash'!$B:$J,8,FALSE()),0)))),0)</f>
        <v>125</v>
      </c>
      <c r="O101" s="217">
        <f t="shared" si="1"/>
        <v>125</v>
      </c>
    </row>
    <row r="102" spans="1:15" ht="23.1" customHeight="1">
      <c r="A102" s="206">
        <f>IF(AND($B102="",$C102=""),"",MAX($A$3:A101)+1)</f>
        <v>99</v>
      </c>
      <c r="B102" s="207">
        <v>46160</v>
      </c>
      <c r="C102" s="208">
        <v>4777</v>
      </c>
      <c r="D102" s="209" t="str">
        <f>IFERROR(IF($E102="Inventory",VLOOKUP($C102,Inventory!$B:$I,2,FALSE()),IF($E102="Non Inventory",VLOOKUP($C102,'Non Inventory'!$B:$I,2,FALSE()),IF($E102="Services",VLOOKUP($C102,Services!$B:$I,2,FALSE()),IF($E102="Patty Cash",VLOOKUP($C102,'Patty Cash'!$B:$J,2,FALSE()),"")))),"")</f>
        <v xml:space="preserve">Elfy </v>
      </c>
      <c r="E102" s="246" t="s">
        <v>7</v>
      </c>
      <c r="F102" s="210" t="str">
        <f>IFERROR(IF($E102="Inventory",VLOOKUP($C102,Inventory!$B:$I,3,FALSE()),IF($E102="Non Inventory",VLOOKUP($C102,'Non Inventory'!$B:$I,3,FALSE()),IF($E102="Services",VLOOKUP($C102,Services!$B:$I,3,FALSE()),IF($E102="Patty Cash",VLOOKUP($C102,'Patty Cash'!$B:$J,3,FALSE()),"")))),"")</f>
        <v>NOS</v>
      </c>
      <c r="G102" s="211">
        <v>1</v>
      </c>
      <c r="H102" s="212">
        <f>IF($E102="","",IF($E102="Inventory",IFERROR(VLOOKUP($C102,Inventory!$B:$H,7,FALSE()),0),IF($E102="Non Inventory",IFERROR(VLOOKUP($C102,'Non Inventory'!$B:$H,7,FALSE()),0),IF($E102="Services",IFERROR(VLOOKUP($C102,Services!$B:$H,7,FALSE()),0),IF($E102="Patty Cash",IFERROR(VLOOKUP($C102,'Patty Cash'!$B:$H,7,FALSE()),0),0)))))</f>
        <v>0</v>
      </c>
      <c r="I102" s="213" t="s">
        <v>1222</v>
      </c>
      <c r="J102" s="214" t="s">
        <v>67</v>
      </c>
      <c r="K102" s="215" t="s">
        <v>1342</v>
      </c>
      <c r="L102" s="197" t="s">
        <v>1195</v>
      </c>
      <c r="M102" s="215" t="s">
        <v>1196</v>
      </c>
      <c r="N102" s="216">
        <f>IFERROR(IF($E102="Inventory",VLOOKUP($C102,Inventory!$B:$I,8,FALSE()),IF($E102="Non Inventory",VLOOKUP($C102,'Non Inventory'!$B:$I,8,FALSE()),IF($E102="Services",VLOOKUP($C102,Services!$B:$I,8,FALSE()),IF($E102="Patty Cash",VLOOKUP($C102,'Patty Cash'!$B:$J,8,FALSE()),0)))),0)</f>
        <v>125</v>
      </c>
      <c r="O102" s="217">
        <f t="shared" si="1"/>
        <v>125</v>
      </c>
    </row>
    <row r="103" spans="1:15" ht="23.1" customHeight="1">
      <c r="A103" s="206">
        <f>IF(AND($B103="",$C103=""),"",MAX($A$3:A102)+1)</f>
        <v>100</v>
      </c>
      <c r="B103" s="207">
        <v>46160</v>
      </c>
      <c r="C103" s="208">
        <v>10724</v>
      </c>
      <c r="D103" s="209" t="str">
        <f>IFERROR(IF($E103="Inventory",VLOOKUP($C103,Inventory!$B:$I,2,FALSE()),IF($E103="Non Inventory",VLOOKUP($C103,'Non Inventory'!$B:$I,2,FALSE()),IF($E103="Services",VLOOKUP($C103,Services!$B:$I,2,FALSE()),IF($E103="Patty Cash",VLOOKUP($C103,'Patty Cash'!$B:$J,2,FALSE()),"")))),"")</f>
        <v>Pneumatic Air Connector Size 1/4" x 10mm</v>
      </c>
      <c r="E103" s="246" t="s">
        <v>7</v>
      </c>
      <c r="F103" s="210" t="str">
        <f>IFERROR(IF($E103="Inventory",VLOOKUP($C103,Inventory!$B:$I,3,FALSE()),IF($E103="Non Inventory",VLOOKUP($C103,'Non Inventory'!$B:$I,3,FALSE()),IF($E103="Services",VLOOKUP($C103,Services!$B:$I,3,FALSE()),IF($E103="Patty Cash",VLOOKUP($C103,'Patty Cash'!$B:$J,3,FALSE()),"")))),"")</f>
        <v>NOS</v>
      </c>
      <c r="G103" s="211">
        <v>1</v>
      </c>
      <c r="H103" s="212">
        <f>IF($E103="","",IF($E103="Inventory",IFERROR(VLOOKUP($C103,Inventory!$B:$H,7,FALSE()),0),IF($E103="Non Inventory",IFERROR(VLOOKUP($C103,'Non Inventory'!$B:$H,7,FALSE()),0),IF($E103="Services",IFERROR(VLOOKUP($C103,Services!$B:$H,7,FALSE()),0),IF($E103="Patty Cash",IFERROR(VLOOKUP($C103,'Patty Cash'!$B:$H,7,FALSE()),0),0)))))</f>
        <v>7</v>
      </c>
      <c r="I103" s="213" t="s">
        <v>1300</v>
      </c>
      <c r="J103" s="214" t="s">
        <v>67</v>
      </c>
      <c r="K103" s="215" t="s">
        <v>1203</v>
      </c>
      <c r="L103" s="197" t="s">
        <v>1204</v>
      </c>
      <c r="M103" s="215" t="s">
        <v>1196</v>
      </c>
      <c r="N103" s="216">
        <f>IFERROR(IF($E103="Inventory",VLOOKUP($C103,Inventory!$B:$I,8,FALSE()),IF($E103="Non Inventory",VLOOKUP($C103,'Non Inventory'!$B:$I,8,FALSE()),IF($E103="Services",VLOOKUP($C103,Services!$B:$I,8,FALSE()),IF($E103="Patty Cash",VLOOKUP($C103,'Patty Cash'!$B:$J,8,FALSE()),0)))),0)</f>
        <v>120</v>
      </c>
      <c r="O103" s="217">
        <f t="shared" si="1"/>
        <v>120</v>
      </c>
    </row>
    <row r="104" spans="1:15" ht="23.1" customHeight="1">
      <c r="A104" s="206">
        <f>IF(AND($B104="",$C104=""),"",MAX($A$3:A103)+1)</f>
        <v>101</v>
      </c>
      <c r="B104" s="207">
        <v>46160</v>
      </c>
      <c r="C104" s="208">
        <v>18615</v>
      </c>
      <c r="D104" s="209" t="str">
        <f>IFERROR(IF($E104="Inventory",VLOOKUP($C104,Inventory!$B:$I,2,FALSE()),IF($E104="Non Inventory",VLOOKUP($C104,'Non Inventory'!$B:$I,2,FALSE()),IF($E104="Services",VLOOKUP($C104,Services!$B:$I,2,FALSE()),IF($E104="Patty Cash",VLOOKUP($C104,'Patty Cash'!$B:$J,2,FALSE()),"")))),"")</f>
        <v>S.S Drill Bit Size 4mm</v>
      </c>
      <c r="E104" s="246" t="s">
        <v>7</v>
      </c>
      <c r="F104" s="210" t="str">
        <f>IFERROR(IF($E104="Inventory",VLOOKUP($C104,Inventory!$B:$I,3,FALSE()),IF($E104="Non Inventory",VLOOKUP($C104,'Non Inventory'!$B:$I,3,FALSE()),IF($E104="Services",VLOOKUP($C104,Services!$B:$I,3,FALSE()),IF($E104="Patty Cash",VLOOKUP($C104,'Patty Cash'!$B:$J,3,FALSE()),"")))),"")</f>
        <v>NOS</v>
      </c>
      <c r="G104" s="211">
        <v>1</v>
      </c>
      <c r="H104" s="212">
        <f>IF($E104="","",IF($E104="Inventory",IFERROR(VLOOKUP($C104,Inventory!$B:$H,7,FALSE()),0),IF($E104="Non Inventory",IFERROR(VLOOKUP($C104,'Non Inventory'!$B:$H,7,FALSE()),0),IF($E104="Services",IFERROR(VLOOKUP($C104,Services!$B:$H,7,FALSE()),0),IF($E104="Patty Cash",IFERROR(VLOOKUP($C104,'Patty Cash'!$B:$H,7,FALSE()),0),0)))))</f>
        <v>5</v>
      </c>
      <c r="I104" s="213" t="s">
        <v>1222</v>
      </c>
      <c r="J104" s="214" t="s">
        <v>67</v>
      </c>
      <c r="K104" s="215" t="s">
        <v>1199</v>
      </c>
      <c r="L104" s="197" t="s">
        <v>1195</v>
      </c>
      <c r="M104" s="215" t="s">
        <v>1196</v>
      </c>
      <c r="N104" s="216">
        <f>IFERROR(IF($E104="Inventory",VLOOKUP($C104,Inventory!$B:$I,8,FALSE()),IF($E104="Non Inventory",VLOOKUP($C104,'Non Inventory'!$B:$I,8,FALSE()),IF($E104="Services",VLOOKUP($C104,Services!$B:$I,8,FALSE()),IF($E104="Patty Cash",VLOOKUP($C104,'Patty Cash'!$B:$J,8,FALSE()),0)))),0)</f>
        <v>360</v>
      </c>
      <c r="O104" s="217">
        <f t="shared" si="1"/>
        <v>360</v>
      </c>
    </row>
    <row r="105" spans="1:15" ht="23.1" customHeight="1">
      <c r="A105" s="206">
        <f>IF(AND($B105="",$C105=""),"",MAX($A$3:A104)+1)</f>
        <v>102</v>
      </c>
      <c r="B105" s="207">
        <v>46144</v>
      </c>
      <c r="C105" s="208">
        <v>27523</v>
      </c>
      <c r="D105" s="209" t="str">
        <f>IFERROR(IF($E105="Inventory",VLOOKUP($C105,Inventory!$B:$I,2,FALSE()),IF($E105="Non Inventory",VLOOKUP($C105,'Non Inventory'!$B:$I,2,FALSE()),IF($E105="Services",VLOOKUP($C105,Services!$B:$I,2,FALSE()),IF($E105="Patty Cash",VLOOKUP($C105,'Patty Cash'!$B:$J,2,FALSE()),"")))),"")</f>
        <v>High Pressure Washer 1800 Watt 140 Bar Brand
(Hyundai Hpw140) -Im</v>
      </c>
      <c r="E105" s="246" t="s">
        <v>7</v>
      </c>
      <c r="F105" s="210" t="str">
        <f>IFERROR(IF($E105="Inventory",VLOOKUP($C105,Inventory!$B:$I,3,FALSE()),IF($E105="Non Inventory",VLOOKUP($C105,'Non Inventory'!$B:$I,3,FALSE()),IF($E105="Services",VLOOKUP($C105,Services!$B:$I,3,FALSE()),IF($E105="Patty Cash",VLOOKUP($C105,'Patty Cash'!$B:$J,3,FALSE()),"")))),"")</f>
        <v>NOS</v>
      </c>
      <c r="G105" s="211">
        <v>1</v>
      </c>
      <c r="H105" s="212">
        <f>IF($E105="","",IF($E105="Inventory",IFERROR(VLOOKUP($C105,Inventory!$B:$H,7,FALSE()),0),IF($E105="Non Inventory",IFERROR(VLOOKUP($C105,'Non Inventory'!$B:$H,7,FALSE()),0),IF($E105="Services",IFERROR(VLOOKUP($C105,Services!$B:$H,7,FALSE()),0),IF($E105="Patty Cash",IFERROR(VLOOKUP($C105,'Patty Cash'!$B:$H,7,FALSE()),0),0)))))</f>
        <v>0</v>
      </c>
      <c r="I105" s="213" t="s">
        <v>1222</v>
      </c>
      <c r="J105" s="214" t="s">
        <v>1377</v>
      </c>
      <c r="K105" s="215" t="s">
        <v>1249</v>
      </c>
      <c r="L105" s="197" t="s">
        <v>1195</v>
      </c>
      <c r="M105" s="215" t="s">
        <v>1196</v>
      </c>
      <c r="N105" s="216">
        <f>IFERROR(IF($E105="Inventory",VLOOKUP($C105,Inventory!$B:$I,8,FALSE()),IF($E105="Non Inventory",VLOOKUP($C105,'Non Inventory'!$B:$I,8,FALSE()),IF($E105="Services",VLOOKUP($C105,Services!$B:$I,8,FALSE()),IF($E105="Patty Cash",VLOOKUP($C105,'Patty Cash'!$B:$J,8,FALSE()),0)))),0)</f>
        <v>33500</v>
      </c>
      <c r="O105" s="217">
        <f t="shared" si="1"/>
        <v>33500</v>
      </c>
    </row>
    <row r="106" spans="1:15" ht="23.1" customHeight="1">
      <c r="A106" s="206">
        <f>IF(AND($B106="",$C106=""),"",MAX($A$3:A105)+1)</f>
        <v>103</v>
      </c>
      <c r="B106" s="207">
        <v>46144</v>
      </c>
      <c r="C106" s="208">
        <v>21845</v>
      </c>
      <c r="D106" s="209" t="str">
        <f>IFERROR(IF($E106="Inventory",VLOOKUP($C106,Inventory!$B:$I,2,FALSE()),IF($E106="Non Inventory",VLOOKUP($C106,'Non Inventory'!$B:$I,2,FALSE()),IF($E106="Services",VLOOKUP($C106,Services!$B:$I,2,FALSE()),IF($E106="Patty Cash",VLOOKUP($C106,'Patty Cash'!$B:$J,2,FALSE()),"")))),"")</f>
        <v>Serv. Waste Water Treatment Plant Annual
Operation &amp; Maintenance Contract</v>
      </c>
      <c r="E106" s="246" t="s">
        <v>1280</v>
      </c>
      <c r="F106" s="210" t="str">
        <f>IFERROR(IF($E106="Inventory",VLOOKUP($C106,Inventory!$B:$I,3,FALSE()),IF($E106="Non Inventory",VLOOKUP($C106,'Non Inventory'!$B:$I,3,FALSE()),IF($E106="Services",VLOOKUP($C106,Services!$B:$I,3,FALSE()),IF($E106="Patty Cash",VLOOKUP($C106,'Patty Cash'!$B:$J,3,FALSE()),"")))),"")</f>
        <v>JOB</v>
      </c>
      <c r="G106" s="211">
        <v>1</v>
      </c>
      <c r="H106" s="212">
        <f>IF($E106="","",IF($E106="Inventory",IFERROR(VLOOKUP($C106,Inventory!$B:$H,7,FALSE()),0),IF($E106="Non Inventory",IFERROR(VLOOKUP($C106,'Non Inventory'!$B:$H,7,FALSE()),0),IF($E106="Services",IFERROR(VLOOKUP($C106,Services!$B:$H,7,FALSE()),0),IF($E106="Patty Cash",IFERROR(VLOOKUP($C106,'Patty Cash'!$B:$H,7,FALSE()),0),0)))))</f>
        <v>0</v>
      </c>
      <c r="I106" s="213" t="s">
        <v>1309</v>
      </c>
      <c r="J106" s="214" t="s">
        <v>1383</v>
      </c>
      <c r="K106" s="215" t="s">
        <v>1382</v>
      </c>
      <c r="L106" s="197" t="s">
        <v>1195</v>
      </c>
      <c r="M106" s="215" t="s">
        <v>1380</v>
      </c>
      <c r="N106" s="216">
        <f>IFERROR(IF($E106="Inventory",VLOOKUP($C106,Inventory!$B:$I,8,FALSE()),IF($E106="Non Inventory",VLOOKUP($C106,'Non Inventory'!$B:$I,8,FALSE()),IF($E106="Services",VLOOKUP($C106,Services!$B:$I,8,FALSE()),IF($E106="Patty Cash",VLOOKUP($C106,'Patty Cash'!$B:$J,8,FALSE()),0)))),0)</f>
        <v>160000</v>
      </c>
      <c r="O106" s="217">
        <f t="shared" si="1"/>
        <v>160000</v>
      </c>
    </row>
    <row r="107" spans="1:15" ht="23.1" customHeight="1">
      <c r="A107" s="206">
        <f>IF(AND($B107="",$C107=""),"",MAX($A$3:A106)+1)</f>
        <v>104</v>
      </c>
      <c r="B107" s="207">
        <v>46160</v>
      </c>
      <c r="C107" s="208">
        <v>3515</v>
      </c>
      <c r="D107" s="209" t="str">
        <f>IFERROR(IF($E107="Inventory",VLOOKUP($C107,Inventory!$B:$I,2,FALSE()),IF($E107="Non Inventory",VLOOKUP($C107,'Non Inventory'!$B:$I,2,FALSE()),IF($E107="Services",VLOOKUP($C107,Services!$B:$I,2,FALSE()),IF($E107="Patty Cash",VLOOKUP($C107,'Patty Cash'!$B:$J,2,FALSE()),"")))),"")</f>
        <v>Union G.I Threaded  size  3/4 "</v>
      </c>
      <c r="E107" s="246" t="s">
        <v>7</v>
      </c>
      <c r="F107" s="210" t="str">
        <f>IFERROR(IF($E107="Inventory",VLOOKUP($C107,Inventory!$B:$I,3,FALSE()),IF($E107="Non Inventory",VLOOKUP($C107,'Non Inventory'!$B:$I,3,FALSE()),IF($E107="Services",VLOOKUP($C107,Services!$B:$I,3,FALSE()),IF($E107="Patty Cash",VLOOKUP($C107,'Patty Cash'!$B:$J,3,FALSE()),"")))),"")</f>
        <v>PCS</v>
      </c>
      <c r="G107" s="211">
        <v>1</v>
      </c>
      <c r="H107" s="212">
        <f>IF($E107="","",IF($E107="Inventory",IFERROR(VLOOKUP($C107,Inventory!$B:$H,7,FALSE()),0),IF($E107="Non Inventory",IFERROR(VLOOKUP($C107,'Non Inventory'!$B:$H,7,FALSE()),0),IF($E107="Services",IFERROR(VLOOKUP($C107,Services!$B:$H,7,FALSE()),0),IF($E107="Patty Cash",IFERROR(VLOOKUP($C107,'Patty Cash'!$B:$H,7,FALSE()),0),0)))))</f>
        <v>3</v>
      </c>
      <c r="I107" s="213" t="s">
        <v>57</v>
      </c>
      <c r="J107" s="214" t="s">
        <v>67</v>
      </c>
      <c r="K107" s="215" t="s">
        <v>1220</v>
      </c>
      <c r="L107" s="197" t="s">
        <v>1195</v>
      </c>
      <c r="M107" s="215" t="s">
        <v>1196</v>
      </c>
      <c r="N107" s="216">
        <f>IFERROR(IF($E107="Inventory",VLOOKUP($C107,Inventory!$B:$I,8,FALSE()),IF($E107="Non Inventory",VLOOKUP($C107,'Non Inventory'!$B:$I,8,FALSE()),IF($E107="Services",VLOOKUP($C107,Services!$B:$I,8,FALSE()),IF($E107="Patty Cash",VLOOKUP($C107,'Patty Cash'!$B:$J,8,FALSE()),0)))),0)</f>
        <v>362</v>
      </c>
      <c r="O107" s="217">
        <f t="shared" si="1"/>
        <v>362</v>
      </c>
    </row>
    <row r="108" spans="1:15" ht="23.1" customHeight="1">
      <c r="A108" s="206">
        <f>IF(AND($B108="",$C108=""),"",MAX($A$3:A107)+1)</f>
        <v>105</v>
      </c>
      <c r="B108" s="207">
        <v>46158</v>
      </c>
      <c r="C108" s="208">
        <v>11011</v>
      </c>
      <c r="D108" s="209" t="str">
        <f>IFERROR(IF($E108="Inventory",VLOOKUP($C108,Inventory!$B:$I,2,FALSE()),IF($E108="Non Inventory",VLOOKUP($C108,'Non Inventory'!$B:$I,2,FALSE()),IF($E108="Services",VLOOKUP($C108,Services!$B:$I,2,FALSE()),IF($E108="Patty Cash",VLOOKUP($C108,'Patty Cash'!$B:$J,2,FALSE()),"")))),"")</f>
        <v>Safety Shoes S3 Standard</v>
      </c>
      <c r="E108" s="246" t="s">
        <v>7</v>
      </c>
      <c r="F108" s="210" t="str">
        <f>IFERROR(IF($E108="Inventory",VLOOKUP($C108,Inventory!$B:$I,3,FALSE()),IF($E108="Non Inventory",VLOOKUP($C108,'Non Inventory'!$B:$I,3,FALSE()),IF($E108="Services",VLOOKUP($C108,Services!$B:$I,3,FALSE()),IF($E108="Patty Cash",VLOOKUP($C108,'Patty Cash'!$B:$J,3,FALSE()),"")))),"")</f>
        <v>PAIR</v>
      </c>
      <c r="G108" s="211">
        <v>1</v>
      </c>
      <c r="H108" s="212">
        <f>IF($E108="","",IF($E108="Inventory",IFERROR(VLOOKUP($C108,Inventory!$B:$H,7,FALSE()),0),IF($E108="Non Inventory",IFERROR(VLOOKUP($C108,'Non Inventory'!$B:$H,7,FALSE()),0),IF($E108="Services",IFERROR(VLOOKUP($C108,Services!$B:$H,7,FALSE()),0),IF($E108="Patty Cash",IFERROR(VLOOKUP($C108,'Patty Cash'!$B:$H,7,FALSE()),0),0)))))</f>
        <v>4</v>
      </c>
      <c r="I108" s="213" t="s">
        <v>1222</v>
      </c>
      <c r="J108" s="214" t="s">
        <v>67</v>
      </c>
      <c r="K108" s="215" t="s">
        <v>1386</v>
      </c>
      <c r="L108" s="197" t="s">
        <v>1195</v>
      </c>
      <c r="M108" s="215" t="s">
        <v>1196</v>
      </c>
      <c r="N108" s="216">
        <f>IFERROR(IF($E108="Inventory",VLOOKUP($C108,Inventory!$B:$I,8,FALSE()),IF($E108="Non Inventory",VLOOKUP($C108,'Non Inventory'!$B:$I,8,FALSE()),IF($E108="Services",VLOOKUP($C108,Services!$B:$I,8,FALSE()),IF($E108="Patty Cash",VLOOKUP($C108,'Patty Cash'!$B:$J,8,FALSE()),0)))),0)</f>
        <v>5200</v>
      </c>
      <c r="O108" s="217">
        <f t="shared" si="1"/>
        <v>5200</v>
      </c>
    </row>
    <row r="109" spans="1:15" ht="23.1" customHeight="1">
      <c r="A109" s="206">
        <f>IF(AND($B109="",$C109=""),"",MAX($A$3:A108)+1)</f>
        <v>106</v>
      </c>
      <c r="B109" s="207">
        <v>46161</v>
      </c>
      <c r="C109" s="208">
        <v>2274</v>
      </c>
      <c r="D109" s="209" t="str">
        <f>IFERROR(IF($E109="Inventory",VLOOKUP($C109,Inventory!$B:$I,2,FALSE()),IF($E109="Non Inventory",VLOOKUP($C109,'Non Inventory'!$B:$I,2,FALSE()),IF($E109="Services",VLOOKUP($C109,Services!$B:$I,2,FALSE()),IF($E109="Patty Cash",VLOOKUP($C109,'Patty Cash'!$B:$J,2,FALSE()),"")))),"")</f>
        <v>PUSH BUTTON RED NORMAL</v>
      </c>
      <c r="E109" s="246" t="s">
        <v>6</v>
      </c>
      <c r="F109" s="210" t="str">
        <f>IFERROR(IF($E109="Inventory",VLOOKUP($C109,Inventory!$B:$I,3,FALSE()),IF($E109="Non Inventory",VLOOKUP($C109,'Non Inventory'!$B:$I,3,FALSE()),IF($E109="Services",VLOOKUP($C109,Services!$B:$I,3,FALSE()),IF($E109="Patty Cash",VLOOKUP($C109,'Patty Cash'!$B:$J,3,FALSE()),"")))),"")</f>
        <v>PCS</v>
      </c>
      <c r="G109" s="211">
        <v>1</v>
      </c>
      <c r="H109" s="212">
        <f>IF($E109="","",IF($E109="Inventory",IFERROR(VLOOKUP($C109,Inventory!$B:$H,7,FALSE()),0),IF($E109="Non Inventory",IFERROR(VLOOKUP($C109,'Non Inventory'!$B:$H,7,FALSE()),0),IF($E109="Services",IFERROR(VLOOKUP($C109,Services!$B:$H,7,FALSE()),0),IF($E109="Patty Cash",IFERROR(VLOOKUP($C109,'Patty Cash'!$B:$H,7,FALSE()),0),0)))))</f>
        <v>3</v>
      </c>
      <c r="I109" s="213" t="s">
        <v>81</v>
      </c>
      <c r="J109" s="214" t="s">
        <v>1256</v>
      </c>
      <c r="K109" s="215" t="s">
        <v>1209</v>
      </c>
      <c r="L109" s="197" t="s">
        <v>1195</v>
      </c>
      <c r="M109" s="215" t="s">
        <v>1207</v>
      </c>
      <c r="N109" s="216">
        <f>IFERROR(IF($E109="Inventory",VLOOKUP($C109,Inventory!$B:$I,8,FALSE()),IF($E109="Non Inventory",VLOOKUP($C109,'Non Inventory'!$B:$I,8,FALSE()),IF($E109="Services",VLOOKUP($C109,Services!$B:$I,8,FALSE()),IF($E109="Patty Cash",VLOOKUP($C109,'Patty Cash'!$B:$J,8,FALSE()),0)))),0)</f>
        <v>5450</v>
      </c>
      <c r="O109" s="217">
        <f t="shared" si="1"/>
        <v>5450</v>
      </c>
    </row>
    <row r="110" spans="1:15" ht="23.1" customHeight="1">
      <c r="A110" s="206">
        <f>IF(AND($B110="",$C110=""),"",MAX($A$3:A109)+1)</f>
        <v>107</v>
      </c>
      <c r="B110" s="207">
        <v>46161</v>
      </c>
      <c r="C110" s="208">
        <v>2275</v>
      </c>
      <c r="D110" s="209" t="str">
        <f>IFERROR(IF($E110="Inventory",VLOOKUP($C110,Inventory!$B:$I,2,FALSE()),IF($E110="Non Inventory",VLOOKUP($C110,'Non Inventory'!$B:$I,2,FALSE()),IF($E110="Services",VLOOKUP($C110,Services!$B:$I,2,FALSE()),IF($E110="Patty Cash",VLOOKUP($C110,'Patty Cash'!$B:$J,2,FALSE()),"")))),"")</f>
        <v>Push BUTTON Green NORMAL</v>
      </c>
      <c r="E110" s="246" t="s">
        <v>6</v>
      </c>
      <c r="F110" s="210" t="str">
        <f>IFERROR(IF($E110="Inventory",VLOOKUP($C110,Inventory!$B:$I,3,FALSE()),IF($E110="Non Inventory",VLOOKUP($C110,'Non Inventory'!$B:$I,3,FALSE()),IF($E110="Services",VLOOKUP($C110,Services!$B:$I,3,FALSE()),IF($E110="Patty Cash",VLOOKUP($C110,'Patty Cash'!$B:$J,3,FALSE()),"")))),"")</f>
        <v>NOS</v>
      </c>
      <c r="G110" s="211">
        <v>1</v>
      </c>
      <c r="H110" s="212">
        <f>IF($E110="","",IF($E110="Inventory",IFERROR(VLOOKUP($C110,Inventory!$B:$H,7,FALSE()),0),IF($E110="Non Inventory",IFERROR(VLOOKUP($C110,'Non Inventory'!$B:$H,7,FALSE()),0),IF($E110="Services",IFERROR(VLOOKUP($C110,Services!$B:$H,7,FALSE()),0),IF($E110="Patty Cash",IFERROR(VLOOKUP($C110,'Patty Cash'!$B:$H,7,FALSE()),0),0)))))</f>
        <v>8</v>
      </c>
      <c r="I110" s="213" t="s">
        <v>81</v>
      </c>
      <c r="J110" s="214" t="s">
        <v>1256</v>
      </c>
      <c r="K110" s="215" t="s">
        <v>1209</v>
      </c>
      <c r="L110" s="197" t="s">
        <v>1195</v>
      </c>
      <c r="M110" s="215" t="s">
        <v>1207</v>
      </c>
      <c r="N110" s="216">
        <f>IFERROR(IF($E110="Inventory",VLOOKUP($C110,Inventory!$B:$I,8,FALSE()),IF($E110="Non Inventory",VLOOKUP($C110,'Non Inventory'!$B:$I,8,FALSE()),IF($E110="Services",VLOOKUP($C110,Services!$B:$I,8,FALSE()),IF($E110="Patty Cash",VLOOKUP($C110,'Patty Cash'!$B:$J,8,FALSE()),0)))),0)</f>
        <v>470</v>
      </c>
      <c r="O110" s="217">
        <f t="shared" si="1"/>
        <v>470</v>
      </c>
    </row>
    <row r="111" spans="1:15" ht="23.1" customHeight="1">
      <c r="A111" s="206">
        <f>IF(AND($B111="",$C111=""),"",MAX($A$3:A110)+1)</f>
        <v>108</v>
      </c>
      <c r="B111" s="207">
        <v>46161</v>
      </c>
      <c r="C111" s="208">
        <v>2466</v>
      </c>
      <c r="D111" s="209" t="str">
        <f>IFERROR(IF($E111="Inventory",VLOOKUP($C111,Inventory!$B:$I,2,FALSE()),IF($E111="Non Inventory",VLOOKUP($C111,'Non Inventory'!$B:$I,2,FALSE()),IF($E111="Services",VLOOKUP($C111,Services!$B:$I,2,FALSE()),IF($E111="Patty Cash",VLOOKUP($C111,'Patty Cash'!$B:$J,2,FALSE()),"")))),"")</f>
        <v>EMERGENCY PUSH BUTTON</v>
      </c>
      <c r="E111" s="246" t="s">
        <v>6</v>
      </c>
      <c r="F111" s="210" t="str">
        <f>IFERROR(IF($E111="Inventory",VLOOKUP($C111,Inventory!$B:$I,3,FALSE()),IF($E111="Non Inventory",VLOOKUP($C111,'Non Inventory'!$B:$I,3,FALSE()),IF($E111="Services",VLOOKUP($C111,Services!$B:$I,3,FALSE()),IF($E111="Patty Cash",VLOOKUP($C111,'Patty Cash'!$B:$J,3,FALSE()),"")))),"")</f>
        <v>PCS</v>
      </c>
      <c r="G111" s="211">
        <v>1</v>
      </c>
      <c r="H111" s="212">
        <f>IF($E111="","",IF($E111="Inventory",IFERROR(VLOOKUP($C111,Inventory!$B:$H,7,FALSE()),0),IF($E111="Non Inventory",IFERROR(VLOOKUP($C111,'Non Inventory'!$B:$H,7,FALSE()),0),IF($E111="Services",IFERROR(VLOOKUP($C111,Services!$B:$H,7,FALSE()),0),IF($E111="Patty Cash",IFERROR(VLOOKUP($C111,'Patty Cash'!$B:$H,7,FALSE()),0),0)))))</f>
        <v>0</v>
      </c>
      <c r="I111" s="213" t="s">
        <v>81</v>
      </c>
      <c r="J111" s="214" t="s">
        <v>1256</v>
      </c>
      <c r="K111" s="215" t="s">
        <v>1209</v>
      </c>
      <c r="L111" s="197" t="s">
        <v>1195</v>
      </c>
      <c r="M111" s="215" t="s">
        <v>1207</v>
      </c>
      <c r="N111" s="216">
        <f>IFERROR(IF($E111="Inventory",VLOOKUP($C111,Inventory!$B:$I,8,FALSE()),IF($E111="Non Inventory",VLOOKUP($C111,'Non Inventory'!$B:$I,8,FALSE()),IF($E111="Services",VLOOKUP($C111,Services!$B:$I,8,FALSE()),IF($E111="Patty Cash",VLOOKUP($C111,'Patty Cash'!$B:$J,8,FALSE()),0)))),0)</f>
        <v>2100</v>
      </c>
      <c r="O111" s="217">
        <f t="shared" si="1"/>
        <v>2100</v>
      </c>
    </row>
    <row r="112" spans="1:15" ht="23.1" customHeight="1">
      <c r="A112" s="206">
        <f>IF(AND($B112="",$C112=""),"",MAX($A$3:A111)+1)</f>
        <v>109</v>
      </c>
      <c r="B112" s="207">
        <v>46161</v>
      </c>
      <c r="C112" s="208">
        <v>6302</v>
      </c>
      <c r="D112" s="209" t="str">
        <f>IFERROR(IF($E112="Inventory",VLOOKUP($C112,Inventory!$B:$I,2,FALSE()),IF($E112="Non Inventory",VLOOKUP($C112,'Non Inventory'!$B:$I,2,FALSE()),IF($E112="Services",VLOOKUP($C112,Services!$B:$I,2,FALSE()),IF($E112="Patty Cash",VLOOKUP($C112,'Patty Cash'!$B:$J,2,FALSE()),"")))),"")</f>
        <v>Tape Insulation PVC GreenWidth 3/4" x10yds
Nitto/Osaka</v>
      </c>
      <c r="E112" s="246" t="s">
        <v>7</v>
      </c>
      <c r="F112" s="210" t="str">
        <f>IFERROR(IF($E112="Inventory",VLOOKUP($C112,Inventory!$B:$I,3,FALSE()),IF($E112="Non Inventory",VLOOKUP($C112,'Non Inventory'!$B:$I,3,FALSE()),IF($E112="Services",VLOOKUP($C112,Services!$B:$I,3,FALSE()),IF($E112="Patty Cash",VLOOKUP($C112,'Patty Cash'!$B:$J,3,FALSE()),"")))),"")</f>
        <v>NOS</v>
      </c>
      <c r="G112" s="211">
        <v>1</v>
      </c>
      <c r="H112" s="212">
        <f>IF($E112="","",IF($E112="Inventory",IFERROR(VLOOKUP($C112,Inventory!$B:$H,7,FALSE()),0),IF($E112="Non Inventory",IFERROR(VLOOKUP($C112,'Non Inventory'!$B:$H,7,FALSE()),0),IF($E112="Services",IFERROR(VLOOKUP($C112,Services!$B:$H,7,FALSE()),0),IF($E112="Patty Cash",IFERROR(VLOOKUP($C112,'Patty Cash'!$B:$H,7,FALSE()),0),0)))))</f>
        <v>7</v>
      </c>
      <c r="I112" s="213" t="s">
        <v>1222</v>
      </c>
      <c r="J112" s="214" t="s">
        <v>1256</v>
      </c>
      <c r="K112" s="215" t="s">
        <v>1209</v>
      </c>
      <c r="L112" s="197" t="s">
        <v>1195</v>
      </c>
      <c r="M112" s="215" t="s">
        <v>1207</v>
      </c>
      <c r="N112" s="216">
        <f>IFERROR(IF($E112="Inventory",VLOOKUP($C112,Inventory!$B:$I,8,FALSE()),IF($E112="Non Inventory",VLOOKUP($C112,'Non Inventory'!$B:$I,8,FALSE()),IF($E112="Services",VLOOKUP($C112,Services!$B:$I,8,FALSE()),IF($E112="Patty Cash",VLOOKUP($C112,'Patty Cash'!$B:$J,8,FALSE()),0)))),0)</f>
        <v>57</v>
      </c>
      <c r="O112" s="217">
        <f t="shared" si="1"/>
        <v>57</v>
      </c>
    </row>
    <row r="113" spans="1:15" ht="23.1" customHeight="1">
      <c r="A113" s="206">
        <f>IF(AND($B113="",$C113=""),"",MAX($A$3:A112)+1)</f>
        <v>110</v>
      </c>
      <c r="B113" s="207">
        <v>46161</v>
      </c>
      <c r="C113" s="208">
        <v>13409</v>
      </c>
      <c r="D113" s="209" t="str">
        <f>IFERROR(IF($E113="Inventory",VLOOKUP($C113,Inventory!$B:$I,2,FALSE()),IF($E113="Non Inventory",VLOOKUP($C113,'Non Inventory'!$B:$I,2,FALSE()),IF($E113="Services",VLOOKUP($C113,Services!$B:$I,2,FALSE()),IF($E113="Patty Cash",VLOOKUP($C113,'Patty Cash'!$B:$J,2,FALSE()),"")))),"")</f>
        <v>Heater 220 Valt, 450 Watt Size L-262mm, Dia-8mm (Ishida Packing Machine)</v>
      </c>
      <c r="E113" s="246" t="s">
        <v>6</v>
      </c>
      <c r="F113" s="210" t="str">
        <f>IFERROR(IF($E113="Inventory",VLOOKUP($C113,Inventory!$B:$I,3,FALSE()),IF($E113="Non Inventory",VLOOKUP($C113,'Non Inventory'!$B:$I,3,FALSE()),IF($E113="Services",VLOOKUP($C113,Services!$B:$I,3,FALSE()),IF($E113="Patty Cash",VLOOKUP($C113,'Patty Cash'!$B:$J,3,FALSE()),"")))),"")</f>
        <v>NOS</v>
      </c>
      <c r="G113" s="211">
        <v>2</v>
      </c>
      <c r="H113" s="212">
        <f>IF($E113="","",IF($E113="Inventory",IFERROR(VLOOKUP($C113,Inventory!$B:$H,7,FALSE()),0),IF($E113="Non Inventory",IFERROR(VLOOKUP($C113,'Non Inventory'!$B:$H,7,FALSE()),0),IF($E113="Services",IFERROR(VLOOKUP($C113,Services!$B:$H,7,FALSE()),0),IF($E113="Patty Cash",IFERROR(VLOOKUP($C113,'Patty Cash'!$B:$H,7,FALSE()),0),0)))))</f>
        <v>12</v>
      </c>
      <c r="I113" s="213" t="s">
        <v>41</v>
      </c>
      <c r="J113" s="214" t="s">
        <v>1388</v>
      </c>
      <c r="K113" s="215" t="s">
        <v>1209</v>
      </c>
      <c r="L113" s="197" t="s">
        <v>1195</v>
      </c>
      <c r="M113" s="215" t="s">
        <v>1207</v>
      </c>
      <c r="N113" s="216">
        <f>IFERROR(IF($E113="Inventory",VLOOKUP($C113,Inventory!$B:$I,8,FALSE()),IF($E113="Non Inventory",VLOOKUP($C113,'Non Inventory'!$B:$I,8,FALSE()),IF($E113="Services",VLOOKUP($C113,Services!$B:$I,8,FALSE()),IF($E113="Patty Cash",VLOOKUP($C113,'Patty Cash'!$B:$J,8,FALSE()),0)))),0)</f>
        <v>2400</v>
      </c>
      <c r="O113" s="217">
        <f t="shared" si="1"/>
        <v>4800</v>
      </c>
    </row>
    <row r="114" spans="1:15" ht="23.1" customHeight="1">
      <c r="A114" s="206">
        <f>IF(AND($B114="",$C114=""),"",MAX($A$3:A113)+1)</f>
        <v>111</v>
      </c>
      <c r="B114" s="207">
        <v>46161</v>
      </c>
      <c r="C114" s="208">
        <v>13409</v>
      </c>
      <c r="D114" s="209" t="str">
        <f>IFERROR(IF($E114="Inventory",VLOOKUP($C114,Inventory!$B:$I,2,FALSE()),IF($E114="Non Inventory",VLOOKUP($C114,'Non Inventory'!$B:$I,2,FALSE()),IF($E114="Services",VLOOKUP($C114,Services!$B:$I,2,FALSE()),IF($E114="Patty Cash",VLOOKUP($C114,'Patty Cash'!$B:$J,2,FALSE()),"")))),"")</f>
        <v>Heater 220 Valt, 450 Watt Size L-262mm, Dia-8mm (Ishida Packing Machine)</v>
      </c>
      <c r="E114" s="246" t="s">
        <v>6</v>
      </c>
      <c r="F114" s="210" t="str">
        <f>IFERROR(IF($E114="Inventory",VLOOKUP($C114,Inventory!$B:$I,3,FALSE()),IF($E114="Non Inventory",VLOOKUP($C114,'Non Inventory'!$B:$I,3,FALSE()),IF($E114="Services",VLOOKUP($C114,Services!$B:$I,3,FALSE()),IF($E114="Patty Cash",VLOOKUP($C114,'Patty Cash'!$B:$J,3,FALSE()),"")))),"")</f>
        <v>NOS</v>
      </c>
      <c r="G114" s="211">
        <v>1</v>
      </c>
      <c r="H114" s="212">
        <f>IF($E114="","",IF($E114="Inventory",IFERROR(VLOOKUP($C114,Inventory!$B:$H,7,FALSE()),0),IF($E114="Non Inventory",IFERROR(VLOOKUP($C114,'Non Inventory'!$B:$H,7,FALSE()),0),IF($E114="Services",IFERROR(VLOOKUP($C114,Services!$B:$H,7,FALSE()),0),IF($E114="Patty Cash",IFERROR(VLOOKUP($C114,'Patty Cash'!$B:$H,7,FALSE()),0),0)))))</f>
        <v>12</v>
      </c>
      <c r="I114" s="213" t="s">
        <v>1300</v>
      </c>
      <c r="J114" s="214" t="s">
        <v>1388</v>
      </c>
      <c r="K114" s="215" t="s">
        <v>1209</v>
      </c>
      <c r="L114" s="197" t="s">
        <v>1195</v>
      </c>
      <c r="M114" s="215" t="s">
        <v>1207</v>
      </c>
      <c r="N114" s="216">
        <f>IFERROR(IF($E114="Inventory",VLOOKUP($C114,Inventory!$B:$I,8,FALSE()),IF($E114="Non Inventory",VLOOKUP($C114,'Non Inventory'!$B:$I,8,FALSE()),IF($E114="Services",VLOOKUP($C114,Services!$B:$I,8,FALSE()),IF($E114="Patty Cash",VLOOKUP($C114,'Patty Cash'!$B:$J,8,FALSE()),0)))),0)</f>
        <v>2400</v>
      </c>
      <c r="O114" s="217">
        <f t="shared" si="1"/>
        <v>2400</v>
      </c>
    </row>
    <row r="115" spans="1:15" ht="23.1" customHeight="1">
      <c r="A115" s="206">
        <f>IF(AND($B115="",$C115=""),"",MAX($A$3:A114)+1)</f>
        <v>112</v>
      </c>
      <c r="B115" s="207">
        <v>46161</v>
      </c>
      <c r="C115" s="208">
        <v>23384</v>
      </c>
      <c r="D115" s="209" t="str">
        <f>IFERROR(IF($E115="Inventory",VLOOKUP($C115,Inventory!$B:$I,2,FALSE()),IF($E115="Non Inventory",VLOOKUP($C115,'Non Inventory'!$B:$I,2,FALSE()),IF($E115="Services",VLOOKUP($C115,Services!$B:$I,2,FALSE()),IF($E115="Patty Cash",VLOOKUP($C115,'Patty Cash'!$B:$J,2,FALSE()),"")))),"")</f>
        <v>SAFETY RELAY MODEL: MSR127TP (MAKE: ALLEN BRADLEY) SLANTY AUTO FRYER</v>
      </c>
      <c r="E115" s="246" t="s">
        <v>6</v>
      </c>
      <c r="F115" s="210" t="str">
        <f>IFERROR(IF($E115="Inventory",VLOOKUP($C115,Inventory!$B:$I,3,FALSE()),IF($E115="Non Inventory",VLOOKUP($C115,'Non Inventory'!$B:$I,3,FALSE()),IF($E115="Services",VLOOKUP($C115,Services!$B:$I,3,FALSE()),IF($E115="Patty Cash",VLOOKUP($C115,'Patty Cash'!$B:$J,3,FALSE()),"")))),"")</f>
        <v>NOS</v>
      </c>
      <c r="G115" s="211">
        <v>1</v>
      </c>
      <c r="H115" s="212">
        <f>IF($E115="","",IF($E115="Inventory",IFERROR(VLOOKUP($C115,Inventory!$B:$H,7,FALSE()),0),IF($E115="Non Inventory",IFERROR(VLOOKUP($C115,'Non Inventory'!$B:$H,7,FALSE()),0),IF($E115="Services",IFERROR(VLOOKUP($C115,Services!$B:$H,7,FALSE()),0),IF($E115="Patty Cash",IFERROR(VLOOKUP($C115,'Patty Cash'!$B:$H,7,FALSE()),0),0)))))</f>
        <v>0</v>
      </c>
      <c r="I115" s="213" t="s">
        <v>48</v>
      </c>
      <c r="J115" s="214" t="s">
        <v>67</v>
      </c>
      <c r="K115" s="215" t="s">
        <v>1209</v>
      </c>
      <c r="L115" s="197" t="s">
        <v>1195</v>
      </c>
      <c r="M115" s="215" t="s">
        <v>1207</v>
      </c>
      <c r="N115" s="216" t="str">
        <f>IFERROR(IF($E115="Inventory",VLOOKUP($C115,Inventory!$B:$I,8,FALSE()),IF($E115="Non Inventory",VLOOKUP($C115,'Non Inventory'!$B:$I,8,FALSE()),IF($E115="Services",VLOOKUP($C115,Services!$B:$I,8,FALSE()),IF($E115="Patty Cash",VLOOKUP($C115,'Patty Cash'!$B:$J,8,FALSE()),0)))),0)</f>
        <v>22000</v>
      </c>
      <c r="O115" s="217">
        <f t="shared" si="1"/>
        <v>22000</v>
      </c>
    </row>
    <row r="116" spans="1:15" ht="23.1" customHeight="1">
      <c r="A116" s="206">
        <f>IF(AND($B116="",$C116=""),"",MAX($A$3:A115)+1)</f>
        <v>113</v>
      </c>
      <c r="B116" s="207">
        <v>46161</v>
      </c>
      <c r="C116" s="208">
        <v>24164</v>
      </c>
      <c r="D116" s="209" t="str">
        <f>IFERROR(IF($E116="Inventory",VLOOKUP($C116,Inventory!$B:$I,2,FALSE()),IF($E116="Non Inventory",VLOOKUP($C116,'Non Inventory'!$B:$I,2,FALSE()),IF($E116="Services",VLOOKUP($C116,Services!$B:$I,2,FALSE()),IF($E116="Patty Cash",VLOOKUP($C116,'Patty Cash'!$B:$J,2,FALSE()),"")))),"")</f>
        <v>Push Button Box 3 &amp; 4 Way</v>
      </c>
      <c r="E116" s="246" t="s">
        <v>7</v>
      </c>
      <c r="F116" s="210" t="str">
        <f>IFERROR(IF($E116="Inventory",VLOOKUP($C116,Inventory!$B:$I,3,FALSE()),IF($E116="Non Inventory",VLOOKUP($C116,'Non Inventory'!$B:$I,3,FALSE()),IF($E116="Services",VLOOKUP($C116,Services!$B:$I,3,FALSE()),IF($E116="Patty Cash",VLOOKUP($C116,'Patty Cash'!$B:$J,3,FALSE()),"")))),"")</f>
        <v>NOS</v>
      </c>
      <c r="G116" s="211">
        <v>1</v>
      </c>
      <c r="H116" s="212">
        <f>IF($E116="","",IF($E116="Inventory",IFERROR(VLOOKUP($C116,Inventory!$B:$H,7,FALSE()),0),IF($E116="Non Inventory",IFERROR(VLOOKUP($C116,'Non Inventory'!$B:$H,7,FALSE()),0),IF($E116="Services",IFERROR(VLOOKUP($C116,Services!$B:$H,7,FALSE()),0),IF($E116="Patty Cash",IFERROR(VLOOKUP($C116,'Patty Cash'!$B:$H,7,FALSE()),0),0)))))</f>
        <v>17</v>
      </c>
      <c r="I116" s="213" t="s">
        <v>81</v>
      </c>
      <c r="J116" s="214" t="s">
        <v>1256</v>
      </c>
      <c r="K116" s="215" t="s">
        <v>1209</v>
      </c>
      <c r="L116" s="197" t="s">
        <v>1195</v>
      </c>
      <c r="M116" s="215" t="s">
        <v>1207</v>
      </c>
      <c r="N116" s="216">
        <f>IFERROR(IF($E116="Inventory",VLOOKUP($C116,Inventory!$B:$I,8,FALSE()),IF($E116="Non Inventory",VLOOKUP($C116,'Non Inventory'!$B:$I,8,FALSE()),IF($E116="Services",VLOOKUP($C116,Services!$B:$I,8,FALSE()),IF($E116="Patty Cash",VLOOKUP($C116,'Patty Cash'!$B:$J,8,FALSE()),0)))),0)</f>
        <v>950</v>
      </c>
      <c r="O116" s="217">
        <f t="shared" si="1"/>
        <v>950</v>
      </c>
    </row>
    <row r="117" spans="1:15" ht="23.1" customHeight="1">
      <c r="A117" s="206">
        <f>IF(AND($B117="",$C117=""),"",MAX($A$3:A116)+1)</f>
        <v>114</v>
      </c>
      <c r="B117" s="207">
        <v>46161</v>
      </c>
      <c r="C117" s="208">
        <v>3307</v>
      </c>
      <c r="D117" s="209" t="str">
        <f>IFERROR(IF($E117="Inventory",VLOOKUP($C117,Inventory!$B:$I,2,FALSE()),IF($E117="Non Inventory",VLOOKUP($C117,'Non Inventory'!$B:$I,2,FALSE()),IF($E117="Services",VLOOKUP($C117,Services!$B:$I,2,FALSE()),IF($E117="Patty Cash",VLOOKUP($C117,'Patty Cash'!$B:$J,2,FALSE()),"")))),"")</f>
        <v>W.D 40 Spray</v>
      </c>
      <c r="E117" s="246" t="s">
        <v>7</v>
      </c>
      <c r="F117" s="210" t="str">
        <f>IFERROR(IF($E117="Inventory",VLOOKUP($C117,Inventory!$B:$I,3,FALSE()),IF($E117="Non Inventory",VLOOKUP($C117,'Non Inventory'!$B:$I,3,FALSE()),IF($E117="Services",VLOOKUP($C117,Services!$B:$I,3,FALSE()),IF($E117="Patty Cash",VLOOKUP($C117,'Patty Cash'!$B:$J,3,FALSE()),"")))),"")</f>
        <v>NOS</v>
      </c>
      <c r="G117" s="211">
        <v>1</v>
      </c>
      <c r="H117" s="212">
        <f>IF($E117="","",IF($E117="Inventory",IFERROR(VLOOKUP($C117,Inventory!$B:$H,7,FALSE()),0),IF($E117="Non Inventory",IFERROR(VLOOKUP($C117,'Non Inventory'!$B:$H,7,FALSE()),0),IF($E117="Services",IFERROR(VLOOKUP($C117,Services!$B:$H,7,FALSE()),0),IF($E117="Patty Cash",IFERROR(VLOOKUP($C117,'Patty Cash'!$B:$H,7,FALSE()),0),0)))))</f>
        <v>0</v>
      </c>
      <c r="I117" s="213" t="s">
        <v>1222</v>
      </c>
      <c r="J117" s="214" t="s">
        <v>67</v>
      </c>
      <c r="K117" s="215" t="s">
        <v>1211</v>
      </c>
      <c r="L117" s="197" t="s">
        <v>1204</v>
      </c>
      <c r="M117" s="215" t="s">
        <v>1196</v>
      </c>
      <c r="N117" s="216">
        <f>IFERROR(IF($E117="Inventory",VLOOKUP($C117,Inventory!$B:$I,8,FALSE()),IF($E117="Non Inventory",VLOOKUP($C117,'Non Inventory'!$B:$I,8,FALSE()),IF($E117="Services",VLOOKUP($C117,Services!$B:$I,8,FALSE()),IF($E117="Patty Cash",VLOOKUP($C117,'Patty Cash'!$B:$J,8,FALSE()),0)))),0)</f>
        <v>1010</v>
      </c>
      <c r="O117" s="217">
        <f t="shared" si="1"/>
        <v>1010</v>
      </c>
    </row>
    <row r="118" spans="1:15" ht="23.1" customHeight="1">
      <c r="A118" s="206">
        <f>IF(AND($B118="",$C118=""),"",MAX($A$3:A117)+1)</f>
        <v>115</v>
      </c>
      <c r="B118" s="207">
        <v>46161</v>
      </c>
      <c r="C118" s="208">
        <v>16259</v>
      </c>
      <c r="D118" s="209" t="str">
        <f>IFERROR(IF($E118="Inventory",VLOOKUP($C118,Inventory!$B:$I,2,FALSE()),IF($E118="Non Inventory",VLOOKUP($C118,'Non Inventory'!$B:$I,2,FALSE()),IF($E118="Services",VLOOKUP($C118,Services!$B:$I,2,FALSE()),IF($E118="Patty Cash",VLOOKUP($C118,'Patty Cash'!$B:$J,2,FALSE()),"")))),"")</f>
        <v>Needle Roller Bearing RNA-NA 5902</v>
      </c>
      <c r="E118" s="246" t="s">
        <v>6</v>
      </c>
      <c r="F118" s="210" t="str">
        <f>IFERROR(IF($E118="Inventory",VLOOKUP($C118,Inventory!$B:$I,3,FALSE()),IF($E118="Non Inventory",VLOOKUP($C118,'Non Inventory'!$B:$I,3,FALSE()),IF($E118="Services",VLOOKUP($C118,Services!$B:$I,3,FALSE()),IF($E118="Patty Cash",VLOOKUP($C118,'Patty Cash'!$B:$J,3,FALSE()),"")))),"")</f>
        <v>NOS</v>
      </c>
      <c r="G118" s="211">
        <v>1</v>
      </c>
      <c r="H118" s="212">
        <f>IF($E118="","",IF($E118="Inventory",IFERROR(VLOOKUP($C118,Inventory!$B:$H,7,FALSE()),0),IF($E118="Non Inventory",IFERROR(VLOOKUP($C118,'Non Inventory'!$B:$H,7,FALSE()),0),IF($E118="Services",IFERROR(VLOOKUP($C118,Services!$B:$H,7,FALSE()),0),IF($E118="Patty Cash",IFERROR(VLOOKUP($C118,'Patty Cash'!$B:$H,7,FALSE()),0),0)))))</f>
        <v>1</v>
      </c>
      <c r="I118" s="213" t="s">
        <v>59</v>
      </c>
      <c r="J118" s="214" t="s">
        <v>1250</v>
      </c>
      <c r="K118" s="215" t="s">
        <v>1203</v>
      </c>
      <c r="L118" s="197" t="s">
        <v>1204</v>
      </c>
      <c r="M118" s="215" t="s">
        <v>1196</v>
      </c>
      <c r="N118" s="216">
        <f>IFERROR(IF($E118="Inventory",VLOOKUP($C118,Inventory!$B:$I,8,FALSE()),IF($E118="Non Inventory",VLOOKUP($C118,'Non Inventory'!$B:$I,8,FALSE()),IF($E118="Services",VLOOKUP($C118,Services!$B:$I,8,FALSE()),IF($E118="Patty Cash",VLOOKUP($C118,'Patty Cash'!$B:$J,8,FALSE()),0)))),0)</f>
        <v>3975</v>
      </c>
      <c r="O118" s="217">
        <f t="shared" si="1"/>
        <v>3975</v>
      </c>
    </row>
    <row r="119" spans="1:15" ht="23.1" customHeight="1">
      <c r="A119" s="206">
        <f>IF(AND($B119="",$C119=""),"",MAX($A$3:A118)+1)</f>
        <v>116</v>
      </c>
      <c r="B119" s="207">
        <v>46161</v>
      </c>
      <c r="C119" s="208">
        <v>9781</v>
      </c>
      <c r="D119" s="209" t="str">
        <f>IFERROR(IF($E119="Inventory",VLOOKUP($C119,Inventory!$B:$I,2,FALSE()),IF($E119="Non Inventory",VLOOKUP($C119,'Non Inventory'!$B:$I,2,FALSE()),IF($E119="Services",VLOOKUP($C119,Services!$B:$I,2,FALSE()),IF($E119="Patty Cash",VLOOKUP($C119,'Patty Cash'!$B:$J,2,FALSE()),"")))),"")</f>
        <v>Bearing LM 25UU</v>
      </c>
      <c r="E119" s="246" t="s">
        <v>6</v>
      </c>
      <c r="F119" s="210" t="str">
        <f>IFERROR(IF($E119="Inventory",VLOOKUP($C119,Inventory!$B:$I,3,FALSE()),IF($E119="Non Inventory",VLOOKUP($C119,'Non Inventory'!$B:$I,3,FALSE()),IF($E119="Services",VLOOKUP($C119,Services!$B:$I,3,FALSE()),IF($E119="Patty Cash",VLOOKUP($C119,'Patty Cash'!$B:$J,3,FALSE()),"")))),"")</f>
        <v>NOS</v>
      </c>
      <c r="G119" s="211">
        <v>1</v>
      </c>
      <c r="H119" s="212">
        <f>IF($E119="","",IF($E119="Inventory",IFERROR(VLOOKUP($C119,Inventory!$B:$H,7,FALSE()),0),IF($E119="Non Inventory",IFERROR(VLOOKUP($C119,'Non Inventory'!$B:$H,7,FALSE()),0),IF($E119="Services",IFERROR(VLOOKUP($C119,Services!$B:$H,7,FALSE()),0),IF($E119="Patty Cash",IFERROR(VLOOKUP($C119,'Patty Cash'!$B:$H,7,FALSE()),0),0)))))</f>
        <v>8</v>
      </c>
      <c r="I119" s="213" t="s">
        <v>1300</v>
      </c>
      <c r="J119" s="214" t="s">
        <v>67</v>
      </c>
      <c r="K119" s="215" t="s">
        <v>1214</v>
      </c>
      <c r="L119" s="197" t="s">
        <v>1204</v>
      </c>
      <c r="M119" s="215" t="s">
        <v>1196</v>
      </c>
      <c r="N119" s="216">
        <f>IFERROR(IF($E119="Inventory",VLOOKUP($C119,Inventory!$B:$I,8,FALSE()),IF($E119="Non Inventory",VLOOKUP($C119,'Non Inventory'!$B:$I,8,FALSE()),IF($E119="Services",VLOOKUP($C119,Services!$B:$I,8,FALSE()),IF($E119="Patty Cash",VLOOKUP($C119,'Patty Cash'!$B:$J,8,FALSE()),0)))),0)</f>
        <v>3166</v>
      </c>
      <c r="O119" s="217">
        <f t="shared" si="1"/>
        <v>3166</v>
      </c>
    </row>
    <row r="120" spans="1:15" ht="23.1" customHeight="1">
      <c r="A120" s="206">
        <f>IF(AND($B120="",$C120=""),"",MAX($A$3:A119)+1)</f>
        <v>117</v>
      </c>
      <c r="B120" s="207">
        <v>46161</v>
      </c>
      <c r="C120" s="208">
        <v>9402</v>
      </c>
      <c r="D120" s="209" t="str">
        <f>IFERROR(IF($E120="Inventory",VLOOKUP($C120,Inventory!$B:$I,2,FALSE()),IF($E120="Non Inventory",VLOOKUP($C120,'Non Inventory'!$B:$I,2,FALSE()),IF($E120="Services",VLOOKUP($C120,Services!$B:$I,2,FALSE()),IF($E120="Patty Cash",VLOOKUP($C120,'Patty Cash'!$B:$J,2,FALSE()),"")))),"")</f>
        <v>Pneumatic Socket Size 6mm</v>
      </c>
      <c r="E120" s="246" t="s">
        <v>7</v>
      </c>
      <c r="F120" s="210" t="str">
        <f>IFERROR(IF($E120="Inventory",VLOOKUP($C120,Inventory!$B:$I,3,FALSE()),IF($E120="Non Inventory",VLOOKUP($C120,'Non Inventory'!$B:$I,3,FALSE()),IF($E120="Services",VLOOKUP($C120,Services!$B:$I,3,FALSE()),IF($E120="Patty Cash",VLOOKUP($C120,'Patty Cash'!$B:$J,3,FALSE()),"")))),"")</f>
        <v>NOS</v>
      </c>
      <c r="G120" s="211">
        <v>1</v>
      </c>
      <c r="H120" s="212">
        <f>IF($E120="","",IF($E120="Inventory",IFERROR(VLOOKUP($C120,Inventory!$B:$H,7,FALSE()),0),IF($E120="Non Inventory",IFERROR(VLOOKUP($C120,'Non Inventory'!$B:$H,7,FALSE()),0),IF($E120="Services",IFERROR(VLOOKUP($C120,Services!$B:$H,7,FALSE()),0),IF($E120="Patty Cash",IFERROR(VLOOKUP($C120,'Patty Cash'!$B:$H,7,FALSE()),0),0)))))</f>
        <v>10</v>
      </c>
      <c r="I120" s="213" t="s">
        <v>1300</v>
      </c>
      <c r="J120" s="214" t="s">
        <v>67</v>
      </c>
      <c r="K120" s="215" t="s">
        <v>1203</v>
      </c>
      <c r="L120" s="197" t="s">
        <v>1204</v>
      </c>
      <c r="M120" s="215" t="s">
        <v>1196</v>
      </c>
      <c r="N120" s="216">
        <f>IFERROR(IF($E120="Inventory",VLOOKUP($C120,Inventory!$B:$I,8,FALSE()),IF($E120="Non Inventory",VLOOKUP($C120,'Non Inventory'!$B:$I,8,FALSE()),IF($E120="Services",VLOOKUP($C120,Services!$B:$I,8,FALSE()),IF($E120="Patty Cash",VLOOKUP($C120,'Patty Cash'!$B:$J,8,FALSE()),0)))),0)</f>
        <v>225</v>
      </c>
      <c r="O120" s="217">
        <f t="shared" si="1"/>
        <v>225</v>
      </c>
    </row>
    <row r="121" spans="1:15" ht="23.1" customHeight="1">
      <c r="A121" s="206">
        <f>IF(AND($B121="",$C121=""),"",MAX($A$3:A120)+1)</f>
        <v>118</v>
      </c>
      <c r="B121" s="207">
        <v>46161</v>
      </c>
      <c r="C121" s="208">
        <v>16780</v>
      </c>
      <c r="D121" s="209" t="str">
        <f>IFERROR(IF($E121="Inventory",VLOOKUP($C121,Inventory!$B:$I,2,FALSE()),IF($E121="Non Inventory",VLOOKUP($C121,'Non Inventory'!$B:$I,2,FALSE()),IF($E121="Services",VLOOKUP($C121,Services!$B:$I,2,FALSE()),IF($E121="Patty Cash",VLOOKUP($C121,'Patty Cash'!$B:$J,2,FALSE()),"")))),"")</f>
        <v>Pneumatic Male Connector Size 1/2" x 8mm</v>
      </c>
      <c r="E121" s="246" t="s">
        <v>7</v>
      </c>
      <c r="F121" s="210" t="str">
        <f>IFERROR(IF($E121="Inventory",VLOOKUP($C121,Inventory!$B:$I,3,FALSE()),IF($E121="Non Inventory",VLOOKUP($C121,'Non Inventory'!$B:$I,3,FALSE()),IF($E121="Services",VLOOKUP($C121,Services!$B:$I,3,FALSE()),IF($E121="Patty Cash",VLOOKUP($C121,'Patty Cash'!$B:$J,3,FALSE()),"")))),"")</f>
        <v>NOS</v>
      </c>
      <c r="G121" s="211">
        <v>1</v>
      </c>
      <c r="H121" s="212">
        <f>IF($E121="","",IF($E121="Inventory",IFERROR(VLOOKUP($C121,Inventory!$B:$H,7,FALSE()),0),IF($E121="Non Inventory",IFERROR(VLOOKUP($C121,'Non Inventory'!$B:$H,7,FALSE()),0),IF($E121="Services",IFERROR(VLOOKUP($C121,Services!$B:$H,7,FALSE()),0),IF($E121="Patty Cash",IFERROR(VLOOKUP($C121,'Patty Cash'!$B:$H,7,FALSE()),0),0)))))</f>
        <v>17</v>
      </c>
      <c r="I121" s="213" t="s">
        <v>1300</v>
      </c>
      <c r="J121" s="214" t="s">
        <v>67</v>
      </c>
      <c r="K121" s="215" t="s">
        <v>1203</v>
      </c>
      <c r="L121" s="197" t="s">
        <v>1204</v>
      </c>
      <c r="M121" s="215" t="s">
        <v>1196</v>
      </c>
      <c r="N121" s="216">
        <f>IFERROR(IF($E121="Inventory",VLOOKUP($C121,Inventory!$B:$I,8,FALSE()),IF($E121="Non Inventory",VLOOKUP($C121,'Non Inventory'!$B:$I,8,FALSE()),IF($E121="Services",VLOOKUP($C121,Services!$B:$I,8,FALSE()),IF($E121="Patty Cash",VLOOKUP($C121,'Patty Cash'!$B:$J,8,FALSE()),0)))),0)</f>
        <v>250</v>
      </c>
      <c r="O121" s="217">
        <f t="shared" si="1"/>
        <v>250</v>
      </c>
    </row>
    <row r="122" spans="1:15" ht="23.1" customHeight="1">
      <c r="A122" s="206">
        <f>IF(AND($B122="",$C122=""),"",MAX($A$3:A121)+1)</f>
        <v>119</v>
      </c>
      <c r="B122" s="207">
        <v>46161</v>
      </c>
      <c r="C122" s="208">
        <v>13409</v>
      </c>
      <c r="D122" s="209" t="str">
        <f>IFERROR(IF($E122="Inventory",VLOOKUP($C122,Inventory!$B:$I,2,FALSE()),IF($E122="Non Inventory",VLOOKUP($C122,'Non Inventory'!$B:$I,2,FALSE()),IF($E122="Services",VLOOKUP($C122,Services!$B:$I,2,FALSE()),IF($E122="Patty Cash",VLOOKUP($C122,'Patty Cash'!$B:$J,2,FALSE()),"")))),"")</f>
        <v>Heater 220 Valt, 450 Watt Size L-262mm, Dia-8mm (Ishida Packing Machine)</v>
      </c>
      <c r="E122" s="246" t="s">
        <v>6</v>
      </c>
      <c r="F122" s="210" t="str">
        <f>IFERROR(IF($E122="Inventory",VLOOKUP($C122,Inventory!$B:$I,3,FALSE()),IF($E122="Non Inventory",VLOOKUP($C122,'Non Inventory'!$B:$I,3,FALSE()),IF($E122="Services",VLOOKUP($C122,Services!$B:$I,3,FALSE()),IF($E122="Patty Cash",VLOOKUP($C122,'Patty Cash'!$B:$J,3,FALSE()),"")))),"")</f>
        <v>NOS</v>
      </c>
      <c r="G122" s="211">
        <v>1</v>
      </c>
      <c r="H122" s="212">
        <f>IF($E122="","",IF($E122="Inventory",IFERROR(VLOOKUP($C122,Inventory!$B:$H,7,FALSE()),0),IF($E122="Non Inventory",IFERROR(VLOOKUP($C122,'Non Inventory'!$B:$H,7,FALSE()),0),IF($E122="Services",IFERROR(VLOOKUP($C122,Services!$B:$H,7,FALSE()),0),IF($E122="Patty Cash",IFERROR(VLOOKUP($C122,'Patty Cash'!$B:$H,7,FALSE()),0),0)))))</f>
        <v>12</v>
      </c>
      <c r="I122" s="213" t="s">
        <v>1300</v>
      </c>
      <c r="J122" s="214" t="s">
        <v>1388</v>
      </c>
      <c r="K122" s="215" t="s">
        <v>1210</v>
      </c>
      <c r="L122" s="197" t="s">
        <v>1204</v>
      </c>
      <c r="M122" s="215" t="s">
        <v>1207</v>
      </c>
      <c r="N122" s="216">
        <f>IFERROR(IF($E122="Inventory",VLOOKUP($C122,Inventory!$B:$I,8,FALSE()),IF($E122="Non Inventory",VLOOKUP($C122,'Non Inventory'!$B:$I,8,FALSE()),IF($E122="Services",VLOOKUP($C122,Services!$B:$I,8,FALSE()),IF($E122="Patty Cash",VLOOKUP($C122,'Patty Cash'!$B:$J,8,FALSE()),0)))),0)</f>
        <v>2400</v>
      </c>
      <c r="O122" s="217">
        <f t="shared" si="1"/>
        <v>2400</v>
      </c>
    </row>
    <row r="123" spans="1:15" ht="23.1" customHeight="1">
      <c r="A123" s="206">
        <f>IF(AND($B123="",$C123=""),"",MAX($A$3:A122)+1)</f>
        <v>120</v>
      </c>
      <c r="B123" s="207">
        <v>46162</v>
      </c>
      <c r="C123" s="208">
        <v>4777</v>
      </c>
      <c r="D123" s="209" t="str">
        <f>IFERROR(IF($E123="Inventory",VLOOKUP($C123,Inventory!$B:$I,2,FALSE()),IF($E123="Non Inventory",VLOOKUP($C123,'Non Inventory'!$B:$I,2,FALSE()),IF($E123="Services",VLOOKUP($C123,Services!$B:$I,2,FALSE()),IF($E123="Patty Cash",VLOOKUP($C123,'Patty Cash'!$B:$J,2,FALSE()),"")))),"")</f>
        <v xml:space="preserve">Elfy </v>
      </c>
      <c r="E123" s="246" t="s">
        <v>7</v>
      </c>
      <c r="F123" s="210" t="str">
        <f>IFERROR(IF($E123="Inventory",VLOOKUP($C123,Inventory!$B:$I,3,FALSE()),IF($E123="Non Inventory",VLOOKUP($C123,'Non Inventory'!$B:$I,3,FALSE()),IF($E123="Services",VLOOKUP($C123,Services!$B:$I,3,FALSE()),IF($E123="Patty Cash",VLOOKUP($C123,'Patty Cash'!$B:$J,3,FALSE()),"")))),"")</f>
        <v>NOS</v>
      </c>
      <c r="G123" s="211">
        <v>1</v>
      </c>
      <c r="H123" s="212">
        <f>IF($E123="","",IF($E123="Inventory",IFERROR(VLOOKUP($C123,Inventory!$B:$H,7,FALSE()),0),IF($E123="Non Inventory",IFERROR(VLOOKUP($C123,'Non Inventory'!$B:$H,7,FALSE()),0),IF($E123="Services",IFERROR(VLOOKUP($C123,Services!$B:$H,7,FALSE()),0),IF($E123="Patty Cash",IFERROR(VLOOKUP($C123,'Patty Cash'!$B:$H,7,FALSE()),0),0)))))</f>
        <v>0</v>
      </c>
      <c r="I123" s="213" t="s">
        <v>63</v>
      </c>
      <c r="J123" s="214" t="s">
        <v>1387</v>
      </c>
      <c r="K123" s="215" t="s">
        <v>1199</v>
      </c>
      <c r="L123" s="197" t="s">
        <v>1195</v>
      </c>
      <c r="M123" s="215" t="s">
        <v>1196</v>
      </c>
      <c r="N123" s="216">
        <f>IFERROR(IF($E123="Inventory",VLOOKUP($C123,Inventory!$B:$I,8,FALSE()),IF($E123="Non Inventory",VLOOKUP($C123,'Non Inventory'!$B:$I,8,FALSE()),IF($E123="Services",VLOOKUP($C123,Services!$B:$I,8,FALSE()),IF($E123="Patty Cash",VLOOKUP($C123,'Patty Cash'!$B:$J,8,FALSE()),0)))),0)</f>
        <v>125</v>
      </c>
      <c r="O123" s="217">
        <f t="shared" si="1"/>
        <v>125</v>
      </c>
    </row>
    <row r="124" spans="1:15" ht="23.1" customHeight="1">
      <c r="A124" s="206">
        <f>IF(AND($B124="",$C124=""),"",MAX($A$3:A123)+1)</f>
        <v>121</v>
      </c>
      <c r="B124" s="207">
        <v>46162</v>
      </c>
      <c r="C124" s="208">
        <v>15596</v>
      </c>
      <c r="D124" s="209" t="str">
        <f>IFERROR(IF($E124="Inventory",VLOOKUP($C124,Inventory!$B:$I,2,FALSE()),IF($E124="Non Inventory",VLOOKUP($C124,'Non Inventory'!$B:$I,2,FALSE()),IF($E124="Services",VLOOKUP($C124,Services!$B:$I,2,FALSE()),IF($E124="Patty Cash",VLOOKUP($C124,'Patty Cash'!$B:$J,2,FALSE()),"")))),"")</f>
        <v>Thermocouple K Type Size 3mm X 50mm</v>
      </c>
      <c r="E124" s="246" t="s">
        <v>6</v>
      </c>
      <c r="F124" s="210" t="str">
        <f>IFERROR(IF($E124="Inventory",VLOOKUP($C124,Inventory!$B:$I,3,FALSE()),IF($E124="Non Inventory",VLOOKUP($C124,'Non Inventory'!$B:$I,3,FALSE()),IF($E124="Services",VLOOKUP($C124,Services!$B:$I,3,FALSE()),IF($E124="Patty Cash",VLOOKUP($C124,'Patty Cash'!$B:$J,3,FALSE()),"")))),"")</f>
        <v>NOS</v>
      </c>
      <c r="G124" s="211">
        <v>1</v>
      </c>
      <c r="H124" s="212">
        <f>IF($E124="","",IF($E124="Inventory",IFERROR(VLOOKUP($C124,Inventory!$B:$H,7,FALSE()),0),IF($E124="Non Inventory",IFERROR(VLOOKUP($C124,'Non Inventory'!$B:$H,7,FALSE()),0),IF($E124="Services",IFERROR(VLOOKUP($C124,Services!$B:$H,7,FALSE()),0),IF($E124="Patty Cash",IFERROR(VLOOKUP($C124,'Patty Cash'!$B:$H,7,FALSE()),0),0)))))</f>
        <v>13</v>
      </c>
      <c r="I124" s="213" t="s">
        <v>42</v>
      </c>
      <c r="J124" s="214" t="s">
        <v>1219</v>
      </c>
      <c r="K124" s="215" t="s">
        <v>1386</v>
      </c>
      <c r="L124" s="197" t="s">
        <v>1195</v>
      </c>
      <c r="M124" s="215" t="s">
        <v>1207</v>
      </c>
      <c r="N124" s="216">
        <f>IFERROR(IF($E124="Inventory",VLOOKUP($C124,Inventory!$B:$I,8,FALSE()),IF($E124="Non Inventory",VLOOKUP($C124,'Non Inventory'!$B:$I,8,FALSE()),IF($E124="Services",VLOOKUP($C124,Services!$B:$I,8,FALSE()),IF($E124="Patty Cash",VLOOKUP($C124,'Patty Cash'!$B:$J,8,FALSE()),0)))),0)</f>
        <v>1500</v>
      </c>
      <c r="O124" s="217">
        <f t="shared" si="1"/>
        <v>1500</v>
      </c>
    </row>
    <row r="125" spans="1:15" ht="23.1" customHeight="1">
      <c r="A125" s="206">
        <f>IF(AND($B125="",$C125=""),"",MAX($A$3:A124)+1)</f>
        <v>122</v>
      </c>
      <c r="B125" s="207">
        <v>46162</v>
      </c>
      <c r="C125" s="208">
        <v>23994</v>
      </c>
      <c r="D125" s="209" t="str">
        <f>IFERROR(IF($E125="Inventory",VLOOKUP($C125,Inventory!$B:$I,2,FALSE()),IF($E125="Non Inventory",VLOOKUP($C125,'Non Inventory'!$B:$I,2,FALSE()),IF($E125="Services",VLOOKUP($C125,Services!$B:$I,2,FALSE()),IF($E125="Patty Cash",VLOOKUP($C125,'Patty Cash'!$B:$J,2,FALSE()),"")))),"")</f>
        <v>Led Ceiling Light 48 Watt Size 2' X 2'</v>
      </c>
      <c r="E125" s="246" t="s">
        <v>7</v>
      </c>
      <c r="F125" s="210" t="str">
        <f>IFERROR(IF($E125="Inventory",VLOOKUP($C125,Inventory!$B:$I,3,FALSE()),IF($E125="Non Inventory",VLOOKUP($C125,'Non Inventory'!$B:$I,3,FALSE()),IF($E125="Services",VLOOKUP($C125,Services!$B:$I,3,FALSE()),IF($E125="Patty Cash",VLOOKUP($C125,'Patty Cash'!$B:$J,3,FALSE()),"")))),"")</f>
        <v>NOS</v>
      </c>
      <c r="G125" s="211">
        <v>1</v>
      </c>
      <c r="H125" s="212">
        <f>IF($E125="","",IF($E125="Inventory",IFERROR(VLOOKUP($C125,Inventory!$B:$H,7,FALSE()),0),IF($E125="Non Inventory",IFERROR(VLOOKUP($C125,'Non Inventory'!$B:$H,7,FALSE()),0),IF($E125="Services",IFERROR(VLOOKUP($C125,Services!$B:$H,7,FALSE()),0),IF($E125="Patty Cash",IFERROR(VLOOKUP($C125,'Patty Cash'!$B:$H,7,FALSE()),0),0)))))</f>
        <v>0</v>
      </c>
      <c r="I125" s="213" t="s">
        <v>1222</v>
      </c>
      <c r="J125" s="214" t="s">
        <v>1390</v>
      </c>
      <c r="K125" s="215" t="s">
        <v>1206</v>
      </c>
      <c r="L125" s="197" t="s">
        <v>1195</v>
      </c>
      <c r="M125" s="215" t="s">
        <v>1207</v>
      </c>
      <c r="N125" s="216">
        <f>IFERROR(IF($E125="Inventory",VLOOKUP($C125,Inventory!$B:$I,8,FALSE()),IF($E125="Non Inventory",VLOOKUP($C125,'Non Inventory'!$B:$I,8,FALSE()),IF($E125="Services",VLOOKUP($C125,Services!$B:$I,8,FALSE()),IF($E125="Patty Cash",VLOOKUP($C125,'Patty Cash'!$B:$J,8,FALSE()),0)))),0)</f>
        <v>4850</v>
      </c>
      <c r="O125" s="217">
        <f t="shared" si="1"/>
        <v>4850</v>
      </c>
    </row>
    <row r="126" spans="1:15" ht="23.1" customHeight="1">
      <c r="A126" s="206">
        <f>IF(AND($B126="",$C126=""),"",MAX($A$3:A125)+1)</f>
        <v>123</v>
      </c>
      <c r="B126" s="207">
        <v>46161</v>
      </c>
      <c r="C126" s="208">
        <v>1999</v>
      </c>
      <c r="D126" s="209" t="str">
        <f>IFERROR(IF($E126="Inventory",VLOOKUP($C126,Inventory!$B:$I,2,FALSE()),IF($E126="Non Inventory",VLOOKUP($C126,'Non Inventory'!$B:$I,2,FALSE()),IF($E126="Services",VLOOKUP($C126,Services!$B:$I,2,FALSE()),IF($E126="Patty Cash",VLOOKUP($C126,'Patty Cash'!$B:$J,2,FALSE()),"")))),"")</f>
        <v>Ball Bearing 6206 2ZR C3</v>
      </c>
      <c r="E126" s="246" t="s">
        <v>6</v>
      </c>
      <c r="F126" s="210" t="str">
        <f>IFERROR(IF($E126="Inventory",VLOOKUP($C126,Inventory!$B:$I,3,FALSE()),IF($E126="Non Inventory",VLOOKUP($C126,'Non Inventory'!$B:$I,3,FALSE()),IF($E126="Services",VLOOKUP($C126,Services!$B:$I,3,FALSE()),IF($E126="Patty Cash",VLOOKUP($C126,'Patty Cash'!$B:$J,3,FALSE()),"")))),"")</f>
        <v>PCS</v>
      </c>
      <c r="G126" s="211">
        <v>1</v>
      </c>
      <c r="H126" s="212">
        <f>IF($E126="","",IF($E126="Inventory",IFERROR(VLOOKUP($C126,Inventory!$B:$H,7,FALSE()),0),IF($E126="Non Inventory",IFERROR(VLOOKUP($C126,'Non Inventory'!$B:$H,7,FALSE()),0),IF($E126="Services",IFERROR(VLOOKUP($C126,Services!$B:$H,7,FALSE()),0),IF($E126="Patty Cash",IFERROR(VLOOKUP($C126,'Patty Cash'!$B:$H,7,FALSE()),0),0)))))</f>
        <v>0</v>
      </c>
      <c r="I126" s="213" t="s">
        <v>57</v>
      </c>
      <c r="J126" s="214" t="s">
        <v>1391</v>
      </c>
      <c r="K126" s="215" t="s">
        <v>1199</v>
      </c>
      <c r="L126" s="197" t="s">
        <v>1195</v>
      </c>
      <c r="M126" s="215" t="s">
        <v>1196</v>
      </c>
      <c r="N126" s="216">
        <f>IFERROR(IF($E126="Inventory",VLOOKUP($C126,Inventory!$B:$I,8,FALSE()),IF($E126="Non Inventory",VLOOKUP($C126,'Non Inventory'!$B:$I,8,FALSE()),IF($E126="Services",VLOOKUP($C126,Services!$B:$I,8,FALSE()),IF($E126="Patty Cash",VLOOKUP($C126,'Patty Cash'!$B:$J,8,FALSE()),0)))),0)</f>
        <v>1845</v>
      </c>
      <c r="O126" s="217">
        <f t="shared" si="1"/>
        <v>1845</v>
      </c>
    </row>
    <row r="127" spans="1:15" ht="23.1" customHeight="1">
      <c r="A127" s="206">
        <f>IF(AND($B127="",$C127=""),"",MAX($A$3:A126)+1)</f>
        <v>124</v>
      </c>
      <c r="B127" s="207">
        <v>46161</v>
      </c>
      <c r="C127" s="208">
        <v>2014</v>
      </c>
      <c r="D127" s="209" t="str">
        <f>IFERROR(IF($E127="Inventory",VLOOKUP($C127,Inventory!$B:$I,2,FALSE()),IF($E127="Non Inventory",VLOOKUP($C127,'Non Inventory'!$B:$I,2,FALSE()),IF($E127="Services",VLOOKUP($C127,Services!$B:$I,2,FALSE()),IF($E127="Patty Cash",VLOOKUP($C127,'Patty Cash'!$B:$J,2,FALSE()),"")))),"")</f>
        <v>Ball Bearing 6207 2ZR C3</v>
      </c>
      <c r="E127" s="246" t="s">
        <v>6</v>
      </c>
      <c r="F127" s="210" t="str">
        <f>IFERROR(IF($E127="Inventory",VLOOKUP($C127,Inventory!$B:$I,3,FALSE()),IF($E127="Non Inventory",VLOOKUP($C127,'Non Inventory'!$B:$I,3,FALSE()),IF($E127="Services",VLOOKUP($C127,Services!$B:$I,3,FALSE()),IF($E127="Patty Cash",VLOOKUP($C127,'Patty Cash'!$B:$J,3,FALSE()),"")))),"")</f>
        <v>PCS</v>
      </c>
      <c r="G127" s="211">
        <v>2</v>
      </c>
      <c r="H127" s="212">
        <f>IF($E127="","",IF($E127="Inventory",IFERROR(VLOOKUP($C127,Inventory!$B:$H,7,FALSE()),0),IF($E127="Non Inventory",IFERROR(VLOOKUP($C127,'Non Inventory'!$B:$H,7,FALSE()),0),IF($E127="Services",IFERROR(VLOOKUP($C127,Services!$B:$H,7,FALSE()),0),IF($E127="Patty Cash",IFERROR(VLOOKUP($C127,'Patty Cash'!$B:$H,7,FALSE()),0),0)))))</f>
        <v>5</v>
      </c>
      <c r="I127" s="213" t="s">
        <v>57</v>
      </c>
      <c r="J127" s="214" t="s">
        <v>1391</v>
      </c>
      <c r="K127" s="215" t="s">
        <v>1199</v>
      </c>
      <c r="L127" s="197" t="s">
        <v>1195</v>
      </c>
      <c r="M127" s="215" t="s">
        <v>1196</v>
      </c>
      <c r="N127" s="216">
        <f>IFERROR(IF($E127="Inventory",VLOOKUP($C127,Inventory!$B:$I,8,FALSE()),IF($E127="Non Inventory",VLOOKUP($C127,'Non Inventory'!$B:$I,8,FALSE()),IF($E127="Services",VLOOKUP($C127,Services!$B:$I,8,FALSE()),IF($E127="Patty Cash",VLOOKUP($C127,'Patty Cash'!$B:$J,8,FALSE()),0)))),0)</f>
        <v>1650</v>
      </c>
      <c r="O127" s="217">
        <f t="shared" si="1"/>
        <v>3300</v>
      </c>
    </row>
    <row r="128" spans="1:15" ht="23.1" customHeight="1">
      <c r="A128" s="206">
        <f>IF(AND($B128="",$C128=""),"",MAX($A$3:A127)+1)</f>
        <v>125</v>
      </c>
      <c r="B128" s="207">
        <v>46162</v>
      </c>
      <c r="C128" s="208">
        <v>13660</v>
      </c>
      <c r="D128" s="209" t="str">
        <f>IFERROR(IF($E128="Inventory",VLOOKUP($C128,Inventory!$B:$I,2,FALSE()),IF($E128="Non Inventory",VLOOKUP($C128,'Non Inventory'!$B:$I,2,FALSE()),IF($E128="Services",VLOOKUP($C128,Services!$B:$I,2,FALSE()),IF($E128="Patty Cash",VLOOKUP($C128,'Patty Cash'!$B:$J,2,FALSE()),"")))),"")</f>
        <v>Pneumatic Reducer Socket Size 8mm x 6mm</v>
      </c>
      <c r="E128" s="246" t="s">
        <v>7</v>
      </c>
      <c r="F128" s="210" t="str">
        <f>IFERROR(IF($E128="Inventory",VLOOKUP($C128,Inventory!$B:$I,3,FALSE()),IF($E128="Non Inventory",VLOOKUP($C128,'Non Inventory'!$B:$I,3,FALSE()),IF($E128="Services",VLOOKUP($C128,Services!$B:$I,3,FALSE()),IF($E128="Patty Cash",VLOOKUP($C128,'Patty Cash'!$B:$J,3,FALSE()),"")))),"")</f>
        <v>NOS</v>
      </c>
      <c r="G128" s="211">
        <v>3</v>
      </c>
      <c r="H128" s="212">
        <f>IF($E128="","",IF($E128="Inventory",IFERROR(VLOOKUP($C128,Inventory!$B:$H,7,FALSE()),0),IF($E128="Non Inventory",IFERROR(VLOOKUP($C128,'Non Inventory'!$B:$H,7,FALSE()),0),IF($E128="Services",IFERROR(VLOOKUP($C128,Services!$B:$H,7,FALSE()),0),IF($E128="Patty Cash",IFERROR(VLOOKUP($C128,'Patty Cash'!$B:$H,7,FALSE()),0),0)))))</f>
        <v>4</v>
      </c>
      <c r="I128" s="213" t="s">
        <v>1395</v>
      </c>
      <c r="J128" s="214" t="s">
        <v>67</v>
      </c>
      <c r="K128" s="215" t="s">
        <v>1223</v>
      </c>
      <c r="L128" s="197" t="s">
        <v>1195</v>
      </c>
      <c r="M128" s="215" t="s">
        <v>1196</v>
      </c>
      <c r="N128" s="216">
        <f>IFERROR(IF($E128="Inventory",VLOOKUP($C128,Inventory!$B:$I,8,FALSE()),IF($E128="Non Inventory",VLOOKUP($C128,'Non Inventory'!$B:$I,8,FALSE()),IF($E128="Services",VLOOKUP($C128,Services!$B:$I,8,FALSE()),IF($E128="Patty Cash",VLOOKUP($C128,'Patty Cash'!$B:$J,8,FALSE()),0)))),0)</f>
        <v>65</v>
      </c>
      <c r="O128" s="217">
        <f t="shared" si="1"/>
        <v>195</v>
      </c>
    </row>
    <row r="129" spans="1:15" ht="23.1" customHeight="1">
      <c r="A129" s="206">
        <f>IF(AND($B129="",$C129=""),"",MAX($A$3:A128)+1)</f>
        <v>126</v>
      </c>
      <c r="B129" s="207">
        <v>46162</v>
      </c>
      <c r="C129" s="208">
        <v>3490</v>
      </c>
      <c r="D129" s="209" t="str">
        <f>IFERROR(IF($E129="Inventory",VLOOKUP($C129,Inventory!$B:$I,2,FALSE()),IF($E129="Non Inventory",VLOOKUP($C129,'Non Inventory'!$B:$I,2,FALSE()),IF($E129="Services",VLOOKUP($C129,Services!$B:$I,2,FALSE()),IF($E129="Patty Cash",VLOOKUP($C129,'Patty Cash'!$B:$J,2,FALSE()),"")))),"")</f>
        <v>Pneumatic Air Connector Size 1/4" x 8mm</v>
      </c>
      <c r="E129" s="246" t="s">
        <v>7</v>
      </c>
      <c r="F129" s="210" t="str">
        <f>IFERROR(IF($E129="Inventory",VLOOKUP($C129,Inventory!$B:$I,3,FALSE()),IF($E129="Non Inventory",VLOOKUP($C129,'Non Inventory'!$B:$I,3,FALSE()),IF($E129="Services",VLOOKUP($C129,Services!$B:$I,3,FALSE()),IF($E129="Patty Cash",VLOOKUP($C129,'Patty Cash'!$B:$J,3,FALSE()),"")))),"")</f>
        <v>PCS</v>
      </c>
      <c r="G129" s="211">
        <v>3</v>
      </c>
      <c r="H129" s="212">
        <f>IF($E129="","",IF($E129="Inventory",IFERROR(VLOOKUP($C129,Inventory!$B:$H,7,FALSE()),0),IF($E129="Non Inventory",IFERROR(VLOOKUP($C129,'Non Inventory'!$B:$H,7,FALSE()),0),IF($E129="Services",IFERROR(VLOOKUP($C129,Services!$B:$H,7,FALSE()),0),IF($E129="Patty Cash",IFERROR(VLOOKUP($C129,'Patty Cash'!$B:$H,7,FALSE()),0),0)))))</f>
        <v>7</v>
      </c>
      <c r="I129" s="213" t="s">
        <v>1395</v>
      </c>
      <c r="J129" s="214" t="s">
        <v>67</v>
      </c>
      <c r="K129" s="215" t="s">
        <v>1223</v>
      </c>
      <c r="L129" s="197" t="s">
        <v>1195</v>
      </c>
      <c r="M129" s="215" t="s">
        <v>1196</v>
      </c>
      <c r="N129" s="216">
        <f>IFERROR(IF($E129="Inventory",VLOOKUP($C129,Inventory!$B:$I,8,FALSE()),IF($E129="Non Inventory",VLOOKUP($C129,'Non Inventory'!$B:$I,8,FALSE()),IF($E129="Services",VLOOKUP($C129,Services!$B:$I,8,FALSE()),IF($E129="Patty Cash",VLOOKUP($C129,'Patty Cash'!$B:$J,8,FALSE()),0)))),0)</f>
        <v>330</v>
      </c>
      <c r="O129" s="217">
        <f t="shared" si="1"/>
        <v>990</v>
      </c>
    </row>
    <row r="130" spans="1:15" ht="23.1" customHeight="1">
      <c r="A130" s="206">
        <f>IF(AND($B130="",$C130=""),"",MAX($A$3:A129)+1)</f>
        <v>127</v>
      </c>
      <c r="B130" s="207">
        <v>46162</v>
      </c>
      <c r="C130" s="208">
        <v>6014</v>
      </c>
      <c r="D130" s="209" t="str">
        <f>IFERROR(IF($E130="Inventory",VLOOKUP($C130,Inventory!$B:$I,2,FALSE()),IF($E130="Non Inventory",VLOOKUP($C130,'Non Inventory'!$B:$I,2,FALSE()),IF($E130="Services",VLOOKUP($C130,Services!$B:$I,2,FALSE()),IF($E130="Patty Cash",VLOOKUP($C130,'Patty Cash'!$B:$J,2,FALSE()),"")))),"")</f>
        <v>Light Plug</v>
      </c>
      <c r="E130" s="246" t="s">
        <v>7</v>
      </c>
      <c r="F130" s="210" t="str">
        <f>IFERROR(IF($E130="Inventory",VLOOKUP($C130,Inventory!$B:$I,3,FALSE()),IF($E130="Non Inventory",VLOOKUP($C130,'Non Inventory'!$B:$I,3,FALSE()),IF($E130="Services",VLOOKUP($C130,Services!$B:$I,3,FALSE()),IF($E130="Patty Cash",VLOOKUP($C130,'Patty Cash'!$B:$J,3,FALSE()),"")))),"")</f>
        <v>NOS</v>
      </c>
      <c r="G130" s="211">
        <v>2</v>
      </c>
      <c r="H130" s="212">
        <f>IF($E130="","",IF($E130="Inventory",IFERROR(VLOOKUP($C130,Inventory!$B:$H,7,FALSE()),0),IF($E130="Non Inventory",IFERROR(VLOOKUP($C130,'Non Inventory'!$B:$H,7,FALSE()),0),IF($E130="Services",IFERROR(VLOOKUP($C130,Services!$B:$H,7,FALSE()),0),IF($E130="Patty Cash",IFERROR(VLOOKUP($C130,'Patty Cash'!$B:$H,7,FALSE()),0),0)))))</f>
        <v>9</v>
      </c>
      <c r="I130" s="213" t="s">
        <v>70</v>
      </c>
      <c r="J130" s="214" t="s">
        <v>67</v>
      </c>
      <c r="K130" s="215" t="s">
        <v>1209</v>
      </c>
      <c r="L130" s="197" t="s">
        <v>1195</v>
      </c>
      <c r="M130" s="215" t="s">
        <v>1207</v>
      </c>
      <c r="N130" s="216">
        <f>IFERROR(IF($E130="Inventory",VLOOKUP($C130,Inventory!$B:$I,8,FALSE()),IF($E130="Non Inventory",VLOOKUP($C130,'Non Inventory'!$B:$I,8,FALSE()),IF($E130="Services",VLOOKUP($C130,Services!$B:$I,8,FALSE()),IF($E130="Patty Cash",VLOOKUP($C130,'Patty Cash'!$B:$J,8,FALSE()),0)))),0)</f>
        <v>550</v>
      </c>
      <c r="O130" s="217">
        <f t="shared" si="1"/>
        <v>1100</v>
      </c>
    </row>
    <row r="131" spans="1:15" ht="23.1" customHeight="1">
      <c r="A131" s="206">
        <f>IF(AND($B131="",$C131=""),"",MAX($A$3:A130)+1)</f>
        <v>128</v>
      </c>
      <c r="B131" s="207">
        <v>46162</v>
      </c>
      <c r="C131" s="208">
        <v>15596</v>
      </c>
      <c r="D131" s="209" t="str">
        <f>IFERROR(IF($E131="Inventory",VLOOKUP($C131,Inventory!$B:$I,2,FALSE()),IF($E131="Non Inventory",VLOOKUP($C131,'Non Inventory'!$B:$I,2,FALSE()),IF($E131="Services",VLOOKUP($C131,Services!$B:$I,2,FALSE()),IF($E131="Patty Cash",VLOOKUP($C131,'Patty Cash'!$B:$J,2,FALSE()),"")))),"")</f>
        <v>Thermocouple K Type Size 3mm X 50mm</v>
      </c>
      <c r="E131" s="246" t="s">
        <v>6</v>
      </c>
      <c r="F131" s="210" t="str">
        <f>IFERROR(IF($E131="Inventory",VLOOKUP($C131,Inventory!$B:$I,3,FALSE()),IF($E131="Non Inventory",VLOOKUP($C131,'Non Inventory'!$B:$I,3,FALSE()),IF($E131="Services",VLOOKUP($C131,Services!$B:$I,3,FALSE()),IF($E131="Patty Cash",VLOOKUP($C131,'Patty Cash'!$B:$J,3,FALSE()),"")))),"")</f>
        <v>NOS</v>
      </c>
      <c r="G131" s="211">
        <v>2</v>
      </c>
      <c r="H131" s="212">
        <f>IF($E131="","",IF($E131="Inventory",IFERROR(VLOOKUP($C131,Inventory!$B:$H,7,FALSE()),0),IF($E131="Non Inventory",IFERROR(VLOOKUP($C131,'Non Inventory'!$B:$H,7,FALSE()),0),IF($E131="Services",IFERROR(VLOOKUP($C131,Services!$B:$H,7,FALSE()),0),IF($E131="Patty Cash",IFERROR(VLOOKUP($C131,'Patty Cash'!$B:$H,7,FALSE()),0),0)))))</f>
        <v>13</v>
      </c>
      <c r="I131" s="213" t="s">
        <v>44</v>
      </c>
      <c r="J131" s="214" t="s">
        <v>1224</v>
      </c>
      <c r="K131" s="215" t="s">
        <v>1206</v>
      </c>
      <c r="L131" s="197" t="s">
        <v>1195</v>
      </c>
      <c r="M131" s="215" t="s">
        <v>1207</v>
      </c>
      <c r="N131" s="216">
        <f>IFERROR(IF($E131="Inventory",VLOOKUP($C131,Inventory!$B:$I,8,FALSE()),IF($E131="Non Inventory",VLOOKUP($C131,'Non Inventory'!$B:$I,8,FALSE()),IF($E131="Services",VLOOKUP($C131,Services!$B:$I,8,FALSE()),IF($E131="Patty Cash",VLOOKUP($C131,'Patty Cash'!$B:$J,8,FALSE()),0)))),0)</f>
        <v>1500</v>
      </c>
      <c r="O131" s="217">
        <f t="shared" si="1"/>
        <v>3000</v>
      </c>
    </row>
    <row r="132" spans="1:15" ht="23.1" customHeight="1">
      <c r="A132" s="206">
        <f>IF(AND($B132="",$C132=""),"",MAX($A$3:A131)+1)</f>
        <v>129</v>
      </c>
      <c r="B132" s="207">
        <v>46163</v>
      </c>
      <c r="C132" s="208">
        <v>9194</v>
      </c>
      <c r="D132" s="209" t="str">
        <f>IFERROR(IF($E132="Inventory",VLOOKUP($C132,Inventory!$B:$I,2,FALSE()),IF($E132="Non Inventory",VLOOKUP($C132,'Non Inventory'!$B:$I,2,FALSE()),IF($E132="Services",VLOOKUP($C132,Services!$B:$I,2,FALSE()),IF($E132="Patty Cash",VLOOKUP($C132,'Patty Cash'!$B:$J,2,FALSE()),"")))),"")</f>
        <v>Contact Cleaner Dry 200ml</v>
      </c>
      <c r="E132" s="246" t="s">
        <v>7</v>
      </c>
      <c r="F132" s="210" t="str">
        <f>IFERROR(IF($E132="Inventory",VLOOKUP($C132,Inventory!$B:$I,3,FALSE()),IF($E132="Non Inventory",VLOOKUP($C132,'Non Inventory'!$B:$I,3,FALSE()),IF($E132="Services",VLOOKUP($C132,Services!$B:$I,3,FALSE()),IF($E132="Patty Cash",VLOOKUP($C132,'Patty Cash'!$B:$J,3,FALSE()),"")))),"")</f>
        <v>NOS</v>
      </c>
      <c r="G132" s="211">
        <v>1</v>
      </c>
      <c r="H132" s="212">
        <f>IF($E132="","",IF($E132="Inventory",IFERROR(VLOOKUP($C132,Inventory!$B:$H,7,FALSE()),0),IF($E132="Non Inventory",IFERROR(VLOOKUP($C132,'Non Inventory'!$B:$H,7,FALSE()),0),IF($E132="Services",IFERROR(VLOOKUP($C132,Services!$B:$H,7,FALSE()),0),IF($E132="Patty Cash",IFERROR(VLOOKUP($C132,'Patty Cash'!$B:$H,7,FALSE()),0),0)))))</f>
        <v>2</v>
      </c>
      <c r="I132" s="213" t="s">
        <v>44</v>
      </c>
      <c r="J132" s="214" t="s">
        <v>67</v>
      </c>
      <c r="K132" s="215" t="s">
        <v>1386</v>
      </c>
      <c r="L132" s="197" t="s">
        <v>1195</v>
      </c>
      <c r="M132" s="215" t="s">
        <v>1196</v>
      </c>
      <c r="N132" s="216">
        <f>IFERROR(IF($E132="Inventory",VLOOKUP($C132,Inventory!$B:$I,8,FALSE()),IF($E132="Non Inventory",VLOOKUP($C132,'Non Inventory'!$B:$I,8,FALSE()),IF($E132="Services",VLOOKUP($C132,Services!$B:$I,8,FALSE()),IF($E132="Patty Cash",VLOOKUP($C132,'Patty Cash'!$B:$J,8,FALSE()),0)))),0)</f>
        <v>450</v>
      </c>
      <c r="O132" s="217">
        <f t="shared" si="1"/>
        <v>450</v>
      </c>
    </row>
    <row r="133" spans="1:15" ht="23.1" customHeight="1">
      <c r="A133" s="206">
        <f>IF(AND($B133="",$C133=""),"",MAX($A$3:A132)+1)</f>
        <v>130</v>
      </c>
      <c r="B133" s="207">
        <v>46163</v>
      </c>
      <c r="C133" s="208">
        <v>7504</v>
      </c>
      <c r="D133" s="209" t="str">
        <f>IFERROR(IF($E133="Inventory",VLOOKUP($C133,Inventory!$B:$I,2,FALSE()),IF($E133="Non Inventory",VLOOKUP($C133,'Non Inventory'!$B:$I,2,FALSE()),IF($E133="Services",VLOOKUP($C133,Services!$B:$I,2,FALSE()),IF($E133="Patty Cash",VLOOKUP($C133,'Patty Cash'!$B:$J,2,FALSE()),"")))),"")</f>
        <v>Pneumatic Pipe Size 10mm</v>
      </c>
      <c r="E133" s="246" t="s">
        <v>7</v>
      </c>
      <c r="F133" s="210" t="str">
        <f>IFERROR(IF($E133="Inventory",VLOOKUP($C133,Inventory!$B:$I,3,FALSE()),IF($E133="Non Inventory",VLOOKUP($C133,'Non Inventory'!$B:$I,3,FALSE()),IF($E133="Services",VLOOKUP($C133,Services!$B:$I,3,FALSE()),IF($E133="Patty Cash",VLOOKUP($C133,'Patty Cash'!$B:$J,3,FALSE()),"")))),"")</f>
        <v>MTR</v>
      </c>
      <c r="G133" s="211">
        <v>1</v>
      </c>
      <c r="H133" s="212">
        <f>IF($E133="","",IF($E133="Inventory",IFERROR(VLOOKUP($C133,Inventory!$B:$H,7,FALSE()),0),IF($E133="Non Inventory",IFERROR(VLOOKUP($C133,'Non Inventory'!$B:$H,7,FALSE()),0),IF($E133="Services",IFERROR(VLOOKUP($C133,Services!$B:$H,7,FALSE()),0),IF($E133="Patty Cash",IFERROR(VLOOKUP($C133,'Patty Cash'!$B:$H,7,FALSE()),0),0)))))</f>
        <v>166</v>
      </c>
      <c r="I133" s="213" t="s">
        <v>59</v>
      </c>
      <c r="J133" s="214" t="s">
        <v>1397</v>
      </c>
      <c r="K133" s="215" t="s">
        <v>1194</v>
      </c>
      <c r="L133" s="197" t="s">
        <v>1195</v>
      </c>
      <c r="M133" s="215" t="s">
        <v>1196</v>
      </c>
      <c r="N133" s="216">
        <f>IFERROR(IF($E133="Inventory",VLOOKUP($C133,Inventory!$B:$I,8,FALSE()),IF($E133="Non Inventory",VLOOKUP($C133,'Non Inventory'!$B:$I,8,FALSE()),IF($E133="Services",VLOOKUP($C133,Services!$B:$I,8,FALSE()),IF($E133="Patty Cash",VLOOKUP($C133,'Patty Cash'!$B:$J,8,FALSE()),0)))),0)</f>
        <v>280</v>
      </c>
      <c r="O133" s="217">
        <f t="shared" ref="O133:O196" si="2">IF($G133="","",G133*N133)</f>
        <v>280</v>
      </c>
    </row>
    <row r="134" spans="1:15" ht="23.1" customHeight="1">
      <c r="A134" s="206">
        <f>IF(AND($B134="",$C134=""),"",MAX($A$3:A133)+1)</f>
        <v>131</v>
      </c>
      <c r="B134" s="207">
        <v>46163</v>
      </c>
      <c r="C134" s="208">
        <v>7504</v>
      </c>
      <c r="D134" s="209" t="str">
        <f>IFERROR(IF($E134="Inventory",VLOOKUP($C134,Inventory!$B:$I,2,FALSE()),IF($E134="Non Inventory",VLOOKUP($C134,'Non Inventory'!$B:$I,2,FALSE()),IF($E134="Services",VLOOKUP($C134,Services!$B:$I,2,FALSE()),IF($E134="Patty Cash",VLOOKUP($C134,'Patty Cash'!$B:$J,2,FALSE()),"")))),"")</f>
        <v>Pneumatic Pipe Size 10mm</v>
      </c>
      <c r="E134" s="246" t="s">
        <v>7</v>
      </c>
      <c r="F134" s="210" t="str">
        <f>IFERROR(IF($E134="Inventory",VLOOKUP($C134,Inventory!$B:$I,3,FALSE()),IF($E134="Non Inventory",VLOOKUP($C134,'Non Inventory'!$B:$I,3,FALSE()),IF($E134="Services",VLOOKUP($C134,Services!$B:$I,3,FALSE()),IF($E134="Patty Cash",VLOOKUP($C134,'Patty Cash'!$B:$J,3,FALSE()),"")))),"")</f>
        <v>MTR</v>
      </c>
      <c r="G134" s="211">
        <v>1</v>
      </c>
      <c r="H134" s="212">
        <f>IF($E134="","",IF($E134="Inventory",IFERROR(VLOOKUP($C134,Inventory!$B:$H,7,FALSE()),0),IF($E134="Non Inventory",IFERROR(VLOOKUP($C134,'Non Inventory'!$B:$H,7,FALSE()),0),IF($E134="Services",IFERROR(VLOOKUP($C134,Services!$B:$H,7,FALSE()),0),IF($E134="Patty Cash",IFERROR(VLOOKUP($C134,'Patty Cash'!$B:$H,7,FALSE()),0),0)))))</f>
        <v>166</v>
      </c>
      <c r="I134" s="213" t="s">
        <v>60</v>
      </c>
      <c r="J134" s="214" t="s">
        <v>1397</v>
      </c>
      <c r="K134" s="215" t="s">
        <v>1194</v>
      </c>
      <c r="L134" s="197" t="s">
        <v>1195</v>
      </c>
      <c r="M134" s="215" t="s">
        <v>1196</v>
      </c>
      <c r="N134" s="216">
        <f>IFERROR(IF($E134="Inventory",VLOOKUP($C134,Inventory!$B:$I,8,FALSE()),IF($E134="Non Inventory",VLOOKUP($C134,'Non Inventory'!$B:$I,8,FALSE()),IF($E134="Services",VLOOKUP($C134,Services!$B:$I,8,FALSE()),IF($E134="Patty Cash",VLOOKUP($C134,'Patty Cash'!$B:$J,8,FALSE()),0)))),0)</f>
        <v>280</v>
      </c>
      <c r="O134" s="217">
        <f t="shared" si="2"/>
        <v>280</v>
      </c>
    </row>
    <row r="135" spans="1:15" ht="23.1" customHeight="1">
      <c r="A135" s="206">
        <f>IF(AND($B135="",$C135=""),"",MAX($A$3:A134)+1)</f>
        <v>132</v>
      </c>
      <c r="B135" s="207">
        <v>46163</v>
      </c>
      <c r="C135" s="208">
        <v>17237</v>
      </c>
      <c r="D135" s="209" t="str">
        <f>IFERROR(IF($E135="Inventory",VLOOKUP($C135,Inventory!$B:$I,2,FALSE()),IF($E135="Non Inventory",VLOOKUP($C135,'Non Inventory'!$B:$I,2,FALSE()),IF($E135="Services",VLOOKUP($C135,Services!$B:$I,2,FALSE()),IF($E135="Patty Cash",VLOOKUP($C135,'Patty Cash'!$B:$J,2,FALSE()),"")))),"")</f>
        <v>Film Puling Belt Size Dia=292mm W=38mm T=6mm (Material NBR)For Ishida Packing Machine</v>
      </c>
      <c r="E135" s="246" t="s">
        <v>6</v>
      </c>
      <c r="F135" s="210" t="str">
        <f>IFERROR(IF($E135="Inventory",VLOOKUP($C135,Inventory!$B:$I,3,FALSE()),IF($E135="Non Inventory",VLOOKUP($C135,'Non Inventory'!$B:$I,3,FALSE()),IF($E135="Services",VLOOKUP($C135,Services!$B:$I,3,FALSE()),IF($E135="Patty Cash",VLOOKUP($C135,'Patty Cash'!$B:$J,3,FALSE()),"")))),"")</f>
        <v>NOS</v>
      </c>
      <c r="G135" s="211">
        <v>1</v>
      </c>
      <c r="H135" s="212">
        <f>IF($E135="","",IF($E135="Inventory",IFERROR(VLOOKUP($C135,Inventory!$B:$H,7,FALSE()),0),IF($E135="Non Inventory",IFERROR(VLOOKUP($C135,'Non Inventory'!$B:$H,7,FALSE()),0),IF($E135="Services",IFERROR(VLOOKUP($C135,Services!$B:$H,7,FALSE()),0),IF($E135="Patty Cash",IFERROR(VLOOKUP($C135,'Patty Cash'!$B:$H,7,FALSE()),0),0)))))</f>
        <v>8</v>
      </c>
      <c r="I135" s="213" t="s">
        <v>52</v>
      </c>
      <c r="J135" s="214" t="s">
        <v>1242</v>
      </c>
      <c r="K135" s="215" t="s">
        <v>1217</v>
      </c>
      <c r="L135" s="197" t="s">
        <v>1195</v>
      </c>
      <c r="M135" s="215" t="s">
        <v>1196</v>
      </c>
      <c r="N135" s="216">
        <f>IFERROR(IF($E135="Inventory",VLOOKUP($C135,Inventory!$B:$I,8,FALSE()),IF($E135="Non Inventory",VLOOKUP($C135,'Non Inventory'!$B:$I,8,FALSE()),IF($E135="Services",VLOOKUP($C135,Services!$B:$I,8,FALSE()),IF($E135="Patty Cash",VLOOKUP($C135,'Patty Cash'!$B:$J,8,FALSE()),0)))),0)</f>
        <v>9000</v>
      </c>
      <c r="O135" s="217">
        <f t="shared" si="2"/>
        <v>9000</v>
      </c>
    </row>
    <row r="136" spans="1:15" ht="23.1" customHeight="1">
      <c r="A136" s="206">
        <f>IF(AND($B136="",$C136=""),"",MAX($A$3:A135)+1)</f>
        <v>133</v>
      </c>
      <c r="B136" s="207">
        <v>46163</v>
      </c>
      <c r="C136" s="208">
        <v>5539</v>
      </c>
      <c r="D136" s="209" t="str">
        <f>IFERROR(IF($E136="Inventory",VLOOKUP($C136,Inventory!$B:$I,2,FALSE()),IF($E136="Non Inventory",VLOOKUP($C136,'Non Inventory'!$B:$I,2,FALSE()),IF($E136="Services",VLOOKUP($C136,Services!$B:$I,2,FALSE()),IF($E136="Patty Cash",VLOOKUP($C136,'Patty Cash'!$B:$J,2,FALSE()),"")))),"")</f>
        <v>PNEUMATIC EQUAL TEE SIZE 6MM</v>
      </c>
      <c r="E136" s="246" t="s">
        <v>7</v>
      </c>
      <c r="F136" s="210" t="str">
        <f>IFERROR(IF($E136="Inventory",VLOOKUP($C136,Inventory!$B:$I,3,FALSE()),IF($E136="Non Inventory",VLOOKUP($C136,'Non Inventory'!$B:$I,3,FALSE()),IF($E136="Services",VLOOKUP($C136,Services!$B:$I,3,FALSE()),IF($E136="Patty Cash",VLOOKUP($C136,'Patty Cash'!$B:$J,3,FALSE()),"")))),"")</f>
        <v>NOS</v>
      </c>
      <c r="G136" s="211">
        <v>1</v>
      </c>
      <c r="H136" s="212">
        <f>IF($E136="","",IF($E136="Inventory",IFERROR(VLOOKUP($C136,Inventory!$B:$H,7,FALSE()),0),IF($E136="Non Inventory",IFERROR(VLOOKUP($C136,'Non Inventory'!$B:$H,7,FALSE()),0),IF($E136="Services",IFERROR(VLOOKUP($C136,Services!$B:$H,7,FALSE()),0),IF($E136="Patty Cash",IFERROR(VLOOKUP($C136,'Patty Cash'!$B:$H,7,FALSE()),0),0)))))</f>
        <v>6</v>
      </c>
      <c r="I136" s="213" t="s">
        <v>61</v>
      </c>
      <c r="J136" s="214" t="s">
        <v>1397</v>
      </c>
      <c r="K136" s="215" t="s">
        <v>1194</v>
      </c>
      <c r="L136" s="197" t="s">
        <v>1195</v>
      </c>
      <c r="M136" s="215" t="s">
        <v>1196</v>
      </c>
      <c r="N136" s="216">
        <f>IFERROR(IF($E136="Inventory",VLOOKUP($C136,Inventory!$B:$I,8,FALSE()),IF($E136="Non Inventory",VLOOKUP($C136,'Non Inventory'!$B:$I,8,FALSE()),IF($E136="Services",VLOOKUP($C136,Services!$B:$I,8,FALSE()),IF($E136="Patty Cash",VLOOKUP($C136,'Patty Cash'!$B:$J,8,FALSE()),0)))),0)</f>
        <v>225</v>
      </c>
      <c r="O136" s="217">
        <f t="shared" si="2"/>
        <v>225</v>
      </c>
    </row>
    <row r="137" spans="1:15" ht="23.1" customHeight="1">
      <c r="A137" s="206">
        <f>IF(AND($B137="",$C137=""),"",MAX($A$3:A136)+1)</f>
        <v>134</v>
      </c>
      <c r="B137" s="207">
        <v>46163</v>
      </c>
      <c r="C137" s="208">
        <v>2703</v>
      </c>
      <c r="D137" s="209" t="str">
        <f>IFERROR(IF($E137="Inventory",VLOOKUP($C137,Inventory!$B:$I,2,FALSE()),IF($E137="Non Inventory",VLOOKUP($C137,'Non Inventory'!$B:$I,2,FALSE()),IF($E137="Services",VLOOKUP($C137,Services!$B:$I,2,FALSE()),IF($E137="Patty Cash",VLOOKUP($C137,'Patty Cash'!$B:$J,2,FALSE()),"")))),"")</f>
        <v>PROX.SWITCH MAGNETIC TRIA 012-8505-07 (E2E-X1C1) OMRON</v>
      </c>
      <c r="E137" s="246" t="s">
        <v>6</v>
      </c>
      <c r="F137" s="210" t="str">
        <f>IFERROR(IF($E137="Inventory",VLOOKUP($C137,Inventory!$B:$I,3,FALSE()),IF($E137="Non Inventory",VLOOKUP($C137,'Non Inventory'!$B:$I,3,FALSE()),IF($E137="Services",VLOOKUP($C137,Services!$B:$I,3,FALSE()),IF($E137="Patty Cash",VLOOKUP($C137,'Patty Cash'!$B:$J,3,FALSE()),"")))),"")</f>
        <v>PCS</v>
      </c>
      <c r="G137" s="211">
        <v>1</v>
      </c>
      <c r="H137" s="212">
        <f>IF($E137="","",IF($E137="Inventory",IFERROR(VLOOKUP($C137,Inventory!$B:$H,7,FALSE()),0),IF($E137="Non Inventory",IFERROR(VLOOKUP($C137,'Non Inventory'!$B:$H,7,FALSE()),0),IF($E137="Services",IFERROR(VLOOKUP($C137,Services!$B:$H,7,FALSE()),0),IF($E137="Patty Cash",IFERROR(VLOOKUP($C137,'Patty Cash'!$B:$H,7,FALSE()),0),0)))))</f>
        <v>2</v>
      </c>
      <c r="I137" s="213" t="s">
        <v>44</v>
      </c>
      <c r="J137" s="214" t="s">
        <v>67</v>
      </c>
      <c r="K137" s="215" t="s">
        <v>1210</v>
      </c>
      <c r="L137" s="197" t="s">
        <v>1204</v>
      </c>
      <c r="M137" s="215" t="s">
        <v>1207</v>
      </c>
      <c r="N137" s="216">
        <f>IFERROR(IF($E137="Inventory",VLOOKUP($C137,Inventory!$B:$I,8,FALSE()),IF($E137="Non Inventory",VLOOKUP($C137,'Non Inventory'!$B:$I,8,FALSE()),IF($E137="Services",VLOOKUP($C137,Services!$B:$I,8,FALSE()),IF($E137="Patty Cash",VLOOKUP($C137,'Patty Cash'!$B:$J,8,FALSE()),0)))),0)</f>
        <v>3850</v>
      </c>
      <c r="O137" s="217">
        <f t="shared" si="2"/>
        <v>3850</v>
      </c>
    </row>
    <row r="138" spans="1:15" ht="23.1" customHeight="1">
      <c r="A138" s="206">
        <f>IF(AND($B138="",$C138=""),"",MAX($A$3:A137)+1)</f>
        <v>135</v>
      </c>
      <c r="B138" s="207">
        <v>46163</v>
      </c>
      <c r="C138" s="208">
        <v>15596</v>
      </c>
      <c r="D138" s="209" t="str">
        <f>IFERROR(IF($E138="Inventory",VLOOKUP($C138,Inventory!$B:$I,2,FALSE()),IF($E138="Non Inventory",VLOOKUP($C138,'Non Inventory'!$B:$I,2,FALSE()),IF($E138="Services",VLOOKUP($C138,Services!$B:$I,2,FALSE()),IF($E138="Patty Cash",VLOOKUP($C138,'Patty Cash'!$B:$J,2,FALSE()),"")))),"")</f>
        <v>Thermocouple K Type Size 3mm X 50mm</v>
      </c>
      <c r="E138" s="246" t="s">
        <v>6</v>
      </c>
      <c r="F138" s="210" t="str">
        <f>IFERROR(IF($E138="Inventory",VLOOKUP($C138,Inventory!$B:$I,3,FALSE()),IF($E138="Non Inventory",VLOOKUP($C138,'Non Inventory'!$B:$I,3,FALSE()),IF($E138="Services",VLOOKUP($C138,Services!$B:$I,3,FALSE()),IF($E138="Patty Cash",VLOOKUP($C138,'Patty Cash'!$B:$J,3,FALSE()),"")))),"")</f>
        <v>NOS</v>
      </c>
      <c r="G138" s="211">
        <v>1</v>
      </c>
      <c r="H138" s="212">
        <f>IF($E138="","",IF($E138="Inventory",IFERROR(VLOOKUP($C138,Inventory!$B:$H,7,FALSE()),0),IF($E138="Non Inventory",IFERROR(VLOOKUP($C138,'Non Inventory'!$B:$H,7,FALSE()),0),IF($E138="Services",IFERROR(VLOOKUP($C138,Services!$B:$H,7,FALSE()),0),IF($E138="Patty Cash",IFERROR(VLOOKUP($C138,'Patty Cash'!$B:$H,7,FALSE()),0),0)))))</f>
        <v>13</v>
      </c>
      <c r="I138" s="213" t="s">
        <v>44</v>
      </c>
      <c r="J138" s="214" t="s">
        <v>67</v>
      </c>
      <c r="K138" s="215" t="s">
        <v>1210</v>
      </c>
      <c r="L138" s="197" t="s">
        <v>1204</v>
      </c>
      <c r="M138" s="215" t="s">
        <v>1207</v>
      </c>
      <c r="N138" s="216">
        <f>IFERROR(IF($E138="Inventory",VLOOKUP($C138,Inventory!$B:$I,8,FALSE()),IF($E138="Non Inventory",VLOOKUP($C138,'Non Inventory'!$B:$I,8,FALSE()),IF($E138="Services",VLOOKUP($C138,Services!$B:$I,8,FALSE()),IF($E138="Patty Cash",VLOOKUP($C138,'Patty Cash'!$B:$J,8,FALSE()),0)))),0)</f>
        <v>1500</v>
      </c>
      <c r="O138" s="217">
        <f t="shared" si="2"/>
        <v>1500</v>
      </c>
    </row>
    <row r="139" spans="1:15" ht="23.1" customHeight="1">
      <c r="A139" s="206">
        <f>IF(AND($B139="",$C139=""),"",MAX($A$3:A138)+1)</f>
        <v>136</v>
      </c>
      <c r="B139" s="207">
        <v>46163</v>
      </c>
      <c r="C139" s="208">
        <v>10952</v>
      </c>
      <c r="D139" s="209" t="str">
        <f>IFERROR(IF($E139="Inventory",VLOOKUP($C139,Inventory!$B:$I,2,FALSE()),IF($E139="Non Inventory",VLOOKUP($C139,'Non Inventory'!$B:$I,2,FALSE()),IF($E139="Services",VLOOKUP($C139,Services!$B:$I,2,FALSE()),IF($E139="Patty Cash",VLOOKUP($C139,'Patty Cash'!$B:$J,2,FALSE()),"")))),"")</f>
        <v>Cutting Knife Size L=246mm, W=66mm, T=0.8mm (Tecalit Plant)</v>
      </c>
      <c r="E139" s="246" t="s">
        <v>7</v>
      </c>
      <c r="F139" s="210" t="str">
        <f>IFERROR(IF($E139="Inventory",VLOOKUP($C139,Inventory!$B:$I,3,FALSE()),IF($E139="Non Inventory",VLOOKUP($C139,'Non Inventory'!$B:$I,3,FALSE()),IF($E139="Services",VLOOKUP($C139,Services!$B:$I,3,FALSE()),IF($E139="Patty Cash",VLOOKUP($C139,'Patty Cash'!$B:$J,3,FALSE()),"")))),"")</f>
        <v>NOS</v>
      </c>
      <c r="G139" s="211">
        <v>1</v>
      </c>
      <c r="H139" s="212">
        <f>IF($E139="","",IF($E139="Inventory",IFERROR(VLOOKUP($C139,Inventory!$B:$H,7,FALSE()),0),IF($E139="Non Inventory",IFERROR(VLOOKUP($C139,'Non Inventory'!$B:$H,7,FALSE()),0),IF($E139="Services",IFERROR(VLOOKUP($C139,Services!$B:$H,7,FALSE()),0),IF($E139="Patty Cash",IFERROR(VLOOKUP($C139,'Patty Cash'!$B:$H,7,FALSE()),0),0)))))</f>
        <v>5</v>
      </c>
      <c r="I139" s="213" t="s">
        <v>58</v>
      </c>
      <c r="J139" s="214" t="s">
        <v>67</v>
      </c>
      <c r="K139" s="215" t="s">
        <v>1197</v>
      </c>
      <c r="L139" s="197" t="s">
        <v>1204</v>
      </c>
      <c r="M139" s="215" t="s">
        <v>1196</v>
      </c>
      <c r="N139" s="216">
        <f>IFERROR(IF($E139="Inventory",VLOOKUP($C139,Inventory!$B:$I,8,FALSE()),IF($E139="Non Inventory",VLOOKUP($C139,'Non Inventory'!$B:$I,8,FALSE()),IF($E139="Services",VLOOKUP($C139,Services!$B:$I,8,FALSE()),IF($E139="Patty Cash",VLOOKUP($C139,'Patty Cash'!$B:$J,8,FALSE()),0)))),0)</f>
        <v>1150</v>
      </c>
      <c r="O139" s="217">
        <f t="shared" si="2"/>
        <v>1150</v>
      </c>
    </row>
    <row r="140" spans="1:15" ht="23.1" customHeight="1">
      <c r="A140" s="206">
        <f>IF(AND($B140="",$C140=""),"",MAX($A$3:A139)+1)</f>
        <v>137</v>
      </c>
      <c r="B140" s="207">
        <v>46163</v>
      </c>
      <c r="C140" s="208">
        <v>7056</v>
      </c>
      <c r="D140" s="209" t="str">
        <f>IFERROR(IF($E140="Inventory",VLOOKUP($C140,Inventory!$B:$I,2,FALSE()),IF($E140="Non Inventory",VLOOKUP($C140,'Non Inventory'!$B:$I,2,FALSE()),IF($E140="Services",VLOOKUP($C140,Services!$B:$I,2,FALSE()),IF($E140="Patty Cash",VLOOKUP($C140,'Patty Cash'!$B:$J,2,FALSE()),"")))),"")</f>
        <v>V-BELT B-50</v>
      </c>
      <c r="E140" s="246" t="s">
        <v>7</v>
      </c>
      <c r="F140" s="210" t="str">
        <f>IFERROR(IF($E140="Inventory",VLOOKUP($C140,Inventory!$B:$I,3,FALSE()),IF($E140="Non Inventory",VLOOKUP($C140,'Non Inventory'!$B:$I,3,FALSE()),IF($E140="Services",VLOOKUP($C140,Services!$B:$I,3,FALSE()),IF($E140="Patty Cash",VLOOKUP($C140,'Patty Cash'!$B:$J,3,FALSE()),"")))),"")</f>
        <v>NOS</v>
      </c>
      <c r="G140" s="211">
        <v>1</v>
      </c>
      <c r="H140" s="212">
        <f>IF($E140="","",IF($E140="Inventory",IFERROR(VLOOKUP($C140,Inventory!$B:$H,7,FALSE()),0),IF($E140="Non Inventory",IFERROR(VLOOKUP($C140,'Non Inventory'!$B:$H,7,FALSE()),0),IF($E140="Services",IFERROR(VLOOKUP($C140,Services!$B:$H,7,FALSE()),0),IF($E140="Patty Cash",IFERROR(VLOOKUP($C140,'Patty Cash'!$B:$H,7,FALSE()),0),0)))))</f>
        <v>12</v>
      </c>
      <c r="I140" s="213" t="s">
        <v>55</v>
      </c>
      <c r="J140" s="214" t="s">
        <v>67</v>
      </c>
      <c r="K140" s="215" t="s">
        <v>1214</v>
      </c>
      <c r="L140" s="197" t="s">
        <v>1204</v>
      </c>
      <c r="M140" s="215" t="s">
        <v>1196</v>
      </c>
      <c r="N140" s="216">
        <f>IFERROR(IF($E140="Inventory",VLOOKUP($C140,Inventory!$B:$I,8,FALSE()),IF($E140="Non Inventory",VLOOKUP($C140,'Non Inventory'!$B:$I,8,FALSE()),IF($E140="Services",VLOOKUP($C140,Services!$B:$I,8,FALSE()),IF($E140="Patty Cash",VLOOKUP($C140,'Patty Cash'!$B:$J,8,FALSE()),0)))),0)</f>
        <v>380</v>
      </c>
      <c r="O140" s="217">
        <f t="shared" si="2"/>
        <v>380</v>
      </c>
    </row>
    <row r="141" spans="1:15" ht="23.1" customHeight="1">
      <c r="A141" s="206">
        <f>IF(AND($B141="",$C141=""),"",MAX($A$3:A140)+1)</f>
        <v>138</v>
      </c>
      <c r="B141" s="207">
        <v>46164</v>
      </c>
      <c r="C141" s="208">
        <v>11156</v>
      </c>
      <c r="D141" s="209" t="str">
        <f>IFERROR(IF($E141="Inventory",VLOOKUP($C141,Inventory!$B:$I,2,FALSE()),IF($E141="Non Inventory",VLOOKUP($C141,'Non Inventory'!$B:$I,2,FALSE()),IF($E141="Services",VLOOKUP($C141,Services!$B:$I,2,FALSE()),IF($E141="Patty Cash",VLOOKUP($C141,'Patty Cash'!$B:$J,2,FALSE()),"")))),"")</f>
        <v>Cutting Disc Size 9" x 2mm</v>
      </c>
      <c r="E141" s="246" t="s">
        <v>7</v>
      </c>
      <c r="F141" s="210" t="str">
        <f>IFERROR(IF($E141="Inventory",VLOOKUP($C141,Inventory!$B:$I,3,FALSE()),IF($E141="Non Inventory",VLOOKUP($C141,'Non Inventory'!$B:$I,3,FALSE()),IF($E141="Services",VLOOKUP($C141,Services!$B:$I,3,FALSE()),IF($E141="Patty Cash",VLOOKUP($C141,'Patty Cash'!$B:$J,3,FALSE()),"")))),"")</f>
        <v>NOS</v>
      </c>
      <c r="G141" s="211">
        <v>1</v>
      </c>
      <c r="H141" s="212">
        <f>IF($E141="","",IF($E141="Inventory",IFERROR(VLOOKUP($C141,Inventory!$B:$H,7,FALSE()),0),IF($E141="Non Inventory",IFERROR(VLOOKUP($C141,'Non Inventory'!$B:$H,7,FALSE()),0),IF($E141="Services",IFERROR(VLOOKUP($C141,Services!$B:$H,7,FALSE()),0),IF($E141="Patty Cash",IFERROR(VLOOKUP($C141,'Patty Cash'!$B:$H,7,FALSE()),0),0)))))</f>
        <v>1</v>
      </c>
      <c r="I141" s="213" t="s">
        <v>1222</v>
      </c>
      <c r="J141" s="214" t="s">
        <v>67</v>
      </c>
      <c r="K141" s="215" t="s">
        <v>1199</v>
      </c>
      <c r="L141" s="197" t="s">
        <v>1195</v>
      </c>
      <c r="M141" s="215" t="s">
        <v>1196</v>
      </c>
      <c r="N141" s="216">
        <f>IFERROR(IF($E141="Inventory",VLOOKUP($C141,Inventory!$B:$I,8,FALSE()),IF($E141="Non Inventory",VLOOKUP($C141,'Non Inventory'!$B:$I,8,FALSE()),IF($E141="Services",VLOOKUP($C141,Services!$B:$I,8,FALSE()),IF($E141="Patty Cash",VLOOKUP($C141,'Patty Cash'!$B:$J,8,FALSE()),0)))),0)</f>
        <v>850</v>
      </c>
      <c r="O141" s="217">
        <f t="shared" si="2"/>
        <v>850</v>
      </c>
    </row>
    <row r="142" spans="1:15" ht="23.1" customHeight="1">
      <c r="A142" s="206">
        <f>IF(AND($B142="",$C142=""),"",MAX($A$3:A141)+1)</f>
        <v>139</v>
      </c>
      <c r="B142" s="207">
        <v>46164</v>
      </c>
      <c r="C142" s="208">
        <v>4780</v>
      </c>
      <c r="D142" s="209" t="str">
        <f>IFERROR(IF($E142="Inventory",VLOOKUP($C142,Inventory!$B:$I,2,FALSE()),IF($E142="Non Inventory",VLOOKUP($C142,'Non Inventory'!$B:$I,2,FALSE()),IF($E142="Services",VLOOKUP($C142,Services!$B:$I,2,FALSE()),IF($E142="Patty Cash",VLOOKUP($C142,'Patty Cash'!$B:$J,2,FALSE()),"")))),"")</f>
        <v>Cutting Disc 125 mmX1.0 mmx22.3, Grade 74A30TIIBF1367 to EN 12413,12200 rpm.</v>
      </c>
      <c r="E142" s="246" t="s">
        <v>7</v>
      </c>
      <c r="F142" s="210" t="str">
        <f>IFERROR(IF($E142="Inventory",VLOOKUP($C142,Inventory!$B:$I,3,FALSE()),IF($E142="Non Inventory",VLOOKUP($C142,'Non Inventory'!$B:$I,3,FALSE()),IF($E142="Services",VLOOKUP($C142,Services!$B:$I,3,FALSE()),IF($E142="Patty Cash",VLOOKUP($C142,'Patty Cash'!$B:$J,3,FALSE()),"")))),"")</f>
        <v>NOS</v>
      </c>
      <c r="G142" s="211">
        <v>1</v>
      </c>
      <c r="H142" s="212">
        <f>IF($E142="","",IF($E142="Inventory",IFERROR(VLOOKUP($C142,Inventory!$B:$H,7,FALSE()),0),IF($E142="Non Inventory",IFERROR(VLOOKUP($C142,'Non Inventory'!$B:$H,7,FALSE()),0),IF($E142="Services",IFERROR(VLOOKUP($C142,Services!$B:$H,7,FALSE()),0),IF($E142="Patty Cash",IFERROR(VLOOKUP($C142,'Patty Cash'!$B:$H,7,FALSE()),0),0)))))</f>
        <v>35</v>
      </c>
      <c r="I142" s="213" t="s">
        <v>1222</v>
      </c>
      <c r="J142" s="214" t="s">
        <v>67</v>
      </c>
      <c r="K142" s="215" t="s">
        <v>1199</v>
      </c>
      <c r="L142" s="197" t="s">
        <v>1195</v>
      </c>
      <c r="M142" s="215" t="s">
        <v>1196</v>
      </c>
      <c r="N142" s="216">
        <f>IFERROR(IF($E142="Inventory",VLOOKUP($C142,Inventory!$B:$I,8,FALSE()),IF($E142="Non Inventory",VLOOKUP($C142,'Non Inventory'!$B:$I,8,FALSE()),IF($E142="Services",VLOOKUP($C142,Services!$B:$I,8,FALSE()),IF($E142="Patty Cash",VLOOKUP($C142,'Patty Cash'!$B:$J,8,FALSE()),0)))),0)</f>
        <v>180</v>
      </c>
      <c r="O142" s="217">
        <f t="shared" si="2"/>
        <v>180</v>
      </c>
    </row>
    <row r="143" spans="1:15" ht="23.1" customHeight="1">
      <c r="A143" s="206">
        <f>IF(AND($B143="",$C143=""),"",MAX($A$3:A142)+1)</f>
        <v>140</v>
      </c>
      <c r="B143" s="207">
        <v>46164</v>
      </c>
      <c r="C143" s="208">
        <v>6212</v>
      </c>
      <c r="D143" s="209" t="str">
        <f>IFERROR(IF($E143="Inventory",VLOOKUP($C143,Inventory!$B:$I,2,FALSE()),IF($E143="Non Inventory",VLOOKUP($C143,'Non Inventory'!$B:$I,2,FALSE()),IF($E143="Services",VLOOKUP($C143,Services!$B:$I,2,FALSE()),IF($E143="Patty Cash",VLOOKUP($C143,'Patty Cash'!$B:$J,2,FALSE()),"")))),"")</f>
        <v>Welding Electrode ( carbon steel) No 10 (3.2 mm) AWS 6013</v>
      </c>
      <c r="E143" s="246" t="s">
        <v>7</v>
      </c>
      <c r="F143" s="210" t="str">
        <f>IFERROR(IF($E143="Inventory",VLOOKUP($C143,Inventory!$B:$I,3,FALSE()),IF($E143="Non Inventory",VLOOKUP($C143,'Non Inventory'!$B:$I,3,FALSE()),IF($E143="Services",VLOOKUP($C143,Services!$B:$I,3,FALSE()),IF($E143="Patty Cash",VLOOKUP($C143,'Patty Cash'!$B:$J,3,FALSE()),"")))),"")</f>
        <v>PAK</v>
      </c>
      <c r="G143" s="211">
        <v>2.5</v>
      </c>
      <c r="H143" s="212">
        <f>IF($E143="","",IF($E143="Inventory",IFERROR(VLOOKUP($C143,Inventory!$B:$H,7,FALSE()),0),IF($E143="Non Inventory",IFERROR(VLOOKUP($C143,'Non Inventory'!$B:$H,7,FALSE()),0),IF($E143="Services",IFERROR(VLOOKUP($C143,Services!$B:$H,7,FALSE()),0),IF($E143="Patty Cash",IFERROR(VLOOKUP($C143,'Patty Cash'!$B:$H,7,FALSE()),0),0)))))</f>
        <v>2</v>
      </c>
      <c r="I143" s="213" t="s">
        <v>1222</v>
      </c>
      <c r="J143" s="214" t="s">
        <v>67</v>
      </c>
      <c r="K143" s="215" t="s">
        <v>1199</v>
      </c>
      <c r="L143" s="197" t="s">
        <v>1195</v>
      </c>
      <c r="M143" s="215" t="s">
        <v>1196</v>
      </c>
      <c r="N143" s="216">
        <f>IFERROR(IF($E143="Inventory",VLOOKUP($C143,Inventory!$B:$I,8,FALSE()),IF($E143="Non Inventory",VLOOKUP($C143,'Non Inventory'!$B:$I,8,FALSE()),IF($E143="Services",VLOOKUP($C143,Services!$B:$I,8,FALSE()),IF($E143="Patty Cash",VLOOKUP($C143,'Patty Cash'!$B:$J,8,FALSE()),0)))),0)</f>
        <v>4850</v>
      </c>
      <c r="O143" s="217">
        <f t="shared" si="2"/>
        <v>12125</v>
      </c>
    </row>
    <row r="144" spans="1:15" ht="23.1" customHeight="1">
      <c r="A144" s="206">
        <f>IF(AND($B144="",$C144=""),"",MAX($A$3:A143)+1)</f>
        <v>141</v>
      </c>
      <c r="B144" s="207">
        <v>46164</v>
      </c>
      <c r="C144" s="208">
        <v>10142</v>
      </c>
      <c r="D144" s="209" t="str">
        <f>IFERROR(IF($E144="Inventory",VLOOKUP($C144,Inventory!$B:$I,2,FALSE()),IF($E144="Non Inventory",VLOOKUP($C144,'Non Inventory'!$B:$I,2,FALSE()),IF($E144="Services",VLOOKUP($C144,Services!$B:$I,2,FALSE()),IF($E144="Patty Cash",VLOOKUP($C144,'Patty Cash'!$B:$J,2,FALSE()),"")))),"")</f>
        <v>Panel Fan 220 Valt Size 4"</v>
      </c>
      <c r="E144" s="246" t="s">
        <v>7</v>
      </c>
      <c r="F144" s="210" t="str">
        <f>IFERROR(IF($E144="Inventory",VLOOKUP($C144,Inventory!$B:$I,3,FALSE()),IF($E144="Non Inventory",VLOOKUP($C144,'Non Inventory'!$B:$I,3,FALSE()),IF($E144="Services",VLOOKUP($C144,Services!$B:$I,3,FALSE()),IF($E144="Patty Cash",VLOOKUP($C144,'Patty Cash'!$B:$J,3,FALSE()),"")))),"")</f>
        <v>NOS</v>
      </c>
      <c r="G144" s="211">
        <v>1</v>
      </c>
      <c r="H144" s="212">
        <f>IF($E144="","",IF($E144="Inventory",IFERROR(VLOOKUP($C144,Inventory!$B:$H,7,FALSE()),0),IF($E144="Non Inventory",IFERROR(VLOOKUP($C144,'Non Inventory'!$B:$H,7,FALSE()),0),IF($E144="Services",IFERROR(VLOOKUP($C144,Services!$B:$H,7,FALSE()),0),IF($E144="Patty Cash",IFERROR(VLOOKUP($C144,'Patty Cash'!$B:$H,7,FALSE()),0),0)))))</f>
        <v>6</v>
      </c>
      <c r="I144" s="213" t="s">
        <v>48</v>
      </c>
      <c r="J144" s="214" t="s">
        <v>67</v>
      </c>
      <c r="K144" s="215" t="s">
        <v>1209</v>
      </c>
      <c r="L144" s="197" t="s">
        <v>1195</v>
      </c>
      <c r="M144" s="215" t="s">
        <v>1207</v>
      </c>
      <c r="N144" s="216">
        <f>IFERROR(IF($E144="Inventory",VLOOKUP($C144,Inventory!$B:$I,8,FALSE()),IF($E144="Non Inventory",VLOOKUP($C144,'Non Inventory'!$B:$I,8,FALSE()),IF($E144="Services",VLOOKUP($C144,Services!$B:$I,8,FALSE()),IF($E144="Patty Cash",VLOOKUP($C144,'Patty Cash'!$B:$J,8,FALSE()),0)))),0)</f>
        <v>1200</v>
      </c>
      <c r="O144" s="217">
        <f t="shared" si="2"/>
        <v>1200</v>
      </c>
    </row>
    <row r="145" spans="1:15" ht="23.1" customHeight="1">
      <c r="A145" s="206">
        <f>IF(AND($B145="",$C145=""),"",MAX($A$3:A144)+1)</f>
        <v>142</v>
      </c>
      <c r="B145" s="207">
        <v>46164</v>
      </c>
      <c r="C145" s="208">
        <v>10142</v>
      </c>
      <c r="D145" s="209" t="str">
        <f>IFERROR(IF($E145="Inventory",VLOOKUP($C145,Inventory!$B:$I,2,FALSE()),IF($E145="Non Inventory",VLOOKUP($C145,'Non Inventory'!$B:$I,2,FALSE()),IF($E145="Services",VLOOKUP($C145,Services!$B:$I,2,FALSE()),IF($E145="Patty Cash",VLOOKUP($C145,'Patty Cash'!$B:$J,2,FALSE()),"")))),"")</f>
        <v>Panel Fan 220 Valt Size 4"</v>
      </c>
      <c r="E145" s="246" t="s">
        <v>7</v>
      </c>
      <c r="F145" s="210" t="str">
        <f>IFERROR(IF($E145="Inventory",VLOOKUP($C145,Inventory!$B:$I,3,FALSE()),IF($E145="Non Inventory",VLOOKUP($C145,'Non Inventory'!$B:$I,3,FALSE()),IF($E145="Services",VLOOKUP($C145,Services!$B:$I,3,FALSE()),IF($E145="Patty Cash",VLOOKUP($C145,'Patty Cash'!$B:$J,3,FALSE()),"")))),"")</f>
        <v>NOS</v>
      </c>
      <c r="G145" s="211">
        <v>1</v>
      </c>
      <c r="H145" s="212">
        <f>IF($E145="","",IF($E145="Inventory",IFERROR(VLOOKUP($C145,Inventory!$B:$H,7,FALSE()),0),IF($E145="Non Inventory",IFERROR(VLOOKUP($C145,'Non Inventory'!$B:$H,7,FALSE()),0),IF($E145="Services",IFERROR(VLOOKUP($C145,Services!$B:$H,7,FALSE()),0),IF($E145="Patty Cash",IFERROR(VLOOKUP($C145,'Patty Cash'!$B:$H,7,FALSE()),0),0)))))</f>
        <v>6</v>
      </c>
      <c r="I145" s="213" t="s">
        <v>45</v>
      </c>
      <c r="J145" s="214" t="s">
        <v>67</v>
      </c>
      <c r="K145" s="215" t="s">
        <v>1209</v>
      </c>
      <c r="L145" s="197" t="s">
        <v>1195</v>
      </c>
      <c r="M145" s="215" t="s">
        <v>1207</v>
      </c>
      <c r="N145" s="216">
        <f>IFERROR(IF($E145="Inventory",VLOOKUP($C145,Inventory!$B:$I,8,FALSE()),IF($E145="Non Inventory",VLOOKUP($C145,'Non Inventory'!$B:$I,8,FALSE()),IF($E145="Services",VLOOKUP($C145,Services!$B:$I,8,FALSE()),IF($E145="Patty Cash",VLOOKUP($C145,'Patty Cash'!$B:$J,8,FALSE()),0)))),0)</f>
        <v>1200</v>
      </c>
      <c r="O145" s="217">
        <f t="shared" si="2"/>
        <v>1200</v>
      </c>
    </row>
    <row r="146" spans="1:15" ht="23.1" customHeight="1">
      <c r="A146" s="206">
        <f>IF(AND($B146="",$C146=""),"",MAX($A$3:A145)+1)</f>
        <v>143</v>
      </c>
      <c r="B146" s="207">
        <v>46164</v>
      </c>
      <c r="C146" s="208">
        <v>10142</v>
      </c>
      <c r="D146" s="209" t="str">
        <f>IFERROR(IF($E146="Inventory",VLOOKUP($C146,Inventory!$B:$I,2,FALSE()),IF($E146="Non Inventory",VLOOKUP($C146,'Non Inventory'!$B:$I,2,FALSE()),IF($E146="Services",VLOOKUP($C146,Services!$B:$I,2,FALSE()),IF($E146="Patty Cash",VLOOKUP($C146,'Patty Cash'!$B:$J,2,FALSE()),"")))),"")</f>
        <v>Panel Fan 220 Valt Size 4"</v>
      </c>
      <c r="E146" s="246" t="s">
        <v>7</v>
      </c>
      <c r="F146" s="210" t="str">
        <f>IFERROR(IF($E146="Inventory",VLOOKUP($C146,Inventory!$B:$I,3,FALSE()),IF($E146="Non Inventory",VLOOKUP($C146,'Non Inventory'!$B:$I,3,FALSE()),IF($E146="Services",VLOOKUP($C146,Services!$B:$I,3,FALSE()),IF($E146="Patty Cash",VLOOKUP($C146,'Patty Cash'!$B:$J,3,FALSE()),"")))),"")</f>
        <v>NOS</v>
      </c>
      <c r="G146" s="211">
        <v>1</v>
      </c>
      <c r="H146" s="212">
        <f>IF($E146="","",IF($E146="Inventory",IFERROR(VLOOKUP($C146,Inventory!$B:$H,7,FALSE()),0),IF($E146="Non Inventory",IFERROR(VLOOKUP($C146,'Non Inventory'!$B:$H,7,FALSE()),0),IF($E146="Services",IFERROR(VLOOKUP($C146,Services!$B:$H,7,FALSE()),0),IF($E146="Patty Cash",IFERROR(VLOOKUP($C146,'Patty Cash'!$B:$H,7,FALSE()),0),0)))))</f>
        <v>6</v>
      </c>
      <c r="I146" s="213" t="s">
        <v>44</v>
      </c>
      <c r="J146" s="214" t="s">
        <v>67</v>
      </c>
      <c r="K146" s="215" t="s">
        <v>1209</v>
      </c>
      <c r="L146" s="197" t="s">
        <v>1195</v>
      </c>
      <c r="M146" s="215" t="s">
        <v>1207</v>
      </c>
      <c r="N146" s="216">
        <f>IFERROR(IF($E146="Inventory",VLOOKUP($C146,Inventory!$B:$I,8,FALSE()),IF($E146="Non Inventory",VLOOKUP($C146,'Non Inventory'!$B:$I,8,FALSE()),IF($E146="Services",VLOOKUP($C146,Services!$B:$I,8,FALSE()),IF($E146="Patty Cash",VLOOKUP($C146,'Patty Cash'!$B:$J,8,FALSE()),0)))),0)</f>
        <v>1200</v>
      </c>
      <c r="O146" s="217">
        <f t="shared" si="2"/>
        <v>1200</v>
      </c>
    </row>
    <row r="147" spans="1:15" ht="23.1" customHeight="1">
      <c r="A147" s="206">
        <f>IF(AND($B147="",$C147=""),"",MAX($A$3:A146)+1)</f>
        <v>144</v>
      </c>
      <c r="B147" s="207">
        <v>46164</v>
      </c>
      <c r="C147" s="208">
        <v>10142</v>
      </c>
      <c r="D147" s="209" t="str">
        <f>IFERROR(IF($E147="Inventory",VLOOKUP($C147,Inventory!$B:$I,2,FALSE()),IF($E147="Non Inventory",VLOOKUP($C147,'Non Inventory'!$B:$I,2,FALSE()),IF($E147="Services",VLOOKUP($C147,Services!$B:$I,2,FALSE()),IF($E147="Patty Cash",VLOOKUP($C147,'Patty Cash'!$B:$J,2,FALSE()),"")))),"")</f>
        <v>Panel Fan 220 Valt Size 4"</v>
      </c>
      <c r="E147" s="246" t="s">
        <v>7</v>
      </c>
      <c r="F147" s="210" t="str">
        <f>IFERROR(IF($E147="Inventory",VLOOKUP($C147,Inventory!$B:$I,3,FALSE()),IF($E147="Non Inventory",VLOOKUP($C147,'Non Inventory'!$B:$I,3,FALSE()),IF($E147="Services",VLOOKUP($C147,Services!$B:$I,3,FALSE()),IF($E147="Patty Cash",VLOOKUP($C147,'Patty Cash'!$B:$J,3,FALSE()),"")))),"")</f>
        <v>NOS</v>
      </c>
      <c r="G147" s="211">
        <v>1</v>
      </c>
      <c r="H147" s="212">
        <f>IF($E147="","",IF($E147="Inventory",IFERROR(VLOOKUP($C147,Inventory!$B:$H,7,FALSE()),0),IF($E147="Non Inventory",IFERROR(VLOOKUP($C147,'Non Inventory'!$B:$H,7,FALSE()),0),IF($E147="Services",IFERROR(VLOOKUP($C147,Services!$B:$H,7,FALSE()),0),IF($E147="Patty Cash",IFERROR(VLOOKUP($C147,'Patty Cash'!$B:$H,7,FALSE()),0),0)))))</f>
        <v>6</v>
      </c>
      <c r="I147" s="213" t="s">
        <v>41</v>
      </c>
      <c r="J147" s="214" t="s">
        <v>67</v>
      </c>
      <c r="K147" s="215" t="s">
        <v>1209</v>
      </c>
      <c r="L147" s="197" t="s">
        <v>1195</v>
      </c>
      <c r="M147" s="215" t="s">
        <v>1207</v>
      </c>
      <c r="N147" s="216">
        <f>IFERROR(IF($E147="Inventory",VLOOKUP($C147,Inventory!$B:$I,8,FALSE()),IF($E147="Non Inventory",VLOOKUP($C147,'Non Inventory'!$B:$I,8,FALSE()),IF($E147="Services",VLOOKUP($C147,Services!$B:$I,8,FALSE()),IF($E147="Patty Cash",VLOOKUP($C147,'Patty Cash'!$B:$J,8,FALSE()),0)))),0)</f>
        <v>1200</v>
      </c>
      <c r="O147" s="217">
        <f t="shared" si="2"/>
        <v>1200</v>
      </c>
    </row>
    <row r="148" spans="1:15" ht="23.1" customHeight="1">
      <c r="A148" s="206">
        <f>IF(AND($B148="",$C148=""),"",MAX($A$3:A147)+1)</f>
        <v>145</v>
      </c>
      <c r="B148" s="207">
        <v>46165</v>
      </c>
      <c r="C148" s="208">
        <v>6263</v>
      </c>
      <c r="D148" s="209" t="str">
        <f>IFERROR(IF($E148="Inventory",VLOOKUP($C148,Inventory!$B:$I,2,FALSE()),IF($E148="Non Inventory",VLOOKUP($C148,'Non Inventory'!$B:$I,2,FALSE()),IF($E148="Services",VLOOKUP($C148,Services!$B:$I,2,FALSE()),IF($E148="Patty Cash",VLOOKUP($C148,'Patty Cash'!$B:$J,2,FALSE()),"")))),"")</f>
        <v>Welding Electrode ( for carbon steel) No 12 (2.6  mm) AWS 6013 (7018)</v>
      </c>
      <c r="E148" s="246" t="s">
        <v>7</v>
      </c>
      <c r="F148" s="210" t="str">
        <f>IFERROR(IF($E148="Inventory",VLOOKUP($C148,Inventory!$B:$I,3,FALSE()),IF($E148="Non Inventory",VLOOKUP($C148,'Non Inventory'!$B:$I,3,FALSE()),IF($E148="Services",VLOOKUP($C148,Services!$B:$I,3,FALSE()),IF($E148="Patty Cash",VLOOKUP($C148,'Patty Cash'!$B:$J,3,FALSE()),"")))),"")</f>
        <v>PAK</v>
      </c>
      <c r="G148" s="211">
        <v>1</v>
      </c>
      <c r="H148" s="212">
        <f>IF($E148="","",IF($E148="Inventory",IFERROR(VLOOKUP($C148,Inventory!$B:$H,7,FALSE()),0),IF($E148="Non Inventory",IFERROR(VLOOKUP($C148,'Non Inventory'!$B:$H,7,FALSE()),0),IF($E148="Services",IFERROR(VLOOKUP($C148,Services!$B:$H,7,FALSE()),0),IF($E148="Patty Cash",IFERROR(VLOOKUP($C148,'Patty Cash'!$B:$H,7,FALSE()),0),0)))))</f>
        <v>5</v>
      </c>
      <c r="I148" s="213" t="s">
        <v>1222</v>
      </c>
      <c r="J148" s="214" t="s">
        <v>1355</v>
      </c>
      <c r="K148" s="215" t="s">
        <v>1199</v>
      </c>
      <c r="L148" s="197" t="s">
        <v>1195</v>
      </c>
      <c r="M148" s="215" t="s">
        <v>1196</v>
      </c>
      <c r="N148" s="216">
        <f>IFERROR(IF($E148="Inventory",VLOOKUP($C148,Inventory!$B:$I,8,FALSE()),IF($E148="Non Inventory",VLOOKUP($C148,'Non Inventory'!$B:$I,8,FALSE()),IF($E148="Services",VLOOKUP($C148,Services!$B:$I,8,FALSE()),IF($E148="Patty Cash",VLOOKUP($C148,'Patty Cash'!$B:$J,8,FALSE()),0)))),0)</f>
        <v>1750</v>
      </c>
      <c r="O148" s="217">
        <f t="shared" si="2"/>
        <v>1750</v>
      </c>
    </row>
    <row r="149" spans="1:15" ht="23.1" customHeight="1">
      <c r="A149" s="206">
        <f>IF(AND($B149="",$C149=""),"",MAX($A$3:A148)+1)</f>
        <v>146</v>
      </c>
      <c r="B149" s="207">
        <v>46165</v>
      </c>
      <c r="C149" s="208">
        <v>21564</v>
      </c>
      <c r="D149" s="209" t="str">
        <f>IFERROR(IF($E149="Inventory",VLOOKUP($C149,Inventory!$B:$I,2,FALSE()),IF($E149="Non Inventory",VLOOKUP($C149,'Non Inventory'!$B:$I,2,FALSE()),IF($E149="Services",VLOOKUP($C149,Services!$B:$I,2,FALSE()),IF($E149="Patty Cash",VLOOKUP($C149,'Patty Cash'!$B:$J,2,FALSE()),"")))),"")</f>
        <v>S.S Spring Size 117mm x 25mm x 20mm (Ishida Linear Conveyor)</v>
      </c>
      <c r="E149" s="246" t="s">
        <v>6</v>
      </c>
      <c r="F149" s="210" t="str">
        <f>IFERROR(IF($E149="Inventory",VLOOKUP($C149,Inventory!$B:$I,3,FALSE()),IF($E149="Non Inventory",VLOOKUP($C149,'Non Inventory'!$B:$I,3,FALSE()),IF($E149="Services",VLOOKUP($C149,Services!$B:$I,3,FALSE()),IF($E149="Patty Cash",VLOOKUP($C149,'Patty Cash'!$B:$J,3,FALSE()),"")))),"")</f>
        <v>NOS</v>
      </c>
      <c r="G149" s="211">
        <v>2</v>
      </c>
      <c r="H149" s="212">
        <f>IF($E149="","",IF($E149="Inventory",IFERROR(VLOOKUP($C149,Inventory!$B:$H,7,FALSE()),0),IF($E149="Non Inventory",IFERROR(VLOOKUP($C149,'Non Inventory'!$B:$H,7,FALSE()),0),IF($E149="Services",IFERROR(VLOOKUP($C149,Services!$B:$H,7,FALSE()),0),IF($E149="Patty Cash",IFERROR(VLOOKUP($C149,'Patty Cash'!$B:$H,7,FALSE()),0),0)))))</f>
        <v>13</v>
      </c>
      <c r="I149" s="213" t="s">
        <v>74</v>
      </c>
      <c r="J149" s="214" t="s">
        <v>67</v>
      </c>
      <c r="K149" s="215" t="s">
        <v>1194</v>
      </c>
      <c r="L149" s="197" t="s">
        <v>1195</v>
      </c>
      <c r="M149" s="215" t="s">
        <v>1196</v>
      </c>
      <c r="N149" s="216">
        <f>IFERROR(IF($E149="Inventory",VLOOKUP($C149,Inventory!$B:$I,8,FALSE()),IF($E149="Non Inventory",VLOOKUP($C149,'Non Inventory'!$B:$I,8,FALSE()),IF($E149="Services",VLOOKUP($C149,Services!$B:$I,8,FALSE()),IF($E149="Patty Cash",VLOOKUP($C149,'Patty Cash'!$B:$J,8,FALSE()),0)))),0)</f>
        <v>450</v>
      </c>
      <c r="O149" s="217">
        <f t="shared" si="2"/>
        <v>900</v>
      </c>
    </row>
    <row r="150" spans="1:15" ht="23.1" customHeight="1">
      <c r="A150" s="206">
        <f>IF(AND($B150="",$C150=""),"",MAX($A$3:A149)+1)</f>
        <v>147</v>
      </c>
      <c r="B150" s="207">
        <v>46165</v>
      </c>
      <c r="C150" s="208">
        <v>16895</v>
      </c>
      <c r="D150" s="209" t="str">
        <f>IFERROR(IF($E150="Inventory",VLOOKUP($C150,Inventory!$B:$I,2,FALSE()),IF($E150="Non Inventory",VLOOKUP($C150,'Non Inventory'!$B:$I,2,FALSE()),IF($E150="Services",VLOOKUP($C150,Services!$B:$I,2,FALSE()),IF($E150="Patty Cash",VLOOKUP($C150,'Patty Cash'!$B:$J,2,FALSE()),"")))),"")</f>
        <v>Color Mark Sensor Type BZJ-211 (Sama Machine)</v>
      </c>
      <c r="E150" s="246" t="s">
        <v>6</v>
      </c>
      <c r="F150" s="210" t="str">
        <f>IFERROR(IF($E150="Inventory",VLOOKUP($C150,Inventory!$B:$I,3,FALSE()),IF($E150="Non Inventory",VLOOKUP($C150,'Non Inventory'!$B:$I,3,FALSE()),IF($E150="Services",VLOOKUP($C150,Services!$B:$I,3,FALSE()),IF($E150="Patty Cash",VLOOKUP($C150,'Patty Cash'!$B:$J,3,FALSE()),"")))),"")</f>
        <v>NOS</v>
      </c>
      <c r="G150" s="211">
        <v>1</v>
      </c>
      <c r="H150" s="212">
        <f>IF($E150="","",IF($E150="Inventory",IFERROR(VLOOKUP($C150,Inventory!$B:$H,7,FALSE()),0),IF($E150="Non Inventory",IFERROR(VLOOKUP($C150,'Non Inventory'!$B:$H,7,FALSE()),0),IF($E150="Services",IFERROR(VLOOKUP($C150,Services!$B:$H,7,FALSE()),0),IF($E150="Patty Cash",IFERROR(VLOOKUP($C150,'Patty Cash'!$B:$H,7,FALSE()),0),0)))))</f>
        <v>1</v>
      </c>
      <c r="I150" s="213" t="s">
        <v>81</v>
      </c>
      <c r="J150" s="214" t="s">
        <v>1408</v>
      </c>
      <c r="K150" s="215" t="s">
        <v>1206</v>
      </c>
      <c r="L150" s="197" t="s">
        <v>1195</v>
      </c>
      <c r="M150" s="215" t="s">
        <v>1207</v>
      </c>
      <c r="N150" s="216">
        <f>IFERROR(IF($E150="Inventory",VLOOKUP($C150,Inventory!$B:$I,8,FALSE()),IF($E150="Non Inventory",VLOOKUP($C150,'Non Inventory'!$B:$I,8,FALSE()),IF($E150="Services",VLOOKUP($C150,Services!$B:$I,8,FALSE()),IF($E150="Patty Cash",VLOOKUP($C150,'Patty Cash'!$B:$J,8,FALSE()),0)))),0)</f>
        <v>6800</v>
      </c>
      <c r="O150" s="217">
        <f t="shared" si="2"/>
        <v>6800</v>
      </c>
    </row>
    <row r="151" spans="1:15" ht="23.1" customHeight="1">
      <c r="A151" s="206">
        <f>IF(AND($B151="",$C151=""),"",MAX($A$3:A150)+1)</f>
        <v>148</v>
      </c>
      <c r="B151" s="207">
        <v>46165</v>
      </c>
      <c r="C151" s="208">
        <v>2941</v>
      </c>
      <c r="D151" s="209" t="str">
        <f>IFERROR(IF($E151="Inventory",VLOOKUP($C151,Inventory!$B:$I,2,FALSE()),IF($E151="Non Inventory",VLOOKUP($C151,'Non Inventory'!$B:$I,2,FALSE()),IF($E151="Services",VLOOKUP($C151,Services!$B:$I,2,FALSE()),IF($E151="Patty Cash",VLOOKUP($C151,'Patty Cash'!$B:$J,2,FALSE()),"")))),"")</f>
        <v>Relay 14 Pin 24VDC Flat Type 55.34 (Finder/Omron)</v>
      </c>
      <c r="E151" s="246" t="s">
        <v>6</v>
      </c>
      <c r="F151" s="210" t="str">
        <f>IFERROR(IF($E151="Inventory",VLOOKUP($C151,Inventory!$B:$I,3,FALSE()),IF($E151="Non Inventory",VLOOKUP($C151,'Non Inventory'!$B:$I,3,FALSE()),IF($E151="Services",VLOOKUP($C151,Services!$B:$I,3,FALSE()),IF($E151="Patty Cash",VLOOKUP($C151,'Patty Cash'!$B:$J,3,FALSE()),"")))),"")</f>
        <v>PCS</v>
      </c>
      <c r="G151" s="211">
        <v>2</v>
      </c>
      <c r="H151" s="212">
        <f>IF($E151="","",IF($E151="Inventory",IFERROR(VLOOKUP($C151,Inventory!$B:$H,7,FALSE()),0),IF($E151="Non Inventory",IFERROR(VLOOKUP($C151,'Non Inventory'!$B:$H,7,FALSE()),0),IF($E151="Services",IFERROR(VLOOKUP($C151,Services!$B:$H,7,FALSE()),0),IF($E151="Patty Cash",IFERROR(VLOOKUP($C151,'Patty Cash'!$B:$H,7,FALSE()),0),0)))))</f>
        <v>5</v>
      </c>
      <c r="I151" s="213" t="s">
        <v>53</v>
      </c>
      <c r="J151" s="214" t="s">
        <v>1409</v>
      </c>
      <c r="K151" s="215" t="s">
        <v>1206</v>
      </c>
      <c r="L151" s="197" t="s">
        <v>1195</v>
      </c>
      <c r="M151" s="215" t="s">
        <v>1207</v>
      </c>
      <c r="N151" s="216">
        <f>IFERROR(IF($E151="Inventory",VLOOKUP($C151,Inventory!$B:$I,8,FALSE()),IF($E151="Non Inventory",VLOOKUP($C151,'Non Inventory'!$B:$I,8,FALSE()),IF($E151="Services",VLOOKUP($C151,Services!$B:$I,8,FALSE()),IF($E151="Patty Cash",VLOOKUP($C151,'Patty Cash'!$B:$J,8,FALSE()),0)))),0)</f>
        <v>900</v>
      </c>
      <c r="O151" s="217">
        <f t="shared" si="2"/>
        <v>1800</v>
      </c>
    </row>
    <row r="152" spans="1:15" ht="23.1" customHeight="1">
      <c r="A152" s="206">
        <f>IF(AND($B152="",$C152=""),"",MAX($A$3:A151)+1)</f>
        <v>149</v>
      </c>
      <c r="B152" s="207">
        <v>46165</v>
      </c>
      <c r="C152" s="208">
        <v>17237</v>
      </c>
      <c r="D152" s="209" t="str">
        <f>IFERROR(IF($E152="Inventory",VLOOKUP($C152,Inventory!$B:$I,2,FALSE()),IF($E152="Non Inventory",VLOOKUP($C152,'Non Inventory'!$B:$I,2,FALSE()),IF($E152="Services",VLOOKUP($C152,Services!$B:$I,2,FALSE()),IF($E152="Patty Cash",VLOOKUP($C152,'Patty Cash'!$B:$J,2,FALSE()),"")))),"")</f>
        <v>Film Puling Belt Size Dia=292mm W=38mm T=6mm (Material NBR)For Ishida Packing Machine</v>
      </c>
      <c r="E152" s="246" t="s">
        <v>6</v>
      </c>
      <c r="F152" s="210" t="str">
        <f>IFERROR(IF($E152="Inventory",VLOOKUP($C152,Inventory!$B:$I,3,FALSE()),IF($E152="Non Inventory",VLOOKUP($C152,'Non Inventory'!$B:$I,3,FALSE()),IF($E152="Services",VLOOKUP($C152,Services!$B:$I,3,FALSE()),IF($E152="Patty Cash",VLOOKUP($C152,'Patty Cash'!$B:$J,3,FALSE()),"")))),"")</f>
        <v>NOS</v>
      </c>
      <c r="G152" s="211">
        <v>1</v>
      </c>
      <c r="H152" s="212">
        <f>IF($E152="","",IF($E152="Inventory",IFERROR(VLOOKUP($C152,Inventory!$B:$H,7,FALSE()),0),IF($E152="Non Inventory",IFERROR(VLOOKUP($C152,'Non Inventory'!$B:$H,7,FALSE()),0),IF($E152="Services",IFERROR(VLOOKUP($C152,Services!$B:$H,7,FALSE()),0),IF($E152="Patty Cash",IFERROR(VLOOKUP($C152,'Patty Cash'!$B:$H,7,FALSE()),0),0)))))</f>
        <v>8</v>
      </c>
      <c r="I152" s="213" t="s">
        <v>47</v>
      </c>
      <c r="J152" s="214" t="s">
        <v>1242</v>
      </c>
      <c r="K152" s="215" t="s">
        <v>1232</v>
      </c>
      <c r="L152" s="197" t="s">
        <v>1195</v>
      </c>
      <c r="M152" s="215" t="s">
        <v>1196</v>
      </c>
      <c r="N152" s="216">
        <f>IFERROR(IF($E152="Inventory",VLOOKUP($C152,Inventory!$B:$I,8,FALSE()),IF($E152="Non Inventory",VLOOKUP($C152,'Non Inventory'!$B:$I,8,FALSE()),IF($E152="Services",VLOOKUP($C152,Services!$B:$I,8,FALSE()),IF($E152="Patty Cash",VLOOKUP($C152,'Patty Cash'!$B:$J,8,FALSE()),0)))),0)</f>
        <v>9000</v>
      </c>
      <c r="O152" s="217">
        <f t="shared" si="2"/>
        <v>9000</v>
      </c>
    </row>
    <row r="153" spans="1:15" ht="23.1" customHeight="1">
      <c r="A153" s="206">
        <f>IF(AND($B153="",$C153=""),"",MAX($A$3:A152)+1)</f>
        <v>150</v>
      </c>
      <c r="B153" s="207">
        <v>46165</v>
      </c>
      <c r="C153" s="208">
        <v>8032</v>
      </c>
      <c r="D153" s="209" t="str">
        <f>IFERROR(IF($E153="Inventory",VLOOKUP($C153,Inventory!$B:$I,2,FALSE()),IF($E153="Non Inventory",VLOOKUP($C153,'Non Inventory'!$B:$I,2,FALSE()),IF($E153="Services",VLOOKUP($C153,Services!$B:$I,2,FALSE()),IF($E153="Patty Cash",VLOOKUP($C153,'Patty Cash'!$B:$J,2,FALSE()),"")))),"")</f>
        <v>E.O.C.R 0.5-6.5 Amp</v>
      </c>
      <c r="E153" s="246" t="s">
        <v>6</v>
      </c>
      <c r="F153" s="210" t="str">
        <f>IFERROR(IF($E153="Inventory",VLOOKUP($C153,Inventory!$B:$I,3,FALSE()),IF($E153="Non Inventory",VLOOKUP($C153,'Non Inventory'!$B:$I,3,FALSE()),IF($E153="Services",VLOOKUP($C153,Services!$B:$I,3,FALSE()),IF($E153="Patty Cash",VLOOKUP($C153,'Patty Cash'!$B:$J,3,FALSE()),"")))),"")</f>
        <v>NOS</v>
      </c>
      <c r="G153" s="211">
        <v>1</v>
      </c>
      <c r="H153" s="212">
        <f>IF($E153="","",IF($E153="Inventory",IFERROR(VLOOKUP($C153,Inventory!$B:$H,7,FALSE()),0),IF($E153="Non Inventory",IFERROR(VLOOKUP($C153,'Non Inventory'!$B:$H,7,FALSE()),0),IF($E153="Services",IFERROR(VLOOKUP($C153,Services!$B:$H,7,FALSE()),0),IF($E153="Patty Cash",IFERROR(VLOOKUP($C153,'Patty Cash'!$B:$H,7,FALSE()),0),0)))))</f>
        <v>1</v>
      </c>
      <c r="I153" s="213" t="s">
        <v>58</v>
      </c>
      <c r="J153" s="214" t="s">
        <v>67</v>
      </c>
      <c r="K153" s="215" t="s">
        <v>1386</v>
      </c>
      <c r="L153" s="197" t="s">
        <v>1195</v>
      </c>
      <c r="M153" s="215" t="s">
        <v>1196</v>
      </c>
      <c r="N153" s="216">
        <f>IFERROR(IF($E153="Inventory",VLOOKUP($C153,Inventory!$B:$I,8,FALSE()),IF($E153="Non Inventory",VLOOKUP($C153,'Non Inventory'!$B:$I,8,FALSE()),IF($E153="Services",VLOOKUP($C153,Services!$B:$I,8,FALSE()),IF($E153="Patty Cash",VLOOKUP($C153,'Patty Cash'!$B:$J,8,FALSE()),0)))),0)</f>
        <v>6500</v>
      </c>
      <c r="O153" s="217">
        <f t="shared" si="2"/>
        <v>6500</v>
      </c>
    </row>
    <row r="154" spans="1:15" ht="23.1" customHeight="1">
      <c r="A154" s="206">
        <f>IF(AND($B154="",$C154=""),"",MAX($A$3:A153)+1)</f>
        <v>151</v>
      </c>
      <c r="B154" s="207">
        <v>46167</v>
      </c>
      <c r="C154" s="208">
        <v>21799</v>
      </c>
      <c r="D154" s="209" t="str">
        <f>IFERROR(IF($E154="Inventory",VLOOKUP($C154,Inventory!$B:$I,2,FALSE()),IF($E154="Non Inventory",VLOOKUP($C154,'Non Inventory'!$B:$I,2,FALSE()),IF($E154="Services",VLOOKUP($C154,Services!$B:$I,2,FALSE()),IF($E154="Patty Cash",VLOOKUP($C154,'Patty Cash'!$B:$J,2,FALSE()),"")))),"")</f>
        <v>Serv. Misc. Services Pasta Consultant Service on side Tecalit Short
Cut Pasta Line</v>
      </c>
      <c r="E154" s="246" t="s">
        <v>1280</v>
      </c>
      <c r="F154" s="210" t="str">
        <f>IFERROR(IF($E154="Inventory",VLOOKUP($C154,Inventory!$B:$I,3,FALSE()),IF($E154="Non Inventory",VLOOKUP($C154,'Non Inventory'!$B:$I,3,FALSE()),IF($E154="Services",VLOOKUP($C154,Services!$B:$I,3,FALSE()),IF($E154="Patty Cash",VLOOKUP($C154,'Patty Cash'!$B:$J,3,FALSE()),"")))),"")</f>
        <v>NOS</v>
      </c>
      <c r="G154" s="211">
        <v>1</v>
      </c>
      <c r="H154" s="212">
        <f>IF($E154="","",IF($E154="Inventory",IFERROR(VLOOKUP($C154,Inventory!$B:$H,7,FALSE()),0),IF($E154="Non Inventory",IFERROR(VLOOKUP($C154,'Non Inventory'!$B:$H,7,FALSE()),0),IF($E154="Services",IFERROR(VLOOKUP($C154,Services!$B:$H,7,FALSE()),0),IF($E154="Patty Cash",IFERROR(VLOOKUP($C154,'Patty Cash'!$B:$H,7,FALSE()),0),0)))))</f>
        <v>0</v>
      </c>
      <c r="I154" s="213" t="s">
        <v>58</v>
      </c>
      <c r="J154" s="214" t="s">
        <v>1410</v>
      </c>
      <c r="K154" s="215" t="s">
        <v>1415</v>
      </c>
      <c r="L154" s="197" t="s">
        <v>1195</v>
      </c>
      <c r="M154" s="215" t="s">
        <v>1196</v>
      </c>
      <c r="N154" s="216">
        <f>IFERROR(IF($E154="Inventory",VLOOKUP($C154,Inventory!$B:$I,8,FALSE()),IF($E154="Non Inventory",VLOOKUP($C154,'Non Inventory'!$B:$I,8,FALSE()),IF($E154="Services",VLOOKUP($C154,Services!$B:$I,8,FALSE()),IF($E154="Patty Cash",VLOOKUP($C154,'Patty Cash'!$B:$J,8,FALSE()),0)))),0)</f>
        <v>378500</v>
      </c>
      <c r="O154" s="217">
        <f t="shared" si="2"/>
        <v>378500</v>
      </c>
    </row>
    <row r="155" spans="1:15" ht="23.1" customHeight="1">
      <c r="A155" s="206">
        <f>IF(AND($B155="",$C155=""),"",MAX($A$3:A154)+1)</f>
        <v>152</v>
      </c>
      <c r="B155" s="207">
        <v>46164</v>
      </c>
      <c r="C155" s="208">
        <v>2024</v>
      </c>
      <c r="D155" s="209" t="str">
        <f>IFERROR(IF($E155="Inventory",VLOOKUP($C155,Inventory!$B:$I,2,FALSE()),IF($E155="Non Inventory",VLOOKUP($C155,'Non Inventory'!$B:$I,2,FALSE()),IF($E155="Services",VLOOKUP($C155,Services!$B:$I,2,FALSE()),IF($E155="Patty Cash",VLOOKUP($C155,'Patty Cash'!$B:$J,2,FALSE()),"")))),"")</f>
        <v>Ball Bearing Type 6305 2ZR/C3</v>
      </c>
      <c r="E155" s="246" t="s">
        <v>6</v>
      </c>
      <c r="F155" s="210" t="str">
        <f>IFERROR(IF($E155="Inventory",VLOOKUP($C155,Inventory!$B:$I,3,FALSE()),IF($E155="Non Inventory",VLOOKUP($C155,'Non Inventory'!$B:$I,3,FALSE()),IF($E155="Services",VLOOKUP($C155,Services!$B:$I,3,FALSE()),IF($E155="Patty Cash",VLOOKUP($C155,'Patty Cash'!$B:$J,3,FALSE()),"")))),"")</f>
        <v>PCS</v>
      </c>
      <c r="G155" s="211">
        <v>1</v>
      </c>
      <c r="H155" s="212">
        <f>IF($E155="","",IF($E155="Inventory",IFERROR(VLOOKUP($C155,Inventory!$B:$H,7,FALSE()),0),IF($E155="Non Inventory",IFERROR(VLOOKUP($C155,'Non Inventory'!$B:$H,7,FALSE()),0),IF($E155="Services",IFERROR(VLOOKUP($C155,Services!$B:$H,7,FALSE()),0),IF($E155="Patty Cash",IFERROR(VLOOKUP($C155,'Patty Cash'!$B:$H,7,FALSE()),0),0)))))</f>
        <v>2</v>
      </c>
      <c r="I155" s="213" t="s">
        <v>1306</v>
      </c>
      <c r="J155" s="214" t="s">
        <v>1423</v>
      </c>
      <c r="K155" s="215" t="s">
        <v>1342</v>
      </c>
      <c r="L155" s="197" t="s">
        <v>1204</v>
      </c>
      <c r="M155" s="215" t="s">
        <v>1196</v>
      </c>
      <c r="N155" s="216">
        <f>IFERROR(IF($E155="Inventory",VLOOKUP($C155,Inventory!$B:$I,8,FALSE()),IF($E155="Non Inventory",VLOOKUP($C155,'Non Inventory'!$B:$I,8,FALSE()),IF($E155="Services",VLOOKUP($C155,Services!$B:$I,8,FALSE()),IF($E155="Patty Cash",VLOOKUP($C155,'Patty Cash'!$B:$J,8,FALSE()),0)))),0)</f>
        <v>1375</v>
      </c>
      <c r="O155" s="217">
        <f t="shared" si="2"/>
        <v>1375</v>
      </c>
    </row>
    <row r="156" spans="1:15" ht="23.1" customHeight="1">
      <c r="A156" s="206">
        <f>IF(AND($B156="",$C156=""),"",MAX($A$3:A155)+1)</f>
        <v>153</v>
      </c>
      <c r="B156" s="207">
        <v>46164</v>
      </c>
      <c r="C156" s="208">
        <v>10636</v>
      </c>
      <c r="D156" s="209" t="str">
        <f>IFERROR(IF($E156="Inventory",VLOOKUP($C156,Inventory!$B:$I,2,FALSE()),IF($E156="Non Inventory",VLOOKUP($C156,'Non Inventory'!$B:$I,2,FALSE()),IF($E156="Services",VLOOKUP($C156,Services!$B:$I,2,FALSE()),IF($E156="Patty Cash",VLOOKUP($C156,'Patty Cash'!$B:$J,2,FALSE()),"")))),"")</f>
        <v>HIGH TEMPRETURE SILICON SEALANT TUBE</v>
      </c>
      <c r="E156" s="246" t="s">
        <v>7</v>
      </c>
      <c r="F156" s="210" t="str">
        <f>IFERROR(IF($E156="Inventory",VLOOKUP($C156,Inventory!$B:$I,3,FALSE()),IF($E156="Non Inventory",VLOOKUP($C156,'Non Inventory'!$B:$I,3,FALSE()),IF($E156="Services",VLOOKUP($C156,Services!$B:$I,3,FALSE()),IF($E156="Patty Cash",VLOOKUP($C156,'Patty Cash'!$B:$J,3,FALSE()),"")))),"")</f>
        <v>NOS</v>
      </c>
      <c r="G156" s="211">
        <v>1</v>
      </c>
      <c r="H156" s="212">
        <f>IF($E156="","",IF($E156="Inventory",IFERROR(VLOOKUP($C156,Inventory!$B:$H,7,FALSE()),0),IF($E156="Non Inventory",IFERROR(VLOOKUP($C156,'Non Inventory'!$B:$H,7,FALSE()),0),IF($E156="Services",IFERROR(VLOOKUP($C156,Services!$B:$H,7,FALSE()),0),IF($E156="Patty Cash",IFERROR(VLOOKUP($C156,'Patty Cash'!$B:$H,7,FALSE()),0),0)))))</f>
        <v>12</v>
      </c>
      <c r="I156" s="213" t="s">
        <v>1306</v>
      </c>
      <c r="J156" s="214" t="s">
        <v>1423</v>
      </c>
      <c r="K156" s="215" t="s">
        <v>1342</v>
      </c>
      <c r="L156" s="197" t="s">
        <v>1204</v>
      </c>
      <c r="M156" s="215" t="s">
        <v>1196</v>
      </c>
      <c r="N156" s="216">
        <f>IFERROR(IF($E156="Inventory",VLOOKUP($C156,Inventory!$B:$I,8,FALSE()),IF($E156="Non Inventory",VLOOKUP($C156,'Non Inventory'!$B:$I,8,FALSE()),IF($E156="Services",VLOOKUP($C156,Services!$B:$I,8,FALSE()),IF($E156="Patty Cash",VLOOKUP($C156,'Patty Cash'!$B:$J,8,FALSE()),0)))),0)</f>
        <v>465</v>
      </c>
      <c r="O156" s="217">
        <f t="shared" si="2"/>
        <v>465</v>
      </c>
    </row>
    <row r="157" spans="1:15" ht="23.1" customHeight="1">
      <c r="A157" s="206">
        <f>IF(AND($B157="",$C157=""),"",MAX($A$3:A156)+1)</f>
        <v>154</v>
      </c>
      <c r="B157" s="207">
        <v>46171</v>
      </c>
      <c r="C157" s="208">
        <v>23014</v>
      </c>
      <c r="D157" s="209" t="str">
        <f>IFERROR(IF($E157="Inventory",VLOOKUP($C157,Inventory!$B:$I,2,FALSE()),IF($E157="Non Inventory",VLOOKUP($C157,'Non Inventory'!$B:$I,2,FALSE()),IF($E157="Services",VLOOKUP($C157,Services!$B:$I,2,FALSE()),IF($E157="Patty Cash",VLOOKUP($C157,'Patty Cash'!$B:$J,2,FALSE()),"")))),"")</f>
        <v>Bronze Nut Size T- 20mm, O/D-45mm, I/D- with Threed 19mm (Ishida Machine Tracking Motor)</v>
      </c>
      <c r="E157" s="246" t="s">
        <v>7</v>
      </c>
      <c r="F157" s="210" t="str">
        <f>IFERROR(IF($E157="Inventory",VLOOKUP($C157,Inventory!$B:$I,3,FALSE()),IF($E157="Non Inventory",VLOOKUP($C157,'Non Inventory'!$B:$I,3,FALSE()),IF($E157="Services",VLOOKUP($C157,Services!$B:$I,3,FALSE()),IF($E157="Patty Cash",VLOOKUP($C157,'Patty Cash'!$B:$J,3,FALSE()),"")))),"")</f>
        <v>NOS</v>
      </c>
      <c r="G157" s="211">
        <v>1</v>
      </c>
      <c r="H157" s="212">
        <f>IF($E157="","",IF($E157="Inventory",IFERROR(VLOOKUP($C157,Inventory!$B:$H,7,FALSE()),0),IF($E157="Non Inventory",IFERROR(VLOOKUP($C157,'Non Inventory'!$B:$H,7,FALSE()),0),IF($E157="Services",IFERROR(VLOOKUP($C157,Services!$B:$H,7,FALSE()),0),IF($E157="Patty Cash",IFERROR(VLOOKUP($C157,'Patty Cash'!$B:$H,7,FALSE()),0),0)))))</f>
        <v>7</v>
      </c>
      <c r="I157" s="213" t="s">
        <v>51</v>
      </c>
      <c r="J157" s="214" t="s">
        <v>67</v>
      </c>
      <c r="K157" s="215" t="s">
        <v>1217</v>
      </c>
      <c r="L157" s="197" t="s">
        <v>1204</v>
      </c>
      <c r="M157" s="215" t="s">
        <v>1196</v>
      </c>
      <c r="N157" s="216">
        <f>IFERROR(IF($E157="Inventory",VLOOKUP($C157,Inventory!$B:$I,8,FALSE()),IF($E157="Non Inventory",VLOOKUP($C157,'Non Inventory'!$B:$I,8,FALSE()),IF($E157="Services",VLOOKUP($C157,Services!$B:$I,8,FALSE()),IF($E157="Patty Cash",VLOOKUP($C157,'Patty Cash'!$B:$J,8,FALSE()),0)))),0)</f>
        <v>3000</v>
      </c>
      <c r="O157" s="217">
        <f t="shared" si="2"/>
        <v>3000</v>
      </c>
    </row>
    <row r="158" spans="1:15" ht="23.1" customHeight="1">
      <c r="A158" s="206">
        <f>IF(AND($B158="",$C158=""),"",MAX($A$3:A157)+1)</f>
        <v>155</v>
      </c>
      <c r="B158" s="207">
        <v>46171</v>
      </c>
      <c r="C158" s="208">
        <v>2123</v>
      </c>
      <c r="D158" s="209" t="str">
        <f>IFERROR(IF($E158="Inventory",VLOOKUP($C158,Inventory!$B:$I,2,FALSE()),IF($E158="Non Inventory",VLOOKUP($C158,'Non Inventory'!$B:$I,2,FALSE()),IF($E158="Services",VLOOKUP($C158,Services!$B:$I,2,FALSE()),IF($E158="Patty Cash",VLOOKUP($C158,'Patty Cash'!$B:$J,2,FALSE()),"")))),"")</f>
        <v>Ball Bearing  6900 RSR C3</v>
      </c>
      <c r="E158" s="246" t="s">
        <v>6</v>
      </c>
      <c r="F158" s="210" t="str">
        <f>IFERROR(IF($E158="Inventory",VLOOKUP($C158,Inventory!$B:$I,3,FALSE()),IF($E158="Non Inventory",VLOOKUP($C158,'Non Inventory'!$B:$I,3,FALSE()),IF($E158="Services",VLOOKUP($C158,Services!$B:$I,3,FALSE()),IF($E158="Patty Cash",VLOOKUP($C158,'Patty Cash'!$B:$J,3,FALSE()),"")))),"")</f>
        <v>PCS</v>
      </c>
      <c r="G158" s="211">
        <v>2</v>
      </c>
      <c r="H158" s="212">
        <f>IF($E158="","",IF($E158="Inventory",IFERROR(VLOOKUP($C158,Inventory!$B:$H,7,FALSE()),0),IF($E158="Non Inventory",IFERROR(VLOOKUP($C158,'Non Inventory'!$B:$H,7,FALSE()),0),IF($E158="Services",IFERROR(VLOOKUP($C158,Services!$B:$H,7,FALSE()),0),IF($E158="Patty Cash",IFERROR(VLOOKUP($C158,'Patty Cash'!$B:$H,7,FALSE()),0),0)))))</f>
        <v>7</v>
      </c>
      <c r="I158" s="213" t="s">
        <v>46</v>
      </c>
      <c r="J158" s="214" t="s">
        <v>67</v>
      </c>
      <c r="K158" s="215" t="s">
        <v>1203</v>
      </c>
      <c r="L158" s="197" t="s">
        <v>1204</v>
      </c>
      <c r="M158" s="215" t="s">
        <v>1196</v>
      </c>
      <c r="N158" s="216">
        <f>IFERROR(IF($E158="Inventory",VLOOKUP($C158,Inventory!$B:$I,8,FALSE()),IF($E158="Non Inventory",VLOOKUP($C158,'Non Inventory'!$B:$I,8,FALSE()),IF($E158="Services",VLOOKUP($C158,Services!$B:$I,8,FALSE()),IF($E158="Patty Cash",VLOOKUP($C158,'Patty Cash'!$B:$J,8,FALSE()),0)))),0)</f>
        <v>1775</v>
      </c>
      <c r="O158" s="217">
        <f t="shared" si="2"/>
        <v>3550</v>
      </c>
    </row>
    <row r="159" spans="1:15" ht="23.1" customHeight="1">
      <c r="A159" s="206">
        <f>IF(AND($B159="",$C159=""),"",MAX($A$3:A158)+1)</f>
        <v>156</v>
      </c>
      <c r="B159" s="207">
        <v>46171</v>
      </c>
      <c r="C159" s="208">
        <v>6680</v>
      </c>
      <c r="D159" s="209" t="str">
        <f>IFERROR(IF($E159="Inventory",VLOOKUP($C159,Inventory!$B:$I,2,FALSE()),IF($E159="Non Inventory",VLOOKUP($C159,'Non Inventory'!$B:$I,2,FALSE()),IF($E159="Services",VLOOKUP($C159,Services!$B:$I,2,FALSE()),IF($E159="Patty Cash",VLOOKUP($C159,'Patty Cash'!$B:$J,2,FALSE()),"")))),"")</f>
        <v>Taping Machine Belt With Center Guide Size L-75" X W-2" (CTN.Sealer Machine)</v>
      </c>
      <c r="E159" s="246" t="s">
        <v>6</v>
      </c>
      <c r="F159" s="210" t="str">
        <f>IFERROR(IF($E159="Inventory",VLOOKUP($C159,Inventory!$B:$I,3,FALSE()),IF($E159="Non Inventory",VLOOKUP($C159,'Non Inventory'!$B:$I,3,FALSE()),IF($E159="Services",VLOOKUP($C159,Services!$B:$I,3,FALSE()),IF($E159="Patty Cash",VLOOKUP($C159,'Patty Cash'!$B:$J,3,FALSE()),"")))),"")</f>
        <v>NOS</v>
      </c>
      <c r="G159" s="211">
        <v>1</v>
      </c>
      <c r="H159" s="212">
        <f>IF($E159="","",IF($E159="Inventory",IFERROR(VLOOKUP($C159,Inventory!$B:$H,7,FALSE()),0),IF($E159="Non Inventory",IFERROR(VLOOKUP($C159,'Non Inventory'!$B:$H,7,FALSE()),0),IF($E159="Services",IFERROR(VLOOKUP($C159,Services!$B:$H,7,FALSE()),0),IF($E159="Patty Cash",IFERROR(VLOOKUP($C159,'Patty Cash'!$B:$H,7,FALSE()),0),0)))))</f>
        <v>3</v>
      </c>
      <c r="I159" s="213" t="s">
        <v>63</v>
      </c>
      <c r="J159" s="214" t="s">
        <v>67</v>
      </c>
      <c r="K159" s="215" t="s">
        <v>1217</v>
      </c>
      <c r="L159" s="197" t="s">
        <v>1204</v>
      </c>
      <c r="M159" s="215" t="s">
        <v>1196</v>
      </c>
      <c r="N159" s="216">
        <f>IFERROR(IF($E159="Inventory",VLOOKUP($C159,Inventory!$B:$I,8,FALSE()),IF($E159="Non Inventory",VLOOKUP($C159,'Non Inventory'!$B:$I,8,FALSE()),IF($E159="Services",VLOOKUP($C159,Services!$B:$I,8,FALSE()),IF($E159="Patty Cash",VLOOKUP($C159,'Patty Cash'!$B:$J,8,FALSE()),0)))),0)</f>
        <v>5500</v>
      </c>
      <c r="O159" s="217">
        <f t="shared" si="2"/>
        <v>5500</v>
      </c>
    </row>
    <row r="160" spans="1:15" ht="23.1" customHeight="1">
      <c r="A160" s="206">
        <f>IF(AND($B160="",$C160=""),"",MAX($A$3:A159)+1)</f>
        <v>157</v>
      </c>
      <c r="B160" s="207">
        <v>46171</v>
      </c>
      <c r="C160" s="208">
        <v>10175</v>
      </c>
      <c r="D160" s="209" t="str">
        <f>IFERROR(IF($E160="Inventory",VLOOKUP($C160,Inventory!$B:$I,2,FALSE()),IF($E160="Non Inventory",VLOOKUP($C160,'Non Inventory'!$B:$I,2,FALSE()),IF($E160="Services",VLOOKUP($C160,Services!$B:$I,2,FALSE()),IF($E160="Patty Cash",VLOOKUP($C160,'Patty Cash'!$B:$J,2,FALSE()),"")))),"")</f>
        <v>Universal Joint For PFM Packing Machine Shaft</v>
      </c>
      <c r="E160" s="246" t="s">
        <v>7</v>
      </c>
      <c r="F160" s="210" t="str">
        <f>IFERROR(IF($E160="Inventory",VLOOKUP($C160,Inventory!$B:$I,3,FALSE()),IF($E160="Non Inventory",VLOOKUP($C160,'Non Inventory'!$B:$I,3,FALSE()),IF($E160="Services",VLOOKUP($C160,Services!$B:$I,3,FALSE()),IF($E160="Patty Cash",VLOOKUP($C160,'Patty Cash'!$B:$J,3,FALSE()),"")))),"")</f>
        <v>NOS</v>
      </c>
      <c r="G160" s="211">
        <v>1</v>
      </c>
      <c r="H160" s="212">
        <f>IF($E160="","",IF($E160="Inventory",IFERROR(VLOOKUP($C160,Inventory!$B:$H,7,FALSE()),0),IF($E160="Non Inventory",IFERROR(VLOOKUP($C160,'Non Inventory'!$B:$H,7,FALSE()),0),IF($E160="Services",IFERROR(VLOOKUP($C160,Services!$B:$H,7,FALSE()),0),IF($E160="Patty Cash",IFERROR(VLOOKUP($C160,'Patty Cash'!$B:$H,7,FALSE()),0),0)))))</f>
        <v>5</v>
      </c>
      <c r="I160" s="213" t="s">
        <v>59</v>
      </c>
      <c r="J160" s="214" t="s">
        <v>67</v>
      </c>
      <c r="K160" s="215" t="s">
        <v>1214</v>
      </c>
      <c r="L160" s="197" t="s">
        <v>1204</v>
      </c>
      <c r="M160" s="215" t="s">
        <v>1196</v>
      </c>
      <c r="N160" s="216">
        <f>IFERROR(IF($E160="Inventory",VLOOKUP($C160,Inventory!$B:$I,8,FALSE()),IF($E160="Non Inventory",VLOOKUP($C160,'Non Inventory'!$B:$I,8,FALSE()),IF($E160="Services",VLOOKUP($C160,Services!$B:$I,8,FALSE()),IF($E160="Patty Cash",VLOOKUP($C160,'Patty Cash'!$B:$J,8,FALSE()),0)))),0)</f>
        <v>6500</v>
      </c>
      <c r="O160" s="217">
        <f t="shared" si="2"/>
        <v>6500</v>
      </c>
    </row>
    <row r="161" spans="1:15" ht="23.1" customHeight="1">
      <c r="A161" s="206">
        <f>IF(AND($B161="",$C161=""),"",MAX($A$3:A160)+1)</f>
        <v>158</v>
      </c>
      <c r="B161" s="207">
        <v>46171</v>
      </c>
      <c r="C161" s="208">
        <v>4777</v>
      </c>
      <c r="D161" s="209" t="str">
        <f>IFERROR(IF($E161="Inventory",VLOOKUP($C161,Inventory!$B:$I,2,FALSE()),IF($E161="Non Inventory",VLOOKUP($C161,'Non Inventory'!$B:$I,2,FALSE()),IF($E161="Services",VLOOKUP($C161,Services!$B:$I,2,FALSE()),IF($E161="Patty Cash",VLOOKUP($C161,'Patty Cash'!$B:$J,2,FALSE()),"")))),"")</f>
        <v xml:space="preserve">Elfy </v>
      </c>
      <c r="E161" s="246" t="s">
        <v>7</v>
      </c>
      <c r="F161" s="210" t="str">
        <f>IFERROR(IF($E161="Inventory",VLOOKUP($C161,Inventory!$B:$I,3,FALSE()),IF($E161="Non Inventory",VLOOKUP($C161,'Non Inventory'!$B:$I,3,FALSE()),IF($E161="Services",VLOOKUP($C161,Services!$B:$I,3,FALSE()),IF($E161="Patty Cash",VLOOKUP($C161,'Patty Cash'!$B:$J,3,FALSE()),"")))),"")</f>
        <v>NOS</v>
      </c>
      <c r="G161" s="211">
        <v>1</v>
      </c>
      <c r="H161" s="212">
        <f>IF($E161="","",IF($E161="Inventory",IFERROR(VLOOKUP($C161,Inventory!$B:$H,7,FALSE()),0),IF($E161="Non Inventory",IFERROR(VLOOKUP($C161,'Non Inventory'!$B:$H,7,FALSE()),0),IF($E161="Services",IFERROR(VLOOKUP($C161,Services!$B:$H,7,FALSE()),0),IF($E161="Patty Cash",IFERROR(VLOOKUP($C161,'Patty Cash'!$B:$H,7,FALSE()),0),0)))))</f>
        <v>0</v>
      </c>
      <c r="I161" s="213" t="s">
        <v>1222</v>
      </c>
      <c r="J161" s="214" t="s">
        <v>67</v>
      </c>
      <c r="K161" s="215" t="s">
        <v>1217</v>
      </c>
      <c r="L161" s="197" t="s">
        <v>1204</v>
      </c>
      <c r="M161" s="215" t="s">
        <v>1196</v>
      </c>
      <c r="N161" s="216">
        <f>IFERROR(IF($E161="Inventory",VLOOKUP($C161,Inventory!$B:$I,8,FALSE()),IF($E161="Non Inventory",VLOOKUP($C161,'Non Inventory'!$B:$I,8,FALSE()),IF($E161="Services",VLOOKUP($C161,Services!$B:$I,8,FALSE()),IF($E161="Patty Cash",VLOOKUP($C161,'Patty Cash'!$B:$J,8,FALSE()),0)))),0)</f>
        <v>125</v>
      </c>
      <c r="O161" s="217">
        <f t="shared" si="2"/>
        <v>125</v>
      </c>
    </row>
    <row r="162" spans="1:15" ht="23.1" customHeight="1">
      <c r="A162" s="206">
        <f>IF(AND($B162="",$C162=""),"",MAX($A$3:A161)+1)</f>
        <v>159</v>
      </c>
      <c r="B162" s="207">
        <v>46171</v>
      </c>
      <c r="C162" s="208">
        <v>98370</v>
      </c>
      <c r="D162" s="209" t="str">
        <f>IFERROR(IF($E162="Inventory",VLOOKUP($C162,Inventory!$B:$I,2,FALSE()),IF($E162="Non Inventory",VLOOKUP($C162,'Non Inventory'!$B:$I,2,FALSE()),IF($E162="Services",VLOOKUP($C162,Services!$B:$I,2,FALSE()),IF($E162="Patty Cash",VLOOKUP($C162,'Patty Cash'!$B:$J,2,FALSE()),"")))),"")</f>
        <v>Folder Tape</v>
      </c>
      <c r="E162" s="246" t="s">
        <v>7</v>
      </c>
      <c r="F162" s="210" t="str">
        <f>IFERROR(IF($E162="Inventory",VLOOKUP($C162,Inventory!$B:$I,3,FALSE()),IF($E162="Non Inventory",VLOOKUP($C162,'Non Inventory'!$B:$I,3,FALSE()),IF($E162="Services",VLOOKUP($C162,Services!$B:$I,3,FALSE()),IF($E162="Patty Cash",VLOOKUP($C162,'Patty Cash'!$B:$J,3,FALSE()),"")))),"")</f>
        <v>NOS</v>
      </c>
      <c r="G162" s="211">
        <v>2</v>
      </c>
      <c r="H162" s="212">
        <f>IF($E162="","",IF($E162="Inventory",IFERROR(VLOOKUP($C162,Inventory!$B:$H,7,FALSE()),0),IF($E162="Non Inventory",IFERROR(VLOOKUP($C162,'Non Inventory'!$B:$H,7,FALSE()),0),IF($E162="Services",IFERROR(VLOOKUP($C162,Services!$B:$H,7,FALSE()),0),IF($E162="Patty Cash",IFERROR(VLOOKUP($C162,'Patty Cash'!$B:$H,7,FALSE()),0),0)))))</f>
        <v>440</v>
      </c>
      <c r="I162" s="213" t="s">
        <v>47</v>
      </c>
      <c r="J162" s="214" t="s">
        <v>67</v>
      </c>
      <c r="K162" s="215" t="s">
        <v>1197</v>
      </c>
      <c r="L162" s="197" t="s">
        <v>1195</v>
      </c>
      <c r="M162" s="215" t="s">
        <v>1196</v>
      </c>
      <c r="N162" s="216">
        <f>IFERROR(IF($E162="Inventory",VLOOKUP($C162,Inventory!$B:$I,8,FALSE()),IF($E162="Non Inventory",VLOOKUP($C162,'Non Inventory'!$B:$I,8,FALSE()),IF($E162="Services",VLOOKUP($C162,Services!$B:$I,8,FALSE()),IF($E162="Patty Cash",VLOOKUP($C162,'Patty Cash'!$B:$J,8,FALSE()),0)))),0)</f>
        <v>128</v>
      </c>
      <c r="O162" s="217">
        <f t="shared" si="2"/>
        <v>256</v>
      </c>
    </row>
    <row r="163" spans="1:15" ht="23.1" customHeight="1">
      <c r="A163" s="206">
        <f>IF(AND($B163="",$C163=""),"",MAX($A$3:A162)+1)</f>
        <v>160</v>
      </c>
      <c r="B163" s="207">
        <v>46171</v>
      </c>
      <c r="C163" s="208">
        <v>98370</v>
      </c>
      <c r="D163" s="209" t="str">
        <f>IFERROR(IF($E163="Inventory",VLOOKUP($C163,Inventory!$B:$I,2,FALSE()),IF($E163="Non Inventory",VLOOKUP($C163,'Non Inventory'!$B:$I,2,FALSE()),IF($E163="Services",VLOOKUP($C163,Services!$B:$I,2,FALSE()),IF($E163="Patty Cash",VLOOKUP($C163,'Patty Cash'!$B:$J,2,FALSE()),"")))),"")</f>
        <v>Folder Tape</v>
      </c>
      <c r="E163" s="246" t="s">
        <v>7</v>
      </c>
      <c r="F163" s="210" t="str">
        <f>IFERROR(IF($E163="Inventory",VLOOKUP($C163,Inventory!$B:$I,3,FALSE()),IF($E163="Non Inventory",VLOOKUP($C163,'Non Inventory'!$B:$I,3,FALSE()),IF($E163="Services",VLOOKUP($C163,Services!$B:$I,3,FALSE()),IF($E163="Patty Cash",VLOOKUP($C163,'Patty Cash'!$B:$J,3,FALSE()),"")))),"")</f>
        <v>NOS</v>
      </c>
      <c r="G163" s="211">
        <v>2</v>
      </c>
      <c r="H163" s="212">
        <f>IF($E163="","",IF($E163="Inventory",IFERROR(VLOOKUP($C163,Inventory!$B:$H,7,FALSE()),0),IF($E163="Non Inventory",IFERROR(VLOOKUP($C163,'Non Inventory'!$B:$H,7,FALSE()),0),IF($E163="Services",IFERROR(VLOOKUP($C163,Services!$B:$H,7,FALSE()),0),IF($E163="Patty Cash",IFERROR(VLOOKUP($C163,'Patty Cash'!$B:$H,7,FALSE()),0),0)))))</f>
        <v>440</v>
      </c>
      <c r="I163" s="213" t="s">
        <v>51</v>
      </c>
      <c r="J163" s="214" t="s">
        <v>67</v>
      </c>
      <c r="K163" s="215" t="s">
        <v>1197</v>
      </c>
      <c r="L163" s="197" t="s">
        <v>1195</v>
      </c>
      <c r="M163" s="215" t="s">
        <v>1196</v>
      </c>
      <c r="N163" s="216">
        <f>IFERROR(IF($E163="Inventory",VLOOKUP($C163,Inventory!$B:$I,8,FALSE()),IF($E163="Non Inventory",VLOOKUP($C163,'Non Inventory'!$B:$I,8,FALSE()),IF($E163="Services",VLOOKUP($C163,Services!$B:$I,8,FALSE()),IF($E163="Patty Cash",VLOOKUP($C163,'Patty Cash'!$B:$J,8,FALSE()),0)))),0)</f>
        <v>128</v>
      </c>
      <c r="O163" s="217">
        <f t="shared" si="2"/>
        <v>256</v>
      </c>
    </row>
    <row r="164" spans="1:15" ht="23.1" customHeight="1">
      <c r="A164" s="206">
        <f>IF(AND($B164="",$C164=""),"",MAX($A$3:A163)+1)</f>
        <v>161</v>
      </c>
      <c r="B164" s="207">
        <v>46171</v>
      </c>
      <c r="C164" s="208">
        <v>98370</v>
      </c>
      <c r="D164" s="209" t="str">
        <f>IFERROR(IF($E164="Inventory",VLOOKUP($C164,Inventory!$B:$I,2,FALSE()),IF($E164="Non Inventory",VLOOKUP($C164,'Non Inventory'!$B:$I,2,FALSE()),IF($E164="Services",VLOOKUP($C164,Services!$B:$I,2,FALSE()),IF($E164="Patty Cash",VLOOKUP($C164,'Patty Cash'!$B:$J,2,FALSE()),"")))),"")</f>
        <v>Folder Tape</v>
      </c>
      <c r="E164" s="246" t="s">
        <v>7</v>
      </c>
      <c r="F164" s="210" t="str">
        <f>IFERROR(IF($E164="Inventory",VLOOKUP($C164,Inventory!$B:$I,3,FALSE()),IF($E164="Non Inventory",VLOOKUP($C164,'Non Inventory'!$B:$I,3,FALSE()),IF($E164="Services",VLOOKUP($C164,Services!$B:$I,3,FALSE()),IF($E164="Patty Cash",VLOOKUP($C164,'Patty Cash'!$B:$J,3,FALSE()),"")))),"")</f>
        <v>NOS</v>
      </c>
      <c r="G164" s="211">
        <v>2</v>
      </c>
      <c r="H164" s="212">
        <f>IF($E164="","",IF($E164="Inventory",IFERROR(VLOOKUP($C164,Inventory!$B:$H,7,FALSE()),0),IF($E164="Non Inventory",IFERROR(VLOOKUP($C164,'Non Inventory'!$B:$H,7,FALSE()),0),IF($E164="Services",IFERROR(VLOOKUP($C164,Services!$B:$H,7,FALSE()),0),IF($E164="Patty Cash",IFERROR(VLOOKUP($C164,'Patty Cash'!$B:$H,7,FALSE()),0),0)))))</f>
        <v>440</v>
      </c>
      <c r="I164" s="213" t="s">
        <v>53</v>
      </c>
      <c r="J164" s="214" t="s">
        <v>67</v>
      </c>
      <c r="K164" s="215" t="s">
        <v>1197</v>
      </c>
      <c r="L164" s="197" t="s">
        <v>1195</v>
      </c>
      <c r="M164" s="215" t="s">
        <v>1196</v>
      </c>
      <c r="N164" s="216">
        <f>IFERROR(IF($E164="Inventory",VLOOKUP($C164,Inventory!$B:$I,8,FALSE()),IF($E164="Non Inventory",VLOOKUP($C164,'Non Inventory'!$B:$I,8,FALSE()),IF($E164="Services",VLOOKUP($C164,Services!$B:$I,8,FALSE()),IF($E164="Patty Cash",VLOOKUP($C164,'Patty Cash'!$B:$J,8,FALSE()),0)))),0)</f>
        <v>128</v>
      </c>
      <c r="O164" s="217">
        <f t="shared" si="2"/>
        <v>256</v>
      </c>
    </row>
    <row r="165" spans="1:15" ht="23.1" customHeight="1">
      <c r="A165" s="206">
        <f>IF(AND($B165="",$C165=""),"",MAX($A$3:A164)+1)</f>
        <v>162</v>
      </c>
      <c r="B165" s="207">
        <v>46171</v>
      </c>
      <c r="C165" s="208">
        <v>17237</v>
      </c>
      <c r="D165" s="209" t="str">
        <f>IFERROR(IF($E165="Inventory",VLOOKUP($C165,Inventory!$B:$I,2,FALSE()),IF($E165="Non Inventory",VLOOKUP($C165,'Non Inventory'!$B:$I,2,FALSE()),IF($E165="Services",VLOOKUP($C165,Services!$B:$I,2,FALSE()),IF($E165="Patty Cash",VLOOKUP($C165,'Patty Cash'!$B:$J,2,FALSE()),"")))),"")</f>
        <v>Film Puling Belt Size Dia=292mm W=38mm T=6mm (Material NBR)For Ishida Packing Machine</v>
      </c>
      <c r="E165" s="246" t="s">
        <v>6</v>
      </c>
      <c r="F165" s="210" t="str">
        <f>IFERROR(IF($E165="Inventory",VLOOKUP($C165,Inventory!$B:$I,3,FALSE()),IF($E165="Non Inventory",VLOOKUP($C165,'Non Inventory'!$B:$I,3,FALSE()),IF($E165="Services",VLOOKUP($C165,Services!$B:$I,3,FALSE()),IF($E165="Patty Cash",VLOOKUP($C165,'Patty Cash'!$B:$J,3,FALSE()),"")))),"")</f>
        <v>NOS</v>
      </c>
      <c r="G165" s="211">
        <v>1</v>
      </c>
      <c r="H165" s="212">
        <f>IF($E165="","",IF($E165="Inventory",IFERROR(VLOOKUP($C165,Inventory!$B:$H,7,FALSE()),0),IF($E165="Non Inventory",IFERROR(VLOOKUP($C165,'Non Inventory'!$B:$H,7,FALSE()),0),IF($E165="Services",IFERROR(VLOOKUP($C165,Services!$B:$H,7,FALSE()),0),IF($E165="Patty Cash",IFERROR(VLOOKUP($C165,'Patty Cash'!$B:$H,7,FALSE()),0),0)))))</f>
        <v>8</v>
      </c>
      <c r="I165" s="213" t="s">
        <v>51</v>
      </c>
      <c r="J165" s="214" t="s">
        <v>1242</v>
      </c>
      <c r="K165" s="215" t="s">
        <v>1199</v>
      </c>
      <c r="L165" s="197" t="s">
        <v>1195</v>
      </c>
      <c r="M165" s="215" t="s">
        <v>1196</v>
      </c>
      <c r="N165" s="216">
        <f>IFERROR(IF($E165="Inventory",VLOOKUP($C165,Inventory!$B:$I,8,FALSE()),IF($E165="Non Inventory",VLOOKUP($C165,'Non Inventory'!$B:$I,8,FALSE()),IF($E165="Services",VLOOKUP($C165,Services!$B:$I,8,FALSE()),IF($E165="Patty Cash",VLOOKUP($C165,'Patty Cash'!$B:$J,8,FALSE()),0)))),0)</f>
        <v>9000</v>
      </c>
      <c r="O165" s="217">
        <f t="shared" si="2"/>
        <v>9000</v>
      </c>
    </row>
    <row r="166" spans="1:15" ht="23.1" customHeight="1">
      <c r="A166" s="206">
        <f>IF(AND($B166="",$C166=""),"",MAX($A$3:A165)+1)</f>
        <v>163</v>
      </c>
      <c r="B166" s="207">
        <v>46171</v>
      </c>
      <c r="C166" s="208">
        <v>5813</v>
      </c>
      <c r="D166" s="209" t="str">
        <f>IFERROR(IF($E166="Inventory",VLOOKUP($C166,Inventory!$B:$I,2,FALSE()),IF($E166="Non Inventory",VLOOKUP($C166,'Non Inventory'!$B:$I,2,FALSE()),IF($E166="Services",VLOOKUP($C166,Services!$B:$I,2,FALSE()),IF($E166="Patty Cash",VLOOKUP($C166,'Patty Cash'!$B:$J,2,FALSE()),"")))),"")</f>
        <v>Insect Killer Rod 15"</v>
      </c>
      <c r="E166" s="246" t="s">
        <v>7</v>
      </c>
      <c r="F166" s="210" t="str">
        <f>IFERROR(IF($E166="Inventory",VLOOKUP($C166,Inventory!$B:$I,3,FALSE()),IF($E166="Non Inventory",VLOOKUP($C166,'Non Inventory'!$B:$I,3,FALSE()),IF($E166="Services",VLOOKUP($C166,Services!$B:$I,3,FALSE()),IF($E166="Patty Cash",VLOOKUP($C166,'Patty Cash'!$B:$J,3,FALSE()),"")))),"")</f>
        <v>NOS</v>
      </c>
      <c r="G166" s="211">
        <v>1</v>
      </c>
      <c r="H166" s="212">
        <f>IF($E166="","",IF($E166="Inventory",IFERROR(VLOOKUP($C166,Inventory!$B:$H,7,FALSE()),0),IF($E166="Non Inventory",IFERROR(VLOOKUP($C166,'Non Inventory'!$B:$H,7,FALSE()),0),IF($E166="Services",IFERROR(VLOOKUP($C166,Services!$B:$H,7,FALSE()),0),IF($E166="Patty Cash",IFERROR(VLOOKUP($C166,'Patty Cash'!$B:$H,7,FALSE()),0),0)))))</f>
        <v>7</v>
      </c>
      <c r="I166" s="213" t="s">
        <v>1222</v>
      </c>
      <c r="J166" s="214" t="s">
        <v>67</v>
      </c>
      <c r="K166" s="215" t="s">
        <v>1206</v>
      </c>
      <c r="L166" s="197" t="s">
        <v>1195</v>
      </c>
      <c r="M166" s="215" t="s">
        <v>1207</v>
      </c>
      <c r="N166" s="216">
        <f>IFERROR(IF($E166="Inventory",VLOOKUP($C166,Inventory!$B:$I,8,FALSE()),IF($E166="Non Inventory",VLOOKUP($C166,'Non Inventory'!$B:$I,8,FALSE()),IF($E166="Services",VLOOKUP($C166,Services!$B:$I,8,FALSE()),IF($E166="Patty Cash",VLOOKUP($C166,'Patty Cash'!$B:$J,8,FALSE()),0)))),0)</f>
        <v>425</v>
      </c>
      <c r="O166" s="217">
        <f t="shared" si="2"/>
        <v>425</v>
      </c>
    </row>
    <row r="167" spans="1:15" ht="23.1" customHeight="1">
      <c r="A167" s="206">
        <f>IF(AND($B167="",$C167=""),"",MAX($A$3:A166)+1)</f>
        <v>164</v>
      </c>
      <c r="B167" s="207">
        <v>46171</v>
      </c>
      <c r="C167" s="208">
        <v>7077</v>
      </c>
      <c r="D167" s="209" t="str">
        <f>IFERROR(IF($E167="Inventory",VLOOKUP($C167,Inventory!$B:$I,2,FALSE()),IF($E167="Non Inventory",VLOOKUP($C167,'Non Inventory'!$B:$I,2,FALSE()),IF($E167="Services",VLOOKUP($C167,Services!$B:$I,2,FALSE()),IF($E167="Patty Cash",VLOOKUP($C167,'Patty Cash'!$B:$J,2,FALSE()),"")))),"")</f>
        <v>Starter S-2 (Philps)</v>
      </c>
      <c r="E167" s="246" t="s">
        <v>7</v>
      </c>
      <c r="F167" s="210" t="str">
        <f>IFERROR(IF($E167="Inventory",VLOOKUP($C167,Inventory!$B:$I,3,FALSE()),IF($E167="Non Inventory",VLOOKUP($C167,'Non Inventory'!$B:$I,3,FALSE()),IF($E167="Services",VLOOKUP($C167,Services!$B:$I,3,FALSE()),IF($E167="Patty Cash",VLOOKUP($C167,'Patty Cash'!$B:$J,3,FALSE()),"")))),"")</f>
        <v>NOS</v>
      </c>
      <c r="G167" s="211">
        <v>1</v>
      </c>
      <c r="H167" s="212">
        <f>IF($E167="","",IF($E167="Inventory",IFERROR(VLOOKUP($C167,Inventory!$B:$H,7,FALSE()),0),IF($E167="Non Inventory",IFERROR(VLOOKUP($C167,'Non Inventory'!$B:$H,7,FALSE()),0),IF($E167="Services",IFERROR(VLOOKUP($C167,Services!$B:$H,7,FALSE()),0),IF($E167="Patty Cash",IFERROR(VLOOKUP($C167,'Patty Cash'!$B:$H,7,FALSE()),0),0)))))</f>
        <v>14</v>
      </c>
      <c r="I167" s="213" t="s">
        <v>1222</v>
      </c>
      <c r="J167" s="214" t="s">
        <v>67</v>
      </c>
      <c r="K167" s="215" t="s">
        <v>1206</v>
      </c>
      <c r="L167" s="197" t="s">
        <v>1195</v>
      </c>
      <c r="M167" s="215" t="s">
        <v>1207</v>
      </c>
      <c r="N167" s="216">
        <f>IFERROR(IF($E167="Inventory",VLOOKUP($C167,Inventory!$B:$I,8,FALSE()),IF($E167="Non Inventory",VLOOKUP($C167,'Non Inventory'!$B:$I,8,FALSE()),IF($E167="Services",VLOOKUP($C167,Services!$B:$I,8,FALSE()),IF($E167="Patty Cash",VLOOKUP($C167,'Patty Cash'!$B:$J,8,FALSE()),0)))),0)</f>
        <v>95</v>
      </c>
      <c r="O167" s="217">
        <f t="shared" si="2"/>
        <v>95</v>
      </c>
    </row>
    <row r="168" spans="1:15" ht="23.1" customHeight="1">
      <c r="A168" s="206">
        <f>IF(AND($B168="",$C168=""),"",MAX($A$3:A167)+1)</f>
        <v>165</v>
      </c>
      <c r="B168" s="207">
        <v>46172</v>
      </c>
      <c r="C168" s="208">
        <v>4780</v>
      </c>
      <c r="D168" s="209" t="str">
        <f>IFERROR(IF($E168="Inventory",VLOOKUP($C168,Inventory!$B:$I,2,FALSE()),IF($E168="Non Inventory",VLOOKUP($C168,'Non Inventory'!$B:$I,2,FALSE()),IF($E168="Services",VLOOKUP($C168,Services!$B:$I,2,FALSE()),IF($E168="Patty Cash",VLOOKUP($C168,'Patty Cash'!$B:$J,2,FALSE()),"")))),"")</f>
        <v>Cutting Disc 125 mmX1.0 mmx22.3, Grade 74A30TIIBF1367 to EN 12413,12200 rpm.</v>
      </c>
      <c r="E168" s="246" t="s">
        <v>7</v>
      </c>
      <c r="F168" s="210" t="str">
        <f>IFERROR(IF($E168="Inventory",VLOOKUP($C168,Inventory!$B:$I,3,FALSE()),IF($E168="Non Inventory",VLOOKUP($C168,'Non Inventory'!$B:$I,3,FALSE()),IF($E168="Services",VLOOKUP($C168,Services!$B:$I,3,FALSE()),IF($E168="Patty Cash",VLOOKUP($C168,'Patty Cash'!$B:$J,3,FALSE()),"")))),"")</f>
        <v>NOS</v>
      </c>
      <c r="G168" s="211">
        <v>1</v>
      </c>
      <c r="H168" s="212">
        <f>IF($E168="","",IF($E168="Inventory",IFERROR(VLOOKUP($C168,Inventory!$B:$H,7,FALSE()),0),IF($E168="Non Inventory",IFERROR(VLOOKUP($C168,'Non Inventory'!$B:$H,7,FALSE()),0),IF($E168="Services",IFERROR(VLOOKUP($C168,Services!$B:$H,7,FALSE()),0),IF($E168="Patty Cash",IFERROR(VLOOKUP($C168,'Patty Cash'!$B:$H,7,FALSE()),0),0)))))</f>
        <v>35</v>
      </c>
      <c r="I168" s="213" t="s">
        <v>1222</v>
      </c>
      <c r="J168" s="214" t="s">
        <v>67</v>
      </c>
      <c r="K168" s="215" t="s">
        <v>1199</v>
      </c>
      <c r="L168" s="197" t="s">
        <v>1195</v>
      </c>
      <c r="M168" s="215" t="s">
        <v>1196</v>
      </c>
      <c r="N168" s="216">
        <f>IFERROR(IF($E168="Inventory",VLOOKUP($C168,Inventory!$B:$I,8,FALSE()),IF($E168="Non Inventory",VLOOKUP($C168,'Non Inventory'!$B:$I,8,FALSE()),IF($E168="Services",VLOOKUP($C168,Services!$B:$I,8,FALSE()),IF($E168="Patty Cash",VLOOKUP($C168,'Patty Cash'!$B:$J,8,FALSE()),0)))),0)</f>
        <v>180</v>
      </c>
      <c r="O168" s="217">
        <f t="shared" si="2"/>
        <v>180</v>
      </c>
    </row>
    <row r="169" spans="1:15" ht="23.1" customHeight="1">
      <c r="A169" s="206">
        <f>IF(AND($B169="",$C169=""),"",MAX($A$3:A168)+1)</f>
        <v>166</v>
      </c>
      <c r="B169" s="207">
        <v>46172</v>
      </c>
      <c r="C169" s="208">
        <v>7056</v>
      </c>
      <c r="D169" s="209" t="str">
        <f>IFERROR(IF($E169="Inventory",VLOOKUP($C169,Inventory!$B:$I,2,FALSE()),IF($E169="Non Inventory",VLOOKUP($C169,'Non Inventory'!$B:$I,2,FALSE()),IF($E169="Services",VLOOKUP($C169,Services!$B:$I,2,FALSE()),IF($E169="Patty Cash",VLOOKUP($C169,'Patty Cash'!$B:$J,2,FALSE()),"")))),"")</f>
        <v>V-BELT B-50</v>
      </c>
      <c r="E169" s="246" t="s">
        <v>7</v>
      </c>
      <c r="F169" s="210" t="str">
        <f>IFERROR(IF($E169="Inventory",VLOOKUP($C169,Inventory!$B:$I,3,FALSE()),IF($E169="Non Inventory",VLOOKUP($C169,'Non Inventory'!$B:$I,3,FALSE()),IF($E169="Services",VLOOKUP($C169,Services!$B:$I,3,FALSE()),IF($E169="Patty Cash",VLOOKUP($C169,'Patty Cash'!$B:$J,3,FALSE()),"")))),"")</f>
        <v>NOS</v>
      </c>
      <c r="G169" s="211">
        <v>1</v>
      </c>
      <c r="H169" s="212">
        <f>IF($E169="","",IF($E169="Inventory",IFERROR(VLOOKUP($C169,Inventory!$B:$H,7,FALSE()),0),IF($E169="Non Inventory",IFERROR(VLOOKUP($C169,'Non Inventory'!$B:$H,7,FALSE()),0),IF($E169="Services",IFERROR(VLOOKUP($C169,Services!$B:$H,7,FALSE()),0),IF($E169="Patty Cash",IFERROR(VLOOKUP($C169,'Patty Cash'!$B:$H,7,FALSE()),0),0)))))</f>
        <v>12</v>
      </c>
      <c r="I169" s="213" t="s">
        <v>55</v>
      </c>
      <c r="J169" s="214" t="s">
        <v>67</v>
      </c>
      <c r="K169" s="215" t="s">
        <v>1194</v>
      </c>
      <c r="L169" s="197" t="s">
        <v>1195</v>
      </c>
      <c r="M169" s="215" t="s">
        <v>1196</v>
      </c>
      <c r="N169" s="216">
        <f>IFERROR(IF($E169="Inventory",VLOOKUP($C169,Inventory!$B:$I,8,FALSE()),IF($E169="Non Inventory",VLOOKUP($C169,'Non Inventory'!$B:$I,8,FALSE()),IF($E169="Services",VLOOKUP($C169,Services!$B:$I,8,FALSE()),IF($E169="Patty Cash",VLOOKUP($C169,'Patty Cash'!$B:$J,8,FALSE()),0)))),0)</f>
        <v>380</v>
      </c>
      <c r="O169" s="217">
        <f t="shared" si="2"/>
        <v>380</v>
      </c>
    </row>
    <row r="170" spans="1:15" ht="23.1" customHeight="1">
      <c r="A170" s="206">
        <f>IF(AND($B170="",$C170=""),"",MAX($A$3:A169)+1)</f>
        <v>167</v>
      </c>
      <c r="B170" s="207">
        <v>46172</v>
      </c>
      <c r="C170" s="208">
        <v>7968</v>
      </c>
      <c r="D170" s="209" t="str">
        <f>IFERROR(IF($E170="Inventory",VLOOKUP($C170,Inventory!$B:$I,2,FALSE()),IF($E170="Non Inventory",VLOOKUP($C170,'Non Inventory'!$B:$I,2,FALSE()),IF($E170="Services",VLOOKUP($C170,Services!$B:$I,2,FALSE()),IF($E170="Patty Cash",VLOOKUP($C170,'Patty Cash'!$B:$J,2,FALSE()),"")))),"")</f>
        <v>V-BELT B-52</v>
      </c>
      <c r="E170" s="246" t="s">
        <v>7</v>
      </c>
      <c r="F170" s="210" t="str">
        <f>IFERROR(IF($E170="Inventory",VLOOKUP($C170,Inventory!$B:$I,3,FALSE()),IF($E170="Non Inventory",VLOOKUP($C170,'Non Inventory'!$B:$I,3,FALSE()),IF($E170="Services",VLOOKUP($C170,Services!$B:$I,3,FALSE()),IF($E170="Patty Cash",VLOOKUP($C170,'Patty Cash'!$B:$J,3,FALSE()),"")))),"")</f>
        <v>NOS</v>
      </c>
      <c r="G170" s="211">
        <v>1</v>
      </c>
      <c r="H170" s="212">
        <f>IF($E170="","",IF($E170="Inventory",IFERROR(VLOOKUP($C170,Inventory!$B:$H,7,FALSE()),0),IF($E170="Non Inventory",IFERROR(VLOOKUP($C170,'Non Inventory'!$B:$H,7,FALSE()),0),IF($E170="Services",IFERROR(VLOOKUP($C170,Services!$B:$H,7,FALSE()),0),IF($E170="Patty Cash",IFERROR(VLOOKUP($C170,'Patty Cash'!$B:$H,7,FALSE()),0),0)))))</f>
        <v>2</v>
      </c>
      <c r="I170" s="213" t="s">
        <v>55</v>
      </c>
      <c r="J170" s="214" t="s">
        <v>67</v>
      </c>
      <c r="K170" s="215" t="s">
        <v>1194</v>
      </c>
      <c r="L170" s="197" t="s">
        <v>1195</v>
      </c>
      <c r="M170" s="215" t="s">
        <v>1196</v>
      </c>
      <c r="N170" s="216">
        <f>IFERROR(IF($E170="Inventory",VLOOKUP($C170,Inventory!$B:$I,8,FALSE()),IF($E170="Non Inventory",VLOOKUP($C170,'Non Inventory'!$B:$I,8,FALSE()),IF($E170="Services",VLOOKUP($C170,Services!$B:$I,8,FALSE()),IF($E170="Patty Cash",VLOOKUP($C170,'Patty Cash'!$B:$J,8,FALSE()),0)))),0)</f>
        <v>432</v>
      </c>
      <c r="O170" s="217">
        <f t="shared" si="2"/>
        <v>432</v>
      </c>
    </row>
    <row r="171" spans="1:15" ht="23.1" customHeight="1">
      <c r="A171" s="206">
        <f>IF(AND($B171="",$C171=""),"",MAX($A$3:A170)+1)</f>
        <v>168</v>
      </c>
      <c r="B171" s="207">
        <v>46172</v>
      </c>
      <c r="C171" s="208">
        <v>7706</v>
      </c>
      <c r="D171" s="209" t="str">
        <f>IFERROR(IF($E171="Inventory",VLOOKUP($C171,Inventory!$B:$I,2,FALSE()),IF($E171="Non Inventory",VLOOKUP($C171,'Non Inventory'!$B:$I,2,FALSE()),IF($E171="Services",VLOOKUP($C171,Services!$B:$I,2,FALSE()),IF($E171="Patty Cash",VLOOKUP($C171,'Patty Cash'!$B:$J,2,FALSE()),"")))),"")</f>
        <v>Log Books</v>
      </c>
      <c r="E171" s="246" t="s">
        <v>7</v>
      </c>
      <c r="F171" s="210" t="str">
        <f>IFERROR(IF($E171="Inventory",VLOOKUP($C171,Inventory!$B:$I,3,FALSE()),IF($E171="Non Inventory",VLOOKUP($C171,'Non Inventory'!$B:$I,3,FALSE()),IF($E171="Services",VLOOKUP($C171,Services!$B:$I,3,FALSE()),IF($E171="Patty Cash",VLOOKUP($C171,'Patty Cash'!$B:$J,3,FALSE()),"")))),"")</f>
        <v>NOS</v>
      </c>
      <c r="G171" s="211">
        <v>1</v>
      </c>
      <c r="H171" s="212">
        <f>IF($E171="","",IF($E171="Inventory",IFERROR(VLOOKUP($C171,Inventory!$B:$H,7,FALSE()),0),IF($E171="Non Inventory",IFERROR(VLOOKUP($C171,'Non Inventory'!$B:$H,7,FALSE()),0),IF($E171="Services",IFERROR(VLOOKUP($C171,Services!$B:$H,7,FALSE()),0),IF($E171="Patty Cash",IFERROR(VLOOKUP($C171,'Patty Cash'!$B:$H,7,FALSE()),0),0)))))</f>
        <v>50</v>
      </c>
      <c r="I171" s="213" t="s">
        <v>1395</v>
      </c>
      <c r="J171" s="214" t="s">
        <v>67</v>
      </c>
      <c r="K171" s="215" t="s">
        <v>1197</v>
      </c>
      <c r="L171" s="197" t="s">
        <v>1195</v>
      </c>
      <c r="M171" s="215" t="s">
        <v>1196</v>
      </c>
      <c r="N171" s="216">
        <f>IFERROR(IF($E171="Inventory",VLOOKUP($C171,Inventory!$B:$I,8,FALSE()),IF($E171="Non Inventory",VLOOKUP($C171,'Non Inventory'!$B:$I,8,FALSE()),IF($E171="Services",VLOOKUP($C171,Services!$B:$I,8,FALSE()),IF($E171="Patty Cash",VLOOKUP($C171,'Patty Cash'!$B:$J,8,FALSE()),0)))),0)</f>
        <v>900</v>
      </c>
      <c r="O171" s="217">
        <f t="shared" si="2"/>
        <v>900</v>
      </c>
    </row>
    <row r="172" spans="1:15" ht="23.1" customHeight="1">
      <c r="A172" s="206">
        <f>IF(AND($B172="",$C172=""),"",MAX($A$3:A171)+1)</f>
        <v>169</v>
      </c>
      <c r="B172" s="207">
        <v>46172</v>
      </c>
      <c r="C172" s="208">
        <v>10725</v>
      </c>
      <c r="D172" s="209" t="str">
        <f>IFERROR(IF($E172="Inventory",VLOOKUP($C172,Inventory!$B:$I,2,FALSE()),IF($E172="Non Inventory",VLOOKUP($C172,'Non Inventory'!$B:$I,2,FALSE()),IF($E172="Services",VLOOKUP($C172,Services!$B:$I,2,FALSE()),IF($E172="Patty Cash",VLOOKUP($C172,'Patty Cash'!$B:$J,2,FALSE()),"")))),"")</f>
        <v>Pneumatic Air Connector Size 1/8" x 6mm</v>
      </c>
      <c r="E172" s="246" t="s">
        <v>7</v>
      </c>
      <c r="F172" s="210" t="str">
        <f>IFERROR(IF($E172="Inventory",VLOOKUP($C172,Inventory!$B:$I,3,FALSE()),IF($E172="Non Inventory",VLOOKUP($C172,'Non Inventory'!$B:$I,3,FALSE()),IF($E172="Services",VLOOKUP($C172,Services!$B:$I,3,FALSE()),IF($E172="Patty Cash",VLOOKUP($C172,'Patty Cash'!$B:$J,3,FALSE()),"")))),"")</f>
        <v>NOS</v>
      </c>
      <c r="G172" s="211">
        <v>1</v>
      </c>
      <c r="H172" s="212">
        <f>IF($E172="","",IF($E172="Inventory",IFERROR(VLOOKUP($C172,Inventory!$B:$H,7,FALSE()),0),IF($E172="Non Inventory",IFERROR(VLOOKUP($C172,'Non Inventory'!$B:$H,7,FALSE()),0),IF($E172="Services",IFERROR(VLOOKUP($C172,Services!$B:$H,7,FALSE()),0),IF($E172="Patty Cash",IFERROR(VLOOKUP($C172,'Patty Cash'!$B:$H,7,FALSE()),0),0)))))</f>
        <v>5</v>
      </c>
      <c r="I172" s="213" t="s">
        <v>1222</v>
      </c>
      <c r="J172" s="214" t="s">
        <v>67</v>
      </c>
      <c r="K172" s="215" t="s">
        <v>1199</v>
      </c>
      <c r="L172" s="197" t="s">
        <v>1195</v>
      </c>
      <c r="M172" s="215" t="s">
        <v>1196</v>
      </c>
      <c r="N172" s="216">
        <f>IFERROR(IF($E172="Inventory",VLOOKUP($C172,Inventory!$B:$I,8,FALSE()),IF($E172="Non Inventory",VLOOKUP($C172,'Non Inventory'!$B:$I,8,FALSE()),IF($E172="Services",VLOOKUP($C172,Services!$B:$I,8,FALSE()),IF($E172="Patty Cash",VLOOKUP($C172,'Patty Cash'!$B:$J,8,FALSE()),0)))),0)</f>
        <v>195</v>
      </c>
      <c r="O172" s="217">
        <f t="shared" si="2"/>
        <v>195</v>
      </c>
    </row>
    <row r="173" spans="1:15" ht="23.1" customHeight="1">
      <c r="A173" s="206">
        <f>IF(AND($B173="",$C173=""),"",MAX($A$3:A172)+1)</f>
        <v>170</v>
      </c>
      <c r="B173" s="207">
        <v>46172</v>
      </c>
      <c r="C173" s="208">
        <v>5539</v>
      </c>
      <c r="D173" s="209" t="str">
        <f>IFERROR(IF($E173="Inventory",VLOOKUP($C173,Inventory!$B:$I,2,FALSE()),IF($E173="Non Inventory",VLOOKUP($C173,'Non Inventory'!$B:$I,2,FALSE()),IF($E173="Services",VLOOKUP($C173,Services!$B:$I,2,FALSE()),IF($E173="Patty Cash",VLOOKUP($C173,'Patty Cash'!$B:$J,2,FALSE()),"")))),"")</f>
        <v>PNEUMATIC EQUAL TEE SIZE 6MM</v>
      </c>
      <c r="E173" s="246" t="s">
        <v>7</v>
      </c>
      <c r="F173" s="210" t="str">
        <f>IFERROR(IF($E173="Inventory",VLOOKUP($C173,Inventory!$B:$I,3,FALSE()),IF($E173="Non Inventory",VLOOKUP($C173,'Non Inventory'!$B:$I,3,FALSE()),IF($E173="Services",VLOOKUP($C173,Services!$B:$I,3,FALSE()),IF($E173="Patty Cash",VLOOKUP($C173,'Patty Cash'!$B:$J,3,FALSE()),"")))),"")</f>
        <v>NOS</v>
      </c>
      <c r="G173" s="211">
        <v>1</v>
      </c>
      <c r="H173" s="212">
        <f>IF($E173="","",IF($E173="Inventory",IFERROR(VLOOKUP($C173,Inventory!$B:$H,7,FALSE()),0),IF($E173="Non Inventory",IFERROR(VLOOKUP($C173,'Non Inventory'!$B:$H,7,FALSE()),0),IF($E173="Services",IFERROR(VLOOKUP($C173,Services!$B:$H,7,FALSE()),0),IF($E173="Patty Cash",IFERROR(VLOOKUP($C173,'Patty Cash'!$B:$H,7,FALSE()),0),0)))))</f>
        <v>6</v>
      </c>
      <c r="I173" s="213" t="s">
        <v>1222</v>
      </c>
      <c r="J173" s="214" t="s">
        <v>67</v>
      </c>
      <c r="K173" s="215" t="s">
        <v>1194</v>
      </c>
      <c r="L173" s="197" t="s">
        <v>1195</v>
      </c>
      <c r="M173" s="215" t="s">
        <v>1196</v>
      </c>
      <c r="N173" s="216">
        <f>IFERROR(IF($E173="Inventory",VLOOKUP($C173,Inventory!$B:$I,8,FALSE()),IF($E173="Non Inventory",VLOOKUP($C173,'Non Inventory'!$B:$I,8,FALSE()),IF($E173="Services",VLOOKUP($C173,Services!$B:$I,8,FALSE()),IF($E173="Patty Cash",VLOOKUP($C173,'Patty Cash'!$B:$J,8,FALSE()),0)))),0)</f>
        <v>225</v>
      </c>
      <c r="O173" s="217">
        <f t="shared" si="2"/>
        <v>225</v>
      </c>
    </row>
    <row r="174" spans="1:15" ht="23.1" customHeight="1">
      <c r="A174" s="206">
        <f>IF(AND($B174="",$C174=""),"",MAX($A$3:A173)+1)</f>
        <v>171</v>
      </c>
      <c r="B174" s="207">
        <v>46172</v>
      </c>
      <c r="C174" s="208">
        <v>98370</v>
      </c>
      <c r="D174" s="209" t="str">
        <f>IFERROR(IF($E174="Inventory",VLOOKUP($C174,Inventory!$B:$I,2,FALSE()),IF($E174="Non Inventory",VLOOKUP($C174,'Non Inventory'!$B:$I,2,FALSE()),IF($E174="Services",VLOOKUP($C174,Services!$B:$I,2,FALSE()),IF($E174="Patty Cash",VLOOKUP($C174,'Patty Cash'!$B:$J,2,FALSE()),"")))),"")</f>
        <v>Folder Tape</v>
      </c>
      <c r="E174" s="246" t="s">
        <v>7</v>
      </c>
      <c r="F174" s="210" t="str">
        <f>IFERROR(IF($E174="Inventory",VLOOKUP($C174,Inventory!$B:$I,3,FALSE()),IF($E174="Non Inventory",VLOOKUP($C174,'Non Inventory'!$B:$I,3,FALSE()),IF($E174="Services",VLOOKUP($C174,Services!$B:$I,3,FALSE()),IF($E174="Patty Cash",VLOOKUP($C174,'Patty Cash'!$B:$J,3,FALSE()),"")))),"")</f>
        <v>NOS</v>
      </c>
      <c r="G174" s="211">
        <v>1</v>
      </c>
      <c r="H174" s="212">
        <f>IF($E174="","",IF($E174="Inventory",IFERROR(VLOOKUP($C174,Inventory!$B:$H,7,FALSE()),0),IF($E174="Non Inventory",IFERROR(VLOOKUP($C174,'Non Inventory'!$B:$H,7,FALSE()),0),IF($E174="Services",IFERROR(VLOOKUP($C174,Services!$B:$H,7,FALSE()),0),IF($E174="Patty Cash",IFERROR(VLOOKUP($C174,'Patty Cash'!$B:$H,7,FALSE()),0),0)))))</f>
        <v>440</v>
      </c>
      <c r="I174" s="213" t="s">
        <v>41</v>
      </c>
      <c r="J174" s="214" t="s">
        <v>1425</v>
      </c>
      <c r="K174" s="215" t="s">
        <v>1197</v>
      </c>
      <c r="L174" s="197" t="s">
        <v>1195</v>
      </c>
      <c r="M174" s="215" t="s">
        <v>1196</v>
      </c>
      <c r="N174" s="216">
        <f>IFERROR(IF($E174="Inventory",VLOOKUP($C174,Inventory!$B:$I,8,FALSE()),IF($E174="Non Inventory",VLOOKUP($C174,'Non Inventory'!$B:$I,8,FALSE()),IF($E174="Services",VLOOKUP($C174,Services!$B:$I,8,FALSE()),IF($E174="Patty Cash",VLOOKUP($C174,'Patty Cash'!$B:$J,8,FALSE()),0)))),0)</f>
        <v>128</v>
      </c>
      <c r="O174" s="217">
        <f t="shared" si="2"/>
        <v>128</v>
      </c>
    </row>
    <row r="175" spans="1:15" ht="23.1" customHeight="1">
      <c r="A175" s="206">
        <f>IF(AND($B175="",$C175=""),"",MAX($A$3:A174)+1)</f>
        <v>172</v>
      </c>
      <c r="B175" s="207">
        <v>46172</v>
      </c>
      <c r="C175" s="208">
        <v>98370</v>
      </c>
      <c r="D175" s="209" t="str">
        <f>IFERROR(IF($E175="Inventory",VLOOKUP($C175,Inventory!$B:$I,2,FALSE()),IF($E175="Non Inventory",VLOOKUP($C175,'Non Inventory'!$B:$I,2,FALSE()),IF($E175="Services",VLOOKUP($C175,Services!$B:$I,2,FALSE()),IF($E175="Patty Cash",VLOOKUP($C175,'Patty Cash'!$B:$J,2,FALSE()),"")))),"")</f>
        <v>Folder Tape</v>
      </c>
      <c r="E175" s="246" t="s">
        <v>7</v>
      </c>
      <c r="F175" s="210" t="str">
        <f>IFERROR(IF($E175="Inventory",VLOOKUP($C175,Inventory!$B:$I,3,FALSE()),IF($E175="Non Inventory",VLOOKUP($C175,'Non Inventory'!$B:$I,3,FALSE()),IF($E175="Services",VLOOKUP($C175,Services!$B:$I,3,FALSE()),IF($E175="Patty Cash",VLOOKUP($C175,'Patty Cash'!$B:$J,3,FALSE()),"")))),"")</f>
        <v>NOS</v>
      </c>
      <c r="G175" s="211">
        <v>1</v>
      </c>
      <c r="H175" s="212">
        <f>IF($E175="","",IF($E175="Inventory",IFERROR(VLOOKUP($C175,Inventory!$B:$H,7,FALSE()),0),IF($E175="Non Inventory",IFERROR(VLOOKUP($C175,'Non Inventory'!$B:$H,7,FALSE()),0),IF($E175="Services",IFERROR(VLOOKUP($C175,Services!$B:$H,7,FALSE()),0),IF($E175="Patty Cash",IFERROR(VLOOKUP($C175,'Patty Cash'!$B:$H,7,FALSE()),0),0)))))</f>
        <v>440</v>
      </c>
      <c r="I175" s="213" t="s">
        <v>41</v>
      </c>
      <c r="J175" s="214" t="s">
        <v>1425</v>
      </c>
      <c r="K175" s="215" t="s">
        <v>1197</v>
      </c>
      <c r="L175" s="197" t="s">
        <v>1195</v>
      </c>
      <c r="M175" s="215" t="s">
        <v>1196</v>
      </c>
      <c r="N175" s="216">
        <f>IFERROR(IF($E175="Inventory",VLOOKUP($C175,Inventory!$B:$I,8,FALSE()),IF($E175="Non Inventory",VLOOKUP($C175,'Non Inventory'!$B:$I,8,FALSE()),IF($E175="Services",VLOOKUP($C175,Services!$B:$I,8,FALSE()),IF($E175="Patty Cash",VLOOKUP($C175,'Patty Cash'!$B:$J,8,FALSE()),0)))),0)</f>
        <v>128</v>
      </c>
      <c r="O175" s="217">
        <f t="shared" si="2"/>
        <v>128</v>
      </c>
    </row>
    <row r="176" spans="1:15" ht="23.1" customHeight="1">
      <c r="A176" s="206">
        <f>IF(AND($B176="",$C176=""),"",MAX($A$3:A175)+1)</f>
        <v>173</v>
      </c>
      <c r="B176" s="207">
        <v>46172</v>
      </c>
      <c r="C176" s="208">
        <v>98370</v>
      </c>
      <c r="D176" s="209" t="str">
        <f>IFERROR(IF($E176="Inventory",VLOOKUP($C176,Inventory!$B:$I,2,FALSE()),IF($E176="Non Inventory",VLOOKUP($C176,'Non Inventory'!$B:$I,2,FALSE()),IF($E176="Services",VLOOKUP($C176,Services!$B:$I,2,FALSE()),IF($E176="Patty Cash",VLOOKUP($C176,'Patty Cash'!$B:$J,2,FALSE()),"")))),"")</f>
        <v>Folder Tape</v>
      </c>
      <c r="E176" s="246" t="s">
        <v>7</v>
      </c>
      <c r="F176" s="210" t="str">
        <f>IFERROR(IF($E176="Inventory",VLOOKUP($C176,Inventory!$B:$I,3,FALSE()),IF($E176="Non Inventory",VLOOKUP($C176,'Non Inventory'!$B:$I,3,FALSE()),IF($E176="Services",VLOOKUP($C176,Services!$B:$I,3,FALSE()),IF($E176="Patty Cash",VLOOKUP($C176,'Patty Cash'!$B:$J,3,FALSE()),"")))),"")</f>
        <v>NOS</v>
      </c>
      <c r="G176" s="211">
        <v>1</v>
      </c>
      <c r="H176" s="212">
        <f>IF($E176="","",IF($E176="Inventory",IFERROR(VLOOKUP($C176,Inventory!$B:$H,7,FALSE()),0),IF($E176="Non Inventory",IFERROR(VLOOKUP($C176,'Non Inventory'!$B:$H,7,FALSE()),0),IF($E176="Services",IFERROR(VLOOKUP($C176,Services!$B:$H,7,FALSE()),0),IF($E176="Patty Cash",IFERROR(VLOOKUP($C176,'Patty Cash'!$B:$H,7,FALSE()),0),0)))))</f>
        <v>440</v>
      </c>
      <c r="I176" s="213" t="s">
        <v>43</v>
      </c>
      <c r="J176" s="214" t="s">
        <v>1425</v>
      </c>
      <c r="K176" s="215" t="s">
        <v>1197</v>
      </c>
      <c r="L176" s="197" t="s">
        <v>1195</v>
      </c>
      <c r="M176" s="215" t="s">
        <v>1196</v>
      </c>
      <c r="N176" s="216">
        <f>IFERROR(IF($E176="Inventory",VLOOKUP($C176,Inventory!$B:$I,8,FALSE()),IF($E176="Non Inventory",VLOOKUP($C176,'Non Inventory'!$B:$I,8,FALSE()),IF($E176="Services",VLOOKUP($C176,Services!$B:$I,8,FALSE()),IF($E176="Patty Cash",VLOOKUP($C176,'Patty Cash'!$B:$J,8,FALSE()),0)))),0)</f>
        <v>128</v>
      </c>
      <c r="O176" s="217">
        <f t="shared" si="2"/>
        <v>128</v>
      </c>
    </row>
    <row r="177" spans="1:15" ht="23.1" customHeight="1">
      <c r="A177" s="206">
        <f>IF(AND($B177="",$C177=""),"",MAX($A$3:A176)+1)</f>
        <v>174</v>
      </c>
      <c r="B177" s="207">
        <v>46172</v>
      </c>
      <c r="C177" s="208">
        <v>98370</v>
      </c>
      <c r="D177" s="209" t="str">
        <f>IFERROR(IF($E177="Inventory",VLOOKUP($C177,Inventory!$B:$I,2,FALSE()),IF($E177="Non Inventory",VLOOKUP($C177,'Non Inventory'!$B:$I,2,FALSE()),IF($E177="Services",VLOOKUP($C177,Services!$B:$I,2,FALSE()),IF($E177="Patty Cash",VLOOKUP($C177,'Patty Cash'!$B:$J,2,FALSE()),"")))),"")</f>
        <v>Folder Tape</v>
      </c>
      <c r="E177" s="246" t="s">
        <v>7</v>
      </c>
      <c r="F177" s="210" t="str">
        <f>IFERROR(IF($E177="Inventory",VLOOKUP($C177,Inventory!$B:$I,3,FALSE()),IF($E177="Non Inventory",VLOOKUP($C177,'Non Inventory'!$B:$I,3,FALSE()),IF($E177="Services",VLOOKUP($C177,Services!$B:$I,3,FALSE()),IF($E177="Patty Cash",VLOOKUP($C177,'Patty Cash'!$B:$J,3,FALSE()),"")))),"")</f>
        <v>NOS</v>
      </c>
      <c r="G177" s="211">
        <v>1</v>
      </c>
      <c r="H177" s="212">
        <f>IF($E177="","",IF($E177="Inventory",IFERROR(VLOOKUP($C177,Inventory!$B:$H,7,FALSE()),0),IF($E177="Non Inventory",IFERROR(VLOOKUP($C177,'Non Inventory'!$B:$H,7,FALSE()),0),IF($E177="Services",IFERROR(VLOOKUP($C177,Services!$B:$H,7,FALSE()),0),IF($E177="Patty Cash",IFERROR(VLOOKUP($C177,'Patty Cash'!$B:$H,7,FALSE()),0),0)))))</f>
        <v>440</v>
      </c>
      <c r="I177" s="213" t="s">
        <v>43</v>
      </c>
      <c r="J177" s="214" t="s">
        <v>1425</v>
      </c>
      <c r="K177" s="215" t="s">
        <v>1197</v>
      </c>
      <c r="L177" s="197" t="s">
        <v>1195</v>
      </c>
      <c r="M177" s="215" t="s">
        <v>1196</v>
      </c>
      <c r="N177" s="216">
        <f>IFERROR(IF($E177="Inventory",VLOOKUP($C177,Inventory!$B:$I,8,FALSE()),IF($E177="Non Inventory",VLOOKUP($C177,'Non Inventory'!$B:$I,8,FALSE()),IF($E177="Services",VLOOKUP($C177,Services!$B:$I,8,FALSE()),IF($E177="Patty Cash",VLOOKUP($C177,'Patty Cash'!$B:$J,8,FALSE()),0)))),0)</f>
        <v>128</v>
      </c>
      <c r="O177" s="217">
        <f t="shared" si="2"/>
        <v>128</v>
      </c>
    </row>
    <row r="178" spans="1:15" ht="23.1" customHeight="1">
      <c r="A178" s="206">
        <f>IF(AND($B178="",$C178=""),"",MAX($A$3:A177)+1)</f>
        <v>175</v>
      </c>
      <c r="B178" s="207">
        <v>46172</v>
      </c>
      <c r="C178" s="208">
        <v>98370</v>
      </c>
      <c r="D178" s="209" t="str">
        <f>IFERROR(IF($E178="Inventory",VLOOKUP($C178,Inventory!$B:$I,2,FALSE()),IF($E178="Non Inventory",VLOOKUP($C178,'Non Inventory'!$B:$I,2,FALSE()),IF($E178="Services",VLOOKUP($C178,Services!$B:$I,2,FALSE()),IF($E178="Patty Cash",VLOOKUP($C178,'Patty Cash'!$B:$J,2,FALSE()),"")))),"")</f>
        <v>Folder Tape</v>
      </c>
      <c r="E178" s="246" t="s">
        <v>7</v>
      </c>
      <c r="F178" s="210" t="str">
        <f>IFERROR(IF($E178="Inventory",VLOOKUP($C178,Inventory!$B:$I,3,FALSE()),IF($E178="Non Inventory",VLOOKUP($C178,'Non Inventory'!$B:$I,3,FALSE()),IF($E178="Services",VLOOKUP($C178,Services!$B:$I,3,FALSE()),IF($E178="Patty Cash",VLOOKUP($C178,'Patty Cash'!$B:$J,3,FALSE()),"")))),"")</f>
        <v>NOS</v>
      </c>
      <c r="G178" s="211">
        <v>1</v>
      </c>
      <c r="H178" s="212">
        <f>IF($E178="","",IF($E178="Inventory",IFERROR(VLOOKUP($C178,Inventory!$B:$H,7,FALSE()),0),IF($E178="Non Inventory",IFERROR(VLOOKUP($C178,'Non Inventory'!$B:$H,7,FALSE()),0),IF($E178="Services",IFERROR(VLOOKUP($C178,Services!$B:$H,7,FALSE()),0),IF($E178="Patty Cash",IFERROR(VLOOKUP($C178,'Patty Cash'!$B:$H,7,FALSE()),0),0)))))</f>
        <v>440</v>
      </c>
      <c r="I178" s="213" t="s">
        <v>45</v>
      </c>
      <c r="J178" s="214" t="s">
        <v>1425</v>
      </c>
      <c r="K178" s="215" t="s">
        <v>1197</v>
      </c>
      <c r="L178" s="197" t="s">
        <v>1195</v>
      </c>
      <c r="M178" s="215" t="s">
        <v>1196</v>
      </c>
      <c r="N178" s="216">
        <f>IFERROR(IF($E178="Inventory",VLOOKUP($C178,Inventory!$B:$I,8,FALSE()),IF($E178="Non Inventory",VLOOKUP($C178,'Non Inventory'!$B:$I,8,FALSE()),IF($E178="Services",VLOOKUP($C178,Services!$B:$I,8,FALSE()),IF($E178="Patty Cash",VLOOKUP($C178,'Patty Cash'!$B:$J,8,FALSE()),0)))),0)</f>
        <v>128</v>
      </c>
      <c r="O178" s="217">
        <f t="shared" si="2"/>
        <v>128</v>
      </c>
    </row>
    <row r="179" spans="1:15" ht="23.1" customHeight="1">
      <c r="A179" s="206">
        <f>IF(AND($B179="",$C179=""),"",MAX($A$3:A178)+1)</f>
        <v>176</v>
      </c>
      <c r="B179" s="207">
        <v>46172</v>
      </c>
      <c r="C179" s="208">
        <v>98370</v>
      </c>
      <c r="D179" s="209" t="str">
        <f>IFERROR(IF($E179="Inventory",VLOOKUP($C179,Inventory!$B:$I,2,FALSE()),IF($E179="Non Inventory",VLOOKUP($C179,'Non Inventory'!$B:$I,2,FALSE()),IF($E179="Services",VLOOKUP($C179,Services!$B:$I,2,FALSE()),IF($E179="Patty Cash",VLOOKUP($C179,'Patty Cash'!$B:$J,2,FALSE()),"")))),"")</f>
        <v>Folder Tape</v>
      </c>
      <c r="E179" s="246" t="s">
        <v>7</v>
      </c>
      <c r="F179" s="210" t="str">
        <f>IFERROR(IF($E179="Inventory",VLOOKUP($C179,Inventory!$B:$I,3,FALSE()),IF($E179="Non Inventory",VLOOKUP($C179,'Non Inventory'!$B:$I,3,FALSE()),IF($E179="Services",VLOOKUP($C179,Services!$B:$I,3,FALSE()),IF($E179="Patty Cash",VLOOKUP($C179,'Patty Cash'!$B:$J,3,FALSE()),"")))),"")</f>
        <v>NOS</v>
      </c>
      <c r="G179" s="211">
        <v>1</v>
      </c>
      <c r="H179" s="212">
        <f>IF($E179="","",IF($E179="Inventory",IFERROR(VLOOKUP($C179,Inventory!$B:$H,7,FALSE()),0),IF($E179="Non Inventory",IFERROR(VLOOKUP($C179,'Non Inventory'!$B:$H,7,FALSE()),0),IF($E179="Services",IFERROR(VLOOKUP($C179,Services!$B:$H,7,FALSE()),0),IF($E179="Patty Cash",IFERROR(VLOOKUP($C179,'Patty Cash'!$B:$H,7,FALSE()),0),0)))))</f>
        <v>440</v>
      </c>
      <c r="I179" s="213" t="s">
        <v>45</v>
      </c>
      <c r="J179" s="214" t="s">
        <v>1425</v>
      </c>
      <c r="K179" s="215" t="s">
        <v>1197</v>
      </c>
      <c r="L179" s="197" t="s">
        <v>1195</v>
      </c>
      <c r="M179" s="215" t="s">
        <v>1196</v>
      </c>
      <c r="N179" s="216">
        <f>IFERROR(IF($E179="Inventory",VLOOKUP($C179,Inventory!$B:$I,8,FALSE()),IF($E179="Non Inventory",VLOOKUP($C179,'Non Inventory'!$B:$I,8,FALSE()),IF($E179="Services",VLOOKUP($C179,Services!$B:$I,8,FALSE()),IF($E179="Patty Cash",VLOOKUP($C179,'Patty Cash'!$B:$J,8,FALSE()),0)))),0)</f>
        <v>128</v>
      </c>
      <c r="O179" s="217">
        <f t="shared" si="2"/>
        <v>128</v>
      </c>
    </row>
    <row r="180" spans="1:15" ht="23.1" customHeight="1">
      <c r="A180" s="206">
        <f>IF(AND($B180="",$C180=""),"",MAX($A$3:A179)+1)</f>
        <v>177</v>
      </c>
      <c r="B180" s="207">
        <v>46144</v>
      </c>
      <c r="C180" s="208" t="s">
        <v>1331</v>
      </c>
      <c r="D180" s="209" t="str">
        <f>IFERROR(IF($E180="Inventory",VLOOKUP($C180,Inventory!$B:$I,2,FALSE()),IF($E180="Non Inventory",VLOOKUP($C180,'Non Inventory'!$B:$I,2,FALSE()),IF($E180="Services",VLOOKUP($C180,Services!$B:$I,2,FALSE()),IF($E180="Patty Cash",VLOOKUP($C180,'Patty Cash'!$B:$J,2,FALSE()),"")))),"")</f>
        <v>S.S Hex Nut,Bolt,Washir 12X75mm (8pcs)</v>
      </c>
      <c r="E180" s="246" t="s">
        <v>1327</v>
      </c>
      <c r="F180" s="210" t="str">
        <f>IFERROR(IF($E180="Inventory",VLOOKUP($C180,Inventory!$B:$I,3,FALSE()),IF($E180="Non Inventory",VLOOKUP($C180,'Non Inventory'!$B:$I,3,FALSE()),IF($E180="Services",VLOOKUP($C180,Services!$B:$I,3,FALSE()),IF($E180="Patty Cash",VLOOKUP($C180,'Patty Cash'!$B:$J,3,FALSE()),"")))),"")</f>
        <v>PCS</v>
      </c>
      <c r="G180" s="211">
        <v>6</v>
      </c>
      <c r="H180" s="212">
        <f>IF($E180="","",IF($E180="Inventory",IFERROR(VLOOKUP($C180,Inventory!$B:$H,7,FALSE()),0),IF($E180="Non Inventory",IFERROR(VLOOKUP($C180,'Non Inventory'!$B:$H,7,FALSE()),0),IF($E180="Services",IFERROR(VLOOKUP($C180,Services!$B:$H,7,FALSE()),0),IF($E180="Patty Cash",IFERROR(VLOOKUP($C180,'Patty Cash'!$B:$H,7,FALSE()),0),0)))))</f>
        <v>2</v>
      </c>
      <c r="I180" s="213" t="s">
        <v>70</v>
      </c>
      <c r="J180" s="214" t="s">
        <v>1491</v>
      </c>
      <c r="K180" s="215" t="s">
        <v>1197</v>
      </c>
      <c r="L180" s="197" t="s">
        <v>1195</v>
      </c>
      <c r="M180" s="215" t="s">
        <v>1196</v>
      </c>
      <c r="N180" s="216">
        <f>IFERROR(IF($E180="Inventory",VLOOKUP($C180,Inventory!$B:$I,8,FALSE()),IF($E180="Non Inventory",VLOOKUP($C180,'Non Inventory'!$B:$I,8,FALSE()),IF($E180="Services",VLOOKUP($C180,Services!$B:$I,8,FALSE()),IF($E180="Patty Cash",VLOOKUP($C180,'Patty Cash'!$B:$J,8,FALSE()),0)))),0)</f>
        <v>170</v>
      </c>
      <c r="O180" s="217">
        <f t="shared" si="2"/>
        <v>1020</v>
      </c>
    </row>
    <row r="181" spans="1:15" ht="23.1" customHeight="1">
      <c r="A181" s="206">
        <f>IF(AND($B181="",$C181=""),"",MAX($A$3:A180)+1)</f>
        <v>178</v>
      </c>
      <c r="B181" s="207">
        <v>46144</v>
      </c>
      <c r="C181" s="208" t="s">
        <v>1343</v>
      </c>
      <c r="D181" s="209" t="str">
        <f>IFERROR(IF($E181="Inventory",VLOOKUP($C181,Inventory!$B:$I,2,FALSE()),IF($E181="Non Inventory",VLOOKUP($C181,'Non Inventory'!$B:$I,2,FALSE()),IF($E181="Services",VLOOKUP($C181,Services!$B:$I,2,FALSE()),IF($E181="Patty Cash",VLOOKUP($C181,'Patty Cash'!$B:$J,2,FALSE()),"")))),"")</f>
        <v>Oxygen Gas Cylinder Refill (1pc)</v>
      </c>
      <c r="E181" s="246" t="s">
        <v>1327</v>
      </c>
      <c r="F181" s="210" t="str">
        <f>IFERROR(IF($E181="Inventory",VLOOKUP($C181,Inventory!$B:$I,3,FALSE()),IF($E181="Non Inventory",VLOOKUP($C181,'Non Inventory'!$B:$I,3,FALSE()),IF($E181="Services",VLOOKUP($C181,Services!$B:$I,3,FALSE()),IF($E181="Patty Cash",VLOOKUP($C181,'Patty Cash'!$B:$J,3,FALSE()),"")))),"")</f>
        <v>PCS</v>
      </c>
      <c r="G181" s="211">
        <v>0.72</v>
      </c>
      <c r="H181" s="212">
        <f>IF($E181="","",IF($E181="Inventory",IFERROR(VLOOKUP($C181,Inventory!$B:$H,7,FALSE()),0),IF($E181="Non Inventory",IFERROR(VLOOKUP($C181,'Non Inventory'!$B:$H,7,FALSE()),0),IF($E181="Services",IFERROR(VLOOKUP($C181,Services!$B:$H,7,FALSE()),0),IF($E181="Patty Cash",IFERROR(VLOOKUP($C181,'Patty Cash'!$B:$H,7,FALSE()),0),0)))))</f>
        <v>0</v>
      </c>
      <c r="I181" s="213" t="s">
        <v>1671</v>
      </c>
      <c r="J181" s="214" t="s">
        <v>1492</v>
      </c>
      <c r="K181" s="215" t="s">
        <v>1323</v>
      </c>
      <c r="L181" s="197" t="s">
        <v>1195</v>
      </c>
      <c r="M181" s="215" t="s">
        <v>1196</v>
      </c>
      <c r="N181" s="216">
        <f>IFERROR(IF($E181="Inventory",VLOOKUP($C181,Inventory!$B:$I,8,FALSE()),IF($E181="Non Inventory",VLOOKUP($C181,'Non Inventory'!$B:$I,8,FALSE()),IF($E181="Services",VLOOKUP($C181,Services!$B:$I,8,FALSE()),IF($E181="Patty Cash",VLOOKUP($C181,'Patty Cash'!$B:$J,8,FALSE()),0)))),0)</f>
        <v>400</v>
      </c>
      <c r="O181" s="217">
        <f t="shared" si="2"/>
        <v>288</v>
      </c>
    </row>
    <row r="182" spans="1:15" ht="23.1" customHeight="1">
      <c r="A182" s="206">
        <f>IF(AND($B182="",$C182=""),"",MAX($A$3:A181)+1)</f>
        <v>179</v>
      </c>
      <c r="B182" s="207">
        <v>46144</v>
      </c>
      <c r="C182" s="208" t="s">
        <v>1344</v>
      </c>
      <c r="D182" s="209" t="str">
        <f>IFERROR(IF($E182="Inventory",VLOOKUP($C182,Inventory!$B:$I,2,FALSE()),IF($E182="Non Inventory",VLOOKUP($C182,'Non Inventory'!$B:$I,2,FALSE()),IF($E182="Services",VLOOKUP($C182,Services!$B:$I,2,FALSE()),IF($E182="Patty Cash",VLOOKUP($C182,'Patty Cash'!$B:$J,2,FALSE()),"")))),"")</f>
        <v>Conveyance</v>
      </c>
      <c r="E182" s="246" t="s">
        <v>1327</v>
      </c>
      <c r="F182" s="210" t="str">
        <f>IFERROR(IF($E182="Inventory",VLOOKUP($C182,Inventory!$B:$I,3,FALSE()),IF($E182="Non Inventory",VLOOKUP($C182,'Non Inventory'!$B:$I,3,FALSE()),IF($E182="Services",VLOOKUP($C182,Services!$B:$I,3,FALSE()),IF($E182="Patty Cash",VLOOKUP($C182,'Patty Cash'!$B:$J,3,FALSE()),"")))),"")</f>
        <v>LTR</v>
      </c>
      <c r="G182" s="211">
        <v>0.72114999999999996</v>
      </c>
      <c r="H182" s="212">
        <f>IF($E182="","",IF($E182="Inventory",IFERROR(VLOOKUP($C182,Inventory!$B:$H,7,FALSE()),0),IF($E182="Non Inventory",IFERROR(VLOOKUP($C182,'Non Inventory'!$B:$H,7,FALSE()),0),IF($E182="Services",IFERROR(VLOOKUP($C182,Services!$B:$H,7,FALSE()),0),IF($E182="Patty Cash",IFERROR(VLOOKUP($C182,'Patty Cash'!$B:$H,7,FALSE()),0),0)))))</f>
        <v>0</v>
      </c>
      <c r="I182" s="213" t="s">
        <v>1671</v>
      </c>
      <c r="J182" s="214" t="s">
        <v>67</v>
      </c>
      <c r="K182" s="215" t="s">
        <v>1323</v>
      </c>
      <c r="L182" s="197" t="s">
        <v>1195</v>
      </c>
      <c r="M182" s="215" t="s">
        <v>1196</v>
      </c>
      <c r="N182" s="216">
        <f>IFERROR(IF($E182="Inventory",VLOOKUP($C182,Inventory!$B:$I,8,FALSE()),IF($E182="Non Inventory",VLOOKUP($C182,'Non Inventory'!$B:$I,8,FALSE()),IF($E182="Services",VLOOKUP($C182,Services!$B:$I,8,FALSE()),IF($E182="Patty Cash",VLOOKUP($C182,'Patty Cash'!$B:$J,8,FALSE()),0)))),0)</f>
        <v>418</v>
      </c>
      <c r="O182" s="217">
        <f t="shared" si="2"/>
        <v>301.44069999999999</v>
      </c>
    </row>
    <row r="183" spans="1:15" ht="23.1" customHeight="1">
      <c r="A183" s="206">
        <f>IF(AND($B183="",$C183=""),"",MAX($A$3:A182)+1)</f>
        <v>180</v>
      </c>
      <c r="B183" s="207">
        <v>46144</v>
      </c>
      <c r="C183" s="208" t="s">
        <v>1345</v>
      </c>
      <c r="D183" s="209" t="str">
        <f>IFERROR(IF($E183="Inventory",VLOOKUP($C183,Inventory!$B:$I,2,FALSE()),IF($E183="Non Inventory",VLOOKUP($C183,'Non Inventory'!$B:$I,2,FALSE()),IF($E183="Services",VLOOKUP($C183,Services!$B:$I,2,FALSE()),IF($E183="Patty Cash",VLOOKUP($C183,'Patty Cash'!$B:$J,2,FALSE()),"")))),"")</f>
        <v>Brass Welding Rod (5pcs)</v>
      </c>
      <c r="E183" s="246" t="s">
        <v>1327</v>
      </c>
      <c r="F183" s="210" t="str">
        <f>IFERROR(IF($E183="Inventory",VLOOKUP($C183,Inventory!$B:$I,3,FALSE()),IF($E183="Non Inventory",VLOOKUP($C183,'Non Inventory'!$B:$I,3,FALSE()),IF($E183="Services",VLOOKUP($C183,Services!$B:$I,3,FALSE()),IF($E183="Patty Cash",VLOOKUP($C183,'Patty Cash'!$B:$J,3,FALSE()),"")))),"")</f>
        <v>PCS</v>
      </c>
      <c r="G183" s="211">
        <v>0.72</v>
      </c>
      <c r="H183" s="212">
        <f>IF($E183="","",IF($E183="Inventory",IFERROR(VLOOKUP($C183,Inventory!$B:$H,7,FALSE()),0),IF($E183="Non Inventory",IFERROR(VLOOKUP($C183,'Non Inventory'!$B:$H,7,FALSE()),0),IF($E183="Services",IFERROR(VLOOKUP($C183,Services!$B:$H,7,FALSE()),0),IF($E183="Patty Cash",IFERROR(VLOOKUP($C183,'Patty Cash'!$B:$H,7,FALSE()),0),0)))))</f>
        <v>0</v>
      </c>
      <c r="I183" s="213" t="s">
        <v>1671</v>
      </c>
      <c r="J183" s="214" t="s">
        <v>1494</v>
      </c>
      <c r="K183" s="215" t="s">
        <v>1323</v>
      </c>
      <c r="L183" s="197" t="s">
        <v>1195</v>
      </c>
      <c r="M183" s="215" t="s">
        <v>1196</v>
      </c>
      <c r="N183" s="216">
        <f>IFERROR(IF($E183="Inventory",VLOOKUP($C183,Inventory!$B:$I,8,FALSE()),IF($E183="Non Inventory",VLOOKUP($C183,'Non Inventory'!$B:$I,8,FALSE()),IF($E183="Services",VLOOKUP($C183,Services!$B:$I,8,FALSE()),IF($E183="Patty Cash",VLOOKUP($C183,'Patty Cash'!$B:$J,8,FALSE()),0)))),0)</f>
        <v>80</v>
      </c>
      <c r="O183" s="217">
        <f t="shared" si="2"/>
        <v>57.599999999999994</v>
      </c>
    </row>
    <row r="184" spans="1:15" ht="23.1" customHeight="1">
      <c r="A184" s="206">
        <f>IF(AND($B184="",$C184=""),"",MAX($A$3:A183)+1)</f>
        <v>181</v>
      </c>
      <c r="B184" s="207">
        <v>46144</v>
      </c>
      <c r="C184" s="208" t="s">
        <v>1346</v>
      </c>
      <c r="D184" s="209" t="str">
        <f>IFERROR(IF($E184="Inventory",VLOOKUP($C184,Inventory!$B:$I,2,FALSE()),IF($E184="Non Inventory",VLOOKUP($C184,'Non Inventory'!$B:$I,2,FALSE()),IF($E184="Services",VLOOKUP($C184,Services!$B:$I,2,FALSE()),IF($E184="Patty Cash",VLOOKUP($C184,'Patty Cash'!$B:$J,2,FALSE()),"")))),"")</f>
        <v>CTC for air Conditioner (3pcs)</v>
      </c>
      <c r="E184" s="246" t="s">
        <v>1327</v>
      </c>
      <c r="F184" s="210" t="str">
        <f>IFERROR(IF($E184="Inventory",VLOOKUP($C184,Inventory!$B:$I,3,FALSE()),IF($E184="Non Inventory",VLOOKUP($C184,'Non Inventory'!$B:$I,3,FALSE()),IF($E184="Services",VLOOKUP($C184,Services!$B:$I,3,FALSE()),IF($E184="Patty Cash",VLOOKUP($C184,'Patty Cash'!$B:$J,3,FALSE()),"")))),"")</f>
        <v>PCS</v>
      </c>
      <c r="G184" s="211">
        <v>5</v>
      </c>
      <c r="H184" s="212">
        <f>IF($E184="","",IF($E184="Inventory",IFERROR(VLOOKUP($C184,Inventory!$B:$H,7,FALSE()),0),IF($E184="Non Inventory",IFERROR(VLOOKUP($C184,'Non Inventory'!$B:$H,7,FALSE()),0),IF($E184="Services",IFERROR(VLOOKUP($C184,Services!$B:$H,7,FALSE()),0),IF($E184="Patty Cash",IFERROR(VLOOKUP($C184,'Patty Cash'!$B:$H,7,FALSE()),0),0)))))</f>
        <v>0</v>
      </c>
      <c r="I184" s="213" t="s">
        <v>1305</v>
      </c>
      <c r="J184" s="214" t="s">
        <v>1493</v>
      </c>
      <c r="K184" s="215" t="s">
        <v>1249</v>
      </c>
      <c r="L184" s="197" t="s">
        <v>1195</v>
      </c>
      <c r="M184" s="215" t="s">
        <v>1196</v>
      </c>
      <c r="N184" s="216">
        <f>IFERROR(IF($E184="Inventory",VLOOKUP($C184,Inventory!$B:$I,8,FALSE()),IF($E184="Non Inventory",VLOOKUP($C184,'Non Inventory'!$B:$I,8,FALSE()),IF($E184="Services",VLOOKUP($C184,Services!$B:$I,8,FALSE()),IF($E184="Patty Cash",VLOOKUP($C184,'Patty Cash'!$B:$J,8,FALSE()),0)))),0)</f>
        <v>120</v>
      </c>
      <c r="O184" s="217">
        <f t="shared" si="2"/>
        <v>600</v>
      </c>
    </row>
    <row r="185" spans="1:15" ht="23.1" customHeight="1">
      <c r="A185" s="206">
        <f>IF(AND($B185="",$C185=""),"",MAX($A$3:A184)+1)</f>
        <v>182</v>
      </c>
      <c r="B185" s="207">
        <v>46144</v>
      </c>
      <c r="C185" s="208" t="s">
        <v>1347</v>
      </c>
      <c r="D185" s="209" t="str">
        <f>IFERROR(IF($E185="Inventory",VLOOKUP($C185,Inventory!$B:$I,2,FALSE()),IF($E185="Non Inventory",VLOOKUP($C185,'Non Inventory'!$B:$I,2,FALSE()),IF($E185="Services",VLOOKUP($C185,Services!$B:$I,2,FALSE()),IF($E185="Patty Cash",VLOOKUP($C185,'Patty Cash'!$B:$J,2,FALSE()),"")))),"")</f>
        <v>Air Conditioner Filter (1pc)</v>
      </c>
      <c r="E185" s="246" t="s">
        <v>1327</v>
      </c>
      <c r="F185" s="210" t="str">
        <f>IFERROR(IF($E185="Inventory",VLOOKUP($C185,Inventory!$B:$I,3,FALSE()),IF($E185="Non Inventory",VLOOKUP($C185,'Non Inventory'!$B:$I,3,FALSE()),IF($E185="Services",VLOOKUP($C185,Services!$B:$I,3,FALSE()),IF($E185="Patty Cash",VLOOKUP($C185,'Patty Cash'!$B:$J,3,FALSE()),"")))),"")</f>
        <v>PCS</v>
      </c>
      <c r="G185" s="211">
        <v>3</v>
      </c>
      <c r="H185" s="212">
        <f>IF($E185="","",IF($E185="Inventory",IFERROR(VLOOKUP($C185,Inventory!$B:$H,7,FALSE()),0),IF($E185="Non Inventory",IFERROR(VLOOKUP($C185,'Non Inventory'!$B:$H,7,FALSE()),0),IF($E185="Services",IFERROR(VLOOKUP($C185,Services!$B:$H,7,FALSE()),0),IF($E185="Patty Cash",IFERROR(VLOOKUP($C185,'Patty Cash'!$B:$H,7,FALSE()),0),0)))))</f>
        <v>0</v>
      </c>
      <c r="I185" s="213" t="s">
        <v>1305</v>
      </c>
      <c r="J185" s="214" t="s">
        <v>1493</v>
      </c>
      <c r="K185" s="215" t="s">
        <v>1249</v>
      </c>
      <c r="L185" s="197" t="s">
        <v>1195</v>
      </c>
      <c r="M185" s="215" t="s">
        <v>1196</v>
      </c>
      <c r="N185" s="216">
        <f>IFERROR(IF($E185="Inventory",VLOOKUP($C185,Inventory!$B:$I,8,FALSE()),IF($E185="Non Inventory",VLOOKUP($C185,'Non Inventory'!$B:$I,8,FALSE()),IF($E185="Services",VLOOKUP($C185,Services!$B:$I,8,FALSE()),IF($E185="Patty Cash",VLOOKUP($C185,'Patty Cash'!$B:$J,8,FALSE()),0)))),0)</f>
        <v>250</v>
      </c>
      <c r="O185" s="217">
        <f t="shared" si="2"/>
        <v>750</v>
      </c>
    </row>
    <row r="186" spans="1:15" ht="23.1" customHeight="1">
      <c r="A186" s="206">
        <f>IF(AND($B186="",$C186=""),"",MAX($A$3:A185)+1)</f>
        <v>183</v>
      </c>
      <c r="B186" s="207">
        <v>46144</v>
      </c>
      <c r="C186" s="208" t="s">
        <v>1348</v>
      </c>
      <c r="D186" s="209" t="str">
        <f>IFERROR(IF($E186="Inventory",VLOOKUP($C186,Inventory!$B:$I,2,FALSE()),IF($E186="Non Inventory",VLOOKUP($C186,'Non Inventory'!$B:$I,2,FALSE()),IF($E186="Services",VLOOKUP($C186,Services!$B:$I,2,FALSE()),IF($E186="Patty Cash",VLOOKUP($C186,'Patty Cash'!$B:$J,2,FALSE()),"")))),"")</f>
        <v>Soldring Wire 50gms (1pc)</v>
      </c>
      <c r="E186" s="246" t="s">
        <v>1327</v>
      </c>
      <c r="F186" s="210" t="str">
        <f>IFERROR(IF($E186="Inventory",VLOOKUP($C186,Inventory!$B:$I,3,FALSE()),IF($E186="Non Inventory",VLOOKUP($C186,'Non Inventory'!$B:$I,3,FALSE()),IF($E186="Services",VLOOKUP($C186,Services!$B:$I,3,FALSE()),IF($E186="Patty Cash",VLOOKUP($C186,'Patty Cash'!$B:$J,3,FALSE()),"")))),"")</f>
        <v>PCS</v>
      </c>
      <c r="G186" s="211">
        <v>1</v>
      </c>
      <c r="H186" s="212">
        <f>IF($E186="","",IF($E186="Inventory",IFERROR(VLOOKUP($C186,Inventory!$B:$H,7,FALSE()),0),IF($E186="Non Inventory",IFERROR(VLOOKUP($C186,'Non Inventory'!$B:$H,7,FALSE()),0),IF($E186="Services",IFERROR(VLOOKUP($C186,Services!$B:$H,7,FALSE()),0),IF($E186="Patty Cash",IFERROR(VLOOKUP($C186,'Patty Cash'!$B:$H,7,FALSE()),0),0)))))</f>
        <v>0</v>
      </c>
      <c r="I186" s="213" t="s">
        <v>1305</v>
      </c>
      <c r="J186" s="214" t="s">
        <v>1493</v>
      </c>
      <c r="K186" s="215" t="s">
        <v>1249</v>
      </c>
      <c r="L186" s="197" t="s">
        <v>1195</v>
      </c>
      <c r="M186" s="215" t="s">
        <v>1196</v>
      </c>
      <c r="N186" s="216">
        <f>IFERROR(IF($E186="Inventory",VLOOKUP($C186,Inventory!$B:$I,8,FALSE()),IF($E186="Non Inventory",VLOOKUP($C186,'Non Inventory'!$B:$I,8,FALSE()),IF($E186="Services",VLOOKUP($C186,Services!$B:$I,8,FALSE()),IF($E186="Patty Cash",VLOOKUP($C186,'Patty Cash'!$B:$J,8,FALSE()),0)))),0)</f>
        <v>305</v>
      </c>
      <c r="O186" s="217">
        <f t="shared" si="2"/>
        <v>305</v>
      </c>
    </row>
    <row r="187" spans="1:15" ht="23.1" customHeight="1">
      <c r="A187" s="206">
        <f>IF(AND($B187="",$C187=""),"",MAX($A$3:A186)+1)</f>
        <v>184</v>
      </c>
      <c r="B187" s="207">
        <v>46144</v>
      </c>
      <c r="C187" s="208" t="s">
        <v>1349</v>
      </c>
      <c r="D187" s="209" t="str">
        <f>IFERROR(IF($E187="Inventory",VLOOKUP($C187,Inventory!$B:$I,2,FALSE()),IF($E187="Non Inventory",VLOOKUP($C187,'Non Inventory'!$B:$I,2,FALSE()),IF($E187="Services",VLOOKUP($C187,Services!$B:$I,2,FALSE()),IF($E187="Patty Cash",VLOOKUP($C187,'Patty Cash'!$B:$J,2,FALSE()),"")))),"")</f>
        <v>Soldring Iron Bit 60watt (2pcs)</v>
      </c>
      <c r="E187" s="246" t="s">
        <v>1327</v>
      </c>
      <c r="F187" s="210" t="str">
        <f>IFERROR(IF($E187="Inventory",VLOOKUP($C187,Inventory!$B:$I,3,FALSE()),IF($E187="Non Inventory",VLOOKUP($C187,'Non Inventory'!$B:$I,3,FALSE()),IF($E187="Services",VLOOKUP($C187,Services!$B:$I,3,FALSE()),IF($E187="Patty Cash",VLOOKUP($C187,'Patty Cash'!$B:$J,3,FALSE()),"")))),"")</f>
        <v>PCS</v>
      </c>
      <c r="G187" s="211">
        <v>1</v>
      </c>
      <c r="H187" s="212">
        <f>IF($E187="","",IF($E187="Inventory",IFERROR(VLOOKUP($C187,Inventory!$B:$H,7,FALSE()),0),IF($E187="Non Inventory",IFERROR(VLOOKUP($C187,'Non Inventory'!$B:$H,7,FALSE()),0),IF($E187="Services",IFERROR(VLOOKUP($C187,Services!$B:$H,7,FALSE()),0),IF($E187="Patty Cash",IFERROR(VLOOKUP($C187,'Patty Cash'!$B:$H,7,FALSE()),0),0)))))</f>
        <v>0</v>
      </c>
      <c r="I187" s="213" t="s">
        <v>1222</v>
      </c>
      <c r="J187" s="214" t="s">
        <v>1495</v>
      </c>
      <c r="K187" s="215" t="s">
        <v>1206</v>
      </c>
      <c r="L187" s="197" t="s">
        <v>1195</v>
      </c>
      <c r="M187" s="215" t="s">
        <v>1207</v>
      </c>
      <c r="N187" s="216">
        <f>IFERROR(IF($E187="Inventory",VLOOKUP($C187,Inventory!$B:$I,8,FALSE()),IF($E187="Non Inventory",VLOOKUP($C187,'Non Inventory'!$B:$I,8,FALSE()),IF($E187="Services",VLOOKUP($C187,Services!$B:$I,8,FALSE()),IF($E187="Patty Cash",VLOOKUP($C187,'Patty Cash'!$B:$J,8,FALSE()),0)))),0)</f>
        <v>150</v>
      </c>
      <c r="O187" s="217">
        <f t="shared" si="2"/>
        <v>150</v>
      </c>
    </row>
    <row r="188" spans="1:15" ht="23.1" customHeight="1">
      <c r="A188" s="206">
        <f>IF(AND($B188="",$C188=""),"",MAX($A$3:A187)+1)</f>
        <v>185</v>
      </c>
      <c r="B188" s="207">
        <v>46144</v>
      </c>
      <c r="C188" s="208" t="s">
        <v>1350</v>
      </c>
      <c r="D188" s="209" t="str">
        <f>IFERROR(IF($E188="Inventory",VLOOKUP($C188,Inventory!$B:$I,2,FALSE()),IF($E188="Non Inventory",VLOOKUP($C188,'Non Inventory'!$B:$I,2,FALSE()),IF($E188="Services",VLOOKUP($C188,Services!$B:$I,2,FALSE()),IF($E188="Patty Cash",VLOOKUP($C188,'Patty Cash'!$B:$J,2,FALSE()),"")))),"")</f>
        <v>Epoxy Resin Set (1set)</v>
      </c>
      <c r="E188" s="246" t="s">
        <v>1327</v>
      </c>
      <c r="F188" s="210" t="str">
        <f>IFERROR(IF($E188="Inventory",VLOOKUP($C188,Inventory!$B:$I,3,FALSE()),IF($E188="Non Inventory",VLOOKUP($C188,'Non Inventory'!$B:$I,3,FALSE()),IF($E188="Services",VLOOKUP($C188,Services!$B:$I,3,FALSE()),IF($E188="Patty Cash",VLOOKUP($C188,'Patty Cash'!$B:$J,3,FALSE()),"")))),"")</f>
        <v>SET</v>
      </c>
      <c r="G188" s="211">
        <v>2</v>
      </c>
      <c r="H188" s="212">
        <f>IF($E188="","",IF($E188="Inventory",IFERROR(VLOOKUP($C188,Inventory!$B:$H,7,FALSE()),0),IF($E188="Non Inventory",IFERROR(VLOOKUP($C188,'Non Inventory'!$B:$H,7,FALSE()),0),IF($E188="Services",IFERROR(VLOOKUP($C188,Services!$B:$H,7,FALSE()),0),IF($E188="Patty Cash",IFERROR(VLOOKUP($C188,'Patty Cash'!$B:$H,7,FALSE()),0),0)))))</f>
        <v>0</v>
      </c>
      <c r="I188" s="213" t="s">
        <v>1222</v>
      </c>
      <c r="J188" s="214" t="s">
        <v>1495</v>
      </c>
      <c r="K188" s="215" t="s">
        <v>1206</v>
      </c>
      <c r="L188" s="197" t="s">
        <v>1195</v>
      </c>
      <c r="M188" s="215" t="s">
        <v>1207</v>
      </c>
      <c r="N188" s="216">
        <f>IFERROR(IF($E188="Inventory",VLOOKUP($C188,Inventory!$B:$I,8,FALSE()),IF($E188="Non Inventory",VLOOKUP($C188,'Non Inventory'!$B:$I,8,FALSE()),IF($E188="Services",VLOOKUP($C188,Services!$B:$I,8,FALSE()),IF($E188="Patty Cash",VLOOKUP($C188,'Patty Cash'!$B:$J,8,FALSE()),0)))),0)</f>
        <v>500</v>
      </c>
      <c r="O188" s="217">
        <f t="shared" si="2"/>
        <v>1000</v>
      </c>
    </row>
    <row r="189" spans="1:15" ht="23.1" customHeight="1">
      <c r="A189" s="206">
        <f>IF(AND($B189="",$C189=""),"",MAX($A$3:A188)+1)</f>
        <v>186</v>
      </c>
      <c r="B189" s="207">
        <v>46147</v>
      </c>
      <c r="C189" s="208" t="s">
        <v>1351</v>
      </c>
      <c r="D189" s="209" t="str">
        <f>IFERROR(IF($E189="Inventory",VLOOKUP($C189,Inventory!$B:$I,2,FALSE()),IF($E189="Non Inventory",VLOOKUP($C189,'Non Inventory'!$B:$I,2,FALSE()),IF($E189="Services",VLOOKUP($C189,Services!$B:$I,2,FALSE()),IF($E189="Patty Cash",VLOOKUP($C189,'Patty Cash'!$B:$J,2,FALSE()),"")))),"")</f>
        <v>Oxygen Gas Cylinder Refill (1pc)</v>
      </c>
      <c r="E189" s="246" t="s">
        <v>1327</v>
      </c>
      <c r="F189" s="210" t="str">
        <f>IFERROR(IF($E189="Inventory",VLOOKUP($C189,Inventory!$B:$I,3,FALSE()),IF($E189="Non Inventory",VLOOKUP($C189,'Non Inventory'!$B:$I,3,FALSE()),IF($E189="Services",VLOOKUP($C189,Services!$B:$I,3,FALSE()),IF($E189="Patty Cash",VLOOKUP($C189,'Patty Cash'!$B:$J,3,FALSE()),"")))),"")</f>
        <v>PCS</v>
      </c>
      <c r="G189" s="211">
        <v>1</v>
      </c>
      <c r="H189" s="212">
        <f>IF($E189="","",IF($E189="Inventory",IFERROR(VLOOKUP($C189,Inventory!$B:$H,7,FALSE()),0),IF($E189="Non Inventory",IFERROR(VLOOKUP($C189,'Non Inventory'!$B:$H,7,FALSE()),0),IF($E189="Services",IFERROR(VLOOKUP($C189,Services!$B:$H,7,FALSE()),0),IF($E189="Patty Cash",IFERROR(VLOOKUP($C189,'Patty Cash'!$B:$H,7,FALSE()),0),0)))))</f>
        <v>0</v>
      </c>
      <c r="I189" s="213" t="s">
        <v>1222</v>
      </c>
      <c r="J189" s="214" t="s">
        <v>1496</v>
      </c>
      <c r="K189" s="215" t="s">
        <v>1238</v>
      </c>
      <c r="L189" s="197" t="s">
        <v>1195</v>
      </c>
      <c r="M189" s="215" t="s">
        <v>1196</v>
      </c>
      <c r="N189" s="216">
        <f>IFERROR(IF($E189="Inventory",VLOOKUP($C189,Inventory!$B:$I,8,FALSE()),IF($E189="Non Inventory",VLOOKUP($C189,'Non Inventory'!$B:$I,8,FALSE()),IF($E189="Services",VLOOKUP($C189,Services!$B:$I,8,FALSE()),IF($E189="Patty Cash",VLOOKUP($C189,'Patty Cash'!$B:$J,8,FALSE()),0)))),0)</f>
        <v>400</v>
      </c>
      <c r="O189" s="217">
        <f t="shared" si="2"/>
        <v>400</v>
      </c>
    </row>
    <row r="190" spans="1:15" ht="23.1" customHeight="1">
      <c r="A190" s="206">
        <f>IF(AND($B190="",$C190=""),"",MAX($A$3:A189)+1)</f>
        <v>187</v>
      </c>
      <c r="B190" s="207">
        <v>46148</v>
      </c>
      <c r="C190" s="208" t="s">
        <v>1352</v>
      </c>
      <c r="D190" s="209" t="str">
        <f>IFERROR(IF($E190="Inventory",VLOOKUP($C190,Inventory!$B:$I,2,FALSE()),IF($E190="Non Inventory",VLOOKUP($C190,'Non Inventory'!$B:$I,2,FALSE()),IF($E190="Services",VLOOKUP($C190,Services!$B:$I,2,FALSE()),IF($E190="Patty Cash",VLOOKUP($C190,'Patty Cash'!$B:$J,2,FALSE()),"")))),"")</f>
        <v>MS Hex nut bolts 18X100mm (2pcs)</v>
      </c>
      <c r="E190" s="246" t="s">
        <v>1327</v>
      </c>
      <c r="F190" s="210" t="str">
        <f>IFERROR(IF($E190="Inventory",VLOOKUP($C190,Inventory!$B:$I,3,FALSE()),IF($E190="Non Inventory",VLOOKUP($C190,'Non Inventory'!$B:$I,3,FALSE()),IF($E190="Services",VLOOKUP($C190,Services!$B:$I,3,FALSE()),IF($E190="Patty Cash",VLOOKUP($C190,'Patty Cash'!$B:$J,3,FALSE()),"")))),"")</f>
        <v>PCS</v>
      </c>
      <c r="G190" s="211">
        <v>1</v>
      </c>
      <c r="H190" s="212">
        <f>IF($E190="","",IF($E190="Inventory",IFERROR(VLOOKUP($C190,Inventory!$B:$H,7,FALSE()),0),IF($E190="Non Inventory",IFERROR(VLOOKUP($C190,'Non Inventory'!$B:$H,7,FALSE()),0),IF($E190="Services",IFERROR(VLOOKUP($C190,Services!$B:$H,7,FALSE()),0),IF($E190="Patty Cash",IFERROR(VLOOKUP($C190,'Patty Cash'!$B:$H,7,FALSE()),0),0)))))</f>
        <v>0</v>
      </c>
      <c r="I190" s="213" t="s">
        <v>1309</v>
      </c>
      <c r="J190" s="214" t="s">
        <v>1497</v>
      </c>
      <c r="K190" s="215" t="s">
        <v>1382</v>
      </c>
      <c r="L190" s="197" t="s">
        <v>1195</v>
      </c>
      <c r="M190" s="215" t="s">
        <v>1196</v>
      </c>
      <c r="N190" s="216">
        <f>IFERROR(IF($E190="Inventory",VLOOKUP($C190,Inventory!$B:$I,8,FALSE()),IF($E190="Non Inventory",VLOOKUP($C190,'Non Inventory'!$B:$I,8,FALSE()),IF($E190="Services",VLOOKUP($C190,Services!$B:$I,8,FALSE()),IF($E190="Patty Cash",VLOOKUP($C190,'Patty Cash'!$B:$J,8,FALSE()),0)))),0)</f>
        <v>310</v>
      </c>
      <c r="O190" s="217">
        <f t="shared" si="2"/>
        <v>310</v>
      </c>
    </row>
    <row r="191" spans="1:15" ht="23.1" customHeight="1">
      <c r="A191" s="206">
        <f>IF(AND($B191="",$C191=""),"",MAX($A$3:A190)+1)</f>
        <v>188</v>
      </c>
      <c r="B191" s="207">
        <v>46148</v>
      </c>
      <c r="C191" s="208" t="s">
        <v>1426</v>
      </c>
      <c r="D191" s="209" t="str">
        <f>IFERROR(IF($E191="Inventory",VLOOKUP($C191,Inventory!$B:$I,2,FALSE()),IF($E191="Non Inventory",VLOOKUP($C191,'Non Inventory'!$B:$I,2,FALSE()),IF($E191="Services",VLOOKUP($C191,Services!$B:$I,2,FALSE()),IF($E191="Patty Cash",VLOOKUP($C191,'Patty Cash'!$B:$J,2,FALSE()),"")))),"")</f>
        <v>Air Conditioner Capillary 0.80 (1pc)</v>
      </c>
      <c r="E191" s="246" t="s">
        <v>1327</v>
      </c>
      <c r="F191" s="210" t="str">
        <f>IFERROR(IF($E191="Inventory",VLOOKUP($C191,Inventory!$B:$I,3,FALSE()),IF($E191="Non Inventory",VLOOKUP($C191,'Non Inventory'!$B:$I,3,FALSE()),IF($E191="Services",VLOOKUP($C191,Services!$B:$I,3,FALSE()),IF($E191="Patty Cash",VLOOKUP($C191,'Patty Cash'!$B:$J,3,FALSE()),"")))),"")</f>
        <v>PCS</v>
      </c>
      <c r="G191" s="211">
        <v>2</v>
      </c>
      <c r="H191" s="212">
        <f>IF($E191="","",IF($E191="Inventory",IFERROR(VLOOKUP($C191,Inventory!$B:$H,7,FALSE()),0),IF($E191="Non Inventory",IFERROR(VLOOKUP($C191,'Non Inventory'!$B:$H,7,FALSE()),0),IF($E191="Services",IFERROR(VLOOKUP($C191,Services!$B:$H,7,FALSE()),0),IF($E191="Patty Cash",IFERROR(VLOOKUP($C191,'Patty Cash'!$B:$H,7,FALSE()),0),0)))))</f>
        <v>0</v>
      </c>
      <c r="I191" s="213" t="s">
        <v>1222</v>
      </c>
      <c r="J191" s="214" t="s">
        <v>1498</v>
      </c>
      <c r="K191" s="215" t="s">
        <v>1199</v>
      </c>
      <c r="L191" s="197" t="s">
        <v>1195</v>
      </c>
      <c r="M191" s="215" t="s">
        <v>1196</v>
      </c>
      <c r="N191" s="216">
        <f>IFERROR(IF($E191="Inventory",VLOOKUP($C191,Inventory!$B:$I,8,FALSE()),IF($E191="Non Inventory",VLOOKUP($C191,'Non Inventory'!$B:$I,8,FALSE()),IF($E191="Services",VLOOKUP($C191,Services!$B:$I,8,FALSE()),IF($E191="Patty Cash",VLOOKUP($C191,'Patty Cash'!$B:$J,8,FALSE()),0)))),0)</f>
        <v>200</v>
      </c>
      <c r="O191" s="217">
        <f t="shared" si="2"/>
        <v>400</v>
      </c>
    </row>
    <row r="192" spans="1:15" ht="23.1" customHeight="1">
      <c r="A192" s="206">
        <f>IF(AND($B192="",$C192=""),"",MAX($A$3:A191)+1)</f>
        <v>189</v>
      </c>
      <c r="B192" s="207">
        <v>46148</v>
      </c>
      <c r="C192" s="208" t="s">
        <v>1427</v>
      </c>
      <c r="D192" s="209" t="str">
        <f>IFERROR(IF($E192="Inventory",VLOOKUP($C192,Inventory!$B:$I,2,FALSE()),IF($E192="Non Inventory",VLOOKUP($C192,'Non Inventory'!$B:$I,2,FALSE()),IF($E192="Services",VLOOKUP($C192,Services!$B:$I,2,FALSE()),IF($E192="Patty Cash",VLOOKUP($C192,'Patty Cash'!$B:$J,2,FALSE()),"")))),"")</f>
        <v>Air Conditioner Filter (1pc)</v>
      </c>
      <c r="E192" s="246" t="s">
        <v>1327</v>
      </c>
      <c r="F192" s="210" t="str">
        <f>IFERROR(IF($E192="Inventory",VLOOKUP($C192,Inventory!$B:$I,3,FALSE()),IF($E192="Non Inventory",VLOOKUP($C192,'Non Inventory'!$B:$I,3,FALSE()),IF($E192="Services",VLOOKUP($C192,Services!$B:$I,3,FALSE()),IF($E192="Patty Cash",VLOOKUP($C192,'Patty Cash'!$B:$J,3,FALSE()),"")))),"")</f>
        <v>PCS</v>
      </c>
      <c r="G192" s="211">
        <v>1</v>
      </c>
      <c r="H192" s="212">
        <f>IF($E192="","",IF($E192="Inventory",IFERROR(VLOOKUP($C192,Inventory!$B:$H,7,FALSE()),0),IF($E192="Non Inventory",IFERROR(VLOOKUP($C192,'Non Inventory'!$B:$H,7,FALSE()),0),IF($E192="Services",IFERROR(VLOOKUP($C192,Services!$B:$H,7,FALSE()),0),IF($E192="Patty Cash",IFERROR(VLOOKUP($C192,'Patty Cash'!$B:$H,7,FALSE()),0),0)))))</f>
        <v>0</v>
      </c>
      <c r="I192" s="213" t="s">
        <v>1305</v>
      </c>
      <c r="J192" s="214" t="s">
        <v>1493</v>
      </c>
      <c r="K192" s="215" t="s">
        <v>1249</v>
      </c>
      <c r="L192" s="197" t="s">
        <v>1195</v>
      </c>
      <c r="M192" s="215" t="s">
        <v>1196</v>
      </c>
      <c r="N192" s="216">
        <f>IFERROR(IF($E192="Inventory",VLOOKUP($C192,Inventory!$B:$I,8,FALSE()),IF($E192="Non Inventory",VLOOKUP($C192,'Non Inventory'!$B:$I,8,FALSE()),IF($E192="Services",VLOOKUP($C192,Services!$B:$I,8,FALSE()),IF($E192="Patty Cash",VLOOKUP($C192,'Patty Cash'!$B:$J,8,FALSE()),0)))),0)</f>
        <v>300</v>
      </c>
      <c r="O192" s="217">
        <f t="shared" si="2"/>
        <v>300</v>
      </c>
    </row>
    <row r="193" spans="1:15" ht="23.1" customHeight="1">
      <c r="A193" s="206">
        <f>IF(AND($B193="",$C193=""),"",MAX($A$3:A192)+1)</f>
        <v>190</v>
      </c>
      <c r="B193" s="207">
        <v>46148</v>
      </c>
      <c r="C193" s="208" t="s">
        <v>1428</v>
      </c>
      <c r="D193" s="209" t="str">
        <f>IFERROR(IF($E193="Inventory",VLOOKUP($C193,Inventory!$B:$I,2,FALSE()),IF($E193="Non Inventory",VLOOKUP($C193,'Non Inventory'!$B:$I,2,FALSE()),IF($E193="Services",VLOOKUP($C193,Services!$B:$I,2,FALSE()),IF($E193="Patty Cash",VLOOKUP($C193,'Patty Cash'!$B:$J,2,FALSE()),"")))),"")</f>
        <v>Conveyance</v>
      </c>
      <c r="E193" s="246" t="s">
        <v>1327</v>
      </c>
      <c r="F193" s="210" t="str">
        <f>IFERROR(IF($E193="Inventory",VLOOKUP($C193,Inventory!$B:$I,3,FALSE()),IF($E193="Non Inventory",VLOOKUP($C193,'Non Inventory'!$B:$I,3,FALSE()),IF($E193="Services",VLOOKUP($C193,Services!$B:$I,3,FALSE()),IF($E193="Patty Cash",VLOOKUP($C193,'Patty Cash'!$B:$J,3,FALSE()),"")))),"")</f>
        <v>LTR</v>
      </c>
      <c r="G193" s="211">
        <v>0.72114999999999996</v>
      </c>
      <c r="H193" s="212">
        <f>IF($E193="","",IF($E193="Inventory",IFERROR(VLOOKUP($C193,Inventory!$B:$H,7,FALSE()),0),IF($E193="Non Inventory",IFERROR(VLOOKUP($C193,'Non Inventory'!$B:$H,7,FALSE()),0),IF($E193="Services",IFERROR(VLOOKUP($C193,Services!$B:$H,7,FALSE()),0),IF($E193="Patty Cash",IFERROR(VLOOKUP($C193,'Patty Cash'!$B:$H,7,FALSE()),0),0)))))</f>
        <v>0</v>
      </c>
      <c r="I193" s="213" t="s">
        <v>1671</v>
      </c>
      <c r="J193" s="214" t="s">
        <v>67</v>
      </c>
      <c r="K193" s="215" t="s">
        <v>1323</v>
      </c>
      <c r="L193" s="197" t="s">
        <v>1195</v>
      </c>
      <c r="M193" s="215" t="s">
        <v>1196</v>
      </c>
      <c r="N193" s="216">
        <f>IFERROR(IF($E193="Inventory",VLOOKUP($C193,Inventory!$B:$I,8,FALSE()),IF($E193="Non Inventory",VLOOKUP($C193,'Non Inventory'!$B:$I,8,FALSE()),IF($E193="Services",VLOOKUP($C193,Services!$B:$I,8,FALSE()),IF($E193="Patty Cash",VLOOKUP($C193,'Patty Cash'!$B:$J,8,FALSE()),0)))),0)</f>
        <v>418</v>
      </c>
      <c r="O193" s="217">
        <f t="shared" si="2"/>
        <v>301.44069999999999</v>
      </c>
    </row>
    <row r="194" spans="1:15" ht="23.1" customHeight="1">
      <c r="A194" s="206">
        <f>IF(AND($B194="",$C194=""),"",MAX($A$3:A193)+1)</f>
        <v>191</v>
      </c>
      <c r="B194" s="207">
        <v>46148</v>
      </c>
      <c r="C194" s="208" t="s">
        <v>1429</v>
      </c>
      <c r="D194" s="209" t="str">
        <f>IFERROR(IF($E194="Inventory",VLOOKUP($C194,Inventory!$B:$I,2,FALSE()),IF($E194="Non Inventory",VLOOKUP($C194,'Non Inventory'!$B:$I,2,FALSE()),IF($E194="Services",VLOOKUP($C194,Services!$B:$I,2,FALSE()),IF($E194="Patty Cash",VLOOKUP($C194,'Patty Cash'!$B:$J,2,FALSE()),"")))),"")</f>
        <v>V-Belt B-35 (2pcs)</v>
      </c>
      <c r="E194" s="246" t="s">
        <v>1327</v>
      </c>
      <c r="F194" s="210" t="str">
        <f>IFERROR(IF($E194="Inventory",VLOOKUP($C194,Inventory!$B:$I,3,FALSE()),IF($E194="Non Inventory",VLOOKUP($C194,'Non Inventory'!$B:$I,3,FALSE()),IF($E194="Services",VLOOKUP($C194,Services!$B:$I,3,FALSE()),IF($E194="Patty Cash",VLOOKUP($C194,'Patty Cash'!$B:$J,3,FALSE()),"")))),"")</f>
        <v>PCS</v>
      </c>
      <c r="G194" s="211">
        <v>0.72</v>
      </c>
      <c r="H194" s="212">
        <f>IF($E194="","",IF($E194="Inventory",IFERROR(VLOOKUP($C194,Inventory!$B:$H,7,FALSE()),0),IF($E194="Non Inventory",IFERROR(VLOOKUP($C194,'Non Inventory'!$B:$H,7,FALSE()),0),IF($E194="Services",IFERROR(VLOOKUP($C194,Services!$B:$H,7,FALSE()),0),IF($E194="Patty Cash",IFERROR(VLOOKUP($C194,'Patty Cash'!$B:$H,7,FALSE()),0),0)))))</f>
        <v>0</v>
      </c>
      <c r="I194" s="213" t="s">
        <v>1671</v>
      </c>
      <c r="J194" s="214" t="s">
        <v>1499</v>
      </c>
      <c r="K194" s="215" t="s">
        <v>1323</v>
      </c>
      <c r="L194" s="197" t="s">
        <v>1195</v>
      </c>
      <c r="M194" s="215" t="s">
        <v>1196</v>
      </c>
      <c r="N194" s="216">
        <f>IFERROR(IF($E194="Inventory",VLOOKUP($C194,Inventory!$B:$I,8,FALSE()),IF($E194="Non Inventory",VLOOKUP($C194,'Non Inventory'!$B:$I,8,FALSE()),IF($E194="Services",VLOOKUP($C194,Services!$B:$I,8,FALSE()),IF($E194="Patty Cash",VLOOKUP($C194,'Patty Cash'!$B:$J,8,FALSE()),0)))),0)</f>
        <v>280</v>
      </c>
      <c r="O194" s="217">
        <f t="shared" si="2"/>
        <v>201.6</v>
      </c>
    </row>
    <row r="195" spans="1:15" ht="23.1" customHeight="1">
      <c r="A195" s="206">
        <f>IF(AND($B195="",$C195=""),"",MAX($A$3:A194)+1)</f>
        <v>192</v>
      </c>
      <c r="B195" s="207">
        <v>46151</v>
      </c>
      <c r="C195" s="208" t="s">
        <v>1430</v>
      </c>
      <c r="D195" s="209" t="str">
        <f>IFERROR(IF($E195="Inventory",VLOOKUP($C195,Inventory!$B:$I,2,FALSE()),IF($E195="Non Inventory",VLOOKUP($C195,'Non Inventory'!$B:$I,2,FALSE()),IF($E195="Services",VLOOKUP($C195,Services!$B:$I,2,FALSE()),IF($E195="Patty Cash",VLOOKUP($C195,'Patty Cash'!$B:$J,2,FALSE()),"")))),"")</f>
        <v>Pin Grinder Stone (3pcs)</v>
      </c>
      <c r="E195" s="246" t="s">
        <v>1327</v>
      </c>
      <c r="F195" s="210" t="str">
        <f>IFERROR(IF($E195="Inventory",VLOOKUP($C195,Inventory!$B:$I,3,FALSE()),IF($E195="Non Inventory",VLOOKUP($C195,'Non Inventory'!$B:$I,3,FALSE()),IF($E195="Services",VLOOKUP($C195,Services!$B:$I,3,FALSE()),IF($E195="Patty Cash",VLOOKUP($C195,'Patty Cash'!$B:$J,3,FALSE()),"")))),"")</f>
        <v>PCS</v>
      </c>
      <c r="G195" s="211">
        <v>2</v>
      </c>
      <c r="H195" s="212">
        <f>IF($E195="","",IF($E195="Inventory",IFERROR(VLOOKUP($C195,Inventory!$B:$H,7,FALSE()),0),IF($E195="Non Inventory",IFERROR(VLOOKUP($C195,'Non Inventory'!$B:$H,7,FALSE()),0),IF($E195="Services",IFERROR(VLOOKUP($C195,Services!$B:$H,7,FALSE()),0),IF($E195="Patty Cash",IFERROR(VLOOKUP($C195,'Patty Cash'!$B:$H,7,FALSE()),0),0)))))</f>
        <v>0</v>
      </c>
      <c r="I195" s="213" t="s">
        <v>1309</v>
      </c>
      <c r="J195" s="214" t="s">
        <v>1500</v>
      </c>
      <c r="K195" s="215" t="s">
        <v>1382</v>
      </c>
      <c r="L195" s="197" t="s">
        <v>1195</v>
      </c>
      <c r="M195" s="215" t="s">
        <v>1196</v>
      </c>
      <c r="N195" s="216">
        <f>IFERROR(IF($E195="Inventory",VLOOKUP($C195,Inventory!$B:$I,8,FALSE()),IF($E195="Non Inventory",VLOOKUP($C195,'Non Inventory'!$B:$I,8,FALSE()),IF($E195="Services",VLOOKUP($C195,Services!$B:$I,8,FALSE()),IF($E195="Patty Cash",VLOOKUP($C195,'Patty Cash'!$B:$J,8,FALSE()),0)))),0)</f>
        <v>100</v>
      </c>
      <c r="O195" s="217">
        <f t="shared" si="2"/>
        <v>200</v>
      </c>
    </row>
    <row r="196" spans="1:15" ht="23.1" customHeight="1">
      <c r="A196" s="206">
        <f>IF(AND($B196="",$C196=""),"",MAX($A$3:A195)+1)</f>
        <v>193</v>
      </c>
      <c r="B196" s="207">
        <v>46151</v>
      </c>
      <c r="C196" s="208" t="s">
        <v>1431</v>
      </c>
      <c r="D196" s="209" t="str">
        <f>IFERROR(IF($E196="Inventory",VLOOKUP($C196,Inventory!$B:$I,2,FALSE()),IF($E196="Non Inventory",VLOOKUP($C196,'Non Inventory'!$B:$I,2,FALSE()),IF($E196="Services",VLOOKUP($C196,Services!$B:$I,2,FALSE()),IF($E196="Patty Cash",VLOOKUP($C196,'Patty Cash'!$B:$J,2,FALSE()),"")))),"")</f>
        <v>S.S Nut 20mm (6pcs)</v>
      </c>
      <c r="E196" s="246" t="s">
        <v>1327</v>
      </c>
      <c r="F196" s="210" t="str">
        <f>IFERROR(IF($E196="Inventory",VLOOKUP($C196,Inventory!$B:$I,3,FALSE()),IF($E196="Non Inventory",VLOOKUP($C196,'Non Inventory'!$B:$I,3,FALSE()),IF($E196="Services",VLOOKUP($C196,Services!$B:$I,3,FALSE()),IF($E196="Patty Cash",VLOOKUP($C196,'Patty Cash'!$B:$J,3,FALSE()),"")))),"")</f>
        <v>PCS</v>
      </c>
      <c r="G196" s="211">
        <v>3</v>
      </c>
      <c r="H196" s="212">
        <f>IF($E196="","",IF($E196="Inventory",IFERROR(VLOOKUP($C196,Inventory!$B:$H,7,FALSE()),0),IF($E196="Non Inventory",IFERROR(VLOOKUP($C196,'Non Inventory'!$B:$H,7,FALSE()),0),IF($E196="Services",IFERROR(VLOOKUP($C196,Services!$B:$H,7,FALSE()),0),IF($E196="Patty Cash",IFERROR(VLOOKUP($C196,'Patty Cash'!$B:$H,7,FALSE()),0),0)))))</f>
        <v>0</v>
      </c>
      <c r="I196" s="213" t="s">
        <v>1222</v>
      </c>
      <c r="J196" s="214" t="s">
        <v>1501</v>
      </c>
      <c r="K196" s="215" t="s">
        <v>1284</v>
      </c>
      <c r="L196" s="197" t="s">
        <v>1195</v>
      </c>
      <c r="M196" s="215" t="s">
        <v>1196</v>
      </c>
      <c r="N196" s="216">
        <f>IFERROR(IF($E196="Inventory",VLOOKUP($C196,Inventory!$B:$I,8,FALSE()),IF($E196="Non Inventory",VLOOKUP($C196,'Non Inventory'!$B:$I,8,FALSE()),IF($E196="Services",VLOOKUP($C196,Services!$B:$I,8,FALSE()),IF($E196="Patty Cash",VLOOKUP($C196,'Patty Cash'!$B:$J,8,FALSE()),0)))),0)</f>
        <v>40</v>
      </c>
      <c r="O196" s="217">
        <f t="shared" si="2"/>
        <v>120</v>
      </c>
    </row>
    <row r="197" spans="1:15" ht="23.1" customHeight="1">
      <c r="A197" s="206">
        <f>IF(AND($B197="",$C197=""),"",MAX($A$3:A196)+1)</f>
        <v>194</v>
      </c>
      <c r="B197" s="207">
        <v>46151</v>
      </c>
      <c r="C197" s="208" t="s">
        <v>1432</v>
      </c>
      <c r="D197" s="209" t="str">
        <f>IFERROR(IF($E197="Inventory",VLOOKUP($C197,Inventory!$B:$I,2,FALSE()),IF($E197="Non Inventory",VLOOKUP($C197,'Non Inventory'!$B:$I,2,FALSE()),IF($E197="Services",VLOOKUP($C197,Services!$B:$I,2,FALSE()),IF($E197="Patty Cash",VLOOKUP($C197,'Patty Cash'!$B:$J,2,FALSE()),"")))),"")</f>
        <v>Conveyance</v>
      </c>
      <c r="E197" s="246" t="s">
        <v>1327</v>
      </c>
      <c r="F197" s="210" t="str">
        <f>IFERROR(IF($E197="Inventory",VLOOKUP($C197,Inventory!$B:$I,3,FALSE()),IF($E197="Non Inventory",VLOOKUP($C197,'Non Inventory'!$B:$I,3,FALSE()),IF($E197="Services",VLOOKUP($C197,Services!$B:$I,3,FALSE()),IF($E197="Patty Cash",VLOOKUP($C197,'Patty Cash'!$B:$J,3,FALSE()),"")))),"")</f>
        <v>LTR</v>
      </c>
      <c r="G197" s="211">
        <v>0.72114999999999996</v>
      </c>
      <c r="H197" s="212">
        <f>IF($E197="","",IF($E197="Inventory",IFERROR(VLOOKUP($C197,Inventory!$B:$H,7,FALSE()),0),IF($E197="Non Inventory",IFERROR(VLOOKUP($C197,'Non Inventory'!$B:$H,7,FALSE()),0),IF($E197="Services",IFERROR(VLOOKUP($C197,Services!$B:$H,7,FALSE()),0),IF($E197="Patty Cash",IFERROR(VLOOKUP($C197,'Patty Cash'!$B:$H,7,FALSE()),0),0)))))</f>
        <v>0</v>
      </c>
      <c r="I197" s="213" t="s">
        <v>1671</v>
      </c>
      <c r="J197" s="214" t="s">
        <v>67</v>
      </c>
      <c r="K197" s="215" t="s">
        <v>1323</v>
      </c>
      <c r="L197" s="197" t="s">
        <v>1195</v>
      </c>
      <c r="M197" s="215" t="s">
        <v>1196</v>
      </c>
      <c r="N197" s="216">
        <f>IFERROR(IF($E197="Inventory",VLOOKUP($C197,Inventory!$B:$I,8,FALSE()),IF($E197="Non Inventory",VLOOKUP($C197,'Non Inventory'!$B:$I,8,FALSE()),IF($E197="Services",VLOOKUP($C197,Services!$B:$I,8,FALSE()),IF($E197="Patty Cash",VLOOKUP($C197,'Patty Cash'!$B:$J,8,FALSE()),0)))),0)</f>
        <v>418</v>
      </c>
      <c r="O197" s="217">
        <f t="shared" ref="O197:O260" si="3">IF($G197="","",G197*N197)</f>
        <v>301.44069999999999</v>
      </c>
    </row>
    <row r="198" spans="1:15" ht="23.1" customHeight="1">
      <c r="A198" s="206">
        <f>IF(AND($B198="",$C198=""),"",MAX($A$3:A197)+1)</f>
        <v>195</v>
      </c>
      <c r="B198" s="207">
        <v>46151</v>
      </c>
      <c r="C198" s="208" t="s">
        <v>1433</v>
      </c>
      <c r="D198" s="209" t="str">
        <f>IFERROR(IF($E198="Inventory",VLOOKUP($C198,Inventory!$B:$I,2,FALSE()),IF($E198="Non Inventory",VLOOKUP($C198,'Non Inventory'!$B:$I,2,FALSE()),IF($E198="Services",VLOOKUP($C198,Services!$B:$I,2,FALSE()),IF($E198="Patty Cash",VLOOKUP($C198,'Patty Cash'!$B:$J,2,FALSE()),"")))),"")</f>
        <v>S.S Bush Size 3/8'' X 1/2'' (1pc)</v>
      </c>
      <c r="E198" s="246" t="s">
        <v>1327</v>
      </c>
      <c r="F198" s="210" t="str">
        <f>IFERROR(IF($E198="Inventory",VLOOKUP($C198,Inventory!$B:$I,3,FALSE()),IF($E198="Non Inventory",VLOOKUP($C198,'Non Inventory'!$B:$I,3,FALSE()),IF($E198="Services",VLOOKUP($C198,Services!$B:$I,3,FALSE()),IF($E198="Patty Cash",VLOOKUP($C198,'Patty Cash'!$B:$J,3,FALSE()),"")))),"")</f>
        <v>PCS</v>
      </c>
      <c r="G198" s="211">
        <v>0.72</v>
      </c>
      <c r="H198" s="212">
        <f>IF($E198="","",IF($E198="Inventory",IFERROR(VLOOKUP($C198,Inventory!$B:$H,7,FALSE()),0),IF($E198="Non Inventory",IFERROR(VLOOKUP($C198,'Non Inventory'!$B:$H,7,FALSE()),0),IF($E198="Services",IFERROR(VLOOKUP($C198,Services!$B:$H,7,FALSE()),0),IF($E198="Patty Cash",IFERROR(VLOOKUP($C198,'Patty Cash'!$B:$H,7,FALSE()),0),0)))))</f>
        <v>0</v>
      </c>
      <c r="I198" s="213" t="s">
        <v>1671</v>
      </c>
      <c r="J198" s="214" t="s">
        <v>1502</v>
      </c>
      <c r="K198" s="215" t="s">
        <v>1323</v>
      </c>
      <c r="L198" s="197" t="s">
        <v>1195</v>
      </c>
      <c r="M198" s="215" t="s">
        <v>1196</v>
      </c>
      <c r="N198" s="216">
        <f>IFERROR(IF($E198="Inventory",VLOOKUP($C198,Inventory!$B:$I,8,FALSE()),IF($E198="Non Inventory",VLOOKUP($C198,'Non Inventory'!$B:$I,8,FALSE()),IF($E198="Services",VLOOKUP($C198,Services!$B:$I,8,FALSE()),IF($E198="Patty Cash",VLOOKUP($C198,'Patty Cash'!$B:$J,8,FALSE()),0)))),0)</f>
        <v>400</v>
      </c>
      <c r="O198" s="217">
        <f t="shared" si="3"/>
        <v>288</v>
      </c>
    </row>
    <row r="199" spans="1:15" ht="23.1" customHeight="1">
      <c r="A199" s="206">
        <f>IF(AND($B199="",$C199=""),"",MAX($A$3:A198)+1)</f>
        <v>196</v>
      </c>
      <c r="B199" s="207">
        <v>46153</v>
      </c>
      <c r="C199" s="208" t="s">
        <v>1434</v>
      </c>
      <c r="D199" s="209" t="str">
        <f>IFERROR(IF($E199="Inventory",VLOOKUP($C199,Inventory!$B:$I,2,FALSE()),IF($E199="Non Inventory",VLOOKUP($C199,'Non Inventory'!$B:$I,2,FALSE()),IF($E199="Services",VLOOKUP($C199,Services!$B:$I,2,FALSE()),IF($E199="Patty Cash",VLOOKUP($C199,'Patty Cash'!$B:$J,2,FALSE()),"")))),"")</f>
        <v>Drill Bit Size 4mm (5pcs)</v>
      </c>
      <c r="E199" s="246" t="s">
        <v>1327</v>
      </c>
      <c r="F199" s="210" t="str">
        <f>IFERROR(IF($E199="Inventory",VLOOKUP($C199,Inventory!$B:$I,3,FALSE()),IF($E199="Non Inventory",VLOOKUP($C199,'Non Inventory'!$B:$I,3,FALSE()),IF($E199="Services",VLOOKUP($C199,Services!$B:$I,3,FALSE()),IF($E199="Patty Cash",VLOOKUP($C199,'Patty Cash'!$B:$J,3,FALSE()),"")))),"")</f>
        <v>PCS</v>
      </c>
      <c r="G199" s="211">
        <v>1</v>
      </c>
      <c r="H199" s="212">
        <f>IF($E199="","",IF($E199="Inventory",IFERROR(VLOOKUP($C199,Inventory!$B:$H,7,FALSE()),0),IF($E199="Non Inventory",IFERROR(VLOOKUP($C199,'Non Inventory'!$B:$H,7,FALSE()),0),IF($E199="Services",IFERROR(VLOOKUP($C199,Services!$B:$H,7,FALSE()),0),IF($E199="Patty Cash",IFERROR(VLOOKUP($C199,'Patty Cash'!$B:$H,7,FALSE()),0),0)))))</f>
        <v>0</v>
      </c>
      <c r="I199" s="213" t="s">
        <v>57</v>
      </c>
      <c r="J199" s="214" t="s">
        <v>1503</v>
      </c>
      <c r="K199" s="215" t="s">
        <v>1220</v>
      </c>
      <c r="L199" s="197" t="s">
        <v>1195</v>
      </c>
      <c r="M199" s="215" t="s">
        <v>1196</v>
      </c>
      <c r="N199" s="216">
        <f>IFERROR(IF($E199="Inventory",VLOOKUP($C199,Inventory!$B:$I,8,FALSE()),IF($E199="Non Inventory",VLOOKUP($C199,'Non Inventory'!$B:$I,8,FALSE()),IF($E199="Services",VLOOKUP($C199,Services!$B:$I,8,FALSE()),IF($E199="Patty Cash",VLOOKUP($C199,'Patty Cash'!$B:$J,8,FALSE()),0)))),0)</f>
        <v>80</v>
      </c>
      <c r="O199" s="217">
        <f t="shared" si="3"/>
        <v>80</v>
      </c>
    </row>
    <row r="200" spans="1:15" ht="23.1" customHeight="1">
      <c r="A200" s="206">
        <f>IF(AND($B200="",$C200=""),"",MAX($A$3:A199)+1)</f>
        <v>197</v>
      </c>
      <c r="B200" s="207">
        <v>46154</v>
      </c>
      <c r="C200" s="208" t="s">
        <v>1435</v>
      </c>
      <c r="D200" s="209" t="str">
        <f>IFERROR(IF($E200="Inventory",VLOOKUP($C200,Inventory!$B:$I,2,FALSE()),IF($E200="Non Inventory",VLOOKUP($C200,'Non Inventory'!$B:$I,2,FALSE()),IF($E200="Services",VLOOKUP($C200,Services!$B:$I,2,FALSE()),IF($E200="Patty Cash",VLOOKUP($C200,'Patty Cash'!$B:$J,2,FALSE()),"")))),"")</f>
        <v>Conveyance</v>
      </c>
      <c r="E200" s="246" t="s">
        <v>1327</v>
      </c>
      <c r="F200" s="210" t="str">
        <f>IFERROR(IF($E200="Inventory",VLOOKUP($C200,Inventory!$B:$I,3,FALSE()),IF($E200="Non Inventory",VLOOKUP($C200,'Non Inventory'!$B:$I,3,FALSE()),IF($E200="Services",VLOOKUP($C200,Services!$B:$I,3,FALSE()),IF($E200="Patty Cash",VLOOKUP($C200,'Patty Cash'!$B:$J,3,FALSE()),"")))),"")</f>
        <v>LTR</v>
      </c>
      <c r="G200" s="211">
        <v>0.72114999999999996</v>
      </c>
      <c r="H200" s="212">
        <f>IF($E200="","",IF($E200="Inventory",IFERROR(VLOOKUP($C200,Inventory!$B:$H,7,FALSE()),0),IF($E200="Non Inventory",IFERROR(VLOOKUP($C200,'Non Inventory'!$B:$H,7,FALSE()),0),IF($E200="Services",IFERROR(VLOOKUP($C200,Services!$B:$H,7,FALSE()),0),IF($E200="Patty Cash",IFERROR(VLOOKUP($C200,'Patty Cash'!$B:$H,7,FALSE()),0),0)))))</f>
        <v>0</v>
      </c>
      <c r="I200" s="213" t="s">
        <v>1671</v>
      </c>
      <c r="J200" s="214" t="s">
        <v>67</v>
      </c>
      <c r="K200" s="215" t="s">
        <v>1323</v>
      </c>
      <c r="L200" s="197" t="s">
        <v>1195</v>
      </c>
      <c r="M200" s="215" t="s">
        <v>1196</v>
      </c>
      <c r="N200" s="216">
        <f>IFERROR(IF($E200="Inventory",VLOOKUP($C200,Inventory!$B:$I,8,FALSE()),IF($E200="Non Inventory",VLOOKUP($C200,'Non Inventory'!$B:$I,8,FALSE()),IF($E200="Services",VLOOKUP($C200,Services!$B:$I,8,FALSE()),IF($E200="Patty Cash",VLOOKUP($C200,'Patty Cash'!$B:$J,8,FALSE()),0)))),0)</f>
        <v>418</v>
      </c>
      <c r="O200" s="217">
        <f t="shared" si="3"/>
        <v>301.44069999999999</v>
      </c>
    </row>
    <row r="201" spans="1:15" ht="23.1" customHeight="1">
      <c r="A201" s="206">
        <f>IF(AND($B201="",$C201=""),"",MAX($A$3:A200)+1)</f>
        <v>198</v>
      </c>
      <c r="B201" s="207">
        <v>46154</v>
      </c>
      <c r="C201" s="208" t="s">
        <v>1436</v>
      </c>
      <c r="D201" s="209" t="str">
        <f>IFERROR(IF($E201="Inventory",VLOOKUP($C201,Inventory!$B:$I,2,FALSE()),IF($E201="Non Inventory",VLOOKUP($C201,'Non Inventory'!$B:$I,2,FALSE()),IF($E201="Services",VLOOKUP($C201,Services!$B:$I,2,FALSE()),IF($E201="Patty Cash",VLOOKUP($C201,'Patty Cash'!$B:$J,2,FALSE()),"")))),"")</f>
        <v>Air Conditioner Service bag (1pc)</v>
      </c>
      <c r="E201" s="246" t="s">
        <v>1327</v>
      </c>
      <c r="F201" s="210" t="str">
        <f>IFERROR(IF($E201="Inventory",VLOOKUP($C201,Inventory!$B:$I,3,FALSE()),IF($E201="Non Inventory",VLOOKUP($C201,'Non Inventory'!$B:$I,3,FALSE()),IF($E201="Services",VLOOKUP($C201,Services!$B:$I,3,FALSE()),IF($E201="Patty Cash",VLOOKUP($C201,'Patty Cash'!$B:$J,3,FALSE()),"")))),"")</f>
        <v>LTR</v>
      </c>
      <c r="G201" s="211">
        <v>0.96</v>
      </c>
      <c r="H201" s="212">
        <f>IF($E201="","",IF($E201="Inventory",IFERROR(VLOOKUP($C201,Inventory!$B:$H,7,FALSE()),0),IF($E201="Non Inventory",IFERROR(VLOOKUP($C201,'Non Inventory'!$B:$H,7,FALSE()),0),IF($E201="Services",IFERROR(VLOOKUP($C201,Services!$B:$H,7,FALSE()),0),IF($E201="Patty Cash",IFERROR(VLOOKUP($C201,'Patty Cash'!$B:$H,7,FALSE()),0),0)))))</f>
        <v>0</v>
      </c>
      <c r="I201" s="213" t="s">
        <v>1671</v>
      </c>
      <c r="J201" s="214" t="s">
        <v>1504</v>
      </c>
      <c r="K201" s="215" t="s">
        <v>1323</v>
      </c>
      <c r="L201" s="197" t="s">
        <v>1195</v>
      </c>
      <c r="M201" s="215" t="s">
        <v>1196</v>
      </c>
      <c r="N201" s="216">
        <f>IFERROR(IF($E201="Inventory",VLOOKUP($C201,Inventory!$B:$I,8,FALSE()),IF($E201="Non Inventory",VLOOKUP($C201,'Non Inventory'!$B:$I,8,FALSE()),IF($E201="Services",VLOOKUP($C201,Services!$B:$I,8,FALSE()),IF($E201="Patty Cash",VLOOKUP($C201,'Patty Cash'!$B:$J,8,FALSE()),0)))),0)</f>
        <v>2000</v>
      </c>
      <c r="O201" s="217">
        <f t="shared" si="3"/>
        <v>1920</v>
      </c>
    </row>
    <row r="202" spans="1:15" ht="23.1" customHeight="1">
      <c r="A202" s="206">
        <f>IF(AND($B202="",$C202=""),"",MAX($A$3:A201)+1)</f>
        <v>199</v>
      </c>
      <c r="B202" s="207">
        <v>46155</v>
      </c>
      <c r="C202" s="208" t="s">
        <v>1437</v>
      </c>
      <c r="D202" s="209" t="str">
        <f>IFERROR(IF($E202="Inventory",VLOOKUP($C202,Inventory!$B:$I,2,FALSE()),IF($E202="Non Inventory",VLOOKUP($C202,'Non Inventory'!$B:$I,2,FALSE()),IF($E202="Services",VLOOKUP($C202,Services!$B:$I,2,FALSE()),IF($E202="Patty Cash",VLOOKUP($C202,'Patty Cash'!$B:$J,2,FALSE()),"")))),"")</f>
        <v>G.I Union size 1''</v>
      </c>
      <c r="E202" s="246" t="s">
        <v>1327</v>
      </c>
      <c r="F202" s="210" t="str">
        <f>IFERROR(IF($E202="Inventory",VLOOKUP($C202,Inventory!$B:$I,3,FALSE()),IF($E202="Non Inventory",VLOOKUP($C202,'Non Inventory'!$B:$I,3,FALSE()),IF($E202="Services",VLOOKUP($C202,Services!$B:$I,3,FALSE()),IF($E202="Patty Cash",VLOOKUP($C202,'Patty Cash'!$B:$J,3,FALSE()),"")))),"")</f>
        <v>NOS</v>
      </c>
      <c r="G202" s="211">
        <v>1</v>
      </c>
      <c r="H202" s="212">
        <f>IF($E202="","",IF($E202="Inventory",IFERROR(VLOOKUP($C202,Inventory!$B:$H,7,FALSE()),0),IF($E202="Non Inventory",IFERROR(VLOOKUP($C202,'Non Inventory'!$B:$H,7,FALSE()),0),IF($E202="Services",IFERROR(VLOOKUP($C202,Services!$B:$H,7,FALSE()),0),IF($E202="Patty Cash",IFERROR(VLOOKUP($C202,'Patty Cash'!$B:$H,7,FALSE()),0),0)))))</f>
        <v>0</v>
      </c>
      <c r="I202" s="213" t="s">
        <v>1305</v>
      </c>
      <c r="J202" s="214" t="s">
        <v>1505</v>
      </c>
      <c r="K202" s="215" t="s">
        <v>1249</v>
      </c>
      <c r="L202" s="197" t="s">
        <v>1195</v>
      </c>
      <c r="M202" s="215" t="s">
        <v>1196</v>
      </c>
      <c r="N202" s="216">
        <f>IFERROR(IF($E202="Inventory",VLOOKUP($C202,Inventory!$B:$I,8,FALSE()),IF($E202="Non Inventory",VLOOKUP($C202,'Non Inventory'!$B:$I,8,FALSE()),IF($E202="Services",VLOOKUP($C202,Services!$B:$I,8,FALSE()),IF($E202="Patty Cash",VLOOKUP($C202,'Patty Cash'!$B:$J,8,FALSE()),0)))),0)</f>
        <v>500</v>
      </c>
      <c r="O202" s="217">
        <f t="shared" si="3"/>
        <v>500</v>
      </c>
    </row>
    <row r="203" spans="1:15" ht="23.1" customHeight="1">
      <c r="A203" s="206">
        <f>IF(AND($B203="",$C203=""),"",MAX($A$3:A202)+1)</f>
        <v>200</v>
      </c>
      <c r="B203" s="207">
        <v>46158</v>
      </c>
      <c r="C203" s="208" t="s">
        <v>1438</v>
      </c>
      <c r="D203" s="209" t="str">
        <f>IFERROR(IF($E203="Inventory",VLOOKUP($C203,Inventory!$B:$I,2,FALSE()),IF($E203="Non Inventory",VLOOKUP($C203,'Non Inventory'!$B:$I,2,FALSE()),IF($E203="Services",VLOOKUP($C203,Services!$B:$I,2,FALSE()),IF($E203="Patty Cash",VLOOKUP($C203,'Patty Cash'!$B:$J,2,FALSE()),"")))),"")</f>
        <v>G.I Pipe Niple size 1'' X 12''</v>
      </c>
      <c r="E203" s="246" t="s">
        <v>1327</v>
      </c>
      <c r="F203" s="210" t="str">
        <f>IFERROR(IF($E203="Inventory",VLOOKUP($C203,Inventory!$B:$I,3,FALSE()),IF($E203="Non Inventory",VLOOKUP($C203,'Non Inventory'!$B:$I,3,FALSE()),IF($E203="Services",VLOOKUP($C203,Services!$B:$I,3,FALSE()),IF($E203="Patty Cash",VLOOKUP($C203,'Patty Cash'!$B:$J,3,FALSE()),"")))),"")</f>
        <v>NOS</v>
      </c>
      <c r="G203" s="211">
        <v>1</v>
      </c>
      <c r="H203" s="212">
        <f>IF($E203="","",IF($E203="Inventory",IFERROR(VLOOKUP($C203,Inventory!$B:$H,7,FALSE()),0),IF($E203="Non Inventory",IFERROR(VLOOKUP($C203,'Non Inventory'!$B:$H,7,FALSE()),0),IF($E203="Services",IFERROR(VLOOKUP($C203,Services!$B:$H,7,FALSE()),0),IF($E203="Patty Cash",IFERROR(VLOOKUP($C203,'Patty Cash'!$B:$H,7,FALSE()),0),0)))))</f>
        <v>0</v>
      </c>
      <c r="I203" s="213" t="s">
        <v>57</v>
      </c>
      <c r="J203" s="214" t="s">
        <v>1506</v>
      </c>
      <c r="K203" s="215" t="s">
        <v>1220</v>
      </c>
      <c r="L203" s="197" t="s">
        <v>1195</v>
      </c>
      <c r="M203" s="215" t="s">
        <v>1196</v>
      </c>
      <c r="N203" s="216">
        <f>IFERROR(IF($E203="Inventory",VLOOKUP($C203,Inventory!$B:$I,8,FALSE()),IF($E203="Non Inventory",VLOOKUP($C203,'Non Inventory'!$B:$I,8,FALSE()),IF($E203="Services",VLOOKUP($C203,Services!$B:$I,8,FALSE()),IF($E203="Patty Cash",VLOOKUP($C203,'Patty Cash'!$B:$J,8,FALSE()),0)))),0)</f>
        <v>300</v>
      </c>
      <c r="O203" s="217">
        <f t="shared" si="3"/>
        <v>300</v>
      </c>
    </row>
    <row r="204" spans="1:15" ht="23.1" customHeight="1">
      <c r="A204" s="206">
        <f>IF(AND($B204="",$C204=""),"",MAX($A$3:A203)+1)</f>
        <v>201</v>
      </c>
      <c r="B204" s="207">
        <v>46158</v>
      </c>
      <c r="C204" s="208" t="s">
        <v>1439</v>
      </c>
      <c r="D204" s="209" t="str">
        <f>IFERROR(IF($E204="Inventory",VLOOKUP($C204,Inventory!$B:$I,2,FALSE()),IF($E204="Non Inventory",VLOOKUP($C204,'Non Inventory'!$B:$I,2,FALSE()),IF($E204="Services",VLOOKUP($C204,Services!$B:$I,2,FALSE()),IF($E204="Patty Cash",VLOOKUP($C204,'Patty Cash'!$B:$J,2,FALSE()),"")))),"")</f>
        <v>Measurement Tape 5meter (1pc)</v>
      </c>
      <c r="E204" s="246" t="s">
        <v>1327</v>
      </c>
      <c r="F204" s="210" t="str">
        <f>IFERROR(IF($E204="Inventory",VLOOKUP($C204,Inventory!$B:$I,3,FALSE()),IF($E204="Non Inventory",VLOOKUP($C204,'Non Inventory'!$B:$I,3,FALSE()),IF($E204="Services",VLOOKUP($C204,Services!$B:$I,3,FALSE()),IF($E204="Patty Cash",VLOOKUP($C204,'Patty Cash'!$B:$J,3,FALSE()),"")))),"")</f>
        <v>PCS</v>
      </c>
      <c r="G204" s="211">
        <v>1</v>
      </c>
      <c r="H204" s="212">
        <f>IF($E204="","",IF($E204="Inventory",IFERROR(VLOOKUP($C204,Inventory!$B:$H,7,FALSE()),0),IF($E204="Non Inventory",IFERROR(VLOOKUP($C204,'Non Inventory'!$B:$H,7,FALSE()),0),IF($E204="Services",IFERROR(VLOOKUP($C204,Services!$B:$H,7,FALSE()),0),IF($E204="Patty Cash",IFERROR(VLOOKUP($C204,'Patty Cash'!$B:$H,7,FALSE()),0),0)))))</f>
        <v>0</v>
      </c>
      <c r="I204" s="213" t="s">
        <v>57</v>
      </c>
      <c r="J204" s="214" t="s">
        <v>1506</v>
      </c>
      <c r="K204" s="215" t="s">
        <v>1220</v>
      </c>
      <c r="L204" s="197" t="s">
        <v>1195</v>
      </c>
      <c r="M204" s="215" t="s">
        <v>1196</v>
      </c>
      <c r="N204" s="216">
        <f>IFERROR(IF($E204="Inventory",VLOOKUP($C204,Inventory!$B:$I,8,FALSE()),IF($E204="Non Inventory",VLOOKUP($C204,'Non Inventory'!$B:$I,8,FALSE()),IF($E204="Services",VLOOKUP($C204,Services!$B:$I,8,FALSE()),IF($E204="Patty Cash",VLOOKUP($C204,'Patty Cash'!$B:$J,8,FALSE()),0)))),0)</f>
        <v>250</v>
      </c>
      <c r="O204" s="217">
        <f t="shared" si="3"/>
        <v>250</v>
      </c>
    </row>
    <row r="205" spans="1:15" ht="23.1" customHeight="1">
      <c r="A205" s="206">
        <f>IF(AND($B205="",$C205=""),"",MAX($A$3:A204)+1)</f>
        <v>202</v>
      </c>
      <c r="B205" s="207">
        <v>46158</v>
      </c>
      <c r="C205" s="208" t="s">
        <v>1440</v>
      </c>
      <c r="D205" s="209" t="str">
        <f>IFERROR(IF($E205="Inventory",VLOOKUP($C205,Inventory!$B:$I,2,FALSE()),IF($E205="Non Inventory",VLOOKUP($C205,'Non Inventory'!$B:$I,2,FALSE()),IF($E205="Services",VLOOKUP($C205,Services!$B:$I,2,FALSE()),IF($E205="Patty Cash",VLOOKUP($C205,'Patty Cash'!$B:$J,2,FALSE()),"")))),"")</f>
        <v>Allen Key L Type 3mm</v>
      </c>
      <c r="E205" s="246" t="s">
        <v>1327</v>
      </c>
      <c r="F205" s="210" t="str">
        <f>IFERROR(IF($E205="Inventory",VLOOKUP($C205,Inventory!$B:$I,3,FALSE()),IF($E205="Non Inventory",VLOOKUP($C205,'Non Inventory'!$B:$I,3,FALSE()),IF($E205="Services",VLOOKUP($C205,Services!$B:$I,3,FALSE()),IF($E205="Patty Cash",VLOOKUP($C205,'Patty Cash'!$B:$J,3,FALSE()),"")))),"")</f>
        <v>NOS</v>
      </c>
      <c r="G205" s="211">
        <v>1</v>
      </c>
      <c r="H205" s="212">
        <f>IF($E205="","",IF($E205="Inventory",IFERROR(VLOOKUP($C205,Inventory!$B:$H,7,FALSE()),0),IF($E205="Non Inventory",IFERROR(VLOOKUP($C205,'Non Inventory'!$B:$H,7,FALSE()),0),IF($E205="Services",IFERROR(VLOOKUP($C205,Services!$B:$H,7,FALSE()),0),IF($E205="Patty Cash",IFERROR(VLOOKUP($C205,'Patty Cash'!$B:$H,7,FALSE()),0),0)))))</f>
        <v>0</v>
      </c>
      <c r="I205" s="213" t="s">
        <v>1222</v>
      </c>
      <c r="J205" s="214" t="s">
        <v>1507</v>
      </c>
      <c r="K205" s="215" t="s">
        <v>1220</v>
      </c>
      <c r="L205" s="197" t="s">
        <v>1195</v>
      </c>
      <c r="M205" s="215" t="s">
        <v>1196</v>
      </c>
      <c r="N205" s="216">
        <f>IFERROR(IF($E205="Inventory",VLOOKUP($C205,Inventory!$B:$I,8,FALSE()),IF($E205="Non Inventory",VLOOKUP($C205,'Non Inventory'!$B:$I,8,FALSE()),IF($E205="Services",VLOOKUP($C205,Services!$B:$I,8,FALSE()),IF($E205="Patty Cash",VLOOKUP($C205,'Patty Cash'!$B:$J,8,FALSE()),0)))),0)</f>
        <v>100</v>
      </c>
      <c r="O205" s="217">
        <f t="shared" si="3"/>
        <v>100</v>
      </c>
    </row>
    <row r="206" spans="1:15" ht="23.1" customHeight="1">
      <c r="A206" s="206">
        <f>IF(AND($B206="",$C206=""),"",MAX($A$3:A205)+1)</f>
        <v>203</v>
      </c>
      <c r="B206" s="207">
        <v>46158</v>
      </c>
      <c r="C206" s="208" t="s">
        <v>1441</v>
      </c>
      <c r="D206" s="209" t="str">
        <f>IFERROR(IF($E206="Inventory",VLOOKUP($C206,Inventory!$B:$I,2,FALSE()),IF($E206="Non Inventory",VLOOKUP($C206,'Non Inventory'!$B:$I,2,FALSE()),IF($E206="Services",VLOOKUP($C206,Services!$B:$I,2,FALSE()),IF($E206="Patty Cash",VLOOKUP($C206,'Patty Cash'!$B:$J,2,FALSE()),"")))),"")</f>
        <v>Conveyance</v>
      </c>
      <c r="E206" s="246" t="s">
        <v>1327</v>
      </c>
      <c r="F206" s="210" t="str">
        <f>IFERROR(IF($E206="Inventory",VLOOKUP($C206,Inventory!$B:$I,3,FALSE()),IF($E206="Non Inventory",VLOOKUP($C206,'Non Inventory'!$B:$I,3,FALSE()),IF($E206="Services",VLOOKUP($C206,Services!$B:$I,3,FALSE()),IF($E206="Patty Cash",VLOOKUP($C206,'Patty Cash'!$B:$J,3,FALSE()),"")))),"")</f>
        <v>LTR</v>
      </c>
      <c r="G206" s="211">
        <v>0.96</v>
      </c>
      <c r="H206" s="212">
        <f>IF($E206="","",IF($E206="Inventory",IFERROR(VLOOKUP($C206,Inventory!$B:$H,7,FALSE()),0),IF($E206="Non Inventory",IFERROR(VLOOKUP($C206,'Non Inventory'!$B:$H,7,FALSE()),0),IF($E206="Services",IFERROR(VLOOKUP($C206,Services!$B:$H,7,FALSE()),0),IF($E206="Patty Cash",IFERROR(VLOOKUP($C206,'Patty Cash'!$B:$H,7,FALSE()),0),0)))))</f>
        <v>0</v>
      </c>
      <c r="I206" s="213" t="s">
        <v>1671</v>
      </c>
      <c r="J206" s="214" t="s">
        <v>67</v>
      </c>
      <c r="K206" s="215" t="s">
        <v>1323</v>
      </c>
      <c r="L206" s="197" t="s">
        <v>1195</v>
      </c>
      <c r="M206" s="215" t="s">
        <v>1196</v>
      </c>
      <c r="N206" s="216">
        <f>IFERROR(IF($E206="Inventory",VLOOKUP($C206,Inventory!$B:$I,8,FALSE()),IF($E206="Non Inventory",VLOOKUP($C206,'Non Inventory'!$B:$I,8,FALSE()),IF($E206="Services",VLOOKUP($C206,Services!$B:$I,8,FALSE()),IF($E206="Patty Cash",VLOOKUP($C206,'Patty Cash'!$B:$J,8,FALSE()),0)))),0)</f>
        <v>418</v>
      </c>
      <c r="O206" s="217">
        <f t="shared" si="3"/>
        <v>401.28</v>
      </c>
    </row>
    <row r="207" spans="1:15" ht="23.1" customHeight="1">
      <c r="A207" s="206">
        <f>IF(AND($B207="",$C207=""),"",MAX($A$3:A206)+1)</f>
        <v>204</v>
      </c>
      <c r="B207" s="207">
        <v>46158</v>
      </c>
      <c r="C207" s="208" t="s">
        <v>1442</v>
      </c>
      <c r="D207" s="209" t="str">
        <f>IFERROR(IF($E207="Inventory",VLOOKUP($C207,Inventory!$B:$I,2,FALSE()),IF($E207="Non Inventory",VLOOKUP($C207,'Non Inventory'!$B:$I,2,FALSE()),IF($E207="Services",VLOOKUP($C207,Services!$B:$I,2,FALSE()),IF($E207="Patty Cash",VLOOKUP($C207,'Patty Cash'!$B:$J,2,FALSE()),"")))),"")</f>
        <v>Welding Gloves (1pair)</v>
      </c>
      <c r="E207" s="246" t="s">
        <v>1327</v>
      </c>
      <c r="F207" s="210" t="str">
        <f>IFERROR(IF($E207="Inventory",VLOOKUP($C207,Inventory!$B:$I,3,FALSE()),IF($E207="Non Inventory",VLOOKUP($C207,'Non Inventory'!$B:$I,3,FALSE()),IF($E207="Services",VLOOKUP($C207,Services!$B:$I,3,FALSE()),IF($E207="Patty Cash",VLOOKUP($C207,'Patty Cash'!$B:$J,3,FALSE()),"")))),"")</f>
        <v>PAIR</v>
      </c>
      <c r="G207" s="211">
        <v>1</v>
      </c>
      <c r="H207" s="212">
        <f>IF($E207="","",IF($E207="Inventory",IFERROR(VLOOKUP($C207,Inventory!$B:$H,7,FALSE()),0),IF($E207="Non Inventory",IFERROR(VLOOKUP($C207,'Non Inventory'!$B:$H,7,FALSE()),0),IF($E207="Services",IFERROR(VLOOKUP($C207,Services!$B:$H,7,FALSE()),0),IF($E207="Patty Cash",IFERROR(VLOOKUP($C207,'Patty Cash'!$B:$H,7,FALSE()),0),0)))))</f>
        <v>0</v>
      </c>
      <c r="I207" s="213" t="s">
        <v>1671</v>
      </c>
      <c r="J207" s="214" t="s">
        <v>1508</v>
      </c>
      <c r="K207" s="215" t="s">
        <v>1323</v>
      </c>
      <c r="L207" s="197" t="s">
        <v>1195</v>
      </c>
      <c r="M207" s="215" t="s">
        <v>1196</v>
      </c>
      <c r="N207" s="216">
        <f>IFERROR(IF($E207="Inventory",VLOOKUP($C207,Inventory!$B:$I,8,FALSE()),IF($E207="Non Inventory",VLOOKUP($C207,'Non Inventory'!$B:$I,8,FALSE()),IF($E207="Services",VLOOKUP($C207,Services!$B:$I,8,FALSE()),IF($E207="Patty Cash",VLOOKUP($C207,'Patty Cash'!$B:$J,8,FALSE()),0)))),0)</f>
        <v>400</v>
      </c>
      <c r="O207" s="217">
        <f t="shared" si="3"/>
        <v>400</v>
      </c>
    </row>
    <row r="208" spans="1:15" ht="23.1" customHeight="1">
      <c r="A208" s="206">
        <f>IF(AND($B208="",$C208=""),"",MAX($A$3:A207)+1)</f>
        <v>205</v>
      </c>
      <c r="B208" s="207">
        <v>46160</v>
      </c>
      <c r="C208" s="208" t="s">
        <v>1443</v>
      </c>
      <c r="D208" s="209" t="str">
        <f>IFERROR(IF($E208="Inventory",VLOOKUP($C208,Inventory!$B:$I,2,FALSE()),IF($E208="Non Inventory",VLOOKUP($C208,'Non Inventory'!$B:$I,2,FALSE()),IF($E208="Services",VLOOKUP($C208,Services!$B:$I,2,FALSE()),IF($E208="Patty Cash",VLOOKUP($C208,'Patty Cash'!$B:$J,2,FALSE()),"")))),"")</f>
        <v>Allen Key L Type 3/16'' (1pc)</v>
      </c>
      <c r="E208" s="246" t="s">
        <v>1327</v>
      </c>
      <c r="F208" s="210" t="str">
        <f>IFERROR(IF($E208="Inventory",VLOOKUP($C208,Inventory!$B:$I,3,FALSE()),IF($E208="Non Inventory",VLOOKUP($C208,'Non Inventory'!$B:$I,3,FALSE()),IF($E208="Services",VLOOKUP($C208,Services!$B:$I,3,FALSE()),IF($E208="Patty Cash",VLOOKUP($C208,'Patty Cash'!$B:$J,3,FALSE()),"")))),"")</f>
        <v>PCS</v>
      </c>
      <c r="G208" s="211">
        <v>1</v>
      </c>
      <c r="H208" s="212">
        <f>IF($E208="","",IF($E208="Inventory",IFERROR(VLOOKUP($C208,Inventory!$B:$H,7,FALSE()),0),IF($E208="Non Inventory",IFERROR(VLOOKUP($C208,'Non Inventory'!$B:$H,7,FALSE()),0),IF($E208="Services",IFERROR(VLOOKUP($C208,Services!$B:$H,7,FALSE()),0),IF($E208="Patty Cash",IFERROR(VLOOKUP($C208,'Patty Cash'!$B:$H,7,FALSE()),0),0)))))</f>
        <v>0</v>
      </c>
      <c r="I208" s="213" t="s">
        <v>1222</v>
      </c>
      <c r="J208" s="214" t="s">
        <v>1355</v>
      </c>
      <c r="K208" s="215" t="s">
        <v>1284</v>
      </c>
      <c r="L208" s="197" t="s">
        <v>1195</v>
      </c>
      <c r="M208" s="215" t="s">
        <v>1196</v>
      </c>
      <c r="N208" s="216">
        <f>IFERROR(IF($E208="Inventory",VLOOKUP($C208,Inventory!$B:$I,8,FALSE()),IF($E208="Non Inventory",VLOOKUP($C208,'Non Inventory'!$B:$I,8,FALSE()),IF($E208="Services",VLOOKUP($C208,Services!$B:$I,8,FALSE()),IF($E208="Patty Cash",VLOOKUP($C208,'Patty Cash'!$B:$J,8,FALSE()),0)))),0)</f>
        <v>170</v>
      </c>
      <c r="O208" s="217">
        <f t="shared" si="3"/>
        <v>170</v>
      </c>
    </row>
    <row r="209" spans="1:15" ht="23.1" customHeight="1">
      <c r="A209" s="206">
        <f>IF(AND($B209="",$C209=""),"",MAX($A$3:A208)+1)</f>
        <v>206</v>
      </c>
      <c r="B209" s="207">
        <v>46160</v>
      </c>
      <c r="C209" s="208" t="s">
        <v>1444</v>
      </c>
      <c r="D209" s="209" t="str">
        <f>IFERROR(IF($E209="Inventory",VLOOKUP($C209,Inventory!$B:$I,2,FALSE()),IF($E209="Non Inventory",VLOOKUP($C209,'Non Inventory'!$B:$I,2,FALSE()),IF($E209="Services",VLOOKUP($C209,Services!$B:$I,2,FALSE()),IF($E209="Patty Cash",VLOOKUP($C209,'Patty Cash'!$B:$J,2,FALSE()),"")))),"")</f>
        <v>Conveyance</v>
      </c>
      <c r="E209" s="246" t="s">
        <v>1327</v>
      </c>
      <c r="F209" s="210" t="str">
        <f>IFERROR(IF($E209="Inventory",VLOOKUP($C209,Inventory!$B:$I,3,FALSE()),IF($E209="Non Inventory",VLOOKUP($C209,'Non Inventory'!$B:$I,3,FALSE()),IF($E209="Services",VLOOKUP($C209,Services!$B:$I,3,FALSE()),IF($E209="Patty Cash",VLOOKUP($C209,'Patty Cash'!$B:$J,3,FALSE()),"")))),"")</f>
        <v>LTR</v>
      </c>
      <c r="G209" s="211">
        <v>0.84099999999999997</v>
      </c>
      <c r="H209" s="212">
        <f>IF($E209="","",IF($E209="Inventory",IFERROR(VLOOKUP($C209,Inventory!$B:$H,7,FALSE()),0),IF($E209="Non Inventory",IFERROR(VLOOKUP($C209,'Non Inventory'!$B:$H,7,FALSE()),0),IF($E209="Services",IFERROR(VLOOKUP($C209,Services!$B:$H,7,FALSE()),0),IF($E209="Patty Cash",IFERROR(VLOOKUP($C209,'Patty Cash'!$B:$H,7,FALSE()),0),0)))))</f>
        <v>0</v>
      </c>
      <c r="I209" s="213" t="s">
        <v>1671</v>
      </c>
      <c r="J209" s="214" t="s">
        <v>67</v>
      </c>
      <c r="K209" s="215" t="s">
        <v>1323</v>
      </c>
      <c r="L209" s="197" t="s">
        <v>1195</v>
      </c>
      <c r="M209" s="215" t="s">
        <v>1196</v>
      </c>
      <c r="N209" s="216">
        <f>IFERROR(IF($E209="Inventory",VLOOKUP($C209,Inventory!$B:$I,8,FALSE()),IF($E209="Non Inventory",VLOOKUP($C209,'Non Inventory'!$B:$I,8,FALSE()),IF($E209="Services",VLOOKUP($C209,Services!$B:$I,8,FALSE()),IF($E209="Patty Cash",VLOOKUP($C209,'Patty Cash'!$B:$J,8,FALSE()),0)))),0)</f>
        <v>418</v>
      </c>
      <c r="O209" s="217">
        <f t="shared" si="3"/>
        <v>351.53800000000001</v>
      </c>
    </row>
    <row r="210" spans="1:15" ht="23.1" customHeight="1">
      <c r="A210" s="206">
        <f>IF(AND($B210="",$C210=""),"",MAX($A$3:A209)+1)</f>
        <v>207</v>
      </c>
      <c r="B210" s="207">
        <v>46160</v>
      </c>
      <c r="C210" s="208" t="s">
        <v>1481</v>
      </c>
      <c r="D210" s="209" t="str">
        <f>IFERROR(IF($E210="Inventory",VLOOKUP($C210,Inventory!$B:$I,2,FALSE()),IF($E210="Non Inventory",VLOOKUP($C210,'Non Inventory'!$B:$I,2,FALSE()),IF($E210="Services",VLOOKUP($C210,Services!$B:$I,2,FALSE()),IF($E210="Patty Cash",VLOOKUP($C210,'Patty Cash'!$B:$J,2,FALSE()),"")))),"")</f>
        <v>Oil Seal 35-62-8 (2pcs)</v>
      </c>
      <c r="E210" s="246" t="s">
        <v>1327</v>
      </c>
      <c r="F210" s="210" t="str">
        <f>IFERROR(IF($E210="Inventory",VLOOKUP($C210,Inventory!$B:$I,3,FALSE()),IF($E210="Non Inventory",VLOOKUP($C210,'Non Inventory'!$B:$I,3,FALSE()),IF($E210="Services",VLOOKUP($C210,Services!$B:$I,3,FALSE()),IF($E210="Patty Cash",VLOOKUP($C210,'Patty Cash'!$B:$J,3,FALSE()),"")))),"")</f>
        <v>PCS</v>
      </c>
      <c r="G210" s="211">
        <v>0.84</v>
      </c>
      <c r="H210" s="212">
        <f>IF($E210="","",IF($E210="Inventory",IFERROR(VLOOKUP($C210,Inventory!$B:$H,7,FALSE()),0),IF($E210="Non Inventory",IFERROR(VLOOKUP($C210,'Non Inventory'!$B:$H,7,FALSE()),0),IF($E210="Services",IFERROR(VLOOKUP($C210,Services!$B:$H,7,FALSE()),0),IF($E210="Patty Cash",IFERROR(VLOOKUP($C210,'Patty Cash'!$B:$H,7,FALSE()),0),0)))))</f>
        <v>0</v>
      </c>
      <c r="I210" s="213" t="s">
        <v>1671</v>
      </c>
      <c r="J210" s="214" t="s">
        <v>1509</v>
      </c>
      <c r="K210" s="215" t="s">
        <v>1323</v>
      </c>
      <c r="L210" s="197" t="s">
        <v>1195</v>
      </c>
      <c r="M210" s="215" t="s">
        <v>1196</v>
      </c>
      <c r="N210" s="216">
        <f>IFERROR(IF($E210="Inventory",VLOOKUP($C210,Inventory!$B:$I,8,FALSE()),IF($E210="Non Inventory",VLOOKUP($C210,'Non Inventory'!$B:$I,8,FALSE()),IF($E210="Services",VLOOKUP($C210,Services!$B:$I,8,FALSE()),IF($E210="Patty Cash",VLOOKUP($C210,'Patty Cash'!$B:$J,8,FALSE()),0)))),0)</f>
        <v>280</v>
      </c>
      <c r="O210" s="217">
        <f t="shared" si="3"/>
        <v>235.2</v>
      </c>
    </row>
    <row r="211" spans="1:15" ht="23.1" customHeight="1">
      <c r="A211" s="206">
        <f>IF(AND($B211="",$C211=""),"",MAX($A$3:A210)+1)</f>
        <v>208</v>
      </c>
      <c r="B211" s="207">
        <v>46162</v>
      </c>
      <c r="C211" s="208" t="s">
        <v>1482</v>
      </c>
      <c r="D211" s="209" t="str">
        <f>IFERROR(IF($E211="Inventory",VLOOKUP($C211,Inventory!$B:$I,2,FALSE()),IF($E211="Non Inventory",VLOOKUP($C211,'Non Inventory'!$B:$I,2,FALSE()),IF($E211="Services",VLOOKUP($C211,Services!$B:$I,2,FALSE()),IF($E211="Patty Cash",VLOOKUP($C211,'Patty Cash'!$B:$J,2,FALSE()),"")))),"")</f>
        <v>Measurement Tape 5meter (1pc)</v>
      </c>
      <c r="E211" s="246" t="s">
        <v>1327</v>
      </c>
      <c r="F211" s="210" t="str">
        <f>IFERROR(IF($E211="Inventory",VLOOKUP($C211,Inventory!$B:$I,3,FALSE()),IF($E211="Non Inventory",VLOOKUP($C211,'Non Inventory'!$B:$I,3,FALSE()),IF($E211="Services",VLOOKUP($C211,Services!$B:$I,3,FALSE()),IF($E211="Patty Cash",VLOOKUP($C211,'Patty Cash'!$B:$J,3,FALSE()),"")))),"")</f>
        <v>PCS</v>
      </c>
      <c r="G211" s="211">
        <v>2</v>
      </c>
      <c r="H211" s="212">
        <f>IF($E211="","",IF($E211="Inventory",IFERROR(VLOOKUP($C211,Inventory!$B:$H,7,FALSE()),0),IF($E211="Non Inventory",IFERROR(VLOOKUP($C211,'Non Inventory'!$B:$H,7,FALSE()),0),IF($E211="Services",IFERROR(VLOOKUP($C211,Services!$B:$H,7,FALSE()),0),IF($E211="Patty Cash",IFERROR(VLOOKUP($C211,'Patty Cash'!$B:$H,7,FALSE()),0),0)))))</f>
        <v>0</v>
      </c>
      <c r="I211" s="213" t="s">
        <v>54</v>
      </c>
      <c r="J211" s="214" t="s">
        <v>1510</v>
      </c>
      <c r="K211" s="215" t="s">
        <v>1416</v>
      </c>
      <c r="L211" s="197" t="s">
        <v>1195</v>
      </c>
      <c r="M211" s="215" t="s">
        <v>1196</v>
      </c>
      <c r="N211" s="216">
        <f>IFERROR(IF($E211="Inventory",VLOOKUP($C211,Inventory!$B:$I,8,FALSE()),IF($E211="Non Inventory",VLOOKUP($C211,'Non Inventory'!$B:$I,8,FALSE()),IF($E211="Services",VLOOKUP($C211,Services!$B:$I,8,FALSE()),IF($E211="Patty Cash",VLOOKUP($C211,'Patty Cash'!$B:$J,8,FALSE()),0)))),0)</f>
        <v>380</v>
      </c>
      <c r="O211" s="217">
        <f t="shared" si="3"/>
        <v>760</v>
      </c>
    </row>
    <row r="212" spans="1:15" ht="23.1" customHeight="1">
      <c r="A212" s="206">
        <f>IF(AND($B212="",$C212=""),"",MAX($A$3:A211)+1)</f>
        <v>209</v>
      </c>
      <c r="B212" s="207">
        <v>46162</v>
      </c>
      <c r="C212" s="208" t="s">
        <v>1483</v>
      </c>
      <c r="D212" s="209" t="str">
        <f>IFERROR(IF($E212="Inventory",VLOOKUP($C212,Inventory!$B:$I,2,FALSE()),IF($E212="Non Inventory",VLOOKUP($C212,'Non Inventory'!$B:$I,2,FALSE()),IF($E212="Services",VLOOKUP($C212,Services!$B:$I,2,FALSE()),IF($E212="Patty Cash",VLOOKUP($C212,'Patty Cash'!$B:$J,2,FALSE()),"")))),"")</f>
        <v>Electric Tester (1pc)</v>
      </c>
      <c r="E212" s="246" t="s">
        <v>1327</v>
      </c>
      <c r="F212" s="210" t="str">
        <f>IFERROR(IF($E212="Inventory",VLOOKUP($C212,Inventory!$B:$I,3,FALSE()),IF($E212="Non Inventory",VLOOKUP($C212,'Non Inventory'!$B:$I,3,FALSE()),IF($E212="Services",VLOOKUP($C212,Services!$B:$I,3,FALSE()),IF($E212="Patty Cash",VLOOKUP($C212,'Patty Cash'!$B:$J,3,FALSE()),"")))),"")</f>
        <v>PCS</v>
      </c>
      <c r="G212" s="211">
        <v>1</v>
      </c>
      <c r="H212" s="212">
        <f>IF($E212="","",IF($E212="Inventory",IFERROR(VLOOKUP($C212,Inventory!$B:$H,7,FALSE()),0),IF($E212="Non Inventory",IFERROR(VLOOKUP($C212,'Non Inventory'!$B:$H,7,FALSE()),0),IF($E212="Services",IFERROR(VLOOKUP($C212,Services!$B:$H,7,FALSE()),0),IF($E212="Patty Cash",IFERROR(VLOOKUP($C212,'Patty Cash'!$B:$H,7,FALSE()),0),0)))))</f>
        <v>0</v>
      </c>
      <c r="I212" s="213" t="s">
        <v>1222</v>
      </c>
      <c r="J212" s="214" t="s">
        <v>1507</v>
      </c>
      <c r="K212" s="215" t="s">
        <v>1323</v>
      </c>
      <c r="L212" s="197" t="s">
        <v>1195</v>
      </c>
      <c r="M212" s="215" t="s">
        <v>1196</v>
      </c>
      <c r="N212" s="216">
        <f>IFERROR(IF($E212="Inventory",VLOOKUP($C212,Inventory!$B:$I,8,FALSE()),IF($E212="Non Inventory",VLOOKUP($C212,'Non Inventory'!$B:$I,8,FALSE()),IF($E212="Services",VLOOKUP($C212,Services!$B:$I,8,FALSE()),IF($E212="Patty Cash",VLOOKUP($C212,'Patty Cash'!$B:$J,8,FALSE()),0)))),0)</f>
        <v>70</v>
      </c>
      <c r="O212" s="217">
        <f t="shared" si="3"/>
        <v>70</v>
      </c>
    </row>
    <row r="213" spans="1:15" ht="23.1" customHeight="1">
      <c r="A213" s="206">
        <f>IF(AND($B213="",$C213=""),"",MAX($A$3:A212)+1)</f>
        <v>210</v>
      </c>
      <c r="B213" s="207">
        <v>46162</v>
      </c>
      <c r="C213" s="208" t="s">
        <v>1484</v>
      </c>
      <c r="D213" s="209" t="str">
        <f>IFERROR(IF($E213="Inventory",VLOOKUP($C213,Inventory!$B:$I,2,FALSE()),IF($E213="Non Inventory",VLOOKUP($C213,'Non Inventory'!$B:$I,2,FALSE()),IF($E213="Services",VLOOKUP($C213,Services!$B:$I,2,FALSE()),IF($E213="Patty Cash",VLOOKUP($C213,'Patty Cash'!$B:$J,2,FALSE()),"")))),"")</f>
        <v>Piano Socket (4pcs)</v>
      </c>
      <c r="E213" s="246" t="s">
        <v>1327</v>
      </c>
      <c r="F213" s="210" t="str">
        <f>IFERROR(IF($E213="Inventory",VLOOKUP($C213,Inventory!$B:$I,3,FALSE()),IF($E213="Non Inventory",VLOOKUP($C213,'Non Inventory'!$B:$I,3,FALSE()),IF($E213="Services",VLOOKUP($C213,Services!$B:$I,3,FALSE()),IF($E213="Patty Cash",VLOOKUP($C213,'Patty Cash'!$B:$J,3,FALSE()),"")))),"")</f>
        <v>PCS</v>
      </c>
      <c r="G213" s="211">
        <v>1</v>
      </c>
      <c r="H213" s="212">
        <f>IF($E213="","",IF($E213="Inventory",IFERROR(VLOOKUP($C213,Inventory!$B:$H,7,FALSE()),0),IF($E213="Non Inventory",IFERROR(VLOOKUP($C213,'Non Inventory'!$B:$H,7,FALSE()),0),IF($E213="Services",IFERROR(VLOOKUP($C213,Services!$B:$H,7,FALSE()),0),IF($E213="Patty Cash",IFERROR(VLOOKUP($C213,'Patty Cash'!$B:$H,7,FALSE()),0),0)))))</f>
        <v>0</v>
      </c>
      <c r="I213" s="213" t="s">
        <v>1222</v>
      </c>
      <c r="J213" s="214" t="s">
        <v>1511</v>
      </c>
      <c r="K213" s="215" t="s">
        <v>1206</v>
      </c>
      <c r="L213" s="197" t="s">
        <v>1195</v>
      </c>
      <c r="M213" s="215" t="s">
        <v>1207</v>
      </c>
      <c r="N213" s="216">
        <f>IFERROR(IF($E213="Inventory",VLOOKUP($C213,Inventory!$B:$I,8,FALSE()),IF($E213="Non Inventory",VLOOKUP($C213,'Non Inventory'!$B:$I,8,FALSE()),IF($E213="Services",VLOOKUP($C213,Services!$B:$I,8,FALSE()),IF($E213="Patty Cash",VLOOKUP($C213,'Patty Cash'!$B:$J,8,FALSE()),0)))),0)</f>
        <v>55</v>
      </c>
      <c r="O213" s="217">
        <f t="shared" si="3"/>
        <v>55</v>
      </c>
    </row>
    <row r="214" spans="1:15" ht="23.1" customHeight="1">
      <c r="A214" s="206">
        <f>IF(AND($B214="",$C214=""),"",MAX($A$3:A213)+1)</f>
        <v>211</v>
      </c>
      <c r="B214" s="207">
        <v>46162</v>
      </c>
      <c r="C214" s="208" t="s">
        <v>1485</v>
      </c>
      <c r="D214" s="209" t="str">
        <f>IFERROR(IF($E214="Inventory",VLOOKUP($C214,Inventory!$B:$I,2,FALSE()),IF($E214="Non Inventory",VLOOKUP($C214,'Non Inventory'!$B:$I,2,FALSE()),IF($E214="Services",VLOOKUP($C214,Services!$B:$I,2,FALSE()),IF($E214="Patty Cash",VLOOKUP($C214,'Patty Cash'!$B:$J,2,FALSE()),"")))),"")</f>
        <v>Conveyance</v>
      </c>
      <c r="E214" s="246" t="s">
        <v>1327</v>
      </c>
      <c r="F214" s="210" t="str">
        <f>IFERROR(IF($E214="Inventory",VLOOKUP($C214,Inventory!$B:$I,3,FALSE()),IF($E214="Non Inventory",VLOOKUP($C214,'Non Inventory'!$B:$I,3,FALSE()),IF($E214="Services",VLOOKUP($C214,Services!$B:$I,3,FALSE()),IF($E214="Patty Cash",VLOOKUP($C214,'Patty Cash'!$B:$J,3,FALSE()),"")))),"")</f>
        <v>LTR</v>
      </c>
      <c r="G214" s="211">
        <v>0.84099999999999997</v>
      </c>
      <c r="H214" s="212">
        <f>IF($E214="","",IF($E214="Inventory",IFERROR(VLOOKUP($C214,Inventory!$B:$H,7,FALSE()),0),IF($E214="Non Inventory",IFERROR(VLOOKUP($C214,'Non Inventory'!$B:$H,7,FALSE()),0),IF($E214="Services",IFERROR(VLOOKUP($C214,Services!$B:$H,7,FALSE()),0),IF($E214="Patty Cash",IFERROR(VLOOKUP($C214,'Patty Cash'!$B:$H,7,FALSE()),0),0)))))</f>
        <v>0</v>
      </c>
      <c r="I214" s="213" t="s">
        <v>1671</v>
      </c>
      <c r="J214" s="214" t="s">
        <v>67</v>
      </c>
      <c r="K214" s="215" t="s">
        <v>1323</v>
      </c>
      <c r="L214" s="197" t="s">
        <v>1195</v>
      </c>
      <c r="M214" s="215" t="s">
        <v>1207</v>
      </c>
      <c r="N214" s="216">
        <f>IFERROR(IF($E214="Inventory",VLOOKUP($C214,Inventory!$B:$I,8,FALSE()),IF($E214="Non Inventory",VLOOKUP($C214,'Non Inventory'!$B:$I,8,FALSE()),IF($E214="Services",VLOOKUP($C214,Services!$B:$I,8,FALSE()),IF($E214="Patty Cash",VLOOKUP($C214,'Patty Cash'!$B:$J,8,FALSE()),0)))),0)</f>
        <v>418</v>
      </c>
      <c r="O214" s="217">
        <f t="shared" si="3"/>
        <v>351.53800000000001</v>
      </c>
    </row>
    <row r="215" spans="1:15" ht="23.1" customHeight="1">
      <c r="A215" s="206">
        <f>IF(AND($B215="",$C215=""),"",MAX($A$3:A214)+1)</f>
        <v>212</v>
      </c>
      <c r="B215" s="207">
        <v>46162</v>
      </c>
      <c r="C215" s="208" t="s">
        <v>1486</v>
      </c>
      <c r="D215" s="209" t="str">
        <f>IFERROR(IF($E215="Inventory",VLOOKUP($C215,Inventory!$B:$I,2,FALSE()),IF($E215="Non Inventory",VLOOKUP($C215,'Non Inventory'!$B:$I,2,FALSE()),IF($E215="Services",VLOOKUP($C215,Services!$B:$I,2,FALSE()),IF($E215="Patty Cash",VLOOKUP($C215,'Patty Cash'!$B:$J,2,FALSE()),"")))),"")</f>
        <v>Mechanical Seal 30mm G.2 (1pc)</v>
      </c>
      <c r="E215" s="246" t="s">
        <v>1327</v>
      </c>
      <c r="F215" s="210" t="str">
        <f>IFERROR(IF($E215="Inventory",VLOOKUP($C215,Inventory!$B:$I,3,FALSE()),IF($E215="Non Inventory",VLOOKUP($C215,'Non Inventory'!$B:$I,3,FALSE()),IF($E215="Services",VLOOKUP($C215,Services!$B:$I,3,FALSE()),IF($E215="Patty Cash",VLOOKUP($C215,'Patty Cash'!$B:$J,3,FALSE()),"")))),"")</f>
        <v>PCS</v>
      </c>
      <c r="G215" s="211">
        <v>0.72</v>
      </c>
      <c r="H215" s="212">
        <f>IF($E215="","",IF($E215="Inventory",IFERROR(VLOOKUP($C215,Inventory!$B:$H,7,FALSE()),0),IF($E215="Non Inventory",IFERROR(VLOOKUP($C215,'Non Inventory'!$B:$H,7,FALSE()),0),IF($E215="Services",IFERROR(VLOOKUP($C215,Services!$B:$H,7,FALSE()),0),IF($E215="Patty Cash",IFERROR(VLOOKUP($C215,'Patty Cash'!$B:$H,7,FALSE()),0),0)))))</f>
        <v>0</v>
      </c>
      <c r="I215" s="213" t="s">
        <v>1671</v>
      </c>
      <c r="J215" s="214" t="s">
        <v>1512</v>
      </c>
      <c r="K215" s="215" t="s">
        <v>1323</v>
      </c>
      <c r="L215" s="197" t="s">
        <v>1195</v>
      </c>
      <c r="M215" s="215" t="s">
        <v>1196</v>
      </c>
      <c r="N215" s="216">
        <f>IFERROR(IF($E215="Inventory",VLOOKUP($C215,Inventory!$B:$I,8,FALSE()),IF($E215="Non Inventory",VLOOKUP($C215,'Non Inventory'!$B:$I,8,FALSE()),IF($E215="Services",VLOOKUP($C215,Services!$B:$I,8,FALSE()),IF($E215="Patty Cash",VLOOKUP($C215,'Patty Cash'!$B:$J,8,FALSE()),0)))),0)</f>
        <v>1850</v>
      </c>
      <c r="O215" s="217">
        <f t="shared" si="3"/>
        <v>1332</v>
      </c>
    </row>
    <row r="216" spans="1:15" ht="23.1" customHeight="1">
      <c r="A216" s="206">
        <f>IF(AND($B216="",$C216=""),"",MAX($A$3:A215)+1)</f>
        <v>213</v>
      </c>
      <c r="B216" s="207">
        <v>46167</v>
      </c>
      <c r="C216" s="208" t="s">
        <v>1487</v>
      </c>
      <c r="D216" s="209" t="str">
        <f>IFERROR(IF($E216="Inventory",VLOOKUP($C216,Inventory!$B:$I,2,FALSE()),IF($E216="Non Inventory",VLOOKUP($C216,'Non Inventory'!$B:$I,2,FALSE()),IF($E216="Services",VLOOKUP($C216,Services!$B:$I,2,FALSE()),IF($E216="Patty Cash",VLOOKUP($C216,'Patty Cash'!$B:$J,2,FALSE()),"")))),"")</f>
        <v>Hydrulic seal 18X26X5 (4pcs)</v>
      </c>
      <c r="E216" s="246" t="s">
        <v>1327</v>
      </c>
      <c r="F216" s="210" t="str">
        <f>IFERROR(IF($E216="Inventory",VLOOKUP($C216,Inventory!$B:$I,3,FALSE()),IF($E216="Non Inventory",VLOOKUP($C216,'Non Inventory'!$B:$I,3,FALSE()),IF($E216="Services",VLOOKUP($C216,Services!$B:$I,3,FALSE()),IF($E216="Patty Cash",VLOOKUP($C216,'Patty Cash'!$B:$J,3,FALSE()),"")))),"")</f>
        <v>PCS</v>
      </c>
      <c r="G216" s="211">
        <v>1</v>
      </c>
      <c r="H216" s="212">
        <f>IF($E216="","",IF($E216="Inventory",IFERROR(VLOOKUP($C216,Inventory!$B:$H,7,FALSE()),0),IF($E216="Non Inventory",IFERROR(VLOOKUP($C216,'Non Inventory'!$B:$H,7,FALSE()),0),IF($E216="Services",IFERROR(VLOOKUP($C216,Services!$B:$H,7,FALSE()),0),IF($E216="Patty Cash",IFERROR(VLOOKUP($C216,'Patty Cash'!$B:$H,7,FALSE()),0),0)))))</f>
        <v>0</v>
      </c>
      <c r="I216" s="213" t="s">
        <v>1291</v>
      </c>
      <c r="J216" s="214" t="s">
        <v>1513</v>
      </c>
      <c r="K216" s="215" t="s">
        <v>1249</v>
      </c>
      <c r="L216" s="197" t="s">
        <v>1195</v>
      </c>
      <c r="M216" s="215" t="s">
        <v>1196</v>
      </c>
      <c r="N216" s="216">
        <f>IFERROR(IF($E216="Inventory",VLOOKUP($C216,Inventory!$B:$I,8,FALSE()),IF($E216="Non Inventory",VLOOKUP($C216,'Non Inventory'!$B:$I,8,FALSE()),IF($E216="Services",VLOOKUP($C216,Services!$B:$I,8,FALSE()),IF($E216="Patty Cash",VLOOKUP($C216,'Patty Cash'!$B:$J,8,FALSE()),0)))),0)</f>
        <v>183</v>
      </c>
      <c r="O216" s="217">
        <f t="shared" si="3"/>
        <v>183</v>
      </c>
    </row>
    <row r="217" spans="1:15" ht="23.1" customHeight="1">
      <c r="A217" s="206">
        <f>IF(AND($B217="",$C217=""),"",MAX($A$3:A216)+1)</f>
        <v>214</v>
      </c>
      <c r="B217" s="207">
        <v>46167</v>
      </c>
      <c r="C217" s="208" t="s">
        <v>1488</v>
      </c>
      <c r="D217" s="209" t="str">
        <f>IFERROR(IF($E217="Inventory",VLOOKUP($C217,Inventory!$B:$I,2,FALSE()),IF($E217="Non Inventory",VLOOKUP($C217,'Non Inventory'!$B:$I,2,FALSE()),IF($E217="Services",VLOOKUP($C217,Services!$B:$I,2,FALSE()),IF($E217="Patty Cash",VLOOKUP($C217,'Patty Cash'!$B:$J,2,FALSE()),"")))),"")</f>
        <v>Hydrulic seal 31.5X41.5 (4pcs)</v>
      </c>
      <c r="E217" s="246" t="s">
        <v>1327</v>
      </c>
      <c r="F217" s="210" t="str">
        <f>IFERROR(IF($E217="Inventory",VLOOKUP($C217,Inventory!$B:$I,3,FALSE()),IF($E217="Non Inventory",VLOOKUP($C217,'Non Inventory'!$B:$I,3,FALSE()),IF($E217="Services",VLOOKUP($C217,Services!$B:$I,3,FALSE()),IF($E217="Patty Cash",VLOOKUP($C217,'Patty Cash'!$B:$J,3,FALSE()),"")))),"")</f>
        <v>PCS</v>
      </c>
      <c r="G217" s="211">
        <v>4</v>
      </c>
      <c r="H217" s="212">
        <f>IF($E217="","",IF($E217="Inventory",IFERROR(VLOOKUP($C217,Inventory!$B:$H,7,FALSE()),0),IF($E217="Non Inventory",IFERROR(VLOOKUP($C217,'Non Inventory'!$B:$H,7,FALSE()),0),IF($E217="Services",IFERROR(VLOOKUP($C217,Services!$B:$H,7,FALSE()),0),IF($E217="Patty Cash",IFERROR(VLOOKUP($C217,'Patty Cash'!$B:$H,7,FALSE()),0),0)))))</f>
        <v>0</v>
      </c>
      <c r="I217" s="213" t="s">
        <v>1254</v>
      </c>
      <c r="J217" s="214" t="s">
        <v>1514</v>
      </c>
      <c r="K217" s="215" t="s">
        <v>1284</v>
      </c>
      <c r="L217" s="197" t="s">
        <v>1195</v>
      </c>
      <c r="M217" s="215" t="s">
        <v>1196</v>
      </c>
      <c r="N217" s="216">
        <f>IFERROR(IF($E217="Inventory",VLOOKUP($C217,Inventory!$B:$I,8,FALSE()),IF($E217="Non Inventory",VLOOKUP($C217,'Non Inventory'!$B:$I,8,FALSE()),IF($E217="Services",VLOOKUP($C217,Services!$B:$I,8,FALSE()),IF($E217="Patty Cash",VLOOKUP($C217,'Patty Cash'!$B:$J,8,FALSE()),0)))),0)</f>
        <v>143</v>
      </c>
      <c r="O217" s="217">
        <f t="shared" si="3"/>
        <v>572</v>
      </c>
    </row>
    <row r="218" spans="1:15" ht="23.1" customHeight="1">
      <c r="A218" s="206">
        <f>IF(AND($B218="",$C218=""),"",MAX($A$3:A217)+1)</f>
        <v>215</v>
      </c>
      <c r="B218" s="207">
        <v>46167</v>
      </c>
      <c r="C218" s="208" t="s">
        <v>1489</v>
      </c>
      <c r="D218" s="209" t="str">
        <f>IFERROR(IF($E218="Inventory",VLOOKUP($C218,Inventory!$B:$I,2,FALSE()),IF($E218="Non Inventory",VLOOKUP($C218,'Non Inventory'!$B:$I,2,FALSE()),IF($E218="Services",VLOOKUP($C218,Services!$B:$I,2,FALSE()),IF($E218="Patty Cash",VLOOKUP($C218,'Patty Cash'!$B:$J,2,FALSE()),"")))),"")</f>
        <v>Conveyance</v>
      </c>
      <c r="E218" s="246" t="s">
        <v>1327</v>
      </c>
      <c r="F218" s="210" t="str">
        <f>IFERROR(IF($E218="Inventory",VLOOKUP($C218,Inventory!$B:$I,3,FALSE()),IF($E218="Non Inventory",VLOOKUP($C218,'Non Inventory'!$B:$I,3,FALSE()),IF($E218="Services",VLOOKUP($C218,Services!$B:$I,3,FALSE()),IF($E218="Patty Cash",VLOOKUP($C218,'Patty Cash'!$B:$J,3,FALSE()),"")))),"")</f>
        <v>LTR</v>
      </c>
      <c r="G218" s="211">
        <v>0.72114999999999996</v>
      </c>
      <c r="H218" s="212">
        <f>IF($E218="","",IF($E218="Inventory",IFERROR(VLOOKUP($C218,Inventory!$B:$H,7,FALSE()),0),IF($E218="Non Inventory",IFERROR(VLOOKUP($C218,'Non Inventory'!$B:$H,7,FALSE()),0),IF($E218="Services",IFERROR(VLOOKUP($C218,Services!$B:$H,7,FALSE()),0),IF($E218="Patty Cash",IFERROR(VLOOKUP($C218,'Patty Cash'!$B:$H,7,FALSE()),0),0)))))</f>
        <v>0</v>
      </c>
      <c r="I218" s="213" t="s">
        <v>1671</v>
      </c>
      <c r="J218" s="214" t="s">
        <v>67</v>
      </c>
      <c r="K218" s="215" t="s">
        <v>1323</v>
      </c>
      <c r="L218" s="197" t="s">
        <v>1195</v>
      </c>
      <c r="M218" s="215" t="s">
        <v>1196</v>
      </c>
      <c r="N218" s="216">
        <f>IFERROR(IF($E218="Inventory",VLOOKUP($C218,Inventory!$B:$I,8,FALSE()),IF($E218="Non Inventory",VLOOKUP($C218,'Non Inventory'!$B:$I,8,FALSE()),IF($E218="Services",VLOOKUP($C218,Services!$B:$I,8,FALSE()),IF($E218="Patty Cash",VLOOKUP($C218,'Patty Cash'!$B:$J,8,FALSE()),0)))),0)</f>
        <v>418</v>
      </c>
      <c r="O218" s="217">
        <f t="shared" si="3"/>
        <v>301.44069999999999</v>
      </c>
    </row>
    <row r="219" spans="1:15" ht="23.1" customHeight="1">
      <c r="A219" s="206">
        <f>IF(AND($B219="",$C219=""),"",MAX($A$3:A218)+1)</f>
        <v>216</v>
      </c>
      <c r="B219" s="207">
        <v>46167</v>
      </c>
      <c r="C219" s="208" t="s">
        <v>1490</v>
      </c>
      <c r="D219" s="209" t="str">
        <f>IFERROR(IF($E219="Inventory",VLOOKUP($C219,Inventory!$B:$I,2,FALSE()),IF($E219="Non Inventory",VLOOKUP($C219,'Non Inventory'!$B:$I,2,FALSE()),IF($E219="Services",VLOOKUP($C219,Services!$B:$I,2,FALSE()),IF($E219="Patty Cash",VLOOKUP($C219,'Patty Cash'!$B:$J,2,FALSE()),"")))),"")</f>
        <v xml:space="preserve">Masterd Oil </v>
      </c>
      <c r="E219" s="246" t="s">
        <v>1327</v>
      </c>
      <c r="F219" s="210" t="str">
        <f>IFERROR(IF($E219="Inventory",VLOOKUP($C219,Inventory!$B:$I,3,FALSE()),IF($E219="Non Inventory",VLOOKUP($C219,'Non Inventory'!$B:$I,3,FALSE()),IF($E219="Services",VLOOKUP($C219,Services!$B:$I,3,FALSE()),IF($E219="Patty Cash",VLOOKUP($C219,'Patty Cash'!$B:$J,3,FALSE()),"")))),"")</f>
        <v>NOS</v>
      </c>
      <c r="G219" s="211">
        <v>0.72</v>
      </c>
      <c r="H219" s="212">
        <f>IF($E219="","",IF($E219="Inventory",IFERROR(VLOOKUP($C219,Inventory!$B:$H,7,FALSE()),0),IF($E219="Non Inventory",IFERROR(VLOOKUP($C219,'Non Inventory'!$B:$H,7,FALSE()),0),IF($E219="Services",IFERROR(VLOOKUP($C219,Services!$B:$H,7,FALSE()),0),IF($E219="Patty Cash",IFERROR(VLOOKUP($C219,'Patty Cash'!$B:$H,7,FALSE()),0),0)))))</f>
        <v>0</v>
      </c>
      <c r="I219" s="213" t="s">
        <v>1671</v>
      </c>
      <c r="J219" s="214" t="s">
        <v>1515</v>
      </c>
      <c r="K219" s="215" t="s">
        <v>1323</v>
      </c>
      <c r="L219" s="197" t="s">
        <v>1195</v>
      </c>
      <c r="M219" s="215" t="s">
        <v>1196</v>
      </c>
      <c r="N219" s="216">
        <f>IFERROR(IF($E219="Inventory",VLOOKUP($C219,Inventory!$B:$I,8,FALSE()),IF($E219="Non Inventory",VLOOKUP($C219,'Non Inventory'!$B:$I,8,FALSE()),IF($E219="Services",VLOOKUP($C219,Services!$B:$I,8,FALSE()),IF($E219="Patty Cash",VLOOKUP($C219,'Patty Cash'!$B:$J,8,FALSE()),0)))),0)</f>
        <v>250</v>
      </c>
      <c r="O219" s="217">
        <f t="shared" si="3"/>
        <v>180</v>
      </c>
    </row>
    <row r="220" spans="1:15" ht="23.1" customHeight="1">
      <c r="A220" s="206">
        <f>IF(AND($B220="",$C220=""),"",MAX($A$3:A219)+1)</f>
        <v>217</v>
      </c>
      <c r="B220" s="207">
        <v>46174</v>
      </c>
      <c r="C220" s="208">
        <v>2098</v>
      </c>
      <c r="D220" s="209" t="str">
        <f>IFERROR(IF($E220="Inventory",VLOOKUP($C220,Inventory!$B:$I,2,FALSE()),IF($E220="Non Inventory",VLOOKUP($C220,'Non Inventory'!$B:$I,2,FALSE()),IF($E220="Services",VLOOKUP($C220,Services!$B:$I,2,FALSE()),IF($E220="Patty Cash",VLOOKUP($C220,'Patty Cash'!$B:$J,2,FALSE()),"")))),"")</f>
        <v>Ball Bearing 6202 RSR C3</v>
      </c>
      <c r="E220" s="246" t="s">
        <v>6</v>
      </c>
      <c r="F220" s="210" t="str">
        <f>IFERROR(IF($E220="Inventory",VLOOKUP($C220,Inventory!$B:$I,3,FALSE()),IF($E220="Non Inventory",VLOOKUP($C220,'Non Inventory'!$B:$I,3,FALSE()),IF($E220="Services",VLOOKUP($C220,Services!$B:$I,3,FALSE()),IF($E220="Patty Cash",VLOOKUP($C220,'Patty Cash'!$B:$J,3,FALSE()),"")))),"")</f>
        <v>PCS</v>
      </c>
      <c r="G220" s="211">
        <v>1</v>
      </c>
      <c r="H220" s="212">
        <f>IF($E220="","",IF($E220="Inventory",IFERROR(VLOOKUP($C220,Inventory!$B:$H,7,FALSE()),0),IF($E220="Non Inventory",IFERROR(VLOOKUP($C220,'Non Inventory'!$B:$H,7,FALSE()),0),IF($E220="Services",IFERROR(VLOOKUP($C220,Services!$B:$H,7,FALSE()),0),IF($E220="Patty Cash",IFERROR(VLOOKUP($C220,'Patty Cash'!$B:$H,7,FALSE()),0),0)))))</f>
        <v>17</v>
      </c>
      <c r="I220" s="213" t="s">
        <v>57</v>
      </c>
      <c r="J220" s="214" t="s">
        <v>1530</v>
      </c>
      <c r="K220" s="215" t="s">
        <v>1199</v>
      </c>
      <c r="L220" s="197" t="s">
        <v>1195</v>
      </c>
      <c r="M220" s="215" t="s">
        <v>1196</v>
      </c>
      <c r="N220" s="216">
        <f>IFERROR(IF($E220="Inventory",VLOOKUP($C220,Inventory!$B:$I,8,FALSE()),IF($E220="Non Inventory",VLOOKUP($C220,'Non Inventory'!$B:$I,8,FALSE()),IF($E220="Services",VLOOKUP($C220,Services!$B:$I,8,FALSE()),IF($E220="Patty Cash",VLOOKUP($C220,'Patty Cash'!$B:$J,8,FALSE()),0)))),0)</f>
        <v>998</v>
      </c>
      <c r="O220" s="217">
        <f t="shared" si="3"/>
        <v>998</v>
      </c>
    </row>
    <row r="221" spans="1:15" ht="23.1" customHeight="1">
      <c r="A221" s="206">
        <f>IF(AND($B221="",$C221=""),"",MAX($A$3:A220)+1)</f>
        <v>218</v>
      </c>
      <c r="B221" s="207">
        <v>46174</v>
      </c>
      <c r="C221" s="208">
        <v>8730</v>
      </c>
      <c r="D221" s="209" t="str">
        <f>IFERROR(IF($E221="Inventory",VLOOKUP($C221,Inventory!$B:$I,2,FALSE()),IF($E221="Non Inventory",VLOOKUP($C221,'Non Inventory'!$B:$I,2,FALSE()),IF($E221="Services",VLOOKUP($C221,Services!$B:$I,2,FALSE()),IF($E221="Patty Cash",VLOOKUP($C221,'Patty Cash'!$B:$J,2,FALSE()),"")))),"")</f>
        <v>Allen key Bolt ( Socket Head Cap Screw) S.S Size , 6mm x 25mm</v>
      </c>
      <c r="E221" s="246" t="s">
        <v>7</v>
      </c>
      <c r="F221" s="210" t="str">
        <f>IFERROR(IF($E221="Inventory",VLOOKUP($C221,Inventory!$B:$I,3,FALSE()),IF($E221="Non Inventory",VLOOKUP($C221,'Non Inventory'!$B:$I,3,FALSE()),IF($E221="Services",VLOOKUP($C221,Services!$B:$I,3,FALSE()),IF($E221="Patty Cash",VLOOKUP($C221,'Patty Cash'!$B:$J,3,FALSE()),"")))),"")</f>
        <v>NOS</v>
      </c>
      <c r="G221" s="211">
        <v>15</v>
      </c>
      <c r="H221" s="212">
        <f>IF($E221="","",IF($E221="Inventory",IFERROR(VLOOKUP($C221,Inventory!$B:$H,7,FALSE()),0),IF($E221="Non Inventory",IFERROR(VLOOKUP($C221,'Non Inventory'!$B:$H,7,FALSE()),0),IF($E221="Services",IFERROR(VLOOKUP($C221,Services!$B:$H,7,FALSE()),0),IF($E221="Patty Cash",IFERROR(VLOOKUP($C221,'Patty Cash'!$B:$H,7,FALSE()),0),0)))))</f>
        <v>135</v>
      </c>
      <c r="I221" s="213" t="s">
        <v>1222</v>
      </c>
      <c r="J221" s="214" t="s">
        <v>67</v>
      </c>
      <c r="K221" s="215" t="s">
        <v>1199</v>
      </c>
      <c r="L221" s="197" t="s">
        <v>1195</v>
      </c>
      <c r="M221" s="215" t="s">
        <v>1196</v>
      </c>
      <c r="N221" s="216">
        <f>IFERROR(IF($E221="Inventory",VLOOKUP($C221,Inventory!$B:$I,8,FALSE()),IF($E221="Non Inventory",VLOOKUP($C221,'Non Inventory'!$B:$I,8,FALSE()),IF($E221="Services",VLOOKUP($C221,Services!$B:$I,8,FALSE()),IF($E221="Patty Cash",VLOOKUP($C221,'Patty Cash'!$B:$J,8,FALSE()),0)))),0)</f>
        <v>12</v>
      </c>
      <c r="O221" s="217">
        <f t="shared" si="3"/>
        <v>180</v>
      </c>
    </row>
    <row r="222" spans="1:15" ht="23.1" customHeight="1">
      <c r="A222" s="206">
        <f>IF(AND($B222="",$C222=""),"",MAX($A$3:A221)+1)</f>
        <v>219</v>
      </c>
      <c r="B222" s="207">
        <v>46174</v>
      </c>
      <c r="C222" s="208">
        <v>8424</v>
      </c>
      <c r="D222" s="209" t="str">
        <f>IFERROR(IF($E222="Inventory",VLOOKUP($C222,Inventory!$B:$I,2,FALSE()),IF($E222="Non Inventory",VLOOKUP($C222,'Non Inventory'!$B:$I,2,FALSE()),IF($E222="Services",VLOOKUP($C222,Services!$B:$I,2,FALSE()),IF($E222="Patty Cash",VLOOKUP($C222,'Patty Cash'!$B:$J,2,FALSE()),"")))),"")</f>
        <v>Allen key Bolt  M.S Black Finish Size  M6x15 mm ( Socket Head Cap Screw)</v>
      </c>
      <c r="E222" s="246" t="s">
        <v>7</v>
      </c>
      <c r="F222" s="210" t="str">
        <f>IFERROR(IF($E222="Inventory",VLOOKUP($C222,Inventory!$B:$I,3,FALSE()),IF($E222="Non Inventory",VLOOKUP($C222,'Non Inventory'!$B:$I,3,FALSE()),IF($E222="Services",VLOOKUP($C222,Services!$B:$I,3,FALSE()),IF($E222="Patty Cash",VLOOKUP($C222,'Patty Cash'!$B:$J,3,FALSE()),"")))),"")</f>
        <v>NOS</v>
      </c>
      <c r="G222" s="211">
        <v>10</v>
      </c>
      <c r="H222" s="212">
        <f>IF($E222="","",IF($E222="Inventory",IFERROR(VLOOKUP($C222,Inventory!$B:$H,7,FALSE()),0),IF($E222="Non Inventory",IFERROR(VLOOKUP($C222,'Non Inventory'!$B:$H,7,FALSE()),0),IF($E222="Services",IFERROR(VLOOKUP($C222,Services!$B:$H,7,FALSE()),0),IF($E222="Patty Cash",IFERROR(VLOOKUP($C222,'Patty Cash'!$B:$H,7,FALSE()),0),0)))))</f>
        <v>77</v>
      </c>
      <c r="I222" s="213" t="s">
        <v>1222</v>
      </c>
      <c r="J222" s="214" t="s">
        <v>67</v>
      </c>
      <c r="K222" s="215" t="s">
        <v>1199</v>
      </c>
      <c r="L222" s="197" t="s">
        <v>1195</v>
      </c>
      <c r="M222" s="215" t="s">
        <v>1196</v>
      </c>
      <c r="N222" s="216">
        <f>IFERROR(IF($E222="Inventory",VLOOKUP($C222,Inventory!$B:$I,8,FALSE()),IF($E222="Non Inventory",VLOOKUP($C222,'Non Inventory'!$B:$I,8,FALSE()),IF($E222="Services",VLOOKUP($C222,Services!$B:$I,8,FALSE()),IF($E222="Patty Cash",VLOOKUP($C222,'Patty Cash'!$B:$J,8,FALSE()),0)))),0)</f>
        <v>7</v>
      </c>
      <c r="O222" s="217">
        <f t="shared" si="3"/>
        <v>70</v>
      </c>
    </row>
    <row r="223" spans="1:15" ht="23.1" customHeight="1">
      <c r="A223" s="206">
        <f>IF(AND($B223="",$C223=""),"",MAX($A$3:A222)+1)</f>
        <v>220</v>
      </c>
      <c r="B223" s="207">
        <v>46174</v>
      </c>
      <c r="C223" s="208">
        <v>17237</v>
      </c>
      <c r="D223" s="209" t="str">
        <f>IFERROR(IF($E223="Inventory",VLOOKUP($C223,Inventory!$B:$I,2,FALSE()),IF($E223="Non Inventory",VLOOKUP($C223,'Non Inventory'!$B:$I,2,FALSE()),IF($E223="Services",VLOOKUP($C223,Services!$B:$I,2,FALSE()),IF($E223="Patty Cash",VLOOKUP($C223,'Patty Cash'!$B:$J,2,FALSE()),"")))),"")</f>
        <v>Film Puling Belt Size Dia=292mm W=38mm T=6mm (Material NBR)For Ishida Packing Machine</v>
      </c>
      <c r="E223" s="246" t="s">
        <v>6</v>
      </c>
      <c r="F223" s="210" t="str">
        <f>IFERROR(IF($E223="Inventory",VLOOKUP($C223,Inventory!$B:$I,3,FALSE()),IF($E223="Non Inventory",VLOOKUP($C223,'Non Inventory'!$B:$I,3,FALSE()),IF($E223="Services",VLOOKUP($C223,Services!$B:$I,3,FALSE()),IF($E223="Patty Cash",VLOOKUP($C223,'Patty Cash'!$B:$J,3,FALSE()),"")))),"")</f>
        <v>NOS</v>
      </c>
      <c r="G223" s="211">
        <v>1</v>
      </c>
      <c r="H223" s="212">
        <f>IF($E223="","",IF($E223="Inventory",IFERROR(VLOOKUP($C223,Inventory!$B:$H,7,FALSE()),0),IF($E223="Non Inventory",IFERROR(VLOOKUP($C223,'Non Inventory'!$B:$H,7,FALSE()),0),IF($E223="Services",IFERROR(VLOOKUP($C223,Services!$B:$H,7,FALSE()),0),IF($E223="Patty Cash",IFERROR(VLOOKUP($C223,'Patty Cash'!$B:$H,7,FALSE()),0),0)))))</f>
        <v>8</v>
      </c>
      <c r="I223" s="213" t="s">
        <v>48</v>
      </c>
      <c r="J223" s="214" t="s">
        <v>1242</v>
      </c>
      <c r="K223" s="215" t="s">
        <v>1199</v>
      </c>
      <c r="L223" s="197" t="s">
        <v>1195</v>
      </c>
      <c r="M223" s="215" t="s">
        <v>1196</v>
      </c>
      <c r="N223" s="216">
        <f>IFERROR(IF($E223="Inventory",VLOOKUP($C223,Inventory!$B:$I,8,FALSE()),IF($E223="Non Inventory",VLOOKUP($C223,'Non Inventory'!$B:$I,8,FALSE()),IF($E223="Services",VLOOKUP($C223,Services!$B:$I,8,FALSE()),IF($E223="Patty Cash",VLOOKUP($C223,'Patty Cash'!$B:$J,8,FALSE()),0)))),0)</f>
        <v>9000</v>
      </c>
      <c r="O223" s="217">
        <f t="shared" si="3"/>
        <v>9000</v>
      </c>
    </row>
    <row r="224" spans="1:15" ht="23.1" customHeight="1">
      <c r="A224" s="206">
        <f>IF(AND($B224="",$C224=""),"",MAX($A$3:A223)+1)</f>
        <v>221</v>
      </c>
      <c r="B224" s="207">
        <v>46175</v>
      </c>
      <c r="C224" s="208">
        <v>17633</v>
      </c>
      <c r="D224" s="209" t="str">
        <f>IFERROR(IF($E224="Inventory",VLOOKUP($C224,Inventory!$B:$I,2,FALSE()),IF($E224="Non Inventory",VLOOKUP($C224,'Non Inventory'!$B:$I,2,FALSE()),IF($E224="Services",VLOOKUP($C224,Services!$B:$I,2,FALSE()),IF($E224="Patty Cash",VLOOKUP($C224,'Patty Cash'!$B:$J,2,FALSE()),"")))),"")</f>
        <v>Thermocouple K-Type 3 X 120 MM For Ishida Machine</v>
      </c>
      <c r="E224" s="246" t="s">
        <v>6</v>
      </c>
      <c r="F224" s="210" t="str">
        <f>IFERROR(IF($E224="Inventory",VLOOKUP($C224,Inventory!$B:$I,3,FALSE()),IF($E224="Non Inventory",VLOOKUP($C224,'Non Inventory'!$B:$I,3,FALSE()),IF($E224="Services",VLOOKUP($C224,Services!$B:$I,3,FALSE()),IF($E224="Patty Cash",VLOOKUP($C224,'Patty Cash'!$B:$J,3,FALSE()),"")))),"")</f>
        <v>NOS</v>
      </c>
      <c r="G224" s="211">
        <v>1</v>
      </c>
      <c r="H224" s="212">
        <f>IF($E224="","",IF($E224="Inventory",IFERROR(VLOOKUP($C224,Inventory!$B:$H,7,FALSE()),0),IF($E224="Non Inventory",IFERROR(VLOOKUP($C224,'Non Inventory'!$B:$H,7,FALSE()),0),IF($E224="Services",IFERROR(VLOOKUP($C224,Services!$B:$H,7,FALSE()),0),IF($E224="Patty Cash",IFERROR(VLOOKUP($C224,'Patty Cash'!$B:$H,7,FALSE()),0),0)))))</f>
        <v>18</v>
      </c>
      <c r="I224" s="213" t="s">
        <v>43</v>
      </c>
      <c r="J224" s="214" t="s">
        <v>67</v>
      </c>
      <c r="K224" s="215" t="s">
        <v>1210</v>
      </c>
      <c r="L224" s="197" t="s">
        <v>1204</v>
      </c>
      <c r="M224" s="215" t="s">
        <v>1207</v>
      </c>
      <c r="N224" s="216">
        <f>IFERROR(IF($E224="Inventory",VLOOKUP($C224,Inventory!$B:$I,8,FALSE()),IF($E224="Non Inventory",VLOOKUP($C224,'Non Inventory'!$B:$I,8,FALSE()),IF($E224="Services",VLOOKUP($C224,Services!$B:$I,8,FALSE()),IF($E224="Patty Cash",VLOOKUP($C224,'Patty Cash'!$B:$J,8,FALSE()),0)))),0)</f>
        <v>2500</v>
      </c>
      <c r="O224" s="217">
        <f t="shared" si="3"/>
        <v>2500</v>
      </c>
    </row>
    <row r="225" spans="1:15" ht="23.1" customHeight="1">
      <c r="A225" s="206">
        <f>IF(AND($B225="",$C225=""),"",MAX($A$3:A224)+1)</f>
        <v>222</v>
      </c>
      <c r="B225" s="207">
        <v>46175</v>
      </c>
      <c r="C225" s="208">
        <v>3173</v>
      </c>
      <c r="D225" s="209" t="str">
        <f>IFERROR(IF($E225="Inventory",VLOOKUP($C225,Inventory!$B:$I,2,FALSE()),IF($E225="Non Inventory",VLOOKUP($C225,'Non Inventory'!$B:$I,2,FALSE()),IF($E225="Services",VLOOKUP($C225,Services!$B:$I,2,FALSE()),IF($E225="Patty Cash",VLOOKUP($C225,'Patty Cash'!$B:$J,2,FALSE()),"")))),"")</f>
        <v>Jubli Clip Size 3"</v>
      </c>
      <c r="E225" s="246" t="s">
        <v>7</v>
      </c>
      <c r="F225" s="210" t="str">
        <f>IFERROR(IF($E225="Inventory",VLOOKUP($C225,Inventory!$B:$I,3,FALSE()),IF($E225="Non Inventory",VLOOKUP($C225,'Non Inventory'!$B:$I,3,FALSE()),IF($E225="Services",VLOOKUP($C225,Services!$B:$I,3,FALSE()),IF($E225="Patty Cash",VLOOKUP($C225,'Patty Cash'!$B:$J,3,FALSE()),"")))),"")</f>
        <v>PCS</v>
      </c>
      <c r="G225" s="211">
        <v>1</v>
      </c>
      <c r="H225" s="212">
        <f>IF($E225="","",IF($E225="Inventory",IFERROR(VLOOKUP($C225,Inventory!$B:$H,7,FALSE()),0),IF($E225="Non Inventory",IFERROR(VLOOKUP($C225,'Non Inventory'!$B:$H,7,FALSE()),0),IF($E225="Services",IFERROR(VLOOKUP($C225,Services!$B:$H,7,FALSE()),0),IF($E225="Patty Cash",IFERROR(VLOOKUP($C225,'Patty Cash'!$B:$H,7,FALSE()),0),0)))))</f>
        <v>29</v>
      </c>
      <c r="I225" s="213" t="s">
        <v>1222</v>
      </c>
      <c r="J225" s="214" t="s">
        <v>67</v>
      </c>
      <c r="K225" s="215" t="s">
        <v>1217</v>
      </c>
      <c r="L225" s="197" t="s">
        <v>1204</v>
      </c>
      <c r="M225" s="215" t="s">
        <v>1196</v>
      </c>
      <c r="N225" s="216">
        <f>IFERROR(IF($E225="Inventory",VLOOKUP($C225,Inventory!$B:$I,8,FALSE()),IF($E225="Non Inventory",VLOOKUP($C225,'Non Inventory'!$B:$I,8,FALSE()),IF($E225="Services",VLOOKUP($C225,Services!$B:$I,8,FALSE()),IF($E225="Patty Cash",VLOOKUP($C225,'Patty Cash'!$B:$J,8,FALSE()),0)))),0)</f>
        <v>40</v>
      </c>
      <c r="O225" s="217">
        <f t="shared" si="3"/>
        <v>40</v>
      </c>
    </row>
    <row r="226" spans="1:15" ht="23.1" customHeight="1">
      <c r="A226" s="206">
        <f>IF(AND($B226="",$C226=""),"",MAX($A$3:A225)+1)</f>
        <v>223</v>
      </c>
      <c r="B226" s="207">
        <v>46175</v>
      </c>
      <c r="C226" s="208">
        <v>17633</v>
      </c>
      <c r="D226" s="209" t="str">
        <f>IFERROR(IF($E226="Inventory",VLOOKUP($C226,Inventory!$B:$I,2,FALSE()),IF($E226="Non Inventory",VLOOKUP($C226,'Non Inventory'!$B:$I,2,FALSE()),IF($E226="Services",VLOOKUP($C226,Services!$B:$I,2,FALSE()),IF($E226="Patty Cash",VLOOKUP($C226,'Patty Cash'!$B:$J,2,FALSE()),"")))),"")</f>
        <v>Thermocouple K-Type 3 X 120 MM For Ishida Machine</v>
      </c>
      <c r="E226" s="246" t="s">
        <v>6</v>
      </c>
      <c r="F226" s="210" t="str">
        <f>IFERROR(IF($E226="Inventory",VLOOKUP($C226,Inventory!$B:$I,3,FALSE()),IF($E226="Non Inventory",VLOOKUP($C226,'Non Inventory'!$B:$I,3,FALSE()),IF($E226="Services",VLOOKUP($C226,Services!$B:$I,3,FALSE()),IF($E226="Patty Cash",VLOOKUP($C226,'Patty Cash'!$B:$J,3,FALSE()),"")))),"")</f>
        <v>NOS</v>
      </c>
      <c r="G226" s="211">
        <v>1</v>
      </c>
      <c r="H226" s="212">
        <f>IF($E226="","",IF($E226="Inventory",IFERROR(VLOOKUP($C226,Inventory!$B:$H,7,FALSE()),0),IF($E226="Non Inventory",IFERROR(VLOOKUP($C226,'Non Inventory'!$B:$H,7,FALSE()),0),IF($E226="Services",IFERROR(VLOOKUP($C226,Services!$B:$H,7,FALSE()),0),IF($E226="Patty Cash",IFERROR(VLOOKUP($C226,'Patty Cash'!$B:$H,7,FALSE()),0),0)))))</f>
        <v>18</v>
      </c>
      <c r="I226" s="213" t="s">
        <v>45</v>
      </c>
      <c r="J226" s="214" t="s">
        <v>67</v>
      </c>
      <c r="K226" s="215" t="s">
        <v>1386</v>
      </c>
      <c r="L226" s="197" t="s">
        <v>1195</v>
      </c>
      <c r="M226" s="215" t="s">
        <v>1207</v>
      </c>
      <c r="N226" s="216">
        <f>IFERROR(IF($E226="Inventory",VLOOKUP($C226,Inventory!$B:$I,8,FALSE()),IF($E226="Non Inventory",VLOOKUP($C226,'Non Inventory'!$B:$I,8,FALSE()),IF($E226="Services",VLOOKUP($C226,Services!$B:$I,8,FALSE()),IF($E226="Patty Cash",VLOOKUP($C226,'Patty Cash'!$B:$J,8,FALSE()),0)))),0)</f>
        <v>2500</v>
      </c>
      <c r="O226" s="217">
        <f t="shared" si="3"/>
        <v>2500</v>
      </c>
    </row>
    <row r="227" spans="1:15" ht="23.1" customHeight="1">
      <c r="A227" s="206">
        <f>IF(AND($B227="",$C227=""),"",MAX($A$3:A226)+1)</f>
        <v>224</v>
      </c>
      <c r="B227" s="207">
        <v>46175</v>
      </c>
      <c r="C227" s="208">
        <v>13409</v>
      </c>
      <c r="D227" s="209" t="str">
        <f>IFERROR(IF($E227="Inventory",VLOOKUP($C227,Inventory!$B:$I,2,FALSE()),IF($E227="Non Inventory",VLOOKUP($C227,'Non Inventory'!$B:$I,2,FALSE()),IF($E227="Services",VLOOKUP($C227,Services!$B:$I,2,FALSE()),IF($E227="Patty Cash",VLOOKUP($C227,'Patty Cash'!$B:$J,2,FALSE()),"")))),"")</f>
        <v>Heater 220 Valt, 450 Watt Size L-262mm, Dia-8mm (Ishida Packing Machine)</v>
      </c>
      <c r="E227" s="246" t="s">
        <v>6</v>
      </c>
      <c r="F227" s="210" t="str">
        <f>IFERROR(IF($E227="Inventory",VLOOKUP($C227,Inventory!$B:$I,3,FALSE()),IF($E227="Non Inventory",VLOOKUP($C227,'Non Inventory'!$B:$I,3,FALSE()),IF($E227="Services",VLOOKUP($C227,Services!$B:$I,3,FALSE()),IF($E227="Patty Cash",VLOOKUP($C227,'Patty Cash'!$B:$J,3,FALSE()),"")))),"")</f>
        <v>NOS</v>
      </c>
      <c r="G227" s="211">
        <v>1</v>
      </c>
      <c r="H227" s="212">
        <f>IF($E227="","",IF($E227="Inventory",IFERROR(VLOOKUP($C227,Inventory!$B:$H,7,FALSE()),0),IF($E227="Non Inventory",IFERROR(VLOOKUP($C227,'Non Inventory'!$B:$H,7,FALSE()),0),IF($E227="Services",IFERROR(VLOOKUP($C227,Services!$B:$H,7,FALSE()),0),IF($E227="Patty Cash",IFERROR(VLOOKUP($C227,'Patty Cash'!$B:$H,7,FALSE()),0),0)))))</f>
        <v>12</v>
      </c>
      <c r="I227" s="213" t="s">
        <v>45</v>
      </c>
      <c r="J227" s="214" t="s">
        <v>1531</v>
      </c>
      <c r="K227" s="215" t="s">
        <v>1386</v>
      </c>
      <c r="L227" s="197" t="s">
        <v>1195</v>
      </c>
      <c r="M227" s="215" t="s">
        <v>1207</v>
      </c>
      <c r="N227" s="216">
        <f>IFERROR(IF($E227="Inventory",VLOOKUP($C227,Inventory!$B:$I,8,FALSE()),IF($E227="Non Inventory",VLOOKUP($C227,'Non Inventory'!$B:$I,8,FALSE()),IF($E227="Services",VLOOKUP($C227,Services!$B:$I,8,FALSE()),IF($E227="Patty Cash",VLOOKUP($C227,'Patty Cash'!$B:$J,8,FALSE()),0)))),0)</f>
        <v>2400</v>
      </c>
      <c r="O227" s="217">
        <f t="shared" si="3"/>
        <v>2400</v>
      </c>
    </row>
    <row r="228" spans="1:15" ht="23.1" customHeight="1">
      <c r="A228" s="206">
        <f>IF(AND($B228="",$C228=""),"",MAX($A$3:A227)+1)</f>
        <v>225</v>
      </c>
      <c r="B228" s="207">
        <v>46175</v>
      </c>
      <c r="C228" s="208">
        <v>14314</v>
      </c>
      <c r="D228" s="209" t="str">
        <f>IFERROR(IF($E228="Inventory",VLOOKUP($C228,Inventory!$B:$I,2,FALSE()),IF($E228="Non Inventory",VLOOKUP($C228,'Non Inventory'!$B:$I,2,FALSE()),IF($E228="Services",VLOOKUP($C228,Services!$B:$I,2,FALSE()),IF($E228="Patty Cash",VLOOKUP($C228,'Patty Cash'!$B:$J,2,FALSE()),"")))),"")</f>
        <v>Grease Gun Nozzle</v>
      </c>
      <c r="E228" s="246" t="s">
        <v>7</v>
      </c>
      <c r="F228" s="210" t="str">
        <f>IFERROR(IF($E228="Inventory",VLOOKUP($C228,Inventory!$B:$I,3,FALSE()),IF($E228="Non Inventory",VLOOKUP($C228,'Non Inventory'!$B:$I,3,FALSE()),IF($E228="Services",VLOOKUP($C228,Services!$B:$I,3,FALSE()),IF($E228="Patty Cash",VLOOKUP($C228,'Patty Cash'!$B:$J,3,FALSE()),"")))),"")</f>
        <v>NOS</v>
      </c>
      <c r="G228" s="211">
        <v>1</v>
      </c>
      <c r="H228" s="212">
        <f>IF($E228="","",IF($E228="Inventory",IFERROR(VLOOKUP($C228,Inventory!$B:$H,7,FALSE()),0),IF($E228="Non Inventory",IFERROR(VLOOKUP($C228,'Non Inventory'!$B:$H,7,FALSE()),0),IF($E228="Services",IFERROR(VLOOKUP($C228,Services!$B:$H,7,FALSE()),0),IF($E228="Patty Cash",IFERROR(VLOOKUP($C228,'Patty Cash'!$B:$H,7,FALSE()),0),0)))))</f>
        <v>6</v>
      </c>
      <c r="I228" s="213" t="s">
        <v>1222</v>
      </c>
      <c r="J228" s="214" t="s">
        <v>67</v>
      </c>
      <c r="K228" s="215" t="s">
        <v>1199</v>
      </c>
      <c r="L228" s="197" t="s">
        <v>1195</v>
      </c>
      <c r="M228" s="215" t="s">
        <v>1196</v>
      </c>
      <c r="N228" s="216">
        <f>IFERROR(IF($E228="Inventory",VLOOKUP($C228,Inventory!$B:$I,8,FALSE()),IF($E228="Non Inventory",VLOOKUP($C228,'Non Inventory'!$B:$I,8,FALSE()),IF($E228="Services",VLOOKUP($C228,Services!$B:$I,8,FALSE()),IF($E228="Patty Cash",VLOOKUP($C228,'Patty Cash'!$B:$J,8,FALSE()),0)))),0)</f>
        <v>175</v>
      </c>
      <c r="O228" s="217">
        <f t="shared" si="3"/>
        <v>175</v>
      </c>
    </row>
    <row r="229" spans="1:15" ht="23.1" customHeight="1">
      <c r="A229" s="206">
        <f>IF(AND($B229="",$C229=""),"",MAX($A$3:A228)+1)</f>
        <v>226</v>
      </c>
      <c r="B229" s="207">
        <v>46175</v>
      </c>
      <c r="C229" s="208">
        <v>14057</v>
      </c>
      <c r="D229" s="209" t="str">
        <f>IFERROR(IF($E229="Inventory",VLOOKUP($C229,Inventory!$B:$I,2,FALSE()),IF($E229="Non Inventory",VLOOKUP($C229,'Non Inventory'!$B:$I,2,FALSE()),IF($E229="Services",VLOOKUP($C229,Services!$B:$I,2,FALSE()),IF($E229="Patty Cash",VLOOKUP($C229,'Patty Cash'!$B:$J,2,FALSE()),"")))),"")</f>
        <v>Film Pulling Belt Size Dia=318mm W=40mm T=7mm Material NBR (Korea Interpack Packing Machine)</v>
      </c>
      <c r="E229" s="246" t="s">
        <v>6</v>
      </c>
      <c r="F229" s="210" t="str">
        <f>IFERROR(IF($E229="Inventory",VLOOKUP($C229,Inventory!$B:$I,3,FALSE()),IF($E229="Non Inventory",VLOOKUP($C229,'Non Inventory'!$B:$I,3,FALSE()),IF($E229="Services",VLOOKUP($C229,Services!$B:$I,3,FALSE()),IF($E229="Patty Cash",VLOOKUP($C229,'Patty Cash'!$B:$J,3,FALSE()),"")))),"")</f>
        <v>NOS</v>
      </c>
      <c r="G229" s="211">
        <v>1</v>
      </c>
      <c r="H229" s="212">
        <f>IF($E229="","",IF($E229="Inventory",IFERROR(VLOOKUP($C229,Inventory!$B:$H,7,FALSE()),0),IF($E229="Non Inventory",IFERROR(VLOOKUP($C229,'Non Inventory'!$B:$H,7,FALSE()),0),IF($E229="Services",IFERROR(VLOOKUP($C229,Services!$B:$H,7,FALSE()),0),IF($E229="Patty Cash",IFERROR(VLOOKUP($C229,'Patty Cash'!$B:$H,7,FALSE()),0),0)))))</f>
        <v>3</v>
      </c>
      <c r="I229" s="213" t="s">
        <v>60</v>
      </c>
      <c r="J229" s="214" t="s">
        <v>1242</v>
      </c>
      <c r="K229" s="215" t="s">
        <v>1194</v>
      </c>
      <c r="L229" s="197" t="s">
        <v>1195</v>
      </c>
      <c r="M229" s="215" t="s">
        <v>1196</v>
      </c>
      <c r="N229" s="216">
        <f>IFERROR(IF($E229="Inventory",VLOOKUP($C229,Inventory!$B:$I,8,FALSE()),IF($E229="Non Inventory",VLOOKUP($C229,'Non Inventory'!$B:$I,8,FALSE()),IF($E229="Services",VLOOKUP($C229,Services!$B:$I,8,FALSE()),IF($E229="Patty Cash",VLOOKUP($C229,'Patty Cash'!$B:$J,8,FALSE()),0)))),0)</f>
        <v>10000</v>
      </c>
      <c r="O229" s="217">
        <f t="shared" si="3"/>
        <v>10000</v>
      </c>
    </row>
    <row r="230" spans="1:15" ht="23.1" customHeight="1">
      <c r="A230" s="206">
        <f>IF(AND($B230="",$C230=""),"",MAX($A$3:A229)+1)</f>
        <v>227</v>
      </c>
      <c r="B230" s="207">
        <v>46175</v>
      </c>
      <c r="C230" s="208">
        <v>98370</v>
      </c>
      <c r="D230" s="209" t="str">
        <f>IFERROR(IF($E230="Inventory",VLOOKUP($C230,Inventory!$B:$I,2,FALSE()),IF($E230="Non Inventory",VLOOKUP($C230,'Non Inventory'!$B:$I,2,FALSE()),IF($E230="Services",VLOOKUP($C230,Services!$B:$I,2,FALSE()),IF($E230="Patty Cash",VLOOKUP($C230,'Patty Cash'!$B:$J,2,FALSE()),"")))),"")</f>
        <v>Folder Tape</v>
      </c>
      <c r="E230" s="246" t="s">
        <v>7</v>
      </c>
      <c r="F230" s="210" t="str">
        <f>IFERROR(IF($E230="Inventory",VLOOKUP($C230,Inventory!$B:$I,3,FALSE()),IF($E230="Non Inventory",VLOOKUP($C230,'Non Inventory'!$B:$I,3,FALSE()),IF($E230="Services",VLOOKUP($C230,Services!$B:$I,3,FALSE()),IF($E230="Patty Cash",VLOOKUP($C230,'Patty Cash'!$B:$J,3,FALSE()),"")))),"")</f>
        <v>NOS</v>
      </c>
      <c r="G230" s="211">
        <v>2</v>
      </c>
      <c r="H230" s="212">
        <f>IF($E230="","",IF($E230="Inventory",IFERROR(VLOOKUP($C230,Inventory!$B:$H,7,FALSE()),0),IF($E230="Non Inventory",IFERROR(VLOOKUP($C230,'Non Inventory'!$B:$H,7,FALSE()),0),IF($E230="Services",IFERROR(VLOOKUP($C230,Services!$B:$H,7,FALSE()),0),IF($E230="Patty Cash",IFERROR(VLOOKUP($C230,'Patty Cash'!$B:$H,7,FALSE()),0),0)))))</f>
        <v>440</v>
      </c>
      <c r="I230" s="213" t="s">
        <v>40</v>
      </c>
      <c r="J230" s="214" t="s">
        <v>1532</v>
      </c>
      <c r="K230" s="215" t="s">
        <v>1197</v>
      </c>
      <c r="L230" s="197" t="s">
        <v>1195</v>
      </c>
      <c r="M230" s="215" t="s">
        <v>1196</v>
      </c>
      <c r="N230" s="216">
        <f>IFERROR(IF($E230="Inventory",VLOOKUP($C230,Inventory!$B:$I,8,FALSE()),IF($E230="Non Inventory",VLOOKUP($C230,'Non Inventory'!$B:$I,8,FALSE()),IF($E230="Services",VLOOKUP($C230,Services!$B:$I,8,FALSE()),IF($E230="Patty Cash",VLOOKUP($C230,'Patty Cash'!$B:$J,8,FALSE()),0)))),0)</f>
        <v>128</v>
      </c>
      <c r="O230" s="217">
        <f t="shared" si="3"/>
        <v>256</v>
      </c>
    </row>
    <row r="231" spans="1:15" ht="23.1" customHeight="1">
      <c r="A231" s="206">
        <f>IF(AND($B231="",$C231=""),"",MAX($A$3:A230)+1)</f>
        <v>228</v>
      </c>
      <c r="B231" s="207">
        <v>46175</v>
      </c>
      <c r="C231" s="208">
        <v>98370</v>
      </c>
      <c r="D231" s="209" t="str">
        <f>IFERROR(IF($E231="Inventory",VLOOKUP($C231,Inventory!$B:$I,2,FALSE()),IF($E231="Non Inventory",VLOOKUP($C231,'Non Inventory'!$B:$I,2,FALSE()),IF($E231="Services",VLOOKUP($C231,Services!$B:$I,2,FALSE()),IF($E231="Patty Cash",VLOOKUP($C231,'Patty Cash'!$B:$J,2,FALSE()),"")))),"")</f>
        <v>Folder Tape</v>
      </c>
      <c r="E231" s="246" t="s">
        <v>7</v>
      </c>
      <c r="F231" s="210" t="str">
        <f>IFERROR(IF($E231="Inventory",VLOOKUP($C231,Inventory!$B:$I,3,FALSE()),IF($E231="Non Inventory",VLOOKUP($C231,'Non Inventory'!$B:$I,3,FALSE()),IF($E231="Services",VLOOKUP($C231,Services!$B:$I,3,FALSE()),IF($E231="Patty Cash",VLOOKUP($C231,'Patty Cash'!$B:$J,3,FALSE()),"")))),"")</f>
        <v>NOS</v>
      </c>
      <c r="G231" s="211">
        <v>2</v>
      </c>
      <c r="H231" s="212">
        <f>IF($E231="","",IF($E231="Inventory",IFERROR(VLOOKUP($C231,Inventory!$B:$H,7,FALSE()),0),IF($E231="Non Inventory",IFERROR(VLOOKUP($C231,'Non Inventory'!$B:$H,7,FALSE()),0),IF($E231="Services",IFERROR(VLOOKUP($C231,Services!$B:$H,7,FALSE()),0),IF($E231="Patty Cash",IFERROR(VLOOKUP($C231,'Patty Cash'!$B:$H,7,FALSE()),0),0)))))</f>
        <v>440</v>
      </c>
      <c r="I231" s="213" t="s">
        <v>41</v>
      </c>
      <c r="J231" s="214" t="s">
        <v>1532</v>
      </c>
      <c r="K231" s="215" t="s">
        <v>1197</v>
      </c>
      <c r="L231" s="197" t="s">
        <v>1195</v>
      </c>
      <c r="M231" s="215" t="s">
        <v>1196</v>
      </c>
      <c r="N231" s="216">
        <f>IFERROR(IF($E231="Inventory",VLOOKUP($C231,Inventory!$B:$I,8,FALSE()),IF($E231="Non Inventory",VLOOKUP($C231,'Non Inventory'!$B:$I,8,FALSE()),IF($E231="Services",VLOOKUP($C231,Services!$B:$I,8,FALSE()),IF($E231="Patty Cash",VLOOKUP($C231,'Patty Cash'!$B:$J,8,FALSE()),0)))),0)</f>
        <v>128</v>
      </c>
      <c r="O231" s="217">
        <f t="shared" si="3"/>
        <v>256</v>
      </c>
    </row>
    <row r="232" spans="1:15" ht="23.1" customHeight="1">
      <c r="A232" s="206">
        <f>IF(AND($B232="",$C232=""),"",MAX($A$3:A231)+1)</f>
        <v>229</v>
      </c>
      <c r="B232" s="207">
        <v>46175</v>
      </c>
      <c r="C232" s="208">
        <v>98370</v>
      </c>
      <c r="D232" s="209" t="str">
        <f>IFERROR(IF($E232="Inventory",VLOOKUP($C232,Inventory!$B:$I,2,FALSE()),IF($E232="Non Inventory",VLOOKUP($C232,'Non Inventory'!$B:$I,2,FALSE()),IF($E232="Services",VLOOKUP($C232,Services!$B:$I,2,FALSE()),IF($E232="Patty Cash",VLOOKUP($C232,'Patty Cash'!$B:$J,2,FALSE()),"")))),"")</f>
        <v>Folder Tape</v>
      </c>
      <c r="E232" s="246" t="s">
        <v>7</v>
      </c>
      <c r="F232" s="210" t="str">
        <f>IFERROR(IF($E232="Inventory",VLOOKUP($C232,Inventory!$B:$I,3,FALSE()),IF($E232="Non Inventory",VLOOKUP($C232,'Non Inventory'!$B:$I,3,FALSE()),IF($E232="Services",VLOOKUP($C232,Services!$B:$I,3,FALSE()),IF($E232="Patty Cash",VLOOKUP($C232,'Patty Cash'!$B:$J,3,FALSE()),"")))),"")</f>
        <v>NOS</v>
      </c>
      <c r="G232" s="211">
        <v>2</v>
      </c>
      <c r="H232" s="212">
        <f>IF($E232="","",IF($E232="Inventory",IFERROR(VLOOKUP($C232,Inventory!$B:$H,7,FALSE()),0),IF($E232="Non Inventory",IFERROR(VLOOKUP($C232,'Non Inventory'!$B:$H,7,FALSE()),0),IF($E232="Services",IFERROR(VLOOKUP($C232,Services!$B:$H,7,FALSE()),0),IF($E232="Patty Cash",IFERROR(VLOOKUP($C232,'Patty Cash'!$B:$H,7,FALSE()),0),0)))))</f>
        <v>440</v>
      </c>
      <c r="I232" s="213" t="s">
        <v>43</v>
      </c>
      <c r="J232" s="214" t="s">
        <v>1532</v>
      </c>
      <c r="K232" s="215" t="s">
        <v>1197</v>
      </c>
      <c r="L232" s="197" t="s">
        <v>1195</v>
      </c>
      <c r="M232" s="215" t="s">
        <v>1196</v>
      </c>
      <c r="N232" s="216">
        <f>IFERROR(IF($E232="Inventory",VLOOKUP($C232,Inventory!$B:$I,8,FALSE()),IF($E232="Non Inventory",VLOOKUP($C232,'Non Inventory'!$B:$I,8,FALSE()),IF($E232="Services",VLOOKUP($C232,Services!$B:$I,8,FALSE()),IF($E232="Patty Cash",VLOOKUP($C232,'Patty Cash'!$B:$J,8,FALSE()),0)))),0)</f>
        <v>128</v>
      </c>
      <c r="O232" s="217">
        <f t="shared" si="3"/>
        <v>256</v>
      </c>
    </row>
    <row r="233" spans="1:15" ht="23.1" customHeight="1">
      <c r="A233" s="206">
        <f>IF(AND($B233="",$C233=""),"",MAX($A$3:A232)+1)</f>
        <v>230</v>
      </c>
      <c r="B233" s="207">
        <v>46175</v>
      </c>
      <c r="C233" s="208">
        <v>98370</v>
      </c>
      <c r="D233" s="209" t="str">
        <f>IFERROR(IF($E233="Inventory",VLOOKUP($C233,Inventory!$B:$I,2,FALSE()),IF($E233="Non Inventory",VLOOKUP($C233,'Non Inventory'!$B:$I,2,FALSE()),IF($E233="Services",VLOOKUP($C233,Services!$B:$I,2,FALSE()),IF($E233="Patty Cash",VLOOKUP($C233,'Patty Cash'!$B:$J,2,FALSE()),"")))),"")</f>
        <v>Folder Tape</v>
      </c>
      <c r="E233" s="246" t="s">
        <v>7</v>
      </c>
      <c r="F233" s="210" t="str">
        <f>IFERROR(IF($E233="Inventory",VLOOKUP($C233,Inventory!$B:$I,3,FALSE()),IF($E233="Non Inventory",VLOOKUP($C233,'Non Inventory'!$B:$I,3,FALSE()),IF($E233="Services",VLOOKUP($C233,Services!$B:$I,3,FALSE()),IF($E233="Patty Cash",VLOOKUP($C233,'Patty Cash'!$B:$J,3,FALSE()),"")))),"")</f>
        <v>NOS</v>
      </c>
      <c r="G233" s="211">
        <v>2</v>
      </c>
      <c r="H233" s="212">
        <f>IF($E233="","",IF($E233="Inventory",IFERROR(VLOOKUP($C233,Inventory!$B:$H,7,FALSE()),0),IF($E233="Non Inventory",IFERROR(VLOOKUP($C233,'Non Inventory'!$B:$H,7,FALSE()),0),IF($E233="Services",IFERROR(VLOOKUP($C233,Services!$B:$H,7,FALSE()),0),IF($E233="Patty Cash",IFERROR(VLOOKUP($C233,'Patty Cash'!$B:$H,7,FALSE()),0),0)))))</f>
        <v>440</v>
      </c>
      <c r="I233" s="213" t="s">
        <v>42</v>
      </c>
      <c r="J233" s="214" t="s">
        <v>1532</v>
      </c>
      <c r="K233" s="215" t="s">
        <v>1197</v>
      </c>
      <c r="L233" s="197" t="s">
        <v>1195</v>
      </c>
      <c r="M233" s="215" t="s">
        <v>1196</v>
      </c>
      <c r="N233" s="216">
        <f>IFERROR(IF($E233="Inventory",VLOOKUP($C233,Inventory!$B:$I,8,FALSE()),IF($E233="Non Inventory",VLOOKUP($C233,'Non Inventory'!$B:$I,8,FALSE()),IF($E233="Services",VLOOKUP($C233,Services!$B:$I,8,FALSE()),IF($E233="Patty Cash",VLOOKUP($C233,'Patty Cash'!$B:$J,8,FALSE()),0)))),0)</f>
        <v>128</v>
      </c>
      <c r="O233" s="217">
        <f t="shared" si="3"/>
        <v>256</v>
      </c>
    </row>
    <row r="234" spans="1:15" ht="23.1" customHeight="1">
      <c r="A234" s="206">
        <f>IF(AND($B234="",$C234=""),"",MAX($A$3:A233)+1)</f>
        <v>231</v>
      </c>
      <c r="B234" s="207">
        <v>46175</v>
      </c>
      <c r="C234" s="208">
        <v>98370</v>
      </c>
      <c r="D234" s="209" t="str">
        <f>IFERROR(IF($E234="Inventory",VLOOKUP($C234,Inventory!$B:$I,2,FALSE()),IF($E234="Non Inventory",VLOOKUP($C234,'Non Inventory'!$B:$I,2,FALSE()),IF($E234="Services",VLOOKUP($C234,Services!$B:$I,2,FALSE()),IF($E234="Patty Cash",VLOOKUP($C234,'Patty Cash'!$B:$J,2,FALSE()),"")))),"")</f>
        <v>Folder Tape</v>
      </c>
      <c r="E234" s="246" t="s">
        <v>7</v>
      </c>
      <c r="F234" s="210" t="str">
        <f>IFERROR(IF($E234="Inventory",VLOOKUP($C234,Inventory!$B:$I,3,FALSE()),IF($E234="Non Inventory",VLOOKUP($C234,'Non Inventory'!$B:$I,3,FALSE()),IF($E234="Services",VLOOKUP($C234,Services!$B:$I,3,FALSE()),IF($E234="Patty Cash",VLOOKUP($C234,'Patty Cash'!$B:$J,3,FALSE()),"")))),"")</f>
        <v>NOS</v>
      </c>
      <c r="G234" s="211">
        <v>2</v>
      </c>
      <c r="H234" s="212">
        <f>IF($E234="","",IF($E234="Inventory",IFERROR(VLOOKUP($C234,Inventory!$B:$H,7,FALSE()),0),IF($E234="Non Inventory",IFERROR(VLOOKUP($C234,'Non Inventory'!$B:$H,7,FALSE()),0),IF($E234="Services",IFERROR(VLOOKUP($C234,Services!$B:$H,7,FALSE()),0),IF($E234="Patty Cash",IFERROR(VLOOKUP($C234,'Patty Cash'!$B:$H,7,FALSE()),0),0)))))</f>
        <v>440</v>
      </c>
      <c r="I234" s="213" t="s">
        <v>44</v>
      </c>
      <c r="J234" s="214" t="s">
        <v>1532</v>
      </c>
      <c r="K234" s="215" t="s">
        <v>1197</v>
      </c>
      <c r="L234" s="197" t="s">
        <v>1195</v>
      </c>
      <c r="M234" s="215" t="s">
        <v>1196</v>
      </c>
      <c r="N234" s="216">
        <f>IFERROR(IF($E234="Inventory",VLOOKUP($C234,Inventory!$B:$I,8,FALSE()),IF($E234="Non Inventory",VLOOKUP($C234,'Non Inventory'!$B:$I,8,FALSE()),IF($E234="Services",VLOOKUP($C234,Services!$B:$I,8,FALSE()),IF($E234="Patty Cash",VLOOKUP($C234,'Patty Cash'!$B:$J,8,FALSE()),0)))),0)</f>
        <v>128</v>
      </c>
      <c r="O234" s="217">
        <f t="shared" si="3"/>
        <v>256</v>
      </c>
    </row>
    <row r="235" spans="1:15" ht="23.1" customHeight="1">
      <c r="A235" s="206">
        <f>IF(AND($B235="",$C235=""),"",MAX($A$3:A234)+1)</f>
        <v>232</v>
      </c>
      <c r="B235" s="207">
        <v>46175</v>
      </c>
      <c r="C235" s="208" t="s">
        <v>1535</v>
      </c>
      <c r="D235" s="209" t="str">
        <f>IFERROR(IF($E235="Inventory",VLOOKUP($C235,Inventory!$B:$I,2,FALSE()),IF($E235="Non Inventory",VLOOKUP($C235,'Non Inventory'!$B:$I,2,FALSE()),IF($E235="Services",VLOOKUP($C235,Services!$B:$I,2,FALSE()),IF($E235="Patty Cash",VLOOKUP($C235,'Patty Cash'!$B:$J,2,FALSE()),"")))),"")</f>
        <v xml:space="preserve">Chalk </v>
      </c>
      <c r="E235" s="246" t="s">
        <v>1327</v>
      </c>
      <c r="F235" s="210" t="str">
        <f>IFERROR(IF($E235="Inventory",VLOOKUP($C235,Inventory!$B:$I,3,FALSE()),IF($E235="Non Inventory",VLOOKUP($C235,'Non Inventory'!$B:$I,3,FALSE()),IF($E235="Services",VLOOKUP($C235,Services!$B:$I,3,FALSE()),IF($E235="Patty Cash",VLOOKUP($C235,'Patty Cash'!$B:$J,3,FALSE()),"")))),"")</f>
        <v>BOX</v>
      </c>
      <c r="G235" s="211">
        <v>1</v>
      </c>
      <c r="H235" s="212">
        <f>IF($E235="","",IF($E235="Inventory",IFERROR(VLOOKUP($C235,Inventory!$B:$H,7,FALSE()),0),IF($E235="Non Inventory",IFERROR(VLOOKUP($C235,'Non Inventory'!$B:$H,7,FALSE()),0),IF($E235="Services",IFERROR(VLOOKUP($C235,Services!$B:$H,7,FALSE()),0),IF($E235="Patty Cash",IFERROR(VLOOKUP($C235,'Patty Cash'!$B:$H,7,FALSE()),0),0)))))</f>
        <v>0</v>
      </c>
      <c r="I235" s="213" t="s">
        <v>58</v>
      </c>
      <c r="J235" s="214" t="s">
        <v>1240</v>
      </c>
      <c r="K235" s="215" t="s">
        <v>1199</v>
      </c>
      <c r="L235" s="197" t="s">
        <v>1195</v>
      </c>
      <c r="M235" s="215" t="s">
        <v>1196</v>
      </c>
      <c r="N235" s="216">
        <f>IFERROR(IF($E235="Inventory",VLOOKUP($C235,Inventory!$B:$I,8,FALSE()),IF($E235="Non Inventory",VLOOKUP($C235,'Non Inventory'!$B:$I,8,FALSE()),IF($E235="Services",VLOOKUP($C235,Services!$B:$I,8,FALSE()),IF($E235="Patty Cash",VLOOKUP($C235,'Patty Cash'!$B:$J,8,FALSE()),0)))),0)</f>
        <v>80</v>
      </c>
      <c r="O235" s="217">
        <f t="shared" si="3"/>
        <v>80</v>
      </c>
    </row>
    <row r="236" spans="1:15" ht="23.1" customHeight="1">
      <c r="A236" s="206">
        <f>IF(AND($B236="",$C236=""),"",MAX($A$3:A235)+1)</f>
        <v>233</v>
      </c>
      <c r="B236" s="207">
        <v>46175</v>
      </c>
      <c r="C236" s="208" t="s">
        <v>1536</v>
      </c>
      <c r="D236" s="209" t="str">
        <f>IFERROR(IF($E236="Inventory",VLOOKUP($C236,Inventory!$B:$I,2,FALSE()),IF($E236="Non Inventory",VLOOKUP($C236,'Non Inventory'!$B:$I,2,FALSE()),IF($E236="Services",VLOOKUP($C236,Services!$B:$I,2,FALSE()),IF($E236="Patty Cash",VLOOKUP($C236,'Patty Cash'!$B:$J,2,FALSE()),"")))),"")</f>
        <v>Conveyance</v>
      </c>
      <c r="E236" s="246" t="s">
        <v>1327</v>
      </c>
      <c r="F236" s="210" t="str">
        <f>IFERROR(IF($E236="Inventory",VLOOKUP($C236,Inventory!$B:$I,3,FALSE()),IF($E236="Non Inventory",VLOOKUP($C236,'Non Inventory'!$B:$I,3,FALSE()),IF($E236="Services",VLOOKUP($C236,Services!$B:$I,3,FALSE()),IF($E236="Patty Cash",VLOOKUP($C236,'Patty Cash'!$B:$J,3,FALSE()),"")))),"")</f>
        <v>LTR</v>
      </c>
      <c r="G236" s="211">
        <v>0.72124999999999995</v>
      </c>
      <c r="H236" s="212">
        <f>IF($E236="","",IF($E236="Inventory",IFERROR(VLOOKUP($C236,Inventory!$B:$H,7,FALSE()),0),IF($E236="Non Inventory",IFERROR(VLOOKUP($C236,'Non Inventory'!$B:$H,7,FALSE()),0),IF($E236="Services",IFERROR(VLOOKUP($C236,Services!$B:$H,7,FALSE()),0),IF($E236="Patty Cash",IFERROR(VLOOKUP($C236,'Patty Cash'!$B:$H,7,FALSE()),0),0)))))</f>
        <v>0</v>
      </c>
      <c r="I236" s="213" t="s">
        <v>1671</v>
      </c>
      <c r="J236" s="214" t="s">
        <v>1240</v>
      </c>
      <c r="K236" s="215" t="s">
        <v>1199</v>
      </c>
      <c r="L236" s="197" t="s">
        <v>1195</v>
      </c>
      <c r="M236" s="215" t="s">
        <v>1196</v>
      </c>
      <c r="N236" s="216">
        <f>IFERROR(IF($E236="Inventory",VLOOKUP($C236,Inventory!$B:$I,8,FALSE()),IF($E236="Non Inventory",VLOOKUP($C236,'Non Inventory'!$B:$I,8,FALSE()),IF($E236="Services",VLOOKUP($C236,Services!$B:$I,8,FALSE()),IF($E236="Patty Cash",VLOOKUP($C236,'Patty Cash'!$B:$J,8,FALSE()),0)))),0)</f>
        <v>416</v>
      </c>
      <c r="O236" s="217">
        <f t="shared" si="3"/>
        <v>300.03999999999996</v>
      </c>
    </row>
    <row r="237" spans="1:15" ht="23.1" customHeight="1">
      <c r="A237" s="206">
        <f>IF(AND($B237="",$C237=""),"",MAX($A$3:A236)+1)</f>
        <v>234</v>
      </c>
      <c r="B237" s="207">
        <v>46175</v>
      </c>
      <c r="C237" s="208" t="s">
        <v>1537</v>
      </c>
      <c r="D237" s="209" t="str">
        <f>IFERROR(IF($E237="Inventory",VLOOKUP($C237,Inventory!$B:$I,2,FALSE()),IF($E237="Non Inventory",VLOOKUP($C237,'Non Inventory'!$B:$I,2,FALSE()),IF($E237="Services",VLOOKUP($C237,Services!$B:$I,2,FALSE()),IF($E237="Patty Cash",VLOOKUP($C237,'Patty Cash'!$B:$J,2,FALSE()),"")))),"")</f>
        <v xml:space="preserve"> Batteries Water</v>
      </c>
      <c r="E237" s="246" t="s">
        <v>1327</v>
      </c>
      <c r="F237" s="210" t="str">
        <f>IFERROR(IF($E237="Inventory",VLOOKUP($C237,Inventory!$B:$I,3,FALSE()),IF($E237="Non Inventory",VLOOKUP($C237,'Non Inventory'!$B:$I,3,FALSE()),IF($E237="Services",VLOOKUP($C237,Services!$B:$I,3,FALSE()),IF($E237="Patty Cash",VLOOKUP($C237,'Patty Cash'!$B:$J,3,FALSE()),"")))),"")</f>
        <v>NOS</v>
      </c>
      <c r="G237" s="211">
        <v>0.72</v>
      </c>
      <c r="H237" s="212">
        <f>IF($E237="","",IF($E237="Inventory",IFERROR(VLOOKUP($C237,Inventory!$B:$H,7,FALSE()),0),IF($E237="Non Inventory",IFERROR(VLOOKUP($C237,'Non Inventory'!$B:$H,7,FALSE()),0),IF($E237="Services",IFERROR(VLOOKUP($C237,Services!$B:$H,7,FALSE()),0),IF($E237="Patty Cash",IFERROR(VLOOKUP($C237,'Patty Cash'!$B:$H,7,FALSE()),0),0)))))</f>
        <v>0</v>
      </c>
      <c r="I237" s="213" t="s">
        <v>1222</v>
      </c>
      <c r="J237" s="214" t="s">
        <v>1240</v>
      </c>
      <c r="K237" s="215" t="s">
        <v>1199</v>
      </c>
      <c r="L237" s="197" t="s">
        <v>1195</v>
      </c>
      <c r="M237" s="215" t="s">
        <v>1196</v>
      </c>
      <c r="N237" s="216">
        <f>IFERROR(IF($E237="Inventory",VLOOKUP($C237,Inventory!$B:$I,8,FALSE()),IF($E237="Non Inventory",VLOOKUP($C237,'Non Inventory'!$B:$I,8,FALSE()),IF($E237="Services",VLOOKUP($C237,Services!$B:$I,8,FALSE()),IF($E237="Patty Cash",VLOOKUP($C237,'Patty Cash'!$B:$J,8,FALSE()),0)))),0)</f>
        <v>150</v>
      </c>
      <c r="O237" s="217">
        <f t="shared" si="3"/>
        <v>108</v>
      </c>
    </row>
    <row r="238" spans="1:15" ht="23.1" customHeight="1">
      <c r="A238" s="206">
        <f>IF(AND($B238="",$C238=""),"",MAX($A$3:A237)+1)</f>
        <v>235</v>
      </c>
      <c r="B238" s="207">
        <v>46175</v>
      </c>
      <c r="C238" s="208" t="s">
        <v>1540</v>
      </c>
      <c r="D238" s="209" t="str">
        <f>IFERROR(IF($E238="Inventory",VLOOKUP($C238,Inventory!$B:$I,2,FALSE()),IF($E238="Non Inventory",VLOOKUP($C238,'Non Inventory'!$B:$I,2,FALSE()),IF($E238="Services",VLOOKUP($C238,Services!$B:$I,2,FALSE()),IF($E238="Patty Cash",VLOOKUP($C238,'Patty Cash'!$B:$J,2,FALSE()),"")))),"")</f>
        <v xml:space="preserve">Spring for Hand Pallet </v>
      </c>
      <c r="E238" s="246" t="s">
        <v>1327</v>
      </c>
      <c r="F238" s="210" t="str">
        <f>IFERROR(IF($E238="Inventory",VLOOKUP($C238,Inventory!$B:$I,3,FALSE()),IF($E238="Non Inventory",VLOOKUP($C238,'Non Inventory'!$B:$I,3,FALSE()),IF($E238="Services",VLOOKUP($C238,Services!$B:$I,3,FALSE()),IF($E238="Patty Cash",VLOOKUP($C238,'Patty Cash'!$B:$J,3,FALSE()),"")))),"")</f>
        <v>NOS</v>
      </c>
      <c r="G238" s="211">
        <v>6</v>
      </c>
      <c r="H238" s="212">
        <f>IF($E238="","",IF($E238="Inventory",IFERROR(VLOOKUP($C238,Inventory!$B:$H,7,FALSE()),0),IF($E238="Non Inventory",IFERROR(VLOOKUP($C238,'Non Inventory'!$B:$H,7,FALSE()),0),IF($E238="Services",IFERROR(VLOOKUP($C238,Services!$B:$H,7,FALSE()),0),IF($E238="Patty Cash",IFERROR(VLOOKUP($C238,'Patty Cash'!$B:$H,7,FALSE()),0),0)))))</f>
        <v>0</v>
      </c>
      <c r="I238" s="213" t="s">
        <v>58</v>
      </c>
      <c r="J238" s="214" t="s">
        <v>1240</v>
      </c>
      <c r="K238" s="215" t="s">
        <v>1197</v>
      </c>
      <c r="L238" s="197" t="s">
        <v>1195</v>
      </c>
      <c r="M238" s="215" t="s">
        <v>1207</v>
      </c>
      <c r="N238" s="216">
        <f>IFERROR(IF($E238="Inventory",VLOOKUP($C238,Inventory!$B:$I,8,FALSE()),IF($E238="Non Inventory",VLOOKUP($C238,'Non Inventory'!$B:$I,8,FALSE()),IF($E238="Services",VLOOKUP($C238,Services!$B:$I,8,FALSE()),IF($E238="Patty Cash",VLOOKUP($C238,'Patty Cash'!$B:$J,8,FALSE()),0)))),0)</f>
        <v>800</v>
      </c>
      <c r="O238" s="217">
        <f t="shared" si="3"/>
        <v>4800</v>
      </c>
    </row>
    <row r="239" spans="1:15" ht="23.1" customHeight="1">
      <c r="A239" s="206">
        <f>IF(AND($B239="",$C239=""),"",MAX($A$3:A238)+1)</f>
        <v>236</v>
      </c>
      <c r="B239" s="207">
        <v>46175</v>
      </c>
      <c r="C239" s="208">
        <v>2722</v>
      </c>
      <c r="D239" s="209" t="str">
        <f>IFERROR(IF($E239="Inventory",VLOOKUP($C239,Inventory!$B:$I,2,FALSE()),IF($E239="Non Inventory",VLOOKUP($C239,'Non Inventory'!$B:$I,2,FALSE()),IF($E239="Services",VLOOKUP($C239,Services!$B:$I,2,FALSE()),IF($E239="Patty Cash",VLOOKUP($C239,'Patty Cash'!$B:$J,2,FALSE()),"")))),"")</f>
        <v>"T" Type Comb Knife Size : L=252mm , W=110mm , T=2.5mm (Material Funner Steel) Ishida Packing Machine</v>
      </c>
      <c r="E239" s="246" t="s">
        <v>6</v>
      </c>
      <c r="F239" s="210" t="str">
        <f>IFERROR(IF($E239="Inventory",VLOOKUP($C239,Inventory!$B:$I,3,FALSE()),IF($E239="Non Inventory",VLOOKUP($C239,'Non Inventory'!$B:$I,3,FALSE()),IF($E239="Services",VLOOKUP($C239,Services!$B:$I,3,FALSE()),IF($E239="Patty Cash",VLOOKUP($C239,'Patty Cash'!$B:$J,3,FALSE()),"")))),"")</f>
        <v>PCS</v>
      </c>
      <c r="G239" s="211">
        <v>1</v>
      </c>
      <c r="H239" s="212">
        <f>IF($E239="","",IF($E239="Inventory",IFERROR(VLOOKUP($C239,Inventory!$B:$H,7,FALSE()),0),IF($E239="Non Inventory",IFERROR(VLOOKUP($C239,'Non Inventory'!$B:$H,7,FALSE()),0),IF($E239="Services",IFERROR(VLOOKUP($C239,Services!$B:$H,7,FALSE()),0),IF($E239="Patty Cash",IFERROR(VLOOKUP($C239,'Patty Cash'!$B:$H,7,FALSE()),0),0)))))</f>
        <v>7</v>
      </c>
      <c r="I239" s="213" t="s">
        <v>50</v>
      </c>
      <c r="J239" s="214" t="s">
        <v>1205</v>
      </c>
      <c r="K239" s="215" t="s">
        <v>1217</v>
      </c>
      <c r="L239" s="197" t="s">
        <v>1204</v>
      </c>
      <c r="M239" s="215" t="s">
        <v>1196</v>
      </c>
      <c r="N239" s="216">
        <f>IFERROR(IF($E239="Inventory",VLOOKUP($C239,Inventory!$B:$I,8,FALSE()),IF($E239="Non Inventory",VLOOKUP($C239,'Non Inventory'!$B:$I,8,FALSE()),IF($E239="Services",VLOOKUP($C239,Services!$B:$I,8,FALSE()),IF($E239="Patty Cash",VLOOKUP($C239,'Patty Cash'!$B:$J,8,FALSE()),0)))),0)</f>
        <v>5500</v>
      </c>
      <c r="O239" s="217">
        <f t="shared" si="3"/>
        <v>5500</v>
      </c>
    </row>
    <row r="240" spans="1:15" ht="23.1" customHeight="1">
      <c r="A240" s="206">
        <f>IF(AND($B240="",$C240=""),"",MAX($A$3:A239)+1)</f>
        <v>237</v>
      </c>
      <c r="B240" s="207">
        <v>46175</v>
      </c>
      <c r="C240" s="208">
        <v>6056</v>
      </c>
      <c r="D240" s="209" t="str">
        <f>IFERROR(IF($E240="Inventory",VLOOKUP($C240,Inventory!$B:$I,2,FALSE()),IF($E240="Non Inventory",VLOOKUP($C240,'Non Inventory'!$B:$I,2,FALSE()),IF($E240="Services",VLOOKUP($C240,Services!$B:$I,2,FALSE()),IF($E240="Patty Cash",VLOOKUP($C240,'Patty Cash'!$B:$J,2,FALSE()),"")))),"")</f>
        <v>Capacitor 3.5 UF 400 VAC (Fuji)</v>
      </c>
      <c r="E240" s="246" t="s">
        <v>7</v>
      </c>
      <c r="F240" s="210" t="str">
        <f>IFERROR(IF($E240="Inventory",VLOOKUP($C240,Inventory!$B:$I,3,FALSE()),IF($E240="Non Inventory",VLOOKUP($C240,'Non Inventory'!$B:$I,3,FALSE()),IF($E240="Services",VLOOKUP($C240,Services!$B:$I,3,FALSE()),IF($E240="Patty Cash",VLOOKUP($C240,'Patty Cash'!$B:$J,3,FALSE()),"")))),"")</f>
        <v>NOS</v>
      </c>
      <c r="G240" s="211">
        <v>1</v>
      </c>
      <c r="H240" s="212">
        <f>IF($E240="","",IF($E240="Inventory",IFERROR(VLOOKUP($C240,Inventory!$B:$H,7,FALSE()),0),IF($E240="Non Inventory",IFERROR(VLOOKUP($C240,'Non Inventory'!$B:$H,7,FALSE()),0),IF($E240="Services",IFERROR(VLOOKUP($C240,Services!$B:$H,7,FALSE()),0),IF($E240="Patty Cash",IFERROR(VLOOKUP($C240,'Patty Cash'!$B:$H,7,FALSE()),0),0)))))</f>
        <v>4</v>
      </c>
      <c r="I240" s="213" t="s">
        <v>57</v>
      </c>
      <c r="J240" s="214" t="s">
        <v>1530</v>
      </c>
      <c r="K240" s="215" t="s">
        <v>1211</v>
      </c>
      <c r="L240" s="197" t="s">
        <v>1204</v>
      </c>
      <c r="M240" s="215" t="s">
        <v>1207</v>
      </c>
      <c r="N240" s="216">
        <f>IFERROR(IF($E240="Inventory",VLOOKUP($C240,Inventory!$B:$I,8,FALSE()),IF($E240="Non Inventory",VLOOKUP($C240,'Non Inventory'!$B:$I,8,FALSE()),IF($E240="Services",VLOOKUP($C240,Services!$B:$I,8,FALSE()),IF($E240="Patty Cash",VLOOKUP($C240,'Patty Cash'!$B:$J,8,FALSE()),0)))),0)</f>
        <v>100</v>
      </c>
      <c r="O240" s="217">
        <f t="shared" si="3"/>
        <v>100</v>
      </c>
    </row>
    <row r="241" spans="1:15" ht="23.1" customHeight="1">
      <c r="A241" s="206">
        <f>IF(AND($B241="",$C241=""),"",MAX($A$3:A240)+1)</f>
        <v>238</v>
      </c>
      <c r="B241" s="207">
        <v>46175</v>
      </c>
      <c r="C241" s="208">
        <v>6331</v>
      </c>
      <c r="D241" s="209" t="str">
        <f>IFERROR(IF($E241="Inventory",VLOOKUP($C241,Inventory!$B:$I,2,FALSE()),IF($E241="Non Inventory",VLOOKUP($C241,'Non Inventory'!$B:$I,2,FALSE()),IF($E241="Services",VLOOKUP($C241,Services!$B:$I,2,FALSE()),IF($E241="Patty Cash",VLOOKUP($C241,'Patty Cash'!$B:$J,2,FALSE()),"")))),"")</f>
        <v>Tape Insulation PVC Yellow Width 3/4" x10yds
Nitto/Osaka</v>
      </c>
      <c r="E241" s="246" t="s">
        <v>7</v>
      </c>
      <c r="F241" s="210" t="str">
        <f>IFERROR(IF($E241="Inventory",VLOOKUP($C241,Inventory!$B:$I,3,FALSE()),IF($E241="Non Inventory",VLOOKUP($C241,'Non Inventory'!$B:$I,3,FALSE()),IF($E241="Services",VLOOKUP($C241,Services!$B:$I,3,FALSE()),IF($E241="Patty Cash",VLOOKUP($C241,'Patty Cash'!$B:$J,3,FALSE()),"")))),"")</f>
        <v>NOS</v>
      </c>
      <c r="G241" s="211">
        <v>1</v>
      </c>
      <c r="H241" s="212">
        <f>IF($E241="","",IF($E241="Inventory",IFERROR(VLOOKUP($C241,Inventory!$B:$H,7,FALSE()),0),IF($E241="Non Inventory",IFERROR(VLOOKUP($C241,'Non Inventory'!$B:$H,7,FALSE()),0),IF($E241="Services",IFERROR(VLOOKUP($C241,Services!$B:$H,7,FALSE()),0),IF($E241="Patty Cash",IFERROR(VLOOKUP($C241,'Patty Cash'!$B:$H,7,FALSE()),0),0)))))</f>
        <v>6</v>
      </c>
      <c r="I241" s="213" t="s">
        <v>1222</v>
      </c>
      <c r="J241" s="214" t="s">
        <v>67</v>
      </c>
      <c r="K241" s="215" t="s">
        <v>1211</v>
      </c>
      <c r="L241" s="197" t="s">
        <v>1204</v>
      </c>
      <c r="M241" s="215" t="s">
        <v>1207</v>
      </c>
      <c r="N241" s="216">
        <f>IFERROR(IF($E241="Inventory",VLOOKUP($C241,Inventory!$B:$I,8,FALSE()),IF($E241="Non Inventory",VLOOKUP($C241,'Non Inventory'!$B:$I,8,FALSE()),IF($E241="Services",VLOOKUP($C241,Services!$B:$I,8,FALSE()),IF($E241="Patty Cash",VLOOKUP($C241,'Patty Cash'!$B:$J,8,FALSE()),0)))),0)</f>
        <v>57</v>
      </c>
      <c r="O241" s="217">
        <f t="shared" si="3"/>
        <v>57</v>
      </c>
    </row>
    <row r="242" spans="1:15" ht="23.1" customHeight="1">
      <c r="A242" s="206">
        <f>IF(AND($B242="",$C242=""),"",MAX($A$3:A241)+1)</f>
        <v>239</v>
      </c>
      <c r="B242" s="207">
        <v>46175</v>
      </c>
      <c r="C242" s="208">
        <v>13409</v>
      </c>
      <c r="D242" s="209" t="str">
        <f>IFERROR(IF($E242="Inventory",VLOOKUP($C242,Inventory!$B:$I,2,FALSE()),IF($E242="Non Inventory",VLOOKUP($C242,'Non Inventory'!$B:$I,2,FALSE()),IF($E242="Services",VLOOKUP($C242,Services!$B:$I,2,FALSE()),IF($E242="Patty Cash",VLOOKUP($C242,'Patty Cash'!$B:$J,2,FALSE()),"")))),"")</f>
        <v>Heater 220 Valt, 450 Watt Size L-262mm, Dia-8mm (Ishida Packing Machine)</v>
      </c>
      <c r="E242" s="246" t="s">
        <v>6</v>
      </c>
      <c r="F242" s="210" t="str">
        <f>IFERROR(IF($E242="Inventory",VLOOKUP($C242,Inventory!$B:$I,3,FALSE()),IF($E242="Non Inventory",VLOOKUP($C242,'Non Inventory'!$B:$I,3,FALSE()),IF($E242="Services",VLOOKUP($C242,Services!$B:$I,3,FALSE()),IF($E242="Patty Cash",VLOOKUP($C242,'Patty Cash'!$B:$J,3,FALSE()),"")))),"")</f>
        <v>NOS</v>
      </c>
      <c r="G242" s="211">
        <v>1</v>
      </c>
      <c r="H242" s="212">
        <f>IF($E242="","",IF($E242="Inventory",IFERROR(VLOOKUP($C242,Inventory!$B:$H,7,FALSE()),0),IF($E242="Non Inventory",IFERROR(VLOOKUP($C242,'Non Inventory'!$B:$H,7,FALSE()),0),IF($E242="Services",IFERROR(VLOOKUP($C242,Services!$B:$H,7,FALSE()),0),IF($E242="Patty Cash",IFERROR(VLOOKUP($C242,'Patty Cash'!$B:$H,7,FALSE()),0),0)))))</f>
        <v>12</v>
      </c>
      <c r="I242" s="213" t="s">
        <v>41</v>
      </c>
      <c r="J242" s="214" t="s">
        <v>1542</v>
      </c>
      <c r="K242" s="215" t="s">
        <v>1210</v>
      </c>
      <c r="L242" s="197" t="s">
        <v>1204</v>
      </c>
      <c r="M242" s="215" t="s">
        <v>1207</v>
      </c>
      <c r="N242" s="216">
        <f>IFERROR(IF($E242="Inventory",VLOOKUP($C242,Inventory!$B:$I,8,FALSE()),IF($E242="Non Inventory",VLOOKUP($C242,'Non Inventory'!$B:$I,8,FALSE()),IF($E242="Services",VLOOKUP($C242,Services!$B:$I,8,FALSE()),IF($E242="Patty Cash",VLOOKUP($C242,'Patty Cash'!$B:$J,8,FALSE()),0)))),0)</f>
        <v>2400</v>
      </c>
      <c r="O242" s="217">
        <f t="shared" si="3"/>
        <v>2400</v>
      </c>
    </row>
    <row r="243" spans="1:15" ht="23.1" customHeight="1">
      <c r="A243" s="206">
        <f>IF(AND($B243="",$C243=""),"",MAX($A$3:A242)+1)</f>
        <v>240</v>
      </c>
      <c r="B243" s="207">
        <v>46175</v>
      </c>
      <c r="C243" s="208">
        <v>5539</v>
      </c>
      <c r="D243" s="209" t="str">
        <f>IFERROR(IF($E243="Inventory",VLOOKUP($C243,Inventory!$B:$I,2,FALSE()),IF($E243="Non Inventory",VLOOKUP($C243,'Non Inventory'!$B:$I,2,FALSE()),IF($E243="Services",VLOOKUP($C243,Services!$B:$I,2,FALSE()),IF($E243="Patty Cash",VLOOKUP($C243,'Patty Cash'!$B:$J,2,FALSE()),"")))),"")</f>
        <v>PNEUMATIC EQUAL TEE SIZE 6MM</v>
      </c>
      <c r="E243" s="246" t="s">
        <v>7</v>
      </c>
      <c r="F243" s="210" t="str">
        <f>IFERROR(IF($E243="Inventory",VLOOKUP($C243,Inventory!$B:$I,3,FALSE()),IF($E243="Non Inventory",VLOOKUP($C243,'Non Inventory'!$B:$I,3,FALSE()),IF($E243="Services",VLOOKUP($C243,Services!$B:$I,3,FALSE()),IF($E243="Patty Cash",VLOOKUP($C243,'Patty Cash'!$B:$J,3,FALSE()),"")))),"")</f>
        <v>NOS</v>
      </c>
      <c r="G243" s="211">
        <v>1</v>
      </c>
      <c r="H243" s="212">
        <f>IF($E243="","",IF($E243="Inventory",IFERROR(VLOOKUP($C243,Inventory!$B:$H,7,FALSE()),0),IF($E243="Non Inventory",IFERROR(VLOOKUP($C243,'Non Inventory'!$B:$H,7,FALSE()),0),IF($E243="Services",IFERROR(VLOOKUP($C243,Services!$B:$H,7,FALSE()),0),IF($E243="Patty Cash",IFERROR(VLOOKUP($C243,'Patty Cash'!$B:$H,7,FALSE()),0),0)))))</f>
        <v>6</v>
      </c>
      <c r="I243" s="213" t="s">
        <v>61</v>
      </c>
      <c r="J243" s="214" t="s">
        <v>1200</v>
      </c>
      <c r="K243" s="215" t="s">
        <v>1214</v>
      </c>
      <c r="L243" s="197" t="s">
        <v>1204</v>
      </c>
      <c r="M243" s="215" t="s">
        <v>1196</v>
      </c>
      <c r="N243" s="216">
        <f>IFERROR(IF($E243="Inventory",VLOOKUP($C243,Inventory!$B:$I,8,FALSE()),IF($E243="Non Inventory",VLOOKUP($C243,'Non Inventory'!$B:$I,8,FALSE()),IF($E243="Services",VLOOKUP($C243,Services!$B:$I,8,FALSE()),IF($E243="Patty Cash",VLOOKUP($C243,'Patty Cash'!$B:$J,8,FALSE()),0)))),0)</f>
        <v>225</v>
      </c>
      <c r="O243" s="217">
        <f t="shared" si="3"/>
        <v>225</v>
      </c>
    </row>
    <row r="244" spans="1:15" ht="23.1" customHeight="1">
      <c r="A244" s="206">
        <f>IF(AND($B244="",$C244=""),"",MAX($A$3:A243)+1)</f>
        <v>241</v>
      </c>
      <c r="B244" s="207">
        <v>46175</v>
      </c>
      <c r="C244" s="208">
        <v>17043</v>
      </c>
      <c r="D244" s="209" t="str">
        <f>IFERROR(IF($E244="Inventory",VLOOKUP($C244,Inventory!$B:$I,2,FALSE()),IF($E244="Non Inventory",VLOOKUP($C244,'Non Inventory'!$B:$I,2,FALSE()),IF($E244="Services",VLOOKUP($C244,Services!$B:$I,2,FALSE()),IF($E244="Patty Cash",VLOOKUP($C244,'Patty Cash'!$B:$J,2,FALSE()),"")))),"")</f>
        <v>Fotek Sensor PL-05N, 10-30 VDC</v>
      </c>
      <c r="E244" s="246" t="s">
        <v>6</v>
      </c>
      <c r="F244" s="210" t="str">
        <f>IFERROR(IF($E244="Inventory",VLOOKUP($C244,Inventory!$B:$I,3,FALSE()),IF($E244="Non Inventory",VLOOKUP($C244,'Non Inventory'!$B:$I,3,FALSE()),IF($E244="Services",VLOOKUP($C244,Services!$B:$I,3,FALSE()),IF($E244="Patty Cash",VLOOKUP($C244,'Patty Cash'!$B:$J,3,FALSE()),"")))),"")</f>
        <v>NOS</v>
      </c>
      <c r="G244" s="211">
        <v>1</v>
      </c>
      <c r="H244" s="212">
        <f>IF($E244="","",IF($E244="Inventory",IFERROR(VLOOKUP($C244,Inventory!$B:$H,7,FALSE()),0),IF($E244="Non Inventory",IFERROR(VLOOKUP($C244,'Non Inventory'!$B:$H,7,FALSE()),0),IF($E244="Services",IFERROR(VLOOKUP($C244,Services!$B:$H,7,FALSE()),0),IF($E244="Patty Cash",IFERROR(VLOOKUP($C244,'Patty Cash'!$B:$H,7,FALSE()),0),0)))))</f>
        <v>0</v>
      </c>
      <c r="I244" s="213" t="s">
        <v>59</v>
      </c>
      <c r="J244" s="214" t="s">
        <v>67</v>
      </c>
      <c r="K244" s="215" t="s">
        <v>1210</v>
      </c>
      <c r="L244" s="197" t="s">
        <v>1204</v>
      </c>
      <c r="M244" s="215" t="s">
        <v>1207</v>
      </c>
      <c r="N244" s="216">
        <f>IFERROR(IF($E244="Inventory",VLOOKUP($C244,Inventory!$B:$I,8,FALSE()),IF($E244="Non Inventory",VLOOKUP($C244,'Non Inventory'!$B:$I,8,FALSE()),IF($E244="Services",VLOOKUP($C244,Services!$B:$I,8,FALSE()),IF($E244="Patty Cash",VLOOKUP($C244,'Patty Cash'!$B:$J,8,FALSE()),0)))),0)</f>
        <v>750</v>
      </c>
      <c r="O244" s="217">
        <f t="shared" si="3"/>
        <v>750</v>
      </c>
    </row>
    <row r="245" spans="1:15" ht="23.1" customHeight="1">
      <c r="A245" s="206">
        <f>IF(AND($B245="",$C245=""),"",MAX($A$3:A244)+1)</f>
        <v>242</v>
      </c>
      <c r="B245" s="207">
        <v>46176</v>
      </c>
      <c r="C245" s="208">
        <v>98370</v>
      </c>
      <c r="D245" s="209" t="str">
        <f>IFERROR(IF($E245="Inventory",VLOOKUP($C245,Inventory!$B:$I,2,FALSE()),IF($E245="Non Inventory",VLOOKUP($C245,'Non Inventory'!$B:$I,2,FALSE()),IF($E245="Services",VLOOKUP($C245,Services!$B:$I,2,FALSE()),IF($E245="Patty Cash",VLOOKUP($C245,'Patty Cash'!$B:$J,2,FALSE()),"")))),"")</f>
        <v>Folder Tape</v>
      </c>
      <c r="E245" s="246" t="s">
        <v>7</v>
      </c>
      <c r="F245" s="210" t="str">
        <f>IFERROR(IF($E245="Inventory",VLOOKUP($C245,Inventory!$B:$I,3,FALSE()),IF($E245="Non Inventory",VLOOKUP($C245,'Non Inventory'!$B:$I,3,FALSE()),IF($E245="Services",VLOOKUP($C245,Services!$B:$I,3,FALSE()),IF($E245="Patty Cash",VLOOKUP($C245,'Patty Cash'!$B:$J,3,FALSE()),"")))),"")</f>
        <v>NOS</v>
      </c>
      <c r="G245" s="211">
        <v>2</v>
      </c>
      <c r="H245" s="212">
        <f>IF($E245="","",IF($E245="Inventory",IFERROR(VLOOKUP($C245,Inventory!$B:$H,7,FALSE()),0),IF($E245="Non Inventory",IFERROR(VLOOKUP($C245,'Non Inventory'!$B:$H,7,FALSE()),0),IF($E245="Services",IFERROR(VLOOKUP($C245,Services!$B:$H,7,FALSE()),0),IF($E245="Patty Cash",IFERROR(VLOOKUP($C245,'Patty Cash'!$B:$H,7,FALSE()),0),0)))))</f>
        <v>440</v>
      </c>
      <c r="I245" s="213" t="s">
        <v>41</v>
      </c>
      <c r="J245" s="214" t="s">
        <v>1532</v>
      </c>
      <c r="K245" s="215" t="s">
        <v>1197</v>
      </c>
      <c r="L245" s="197" t="s">
        <v>1195</v>
      </c>
      <c r="M245" s="215" t="s">
        <v>1196</v>
      </c>
      <c r="N245" s="216">
        <f>IFERROR(IF($E245="Inventory",VLOOKUP($C245,Inventory!$B:$I,8,FALSE()),IF($E245="Non Inventory",VLOOKUP($C245,'Non Inventory'!$B:$I,8,FALSE()),IF($E245="Services",VLOOKUP($C245,Services!$B:$I,8,FALSE()),IF($E245="Patty Cash",VLOOKUP($C245,'Patty Cash'!$B:$J,8,FALSE()),0)))),0)</f>
        <v>128</v>
      </c>
      <c r="O245" s="217">
        <f t="shared" si="3"/>
        <v>256</v>
      </c>
    </row>
    <row r="246" spans="1:15" ht="23.1" customHeight="1">
      <c r="A246" s="206">
        <f>IF(AND($B246="",$C246=""),"",MAX($A$3:A245)+1)</f>
        <v>243</v>
      </c>
      <c r="B246" s="207">
        <v>46176</v>
      </c>
      <c r="C246" s="208">
        <v>98370</v>
      </c>
      <c r="D246" s="209" t="str">
        <f>IFERROR(IF($E246="Inventory",VLOOKUP($C246,Inventory!$B:$I,2,FALSE()),IF($E246="Non Inventory",VLOOKUP($C246,'Non Inventory'!$B:$I,2,FALSE()),IF($E246="Services",VLOOKUP($C246,Services!$B:$I,2,FALSE()),IF($E246="Patty Cash",VLOOKUP($C246,'Patty Cash'!$B:$J,2,FALSE()),"")))),"")</f>
        <v>Folder Tape</v>
      </c>
      <c r="E246" s="246" t="s">
        <v>7</v>
      </c>
      <c r="F246" s="210" t="str">
        <f>IFERROR(IF($E246="Inventory",VLOOKUP($C246,Inventory!$B:$I,3,FALSE()),IF($E246="Non Inventory",VLOOKUP($C246,'Non Inventory'!$B:$I,3,FALSE()),IF($E246="Services",VLOOKUP($C246,Services!$B:$I,3,FALSE()),IF($E246="Patty Cash",VLOOKUP($C246,'Patty Cash'!$B:$J,3,FALSE()),"")))),"")</f>
        <v>NOS</v>
      </c>
      <c r="G246" s="211">
        <v>2</v>
      </c>
      <c r="H246" s="212">
        <f>IF($E246="","",IF($E246="Inventory",IFERROR(VLOOKUP($C246,Inventory!$B:$H,7,FALSE()),0),IF($E246="Non Inventory",IFERROR(VLOOKUP($C246,'Non Inventory'!$B:$H,7,FALSE()),0),IF($E246="Services",IFERROR(VLOOKUP($C246,Services!$B:$H,7,FALSE()),0),IF($E246="Patty Cash",IFERROR(VLOOKUP($C246,'Patty Cash'!$B:$H,7,FALSE()),0),0)))))</f>
        <v>440</v>
      </c>
      <c r="I246" s="213" t="s">
        <v>45</v>
      </c>
      <c r="J246" s="214" t="s">
        <v>1532</v>
      </c>
      <c r="K246" s="215" t="s">
        <v>1197</v>
      </c>
      <c r="L246" s="197" t="s">
        <v>1195</v>
      </c>
      <c r="M246" s="215" t="s">
        <v>1196</v>
      </c>
      <c r="N246" s="216">
        <f>IFERROR(IF($E246="Inventory",VLOOKUP($C246,Inventory!$B:$I,8,FALSE()),IF($E246="Non Inventory",VLOOKUP($C246,'Non Inventory'!$B:$I,8,FALSE()),IF($E246="Services",VLOOKUP($C246,Services!$B:$I,8,FALSE()),IF($E246="Patty Cash",VLOOKUP($C246,'Patty Cash'!$B:$J,8,FALSE()),0)))),0)</f>
        <v>128</v>
      </c>
      <c r="O246" s="217">
        <f t="shared" si="3"/>
        <v>256</v>
      </c>
    </row>
    <row r="247" spans="1:15" ht="23.1" customHeight="1">
      <c r="A247" s="206">
        <f>IF(AND($B247="",$C247=""),"",MAX($A$3:A246)+1)</f>
        <v>244</v>
      </c>
      <c r="B247" s="207">
        <v>46176</v>
      </c>
      <c r="C247" s="208">
        <v>14863</v>
      </c>
      <c r="D247" s="209" t="str">
        <f>IFERROR(IF($E247="Inventory",VLOOKUP($C247,Inventory!$B:$I,2,FALSE()),IF($E247="Non Inventory",VLOOKUP($C247,'Non Inventory'!$B:$I,2,FALSE()),IF($E247="Services",VLOOKUP($C247,Services!$B:$I,2,FALSE()),IF($E247="Patty Cash",VLOOKUP($C247,'Patty Cash'!$B:$J,2,FALSE()),"")))),"")</f>
        <v>Vibretor Motor Sama Packing Machine</v>
      </c>
      <c r="E247" s="246" t="s">
        <v>7</v>
      </c>
      <c r="F247" s="210" t="str">
        <f>IFERROR(IF($E247="Inventory",VLOOKUP($C247,Inventory!$B:$I,3,FALSE()),IF($E247="Non Inventory",VLOOKUP($C247,'Non Inventory'!$B:$I,3,FALSE()),IF($E247="Services",VLOOKUP($C247,Services!$B:$I,3,FALSE()),IF($E247="Patty Cash",VLOOKUP($C247,'Patty Cash'!$B:$J,3,FALSE()),"")))),"")</f>
        <v>NOS</v>
      </c>
      <c r="G247" s="211">
        <v>1</v>
      </c>
      <c r="H247" s="212">
        <f>IF($E247="","",IF($E247="Inventory",IFERROR(VLOOKUP($C247,Inventory!$B:$H,7,FALSE()),0),IF($E247="Non Inventory",IFERROR(VLOOKUP($C247,'Non Inventory'!$B:$H,7,FALSE()),0),IF($E247="Services",IFERROR(VLOOKUP($C247,Services!$B:$H,7,FALSE()),0),IF($E247="Patty Cash",IFERROR(VLOOKUP($C247,'Patty Cash'!$B:$H,7,FALSE()),0),0)))))</f>
        <v>9</v>
      </c>
      <c r="I247" s="213" t="s">
        <v>81</v>
      </c>
      <c r="J247" s="214" t="s">
        <v>67</v>
      </c>
      <c r="K247" s="215" t="s">
        <v>1206</v>
      </c>
      <c r="L247" s="197" t="s">
        <v>1195</v>
      </c>
      <c r="M247" s="215" t="s">
        <v>1207</v>
      </c>
      <c r="N247" s="216">
        <f>IFERROR(IF($E247="Inventory",VLOOKUP($C247,Inventory!$B:$I,8,FALSE()),IF($E247="Non Inventory",VLOOKUP($C247,'Non Inventory'!$B:$I,8,FALSE()),IF($E247="Services",VLOOKUP($C247,Services!$B:$I,8,FALSE()),IF($E247="Patty Cash",VLOOKUP($C247,'Patty Cash'!$B:$J,8,FALSE()),0)))),0)</f>
        <v>6800</v>
      </c>
      <c r="O247" s="217">
        <f t="shared" si="3"/>
        <v>6800</v>
      </c>
    </row>
    <row r="248" spans="1:15" ht="23.1" customHeight="1">
      <c r="A248" s="206">
        <f>IF(AND($B248="",$C248=""),"",MAX($A$3:A247)+1)</f>
        <v>245</v>
      </c>
      <c r="B248" s="207">
        <v>46176</v>
      </c>
      <c r="C248" s="208">
        <v>3335</v>
      </c>
      <c r="D248" s="209" t="str">
        <f>IFERROR(IF($E248="Inventory",VLOOKUP($C248,Inventory!$B:$I,2,FALSE()),IF($E248="Non Inventory",VLOOKUP($C248,'Non Inventory'!$B:$I,2,FALSE()),IF($E248="Services",VLOOKUP($C248,Services!$B:$I,2,FALSE()),IF($E248="Patty Cash",VLOOKUP($C248,'Patty Cash'!$B:$J,2,FALSE()),"")))),"")</f>
        <v>INSULATED SCREW DRIVER SET</v>
      </c>
      <c r="E248" s="246" t="s">
        <v>7</v>
      </c>
      <c r="F248" s="210" t="str">
        <f>IFERROR(IF($E248="Inventory",VLOOKUP($C248,Inventory!$B:$I,3,FALSE()),IF($E248="Non Inventory",VLOOKUP($C248,'Non Inventory'!$B:$I,3,FALSE()),IF($E248="Services",VLOOKUP($C248,Services!$B:$I,3,FALSE()),IF($E248="Patty Cash",VLOOKUP($C248,'Patty Cash'!$B:$J,3,FALSE()),"")))),"")</f>
        <v>SET</v>
      </c>
      <c r="G248" s="211">
        <v>2</v>
      </c>
      <c r="H248" s="212">
        <f>IF($E248="","",IF($E248="Inventory",IFERROR(VLOOKUP($C248,Inventory!$B:$H,7,FALSE()),0),IF($E248="Non Inventory",IFERROR(VLOOKUP($C248,'Non Inventory'!$B:$H,7,FALSE()),0),IF($E248="Services",IFERROR(VLOOKUP($C248,Services!$B:$H,7,FALSE()),0),IF($E248="Patty Cash",IFERROR(VLOOKUP($C248,'Patty Cash'!$B:$H,7,FALSE()),0),0)))))</f>
        <v>0</v>
      </c>
      <c r="I248" s="213" t="s">
        <v>1305</v>
      </c>
      <c r="J248" s="214" t="s">
        <v>1543</v>
      </c>
      <c r="K248" s="215" t="s">
        <v>1544</v>
      </c>
      <c r="L248" s="197" t="s">
        <v>1195</v>
      </c>
      <c r="M248" s="215" t="s">
        <v>1196</v>
      </c>
      <c r="N248" s="216">
        <f>IFERROR(IF($E248="Inventory",VLOOKUP($C248,Inventory!$B:$I,8,FALSE()),IF($E248="Non Inventory",VLOOKUP($C248,'Non Inventory'!$B:$I,8,FALSE()),IF($E248="Services",VLOOKUP($C248,Services!$B:$I,8,FALSE()),IF($E248="Patty Cash",VLOOKUP($C248,'Patty Cash'!$B:$J,8,FALSE()),0)))),0)</f>
        <v>3200</v>
      </c>
      <c r="O248" s="217">
        <f t="shared" si="3"/>
        <v>6400</v>
      </c>
    </row>
    <row r="249" spans="1:15" ht="23.1" customHeight="1">
      <c r="A249" s="206">
        <f>IF(AND($B249="",$C249=""),"",MAX($A$3:A248)+1)</f>
        <v>246</v>
      </c>
      <c r="B249" s="207">
        <v>46176</v>
      </c>
      <c r="C249" s="208" t="s">
        <v>1545</v>
      </c>
      <c r="D249" s="209" t="str">
        <f>IFERROR(IF($E249="Inventory",VLOOKUP($C249,Inventory!$B:$I,2,FALSE()),IF($E249="Non Inventory",VLOOKUP($C249,'Non Inventory'!$B:$I,2,FALSE()),IF($E249="Services",VLOOKUP($C249,Services!$B:$I,2,FALSE()),IF($E249="Patty Cash",VLOOKUP($C249,'Patty Cash'!$B:$J,2,FALSE()),"")))),"")</f>
        <v xml:space="preserve">Rawal Bolts </v>
      </c>
      <c r="E249" s="246" t="s">
        <v>1327</v>
      </c>
      <c r="F249" s="210" t="str">
        <f>IFERROR(IF($E249="Inventory",VLOOKUP($C249,Inventory!$B:$I,3,FALSE()),IF($E249="Non Inventory",VLOOKUP($C249,'Non Inventory'!$B:$I,3,FALSE()),IF($E249="Services",VLOOKUP($C249,Services!$B:$I,3,FALSE()),IF($E249="Patty Cash",VLOOKUP($C249,'Patty Cash'!$B:$J,3,FALSE()),"")))),"")</f>
        <v>NOS</v>
      </c>
      <c r="G249" s="211">
        <v>1</v>
      </c>
      <c r="H249" s="212">
        <f>IF($E249="","",IF($E249="Inventory",IFERROR(VLOOKUP($C249,Inventory!$B:$H,7,FALSE()),0),IF($E249="Non Inventory",IFERROR(VLOOKUP($C249,'Non Inventory'!$B:$H,7,FALSE()),0),IF($E249="Services",IFERROR(VLOOKUP($C249,Services!$B:$H,7,FALSE()),0),IF($E249="Patty Cash",IFERROR(VLOOKUP($C249,'Patty Cash'!$B:$H,7,FALSE()),0),0)))))</f>
        <v>0</v>
      </c>
      <c r="I249" s="213" t="s">
        <v>1254</v>
      </c>
      <c r="J249" s="214" t="s">
        <v>67</v>
      </c>
      <c r="K249" s="215" t="s">
        <v>1220</v>
      </c>
      <c r="L249" s="197" t="s">
        <v>1195</v>
      </c>
      <c r="M249" s="215" t="s">
        <v>1196</v>
      </c>
      <c r="N249" s="216">
        <f>IFERROR(IF($E249="Inventory",VLOOKUP($C249,Inventory!$B:$I,8,FALSE()),IF($E249="Non Inventory",VLOOKUP($C249,'Non Inventory'!$B:$I,8,FALSE()),IF($E249="Services",VLOOKUP($C249,Services!$B:$I,8,FALSE()),IF($E249="Patty Cash",VLOOKUP($C249,'Patty Cash'!$B:$J,8,FALSE()),0)))),0)</f>
        <v>45</v>
      </c>
      <c r="O249" s="217">
        <f t="shared" si="3"/>
        <v>45</v>
      </c>
    </row>
    <row r="250" spans="1:15" ht="23.1" customHeight="1">
      <c r="A250" s="206">
        <f>IF(AND($B250="",$C250=""),"",MAX($A$3:A249)+1)</f>
        <v>247</v>
      </c>
      <c r="B250" s="207">
        <v>46176</v>
      </c>
      <c r="C250" s="208">
        <v>15037</v>
      </c>
      <c r="D250" s="209" t="str">
        <f>IFERROR(IF($E250="Inventory",VLOOKUP($C250,Inventory!$B:$I,2,FALSE()),IF($E250="Non Inventory",VLOOKUP($C250,'Non Inventory'!$B:$I,2,FALSE()),IF($E250="Services",VLOOKUP($C250,Services!$B:$I,2,FALSE()),IF($E250="Patty Cash",VLOOKUP($C250,'Patty Cash'!$B:$J,2,FALSE()),"")))),"")</f>
        <v>Combination Spanner Size 36mm</v>
      </c>
      <c r="E250" s="246" t="s">
        <v>7</v>
      </c>
      <c r="F250" s="210" t="str">
        <f>IFERROR(IF($E250="Inventory",VLOOKUP($C250,Inventory!$B:$I,3,FALSE()),IF($E250="Non Inventory",VLOOKUP($C250,'Non Inventory'!$B:$I,3,FALSE()),IF($E250="Services",VLOOKUP($C250,Services!$B:$I,3,FALSE()),IF($E250="Patty Cash",VLOOKUP($C250,'Patty Cash'!$B:$J,3,FALSE()),"")))),"")</f>
        <v>NOS</v>
      </c>
      <c r="G250" s="211">
        <v>1</v>
      </c>
      <c r="H250" s="212">
        <f>IF($E250="","",IF($E250="Inventory",IFERROR(VLOOKUP($C250,Inventory!$B:$H,7,FALSE()),0),IF($E250="Non Inventory",IFERROR(VLOOKUP($C250,'Non Inventory'!$B:$H,7,FALSE()),0),IF($E250="Services",IFERROR(VLOOKUP($C250,Services!$B:$H,7,FALSE()),0),IF($E250="Patty Cash",IFERROR(VLOOKUP($C250,'Patty Cash'!$B:$H,7,FALSE()),0),0)))))</f>
        <v>0</v>
      </c>
      <c r="I250" s="213" t="s">
        <v>1305</v>
      </c>
      <c r="J250" s="214" t="s">
        <v>67</v>
      </c>
      <c r="K250" s="215" t="s">
        <v>1544</v>
      </c>
      <c r="L250" s="197" t="s">
        <v>1195</v>
      </c>
      <c r="M250" s="215" t="s">
        <v>1196</v>
      </c>
      <c r="N250" s="216">
        <f>IFERROR(IF($E250="Inventory",VLOOKUP($C250,Inventory!$B:$I,8,FALSE()),IF($E250="Non Inventory",VLOOKUP($C250,'Non Inventory'!$B:$I,8,FALSE()),IF($E250="Services",VLOOKUP($C250,Services!$B:$I,8,FALSE()),IF($E250="Patty Cash",VLOOKUP($C250,'Patty Cash'!$B:$J,8,FALSE()),0)))),0)</f>
        <v>7100</v>
      </c>
      <c r="O250" s="217">
        <f t="shared" si="3"/>
        <v>7100</v>
      </c>
    </row>
    <row r="251" spans="1:15" ht="23.1" customHeight="1">
      <c r="A251" s="206">
        <f>IF(AND($B251="",$C251=""),"",MAX($A$3:A250)+1)</f>
        <v>248</v>
      </c>
      <c r="B251" s="207">
        <v>46176</v>
      </c>
      <c r="C251" s="208">
        <v>15035</v>
      </c>
      <c r="D251" s="209" t="str">
        <f>IFERROR(IF($E251="Inventory",VLOOKUP($C251,Inventory!$B:$I,2,FALSE()),IF($E251="Non Inventory",VLOOKUP($C251,'Non Inventory'!$B:$I,2,FALSE()),IF($E251="Services",VLOOKUP($C251,Services!$B:$I,2,FALSE()),IF($E251="Patty Cash",VLOOKUP($C251,'Patty Cash'!$B:$J,2,FALSE()),"")))),"")</f>
        <v>Combination Spanner Size 24mm</v>
      </c>
      <c r="E251" s="246" t="s">
        <v>7</v>
      </c>
      <c r="F251" s="210" t="str">
        <f>IFERROR(IF($E251="Inventory",VLOOKUP($C251,Inventory!$B:$I,3,FALSE()),IF($E251="Non Inventory",VLOOKUP($C251,'Non Inventory'!$B:$I,3,FALSE()),IF($E251="Services",VLOOKUP($C251,Services!$B:$I,3,FALSE()),IF($E251="Patty Cash",VLOOKUP($C251,'Patty Cash'!$B:$J,3,FALSE()),"")))),"")</f>
        <v>NOS</v>
      </c>
      <c r="G251" s="211">
        <v>1</v>
      </c>
      <c r="H251" s="212">
        <f>IF($E251="","",IF($E251="Inventory",IFERROR(VLOOKUP($C251,Inventory!$B:$H,7,FALSE()),0),IF($E251="Non Inventory",IFERROR(VLOOKUP($C251,'Non Inventory'!$B:$H,7,FALSE()),0),IF($E251="Services",IFERROR(VLOOKUP($C251,Services!$B:$H,7,FALSE()),0),IF($E251="Patty Cash",IFERROR(VLOOKUP($C251,'Patty Cash'!$B:$H,7,FALSE()),0),0)))))</f>
        <v>0</v>
      </c>
      <c r="I251" s="213" t="s">
        <v>1305</v>
      </c>
      <c r="J251" s="214" t="s">
        <v>67</v>
      </c>
      <c r="K251" s="215" t="s">
        <v>1544</v>
      </c>
      <c r="L251" s="197" t="s">
        <v>1195</v>
      </c>
      <c r="M251" s="215" t="s">
        <v>1196</v>
      </c>
      <c r="N251" s="216">
        <f>IFERROR(IF($E251="Inventory",VLOOKUP($C251,Inventory!$B:$I,8,FALSE()),IF($E251="Non Inventory",VLOOKUP($C251,'Non Inventory'!$B:$I,8,FALSE()),IF($E251="Services",VLOOKUP($C251,Services!$B:$I,8,FALSE()),IF($E251="Patty Cash",VLOOKUP($C251,'Patty Cash'!$B:$J,8,FALSE()),0)))),0)</f>
        <v>5550</v>
      </c>
      <c r="O251" s="217">
        <f t="shared" si="3"/>
        <v>5550</v>
      </c>
    </row>
    <row r="252" spans="1:15" ht="23.1" customHeight="1">
      <c r="A252" s="206">
        <f>IF(AND($B252="",$C252=""),"",MAX($A$3:A251)+1)</f>
        <v>249</v>
      </c>
      <c r="B252" s="207">
        <v>46176</v>
      </c>
      <c r="C252" s="208">
        <v>15036</v>
      </c>
      <c r="D252" s="209" t="str">
        <f>IFERROR(IF($E252="Inventory",VLOOKUP($C252,Inventory!$B:$I,2,FALSE()),IF($E252="Non Inventory",VLOOKUP($C252,'Non Inventory'!$B:$I,2,FALSE()),IF($E252="Services",VLOOKUP($C252,Services!$B:$I,2,FALSE()),IF($E252="Patty Cash",VLOOKUP($C252,'Patty Cash'!$B:$J,2,FALSE()),"")))),"")</f>
        <v>Combination Spanner Size 30mm</v>
      </c>
      <c r="E252" s="246" t="s">
        <v>7</v>
      </c>
      <c r="F252" s="210" t="str">
        <f>IFERROR(IF($E252="Inventory",VLOOKUP($C252,Inventory!$B:$I,3,FALSE()),IF($E252="Non Inventory",VLOOKUP($C252,'Non Inventory'!$B:$I,3,FALSE()),IF($E252="Services",VLOOKUP($C252,Services!$B:$I,3,FALSE()),IF($E252="Patty Cash",VLOOKUP($C252,'Patty Cash'!$B:$J,3,FALSE()),"")))),"")</f>
        <v>NOS</v>
      </c>
      <c r="G252" s="211">
        <v>1</v>
      </c>
      <c r="H252" s="212">
        <f>IF($E252="","",IF($E252="Inventory",IFERROR(VLOOKUP($C252,Inventory!$B:$H,7,FALSE()),0),IF($E252="Non Inventory",IFERROR(VLOOKUP($C252,'Non Inventory'!$B:$H,7,FALSE()),0),IF($E252="Services",IFERROR(VLOOKUP($C252,Services!$B:$H,7,FALSE()),0),IF($E252="Patty Cash",IFERROR(VLOOKUP($C252,'Patty Cash'!$B:$H,7,FALSE()),0),0)))))</f>
        <v>0</v>
      </c>
      <c r="I252" s="213" t="s">
        <v>1305</v>
      </c>
      <c r="J252" s="214" t="s">
        <v>67</v>
      </c>
      <c r="K252" s="215" t="s">
        <v>1544</v>
      </c>
      <c r="L252" s="197" t="s">
        <v>1195</v>
      </c>
      <c r="M252" s="215" t="s">
        <v>1196</v>
      </c>
      <c r="N252" s="216">
        <f>IFERROR(IF($E252="Inventory",VLOOKUP($C252,Inventory!$B:$I,8,FALSE()),IF($E252="Non Inventory",VLOOKUP($C252,'Non Inventory'!$B:$I,8,FALSE()),IF($E252="Services",VLOOKUP($C252,Services!$B:$I,8,FALSE()),IF($E252="Patty Cash",VLOOKUP($C252,'Patty Cash'!$B:$J,8,FALSE()),0)))),0)</f>
        <v>6100</v>
      </c>
      <c r="O252" s="217">
        <f t="shared" si="3"/>
        <v>6100</v>
      </c>
    </row>
    <row r="253" spans="1:15" ht="23.1" customHeight="1">
      <c r="A253" s="206">
        <f>IF(AND($B253="",$C253=""),"",MAX($A$3:A252)+1)</f>
        <v>250</v>
      </c>
      <c r="B253" s="207">
        <v>46176</v>
      </c>
      <c r="C253" s="208">
        <v>9896</v>
      </c>
      <c r="D253" s="209" t="str">
        <f>IFERROR(IF($E253="Inventory",VLOOKUP($C253,Inventory!$B:$I,2,FALSE()),IF($E253="Non Inventory",VLOOKUP($C253,'Non Inventory'!$B:$I,2,FALSE()),IF($E253="Services",VLOOKUP($C253,Services!$B:$I,2,FALSE()),IF($E253="Patty Cash",VLOOKUP($C253,'Patty Cash'!$B:$J,2,FALSE()),"")))),"")</f>
        <v>Fix &amp; Ring Spanner Size 20mm</v>
      </c>
      <c r="E253" s="246" t="s">
        <v>7</v>
      </c>
      <c r="F253" s="210" t="str">
        <f>IFERROR(IF($E253="Inventory",VLOOKUP($C253,Inventory!$B:$I,3,FALSE()),IF($E253="Non Inventory",VLOOKUP($C253,'Non Inventory'!$B:$I,3,FALSE()),IF($E253="Services",VLOOKUP($C253,Services!$B:$I,3,FALSE()),IF($E253="Patty Cash",VLOOKUP($C253,'Patty Cash'!$B:$J,3,FALSE()),"")))),"")</f>
        <v>NOS</v>
      </c>
      <c r="G253" s="211">
        <v>1</v>
      </c>
      <c r="H253" s="212">
        <f>IF($E253="","",IF($E253="Inventory",IFERROR(VLOOKUP($C253,Inventory!$B:$H,7,FALSE()),0),IF($E253="Non Inventory",IFERROR(VLOOKUP($C253,'Non Inventory'!$B:$H,7,FALSE()),0),IF($E253="Services",IFERROR(VLOOKUP($C253,Services!$B:$H,7,FALSE()),0),IF($E253="Patty Cash",IFERROR(VLOOKUP($C253,'Patty Cash'!$B:$H,7,FALSE()),0),0)))))</f>
        <v>0</v>
      </c>
      <c r="I253" s="213" t="s">
        <v>1305</v>
      </c>
      <c r="J253" s="214" t="s">
        <v>67</v>
      </c>
      <c r="K253" s="215" t="s">
        <v>1544</v>
      </c>
      <c r="L253" s="197" t="s">
        <v>1195</v>
      </c>
      <c r="M253" s="215" t="s">
        <v>1196</v>
      </c>
      <c r="N253" s="216">
        <f>IFERROR(IF($E253="Inventory",VLOOKUP($C253,Inventory!$B:$I,8,FALSE()),IF($E253="Non Inventory",VLOOKUP($C253,'Non Inventory'!$B:$I,8,FALSE()),IF($E253="Services",VLOOKUP($C253,Services!$B:$I,8,FALSE()),IF($E253="Patty Cash",VLOOKUP($C253,'Patty Cash'!$B:$J,8,FALSE()),0)))),0)</f>
        <v>1482</v>
      </c>
      <c r="O253" s="217">
        <f t="shared" si="3"/>
        <v>1482</v>
      </c>
    </row>
    <row r="254" spans="1:15" ht="23.1" customHeight="1">
      <c r="A254" s="206">
        <f>IF(AND($B254="",$C254=""),"",MAX($A$3:A253)+1)</f>
        <v>251</v>
      </c>
      <c r="B254" s="207">
        <v>46176</v>
      </c>
      <c r="C254" s="208">
        <v>7347</v>
      </c>
      <c r="D254" s="209" t="str">
        <f>IFERROR(IF($E254="Inventory",VLOOKUP($C254,Inventory!$B:$I,2,FALSE()),IF($E254="Non Inventory",VLOOKUP($C254,'Non Inventory'!$B:$I,2,FALSE()),IF($E254="Services",VLOOKUP($C254,Services!$B:$I,2,FALSE()),IF($E254="Patty Cash",VLOOKUP($C254,'Patty Cash'!$B:$J,2,FALSE()),"")))),"")</f>
        <v>Allen Key Size 2.5mm</v>
      </c>
      <c r="E254" s="246" t="s">
        <v>7</v>
      </c>
      <c r="F254" s="210" t="str">
        <f>IFERROR(IF($E254="Inventory",VLOOKUP($C254,Inventory!$B:$I,3,FALSE()),IF($E254="Non Inventory",VLOOKUP($C254,'Non Inventory'!$B:$I,3,FALSE()),IF($E254="Services",VLOOKUP($C254,Services!$B:$I,3,FALSE()),IF($E254="Patty Cash",VLOOKUP($C254,'Patty Cash'!$B:$J,3,FALSE()),"")))),"")</f>
        <v>NOS</v>
      </c>
      <c r="G254" s="211">
        <v>1</v>
      </c>
      <c r="H254" s="212">
        <f>IF($E254="","",IF($E254="Inventory",IFERROR(VLOOKUP($C254,Inventory!$B:$H,7,FALSE()),0),IF($E254="Non Inventory",IFERROR(VLOOKUP($C254,'Non Inventory'!$B:$H,7,FALSE()),0),IF($E254="Services",IFERROR(VLOOKUP($C254,Services!$B:$H,7,FALSE()),0),IF($E254="Patty Cash",IFERROR(VLOOKUP($C254,'Patty Cash'!$B:$H,7,FALSE()),0),0)))))</f>
        <v>0</v>
      </c>
      <c r="I254" s="213" t="s">
        <v>1305</v>
      </c>
      <c r="J254" s="214" t="s">
        <v>67</v>
      </c>
      <c r="K254" s="215" t="s">
        <v>1544</v>
      </c>
      <c r="L254" s="197" t="s">
        <v>1195</v>
      </c>
      <c r="M254" s="215" t="s">
        <v>1196</v>
      </c>
      <c r="N254" s="216">
        <f>IFERROR(IF($E254="Inventory",VLOOKUP($C254,Inventory!$B:$I,8,FALSE()),IF($E254="Non Inventory",VLOOKUP($C254,'Non Inventory'!$B:$I,8,FALSE()),IF($E254="Services",VLOOKUP($C254,Services!$B:$I,8,FALSE()),IF($E254="Patty Cash",VLOOKUP($C254,'Patty Cash'!$B:$J,8,FALSE()),0)))),0)</f>
        <v>130</v>
      </c>
      <c r="O254" s="217">
        <f t="shared" si="3"/>
        <v>130</v>
      </c>
    </row>
    <row r="255" spans="1:15" ht="23.1" customHeight="1">
      <c r="A255" s="206">
        <f>IF(AND($B255="",$C255=""),"",MAX($A$3:A254)+1)</f>
        <v>252</v>
      </c>
      <c r="B255" s="207">
        <v>46176</v>
      </c>
      <c r="C255" s="208">
        <v>11468</v>
      </c>
      <c r="D255" s="209" t="str">
        <f>IFERROR(IF($E255="Inventory",VLOOKUP($C255,Inventory!$B:$I,2,FALSE()),IF($E255="Non Inventory",VLOOKUP($C255,'Non Inventory'!$B:$I,2,FALSE()),IF($E255="Services",VLOOKUP($C255,Services!$B:$I,2,FALSE()),IF($E255="Patty Cash",VLOOKUP($C255,'Patty Cash'!$B:$J,2,FALSE()),"")))),"")</f>
        <v>Timing Belt S5M P/N #091-8500-04, B250DBS5M-975, Width 25mm</v>
      </c>
      <c r="E255" s="246" t="s">
        <v>6</v>
      </c>
      <c r="F255" s="210" t="str">
        <f>IFERROR(IF($E255="Inventory",VLOOKUP($C255,Inventory!$B:$I,3,FALSE()),IF($E255="Non Inventory",VLOOKUP($C255,'Non Inventory'!$B:$I,3,FALSE()),IF($E255="Services",VLOOKUP($C255,Services!$B:$I,3,FALSE()),IF($E255="Patty Cash",VLOOKUP($C255,'Patty Cash'!$B:$J,3,FALSE()),"")))),"")</f>
        <v>NOS</v>
      </c>
      <c r="G255" s="211">
        <v>1</v>
      </c>
      <c r="H255" s="212">
        <f>IF($E255="","",IF($E255="Inventory",IFERROR(VLOOKUP($C255,Inventory!$B:$H,7,FALSE()),0),IF($E255="Non Inventory",IFERROR(VLOOKUP($C255,'Non Inventory'!$B:$H,7,FALSE()),0),IF($E255="Services",IFERROR(VLOOKUP($C255,Services!$B:$H,7,FALSE()),0),IF($E255="Patty Cash",IFERROR(VLOOKUP($C255,'Patty Cash'!$B:$H,7,FALSE()),0),0)))))</f>
        <v>7</v>
      </c>
      <c r="I255" s="213" t="s">
        <v>51</v>
      </c>
      <c r="J255" s="214" t="s">
        <v>1552</v>
      </c>
      <c r="K255" s="215" t="s">
        <v>1232</v>
      </c>
      <c r="L255" s="197" t="s">
        <v>1195</v>
      </c>
      <c r="M255" s="215" t="s">
        <v>1196</v>
      </c>
      <c r="N255" s="216">
        <f>IFERROR(IF($E255="Inventory",VLOOKUP($C255,Inventory!$B:$I,8,FALSE()),IF($E255="Non Inventory",VLOOKUP($C255,'Non Inventory'!$B:$I,8,FALSE()),IF($E255="Services",VLOOKUP($C255,Services!$B:$I,8,FALSE()),IF($E255="Patty Cash",VLOOKUP($C255,'Patty Cash'!$B:$J,8,FALSE()),0)))),0)</f>
        <v>3750</v>
      </c>
      <c r="O255" s="217">
        <f t="shared" si="3"/>
        <v>3750</v>
      </c>
    </row>
    <row r="256" spans="1:15" ht="23.1" customHeight="1">
      <c r="A256" s="206">
        <f>IF(AND($B256="",$C256=""),"",MAX($A$3:A255)+1)</f>
        <v>253</v>
      </c>
      <c r="B256" s="207">
        <v>46176</v>
      </c>
      <c r="C256" s="208">
        <v>3307</v>
      </c>
      <c r="D256" s="209" t="str">
        <f>IFERROR(IF($E256="Inventory",VLOOKUP($C256,Inventory!$B:$I,2,FALSE()),IF($E256="Non Inventory",VLOOKUP($C256,'Non Inventory'!$B:$I,2,FALSE()),IF($E256="Services",VLOOKUP($C256,Services!$B:$I,2,FALSE()),IF($E256="Patty Cash",VLOOKUP($C256,'Patty Cash'!$B:$J,2,FALSE()),"")))),"")</f>
        <v>W.D 40 Spray</v>
      </c>
      <c r="E256" s="246" t="s">
        <v>7</v>
      </c>
      <c r="F256" s="210" t="str">
        <f>IFERROR(IF($E256="Inventory",VLOOKUP($C256,Inventory!$B:$I,3,FALSE()),IF($E256="Non Inventory",VLOOKUP($C256,'Non Inventory'!$B:$I,3,FALSE()),IF($E256="Services",VLOOKUP($C256,Services!$B:$I,3,FALSE()),IF($E256="Patty Cash",VLOOKUP($C256,'Patty Cash'!$B:$J,3,FALSE()),"")))),"")</f>
        <v>NOS</v>
      </c>
      <c r="G256" s="211">
        <v>1</v>
      </c>
      <c r="H256" s="212">
        <f>IF($E256="","",IF($E256="Inventory",IFERROR(VLOOKUP($C256,Inventory!$B:$H,7,FALSE()),0),IF($E256="Non Inventory",IFERROR(VLOOKUP($C256,'Non Inventory'!$B:$H,7,FALSE()),0),IF($E256="Services",IFERROR(VLOOKUP($C256,Services!$B:$H,7,FALSE()),0),IF($E256="Patty Cash",IFERROR(VLOOKUP($C256,'Patty Cash'!$B:$H,7,FALSE()),0),0)))))</f>
        <v>0</v>
      </c>
      <c r="I256" s="213" t="s">
        <v>1305</v>
      </c>
      <c r="J256" s="214" t="s">
        <v>67</v>
      </c>
      <c r="K256" s="215" t="s">
        <v>1544</v>
      </c>
      <c r="L256" s="197" t="s">
        <v>1195</v>
      </c>
      <c r="M256" s="215" t="s">
        <v>1196</v>
      </c>
      <c r="N256" s="216">
        <f>IFERROR(IF($E256="Inventory",VLOOKUP($C256,Inventory!$B:$I,8,FALSE()),IF($E256="Non Inventory",VLOOKUP($C256,'Non Inventory'!$B:$I,8,FALSE()),IF($E256="Services",VLOOKUP($C256,Services!$B:$I,8,FALSE()),IF($E256="Patty Cash",VLOOKUP($C256,'Patty Cash'!$B:$J,8,FALSE()),0)))),0)</f>
        <v>1010</v>
      </c>
      <c r="O256" s="217">
        <f t="shared" si="3"/>
        <v>1010</v>
      </c>
    </row>
    <row r="257" spans="1:15" ht="23.1" customHeight="1">
      <c r="A257" s="206">
        <f>IF(AND($B257="",$C257=""),"",MAX($A$3:A256)+1)</f>
        <v>254</v>
      </c>
      <c r="B257" s="207">
        <v>46176</v>
      </c>
      <c r="C257" s="208">
        <v>21786</v>
      </c>
      <c r="D257" s="209" t="str">
        <f>IFERROR(IF($E257="Inventory",VLOOKUP($C257,Inventory!$B:$I,2,FALSE()),IF($E257="Non Inventory",VLOOKUP($C257,'Non Inventory'!$B:$I,2,FALSE()),IF($E257="Services",VLOOKUP($C257,Services!$B:$I,2,FALSE()),IF($E257="Patty Cash",VLOOKUP($C257,'Patty Cash'!$B:$J,2,FALSE()),"")))),"")</f>
        <v>Load Cell  : TLC-6L Part # 000-052-3018-17 (For Ishida Machine)</v>
      </c>
      <c r="E257" s="246" t="s">
        <v>6</v>
      </c>
      <c r="F257" s="210" t="str">
        <f>IFERROR(IF($E257="Inventory",VLOOKUP($C257,Inventory!$B:$I,3,FALSE()),IF($E257="Non Inventory",VLOOKUP($C257,'Non Inventory'!$B:$I,3,FALSE()),IF($E257="Services",VLOOKUP($C257,Services!$B:$I,3,FALSE()),IF($E257="Patty Cash",VLOOKUP($C257,'Patty Cash'!$B:$J,3,FALSE()),"")))),"")</f>
        <v>NOS</v>
      </c>
      <c r="G257" s="211">
        <v>5</v>
      </c>
      <c r="H257" s="212">
        <f>IF($E257="","",IF($E257="Inventory",IFERROR(VLOOKUP($C257,Inventory!$B:$H,7,FALSE()),0),IF($E257="Non Inventory",IFERROR(VLOOKUP($C257,'Non Inventory'!$B:$H,7,FALSE()),0),IF($E257="Services",IFERROR(VLOOKUP($C257,Services!$B:$H,7,FALSE()),0),IF($E257="Patty Cash",IFERROR(VLOOKUP($C257,'Patty Cash'!$B:$H,7,FALSE()),0),0)))))</f>
        <v>7</v>
      </c>
      <c r="I257" s="213" t="s">
        <v>41</v>
      </c>
      <c r="J257" s="214" t="s">
        <v>67</v>
      </c>
      <c r="K257" s="215" t="s">
        <v>1220</v>
      </c>
      <c r="L257" s="197" t="s">
        <v>1195</v>
      </c>
      <c r="M257" s="215" t="s">
        <v>1207</v>
      </c>
      <c r="N257" s="216">
        <f>IFERROR(IF($E257="Inventory",VLOOKUP($C257,Inventory!$B:$I,8,FALSE()),IF($E257="Non Inventory",VLOOKUP($C257,'Non Inventory'!$B:$I,8,FALSE()),IF($E257="Services",VLOOKUP($C257,Services!$B:$I,8,FALSE()),IF($E257="Patty Cash",VLOOKUP($C257,'Patty Cash'!$B:$J,8,FALSE()),0)))),0)</f>
        <v>193370</v>
      </c>
      <c r="O257" s="217">
        <f t="shared" si="3"/>
        <v>966850</v>
      </c>
    </row>
    <row r="258" spans="1:15" ht="23.1" customHeight="1">
      <c r="A258" s="206">
        <f>IF(AND($B258="",$C258=""),"",MAX($A$3:A257)+1)</f>
        <v>255</v>
      </c>
      <c r="B258" s="207">
        <v>46176</v>
      </c>
      <c r="C258" s="208">
        <v>98370</v>
      </c>
      <c r="D258" s="209" t="str">
        <f>IFERROR(IF($E258="Inventory",VLOOKUP($C258,Inventory!$B:$I,2,FALSE()),IF($E258="Non Inventory",VLOOKUP($C258,'Non Inventory'!$B:$I,2,FALSE()),IF($E258="Services",VLOOKUP($C258,Services!$B:$I,2,FALSE()),IF($E258="Patty Cash",VLOOKUP($C258,'Patty Cash'!$B:$J,2,FALSE()),"")))),"")</f>
        <v>Folder Tape</v>
      </c>
      <c r="E258" s="246" t="s">
        <v>7</v>
      </c>
      <c r="F258" s="210" t="str">
        <f>IFERROR(IF($E258="Inventory",VLOOKUP($C258,Inventory!$B:$I,3,FALSE()),IF($E258="Non Inventory",VLOOKUP($C258,'Non Inventory'!$B:$I,3,FALSE()),IF($E258="Services",VLOOKUP($C258,Services!$B:$I,3,FALSE()),IF($E258="Patty Cash",VLOOKUP($C258,'Patty Cash'!$B:$J,3,FALSE()),"")))),"")</f>
        <v>NOS</v>
      </c>
      <c r="G258" s="211">
        <v>4</v>
      </c>
      <c r="H258" s="212">
        <f>IF($E258="","",IF($E258="Inventory",IFERROR(VLOOKUP($C258,Inventory!$B:$H,7,FALSE()),0),IF($E258="Non Inventory",IFERROR(VLOOKUP($C258,'Non Inventory'!$B:$H,7,FALSE()),0),IF($E258="Services",IFERROR(VLOOKUP($C258,Services!$B:$H,7,FALSE()),0),IF($E258="Patty Cash",IFERROR(VLOOKUP($C258,'Patty Cash'!$B:$H,7,FALSE()),0),0)))))</f>
        <v>440</v>
      </c>
      <c r="I258" s="213" t="s">
        <v>51</v>
      </c>
      <c r="J258" s="214" t="s">
        <v>1553</v>
      </c>
      <c r="K258" s="215" t="s">
        <v>1197</v>
      </c>
      <c r="L258" s="197" t="s">
        <v>1195</v>
      </c>
      <c r="M258" s="215" t="s">
        <v>1196</v>
      </c>
      <c r="N258" s="216">
        <f>IFERROR(IF($E258="Inventory",VLOOKUP($C258,Inventory!$B:$I,8,FALSE()),IF($E258="Non Inventory",VLOOKUP($C258,'Non Inventory'!$B:$I,8,FALSE()),IF($E258="Services",VLOOKUP($C258,Services!$B:$I,8,FALSE()),IF($E258="Patty Cash",VLOOKUP($C258,'Patty Cash'!$B:$J,8,FALSE()),0)))),0)</f>
        <v>128</v>
      </c>
      <c r="O258" s="217">
        <f t="shared" si="3"/>
        <v>512</v>
      </c>
    </row>
    <row r="259" spans="1:15" ht="23.1" customHeight="1">
      <c r="A259" s="206">
        <f>IF(AND($B259="",$C259=""),"",MAX($A$3:A258)+1)</f>
        <v>256</v>
      </c>
      <c r="B259" s="207">
        <v>46176</v>
      </c>
      <c r="C259" s="208">
        <v>3439</v>
      </c>
      <c r="D259" s="209" t="str">
        <f>IFERROR(IF($E259="Inventory",VLOOKUP($C259,Inventory!$B:$I,2,FALSE()),IF($E259="Non Inventory",VLOOKUP($C259,'Non Inventory'!$B:$I,2,FALSE()),IF($E259="Services",VLOOKUP($C259,Services!$B:$I,2,FALSE()),IF($E259="Patty Cash",VLOOKUP($C259,'Patty Cash'!$B:$J,2,FALSE()),"")))),"")</f>
        <v>RUBBER COUPLING</v>
      </c>
      <c r="E259" s="246" t="s">
        <v>7</v>
      </c>
      <c r="F259" s="210" t="str">
        <f>IFERROR(IF($E259="Inventory",VLOOKUP($C259,Inventory!$B:$I,3,FALSE()),IF($E259="Non Inventory",VLOOKUP($C259,'Non Inventory'!$B:$I,3,FALSE()),IF($E259="Services",VLOOKUP($C259,Services!$B:$I,3,FALSE()),IF($E259="Patty Cash",VLOOKUP($C259,'Patty Cash'!$B:$J,3,FALSE()),"")))),"")</f>
        <v>PCS</v>
      </c>
      <c r="G259" s="211">
        <v>1</v>
      </c>
      <c r="H259" s="212">
        <f>IF($E259="","",IF($E259="Inventory",IFERROR(VLOOKUP($C259,Inventory!$B:$H,7,FALSE()),0),IF($E259="Non Inventory",IFERROR(VLOOKUP($C259,'Non Inventory'!$B:$H,7,FALSE()),0),IF($E259="Services",IFERROR(VLOOKUP($C259,Services!$B:$H,7,FALSE()),0),IF($E259="Patty Cash",IFERROR(VLOOKUP($C259,'Patty Cash'!$B:$H,7,FALSE()),0),0)))))</f>
        <v>7</v>
      </c>
      <c r="I259" s="213" t="s">
        <v>1305</v>
      </c>
      <c r="J259" s="214" t="s">
        <v>1554</v>
      </c>
      <c r="K259" s="215" t="s">
        <v>1249</v>
      </c>
      <c r="L259" s="197" t="s">
        <v>1195</v>
      </c>
      <c r="M259" s="215" t="s">
        <v>1196</v>
      </c>
      <c r="N259" s="216">
        <f>IFERROR(IF($E259="Inventory",VLOOKUP($C259,Inventory!$B:$I,8,FALSE()),IF($E259="Non Inventory",VLOOKUP($C259,'Non Inventory'!$B:$I,8,FALSE()),IF($E259="Services",VLOOKUP($C259,Services!$B:$I,8,FALSE()),IF($E259="Patty Cash",VLOOKUP($C259,'Patty Cash'!$B:$J,8,FALSE()),0)))),0)</f>
        <v>300</v>
      </c>
      <c r="O259" s="217">
        <f t="shared" si="3"/>
        <v>300</v>
      </c>
    </row>
    <row r="260" spans="1:15" ht="23.1" customHeight="1">
      <c r="A260" s="206">
        <f>IF(AND($B260="",$C260=""),"",MAX($A$3:A259)+1)</f>
        <v>257</v>
      </c>
      <c r="B260" s="207">
        <v>46176</v>
      </c>
      <c r="C260" s="208">
        <v>2058</v>
      </c>
      <c r="D260" s="209" t="str">
        <f>IFERROR(IF($E260="Inventory",VLOOKUP($C260,Inventory!$B:$I,2,FALSE()),IF($E260="Non Inventory",VLOOKUP($C260,'Non Inventory'!$B:$I,2,FALSE()),IF($E260="Services",VLOOKUP($C260,Services!$B:$I,2,FALSE()),IF($E260="Patty Cash",VLOOKUP($C260,'Patty Cash'!$B:$J,2,FALSE()),"")))),"")</f>
        <v>Ball Bearing 6307 2ZR C3</v>
      </c>
      <c r="E260" s="246" t="s">
        <v>6</v>
      </c>
      <c r="F260" s="210" t="str">
        <f>IFERROR(IF($E260="Inventory",VLOOKUP($C260,Inventory!$B:$I,3,FALSE()),IF($E260="Non Inventory",VLOOKUP($C260,'Non Inventory'!$B:$I,3,FALSE()),IF($E260="Services",VLOOKUP($C260,Services!$B:$I,3,FALSE()),IF($E260="Patty Cash",VLOOKUP($C260,'Patty Cash'!$B:$J,3,FALSE()),"")))),"")</f>
        <v>PCS</v>
      </c>
      <c r="G260" s="211">
        <v>2</v>
      </c>
      <c r="H260" s="212">
        <f>IF($E260="","",IF($E260="Inventory",IFERROR(VLOOKUP($C260,Inventory!$B:$H,7,FALSE()),0),IF($E260="Non Inventory",IFERROR(VLOOKUP($C260,'Non Inventory'!$B:$H,7,FALSE()),0),IF($E260="Services",IFERROR(VLOOKUP($C260,Services!$B:$H,7,FALSE()),0),IF($E260="Patty Cash",IFERROR(VLOOKUP($C260,'Patty Cash'!$B:$H,7,FALSE()),0),0)))))</f>
        <v>1</v>
      </c>
      <c r="I260" s="213" t="s">
        <v>1305</v>
      </c>
      <c r="J260" s="214" t="s">
        <v>1554</v>
      </c>
      <c r="K260" s="215" t="s">
        <v>1249</v>
      </c>
      <c r="L260" s="197" t="s">
        <v>1195</v>
      </c>
      <c r="M260" s="215" t="s">
        <v>1196</v>
      </c>
      <c r="N260" s="216">
        <f>IFERROR(IF($E260="Inventory",VLOOKUP($C260,Inventory!$B:$I,8,FALSE()),IF($E260="Non Inventory",VLOOKUP($C260,'Non Inventory'!$B:$I,8,FALSE()),IF($E260="Services",VLOOKUP($C260,Services!$B:$I,8,FALSE()),IF($E260="Patty Cash",VLOOKUP($C260,'Patty Cash'!$B:$J,8,FALSE()),0)))),0)</f>
        <v>2600</v>
      </c>
      <c r="O260" s="217">
        <f t="shared" si="3"/>
        <v>5200</v>
      </c>
    </row>
    <row r="261" spans="1:15" ht="23.1" customHeight="1">
      <c r="A261" s="206">
        <f>IF(AND($B261="",$C261=""),"",MAX($A$3:A260)+1)</f>
        <v>258</v>
      </c>
      <c r="B261" s="207">
        <v>46176</v>
      </c>
      <c r="C261" s="208">
        <v>17184</v>
      </c>
      <c r="D261" s="209" t="str">
        <f>IFERROR(IF($E261="Inventory",VLOOKUP($C261,Inventory!$B:$I,2,FALSE()),IF($E261="Non Inventory",VLOOKUP($C261,'Non Inventory'!$B:$I,2,FALSE()),IF($E261="Services",VLOOKUP($C261,Services!$B:$I,2,FALSE()),IF($E261="Patty Cash",VLOOKUP($C261,'Patty Cash'!$B:$J,2,FALSE()),"")))),"")</f>
        <v>Water Filter Cartridge Size 20", 1 Micron</v>
      </c>
      <c r="E261" s="246" t="s">
        <v>6</v>
      </c>
      <c r="F261" s="210" t="str">
        <f>IFERROR(IF($E261="Inventory",VLOOKUP($C261,Inventory!$B:$I,3,FALSE()),IF($E261="Non Inventory",VLOOKUP($C261,'Non Inventory'!$B:$I,3,FALSE()),IF($E261="Services",VLOOKUP($C261,Services!$B:$I,3,FALSE()),IF($E261="Patty Cash",VLOOKUP($C261,'Patty Cash'!$B:$J,3,FALSE()),"")))),"")</f>
        <v>NOS</v>
      </c>
      <c r="G261" s="211">
        <v>5</v>
      </c>
      <c r="H261" s="212">
        <f>IF($E261="","",IF($E261="Inventory",IFERROR(VLOOKUP($C261,Inventory!$B:$H,7,FALSE()),0),IF($E261="Non Inventory",IFERROR(VLOOKUP($C261,'Non Inventory'!$B:$H,7,FALSE()),0),IF($E261="Services",IFERROR(VLOOKUP($C261,Services!$B:$H,7,FALSE()),0),IF($E261="Patty Cash",IFERROR(VLOOKUP($C261,'Patty Cash'!$B:$H,7,FALSE()),0),0)))))</f>
        <v>6</v>
      </c>
      <c r="I261" s="213" t="s">
        <v>1395</v>
      </c>
      <c r="J261" s="214" t="s">
        <v>1555</v>
      </c>
      <c r="K261" s="215" t="s">
        <v>1556</v>
      </c>
      <c r="L261" s="197" t="s">
        <v>1195</v>
      </c>
      <c r="M261" s="215" t="s">
        <v>1196</v>
      </c>
      <c r="N261" s="216">
        <f>IFERROR(IF($E261="Inventory",VLOOKUP($C261,Inventory!$B:$I,8,FALSE()),IF($E261="Non Inventory",VLOOKUP($C261,'Non Inventory'!$B:$I,8,FALSE()),IF($E261="Services",VLOOKUP($C261,Services!$B:$I,8,FALSE()),IF($E261="Patty Cash",VLOOKUP($C261,'Patty Cash'!$B:$J,8,FALSE()),0)))),0)</f>
        <v>620</v>
      </c>
      <c r="O261" s="217">
        <f t="shared" ref="O261:O324" si="4">IF($G261="","",G261*N261)</f>
        <v>3100</v>
      </c>
    </row>
    <row r="262" spans="1:15" ht="23.1" customHeight="1">
      <c r="A262" s="206">
        <f>IF(AND($B262="",$C262=""),"",MAX($A$3:A261)+1)</f>
        <v>259</v>
      </c>
      <c r="B262" s="207">
        <v>46176</v>
      </c>
      <c r="C262" s="208" t="s">
        <v>1557</v>
      </c>
      <c r="D262" s="209" t="str">
        <f>IFERROR(IF($E262="Inventory",VLOOKUP($C262,Inventory!$B:$I,2,FALSE()),IF($E262="Non Inventory",VLOOKUP($C262,'Non Inventory'!$B:$I,2,FALSE()),IF($E262="Services",VLOOKUP($C262,Services!$B:$I,2,FALSE()),IF($E262="Patty Cash",VLOOKUP($C262,'Patty Cash'!$B:$J,2,FALSE()),"")))),"")</f>
        <v>Conveyance</v>
      </c>
      <c r="E262" s="246" t="s">
        <v>1327</v>
      </c>
      <c r="F262" s="210" t="str">
        <f>IFERROR(IF($E262="Inventory",VLOOKUP($C262,Inventory!$B:$I,3,FALSE()),IF($E262="Non Inventory",VLOOKUP($C262,'Non Inventory'!$B:$I,3,FALSE()),IF($E262="Services",VLOOKUP($C262,Services!$B:$I,3,FALSE()),IF($E262="Patty Cash",VLOOKUP($C262,'Patty Cash'!$B:$J,3,FALSE()),"")))),"")</f>
        <v>LTR</v>
      </c>
      <c r="G262" s="211">
        <v>0.6</v>
      </c>
      <c r="H262" s="212">
        <f>IF($E262="","",IF($E262="Inventory",IFERROR(VLOOKUP($C262,Inventory!$B:$H,7,FALSE()),0),IF($E262="Non Inventory",IFERROR(VLOOKUP($C262,'Non Inventory'!$B:$H,7,FALSE()),0),IF($E262="Services",IFERROR(VLOOKUP($C262,Services!$B:$H,7,FALSE()),0),IF($E262="Patty Cash",IFERROR(VLOOKUP($C262,'Patty Cash'!$B:$H,7,FALSE()),0),0)))))</f>
        <v>0</v>
      </c>
      <c r="I262" s="213" t="s">
        <v>1671</v>
      </c>
      <c r="J262" s="214" t="s">
        <v>1235</v>
      </c>
      <c r="K262" s="215" t="s">
        <v>1194</v>
      </c>
      <c r="L262" s="197" t="s">
        <v>1195</v>
      </c>
      <c r="M262" s="215" t="s">
        <v>1196</v>
      </c>
      <c r="N262" s="216">
        <f>IFERROR(IF($E262="Inventory",VLOOKUP($C262,Inventory!$B:$I,8,FALSE()),IF($E262="Non Inventory",VLOOKUP($C262,'Non Inventory'!$B:$I,8,FALSE()),IF($E262="Services",VLOOKUP($C262,Services!$B:$I,8,FALSE()),IF($E262="Patty Cash",VLOOKUP($C262,'Patty Cash'!$B:$J,8,FALSE()),0)))),0)</f>
        <v>416</v>
      </c>
      <c r="O262" s="217">
        <f t="shared" si="4"/>
        <v>249.6</v>
      </c>
    </row>
    <row r="263" spans="1:15" ht="23.1" customHeight="1">
      <c r="A263" s="206">
        <f>IF(AND($B263="",$C263=""),"",MAX($A$3:A262)+1)</f>
        <v>260</v>
      </c>
      <c r="B263" s="207">
        <v>46177</v>
      </c>
      <c r="C263" s="208">
        <v>11468</v>
      </c>
      <c r="D263" s="209" t="str">
        <f>IFERROR(IF($E263="Inventory",VLOOKUP($C263,Inventory!$B:$I,2,FALSE()),IF($E263="Non Inventory",VLOOKUP($C263,'Non Inventory'!$B:$I,2,FALSE()),IF($E263="Services",VLOOKUP($C263,Services!$B:$I,2,FALSE()),IF($E263="Patty Cash",VLOOKUP($C263,'Patty Cash'!$B:$J,2,FALSE()),"")))),"")</f>
        <v>Timing Belt S5M P/N #091-8500-04, B250DBS5M-975, Width 25mm</v>
      </c>
      <c r="E263" s="246" t="s">
        <v>6</v>
      </c>
      <c r="F263" s="210" t="str">
        <f>IFERROR(IF($E263="Inventory",VLOOKUP($C263,Inventory!$B:$I,3,FALSE()),IF($E263="Non Inventory",VLOOKUP($C263,'Non Inventory'!$B:$I,3,FALSE()),IF($E263="Services",VLOOKUP($C263,Services!$B:$I,3,FALSE()),IF($E263="Patty Cash",VLOOKUP($C263,'Patty Cash'!$B:$J,3,FALSE()),"")))),"")</f>
        <v>NOS</v>
      </c>
      <c r="G263" s="211">
        <v>1</v>
      </c>
      <c r="H263" s="212">
        <f>IF($E263="","",IF($E263="Inventory",IFERROR(VLOOKUP($C263,Inventory!$B:$H,7,FALSE()),0),IF($E263="Non Inventory",IFERROR(VLOOKUP($C263,'Non Inventory'!$B:$H,7,FALSE()),0),IF($E263="Services",IFERROR(VLOOKUP($C263,Services!$B:$H,7,FALSE()),0),IF($E263="Patty Cash",IFERROR(VLOOKUP($C263,'Patty Cash'!$B:$H,7,FALSE()),0),0)))))</f>
        <v>7</v>
      </c>
      <c r="I263" s="213" t="s">
        <v>40</v>
      </c>
      <c r="J263" s="214" t="s">
        <v>1552</v>
      </c>
      <c r="K263" s="215" t="s">
        <v>1232</v>
      </c>
      <c r="L263" s="197" t="s">
        <v>1195</v>
      </c>
      <c r="M263" s="215" t="s">
        <v>1196</v>
      </c>
      <c r="N263" s="216">
        <f>IFERROR(IF($E263="Inventory",VLOOKUP($C263,Inventory!$B:$I,8,FALSE()),IF($E263="Non Inventory",VLOOKUP($C263,'Non Inventory'!$B:$I,8,FALSE()),IF($E263="Services",VLOOKUP($C263,Services!$B:$I,8,FALSE()),IF($E263="Patty Cash",VLOOKUP($C263,'Patty Cash'!$B:$J,8,FALSE()),0)))),0)</f>
        <v>3750</v>
      </c>
      <c r="O263" s="217">
        <f t="shared" si="4"/>
        <v>3750</v>
      </c>
    </row>
    <row r="264" spans="1:15" ht="23.1" customHeight="1">
      <c r="A264" s="206">
        <f>IF(AND($B264="",$C264=""),"",MAX($A$3:A263)+1)</f>
        <v>261</v>
      </c>
      <c r="B264" s="207">
        <v>46177</v>
      </c>
      <c r="C264" s="208">
        <v>8995</v>
      </c>
      <c r="D264" s="209" t="str">
        <f>IFERROR(IF($E264="Inventory",VLOOKUP($C264,Inventory!$B:$I,2,FALSE()),IF($E264="Non Inventory",VLOOKUP($C264,'Non Inventory'!$B:$I,2,FALSE()),IF($E264="Services",VLOOKUP($C264,Services!$B:$I,2,FALSE()),IF($E264="Patty Cash",VLOOKUP($C264,'Patty Cash'!$B:$J,2,FALSE()),"")))),"")</f>
        <v>Gas Refrigerant R-410  Cylinder 11.3 kg</v>
      </c>
      <c r="E264" s="246" t="s">
        <v>7</v>
      </c>
      <c r="F264" s="210" t="str">
        <f>IFERROR(IF($E264="Inventory",VLOOKUP($C264,Inventory!$B:$I,3,FALSE()),IF($E264="Non Inventory",VLOOKUP($C264,'Non Inventory'!$B:$I,3,FALSE()),IF($E264="Services",VLOOKUP($C264,Services!$B:$I,3,FALSE()),IF($E264="Patty Cash",VLOOKUP($C264,'Patty Cash'!$B:$J,3,FALSE()),"")))),"")</f>
        <v>NOS</v>
      </c>
      <c r="G264" s="211">
        <v>1</v>
      </c>
      <c r="H264" s="212">
        <f>IF($E264="","",IF($E264="Inventory",IFERROR(VLOOKUP($C264,Inventory!$B:$H,7,FALSE()),0),IF($E264="Non Inventory",IFERROR(VLOOKUP($C264,'Non Inventory'!$B:$H,7,FALSE()),0),IF($E264="Services",IFERROR(VLOOKUP($C264,Services!$B:$H,7,FALSE()),0),IF($E264="Patty Cash",IFERROR(VLOOKUP($C264,'Patty Cash'!$B:$H,7,FALSE()),0),0)))))</f>
        <v>1</v>
      </c>
      <c r="I264" s="213" t="s">
        <v>1305</v>
      </c>
      <c r="J264" s="214" t="s">
        <v>1560</v>
      </c>
      <c r="K264" s="215" t="s">
        <v>1223</v>
      </c>
      <c r="L264" s="197" t="s">
        <v>1195</v>
      </c>
      <c r="M264" s="215" t="s">
        <v>1196</v>
      </c>
      <c r="N264" s="216">
        <f>IFERROR(IF($E264="Inventory",VLOOKUP($C264,Inventory!$B:$I,8,FALSE()),IF($E264="Non Inventory",VLOOKUP($C264,'Non Inventory'!$B:$I,8,FALSE()),IF($E264="Services",VLOOKUP($C264,Services!$B:$I,8,FALSE()),IF($E264="Patty Cash",VLOOKUP($C264,'Patty Cash'!$B:$J,8,FALSE()),0)))),0)</f>
        <v>33500</v>
      </c>
      <c r="O264" s="217">
        <f t="shared" si="4"/>
        <v>33500</v>
      </c>
    </row>
    <row r="265" spans="1:15" ht="23.1" customHeight="1">
      <c r="A265" s="206">
        <f>IF(AND($B265="",$C265=""),"",MAX($A$3:A264)+1)</f>
        <v>262</v>
      </c>
      <c r="B265" s="207">
        <v>46177</v>
      </c>
      <c r="C265" s="208">
        <v>27434</v>
      </c>
      <c r="D265" s="209" t="str">
        <f>IFERROR(IF($E265="Inventory",VLOOKUP($C265,Inventory!$B:$I,2,FALSE()),IF($E265="Non Inventory",VLOOKUP($C265,'Non Inventory'!$B:$I,2,FALSE()),IF($E265="Services",VLOOKUP($C265,Services!$B:$I,2,FALSE()),IF($E265="Patty Cash",VLOOKUP($C265,'Patty Cash'!$B:$J,2,FALSE()),"")))),"")</f>
        <v>RO Plant Membrance 4040 (4" X 40") (Make
Vontron China)</v>
      </c>
      <c r="E265" s="246" t="s">
        <v>7</v>
      </c>
      <c r="F265" s="210" t="str">
        <f>IFERROR(IF($E265="Inventory",VLOOKUP($C265,Inventory!$B:$I,3,FALSE()),IF($E265="Non Inventory",VLOOKUP($C265,'Non Inventory'!$B:$I,3,FALSE()),IF($E265="Services",VLOOKUP($C265,Services!$B:$I,3,FALSE()),IF($E265="Patty Cash",VLOOKUP($C265,'Patty Cash'!$B:$J,3,FALSE()),"")))),"")</f>
        <v>NOS</v>
      </c>
      <c r="G265" s="211">
        <v>3</v>
      </c>
      <c r="H265" s="212">
        <f>IF($E265="","",IF($E265="Inventory",IFERROR(VLOOKUP($C265,Inventory!$B:$H,7,FALSE()),0),IF($E265="Non Inventory",IFERROR(VLOOKUP($C265,'Non Inventory'!$B:$H,7,FALSE()),0),IF($E265="Services",IFERROR(VLOOKUP($C265,Services!$B:$H,7,FALSE()),0),IF($E265="Patty Cash",IFERROR(VLOOKUP($C265,'Patty Cash'!$B:$H,7,FALSE()),0),0)))))</f>
        <v>0</v>
      </c>
      <c r="I265" s="213" t="s">
        <v>1395</v>
      </c>
      <c r="J265" s="214" t="s">
        <v>67</v>
      </c>
      <c r="K265" s="215" t="s">
        <v>1556</v>
      </c>
      <c r="L265" s="197" t="s">
        <v>1195</v>
      </c>
      <c r="M265" s="215" t="s">
        <v>1196</v>
      </c>
      <c r="N265" s="216">
        <f>IFERROR(IF($E265="Inventory",VLOOKUP($C265,Inventory!$B:$I,8,FALSE()),IF($E265="Non Inventory",VLOOKUP($C265,'Non Inventory'!$B:$I,8,FALSE()),IF($E265="Services",VLOOKUP($C265,Services!$B:$I,8,FALSE()),IF($E265="Patty Cash",VLOOKUP($C265,'Patty Cash'!$B:$J,8,FALSE()),0)))),0)</f>
        <v>47000</v>
      </c>
      <c r="O265" s="217">
        <f t="shared" si="4"/>
        <v>141000</v>
      </c>
    </row>
    <row r="266" spans="1:15" ht="23.1" customHeight="1">
      <c r="A266" s="206">
        <f>IF(AND($B266="",$C266=""),"",MAX($A$3:A265)+1)</f>
        <v>263</v>
      </c>
      <c r="B266" s="207">
        <v>46177</v>
      </c>
      <c r="C266" s="208">
        <v>4859</v>
      </c>
      <c r="D266" s="209" t="str">
        <f>IFERROR(IF($E266="Inventory",VLOOKUP($C266,Inventory!$B:$I,2,FALSE()),IF($E266="Non Inventory",VLOOKUP($C266,'Non Inventory'!$B:$I,2,FALSE()),IF($E266="Services",VLOOKUP($C266,Services!$B:$I,2,FALSE()),IF($E266="Patty Cash",VLOOKUP($C266,'Patty Cash'!$B:$J,2,FALSE()),"")))),"")</f>
        <v>Bearing Hmk 1819 (Ta 1819) P/N# 0942072-07</v>
      </c>
      <c r="E266" s="246" t="s">
        <v>6</v>
      </c>
      <c r="F266" s="210" t="str">
        <f>IFERROR(IF($E266="Inventory",VLOOKUP($C266,Inventory!$B:$I,3,FALSE()),IF($E266="Non Inventory",VLOOKUP($C266,'Non Inventory'!$B:$I,3,FALSE()),IF($E266="Services",VLOOKUP($C266,Services!$B:$I,3,FALSE()),IF($E266="Patty Cash",VLOOKUP($C266,'Patty Cash'!$B:$J,3,FALSE()),"")))),"")</f>
        <v>NOS</v>
      </c>
      <c r="G266" s="211">
        <v>1</v>
      </c>
      <c r="H266" s="212">
        <f>IF($E266="","",IF($E266="Inventory",IFERROR(VLOOKUP($C266,Inventory!$B:$H,7,FALSE()),0),IF($E266="Non Inventory",IFERROR(VLOOKUP($C266,'Non Inventory'!$B:$H,7,FALSE()),0),IF($E266="Services",IFERROR(VLOOKUP($C266,Services!$B:$H,7,FALSE()),0),IF($E266="Patty Cash",IFERROR(VLOOKUP($C266,'Patty Cash'!$B:$H,7,FALSE()),0),0)))))</f>
        <v>26</v>
      </c>
      <c r="I266" s="213" t="s">
        <v>41</v>
      </c>
      <c r="J266" s="214" t="s">
        <v>1250</v>
      </c>
      <c r="K266" s="215" t="s">
        <v>1199</v>
      </c>
      <c r="L266" s="197" t="s">
        <v>1195</v>
      </c>
      <c r="M266" s="215" t="s">
        <v>1196</v>
      </c>
      <c r="N266" s="216">
        <f>IFERROR(IF($E266="Inventory",VLOOKUP($C266,Inventory!$B:$I,8,FALSE()),IF($E266="Non Inventory",VLOOKUP($C266,'Non Inventory'!$B:$I,8,FALSE()),IF($E266="Services",VLOOKUP($C266,Services!$B:$I,8,FALSE()),IF($E266="Patty Cash",VLOOKUP($C266,'Patty Cash'!$B:$J,8,FALSE()),0)))),0)</f>
        <v>1500</v>
      </c>
      <c r="O266" s="217">
        <f t="shared" si="4"/>
        <v>1500</v>
      </c>
    </row>
    <row r="267" spans="1:15" ht="23.1" customHeight="1">
      <c r="A267" s="206">
        <f>IF(AND($B267="",$C267=""),"",MAX($A$3:A266)+1)</f>
        <v>264</v>
      </c>
      <c r="B267" s="207">
        <v>46177</v>
      </c>
      <c r="C267" s="208" t="s">
        <v>1561</v>
      </c>
      <c r="D267" s="209" t="str">
        <f>IFERROR(IF($E267="Inventory",VLOOKUP($C267,Inventory!$B:$I,2,FALSE()),IF($E267="Non Inventory",VLOOKUP($C267,'Non Inventory'!$B:$I,2,FALSE()),IF($E267="Services",VLOOKUP($C267,Services!$B:$I,2,FALSE()),IF($E267="Patty Cash",VLOOKUP($C267,'Patty Cash'!$B:$J,2,FALSE()),"")))),"")</f>
        <v>Dead Plug Size 1/2"</v>
      </c>
      <c r="E267" s="246" t="s">
        <v>1327</v>
      </c>
      <c r="F267" s="210" t="str">
        <f>IFERROR(IF($E267="Inventory",VLOOKUP($C267,Inventory!$B:$I,3,FALSE()),IF($E267="Non Inventory",VLOOKUP($C267,'Non Inventory'!$B:$I,3,FALSE()),IF($E267="Services",VLOOKUP($C267,Services!$B:$I,3,FALSE()),IF($E267="Patty Cash",VLOOKUP($C267,'Patty Cash'!$B:$J,3,FALSE()),"")))),"")</f>
        <v>NOS</v>
      </c>
      <c r="G267" s="211">
        <v>1</v>
      </c>
      <c r="H267" s="212">
        <f>IF($E267="","",IF($E267="Inventory",IFERROR(VLOOKUP($C267,Inventory!$B:$H,7,FALSE()),0),IF($E267="Non Inventory",IFERROR(VLOOKUP($C267,'Non Inventory'!$B:$H,7,FALSE()),0),IF($E267="Services",IFERROR(VLOOKUP($C267,Services!$B:$H,7,FALSE()),0),IF($E267="Patty Cash",IFERROR(VLOOKUP($C267,'Patty Cash'!$B:$H,7,FALSE()),0),0)))))</f>
        <v>0</v>
      </c>
      <c r="I267" s="213" t="s">
        <v>58</v>
      </c>
      <c r="J267" s="214" t="s">
        <v>67</v>
      </c>
      <c r="K267" s="215" t="s">
        <v>1323</v>
      </c>
      <c r="L267" s="197" t="s">
        <v>1195</v>
      </c>
      <c r="M267" s="215" t="s">
        <v>1196</v>
      </c>
      <c r="N267" s="216">
        <f>IFERROR(IF($E267="Inventory",VLOOKUP($C267,Inventory!$B:$I,8,FALSE()),IF($E267="Non Inventory",VLOOKUP($C267,'Non Inventory'!$B:$I,8,FALSE()),IF($E267="Services",VLOOKUP($C267,Services!$B:$I,8,FALSE()),IF($E267="Patty Cash",VLOOKUP($C267,'Patty Cash'!$B:$J,8,FALSE()),0)))),0)</f>
        <v>50</v>
      </c>
      <c r="O267" s="217">
        <f t="shared" si="4"/>
        <v>50</v>
      </c>
    </row>
    <row r="268" spans="1:15" ht="23.1" customHeight="1">
      <c r="A268" s="206">
        <f>IF(AND($B268="",$C268=""),"",MAX($A$3:A267)+1)</f>
        <v>265</v>
      </c>
      <c r="B268" s="207">
        <v>46177</v>
      </c>
      <c r="C268" s="208" t="s">
        <v>1565</v>
      </c>
      <c r="D268" s="209" t="str">
        <f>IFERROR(IF($E268="Inventory",VLOOKUP($C268,Inventory!$B:$I,2,FALSE()),IF($E268="Non Inventory",VLOOKUP($C268,'Non Inventory'!$B:$I,2,FALSE()),IF($E268="Services",VLOOKUP($C268,Services!$B:$I,2,FALSE()),IF($E268="Patty Cash",VLOOKUP($C268,'Patty Cash'!$B:$J,2,FALSE()),"")))),"")</f>
        <v>Dead Plug Size 3/4"</v>
      </c>
      <c r="E268" s="246" t="s">
        <v>1327</v>
      </c>
      <c r="F268" s="210" t="str">
        <f>IFERROR(IF($E268="Inventory",VLOOKUP($C268,Inventory!$B:$I,3,FALSE()),IF($E268="Non Inventory",VLOOKUP($C268,'Non Inventory'!$B:$I,3,FALSE()),IF($E268="Services",VLOOKUP($C268,Services!$B:$I,3,FALSE()),IF($E268="Patty Cash",VLOOKUP($C268,'Patty Cash'!$B:$J,3,FALSE()),"")))),"")</f>
        <v>NOS</v>
      </c>
      <c r="G268" s="211">
        <v>1</v>
      </c>
      <c r="H268" s="212">
        <f>IF($E268="","",IF($E268="Inventory",IFERROR(VLOOKUP($C268,Inventory!$B:$H,7,FALSE()),0),IF($E268="Non Inventory",IFERROR(VLOOKUP($C268,'Non Inventory'!$B:$H,7,FALSE()),0),IF($E268="Services",IFERROR(VLOOKUP($C268,Services!$B:$H,7,FALSE()),0),IF($E268="Patty Cash",IFERROR(VLOOKUP($C268,'Patty Cash'!$B:$H,7,FALSE()),0),0)))))</f>
        <v>0</v>
      </c>
      <c r="I268" s="213" t="s">
        <v>58</v>
      </c>
      <c r="J268" s="214" t="s">
        <v>1212</v>
      </c>
      <c r="K268" s="215" t="s">
        <v>1199</v>
      </c>
      <c r="L268" s="197" t="s">
        <v>1195</v>
      </c>
      <c r="M268" s="215" t="s">
        <v>1196</v>
      </c>
      <c r="N268" s="216">
        <f>IFERROR(IF($E268="Inventory",VLOOKUP($C268,Inventory!$B:$I,8,FALSE()),IF($E268="Non Inventory",VLOOKUP($C268,'Non Inventory'!$B:$I,8,FALSE()),IF($E268="Services",VLOOKUP($C268,Services!$B:$I,8,FALSE()),IF($E268="Patty Cash",VLOOKUP($C268,'Patty Cash'!$B:$J,8,FALSE()),0)))),0)</f>
        <v>70</v>
      </c>
      <c r="O268" s="217">
        <f t="shared" si="4"/>
        <v>70</v>
      </c>
    </row>
    <row r="269" spans="1:15" ht="23.1" customHeight="1">
      <c r="A269" s="206">
        <f>IF(AND($B269="",$C269=""),"",MAX($A$3:A268)+1)</f>
        <v>266</v>
      </c>
      <c r="B269" s="207">
        <v>46177</v>
      </c>
      <c r="C269" s="208">
        <v>17622</v>
      </c>
      <c r="D269" s="209" t="str">
        <f>IFERROR(IF($E269="Inventory",VLOOKUP($C269,Inventory!$B:$I,2,FALSE()),IF($E269="Non Inventory",VLOOKUP($C269,'Non Inventory'!$B:$I,2,FALSE()),IF($E269="Services",VLOOKUP($C269,Services!$B:$I,2,FALSE()),IF($E269="Patty Cash",VLOOKUP($C269,'Patty Cash'!$B:$J,2,FALSE()),"")))),"")</f>
        <v>Horizontal Jaws Pin Size Length 65mm, Dia 15mm, Material S.S (Ishida Machine)</v>
      </c>
      <c r="E269" s="246" t="s">
        <v>6</v>
      </c>
      <c r="F269" s="210" t="str">
        <f>IFERROR(IF($E269="Inventory",VLOOKUP($C269,Inventory!$B:$I,3,FALSE()),IF($E269="Non Inventory",VLOOKUP($C269,'Non Inventory'!$B:$I,3,FALSE()),IF($E269="Services",VLOOKUP($C269,Services!$B:$I,3,FALSE()),IF($E269="Patty Cash",VLOOKUP($C269,'Patty Cash'!$B:$J,3,FALSE()),"")))),"")</f>
        <v>NOS</v>
      </c>
      <c r="G269" s="211">
        <v>1</v>
      </c>
      <c r="H269" s="212">
        <f>IF($E269="","",IF($E269="Inventory",IFERROR(VLOOKUP($C269,Inventory!$B:$H,7,FALSE()),0),IF($E269="Non Inventory",IFERROR(VLOOKUP($C269,'Non Inventory'!$B:$H,7,FALSE()),0),IF($E269="Services",IFERROR(VLOOKUP($C269,Services!$B:$H,7,FALSE()),0),IF($E269="Patty Cash",IFERROR(VLOOKUP($C269,'Patty Cash'!$B:$H,7,FALSE()),0),0)))))</f>
        <v>12</v>
      </c>
      <c r="I269" s="213" t="s">
        <v>40</v>
      </c>
      <c r="J269" s="214" t="s">
        <v>1614</v>
      </c>
      <c r="K269" s="215" t="s">
        <v>1232</v>
      </c>
      <c r="L269" s="197" t="s">
        <v>1195</v>
      </c>
      <c r="M269" s="215" t="s">
        <v>1196</v>
      </c>
      <c r="N269" s="216">
        <f>IFERROR(IF($E269="Inventory",VLOOKUP($C269,Inventory!$B:$I,8,FALSE()),IF($E269="Non Inventory",VLOOKUP($C269,'Non Inventory'!$B:$I,8,FALSE()),IF($E269="Services",VLOOKUP($C269,Services!$B:$I,8,FALSE()),IF($E269="Patty Cash",VLOOKUP($C269,'Patty Cash'!$B:$J,8,FALSE()),0)))),0)</f>
        <v>2600</v>
      </c>
      <c r="O269" s="217">
        <f t="shared" si="4"/>
        <v>2600</v>
      </c>
    </row>
    <row r="270" spans="1:15" ht="23.1" customHeight="1">
      <c r="A270" s="206">
        <f>IF(AND($B270="",$C270=""),"",MAX($A$3:A269)+1)</f>
        <v>267</v>
      </c>
      <c r="B270" s="207">
        <v>46178</v>
      </c>
      <c r="C270" s="208">
        <v>3466</v>
      </c>
      <c r="D270" s="209" t="str">
        <f>IFERROR(IF($E270="Inventory",VLOOKUP($C270,Inventory!$B:$I,2,FALSE()),IF($E270="Non Inventory",VLOOKUP($C270,'Non Inventory'!$B:$I,2,FALSE()),IF($E270="Services",VLOOKUP($C270,Services!$B:$I,2,FALSE()),IF($E270="Patty Cash",VLOOKUP($C270,'Patty Cash'!$B:$J,2,FALSE()),"")))),"")</f>
        <v>Ball Valve , S.S , Full Bore Threaded, Size 1 "</v>
      </c>
      <c r="E270" s="246" t="s">
        <v>7</v>
      </c>
      <c r="F270" s="210" t="str">
        <f>IFERROR(IF($E270="Inventory",VLOOKUP($C270,Inventory!$B:$I,3,FALSE()),IF($E270="Non Inventory",VLOOKUP($C270,'Non Inventory'!$B:$I,3,FALSE()),IF($E270="Services",VLOOKUP($C270,Services!$B:$I,3,FALSE()),IF($E270="Patty Cash",VLOOKUP($C270,'Patty Cash'!$B:$J,3,FALSE()),"")))),"")</f>
        <v>NOS</v>
      </c>
      <c r="G270" s="211">
        <v>3</v>
      </c>
      <c r="H270" s="212">
        <f>IF($E270="","",IF($E270="Inventory",IFERROR(VLOOKUP($C270,Inventory!$B:$H,7,FALSE()),0),IF($E270="Non Inventory",IFERROR(VLOOKUP($C270,'Non Inventory'!$B:$H,7,FALSE()),0),IF($E270="Services",IFERROR(VLOOKUP($C270,Services!$B:$H,7,FALSE()),0),IF($E270="Patty Cash",IFERROR(VLOOKUP($C270,'Patty Cash'!$B:$H,7,FALSE()),0),0)))))</f>
        <v>0</v>
      </c>
      <c r="I270" s="213" t="s">
        <v>1395</v>
      </c>
      <c r="J270" s="214" t="s">
        <v>67</v>
      </c>
      <c r="K270" s="215" t="s">
        <v>1556</v>
      </c>
      <c r="L270" s="197" t="s">
        <v>1195</v>
      </c>
      <c r="M270" s="215" t="s">
        <v>1196</v>
      </c>
      <c r="N270" s="216">
        <f>IFERROR(IF($E270="Inventory",VLOOKUP($C270,Inventory!$B:$I,8,FALSE()),IF($E270="Non Inventory",VLOOKUP($C270,'Non Inventory'!$B:$I,8,FALSE()),IF($E270="Services",VLOOKUP($C270,Services!$B:$I,8,FALSE()),IF($E270="Patty Cash",VLOOKUP($C270,'Patty Cash'!$B:$J,8,FALSE()),0)))),0)</f>
        <v>879</v>
      </c>
      <c r="O270" s="217">
        <f t="shared" si="4"/>
        <v>2637</v>
      </c>
    </row>
    <row r="271" spans="1:15" ht="23.1" customHeight="1">
      <c r="A271" s="206">
        <f>IF(AND($B271="",$C271=""),"",MAX($A$3:A270)+1)</f>
        <v>268</v>
      </c>
      <c r="B271" s="207">
        <v>46178</v>
      </c>
      <c r="C271" s="208">
        <v>6301</v>
      </c>
      <c r="D271" s="209" t="str">
        <f>IFERROR(IF($E271="Inventory",VLOOKUP($C271,Inventory!$B:$I,2,FALSE()),IF($E271="Non Inventory",VLOOKUP($C271,'Non Inventory'!$B:$I,2,FALSE()),IF($E271="Services",VLOOKUP($C271,Services!$B:$I,2,FALSE()),IF($E271="Patty Cash",VLOOKUP($C271,'Patty Cash'!$B:$J,2,FALSE()),"")))),"")</f>
        <v>Tape Insulation PVC  Blue Width 3/4" x10yds Nitto/Osaka</v>
      </c>
      <c r="E271" s="246" t="s">
        <v>7</v>
      </c>
      <c r="F271" s="210" t="str">
        <f>IFERROR(IF($E271="Inventory",VLOOKUP($C271,Inventory!$B:$I,3,FALSE()),IF($E271="Non Inventory",VLOOKUP($C271,'Non Inventory'!$B:$I,3,FALSE()),IF($E271="Services",VLOOKUP($C271,Services!$B:$I,3,FALSE()),IF($E271="Patty Cash",VLOOKUP($C271,'Patty Cash'!$B:$J,3,FALSE()),"")))),"")</f>
        <v>NOS</v>
      </c>
      <c r="G271" s="211">
        <v>1</v>
      </c>
      <c r="H271" s="212">
        <f>IF($E271="","",IF($E271="Inventory",IFERROR(VLOOKUP($C271,Inventory!$B:$H,7,FALSE()),0),IF($E271="Non Inventory",IFERROR(VLOOKUP($C271,'Non Inventory'!$B:$H,7,FALSE()),0),IF($E271="Services",IFERROR(VLOOKUP($C271,Services!$B:$H,7,FALSE()),0),IF($E271="Patty Cash",IFERROR(VLOOKUP($C271,'Patty Cash'!$B:$H,7,FALSE()),0),0)))))</f>
        <v>0</v>
      </c>
      <c r="I271" s="213" t="s">
        <v>1222</v>
      </c>
      <c r="J271" s="214" t="s">
        <v>67</v>
      </c>
      <c r="K271" s="215" t="s">
        <v>1238</v>
      </c>
      <c r="L271" s="197" t="s">
        <v>1195</v>
      </c>
      <c r="M271" s="215" t="s">
        <v>1207</v>
      </c>
      <c r="N271" s="216">
        <f>IFERROR(IF($E271="Inventory",VLOOKUP($C271,Inventory!$B:$I,8,FALSE()),IF($E271="Non Inventory",VLOOKUP($C271,'Non Inventory'!$B:$I,8,FALSE()),IF($E271="Services",VLOOKUP($C271,Services!$B:$I,8,FALSE()),IF($E271="Patty Cash",VLOOKUP($C271,'Patty Cash'!$B:$J,8,FALSE()),0)))),0)</f>
        <v>57</v>
      </c>
      <c r="O271" s="217">
        <f t="shared" si="4"/>
        <v>57</v>
      </c>
    </row>
    <row r="272" spans="1:15" ht="23.1" customHeight="1">
      <c r="A272" s="206">
        <f>IF(AND($B272="",$C272=""),"",MAX($A$3:A271)+1)</f>
        <v>269</v>
      </c>
      <c r="B272" s="207">
        <v>46179</v>
      </c>
      <c r="C272" s="208">
        <v>21487</v>
      </c>
      <c r="D272" s="209" t="str">
        <f>IFERROR(IF($E272="Inventory",VLOOKUP($C272,Inventory!$B:$I,2,FALSE()),IF($E272="Non Inventory",VLOOKUP($C272,'Non Inventory'!$B:$I,2,FALSE()),IF($E272="Services",VLOOKUP($C272,Services!$B:$I,2,FALSE()),IF($E272="Patty Cash",VLOOKUP($C272,'Patty Cash'!$B:$J,2,FALSE()),"")))),"")</f>
        <v>Multiple Minerals for Drinking water (500gm per 1000 Liters of water) each packet contain 1100-gm</v>
      </c>
      <c r="E272" s="246" t="s">
        <v>7</v>
      </c>
      <c r="F272" s="210" t="str">
        <f>IFERROR(IF($E272="Inventory",VLOOKUP($C272,Inventory!$B:$I,3,FALSE()),IF($E272="Non Inventory",VLOOKUP($C272,'Non Inventory'!$B:$I,3,FALSE()),IF($E272="Services",VLOOKUP($C272,Services!$B:$I,3,FALSE()),IF($E272="Patty Cash",VLOOKUP($C272,'Patty Cash'!$B:$J,3,FALSE()),"")))),"")</f>
        <v>KGS</v>
      </c>
      <c r="G272" s="211">
        <v>2</v>
      </c>
      <c r="H272" s="212">
        <f>IF($E272="","",IF($E272="Inventory",IFERROR(VLOOKUP($C272,Inventory!$B:$H,7,FALSE()),0),IF($E272="Non Inventory",IFERROR(VLOOKUP($C272,'Non Inventory'!$B:$H,7,FALSE()),0),IF($E272="Services",IFERROR(VLOOKUP($C272,Services!$B:$H,7,FALSE()),0),IF($E272="Patty Cash",IFERROR(VLOOKUP($C272,'Patty Cash'!$B:$H,7,FALSE()),0),0)))))</f>
        <v>27</v>
      </c>
      <c r="I272" s="213" t="s">
        <v>1395</v>
      </c>
      <c r="J272" s="214" t="s">
        <v>67</v>
      </c>
      <c r="K272" s="215" t="s">
        <v>1556</v>
      </c>
      <c r="L272" s="197" t="s">
        <v>1195</v>
      </c>
      <c r="M272" s="215" t="s">
        <v>1207</v>
      </c>
      <c r="N272" s="216">
        <f>IFERROR(IF($E272="Inventory",VLOOKUP($C272,Inventory!$B:$I,8,FALSE()),IF($E272="Non Inventory",VLOOKUP($C272,'Non Inventory'!$B:$I,8,FALSE()),IF($E272="Services",VLOOKUP($C272,Services!$B:$I,8,FALSE()),IF($E272="Patty Cash",VLOOKUP($C272,'Patty Cash'!$B:$J,8,FALSE()),0)))),0)</f>
        <v>3300</v>
      </c>
      <c r="O272" s="217">
        <f t="shared" si="4"/>
        <v>6600</v>
      </c>
    </row>
    <row r="273" spans="1:15" ht="23.1" customHeight="1">
      <c r="A273" s="206">
        <f>IF(AND($B273="",$C273=""),"",MAX($A$3:A272)+1)</f>
        <v>270</v>
      </c>
      <c r="B273" s="207">
        <v>46181</v>
      </c>
      <c r="C273" s="208">
        <v>21865</v>
      </c>
      <c r="D273" s="209" t="str">
        <f>IFERROR(IF($E273="Inventory",VLOOKUP($C273,Inventory!$B:$I,2,FALSE()),IF($E273="Non Inventory",VLOOKUP($C273,'Non Inventory'!$B:$I,2,FALSE()),IF($E273="Services",VLOOKUP($C273,Services!$B:$I,2,FALSE()),IF($E273="Patty Cash",VLOOKUP($C273,'Patty Cash'!$B:$J,2,FALSE()),"")))),"")</f>
        <v xml:space="preserve">Serv. Monthly Contract For Sng Plant Operation </v>
      </c>
      <c r="E273" s="246" t="s">
        <v>1280</v>
      </c>
      <c r="F273" s="210" t="str">
        <f>IFERROR(IF($E273="Inventory",VLOOKUP($C273,Inventory!$B:$I,3,FALSE()),IF($E273="Non Inventory",VLOOKUP($C273,'Non Inventory'!$B:$I,3,FALSE()),IF($E273="Services",VLOOKUP($C273,Services!$B:$I,3,FALSE()),IF($E273="Patty Cash",VLOOKUP($C273,'Patty Cash'!$B:$J,3,FALSE()),"")))),"")</f>
        <v>NOS</v>
      </c>
      <c r="G273" s="211">
        <v>1</v>
      </c>
      <c r="H273" s="212">
        <f>IF($E273="","",IF($E273="Inventory",IFERROR(VLOOKUP($C273,Inventory!$B:$H,7,FALSE()),0),IF($E273="Non Inventory",IFERROR(VLOOKUP($C273,'Non Inventory'!$B:$H,7,FALSE()),0),IF($E273="Services",IFERROR(VLOOKUP($C273,Services!$B:$H,7,FALSE()),0),IF($E273="Patty Cash",IFERROR(VLOOKUP($C273,'Patty Cash'!$B:$H,7,FALSE()),0),0)))))</f>
        <v>0</v>
      </c>
      <c r="I273" s="213" t="s">
        <v>1320</v>
      </c>
      <c r="J273" s="214" t="s">
        <v>67</v>
      </c>
      <c r="K273" s="215" t="s">
        <v>1223</v>
      </c>
      <c r="L273" s="197" t="s">
        <v>1195</v>
      </c>
      <c r="M273" s="215" t="s">
        <v>1196</v>
      </c>
      <c r="N273" s="216">
        <f>IFERROR(IF($E273="Inventory",VLOOKUP($C273,Inventory!$B:$I,8,FALSE()),IF($E273="Non Inventory",VLOOKUP($C273,'Non Inventory'!$B:$I,8,FALSE()),IF($E273="Services",VLOOKUP($C273,Services!$B:$I,8,FALSE()),IF($E273="Patty Cash",VLOOKUP($C273,'Patty Cash'!$B:$J,8,FALSE()),0)))),0)</f>
        <v>220000</v>
      </c>
      <c r="O273" s="217">
        <f t="shared" si="4"/>
        <v>220000</v>
      </c>
    </row>
    <row r="274" spans="1:15" ht="23.1" customHeight="1">
      <c r="A274" s="206">
        <f>IF(AND($B274="",$C274=""),"",MAX($A$3:A273)+1)</f>
        <v>271</v>
      </c>
      <c r="B274" s="207">
        <v>46181</v>
      </c>
      <c r="C274" s="208">
        <v>21845</v>
      </c>
      <c r="D274" s="209" t="str">
        <f>IFERROR(IF($E274="Inventory",VLOOKUP($C274,Inventory!$B:$I,2,FALSE()),IF($E274="Non Inventory",VLOOKUP($C274,'Non Inventory'!$B:$I,2,FALSE()),IF($E274="Services",VLOOKUP($C274,Services!$B:$I,2,FALSE()),IF($E274="Patty Cash",VLOOKUP($C274,'Patty Cash'!$B:$J,2,FALSE()),"")))),"")</f>
        <v>Serv. Waste Water Treatment Plant Annual
Operation &amp; Maintenance Contract</v>
      </c>
      <c r="E274" s="246" t="s">
        <v>1280</v>
      </c>
      <c r="F274" s="210" t="str">
        <f>IFERROR(IF($E274="Inventory",VLOOKUP($C274,Inventory!$B:$I,3,FALSE()),IF($E274="Non Inventory",VLOOKUP($C274,'Non Inventory'!$B:$I,3,FALSE()),IF($E274="Services",VLOOKUP($C274,Services!$B:$I,3,FALSE()),IF($E274="Patty Cash",VLOOKUP($C274,'Patty Cash'!$B:$J,3,FALSE()),"")))),"")</f>
        <v>JOB</v>
      </c>
      <c r="G274" s="211">
        <v>1</v>
      </c>
      <c r="H274" s="212">
        <f>IF($E274="","",IF($E274="Inventory",IFERROR(VLOOKUP($C274,Inventory!$B:$H,7,FALSE()),0),IF($E274="Non Inventory",IFERROR(VLOOKUP($C274,'Non Inventory'!$B:$H,7,FALSE()),0),IF($E274="Services",IFERROR(VLOOKUP($C274,Services!$B:$H,7,FALSE()),0),IF($E274="Patty Cash",IFERROR(VLOOKUP($C274,'Patty Cash'!$B:$H,7,FALSE()),0),0)))))</f>
        <v>0</v>
      </c>
      <c r="I274" s="213" t="s">
        <v>1309</v>
      </c>
      <c r="J274" s="214" t="s">
        <v>67</v>
      </c>
      <c r="K274" s="215" t="s">
        <v>1382</v>
      </c>
      <c r="L274" s="197" t="s">
        <v>1195</v>
      </c>
      <c r="M274" s="215" t="s">
        <v>1196</v>
      </c>
      <c r="N274" s="216">
        <f>IFERROR(IF($E274="Inventory",VLOOKUP($C274,Inventory!$B:$I,8,FALSE()),IF($E274="Non Inventory",VLOOKUP($C274,'Non Inventory'!$B:$I,8,FALSE()),IF($E274="Services",VLOOKUP($C274,Services!$B:$I,8,FALSE()),IF($E274="Patty Cash",VLOOKUP($C274,'Patty Cash'!$B:$J,8,FALSE()),0)))),0)</f>
        <v>160000</v>
      </c>
      <c r="O274" s="217">
        <f t="shared" si="4"/>
        <v>160000</v>
      </c>
    </row>
    <row r="275" spans="1:15" ht="23.1" customHeight="1">
      <c r="A275" s="206">
        <f>IF(AND($B275="",$C275=""),"",MAX($A$3:A274)+1)</f>
        <v>272</v>
      </c>
      <c r="B275" s="207">
        <v>46179</v>
      </c>
      <c r="C275" s="208">
        <v>17237</v>
      </c>
      <c r="D275" s="209" t="str">
        <f>IFERROR(IF($E275="Inventory",VLOOKUP($C275,Inventory!$B:$I,2,FALSE()),IF($E275="Non Inventory",VLOOKUP($C275,'Non Inventory'!$B:$I,2,FALSE()),IF($E275="Services",VLOOKUP($C275,Services!$B:$I,2,FALSE()),IF($E275="Patty Cash",VLOOKUP($C275,'Patty Cash'!$B:$J,2,FALSE()),"")))),"")</f>
        <v>Film Puling Belt Size Dia=292mm W=38mm T=6mm (Material NBR)For Ishida Packing Machine</v>
      </c>
      <c r="E275" s="246" t="s">
        <v>6</v>
      </c>
      <c r="F275" s="210" t="str">
        <f>IFERROR(IF($E275="Inventory",VLOOKUP($C275,Inventory!$B:$I,3,FALSE()),IF($E275="Non Inventory",VLOOKUP($C275,'Non Inventory'!$B:$I,3,FALSE()),IF($E275="Services",VLOOKUP($C275,Services!$B:$I,3,FALSE()),IF($E275="Patty Cash",VLOOKUP($C275,'Patty Cash'!$B:$J,3,FALSE()),"")))),"")</f>
        <v>NOS</v>
      </c>
      <c r="G275" s="211">
        <v>1</v>
      </c>
      <c r="H275" s="212">
        <f>IF($E275="","",IF($E275="Inventory",IFERROR(VLOOKUP($C275,Inventory!$B:$H,7,FALSE()),0),IF($E275="Non Inventory",IFERROR(VLOOKUP($C275,'Non Inventory'!$B:$H,7,FALSE()),0),IF($E275="Services",IFERROR(VLOOKUP($C275,Services!$B:$H,7,FALSE()),0),IF($E275="Patty Cash",IFERROR(VLOOKUP($C275,'Patty Cash'!$B:$H,7,FALSE()),0),0)))))</f>
        <v>8</v>
      </c>
      <c r="I275" s="213" t="s">
        <v>52</v>
      </c>
      <c r="J275" s="214" t="s">
        <v>1242</v>
      </c>
      <c r="K275" s="215" t="s">
        <v>1203</v>
      </c>
      <c r="L275" s="197" t="s">
        <v>1204</v>
      </c>
      <c r="M275" s="215" t="s">
        <v>1196</v>
      </c>
      <c r="N275" s="216">
        <f>IFERROR(IF($E275="Inventory",VLOOKUP($C275,Inventory!$B:$I,8,FALSE()),IF($E275="Non Inventory",VLOOKUP($C275,'Non Inventory'!$B:$I,8,FALSE()),IF($E275="Services",VLOOKUP($C275,Services!$B:$I,8,FALSE()),IF($E275="Patty Cash",VLOOKUP($C275,'Patty Cash'!$B:$J,8,FALSE()),0)))),0)</f>
        <v>9000</v>
      </c>
      <c r="O275" s="217">
        <f t="shared" si="4"/>
        <v>9000</v>
      </c>
    </row>
    <row r="276" spans="1:15" ht="23.1" customHeight="1">
      <c r="A276" s="206">
        <f>IF(AND($B276="",$C276=""),"",MAX($A$3:A275)+1)</f>
        <v>273</v>
      </c>
      <c r="B276" s="207">
        <v>46179</v>
      </c>
      <c r="C276" s="208">
        <v>2014</v>
      </c>
      <c r="D276" s="209" t="str">
        <f>IFERROR(IF($E276="Inventory",VLOOKUP($C276,Inventory!$B:$I,2,FALSE()),IF($E276="Non Inventory",VLOOKUP($C276,'Non Inventory'!$B:$I,2,FALSE()),IF($E276="Services",VLOOKUP($C276,Services!$B:$I,2,FALSE()),IF($E276="Patty Cash",VLOOKUP($C276,'Patty Cash'!$B:$J,2,FALSE()),"")))),"")</f>
        <v>Ball Bearing 6207 2ZR C3</v>
      </c>
      <c r="E276" s="246" t="s">
        <v>6</v>
      </c>
      <c r="F276" s="210" t="str">
        <f>IFERROR(IF($E276="Inventory",VLOOKUP($C276,Inventory!$B:$I,3,FALSE()),IF($E276="Non Inventory",VLOOKUP($C276,'Non Inventory'!$B:$I,3,FALSE()),IF($E276="Services",VLOOKUP($C276,Services!$B:$I,3,FALSE()),IF($E276="Patty Cash",VLOOKUP($C276,'Patty Cash'!$B:$J,3,FALSE()),"")))),"")</f>
        <v>PCS</v>
      </c>
      <c r="G276" s="211">
        <v>1</v>
      </c>
      <c r="H276" s="212">
        <f>IF($E276="","",IF($E276="Inventory",IFERROR(VLOOKUP($C276,Inventory!$B:$H,7,FALSE()),0),IF($E276="Non Inventory",IFERROR(VLOOKUP($C276,'Non Inventory'!$B:$H,7,FALSE()),0),IF($E276="Services",IFERROR(VLOOKUP($C276,Services!$B:$H,7,FALSE()),0),IF($E276="Patty Cash",IFERROR(VLOOKUP($C276,'Patty Cash'!$B:$H,7,FALSE()),0),0)))))</f>
        <v>5</v>
      </c>
      <c r="I276" s="213" t="s">
        <v>42</v>
      </c>
      <c r="J276" s="214" t="s">
        <v>67</v>
      </c>
      <c r="K276" s="215" t="s">
        <v>1217</v>
      </c>
      <c r="L276" s="197" t="s">
        <v>1204</v>
      </c>
      <c r="M276" s="215" t="s">
        <v>1196</v>
      </c>
      <c r="N276" s="216">
        <f>IFERROR(IF($E276="Inventory",VLOOKUP($C276,Inventory!$B:$I,8,FALSE()),IF($E276="Non Inventory",VLOOKUP($C276,'Non Inventory'!$B:$I,8,FALSE()),IF($E276="Services",VLOOKUP($C276,Services!$B:$I,8,FALSE()),IF($E276="Patty Cash",VLOOKUP($C276,'Patty Cash'!$B:$J,8,FALSE()),0)))),0)</f>
        <v>1650</v>
      </c>
      <c r="O276" s="217">
        <f t="shared" si="4"/>
        <v>1650</v>
      </c>
    </row>
    <row r="277" spans="1:15" ht="23.1" customHeight="1">
      <c r="A277" s="206">
        <f>IF(AND($B277="",$C277=""),"",MAX($A$3:A276)+1)</f>
        <v>274</v>
      </c>
      <c r="B277" s="207">
        <v>46179</v>
      </c>
      <c r="C277" s="208">
        <v>3930</v>
      </c>
      <c r="D277" s="209" t="str">
        <f>IFERROR(IF($E277="Inventory",VLOOKUP($C277,Inventory!$B:$I,2,FALSE()),IF($E277="Non Inventory",VLOOKUP($C277,'Non Inventory'!$B:$I,2,FALSE()),IF($E277="Services",VLOOKUP($C277,Services!$B:$I,2,FALSE()),IF($E277="Patty Cash",VLOOKUP($C277,'Patty Cash'!$B:$J,2,FALSE()),"")))),"")</f>
        <v>AIR FILTER 1613-9001-00</v>
      </c>
      <c r="E277" s="246" t="s">
        <v>7</v>
      </c>
      <c r="F277" s="210" t="str">
        <f>IFERROR(IF($E277="Inventory",VLOOKUP($C277,Inventory!$B:$I,3,FALSE()),IF($E277="Non Inventory",VLOOKUP($C277,'Non Inventory'!$B:$I,3,FALSE()),IF($E277="Services",VLOOKUP($C277,Services!$B:$I,3,FALSE()),IF($E277="Patty Cash",VLOOKUP($C277,'Patty Cash'!$B:$J,3,FALSE()),"")))),"")</f>
        <v>PCS</v>
      </c>
      <c r="G277" s="211">
        <v>1</v>
      </c>
      <c r="H277" s="212">
        <f>IF($E277="","",IF($E277="Inventory",IFERROR(VLOOKUP($C277,Inventory!$B:$H,7,FALSE()),0),IF($E277="Non Inventory",IFERROR(VLOOKUP($C277,'Non Inventory'!$B:$H,7,FALSE()),0),IF($E277="Services",IFERROR(VLOOKUP($C277,Services!$B:$H,7,FALSE()),0),IF($E277="Patty Cash",IFERROR(VLOOKUP($C277,'Patty Cash'!$B:$H,7,FALSE()),0),0)))))</f>
        <v>2</v>
      </c>
      <c r="I277" s="213" t="s">
        <v>52</v>
      </c>
      <c r="J277" s="214" t="s">
        <v>67</v>
      </c>
      <c r="K277" s="215" t="s">
        <v>1217</v>
      </c>
      <c r="L277" s="197" t="s">
        <v>1204</v>
      </c>
      <c r="M277" s="215" t="s">
        <v>1196</v>
      </c>
      <c r="N277" s="216">
        <f>IFERROR(IF($E277="Inventory",VLOOKUP($C277,Inventory!$B:$I,8,FALSE()),IF($E277="Non Inventory",VLOOKUP($C277,'Non Inventory'!$B:$I,8,FALSE()),IF($E277="Services",VLOOKUP($C277,Services!$B:$I,8,FALSE()),IF($E277="Patty Cash",VLOOKUP($C277,'Patty Cash'!$B:$J,8,FALSE()),0)))),0)</f>
        <v>13150</v>
      </c>
      <c r="O277" s="217">
        <f t="shared" si="4"/>
        <v>13150</v>
      </c>
    </row>
    <row r="278" spans="1:15" ht="23.1" customHeight="1">
      <c r="A278" s="206">
        <f>IF(AND($B278="",$C278=""),"",MAX($A$3:A277)+1)</f>
        <v>275</v>
      </c>
      <c r="B278" s="207">
        <v>46181</v>
      </c>
      <c r="C278" s="208">
        <v>26959</v>
      </c>
      <c r="D278" s="209" t="str">
        <f>IFERROR(IF($E278="Inventory",VLOOKUP($C278,Inventory!$B:$I,2,FALSE()),IF($E278="Non Inventory",VLOOKUP($C278,'Non Inventory'!$B:$I,2,FALSE()),IF($E278="Services",VLOOKUP($C278,Services!$B:$I,2,FALSE()),IF($E278="Patty Cash",VLOOKUP($C278,'Patty Cash'!$B:$J,2,FALSE()),"")))),"")</f>
        <v>S.S Screen Mesh 6 No. Model # 50 (For Grinding
Chakki)</v>
      </c>
      <c r="E278" s="246" t="s">
        <v>7</v>
      </c>
      <c r="F278" s="210" t="str">
        <f>IFERROR(IF($E278="Inventory",VLOOKUP($C278,Inventory!$B:$I,3,FALSE()),IF($E278="Non Inventory",VLOOKUP($C278,'Non Inventory'!$B:$I,3,FALSE()),IF($E278="Services",VLOOKUP($C278,Services!$B:$I,3,FALSE()),IF($E278="Patty Cash",VLOOKUP($C278,'Patty Cash'!$B:$J,3,FALSE()),"")))),"")</f>
        <v>NOS</v>
      </c>
      <c r="G278" s="211">
        <v>1</v>
      </c>
      <c r="H278" s="212">
        <f>IF($E278="","",IF($E278="Inventory",IFERROR(VLOOKUP($C278,Inventory!$B:$H,7,FALSE()),0),IF($E278="Non Inventory",IFERROR(VLOOKUP($C278,'Non Inventory'!$B:$H,7,FALSE()),0),IF($E278="Services",IFERROR(VLOOKUP($C278,Services!$B:$H,7,FALSE()),0),IF($E278="Patty Cash",IFERROR(VLOOKUP($C278,'Patty Cash'!$B:$H,7,FALSE()),0),0)))))</f>
        <v>0</v>
      </c>
      <c r="I278" s="213" t="s">
        <v>70</v>
      </c>
      <c r="J278" s="214" t="s">
        <v>67</v>
      </c>
      <c r="K278" s="215" t="s">
        <v>1197</v>
      </c>
      <c r="L278" s="197" t="s">
        <v>1195</v>
      </c>
      <c r="M278" s="215" t="s">
        <v>1196</v>
      </c>
      <c r="N278" s="216">
        <f>IFERROR(IF($E278="Inventory",VLOOKUP($C278,Inventory!$B:$I,8,FALSE()),IF($E278="Non Inventory",VLOOKUP($C278,'Non Inventory'!$B:$I,8,FALSE()),IF($E278="Services",VLOOKUP($C278,Services!$B:$I,8,FALSE()),IF($E278="Patty Cash",VLOOKUP($C278,'Patty Cash'!$B:$J,8,FALSE()),0)))),0)</f>
        <v>5500</v>
      </c>
      <c r="O278" s="217">
        <f t="shared" si="4"/>
        <v>5500</v>
      </c>
    </row>
    <row r="279" spans="1:15" ht="23.1" customHeight="1">
      <c r="A279" s="206">
        <f>IF(AND($B279="",$C279=""),"",MAX($A$3:A278)+1)</f>
        <v>276</v>
      </c>
      <c r="B279" s="207">
        <v>46181</v>
      </c>
      <c r="C279" s="208">
        <v>10193</v>
      </c>
      <c r="D279" s="209" t="str">
        <f>IFERROR(IF($E279="Inventory",VLOOKUP($C279,Inventory!$B:$I,2,FALSE()),IF($E279="Non Inventory",VLOOKUP($C279,'Non Inventory'!$B:$I,2,FALSE()),IF($E279="Services",VLOOKUP($C279,Services!$B:$I,2,FALSE()),IF($E279="Patty Cash",VLOOKUP($C279,'Patty Cash'!$B:$J,2,FALSE()),"")))),"")</f>
        <v>Rod End Beaering Phs 6 R</v>
      </c>
      <c r="E279" s="246" t="s">
        <v>6</v>
      </c>
      <c r="F279" s="210" t="str">
        <f>IFERROR(IF($E279="Inventory",VLOOKUP($C279,Inventory!$B:$I,3,FALSE()),IF($E279="Non Inventory",VLOOKUP($C279,'Non Inventory'!$B:$I,3,FALSE()),IF($E279="Services",VLOOKUP($C279,Services!$B:$I,3,FALSE()),IF($E279="Patty Cash",VLOOKUP($C279,'Patty Cash'!$B:$J,3,FALSE()),"")))),"")</f>
        <v>NOS</v>
      </c>
      <c r="G279" s="211">
        <v>1</v>
      </c>
      <c r="H279" s="212">
        <f>IF($E279="","",IF($E279="Inventory",IFERROR(VLOOKUP($C279,Inventory!$B:$H,7,FALSE()),0),IF($E279="Non Inventory",IFERROR(VLOOKUP($C279,'Non Inventory'!$B:$H,7,FALSE()),0),IF($E279="Services",IFERROR(VLOOKUP($C279,Services!$B:$H,7,FALSE()),0),IF($E279="Patty Cash",IFERROR(VLOOKUP($C279,'Patty Cash'!$B:$H,7,FALSE()),0),0)))))</f>
        <v>17</v>
      </c>
      <c r="I279" s="213" t="s">
        <v>40</v>
      </c>
      <c r="J279" s="214" t="s">
        <v>67</v>
      </c>
      <c r="K279" s="215" t="s">
        <v>1194</v>
      </c>
      <c r="L279" s="197" t="s">
        <v>1195</v>
      </c>
      <c r="M279" s="215" t="s">
        <v>1196</v>
      </c>
      <c r="N279" s="216">
        <f>IFERROR(IF($E279="Inventory",VLOOKUP($C279,Inventory!$B:$I,8,FALSE()),IF($E279="Non Inventory",VLOOKUP($C279,'Non Inventory'!$B:$I,8,FALSE()),IF($E279="Services",VLOOKUP($C279,Services!$B:$I,8,FALSE()),IF($E279="Patty Cash",VLOOKUP($C279,'Patty Cash'!$B:$J,8,FALSE()),0)))),0)</f>
        <v>1500</v>
      </c>
      <c r="O279" s="217">
        <f t="shared" si="4"/>
        <v>1500</v>
      </c>
    </row>
    <row r="280" spans="1:15" ht="23.1" customHeight="1">
      <c r="A280" s="206">
        <f>IF(AND($B280="",$C280=""),"",MAX($A$3:A279)+1)</f>
        <v>277</v>
      </c>
      <c r="B280" s="207">
        <v>46181</v>
      </c>
      <c r="C280" s="208">
        <v>8386</v>
      </c>
      <c r="D280" s="209" t="str">
        <f>IFERROR(IF($E280="Inventory",VLOOKUP($C280,Inventory!$B:$I,2,FALSE()),IF($E280="Non Inventory",VLOOKUP($C280,'Non Inventory'!$B:$I,2,FALSE()),IF($E280="Services",VLOOKUP($C280,Services!$B:$I,2,FALSE()),IF($E280="Patty Cash",VLOOKUP($C280,'Patty Cash'!$B:$J,2,FALSE()),"")))),"")</f>
        <v>Self Aligning Ball Bearing 2205 2RSR</v>
      </c>
      <c r="E280" s="246" t="s">
        <v>6</v>
      </c>
      <c r="F280" s="210" t="str">
        <f>IFERROR(IF($E280="Inventory",VLOOKUP($C280,Inventory!$B:$I,3,FALSE()),IF($E280="Non Inventory",VLOOKUP($C280,'Non Inventory'!$B:$I,3,FALSE()),IF($E280="Services",VLOOKUP($C280,Services!$B:$I,3,FALSE()),IF($E280="Patty Cash",VLOOKUP($C280,'Patty Cash'!$B:$J,3,FALSE()),"")))),"")</f>
        <v>NOS</v>
      </c>
      <c r="G280" s="211">
        <v>1</v>
      </c>
      <c r="H280" s="212">
        <f>IF($E280="","",IF($E280="Inventory",IFERROR(VLOOKUP($C280,Inventory!$B:$H,7,FALSE()),0),IF($E280="Non Inventory",IFERROR(VLOOKUP($C280,'Non Inventory'!$B:$H,7,FALSE()),0),IF($E280="Services",IFERROR(VLOOKUP($C280,Services!$B:$H,7,FALSE()),0),IF($E280="Patty Cash",IFERROR(VLOOKUP($C280,'Patty Cash'!$B:$H,7,FALSE()),0),0)))))</f>
        <v>1</v>
      </c>
      <c r="I280" s="213" t="s">
        <v>57</v>
      </c>
      <c r="J280" s="214" t="s">
        <v>1617</v>
      </c>
      <c r="K280" s="215" t="s">
        <v>1220</v>
      </c>
      <c r="L280" s="197" t="s">
        <v>1195</v>
      </c>
      <c r="M280" s="215" t="s">
        <v>1196</v>
      </c>
      <c r="N280" s="216">
        <f>IFERROR(IF($E280="Inventory",VLOOKUP($C280,Inventory!$B:$I,8,FALSE()),IF($E280="Non Inventory",VLOOKUP($C280,'Non Inventory'!$B:$I,8,FALSE()),IF($E280="Services",VLOOKUP($C280,Services!$B:$I,8,FALSE()),IF($E280="Patty Cash",VLOOKUP($C280,'Patty Cash'!$B:$J,8,FALSE()),0)))),0)</f>
        <v>4100</v>
      </c>
      <c r="O280" s="217">
        <f t="shared" si="4"/>
        <v>4100</v>
      </c>
    </row>
    <row r="281" spans="1:15" ht="23.1" customHeight="1">
      <c r="A281" s="206">
        <f>IF(AND($B281="",$C281=""),"",MAX($A$3:A280)+1)</f>
        <v>278</v>
      </c>
      <c r="B281" s="207">
        <v>46181</v>
      </c>
      <c r="C281" s="208">
        <v>22365</v>
      </c>
      <c r="D281" s="209" t="str">
        <f>IFERROR(IF($E281="Inventory",VLOOKUP($C281,Inventory!$B:$I,2,FALSE()),IF($E281="Non Inventory",VLOOKUP($C281,'Non Inventory'!$B:$I,2,FALSE()),IF($E281="Services",VLOOKUP($C281,Services!$B:$I,2,FALSE()),IF($E281="Patty Cash",VLOOKUP($C281,'Patty Cash'!$B:$J,2,FALSE()),"")))),"")</f>
        <v>Megnet Rod Size Dia 25.4mm, Length 270mm
(Ishida Packing Machine Linear Conveyor)</v>
      </c>
      <c r="E281" s="246" t="s">
        <v>6</v>
      </c>
      <c r="F281" s="210" t="str">
        <f>IFERROR(IF($E281="Inventory",VLOOKUP($C281,Inventory!$B:$I,3,FALSE()),IF($E281="Non Inventory",VLOOKUP($C281,'Non Inventory'!$B:$I,3,FALSE()),IF($E281="Services",VLOOKUP($C281,Services!$B:$I,3,FALSE()),IF($E281="Patty Cash",VLOOKUP($C281,'Patty Cash'!$B:$J,3,FALSE()),"")))),"")</f>
        <v>NOS</v>
      </c>
      <c r="G281" s="211">
        <v>1</v>
      </c>
      <c r="H281" s="212">
        <f>IF($E281="","",IF($E281="Inventory",IFERROR(VLOOKUP($C281,Inventory!$B:$H,7,FALSE()),0),IF($E281="Non Inventory",IFERROR(VLOOKUP($C281,'Non Inventory'!$B:$H,7,FALSE()),0),IF($E281="Services",IFERROR(VLOOKUP($C281,Services!$B:$H,7,FALSE()),0),IF($E281="Patty Cash",IFERROR(VLOOKUP($C281,'Patty Cash'!$B:$H,7,FALSE()),0),0)))))</f>
        <v>0</v>
      </c>
      <c r="I281" s="213" t="s">
        <v>57</v>
      </c>
      <c r="J281" s="214" t="s">
        <v>1391</v>
      </c>
      <c r="K281" s="215" t="s">
        <v>1232</v>
      </c>
      <c r="L281" s="197" t="s">
        <v>1195</v>
      </c>
      <c r="M281" s="215" t="s">
        <v>1196</v>
      </c>
      <c r="N281" s="216">
        <f>IFERROR(IF($E281="Inventory",VLOOKUP($C281,Inventory!$B:$I,8,FALSE()),IF($E281="Non Inventory",VLOOKUP($C281,'Non Inventory'!$B:$I,8,FALSE()),IF($E281="Services",VLOOKUP($C281,Services!$B:$I,8,FALSE()),IF($E281="Patty Cash",VLOOKUP($C281,'Patty Cash'!$B:$J,8,FALSE()),0)))),0)</f>
        <v>11000</v>
      </c>
      <c r="O281" s="217">
        <f t="shared" si="4"/>
        <v>11000</v>
      </c>
    </row>
    <row r="282" spans="1:15" ht="23.1" customHeight="1">
      <c r="A282" s="206">
        <f>IF(AND($B282="",$C282=""),"",MAX($A$3:A281)+1)</f>
        <v>279</v>
      </c>
      <c r="B282" s="207">
        <v>46181</v>
      </c>
      <c r="C282" s="208">
        <v>15596</v>
      </c>
      <c r="D282" s="209" t="str">
        <f>IFERROR(IF($E282="Inventory",VLOOKUP($C282,Inventory!$B:$I,2,FALSE()),IF($E282="Non Inventory",VLOOKUP($C282,'Non Inventory'!$B:$I,2,FALSE()),IF($E282="Services",VLOOKUP($C282,Services!$B:$I,2,FALSE()),IF($E282="Patty Cash",VLOOKUP($C282,'Patty Cash'!$B:$J,2,FALSE()),"")))),"")</f>
        <v>Thermocouple K Type Size 3mm X 50mm</v>
      </c>
      <c r="E282" s="246" t="s">
        <v>6</v>
      </c>
      <c r="F282" s="210" t="str">
        <f>IFERROR(IF($E282="Inventory",VLOOKUP($C282,Inventory!$B:$I,3,FALSE()),IF($E282="Non Inventory",VLOOKUP($C282,'Non Inventory'!$B:$I,3,FALSE()),IF($E282="Services",VLOOKUP($C282,Services!$B:$I,3,FALSE()),IF($E282="Patty Cash",VLOOKUP($C282,'Patty Cash'!$B:$J,3,FALSE()),"")))),"")</f>
        <v>NOS</v>
      </c>
      <c r="G282" s="211">
        <v>1</v>
      </c>
      <c r="H282" s="212">
        <f>IF($E282="","",IF($E282="Inventory",IFERROR(VLOOKUP($C282,Inventory!$B:$H,7,FALSE()),0),IF($E282="Non Inventory",IFERROR(VLOOKUP($C282,'Non Inventory'!$B:$H,7,FALSE()),0),IF($E282="Services",IFERROR(VLOOKUP($C282,Services!$B:$H,7,FALSE()),0),IF($E282="Patty Cash",IFERROR(VLOOKUP($C282,'Patty Cash'!$B:$H,7,FALSE()),0),0)))))</f>
        <v>13</v>
      </c>
      <c r="I282" s="213" t="s">
        <v>41</v>
      </c>
      <c r="J282" s="214" t="s">
        <v>67</v>
      </c>
      <c r="K282" s="215" t="s">
        <v>1210</v>
      </c>
      <c r="L282" s="197" t="s">
        <v>1204</v>
      </c>
      <c r="M282" s="215" t="s">
        <v>1207</v>
      </c>
      <c r="N282" s="216">
        <f>IFERROR(IF($E282="Inventory",VLOOKUP($C282,Inventory!$B:$I,8,FALSE()),IF($E282="Non Inventory",VLOOKUP($C282,'Non Inventory'!$B:$I,8,FALSE()),IF($E282="Services",VLOOKUP($C282,Services!$B:$I,8,FALSE()),IF($E282="Patty Cash",VLOOKUP($C282,'Patty Cash'!$B:$J,8,FALSE()),0)))),0)</f>
        <v>1500</v>
      </c>
      <c r="O282" s="217">
        <f t="shared" si="4"/>
        <v>1500</v>
      </c>
    </row>
    <row r="283" spans="1:15" ht="23.1" customHeight="1">
      <c r="A283" s="206">
        <f>IF(AND($B283="",$C283=""),"",MAX($A$3:A282)+1)</f>
        <v>280</v>
      </c>
      <c r="B283" s="207">
        <v>46181</v>
      </c>
      <c r="C283" s="208">
        <v>13409</v>
      </c>
      <c r="D283" s="209" t="str">
        <f>IFERROR(IF($E283="Inventory",VLOOKUP($C283,Inventory!$B:$I,2,FALSE()),IF($E283="Non Inventory",VLOOKUP($C283,'Non Inventory'!$B:$I,2,FALSE()),IF($E283="Services",VLOOKUP($C283,Services!$B:$I,2,FALSE()),IF($E283="Patty Cash",VLOOKUP($C283,'Patty Cash'!$B:$J,2,FALSE()),"")))),"")</f>
        <v>Heater 220 Valt, 450 Watt Size L-262mm, Dia-8mm (Ishida Packing Machine)</v>
      </c>
      <c r="E283" s="246" t="s">
        <v>6</v>
      </c>
      <c r="F283" s="210" t="str">
        <f>IFERROR(IF($E283="Inventory",VLOOKUP($C283,Inventory!$B:$I,3,FALSE()),IF($E283="Non Inventory",VLOOKUP($C283,'Non Inventory'!$B:$I,3,FALSE()),IF($E283="Services",VLOOKUP($C283,Services!$B:$I,3,FALSE()),IF($E283="Patty Cash",VLOOKUP($C283,'Patty Cash'!$B:$J,3,FALSE()),"")))),"")</f>
        <v>NOS</v>
      </c>
      <c r="G283" s="211">
        <v>1</v>
      </c>
      <c r="H283" s="212">
        <f>IF($E283="","",IF($E283="Inventory",IFERROR(VLOOKUP($C283,Inventory!$B:$H,7,FALSE()),0),IF($E283="Non Inventory",IFERROR(VLOOKUP($C283,'Non Inventory'!$B:$H,7,FALSE()),0),IF($E283="Services",IFERROR(VLOOKUP($C283,Services!$B:$H,7,FALSE()),0),IF($E283="Patty Cash",IFERROR(VLOOKUP($C283,'Patty Cash'!$B:$H,7,FALSE()),0),0)))))</f>
        <v>12</v>
      </c>
      <c r="I283" s="213" t="s">
        <v>41</v>
      </c>
      <c r="J283" s="214" t="s">
        <v>67</v>
      </c>
      <c r="K283" s="215" t="s">
        <v>1210</v>
      </c>
      <c r="L283" s="197" t="s">
        <v>1204</v>
      </c>
      <c r="M283" s="215" t="s">
        <v>1207</v>
      </c>
      <c r="N283" s="216">
        <f>IFERROR(IF($E283="Inventory",VLOOKUP($C283,Inventory!$B:$I,8,FALSE()),IF($E283="Non Inventory",VLOOKUP($C283,'Non Inventory'!$B:$I,8,FALSE()),IF($E283="Services",VLOOKUP($C283,Services!$B:$I,8,FALSE()),IF($E283="Patty Cash",VLOOKUP($C283,'Patty Cash'!$B:$J,8,FALSE()),0)))),0)</f>
        <v>2400</v>
      </c>
      <c r="O283" s="217">
        <f t="shared" si="4"/>
        <v>2400</v>
      </c>
    </row>
    <row r="284" spans="1:15" ht="23.1" customHeight="1">
      <c r="A284" s="206">
        <f>IF(AND($B284="",$C284=""),"",MAX($A$3:A283)+1)</f>
        <v>281</v>
      </c>
      <c r="B284" s="207">
        <v>46181</v>
      </c>
      <c r="C284" s="208">
        <v>17049</v>
      </c>
      <c r="D284" s="209" t="str">
        <f>IFERROR(IF($E284="Inventory",VLOOKUP($C284,Inventory!$B:$I,2,FALSE()),IF($E284="Non Inventory",VLOOKUP($C284,'Non Inventory'!$B:$I,2,FALSE()),IF($E284="Services",VLOOKUP($C284,Services!$B:$I,2,FALSE()),IF($E284="Patty Cash",VLOOKUP($C284,'Patty Cash'!$B:$J,2,FALSE()),"")))),"")</f>
        <v>Cartridge Heater Vertical &amp; Horizontal 220 Valt, 800 Watt Size 10mm x 180mm(Sama Machine)Buraq</v>
      </c>
      <c r="E284" s="246" t="s">
        <v>6</v>
      </c>
      <c r="F284" s="210" t="str">
        <f>IFERROR(IF($E284="Inventory",VLOOKUP($C284,Inventory!$B:$I,3,FALSE()),IF($E284="Non Inventory",VLOOKUP($C284,'Non Inventory'!$B:$I,3,FALSE()),IF($E284="Services",VLOOKUP($C284,Services!$B:$I,3,FALSE()),IF($E284="Patty Cash",VLOOKUP($C284,'Patty Cash'!$B:$J,3,FALSE()),"")))),"")</f>
        <v>NOS</v>
      </c>
      <c r="G284" s="211">
        <v>1</v>
      </c>
      <c r="H284" s="212">
        <f>IF($E284="","",IF($E284="Inventory",IFERROR(VLOOKUP($C284,Inventory!$B:$H,7,FALSE()),0),IF($E284="Non Inventory",IFERROR(VLOOKUP($C284,'Non Inventory'!$B:$H,7,FALSE()),0),IF($E284="Services",IFERROR(VLOOKUP($C284,Services!$B:$H,7,FALSE()),0),IF($E284="Patty Cash",IFERROR(VLOOKUP($C284,'Patty Cash'!$B:$H,7,FALSE()),0),0)))))</f>
        <v>20</v>
      </c>
      <c r="I284" s="213" t="s">
        <v>1300</v>
      </c>
      <c r="J284" s="214" t="s">
        <v>67</v>
      </c>
      <c r="K284" s="215" t="s">
        <v>1211</v>
      </c>
      <c r="L284" s="197" t="s">
        <v>1204</v>
      </c>
      <c r="M284" s="215" t="s">
        <v>1207</v>
      </c>
      <c r="N284" s="216">
        <f>IFERROR(IF($E284="Inventory",VLOOKUP($C284,Inventory!$B:$I,8,FALSE()),IF($E284="Non Inventory",VLOOKUP($C284,'Non Inventory'!$B:$I,8,FALSE()),IF($E284="Services",VLOOKUP($C284,Services!$B:$I,8,FALSE()),IF($E284="Patty Cash",VLOOKUP($C284,'Patty Cash'!$B:$J,8,FALSE()),0)))),0)</f>
        <v>2000</v>
      </c>
      <c r="O284" s="217">
        <f t="shared" si="4"/>
        <v>2000</v>
      </c>
    </row>
    <row r="285" spans="1:15" ht="23.1" customHeight="1">
      <c r="A285" s="206">
        <f>IF(AND($B285="",$C285=""),"",MAX($A$3:A284)+1)</f>
        <v>282</v>
      </c>
      <c r="B285" s="207">
        <v>46181</v>
      </c>
      <c r="C285" s="208">
        <v>6301</v>
      </c>
      <c r="D285" s="209" t="str">
        <f>IFERROR(IF($E285="Inventory",VLOOKUP($C285,Inventory!$B:$I,2,FALSE()),IF($E285="Non Inventory",VLOOKUP($C285,'Non Inventory'!$B:$I,2,FALSE()),IF($E285="Services",VLOOKUP($C285,Services!$B:$I,2,FALSE()),IF($E285="Patty Cash",VLOOKUP($C285,'Patty Cash'!$B:$J,2,FALSE()),"")))),"")</f>
        <v>Tape Insulation PVC  Blue Width 3/4" x10yds Nitto/Osaka</v>
      </c>
      <c r="E285" s="246" t="s">
        <v>7</v>
      </c>
      <c r="F285" s="210" t="str">
        <f>IFERROR(IF($E285="Inventory",VLOOKUP($C285,Inventory!$B:$I,3,FALSE()),IF($E285="Non Inventory",VLOOKUP($C285,'Non Inventory'!$B:$I,3,FALSE()),IF($E285="Services",VLOOKUP($C285,Services!$B:$I,3,FALSE()),IF($E285="Patty Cash",VLOOKUP($C285,'Patty Cash'!$B:$J,3,FALSE()),"")))),"")</f>
        <v>NOS</v>
      </c>
      <c r="G285" s="211">
        <v>1</v>
      </c>
      <c r="H285" s="212">
        <f>IF($E285="","",IF($E285="Inventory",IFERROR(VLOOKUP($C285,Inventory!$B:$H,7,FALSE()),0),IF($E285="Non Inventory",IFERROR(VLOOKUP($C285,'Non Inventory'!$B:$H,7,FALSE()),0),IF($E285="Services",IFERROR(VLOOKUP($C285,Services!$B:$H,7,FALSE()),0),IF($E285="Patty Cash",IFERROR(VLOOKUP($C285,'Patty Cash'!$B:$H,7,FALSE()),0),0)))))</f>
        <v>0</v>
      </c>
      <c r="I285" s="213" t="s">
        <v>1222</v>
      </c>
      <c r="J285" s="214" t="s">
        <v>67</v>
      </c>
      <c r="K285" s="215" t="s">
        <v>1211</v>
      </c>
      <c r="L285" s="197" t="s">
        <v>1204</v>
      </c>
      <c r="M285" s="215" t="s">
        <v>1207</v>
      </c>
      <c r="N285" s="216">
        <f>IFERROR(IF($E285="Inventory",VLOOKUP($C285,Inventory!$B:$I,8,FALSE()),IF($E285="Non Inventory",VLOOKUP($C285,'Non Inventory'!$B:$I,8,FALSE()),IF($E285="Services",VLOOKUP($C285,Services!$B:$I,8,FALSE()),IF($E285="Patty Cash",VLOOKUP($C285,'Patty Cash'!$B:$J,8,FALSE()),0)))),0)</f>
        <v>57</v>
      </c>
      <c r="O285" s="217">
        <f t="shared" si="4"/>
        <v>57</v>
      </c>
    </row>
    <row r="286" spans="1:15" ht="23.1" customHeight="1">
      <c r="A286" s="206">
        <f>IF(AND($B286="",$C286=""),"",MAX($A$3:A285)+1)</f>
        <v>283</v>
      </c>
      <c r="B286" s="207">
        <v>46181</v>
      </c>
      <c r="C286" s="208">
        <v>13702</v>
      </c>
      <c r="D286" s="209" t="str">
        <f>IFERROR(IF($E286="Inventory",VLOOKUP($C286,Inventory!$B:$I,2,FALSE()),IF($E286="Non Inventory",VLOOKUP($C286,'Non Inventory'!$B:$I,2,FALSE()),IF($E286="Services",VLOOKUP($C286,Services!$B:$I,2,FALSE()),IF($E286="Patty Cash",VLOOKUP($C286,'Patty Cash'!$B:$J,2,FALSE()),"")))),"")</f>
        <v>Filter Cloth for chakki</v>
      </c>
      <c r="E286" s="246" t="s">
        <v>7</v>
      </c>
      <c r="F286" s="210" t="str">
        <f>IFERROR(IF($E286="Inventory",VLOOKUP($C286,Inventory!$B:$I,3,FALSE()),IF($E286="Non Inventory",VLOOKUP($C286,'Non Inventory'!$B:$I,3,FALSE()),IF($E286="Services",VLOOKUP($C286,Services!$B:$I,3,FALSE()),IF($E286="Patty Cash",VLOOKUP($C286,'Patty Cash'!$B:$J,3,FALSE()),"")))),"")</f>
        <v>NOS</v>
      </c>
      <c r="G286" s="211">
        <v>2</v>
      </c>
      <c r="H286" s="212">
        <f>IF($E286="","",IF($E286="Inventory",IFERROR(VLOOKUP($C286,Inventory!$B:$H,7,FALSE()),0),IF($E286="Non Inventory",IFERROR(VLOOKUP($C286,'Non Inventory'!$B:$H,7,FALSE()),0),IF($E286="Services",IFERROR(VLOOKUP($C286,Services!$B:$H,7,FALSE()),0),IF($E286="Patty Cash",IFERROR(VLOOKUP($C286,'Patty Cash'!$B:$H,7,FALSE()),0),0)))))</f>
        <v>2</v>
      </c>
      <c r="I286" s="213" t="s">
        <v>70</v>
      </c>
      <c r="J286" s="214" t="s">
        <v>67</v>
      </c>
      <c r="K286" s="215" t="s">
        <v>1197</v>
      </c>
      <c r="L286" s="197" t="s">
        <v>1195</v>
      </c>
      <c r="M286" s="215" t="s">
        <v>1196</v>
      </c>
      <c r="N286" s="216">
        <f>IFERROR(IF($E286="Inventory",VLOOKUP($C286,Inventory!$B:$I,8,FALSE()),IF($E286="Non Inventory",VLOOKUP($C286,'Non Inventory'!$B:$I,8,FALSE()),IF($E286="Services",VLOOKUP($C286,Services!$B:$I,8,FALSE()),IF($E286="Patty Cash",VLOOKUP($C286,'Patty Cash'!$B:$J,8,FALSE()),0)))),0)</f>
        <v>3500</v>
      </c>
      <c r="O286" s="217">
        <f t="shared" si="4"/>
        <v>7000</v>
      </c>
    </row>
    <row r="287" spans="1:15" ht="23.1" customHeight="1">
      <c r="A287" s="206">
        <f>IF(AND($B287="",$C287=""),"",MAX($A$3:A286)+1)</f>
        <v>284</v>
      </c>
      <c r="B287" s="207">
        <v>46182</v>
      </c>
      <c r="C287" s="208">
        <v>20525</v>
      </c>
      <c r="D287" s="209" t="str">
        <f>IFERROR(IF($E287="Inventory",VLOOKUP($C287,Inventory!$B:$I,2,FALSE()),IF($E287="Non Inventory",VLOOKUP($C287,'Non Inventory'!$B:$I,2,FALSE()),IF($E287="Services",VLOOKUP($C287,Services!$B:$I,2,FALSE()),IF($E287="Patty Cash",VLOOKUP($C287,'Patty Cash'!$B:$J,2,FALSE()),"")))),"")</f>
        <v>PWB Card P-5547: B-1 P/N#10006463101 With Software  P/N# 000700001201, P/N # 100060674500 (Ishida Machine)</v>
      </c>
      <c r="E287" s="246" t="s">
        <v>6</v>
      </c>
      <c r="F287" s="210" t="str">
        <f>IFERROR(IF($E287="Inventory",VLOOKUP($C287,Inventory!$B:$I,3,FALSE()),IF($E287="Non Inventory",VLOOKUP($C287,'Non Inventory'!$B:$I,3,FALSE()),IF($E287="Services",VLOOKUP($C287,Services!$B:$I,3,FALSE()),IF($E287="Patty Cash",VLOOKUP($C287,'Patty Cash'!$B:$J,3,FALSE()),"")))),"")</f>
        <v>NOS</v>
      </c>
      <c r="G287" s="211">
        <v>1</v>
      </c>
      <c r="H287" s="212">
        <f>IF($E287="","",IF($E287="Inventory",IFERROR(VLOOKUP($C287,Inventory!$B:$H,7,FALSE()),0),IF($E287="Non Inventory",IFERROR(VLOOKUP($C287,'Non Inventory'!$B:$H,7,FALSE()),0),IF($E287="Services",IFERROR(VLOOKUP($C287,Services!$B:$H,7,FALSE()),0),IF($E287="Patty Cash",IFERROR(VLOOKUP($C287,'Patty Cash'!$B:$H,7,FALSE()),0),0)))))</f>
        <v>0</v>
      </c>
      <c r="I287" s="213" t="s">
        <v>53</v>
      </c>
      <c r="J287" s="214" t="s">
        <v>67</v>
      </c>
      <c r="K287" s="215" t="s">
        <v>1206</v>
      </c>
      <c r="L287" s="197" t="s">
        <v>1195</v>
      </c>
      <c r="M287" s="215" t="s">
        <v>1207</v>
      </c>
      <c r="N287" s="216">
        <f>IFERROR(IF($E287="Inventory",VLOOKUP($C287,Inventory!$B:$I,8,FALSE()),IF($E287="Non Inventory",VLOOKUP($C287,'Non Inventory'!$B:$I,8,FALSE()),IF($E287="Services",VLOOKUP($C287,Services!$B:$I,8,FALSE()),IF($E287="Patty Cash",VLOOKUP($C287,'Patty Cash'!$B:$J,8,FALSE()),0)))),0)</f>
        <v>485346</v>
      </c>
      <c r="O287" s="217">
        <f t="shared" si="4"/>
        <v>485346</v>
      </c>
    </row>
    <row r="288" spans="1:15" ht="23.1" customHeight="1">
      <c r="A288" s="206">
        <f>IF(AND($B288="",$C288=""),"",MAX($A$3:A287)+1)</f>
        <v>285</v>
      </c>
      <c r="B288" s="207">
        <v>46182</v>
      </c>
      <c r="C288" s="208">
        <v>6301</v>
      </c>
      <c r="D288" s="209" t="str">
        <f>IFERROR(IF($E288="Inventory",VLOOKUP($C288,Inventory!$B:$I,2,FALSE()),IF($E288="Non Inventory",VLOOKUP($C288,'Non Inventory'!$B:$I,2,FALSE()),IF($E288="Services",VLOOKUP($C288,Services!$B:$I,2,FALSE()),IF($E288="Patty Cash",VLOOKUP($C288,'Patty Cash'!$B:$J,2,FALSE()),"")))),"")</f>
        <v>Tape Insulation PVC  Blue Width 3/4" x10yds Nitto/Osaka</v>
      </c>
      <c r="E288" s="246" t="s">
        <v>7</v>
      </c>
      <c r="F288" s="210" t="str">
        <f>IFERROR(IF($E288="Inventory",VLOOKUP($C288,Inventory!$B:$I,3,FALSE()),IF($E288="Non Inventory",VLOOKUP($C288,'Non Inventory'!$B:$I,3,FALSE()),IF($E288="Services",VLOOKUP($C288,Services!$B:$I,3,FALSE()),IF($E288="Patty Cash",VLOOKUP($C288,'Patty Cash'!$B:$J,3,FALSE()),"")))),"")</f>
        <v>NOS</v>
      </c>
      <c r="G288" s="211">
        <v>1</v>
      </c>
      <c r="H288" s="212">
        <f>IF($E288="","",IF($E288="Inventory",IFERROR(VLOOKUP($C288,Inventory!$B:$H,7,FALSE()),0),IF($E288="Non Inventory",IFERROR(VLOOKUP($C288,'Non Inventory'!$B:$H,7,FALSE()),0),IF($E288="Services",IFERROR(VLOOKUP($C288,Services!$B:$H,7,FALSE()),0),IF($E288="Patty Cash",IFERROR(VLOOKUP($C288,'Patty Cash'!$B:$H,7,FALSE()),0),0)))))</f>
        <v>0</v>
      </c>
      <c r="I288" s="213" t="s">
        <v>1222</v>
      </c>
      <c r="J288" s="214" t="s">
        <v>67</v>
      </c>
      <c r="K288" s="215" t="s">
        <v>1386</v>
      </c>
      <c r="L288" s="197" t="s">
        <v>1195</v>
      </c>
      <c r="M288" s="215" t="s">
        <v>1207</v>
      </c>
      <c r="N288" s="216">
        <f>IFERROR(IF($E288="Inventory",VLOOKUP($C288,Inventory!$B:$I,8,FALSE()),IF($E288="Non Inventory",VLOOKUP($C288,'Non Inventory'!$B:$I,8,FALSE()),IF($E288="Services",VLOOKUP($C288,Services!$B:$I,8,FALSE()),IF($E288="Patty Cash",VLOOKUP($C288,'Patty Cash'!$B:$J,8,FALSE()),0)))),0)</f>
        <v>57</v>
      </c>
      <c r="O288" s="217">
        <f t="shared" si="4"/>
        <v>57</v>
      </c>
    </row>
    <row r="289" spans="1:15" ht="23.1" customHeight="1">
      <c r="A289" s="206">
        <f>IF(AND($B289="",$C289=""),"",MAX($A$3:A288)+1)</f>
        <v>286</v>
      </c>
      <c r="B289" s="207">
        <v>46182</v>
      </c>
      <c r="C289" s="208">
        <v>2026</v>
      </c>
      <c r="D289" s="209" t="str">
        <f>IFERROR(IF($E289="Inventory",VLOOKUP($C289,Inventory!$B:$I,2,FALSE()),IF($E289="Non Inventory",VLOOKUP($C289,'Non Inventory'!$B:$I,2,FALSE()),IF($E289="Services",VLOOKUP($C289,Services!$B:$I,2,FALSE()),IF($E289="Patty Cash",VLOOKUP($C289,'Patty Cash'!$B:$J,2,FALSE()),"")))),"")</f>
        <v>BALL BEARING TYPE 6204 2ZR C3</v>
      </c>
      <c r="E289" s="246" t="s">
        <v>6</v>
      </c>
      <c r="F289" s="210" t="str">
        <f>IFERROR(IF($E289="Inventory",VLOOKUP($C289,Inventory!$B:$I,3,FALSE()),IF($E289="Non Inventory",VLOOKUP($C289,'Non Inventory'!$B:$I,3,FALSE()),IF($E289="Services",VLOOKUP($C289,Services!$B:$I,3,FALSE()),IF($E289="Patty Cash",VLOOKUP($C289,'Patty Cash'!$B:$J,3,FALSE()),"")))),"")</f>
        <v>PCS</v>
      </c>
      <c r="G289" s="211">
        <v>1</v>
      </c>
      <c r="H289" s="212">
        <f>IF($E289="","",IF($E289="Inventory",IFERROR(VLOOKUP($C289,Inventory!$B:$H,7,FALSE()),0),IF($E289="Non Inventory",IFERROR(VLOOKUP($C289,'Non Inventory'!$B:$H,7,FALSE()),0),IF($E289="Services",IFERROR(VLOOKUP($C289,Services!$B:$H,7,FALSE()),0),IF($E289="Patty Cash",IFERROR(VLOOKUP($C289,'Patty Cash'!$B:$H,7,FALSE()),0),0)))))</f>
        <v>10</v>
      </c>
      <c r="I289" s="213" t="s">
        <v>58</v>
      </c>
      <c r="J289" s="214" t="s">
        <v>1631</v>
      </c>
      <c r="K289" s="215" t="s">
        <v>1232</v>
      </c>
      <c r="L289" s="197" t="s">
        <v>1195</v>
      </c>
      <c r="M289" s="215" t="s">
        <v>1196</v>
      </c>
      <c r="N289" s="216">
        <f>IFERROR(IF($E289="Inventory",VLOOKUP($C289,Inventory!$B:$I,8,FALSE()),IF($E289="Non Inventory",VLOOKUP($C289,'Non Inventory'!$B:$I,8,FALSE()),IF($E289="Services",VLOOKUP($C289,Services!$B:$I,8,FALSE()),IF($E289="Patty Cash",VLOOKUP($C289,'Patty Cash'!$B:$J,8,FALSE()),0)))),0)</f>
        <v>1188</v>
      </c>
      <c r="O289" s="217">
        <f t="shared" si="4"/>
        <v>1188</v>
      </c>
    </row>
    <row r="290" spans="1:15" ht="23.1" customHeight="1">
      <c r="A290" s="206">
        <f>IF(AND($B290="",$C290=""),"",MAX($A$3:A289)+1)</f>
        <v>287</v>
      </c>
      <c r="B290" s="207">
        <v>46182</v>
      </c>
      <c r="C290" s="208">
        <v>1943</v>
      </c>
      <c r="D290" s="209" t="str">
        <f>IFERROR(IF($E290="Inventory",VLOOKUP($C290,Inventory!$B:$I,2,FALSE()),IF($E290="Non Inventory",VLOOKUP($C290,'Non Inventory'!$B:$I,2,FALSE()),IF($E290="Services",VLOOKUP($C290,Services!$B:$I,2,FALSE()),IF($E290="Patty Cash",VLOOKUP($C290,'Patty Cash'!$B:$J,2,FALSE()),"")))),"")</f>
        <v>BALL BEARING TYPE : 6205 2ZR</v>
      </c>
      <c r="E290" s="246" t="s">
        <v>6</v>
      </c>
      <c r="F290" s="210" t="str">
        <f>IFERROR(IF($E290="Inventory",VLOOKUP($C290,Inventory!$B:$I,3,FALSE()),IF($E290="Non Inventory",VLOOKUP($C290,'Non Inventory'!$B:$I,3,FALSE()),IF($E290="Services",VLOOKUP($C290,Services!$B:$I,3,FALSE()),IF($E290="Patty Cash",VLOOKUP($C290,'Patty Cash'!$B:$J,3,FALSE()),"")))),"")</f>
        <v>NOS</v>
      </c>
      <c r="G290" s="211">
        <v>1</v>
      </c>
      <c r="H290" s="212">
        <f>IF($E290="","",IF($E290="Inventory",IFERROR(VLOOKUP($C290,Inventory!$B:$H,7,FALSE()),0),IF($E290="Non Inventory",IFERROR(VLOOKUP($C290,'Non Inventory'!$B:$H,7,FALSE()),0),IF($E290="Services",IFERROR(VLOOKUP($C290,Services!$B:$H,7,FALSE()),0),IF($E290="Patty Cash",IFERROR(VLOOKUP($C290,'Patty Cash'!$B:$H,7,FALSE()),0),0)))))</f>
        <v>7</v>
      </c>
      <c r="I290" s="213" t="s">
        <v>58</v>
      </c>
      <c r="J290" s="214" t="s">
        <v>1631</v>
      </c>
      <c r="K290" s="215" t="s">
        <v>1232</v>
      </c>
      <c r="L290" s="197" t="s">
        <v>1195</v>
      </c>
      <c r="M290" s="215" t="s">
        <v>1196</v>
      </c>
      <c r="N290" s="216">
        <f>IFERROR(IF($E290="Inventory",VLOOKUP($C290,Inventory!$B:$I,8,FALSE()),IF($E290="Non Inventory",VLOOKUP($C290,'Non Inventory'!$B:$I,8,FALSE()),IF($E290="Services",VLOOKUP($C290,Services!$B:$I,8,FALSE()),IF($E290="Patty Cash",VLOOKUP($C290,'Patty Cash'!$B:$J,8,FALSE()),0)))),0)</f>
        <v>1688</v>
      </c>
      <c r="O290" s="217">
        <f t="shared" si="4"/>
        <v>1688</v>
      </c>
    </row>
    <row r="291" spans="1:15" ht="23.1" customHeight="1">
      <c r="A291" s="206">
        <f>IF(AND($B291="",$C291=""),"",MAX($A$3:A290)+1)</f>
        <v>288</v>
      </c>
      <c r="B291" s="207">
        <v>46182</v>
      </c>
      <c r="C291" s="208">
        <v>2275</v>
      </c>
      <c r="D291" s="209" t="str">
        <f>IFERROR(IF($E291="Inventory",VLOOKUP($C291,Inventory!$B:$I,2,FALSE()),IF($E291="Non Inventory",VLOOKUP($C291,'Non Inventory'!$B:$I,2,FALSE()),IF($E291="Services",VLOOKUP($C291,Services!$B:$I,2,FALSE()),IF($E291="Patty Cash",VLOOKUP($C291,'Patty Cash'!$B:$J,2,FALSE()),"")))),"")</f>
        <v>Push BUTTON Green NORMAL</v>
      </c>
      <c r="E291" s="246" t="s">
        <v>6</v>
      </c>
      <c r="F291" s="210" t="str">
        <f>IFERROR(IF($E291="Inventory",VLOOKUP($C291,Inventory!$B:$I,3,FALSE()),IF($E291="Non Inventory",VLOOKUP($C291,'Non Inventory'!$B:$I,3,FALSE()),IF($E291="Services",VLOOKUP($C291,Services!$B:$I,3,FALSE()),IF($E291="Patty Cash",VLOOKUP($C291,'Patty Cash'!$B:$J,3,FALSE()),"")))),"")</f>
        <v>NOS</v>
      </c>
      <c r="G291" s="211">
        <v>1</v>
      </c>
      <c r="H291" s="212">
        <f>IF($E291="","",IF($E291="Inventory",IFERROR(VLOOKUP($C291,Inventory!$B:$H,7,FALSE()),0),IF($E291="Non Inventory",IFERROR(VLOOKUP($C291,'Non Inventory'!$B:$H,7,FALSE()),0),IF($E291="Services",IFERROR(VLOOKUP($C291,Services!$B:$H,7,FALSE()),0),IF($E291="Patty Cash",IFERROR(VLOOKUP($C291,'Patty Cash'!$B:$H,7,FALSE()),0),0)))))</f>
        <v>8</v>
      </c>
      <c r="I291" s="213" t="s">
        <v>44</v>
      </c>
      <c r="J291" s="214" t="s">
        <v>67</v>
      </c>
      <c r="K291" s="215" t="s">
        <v>1386</v>
      </c>
      <c r="L291" s="197" t="s">
        <v>1195</v>
      </c>
      <c r="M291" s="215" t="s">
        <v>1207</v>
      </c>
      <c r="N291" s="216">
        <f>IFERROR(IF($E291="Inventory",VLOOKUP($C291,Inventory!$B:$I,8,FALSE()),IF($E291="Non Inventory",VLOOKUP($C291,'Non Inventory'!$B:$I,8,FALSE()),IF($E291="Services",VLOOKUP($C291,Services!$B:$I,8,FALSE()),IF($E291="Patty Cash",VLOOKUP($C291,'Patty Cash'!$B:$J,8,FALSE()),0)))),0)</f>
        <v>470</v>
      </c>
      <c r="O291" s="217">
        <f t="shared" si="4"/>
        <v>470</v>
      </c>
    </row>
    <row r="292" spans="1:15" ht="23.1" customHeight="1">
      <c r="A292" s="206">
        <f>IF(AND($B292="",$C292=""),"",MAX($A$3:A291)+1)</f>
        <v>289</v>
      </c>
      <c r="B292" s="207">
        <v>46182</v>
      </c>
      <c r="C292" s="208" t="s">
        <v>1634</v>
      </c>
      <c r="D292" s="209" t="str">
        <f>IFERROR(IF($E292="Inventory",VLOOKUP($C292,Inventory!$B:$I,2,FALSE()),IF($E292="Non Inventory",VLOOKUP($C292,'Non Inventory'!$B:$I,2,FALSE()),IF($E292="Services",VLOOKUP($C292,Services!$B:$I,2,FALSE()),IF($E292="Patty Cash",VLOOKUP($C292,'Patty Cash'!$B:$J,2,FALSE()),"")))),"")</f>
        <v xml:space="preserve">Magic Varnish </v>
      </c>
      <c r="E292" s="246" t="s">
        <v>1327</v>
      </c>
      <c r="F292" s="210" t="str">
        <f>IFERROR(IF($E292="Inventory",VLOOKUP($C292,Inventory!$B:$I,3,FALSE()),IF($E292="Non Inventory",VLOOKUP($C292,'Non Inventory'!$B:$I,3,FALSE()),IF($E292="Services",VLOOKUP($C292,Services!$B:$I,3,FALSE()),IF($E292="Patty Cash",VLOOKUP($C292,'Patty Cash'!$B:$J,3,FALSE()),"")))),"")</f>
        <v>SET</v>
      </c>
      <c r="G292" s="211">
        <v>1</v>
      </c>
      <c r="H292" s="212">
        <f>IF($E292="","",IF($E292="Inventory",IFERROR(VLOOKUP($C292,Inventory!$B:$H,7,FALSE()),0),IF($E292="Non Inventory",IFERROR(VLOOKUP($C292,'Non Inventory'!$B:$H,7,FALSE()),0),IF($E292="Services",IFERROR(VLOOKUP($C292,Services!$B:$H,7,FALSE()),0),IF($E292="Patty Cash",IFERROR(VLOOKUP($C292,'Patty Cash'!$B:$H,7,FALSE()),0),0)))))</f>
        <v>0</v>
      </c>
      <c r="I292" s="213" t="s">
        <v>1222</v>
      </c>
      <c r="J292" s="214" t="s">
        <v>67</v>
      </c>
      <c r="K292" s="215" t="s">
        <v>1238</v>
      </c>
      <c r="L292" s="197" t="s">
        <v>1195</v>
      </c>
      <c r="M292" s="215" t="s">
        <v>1207</v>
      </c>
      <c r="N292" s="216">
        <f>IFERROR(IF($E292="Inventory",VLOOKUP($C292,Inventory!$B:$I,8,FALSE()),IF($E292="Non Inventory",VLOOKUP($C292,'Non Inventory'!$B:$I,8,FALSE()),IF($E292="Services",VLOOKUP($C292,Services!$B:$I,8,FALSE()),IF($E292="Patty Cash",VLOOKUP($C292,'Patty Cash'!$B:$J,8,FALSE()),0)))),0)</f>
        <v>250</v>
      </c>
      <c r="O292" s="217">
        <f t="shared" si="4"/>
        <v>250</v>
      </c>
    </row>
    <row r="293" spans="1:15" ht="23.1" customHeight="1">
      <c r="A293" s="206">
        <f>IF(AND($B293="",$C293=""),"",MAX($A$3:A292)+1)</f>
        <v>290</v>
      </c>
      <c r="B293" s="207">
        <v>46182</v>
      </c>
      <c r="C293" s="208" t="s">
        <v>1635</v>
      </c>
      <c r="D293" s="209" t="str">
        <f>IFERROR(IF($E293="Inventory",VLOOKUP($C293,Inventory!$B:$I,2,FALSE()),IF($E293="Non Inventory",VLOOKUP($C293,'Non Inventory'!$B:$I,2,FALSE()),IF($E293="Services",VLOOKUP($C293,Services!$B:$I,2,FALSE()),IF($E293="Patty Cash",VLOOKUP($C293,'Patty Cash'!$B:$J,2,FALSE()),"")))),"")</f>
        <v>Battery Terminals</v>
      </c>
      <c r="E293" s="246" t="s">
        <v>1327</v>
      </c>
      <c r="F293" s="210" t="str">
        <f>IFERROR(IF($E293="Inventory",VLOOKUP($C293,Inventory!$B:$I,3,FALSE()),IF($E293="Non Inventory",VLOOKUP($C293,'Non Inventory'!$B:$I,3,FALSE()),IF($E293="Services",VLOOKUP($C293,Services!$B:$I,3,FALSE()),IF($E293="Patty Cash",VLOOKUP($C293,'Patty Cash'!$B:$J,3,FALSE()),"")))),"")</f>
        <v>NOS</v>
      </c>
      <c r="G293" s="211">
        <v>2</v>
      </c>
      <c r="H293" s="212">
        <f>IF($E293="","",IF($E293="Inventory",IFERROR(VLOOKUP($C293,Inventory!$B:$H,7,FALSE()),0),IF($E293="Non Inventory",IFERROR(VLOOKUP($C293,'Non Inventory'!$B:$H,7,FALSE()),0),IF($E293="Services",IFERROR(VLOOKUP($C293,Services!$B:$H,7,FALSE()),0),IF($E293="Patty Cash",IFERROR(VLOOKUP($C293,'Patty Cash'!$B:$H,7,FALSE()),0),0)))))</f>
        <v>0</v>
      </c>
      <c r="I293" s="213" t="s">
        <v>1222</v>
      </c>
      <c r="J293" s="214" t="s">
        <v>67</v>
      </c>
      <c r="K293" s="215" t="s">
        <v>1238</v>
      </c>
      <c r="L293" s="197" t="s">
        <v>1195</v>
      </c>
      <c r="M293" s="215" t="s">
        <v>1207</v>
      </c>
      <c r="N293" s="216">
        <f>IFERROR(IF($E293="Inventory",VLOOKUP($C293,Inventory!$B:$I,8,FALSE()),IF($E293="Non Inventory",VLOOKUP($C293,'Non Inventory'!$B:$I,8,FALSE()),IF($E293="Services",VLOOKUP($C293,Services!$B:$I,8,FALSE()),IF($E293="Patty Cash",VLOOKUP($C293,'Patty Cash'!$B:$J,8,FALSE()),0)))),0)</f>
        <v>200</v>
      </c>
      <c r="O293" s="217">
        <f t="shared" si="4"/>
        <v>400</v>
      </c>
    </row>
    <row r="294" spans="1:15" ht="23.1" customHeight="1">
      <c r="A294" s="206">
        <f>IF(AND($B294="",$C294=""),"",MAX($A$3:A293)+1)</f>
        <v>291</v>
      </c>
      <c r="B294" s="207">
        <v>46182</v>
      </c>
      <c r="C294" s="208">
        <v>98370</v>
      </c>
      <c r="D294" s="209" t="str">
        <f>IFERROR(IF($E294="Inventory",VLOOKUP($C294,Inventory!$B:$I,2,FALSE()),IF($E294="Non Inventory",VLOOKUP($C294,'Non Inventory'!$B:$I,2,FALSE()),IF($E294="Services",VLOOKUP($C294,Services!$B:$I,2,FALSE()),IF($E294="Patty Cash",VLOOKUP($C294,'Patty Cash'!$B:$J,2,FALSE()),"")))),"")</f>
        <v>Folder Tape</v>
      </c>
      <c r="E294" s="246" t="s">
        <v>7</v>
      </c>
      <c r="F294" s="210" t="str">
        <f>IFERROR(IF($E294="Inventory",VLOOKUP($C294,Inventory!$B:$I,3,FALSE()),IF($E294="Non Inventory",VLOOKUP($C294,'Non Inventory'!$B:$I,3,FALSE()),IF($E294="Services",VLOOKUP($C294,Services!$B:$I,3,FALSE()),IF($E294="Patty Cash",VLOOKUP($C294,'Patty Cash'!$B:$J,3,FALSE()),"")))),"")</f>
        <v>NOS</v>
      </c>
      <c r="G294" s="211">
        <v>6</v>
      </c>
      <c r="H294" s="212">
        <f>IF($E294="","",IF($E294="Inventory",IFERROR(VLOOKUP($C294,Inventory!$B:$H,7,FALSE()),0),IF($E294="Non Inventory",IFERROR(VLOOKUP($C294,'Non Inventory'!$B:$H,7,FALSE()),0),IF($E294="Services",IFERROR(VLOOKUP($C294,Services!$B:$H,7,FALSE()),0),IF($E294="Patty Cash",IFERROR(VLOOKUP($C294,'Patty Cash'!$B:$H,7,FALSE()),0),0)))))</f>
        <v>440</v>
      </c>
      <c r="I294" s="213" t="s">
        <v>48</v>
      </c>
      <c r="J294" s="214" t="s">
        <v>1640</v>
      </c>
      <c r="K294" s="215" t="s">
        <v>1197</v>
      </c>
      <c r="L294" s="197" t="s">
        <v>1195</v>
      </c>
      <c r="M294" s="215" t="s">
        <v>1196</v>
      </c>
      <c r="N294" s="216">
        <f>IFERROR(IF($E294="Inventory",VLOOKUP($C294,Inventory!$B:$I,8,FALSE()),IF($E294="Non Inventory",VLOOKUP($C294,'Non Inventory'!$B:$I,8,FALSE()),IF($E294="Services",VLOOKUP($C294,Services!$B:$I,8,FALSE()),IF($E294="Patty Cash",VLOOKUP($C294,'Patty Cash'!$B:$J,8,FALSE()),0)))),0)</f>
        <v>128</v>
      </c>
      <c r="O294" s="217">
        <f t="shared" si="4"/>
        <v>768</v>
      </c>
    </row>
    <row r="295" spans="1:15" ht="23.1" customHeight="1">
      <c r="A295" s="206">
        <f>IF(AND($B295="",$C295=""),"",MAX($A$3:A294)+1)</f>
        <v>292</v>
      </c>
      <c r="B295" s="207">
        <v>46160</v>
      </c>
      <c r="C295" s="208">
        <v>21794</v>
      </c>
      <c r="D295" s="209" t="str">
        <f>IFERROR(IF($E295="Inventory",VLOOKUP($C295,Inventory!$B:$I,2,FALSE()),IF($E295="Non Inventory",VLOOKUP($C295,'Non Inventory'!$B:$I,2,FALSE()),IF($E295="Services",VLOOKUP($C295,Services!$B:$I,2,FALSE()),IF($E295="Patty Cash",VLOOKUP($C295,'Patty Cash'!$B:$J,2,FALSE()),"")))),"")</f>
        <v>Serv. Gear Box Repairing Charges
Gear box of Tecalit Silo repairing complete (new brass gear installed, new bearing &amp; new worm repairing with new oil seals)</v>
      </c>
      <c r="E295" s="246" t="s">
        <v>1280</v>
      </c>
      <c r="F295" s="210" t="str">
        <f>IFERROR(IF($E295="Inventory",VLOOKUP($C295,Inventory!$B:$I,3,FALSE()),IF($E295="Non Inventory",VLOOKUP($C295,'Non Inventory'!$B:$I,3,FALSE()),IF($E295="Services",VLOOKUP($C295,Services!$B:$I,3,FALSE()),IF($E295="Patty Cash",VLOOKUP($C295,'Patty Cash'!$B:$J,3,FALSE()),"")))),"")</f>
        <v>JOB</v>
      </c>
      <c r="G295" s="211">
        <v>3</v>
      </c>
      <c r="H295" s="212">
        <f>IF($E295="","",IF($E295="Inventory",IFERROR(VLOOKUP($C295,Inventory!$B:$H,7,FALSE()),0),IF($E295="Non Inventory",IFERROR(VLOOKUP($C295,'Non Inventory'!$B:$H,7,FALSE()),0),IF($E295="Services",IFERROR(VLOOKUP($C295,Services!$B:$H,7,FALSE()),0),IF($E295="Patty Cash",IFERROR(VLOOKUP($C295,'Patty Cash'!$B:$H,7,FALSE()),0),0)))))</f>
        <v>0</v>
      </c>
      <c r="I295" s="213" t="s">
        <v>57</v>
      </c>
      <c r="J295" s="214" t="s">
        <v>1644</v>
      </c>
      <c r="K295" s="215" t="s">
        <v>1415</v>
      </c>
      <c r="L295" s="197" t="s">
        <v>1195</v>
      </c>
      <c r="M295" s="215" t="s">
        <v>1196</v>
      </c>
      <c r="N295" s="216">
        <f>IFERROR(IF($E295="Inventory",VLOOKUP($C295,Inventory!$B:$I,8,FALSE()),IF($E295="Non Inventory",VLOOKUP($C295,'Non Inventory'!$B:$I,8,FALSE()),IF($E295="Services",VLOOKUP($C295,Services!$B:$I,8,FALSE()),IF($E295="Patty Cash",VLOOKUP($C295,'Patty Cash'!$B:$J,8,FALSE()),0)))),0)</f>
        <v>8900</v>
      </c>
      <c r="O295" s="217">
        <f t="shared" si="4"/>
        <v>26700</v>
      </c>
    </row>
    <row r="296" spans="1:15" ht="23.1" customHeight="1">
      <c r="A296" s="206">
        <f>IF(AND($B296="",$C296=""),"",MAX($A$3:A295)+1)</f>
        <v>293</v>
      </c>
      <c r="B296" s="207">
        <v>46182</v>
      </c>
      <c r="C296" s="208">
        <v>7706</v>
      </c>
      <c r="D296" s="209" t="str">
        <f>IFERROR(IF($E296="Inventory",VLOOKUP($C296,Inventory!$B:$I,2,FALSE()),IF($E296="Non Inventory",VLOOKUP($C296,'Non Inventory'!$B:$I,2,FALSE()),IF($E296="Services",VLOOKUP($C296,Services!$B:$I,2,FALSE()),IF($E296="Patty Cash",VLOOKUP($C296,'Patty Cash'!$B:$J,2,FALSE()),"")))),"")</f>
        <v>Log Books</v>
      </c>
      <c r="E296" s="246" t="s">
        <v>7</v>
      </c>
      <c r="F296" s="210" t="str">
        <f>IFERROR(IF($E296="Inventory",VLOOKUP($C296,Inventory!$B:$I,3,FALSE()),IF($E296="Non Inventory",VLOOKUP($C296,'Non Inventory'!$B:$I,3,FALSE()),IF($E296="Services",VLOOKUP($C296,Services!$B:$I,3,FALSE()),IF($E296="Patty Cash",VLOOKUP($C296,'Patty Cash'!$B:$J,3,FALSE()),"")))),"")</f>
        <v>NOS</v>
      </c>
      <c r="G296" s="211">
        <v>1</v>
      </c>
      <c r="H296" s="212">
        <f>IF($E296="","",IF($E296="Inventory",IFERROR(VLOOKUP($C296,Inventory!$B:$H,7,FALSE()),0),IF($E296="Non Inventory",IFERROR(VLOOKUP($C296,'Non Inventory'!$B:$H,7,FALSE()),0),IF($E296="Services",IFERROR(VLOOKUP($C296,Services!$B:$H,7,FALSE()),0),IF($E296="Patty Cash",IFERROR(VLOOKUP($C296,'Patty Cash'!$B:$H,7,FALSE()),0),0)))))</f>
        <v>50</v>
      </c>
      <c r="I296" s="213" t="s">
        <v>1306</v>
      </c>
      <c r="J296" s="214" t="s">
        <v>67</v>
      </c>
      <c r="K296" s="215" t="s">
        <v>1556</v>
      </c>
      <c r="L296" s="197" t="s">
        <v>1195</v>
      </c>
      <c r="M296" s="215" t="s">
        <v>1196</v>
      </c>
      <c r="N296" s="216">
        <f>IFERROR(IF($E296="Inventory",VLOOKUP($C296,Inventory!$B:$I,8,FALSE()),IF($E296="Non Inventory",VLOOKUP($C296,'Non Inventory'!$B:$I,8,FALSE()),IF($E296="Services",VLOOKUP($C296,Services!$B:$I,8,FALSE()),IF($E296="Patty Cash",VLOOKUP($C296,'Patty Cash'!$B:$J,8,FALSE()),0)))),0)</f>
        <v>900</v>
      </c>
      <c r="O296" s="217">
        <f t="shared" si="4"/>
        <v>900</v>
      </c>
    </row>
    <row r="297" spans="1:15" ht="23.1" customHeight="1">
      <c r="A297" s="206">
        <f>IF(AND($B297="",$C297=""),"",MAX($A$3:A296)+1)</f>
        <v>294</v>
      </c>
      <c r="B297" s="207">
        <v>46182</v>
      </c>
      <c r="C297" s="208">
        <v>17622</v>
      </c>
      <c r="D297" s="209" t="str">
        <f>IFERROR(IF($E297="Inventory",VLOOKUP($C297,Inventory!$B:$I,2,FALSE()),IF($E297="Non Inventory",VLOOKUP($C297,'Non Inventory'!$B:$I,2,FALSE()),IF($E297="Services",VLOOKUP($C297,Services!$B:$I,2,FALSE()),IF($E297="Patty Cash",VLOOKUP($C297,'Patty Cash'!$B:$J,2,FALSE()),"")))),"")</f>
        <v>Horizontal Jaws Pin Size Length 65mm, Dia 15mm, Material S.S (Ishida Machine)</v>
      </c>
      <c r="E297" s="246" t="s">
        <v>6</v>
      </c>
      <c r="F297" s="210" t="str">
        <f>IFERROR(IF($E297="Inventory",VLOOKUP($C297,Inventory!$B:$I,3,FALSE()),IF($E297="Non Inventory",VLOOKUP($C297,'Non Inventory'!$B:$I,3,FALSE()),IF($E297="Services",VLOOKUP($C297,Services!$B:$I,3,FALSE()),IF($E297="Patty Cash",VLOOKUP($C297,'Patty Cash'!$B:$J,3,FALSE()),"")))),"")</f>
        <v>NOS</v>
      </c>
      <c r="G297" s="211">
        <v>1</v>
      </c>
      <c r="H297" s="212">
        <f>IF($E297="","",IF($E297="Inventory",IFERROR(VLOOKUP($C297,Inventory!$B:$H,7,FALSE()),0),IF($E297="Non Inventory",IFERROR(VLOOKUP($C297,'Non Inventory'!$B:$H,7,FALSE()),0),IF($E297="Services",IFERROR(VLOOKUP($C297,Services!$B:$H,7,FALSE()),0),IF($E297="Patty Cash",IFERROR(VLOOKUP($C297,'Patty Cash'!$B:$H,7,FALSE()),0),0)))))</f>
        <v>12</v>
      </c>
      <c r="I297" s="213" t="s">
        <v>41</v>
      </c>
      <c r="J297" s="214" t="s">
        <v>1250</v>
      </c>
      <c r="K297" s="215" t="s">
        <v>1214</v>
      </c>
      <c r="L297" s="197" t="s">
        <v>1204</v>
      </c>
      <c r="M297" s="215" t="s">
        <v>1196</v>
      </c>
      <c r="N297" s="216">
        <f>IFERROR(IF($E297="Inventory",VLOOKUP($C297,Inventory!$B:$I,8,FALSE()),IF($E297="Non Inventory",VLOOKUP($C297,'Non Inventory'!$B:$I,8,FALSE()),IF($E297="Services",VLOOKUP($C297,Services!$B:$I,8,FALSE()),IF($E297="Patty Cash",VLOOKUP($C297,'Patty Cash'!$B:$J,8,FALSE()),0)))),0)</f>
        <v>2600</v>
      </c>
      <c r="O297" s="217">
        <f t="shared" si="4"/>
        <v>2600</v>
      </c>
    </row>
    <row r="298" spans="1:15" ht="23.1" customHeight="1">
      <c r="A298" s="206">
        <f>IF(AND($B298="",$C298=""),"",MAX($A$3:A297)+1)</f>
        <v>295</v>
      </c>
      <c r="B298" s="207">
        <v>46182</v>
      </c>
      <c r="C298" s="208">
        <v>15596</v>
      </c>
      <c r="D298" s="209" t="str">
        <f>IFERROR(IF($E298="Inventory",VLOOKUP($C298,Inventory!$B:$I,2,FALSE()),IF($E298="Non Inventory",VLOOKUP($C298,'Non Inventory'!$B:$I,2,FALSE()),IF($E298="Services",VLOOKUP($C298,Services!$B:$I,2,FALSE()),IF($E298="Patty Cash",VLOOKUP($C298,'Patty Cash'!$B:$J,2,FALSE()),"")))),"")</f>
        <v>Thermocouple K Type Size 3mm X 50mm</v>
      </c>
      <c r="E298" s="246" t="s">
        <v>6</v>
      </c>
      <c r="F298" s="210" t="str">
        <f>IFERROR(IF($E298="Inventory",VLOOKUP($C298,Inventory!$B:$I,3,FALSE()),IF($E298="Non Inventory",VLOOKUP($C298,'Non Inventory'!$B:$I,3,FALSE()),IF($E298="Services",VLOOKUP($C298,Services!$B:$I,3,FALSE()),IF($E298="Patty Cash",VLOOKUP($C298,'Patty Cash'!$B:$J,3,FALSE()),"")))),"")</f>
        <v>NOS</v>
      </c>
      <c r="G298" s="211">
        <v>1</v>
      </c>
      <c r="H298" s="212">
        <f>IF($E298="","",IF($E298="Inventory",IFERROR(VLOOKUP($C298,Inventory!$B:$H,7,FALSE()),0),IF($E298="Non Inventory",IFERROR(VLOOKUP($C298,'Non Inventory'!$B:$H,7,FALSE()),0),IF($E298="Services",IFERROR(VLOOKUP($C298,Services!$B:$H,7,FALSE()),0),IF($E298="Patty Cash",IFERROR(VLOOKUP($C298,'Patty Cash'!$B:$H,7,FALSE()),0),0)))))</f>
        <v>13</v>
      </c>
      <c r="I298" s="213" t="s">
        <v>40</v>
      </c>
      <c r="J298" s="214" t="s">
        <v>67</v>
      </c>
      <c r="K298" s="215" t="s">
        <v>1211</v>
      </c>
      <c r="L298" s="197" t="s">
        <v>1204</v>
      </c>
      <c r="M298" s="215" t="s">
        <v>1207</v>
      </c>
      <c r="N298" s="216">
        <f>IFERROR(IF($E298="Inventory",VLOOKUP($C298,Inventory!$B:$I,8,FALSE()),IF($E298="Non Inventory",VLOOKUP($C298,'Non Inventory'!$B:$I,8,FALSE()),IF($E298="Services",VLOOKUP($C298,Services!$B:$I,8,FALSE()),IF($E298="Patty Cash",VLOOKUP($C298,'Patty Cash'!$B:$J,8,FALSE()),0)))),0)</f>
        <v>1500</v>
      </c>
      <c r="O298" s="217">
        <f t="shared" si="4"/>
        <v>1500</v>
      </c>
    </row>
    <row r="299" spans="1:15" ht="23.1" customHeight="1">
      <c r="A299" s="206">
        <f>IF(AND($B299="",$C299=""),"",MAX($A$3:A298)+1)</f>
        <v>296</v>
      </c>
      <c r="B299" s="207">
        <v>46182</v>
      </c>
      <c r="C299" s="208">
        <v>25480</v>
      </c>
      <c r="D299" s="209" t="str">
        <f>IFERROR(IF($E299="Inventory",VLOOKUP($C299,Inventory!$B:$I,2,FALSE()),IF($E299="Non Inventory",VLOOKUP($C299,'Non Inventory'!$B:$I,2,FALSE()),IF($E299="Services",VLOOKUP($C299,Services!$B:$I,2,FALSE()),IF($E299="Patty Cash",VLOOKUP($C299,'Patty Cash'!$B:$J,2,FALSE()),"")))),"")</f>
        <v>White Polyester Woven Tape Size 1" For Electrical Motor Rewinding</v>
      </c>
      <c r="E299" s="246" t="s">
        <v>7</v>
      </c>
      <c r="F299" s="210" t="str">
        <f>IFERROR(IF($E299="Inventory",VLOOKUP($C299,Inventory!$B:$I,3,FALSE()),IF($E299="Non Inventory",VLOOKUP($C299,'Non Inventory'!$B:$I,3,FALSE()),IF($E299="Services",VLOOKUP($C299,Services!$B:$I,3,FALSE()),IF($E299="Patty Cash",VLOOKUP($C299,'Patty Cash'!$B:$J,3,FALSE()),"")))),"")</f>
        <v>ROL</v>
      </c>
      <c r="G299" s="211">
        <v>6</v>
      </c>
      <c r="H299" s="212">
        <f>IF($E299="","",IF($E299="Inventory",IFERROR(VLOOKUP($C299,Inventory!$B:$H,7,FALSE()),0),IF($E299="Non Inventory",IFERROR(VLOOKUP($C299,'Non Inventory'!$B:$H,7,FALSE()),0),IF($E299="Services",IFERROR(VLOOKUP($C299,Services!$B:$H,7,FALSE()),0),IF($E299="Patty Cash",IFERROR(VLOOKUP($C299,'Patty Cash'!$B:$H,7,FALSE()),0),0)))))</f>
        <v>0</v>
      </c>
      <c r="I299" s="213" t="s">
        <v>1222</v>
      </c>
      <c r="J299" s="214" t="s">
        <v>67</v>
      </c>
      <c r="K299" s="215" t="s">
        <v>1238</v>
      </c>
      <c r="L299" s="197" t="s">
        <v>1204</v>
      </c>
      <c r="M299" s="215" t="s">
        <v>1207</v>
      </c>
      <c r="N299" s="216">
        <f>IFERROR(IF($E299="Inventory",VLOOKUP($C299,Inventory!$B:$I,8,FALSE()),IF($E299="Non Inventory",VLOOKUP($C299,'Non Inventory'!$B:$I,8,FALSE()),IF($E299="Services",VLOOKUP($C299,Services!$B:$I,8,FALSE()),IF($E299="Patty Cash",VLOOKUP($C299,'Patty Cash'!$B:$J,8,FALSE()),0)))),0)</f>
        <v>380</v>
      </c>
      <c r="O299" s="217">
        <f t="shared" si="4"/>
        <v>2280</v>
      </c>
    </row>
    <row r="300" spans="1:15" ht="23.1" customHeight="1">
      <c r="A300" s="206">
        <f>IF(AND($B300="",$C300=""),"",MAX($A$3:A299)+1)</f>
        <v>297</v>
      </c>
      <c r="B300" s="207">
        <v>46182</v>
      </c>
      <c r="C300" s="208">
        <v>2102</v>
      </c>
      <c r="D300" s="209" t="str">
        <f>IFERROR(IF($E300="Inventory",VLOOKUP($C300,Inventory!$B:$I,2,FALSE()),IF($E300="Non Inventory",VLOOKUP($C300,'Non Inventory'!$B:$I,2,FALSE()),IF($E300="Services",VLOOKUP($C300,Services!$B:$I,2,FALSE()),IF($E300="Patty Cash",VLOOKUP($C300,'Patty Cash'!$B:$J,2,FALSE()),"")))),"")</f>
        <v>BEARING 6007 2RSR/C3</v>
      </c>
      <c r="E300" s="246" t="s">
        <v>6</v>
      </c>
      <c r="F300" s="210" t="str">
        <f>IFERROR(IF($E300="Inventory",VLOOKUP($C300,Inventory!$B:$I,3,FALSE()),IF($E300="Non Inventory",VLOOKUP($C300,'Non Inventory'!$B:$I,3,FALSE()),IF($E300="Services",VLOOKUP($C300,Services!$B:$I,3,FALSE()),IF($E300="Patty Cash",VLOOKUP($C300,'Patty Cash'!$B:$J,3,FALSE()),"")))),"")</f>
        <v>PCS</v>
      </c>
      <c r="G300" s="211">
        <v>1</v>
      </c>
      <c r="H300" s="212">
        <f>IF($E300="","",IF($E300="Inventory",IFERROR(VLOOKUP($C300,Inventory!$B:$H,7,FALSE()),0),IF($E300="Non Inventory",IFERROR(VLOOKUP($C300,'Non Inventory'!$B:$H,7,FALSE()),0),IF($E300="Services",IFERROR(VLOOKUP($C300,Services!$B:$H,7,FALSE()),0),IF($E300="Patty Cash",IFERROR(VLOOKUP($C300,'Patty Cash'!$B:$H,7,FALSE()),0),0)))))</f>
        <v>2</v>
      </c>
      <c r="I300" s="213" t="s">
        <v>47</v>
      </c>
      <c r="J300" s="214" t="s">
        <v>67</v>
      </c>
      <c r="K300" s="215" t="s">
        <v>1217</v>
      </c>
      <c r="L300" s="197" t="s">
        <v>1204</v>
      </c>
      <c r="M300" s="215" t="s">
        <v>1196</v>
      </c>
      <c r="N300" s="216">
        <f>IFERROR(IF($E300="Inventory",VLOOKUP($C300,Inventory!$B:$I,8,FALSE()),IF($E300="Non Inventory",VLOOKUP($C300,'Non Inventory'!$B:$I,8,FALSE()),IF($E300="Services",VLOOKUP($C300,Services!$B:$I,8,FALSE()),IF($E300="Patty Cash",VLOOKUP($C300,'Patty Cash'!$B:$J,8,FALSE()),0)))),0)</f>
        <v>570</v>
      </c>
      <c r="O300" s="217">
        <f t="shared" si="4"/>
        <v>570</v>
      </c>
    </row>
    <row r="301" spans="1:15" ht="23.1" customHeight="1">
      <c r="A301" s="206">
        <f>IF(AND($B301="",$C301=""),"",MAX($A$3:A300)+1)</f>
        <v>298</v>
      </c>
      <c r="B301" s="207">
        <v>46182</v>
      </c>
      <c r="C301" s="208">
        <v>2026</v>
      </c>
      <c r="D301" s="209" t="str">
        <f>IFERROR(IF($E301="Inventory",VLOOKUP($C301,Inventory!$B:$I,2,FALSE()),IF($E301="Non Inventory",VLOOKUP($C301,'Non Inventory'!$B:$I,2,FALSE()),IF($E301="Services",VLOOKUP($C301,Services!$B:$I,2,FALSE()),IF($E301="Patty Cash",VLOOKUP($C301,'Patty Cash'!$B:$J,2,FALSE()),"")))),"")</f>
        <v>BALL BEARING TYPE 6204 2ZR C3</v>
      </c>
      <c r="E301" s="246" t="s">
        <v>6</v>
      </c>
      <c r="F301" s="210" t="str">
        <f>IFERROR(IF($E301="Inventory",VLOOKUP($C301,Inventory!$B:$I,3,FALSE()),IF($E301="Non Inventory",VLOOKUP($C301,'Non Inventory'!$B:$I,3,FALSE()),IF($E301="Services",VLOOKUP($C301,Services!$B:$I,3,FALSE()),IF($E301="Patty Cash",VLOOKUP($C301,'Patty Cash'!$B:$J,3,FALSE()),"")))),"")</f>
        <v>PCS</v>
      </c>
      <c r="G301" s="211">
        <v>1</v>
      </c>
      <c r="H301" s="212">
        <f>IF($E301="","",IF($E301="Inventory",IFERROR(VLOOKUP($C301,Inventory!$B:$H,7,FALSE()),0),IF($E301="Non Inventory",IFERROR(VLOOKUP($C301,'Non Inventory'!$B:$H,7,FALSE()),0),IF($E301="Services",IFERROR(VLOOKUP($C301,Services!$B:$H,7,FALSE()),0),IF($E301="Patty Cash",IFERROR(VLOOKUP($C301,'Patty Cash'!$B:$H,7,FALSE()),0),0)))))</f>
        <v>10</v>
      </c>
      <c r="I301" s="213" t="s">
        <v>47</v>
      </c>
      <c r="J301" s="214" t="s">
        <v>67</v>
      </c>
      <c r="K301" s="215" t="s">
        <v>1217</v>
      </c>
      <c r="L301" s="197" t="s">
        <v>1204</v>
      </c>
      <c r="M301" s="215" t="s">
        <v>1196</v>
      </c>
      <c r="N301" s="216">
        <f>IFERROR(IF($E301="Inventory",VLOOKUP($C301,Inventory!$B:$I,8,FALSE()),IF($E301="Non Inventory",VLOOKUP($C301,'Non Inventory'!$B:$I,8,FALSE()),IF($E301="Services",VLOOKUP($C301,Services!$B:$I,8,FALSE()),IF($E301="Patty Cash",VLOOKUP($C301,'Patty Cash'!$B:$J,8,FALSE()),0)))),0)</f>
        <v>1188</v>
      </c>
      <c r="O301" s="217">
        <f t="shared" si="4"/>
        <v>1188</v>
      </c>
    </row>
    <row r="302" spans="1:15" ht="23.1" customHeight="1">
      <c r="A302" s="206">
        <f>IF(AND($B302="",$C302=""),"",MAX($A$3:A301)+1)</f>
        <v>299</v>
      </c>
      <c r="B302" s="207">
        <v>46182</v>
      </c>
      <c r="C302" s="208">
        <v>8755</v>
      </c>
      <c r="D302" s="209" t="str">
        <f>IFERROR(IF($E302="Inventory",VLOOKUP($C302,Inventory!$B:$I,2,FALSE()),IF($E302="Non Inventory",VLOOKUP($C302,'Non Inventory'!$B:$I,2,FALSE()),IF($E302="Services",VLOOKUP($C302,Services!$B:$I,2,FALSE()),IF($E302="Patty Cash",VLOOKUP($C302,'Patty Cash'!$B:$J,2,FALSE()),"")))),"")</f>
        <v>Wire Seleave Size 1MM</v>
      </c>
      <c r="E302" s="246" t="s">
        <v>7</v>
      </c>
      <c r="F302" s="210" t="str">
        <f>IFERROR(IF($E302="Inventory",VLOOKUP($C302,Inventory!$B:$I,3,FALSE()),IF($E302="Non Inventory",VLOOKUP($C302,'Non Inventory'!$B:$I,3,FALSE()),IF($E302="Services",VLOOKUP($C302,Services!$B:$I,3,FALSE()),IF($E302="Patty Cash",VLOOKUP($C302,'Patty Cash'!$B:$J,3,FALSE()),"")))),"")</f>
        <v>MTR</v>
      </c>
      <c r="G302" s="211">
        <v>12</v>
      </c>
      <c r="H302" s="212">
        <f>IF($E302="","",IF($E302="Inventory",IFERROR(VLOOKUP($C302,Inventory!$B:$H,7,FALSE()),0),IF($E302="Non Inventory",IFERROR(VLOOKUP($C302,'Non Inventory'!$B:$H,7,FALSE()),0),IF($E302="Services",IFERROR(VLOOKUP($C302,Services!$B:$H,7,FALSE()),0),IF($E302="Patty Cash",IFERROR(VLOOKUP($C302,'Patty Cash'!$B:$H,7,FALSE()),0),0)))))</f>
        <v>88</v>
      </c>
      <c r="I302" s="213" t="s">
        <v>1222</v>
      </c>
      <c r="J302" s="214" t="s">
        <v>67</v>
      </c>
      <c r="K302" s="215" t="s">
        <v>1238</v>
      </c>
      <c r="L302" s="197" t="s">
        <v>1204</v>
      </c>
      <c r="M302" s="215" t="s">
        <v>1207</v>
      </c>
      <c r="N302" s="216">
        <f>IFERROR(IF($E302="Inventory",VLOOKUP($C302,Inventory!$B:$I,8,FALSE()),IF($E302="Non Inventory",VLOOKUP($C302,'Non Inventory'!$B:$I,8,FALSE()),IF($E302="Services",VLOOKUP($C302,Services!$B:$I,8,FALSE()),IF($E302="Patty Cash",VLOOKUP($C302,'Patty Cash'!$B:$J,8,FALSE()),0)))),0)</f>
        <v>7</v>
      </c>
      <c r="O302" s="217">
        <f t="shared" si="4"/>
        <v>84</v>
      </c>
    </row>
    <row r="303" spans="1:15" ht="23.1" customHeight="1">
      <c r="A303" s="206">
        <f>IF(AND($B303="",$C303=""),"",MAX($A$3:A302)+1)</f>
        <v>300</v>
      </c>
      <c r="B303" s="207">
        <v>46182</v>
      </c>
      <c r="C303" s="208">
        <v>8757</v>
      </c>
      <c r="D303" s="209" t="str">
        <f>IFERROR(IF($E303="Inventory",VLOOKUP($C303,Inventory!$B:$I,2,FALSE()),IF($E303="Non Inventory",VLOOKUP($C303,'Non Inventory'!$B:$I,2,FALSE()),IF($E303="Services",VLOOKUP($C303,Services!$B:$I,2,FALSE()),IF($E303="Patty Cash",VLOOKUP($C303,'Patty Cash'!$B:$J,2,FALSE()),"")))),"")</f>
        <v>Wire Seleave Size 3MM</v>
      </c>
      <c r="E303" s="246" t="s">
        <v>7</v>
      </c>
      <c r="F303" s="210" t="str">
        <f>IFERROR(IF($E303="Inventory",VLOOKUP($C303,Inventory!$B:$I,3,FALSE()),IF($E303="Non Inventory",VLOOKUP($C303,'Non Inventory'!$B:$I,3,FALSE()),IF($E303="Services",VLOOKUP($C303,Services!$B:$I,3,FALSE()),IF($E303="Patty Cash",VLOOKUP($C303,'Patty Cash'!$B:$J,3,FALSE()),"")))),"")</f>
        <v>MTR</v>
      </c>
      <c r="G303" s="211">
        <v>12</v>
      </c>
      <c r="H303" s="212">
        <f>IF($E303="","",IF($E303="Inventory",IFERROR(VLOOKUP($C303,Inventory!$B:$H,7,FALSE()),0),IF($E303="Non Inventory",IFERROR(VLOOKUP($C303,'Non Inventory'!$B:$H,7,FALSE()),0),IF($E303="Services",IFERROR(VLOOKUP($C303,Services!$B:$H,7,FALSE()),0),IF($E303="Patty Cash",IFERROR(VLOOKUP($C303,'Patty Cash'!$B:$H,7,FALSE()),0),0)))))</f>
        <v>8</v>
      </c>
      <c r="I303" s="213" t="s">
        <v>1222</v>
      </c>
      <c r="J303" s="214" t="s">
        <v>67</v>
      </c>
      <c r="K303" s="215" t="s">
        <v>1238</v>
      </c>
      <c r="L303" s="197" t="s">
        <v>1204</v>
      </c>
      <c r="M303" s="215" t="s">
        <v>1207</v>
      </c>
      <c r="N303" s="216">
        <f>IFERROR(IF($E303="Inventory",VLOOKUP($C303,Inventory!$B:$I,8,FALSE()),IF($E303="Non Inventory",VLOOKUP($C303,'Non Inventory'!$B:$I,8,FALSE()),IF($E303="Services",VLOOKUP($C303,Services!$B:$I,8,FALSE()),IF($E303="Patty Cash",VLOOKUP($C303,'Patty Cash'!$B:$J,8,FALSE()),0)))),0)</f>
        <v>13</v>
      </c>
      <c r="O303" s="217">
        <f t="shared" si="4"/>
        <v>156</v>
      </c>
    </row>
    <row r="304" spans="1:15" ht="23.1" customHeight="1">
      <c r="A304" s="206">
        <f>IF(AND($B304="",$C304=""),"",MAX($A$3:A303)+1)</f>
        <v>301</v>
      </c>
      <c r="B304" s="207">
        <v>46182</v>
      </c>
      <c r="C304" s="208">
        <v>8759</v>
      </c>
      <c r="D304" s="209" t="str">
        <f>IFERROR(IF($E304="Inventory",VLOOKUP($C304,Inventory!$B:$I,2,FALSE()),IF($E304="Non Inventory",VLOOKUP($C304,'Non Inventory'!$B:$I,2,FALSE()),IF($E304="Services",VLOOKUP($C304,Services!$B:$I,2,FALSE()),IF($E304="Patty Cash",VLOOKUP($C304,'Patty Cash'!$B:$J,2,FALSE()),"")))),"")</f>
        <v>Wire Seleave Size 5MM</v>
      </c>
      <c r="E304" s="246" t="s">
        <v>7</v>
      </c>
      <c r="F304" s="210" t="str">
        <f>IFERROR(IF($E304="Inventory",VLOOKUP($C304,Inventory!$B:$I,3,FALSE()),IF($E304="Non Inventory",VLOOKUP($C304,'Non Inventory'!$B:$I,3,FALSE()),IF($E304="Services",VLOOKUP($C304,Services!$B:$I,3,FALSE()),IF($E304="Patty Cash",VLOOKUP($C304,'Patty Cash'!$B:$J,3,FALSE()),"")))),"")</f>
        <v>MTR</v>
      </c>
      <c r="G304" s="211">
        <v>12</v>
      </c>
      <c r="H304" s="212">
        <f>IF($E304="","",IF($E304="Inventory",IFERROR(VLOOKUP($C304,Inventory!$B:$H,7,FALSE()),0),IF($E304="Non Inventory",IFERROR(VLOOKUP($C304,'Non Inventory'!$B:$H,7,FALSE()),0),IF($E304="Services",IFERROR(VLOOKUP($C304,Services!$B:$H,7,FALSE()),0),IF($E304="Patty Cash",IFERROR(VLOOKUP($C304,'Patty Cash'!$B:$H,7,FALSE()),0),0)))))</f>
        <v>16</v>
      </c>
      <c r="I304" s="213" t="s">
        <v>1222</v>
      </c>
      <c r="J304" s="214" t="s">
        <v>67</v>
      </c>
      <c r="K304" s="215" t="s">
        <v>1238</v>
      </c>
      <c r="L304" s="197" t="s">
        <v>1204</v>
      </c>
      <c r="M304" s="215" t="s">
        <v>1207</v>
      </c>
      <c r="N304" s="216">
        <f>IFERROR(IF($E304="Inventory",VLOOKUP($C304,Inventory!$B:$I,8,FALSE()),IF($E304="Non Inventory",VLOOKUP($C304,'Non Inventory'!$B:$I,8,FALSE()),IF($E304="Services",VLOOKUP($C304,Services!$B:$I,8,FALSE()),IF($E304="Patty Cash",VLOOKUP($C304,'Patty Cash'!$B:$J,8,FALSE()),0)))),0)</f>
        <v>45</v>
      </c>
      <c r="O304" s="217">
        <f t="shared" si="4"/>
        <v>540</v>
      </c>
    </row>
    <row r="305" spans="1:15" ht="23.1" customHeight="1">
      <c r="A305" s="206">
        <f>IF(AND($B305="",$C305=""),"",MAX($A$3:A304)+1)</f>
        <v>302</v>
      </c>
      <c r="B305" s="207">
        <v>46182</v>
      </c>
      <c r="C305" s="208">
        <v>17237</v>
      </c>
      <c r="D305" s="209" t="str">
        <f>IFERROR(IF($E305="Inventory",VLOOKUP($C305,Inventory!$B:$I,2,FALSE()),IF($E305="Non Inventory",VLOOKUP($C305,'Non Inventory'!$B:$I,2,FALSE()),IF($E305="Services",VLOOKUP($C305,Services!$B:$I,2,FALSE()),IF($E305="Patty Cash",VLOOKUP($C305,'Patty Cash'!$B:$J,2,FALSE()),"")))),"")</f>
        <v>Film Puling Belt Size Dia=292mm W=38mm T=6mm (Material NBR)For Ishida Packing Machine</v>
      </c>
      <c r="E305" s="246" t="s">
        <v>6</v>
      </c>
      <c r="F305" s="210" t="str">
        <f>IFERROR(IF($E305="Inventory",VLOOKUP($C305,Inventory!$B:$I,3,FALSE()),IF($E305="Non Inventory",VLOOKUP($C305,'Non Inventory'!$B:$I,3,FALSE()),IF($E305="Services",VLOOKUP($C305,Services!$B:$I,3,FALSE()),IF($E305="Patty Cash",VLOOKUP($C305,'Patty Cash'!$B:$J,3,FALSE()),"")))),"")</f>
        <v>NOS</v>
      </c>
      <c r="G305" s="211">
        <v>1</v>
      </c>
      <c r="H305" s="212">
        <f>IF($E305="","",IF($E305="Inventory",IFERROR(VLOOKUP($C305,Inventory!$B:$H,7,FALSE()),0),IF($E305="Non Inventory",IFERROR(VLOOKUP($C305,'Non Inventory'!$B:$H,7,FALSE()),0),IF($E305="Services",IFERROR(VLOOKUP($C305,Services!$B:$H,7,FALSE()),0),IF($E305="Patty Cash",IFERROR(VLOOKUP($C305,'Patty Cash'!$B:$H,7,FALSE()),0),0)))))</f>
        <v>8</v>
      </c>
      <c r="I305" s="213" t="s">
        <v>47</v>
      </c>
      <c r="J305" s="214" t="s">
        <v>1242</v>
      </c>
      <c r="K305" s="215" t="s">
        <v>1214</v>
      </c>
      <c r="L305" s="197" t="s">
        <v>1204</v>
      </c>
      <c r="M305" s="215" t="s">
        <v>1196</v>
      </c>
      <c r="N305" s="216">
        <f>IFERROR(IF($E305="Inventory",VLOOKUP($C305,Inventory!$B:$I,8,FALSE()),IF($E305="Non Inventory",VLOOKUP($C305,'Non Inventory'!$B:$I,8,FALSE()),IF($E305="Services",VLOOKUP($C305,Services!$B:$I,8,FALSE()),IF($E305="Patty Cash",VLOOKUP($C305,'Patty Cash'!$B:$J,8,FALSE()),0)))),0)</f>
        <v>9000</v>
      </c>
      <c r="O305" s="217">
        <f t="shared" si="4"/>
        <v>9000</v>
      </c>
    </row>
    <row r="306" spans="1:15" ht="23.1" customHeight="1">
      <c r="A306" s="206">
        <f>IF(AND($B306="",$C306=""),"",MAX($A$3:A305)+1)</f>
        <v>303</v>
      </c>
      <c r="B306" s="207">
        <v>46182</v>
      </c>
      <c r="C306" s="208">
        <v>4922</v>
      </c>
      <c r="D306" s="209" t="str">
        <f>IFERROR(IF($E306="Inventory",VLOOKUP($C306,Inventory!$B:$I,2,FALSE()),IF($E306="Non Inventory",VLOOKUP($C306,'Non Inventory'!$B:$I,2,FALSE()),IF($E306="Services",VLOOKUP($C306,Services!$B:$I,2,FALSE()),IF($E306="Patty Cash",VLOOKUP($C306,'Patty Cash'!$B:$J,2,FALSE()),"")))),"")</f>
        <v>SILICON SEALANT TUBE</v>
      </c>
      <c r="E306" s="246" t="s">
        <v>7</v>
      </c>
      <c r="F306" s="210" t="str">
        <f>IFERROR(IF($E306="Inventory",VLOOKUP($C306,Inventory!$B:$I,3,FALSE()),IF($E306="Non Inventory",VLOOKUP($C306,'Non Inventory'!$B:$I,3,FALSE()),IF($E306="Services",VLOOKUP($C306,Services!$B:$I,3,FALSE()),IF($E306="Patty Cash",VLOOKUP($C306,'Patty Cash'!$B:$J,3,FALSE()),"")))),"")</f>
        <v>NOS</v>
      </c>
      <c r="G306" s="211">
        <v>1</v>
      </c>
      <c r="H306" s="212">
        <f>IF($E306="","",IF($E306="Inventory",IFERROR(VLOOKUP($C306,Inventory!$B:$H,7,FALSE()),0),IF($E306="Non Inventory",IFERROR(VLOOKUP($C306,'Non Inventory'!$B:$H,7,FALSE()),0),IF($E306="Services",IFERROR(VLOOKUP($C306,Services!$B:$H,7,FALSE()),0),IF($E306="Patty Cash",IFERROR(VLOOKUP($C306,'Patty Cash'!$B:$H,7,FALSE()),0),0)))))</f>
        <v>14</v>
      </c>
      <c r="I306" s="213" t="s">
        <v>1222</v>
      </c>
      <c r="J306" s="214" t="s">
        <v>67</v>
      </c>
      <c r="K306" s="215" t="s">
        <v>1217</v>
      </c>
      <c r="L306" s="197" t="s">
        <v>1204</v>
      </c>
      <c r="M306" s="215" t="s">
        <v>1196</v>
      </c>
      <c r="N306" s="216">
        <f>IFERROR(IF($E306="Inventory",VLOOKUP($C306,Inventory!$B:$I,8,FALSE()),IF($E306="Non Inventory",VLOOKUP($C306,'Non Inventory'!$B:$I,8,FALSE()),IF($E306="Services",VLOOKUP($C306,Services!$B:$I,8,FALSE()),IF($E306="Patty Cash",VLOOKUP($C306,'Patty Cash'!$B:$J,8,FALSE()),0)))),0)</f>
        <v>418</v>
      </c>
      <c r="O306" s="217">
        <f t="shared" si="4"/>
        <v>418</v>
      </c>
    </row>
    <row r="307" spans="1:15" ht="23.1" customHeight="1">
      <c r="A307" s="206">
        <f>IF(AND($B307="",$C307=""),"",MAX($A$3:A306)+1)</f>
        <v>304</v>
      </c>
      <c r="B307" s="207">
        <v>46183</v>
      </c>
      <c r="C307" s="208">
        <v>8586</v>
      </c>
      <c r="D307" s="209" t="str">
        <f>IFERROR(IF($E307="Inventory",VLOOKUP($C307,Inventory!$B:$I,2,FALSE()),IF($E307="Non Inventory",VLOOKUP($C307,'Non Inventory'!$B:$I,2,FALSE()),IF($E307="Services",VLOOKUP($C307,Services!$B:$I,2,FALSE()),IF($E307="Patty Cash",VLOOKUP($C307,'Patty Cash'!$B:$J,2,FALSE()),"")))),"")</f>
        <v>S.S Drill Bit Size 5mm</v>
      </c>
      <c r="E307" s="246" t="s">
        <v>7</v>
      </c>
      <c r="F307" s="210" t="str">
        <f>IFERROR(IF($E307="Inventory",VLOOKUP($C307,Inventory!$B:$I,3,FALSE()),IF($E307="Non Inventory",VLOOKUP($C307,'Non Inventory'!$B:$I,3,FALSE()),IF($E307="Services",VLOOKUP($C307,Services!$B:$I,3,FALSE()),IF($E307="Patty Cash",VLOOKUP($C307,'Patty Cash'!$B:$J,3,FALSE()),"")))),"")</f>
        <v>NOS</v>
      </c>
      <c r="G307" s="211">
        <v>1</v>
      </c>
      <c r="H307" s="212">
        <f>IF($E307="","",IF($E307="Inventory",IFERROR(VLOOKUP($C307,Inventory!$B:$H,7,FALSE()),0),IF($E307="Non Inventory",IFERROR(VLOOKUP($C307,'Non Inventory'!$B:$H,7,FALSE()),0),IF($E307="Services",IFERROR(VLOOKUP($C307,Services!$B:$H,7,FALSE()),0),IF($E307="Patty Cash",IFERROR(VLOOKUP($C307,'Patty Cash'!$B:$H,7,FALSE()),0),0)))))</f>
        <v>5</v>
      </c>
      <c r="I307" s="213" t="s">
        <v>1222</v>
      </c>
      <c r="J307" s="214" t="s">
        <v>67</v>
      </c>
      <c r="K307" s="215" t="s">
        <v>1659</v>
      </c>
      <c r="L307" s="197" t="s">
        <v>1195</v>
      </c>
      <c r="M307" s="215" t="s">
        <v>1196</v>
      </c>
      <c r="N307" s="216">
        <f>IFERROR(IF($E307="Inventory",VLOOKUP($C307,Inventory!$B:$I,8,FALSE()),IF($E307="Non Inventory",VLOOKUP($C307,'Non Inventory'!$B:$I,8,FALSE()),IF($E307="Services",VLOOKUP($C307,Services!$B:$I,8,FALSE()),IF($E307="Patty Cash",VLOOKUP($C307,'Patty Cash'!$B:$J,8,FALSE()),0)))),0)</f>
        <v>380</v>
      </c>
      <c r="O307" s="217">
        <f t="shared" si="4"/>
        <v>380</v>
      </c>
    </row>
    <row r="308" spans="1:15" ht="23.1" customHeight="1">
      <c r="A308" s="206">
        <f>IF(AND($B308="",$C308=""),"",MAX($A$3:A307)+1)</f>
        <v>305</v>
      </c>
      <c r="B308" s="207">
        <v>46183</v>
      </c>
      <c r="C308" s="208">
        <v>17618</v>
      </c>
      <c r="D308" s="209" t="str">
        <f>IFERROR(IF($E308="Inventory",VLOOKUP($C308,Inventory!$B:$I,2,FALSE()),IF($E308="Non Inventory",VLOOKUP($C308,'Non Inventory'!$B:$I,2,FALSE()),IF($E308="Services",VLOOKUP($C308,Services!$B:$I,2,FALSE()),IF($E308="Patty Cash",VLOOKUP($C308,'Patty Cash'!$B:$J,2,FALSE()),"")))),"")</f>
        <v>Horizontal Jaw Plate S.S L-150mm W-39mm T-
5mm (4 Pcs 1 Set)(For Ishida Machine)</v>
      </c>
      <c r="E308" s="246" t="s">
        <v>6</v>
      </c>
      <c r="F308" s="210" t="str">
        <f>IFERROR(IF($E308="Inventory",VLOOKUP($C308,Inventory!$B:$I,3,FALSE()),IF($E308="Non Inventory",VLOOKUP($C308,'Non Inventory'!$B:$I,3,FALSE()),IF($E308="Services",VLOOKUP($C308,Services!$B:$I,3,FALSE()),IF($E308="Patty Cash",VLOOKUP($C308,'Patty Cash'!$B:$J,3,FALSE()),"")))),"")</f>
        <v>NOS</v>
      </c>
      <c r="G308" s="211">
        <v>1</v>
      </c>
      <c r="H308" s="212">
        <f>IF($E308="","",IF($E308="Inventory",IFERROR(VLOOKUP($C308,Inventory!$B:$H,7,FALSE()),0),IF($E308="Non Inventory",IFERROR(VLOOKUP($C308,'Non Inventory'!$B:$H,7,FALSE()),0),IF($E308="Services",IFERROR(VLOOKUP($C308,Services!$B:$H,7,FALSE()),0),IF($E308="Patty Cash",IFERROR(VLOOKUP($C308,'Patty Cash'!$B:$H,7,FALSE()),0),0)))))</f>
        <v>2</v>
      </c>
      <c r="I308" s="213" t="s">
        <v>41</v>
      </c>
      <c r="J308" s="214" t="s">
        <v>67</v>
      </c>
      <c r="K308" s="215" t="s">
        <v>1194</v>
      </c>
      <c r="L308" s="197" t="s">
        <v>1195</v>
      </c>
      <c r="M308" s="215" t="s">
        <v>1196</v>
      </c>
      <c r="N308" s="216">
        <f>IFERROR(IF($E308="Inventory",VLOOKUP($C308,Inventory!$B:$I,8,FALSE()),IF($E308="Non Inventory",VLOOKUP($C308,'Non Inventory'!$B:$I,8,FALSE()),IF($E308="Services",VLOOKUP($C308,Services!$B:$I,8,FALSE()),IF($E308="Patty Cash",VLOOKUP($C308,'Patty Cash'!$B:$J,8,FALSE()),0)))),0)</f>
        <v>12000</v>
      </c>
      <c r="O308" s="217">
        <f t="shared" si="4"/>
        <v>12000</v>
      </c>
    </row>
    <row r="309" spans="1:15" ht="23.1" customHeight="1">
      <c r="A309" s="206">
        <f>IF(AND($B309="",$C309=""),"",MAX($A$3:A308)+1)</f>
        <v>306</v>
      </c>
      <c r="B309" s="207">
        <v>46183</v>
      </c>
      <c r="C309" s="208">
        <v>9562</v>
      </c>
      <c r="D309" s="209" t="str">
        <f>IFERROR(IF($E309="Inventory",VLOOKUP($C309,Inventory!$B:$I,2,FALSE()),IF($E309="Non Inventory",VLOOKUP($C309,'Non Inventory'!$B:$I,2,FALSE()),IF($E309="Services",VLOOKUP($C309,Services!$B:$I,2,FALSE()),IF($E309="Patty Cash",VLOOKUP($C309,'Patty Cash'!$B:$J,2,FALSE()),"")))),"")</f>
        <v>Cable Ties Size 18"</v>
      </c>
      <c r="E309" s="246" t="s">
        <v>7</v>
      </c>
      <c r="F309" s="210" t="str">
        <f>IFERROR(IF($E309="Inventory",VLOOKUP($C309,Inventory!$B:$I,3,FALSE()),IF($E309="Non Inventory",VLOOKUP($C309,'Non Inventory'!$B:$I,3,FALSE()),IF($E309="Services",VLOOKUP($C309,Services!$B:$I,3,FALSE()),IF($E309="Patty Cash",VLOOKUP($C309,'Patty Cash'!$B:$J,3,FALSE()),"")))),"")</f>
        <v>NOS</v>
      </c>
      <c r="G309" s="211">
        <v>1</v>
      </c>
      <c r="H309" s="212">
        <f>IF($E309="","",IF($E309="Inventory",IFERROR(VLOOKUP($C309,Inventory!$B:$H,7,FALSE()),0),IF($E309="Non Inventory",IFERROR(VLOOKUP($C309,'Non Inventory'!$B:$H,7,FALSE()),0),IF($E309="Services",IFERROR(VLOOKUP($C309,Services!$B:$H,7,FALSE()),0),IF($E309="Patty Cash",IFERROR(VLOOKUP($C309,'Patty Cash'!$B:$H,7,FALSE()),0),0)))))</f>
        <v>12</v>
      </c>
      <c r="I309" s="213" t="s">
        <v>1222</v>
      </c>
      <c r="J309" s="214" t="s">
        <v>67</v>
      </c>
      <c r="K309" s="215" t="s">
        <v>1197</v>
      </c>
      <c r="L309" s="197" t="s">
        <v>1195</v>
      </c>
      <c r="M309" s="215" t="s">
        <v>1196</v>
      </c>
      <c r="N309" s="216">
        <f>IFERROR(IF($E309="Inventory",VLOOKUP($C309,Inventory!$B:$I,8,FALSE()),IF($E309="Non Inventory",VLOOKUP($C309,'Non Inventory'!$B:$I,8,FALSE()),IF($E309="Services",VLOOKUP($C309,Services!$B:$I,8,FALSE()),IF($E309="Patty Cash",VLOOKUP($C309,'Patty Cash'!$B:$J,8,FALSE()),0)))),0)</f>
        <v>450</v>
      </c>
      <c r="O309" s="217">
        <f t="shared" si="4"/>
        <v>450</v>
      </c>
    </row>
    <row r="310" spans="1:15" ht="23.1" customHeight="1">
      <c r="A310" s="206">
        <f>IF(AND($B310="",$C310=""),"",MAX($A$3:A309)+1)</f>
        <v>307</v>
      </c>
      <c r="B310" s="207">
        <v>46183</v>
      </c>
      <c r="C310" s="208">
        <v>10014</v>
      </c>
      <c r="D310" s="209" t="str">
        <f>IFERROR(IF($E310="Inventory",VLOOKUP($C310,Inventory!$B:$I,2,FALSE()),IF($E310="Non Inventory",VLOOKUP($C310,'Non Inventory'!$B:$I,2,FALSE()),IF($E310="Services",VLOOKUP($C310,Services!$B:$I,2,FALSE()),IF($E310="Patty Cash",VLOOKUP($C310,'Patty Cash'!$B:$J,2,FALSE()),"")))),"")</f>
        <v>Lock Plier 90° Outer Medium 7"</v>
      </c>
      <c r="E310" s="246" t="s">
        <v>7</v>
      </c>
      <c r="F310" s="210" t="str">
        <f>IFERROR(IF($E310="Inventory",VLOOKUP($C310,Inventory!$B:$I,3,FALSE()),IF($E310="Non Inventory",VLOOKUP($C310,'Non Inventory'!$B:$I,3,FALSE()),IF($E310="Services",VLOOKUP($C310,Services!$B:$I,3,FALSE()),IF($E310="Patty Cash",VLOOKUP($C310,'Patty Cash'!$B:$J,3,FALSE()),"")))),"")</f>
        <v>NOS</v>
      </c>
      <c r="G310" s="211">
        <v>1</v>
      </c>
      <c r="H310" s="212">
        <f>IF($E310="","",IF($E310="Inventory",IFERROR(VLOOKUP($C310,Inventory!$B:$H,7,FALSE()),0),IF($E310="Non Inventory",IFERROR(VLOOKUP($C310,'Non Inventory'!$B:$H,7,FALSE()),0),IF($E310="Services",IFERROR(VLOOKUP($C310,Services!$B:$H,7,FALSE()),0),IF($E310="Patty Cash",IFERROR(VLOOKUP($C310,'Patty Cash'!$B:$H,7,FALSE()),0),0)))))</f>
        <v>0</v>
      </c>
      <c r="I310" s="213" t="s">
        <v>1222</v>
      </c>
      <c r="J310" s="214" t="s">
        <v>67</v>
      </c>
      <c r="K310" s="215" t="s">
        <v>1220</v>
      </c>
      <c r="L310" s="197" t="s">
        <v>1195</v>
      </c>
      <c r="M310" s="215" t="s">
        <v>1196</v>
      </c>
      <c r="N310" s="216">
        <f>IFERROR(IF($E310="Inventory",VLOOKUP($C310,Inventory!$B:$I,8,FALSE()),IF($E310="Non Inventory",VLOOKUP($C310,'Non Inventory'!$B:$I,8,FALSE()),IF($E310="Services",VLOOKUP($C310,Services!$B:$I,8,FALSE()),IF($E310="Patty Cash",VLOOKUP($C310,'Patty Cash'!$B:$J,8,FALSE()),0)))),0)</f>
        <v>525</v>
      </c>
      <c r="O310" s="217">
        <f t="shared" si="4"/>
        <v>525</v>
      </c>
    </row>
    <row r="311" spans="1:15" ht="23.1" customHeight="1">
      <c r="A311" s="206">
        <f>IF(AND($B311="",$C311=""),"",MAX($A$3:A310)+1)</f>
        <v>308</v>
      </c>
      <c r="B311" s="207">
        <v>46183</v>
      </c>
      <c r="C311" s="208">
        <v>10012</v>
      </c>
      <c r="D311" s="209" t="str">
        <f>IFERROR(IF($E311="Inventory",VLOOKUP($C311,Inventory!$B:$I,2,FALSE()),IF($E311="Non Inventory",VLOOKUP($C311,'Non Inventory'!$B:$I,2,FALSE()),IF($E311="Services",VLOOKUP($C311,Services!$B:$I,2,FALSE()),IF($E311="Patty Cash",VLOOKUP($C311,'Patty Cash'!$B:$J,2,FALSE()),"")))),"")</f>
        <v>Lock Plier 90° Inner Medium 7"</v>
      </c>
      <c r="E311" s="246" t="s">
        <v>7</v>
      </c>
      <c r="F311" s="210" t="str">
        <f>IFERROR(IF($E311="Inventory",VLOOKUP($C311,Inventory!$B:$I,3,FALSE()),IF($E311="Non Inventory",VLOOKUP($C311,'Non Inventory'!$B:$I,3,FALSE()),IF($E311="Services",VLOOKUP($C311,Services!$B:$I,3,FALSE()),IF($E311="Patty Cash",VLOOKUP($C311,'Patty Cash'!$B:$J,3,FALSE()),"")))),"")</f>
        <v>NOS</v>
      </c>
      <c r="G311" s="211">
        <v>1</v>
      </c>
      <c r="H311" s="212">
        <f>IF($E311="","",IF($E311="Inventory",IFERROR(VLOOKUP($C311,Inventory!$B:$H,7,FALSE()),0),IF($E311="Non Inventory",IFERROR(VLOOKUP($C311,'Non Inventory'!$B:$H,7,FALSE()),0),IF($E311="Services",IFERROR(VLOOKUP($C311,Services!$B:$H,7,FALSE()),0),IF($E311="Patty Cash",IFERROR(VLOOKUP($C311,'Patty Cash'!$B:$H,7,FALSE()),0),0)))))</f>
        <v>0</v>
      </c>
      <c r="I311" s="213" t="s">
        <v>1222</v>
      </c>
      <c r="J311" s="214" t="s">
        <v>67</v>
      </c>
      <c r="K311" s="215" t="s">
        <v>1220</v>
      </c>
      <c r="L311" s="197" t="s">
        <v>1195</v>
      </c>
      <c r="M311" s="215" t="s">
        <v>1196</v>
      </c>
      <c r="N311" s="216">
        <f>IFERROR(IF($E311="Inventory",VLOOKUP($C311,Inventory!$B:$I,8,FALSE()),IF($E311="Non Inventory",VLOOKUP($C311,'Non Inventory'!$B:$I,8,FALSE()),IF($E311="Services",VLOOKUP($C311,Services!$B:$I,8,FALSE()),IF($E311="Patty Cash",VLOOKUP($C311,'Patty Cash'!$B:$J,8,FALSE()),0)))),0)</f>
        <v>525</v>
      </c>
      <c r="O311" s="217">
        <f t="shared" si="4"/>
        <v>525</v>
      </c>
    </row>
    <row r="312" spans="1:15" ht="23.1" customHeight="1">
      <c r="A312" s="206">
        <f>IF(AND($B312="",$C312=""),"",MAX($A$3:A311)+1)</f>
        <v>309</v>
      </c>
      <c r="B312" s="207">
        <v>46183</v>
      </c>
      <c r="C312" s="208">
        <v>2208</v>
      </c>
      <c r="D312" s="209" t="str">
        <f>IFERROR(IF($E312="Inventory",VLOOKUP($C312,Inventory!$B:$I,2,FALSE()),IF($E312="Non Inventory",VLOOKUP($C312,'Non Inventory'!$B:$I,2,FALSE()),IF($E312="Services",VLOOKUP($C312,Services!$B:$I,2,FALSE()),IF($E312="Patty Cash",VLOOKUP($C312,'Patty Cash'!$B:$J,2,FALSE()),"")))),"")</f>
        <v>Nose Plier 8"</v>
      </c>
      <c r="E312" s="246" t="s">
        <v>7</v>
      </c>
      <c r="F312" s="210" t="str">
        <f>IFERROR(IF($E312="Inventory",VLOOKUP($C312,Inventory!$B:$I,3,FALSE()),IF($E312="Non Inventory",VLOOKUP($C312,'Non Inventory'!$B:$I,3,FALSE()),IF($E312="Services",VLOOKUP($C312,Services!$B:$I,3,FALSE()),IF($E312="Patty Cash",VLOOKUP($C312,'Patty Cash'!$B:$J,3,FALSE()),"")))),"")</f>
        <v>NOS</v>
      </c>
      <c r="G312" s="211">
        <v>1</v>
      </c>
      <c r="H312" s="212">
        <f>IF($E312="","",IF($E312="Inventory",IFERROR(VLOOKUP($C312,Inventory!$B:$H,7,FALSE()),0),IF($E312="Non Inventory",IFERROR(VLOOKUP($C312,'Non Inventory'!$B:$H,7,FALSE()),0),IF($E312="Services",IFERROR(VLOOKUP($C312,Services!$B:$H,7,FALSE()),0),IF($E312="Patty Cash",IFERROR(VLOOKUP($C312,'Patty Cash'!$B:$H,7,FALSE()),0),0)))))</f>
        <v>0</v>
      </c>
      <c r="I312" s="213" t="s">
        <v>1222</v>
      </c>
      <c r="J312" s="214" t="s">
        <v>67</v>
      </c>
      <c r="K312" s="215" t="s">
        <v>1238</v>
      </c>
      <c r="L312" s="197" t="s">
        <v>1195</v>
      </c>
      <c r="M312" s="215" t="s">
        <v>1207</v>
      </c>
      <c r="N312" s="216">
        <f>IFERROR(IF($E312="Inventory",VLOOKUP($C312,Inventory!$B:$I,8,FALSE()),IF($E312="Non Inventory",VLOOKUP($C312,'Non Inventory'!$B:$I,8,FALSE()),IF($E312="Services",VLOOKUP($C312,Services!$B:$I,8,FALSE()),IF($E312="Patty Cash",VLOOKUP($C312,'Patty Cash'!$B:$J,8,FALSE()),0)))),0)</f>
        <v>710</v>
      </c>
      <c r="O312" s="217">
        <f t="shared" si="4"/>
        <v>710</v>
      </c>
    </row>
    <row r="313" spans="1:15" ht="23.1" customHeight="1">
      <c r="A313" s="206">
        <f>IF(AND($B313="",$C313=""),"",MAX($A$3:A312)+1)</f>
        <v>310</v>
      </c>
      <c r="B313" s="207">
        <v>46183</v>
      </c>
      <c r="C313" s="208">
        <v>5916</v>
      </c>
      <c r="D313" s="209" t="str">
        <f>IFERROR(IF($E313="Inventory",VLOOKUP($C313,Inventory!$B:$I,2,FALSE()),IF($E313="Non Inventory",VLOOKUP($C313,'Non Inventory'!$B:$I,2,FALSE()),IF($E313="Services",VLOOKUP($C313,Services!$B:$I,2,FALSE()),IF($E313="Patty Cash",VLOOKUP($C313,'Patty Cash'!$B:$J,2,FALSE()),"")))),"")</f>
        <v>Combination Plier 8"</v>
      </c>
      <c r="E313" s="246" t="s">
        <v>7</v>
      </c>
      <c r="F313" s="210" t="str">
        <f>IFERROR(IF($E313="Inventory",VLOOKUP($C313,Inventory!$B:$I,3,FALSE()),IF($E313="Non Inventory",VLOOKUP($C313,'Non Inventory'!$B:$I,3,FALSE()),IF($E313="Services",VLOOKUP($C313,Services!$B:$I,3,FALSE()),IF($E313="Patty Cash",VLOOKUP($C313,'Patty Cash'!$B:$J,3,FALSE()),"")))),"")</f>
        <v>NOS</v>
      </c>
      <c r="G313" s="211">
        <v>1</v>
      </c>
      <c r="H313" s="212">
        <f>IF($E313="","",IF($E313="Inventory",IFERROR(VLOOKUP($C313,Inventory!$B:$H,7,FALSE()),0),IF($E313="Non Inventory",IFERROR(VLOOKUP($C313,'Non Inventory'!$B:$H,7,FALSE()),0),IF($E313="Services",IFERROR(VLOOKUP($C313,Services!$B:$H,7,FALSE()),0),IF($E313="Patty Cash",IFERROR(VLOOKUP($C313,'Patty Cash'!$B:$H,7,FALSE()),0),0)))))</f>
        <v>0</v>
      </c>
      <c r="I313" s="213" t="s">
        <v>1222</v>
      </c>
      <c r="J313" s="214" t="s">
        <v>67</v>
      </c>
      <c r="K313" s="215" t="s">
        <v>1238</v>
      </c>
      <c r="L313" s="197" t="s">
        <v>1195</v>
      </c>
      <c r="M313" s="215" t="s">
        <v>1207</v>
      </c>
      <c r="N313" s="216">
        <f>IFERROR(IF($E313="Inventory",VLOOKUP($C313,Inventory!$B:$I,8,FALSE()),IF($E313="Non Inventory",VLOOKUP($C313,'Non Inventory'!$B:$I,8,FALSE()),IF($E313="Services",VLOOKUP($C313,Services!$B:$I,8,FALSE()),IF($E313="Patty Cash",VLOOKUP($C313,'Patty Cash'!$B:$J,8,FALSE()),0)))),0)</f>
        <v>710</v>
      </c>
      <c r="O313" s="217">
        <f t="shared" si="4"/>
        <v>710</v>
      </c>
    </row>
    <row r="314" spans="1:15" ht="23.1" customHeight="1">
      <c r="A314" s="206">
        <f>IF(AND($B314="",$C314=""),"",MAX($A$3:A313)+1)</f>
        <v>311</v>
      </c>
      <c r="B314" s="207">
        <v>46183</v>
      </c>
      <c r="C314" s="208">
        <v>15596</v>
      </c>
      <c r="D314" s="209" t="str">
        <f>IFERROR(IF($E314="Inventory",VLOOKUP($C314,Inventory!$B:$I,2,FALSE()),IF($E314="Non Inventory",VLOOKUP($C314,'Non Inventory'!$B:$I,2,FALSE()),IF($E314="Services",VLOOKUP($C314,Services!$B:$I,2,FALSE()),IF($E314="Patty Cash",VLOOKUP($C314,'Patty Cash'!$B:$J,2,FALSE()),"")))),"")</f>
        <v>Thermocouple K Type Size 3mm X 50mm</v>
      </c>
      <c r="E314" s="246" t="s">
        <v>6</v>
      </c>
      <c r="F314" s="210" t="str">
        <f>IFERROR(IF($E314="Inventory",VLOOKUP($C314,Inventory!$B:$I,3,FALSE()),IF($E314="Non Inventory",VLOOKUP($C314,'Non Inventory'!$B:$I,3,FALSE()),IF($E314="Services",VLOOKUP($C314,Services!$B:$I,3,FALSE()),IF($E314="Patty Cash",VLOOKUP($C314,'Patty Cash'!$B:$J,3,FALSE()),"")))),"")</f>
        <v>NOS</v>
      </c>
      <c r="G314" s="211">
        <v>1</v>
      </c>
      <c r="H314" s="212">
        <f>IF($E314="","",IF($E314="Inventory",IFERROR(VLOOKUP($C314,Inventory!$B:$H,7,FALSE()),0),IF($E314="Non Inventory",IFERROR(VLOOKUP($C314,'Non Inventory'!$B:$H,7,FALSE()),0),IF($E314="Services",IFERROR(VLOOKUP($C314,Services!$B:$H,7,FALSE()),0),IF($E314="Patty Cash",IFERROR(VLOOKUP($C314,'Patty Cash'!$B:$H,7,FALSE()),0),0)))))</f>
        <v>13</v>
      </c>
      <c r="I314" s="213" t="s">
        <v>40</v>
      </c>
      <c r="J314" s="214" t="s">
        <v>67</v>
      </c>
      <c r="K314" s="215" t="s">
        <v>1386</v>
      </c>
      <c r="L314" s="197" t="s">
        <v>1195</v>
      </c>
      <c r="M314" s="215" t="s">
        <v>1207</v>
      </c>
      <c r="N314" s="216">
        <f>IFERROR(IF($E314="Inventory",VLOOKUP($C314,Inventory!$B:$I,8,FALSE()),IF($E314="Non Inventory",VLOOKUP($C314,'Non Inventory'!$B:$I,8,FALSE()),IF($E314="Services",VLOOKUP($C314,Services!$B:$I,8,FALSE()),IF($E314="Patty Cash",VLOOKUP($C314,'Patty Cash'!$B:$J,8,FALSE()),0)))),0)</f>
        <v>1500</v>
      </c>
      <c r="O314" s="217">
        <f t="shared" si="4"/>
        <v>1500</v>
      </c>
    </row>
    <row r="315" spans="1:15" ht="23.1" customHeight="1">
      <c r="A315" s="206">
        <f>IF(AND($B315="",$C315=""),"",MAX($A$3:A314)+1)</f>
        <v>312</v>
      </c>
      <c r="B315" s="207">
        <v>46183</v>
      </c>
      <c r="C315" s="253" t="s">
        <v>1665</v>
      </c>
      <c r="D315" s="209" t="str">
        <f>IFERROR(IF($E315="Inventory",VLOOKUP($C315,Inventory!$B:$I,2,FALSE()),IF($E315="Non Inventory",VLOOKUP($C315,'Non Inventory'!$B:$I,2,FALSE()),IF($E315="Services",VLOOKUP($C315,Services!$B:$I,2,FALSE()),IF($E315="Patty Cash",VLOOKUP($C315,'Patty Cash'!$B:$J,2,FALSE()),"")))),"")</f>
        <v>Conveyance</v>
      </c>
      <c r="E315" s="246" t="s">
        <v>1327</v>
      </c>
      <c r="F315" s="210" t="str">
        <f>IFERROR(IF($E315="Inventory",VLOOKUP($C315,Inventory!$B:$I,3,FALSE()),IF($E315="Non Inventory",VLOOKUP($C315,'Non Inventory'!$B:$I,3,FALSE()),IF($E315="Services",VLOOKUP($C315,Services!$B:$I,3,FALSE()),IF($E315="Patty Cash",VLOOKUP($C315,'Patty Cash'!$B:$J,3,FALSE()),"")))),"")</f>
        <v>LTR</v>
      </c>
      <c r="G315" s="211">
        <v>0.72114999999999996</v>
      </c>
      <c r="H315" s="212">
        <f>IF($E315="","",IF($E315="Inventory",IFERROR(VLOOKUP($C315,Inventory!$B:$H,7,FALSE()),0),IF($E315="Non Inventory",IFERROR(VLOOKUP($C315,'Non Inventory'!$B:$H,7,FALSE()),0),IF($E315="Services",IFERROR(VLOOKUP($C315,Services!$B:$H,7,FALSE()),0),IF($E315="Patty Cash",IFERROR(VLOOKUP($C315,'Patty Cash'!$B:$H,7,FALSE()),0),0)))))</f>
        <v>0</v>
      </c>
      <c r="I315" s="213" t="s">
        <v>1671</v>
      </c>
      <c r="J315" s="214" t="s">
        <v>67</v>
      </c>
      <c r="K315" s="215" t="s">
        <v>1323</v>
      </c>
      <c r="L315" s="197" t="s">
        <v>1195</v>
      </c>
      <c r="M315" s="215" t="s">
        <v>1196</v>
      </c>
      <c r="N315" s="216">
        <f>IFERROR(IF($E315="Inventory",VLOOKUP($C315,Inventory!$B:$I,8,FALSE()),IF($E315="Non Inventory",VLOOKUP($C315,'Non Inventory'!$B:$I,8,FALSE()),IF($E315="Services",VLOOKUP($C315,Services!$B:$I,8,FALSE()),IF($E315="Patty Cash",VLOOKUP($C315,'Patty Cash'!$B:$J,8,FALSE()),0)))),0)</f>
        <v>416</v>
      </c>
      <c r="O315" s="217">
        <f t="shared" si="4"/>
        <v>299.9984</v>
      </c>
    </row>
    <row r="316" spans="1:15" ht="23.1" customHeight="1">
      <c r="A316" s="206">
        <f>IF(AND($B316="",$C316=""),"",MAX($A$3:A315)+1)</f>
        <v>313</v>
      </c>
      <c r="B316" s="207">
        <v>46183</v>
      </c>
      <c r="C316" s="253">
        <v>27529</v>
      </c>
      <c r="D316" s="209" t="str">
        <f>IFERROR(IF($E316="Inventory",VLOOKUP($C316,Inventory!$B:$I,2,FALSE()),IF($E316="Non Inventory",VLOOKUP($C316,'Non Inventory'!$B:$I,2,FALSE()),IF($E316="Services",VLOOKUP($C316,Services!$B:$I,2,FALSE()),IF($E316="Patty Cash",VLOOKUP($C316,'Patty Cash'!$B:$J,2,FALSE()),"")))),"")</f>
        <v>Mechanical Seal 20mm</v>
      </c>
      <c r="E316" s="246" t="s">
        <v>7</v>
      </c>
      <c r="F316" s="210" t="str">
        <f>IFERROR(IF($E316="Inventory",VLOOKUP($C316,Inventory!$B:$I,3,FALSE()),IF($E316="Non Inventory",VLOOKUP($C316,'Non Inventory'!$B:$I,3,FALSE()),IF($E316="Services",VLOOKUP($C316,Services!$B:$I,3,FALSE()),IF($E316="Patty Cash",VLOOKUP($C316,'Patty Cash'!$B:$J,3,FALSE()),"")))),"")</f>
        <v>NOS</v>
      </c>
      <c r="G316" s="211">
        <v>1</v>
      </c>
      <c r="H316" s="212">
        <f>IF($E316="","",IF($E316="Inventory",IFERROR(VLOOKUP($C316,Inventory!$B:$H,7,FALSE()),0),IF($E316="Non Inventory",IFERROR(VLOOKUP($C316,'Non Inventory'!$B:$H,7,FALSE()),0),IF($E316="Services",IFERROR(VLOOKUP($C316,Services!$B:$H,7,FALSE()),0),IF($E316="Patty Cash",IFERROR(VLOOKUP($C316,'Patty Cash'!$B:$H,7,FALSE()),0),0)))))</f>
        <v>1</v>
      </c>
      <c r="I316" s="213" t="s">
        <v>58</v>
      </c>
      <c r="J316" s="214" t="s">
        <v>1668</v>
      </c>
      <c r="K316" s="215" t="s">
        <v>1220</v>
      </c>
      <c r="L316" s="197" t="s">
        <v>1195</v>
      </c>
      <c r="M316" s="215" t="s">
        <v>1196</v>
      </c>
      <c r="N316" s="216">
        <f>IFERROR(IF($E316="Inventory",VLOOKUP($C316,Inventory!$B:$I,8,FALSE()),IF($E316="Non Inventory",VLOOKUP($C316,'Non Inventory'!$B:$I,8,FALSE()),IF($E316="Services",VLOOKUP($C316,Services!$B:$I,8,FALSE()),IF($E316="Patty Cash",VLOOKUP($C316,'Patty Cash'!$B:$J,8,FALSE()),0)))),0)</f>
        <v>15000</v>
      </c>
      <c r="O316" s="217">
        <f t="shared" si="4"/>
        <v>15000</v>
      </c>
    </row>
    <row r="317" spans="1:15" ht="23.1" customHeight="1">
      <c r="A317" s="206">
        <f>IF(AND($B317="",$C317=""),"",MAX($A$3:A316)+1)</f>
        <v>314</v>
      </c>
      <c r="B317" s="207">
        <v>46183</v>
      </c>
      <c r="C317" s="253">
        <v>25266</v>
      </c>
      <c r="D317" s="209" t="str">
        <f>IFERROR(IF($E317="Inventory",VLOOKUP($C317,Inventory!$B:$I,2,FALSE()),IF($E317="Non Inventory",VLOOKUP($C317,'Non Inventory'!$B:$I,2,FALSE()),IF($E317="Services",VLOOKUP($C317,Services!$B:$I,2,FALSE()),IF($E317="Patty Cash",VLOOKUP($C317,'Patty Cash'!$B:$J,2,FALSE()),"")))),"")</f>
        <v>Copper Wire No: 21.5</v>
      </c>
      <c r="E317" s="246" t="s">
        <v>7</v>
      </c>
      <c r="F317" s="210" t="str">
        <f>IFERROR(IF($E317="Inventory",VLOOKUP($C317,Inventory!$B:$I,3,FALSE()),IF($E317="Non Inventory",VLOOKUP($C317,'Non Inventory'!$B:$I,3,FALSE()),IF($E317="Services",VLOOKUP($C317,Services!$B:$I,3,FALSE()),IF($E317="Patty Cash",VLOOKUP($C317,'Patty Cash'!$B:$J,3,FALSE()),"")))),"")</f>
        <v>KGS</v>
      </c>
      <c r="G317" s="211">
        <v>2.5</v>
      </c>
      <c r="H317" s="212">
        <f>IF($E317="","",IF($E317="Inventory",IFERROR(VLOOKUP($C317,Inventory!$B:$H,7,FALSE()),0),IF($E317="Non Inventory",IFERROR(VLOOKUP($C317,'Non Inventory'!$B:$H,7,FALSE()),0),IF($E317="Services",IFERROR(VLOOKUP($C317,Services!$B:$H,7,FALSE()),0),IF($E317="Patty Cash",IFERROR(VLOOKUP($C317,'Patty Cash'!$B:$H,7,FALSE()),0),0)))))</f>
        <v>0</v>
      </c>
      <c r="I317" s="213" t="s">
        <v>57</v>
      </c>
      <c r="J317" s="214" t="s">
        <v>1669</v>
      </c>
      <c r="K317" s="215" t="s">
        <v>1238</v>
      </c>
      <c r="L317" s="197" t="s">
        <v>1195</v>
      </c>
      <c r="M317" s="215" t="s">
        <v>1207</v>
      </c>
      <c r="N317" s="216">
        <f>IFERROR(IF($E317="Inventory",VLOOKUP($C317,Inventory!$B:$I,8,FALSE()),IF($E317="Non Inventory",VLOOKUP($C317,'Non Inventory'!$B:$I,8,FALSE()),IF($E317="Services",VLOOKUP($C317,Services!$B:$I,8,FALSE()),IF($E317="Patty Cash",VLOOKUP($C317,'Patty Cash'!$B:$J,8,FALSE()),0)))),0)</f>
        <v>5700</v>
      </c>
      <c r="O317" s="217">
        <f t="shared" si="4"/>
        <v>14250</v>
      </c>
    </row>
    <row r="318" spans="1:15" ht="23.1" customHeight="1">
      <c r="A318" s="206">
        <f>IF(AND($B318="",$C318=""),"",MAX($A$3:A317)+1)</f>
        <v>315</v>
      </c>
      <c r="B318" s="207">
        <v>46183</v>
      </c>
      <c r="C318" s="208" t="s">
        <v>1663</v>
      </c>
      <c r="D318" s="209" t="str">
        <f>IFERROR(IF($E318="Inventory",VLOOKUP($C318,Inventory!$B:$I,2,FALSE()),IF($E318="Non Inventory",VLOOKUP($C318,'Non Inventory'!$B:$I,2,FALSE()),IF($E318="Services",VLOOKUP($C318,Services!$B:$I,2,FALSE()),IF($E318="Patty Cash",VLOOKUP($C318,'Patty Cash'!$B:$J,2,FALSE()),"")))),"")</f>
        <v>Laquar Spray</v>
      </c>
      <c r="E318" s="246" t="s">
        <v>1327</v>
      </c>
      <c r="F318" s="210" t="str">
        <f>IFERROR(IF($E318="Inventory",VLOOKUP($C318,Inventory!$B:$I,3,FALSE()),IF($E318="Non Inventory",VLOOKUP($C318,'Non Inventory'!$B:$I,3,FALSE()),IF($E318="Services",VLOOKUP($C318,Services!$B:$I,3,FALSE()),IF($E318="Patty Cash",VLOOKUP($C318,'Patty Cash'!$B:$J,3,FALSE()),"")))),"")</f>
        <v>NOS</v>
      </c>
      <c r="G318" s="211">
        <v>1</v>
      </c>
      <c r="H318" s="212">
        <f>IF($E318="","",IF($E318="Inventory",IFERROR(VLOOKUP($C318,Inventory!$B:$H,7,FALSE()),0),IF($E318="Non Inventory",IFERROR(VLOOKUP($C318,'Non Inventory'!$B:$H,7,FALSE()),0),IF($E318="Services",IFERROR(VLOOKUP($C318,Services!$B:$H,7,FALSE()),0),IF($E318="Patty Cash",IFERROR(VLOOKUP($C318,'Patty Cash'!$B:$H,7,FALSE()),0),0)))))</f>
        <v>0</v>
      </c>
      <c r="I318" s="213" t="s">
        <v>1305</v>
      </c>
      <c r="J318" s="214" t="s">
        <v>1670</v>
      </c>
      <c r="K318" s="215" t="s">
        <v>1249</v>
      </c>
      <c r="L318" s="197" t="s">
        <v>1195</v>
      </c>
      <c r="M318" s="215" t="s">
        <v>1196</v>
      </c>
      <c r="N318" s="216">
        <f>IFERROR(IF($E318="Inventory",VLOOKUP($C318,Inventory!$B:$I,8,FALSE()),IF($E318="Non Inventory",VLOOKUP($C318,'Non Inventory'!$B:$I,8,FALSE()),IF($E318="Services",VLOOKUP($C318,Services!$B:$I,8,FALSE()),IF($E318="Patty Cash",VLOOKUP($C318,'Patty Cash'!$B:$J,8,FALSE()),0)))),0)</f>
        <v>400</v>
      </c>
      <c r="O318" s="217">
        <f t="shared" si="4"/>
        <v>400</v>
      </c>
    </row>
    <row r="319" spans="1:15" ht="23.1" customHeight="1">
      <c r="A319" s="206">
        <f>IF(AND($B319="",$C319=""),"",MAX($A$3:A318)+1)</f>
        <v>316</v>
      </c>
      <c r="B319" s="207">
        <v>46183</v>
      </c>
      <c r="C319" s="208" t="s">
        <v>1638</v>
      </c>
      <c r="D319" s="209" t="str">
        <f>IFERROR(IF($E319="Inventory",VLOOKUP($C319,Inventory!$B:$I,2,FALSE()),IF($E319="Non Inventory",VLOOKUP($C319,'Non Inventory'!$B:$I,2,FALSE()),IF($E319="Services",VLOOKUP($C319,Services!$B:$I,2,FALSE()),IF($E319="Patty Cash",VLOOKUP($C319,'Patty Cash'!$B:$J,2,FALSE()),"")))),"")</f>
        <v>Conveyance</v>
      </c>
      <c r="E319" s="246" t="s">
        <v>1327</v>
      </c>
      <c r="F319" s="210" t="str">
        <f>IFERROR(IF($E319="Inventory",VLOOKUP($C319,Inventory!$B:$I,3,FALSE()),IF($E319="Non Inventory",VLOOKUP($C319,'Non Inventory'!$B:$I,3,FALSE()),IF($E319="Services",VLOOKUP($C319,Services!$B:$I,3,FALSE()),IF($E319="Patty Cash",VLOOKUP($C319,'Patty Cash'!$B:$J,3,FALSE()),"")))),"")</f>
        <v>LTR</v>
      </c>
      <c r="G319" s="211">
        <v>0.72114999999999996</v>
      </c>
      <c r="H319" s="212">
        <f>IF($E319="","",IF($E319="Inventory",IFERROR(VLOOKUP($C319,Inventory!$B:$H,7,FALSE()),0),IF($E319="Non Inventory",IFERROR(VLOOKUP($C319,'Non Inventory'!$B:$H,7,FALSE()),0),IF($E319="Services",IFERROR(VLOOKUP($C319,Services!$B:$H,7,FALSE()),0),IF($E319="Patty Cash",IFERROR(VLOOKUP($C319,'Patty Cash'!$B:$H,7,FALSE()),0),0)))))</f>
        <v>0</v>
      </c>
      <c r="I319" s="213" t="s">
        <v>1671</v>
      </c>
      <c r="J319" s="214" t="s">
        <v>67</v>
      </c>
      <c r="K319" s="215" t="s">
        <v>1323</v>
      </c>
      <c r="L319" s="197" t="s">
        <v>1195</v>
      </c>
      <c r="M319" s="215" t="s">
        <v>1196</v>
      </c>
      <c r="N319" s="216">
        <f>IFERROR(IF($E319="Inventory",VLOOKUP($C319,Inventory!$B:$I,8,FALSE()),IF($E319="Non Inventory",VLOOKUP($C319,'Non Inventory'!$B:$I,8,FALSE()),IF($E319="Services",VLOOKUP($C319,Services!$B:$I,8,FALSE()),IF($E319="Patty Cash",VLOOKUP($C319,'Patty Cash'!$B:$J,8,FALSE()),0)))),0)</f>
        <v>416</v>
      </c>
      <c r="O319" s="217">
        <f t="shared" si="4"/>
        <v>299.9984</v>
      </c>
    </row>
    <row r="320" spans="1:15" ht="23.1" customHeight="1">
      <c r="A320" s="206">
        <f>IF(AND($B320="",$C320=""),"",MAX($A$3:A319)+1)</f>
        <v>317</v>
      </c>
      <c r="B320" s="207">
        <v>46183</v>
      </c>
      <c r="C320" s="208">
        <v>17622</v>
      </c>
      <c r="D320" s="209" t="str">
        <f>IFERROR(IF($E320="Inventory",VLOOKUP($C320,Inventory!$B:$I,2,FALSE()),IF($E320="Non Inventory",VLOOKUP($C320,'Non Inventory'!$B:$I,2,FALSE()),IF($E320="Services",VLOOKUP($C320,Services!$B:$I,2,FALSE()),IF($E320="Patty Cash",VLOOKUP($C320,'Patty Cash'!$B:$J,2,FALSE()),"")))),"")</f>
        <v>Horizontal Jaws Pin Size Length 65mm, Dia 15mm, Material S.S (Ishida Machine)</v>
      </c>
      <c r="E320" s="246" t="s">
        <v>6</v>
      </c>
      <c r="F320" s="210" t="str">
        <f>IFERROR(IF($E320="Inventory",VLOOKUP($C320,Inventory!$B:$I,3,FALSE()),IF($E320="Non Inventory",VLOOKUP($C320,'Non Inventory'!$B:$I,3,FALSE()),IF($E320="Services",VLOOKUP($C320,Services!$B:$I,3,FALSE()),IF($E320="Patty Cash",VLOOKUP($C320,'Patty Cash'!$B:$J,3,FALSE()),"")))),"")</f>
        <v>NOS</v>
      </c>
      <c r="G320" s="211">
        <v>1</v>
      </c>
      <c r="H320" s="212">
        <f>IF($E320="","",IF($E320="Inventory",IFERROR(VLOOKUP($C320,Inventory!$B:$H,7,FALSE()),0),IF($E320="Non Inventory",IFERROR(VLOOKUP($C320,'Non Inventory'!$B:$H,7,FALSE()),0),IF($E320="Services",IFERROR(VLOOKUP($C320,Services!$B:$H,7,FALSE()),0),IF($E320="Patty Cash",IFERROR(VLOOKUP($C320,'Patty Cash'!$B:$H,7,FALSE()),0),0)))))</f>
        <v>12</v>
      </c>
      <c r="I320" s="213" t="s">
        <v>40</v>
      </c>
      <c r="J320" s="214" t="s">
        <v>1250</v>
      </c>
      <c r="K320" s="215" t="s">
        <v>1194</v>
      </c>
      <c r="L320" s="197" t="s">
        <v>1195</v>
      </c>
      <c r="M320" s="215" t="s">
        <v>1196</v>
      </c>
      <c r="N320" s="216">
        <f>IFERROR(IF($E320="Inventory",VLOOKUP($C320,Inventory!$B:$I,8,FALSE()),IF($E320="Non Inventory",VLOOKUP($C320,'Non Inventory'!$B:$I,8,FALSE()),IF($E320="Services",VLOOKUP($C320,Services!$B:$I,8,FALSE()),IF($E320="Patty Cash",VLOOKUP($C320,'Patty Cash'!$B:$J,8,FALSE()),0)))),0)</f>
        <v>2600</v>
      </c>
      <c r="O320" s="217">
        <f t="shared" si="4"/>
        <v>2600</v>
      </c>
    </row>
    <row r="321" spans="1:15" ht="23.1" customHeight="1">
      <c r="A321" s="206">
        <f>IF(AND($B321="",$C321=""),"",MAX($A$3:A320)+1)</f>
        <v>318</v>
      </c>
      <c r="B321" s="207">
        <v>46183</v>
      </c>
      <c r="C321" s="208">
        <v>4859</v>
      </c>
      <c r="D321" s="209" t="str">
        <f>IFERROR(IF($E321="Inventory",VLOOKUP($C321,Inventory!$B:$I,2,FALSE()),IF($E321="Non Inventory",VLOOKUP($C321,'Non Inventory'!$B:$I,2,FALSE()),IF($E321="Services",VLOOKUP($C321,Services!$B:$I,2,FALSE()),IF($E321="Patty Cash",VLOOKUP($C321,'Patty Cash'!$B:$J,2,FALSE()),"")))),"")</f>
        <v>Bearing Hmk 1819 (Ta 1819) P/N# 0942072-07</v>
      </c>
      <c r="E321" s="246" t="s">
        <v>6</v>
      </c>
      <c r="F321" s="210" t="str">
        <f>IFERROR(IF($E321="Inventory",VLOOKUP($C321,Inventory!$B:$I,3,FALSE()),IF($E321="Non Inventory",VLOOKUP($C321,'Non Inventory'!$B:$I,3,FALSE()),IF($E321="Services",VLOOKUP($C321,Services!$B:$I,3,FALSE()),IF($E321="Patty Cash",VLOOKUP($C321,'Patty Cash'!$B:$J,3,FALSE()),"")))),"")</f>
        <v>NOS</v>
      </c>
      <c r="G321" s="211">
        <v>2</v>
      </c>
      <c r="H321" s="212">
        <f>IF($E321="","",IF($E321="Inventory",IFERROR(VLOOKUP($C321,Inventory!$B:$H,7,FALSE()),0),IF($E321="Non Inventory",IFERROR(VLOOKUP($C321,'Non Inventory'!$B:$H,7,FALSE()),0),IF($E321="Services",IFERROR(VLOOKUP($C321,Services!$B:$H,7,FALSE()),0),IF($E321="Patty Cash",IFERROR(VLOOKUP($C321,'Patty Cash'!$B:$H,7,FALSE()),0),0)))))</f>
        <v>26</v>
      </c>
      <c r="I321" s="213" t="s">
        <v>40</v>
      </c>
      <c r="J321" s="214" t="s">
        <v>1250</v>
      </c>
      <c r="K321" s="215" t="s">
        <v>1194</v>
      </c>
      <c r="L321" s="197" t="s">
        <v>1195</v>
      </c>
      <c r="M321" s="215" t="s">
        <v>1196</v>
      </c>
      <c r="N321" s="216">
        <f>IFERROR(IF($E321="Inventory",VLOOKUP($C321,Inventory!$B:$I,8,FALSE()),IF($E321="Non Inventory",VLOOKUP($C321,'Non Inventory'!$B:$I,8,FALSE()),IF($E321="Services",VLOOKUP($C321,Services!$B:$I,8,FALSE()),IF($E321="Patty Cash",VLOOKUP($C321,'Patty Cash'!$B:$J,8,FALSE()),0)))),0)</f>
        <v>1500</v>
      </c>
      <c r="O321" s="217">
        <f t="shared" si="4"/>
        <v>3000</v>
      </c>
    </row>
    <row r="322" spans="1:15" ht="23.1" customHeight="1">
      <c r="A322" s="206">
        <f>IF(AND($B322="",$C322=""),"",MAX($A$3:A321)+1)</f>
        <v>319</v>
      </c>
      <c r="B322" s="207">
        <v>46184</v>
      </c>
      <c r="C322" s="208">
        <v>5916</v>
      </c>
      <c r="D322" s="209" t="str">
        <f>IFERROR(IF($E322="Inventory",VLOOKUP($C322,Inventory!$B:$I,2,FALSE()),IF($E322="Non Inventory",VLOOKUP($C322,'Non Inventory'!$B:$I,2,FALSE()),IF($E322="Services",VLOOKUP($C322,Services!$B:$I,2,FALSE()),IF($E322="Patty Cash",VLOOKUP($C322,'Patty Cash'!$B:$J,2,FALSE()),"")))),"")</f>
        <v>Combination Plier 8"</v>
      </c>
      <c r="E322" s="246" t="s">
        <v>7</v>
      </c>
      <c r="F322" s="210" t="str">
        <f>IFERROR(IF($E322="Inventory",VLOOKUP($C322,Inventory!$B:$I,3,FALSE()),IF($E322="Non Inventory",VLOOKUP($C322,'Non Inventory'!$B:$I,3,FALSE()),IF($E322="Services",VLOOKUP($C322,Services!$B:$I,3,FALSE()),IF($E322="Patty Cash",VLOOKUP($C322,'Patty Cash'!$B:$J,3,FALSE()),"")))),"")</f>
        <v>NOS</v>
      </c>
      <c r="G322" s="211">
        <v>1</v>
      </c>
      <c r="H322" s="212">
        <f>IF($E322="","",IF($E322="Inventory",IFERROR(VLOOKUP($C322,Inventory!$B:$H,7,FALSE()),0),IF($E322="Non Inventory",IFERROR(VLOOKUP($C322,'Non Inventory'!$B:$H,7,FALSE()),0),IF($E322="Services",IFERROR(VLOOKUP($C322,Services!$B:$H,7,FALSE()),0),IF($E322="Patty Cash",IFERROR(VLOOKUP($C322,'Patty Cash'!$B:$H,7,FALSE()),0),0)))))</f>
        <v>0</v>
      </c>
      <c r="I322" s="213" t="s">
        <v>1222</v>
      </c>
      <c r="J322" s="214" t="s">
        <v>67</v>
      </c>
      <c r="K322" s="215" t="s">
        <v>1386</v>
      </c>
      <c r="L322" s="197" t="s">
        <v>1195</v>
      </c>
      <c r="M322" s="215" t="s">
        <v>1207</v>
      </c>
      <c r="N322" s="216">
        <f>IFERROR(IF($E322="Inventory",VLOOKUP($C322,Inventory!$B:$I,8,FALSE()),IF($E322="Non Inventory",VLOOKUP($C322,'Non Inventory'!$B:$I,8,FALSE()),IF($E322="Services",VLOOKUP($C322,Services!$B:$I,8,FALSE()),IF($E322="Patty Cash",VLOOKUP($C322,'Patty Cash'!$B:$J,8,FALSE()),0)))),0)</f>
        <v>710</v>
      </c>
      <c r="O322" s="217">
        <f t="shared" si="4"/>
        <v>710</v>
      </c>
    </row>
    <row r="323" spans="1:15" ht="23.1" customHeight="1">
      <c r="A323" s="206">
        <f>IF(AND($B323="",$C323=""),"",MAX($A$3:A322)+1)</f>
        <v>320</v>
      </c>
      <c r="B323" s="207">
        <v>46184</v>
      </c>
      <c r="C323" s="208">
        <v>2208</v>
      </c>
      <c r="D323" s="209" t="str">
        <f>IFERROR(IF($E323="Inventory",VLOOKUP($C323,Inventory!$B:$I,2,FALSE()),IF($E323="Non Inventory",VLOOKUP($C323,'Non Inventory'!$B:$I,2,FALSE()),IF($E323="Services",VLOOKUP($C323,Services!$B:$I,2,FALSE()),IF($E323="Patty Cash",VLOOKUP($C323,'Patty Cash'!$B:$J,2,FALSE()),"")))),"")</f>
        <v>Nose Plier 8"</v>
      </c>
      <c r="E323" s="246" t="s">
        <v>7</v>
      </c>
      <c r="F323" s="210" t="str">
        <f>IFERROR(IF($E323="Inventory",VLOOKUP($C323,Inventory!$B:$I,3,FALSE()),IF($E323="Non Inventory",VLOOKUP($C323,'Non Inventory'!$B:$I,3,FALSE()),IF($E323="Services",VLOOKUP($C323,Services!$B:$I,3,FALSE()),IF($E323="Patty Cash",VLOOKUP($C323,'Patty Cash'!$B:$J,3,FALSE()),"")))),"")</f>
        <v>NOS</v>
      </c>
      <c r="G323" s="211">
        <v>1</v>
      </c>
      <c r="H323" s="212">
        <f>IF($E323="","",IF($E323="Inventory",IFERROR(VLOOKUP($C323,Inventory!$B:$H,7,FALSE()),0),IF($E323="Non Inventory",IFERROR(VLOOKUP($C323,'Non Inventory'!$B:$H,7,FALSE()),0),IF($E323="Services",IFERROR(VLOOKUP($C323,Services!$B:$H,7,FALSE()),0),IF($E323="Patty Cash",IFERROR(VLOOKUP($C323,'Patty Cash'!$B:$H,7,FALSE()),0),0)))))</f>
        <v>0</v>
      </c>
      <c r="I323" s="213" t="s">
        <v>1222</v>
      </c>
      <c r="J323" s="214" t="s">
        <v>67</v>
      </c>
      <c r="K323" s="215" t="s">
        <v>1386</v>
      </c>
      <c r="L323" s="197" t="s">
        <v>1195</v>
      </c>
      <c r="M323" s="215" t="s">
        <v>1207</v>
      </c>
      <c r="N323" s="216">
        <f>IFERROR(IF($E323="Inventory",VLOOKUP($C323,Inventory!$B:$I,8,FALSE()),IF($E323="Non Inventory",VLOOKUP($C323,'Non Inventory'!$B:$I,8,FALSE()),IF($E323="Services",VLOOKUP($C323,Services!$B:$I,8,FALSE()),IF($E323="Patty Cash",VLOOKUP($C323,'Patty Cash'!$B:$J,8,FALSE()),0)))),0)</f>
        <v>710</v>
      </c>
      <c r="O323" s="217">
        <f t="shared" si="4"/>
        <v>710</v>
      </c>
    </row>
    <row r="324" spans="1:15" ht="23.1" customHeight="1">
      <c r="A324" s="206">
        <f>IF(AND($B324="",$C324=""),"",MAX($A$3:A323)+1)</f>
        <v>321</v>
      </c>
      <c r="B324" s="207">
        <v>46184</v>
      </c>
      <c r="C324" s="208">
        <v>3332</v>
      </c>
      <c r="D324" s="209" t="str">
        <f>IFERROR(IF($E324="Inventory",VLOOKUP($C324,Inventory!$B:$I,2,FALSE()),IF($E324="Non Inventory",VLOOKUP($C324,'Non Inventory'!$B:$I,2,FALSE()),IF($E324="Services",VLOOKUP($C324,Services!$B:$I,2,FALSE()),IF($E324="Patty Cash",VLOOKUP($C324,'Patty Cash'!$B:$J,2,FALSE()),"")))),"")</f>
        <v>Cutter Plier 8"</v>
      </c>
      <c r="E324" s="246" t="s">
        <v>7</v>
      </c>
      <c r="F324" s="210" t="str">
        <f>IFERROR(IF($E324="Inventory",VLOOKUP($C324,Inventory!$B:$I,3,FALSE()),IF($E324="Non Inventory",VLOOKUP($C324,'Non Inventory'!$B:$I,3,FALSE()),IF($E324="Services",VLOOKUP($C324,Services!$B:$I,3,FALSE()),IF($E324="Patty Cash",VLOOKUP($C324,'Patty Cash'!$B:$J,3,FALSE()),"")))),"")</f>
        <v>PCS</v>
      </c>
      <c r="G324" s="211">
        <v>1</v>
      </c>
      <c r="H324" s="212">
        <f>IF($E324="","",IF($E324="Inventory",IFERROR(VLOOKUP($C324,Inventory!$B:$H,7,FALSE()),0),IF($E324="Non Inventory",IFERROR(VLOOKUP($C324,'Non Inventory'!$B:$H,7,FALSE()),0),IF($E324="Services",IFERROR(VLOOKUP($C324,Services!$B:$H,7,FALSE()),0),IF($E324="Patty Cash",IFERROR(VLOOKUP($C324,'Patty Cash'!$B:$H,7,FALSE()),0),0)))))</f>
        <v>0</v>
      </c>
      <c r="I324" s="213" t="s">
        <v>1222</v>
      </c>
      <c r="J324" s="214" t="s">
        <v>67</v>
      </c>
      <c r="K324" s="215" t="s">
        <v>1386</v>
      </c>
      <c r="L324" s="197" t="s">
        <v>1195</v>
      </c>
      <c r="M324" s="215" t="s">
        <v>1207</v>
      </c>
      <c r="N324" s="216">
        <f>IFERROR(IF($E324="Inventory",VLOOKUP($C324,Inventory!$B:$I,8,FALSE()),IF($E324="Non Inventory",VLOOKUP($C324,'Non Inventory'!$B:$I,8,FALSE()),IF($E324="Services",VLOOKUP($C324,Services!$B:$I,8,FALSE()),IF($E324="Patty Cash",VLOOKUP($C324,'Patty Cash'!$B:$J,8,FALSE()),0)))),0)</f>
        <v>700</v>
      </c>
      <c r="O324" s="217">
        <f t="shared" si="4"/>
        <v>700</v>
      </c>
    </row>
    <row r="325" spans="1:15" ht="23.1" customHeight="1">
      <c r="A325" s="206">
        <f>IF(AND($B325="",$C325=""),"",MAX($A$3:A324)+1)</f>
        <v>322</v>
      </c>
      <c r="B325" s="207">
        <v>46184</v>
      </c>
      <c r="C325" s="208">
        <v>24242</v>
      </c>
      <c r="D325" s="209" t="str">
        <f>IFERROR(IF($E325="Inventory",VLOOKUP($C325,Inventory!$B:$I,2,FALSE()),IF($E325="Non Inventory",VLOOKUP($C325,'Non Inventory'!$B:$I,2,FALSE()),IF($E325="Services",VLOOKUP($C325,Services!$B:$I,2,FALSE()),IF($E325="Patty Cash",VLOOKUP($C325,'Patty Cash'!$B:$J,2,FALSE()),"")))),"")</f>
        <v>Screw Driver Size 6" +</v>
      </c>
      <c r="E325" s="246" t="s">
        <v>7</v>
      </c>
      <c r="F325" s="210" t="str">
        <f>IFERROR(IF($E325="Inventory",VLOOKUP($C325,Inventory!$B:$I,3,FALSE()),IF($E325="Non Inventory",VLOOKUP($C325,'Non Inventory'!$B:$I,3,FALSE()),IF($E325="Services",VLOOKUP($C325,Services!$B:$I,3,FALSE()),IF($E325="Patty Cash",VLOOKUP($C325,'Patty Cash'!$B:$J,3,FALSE()),"")))),"")</f>
        <v>NOS</v>
      </c>
      <c r="G325" s="211">
        <v>1</v>
      </c>
      <c r="H325" s="212">
        <f>IF($E325="","",IF($E325="Inventory",IFERROR(VLOOKUP($C325,Inventory!$B:$H,7,FALSE()),0),IF($E325="Non Inventory",IFERROR(VLOOKUP($C325,'Non Inventory'!$B:$H,7,FALSE()),0),IF($E325="Services",IFERROR(VLOOKUP($C325,Services!$B:$H,7,FALSE()),0),IF($E325="Patty Cash",IFERROR(VLOOKUP($C325,'Patty Cash'!$B:$H,7,FALSE()),0),0)))))</f>
        <v>0</v>
      </c>
      <c r="I325" s="213" t="s">
        <v>1222</v>
      </c>
      <c r="J325" s="214" t="s">
        <v>67</v>
      </c>
      <c r="K325" s="215" t="s">
        <v>1386</v>
      </c>
      <c r="L325" s="197" t="s">
        <v>1195</v>
      </c>
      <c r="M325" s="215" t="s">
        <v>1207</v>
      </c>
      <c r="N325" s="216">
        <f>IFERROR(IF($E325="Inventory",VLOOKUP($C325,Inventory!$B:$I,8,FALSE()),IF($E325="Non Inventory",VLOOKUP($C325,'Non Inventory'!$B:$I,8,FALSE()),IF($E325="Services",VLOOKUP($C325,Services!$B:$I,8,FALSE()),IF($E325="Patty Cash",VLOOKUP($C325,'Patty Cash'!$B:$J,8,FALSE()),0)))),0)</f>
        <v>200</v>
      </c>
      <c r="O325" s="217">
        <f t="shared" ref="O325:O386" si="5">IF($G325="","",G325*N325)</f>
        <v>200</v>
      </c>
    </row>
    <row r="326" spans="1:15" ht="23.1" customHeight="1">
      <c r="A326" s="206">
        <f>IF(AND($B326="",$C326=""),"",MAX($A$3:A325)+1)</f>
        <v>323</v>
      </c>
      <c r="B326" s="207">
        <v>46184</v>
      </c>
      <c r="C326" s="208">
        <v>24243</v>
      </c>
      <c r="D326" s="209" t="str">
        <f>IFERROR(IF($E326="Inventory",VLOOKUP($C326,Inventory!$B:$I,2,FALSE()),IF($E326="Non Inventory",VLOOKUP($C326,'Non Inventory'!$B:$I,2,FALSE()),IF($E326="Services",VLOOKUP($C326,Services!$B:$I,2,FALSE()),IF($E326="Patty Cash",VLOOKUP($C326,'Patty Cash'!$B:$J,2,FALSE()),"")))),"")</f>
        <v>Screw Driver Size 6" -</v>
      </c>
      <c r="E326" s="246" t="s">
        <v>7</v>
      </c>
      <c r="F326" s="210" t="str">
        <f>IFERROR(IF($E326="Inventory",VLOOKUP($C326,Inventory!$B:$I,3,FALSE()),IF($E326="Non Inventory",VLOOKUP($C326,'Non Inventory'!$B:$I,3,FALSE()),IF($E326="Services",VLOOKUP($C326,Services!$B:$I,3,FALSE()),IF($E326="Patty Cash",VLOOKUP($C326,'Patty Cash'!$B:$J,3,FALSE()),"")))),"")</f>
        <v>NOS</v>
      </c>
      <c r="G326" s="211">
        <v>1</v>
      </c>
      <c r="H326" s="212">
        <f>IF($E326="","",IF($E326="Inventory",IFERROR(VLOOKUP($C326,Inventory!$B:$H,7,FALSE()),0),IF($E326="Non Inventory",IFERROR(VLOOKUP($C326,'Non Inventory'!$B:$H,7,FALSE()),0),IF($E326="Services",IFERROR(VLOOKUP($C326,Services!$B:$H,7,FALSE()),0),IF($E326="Patty Cash",IFERROR(VLOOKUP($C326,'Patty Cash'!$B:$H,7,FALSE()),0),0)))))</f>
        <v>0</v>
      </c>
      <c r="I326" s="213" t="s">
        <v>1222</v>
      </c>
      <c r="J326" s="214" t="s">
        <v>67</v>
      </c>
      <c r="K326" s="215" t="s">
        <v>1386</v>
      </c>
      <c r="L326" s="197" t="s">
        <v>1195</v>
      </c>
      <c r="M326" s="215" t="s">
        <v>1207</v>
      </c>
      <c r="N326" s="216">
        <f>IFERROR(IF($E326="Inventory",VLOOKUP($C326,Inventory!$B:$I,8,FALSE()),IF($E326="Non Inventory",VLOOKUP($C326,'Non Inventory'!$B:$I,8,FALSE()),IF($E326="Services",VLOOKUP($C326,Services!$B:$I,8,FALSE()),IF($E326="Patty Cash",VLOOKUP($C326,'Patty Cash'!$B:$J,8,FALSE()),0)))),0)</f>
        <v>200</v>
      </c>
      <c r="O326" s="217">
        <f t="shared" si="5"/>
        <v>200</v>
      </c>
    </row>
    <row r="327" spans="1:15" ht="23.1" customHeight="1">
      <c r="A327" s="206">
        <f>IF(AND($B327="",$C327=""),"",MAX($A$3:A326)+1)</f>
        <v>324</v>
      </c>
      <c r="B327" s="207">
        <v>46184</v>
      </c>
      <c r="C327" s="208">
        <v>5916</v>
      </c>
      <c r="D327" s="209" t="str">
        <f>IFERROR(IF($E327="Inventory",VLOOKUP($C327,Inventory!$B:$I,2,FALSE()),IF($E327="Non Inventory",VLOOKUP($C327,'Non Inventory'!$B:$I,2,FALSE()),IF($E327="Services",VLOOKUP($C327,Services!$B:$I,2,FALSE()),IF($E327="Patty Cash",VLOOKUP($C327,'Patty Cash'!$B:$J,2,FALSE()),"")))),"")</f>
        <v>Combination Plier 8"</v>
      </c>
      <c r="E327" s="246" t="s">
        <v>7</v>
      </c>
      <c r="F327" s="210" t="str">
        <f>IFERROR(IF($E327="Inventory",VLOOKUP($C327,Inventory!$B:$I,3,FALSE()),IF($E327="Non Inventory",VLOOKUP($C327,'Non Inventory'!$B:$I,3,FALSE()),IF($E327="Services",VLOOKUP($C327,Services!$B:$I,3,FALSE()),IF($E327="Patty Cash",VLOOKUP($C327,'Patty Cash'!$B:$J,3,FALSE()),"")))),"")</f>
        <v>NOS</v>
      </c>
      <c r="G327" s="211">
        <v>1</v>
      </c>
      <c r="H327" s="212">
        <f>IF($E327="","",IF($E327="Inventory",IFERROR(VLOOKUP($C327,Inventory!$B:$H,7,FALSE()),0),IF($E327="Non Inventory",IFERROR(VLOOKUP($C327,'Non Inventory'!$B:$H,7,FALSE()),0),IF($E327="Services",IFERROR(VLOOKUP($C327,Services!$B:$H,7,FALSE()),0),IF($E327="Patty Cash",IFERROR(VLOOKUP($C327,'Patty Cash'!$B:$H,7,FALSE()),0),0)))))</f>
        <v>0</v>
      </c>
      <c r="I327" s="213" t="s">
        <v>1222</v>
      </c>
      <c r="J327" s="214" t="s">
        <v>67</v>
      </c>
      <c r="K327" s="215" t="s">
        <v>1206</v>
      </c>
      <c r="L327" s="197" t="s">
        <v>1195</v>
      </c>
      <c r="M327" s="215" t="s">
        <v>1207</v>
      </c>
      <c r="N327" s="216">
        <f>IFERROR(IF($E327="Inventory",VLOOKUP($C327,Inventory!$B:$I,8,FALSE()),IF($E327="Non Inventory",VLOOKUP($C327,'Non Inventory'!$B:$I,8,FALSE()),IF($E327="Services",VLOOKUP($C327,Services!$B:$I,8,FALSE()),IF($E327="Patty Cash",VLOOKUP($C327,'Patty Cash'!$B:$J,8,FALSE()),0)))),0)</f>
        <v>710</v>
      </c>
      <c r="O327" s="217">
        <f t="shared" si="5"/>
        <v>710</v>
      </c>
    </row>
    <row r="328" spans="1:15" ht="23.1" customHeight="1">
      <c r="A328" s="206">
        <f>IF(AND($B328="",$C328=""),"",MAX($A$3:A327)+1)</f>
        <v>325</v>
      </c>
      <c r="B328" s="207">
        <v>46184</v>
      </c>
      <c r="C328" s="208">
        <v>3332</v>
      </c>
      <c r="D328" s="209" t="str">
        <f>IFERROR(IF($E328="Inventory",VLOOKUP($C328,Inventory!$B:$I,2,FALSE()),IF($E328="Non Inventory",VLOOKUP($C328,'Non Inventory'!$B:$I,2,FALSE()),IF($E328="Services",VLOOKUP($C328,Services!$B:$I,2,FALSE()),IF($E328="Patty Cash",VLOOKUP($C328,'Patty Cash'!$B:$J,2,FALSE()),"")))),"")</f>
        <v>Cutter Plier 8"</v>
      </c>
      <c r="E328" s="246" t="s">
        <v>7</v>
      </c>
      <c r="F328" s="210" t="str">
        <f>IFERROR(IF($E328="Inventory",VLOOKUP($C328,Inventory!$B:$I,3,FALSE()),IF($E328="Non Inventory",VLOOKUP($C328,'Non Inventory'!$B:$I,3,FALSE()),IF($E328="Services",VLOOKUP($C328,Services!$B:$I,3,FALSE()),IF($E328="Patty Cash",VLOOKUP($C328,'Patty Cash'!$B:$J,3,FALSE()),"")))),"")</f>
        <v>PCS</v>
      </c>
      <c r="G328" s="211">
        <v>1</v>
      </c>
      <c r="H328" s="212">
        <f>IF($E328="","",IF($E328="Inventory",IFERROR(VLOOKUP($C328,Inventory!$B:$H,7,FALSE()),0),IF($E328="Non Inventory",IFERROR(VLOOKUP($C328,'Non Inventory'!$B:$H,7,FALSE()),0),IF($E328="Services",IFERROR(VLOOKUP($C328,Services!$B:$H,7,FALSE()),0),IF($E328="Patty Cash",IFERROR(VLOOKUP($C328,'Patty Cash'!$B:$H,7,FALSE()),0),0)))))</f>
        <v>0</v>
      </c>
      <c r="I328" s="213" t="s">
        <v>1222</v>
      </c>
      <c r="J328" s="214" t="s">
        <v>67</v>
      </c>
      <c r="K328" s="215" t="s">
        <v>1206</v>
      </c>
      <c r="L328" s="197" t="s">
        <v>1195</v>
      </c>
      <c r="M328" s="215" t="s">
        <v>1207</v>
      </c>
      <c r="N328" s="216">
        <f>IFERROR(IF($E328="Inventory",VLOOKUP($C328,Inventory!$B:$I,8,FALSE()),IF($E328="Non Inventory",VLOOKUP($C328,'Non Inventory'!$B:$I,8,FALSE()),IF($E328="Services",VLOOKUP($C328,Services!$B:$I,8,FALSE()),IF($E328="Patty Cash",VLOOKUP($C328,'Patty Cash'!$B:$J,8,FALSE()),0)))),0)</f>
        <v>700</v>
      </c>
      <c r="O328" s="217">
        <f t="shared" si="5"/>
        <v>700</v>
      </c>
    </row>
    <row r="329" spans="1:15" ht="23.1" customHeight="1">
      <c r="A329" s="206">
        <f>IF(AND($B329="",$C329=""),"",MAX($A$3:A328)+1)</f>
        <v>326</v>
      </c>
      <c r="B329" s="207">
        <v>46184</v>
      </c>
      <c r="C329" s="208">
        <v>24242</v>
      </c>
      <c r="D329" s="209" t="str">
        <f>IFERROR(IF($E329="Inventory",VLOOKUP($C329,Inventory!$B:$I,2,FALSE()),IF($E329="Non Inventory",VLOOKUP($C329,'Non Inventory'!$B:$I,2,FALSE()),IF($E329="Services",VLOOKUP($C329,Services!$B:$I,2,FALSE()),IF($E329="Patty Cash",VLOOKUP($C329,'Patty Cash'!$B:$J,2,FALSE()),"")))),"")</f>
        <v>Screw Driver Size 6" +</v>
      </c>
      <c r="E329" s="246" t="s">
        <v>7</v>
      </c>
      <c r="F329" s="210" t="str">
        <f>IFERROR(IF($E329="Inventory",VLOOKUP($C329,Inventory!$B:$I,3,FALSE()),IF($E329="Non Inventory",VLOOKUP($C329,'Non Inventory'!$B:$I,3,FALSE()),IF($E329="Services",VLOOKUP($C329,Services!$B:$I,3,FALSE()),IF($E329="Patty Cash",VLOOKUP($C329,'Patty Cash'!$B:$J,3,FALSE()),"")))),"")</f>
        <v>NOS</v>
      </c>
      <c r="G329" s="211">
        <v>1</v>
      </c>
      <c r="H329" s="212">
        <f>IF($E329="","",IF($E329="Inventory",IFERROR(VLOOKUP($C329,Inventory!$B:$H,7,FALSE()),0),IF($E329="Non Inventory",IFERROR(VLOOKUP($C329,'Non Inventory'!$B:$H,7,FALSE()),0),IF($E329="Services",IFERROR(VLOOKUP($C329,Services!$B:$H,7,FALSE()),0),IF($E329="Patty Cash",IFERROR(VLOOKUP($C329,'Patty Cash'!$B:$H,7,FALSE()),0),0)))))</f>
        <v>0</v>
      </c>
      <c r="I329" s="213" t="s">
        <v>1222</v>
      </c>
      <c r="J329" s="214" t="s">
        <v>67</v>
      </c>
      <c r="K329" s="215" t="s">
        <v>1206</v>
      </c>
      <c r="L329" s="197" t="s">
        <v>1195</v>
      </c>
      <c r="M329" s="215" t="s">
        <v>1207</v>
      </c>
      <c r="N329" s="216">
        <f>IFERROR(IF($E329="Inventory",VLOOKUP($C329,Inventory!$B:$I,8,FALSE()),IF($E329="Non Inventory",VLOOKUP($C329,'Non Inventory'!$B:$I,8,FALSE()),IF($E329="Services",VLOOKUP($C329,Services!$B:$I,8,FALSE()),IF($E329="Patty Cash",VLOOKUP($C329,'Patty Cash'!$B:$J,8,FALSE()),0)))),0)</f>
        <v>200</v>
      </c>
      <c r="O329" s="217">
        <f t="shared" si="5"/>
        <v>200</v>
      </c>
    </row>
    <row r="330" spans="1:15" ht="23.1" customHeight="1">
      <c r="A330" s="206">
        <f>IF(AND($B330="",$C330=""),"",MAX($A$3:A329)+1)</f>
        <v>327</v>
      </c>
      <c r="B330" s="207">
        <v>46184</v>
      </c>
      <c r="C330" s="208">
        <v>24243</v>
      </c>
      <c r="D330" s="209" t="str">
        <f>IFERROR(IF($E330="Inventory",VLOOKUP($C330,Inventory!$B:$I,2,FALSE()),IF($E330="Non Inventory",VLOOKUP($C330,'Non Inventory'!$B:$I,2,FALSE()),IF($E330="Services",VLOOKUP($C330,Services!$B:$I,2,FALSE()),IF($E330="Patty Cash",VLOOKUP($C330,'Patty Cash'!$B:$J,2,FALSE()),"")))),"")</f>
        <v>Screw Driver Size 6" -</v>
      </c>
      <c r="E330" s="246" t="s">
        <v>7</v>
      </c>
      <c r="F330" s="210" t="str">
        <f>IFERROR(IF($E330="Inventory",VLOOKUP($C330,Inventory!$B:$I,3,FALSE()),IF($E330="Non Inventory",VLOOKUP($C330,'Non Inventory'!$B:$I,3,FALSE()),IF($E330="Services",VLOOKUP($C330,Services!$B:$I,3,FALSE()),IF($E330="Patty Cash",VLOOKUP($C330,'Patty Cash'!$B:$J,3,FALSE()),"")))),"")</f>
        <v>NOS</v>
      </c>
      <c r="G330" s="211">
        <v>1</v>
      </c>
      <c r="H330" s="212">
        <f>IF($E330="","",IF($E330="Inventory",IFERROR(VLOOKUP($C330,Inventory!$B:$H,7,FALSE()),0),IF($E330="Non Inventory",IFERROR(VLOOKUP($C330,'Non Inventory'!$B:$H,7,FALSE()),0),IF($E330="Services",IFERROR(VLOOKUP($C330,Services!$B:$H,7,FALSE()),0),IF($E330="Patty Cash",IFERROR(VLOOKUP($C330,'Patty Cash'!$B:$H,7,FALSE()),0),0)))))</f>
        <v>0</v>
      </c>
      <c r="I330" s="213" t="s">
        <v>1222</v>
      </c>
      <c r="J330" s="214" t="s">
        <v>67</v>
      </c>
      <c r="K330" s="215" t="s">
        <v>1206</v>
      </c>
      <c r="L330" s="197" t="s">
        <v>1195</v>
      </c>
      <c r="M330" s="215" t="s">
        <v>1207</v>
      </c>
      <c r="N330" s="216">
        <f>IFERROR(IF($E330="Inventory",VLOOKUP($C330,Inventory!$B:$I,8,FALSE()),IF($E330="Non Inventory",VLOOKUP($C330,'Non Inventory'!$B:$I,8,FALSE()),IF($E330="Services",VLOOKUP($C330,Services!$B:$I,8,FALSE()),IF($E330="Patty Cash",VLOOKUP($C330,'Patty Cash'!$B:$J,8,FALSE()),0)))),0)</f>
        <v>200</v>
      </c>
      <c r="O330" s="217">
        <f t="shared" si="5"/>
        <v>200</v>
      </c>
    </row>
    <row r="331" spans="1:15" ht="23.1" customHeight="1">
      <c r="A331" s="206">
        <f>IF(AND($B331="",$C331=""),"",MAX($A$3:A330)+1)</f>
        <v>328</v>
      </c>
      <c r="B331" s="207">
        <v>46183</v>
      </c>
      <c r="C331" s="208">
        <v>3332</v>
      </c>
      <c r="D331" s="209" t="str">
        <f>IFERROR(IF($E331="Inventory",VLOOKUP($C331,Inventory!$B:$I,2,FALSE()),IF($E331="Non Inventory",VLOOKUP($C331,'Non Inventory'!$B:$I,2,FALSE()),IF($E331="Services",VLOOKUP($C331,Services!$B:$I,2,FALSE()),IF($E331="Patty Cash",VLOOKUP($C331,'Patty Cash'!$B:$J,2,FALSE()),"")))),"")</f>
        <v>Cutter Plier 8"</v>
      </c>
      <c r="E331" s="246" t="s">
        <v>7</v>
      </c>
      <c r="F331" s="210" t="str">
        <f>IFERROR(IF($E331="Inventory",VLOOKUP($C331,Inventory!$B:$I,3,FALSE()),IF($E331="Non Inventory",VLOOKUP($C331,'Non Inventory'!$B:$I,3,FALSE()),IF($E331="Services",VLOOKUP($C331,Services!$B:$I,3,FALSE()),IF($E331="Patty Cash",VLOOKUP($C331,'Patty Cash'!$B:$J,3,FALSE()),"")))),"")</f>
        <v>PCS</v>
      </c>
      <c r="G331" s="211">
        <v>1</v>
      </c>
      <c r="H331" s="212">
        <f>IF($E331="","",IF($E331="Inventory",IFERROR(VLOOKUP($C331,Inventory!$B:$H,7,FALSE()),0),IF($E331="Non Inventory",IFERROR(VLOOKUP($C331,'Non Inventory'!$B:$H,7,FALSE()),0),IF($E331="Services",IFERROR(VLOOKUP($C331,Services!$B:$H,7,FALSE()),0),IF($E331="Patty Cash",IFERROR(VLOOKUP($C331,'Patty Cash'!$B:$H,7,FALSE()),0),0)))))</f>
        <v>0</v>
      </c>
      <c r="I331" s="213" t="s">
        <v>1222</v>
      </c>
      <c r="J331" s="214" t="s">
        <v>67</v>
      </c>
      <c r="K331" s="215" t="s">
        <v>1238</v>
      </c>
      <c r="L331" s="197" t="s">
        <v>1195</v>
      </c>
      <c r="M331" s="215" t="s">
        <v>1207</v>
      </c>
      <c r="N331" s="216">
        <f>IFERROR(IF($E331="Inventory",VLOOKUP($C331,Inventory!$B:$I,8,FALSE()),IF($E331="Non Inventory",VLOOKUP($C331,'Non Inventory'!$B:$I,8,FALSE()),IF($E331="Services",VLOOKUP($C331,Services!$B:$I,8,FALSE()),IF($E331="Patty Cash",VLOOKUP($C331,'Patty Cash'!$B:$J,8,FALSE()),0)))),0)</f>
        <v>700</v>
      </c>
      <c r="O331" s="217">
        <f t="shared" si="5"/>
        <v>700</v>
      </c>
    </row>
    <row r="332" spans="1:15" ht="23.1" customHeight="1">
      <c r="A332" s="206">
        <f>IF(AND($B332="",$C332=""),"",MAX($A$3:A331)+1)</f>
        <v>329</v>
      </c>
      <c r="B332" s="207">
        <v>46183</v>
      </c>
      <c r="C332" s="208">
        <v>2208</v>
      </c>
      <c r="D332" s="209" t="str">
        <f>IFERROR(IF($E332="Inventory",VLOOKUP($C332,Inventory!$B:$I,2,FALSE()),IF($E332="Non Inventory",VLOOKUP($C332,'Non Inventory'!$B:$I,2,FALSE()),IF($E332="Services",VLOOKUP($C332,Services!$B:$I,2,FALSE()),IF($E332="Patty Cash",VLOOKUP($C332,'Patty Cash'!$B:$J,2,FALSE()),"")))),"")</f>
        <v>Nose Plier 8"</v>
      </c>
      <c r="E332" s="246" t="s">
        <v>7</v>
      </c>
      <c r="F332" s="210" t="str">
        <f>IFERROR(IF($E332="Inventory",VLOOKUP($C332,Inventory!$B:$I,3,FALSE()),IF($E332="Non Inventory",VLOOKUP($C332,'Non Inventory'!$B:$I,3,FALSE()),IF($E332="Services",VLOOKUP($C332,Services!$B:$I,3,FALSE()),IF($E332="Patty Cash",VLOOKUP($C332,'Patty Cash'!$B:$J,3,FALSE()),"")))),"")</f>
        <v>NOS</v>
      </c>
      <c r="G332" s="211">
        <v>1</v>
      </c>
      <c r="H332" s="212">
        <f>IF($E332="","",IF($E332="Inventory",IFERROR(VLOOKUP($C332,Inventory!$B:$H,7,FALSE()),0),IF($E332="Non Inventory",IFERROR(VLOOKUP($C332,'Non Inventory'!$B:$H,7,FALSE()),0),IF($E332="Services",IFERROR(VLOOKUP($C332,Services!$B:$H,7,FALSE()),0),IF($E332="Patty Cash",IFERROR(VLOOKUP($C332,'Patty Cash'!$B:$H,7,FALSE()),0),0)))))</f>
        <v>0</v>
      </c>
      <c r="I332" s="213" t="s">
        <v>1222</v>
      </c>
      <c r="J332" s="214" t="s">
        <v>67</v>
      </c>
      <c r="K332" s="215" t="s">
        <v>1238</v>
      </c>
      <c r="L332" s="197" t="s">
        <v>1195</v>
      </c>
      <c r="M332" s="215" t="s">
        <v>1207</v>
      </c>
      <c r="N332" s="216">
        <f>IFERROR(IF($E332="Inventory",VLOOKUP($C332,Inventory!$B:$I,8,FALSE()),IF($E332="Non Inventory",VLOOKUP($C332,'Non Inventory'!$B:$I,8,FALSE()),IF($E332="Services",VLOOKUP($C332,Services!$B:$I,8,FALSE()),IF($E332="Patty Cash",VLOOKUP($C332,'Patty Cash'!$B:$J,8,FALSE()),0)))),0)</f>
        <v>710</v>
      </c>
      <c r="O332" s="217">
        <f t="shared" si="5"/>
        <v>710</v>
      </c>
    </row>
    <row r="333" spans="1:15" ht="23.1" customHeight="1">
      <c r="A333" s="206">
        <f>IF(AND($B333="",$C333=""),"",MAX($A$3:A332)+1)</f>
        <v>330</v>
      </c>
      <c r="B333" s="207">
        <v>46184</v>
      </c>
      <c r="C333" s="208">
        <v>11468</v>
      </c>
      <c r="D333" s="209" t="str">
        <f>IFERROR(IF($E333="Inventory",VLOOKUP($C333,Inventory!$B:$I,2,FALSE()),IF($E333="Non Inventory",VLOOKUP($C333,'Non Inventory'!$B:$I,2,FALSE()),IF($E333="Services",VLOOKUP($C333,Services!$B:$I,2,FALSE()),IF($E333="Patty Cash",VLOOKUP($C333,'Patty Cash'!$B:$J,2,FALSE()),"")))),"")</f>
        <v>Timing Belt S5M P/N #091-8500-04, B250DBS5M-975, Width 25mm</v>
      </c>
      <c r="E333" s="246" t="s">
        <v>6</v>
      </c>
      <c r="F333" s="210" t="str">
        <f>IFERROR(IF($E333="Inventory",VLOOKUP($C333,Inventory!$B:$I,3,FALSE()),IF($E333="Non Inventory",VLOOKUP($C333,'Non Inventory'!$B:$I,3,FALSE()),IF($E333="Services",VLOOKUP($C333,Services!$B:$I,3,FALSE()),IF($E333="Patty Cash",VLOOKUP($C333,'Patty Cash'!$B:$J,3,FALSE()),"")))),"")</f>
        <v>NOS</v>
      </c>
      <c r="G333" s="211">
        <v>1</v>
      </c>
      <c r="H333" s="212">
        <f>IF($E333="","",IF($E333="Inventory",IFERROR(VLOOKUP($C333,Inventory!$B:$H,7,FALSE()),0),IF($E333="Non Inventory",IFERROR(VLOOKUP($C333,'Non Inventory'!$B:$H,7,FALSE()),0),IF($E333="Services",IFERROR(VLOOKUP($C333,Services!$B:$H,7,FALSE()),0),IF($E333="Patty Cash",IFERROR(VLOOKUP($C333,'Patty Cash'!$B:$H,7,FALSE()),0),0)))))</f>
        <v>7</v>
      </c>
      <c r="I333" s="213" t="s">
        <v>41</v>
      </c>
      <c r="J333" s="214" t="s">
        <v>1552</v>
      </c>
      <c r="K333" s="215" t="s">
        <v>1194</v>
      </c>
      <c r="L333" s="197" t="s">
        <v>1195</v>
      </c>
      <c r="M333" s="215" t="s">
        <v>1196</v>
      </c>
      <c r="N333" s="216">
        <f>IFERROR(IF($E333="Inventory",VLOOKUP($C333,Inventory!$B:$I,8,FALSE()),IF($E333="Non Inventory",VLOOKUP($C333,'Non Inventory'!$B:$I,8,FALSE()),IF($E333="Services",VLOOKUP($C333,Services!$B:$I,8,FALSE()),IF($E333="Patty Cash",VLOOKUP($C333,'Patty Cash'!$B:$J,8,FALSE()),0)))),0)</f>
        <v>3750</v>
      </c>
      <c r="O333" s="217">
        <f t="shared" si="5"/>
        <v>3750</v>
      </c>
    </row>
    <row r="334" spans="1:15" ht="23.1" customHeight="1">
      <c r="A334" s="206">
        <f>IF(AND($B334="",$C334=""),"",MAX($A$3:A333)+1)</f>
        <v>331</v>
      </c>
      <c r="B334" s="207">
        <v>46184</v>
      </c>
      <c r="C334" s="208">
        <v>1943</v>
      </c>
      <c r="D334" s="209" t="str">
        <f>IFERROR(IF($E334="Inventory",VLOOKUP($C334,Inventory!$B:$I,2,FALSE()),IF($E334="Non Inventory",VLOOKUP($C334,'Non Inventory'!$B:$I,2,FALSE()),IF($E334="Services",VLOOKUP($C334,Services!$B:$I,2,FALSE()),IF($E334="Patty Cash",VLOOKUP($C334,'Patty Cash'!$B:$J,2,FALSE()),"")))),"")</f>
        <v>BALL BEARING TYPE : 6205 2ZR</v>
      </c>
      <c r="E334" s="246" t="s">
        <v>6</v>
      </c>
      <c r="F334" s="210" t="str">
        <f>IFERROR(IF($E334="Inventory",VLOOKUP($C334,Inventory!$B:$I,3,FALSE()),IF($E334="Non Inventory",VLOOKUP($C334,'Non Inventory'!$B:$I,3,FALSE()),IF($E334="Services",VLOOKUP($C334,Services!$B:$I,3,FALSE()),IF($E334="Patty Cash",VLOOKUP($C334,'Patty Cash'!$B:$J,3,FALSE()),"")))),"")</f>
        <v>NOS</v>
      </c>
      <c r="G334" s="211">
        <v>1</v>
      </c>
      <c r="H334" s="212">
        <f>IF($E334="","",IF($E334="Inventory",IFERROR(VLOOKUP($C334,Inventory!$B:$H,7,FALSE()),0),IF($E334="Non Inventory",IFERROR(VLOOKUP($C334,'Non Inventory'!$B:$H,7,FALSE()),0),IF($E334="Services",IFERROR(VLOOKUP($C334,Services!$B:$H,7,FALSE()),0),IF($E334="Patty Cash",IFERROR(VLOOKUP($C334,'Patty Cash'!$B:$H,7,FALSE()),0),0)))))</f>
        <v>7</v>
      </c>
      <c r="I334" s="213" t="s">
        <v>1222</v>
      </c>
      <c r="J334" s="214" t="s">
        <v>1672</v>
      </c>
      <c r="K334" s="215" t="s">
        <v>1217</v>
      </c>
      <c r="L334" s="197" t="s">
        <v>1195</v>
      </c>
      <c r="M334" s="215" t="s">
        <v>1196</v>
      </c>
      <c r="N334" s="216">
        <f>IFERROR(IF($E334="Inventory",VLOOKUP($C334,Inventory!$B:$I,8,FALSE()),IF($E334="Non Inventory",VLOOKUP($C334,'Non Inventory'!$B:$I,8,FALSE()),IF($E334="Services",VLOOKUP($C334,Services!$B:$I,8,FALSE()),IF($E334="Patty Cash",VLOOKUP($C334,'Patty Cash'!$B:$J,8,FALSE()),0)))),0)</f>
        <v>1688</v>
      </c>
      <c r="O334" s="217">
        <f t="shared" si="5"/>
        <v>1688</v>
      </c>
    </row>
    <row r="335" spans="1:15" ht="23.1" customHeight="1">
      <c r="A335" s="206">
        <f>IF(AND($B335="",$C335=""),"",MAX($A$3:A334)+1)</f>
        <v>332</v>
      </c>
      <c r="B335" s="207">
        <v>46184</v>
      </c>
      <c r="C335" s="208">
        <v>2026</v>
      </c>
      <c r="D335" s="209" t="str">
        <f>IFERROR(IF($E335="Inventory",VLOOKUP($C335,Inventory!$B:$I,2,FALSE()),IF($E335="Non Inventory",VLOOKUP($C335,'Non Inventory'!$B:$I,2,FALSE()),IF($E335="Services",VLOOKUP($C335,Services!$B:$I,2,FALSE()),IF($E335="Patty Cash",VLOOKUP($C335,'Patty Cash'!$B:$J,2,FALSE()),"")))),"")</f>
        <v>BALL BEARING TYPE 6204 2ZR C3</v>
      </c>
      <c r="E335" s="246" t="s">
        <v>6</v>
      </c>
      <c r="F335" s="210" t="str">
        <f>IFERROR(IF($E335="Inventory",VLOOKUP($C335,Inventory!$B:$I,3,FALSE()),IF($E335="Non Inventory",VLOOKUP($C335,'Non Inventory'!$B:$I,3,FALSE()),IF($E335="Services",VLOOKUP($C335,Services!$B:$I,3,FALSE()),IF($E335="Patty Cash",VLOOKUP($C335,'Patty Cash'!$B:$J,3,FALSE()),"")))),"")</f>
        <v>PCS</v>
      </c>
      <c r="G335" s="211">
        <v>1</v>
      </c>
      <c r="H335" s="212">
        <f>IF($E335="","",IF($E335="Inventory",IFERROR(VLOOKUP($C335,Inventory!$B:$H,7,FALSE()),0),IF($E335="Non Inventory",IFERROR(VLOOKUP($C335,'Non Inventory'!$B:$H,7,FALSE()),0),IF($E335="Services",IFERROR(VLOOKUP($C335,Services!$B:$H,7,FALSE()),0),IF($E335="Patty Cash",IFERROR(VLOOKUP($C335,'Patty Cash'!$B:$H,7,FALSE()),0),0)))))</f>
        <v>10</v>
      </c>
      <c r="I335" s="213" t="s">
        <v>1222</v>
      </c>
      <c r="J335" s="214" t="s">
        <v>1672</v>
      </c>
      <c r="K335" s="215" t="s">
        <v>1217</v>
      </c>
      <c r="L335" s="197" t="s">
        <v>1195</v>
      </c>
      <c r="M335" s="215" t="s">
        <v>1196</v>
      </c>
      <c r="N335" s="216">
        <f>IFERROR(IF($E335="Inventory",VLOOKUP($C335,Inventory!$B:$I,8,FALSE()),IF($E335="Non Inventory",VLOOKUP($C335,'Non Inventory'!$B:$I,8,FALSE()),IF($E335="Services",VLOOKUP($C335,Services!$B:$I,8,FALSE()),IF($E335="Patty Cash",VLOOKUP($C335,'Patty Cash'!$B:$J,8,FALSE()),0)))),0)</f>
        <v>1188</v>
      </c>
      <c r="O335" s="217">
        <f t="shared" si="5"/>
        <v>1188</v>
      </c>
    </row>
    <row r="336" spans="1:15" ht="23.1" customHeight="1">
      <c r="A336" s="206">
        <f>IF(AND($B336="",$C336=""),"",MAX($A$3:A335)+1)</f>
        <v>333</v>
      </c>
      <c r="B336" s="207">
        <v>46184</v>
      </c>
      <c r="C336" s="208">
        <v>2024</v>
      </c>
      <c r="D336" s="209" t="str">
        <f>IFERROR(IF($E336="Inventory",VLOOKUP($C336,Inventory!$B:$I,2,FALSE()),IF($E336="Non Inventory",VLOOKUP($C336,'Non Inventory'!$B:$I,2,FALSE()),IF($E336="Services",VLOOKUP($C336,Services!$B:$I,2,FALSE()),IF($E336="Patty Cash",VLOOKUP($C336,'Patty Cash'!$B:$J,2,FALSE()),"")))),"")</f>
        <v>Ball Bearing Type 6305 2ZR/C3</v>
      </c>
      <c r="E336" s="246" t="s">
        <v>6</v>
      </c>
      <c r="F336" s="210" t="str">
        <f>IFERROR(IF($E336="Inventory",VLOOKUP($C336,Inventory!$B:$I,3,FALSE()),IF($E336="Non Inventory",VLOOKUP($C336,'Non Inventory'!$B:$I,3,FALSE()),IF($E336="Services",VLOOKUP($C336,Services!$B:$I,3,FALSE()),IF($E336="Patty Cash",VLOOKUP($C336,'Patty Cash'!$B:$J,3,FALSE()),"")))),"")</f>
        <v>PCS</v>
      </c>
      <c r="G336" s="211">
        <v>2</v>
      </c>
      <c r="H336" s="212">
        <f>IF($E336="","",IF($E336="Inventory",IFERROR(VLOOKUP($C336,Inventory!$B:$H,7,FALSE()),0),IF($E336="Non Inventory",IFERROR(VLOOKUP($C336,'Non Inventory'!$B:$H,7,FALSE()),0),IF($E336="Services",IFERROR(VLOOKUP($C336,Services!$B:$H,7,FALSE()),0),IF($E336="Patty Cash",IFERROR(VLOOKUP($C336,'Patty Cash'!$B:$H,7,FALSE()),0),0)))))</f>
        <v>2</v>
      </c>
      <c r="I336" s="213" t="s">
        <v>1291</v>
      </c>
      <c r="J336" s="214" t="s">
        <v>1631</v>
      </c>
      <c r="K336" s="215" t="s">
        <v>1556</v>
      </c>
      <c r="L336" s="197" t="s">
        <v>1195</v>
      </c>
      <c r="M336" s="215" t="s">
        <v>1196</v>
      </c>
      <c r="N336" s="216">
        <f>IFERROR(IF($E336="Inventory",VLOOKUP($C336,Inventory!$B:$I,8,FALSE()),IF($E336="Non Inventory",VLOOKUP($C336,'Non Inventory'!$B:$I,8,FALSE()),IF($E336="Services",VLOOKUP($C336,Services!$B:$I,8,FALSE()),IF($E336="Patty Cash",VLOOKUP($C336,'Patty Cash'!$B:$J,8,FALSE()),0)))),0)</f>
        <v>1375</v>
      </c>
      <c r="O336" s="217">
        <f t="shared" si="5"/>
        <v>2750</v>
      </c>
    </row>
    <row r="337" spans="1:15" ht="23.1" customHeight="1">
      <c r="A337" s="206">
        <f>IF(AND($B337="",$C337=""),"",MAX($A$3:A336)+1)</f>
        <v>334</v>
      </c>
      <c r="B337" s="207">
        <v>46184</v>
      </c>
      <c r="C337" s="208">
        <v>13581</v>
      </c>
      <c r="D337" s="209" t="str">
        <f>IFERROR(IF($E337="Inventory",VLOOKUP($C337,Inventory!$B:$I,2,FALSE()),IF($E337="Non Inventory",VLOOKUP($C337,'Non Inventory'!$B:$I,2,FALSE()),IF($E337="Services",VLOOKUP($C337,Services!$B:$I,2,FALSE()),IF($E337="Patty Cash",VLOOKUP($C337,'Patty Cash'!$B:$J,2,FALSE()),"")))),"")</f>
        <v>Photoelectric sensor Model: FS- N18 (Keyence)</v>
      </c>
      <c r="E337" s="246" t="s">
        <v>6</v>
      </c>
      <c r="F337" s="210" t="str">
        <f>IFERROR(IF($E337="Inventory",VLOOKUP($C337,Inventory!$B:$I,3,FALSE()),IF($E337="Non Inventory",VLOOKUP($C337,'Non Inventory'!$B:$I,3,FALSE()),IF($E337="Services",VLOOKUP($C337,Services!$B:$I,3,FALSE()),IF($E337="Patty Cash",VLOOKUP($C337,'Patty Cash'!$B:$J,3,FALSE()),"")))),"")</f>
        <v>NOS</v>
      </c>
      <c r="G337" s="211">
        <v>1</v>
      </c>
      <c r="H337" s="212">
        <f>IF($E337="","",IF($E337="Inventory",IFERROR(VLOOKUP($C337,Inventory!$B:$H,7,FALSE()),0),IF($E337="Non Inventory",IFERROR(VLOOKUP($C337,'Non Inventory'!$B:$H,7,FALSE()),0),IF($E337="Services",IFERROR(VLOOKUP($C337,Services!$B:$H,7,FALSE()),0),IF($E337="Patty Cash",IFERROR(VLOOKUP($C337,'Patty Cash'!$B:$H,7,FALSE()),0),0)))))</f>
        <v>2</v>
      </c>
      <c r="I337" s="213" t="s">
        <v>53</v>
      </c>
      <c r="J337" s="214" t="s">
        <v>67</v>
      </c>
      <c r="K337" s="215" t="s">
        <v>1209</v>
      </c>
      <c r="L337" s="197" t="s">
        <v>1195</v>
      </c>
      <c r="M337" s="215" t="s">
        <v>1207</v>
      </c>
      <c r="N337" s="216">
        <f>IFERROR(IF($E337="Inventory",VLOOKUP($C337,Inventory!$B:$I,8,FALSE()),IF($E337="Non Inventory",VLOOKUP($C337,'Non Inventory'!$B:$I,8,FALSE()),IF($E337="Services",VLOOKUP($C337,Services!$B:$I,8,FALSE()),IF($E337="Patty Cash",VLOOKUP($C337,'Patty Cash'!$B:$J,8,FALSE()),0)))),0)</f>
        <v>10000</v>
      </c>
      <c r="O337" s="217">
        <f t="shared" si="5"/>
        <v>10000</v>
      </c>
    </row>
    <row r="338" spans="1:15" ht="23.1" customHeight="1">
      <c r="A338" s="206">
        <f>IF(AND($B338="",$C338=""),"",MAX($A$3:A337)+1)</f>
        <v>335</v>
      </c>
      <c r="B338" s="207">
        <v>46185</v>
      </c>
      <c r="C338" s="208" t="s">
        <v>1754</v>
      </c>
      <c r="D338" s="209" t="str">
        <f>IFERROR(IF($E338="Inventory",VLOOKUP($C338,Inventory!$B:$I,2,FALSE()),IF($E338="Non Inventory",VLOOKUP($C338,'Non Inventory'!$B:$I,2,FALSE()),IF($E338="Services",VLOOKUP($C338,Services!$B:$I,2,FALSE()),IF($E338="Patty Cash",VLOOKUP($C338,'Patty Cash'!$B:$J,2,FALSE()),"")))),"")</f>
        <v>Conveyance</v>
      </c>
      <c r="E338" s="246" t="s">
        <v>1327</v>
      </c>
      <c r="F338" s="210" t="str">
        <f>IFERROR(IF($E338="Inventory",VLOOKUP($C338,Inventory!$B:$I,3,FALSE()),IF($E338="Non Inventory",VLOOKUP($C338,'Non Inventory'!$B:$I,3,FALSE()),IF($E338="Services",VLOOKUP($C338,Services!$B:$I,3,FALSE()),IF($E338="Patty Cash",VLOOKUP($C338,'Patty Cash'!$B:$J,3,FALSE()),"")))),"")</f>
        <v>LTR</v>
      </c>
      <c r="G338" s="211">
        <v>0.79039999999999999</v>
      </c>
      <c r="H338" s="212">
        <f>IF($E338="","",IF($E338="Inventory",IFERROR(VLOOKUP($C338,Inventory!$B:$H,7,FALSE()),0),IF($E338="Non Inventory",IFERROR(VLOOKUP($C338,'Non Inventory'!$B:$H,7,FALSE()),0),IF($E338="Services",IFERROR(VLOOKUP($C338,Services!$B:$H,7,FALSE()),0),IF($E338="Patty Cash",IFERROR(VLOOKUP($C338,'Patty Cash'!$B:$H,7,FALSE()),0),0)))))</f>
        <v>0</v>
      </c>
      <c r="I338" s="213" t="s">
        <v>1671</v>
      </c>
      <c r="J338" s="214" t="s">
        <v>1755</v>
      </c>
      <c r="K338" s="215" t="s">
        <v>1266</v>
      </c>
      <c r="L338" s="197" t="s">
        <v>1195</v>
      </c>
      <c r="M338" s="215" t="s">
        <v>1196</v>
      </c>
      <c r="N338" s="216">
        <f>IFERROR(IF($E338="Inventory",VLOOKUP($C338,Inventory!$B:$I,8,FALSE()),IF($E338="Non Inventory",VLOOKUP($C338,'Non Inventory'!$B:$I,8,FALSE()),IF($E338="Services",VLOOKUP($C338,Services!$B:$I,8,FALSE()),IF($E338="Patty Cash",VLOOKUP($C338,'Patty Cash'!$B:$J,8,FALSE()),0)))),0)</f>
        <v>379.57</v>
      </c>
      <c r="O338" s="217">
        <f t="shared" si="5"/>
        <v>300.01212800000002</v>
      </c>
    </row>
    <row r="339" spans="1:15" ht="23.1" customHeight="1">
      <c r="A339" s="206">
        <f>IF(AND($B339="",$C339=""),"",MAX($A$3:A338)+1)</f>
        <v>336</v>
      </c>
      <c r="B339" s="207">
        <v>46185</v>
      </c>
      <c r="C339" s="253" t="s">
        <v>1751</v>
      </c>
      <c r="D339" s="209" t="str">
        <f>IFERROR(IF($E339="Inventory",VLOOKUP($C339,Inventory!$B:$I,2,FALSE()),IF($E339="Non Inventory",VLOOKUP($C339,'Non Inventory'!$B:$I,2,FALSE()),IF($E339="Services",VLOOKUP($C339,Services!$B:$I,2,FALSE()),IF($E339="Patty Cash",VLOOKUP($C339,'Patty Cash'!$B:$J,2,FALSE()),"")))),"")</f>
        <v xml:space="preserve">S.S Welding Rods </v>
      </c>
      <c r="E339" s="246" t="s">
        <v>1327</v>
      </c>
      <c r="F339" s="210" t="str">
        <f>IFERROR(IF($E339="Inventory",VLOOKUP($C339,Inventory!$B:$I,3,FALSE()),IF($E339="Non Inventory",VLOOKUP($C339,'Non Inventory'!$B:$I,3,FALSE()),IF($E339="Services",VLOOKUP($C339,Services!$B:$I,3,FALSE()),IF($E339="Patty Cash",VLOOKUP($C339,'Patty Cash'!$B:$J,3,FALSE()),"")))),"")</f>
        <v>KG</v>
      </c>
      <c r="G339" s="211">
        <v>0.5</v>
      </c>
      <c r="H339" s="212">
        <f>IF($E339="","",IF($E339="Inventory",IFERROR(VLOOKUP($C339,Inventory!$B:$H,7,FALSE()),0),IF($E339="Non Inventory",IFERROR(VLOOKUP($C339,'Non Inventory'!$B:$H,7,FALSE()),0),IF($E339="Services",IFERROR(VLOOKUP($C339,Services!$B:$H,7,FALSE()),0),IF($E339="Patty Cash",IFERROR(VLOOKUP($C339,'Patty Cash'!$B:$H,7,FALSE()),0),0)))))</f>
        <v>0</v>
      </c>
      <c r="I339" s="213" t="s">
        <v>1222</v>
      </c>
      <c r="J339" s="214" t="s">
        <v>1355</v>
      </c>
      <c r="K339" s="215" t="s">
        <v>1217</v>
      </c>
      <c r="L339" s="197" t="s">
        <v>1195</v>
      </c>
      <c r="M339" s="215" t="s">
        <v>1196</v>
      </c>
      <c r="N339" s="216">
        <f>IFERROR(IF($E339="Inventory",VLOOKUP($C339,Inventory!$B:$I,8,FALSE()),IF($E339="Non Inventory",VLOOKUP($C339,'Non Inventory'!$B:$I,8,FALSE()),IF($E339="Services",VLOOKUP($C339,Services!$B:$I,8,FALSE()),IF($E339="Patty Cash",VLOOKUP($C339,'Patty Cash'!$B:$J,8,FALSE()),0)))),0)</f>
        <v>2200</v>
      </c>
      <c r="O339" s="217">
        <f t="shared" si="5"/>
        <v>1100</v>
      </c>
    </row>
    <row r="340" spans="1:15" ht="23.1" customHeight="1">
      <c r="A340" s="206">
        <f>IF(AND($B340="",$C340=""),"",MAX($A$3:A339)+1)</f>
        <v>337</v>
      </c>
      <c r="B340" s="207">
        <v>46185</v>
      </c>
      <c r="C340" s="253" t="s">
        <v>1752</v>
      </c>
      <c r="D340" s="209" t="str">
        <f>IFERROR(IF($E340="Inventory",VLOOKUP($C340,Inventory!$B:$I,2,FALSE()),IF($E340="Non Inventory",VLOOKUP($C340,'Non Inventory'!$B:$I,2,FALSE()),IF($E340="Services",VLOOKUP($C340,Services!$B:$I,2,FALSE()),IF($E340="Patty Cash",VLOOKUP($C340,'Patty Cash'!$B:$J,2,FALSE()),"")))),"")</f>
        <v>Tester</v>
      </c>
      <c r="E340" s="246" t="s">
        <v>1327</v>
      </c>
      <c r="F340" s="210" t="str">
        <f>IFERROR(IF($E340="Inventory",VLOOKUP($C340,Inventory!$B:$I,3,FALSE()),IF($E340="Non Inventory",VLOOKUP($C340,'Non Inventory'!$B:$I,3,FALSE()),IF($E340="Services",VLOOKUP($C340,Services!$B:$I,3,FALSE()),IF($E340="Patty Cash",VLOOKUP($C340,'Patty Cash'!$B:$J,3,FALSE()),"")))),"")</f>
        <v>NOS</v>
      </c>
      <c r="G340" s="211">
        <v>1</v>
      </c>
      <c r="H340" s="212">
        <f>IF($E340="","",IF($E340="Inventory",IFERROR(VLOOKUP($C340,Inventory!$B:$H,7,FALSE()),0),IF($E340="Non Inventory",IFERROR(VLOOKUP($C340,'Non Inventory'!$B:$H,7,FALSE()),0),IF($E340="Services",IFERROR(VLOOKUP($C340,Services!$B:$H,7,FALSE()),0),IF($E340="Patty Cash",IFERROR(VLOOKUP($C340,'Patty Cash'!$B:$H,7,FALSE()),0),0)))))</f>
        <v>1</v>
      </c>
      <c r="I340" s="213" t="s">
        <v>1222</v>
      </c>
      <c r="J340" s="214" t="s">
        <v>1543</v>
      </c>
      <c r="K340" s="215" t="s">
        <v>1217</v>
      </c>
      <c r="L340" s="197" t="s">
        <v>1195</v>
      </c>
      <c r="M340" s="215" t="s">
        <v>1196</v>
      </c>
      <c r="N340" s="216">
        <f>IFERROR(IF($E340="Inventory",VLOOKUP($C340,Inventory!$B:$I,8,FALSE()),IF($E340="Non Inventory",VLOOKUP($C340,'Non Inventory'!$B:$I,8,FALSE()),IF($E340="Services",VLOOKUP($C340,Services!$B:$I,8,FALSE()),IF($E340="Patty Cash",VLOOKUP($C340,'Patty Cash'!$B:$J,8,FALSE()),0)))),0)</f>
        <v>50</v>
      </c>
      <c r="O340" s="217">
        <f t="shared" si="5"/>
        <v>50</v>
      </c>
    </row>
    <row r="341" spans="1:15" ht="23.1" customHeight="1">
      <c r="A341" s="206">
        <f>IF(AND($B341="",$C341=""),"",MAX($A$3:A340)+1)</f>
        <v>338</v>
      </c>
      <c r="B341" s="207">
        <v>46185</v>
      </c>
      <c r="C341" s="253" t="s">
        <v>1753</v>
      </c>
      <c r="D341" s="209" t="str">
        <f>IFERROR(IF($E341="Inventory",VLOOKUP($C341,Inventory!$B:$I,2,FALSE()),IF($E341="Non Inventory",VLOOKUP($C341,'Non Inventory'!$B:$I,2,FALSE()),IF($E341="Services",VLOOKUP($C341,Services!$B:$I,2,FALSE()),IF($E341="Patty Cash",VLOOKUP($C341,'Patty Cash'!$B:$J,2,FALSE()),"")))),"")</f>
        <v>Screw Size 1.1/2</v>
      </c>
      <c r="E341" s="246" t="s">
        <v>1327</v>
      </c>
      <c r="F341" s="210" t="str">
        <f>IFERROR(IF($E341="Inventory",VLOOKUP($C341,Inventory!$B:$I,3,FALSE()),IF($E341="Non Inventory",VLOOKUP($C341,'Non Inventory'!$B:$I,3,FALSE()),IF($E341="Services",VLOOKUP($C341,Services!$B:$I,3,FALSE()),IF($E341="Patty Cash",VLOOKUP($C341,'Patty Cash'!$B:$J,3,FALSE()),"")))),"")</f>
        <v>BOX</v>
      </c>
      <c r="G341" s="211">
        <v>1</v>
      </c>
      <c r="H341" s="212">
        <f>IF($E341="","",IF($E341="Inventory",IFERROR(VLOOKUP($C341,Inventory!$B:$H,7,FALSE()),0),IF($E341="Non Inventory",IFERROR(VLOOKUP($C341,'Non Inventory'!$B:$H,7,FALSE()),0),IF($E341="Services",IFERROR(VLOOKUP($C341,Services!$B:$H,7,FALSE()),0),IF($E341="Patty Cash",IFERROR(VLOOKUP($C341,'Patty Cash'!$B:$H,7,FALSE()),0),0)))))</f>
        <v>0</v>
      </c>
      <c r="I341" s="213" t="s">
        <v>1222</v>
      </c>
      <c r="J341" s="214" t="s">
        <v>1756</v>
      </c>
      <c r="K341" s="215" t="s">
        <v>1209</v>
      </c>
      <c r="L341" s="197" t="s">
        <v>1195</v>
      </c>
      <c r="M341" s="215" t="s">
        <v>1196</v>
      </c>
      <c r="N341" s="216">
        <f>IFERROR(IF($E341="Inventory",VLOOKUP($C341,Inventory!$B:$I,8,FALSE()),IF($E341="Non Inventory",VLOOKUP($C341,'Non Inventory'!$B:$I,8,FALSE()),IF($E341="Services",VLOOKUP($C341,Services!$B:$I,8,FALSE()),IF($E341="Patty Cash",VLOOKUP($C341,'Patty Cash'!$B:$J,8,FALSE()),0)))),0)</f>
        <v>230</v>
      </c>
      <c r="O341" s="217">
        <f t="shared" si="5"/>
        <v>230</v>
      </c>
    </row>
    <row r="342" spans="1:15" ht="23.1" customHeight="1">
      <c r="A342" s="206">
        <f>IF(AND($B342="",$C342=""),"",MAX($A$3:A341)+1)</f>
        <v>339</v>
      </c>
      <c r="B342" s="207">
        <v>46185</v>
      </c>
      <c r="C342" s="208">
        <v>16125</v>
      </c>
      <c r="D342" s="209" t="str">
        <f>IFERROR(IF($E342="Inventory",VLOOKUP($C342,Inventory!$B:$I,2,FALSE()),IF($E342="Non Inventory",VLOOKUP($C342,'Non Inventory'!$B:$I,2,FALSE()),IF($E342="Services",VLOOKUP($C342,Services!$B:$I,2,FALSE()),IF($E342="Patty Cash",VLOOKUP($C342,'Patty Cash'!$B:$J,2,FALSE()),"")))),"")</f>
        <v>Oil Filter Ft-Re59754 (135kv Diesel Generator)</v>
      </c>
      <c r="E342" s="246" t="s">
        <v>7</v>
      </c>
      <c r="F342" s="210" t="str">
        <f>IFERROR(IF($E342="Inventory",VLOOKUP($C342,Inventory!$B:$I,3,FALSE()),IF($E342="Non Inventory",VLOOKUP($C342,'Non Inventory'!$B:$I,3,FALSE()),IF($E342="Services",VLOOKUP($C342,Services!$B:$I,3,FALSE()),IF($E342="Patty Cash",VLOOKUP($C342,'Patty Cash'!$B:$J,3,FALSE()),"")))),"")</f>
        <v>NOS</v>
      </c>
      <c r="G342" s="211">
        <v>1</v>
      </c>
      <c r="H342" s="212">
        <f>IF($E342="","",IF($E342="Inventory",IFERROR(VLOOKUP($C342,Inventory!$B:$H,7,FALSE()),0),IF($E342="Non Inventory",IFERROR(VLOOKUP($C342,'Non Inventory'!$B:$H,7,FALSE()),0),IF($E342="Services",IFERROR(VLOOKUP($C342,Services!$B:$H,7,FALSE()),0),IF($E342="Patty Cash",IFERROR(VLOOKUP($C342,'Patty Cash'!$B:$H,7,FALSE()),0),0)))))</f>
        <v>0</v>
      </c>
      <c r="I342" s="213" t="s">
        <v>1757</v>
      </c>
      <c r="J342" s="214" t="s">
        <v>1765</v>
      </c>
      <c r="K342" s="215" t="s">
        <v>1415</v>
      </c>
      <c r="L342" s="197" t="s">
        <v>1195</v>
      </c>
      <c r="M342" s="215" t="s">
        <v>1196</v>
      </c>
      <c r="N342" s="216">
        <f>IFERROR(IF($E342="Inventory",VLOOKUP($C342,Inventory!$B:$I,8,FALSE()),IF($E342="Non Inventory",VLOOKUP($C342,'Non Inventory'!$B:$I,8,FALSE()),IF($E342="Services",VLOOKUP($C342,Services!$B:$I,8,FALSE()),IF($E342="Patty Cash",VLOOKUP($C342,'Patty Cash'!$B:$J,8,FALSE()),0)))),0)</f>
        <v>8400</v>
      </c>
      <c r="O342" s="217">
        <f t="shared" si="5"/>
        <v>8400</v>
      </c>
    </row>
    <row r="343" spans="1:15" ht="23.1" customHeight="1">
      <c r="A343" s="206">
        <f>IF(AND($B343="",$C343=""),"",MAX($A$3:A342)+1)</f>
        <v>340</v>
      </c>
      <c r="B343" s="207">
        <v>46185</v>
      </c>
      <c r="C343" s="208">
        <v>16126</v>
      </c>
      <c r="D343" s="209" t="str">
        <f>IFERROR(IF($E343="Inventory",VLOOKUP($C343,Inventory!$B:$I,2,FALSE()),IF($E343="Non Inventory",VLOOKUP($C343,'Non Inventory'!$B:$I,2,FALSE()),IF($E343="Services",VLOOKUP($C343,Services!$B:$I,2,FALSE()),IF($E343="Patty Cash",VLOOKUP($C343,'Patty Cash'!$B:$J,2,FALSE()),"")))),"")</f>
        <v>Fuel Filter Ft-Re60021 (135kv Diesel Generator)</v>
      </c>
      <c r="E343" s="246" t="s">
        <v>7</v>
      </c>
      <c r="F343" s="210" t="str">
        <f>IFERROR(IF($E343="Inventory",VLOOKUP($C343,Inventory!$B:$I,3,FALSE()),IF($E343="Non Inventory",VLOOKUP($C343,'Non Inventory'!$B:$I,3,FALSE()),IF($E343="Services",VLOOKUP($C343,Services!$B:$I,3,FALSE()),IF($E343="Patty Cash",VLOOKUP($C343,'Patty Cash'!$B:$J,3,FALSE()),"")))),"")</f>
        <v>NOS</v>
      </c>
      <c r="G343" s="211">
        <v>1</v>
      </c>
      <c r="H343" s="212">
        <f>IF($E343="","",IF($E343="Inventory",IFERROR(VLOOKUP($C343,Inventory!$B:$H,7,FALSE()),0),IF($E343="Non Inventory",IFERROR(VLOOKUP($C343,'Non Inventory'!$B:$H,7,FALSE()),0),IF($E343="Services",IFERROR(VLOOKUP($C343,Services!$B:$H,7,FALSE()),0),IF($E343="Patty Cash",IFERROR(VLOOKUP($C343,'Patty Cash'!$B:$H,7,FALSE()),0),0)))))</f>
        <v>0</v>
      </c>
      <c r="I343" s="213" t="s">
        <v>1757</v>
      </c>
      <c r="J343" s="214" t="s">
        <v>1765</v>
      </c>
      <c r="K343" s="215" t="s">
        <v>1415</v>
      </c>
      <c r="L343" s="197" t="s">
        <v>1195</v>
      </c>
      <c r="M343" s="215" t="s">
        <v>1196</v>
      </c>
      <c r="N343" s="216">
        <f>IFERROR(IF($E343="Inventory",VLOOKUP($C343,Inventory!$B:$I,8,FALSE()),IF($E343="Non Inventory",VLOOKUP($C343,'Non Inventory'!$B:$I,8,FALSE()),IF($E343="Services",VLOOKUP($C343,Services!$B:$I,8,FALSE()),IF($E343="Patty Cash",VLOOKUP($C343,'Patty Cash'!$B:$J,8,FALSE()),0)))),0)</f>
        <v>5850</v>
      </c>
      <c r="O343" s="217">
        <f t="shared" si="5"/>
        <v>5850</v>
      </c>
    </row>
    <row r="344" spans="1:15" ht="23.1" customHeight="1">
      <c r="A344" s="206">
        <f>IF(AND($B344="",$C344=""),"",MAX($A$3:A343)+1)</f>
        <v>341</v>
      </c>
      <c r="B344" s="207">
        <v>46185</v>
      </c>
      <c r="C344" s="208">
        <v>16127</v>
      </c>
      <c r="D344" s="209" t="str">
        <f>IFERROR(IF($E344="Inventory",VLOOKUP($C344,Inventory!$B:$I,2,FALSE()),IF($E344="Non Inventory",VLOOKUP($C344,'Non Inventory'!$B:$I,2,FALSE()),IF($E344="Services",VLOOKUP($C344,Services!$B:$I,2,FALSE()),IF($E344="Patty Cash",VLOOKUP($C344,'Patty Cash'!$B:$J,2,FALSE()),"")))),"")</f>
        <v>Air Filter P/N# C-105004 (135kv Diesel Generator)</v>
      </c>
      <c r="E344" s="246" t="s">
        <v>7</v>
      </c>
      <c r="F344" s="210" t="str">
        <f>IFERROR(IF($E344="Inventory",VLOOKUP($C344,Inventory!$B:$I,3,FALSE()),IF($E344="Non Inventory",VLOOKUP($C344,'Non Inventory'!$B:$I,3,FALSE()),IF($E344="Services",VLOOKUP($C344,Services!$B:$I,3,FALSE()),IF($E344="Patty Cash",VLOOKUP($C344,'Patty Cash'!$B:$J,3,FALSE()),"")))),"")</f>
        <v>NOS</v>
      </c>
      <c r="G344" s="211">
        <v>1</v>
      </c>
      <c r="H344" s="212">
        <f>IF($E344="","",IF($E344="Inventory",IFERROR(VLOOKUP($C344,Inventory!$B:$H,7,FALSE()),0),IF($E344="Non Inventory",IFERROR(VLOOKUP($C344,'Non Inventory'!$B:$H,7,FALSE()),0),IF($E344="Services",IFERROR(VLOOKUP($C344,Services!$B:$H,7,FALSE()),0),IF($E344="Patty Cash",IFERROR(VLOOKUP($C344,'Patty Cash'!$B:$H,7,FALSE()),0),0)))))</f>
        <v>0</v>
      </c>
      <c r="I344" s="213" t="s">
        <v>1757</v>
      </c>
      <c r="J344" s="214" t="s">
        <v>1765</v>
      </c>
      <c r="K344" s="215" t="s">
        <v>1415</v>
      </c>
      <c r="L344" s="197" t="s">
        <v>1195</v>
      </c>
      <c r="M344" s="215" t="s">
        <v>1196</v>
      </c>
      <c r="N344" s="216">
        <f>IFERROR(IF($E344="Inventory",VLOOKUP($C344,Inventory!$B:$I,8,FALSE()),IF($E344="Non Inventory",VLOOKUP($C344,'Non Inventory'!$B:$I,8,FALSE()),IF($E344="Services",VLOOKUP($C344,Services!$B:$I,8,FALSE()),IF($E344="Patty Cash",VLOOKUP($C344,'Patty Cash'!$B:$J,8,FALSE()),0)))),0)</f>
        <v>28500</v>
      </c>
      <c r="O344" s="217">
        <f t="shared" si="5"/>
        <v>28500</v>
      </c>
    </row>
    <row r="345" spans="1:15" ht="23.1" customHeight="1">
      <c r="A345" s="206">
        <f>IF(AND($B345="",$C345=""),"",MAX($A$3:A344)+1)</f>
        <v>342</v>
      </c>
      <c r="B345" s="207">
        <v>46185</v>
      </c>
      <c r="C345" s="208">
        <v>3876</v>
      </c>
      <c r="D345" s="209" t="str">
        <f>IFERROR(IF($E345="Inventory",VLOOKUP($C345,Inventory!$B:$I,2,FALSE()),IF($E345="Non Inventory",VLOOKUP($C345,'Non Inventory'!$B:$I,2,FALSE()),IF($E345="Services",VLOOKUP($C345,Services!$B:$I,2,FALSE()),IF($E345="Patty Cash",VLOOKUP($C345,'Patty Cash'!$B:$J,2,FALSE()),"")))),"")</f>
        <v>Generator Engine Oil 15w40</v>
      </c>
      <c r="E345" s="246" t="s">
        <v>7</v>
      </c>
      <c r="F345" s="210" t="str">
        <f>IFERROR(IF($E345="Inventory",VLOOKUP($C345,Inventory!$B:$I,3,FALSE()),IF($E345="Non Inventory",VLOOKUP($C345,'Non Inventory'!$B:$I,3,FALSE()),IF($E345="Services",VLOOKUP($C345,Services!$B:$I,3,FALSE()),IF($E345="Patty Cash",VLOOKUP($C345,'Patty Cash'!$B:$J,3,FALSE()),"")))),"")</f>
        <v>LTR</v>
      </c>
      <c r="G345" s="211">
        <v>20</v>
      </c>
      <c r="H345" s="212">
        <f>IF($E345="","",IF($E345="Inventory",IFERROR(VLOOKUP($C345,Inventory!$B:$H,7,FALSE()),0),IF($E345="Non Inventory",IFERROR(VLOOKUP($C345,'Non Inventory'!$B:$H,7,FALSE()),0),IF($E345="Services",IFERROR(VLOOKUP($C345,Services!$B:$H,7,FALSE()),0),IF($E345="Patty Cash",IFERROR(VLOOKUP($C345,'Patty Cash'!$B:$H,7,FALSE()),0),0)))))</f>
        <v>0</v>
      </c>
      <c r="I345" s="213" t="s">
        <v>1757</v>
      </c>
      <c r="J345" s="214" t="s">
        <v>1765</v>
      </c>
      <c r="K345" s="215" t="s">
        <v>1415</v>
      </c>
      <c r="L345" s="197" t="s">
        <v>1195</v>
      </c>
      <c r="M345" s="215" t="s">
        <v>1196</v>
      </c>
      <c r="N345" s="216">
        <f>IFERROR(IF($E345="Inventory",VLOOKUP($C345,Inventory!$B:$I,8,FALSE()),IF($E345="Non Inventory",VLOOKUP($C345,'Non Inventory'!$B:$I,8,FALSE()),IF($E345="Services",VLOOKUP($C345,Services!$B:$I,8,FALSE()),IF($E345="Patty Cash",VLOOKUP($C345,'Patty Cash'!$B:$J,8,FALSE()),0)))),0)</f>
        <v>1300</v>
      </c>
      <c r="O345" s="217">
        <f t="shared" si="5"/>
        <v>26000</v>
      </c>
    </row>
    <row r="346" spans="1:15" ht="23.1" customHeight="1">
      <c r="A346" s="206">
        <f>IF(AND($B346="",$C346=""),"",MAX($A$3:A345)+1)</f>
        <v>343</v>
      </c>
      <c r="B346" s="207">
        <v>46185</v>
      </c>
      <c r="C346" s="208">
        <v>217990</v>
      </c>
      <c r="D346" s="209" t="str">
        <f>IFERROR(IF($E346="Inventory",VLOOKUP($C346,Inventory!$B:$I,2,FALSE()),IF($E346="Non Inventory",VLOOKUP($C346,'Non Inventory'!$B:$I,2,FALSE()),IF($E346="Services",VLOOKUP($C346,Services!$B:$I,2,FALSE()),IF($E346="Patty Cash",VLOOKUP($C346,'Patty Cash'!$B:$J,2,FALSE()),"")))),"")</f>
        <v>Serv. Misc. Services GENSET 135KVA INSPECTION &amp; SERVICE
CHAGES</v>
      </c>
      <c r="E346" s="246" t="s">
        <v>1280</v>
      </c>
      <c r="F346" s="210" t="str">
        <f>IFERROR(IF($E346="Inventory",VLOOKUP($C346,Inventory!$B:$I,3,FALSE()),IF($E346="Non Inventory",VLOOKUP($C346,'Non Inventory'!$B:$I,3,FALSE()),IF($E346="Services",VLOOKUP($C346,Services!$B:$I,3,FALSE()),IF($E346="Patty Cash",VLOOKUP($C346,'Patty Cash'!$B:$J,3,FALSE()),"")))),"")</f>
        <v>NOS</v>
      </c>
      <c r="G346" s="211">
        <v>1</v>
      </c>
      <c r="H346" s="212">
        <f>IF($E346="","",IF($E346="Inventory",IFERROR(VLOOKUP($C346,Inventory!$B:$H,7,FALSE()),0),IF($E346="Non Inventory",IFERROR(VLOOKUP($C346,'Non Inventory'!$B:$H,7,FALSE()),0),IF($E346="Services",IFERROR(VLOOKUP($C346,Services!$B:$H,7,FALSE()),0),IF($E346="Patty Cash",IFERROR(VLOOKUP($C346,'Patty Cash'!$B:$H,7,FALSE()),0),0)))))</f>
        <v>0</v>
      </c>
      <c r="I346" s="213" t="s">
        <v>1757</v>
      </c>
      <c r="J346" s="214" t="s">
        <v>1765</v>
      </c>
      <c r="K346" s="215" t="s">
        <v>1415</v>
      </c>
      <c r="L346" s="197" t="s">
        <v>1195</v>
      </c>
      <c r="M346" s="215" t="s">
        <v>1196</v>
      </c>
      <c r="N346" s="216">
        <f>IFERROR(IF($E346="Inventory",VLOOKUP($C346,Inventory!$B:$I,8,FALSE()),IF($E346="Non Inventory",VLOOKUP($C346,'Non Inventory'!$B:$I,8,FALSE()),IF($E346="Services",VLOOKUP($C346,Services!$B:$I,8,FALSE()),IF($E346="Patty Cash",VLOOKUP($C346,'Patty Cash'!$B:$J,8,FALSE()),0)))),0)</f>
        <v>18000</v>
      </c>
      <c r="O346" s="217">
        <f t="shared" si="5"/>
        <v>18000</v>
      </c>
    </row>
    <row r="347" spans="1:15" ht="23.1" customHeight="1">
      <c r="A347" s="206">
        <f>IF(AND($B347="",$C347=""),"",MAX($A$3:A346)+1)</f>
        <v>344</v>
      </c>
      <c r="B347" s="207">
        <v>46176</v>
      </c>
      <c r="C347" s="208">
        <v>16516</v>
      </c>
      <c r="D347" s="209" t="str">
        <f>IFERROR(IF($E347="Inventory",VLOOKUP($C347,Inventory!$B:$I,2,FALSE()),IF($E347="Non Inventory",VLOOKUP($C347,'Non Inventory'!$B:$I,2,FALSE()),IF($E347="Services",VLOOKUP($C347,Services!$B:$I,2,FALSE()),IF($E347="Patty Cash",VLOOKUP($C347,'Patty Cash'!$B:$J,2,FALSE()),"")))),"")</f>
        <v>Lube Filter Lf3325</v>
      </c>
      <c r="E347" s="246" t="s">
        <v>7</v>
      </c>
      <c r="F347" s="210" t="str">
        <f>IFERROR(IF($E347="Inventory",VLOOKUP($C347,Inventory!$B:$I,3,FALSE()),IF($E347="Non Inventory",VLOOKUP($C347,'Non Inventory'!$B:$I,3,FALSE()),IF($E347="Services",VLOOKUP($C347,Services!$B:$I,3,FALSE()),IF($E347="Patty Cash",VLOOKUP($C347,'Patty Cash'!$B:$J,3,FALSE()),"")))),"")</f>
        <v>NOS</v>
      </c>
      <c r="G347" s="211">
        <v>5</v>
      </c>
      <c r="H347" s="212">
        <f>IF($E347="","",IF($E347="Inventory",IFERROR(VLOOKUP($C347,Inventory!$B:$H,7,FALSE()),0),IF($E347="Non Inventory",IFERROR(VLOOKUP($C347,'Non Inventory'!$B:$H,7,FALSE()),0),IF($E347="Services",IFERROR(VLOOKUP($C347,Services!$B:$H,7,FALSE()),0),IF($E347="Patty Cash",IFERROR(VLOOKUP($C347,'Patty Cash'!$B:$H,7,FALSE()),0),0)))))</f>
        <v>0</v>
      </c>
      <c r="I347" s="213" t="s">
        <v>1757</v>
      </c>
      <c r="J347" s="214" t="s">
        <v>1765</v>
      </c>
      <c r="K347" s="215" t="s">
        <v>1415</v>
      </c>
      <c r="L347" s="197" t="s">
        <v>1195</v>
      </c>
      <c r="M347" s="215" t="s">
        <v>1196</v>
      </c>
      <c r="N347" s="216">
        <f>IFERROR(IF($E347="Inventory",VLOOKUP($C347,Inventory!$B:$I,8,FALSE()),IF($E347="Non Inventory",VLOOKUP($C347,'Non Inventory'!$B:$I,8,FALSE()),IF($E347="Services",VLOOKUP($C347,Services!$B:$I,8,FALSE()),IF($E347="Patty Cash",VLOOKUP($C347,'Patty Cash'!$B:$J,8,FALSE()),0)))),0)</f>
        <v>8714.0339999999997</v>
      </c>
      <c r="O347" s="217">
        <f t="shared" si="5"/>
        <v>43570.17</v>
      </c>
    </row>
    <row r="348" spans="1:15" ht="23.1" customHeight="1">
      <c r="A348" s="206">
        <f>IF(AND($B348="",$C348=""),"",MAX($A$3:A347)+1)</f>
        <v>345</v>
      </c>
      <c r="B348" s="207">
        <v>46176</v>
      </c>
      <c r="C348" s="208">
        <v>10830</v>
      </c>
      <c r="D348" s="209" t="str">
        <f>IFERROR(IF($E348="Inventory",VLOOKUP($C348,Inventory!$B:$I,2,FALSE()),IF($E348="Non Inventory",VLOOKUP($C348,'Non Inventory'!$B:$I,2,FALSE()),IF($E348="Services",VLOOKUP($C348,Services!$B:$I,2,FALSE()),IF($E348="Patty Cash",VLOOKUP($C348,'Patty Cash'!$B:$J,2,FALSE()),"")))),"")</f>
        <v>Lube Filter P/N# Lf777</v>
      </c>
      <c r="E348" s="246" t="s">
        <v>7</v>
      </c>
      <c r="F348" s="210" t="str">
        <f>IFERROR(IF($E348="Inventory",VLOOKUP($C348,Inventory!$B:$I,3,FALSE()),IF($E348="Non Inventory",VLOOKUP($C348,'Non Inventory'!$B:$I,3,FALSE()),IF($E348="Services",VLOOKUP($C348,Services!$B:$I,3,FALSE()),IF($E348="Patty Cash",VLOOKUP($C348,'Patty Cash'!$B:$J,3,FALSE()),"")))),"")</f>
        <v>NOS</v>
      </c>
      <c r="G348" s="211">
        <v>2</v>
      </c>
      <c r="H348" s="212">
        <f>IF($E348="","",IF($E348="Inventory",IFERROR(VLOOKUP($C348,Inventory!$B:$H,7,FALSE()),0),IF($E348="Non Inventory",IFERROR(VLOOKUP($C348,'Non Inventory'!$B:$H,7,FALSE()),0),IF($E348="Services",IFERROR(VLOOKUP($C348,Services!$B:$H,7,FALSE()),0),IF($E348="Patty Cash",IFERROR(VLOOKUP($C348,'Patty Cash'!$B:$H,7,FALSE()),0),0)))))</f>
        <v>0</v>
      </c>
      <c r="I348" s="213" t="s">
        <v>1757</v>
      </c>
      <c r="J348" s="214" t="s">
        <v>1765</v>
      </c>
      <c r="K348" s="215" t="s">
        <v>1415</v>
      </c>
      <c r="L348" s="197" t="s">
        <v>1195</v>
      </c>
      <c r="M348" s="215" t="s">
        <v>1196</v>
      </c>
      <c r="N348" s="216">
        <f>IFERROR(IF($E348="Inventory",VLOOKUP($C348,Inventory!$B:$I,8,FALSE()),IF($E348="Non Inventory",VLOOKUP($C348,'Non Inventory'!$B:$I,8,FALSE()),IF($E348="Services",VLOOKUP($C348,Services!$B:$I,8,FALSE()),IF($E348="Patty Cash",VLOOKUP($C348,'Patty Cash'!$B:$J,8,FALSE()),0)))),0)</f>
        <v>9028.85</v>
      </c>
      <c r="O348" s="217">
        <f t="shared" si="5"/>
        <v>18057.7</v>
      </c>
    </row>
    <row r="349" spans="1:15" ht="23.1" customHeight="1">
      <c r="A349" s="206">
        <f>IF(AND($B349="",$C349=""),"",MAX($A$3:A348)+1)</f>
        <v>346</v>
      </c>
      <c r="B349" s="207">
        <v>46176</v>
      </c>
      <c r="C349" s="208">
        <v>10831</v>
      </c>
      <c r="D349" s="209" t="str">
        <f>IFERROR(IF($E349="Inventory",VLOOKUP($C349,Inventory!$B:$I,2,FALSE()),IF($E349="Non Inventory",VLOOKUP($C349,'Non Inventory'!$B:$I,2,FALSE()),IF($E349="Services",VLOOKUP($C349,Services!$B:$I,2,FALSE()),IF($E349="Patty Cash",VLOOKUP($C349,'Patty Cash'!$B:$J,2,FALSE()),"")))),"")</f>
        <v>Fuel Filter P/N # Fs19870 Replaced (Fs1006)</v>
      </c>
      <c r="E349" s="246" t="s">
        <v>7</v>
      </c>
      <c r="F349" s="210" t="str">
        <f>IFERROR(IF($E349="Inventory",VLOOKUP($C349,Inventory!$B:$I,3,FALSE()),IF($E349="Non Inventory",VLOOKUP($C349,'Non Inventory'!$B:$I,3,FALSE()),IF($E349="Services",VLOOKUP($C349,Services!$B:$I,3,FALSE()),IF($E349="Patty Cash",VLOOKUP($C349,'Patty Cash'!$B:$J,3,FALSE()),"")))),"")</f>
        <v>NOS</v>
      </c>
      <c r="G349" s="211">
        <v>2</v>
      </c>
      <c r="H349" s="212">
        <f>IF($E349="","",IF($E349="Inventory",IFERROR(VLOOKUP($C349,Inventory!$B:$H,7,FALSE()),0),IF($E349="Non Inventory",IFERROR(VLOOKUP($C349,'Non Inventory'!$B:$H,7,FALSE()),0),IF($E349="Services",IFERROR(VLOOKUP($C349,Services!$B:$H,7,FALSE()),0),IF($E349="Patty Cash",IFERROR(VLOOKUP($C349,'Patty Cash'!$B:$H,7,FALSE()),0),0)))))</f>
        <v>0</v>
      </c>
      <c r="I349" s="213" t="s">
        <v>1757</v>
      </c>
      <c r="J349" s="214" t="s">
        <v>1765</v>
      </c>
      <c r="K349" s="215" t="s">
        <v>1415</v>
      </c>
      <c r="L349" s="197" t="s">
        <v>1195</v>
      </c>
      <c r="M349" s="215" t="s">
        <v>1196</v>
      </c>
      <c r="N349" s="216">
        <f>IFERROR(IF($E349="Inventory",VLOOKUP($C349,Inventory!$B:$I,8,FALSE()),IF($E349="Non Inventory",VLOOKUP($C349,'Non Inventory'!$B:$I,8,FALSE()),IF($E349="Services",VLOOKUP($C349,Services!$B:$I,8,FALSE()),IF($E349="Patty Cash",VLOOKUP($C349,'Patty Cash'!$B:$J,8,FALSE()),0)))),0)</f>
        <v>23739.17</v>
      </c>
      <c r="O349" s="217">
        <f t="shared" si="5"/>
        <v>47478.34</v>
      </c>
    </row>
    <row r="350" spans="1:15" ht="23.1" customHeight="1">
      <c r="A350" s="206">
        <f>IF(AND($B350="",$C350=""),"",MAX($A$3:A349)+1)</f>
        <v>347</v>
      </c>
      <c r="B350" s="207">
        <v>46176</v>
      </c>
      <c r="C350" s="208">
        <v>10832</v>
      </c>
      <c r="D350" s="209" t="str">
        <f>IFERROR(IF($E350="Inventory",VLOOKUP($C350,Inventory!$B:$I,2,FALSE()),IF($E350="Non Inventory",VLOOKUP($C350,'Non Inventory'!$B:$I,2,FALSE()),IF($E350="Services",VLOOKUP($C350,Services!$B:$I,2,FALSE()),IF($E350="Patty Cash",VLOOKUP($C350,'Patty Cash'!$B:$J,2,FALSE()),"")))),"")</f>
        <v>Water Filter P/N # Wf2076</v>
      </c>
      <c r="E350" s="246" t="s">
        <v>7</v>
      </c>
      <c r="F350" s="210" t="str">
        <f>IFERROR(IF($E350="Inventory",VLOOKUP($C350,Inventory!$B:$I,3,FALSE()),IF($E350="Non Inventory",VLOOKUP($C350,'Non Inventory'!$B:$I,3,FALSE()),IF($E350="Services",VLOOKUP($C350,Services!$B:$I,3,FALSE()),IF($E350="Patty Cash",VLOOKUP($C350,'Patty Cash'!$B:$J,3,FALSE()),"")))),"")</f>
        <v>NOS</v>
      </c>
      <c r="G350" s="211">
        <v>2</v>
      </c>
      <c r="H350" s="212">
        <f>IF($E350="","",IF($E350="Inventory",IFERROR(VLOOKUP($C350,Inventory!$B:$H,7,FALSE()),0),IF($E350="Non Inventory",IFERROR(VLOOKUP($C350,'Non Inventory'!$B:$H,7,FALSE()),0),IF($E350="Services",IFERROR(VLOOKUP($C350,Services!$B:$H,7,FALSE()),0),IF($E350="Patty Cash",IFERROR(VLOOKUP($C350,'Patty Cash'!$B:$H,7,FALSE()),0),0)))))</f>
        <v>0</v>
      </c>
      <c r="I350" s="213" t="s">
        <v>1757</v>
      </c>
      <c r="J350" s="214" t="s">
        <v>1765</v>
      </c>
      <c r="K350" s="215" t="s">
        <v>1415</v>
      </c>
      <c r="L350" s="197" t="s">
        <v>1195</v>
      </c>
      <c r="M350" s="215" t="s">
        <v>1196</v>
      </c>
      <c r="N350" s="216">
        <f>IFERROR(IF($E350="Inventory",VLOOKUP($C350,Inventory!$B:$I,8,FALSE()),IF($E350="Non Inventory",VLOOKUP($C350,'Non Inventory'!$B:$I,8,FALSE()),IF($E350="Services",VLOOKUP($C350,Services!$B:$I,8,FALSE()),IF($E350="Patty Cash",VLOOKUP($C350,'Patty Cash'!$B:$J,8,FALSE()),0)))),0)</f>
        <v>7242.96</v>
      </c>
      <c r="O350" s="217">
        <f t="shared" si="5"/>
        <v>14485.92</v>
      </c>
    </row>
    <row r="351" spans="1:15" ht="23.1" customHeight="1">
      <c r="A351" s="206">
        <f>IF(AND($B351="",$C351=""),"",MAX($A$3:A350)+1)</f>
        <v>348</v>
      </c>
      <c r="B351" s="207">
        <v>46176</v>
      </c>
      <c r="C351" s="208">
        <v>10833</v>
      </c>
      <c r="D351" s="209" t="str">
        <f>IFERROR(IF($E351="Inventory",VLOOKUP($C351,Inventory!$B:$I,2,FALSE()),IF($E351="Non Inventory",VLOOKUP($C351,'Non Inventory'!$B:$I,2,FALSE()),IF($E351="Services",VLOOKUP($C351,Services!$B:$I,2,FALSE()),IF($E351="Patty Cash",VLOOKUP($C351,'Patty Cash'!$B:$J,2,FALSE()),"")))),"")</f>
        <v>Air Filter P/N # Af25278</v>
      </c>
      <c r="E351" s="246" t="s">
        <v>7</v>
      </c>
      <c r="F351" s="210" t="str">
        <f>IFERROR(IF($E351="Inventory",VLOOKUP($C351,Inventory!$B:$I,3,FALSE()),IF($E351="Non Inventory",VLOOKUP($C351,'Non Inventory'!$B:$I,3,FALSE()),IF($E351="Services",VLOOKUP($C351,Services!$B:$I,3,FALSE()),IF($E351="Patty Cash",VLOOKUP($C351,'Patty Cash'!$B:$J,3,FALSE()),"")))),"")</f>
        <v>NOS</v>
      </c>
      <c r="G351" s="211">
        <v>2</v>
      </c>
      <c r="H351" s="212">
        <f>IF($E351="","",IF($E351="Inventory",IFERROR(VLOOKUP($C351,Inventory!$B:$H,7,FALSE()),0),IF($E351="Non Inventory",IFERROR(VLOOKUP($C351,'Non Inventory'!$B:$H,7,FALSE()),0),IF($E351="Services",IFERROR(VLOOKUP($C351,Services!$B:$H,7,FALSE()),0),IF($E351="Patty Cash",IFERROR(VLOOKUP($C351,'Patty Cash'!$B:$H,7,FALSE()),0),0)))))</f>
        <v>0</v>
      </c>
      <c r="I351" s="213" t="s">
        <v>1757</v>
      </c>
      <c r="J351" s="214" t="s">
        <v>1765</v>
      </c>
      <c r="K351" s="215" t="s">
        <v>1415</v>
      </c>
      <c r="L351" s="197" t="s">
        <v>1195</v>
      </c>
      <c r="M351" s="215" t="s">
        <v>1196</v>
      </c>
      <c r="N351" s="216">
        <f>IFERROR(IF($E351="Inventory",VLOOKUP($C351,Inventory!$B:$I,8,FALSE()),IF($E351="Non Inventory",VLOOKUP($C351,'Non Inventory'!$B:$I,8,FALSE()),IF($E351="Services",VLOOKUP($C351,Services!$B:$I,8,FALSE()),IF($E351="Patty Cash",VLOOKUP($C351,'Patty Cash'!$B:$J,8,FALSE()),0)))),0)</f>
        <v>38742.99</v>
      </c>
      <c r="O351" s="217">
        <f t="shared" si="5"/>
        <v>77485.98</v>
      </c>
    </row>
    <row r="352" spans="1:15" ht="23.1" customHeight="1">
      <c r="A352" s="206">
        <f>IF(AND($B352="",$C352=""),"",MAX($A$3:A351)+1)</f>
        <v>349</v>
      </c>
      <c r="B352" s="207">
        <v>46176</v>
      </c>
      <c r="C352" s="208">
        <v>23649</v>
      </c>
      <c r="D352" s="209" t="str">
        <f>IFERROR(IF($E352="Inventory",VLOOKUP($C352,Inventory!$B:$I,2,FALSE()),IF($E352="Non Inventory",VLOOKUP($C352,'Non Inventory'!$B:$I,2,FALSE()),IF($E352="Services",VLOOKUP($C352,Services!$B:$I,2,FALSE()),IF($E352="Patty Cash",VLOOKUP($C352,'Patty Cash'!$B:$J,2,FALSE()),"")))),"")</f>
        <v>Premium Blue Oil 7800 Api Ci-4sl (208 L
Drum)(Cummins Diesel Generator Model # Kta-
50)</v>
      </c>
      <c r="E352" s="246" t="s">
        <v>7</v>
      </c>
      <c r="F352" s="210" t="str">
        <f>IFERROR(IF($E352="Inventory",VLOOKUP($C352,Inventory!$B:$I,3,FALSE()),IF($E352="Non Inventory",VLOOKUP($C352,'Non Inventory'!$B:$I,3,FALSE()),IF($E352="Services",VLOOKUP($C352,Services!$B:$I,3,FALSE()),IF($E352="Patty Cash",VLOOKUP($C352,'Patty Cash'!$B:$J,3,FALSE()),"")))),"")</f>
        <v>NOS</v>
      </c>
      <c r="G352" s="211">
        <v>1</v>
      </c>
      <c r="H352" s="212">
        <f>IF($E352="","",IF($E352="Inventory",IFERROR(VLOOKUP($C352,Inventory!$B:$H,7,FALSE()),0),IF($E352="Non Inventory",IFERROR(VLOOKUP($C352,'Non Inventory'!$B:$H,7,FALSE()),0),IF($E352="Services",IFERROR(VLOOKUP($C352,Services!$B:$H,7,FALSE()),0),IF($E352="Patty Cash",IFERROR(VLOOKUP($C352,'Patty Cash'!$B:$H,7,FALSE()),0),0)))))</f>
        <v>0</v>
      </c>
      <c r="I352" s="213" t="s">
        <v>1757</v>
      </c>
      <c r="J352" s="214" t="s">
        <v>1765</v>
      </c>
      <c r="K352" s="215" t="s">
        <v>1415</v>
      </c>
      <c r="L352" s="197" t="s">
        <v>1195</v>
      </c>
      <c r="M352" s="215" t="s">
        <v>1196</v>
      </c>
      <c r="N352" s="216">
        <f>IFERROR(IF($E352="Inventory",VLOOKUP($C352,Inventory!$B:$I,8,FALSE()),IF($E352="Non Inventory",VLOOKUP($C352,'Non Inventory'!$B:$I,8,FALSE()),IF($E352="Services",VLOOKUP($C352,Services!$B:$I,8,FALSE()),IF($E352="Patty Cash",VLOOKUP($C352,'Patty Cash'!$B:$J,8,FALSE()),0)))),0)</f>
        <v>237182.7</v>
      </c>
      <c r="O352" s="217">
        <f t="shared" si="5"/>
        <v>237182.7</v>
      </c>
    </row>
    <row r="353" spans="1:15" ht="23.1" customHeight="1">
      <c r="A353" s="206">
        <f>IF(AND($B353="",$C353=""),"",MAX($A$3:A352)+1)</f>
        <v>350</v>
      </c>
      <c r="B353" s="207">
        <v>46184</v>
      </c>
      <c r="C353" s="208">
        <v>7968</v>
      </c>
      <c r="D353" s="209" t="str">
        <f>IFERROR(IF($E353="Inventory",VLOOKUP($C353,Inventory!$B:$I,2,FALSE()),IF($E353="Non Inventory",VLOOKUP($C353,'Non Inventory'!$B:$I,2,FALSE()),IF($E353="Services",VLOOKUP($C353,Services!$B:$I,2,FALSE()),IF($E353="Patty Cash",VLOOKUP($C353,'Patty Cash'!$B:$J,2,FALSE()),"")))),"")</f>
        <v>V-BELT B-52</v>
      </c>
      <c r="E353" s="246" t="s">
        <v>7</v>
      </c>
      <c r="F353" s="210" t="str">
        <f>IFERROR(IF($E353="Inventory",VLOOKUP($C353,Inventory!$B:$I,3,FALSE()),IF($E353="Non Inventory",VLOOKUP($C353,'Non Inventory'!$B:$I,3,FALSE()),IF($E353="Services",VLOOKUP($C353,Services!$B:$I,3,FALSE()),IF($E353="Patty Cash",VLOOKUP($C353,'Patty Cash'!$B:$J,3,FALSE()),"")))),"")</f>
        <v>NOS</v>
      </c>
      <c r="G353" s="211">
        <v>1</v>
      </c>
      <c r="H353" s="212">
        <f>IF($E353="","",IF($E353="Inventory",IFERROR(VLOOKUP($C353,Inventory!$B:$H,7,FALSE()),0),IF($E353="Non Inventory",IFERROR(VLOOKUP($C353,'Non Inventory'!$B:$H,7,FALSE()),0),IF($E353="Services",IFERROR(VLOOKUP($C353,Services!$B:$H,7,FALSE()),0),IF($E353="Patty Cash",IFERROR(VLOOKUP($C353,'Patty Cash'!$B:$H,7,FALSE()),0),0)))))</f>
        <v>2</v>
      </c>
      <c r="I353" s="213" t="s">
        <v>55</v>
      </c>
      <c r="J353" s="214" t="s">
        <v>1767</v>
      </c>
      <c r="K353" s="215" t="s">
        <v>1217</v>
      </c>
      <c r="L353" s="197" t="s">
        <v>1195</v>
      </c>
      <c r="M353" s="215" t="s">
        <v>1196</v>
      </c>
      <c r="N353" s="216">
        <f>IFERROR(IF($E353="Inventory",VLOOKUP($C353,Inventory!$B:$I,8,FALSE()),IF($E353="Non Inventory",VLOOKUP($C353,'Non Inventory'!$B:$I,8,FALSE()),IF($E353="Services",VLOOKUP($C353,Services!$B:$I,8,FALSE()),IF($E353="Patty Cash",VLOOKUP($C353,'Patty Cash'!$B:$J,8,FALSE()),0)))),0)</f>
        <v>432</v>
      </c>
      <c r="O353" s="217">
        <f t="shared" si="5"/>
        <v>432</v>
      </c>
    </row>
    <row r="354" spans="1:15" ht="23.1" customHeight="1">
      <c r="A354" s="206">
        <f>IF(AND($B354="",$C354=""),"",MAX($A$3:A353)+1)</f>
        <v>351</v>
      </c>
      <c r="B354" s="207">
        <v>46184</v>
      </c>
      <c r="C354" s="208">
        <v>2225</v>
      </c>
      <c r="D354" s="209" t="str">
        <f>IFERROR(IF($E354="Inventory",VLOOKUP($C354,Inventory!$B:$I,2,FALSE()),IF($E354="Non Inventory",VLOOKUP($C354,'Non Inventory'!$B:$I,2,FALSE()),IF($E354="Services",VLOOKUP($C354,Services!$B:$I,2,FALSE()),IF($E354="Patty Cash",VLOOKUP($C354,'Patty Cash'!$B:$J,2,FALSE()),"")))),"")</f>
        <v>Relay 8 Pin 220 Valt Round Pin (Finder/Omron)</v>
      </c>
      <c r="E354" s="246" t="s">
        <v>6</v>
      </c>
      <c r="F354" s="210" t="str">
        <f>IFERROR(IF($E354="Inventory",VLOOKUP($C354,Inventory!$B:$I,3,FALSE()),IF($E354="Non Inventory",VLOOKUP($C354,'Non Inventory'!$B:$I,3,FALSE()),IF($E354="Services",VLOOKUP($C354,Services!$B:$I,3,FALSE()),IF($E354="Patty Cash",VLOOKUP($C354,'Patty Cash'!$B:$J,3,FALSE()),"")))),"")</f>
        <v>NOS</v>
      </c>
      <c r="G354" s="211">
        <v>1</v>
      </c>
      <c r="H354" s="212">
        <f>IF($E354="","",IF($E354="Inventory",IFERROR(VLOOKUP($C354,Inventory!$B:$H,7,FALSE()),0),IF($E354="Non Inventory",IFERROR(VLOOKUP($C354,'Non Inventory'!$B:$H,7,FALSE()),0),IF($E354="Services",IFERROR(VLOOKUP($C354,Services!$B:$H,7,FALSE()),0),IF($E354="Patty Cash",IFERROR(VLOOKUP($C354,'Patty Cash'!$B:$H,7,FALSE()),0),0)))))</f>
        <v>5</v>
      </c>
      <c r="I354" s="213" t="s">
        <v>1305</v>
      </c>
      <c r="J354" s="214" t="s">
        <v>1768</v>
      </c>
      <c r="K354" s="215" t="s">
        <v>1386</v>
      </c>
      <c r="L354" s="197" t="s">
        <v>1195</v>
      </c>
      <c r="M354" s="215" t="s">
        <v>1207</v>
      </c>
      <c r="N354" s="216">
        <f>IFERROR(IF($E354="Inventory",VLOOKUP($C354,Inventory!$B:$I,8,FALSE()),IF($E354="Non Inventory",VLOOKUP($C354,'Non Inventory'!$B:$I,8,FALSE()),IF($E354="Services",VLOOKUP($C354,Services!$B:$I,8,FALSE()),IF($E354="Patty Cash",VLOOKUP($C354,'Patty Cash'!$B:$J,8,FALSE()),0)))),0)</f>
        <v>1456</v>
      </c>
      <c r="O354" s="217">
        <f t="shared" si="5"/>
        <v>1456</v>
      </c>
    </row>
    <row r="355" spans="1:15" ht="23.1" customHeight="1">
      <c r="A355" s="206">
        <f>IF(AND($B355="",$C355=""),"",MAX($A$3:A354)+1)</f>
        <v>352</v>
      </c>
      <c r="B355" s="207">
        <v>46184</v>
      </c>
      <c r="C355" s="208">
        <v>17633</v>
      </c>
      <c r="D355" s="209" t="str">
        <f>IFERROR(IF($E355="Inventory",VLOOKUP($C355,Inventory!$B:$I,2,FALSE()),IF($E355="Non Inventory",VLOOKUP($C355,'Non Inventory'!$B:$I,2,FALSE()),IF($E355="Services",VLOOKUP($C355,Services!$B:$I,2,FALSE()),IF($E355="Patty Cash",VLOOKUP($C355,'Patty Cash'!$B:$J,2,FALSE()),"")))),"")</f>
        <v>Thermocouple K-Type 3 X 120 MM For Ishida Machine</v>
      </c>
      <c r="E355" s="246" t="s">
        <v>6</v>
      </c>
      <c r="F355" s="210" t="str">
        <f>IFERROR(IF($E355="Inventory",VLOOKUP($C355,Inventory!$B:$I,3,FALSE()),IF($E355="Non Inventory",VLOOKUP($C355,'Non Inventory'!$B:$I,3,FALSE()),IF($E355="Services",VLOOKUP($C355,Services!$B:$I,3,FALSE()),IF($E355="Patty Cash",VLOOKUP($C355,'Patty Cash'!$B:$J,3,FALSE()),"")))),"")</f>
        <v>NOS</v>
      </c>
      <c r="G355" s="211">
        <v>1</v>
      </c>
      <c r="H355" s="212">
        <f>IF($E355="","",IF($E355="Inventory",IFERROR(VLOOKUP($C355,Inventory!$B:$H,7,FALSE()),0),IF($E355="Non Inventory",IFERROR(VLOOKUP($C355,'Non Inventory'!$B:$H,7,FALSE()),0),IF($E355="Services",IFERROR(VLOOKUP($C355,Services!$B:$H,7,FALSE()),0),IF($E355="Patty Cash",IFERROR(VLOOKUP($C355,'Patty Cash'!$B:$H,7,FALSE()),0),0)))))</f>
        <v>18</v>
      </c>
      <c r="I355" s="213" t="s">
        <v>43</v>
      </c>
      <c r="J355" s="214" t="s">
        <v>67</v>
      </c>
      <c r="K355" s="215" t="s">
        <v>1386</v>
      </c>
      <c r="L355" s="197" t="s">
        <v>1195</v>
      </c>
      <c r="M355" s="215" t="s">
        <v>1207</v>
      </c>
      <c r="N355" s="216">
        <f>IFERROR(IF($E355="Inventory",VLOOKUP($C355,Inventory!$B:$I,8,FALSE()),IF($E355="Non Inventory",VLOOKUP($C355,'Non Inventory'!$B:$I,8,FALSE()),IF($E355="Services",VLOOKUP($C355,Services!$B:$I,8,FALSE()),IF($E355="Patty Cash",VLOOKUP($C355,'Patty Cash'!$B:$J,8,FALSE()),0)))),0)</f>
        <v>2500</v>
      </c>
      <c r="O355" s="217">
        <f t="shared" si="5"/>
        <v>2500</v>
      </c>
    </row>
    <row r="356" spans="1:15" ht="23.1" customHeight="1">
      <c r="A356" s="206">
        <f>IF(AND($B356="",$C356=""),"",MAX($A$3:A355)+1)</f>
        <v>353</v>
      </c>
      <c r="B356" s="207">
        <v>46184</v>
      </c>
      <c r="C356" s="208">
        <v>27573</v>
      </c>
      <c r="D356" s="209" t="str">
        <f>IFERROR(IF($E356="Inventory",VLOOKUP($C356,Inventory!$B:$I,2,FALSE()),IF($E356="Non Inventory",VLOOKUP($C356,'Non Inventory'!$B:$I,2,FALSE()),IF($E356="Services",VLOOKUP($C356,Services!$B:$I,2,FALSE()),IF($E356="Patty Cash",VLOOKUP($C356,'Patty Cash'!$B:$J,2,FALSE()),"")))),"")</f>
        <v>Color Mark Sensor Pl-05n, 10-30 Vdc ( Fotek
Orignal)</v>
      </c>
      <c r="E356" s="246" t="s">
        <v>6</v>
      </c>
      <c r="F356" s="210" t="str">
        <f>IFERROR(IF($E356="Inventory",VLOOKUP($C356,Inventory!$B:$I,3,FALSE()),IF($E356="Non Inventory",VLOOKUP($C356,'Non Inventory'!$B:$I,3,FALSE()),IF($E356="Services",VLOOKUP($C356,Services!$B:$I,3,FALSE()),IF($E356="Patty Cash",VLOOKUP($C356,'Patty Cash'!$B:$J,3,FALSE()),"")))),"")</f>
        <v>NOS</v>
      </c>
      <c r="G356" s="211">
        <v>1</v>
      </c>
      <c r="H356" s="212">
        <f>IF($E356="","",IF($E356="Inventory",IFERROR(VLOOKUP($C356,Inventory!$B:$H,7,FALSE()),0),IF($E356="Non Inventory",IFERROR(VLOOKUP($C356,'Non Inventory'!$B:$H,7,FALSE()),0),IF($E356="Services",IFERROR(VLOOKUP($C356,Services!$B:$H,7,FALSE()),0),IF($E356="Patty Cash",IFERROR(VLOOKUP($C356,'Patty Cash'!$B:$H,7,FALSE()),0),0)))))</f>
        <v>4</v>
      </c>
      <c r="I356" s="213" t="s">
        <v>1300</v>
      </c>
      <c r="J356" s="214" t="s">
        <v>67</v>
      </c>
      <c r="K356" s="215" t="s">
        <v>1210</v>
      </c>
      <c r="L356" s="197" t="s">
        <v>1195</v>
      </c>
      <c r="M356" s="215" t="s">
        <v>1207</v>
      </c>
      <c r="N356" s="216">
        <f>IFERROR(IF($E356="Inventory",VLOOKUP($C356,Inventory!$B:$I,8,FALSE()),IF($E356="Non Inventory",VLOOKUP($C356,'Non Inventory'!$B:$I,8,FALSE()),IF($E356="Services",VLOOKUP($C356,Services!$B:$I,8,FALSE()),IF($E356="Patty Cash",VLOOKUP($C356,'Patty Cash'!$B:$J,8,FALSE()),0)))),0)</f>
        <v>3500</v>
      </c>
      <c r="O356" s="217">
        <f t="shared" si="5"/>
        <v>3500</v>
      </c>
    </row>
    <row r="357" spans="1:15" ht="23.1" customHeight="1">
      <c r="A357" s="206">
        <f>IF(AND($B357="",$C357=""),"",MAX($A$3:A356)+1)</f>
        <v>354</v>
      </c>
      <c r="B357" s="207">
        <v>46184</v>
      </c>
      <c r="C357" s="208">
        <v>98370</v>
      </c>
      <c r="D357" s="209" t="str">
        <f>IFERROR(IF($E357="Inventory",VLOOKUP($C357,Inventory!$B:$I,2,FALSE()),IF($E357="Non Inventory",VLOOKUP($C357,'Non Inventory'!$B:$I,2,FALSE()),IF($E357="Services",VLOOKUP($C357,Services!$B:$I,2,FALSE()),IF($E357="Patty Cash",VLOOKUP($C357,'Patty Cash'!$B:$J,2,FALSE()),"")))),"")</f>
        <v>Folder Tape</v>
      </c>
      <c r="E357" s="246" t="s">
        <v>7</v>
      </c>
      <c r="F357" s="210" t="str">
        <f>IFERROR(IF($E357="Inventory",VLOOKUP($C357,Inventory!$B:$I,3,FALSE()),IF($E357="Non Inventory",VLOOKUP($C357,'Non Inventory'!$B:$I,3,FALSE()),IF($E357="Services",VLOOKUP($C357,Services!$B:$I,3,FALSE()),IF($E357="Patty Cash",VLOOKUP($C357,'Patty Cash'!$B:$J,3,FALSE()),"")))),"")</f>
        <v>NOS</v>
      </c>
      <c r="G357" s="211">
        <v>2</v>
      </c>
      <c r="H357" s="212">
        <f>IF($E357="","",IF($E357="Inventory",IFERROR(VLOOKUP($C357,Inventory!$B:$H,7,FALSE()),0),IF($E357="Non Inventory",IFERROR(VLOOKUP($C357,'Non Inventory'!$B:$H,7,FALSE()),0),IF($E357="Services",IFERROR(VLOOKUP($C357,Services!$B:$H,7,FALSE()),0),IF($E357="Patty Cash",IFERROR(VLOOKUP($C357,'Patty Cash'!$B:$H,7,FALSE()),0),0)))))</f>
        <v>440</v>
      </c>
      <c r="I357" s="213" t="s">
        <v>40</v>
      </c>
      <c r="J357" s="214" t="s">
        <v>1769</v>
      </c>
      <c r="K357" s="215" t="s">
        <v>1197</v>
      </c>
      <c r="L357" s="197" t="s">
        <v>1195</v>
      </c>
      <c r="M357" s="215" t="s">
        <v>1196</v>
      </c>
      <c r="N357" s="216">
        <f>IFERROR(IF($E357="Inventory",VLOOKUP($C357,Inventory!$B:$I,8,FALSE()),IF($E357="Non Inventory",VLOOKUP($C357,'Non Inventory'!$B:$I,8,FALSE()),IF($E357="Services",VLOOKUP($C357,Services!$B:$I,8,FALSE()),IF($E357="Patty Cash",VLOOKUP($C357,'Patty Cash'!$B:$J,8,FALSE()),0)))),0)</f>
        <v>128</v>
      </c>
      <c r="O357" s="217">
        <f t="shared" si="5"/>
        <v>256</v>
      </c>
    </row>
    <row r="358" spans="1:15" ht="23.1" customHeight="1">
      <c r="A358" s="206">
        <f>IF(AND($B358="",$C358=""),"",MAX($A$3:A357)+1)</f>
        <v>355</v>
      </c>
      <c r="B358" s="207">
        <v>46184</v>
      </c>
      <c r="C358" s="208">
        <v>98370</v>
      </c>
      <c r="D358" s="209" t="str">
        <f>IFERROR(IF($E358="Inventory",VLOOKUP($C358,Inventory!$B:$I,2,FALSE()),IF($E358="Non Inventory",VLOOKUP($C358,'Non Inventory'!$B:$I,2,FALSE()),IF($E358="Services",VLOOKUP($C358,Services!$B:$I,2,FALSE()),IF($E358="Patty Cash",VLOOKUP($C358,'Patty Cash'!$B:$J,2,FALSE()),"")))),"")</f>
        <v>Folder Tape</v>
      </c>
      <c r="E358" s="246" t="s">
        <v>7</v>
      </c>
      <c r="F358" s="210" t="str">
        <f>IFERROR(IF($E358="Inventory",VLOOKUP($C358,Inventory!$B:$I,3,FALSE()),IF($E358="Non Inventory",VLOOKUP($C358,'Non Inventory'!$B:$I,3,FALSE()),IF($E358="Services",VLOOKUP($C358,Services!$B:$I,3,FALSE()),IF($E358="Patty Cash",VLOOKUP($C358,'Patty Cash'!$B:$J,3,FALSE()),"")))),"")</f>
        <v>NOS</v>
      </c>
      <c r="G358" s="211">
        <v>2</v>
      </c>
      <c r="H358" s="212">
        <f>IF($E358="","",IF($E358="Inventory",IFERROR(VLOOKUP($C358,Inventory!$B:$H,7,FALSE()),0),IF($E358="Non Inventory",IFERROR(VLOOKUP($C358,'Non Inventory'!$B:$H,7,FALSE()),0),IF($E358="Services",IFERROR(VLOOKUP($C358,Services!$B:$H,7,FALSE()),0),IF($E358="Patty Cash",IFERROR(VLOOKUP($C358,'Patty Cash'!$B:$H,7,FALSE()),0),0)))))</f>
        <v>440</v>
      </c>
      <c r="I358" s="213" t="s">
        <v>41</v>
      </c>
      <c r="J358" s="214" t="s">
        <v>1769</v>
      </c>
      <c r="K358" s="215" t="s">
        <v>1197</v>
      </c>
      <c r="L358" s="197" t="s">
        <v>1195</v>
      </c>
      <c r="M358" s="215" t="s">
        <v>1196</v>
      </c>
      <c r="N358" s="216">
        <f>IFERROR(IF($E358="Inventory",VLOOKUP($C358,Inventory!$B:$I,8,FALSE()),IF($E358="Non Inventory",VLOOKUP($C358,'Non Inventory'!$B:$I,8,FALSE()),IF($E358="Services",VLOOKUP($C358,Services!$B:$I,8,FALSE()),IF($E358="Patty Cash",VLOOKUP($C358,'Patty Cash'!$B:$J,8,FALSE()),0)))),0)</f>
        <v>128</v>
      </c>
      <c r="O358" s="217">
        <f t="shared" si="5"/>
        <v>256</v>
      </c>
    </row>
    <row r="359" spans="1:15" ht="23.1" customHeight="1">
      <c r="A359" s="206">
        <f>IF(AND($B359="",$C359=""),"",MAX($A$3:A358)+1)</f>
        <v>356</v>
      </c>
      <c r="B359" s="207">
        <v>46184</v>
      </c>
      <c r="C359" s="208">
        <v>98370</v>
      </c>
      <c r="D359" s="209" t="str">
        <f>IFERROR(IF($E359="Inventory",VLOOKUP($C359,Inventory!$B:$I,2,FALSE()),IF($E359="Non Inventory",VLOOKUP($C359,'Non Inventory'!$B:$I,2,FALSE()),IF($E359="Services",VLOOKUP($C359,Services!$B:$I,2,FALSE()),IF($E359="Patty Cash",VLOOKUP($C359,'Patty Cash'!$B:$J,2,FALSE()),"")))),"")</f>
        <v>Folder Tape</v>
      </c>
      <c r="E359" s="246" t="s">
        <v>7</v>
      </c>
      <c r="F359" s="210" t="str">
        <f>IFERROR(IF($E359="Inventory",VLOOKUP($C359,Inventory!$B:$I,3,FALSE()),IF($E359="Non Inventory",VLOOKUP($C359,'Non Inventory'!$B:$I,3,FALSE()),IF($E359="Services",VLOOKUP($C359,Services!$B:$I,3,FALSE()),IF($E359="Patty Cash",VLOOKUP($C359,'Patty Cash'!$B:$J,3,FALSE()),"")))),"")</f>
        <v>NOS</v>
      </c>
      <c r="G359" s="211">
        <v>2</v>
      </c>
      <c r="H359" s="212">
        <f>IF($E359="","",IF($E359="Inventory",IFERROR(VLOOKUP($C359,Inventory!$B:$H,7,FALSE()),0),IF($E359="Non Inventory",IFERROR(VLOOKUP($C359,'Non Inventory'!$B:$H,7,FALSE()),0),IF($E359="Services",IFERROR(VLOOKUP($C359,Services!$B:$H,7,FALSE()),0),IF($E359="Patty Cash",IFERROR(VLOOKUP($C359,'Patty Cash'!$B:$H,7,FALSE()),0),0)))))</f>
        <v>440</v>
      </c>
      <c r="I359" s="213" t="s">
        <v>42</v>
      </c>
      <c r="J359" s="214" t="s">
        <v>1769</v>
      </c>
      <c r="K359" s="215" t="s">
        <v>1197</v>
      </c>
      <c r="L359" s="197" t="s">
        <v>1195</v>
      </c>
      <c r="M359" s="215" t="s">
        <v>1196</v>
      </c>
      <c r="N359" s="216">
        <f>IFERROR(IF($E359="Inventory",VLOOKUP($C359,Inventory!$B:$I,8,FALSE()),IF($E359="Non Inventory",VLOOKUP($C359,'Non Inventory'!$B:$I,8,FALSE()),IF($E359="Services",VLOOKUP($C359,Services!$B:$I,8,FALSE()),IF($E359="Patty Cash",VLOOKUP($C359,'Patty Cash'!$B:$J,8,FALSE()),0)))),0)</f>
        <v>128</v>
      </c>
      <c r="O359" s="217">
        <f t="shared" si="5"/>
        <v>256</v>
      </c>
    </row>
    <row r="360" spans="1:15" ht="23.1" customHeight="1">
      <c r="A360" s="206">
        <f>IF(AND($B360="",$C360=""),"",MAX($A$3:A359)+1)</f>
        <v>357</v>
      </c>
      <c r="B360" s="207">
        <v>46184</v>
      </c>
      <c r="C360" s="208">
        <v>98370</v>
      </c>
      <c r="D360" s="209" t="str">
        <f>IFERROR(IF($E360="Inventory",VLOOKUP($C360,Inventory!$B:$I,2,FALSE()),IF($E360="Non Inventory",VLOOKUP($C360,'Non Inventory'!$B:$I,2,FALSE()),IF($E360="Services",VLOOKUP($C360,Services!$B:$I,2,FALSE()),IF($E360="Patty Cash",VLOOKUP($C360,'Patty Cash'!$B:$J,2,FALSE()),"")))),"")</f>
        <v>Folder Tape</v>
      </c>
      <c r="E360" s="246" t="s">
        <v>7</v>
      </c>
      <c r="F360" s="210" t="str">
        <f>IFERROR(IF($E360="Inventory",VLOOKUP($C360,Inventory!$B:$I,3,FALSE()),IF($E360="Non Inventory",VLOOKUP($C360,'Non Inventory'!$B:$I,3,FALSE()),IF($E360="Services",VLOOKUP($C360,Services!$B:$I,3,FALSE()),IF($E360="Patty Cash",VLOOKUP($C360,'Patty Cash'!$B:$J,3,FALSE()),"")))),"")</f>
        <v>NOS</v>
      </c>
      <c r="G360" s="211">
        <v>2</v>
      </c>
      <c r="H360" s="212">
        <f>IF($E360="","",IF($E360="Inventory",IFERROR(VLOOKUP($C360,Inventory!$B:$H,7,FALSE()),0),IF($E360="Non Inventory",IFERROR(VLOOKUP($C360,'Non Inventory'!$B:$H,7,FALSE()),0),IF($E360="Services",IFERROR(VLOOKUP($C360,Services!$B:$H,7,FALSE()),0),IF($E360="Patty Cash",IFERROR(VLOOKUP($C360,'Patty Cash'!$B:$H,7,FALSE()),0),0)))))</f>
        <v>440</v>
      </c>
      <c r="I360" s="213" t="s">
        <v>43</v>
      </c>
      <c r="J360" s="214" t="s">
        <v>1769</v>
      </c>
      <c r="K360" s="215" t="s">
        <v>1197</v>
      </c>
      <c r="L360" s="197" t="s">
        <v>1195</v>
      </c>
      <c r="M360" s="215" t="s">
        <v>1196</v>
      </c>
      <c r="N360" s="216">
        <f>IFERROR(IF($E360="Inventory",VLOOKUP($C360,Inventory!$B:$I,8,FALSE()),IF($E360="Non Inventory",VLOOKUP($C360,'Non Inventory'!$B:$I,8,FALSE()),IF($E360="Services",VLOOKUP($C360,Services!$B:$I,8,FALSE()),IF($E360="Patty Cash",VLOOKUP($C360,'Patty Cash'!$B:$J,8,FALSE()),0)))),0)</f>
        <v>128</v>
      </c>
      <c r="O360" s="217">
        <f t="shared" si="5"/>
        <v>256</v>
      </c>
    </row>
    <row r="361" spans="1:15" ht="23.1" customHeight="1">
      <c r="A361" s="206">
        <f>IF(AND($B361="",$C361=""),"",MAX($A$3:A360)+1)</f>
        <v>358</v>
      </c>
      <c r="B361" s="207">
        <v>46184</v>
      </c>
      <c r="C361" s="208">
        <v>98370</v>
      </c>
      <c r="D361" s="209" t="str">
        <f>IFERROR(IF($E361="Inventory",VLOOKUP($C361,Inventory!$B:$I,2,FALSE()),IF($E361="Non Inventory",VLOOKUP($C361,'Non Inventory'!$B:$I,2,FALSE()),IF($E361="Services",VLOOKUP($C361,Services!$B:$I,2,FALSE()),IF($E361="Patty Cash",VLOOKUP($C361,'Patty Cash'!$B:$J,2,FALSE()),"")))),"")</f>
        <v>Folder Tape</v>
      </c>
      <c r="E361" s="246" t="s">
        <v>7</v>
      </c>
      <c r="F361" s="210" t="str">
        <f>IFERROR(IF($E361="Inventory",VLOOKUP($C361,Inventory!$B:$I,3,FALSE()),IF($E361="Non Inventory",VLOOKUP($C361,'Non Inventory'!$B:$I,3,FALSE()),IF($E361="Services",VLOOKUP($C361,Services!$B:$I,3,FALSE()),IF($E361="Patty Cash",VLOOKUP($C361,'Patty Cash'!$B:$J,3,FALSE()),"")))),"")</f>
        <v>NOS</v>
      </c>
      <c r="G361" s="211">
        <v>2</v>
      </c>
      <c r="H361" s="212">
        <f>IF($E361="","",IF($E361="Inventory",IFERROR(VLOOKUP($C361,Inventory!$B:$H,7,FALSE()),0),IF($E361="Non Inventory",IFERROR(VLOOKUP($C361,'Non Inventory'!$B:$H,7,FALSE()),0),IF($E361="Services",IFERROR(VLOOKUP($C361,Services!$B:$H,7,FALSE()),0),IF($E361="Patty Cash",IFERROR(VLOOKUP($C361,'Patty Cash'!$B:$H,7,FALSE()),0),0)))))</f>
        <v>440</v>
      </c>
      <c r="I361" s="213" t="s">
        <v>44</v>
      </c>
      <c r="J361" s="214" t="s">
        <v>1769</v>
      </c>
      <c r="K361" s="215" t="s">
        <v>1197</v>
      </c>
      <c r="L361" s="197" t="s">
        <v>1195</v>
      </c>
      <c r="M361" s="215" t="s">
        <v>1196</v>
      </c>
      <c r="N361" s="216">
        <f>IFERROR(IF($E361="Inventory",VLOOKUP($C361,Inventory!$B:$I,8,FALSE()),IF($E361="Non Inventory",VLOOKUP($C361,'Non Inventory'!$B:$I,8,FALSE()),IF($E361="Services",VLOOKUP($C361,Services!$B:$I,8,FALSE()),IF($E361="Patty Cash",VLOOKUP($C361,'Patty Cash'!$B:$J,8,FALSE()),0)))),0)</f>
        <v>128</v>
      </c>
      <c r="O361" s="217">
        <f t="shared" si="5"/>
        <v>256</v>
      </c>
    </row>
    <row r="362" spans="1:15" ht="23.1" customHeight="1">
      <c r="A362" s="206">
        <f>IF(AND($B362="",$C362=""),"",MAX($A$3:A361)+1)</f>
        <v>359</v>
      </c>
      <c r="B362" s="207">
        <v>46184</v>
      </c>
      <c r="C362" s="208">
        <v>98370</v>
      </c>
      <c r="D362" s="209" t="str">
        <f>IFERROR(IF($E362="Inventory",VLOOKUP($C362,Inventory!$B:$I,2,FALSE()),IF($E362="Non Inventory",VLOOKUP($C362,'Non Inventory'!$B:$I,2,FALSE()),IF($E362="Services",VLOOKUP($C362,Services!$B:$I,2,FALSE()),IF($E362="Patty Cash",VLOOKUP($C362,'Patty Cash'!$B:$J,2,FALSE()),"")))),"")</f>
        <v>Folder Tape</v>
      </c>
      <c r="E362" s="246" t="s">
        <v>7</v>
      </c>
      <c r="F362" s="210" t="str">
        <f>IFERROR(IF($E362="Inventory",VLOOKUP($C362,Inventory!$B:$I,3,FALSE()),IF($E362="Non Inventory",VLOOKUP($C362,'Non Inventory'!$B:$I,3,FALSE()),IF($E362="Services",VLOOKUP($C362,Services!$B:$I,3,FALSE()),IF($E362="Patty Cash",VLOOKUP($C362,'Patty Cash'!$B:$J,3,FALSE()),"")))),"")</f>
        <v>NOS</v>
      </c>
      <c r="G362" s="211">
        <v>2</v>
      </c>
      <c r="H362" s="212">
        <f>IF($E362="","",IF($E362="Inventory",IFERROR(VLOOKUP($C362,Inventory!$B:$H,7,FALSE()),0),IF($E362="Non Inventory",IFERROR(VLOOKUP($C362,'Non Inventory'!$B:$H,7,FALSE()),0),IF($E362="Services",IFERROR(VLOOKUP($C362,Services!$B:$H,7,FALSE()),0),IF($E362="Patty Cash",IFERROR(VLOOKUP($C362,'Patty Cash'!$B:$H,7,FALSE()),0),0)))))</f>
        <v>440</v>
      </c>
      <c r="I362" s="213" t="s">
        <v>45</v>
      </c>
      <c r="J362" s="214" t="s">
        <v>1769</v>
      </c>
      <c r="K362" s="215" t="s">
        <v>1197</v>
      </c>
      <c r="L362" s="197" t="s">
        <v>1195</v>
      </c>
      <c r="M362" s="215" t="s">
        <v>1196</v>
      </c>
      <c r="N362" s="216">
        <f>IFERROR(IF($E362="Inventory",VLOOKUP($C362,Inventory!$B:$I,8,FALSE()),IF($E362="Non Inventory",VLOOKUP($C362,'Non Inventory'!$B:$I,8,FALSE()),IF($E362="Services",VLOOKUP($C362,Services!$B:$I,8,FALSE()),IF($E362="Patty Cash",VLOOKUP($C362,'Patty Cash'!$B:$J,8,FALSE()),0)))),0)</f>
        <v>128</v>
      </c>
      <c r="O362" s="217">
        <f t="shared" si="5"/>
        <v>256</v>
      </c>
    </row>
    <row r="363" spans="1:15" ht="23.1" customHeight="1">
      <c r="A363" s="206">
        <f>IF(AND($B363="",$C363=""),"",MAX($A$3:A362)+1)</f>
        <v>360</v>
      </c>
      <c r="B363" s="207">
        <v>46184</v>
      </c>
      <c r="C363" s="208">
        <v>98370</v>
      </c>
      <c r="D363" s="209" t="str">
        <f>IFERROR(IF($E363="Inventory",VLOOKUP($C363,Inventory!$B:$I,2,FALSE()),IF($E363="Non Inventory",VLOOKUP($C363,'Non Inventory'!$B:$I,2,FALSE()),IF($E363="Services",VLOOKUP($C363,Services!$B:$I,2,FALSE()),IF($E363="Patty Cash",VLOOKUP($C363,'Patty Cash'!$B:$J,2,FALSE()),"")))),"")</f>
        <v>Folder Tape</v>
      </c>
      <c r="E363" s="246" t="s">
        <v>7</v>
      </c>
      <c r="F363" s="210" t="str">
        <f>IFERROR(IF($E363="Inventory",VLOOKUP($C363,Inventory!$B:$I,3,FALSE()),IF($E363="Non Inventory",VLOOKUP($C363,'Non Inventory'!$B:$I,3,FALSE()),IF($E363="Services",VLOOKUP($C363,Services!$B:$I,3,FALSE()),IF($E363="Patty Cash",VLOOKUP($C363,'Patty Cash'!$B:$J,3,FALSE()),"")))),"")</f>
        <v>NOS</v>
      </c>
      <c r="G363" s="211">
        <v>2</v>
      </c>
      <c r="H363" s="212">
        <f>IF($E363="","",IF($E363="Inventory",IFERROR(VLOOKUP($C363,Inventory!$B:$H,7,FALSE()),0),IF($E363="Non Inventory",IFERROR(VLOOKUP($C363,'Non Inventory'!$B:$H,7,FALSE()),0),IF($E363="Services",IFERROR(VLOOKUP($C363,Services!$B:$H,7,FALSE()),0),IF($E363="Patty Cash",IFERROR(VLOOKUP($C363,'Patty Cash'!$B:$H,7,FALSE()),0),0)))))</f>
        <v>440</v>
      </c>
      <c r="I363" s="213" t="s">
        <v>46</v>
      </c>
      <c r="J363" s="214" t="s">
        <v>1769</v>
      </c>
      <c r="K363" s="215" t="s">
        <v>1197</v>
      </c>
      <c r="L363" s="197" t="s">
        <v>1204</v>
      </c>
      <c r="M363" s="215" t="s">
        <v>1196</v>
      </c>
      <c r="N363" s="216">
        <f>IFERROR(IF($E363="Inventory",VLOOKUP($C363,Inventory!$B:$I,8,FALSE()),IF($E363="Non Inventory",VLOOKUP($C363,'Non Inventory'!$B:$I,8,FALSE()),IF($E363="Services",VLOOKUP($C363,Services!$B:$I,8,FALSE()),IF($E363="Patty Cash",VLOOKUP($C363,'Patty Cash'!$B:$J,8,FALSE()),0)))),0)</f>
        <v>128</v>
      </c>
      <c r="O363" s="217">
        <f t="shared" si="5"/>
        <v>256</v>
      </c>
    </row>
    <row r="364" spans="1:15" ht="23.1" customHeight="1">
      <c r="A364" s="206">
        <f>IF(AND($B364="",$C364=""),"",MAX($A$3:A363)+1)</f>
        <v>361</v>
      </c>
      <c r="B364" s="207">
        <v>46184</v>
      </c>
      <c r="C364" s="208">
        <v>98370</v>
      </c>
      <c r="D364" s="209" t="str">
        <f>IFERROR(IF($E364="Inventory",VLOOKUP($C364,Inventory!$B:$I,2,FALSE()),IF($E364="Non Inventory",VLOOKUP($C364,'Non Inventory'!$B:$I,2,FALSE()),IF($E364="Services",VLOOKUP($C364,Services!$B:$I,2,FALSE()),IF($E364="Patty Cash",VLOOKUP($C364,'Patty Cash'!$B:$J,2,FALSE()),"")))),"")</f>
        <v>Folder Tape</v>
      </c>
      <c r="E364" s="246" t="s">
        <v>7</v>
      </c>
      <c r="F364" s="210" t="str">
        <f>IFERROR(IF($E364="Inventory",VLOOKUP($C364,Inventory!$B:$I,3,FALSE()),IF($E364="Non Inventory",VLOOKUP($C364,'Non Inventory'!$B:$I,3,FALSE()),IF($E364="Services",VLOOKUP($C364,Services!$B:$I,3,FALSE()),IF($E364="Patty Cash",VLOOKUP($C364,'Patty Cash'!$B:$J,3,FALSE()),"")))),"")</f>
        <v>NOS</v>
      </c>
      <c r="G364" s="211">
        <v>2</v>
      </c>
      <c r="H364" s="212">
        <f>IF($E364="","",IF($E364="Inventory",IFERROR(VLOOKUP($C364,Inventory!$B:$H,7,FALSE()),0),IF($E364="Non Inventory",IFERROR(VLOOKUP($C364,'Non Inventory'!$B:$H,7,FALSE()),0),IF($E364="Services",IFERROR(VLOOKUP($C364,Services!$B:$H,7,FALSE()),0),IF($E364="Patty Cash",IFERROR(VLOOKUP($C364,'Patty Cash'!$B:$H,7,FALSE()),0),0)))))</f>
        <v>440</v>
      </c>
      <c r="I364" s="213" t="s">
        <v>47</v>
      </c>
      <c r="J364" s="214" t="s">
        <v>1769</v>
      </c>
      <c r="K364" s="215" t="s">
        <v>1197</v>
      </c>
      <c r="L364" s="197" t="s">
        <v>1204</v>
      </c>
      <c r="M364" s="215" t="s">
        <v>1196</v>
      </c>
      <c r="N364" s="216">
        <f>IFERROR(IF($E364="Inventory",VLOOKUP($C364,Inventory!$B:$I,8,FALSE()),IF($E364="Non Inventory",VLOOKUP($C364,'Non Inventory'!$B:$I,8,FALSE()),IF($E364="Services",VLOOKUP($C364,Services!$B:$I,8,FALSE()),IF($E364="Patty Cash",VLOOKUP($C364,'Patty Cash'!$B:$J,8,FALSE()),0)))),0)</f>
        <v>128</v>
      </c>
      <c r="O364" s="217">
        <f t="shared" si="5"/>
        <v>256</v>
      </c>
    </row>
    <row r="365" spans="1:15" ht="23.1" customHeight="1">
      <c r="A365" s="206">
        <f>IF(AND($B365="",$C365=""),"",MAX($A$3:A364)+1)</f>
        <v>362</v>
      </c>
      <c r="B365" s="207">
        <v>46184</v>
      </c>
      <c r="C365" s="208">
        <v>98370</v>
      </c>
      <c r="D365" s="209" t="str">
        <f>IFERROR(IF($E365="Inventory",VLOOKUP($C365,Inventory!$B:$I,2,FALSE()),IF($E365="Non Inventory",VLOOKUP($C365,'Non Inventory'!$B:$I,2,FALSE()),IF($E365="Services",VLOOKUP($C365,Services!$B:$I,2,FALSE()),IF($E365="Patty Cash",VLOOKUP($C365,'Patty Cash'!$B:$J,2,FALSE()),"")))),"")</f>
        <v>Folder Tape</v>
      </c>
      <c r="E365" s="246" t="s">
        <v>7</v>
      </c>
      <c r="F365" s="210" t="str">
        <f>IFERROR(IF($E365="Inventory",VLOOKUP($C365,Inventory!$B:$I,3,FALSE()),IF($E365="Non Inventory",VLOOKUP($C365,'Non Inventory'!$B:$I,3,FALSE()),IF($E365="Services",VLOOKUP($C365,Services!$B:$I,3,FALSE()),IF($E365="Patty Cash",VLOOKUP($C365,'Patty Cash'!$B:$J,3,FALSE()),"")))),"")</f>
        <v>NOS</v>
      </c>
      <c r="G365" s="211">
        <v>2</v>
      </c>
      <c r="H365" s="212">
        <f>IF($E365="","",IF($E365="Inventory",IFERROR(VLOOKUP($C365,Inventory!$B:$H,7,FALSE()),0),IF($E365="Non Inventory",IFERROR(VLOOKUP($C365,'Non Inventory'!$B:$H,7,FALSE()),0),IF($E365="Services",IFERROR(VLOOKUP($C365,Services!$B:$H,7,FALSE()),0),IF($E365="Patty Cash",IFERROR(VLOOKUP($C365,'Patty Cash'!$B:$H,7,FALSE()),0),0)))))</f>
        <v>440</v>
      </c>
      <c r="I365" s="213" t="s">
        <v>48</v>
      </c>
      <c r="J365" s="214" t="s">
        <v>1769</v>
      </c>
      <c r="K365" s="215" t="s">
        <v>1197</v>
      </c>
      <c r="L365" s="197" t="s">
        <v>1204</v>
      </c>
      <c r="M365" s="215" t="s">
        <v>1196</v>
      </c>
      <c r="N365" s="216">
        <f>IFERROR(IF($E365="Inventory",VLOOKUP($C365,Inventory!$B:$I,8,FALSE()),IF($E365="Non Inventory",VLOOKUP($C365,'Non Inventory'!$B:$I,8,FALSE()),IF($E365="Services",VLOOKUP($C365,Services!$B:$I,8,FALSE()),IF($E365="Patty Cash",VLOOKUP($C365,'Patty Cash'!$B:$J,8,FALSE()),0)))),0)</f>
        <v>128</v>
      </c>
      <c r="O365" s="217">
        <f t="shared" si="5"/>
        <v>256</v>
      </c>
    </row>
    <row r="366" spans="1:15" ht="23.1" customHeight="1">
      <c r="A366" s="206">
        <f>IF(AND($B366="",$C366=""),"",MAX($A$3:A365)+1)</f>
        <v>363</v>
      </c>
      <c r="B366" s="207">
        <v>46184</v>
      </c>
      <c r="C366" s="208">
        <v>98370</v>
      </c>
      <c r="D366" s="209" t="str">
        <f>IFERROR(IF($E366="Inventory",VLOOKUP($C366,Inventory!$B:$I,2,FALSE()),IF($E366="Non Inventory",VLOOKUP($C366,'Non Inventory'!$B:$I,2,FALSE()),IF($E366="Services",VLOOKUP($C366,Services!$B:$I,2,FALSE()),IF($E366="Patty Cash",VLOOKUP($C366,'Patty Cash'!$B:$J,2,FALSE()),"")))),"")</f>
        <v>Folder Tape</v>
      </c>
      <c r="E366" s="246" t="s">
        <v>7</v>
      </c>
      <c r="F366" s="210" t="str">
        <f>IFERROR(IF($E366="Inventory",VLOOKUP($C366,Inventory!$B:$I,3,FALSE()),IF($E366="Non Inventory",VLOOKUP($C366,'Non Inventory'!$B:$I,3,FALSE()),IF($E366="Services",VLOOKUP($C366,Services!$B:$I,3,FALSE()),IF($E366="Patty Cash",VLOOKUP($C366,'Patty Cash'!$B:$J,3,FALSE()),"")))),"")</f>
        <v>NOS</v>
      </c>
      <c r="G366" s="211">
        <v>2</v>
      </c>
      <c r="H366" s="212">
        <f>IF($E366="","",IF($E366="Inventory",IFERROR(VLOOKUP($C366,Inventory!$B:$H,7,FALSE()),0),IF($E366="Non Inventory",IFERROR(VLOOKUP($C366,'Non Inventory'!$B:$H,7,FALSE()),0),IF($E366="Services",IFERROR(VLOOKUP($C366,Services!$B:$H,7,FALSE()),0),IF($E366="Patty Cash",IFERROR(VLOOKUP($C366,'Patty Cash'!$B:$H,7,FALSE()),0),0)))))</f>
        <v>440</v>
      </c>
      <c r="I366" s="213" t="s">
        <v>59</v>
      </c>
      <c r="J366" s="214" t="s">
        <v>1769</v>
      </c>
      <c r="K366" s="215" t="s">
        <v>1197</v>
      </c>
      <c r="L366" s="197" t="s">
        <v>1204</v>
      </c>
      <c r="M366" s="215" t="s">
        <v>1196</v>
      </c>
      <c r="N366" s="216">
        <f>IFERROR(IF($E366="Inventory",VLOOKUP($C366,Inventory!$B:$I,8,FALSE()),IF($E366="Non Inventory",VLOOKUP($C366,'Non Inventory'!$B:$I,8,FALSE()),IF($E366="Services",VLOOKUP($C366,Services!$B:$I,8,FALSE()),IF($E366="Patty Cash",VLOOKUP($C366,'Patty Cash'!$B:$J,8,FALSE()),0)))),0)</f>
        <v>128</v>
      </c>
      <c r="O366" s="217">
        <f t="shared" si="5"/>
        <v>256</v>
      </c>
    </row>
    <row r="367" spans="1:15" ht="23.1" customHeight="1">
      <c r="A367" s="206">
        <f>IF(AND($B367="",$C367=""),"",MAX($A$3:A366)+1)</f>
        <v>364</v>
      </c>
      <c r="B367" s="207">
        <v>46184</v>
      </c>
      <c r="C367" s="208">
        <v>98370</v>
      </c>
      <c r="D367" s="209" t="str">
        <f>IFERROR(IF($E367="Inventory",VLOOKUP($C367,Inventory!$B:$I,2,FALSE()),IF($E367="Non Inventory",VLOOKUP($C367,'Non Inventory'!$B:$I,2,FALSE()),IF($E367="Services",VLOOKUP($C367,Services!$B:$I,2,FALSE()),IF($E367="Patty Cash",VLOOKUP($C367,'Patty Cash'!$B:$J,2,FALSE()),"")))),"")</f>
        <v>Folder Tape</v>
      </c>
      <c r="E367" s="246" t="s">
        <v>7</v>
      </c>
      <c r="F367" s="210" t="str">
        <f>IFERROR(IF($E367="Inventory",VLOOKUP($C367,Inventory!$B:$I,3,FALSE()),IF($E367="Non Inventory",VLOOKUP($C367,'Non Inventory'!$B:$I,3,FALSE()),IF($E367="Services",VLOOKUP($C367,Services!$B:$I,3,FALSE()),IF($E367="Patty Cash",VLOOKUP($C367,'Patty Cash'!$B:$J,3,FALSE()),"")))),"")</f>
        <v>NOS</v>
      </c>
      <c r="G367" s="211">
        <v>2</v>
      </c>
      <c r="H367" s="212">
        <f>IF($E367="","",IF($E367="Inventory",IFERROR(VLOOKUP($C367,Inventory!$B:$H,7,FALSE()),0),IF($E367="Non Inventory",IFERROR(VLOOKUP($C367,'Non Inventory'!$B:$H,7,FALSE()),0),IF($E367="Services",IFERROR(VLOOKUP($C367,Services!$B:$H,7,FALSE()),0),IF($E367="Patty Cash",IFERROR(VLOOKUP($C367,'Patty Cash'!$B:$H,7,FALSE()),0),0)))))</f>
        <v>440</v>
      </c>
      <c r="I367" s="213" t="s">
        <v>60</v>
      </c>
      <c r="J367" s="214" t="s">
        <v>1769</v>
      </c>
      <c r="K367" s="215" t="s">
        <v>1197</v>
      </c>
      <c r="L367" s="197" t="s">
        <v>1204</v>
      </c>
      <c r="M367" s="215" t="s">
        <v>1196</v>
      </c>
      <c r="N367" s="216">
        <f>IFERROR(IF($E367="Inventory",VLOOKUP($C367,Inventory!$B:$I,8,FALSE()),IF($E367="Non Inventory",VLOOKUP($C367,'Non Inventory'!$B:$I,8,FALSE()),IF($E367="Services",VLOOKUP($C367,Services!$B:$I,8,FALSE()),IF($E367="Patty Cash",VLOOKUP($C367,'Patty Cash'!$B:$J,8,FALSE()),0)))),0)</f>
        <v>128</v>
      </c>
      <c r="O367" s="217">
        <f t="shared" si="5"/>
        <v>256</v>
      </c>
    </row>
    <row r="368" spans="1:15" ht="23.1" customHeight="1">
      <c r="A368" s="206">
        <f>IF(AND($B368="",$C368=""),"",MAX($A$3:A367)+1)</f>
        <v>365</v>
      </c>
      <c r="B368" s="207">
        <v>46184</v>
      </c>
      <c r="C368" s="208">
        <v>98370</v>
      </c>
      <c r="D368" s="209" t="str">
        <f>IFERROR(IF($E368="Inventory",VLOOKUP($C368,Inventory!$B:$I,2,FALSE()),IF($E368="Non Inventory",VLOOKUP($C368,'Non Inventory'!$B:$I,2,FALSE()),IF($E368="Services",VLOOKUP($C368,Services!$B:$I,2,FALSE()),IF($E368="Patty Cash",VLOOKUP($C368,'Patty Cash'!$B:$J,2,FALSE()),"")))),"")</f>
        <v>Folder Tape</v>
      </c>
      <c r="E368" s="246" t="s">
        <v>7</v>
      </c>
      <c r="F368" s="210" t="str">
        <f>IFERROR(IF($E368="Inventory",VLOOKUP($C368,Inventory!$B:$I,3,FALSE()),IF($E368="Non Inventory",VLOOKUP($C368,'Non Inventory'!$B:$I,3,FALSE()),IF($E368="Services",VLOOKUP($C368,Services!$B:$I,3,FALSE()),IF($E368="Patty Cash",VLOOKUP($C368,'Patty Cash'!$B:$J,3,FALSE()),"")))),"")</f>
        <v>NOS</v>
      </c>
      <c r="G368" s="211">
        <v>2</v>
      </c>
      <c r="H368" s="212">
        <f>IF($E368="","",IF($E368="Inventory",IFERROR(VLOOKUP($C368,Inventory!$B:$H,7,FALSE()),0),IF($E368="Non Inventory",IFERROR(VLOOKUP($C368,'Non Inventory'!$B:$H,7,FALSE()),0),IF($E368="Services",IFERROR(VLOOKUP($C368,Services!$B:$H,7,FALSE()),0),IF($E368="Patty Cash",IFERROR(VLOOKUP($C368,'Patty Cash'!$B:$H,7,FALSE()),0),0)))))</f>
        <v>440</v>
      </c>
      <c r="I368" s="213" t="s">
        <v>1300</v>
      </c>
      <c r="J368" s="214" t="s">
        <v>1769</v>
      </c>
      <c r="K368" s="215" t="s">
        <v>1197</v>
      </c>
      <c r="L368" s="197" t="s">
        <v>1204</v>
      </c>
      <c r="M368" s="215" t="s">
        <v>1196</v>
      </c>
      <c r="N368" s="216">
        <f>IFERROR(IF($E368="Inventory",VLOOKUP($C368,Inventory!$B:$I,8,FALSE()),IF($E368="Non Inventory",VLOOKUP($C368,'Non Inventory'!$B:$I,8,FALSE()),IF($E368="Services",VLOOKUP($C368,Services!$B:$I,8,FALSE()),IF($E368="Patty Cash",VLOOKUP($C368,'Patty Cash'!$B:$J,8,FALSE()),0)))),0)</f>
        <v>128</v>
      </c>
      <c r="O368" s="217">
        <f t="shared" si="5"/>
        <v>256</v>
      </c>
    </row>
    <row r="369" spans="1:15" ht="23.1" customHeight="1">
      <c r="A369" s="206">
        <f>IF(AND($B369="",$C369=""),"",MAX($A$3:A368)+1)</f>
        <v>366</v>
      </c>
      <c r="B369" s="207">
        <v>46185</v>
      </c>
      <c r="C369" s="208">
        <v>21290</v>
      </c>
      <c r="D369" s="209" t="str">
        <f>IFERROR(IF($E369="Inventory",VLOOKUP($C369,Inventory!$B:$I,2,FALSE()),IF($E369="Non Inventory",VLOOKUP($C369,'Non Inventory'!$B:$I,2,FALSE()),IF($E369="Services",VLOOKUP($C369,Services!$B:$I,2,FALSE()),IF($E369="Patty Cash",VLOOKUP($C369,'Patty Cash'!$B:$J,2,FALSE()),"")))),"")</f>
        <v>Pneumatic air cylinder DSNU-32-150-PV-P-A-51K8 193992
FN33 Pmax = 10 bar / 145 psi (Festo)</v>
      </c>
      <c r="E369" s="246" t="s">
        <v>6</v>
      </c>
      <c r="F369" s="210" t="str">
        <f>IFERROR(IF($E369="Inventory",VLOOKUP($C369,Inventory!$B:$I,3,FALSE()),IF($E369="Non Inventory",VLOOKUP($C369,'Non Inventory'!$B:$I,3,FALSE()),IF($E369="Services",VLOOKUP($C369,Services!$B:$I,3,FALSE()),IF($E369="Patty Cash",VLOOKUP($C369,'Patty Cash'!$B:$J,3,FALSE()),"")))),"")</f>
        <v>NOS</v>
      </c>
      <c r="G369" s="211">
        <v>1</v>
      </c>
      <c r="H369" s="212">
        <f>IF($E369="","",IF($E369="Inventory",IFERROR(VLOOKUP($C369,Inventory!$B:$H,7,FALSE()),0),IF($E369="Non Inventory",IFERROR(VLOOKUP($C369,'Non Inventory'!$B:$H,7,FALSE()),0),IF($E369="Services",IFERROR(VLOOKUP($C369,Services!$B:$H,7,FALSE()),0),IF($E369="Patty Cash",IFERROR(VLOOKUP($C369,'Patty Cash'!$B:$H,7,FALSE()),0),0)))))</f>
        <v>0</v>
      </c>
      <c r="I369" s="213" t="s">
        <v>41</v>
      </c>
      <c r="J369" s="214" t="s">
        <v>67</v>
      </c>
      <c r="K369" s="215" t="s">
        <v>1232</v>
      </c>
      <c r="L369" s="197" t="s">
        <v>1195</v>
      </c>
      <c r="M369" s="215" t="s">
        <v>1196</v>
      </c>
      <c r="N369" s="216">
        <f>IFERROR(IF($E369="Inventory",VLOOKUP($C369,Inventory!$B:$I,8,FALSE()),IF($E369="Non Inventory",VLOOKUP($C369,'Non Inventory'!$B:$I,8,FALSE()),IF($E369="Services",VLOOKUP($C369,Services!$B:$I,8,FALSE()),IF($E369="Patty Cash",VLOOKUP($C369,'Patty Cash'!$B:$J,8,FALSE()),0)))),0)</f>
        <v>14000</v>
      </c>
      <c r="O369" s="217">
        <f t="shared" si="5"/>
        <v>14000</v>
      </c>
    </row>
    <row r="370" spans="1:15" ht="23.1" customHeight="1">
      <c r="A370" s="206">
        <f>IF(AND($B370="",$C370=""),"",MAX($A$3:A369)+1)</f>
        <v>367</v>
      </c>
      <c r="B370" s="207">
        <v>46185</v>
      </c>
      <c r="C370" s="208">
        <v>1943</v>
      </c>
      <c r="D370" s="209" t="str">
        <f>IFERROR(IF($E370="Inventory",VLOOKUP($C370,Inventory!$B:$I,2,FALSE()),IF($E370="Non Inventory",VLOOKUP($C370,'Non Inventory'!$B:$I,2,FALSE()),IF($E370="Services",VLOOKUP($C370,Services!$B:$I,2,FALSE()),IF($E370="Patty Cash",VLOOKUP($C370,'Patty Cash'!$B:$J,2,FALSE()),"")))),"")</f>
        <v>BALL BEARING TYPE : 6205 2ZR</v>
      </c>
      <c r="E370" s="246" t="s">
        <v>6</v>
      </c>
      <c r="F370" s="210" t="str">
        <f>IFERROR(IF($E370="Inventory",VLOOKUP($C370,Inventory!$B:$I,3,FALSE()),IF($E370="Non Inventory",VLOOKUP($C370,'Non Inventory'!$B:$I,3,FALSE()),IF($E370="Services",VLOOKUP($C370,Services!$B:$I,3,FALSE()),IF($E370="Patty Cash",VLOOKUP($C370,'Patty Cash'!$B:$J,3,FALSE()),"")))),"")</f>
        <v>NOS</v>
      </c>
      <c r="G370" s="211">
        <v>1</v>
      </c>
      <c r="H370" s="212">
        <f>IF($E370="","",IF($E370="Inventory",IFERROR(VLOOKUP($C370,Inventory!$B:$H,7,FALSE()),0),IF($E370="Non Inventory",IFERROR(VLOOKUP($C370,'Non Inventory'!$B:$H,7,FALSE()),0),IF($E370="Services",IFERROR(VLOOKUP($C370,Services!$B:$H,7,FALSE()),0),IF($E370="Patty Cash",IFERROR(VLOOKUP($C370,'Patty Cash'!$B:$H,7,FALSE()),0),0)))))</f>
        <v>7</v>
      </c>
      <c r="I370" s="213" t="s">
        <v>1222</v>
      </c>
      <c r="J370" s="214" t="s">
        <v>1672</v>
      </c>
      <c r="K370" s="215" t="s">
        <v>1217</v>
      </c>
      <c r="L370" s="197" t="s">
        <v>1195</v>
      </c>
      <c r="M370" s="215" t="s">
        <v>1196</v>
      </c>
      <c r="N370" s="216">
        <f>IFERROR(IF($E370="Inventory",VLOOKUP($C370,Inventory!$B:$I,8,FALSE()),IF($E370="Non Inventory",VLOOKUP($C370,'Non Inventory'!$B:$I,8,FALSE()),IF($E370="Services",VLOOKUP($C370,Services!$B:$I,8,FALSE()),IF($E370="Patty Cash",VLOOKUP($C370,'Patty Cash'!$B:$J,8,FALSE()),0)))),0)</f>
        <v>1688</v>
      </c>
      <c r="O370" s="217">
        <f t="shared" si="5"/>
        <v>1688</v>
      </c>
    </row>
    <row r="371" spans="1:15" ht="23.1" customHeight="1">
      <c r="A371" s="206" t="str">
        <f>IF(AND($B371="",$C371=""),"",MAX($A$3:A370)+1)</f>
        <v/>
      </c>
      <c r="B371" s="207"/>
      <c r="C371" s="208"/>
      <c r="D371" s="209" t="str">
        <f>IFERROR(IF($E371="Inventory",VLOOKUP($C371,Inventory!$B:$I,2,FALSE()),IF($E371="Non Inventory",VLOOKUP($C371,'Non Inventory'!$B:$I,2,FALSE()),IF($E371="Services",VLOOKUP($C371,Services!$B:$I,2,FALSE()),IF($E371="Patty Cash",VLOOKUP($C371,'Patty Cash'!$B:$J,2,FALSE()),"")))),"")</f>
        <v/>
      </c>
      <c r="E371" s="246"/>
      <c r="F371" s="210" t="str">
        <f>IFERROR(IF($E371="Inventory",VLOOKUP($C371,Inventory!$B:$I,3,FALSE()),IF($E371="Non Inventory",VLOOKUP($C371,'Non Inventory'!$B:$I,3,FALSE()),IF($E371="Services",VLOOKUP($C371,Services!$B:$I,3,FALSE()),IF($E371="Patty Cash",VLOOKUP($C371,'Patty Cash'!$B:$J,3,FALSE()),"")))),"")</f>
        <v/>
      </c>
      <c r="G371" s="211"/>
      <c r="H371" s="212" t="str">
        <f>IF($E371="","",IF($E371="Inventory",IFERROR(VLOOKUP($C371,Inventory!$B:$H,7,FALSE()),0),IF($E371="Non Inventory",IFERROR(VLOOKUP($C371,'Non Inventory'!$B:$H,7,FALSE()),0),IF($E371="Services",IFERROR(VLOOKUP($C371,Services!$B:$H,7,FALSE()),0),IF($E371="Patty Cash",IFERROR(VLOOKUP($C371,'Patty Cash'!$B:$H,7,FALSE()),0),0)))))</f>
        <v/>
      </c>
      <c r="I371" s="213"/>
      <c r="J371" s="214"/>
      <c r="K371" s="215"/>
      <c r="L371" s="197"/>
      <c r="M371" s="215"/>
      <c r="N371" s="216">
        <f>IFERROR(IF($E371="Inventory",VLOOKUP($C371,Inventory!$B:$I,8,FALSE()),IF($E371="Non Inventory",VLOOKUP($C371,'Non Inventory'!$B:$I,8,FALSE()),IF($E371="Services",VLOOKUP($C371,Services!$B:$I,8,FALSE()),IF($E371="Patty Cash",VLOOKUP($C371,'Patty Cash'!$B:$J,8,FALSE()),0)))),0)</f>
        <v>0</v>
      </c>
      <c r="O371" s="217" t="str">
        <f t="shared" si="5"/>
        <v/>
      </c>
    </row>
    <row r="372" spans="1:15" ht="23.1" customHeight="1">
      <c r="A372" s="206" t="str">
        <f>IF(AND($B372="",$C372=""),"",MAX($A$3:A371)+1)</f>
        <v/>
      </c>
      <c r="B372" s="207"/>
      <c r="C372" s="208"/>
      <c r="D372" s="209" t="str">
        <f>IFERROR(IF($E372="Inventory",VLOOKUP($C372,Inventory!$B:$I,2,FALSE()),IF($E372="Non Inventory",VLOOKUP($C372,'Non Inventory'!$B:$I,2,FALSE()),IF($E372="Services",VLOOKUP($C372,Services!$B:$I,2,FALSE()),IF($E372="Patty Cash",VLOOKUP($C372,'Patty Cash'!$B:$J,2,FALSE()),"")))),"")</f>
        <v/>
      </c>
      <c r="E372" s="246"/>
      <c r="F372" s="210" t="str">
        <f>IFERROR(IF($E372="Inventory",VLOOKUP($C372,Inventory!$B:$I,3,FALSE()),IF($E372="Non Inventory",VLOOKUP($C372,'Non Inventory'!$B:$I,3,FALSE()),IF($E372="Services",VLOOKUP($C372,Services!$B:$I,3,FALSE()),IF($E372="Patty Cash",VLOOKUP($C372,'Patty Cash'!$B:$J,3,FALSE()),"")))),"")</f>
        <v/>
      </c>
      <c r="G372" s="211"/>
      <c r="H372" s="212" t="str">
        <f>IF($E372="","",IF($E372="Inventory",IFERROR(VLOOKUP($C372,Inventory!$B:$H,7,FALSE()),0),IF($E372="Non Inventory",IFERROR(VLOOKUP($C372,'Non Inventory'!$B:$H,7,FALSE()),0),IF($E372="Services",IFERROR(VLOOKUP($C372,Services!$B:$H,7,FALSE()),0),IF($E372="Patty Cash",IFERROR(VLOOKUP($C372,'Patty Cash'!$B:$H,7,FALSE()),0),0)))))</f>
        <v/>
      </c>
      <c r="I372" s="213"/>
      <c r="J372" s="214"/>
      <c r="K372" s="215"/>
      <c r="L372" s="197"/>
      <c r="M372" s="215"/>
      <c r="N372" s="216">
        <f>IFERROR(IF($E372="Inventory",VLOOKUP($C372,Inventory!$B:$I,8,FALSE()),IF($E372="Non Inventory",VLOOKUP($C372,'Non Inventory'!$B:$I,8,FALSE()),IF($E372="Services",VLOOKUP($C372,Services!$B:$I,8,FALSE()),IF($E372="Patty Cash",VLOOKUP($C372,'Patty Cash'!$B:$J,8,FALSE()),0)))),0)</f>
        <v>0</v>
      </c>
      <c r="O372" s="217" t="str">
        <f t="shared" si="5"/>
        <v/>
      </c>
    </row>
    <row r="373" spans="1:15" ht="23.1" customHeight="1">
      <c r="A373" s="206" t="str">
        <f>IF(AND($B373="",$C373=""),"",MAX($A$3:A372)+1)</f>
        <v/>
      </c>
      <c r="B373" s="207"/>
      <c r="C373" s="208"/>
      <c r="D373" s="209" t="str">
        <f>IFERROR(IF($E373="Inventory",VLOOKUP($C373,Inventory!$B:$I,2,FALSE()),IF($E373="Non Inventory",VLOOKUP($C373,'Non Inventory'!$B:$I,2,FALSE()),IF($E373="Services",VLOOKUP($C373,Services!$B:$I,2,FALSE()),IF($E373="Patty Cash",VLOOKUP($C373,'Patty Cash'!$B:$J,2,FALSE()),"")))),"")</f>
        <v/>
      </c>
      <c r="E373" s="246"/>
      <c r="F373" s="210" t="str">
        <f>IFERROR(IF($E373="Inventory",VLOOKUP($C373,Inventory!$B:$I,3,FALSE()),IF($E373="Non Inventory",VLOOKUP($C373,'Non Inventory'!$B:$I,3,FALSE()),IF($E373="Services",VLOOKUP($C373,Services!$B:$I,3,FALSE()),IF($E373="Patty Cash",VLOOKUP($C373,'Patty Cash'!$B:$J,3,FALSE()),"")))),"")</f>
        <v/>
      </c>
      <c r="G373" s="211"/>
      <c r="H373" s="212" t="str">
        <f>IF($E373="","",IF($E373="Inventory",IFERROR(VLOOKUP($C373,Inventory!$B:$H,7,FALSE()),0),IF($E373="Non Inventory",IFERROR(VLOOKUP($C373,'Non Inventory'!$B:$H,7,FALSE()),0),IF($E373="Services",IFERROR(VLOOKUP($C373,Services!$B:$H,7,FALSE()),0),IF($E373="Patty Cash",IFERROR(VLOOKUP($C373,'Patty Cash'!$B:$H,7,FALSE()),0),0)))))</f>
        <v/>
      </c>
      <c r="I373" s="213"/>
      <c r="J373" s="214"/>
      <c r="K373" s="215"/>
      <c r="L373" s="197"/>
      <c r="M373" s="215"/>
      <c r="N373" s="216">
        <f>IFERROR(IF($E373="Inventory",VLOOKUP($C373,Inventory!$B:$I,8,FALSE()),IF($E373="Non Inventory",VLOOKUP($C373,'Non Inventory'!$B:$I,8,FALSE()),IF($E373="Services",VLOOKUP($C373,Services!$B:$I,8,FALSE()),IF($E373="Patty Cash",VLOOKUP($C373,'Patty Cash'!$B:$J,8,FALSE()),0)))),0)</f>
        <v>0</v>
      </c>
      <c r="O373" s="217" t="str">
        <f t="shared" si="5"/>
        <v/>
      </c>
    </row>
    <row r="374" spans="1:15" ht="23.1" customHeight="1">
      <c r="A374" s="206" t="str">
        <f>IF(AND($B374="",$C374=""),"",MAX($A$3:A373)+1)</f>
        <v/>
      </c>
      <c r="B374" s="207"/>
      <c r="C374" s="208"/>
      <c r="D374" s="209" t="str">
        <f>IFERROR(IF($E374="Inventory",VLOOKUP($C374,Inventory!$B:$I,2,FALSE()),IF($E374="Non Inventory",VLOOKUP($C374,'Non Inventory'!$B:$I,2,FALSE()),IF($E374="Services",VLOOKUP($C374,Services!$B:$I,2,FALSE()),IF($E374="Patty Cash",VLOOKUP($C374,'Patty Cash'!$B:$J,2,FALSE()),"")))),"")</f>
        <v/>
      </c>
      <c r="E374" s="246"/>
      <c r="F374" s="210" t="str">
        <f>IFERROR(IF($E374="Inventory",VLOOKUP($C374,Inventory!$B:$I,3,FALSE()),IF($E374="Non Inventory",VLOOKUP($C374,'Non Inventory'!$B:$I,3,FALSE()),IF($E374="Services",VLOOKUP($C374,Services!$B:$I,3,FALSE()),IF($E374="Patty Cash",VLOOKUP($C374,'Patty Cash'!$B:$J,3,FALSE()),"")))),"")</f>
        <v/>
      </c>
      <c r="G374" s="211"/>
      <c r="H374" s="212" t="str">
        <f>IF($E374="","",IF($E374="Inventory",IFERROR(VLOOKUP($C374,Inventory!$B:$H,7,FALSE()),0),IF($E374="Non Inventory",IFERROR(VLOOKUP($C374,'Non Inventory'!$B:$H,7,FALSE()),0),IF($E374="Services",IFERROR(VLOOKUP($C374,Services!$B:$H,7,FALSE()),0),IF($E374="Patty Cash",IFERROR(VLOOKUP($C374,'Patty Cash'!$B:$H,7,FALSE()),0),0)))))</f>
        <v/>
      </c>
      <c r="I374" s="213"/>
      <c r="J374" s="214"/>
      <c r="K374" s="215"/>
      <c r="L374" s="197"/>
      <c r="M374" s="215"/>
      <c r="N374" s="216">
        <f>IFERROR(IF($E374="Inventory",VLOOKUP($C374,Inventory!$B:$I,8,FALSE()),IF($E374="Non Inventory",VLOOKUP($C374,'Non Inventory'!$B:$I,8,FALSE()),IF($E374="Services",VLOOKUP($C374,Services!$B:$I,8,FALSE()),IF($E374="Patty Cash",VLOOKUP($C374,'Patty Cash'!$B:$J,8,FALSE()),0)))),0)</f>
        <v>0</v>
      </c>
      <c r="O374" s="217" t="str">
        <f t="shared" si="5"/>
        <v/>
      </c>
    </row>
    <row r="375" spans="1:15" ht="23.1" customHeight="1">
      <c r="A375" s="206" t="str">
        <f>IF(AND($B375="",$C375=""),"",MAX($A$3:A374)+1)</f>
        <v/>
      </c>
      <c r="B375" s="207"/>
      <c r="C375" s="208"/>
      <c r="D375" s="209" t="str">
        <f>IFERROR(IF($E375="Inventory",VLOOKUP($C375,Inventory!$B:$I,2,FALSE()),IF($E375="Non Inventory",VLOOKUP($C375,'Non Inventory'!$B:$I,2,FALSE()),IF($E375="Services",VLOOKUP($C375,Services!$B:$I,2,FALSE()),IF($E375="Patty Cash",VLOOKUP($C375,'Patty Cash'!$B:$J,2,FALSE()),"")))),"")</f>
        <v/>
      </c>
      <c r="E375" s="246"/>
      <c r="F375" s="210" t="str">
        <f>IFERROR(IF($E375="Inventory",VLOOKUP($C375,Inventory!$B:$I,3,FALSE()),IF($E375="Non Inventory",VLOOKUP($C375,'Non Inventory'!$B:$I,3,FALSE()),IF($E375="Services",VLOOKUP($C375,Services!$B:$I,3,FALSE()),IF($E375="Patty Cash",VLOOKUP($C375,'Patty Cash'!$B:$J,3,FALSE()),"")))),"")</f>
        <v/>
      </c>
      <c r="G375" s="211"/>
      <c r="H375" s="212" t="str">
        <f>IF($E375="","",IF($E375="Inventory",IFERROR(VLOOKUP($C375,Inventory!$B:$H,7,FALSE()),0),IF($E375="Non Inventory",IFERROR(VLOOKUP($C375,'Non Inventory'!$B:$H,7,FALSE()),0),IF($E375="Services",IFERROR(VLOOKUP($C375,Services!$B:$H,7,FALSE()),0),IF($E375="Patty Cash",IFERROR(VLOOKUP($C375,'Patty Cash'!$B:$H,7,FALSE()),0),0)))))</f>
        <v/>
      </c>
      <c r="I375" s="213"/>
      <c r="J375" s="214"/>
      <c r="K375" s="215"/>
      <c r="L375" s="197"/>
      <c r="M375" s="215"/>
      <c r="N375" s="216">
        <f>IFERROR(IF($E375="Inventory",VLOOKUP($C375,Inventory!$B:$I,8,FALSE()),IF($E375="Non Inventory",VLOOKUP($C375,'Non Inventory'!$B:$I,8,FALSE()),IF($E375="Services",VLOOKUP($C375,Services!$B:$I,8,FALSE()),IF($E375="Patty Cash",VLOOKUP($C375,'Patty Cash'!$B:$J,8,FALSE()),0)))),0)</f>
        <v>0</v>
      </c>
      <c r="O375" s="217" t="str">
        <f t="shared" si="5"/>
        <v/>
      </c>
    </row>
    <row r="376" spans="1:15" ht="23.1" customHeight="1">
      <c r="A376" s="206" t="str">
        <f>IF(AND($B376="",$C376=""),"",MAX($A$3:A375)+1)</f>
        <v/>
      </c>
      <c r="B376" s="207"/>
      <c r="C376" s="208"/>
      <c r="D376" s="209" t="str">
        <f>IFERROR(IF($E376="Inventory",VLOOKUP($C376,Inventory!$B:$I,2,FALSE()),IF($E376="Non Inventory",VLOOKUP($C376,'Non Inventory'!$B:$I,2,FALSE()),IF($E376="Services",VLOOKUP($C376,Services!$B:$I,2,FALSE()),IF($E376="Patty Cash",VLOOKUP($C376,'Patty Cash'!$B:$J,2,FALSE()),"")))),"")</f>
        <v/>
      </c>
      <c r="E376" s="246"/>
      <c r="F376" s="210" t="str">
        <f>IFERROR(IF($E376="Inventory",VLOOKUP($C376,Inventory!$B:$I,3,FALSE()),IF($E376="Non Inventory",VLOOKUP($C376,'Non Inventory'!$B:$I,3,FALSE()),IF($E376="Services",VLOOKUP($C376,Services!$B:$I,3,FALSE()),IF($E376="Patty Cash",VLOOKUP($C376,'Patty Cash'!$B:$J,3,FALSE()),"")))),"")</f>
        <v/>
      </c>
      <c r="G376" s="211"/>
      <c r="H376" s="212" t="str">
        <f>IF($E376="","",IF($E376="Inventory",IFERROR(VLOOKUP($C376,Inventory!$B:$H,7,FALSE()),0),IF($E376="Non Inventory",IFERROR(VLOOKUP($C376,'Non Inventory'!$B:$H,7,FALSE()),0),IF($E376="Services",IFERROR(VLOOKUP($C376,Services!$B:$H,7,FALSE()),0),IF($E376="Patty Cash",IFERROR(VLOOKUP($C376,'Patty Cash'!$B:$H,7,FALSE()),0),0)))))</f>
        <v/>
      </c>
      <c r="I376" s="213"/>
      <c r="J376" s="214"/>
      <c r="K376" s="215"/>
      <c r="L376" s="197"/>
      <c r="M376" s="215"/>
      <c r="N376" s="216">
        <f>IFERROR(IF($E376="Inventory",VLOOKUP($C376,Inventory!$B:$I,8,FALSE()),IF($E376="Non Inventory",VLOOKUP($C376,'Non Inventory'!$B:$I,8,FALSE()),IF($E376="Services",VLOOKUP($C376,Services!$B:$I,8,FALSE()),IF($E376="Patty Cash",VLOOKUP($C376,'Patty Cash'!$B:$J,8,FALSE()),0)))),0)</f>
        <v>0</v>
      </c>
      <c r="O376" s="217" t="str">
        <f t="shared" si="5"/>
        <v/>
      </c>
    </row>
    <row r="377" spans="1:15" ht="23.1" customHeight="1">
      <c r="A377" s="206" t="str">
        <f>IF(AND($B377="",$C377=""),"",MAX($A$3:A376)+1)</f>
        <v/>
      </c>
      <c r="B377" s="207"/>
      <c r="C377" s="208"/>
      <c r="D377" s="209" t="str">
        <f>IFERROR(IF($E377="Inventory",VLOOKUP($C377,Inventory!$B:$I,2,FALSE()),IF($E377="Non Inventory",VLOOKUP($C377,'Non Inventory'!$B:$I,2,FALSE()),IF($E377="Services",VLOOKUP($C377,Services!$B:$I,2,FALSE()),IF($E377="Patty Cash",VLOOKUP($C377,'Patty Cash'!$B:$J,2,FALSE()),"")))),"")</f>
        <v/>
      </c>
      <c r="E377" s="246"/>
      <c r="F377" s="210" t="str">
        <f>IFERROR(IF($E377="Inventory",VLOOKUP($C377,Inventory!$B:$I,3,FALSE()),IF($E377="Non Inventory",VLOOKUP($C377,'Non Inventory'!$B:$I,3,FALSE()),IF($E377="Services",VLOOKUP($C377,Services!$B:$I,3,FALSE()),IF($E377="Patty Cash",VLOOKUP($C377,'Patty Cash'!$B:$J,3,FALSE()),"")))),"")</f>
        <v/>
      </c>
      <c r="G377" s="211"/>
      <c r="H377" s="212" t="str">
        <f>IF($E377="","",IF($E377="Inventory",IFERROR(VLOOKUP($C377,Inventory!$B:$H,7,FALSE()),0),IF($E377="Non Inventory",IFERROR(VLOOKUP($C377,'Non Inventory'!$B:$H,7,FALSE()),0),IF($E377="Services",IFERROR(VLOOKUP($C377,Services!$B:$H,7,FALSE()),0),IF($E377="Patty Cash",IFERROR(VLOOKUP($C377,'Patty Cash'!$B:$H,7,FALSE()),0),0)))))</f>
        <v/>
      </c>
      <c r="I377" s="213"/>
      <c r="J377" s="214"/>
      <c r="K377" s="215"/>
      <c r="L377" s="197"/>
      <c r="M377" s="215"/>
      <c r="N377" s="216">
        <f>IFERROR(IF($E377="Inventory",VLOOKUP($C377,Inventory!$B:$I,8,FALSE()),IF($E377="Non Inventory",VLOOKUP($C377,'Non Inventory'!$B:$I,8,FALSE()),IF($E377="Services",VLOOKUP($C377,Services!$B:$I,8,FALSE()),IF($E377="Patty Cash",VLOOKUP($C377,'Patty Cash'!$B:$J,8,FALSE()),0)))),0)</f>
        <v>0</v>
      </c>
      <c r="O377" s="217" t="str">
        <f t="shared" si="5"/>
        <v/>
      </c>
    </row>
    <row r="378" spans="1:15" ht="23.1" customHeight="1">
      <c r="A378" s="206" t="str">
        <f>IF(AND($B378="",$C378=""),"",MAX($A$3:A377)+1)</f>
        <v/>
      </c>
      <c r="B378" s="207"/>
      <c r="C378" s="208"/>
      <c r="D378" s="209" t="str">
        <f>IFERROR(IF($E378="Inventory",VLOOKUP($C378,Inventory!$B:$I,2,FALSE()),IF($E378="Non Inventory",VLOOKUP($C378,'Non Inventory'!$B:$I,2,FALSE()),IF($E378="Services",VLOOKUP($C378,Services!$B:$I,2,FALSE()),IF($E378="Patty Cash",VLOOKUP($C378,'Patty Cash'!$B:$J,2,FALSE()),"")))),"")</f>
        <v/>
      </c>
      <c r="E378" s="246"/>
      <c r="F378" s="210" t="str">
        <f>IFERROR(IF($E378="Inventory",VLOOKUP($C378,Inventory!$B:$I,3,FALSE()),IF($E378="Non Inventory",VLOOKUP($C378,'Non Inventory'!$B:$I,3,FALSE()),IF($E378="Services",VLOOKUP($C378,Services!$B:$I,3,FALSE()),IF($E378="Patty Cash",VLOOKUP($C378,'Patty Cash'!$B:$J,3,FALSE()),"")))),"")</f>
        <v/>
      </c>
      <c r="G378" s="211"/>
      <c r="H378" s="212" t="str">
        <f>IF($E378="","",IF($E378="Inventory",IFERROR(VLOOKUP($C378,Inventory!$B:$H,7,FALSE()),0),IF($E378="Non Inventory",IFERROR(VLOOKUP($C378,'Non Inventory'!$B:$H,7,FALSE()),0),IF($E378="Services",IFERROR(VLOOKUP($C378,Services!$B:$H,7,FALSE()),0),IF($E378="Patty Cash",IFERROR(VLOOKUP($C378,'Patty Cash'!$B:$H,7,FALSE()),0),0)))))</f>
        <v/>
      </c>
      <c r="I378" s="213"/>
      <c r="J378" s="214"/>
      <c r="K378" s="215"/>
      <c r="L378" s="197"/>
      <c r="M378" s="215"/>
      <c r="N378" s="216">
        <f>IFERROR(IF($E378="Inventory",VLOOKUP($C378,Inventory!$B:$I,8,FALSE()),IF($E378="Non Inventory",VLOOKUP($C378,'Non Inventory'!$B:$I,8,FALSE()),IF($E378="Services",VLOOKUP($C378,Services!$B:$I,8,FALSE()),IF($E378="Patty Cash",VLOOKUP($C378,'Patty Cash'!$B:$J,8,FALSE()),0)))),0)</f>
        <v>0</v>
      </c>
      <c r="O378" s="217" t="str">
        <f t="shared" si="5"/>
        <v/>
      </c>
    </row>
    <row r="379" spans="1:15" ht="23.1" customHeight="1">
      <c r="A379" s="206" t="str">
        <f>IF(AND($B379="",$C379=""),"",MAX($A$3:A378)+1)</f>
        <v/>
      </c>
      <c r="B379" s="207"/>
      <c r="C379" s="208"/>
      <c r="D379" s="209" t="str">
        <f>IFERROR(IF($E379="Inventory",VLOOKUP($C379,Inventory!$B:$I,2,FALSE()),IF($E379="Non Inventory",VLOOKUP($C379,'Non Inventory'!$B:$I,2,FALSE()),IF($E379="Services",VLOOKUP($C379,Services!$B:$I,2,FALSE()),IF($E379="Patty Cash",VLOOKUP($C379,'Patty Cash'!$B:$J,2,FALSE()),"")))),"")</f>
        <v/>
      </c>
      <c r="E379" s="246"/>
      <c r="F379" s="210" t="str">
        <f>IFERROR(IF($E379="Inventory",VLOOKUP($C379,Inventory!$B:$I,3,FALSE()),IF($E379="Non Inventory",VLOOKUP($C379,'Non Inventory'!$B:$I,3,FALSE()),IF($E379="Services",VLOOKUP($C379,Services!$B:$I,3,FALSE()),IF($E379="Patty Cash",VLOOKUP($C379,'Patty Cash'!$B:$J,3,FALSE()),"")))),"")</f>
        <v/>
      </c>
      <c r="G379" s="211"/>
      <c r="H379" s="212" t="str">
        <f>IF($E379="","",IF($E379="Inventory",IFERROR(VLOOKUP($C379,Inventory!$B:$H,7,FALSE()),0),IF($E379="Non Inventory",IFERROR(VLOOKUP($C379,'Non Inventory'!$B:$H,7,FALSE()),0),IF($E379="Services",IFERROR(VLOOKUP($C379,Services!$B:$H,7,FALSE()),0),IF($E379="Patty Cash",IFERROR(VLOOKUP($C379,'Patty Cash'!$B:$H,7,FALSE()),0),0)))))</f>
        <v/>
      </c>
      <c r="I379" s="213"/>
      <c r="J379" s="214"/>
      <c r="K379" s="215"/>
      <c r="L379" s="197"/>
      <c r="M379" s="215"/>
      <c r="N379" s="216">
        <f>IFERROR(IF($E379="Inventory",VLOOKUP($C379,Inventory!$B:$I,8,FALSE()),IF($E379="Non Inventory",VLOOKUP($C379,'Non Inventory'!$B:$I,8,FALSE()),IF($E379="Services",VLOOKUP($C379,Services!$B:$I,8,FALSE()),IF($E379="Patty Cash",VLOOKUP($C379,'Patty Cash'!$B:$J,8,FALSE()),0)))),0)</f>
        <v>0</v>
      </c>
      <c r="O379" s="217" t="str">
        <f t="shared" si="5"/>
        <v/>
      </c>
    </row>
    <row r="380" spans="1:15" ht="23.1" customHeight="1">
      <c r="A380" s="206" t="str">
        <f>IF(AND($B380="",$C380=""),"",MAX($A$3:A379)+1)</f>
        <v/>
      </c>
      <c r="B380" s="207"/>
      <c r="C380" s="208"/>
      <c r="D380" s="209" t="str">
        <f>IFERROR(IF($E380="Inventory",VLOOKUP($C380,Inventory!$B:$I,2,FALSE()),IF($E380="Non Inventory",VLOOKUP($C380,'Non Inventory'!$B:$I,2,FALSE()),IF($E380="Services",VLOOKUP($C380,Services!$B:$I,2,FALSE()),IF($E380="Patty Cash",VLOOKUP($C380,'Patty Cash'!$B:$J,2,FALSE()),"")))),"")</f>
        <v/>
      </c>
      <c r="E380" s="246"/>
      <c r="F380" s="210" t="str">
        <f>IFERROR(IF($E380="Inventory",VLOOKUP($C380,Inventory!$B:$I,3,FALSE()),IF($E380="Non Inventory",VLOOKUP($C380,'Non Inventory'!$B:$I,3,FALSE()),IF($E380="Services",VLOOKUP($C380,Services!$B:$I,3,FALSE()),IF($E380="Patty Cash",VLOOKUP($C380,'Patty Cash'!$B:$J,3,FALSE()),"")))),"")</f>
        <v/>
      </c>
      <c r="G380" s="211"/>
      <c r="H380" s="212" t="str">
        <f>IF($E380="","",IF($E380="Inventory",IFERROR(VLOOKUP($C380,Inventory!$B:$H,7,FALSE()),0),IF($E380="Non Inventory",IFERROR(VLOOKUP($C380,'Non Inventory'!$B:$H,7,FALSE()),0),IF($E380="Services",IFERROR(VLOOKUP($C380,Services!$B:$H,7,FALSE()),0),IF($E380="Patty Cash",IFERROR(VLOOKUP($C380,'Patty Cash'!$B:$H,7,FALSE()),0),0)))))</f>
        <v/>
      </c>
      <c r="I380" s="213"/>
      <c r="J380" s="214"/>
      <c r="K380" s="215"/>
      <c r="L380" s="197"/>
      <c r="M380" s="215"/>
      <c r="N380" s="216">
        <f>IFERROR(IF($E380="Inventory",VLOOKUP($C380,Inventory!$B:$I,8,FALSE()),IF($E380="Non Inventory",VLOOKUP($C380,'Non Inventory'!$B:$I,8,FALSE()),IF($E380="Services",VLOOKUP($C380,Services!$B:$I,8,FALSE()),IF($E380="Patty Cash",VLOOKUP($C380,'Patty Cash'!$B:$J,8,FALSE()),0)))),0)</f>
        <v>0</v>
      </c>
      <c r="O380" s="217" t="str">
        <f t="shared" si="5"/>
        <v/>
      </c>
    </row>
    <row r="381" spans="1:15" ht="23.1" customHeight="1">
      <c r="A381" s="206" t="str">
        <f>IF(AND($B381="",$C381=""),"",MAX($A$3:A380)+1)</f>
        <v/>
      </c>
      <c r="B381" s="207"/>
      <c r="C381" s="208"/>
      <c r="D381" s="209" t="str">
        <f>IFERROR(IF($E381="Inventory",VLOOKUP($C381,Inventory!$B:$I,2,FALSE()),IF($E381="Non Inventory",VLOOKUP($C381,'Non Inventory'!$B:$I,2,FALSE()),IF($E381="Services",VLOOKUP($C381,Services!$B:$I,2,FALSE()),IF($E381="Patty Cash",VLOOKUP($C381,'Patty Cash'!$B:$J,2,FALSE()),"")))),"")</f>
        <v/>
      </c>
      <c r="E381" s="246"/>
      <c r="F381" s="210" t="str">
        <f>IFERROR(IF($E381="Inventory",VLOOKUP($C381,Inventory!$B:$I,3,FALSE()),IF($E381="Non Inventory",VLOOKUP($C381,'Non Inventory'!$B:$I,3,FALSE()),IF($E381="Services",VLOOKUP($C381,Services!$B:$I,3,FALSE()),IF($E381="Patty Cash",VLOOKUP($C381,'Patty Cash'!$B:$J,3,FALSE()),"")))),"")</f>
        <v/>
      </c>
      <c r="G381" s="211"/>
      <c r="H381" s="212" t="str">
        <f>IF($E381="","",IF($E381="Inventory",IFERROR(VLOOKUP($C381,Inventory!$B:$H,7,FALSE()),0),IF($E381="Non Inventory",IFERROR(VLOOKUP($C381,'Non Inventory'!$B:$H,7,FALSE()),0),IF($E381="Services",IFERROR(VLOOKUP($C381,Services!$B:$H,7,FALSE()),0),IF($E381="Patty Cash",IFERROR(VLOOKUP($C381,'Patty Cash'!$B:$H,7,FALSE()),0),0)))))</f>
        <v/>
      </c>
      <c r="I381" s="213"/>
      <c r="J381" s="214"/>
      <c r="K381" s="215"/>
      <c r="L381" s="197"/>
      <c r="M381" s="215"/>
      <c r="N381" s="216">
        <f>IFERROR(IF($E381="Inventory",VLOOKUP($C381,Inventory!$B:$I,8,FALSE()),IF($E381="Non Inventory",VLOOKUP($C381,'Non Inventory'!$B:$I,8,FALSE()),IF($E381="Services",VLOOKUP($C381,Services!$B:$I,8,FALSE()),IF($E381="Patty Cash",VLOOKUP($C381,'Patty Cash'!$B:$J,8,FALSE()),0)))),0)</f>
        <v>0</v>
      </c>
      <c r="O381" s="217" t="str">
        <f t="shared" si="5"/>
        <v/>
      </c>
    </row>
    <row r="382" spans="1:15" ht="23.1" customHeight="1">
      <c r="A382" s="206" t="str">
        <f>IF(AND($B382="",$C382=""),"",MAX($A$3:A381)+1)</f>
        <v/>
      </c>
      <c r="B382" s="207"/>
      <c r="C382" s="208"/>
      <c r="D382" s="209" t="str">
        <f>IFERROR(IF($E382="Inventory",VLOOKUP($C382,Inventory!$B:$I,2,FALSE()),IF($E382="Non Inventory",VLOOKUP($C382,'Non Inventory'!$B:$I,2,FALSE()),IF($E382="Services",VLOOKUP($C382,Services!$B:$I,2,FALSE()),IF($E382="Patty Cash",VLOOKUP($C382,'Patty Cash'!$B:$J,2,FALSE()),"")))),"")</f>
        <v/>
      </c>
      <c r="E382" s="246"/>
      <c r="F382" s="210" t="str">
        <f>IFERROR(IF($E382="Inventory",VLOOKUP($C382,Inventory!$B:$I,3,FALSE()),IF($E382="Non Inventory",VLOOKUP($C382,'Non Inventory'!$B:$I,3,FALSE()),IF($E382="Services",VLOOKUP($C382,Services!$B:$I,3,FALSE()),IF($E382="Patty Cash",VLOOKUP($C382,'Patty Cash'!$B:$J,3,FALSE()),"")))),"")</f>
        <v/>
      </c>
      <c r="G382" s="211"/>
      <c r="H382" s="212" t="str">
        <f>IF($E382="","",IF($E382="Inventory",IFERROR(VLOOKUP($C382,Inventory!$B:$H,7,FALSE()),0),IF($E382="Non Inventory",IFERROR(VLOOKUP($C382,'Non Inventory'!$B:$H,7,FALSE()),0),IF($E382="Services",IFERROR(VLOOKUP($C382,Services!$B:$H,7,FALSE()),0),IF($E382="Patty Cash",IFERROR(VLOOKUP($C382,'Patty Cash'!$B:$H,7,FALSE()),0),0)))))</f>
        <v/>
      </c>
      <c r="I382" s="213"/>
      <c r="J382" s="214"/>
      <c r="K382" s="215"/>
      <c r="L382" s="197"/>
      <c r="M382" s="215"/>
      <c r="N382" s="216">
        <f>IFERROR(IF($E382="Inventory",VLOOKUP($C382,Inventory!$B:$I,8,FALSE()),IF($E382="Non Inventory",VLOOKUP($C382,'Non Inventory'!$B:$I,8,FALSE()),IF($E382="Services",VLOOKUP($C382,Services!$B:$I,8,FALSE()),IF($E382="Patty Cash",VLOOKUP($C382,'Patty Cash'!$B:$J,8,FALSE()),0)))),0)</f>
        <v>0</v>
      </c>
      <c r="O382" s="217" t="str">
        <f t="shared" si="5"/>
        <v/>
      </c>
    </row>
    <row r="383" spans="1:15" ht="23.1" customHeight="1">
      <c r="A383" s="206" t="str">
        <f>IF(AND($B383="",$C383=""),"",MAX($A$3:A382)+1)</f>
        <v/>
      </c>
      <c r="B383" s="207"/>
      <c r="C383" s="208"/>
      <c r="D383" s="209" t="str">
        <f>IFERROR(IF($E383="Inventory",VLOOKUP($C383,Inventory!$B:$I,2,FALSE()),IF($E383="Non Inventory",VLOOKUP($C383,'Non Inventory'!$B:$I,2,FALSE()),IF($E383="Services",VLOOKUP($C383,Services!$B:$I,2,FALSE()),IF($E383="Patty Cash",VLOOKUP($C383,'Patty Cash'!$B:$J,2,FALSE()),"")))),"")</f>
        <v/>
      </c>
      <c r="E383" s="246"/>
      <c r="F383" s="210" t="str">
        <f>IFERROR(IF($E383="Inventory",VLOOKUP($C383,Inventory!$B:$I,3,FALSE()),IF($E383="Non Inventory",VLOOKUP($C383,'Non Inventory'!$B:$I,3,FALSE()),IF($E383="Services",VLOOKUP($C383,Services!$B:$I,3,FALSE()),IF($E383="Patty Cash",VLOOKUP($C383,'Patty Cash'!$B:$J,3,FALSE()),"")))),"")</f>
        <v/>
      </c>
      <c r="G383" s="211"/>
      <c r="H383" s="212" t="str">
        <f>IF($E383="","",IF($E383="Inventory",IFERROR(VLOOKUP($C383,Inventory!$B:$H,7,FALSE()),0),IF($E383="Non Inventory",IFERROR(VLOOKUP($C383,'Non Inventory'!$B:$H,7,FALSE()),0),IF($E383="Services",IFERROR(VLOOKUP($C383,Services!$B:$H,7,FALSE()),0),IF($E383="Patty Cash",IFERROR(VLOOKUP($C383,'Patty Cash'!$B:$H,7,FALSE()),0),0)))))</f>
        <v/>
      </c>
      <c r="I383" s="213"/>
      <c r="J383" s="214"/>
      <c r="K383" s="215"/>
      <c r="L383" s="197"/>
      <c r="M383" s="215"/>
      <c r="N383" s="216">
        <f>IFERROR(IF($E383="Inventory",VLOOKUP($C383,Inventory!$B:$I,8,FALSE()),IF($E383="Non Inventory",VLOOKUP($C383,'Non Inventory'!$B:$I,8,FALSE()),IF($E383="Services",VLOOKUP($C383,Services!$B:$I,8,FALSE()),IF($E383="Patty Cash",VLOOKUP($C383,'Patty Cash'!$B:$J,8,FALSE()),0)))),0)</f>
        <v>0</v>
      </c>
      <c r="O383" s="217" t="str">
        <f t="shared" si="5"/>
        <v/>
      </c>
    </row>
    <row r="384" spans="1:15" ht="23.1" customHeight="1">
      <c r="A384" s="206" t="str">
        <f>IF(AND($B384="",$C384=""),"",MAX($A$3:A383)+1)</f>
        <v/>
      </c>
      <c r="B384" s="207"/>
      <c r="C384" s="208"/>
      <c r="D384" s="209" t="str">
        <f>IFERROR(IF($E384="Inventory",VLOOKUP($C384,Inventory!$B:$I,2,FALSE()),IF($E384="Non Inventory",VLOOKUP($C384,'Non Inventory'!$B:$I,2,FALSE()),IF($E384="Services",VLOOKUP($C384,Services!$B:$I,2,FALSE()),IF($E384="Patty Cash",VLOOKUP($C384,'Patty Cash'!$B:$J,2,FALSE()),"")))),"")</f>
        <v/>
      </c>
      <c r="E384" s="246"/>
      <c r="F384" s="210" t="str">
        <f>IFERROR(IF($E384="Inventory",VLOOKUP($C384,Inventory!$B:$I,3,FALSE()),IF($E384="Non Inventory",VLOOKUP($C384,'Non Inventory'!$B:$I,3,FALSE()),IF($E384="Services",VLOOKUP($C384,Services!$B:$I,3,FALSE()),IF($E384="Patty Cash",VLOOKUP($C384,'Patty Cash'!$B:$J,3,FALSE()),"")))),"")</f>
        <v/>
      </c>
      <c r="G384" s="211"/>
      <c r="H384" s="212" t="str">
        <f>IF($E384="","",IF($E384="Inventory",IFERROR(VLOOKUP($C384,Inventory!$B:$H,7,FALSE()),0),IF($E384="Non Inventory",IFERROR(VLOOKUP($C384,'Non Inventory'!$B:$H,7,FALSE()),0),IF($E384="Services",IFERROR(VLOOKUP($C384,Services!$B:$H,7,FALSE()),0),IF($E384="Patty Cash",IFERROR(VLOOKUP($C384,'Patty Cash'!$B:$H,7,FALSE()),0),0)))))</f>
        <v/>
      </c>
      <c r="I384" s="213"/>
      <c r="J384" s="214"/>
      <c r="K384" s="215"/>
      <c r="L384" s="197"/>
      <c r="M384" s="215"/>
      <c r="N384" s="216">
        <f>IFERROR(IF($E384="Inventory",VLOOKUP($C384,Inventory!$B:$I,8,FALSE()),IF($E384="Non Inventory",VLOOKUP($C384,'Non Inventory'!$B:$I,8,FALSE()),IF($E384="Services",VLOOKUP($C384,Services!$B:$I,8,FALSE()),IF($E384="Patty Cash",VLOOKUP($C384,'Patty Cash'!$B:$J,8,FALSE()),0)))),0)</f>
        <v>0</v>
      </c>
      <c r="O384" s="217" t="str">
        <f t="shared" si="5"/>
        <v/>
      </c>
    </row>
    <row r="385" spans="1:15" ht="23.1" customHeight="1">
      <c r="A385" s="206" t="str">
        <f>IF(AND($B385="",$C385=""),"",MAX($A$3:A384)+1)</f>
        <v/>
      </c>
      <c r="B385" s="207"/>
      <c r="C385" s="208"/>
      <c r="D385" s="209" t="str">
        <f>IFERROR(IF($E385="Inventory",VLOOKUP($C385,Inventory!$B:$I,2,FALSE()),IF($E385="Non Inventory",VLOOKUP($C385,'Non Inventory'!$B:$I,2,FALSE()),IF($E385="Services",VLOOKUP($C385,Services!$B:$I,2,FALSE()),IF($E385="Patty Cash",VLOOKUP($C385,'Patty Cash'!$B:$J,2,FALSE()),"")))),"")</f>
        <v/>
      </c>
      <c r="E385" s="246"/>
      <c r="F385" s="210" t="str">
        <f>IFERROR(IF($E385="Inventory",VLOOKUP($C385,Inventory!$B:$I,3,FALSE()),IF($E385="Non Inventory",VLOOKUP($C385,'Non Inventory'!$B:$I,3,FALSE()),IF($E385="Services",VLOOKUP($C385,Services!$B:$I,3,FALSE()),IF($E385="Patty Cash",VLOOKUP($C385,'Patty Cash'!$B:$J,3,FALSE()),"")))),"")</f>
        <v/>
      </c>
      <c r="G385" s="211"/>
      <c r="H385" s="212" t="str">
        <f>IF($E385="","",IF($E385="Inventory",IFERROR(VLOOKUP($C385,Inventory!$B:$H,7,FALSE()),0),IF($E385="Non Inventory",IFERROR(VLOOKUP($C385,'Non Inventory'!$B:$H,7,FALSE()),0),IF($E385="Services",IFERROR(VLOOKUP($C385,Services!$B:$H,7,FALSE()),0),IF($E385="Patty Cash",IFERROR(VLOOKUP($C385,'Patty Cash'!$B:$H,7,FALSE()),0),0)))))</f>
        <v/>
      </c>
      <c r="I385" s="213"/>
      <c r="J385" s="214"/>
      <c r="K385" s="215"/>
      <c r="L385" s="197"/>
      <c r="M385" s="215"/>
      <c r="N385" s="216">
        <f>IFERROR(IF($E385="Inventory",VLOOKUP($C385,Inventory!$B:$I,8,FALSE()),IF($E385="Non Inventory",VLOOKUP($C385,'Non Inventory'!$B:$I,8,FALSE()),IF($E385="Services",VLOOKUP($C385,Services!$B:$I,8,FALSE()),IF($E385="Patty Cash",VLOOKUP($C385,'Patty Cash'!$B:$J,8,FALSE()),0)))),0)</f>
        <v>0</v>
      </c>
      <c r="O385" s="217" t="str">
        <f t="shared" si="5"/>
        <v/>
      </c>
    </row>
    <row r="386" spans="1:15" ht="23.1" customHeight="1">
      <c r="A386" s="206" t="str">
        <f>IF(AND($B386="",$C386=""),"",MAX($A$3:A385)+1)</f>
        <v/>
      </c>
      <c r="B386" s="207"/>
      <c r="C386" s="208"/>
      <c r="D386" s="209" t="str">
        <f>IFERROR(IF($E386="Inventory",VLOOKUP($C386,Inventory!$B:$I,2,FALSE()),IF($E386="Non Inventory",VLOOKUP($C386,'Non Inventory'!$B:$I,2,FALSE()),IF($E386="Services",VLOOKUP($C386,Services!$B:$I,2,FALSE()),IF($E386="Patty Cash",VLOOKUP($C386,'Patty Cash'!$B:$J,2,FALSE()),"")))),"")</f>
        <v/>
      </c>
      <c r="E386" s="246"/>
      <c r="F386" s="210" t="str">
        <f>IFERROR(IF($E386="Inventory",VLOOKUP($C386,Inventory!$B:$I,3,FALSE()),IF($E386="Non Inventory",VLOOKUP($C386,'Non Inventory'!$B:$I,3,FALSE()),IF($E386="Services",VLOOKUP($C386,Services!$B:$I,3,FALSE()),IF($E386="Patty Cash",VLOOKUP($C386,'Patty Cash'!$B:$J,3,FALSE()),"")))),"")</f>
        <v/>
      </c>
      <c r="G386" s="211"/>
      <c r="H386" s="212" t="str">
        <f>IF($E386="","",IF($E386="Inventory",IFERROR(VLOOKUP($C386,Inventory!$B:$H,7,FALSE()),0),IF($E386="Non Inventory",IFERROR(VLOOKUP($C386,'Non Inventory'!$B:$H,7,FALSE()),0),IF($E386="Services",IFERROR(VLOOKUP($C386,Services!$B:$H,7,FALSE()),0),IF($E386="Patty Cash",IFERROR(VLOOKUP($C386,'Patty Cash'!$B:$H,7,FALSE()),0),0)))))</f>
        <v/>
      </c>
      <c r="I386" s="213"/>
      <c r="J386" s="214"/>
      <c r="K386" s="215"/>
      <c r="L386" s="197"/>
      <c r="M386" s="215"/>
      <c r="N386" s="216">
        <f>IFERROR(IF($E386="Inventory",VLOOKUP($C386,Inventory!$B:$I,8,FALSE()),IF($E386="Non Inventory",VLOOKUP($C386,'Non Inventory'!$B:$I,8,FALSE()),IF($E386="Services",VLOOKUP($C386,Services!$B:$I,8,FALSE()),IF($E386="Patty Cash",VLOOKUP($C386,'Patty Cash'!$B:$J,8,FALSE()),0)))),0)</f>
        <v>0</v>
      </c>
      <c r="O386" s="217" t="str">
        <f t="shared" si="5"/>
        <v/>
      </c>
    </row>
    <row r="387" spans="1:15" ht="23.1" customHeight="1">
      <c r="A387" s="206" t="str">
        <f>IF(AND($B387="",$C387=""),"",MAX($A$3:A386)+1)</f>
        <v/>
      </c>
      <c r="B387" s="207"/>
      <c r="C387" s="208"/>
      <c r="D387" s="209" t="str">
        <f>IFERROR(IF($E387="Inventory",VLOOKUP($C387,Inventory!$B:$I,2,FALSE()),IF($E387="Non Inventory",VLOOKUP($C387,'Non Inventory'!$B:$I,2,FALSE()),IF($E387="Services",VLOOKUP($C387,Services!$B:$I,2,FALSE()),IF($E387="Patty Cash",VLOOKUP($C387,'Patty Cash'!$B:$J,2,FALSE()),"")))),"")</f>
        <v/>
      </c>
      <c r="E387" s="246"/>
      <c r="F387" s="210" t="str">
        <f>IFERROR(IF($E387="Inventory",VLOOKUP($C387,Inventory!$B:$I,3,FALSE()),IF($E387="Non Inventory",VLOOKUP($C387,'Non Inventory'!$B:$I,3,FALSE()),IF($E387="Services",VLOOKUP($C387,Services!$B:$I,3,FALSE()),IF($E387="Patty Cash",VLOOKUP($C387,'Patty Cash'!$B:$J,3,FALSE()),"")))),"")</f>
        <v/>
      </c>
      <c r="G387" s="211"/>
      <c r="H387" s="212" t="str">
        <f>IF($E387="","",IF($E387="Inventory",IFERROR(VLOOKUP($C387,Inventory!$B:$H,7,FALSE()),0),IF($E387="Non Inventory",IFERROR(VLOOKUP($C387,'Non Inventory'!$B:$H,7,FALSE()),0),IF($E387="Services",IFERROR(VLOOKUP($C387,Services!$B:$H,7,FALSE()),0),IF($E387="Patty Cash",IFERROR(VLOOKUP($C387,'Patty Cash'!$B:$H,7,FALSE()),0),0)))))</f>
        <v/>
      </c>
      <c r="I387" s="213"/>
      <c r="J387" s="214"/>
      <c r="K387" s="215"/>
      <c r="L387" s="197"/>
      <c r="M387" s="215"/>
      <c r="N387" s="216">
        <f>IFERROR(IF($E387="Inventory",VLOOKUP($C387,Inventory!$B:$I,8,FALSE()),IF($E387="Non Inventory",VLOOKUP($C387,'Non Inventory'!$B:$I,8,FALSE()),IF($E387="Services",VLOOKUP($C387,Services!$B:$I,8,FALSE()),IF($E387="Patty Cash",VLOOKUP($C387,'Patty Cash'!$B:$J,8,FALSE()),0)))),0)</f>
        <v>0</v>
      </c>
      <c r="O387" s="217" t="str">
        <f t="shared" ref="O387:O450" si="6">IF($G387="","",G387*N387)</f>
        <v/>
      </c>
    </row>
    <row r="388" spans="1:15" ht="23.1" customHeight="1">
      <c r="A388" s="206" t="str">
        <f>IF(AND($B388="",$C388=""),"",MAX($A$3:A387)+1)</f>
        <v/>
      </c>
      <c r="B388" s="207"/>
      <c r="C388" s="208"/>
      <c r="D388" s="209" t="str">
        <f>IFERROR(IF($E388="Inventory",VLOOKUP($C388,Inventory!$B:$I,2,FALSE()),IF($E388="Non Inventory",VLOOKUP($C388,'Non Inventory'!$B:$I,2,FALSE()),IF($E388="Services",VLOOKUP($C388,Services!$B:$I,2,FALSE()),IF($E388="Patty Cash",VLOOKUP($C388,'Patty Cash'!$B:$J,2,FALSE()),"")))),"")</f>
        <v/>
      </c>
      <c r="E388" s="246"/>
      <c r="F388" s="210" t="str">
        <f>IFERROR(IF($E388="Inventory",VLOOKUP($C388,Inventory!$B:$I,3,FALSE()),IF($E388="Non Inventory",VLOOKUP($C388,'Non Inventory'!$B:$I,3,FALSE()),IF($E388="Services",VLOOKUP($C388,Services!$B:$I,3,FALSE()),IF($E388="Patty Cash",VLOOKUP($C388,'Patty Cash'!$B:$J,3,FALSE()),"")))),"")</f>
        <v/>
      </c>
      <c r="G388" s="211"/>
      <c r="H388" s="212" t="str">
        <f>IF($E388="","",IF($E388="Inventory",IFERROR(VLOOKUP($C388,Inventory!$B:$H,7,FALSE()),0),IF($E388="Non Inventory",IFERROR(VLOOKUP($C388,'Non Inventory'!$B:$H,7,FALSE()),0),IF($E388="Services",IFERROR(VLOOKUP($C388,Services!$B:$H,7,FALSE()),0),IF($E388="Patty Cash",IFERROR(VLOOKUP($C388,'Patty Cash'!$B:$H,7,FALSE()),0),0)))))</f>
        <v/>
      </c>
      <c r="I388" s="213"/>
      <c r="J388" s="214"/>
      <c r="K388" s="215"/>
      <c r="L388" s="197"/>
      <c r="M388" s="215"/>
      <c r="N388" s="216">
        <f>IFERROR(IF($E388="Inventory",VLOOKUP($C388,Inventory!$B:$I,8,FALSE()),IF($E388="Non Inventory",VLOOKUP($C388,'Non Inventory'!$B:$I,8,FALSE()),IF($E388="Services",VLOOKUP($C388,Services!$B:$I,8,FALSE()),IF($E388="Patty Cash",VLOOKUP($C388,'Patty Cash'!$B:$J,8,FALSE()),0)))),0)</f>
        <v>0</v>
      </c>
      <c r="O388" s="217" t="str">
        <f t="shared" si="6"/>
        <v/>
      </c>
    </row>
    <row r="389" spans="1:15" ht="23.1" customHeight="1">
      <c r="A389" s="206" t="str">
        <f>IF(AND($B389="",$C389=""),"",MAX($A$3:A388)+1)</f>
        <v/>
      </c>
      <c r="B389" s="207"/>
      <c r="C389" s="208"/>
      <c r="D389" s="209" t="str">
        <f>IFERROR(IF($E389="Inventory",VLOOKUP($C389,Inventory!$B:$I,2,FALSE()),IF($E389="Non Inventory",VLOOKUP($C389,'Non Inventory'!$B:$I,2,FALSE()),IF($E389="Services",VLOOKUP($C389,Services!$B:$I,2,FALSE()),IF($E389="Patty Cash",VLOOKUP($C389,'Patty Cash'!$B:$J,2,FALSE()),"")))),"")</f>
        <v/>
      </c>
      <c r="E389" s="246"/>
      <c r="F389" s="210" t="str">
        <f>IFERROR(IF($E389="Inventory",VLOOKUP($C389,Inventory!$B:$I,3,FALSE()),IF($E389="Non Inventory",VLOOKUP($C389,'Non Inventory'!$B:$I,3,FALSE()),IF($E389="Services",VLOOKUP($C389,Services!$B:$I,3,FALSE()),IF($E389="Patty Cash",VLOOKUP($C389,'Patty Cash'!$B:$J,3,FALSE()),"")))),"")</f>
        <v/>
      </c>
      <c r="G389" s="211"/>
      <c r="H389" s="212" t="str">
        <f>IF($E389="","",IF($E389="Inventory",IFERROR(VLOOKUP($C389,Inventory!$B:$H,7,FALSE()),0),IF($E389="Non Inventory",IFERROR(VLOOKUP($C389,'Non Inventory'!$B:$H,7,FALSE()),0),IF($E389="Services",IFERROR(VLOOKUP($C389,Services!$B:$H,7,FALSE()),0),IF($E389="Patty Cash",IFERROR(VLOOKUP($C389,'Patty Cash'!$B:$H,7,FALSE()),0),0)))))</f>
        <v/>
      </c>
      <c r="I389" s="213"/>
      <c r="J389" s="214"/>
      <c r="K389" s="215"/>
      <c r="L389" s="197"/>
      <c r="M389" s="215"/>
      <c r="N389" s="216">
        <f>IFERROR(IF($E389="Inventory",VLOOKUP($C389,Inventory!$B:$I,8,FALSE()),IF($E389="Non Inventory",VLOOKUP($C389,'Non Inventory'!$B:$I,8,FALSE()),IF($E389="Services",VLOOKUP($C389,Services!$B:$I,8,FALSE()),IF($E389="Patty Cash",VLOOKUP($C389,'Patty Cash'!$B:$J,8,FALSE()),0)))),0)</f>
        <v>0</v>
      </c>
      <c r="O389" s="217" t="str">
        <f t="shared" si="6"/>
        <v/>
      </c>
    </row>
    <row r="390" spans="1:15" ht="23.1" customHeight="1">
      <c r="A390" s="206" t="str">
        <f>IF(AND($B390="",$C390=""),"",MAX($A$3:A389)+1)</f>
        <v/>
      </c>
      <c r="B390" s="207"/>
      <c r="C390" s="208"/>
      <c r="D390" s="209" t="str">
        <f>IFERROR(IF($E390="Inventory",VLOOKUP($C390,Inventory!$B:$I,2,FALSE()),IF($E390="Non Inventory",VLOOKUP($C390,'Non Inventory'!$B:$I,2,FALSE()),IF($E390="Services",VLOOKUP($C390,Services!$B:$I,2,FALSE()),IF($E390="Patty Cash",VLOOKUP($C390,'Patty Cash'!$B:$J,2,FALSE()),"")))),"")</f>
        <v/>
      </c>
      <c r="E390" s="246"/>
      <c r="F390" s="210" t="str">
        <f>IFERROR(IF($E390="Inventory",VLOOKUP($C390,Inventory!$B:$I,3,FALSE()),IF($E390="Non Inventory",VLOOKUP($C390,'Non Inventory'!$B:$I,3,FALSE()),IF($E390="Services",VLOOKUP($C390,Services!$B:$I,3,FALSE()),IF($E390="Patty Cash",VLOOKUP($C390,'Patty Cash'!$B:$J,3,FALSE()),"")))),"")</f>
        <v/>
      </c>
      <c r="G390" s="211"/>
      <c r="H390" s="212" t="str">
        <f>IF($E390="","",IF($E390="Inventory",IFERROR(VLOOKUP($C390,Inventory!$B:$H,7,FALSE()),0),IF($E390="Non Inventory",IFERROR(VLOOKUP($C390,'Non Inventory'!$B:$H,7,FALSE()),0),IF($E390="Services",IFERROR(VLOOKUP($C390,Services!$B:$H,7,FALSE()),0),IF($E390="Patty Cash",IFERROR(VLOOKUP($C390,'Patty Cash'!$B:$H,7,FALSE()),0),0)))))</f>
        <v/>
      </c>
      <c r="I390" s="213"/>
      <c r="J390" s="214"/>
      <c r="K390" s="215"/>
      <c r="L390" s="197"/>
      <c r="M390" s="215"/>
      <c r="N390" s="216">
        <f>IFERROR(IF($E390="Inventory",VLOOKUP($C390,Inventory!$B:$I,8,FALSE()),IF($E390="Non Inventory",VLOOKUP($C390,'Non Inventory'!$B:$I,8,FALSE()),IF($E390="Services",VLOOKUP($C390,Services!$B:$I,8,FALSE()),IF($E390="Patty Cash",VLOOKUP($C390,'Patty Cash'!$B:$J,8,FALSE()),0)))),0)</f>
        <v>0</v>
      </c>
      <c r="O390" s="217" t="str">
        <f t="shared" si="6"/>
        <v/>
      </c>
    </row>
    <row r="391" spans="1:15" ht="23.1" customHeight="1">
      <c r="A391" s="206" t="str">
        <f>IF(AND($B391="",$C391=""),"",MAX($A$3:A390)+1)</f>
        <v/>
      </c>
      <c r="B391" s="207"/>
      <c r="C391" s="208"/>
      <c r="D391" s="209" t="str">
        <f>IFERROR(IF($E391="Inventory",VLOOKUP($C391,Inventory!$B:$I,2,FALSE()),IF($E391="Non Inventory",VLOOKUP($C391,'Non Inventory'!$B:$I,2,FALSE()),IF($E391="Services",VLOOKUP($C391,Services!$B:$I,2,FALSE()),IF($E391="Patty Cash",VLOOKUP($C391,'Patty Cash'!$B:$J,2,FALSE()),"")))),"")</f>
        <v/>
      </c>
      <c r="E391" s="246"/>
      <c r="F391" s="210" t="str">
        <f>IFERROR(IF($E391="Inventory",VLOOKUP($C391,Inventory!$B:$I,3,FALSE()),IF($E391="Non Inventory",VLOOKUP($C391,'Non Inventory'!$B:$I,3,FALSE()),IF($E391="Services",VLOOKUP($C391,Services!$B:$I,3,FALSE()),IF($E391="Patty Cash",VLOOKUP($C391,'Patty Cash'!$B:$J,3,FALSE()),"")))),"")</f>
        <v/>
      </c>
      <c r="G391" s="211"/>
      <c r="H391" s="212" t="str">
        <f>IF($E391="","",IF($E391="Inventory",IFERROR(VLOOKUP($C391,Inventory!$B:$H,7,FALSE()),0),IF($E391="Non Inventory",IFERROR(VLOOKUP($C391,'Non Inventory'!$B:$H,7,FALSE()),0),IF($E391="Services",IFERROR(VLOOKUP($C391,Services!$B:$H,7,FALSE()),0),IF($E391="Patty Cash",IFERROR(VLOOKUP($C391,'Patty Cash'!$B:$H,7,FALSE()),0),0)))))</f>
        <v/>
      </c>
      <c r="I391" s="213"/>
      <c r="J391" s="214"/>
      <c r="K391" s="215"/>
      <c r="L391" s="197"/>
      <c r="M391" s="215"/>
      <c r="N391" s="216">
        <f>IFERROR(IF($E391="Inventory",VLOOKUP($C391,Inventory!$B:$I,8,FALSE()),IF($E391="Non Inventory",VLOOKUP($C391,'Non Inventory'!$B:$I,8,FALSE()),IF($E391="Services",VLOOKUP($C391,Services!$B:$I,8,FALSE()),IF($E391="Patty Cash",VLOOKUP($C391,'Patty Cash'!$B:$J,8,FALSE()),0)))),0)</f>
        <v>0</v>
      </c>
      <c r="O391" s="217" t="str">
        <f t="shared" si="6"/>
        <v/>
      </c>
    </row>
    <row r="392" spans="1:15" ht="23.1" customHeight="1">
      <c r="A392" s="206" t="str">
        <f>IF(AND($B392="",$C392=""),"",MAX($A$3:A391)+1)</f>
        <v/>
      </c>
      <c r="B392" s="207"/>
      <c r="C392" s="208"/>
      <c r="D392" s="209" t="str">
        <f>IFERROR(IF($E392="Inventory",VLOOKUP($C392,Inventory!$B:$I,2,FALSE()),IF($E392="Non Inventory",VLOOKUP($C392,'Non Inventory'!$B:$I,2,FALSE()),IF($E392="Services",VLOOKUP($C392,Services!$B:$I,2,FALSE()),IF($E392="Patty Cash",VLOOKUP($C392,'Patty Cash'!$B:$J,2,FALSE()),"")))),"")</f>
        <v/>
      </c>
      <c r="E392" s="246"/>
      <c r="F392" s="210" t="str">
        <f>IFERROR(IF($E392="Inventory",VLOOKUP($C392,Inventory!$B:$I,3,FALSE()),IF($E392="Non Inventory",VLOOKUP($C392,'Non Inventory'!$B:$I,3,FALSE()),IF($E392="Services",VLOOKUP($C392,Services!$B:$I,3,FALSE()),IF($E392="Patty Cash",VLOOKUP($C392,'Patty Cash'!$B:$J,3,FALSE()),"")))),"")</f>
        <v/>
      </c>
      <c r="G392" s="211"/>
      <c r="H392" s="212" t="str">
        <f>IF($E392="","",IF($E392="Inventory",IFERROR(VLOOKUP($C392,Inventory!$B:$H,7,FALSE()),0),IF($E392="Non Inventory",IFERROR(VLOOKUP($C392,'Non Inventory'!$B:$H,7,FALSE()),0),IF($E392="Services",IFERROR(VLOOKUP($C392,Services!$B:$H,7,FALSE()),0),IF($E392="Patty Cash",IFERROR(VLOOKUP($C392,'Patty Cash'!$B:$H,7,FALSE()),0),0)))))</f>
        <v/>
      </c>
      <c r="I392" s="213"/>
      <c r="J392" s="214"/>
      <c r="K392" s="215"/>
      <c r="L392" s="197"/>
      <c r="M392" s="215"/>
      <c r="N392" s="216">
        <f>IFERROR(IF($E392="Inventory",VLOOKUP($C392,Inventory!$B:$I,8,FALSE()),IF($E392="Non Inventory",VLOOKUP($C392,'Non Inventory'!$B:$I,8,FALSE()),IF($E392="Services",VLOOKUP($C392,Services!$B:$I,8,FALSE()),IF($E392="Patty Cash",VLOOKUP($C392,'Patty Cash'!$B:$J,8,FALSE()),0)))),0)</f>
        <v>0</v>
      </c>
      <c r="O392" s="217" t="str">
        <f t="shared" si="6"/>
        <v/>
      </c>
    </row>
    <row r="393" spans="1:15" ht="23.1" customHeight="1">
      <c r="A393" s="206" t="str">
        <f>IF(AND($B393="",$C393=""),"",MAX($A$3:A392)+1)</f>
        <v/>
      </c>
      <c r="B393" s="207"/>
      <c r="C393" s="208"/>
      <c r="D393" s="209" t="str">
        <f>IFERROR(IF($E393="Inventory",VLOOKUP($C393,Inventory!$B:$I,2,FALSE()),IF($E393="Non Inventory",VLOOKUP($C393,'Non Inventory'!$B:$I,2,FALSE()),IF($E393="Services",VLOOKUP($C393,Services!$B:$I,2,FALSE()),IF($E393="Patty Cash",VLOOKUP($C393,'Patty Cash'!$B:$J,2,FALSE()),"")))),"")</f>
        <v/>
      </c>
      <c r="E393" s="246"/>
      <c r="F393" s="210" t="str">
        <f>IFERROR(IF($E393="Inventory",VLOOKUP($C393,Inventory!$B:$I,3,FALSE()),IF($E393="Non Inventory",VLOOKUP($C393,'Non Inventory'!$B:$I,3,FALSE()),IF($E393="Services",VLOOKUP($C393,Services!$B:$I,3,FALSE()),IF($E393="Patty Cash",VLOOKUP($C393,'Patty Cash'!$B:$J,3,FALSE()),"")))),"")</f>
        <v/>
      </c>
      <c r="G393" s="211"/>
      <c r="H393" s="212" t="str">
        <f>IF($E393="","",IF($E393="Inventory",IFERROR(VLOOKUP($C393,Inventory!$B:$H,7,FALSE()),0),IF($E393="Non Inventory",IFERROR(VLOOKUP($C393,'Non Inventory'!$B:$H,7,FALSE()),0),IF($E393="Services",IFERROR(VLOOKUP($C393,Services!$B:$H,7,FALSE()),0),IF($E393="Patty Cash",IFERROR(VLOOKUP($C393,'Patty Cash'!$B:$H,7,FALSE()),0),0)))))</f>
        <v/>
      </c>
      <c r="I393" s="213"/>
      <c r="J393" s="214"/>
      <c r="K393" s="215"/>
      <c r="L393" s="197"/>
      <c r="M393" s="215"/>
      <c r="N393" s="216">
        <f>IFERROR(IF($E393="Inventory",VLOOKUP($C393,Inventory!$B:$I,8,FALSE()),IF($E393="Non Inventory",VLOOKUP($C393,'Non Inventory'!$B:$I,8,FALSE()),IF($E393="Services",VLOOKUP($C393,Services!$B:$I,8,FALSE()),IF($E393="Patty Cash",VLOOKUP($C393,'Patty Cash'!$B:$J,8,FALSE()),0)))),0)</f>
        <v>0</v>
      </c>
      <c r="O393" s="217" t="str">
        <f t="shared" si="6"/>
        <v/>
      </c>
    </row>
    <row r="394" spans="1:15" ht="23.1" customHeight="1">
      <c r="A394" s="206" t="str">
        <f>IF(AND($B394="",$C394=""),"",MAX($A$3:A393)+1)</f>
        <v/>
      </c>
      <c r="B394" s="207"/>
      <c r="C394" s="208"/>
      <c r="D394" s="209" t="str">
        <f>IFERROR(IF($E394="Inventory",VLOOKUP($C394,Inventory!$B:$I,2,FALSE()),IF($E394="Non Inventory",VLOOKUP($C394,'Non Inventory'!$B:$I,2,FALSE()),IF($E394="Services",VLOOKUP($C394,Services!$B:$I,2,FALSE()),IF($E394="Patty Cash",VLOOKUP($C394,'Patty Cash'!$B:$J,2,FALSE()),"")))),"")</f>
        <v/>
      </c>
      <c r="E394" s="246"/>
      <c r="F394" s="210" t="str">
        <f>IFERROR(IF($E394="Inventory",VLOOKUP($C394,Inventory!$B:$I,3,FALSE()),IF($E394="Non Inventory",VLOOKUP($C394,'Non Inventory'!$B:$I,3,FALSE()),IF($E394="Services",VLOOKUP($C394,Services!$B:$I,3,FALSE()),IF($E394="Patty Cash",VLOOKUP($C394,'Patty Cash'!$B:$J,3,FALSE()),"")))),"")</f>
        <v/>
      </c>
      <c r="G394" s="211"/>
      <c r="H394" s="212" t="str">
        <f>IF($E394="","",IF($E394="Inventory",IFERROR(VLOOKUP($C394,Inventory!$B:$H,7,FALSE()),0),IF($E394="Non Inventory",IFERROR(VLOOKUP($C394,'Non Inventory'!$B:$H,7,FALSE()),0),IF($E394="Services",IFERROR(VLOOKUP($C394,Services!$B:$H,7,FALSE()),0),IF($E394="Patty Cash",IFERROR(VLOOKUP($C394,'Patty Cash'!$B:$H,7,FALSE()),0),0)))))</f>
        <v/>
      </c>
      <c r="I394" s="213"/>
      <c r="J394" s="214"/>
      <c r="K394" s="215"/>
      <c r="L394" s="197"/>
      <c r="M394" s="215"/>
      <c r="N394" s="216">
        <f>IFERROR(IF($E394="Inventory",VLOOKUP($C394,Inventory!$B:$I,8,FALSE()),IF($E394="Non Inventory",VLOOKUP($C394,'Non Inventory'!$B:$I,8,FALSE()),IF($E394="Services",VLOOKUP($C394,Services!$B:$I,8,FALSE()),IF($E394="Patty Cash",VLOOKUP($C394,'Patty Cash'!$B:$J,8,FALSE()),0)))),0)</f>
        <v>0</v>
      </c>
      <c r="O394" s="217" t="str">
        <f t="shared" si="6"/>
        <v/>
      </c>
    </row>
    <row r="395" spans="1:15" ht="23.1" customHeight="1">
      <c r="A395" s="206" t="str">
        <f>IF(AND($B395="",$C395=""),"",MAX($A$3:A394)+1)</f>
        <v/>
      </c>
      <c r="B395" s="207"/>
      <c r="C395" s="208"/>
      <c r="D395" s="209" t="str">
        <f>IFERROR(IF($E395="Inventory",VLOOKUP($C395,Inventory!$B:$I,2,FALSE()),IF($E395="Non Inventory",VLOOKUP($C395,'Non Inventory'!$B:$I,2,FALSE()),IF($E395="Services",VLOOKUP($C395,Services!$B:$I,2,FALSE()),IF($E395="Patty Cash",VLOOKUP($C395,'Patty Cash'!$B:$J,2,FALSE()),"")))),"")</f>
        <v/>
      </c>
      <c r="E395" s="246"/>
      <c r="F395" s="210" t="str">
        <f>IFERROR(IF($E395="Inventory",VLOOKUP($C395,Inventory!$B:$I,3,FALSE()),IF($E395="Non Inventory",VLOOKUP($C395,'Non Inventory'!$B:$I,3,FALSE()),IF($E395="Services",VLOOKUP($C395,Services!$B:$I,3,FALSE()),IF($E395="Patty Cash",VLOOKUP($C395,'Patty Cash'!$B:$J,3,FALSE()),"")))),"")</f>
        <v/>
      </c>
      <c r="G395" s="211"/>
      <c r="H395" s="212" t="str">
        <f>IF($E395="","",IF($E395="Inventory",IFERROR(VLOOKUP($C395,Inventory!$B:$H,7,FALSE()),0),IF($E395="Non Inventory",IFERROR(VLOOKUP($C395,'Non Inventory'!$B:$H,7,FALSE()),0),IF($E395="Services",IFERROR(VLOOKUP($C395,Services!$B:$H,7,FALSE()),0),IF($E395="Patty Cash",IFERROR(VLOOKUP($C395,'Patty Cash'!$B:$H,7,FALSE()),0),0)))))</f>
        <v/>
      </c>
      <c r="I395" s="213"/>
      <c r="J395" s="214"/>
      <c r="K395" s="215"/>
      <c r="L395" s="197"/>
      <c r="M395" s="215"/>
      <c r="N395" s="216">
        <f>IFERROR(IF($E395="Inventory",VLOOKUP($C395,Inventory!$B:$I,8,FALSE()),IF($E395="Non Inventory",VLOOKUP($C395,'Non Inventory'!$B:$I,8,FALSE()),IF($E395="Services",VLOOKUP($C395,Services!$B:$I,8,FALSE()),IF($E395="Patty Cash",VLOOKUP($C395,'Patty Cash'!$B:$J,8,FALSE()),0)))),0)</f>
        <v>0</v>
      </c>
      <c r="O395" s="217" t="str">
        <f t="shared" si="6"/>
        <v/>
      </c>
    </row>
    <row r="396" spans="1:15" ht="23.1" customHeight="1">
      <c r="A396" s="206" t="str">
        <f>IF(AND($B396="",$C396=""),"",MAX($A$3:A395)+1)</f>
        <v/>
      </c>
      <c r="B396" s="207"/>
      <c r="C396" s="208"/>
      <c r="D396" s="209" t="str">
        <f>IFERROR(IF($E396="Inventory",VLOOKUP($C396,Inventory!$B:$I,2,FALSE()),IF($E396="Non Inventory",VLOOKUP($C396,'Non Inventory'!$B:$I,2,FALSE()),IF($E396="Services",VLOOKUP($C396,Services!$B:$I,2,FALSE()),IF($E396="Patty Cash",VLOOKUP($C396,'Patty Cash'!$B:$J,2,FALSE()),"")))),"")</f>
        <v/>
      </c>
      <c r="E396" s="246"/>
      <c r="F396" s="210" t="str">
        <f>IFERROR(IF($E396="Inventory",VLOOKUP($C396,Inventory!$B:$I,3,FALSE()),IF($E396="Non Inventory",VLOOKUP($C396,'Non Inventory'!$B:$I,3,FALSE()),IF($E396="Services",VLOOKUP($C396,Services!$B:$I,3,FALSE()),IF($E396="Patty Cash",VLOOKUP($C396,'Patty Cash'!$B:$J,3,FALSE()),"")))),"")</f>
        <v/>
      </c>
      <c r="G396" s="211"/>
      <c r="H396" s="212" t="str">
        <f>IF($E396="","",IF($E396="Inventory",IFERROR(VLOOKUP($C396,Inventory!$B:$H,7,FALSE()),0),IF($E396="Non Inventory",IFERROR(VLOOKUP($C396,'Non Inventory'!$B:$H,7,FALSE()),0),IF($E396="Services",IFERROR(VLOOKUP($C396,Services!$B:$H,7,FALSE()),0),IF($E396="Patty Cash",IFERROR(VLOOKUP($C396,'Patty Cash'!$B:$H,7,FALSE()),0),0)))))</f>
        <v/>
      </c>
      <c r="I396" s="213"/>
      <c r="J396" s="214"/>
      <c r="K396" s="215"/>
      <c r="L396" s="197"/>
      <c r="M396" s="215"/>
      <c r="N396" s="216">
        <f>IFERROR(IF($E396="Inventory",VLOOKUP($C396,Inventory!$B:$I,8,FALSE()),IF($E396="Non Inventory",VLOOKUP($C396,'Non Inventory'!$B:$I,8,FALSE()),IF($E396="Services",VLOOKUP($C396,Services!$B:$I,8,FALSE()),IF($E396="Patty Cash",VLOOKUP($C396,'Patty Cash'!$B:$J,8,FALSE()),0)))),0)</f>
        <v>0</v>
      </c>
      <c r="O396" s="217" t="str">
        <f t="shared" si="6"/>
        <v/>
      </c>
    </row>
    <row r="397" spans="1:15" ht="23.1" customHeight="1">
      <c r="A397" s="206" t="str">
        <f>IF(AND($B397="",$C397=""),"",MAX($A$3:A396)+1)</f>
        <v/>
      </c>
      <c r="B397" s="207"/>
      <c r="C397" s="208"/>
      <c r="D397" s="209" t="str">
        <f>IFERROR(IF($E397="Inventory",VLOOKUP($C397,Inventory!$B:$I,2,FALSE()),IF($E397="Non Inventory",VLOOKUP($C397,'Non Inventory'!$B:$I,2,FALSE()),IF($E397="Services",VLOOKUP($C397,Services!$B:$I,2,FALSE()),IF($E397="Patty Cash",VLOOKUP($C397,'Patty Cash'!$B:$J,2,FALSE()),"")))),"")</f>
        <v/>
      </c>
      <c r="E397" s="246"/>
      <c r="F397" s="210" t="str">
        <f>IFERROR(IF($E397="Inventory",VLOOKUP($C397,Inventory!$B:$I,3,FALSE()),IF($E397="Non Inventory",VLOOKUP($C397,'Non Inventory'!$B:$I,3,FALSE()),IF($E397="Services",VLOOKUP($C397,Services!$B:$I,3,FALSE()),IF($E397="Patty Cash",VLOOKUP($C397,'Patty Cash'!$B:$J,3,FALSE()),"")))),"")</f>
        <v/>
      </c>
      <c r="G397" s="211"/>
      <c r="H397" s="212" t="str">
        <f>IF($E397="","",IF($E397="Inventory",IFERROR(VLOOKUP($C397,Inventory!$B:$H,7,FALSE()),0),IF($E397="Non Inventory",IFERROR(VLOOKUP($C397,'Non Inventory'!$B:$H,7,FALSE()),0),IF($E397="Services",IFERROR(VLOOKUP($C397,Services!$B:$H,7,FALSE()),0),IF($E397="Patty Cash",IFERROR(VLOOKUP($C397,'Patty Cash'!$B:$H,7,FALSE()),0),0)))))</f>
        <v/>
      </c>
      <c r="I397" s="213"/>
      <c r="J397" s="214"/>
      <c r="K397" s="215"/>
      <c r="L397" s="197"/>
      <c r="M397" s="215"/>
      <c r="N397" s="216">
        <f>IFERROR(IF($E397="Inventory",VLOOKUP($C397,Inventory!$B:$I,8,FALSE()),IF($E397="Non Inventory",VLOOKUP($C397,'Non Inventory'!$B:$I,8,FALSE()),IF($E397="Services",VLOOKUP($C397,Services!$B:$I,8,FALSE()),IF($E397="Patty Cash",VLOOKUP($C397,'Patty Cash'!$B:$J,8,FALSE()),0)))),0)</f>
        <v>0</v>
      </c>
      <c r="O397" s="217" t="str">
        <f t="shared" si="6"/>
        <v/>
      </c>
    </row>
    <row r="398" spans="1:15" ht="23.1" customHeight="1">
      <c r="A398" s="206" t="str">
        <f>IF(AND($B398="",$C398=""),"",MAX($A$3:A397)+1)</f>
        <v/>
      </c>
      <c r="B398" s="207"/>
      <c r="C398" s="208"/>
      <c r="D398" s="209" t="str">
        <f>IFERROR(IF($E398="Inventory",VLOOKUP($C398,Inventory!$B:$I,2,FALSE()),IF($E398="Non Inventory",VLOOKUP($C398,'Non Inventory'!$B:$I,2,FALSE()),IF($E398="Services",VLOOKUP($C398,Services!$B:$I,2,FALSE()),IF($E398="Patty Cash",VLOOKUP($C398,'Patty Cash'!$B:$J,2,FALSE()),"")))),"")</f>
        <v/>
      </c>
      <c r="E398" s="246"/>
      <c r="F398" s="210" t="str">
        <f>IFERROR(IF($E398="Inventory",VLOOKUP($C398,Inventory!$B:$I,3,FALSE()),IF($E398="Non Inventory",VLOOKUP($C398,'Non Inventory'!$B:$I,3,FALSE()),IF($E398="Services",VLOOKUP($C398,Services!$B:$I,3,FALSE()),IF($E398="Patty Cash",VLOOKUP($C398,'Patty Cash'!$B:$J,3,FALSE()),"")))),"")</f>
        <v/>
      </c>
      <c r="G398" s="211"/>
      <c r="H398" s="212" t="str">
        <f>IF($E398="","",IF($E398="Inventory",IFERROR(VLOOKUP($C398,Inventory!$B:$H,7,FALSE()),0),IF($E398="Non Inventory",IFERROR(VLOOKUP($C398,'Non Inventory'!$B:$H,7,FALSE()),0),IF($E398="Services",IFERROR(VLOOKUP($C398,Services!$B:$H,7,FALSE()),0),IF($E398="Patty Cash",IFERROR(VLOOKUP($C398,'Patty Cash'!$B:$H,7,FALSE()),0),0)))))</f>
        <v/>
      </c>
      <c r="I398" s="213"/>
      <c r="J398" s="214"/>
      <c r="K398" s="215"/>
      <c r="L398" s="197"/>
      <c r="M398" s="215"/>
      <c r="N398" s="216">
        <f>IFERROR(IF($E398="Inventory",VLOOKUP($C398,Inventory!$B:$I,8,FALSE()),IF($E398="Non Inventory",VLOOKUP($C398,'Non Inventory'!$B:$I,8,FALSE()),IF($E398="Services",VLOOKUP($C398,Services!$B:$I,8,FALSE()),IF($E398="Patty Cash",VLOOKUP($C398,'Patty Cash'!$B:$J,8,FALSE()),0)))),0)</f>
        <v>0</v>
      </c>
      <c r="O398" s="217" t="str">
        <f t="shared" si="6"/>
        <v/>
      </c>
    </row>
    <row r="399" spans="1:15" ht="23.1" customHeight="1">
      <c r="A399" s="206" t="str">
        <f>IF(AND($B399="",$C399=""),"",MAX($A$3:A398)+1)</f>
        <v/>
      </c>
      <c r="B399" s="207"/>
      <c r="C399" s="208"/>
      <c r="D399" s="209" t="str">
        <f>IFERROR(IF($E399="Inventory",VLOOKUP($C399,Inventory!$B:$I,2,FALSE()),IF($E399="Non Inventory",VLOOKUP($C399,'Non Inventory'!$B:$I,2,FALSE()),IF($E399="Services",VLOOKUP($C399,Services!$B:$I,2,FALSE()),IF($E399="Patty Cash",VLOOKUP($C399,'Patty Cash'!$B:$J,2,FALSE()),"")))),"")</f>
        <v/>
      </c>
      <c r="E399" s="246"/>
      <c r="F399" s="210" t="str">
        <f>IFERROR(IF($E399="Inventory",VLOOKUP($C399,Inventory!$B:$I,3,FALSE()),IF($E399="Non Inventory",VLOOKUP($C399,'Non Inventory'!$B:$I,3,FALSE()),IF($E399="Services",VLOOKUP($C399,Services!$B:$I,3,FALSE()),IF($E399="Patty Cash",VLOOKUP($C399,'Patty Cash'!$B:$J,3,FALSE()),"")))),"")</f>
        <v/>
      </c>
      <c r="G399" s="211"/>
      <c r="H399" s="212" t="str">
        <f>IF($E399="","",IF($E399="Inventory",IFERROR(VLOOKUP($C399,Inventory!$B:$H,7,FALSE()),0),IF($E399="Non Inventory",IFERROR(VLOOKUP($C399,'Non Inventory'!$B:$H,7,FALSE()),0),IF($E399="Services",IFERROR(VLOOKUP($C399,Services!$B:$H,7,FALSE()),0),IF($E399="Patty Cash",IFERROR(VLOOKUP($C399,'Patty Cash'!$B:$H,7,FALSE()),0),0)))))</f>
        <v/>
      </c>
      <c r="I399" s="213"/>
      <c r="J399" s="214"/>
      <c r="K399" s="215"/>
      <c r="L399" s="197"/>
      <c r="M399" s="215"/>
      <c r="N399" s="216">
        <f>IFERROR(IF($E399="Inventory",VLOOKUP($C399,Inventory!$B:$I,8,FALSE()),IF($E399="Non Inventory",VLOOKUP($C399,'Non Inventory'!$B:$I,8,FALSE()),IF($E399="Services",VLOOKUP($C399,Services!$B:$I,8,FALSE()),IF($E399="Patty Cash",VLOOKUP($C399,'Patty Cash'!$B:$J,8,FALSE()),0)))),0)</f>
        <v>0</v>
      </c>
      <c r="O399" s="217" t="str">
        <f t="shared" si="6"/>
        <v/>
      </c>
    </row>
    <row r="400" spans="1:15" ht="23.1" customHeight="1">
      <c r="A400" s="206" t="str">
        <f>IF(AND($B400="",$C400=""),"",MAX($A$3:A399)+1)</f>
        <v/>
      </c>
      <c r="B400" s="207"/>
      <c r="C400" s="208"/>
      <c r="D400" s="209" t="str">
        <f>IFERROR(IF($E400="Inventory",VLOOKUP($C400,Inventory!$B:$I,2,FALSE()),IF($E400="Non Inventory",VLOOKUP($C400,'Non Inventory'!$B:$I,2,FALSE()),IF($E400="Services",VLOOKUP($C400,Services!$B:$I,2,FALSE()),IF($E400="Patty Cash",VLOOKUP($C400,'Patty Cash'!$B:$J,2,FALSE()),"")))),"")</f>
        <v/>
      </c>
      <c r="E400" s="246"/>
      <c r="F400" s="210" t="str">
        <f>IFERROR(IF($E400="Inventory",VLOOKUP($C400,Inventory!$B:$I,3,FALSE()),IF($E400="Non Inventory",VLOOKUP($C400,'Non Inventory'!$B:$I,3,FALSE()),IF($E400="Services",VLOOKUP($C400,Services!$B:$I,3,FALSE()),IF($E400="Patty Cash",VLOOKUP($C400,'Patty Cash'!$B:$J,3,FALSE()),"")))),"")</f>
        <v/>
      </c>
      <c r="G400" s="211"/>
      <c r="H400" s="212" t="str">
        <f>IF($E400="","",IF($E400="Inventory",IFERROR(VLOOKUP($C400,Inventory!$B:$H,7,FALSE()),0),IF($E400="Non Inventory",IFERROR(VLOOKUP($C400,'Non Inventory'!$B:$H,7,FALSE()),0),IF($E400="Services",IFERROR(VLOOKUP($C400,Services!$B:$H,7,FALSE()),0),IF($E400="Patty Cash",IFERROR(VLOOKUP($C400,'Patty Cash'!$B:$H,7,FALSE()),0),0)))))</f>
        <v/>
      </c>
      <c r="I400" s="213"/>
      <c r="J400" s="214"/>
      <c r="K400" s="215"/>
      <c r="L400" s="197"/>
      <c r="M400" s="215"/>
      <c r="N400" s="216">
        <f>IFERROR(IF($E400="Inventory",VLOOKUP($C400,Inventory!$B:$I,8,FALSE()),IF($E400="Non Inventory",VLOOKUP($C400,'Non Inventory'!$B:$I,8,FALSE()),IF($E400="Services",VLOOKUP($C400,Services!$B:$I,8,FALSE()),IF($E400="Patty Cash",VLOOKUP($C400,'Patty Cash'!$B:$J,8,FALSE()),0)))),0)</f>
        <v>0</v>
      </c>
      <c r="O400" s="217" t="str">
        <f t="shared" si="6"/>
        <v/>
      </c>
    </row>
    <row r="401" spans="1:15" ht="23.1" customHeight="1">
      <c r="A401" s="206" t="str">
        <f>IF(AND($B401="",$C401=""),"",MAX($A$3:A400)+1)</f>
        <v/>
      </c>
      <c r="B401" s="207"/>
      <c r="C401" s="208"/>
      <c r="D401" s="209" t="str">
        <f>IFERROR(IF($E401="Inventory",VLOOKUP($C401,Inventory!$B:$I,2,FALSE()),IF($E401="Non Inventory",VLOOKUP($C401,'Non Inventory'!$B:$I,2,FALSE()),IF($E401="Services",VLOOKUP($C401,Services!$B:$I,2,FALSE()),IF($E401="Patty Cash",VLOOKUP($C401,'Patty Cash'!$B:$J,2,FALSE()),"")))),"")</f>
        <v/>
      </c>
      <c r="E401" s="246"/>
      <c r="F401" s="210" t="str">
        <f>IFERROR(IF($E401="Inventory",VLOOKUP($C401,Inventory!$B:$I,3,FALSE()),IF($E401="Non Inventory",VLOOKUP($C401,'Non Inventory'!$B:$I,3,FALSE()),IF($E401="Services",VLOOKUP($C401,Services!$B:$I,3,FALSE()),IF($E401="Patty Cash",VLOOKUP($C401,'Patty Cash'!$B:$J,3,FALSE()),"")))),"")</f>
        <v/>
      </c>
      <c r="G401" s="211"/>
      <c r="H401" s="212" t="str">
        <f>IF($E401="","",IF($E401="Inventory",IFERROR(VLOOKUP($C401,Inventory!$B:$H,7,FALSE()),0),IF($E401="Non Inventory",IFERROR(VLOOKUP($C401,'Non Inventory'!$B:$H,7,FALSE()),0),IF($E401="Services",IFERROR(VLOOKUP($C401,Services!$B:$H,7,FALSE()),0),IF($E401="Patty Cash",IFERROR(VLOOKUP($C401,'Patty Cash'!$B:$H,7,FALSE()),0),0)))))</f>
        <v/>
      </c>
      <c r="I401" s="213"/>
      <c r="J401" s="214"/>
      <c r="K401" s="215"/>
      <c r="L401" s="197"/>
      <c r="M401" s="215"/>
      <c r="N401" s="216">
        <f>IFERROR(IF($E401="Inventory",VLOOKUP($C401,Inventory!$B:$I,8,FALSE()),IF($E401="Non Inventory",VLOOKUP($C401,'Non Inventory'!$B:$I,8,FALSE()),IF($E401="Services",VLOOKUP($C401,Services!$B:$I,8,FALSE()),IF($E401="Patty Cash",VLOOKUP($C401,'Patty Cash'!$B:$J,8,FALSE()),0)))),0)</f>
        <v>0</v>
      </c>
      <c r="O401" s="217" t="str">
        <f t="shared" si="6"/>
        <v/>
      </c>
    </row>
    <row r="402" spans="1:15" ht="23.1" customHeight="1">
      <c r="A402" s="206" t="str">
        <f>IF(AND($B402="",$C402=""),"",MAX($A$3:A401)+1)</f>
        <v/>
      </c>
      <c r="B402" s="207"/>
      <c r="C402" s="208"/>
      <c r="D402" s="209" t="str">
        <f>IFERROR(IF($E402="Inventory",VLOOKUP($C402,Inventory!$B:$I,2,FALSE()),IF($E402="Non Inventory",VLOOKUP($C402,'Non Inventory'!$B:$I,2,FALSE()),IF($E402="Services",VLOOKUP($C402,Services!$B:$I,2,FALSE()),IF($E402="Patty Cash",VLOOKUP($C402,'Patty Cash'!$B:$J,2,FALSE()),"")))),"")</f>
        <v/>
      </c>
      <c r="E402" s="246"/>
      <c r="F402" s="210" t="str">
        <f>IFERROR(IF($E402="Inventory",VLOOKUP($C402,Inventory!$B:$I,3,FALSE()),IF($E402="Non Inventory",VLOOKUP($C402,'Non Inventory'!$B:$I,3,FALSE()),IF($E402="Services",VLOOKUP($C402,Services!$B:$I,3,FALSE()),IF($E402="Patty Cash",VLOOKUP($C402,'Patty Cash'!$B:$J,3,FALSE()),"")))),"")</f>
        <v/>
      </c>
      <c r="G402" s="211"/>
      <c r="H402" s="212" t="str">
        <f>IF($E402="","",IF($E402="Inventory",IFERROR(VLOOKUP($C402,Inventory!$B:$H,7,FALSE()),0),IF($E402="Non Inventory",IFERROR(VLOOKUP($C402,'Non Inventory'!$B:$H,7,FALSE()),0),IF($E402="Services",IFERROR(VLOOKUP($C402,Services!$B:$H,7,FALSE()),0),IF($E402="Patty Cash",IFERROR(VLOOKUP($C402,'Patty Cash'!$B:$H,7,FALSE()),0),0)))))</f>
        <v/>
      </c>
      <c r="I402" s="213"/>
      <c r="J402" s="214"/>
      <c r="K402" s="215"/>
      <c r="L402" s="197"/>
      <c r="M402" s="215"/>
      <c r="N402" s="216">
        <f>IFERROR(IF($E402="Inventory",VLOOKUP($C402,Inventory!$B:$I,8,FALSE()),IF($E402="Non Inventory",VLOOKUP($C402,'Non Inventory'!$B:$I,8,FALSE()),IF($E402="Services",VLOOKUP($C402,Services!$B:$I,8,FALSE()),IF($E402="Patty Cash",VLOOKUP($C402,'Patty Cash'!$B:$J,8,FALSE()),0)))),0)</f>
        <v>0</v>
      </c>
      <c r="O402" s="217" t="str">
        <f t="shared" si="6"/>
        <v/>
      </c>
    </row>
    <row r="403" spans="1:15" ht="23.1" customHeight="1">
      <c r="A403" s="206" t="str">
        <f>IF(AND($B403="",$C403=""),"",MAX($A$3:A402)+1)</f>
        <v/>
      </c>
      <c r="B403" s="207"/>
      <c r="C403" s="208"/>
      <c r="D403" s="209" t="str">
        <f>IFERROR(IF($E403="Inventory",VLOOKUP($C403,Inventory!$B:$I,2,FALSE()),IF($E403="Non Inventory",VLOOKUP($C403,'Non Inventory'!$B:$I,2,FALSE()),IF($E403="Services",VLOOKUP($C403,Services!$B:$I,2,FALSE()),IF($E403="Patty Cash",VLOOKUP($C403,'Patty Cash'!$B:$J,2,FALSE()),"")))),"")</f>
        <v/>
      </c>
      <c r="E403" s="246"/>
      <c r="F403" s="210" t="str">
        <f>IFERROR(IF($E403="Inventory",VLOOKUP($C403,Inventory!$B:$I,3,FALSE()),IF($E403="Non Inventory",VLOOKUP($C403,'Non Inventory'!$B:$I,3,FALSE()),IF($E403="Services",VLOOKUP($C403,Services!$B:$I,3,FALSE()),IF($E403="Patty Cash",VLOOKUP($C403,'Patty Cash'!$B:$J,3,FALSE()),"")))),"")</f>
        <v/>
      </c>
      <c r="G403" s="211"/>
      <c r="H403" s="212" t="str">
        <f>IF($E403="","",IF($E403="Inventory",IFERROR(VLOOKUP($C403,Inventory!$B:$H,7,FALSE()),0),IF($E403="Non Inventory",IFERROR(VLOOKUP($C403,'Non Inventory'!$B:$H,7,FALSE()),0),IF($E403="Services",IFERROR(VLOOKUP($C403,Services!$B:$H,7,FALSE()),0),IF($E403="Patty Cash",IFERROR(VLOOKUP($C403,'Patty Cash'!$B:$H,7,FALSE()),0),0)))))</f>
        <v/>
      </c>
      <c r="I403" s="213"/>
      <c r="J403" s="214"/>
      <c r="K403" s="215"/>
      <c r="L403" s="197"/>
      <c r="M403" s="215"/>
      <c r="N403" s="216">
        <f>IFERROR(IF($E403="Inventory",VLOOKUP($C403,Inventory!$B:$I,8,FALSE()),IF($E403="Non Inventory",VLOOKUP($C403,'Non Inventory'!$B:$I,8,FALSE()),IF($E403="Services",VLOOKUP($C403,Services!$B:$I,8,FALSE()),IF($E403="Patty Cash",VLOOKUP($C403,'Patty Cash'!$B:$J,8,FALSE()),0)))),0)</f>
        <v>0</v>
      </c>
      <c r="O403" s="217" t="str">
        <f t="shared" si="6"/>
        <v/>
      </c>
    </row>
    <row r="404" spans="1:15" ht="23.1" customHeight="1">
      <c r="A404" s="206" t="str">
        <f>IF(AND($B404="",$C404=""),"",MAX($A$3:A403)+1)</f>
        <v/>
      </c>
      <c r="B404" s="207"/>
      <c r="C404" s="208"/>
      <c r="D404" s="209" t="str">
        <f>IFERROR(IF($E404="Inventory",VLOOKUP($C404,Inventory!$B:$I,2,FALSE()),IF($E404="Non Inventory",VLOOKUP($C404,'Non Inventory'!$B:$I,2,FALSE()),IF($E404="Services",VLOOKUP($C404,Services!$B:$I,2,FALSE()),IF($E404="Patty Cash",VLOOKUP($C404,'Patty Cash'!$B:$J,2,FALSE()),"")))),"")</f>
        <v/>
      </c>
      <c r="E404" s="246"/>
      <c r="F404" s="210" t="str">
        <f>IFERROR(IF($E404="Inventory",VLOOKUP($C404,Inventory!$B:$I,3,FALSE()),IF($E404="Non Inventory",VLOOKUP($C404,'Non Inventory'!$B:$I,3,FALSE()),IF($E404="Services",VLOOKUP($C404,Services!$B:$I,3,FALSE()),IF($E404="Patty Cash",VLOOKUP($C404,'Patty Cash'!$B:$J,3,FALSE()),"")))),"")</f>
        <v/>
      </c>
      <c r="G404" s="211"/>
      <c r="H404" s="212" t="str">
        <f>IF($E404="","",IF($E404="Inventory",IFERROR(VLOOKUP($C404,Inventory!$B:$H,7,FALSE()),0),IF($E404="Non Inventory",IFERROR(VLOOKUP($C404,'Non Inventory'!$B:$H,7,FALSE()),0),IF($E404="Services",IFERROR(VLOOKUP($C404,Services!$B:$H,7,FALSE()),0),IF($E404="Patty Cash",IFERROR(VLOOKUP($C404,'Patty Cash'!$B:$H,7,FALSE()),0),0)))))</f>
        <v/>
      </c>
      <c r="I404" s="213"/>
      <c r="J404" s="214"/>
      <c r="K404" s="215"/>
      <c r="L404" s="197"/>
      <c r="M404" s="215"/>
      <c r="N404" s="216">
        <f>IFERROR(IF($E404="Inventory",VLOOKUP($C404,Inventory!$B:$I,8,FALSE()),IF($E404="Non Inventory",VLOOKUP($C404,'Non Inventory'!$B:$I,8,FALSE()),IF($E404="Services",VLOOKUP($C404,Services!$B:$I,8,FALSE()),IF($E404="Patty Cash",VLOOKUP($C404,'Patty Cash'!$B:$J,8,FALSE()),0)))),0)</f>
        <v>0</v>
      </c>
      <c r="O404" s="217" t="str">
        <f t="shared" si="6"/>
        <v/>
      </c>
    </row>
    <row r="405" spans="1:15" ht="23.1" customHeight="1">
      <c r="A405" s="206" t="str">
        <f>IF(AND($B405="",$C405=""),"",MAX($A$3:A404)+1)</f>
        <v/>
      </c>
      <c r="B405" s="207"/>
      <c r="C405" s="208"/>
      <c r="D405" s="209" t="str">
        <f>IFERROR(IF($E405="Inventory",VLOOKUP($C405,Inventory!$B:$I,2,FALSE()),IF($E405="Non Inventory",VLOOKUP($C405,'Non Inventory'!$B:$I,2,FALSE()),IF($E405="Services",VLOOKUP($C405,Services!$B:$I,2,FALSE()),IF($E405="Patty Cash",VLOOKUP($C405,'Patty Cash'!$B:$J,2,FALSE()),"")))),"")</f>
        <v/>
      </c>
      <c r="E405" s="246"/>
      <c r="F405" s="210" t="str">
        <f>IFERROR(IF($E405="Inventory",VLOOKUP($C405,Inventory!$B:$I,3,FALSE()),IF($E405="Non Inventory",VLOOKUP($C405,'Non Inventory'!$B:$I,3,FALSE()),IF($E405="Services",VLOOKUP($C405,Services!$B:$I,3,FALSE()),IF($E405="Patty Cash",VLOOKUP($C405,'Patty Cash'!$B:$J,3,FALSE()),"")))),"")</f>
        <v/>
      </c>
      <c r="G405" s="211"/>
      <c r="H405" s="212" t="str">
        <f>IF($E405="","",IF($E405="Inventory",IFERROR(VLOOKUP($C405,Inventory!$B:$H,7,FALSE()),0),IF($E405="Non Inventory",IFERROR(VLOOKUP($C405,'Non Inventory'!$B:$H,7,FALSE()),0),IF($E405="Services",IFERROR(VLOOKUP($C405,Services!$B:$H,7,FALSE()),0),IF($E405="Patty Cash",IFERROR(VLOOKUP($C405,'Patty Cash'!$B:$H,7,FALSE()),0),0)))))</f>
        <v/>
      </c>
      <c r="I405" s="213"/>
      <c r="J405" s="214"/>
      <c r="K405" s="215"/>
      <c r="L405" s="197"/>
      <c r="M405" s="215"/>
      <c r="N405" s="216">
        <f>IFERROR(IF($E405="Inventory",VLOOKUP($C405,Inventory!$B:$I,8,FALSE()),IF($E405="Non Inventory",VLOOKUP($C405,'Non Inventory'!$B:$I,8,FALSE()),IF($E405="Services",VLOOKUP($C405,Services!$B:$I,8,FALSE()),IF($E405="Patty Cash",VLOOKUP($C405,'Patty Cash'!$B:$J,8,FALSE()),0)))),0)</f>
        <v>0</v>
      </c>
      <c r="O405" s="217" t="str">
        <f t="shared" si="6"/>
        <v/>
      </c>
    </row>
    <row r="406" spans="1:15" ht="23.1" customHeight="1">
      <c r="A406" s="206" t="str">
        <f>IF(AND($B406="",$C406=""),"",MAX($A$3:A405)+1)</f>
        <v/>
      </c>
      <c r="B406" s="207"/>
      <c r="C406" s="208"/>
      <c r="D406" s="209" t="str">
        <f>IFERROR(IF($E406="Inventory",VLOOKUP($C406,Inventory!$B:$I,2,FALSE()),IF($E406="Non Inventory",VLOOKUP($C406,'Non Inventory'!$B:$I,2,FALSE()),IF($E406="Services",VLOOKUP($C406,Services!$B:$I,2,FALSE()),IF($E406="Patty Cash",VLOOKUP($C406,'Patty Cash'!$B:$J,2,FALSE()),"")))),"")</f>
        <v/>
      </c>
      <c r="E406" s="246"/>
      <c r="F406" s="210" t="str">
        <f>IFERROR(IF($E406="Inventory",VLOOKUP($C406,Inventory!$B:$I,3,FALSE()),IF($E406="Non Inventory",VLOOKUP($C406,'Non Inventory'!$B:$I,3,FALSE()),IF($E406="Services",VLOOKUP($C406,Services!$B:$I,3,FALSE()),IF($E406="Patty Cash",VLOOKUP($C406,'Patty Cash'!$B:$J,3,FALSE()),"")))),"")</f>
        <v/>
      </c>
      <c r="G406" s="211"/>
      <c r="H406" s="212" t="str">
        <f>IF($E406="","",IF($E406="Inventory",IFERROR(VLOOKUP($C406,Inventory!$B:$H,7,FALSE()),0),IF($E406="Non Inventory",IFERROR(VLOOKUP($C406,'Non Inventory'!$B:$H,7,FALSE()),0),IF($E406="Services",IFERROR(VLOOKUP($C406,Services!$B:$H,7,FALSE()),0),IF($E406="Patty Cash",IFERROR(VLOOKUP($C406,'Patty Cash'!$B:$H,7,FALSE()),0),0)))))</f>
        <v/>
      </c>
      <c r="I406" s="213"/>
      <c r="J406" s="214"/>
      <c r="K406" s="215"/>
      <c r="L406" s="197"/>
      <c r="M406" s="215"/>
      <c r="N406" s="216">
        <f>IFERROR(IF($E406="Inventory",VLOOKUP($C406,Inventory!$B:$I,8,FALSE()),IF($E406="Non Inventory",VLOOKUP($C406,'Non Inventory'!$B:$I,8,FALSE()),IF($E406="Services",VLOOKUP($C406,Services!$B:$I,8,FALSE()),IF($E406="Patty Cash",VLOOKUP($C406,'Patty Cash'!$B:$J,8,FALSE()),0)))),0)</f>
        <v>0</v>
      </c>
      <c r="O406" s="217" t="str">
        <f t="shared" si="6"/>
        <v/>
      </c>
    </row>
    <row r="407" spans="1:15" ht="23.1" customHeight="1">
      <c r="A407" s="206" t="str">
        <f>IF(AND($B407="",$C407=""),"",MAX($A$3:A406)+1)</f>
        <v/>
      </c>
      <c r="B407" s="207"/>
      <c r="C407" s="208"/>
      <c r="D407" s="209" t="str">
        <f>IFERROR(IF($E407="Inventory",VLOOKUP($C407,Inventory!$B:$I,2,FALSE()),IF($E407="Non Inventory",VLOOKUP($C407,'Non Inventory'!$B:$I,2,FALSE()),IF($E407="Services",VLOOKUP($C407,Services!$B:$I,2,FALSE()),IF($E407="Patty Cash",VLOOKUP($C407,'Patty Cash'!$B:$J,2,FALSE()),"")))),"")</f>
        <v/>
      </c>
      <c r="E407" s="246"/>
      <c r="F407" s="210" t="str">
        <f>IFERROR(IF($E407="Inventory",VLOOKUP($C407,Inventory!$B:$I,3,FALSE()),IF($E407="Non Inventory",VLOOKUP($C407,'Non Inventory'!$B:$I,3,FALSE()),IF($E407="Services",VLOOKUP($C407,Services!$B:$I,3,FALSE()),IF($E407="Patty Cash",VLOOKUP($C407,'Patty Cash'!$B:$J,3,FALSE()),"")))),"")</f>
        <v/>
      </c>
      <c r="G407" s="211"/>
      <c r="H407" s="212" t="str">
        <f>IF($E407="","",IF($E407="Inventory",IFERROR(VLOOKUP($C407,Inventory!$B:$H,7,FALSE()),0),IF($E407="Non Inventory",IFERROR(VLOOKUP($C407,'Non Inventory'!$B:$H,7,FALSE()),0),IF($E407="Services",IFERROR(VLOOKUP($C407,Services!$B:$H,7,FALSE()),0),IF($E407="Patty Cash",IFERROR(VLOOKUP($C407,'Patty Cash'!$B:$H,7,FALSE()),0),0)))))</f>
        <v/>
      </c>
      <c r="I407" s="213"/>
      <c r="J407" s="214"/>
      <c r="K407" s="215"/>
      <c r="L407" s="197"/>
      <c r="M407" s="215"/>
      <c r="N407" s="216">
        <f>IFERROR(IF($E407="Inventory",VLOOKUP($C407,Inventory!$B:$I,8,FALSE()),IF($E407="Non Inventory",VLOOKUP($C407,'Non Inventory'!$B:$I,8,FALSE()),IF($E407="Services",VLOOKUP($C407,Services!$B:$I,8,FALSE()),IF($E407="Patty Cash",VLOOKUP($C407,'Patty Cash'!$B:$J,8,FALSE()),0)))),0)</f>
        <v>0</v>
      </c>
      <c r="O407" s="217" t="str">
        <f t="shared" si="6"/>
        <v/>
      </c>
    </row>
    <row r="408" spans="1:15" ht="23.1" customHeight="1">
      <c r="A408" s="206" t="str">
        <f>IF(AND($B408="",$C408=""),"",MAX($A$3:A407)+1)</f>
        <v/>
      </c>
      <c r="B408" s="207"/>
      <c r="C408" s="208"/>
      <c r="D408" s="209" t="str">
        <f>IFERROR(IF($E408="Inventory",VLOOKUP($C408,Inventory!$B:$I,2,FALSE()),IF($E408="Non Inventory",VLOOKUP($C408,'Non Inventory'!$B:$I,2,FALSE()),IF($E408="Services",VLOOKUP($C408,Services!$B:$I,2,FALSE()),IF($E408="Patty Cash",VLOOKUP($C408,'Patty Cash'!$B:$J,2,FALSE()),"")))),"")</f>
        <v/>
      </c>
      <c r="E408" s="246"/>
      <c r="F408" s="210" t="str">
        <f>IFERROR(IF($E408="Inventory",VLOOKUP($C408,Inventory!$B:$I,3,FALSE()),IF($E408="Non Inventory",VLOOKUP($C408,'Non Inventory'!$B:$I,3,FALSE()),IF($E408="Services",VLOOKUP($C408,Services!$B:$I,3,FALSE()),IF($E408="Patty Cash",VLOOKUP($C408,'Patty Cash'!$B:$J,3,FALSE()),"")))),"")</f>
        <v/>
      </c>
      <c r="G408" s="211"/>
      <c r="H408" s="212" t="str">
        <f>IF($E408="","",IF($E408="Inventory",IFERROR(VLOOKUP($C408,Inventory!$B:$H,7,FALSE()),0),IF($E408="Non Inventory",IFERROR(VLOOKUP($C408,'Non Inventory'!$B:$H,7,FALSE()),0),IF($E408="Services",IFERROR(VLOOKUP($C408,Services!$B:$H,7,FALSE()),0),IF($E408="Patty Cash",IFERROR(VLOOKUP($C408,'Patty Cash'!$B:$H,7,FALSE()),0),0)))))</f>
        <v/>
      </c>
      <c r="I408" s="213"/>
      <c r="J408" s="214"/>
      <c r="K408" s="215"/>
      <c r="L408" s="197"/>
      <c r="M408" s="215"/>
      <c r="N408" s="216">
        <f>IFERROR(IF($E408="Inventory",VLOOKUP($C408,Inventory!$B:$I,8,FALSE()),IF($E408="Non Inventory",VLOOKUP($C408,'Non Inventory'!$B:$I,8,FALSE()),IF($E408="Services",VLOOKUP($C408,Services!$B:$I,8,FALSE()),IF($E408="Patty Cash",VLOOKUP($C408,'Patty Cash'!$B:$J,8,FALSE()),0)))),0)</f>
        <v>0</v>
      </c>
      <c r="O408" s="217" t="str">
        <f t="shared" si="6"/>
        <v/>
      </c>
    </row>
    <row r="409" spans="1:15" ht="23.1" customHeight="1">
      <c r="A409" s="206" t="str">
        <f>IF(AND($B409="",$C409=""),"",MAX($A$3:A408)+1)</f>
        <v/>
      </c>
      <c r="B409" s="207"/>
      <c r="C409" s="208"/>
      <c r="D409" s="209" t="str">
        <f>IFERROR(IF($E409="Inventory",VLOOKUP($C409,Inventory!$B:$I,2,FALSE()),IF($E409="Non Inventory",VLOOKUP($C409,'Non Inventory'!$B:$I,2,FALSE()),IF($E409="Services",VLOOKUP($C409,Services!$B:$I,2,FALSE()),IF($E409="Patty Cash",VLOOKUP($C409,'Patty Cash'!$B:$J,2,FALSE()),"")))),"")</f>
        <v/>
      </c>
      <c r="E409" s="246"/>
      <c r="F409" s="210" t="str">
        <f>IFERROR(IF($E409="Inventory",VLOOKUP($C409,Inventory!$B:$I,3,FALSE()),IF($E409="Non Inventory",VLOOKUP($C409,'Non Inventory'!$B:$I,3,FALSE()),IF($E409="Services",VLOOKUP($C409,Services!$B:$I,3,FALSE()),IF($E409="Patty Cash",VLOOKUP($C409,'Patty Cash'!$B:$J,3,FALSE()),"")))),"")</f>
        <v/>
      </c>
      <c r="G409" s="211"/>
      <c r="H409" s="212" t="str">
        <f>IF($E409="","",IF($E409="Inventory",IFERROR(VLOOKUP($C409,Inventory!$B:$H,7,FALSE()),0),IF($E409="Non Inventory",IFERROR(VLOOKUP($C409,'Non Inventory'!$B:$H,7,FALSE()),0),IF($E409="Services",IFERROR(VLOOKUP($C409,Services!$B:$H,7,FALSE()),0),IF($E409="Patty Cash",IFERROR(VLOOKUP($C409,'Patty Cash'!$B:$H,7,FALSE()),0),0)))))</f>
        <v/>
      </c>
      <c r="I409" s="213"/>
      <c r="J409" s="214"/>
      <c r="K409" s="215"/>
      <c r="L409" s="197"/>
      <c r="M409" s="215"/>
      <c r="N409" s="216">
        <f>IFERROR(IF($E409="Inventory",VLOOKUP($C409,Inventory!$B:$I,8,FALSE()),IF($E409="Non Inventory",VLOOKUP($C409,'Non Inventory'!$B:$I,8,FALSE()),IF($E409="Services",VLOOKUP($C409,Services!$B:$I,8,FALSE()),IF($E409="Patty Cash",VLOOKUP($C409,'Patty Cash'!$B:$J,8,FALSE()),0)))),0)</f>
        <v>0</v>
      </c>
      <c r="O409" s="217" t="str">
        <f t="shared" si="6"/>
        <v/>
      </c>
    </row>
    <row r="410" spans="1:15" ht="23.1" customHeight="1">
      <c r="A410" s="206" t="str">
        <f>IF(AND($B410="",$C410=""),"",MAX($A$3:A409)+1)</f>
        <v/>
      </c>
      <c r="B410" s="207"/>
      <c r="C410" s="208"/>
      <c r="D410" s="209" t="str">
        <f>IFERROR(IF($E410="Inventory",VLOOKUP($C410,Inventory!$B:$I,2,FALSE()),IF($E410="Non Inventory",VLOOKUP($C410,'Non Inventory'!$B:$I,2,FALSE()),IF($E410="Services",VLOOKUP($C410,Services!$B:$I,2,FALSE()),IF($E410="Patty Cash",VLOOKUP($C410,'Patty Cash'!$B:$J,2,FALSE()),"")))),"")</f>
        <v/>
      </c>
      <c r="E410" s="246"/>
      <c r="F410" s="210" t="str">
        <f>IFERROR(IF($E410="Inventory",VLOOKUP($C410,Inventory!$B:$I,3,FALSE()),IF($E410="Non Inventory",VLOOKUP($C410,'Non Inventory'!$B:$I,3,FALSE()),IF($E410="Services",VLOOKUP($C410,Services!$B:$I,3,FALSE()),IF($E410="Patty Cash",VLOOKUP($C410,'Patty Cash'!$B:$J,3,FALSE()),"")))),"")</f>
        <v/>
      </c>
      <c r="G410" s="211"/>
      <c r="H410" s="212" t="str">
        <f>IF($E410="","",IF($E410="Inventory",IFERROR(VLOOKUP($C410,Inventory!$B:$H,7,FALSE()),0),IF($E410="Non Inventory",IFERROR(VLOOKUP($C410,'Non Inventory'!$B:$H,7,FALSE()),0),IF($E410="Services",IFERROR(VLOOKUP($C410,Services!$B:$H,7,FALSE()),0),IF($E410="Patty Cash",IFERROR(VLOOKUP($C410,'Patty Cash'!$B:$H,7,FALSE()),0),0)))))</f>
        <v/>
      </c>
      <c r="I410" s="213"/>
      <c r="J410" s="214"/>
      <c r="K410" s="215"/>
      <c r="L410" s="197"/>
      <c r="M410" s="215"/>
      <c r="N410" s="216">
        <f>IFERROR(IF($E410="Inventory",VLOOKUP($C410,Inventory!$B:$I,8,FALSE()),IF($E410="Non Inventory",VLOOKUP($C410,'Non Inventory'!$B:$I,8,FALSE()),IF($E410="Services",VLOOKUP($C410,Services!$B:$I,8,FALSE()),IF($E410="Patty Cash",VLOOKUP($C410,'Patty Cash'!$B:$J,8,FALSE()),0)))),0)</f>
        <v>0</v>
      </c>
      <c r="O410" s="217" t="str">
        <f t="shared" si="6"/>
        <v/>
      </c>
    </row>
    <row r="411" spans="1:15" ht="23.1" customHeight="1">
      <c r="A411" s="206" t="str">
        <f>IF(AND($B411="",$C411=""),"",MAX($A$3:A410)+1)</f>
        <v/>
      </c>
      <c r="B411" s="207"/>
      <c r="C411" s="208"/>
      <c r="D411" s="209" t="str">
        <f>IFERROR(IF($E411="Inventory",VLOOKUP($C411,Inventory!$B:$I,2,FALSE()),IF($E411="Non Inventory",VLOOKUP($C411,'Non Inventory'!$B:$I,2,FALSE()),IF($E411="Services",VLOOKUP($C411,Services!$B:$I,2,FALSE()),IF($E411="Patty Cash",VLOOKUP($C411,'Patty Cash'!$B:$J,2,FALSE()),"")))),"")</f>
        <v/>
      </c>
      <c r="E411" s="246"/>
      <c r="F411" s="210" t="str">
        <f>IFERROR(IF($E411="Inventory",VLOOKUP($C411,Inventory!$B:$I,3,FALSE()),IF($E411="Non Inventory",VLOOKUP($C411,'Non Inventory'!$B:$I,3,FALSE()),IF($E411="Services",VLOOKUP($C411,Services!$B:$I,3,FALSE()),IF($E411="Patty Cash",VLOOKUP($C411,'Patty Cash'!$B:$J,3,FALSE()),"")))),"")</f>
        <v/>
      </c>
      <c r="G411" s="211"/>
      <c r="H411" s="212" t="str">
        <f>IF($E411="","",IF($E411="Inventory",IFERROR(VLOOKUP($C411,Inventory!$B:$H,7,FALSE()),0),IF($E411="Non Inventory",IFERROR(VLOOKUP($C411,'Non Inventory'!$B:$H,7,FALSE()),0),IF($E411="Services",IFERROR(VLOOKUP($C411,Services!$B:$H,7,FALSE()),0),IF($E411="Patty Cash",IFERROR(VLOOKUP($C411,'Patty Cash'!$B:$H,7,FALSE()),0),0)))))</f>
        <v/>
      </c>
      <c r="I411" s="213"/>
      <c r="J411" s="214"/>
      <c r="K411" s="215"/>
      <c r="L411" s="197"/>
      <c r="M411" s="215"/>
      <c r="N411" s="216">
        <f>IFERROR(IF($E411="Inventory",VLOOKUP($C411,Inventory!$B:$I,8,FALSE()),IF($E411="Non Inventory",VLOOKUP($C411,'Non Inventory'!$B:$I,8,FALSE()),IF($E411="Services",VLOOKUP($C411,Services!$B:$I,8,FALSE()),IF($E411="Patty Cash",VLOOKUP($C411,'Patty Cash'!$B:$J,8,FALSE()),0)))),0)</f>
        <v>0</v>
      </c>
      <c r="O411" s="217" t="str">
        <f t="shared" si="6"/>
        <v/>
      </c>
    </row>
    <row r="412" spans="1:15" ht="23.1" customHeight="1">
      <c r="A412" s="206" t="str">
        <f>IF(AND($B412="",$C412=""),"",MAX($A$3:A411)+1)</f>
        <v/>
      </c>
      <c r="B412" s="207"/>
      <c r="C412" s="208"/>
      <c r="D412" s="209" t="str">
        <f>IFERROR(IF($E412="Inventory",VLOOKUP($C412,Inventory!$B:$I,2,FALSE()),IF($E412="Non Inventory",VLOOKUP($C412,'Non Inventory'!$B:$I,2,FALSE()),IF($E412="Services",VLOOKUP($C412,Services!$B:$I,2,FALSE()),IF($E412="Patty Cash",VLOOKUP($C412,'Patty Cash'!$B:$J,2,FALSE()),"")))),"")</f>
        <v/>
      </c>
      <c r="E412" s="246"/>
      <c r="F412" s="210" t="str">
        <f>IFERROR(IF($E412="Inventory",VLOOKUP($C412,Inventory!$B:$I,3,FALSE()),IF($E412="Non Inventory",VLOOKUP($C412,'Non Inventory'!$B:$I,3,FALSE()),IF($E412="Services",VLOOKUP($C412,Services!$B:$I,3,FALSE()),IF($E412="Patty Cash",VLOOKUP($C412,'Patty Cash'!$B:$J,3,FALSE()),"")))),"")</f>
        <v/>
      </c>
      <c r="G412" s="211"/>
      <c r="H412" s="212" t="str">
        <f>IF($E412="","",IF($E412="Inventory",IFERROR(VLOOKUP($C412,Inventory!$B:$H,7,FALSE()),0),IF($E412="Non Inventory",IFERROR(VLOOKUP($C412,'Non Inventory'!$B:$H,7,FALSE()),0),IF($E412="Services",IFERROR(VLOOKUP($C412,Services!$B:$H,7,FALSE()),0),IF($E412="Patty Cash",IFERROR(VLOOKUP($C412,'Patty Cash'!$B:$H,7,FALSE()),0),0)))))</f>
        <v/>
      </c>
      <c r="I412" s="213"/>
      <c r="J412" s="214"/>
      <c r="K412" s="215"/>
      <c r="L412" s="197"/>
      <c r="M412" s="215"/>
      <c r="N412" s="216">
        <f>IFERROR(IF($E412="Inventory",VLOOKUP($C412,Inventory!$B:$I,8,FALSE()),IF($E412="Non Inventory",VLOOKUP($C412,'Non Inventory'!$B:$I,8,FALSE()),IF($E412="Services",VLOOKUP($C412,Services!$B:$I,8,FALSE()),IF($E412="Patty Cash",VLOOKUP($C412,'Patty Cash'!$B:$J,8,FALSE()),0)))),0)</f>
        <v>0</v>
      </c>
      <c r="O412" s="217" t="str">
        <f t="shared" si="6"/>
        <v/>
      </c>
    </row>
    <row r="413" spans="1:15" ht="23.1" customHeight="1">
      <c r="A413" s="206" t="str">
        <f>IF(AND($B413="",$C413=""),"",MAX($A$3:A412)+1)</f>
        <v/>
      </c>
      <c r="B413" s="207"/>
      <c r="C413" s="208"/>
      <c r="D413" s="209" t="str">
        <f>IFERROR(IF($E413="Inventory",VLOOKUP($C413,Inventory!$B:$I,2,FALSE()),IF($E413="Non Inventory",VLOOKUP($C413,'Non Inventory'!$B:$I,2,FALSE()),IF($E413="Services",VLOOKUP($C413,Services!$B:$I,2,FALSE()),IF($E413="Patty Cash",VLOOKUP($C413,'Patty Cash'!$B:$J,2,FALSE()),"")))),"")</f>
        <v/>
      </c>
      <c r="E413" s="246"/>
      <c r="F413" s="210" t="str">
        <f>IFERROR(IF($E413="Inventory",VLOOKUP($C413,Inventory!$B:$I,3,FALSE()),IF($E413="Non Inventory",VLOOKUP($C413,'Non Inventory'!$B:$I,3,FALSE()),IF($E413="Services",VLOOKUP($C413,Services!$B:$I,3,FALSE()),IF($E413="Patty Cash",VLOOKUP($C413,'Patty Cash'!$B:$J,3,FALSE()),"")))),"")</f>
        <v/>
      </c>
      <c r="G413" s="211"/>
      <c r="H413" s="212" t="str">
        <f>IF($E413="","",IF($E413="Inventory",IFERROR(VLOOKUP($C413,Inventory!$B:$H,7,FALSE()),0),IF($E413="Non Inventory",IFERROR(VLOOKUP($C413,'Non Inventory'!$B:$H,7,FALSE()),0),IF($E413="Services",IFERROR(VLOOKUP($C413,Services!$B:$H,7,FALSE()),0),IF($E413="Patty Cash",IFERROR(VLOOKUP($C413,'Patty Cash'!$B:$H,7,FALSE()),0),0)))))</f>
        <v/>
      </c>
      <c r="I413" s="213"/>
      <c r="J413" s="214"/>
      <c r="K413" s="215"/>
      <c r="L413" s="197"/>
      <c r="M413" s="215"/>
      <c r="N413" s="216">
        <f>IFERROR(IF($E413="Inventory",VLOOKUP($C413,Inventory!$B:$I,8,FALSE()),IF($E413="Non Inventory",VLOOKUP($C413,'Non Inventory'!$B:$I,8,FALSE()),IF($E413="Services",VLOOKUP($C413,Services!$B:$I,8,FALSE()),IF($E413="Patty Cash",VLOOKUP($C413,'Patty Cash'!$B:$J,8,FALSE()),0)))),0)</f>
        <v>0</v>
      </c>
      <c r="O413" s="217" t="str">
        <f t="shared" si="6"/>
        <v/>
      </c>
    </row>
    <row r="414" spans="1:15" ht="23.1" customHeight="1">
      <c r="A414" s="206" t="str">
        <f>IF(AND($B414="",$C414=""),"",MAX($A$3:A413)+1)</f>
        <v/>
      </c>
      <c r="B414" s="207"/>
      <c r="C414" s="208"/>
      <c r="D414" s="209" t="str">
        <f>IFERROR(IF($E414="Inventory",VLOOKUP($C414,Inventory!$B:$I,2,FALSE()),IF($E414="Non Inventory",VLOOKUP($C414,'Non Inventory'!$B:$I,2,FALSE()),IF($E414="Services",VLOOKUP($C414,Services!$B:$I,2,FALSE()),IF($E414="Patty Cash",VLOOKUP($C414,'Patty Cash'!$B:$J,2,FALSE()),"")))),"")</f>
        <v/>
      </c>
      <c r="E414" s="246"/>
      <c r="F414" s="210" t="str">
        <f>IFERROR(IF($E414="Inventory",VLOOKUP($C414,Inventory!$B:$I,3,FALSE()),IF($E414="Non Inventory",VLOOKUP($C414,'Non Inventory'!$B:$I,3,FALSE()),IF($E414="Services",VLOOKUP($C414,Services!$B:$I,3,FALSE()),IF($E414="Patty Cash",VLOOKUP($C414,'Patty Cash'!$B:$J,3,FALSE()),"")))),"")</f>
        <v/>
      </c>
      <c r="G414" s="211"/>
      <c r="H414" s="212" t="str">
        <f>IF($E414="","",IF($E414="Inventory",IFERROR(VLOOKUP($C414,Inventory!$B:$H,7,FALSE()),0),IF($E414="Non Inventory",IFERROR(VLOOKUP($C414,'Non Inventory'!$B:$H,7,FALSE()),0),IF($E414="Services",IFERROR(VLOOKUP($C414,Services!$B:$H,7,FALSE()),0),IF($E414="Patty Cash",IFERROR(VLOOKUP($C414,'Patty Cash'!$B:$H,7,FALSE()),0),0)))))</f>
        <v/>
      </c>
      <c r="I414" s="213"/>
      <c r="J414" s="214"/>
      <c r="K414" s="215"/>
      <c r="L414" s="197"/>
      <c r="M414" s="215"/>
      <c r="N414" s="216">
        <f>IFERROR(IF($E414="Inventory",VLOOKUP($C414,Inventory!$B:$I,8,FALSE()),IF($E414="Non Inventory",VLOOKUP($C414,'Non Inventory'!$B:$I,8,FALSE()),IF($E414="Services",VLOOKUP($C414,Services!$B:$I,8,FALSE()),IF($E414="Patty Cash",VLOOKUP($C414,'Patty Cash'!$B:$J,8,FALSE()),0)))),0)</f>
        <v>0</v>
      </c>
      <c r="O414" s="217" t="str">
        <f t="shared" si="6"/>
        <v/>
      </c>
    </row>
    <row r="415" spans="1:15" ht="23.1" customHeight="1">
      <c r="A415" s="206" t="str">
        <f>IF(AND($B415="",$C415=""),"",MAX($A$3:A414)+1)</f>
        <v/>
      </c>
      <c r="B415" s="207"/>
      <c r="C415" s="208"/>
      <c r="D415" s="209" t="str">
        <f>IFERROR(IF($E415="Inventory",VLOOKUP($C415,Inventory!$B:$I,2,FALSE()),IF($E415="Non Inventory",VLOOKUP($C415,'Non Inventory'!$B:$I,2,FALSE()),IF($E415="Services",VLOOKUP($C415,Services!$B:$I,2,FALSE()),IF($E415="Patty Cash",VLOOKUP($C415,'Patty Cash'!$B:$J,2,FALSE()),"")))),"")</f>
        <v/>
      </c>
      <c r="E415" s="246"/>
      <c r="F415" s="210" t="str">
        <f>IFERROR(IF($E415="Inventory",VLOOKUP($C415,Inventory!$B:$I,3,FALSE()),IF($E415="Non Inventory",VLOOKUP($C415,'Non Inventory'!$B:$I,3,FALSE()),IF($E415="Services",VLOOKUP($C415,Services!$B:$I,3,FALSE()),IF($E415="Patty Cash",VLOOKUP($C415,'Patty Cash'!$B:$J,3,FALSE()),"")))),"")</f>
        <v/>
      </c>
      <c r="G415" s="211"/>
      <c r="H415" s="212" t="str">
        <f>IF($E415="","",IF($E415="Inventory",IFERROR(VLOOKUP($C415,Inventory!$B:$H,7,FALSE()),0),IF($E415="Non Inventory",IFERROR(VLOOKUP($C415,'Non Inventory'!$B:$H,7,FALSE()),0),IF($E415="Services",IFERROR(VLOOKUP($C415,Services!$B:$H,7,FALSE()),0),IF($E415="Patty Cash",IFERROR(VLOOKUP($C415,'Patty Cash'!$B:$H,7,FALSE()),0),0)))))</f>
        <v/>
      </c>
      <c r="I415" s="213"/>
      <c r="J415" s="214"/>
      <c r="K415" s="215"/>
      <c r="L415" s="197"/>
      <c r="M415" s="215"/>
      <c r="N415" s="216">
        <f>IFERROR(IF($E415="Inventory",VLOOKUP($C415,Inventory!$B:$I,8,FALSE()),IF($E415="Non Inventory",VLOOKUP($C415,'Non Inventory'!$B:$I,8,FALSE()),IF($E415="Services",VLOOKUP($C415,Services!$B:$I,8,FALSE()),IF($E415="Patty Cash",VLOOKUP($C415,'Patty Cash'!$B:$J,8,FALSE()),0)))),0)</f>
        <v>0</v>
      </c>
      <c r="O415" s="217" t="str">
        <f t="shared" si="6"/>
        <v/>
      </c>
    </row>
    <row r="416" spans="1:15" ht="23.1" customHeight="1">
      <c r="A416" s="206" t="str">
        <f>IF(AND($B416="",$C416=""),"",MAX($A$3:A415)+1)</f>
        <v/>
      </c>
      <c r="B416" s="207"/>
      <c r="C416" s="208"/>
      <c r="D416" s="209" t="str">
        <f>IFERROR(IF($E416="Inventory",VLOOKUP($C416,Inventory!$B:$I,2,FALSE()),IF($E416="Non Inventory",VLOOKUP($C416,'Non Inventory'!$B:$I,2,FALSE()),IF($E416="Services",VLOOKUP($C416,Services!$B:$I,2,FALSE()),IF($E416="Patty Cash",VLOOKUP($C416,'Patty Cash'!$B:$J,2,FALSE()),"")))),"")</f>
        <v/>
      </c>
      <c r="E416" s="246"/>
      <c r="F416" s="210" t="str">
        <f>IFERROR(IF($E416="Inventory",VLOOKUP($C416,Inventory!$B:$I,3,FALSE()),IF($E416="Non Inventory",VLOOKUP($C416,'Non Inventory'!$B:$I,3,FALSE()),IF($E416="Services",VLOOKUP($C416,Services!$B:$I,3,FALSE()),IF($E416="Patty Cash",VLOOKUP($C416,'Patty Cash'!$B:$J,3,FALSE()),"")))),"")</f>
        <v/>
      </c>
      <c r="G416" s="211"/>
      <c r="H416" s="212" t="str">
        <f>IF($E416="","",IF($E416="Inventory",IFERROR(VLOOKUP($C416,Inventory!$B:$H,7,FALSE()),0),IF($E416="Non Inventory",IFERROR(VLOOKUP($C416,'Non Inventory'!$B:$H,7,FALSE()),0),IF($E416="Services",IFERROR(VLOOKUP($C416,Services!$B:$H,7,FALSE()),0),IF($E416="Patty Cash",IFERROR(VLOOKUP($C416,'Patty Cash'!$B:$H,7,FALSE()),0),0)))))</f>
        <v/>
      </c>
      <c r="I416" s="213"/>
      <c r="J416" s="214"/>
      <c r="K416" s="215"/>
      <c r="L416" s="197"/>
      <c r="M416" s="215"/>
      <c r="N416" s="216">
        <f>IFERROR(IF($E416="Inventory",VLOOKUP($C416,Inventory!$B:$I,8,FALSE()),IF($E416="Non Inventory",VLOOKUP($C416,'Non Inventory'!$B:$I,8,FALSE()),IF($E416="Services",VLOOKUP($C416,Services!$B:$I,8,FALSE()),IF($E416="Patty Cash",VLOOKUP($C416,'Patty Cash'!$B:$J,8,FALSE()),0)))),0)</f>
        <v>0</v>
      </c>
      <c r="O416" s="217" t="str">
        <f t="shared" si="6"/>
        <v/>
      </c>
    </row>
    <row r="417" spans="1:15" ht="23.1" customHeight="1">
      <c r="A417" s="206" t="str">
        <f>IF(AND($B417="",$C417=""),"",MAX($A$3:A416)+1)</f>
        <v/>
      </c>
      <c r="B417" s="207"/>
      <c r="C417" s="208"/>
      <c r="D417" s="209" t="str">
        <f>IFERROR(IF($E417="Inventory",VLOOKUP($C417,Inventory!$B:$I,2,FALSE()),IF($E417="Non Inventory",VLOOKUP($C417,'Non Inventory'!$B:$I,2,FALSE()),IF($E417="Services",VLOOKUP($C417,Services!$B:$I,2,FALSE()),IF($E417="Patty Cash",VLOOKUP($C417,'Patty Cash'!$B:$J,2,FALSE()),"")))),"")</f>
        <v/>
      </c>
      <c r="E417" s="246"/>
      <c r="F417" s="210" t="str">
        <f>IFERROR(IF($E417="Inventory",VLOOKUP($C417,Inventory!$B:$I,3,FALSE()),IF($E417="Non Inventory",VLOOKUP($C417,'Non Inventory'!$B:$I,3,FALSE()),IF($E417="Services",VLOOKUP($C417,Services!$B:$I,3,FALSE()),IF($E417="Patty Cash",VLOOKUP($C417,'Patty Cash'!$B:$J,3,FALSE()),"")))),"")</f>
        <v/>
      </c>
      <c r="G417" s="211"/>
      <c r="H417" s="212" t="str">
        <f>IF($E417="","",IF($E417="Inventory",IFERROR(VLOOKUP($C417,Inventory!$B:$H,7,FALSE()),0),IF($E417="Non Inventory",IFERROR(VLOOKUP($C417,'Non Inventory'!$B:$H,7,FALSE()),0),IF($E417="Services",IFERROR(VLOOKUP($C417,Services!$B:$H,7,FALSE()),0),IF($E417="Patty Cash",IFERROR(VLOOKUP($C417,'Patty Cash'!$B:$H,7,FALSE()),0),0)))))</f>
        <v/>
      </c>
      <c r="I417" s="213"/>
      <c r="J417" s="214"/>
      <c r="K417" s="215"/>
      <c r="L417" s="197"/>
      <c r="M417" s="215"/>
      <c r="N417" s="216">
        <f>IFERROR(IF($E417="Inventory",VLOOKUP($C417,Inventory!$B:$I,8,FALSE()),IF($E417="Non Inventory",VLOOKUP($C417,'Non Inventory'!$B:$I,8,FALSE()),IF($E417="Services",VLOOKUP($C417,Services!$B:$I,8,FALSE()),IF($E417="Patty Cash",VLOOKUP($C417,'Patty Cash'!$B:$J,8,FALSE()),0)))),0)</f>
        <v>0</v>
      </c>
      <c r="O417" s="217" t="str">
        <f t="shared" si="6"/>
        <v/>
      </c>
    </row>
    <row r="418" spans="1:15" ht="23.1" customHeight="1">
      <c r="A418" s="206" t="str">
        <f>IF(AND($B418="",$C418=""),"",MAX($A$3:A417)+1)</f>
        <v/>
      </c>
      <c r="B418" s="207"/>
      <c r="C418" s="208"/>
      <c r="D418" s="209" t="str">
        <f>IFERROR(IF($E418="Inventory",VLOOKUP($C418,Inventory!$B:$I,2,FALSE()),IF($E418="Non Inventory",VLOOKUP($C418,'Non Inventory'!$B:$I,2,FALSE()),IF($E418="Services",VLOOKUP($C418,Services!$B:$I,2,FALSE()),IF($E418="Patty Cash",VLOOKUP($C418,'Patty Cash'!$B:$J,2,FALSE()),"")))),"")</f>
        <v/>
      </c>
      <c r="E418" s="246"/>
      <c r="F418" s="210" t="str">
        <f>IFERROR(IF($E418="Inventory",VLOOKUP($C418,Inventory!$B:$I,3,FALSE()),IF($E418="Non Inventory",VLOOKUP($C418,'Non Inventory'!$B:$I,3,FALSE()),IF($E418="Services",VLOOKUP($C418,Services!$B:$I,3,FALSE()),IF($E418="Patty Cash",VLOOKUP($C418,'Patty Cash'!$B:$J,3,FALSE()),"")))),"")</f>
        <v/>
      </c>
      <c r="G418" s="211"/>
      <c r="H418" s="212" t="str">
        <f>IF($E418="","",IF($E418="Inventory",IFERROR(VLOOKUP($C418,Inventory!$B:$H,7,FALSE()),0),IF($E418="Non Inventory",IFERROR(VLOOKUP($C418,'Non Inventory'!$B:$H,7,FALSE()),0),IF($E418="Services",IFERROR(VLOOKUP($C418,Services!$B:$H,7,FALSE()),0),IF($E418="Patty Cash",IFERROR(VLOOKUP($C418,'Patty Cash'!$B:$H,7,FALSE()),0),0)))))</f>
        <v/>
      </c>
      <c r="I418" s="213"/>
      <c r="J418" s="214"/>
      <c r="K418" s="215"/>
      <c r="L418" s="197"/>
      <c r="M418" s="215"/>
      <c r="N418" s="216">
        <f>IFERROR(IF($E418="Inventory",VLOOKUP($C418,Inventory!$B:$I,8,FALSE()),IF($E418="Non Inventory",VLOOKUP($C418,'Non Inventory'!$B:$I,8,FALSE()),IF($E418="Services",VLOOKUP($C418,Services!$B:$I,8,FALSE()),IF($E418="Patty Cash",VLOOKUP($C418,'Patty Cash'!$B:$J,8,FALSE()),0)))),0)</f>
        <v>0</v>
      </c>
      <c r="O418" s="217" t="str">
        <f t="shared" si="6"/>
        <v/>
      </c>
    </row>
    <row r="419" spans="1:15" ht="23.1" customHeight="1">
      <c r="A419" s="206" t="str">
        <f>IF(AND($B419="",$C419=""),"",MAX($A$3:A418)+1)</f>
        <v/>
      </c>
      <c r="B419" s="207"/>
      <c r="C419" s="208"/>
      <c r="D419" s="209" t="str">
        <f>IFERROR(IF($E419="Inventory",VLOOKUP($C419,Inventory!$B:$I,2,FALSE()),IF($E419="Non Inventory",VLOOKUP($C419,'Non Inventory'!$B:$I,2,FALSE()),IF($E419="Services",VLOOKUP($C419,Services!$B:$I,2,FALSE()),IF($E419="Patty Cash",VLOOKUP($C419,'Patty Cash'!$B:$J,2,FALSE()),"")))),"")</f>
        <v/>
      </c>
      <c r="E419" s="246"/>
      <c r="F419" s="210" t="str">
        <f>IFERROR(IF($E419="Inventory",VLOOKUP($C419,Inventory!$B:$I,3,FALSE()),IF($E419="Non Inventory",VLOOKUP($C419,'Non Inventory'!$B:$I,3,FALSE()),IF($E419="Services",VLOOKUP($C419,Services!$B:$I,3,FALSE()),IF($E419="Patty Cash",VLOOKUP($C419,'Patty Cash'!$B:$J,3,FALSE()),"")))),"")</f>
        <v/>
      </c>
      <c r="G419" s="211"/>
      <c r="H419" s="212" t="str">
        <f>IF($E419="","",IF($E419="Inventory",IFERROR(VLOOKUP($C419,Inventory!$B:$H,7,FALSE()),0),IF($E419="Non Inventory",IFERROR(VLOOKUP($C419,'Non Inventory'!$B:$H,7,FALSE()),0),IF($E419="Services",IFERROR(VLOOKUP($C419,Services!$B:$H,7,FALSE()),0),IF($E419="Patty Cash",IFERROR(VLOOKUP($C419,'Patty Cash'!$B:$H,7,FALSE()),0),0)))))</f>
        <v/>
      </c>
      <c r="I419" s="213"/>
      <c r="J419" s="214"/>
      <c r="K419" s="215"/>
      <c r="L419" s="197"/>
      <c r="M419" s="215"/>
      <c r="N419" s="216">
        <f>IFERROR(IF($E419="Inventory",VLOOKUP($C419,Inventory!$B:$I,8,FALSE()),IF($E419="Non Inventory",VLOOKUP($C419,'Non Inventory'!$B:$I,8,FALSE()),IF($E419="Services",VLOOKUP($C419,Services!$B:$I,8,FALSE()),IF($E419="Patty Cash",VLOOKUP($C419,'Patty Cash'!$B:$J,8,FALSE()),0)))),0)</f>
        <v>0</v>
      </c>
      <c r="O419" s="217" t="str">
        <f t="shared" si="6"/>
        <v/>
      </c>
    </row>
    <row r="420" spans="1:15" ht="23.1" customHeight="1">
      <c r="A420" s="206" t="str">
        <f>IF(AND($B420="",$C420=""),"",MAX($A$3:A419)+1)</f>
        <v/>
      </c>
      <c r="B420" s="207"/>
      <c r="C420" s="208"/>
      <c r="D420" s="209" t="str">
        <f>IFERROR(IF($E420="Inventory",VLOOKUP($C420,Inventory!$B:$I,2,FALSE()),IF($E420="Non Inventory",VLOOKUP($C420,'Non Inventory'!$B:$I,2,FALSE()),IF($E420="Services",VLOOKUP($C420,Services!$B:$I,2,FALSE()),IF($E420="Patty Cash",VLOOKUP($C420,'Patty Cash'!$B:$J,2,FALSE()),"")))),"")</f>
        <v/>
      </c>
      <c r="E420" s="246"/>
      <c r="F420" s="210" t="str">
        <f>IFERROR(IF($E420="Inventory",VLOOKUP($C420,Inventory!$B:$I,3,FALSE()),IF($E420="Non Inventory",VLOOKUP($C420,'Non Inventory'!$B:$I,3,FALSE()),IF($E420="Services",VLOOKUP($C420,Services!$B:$I,3,FALSE()),IF($E420="Patty Cash",VLOOKUP($C420,'Patty Cash'!$B:$J,3,FALSE()),"")))),"")</f>
        <v/>
      </c>
      <c r="G420" s="211"/>
      <c r="H420" s="212" t="str">
        <f>IF($E420="","",IF($E420="Inventory",IFERROR(VLOOKUP($C420,Inventory!$B:$H,7,FALSE()),0),IF($E420="Non Inventory",IFERROR(VLOOKUP($C420,'Non Inventory'!$B:$H,7,FALSE()),0),IF($E420="Services",IFERROR(VLOOKUP($C420,Services!$B:$H,7,FALSE()),0),IF($E420="Patty Cash",IFERROR(VLOOKUP($C420,'Patty Cash'!$B:$H,7,FALSE()),0),0)))))</f>
        <v/>
      </c>
      <c r="I420" s="213"/>
      <c r="J420" s="214"/>
      <c r="K420" s="215"/>
      <c r="L420" s="197"/>
      <c r="M420" s="215"/>
      <c r="N420" s="216">
        <f>IFERROR(IF($E420="Inventory",VLOOKUP($C420,Inventory!$B:$I,8,FALSE()),IF($E420="Non Inventory",VLOOKUP($C420,'Non Inventory'!$B:$I,8,FALSE()),IF($E420="Services",VLOOKUP($C420,Services!$B:$I,8,FALSE()),IF($E420="Patty Cash",VLOOKUP($C420,'Patty Cash'!$B:$J,8,FALSE()),0)))),0)</f>
        <v>0</v>
      </c>
      <c r="O420" s="217" t="str">
        <f t="shared" si="6"/>
        <v/>
      </c>
    </row>
    <row r="421" spans="1:15" ht="23.1" customHeight="1">
      <c r="A421" s="206" t="str">
        <f>IF(AND($B421="",$C421=""),"",MAX($A$3:A420)+1)</f>
        <v/>
      </c>
      <c r="B421" s="207"/>
      <c r="C421" s="208"/>
      <c r="D421" s="209" t="str">
        <f>IFERROR(IF($E421="Inventory",VLOOKUP($C421,Inventory!$B:$I,2,FALSE()),IF($E421="Non Inventory",VLOOKUP($C421,'Non Inventory'!$B:$I,2,FALSE()),IF($E421="Services",VLOOKUP($C421,Services!$B:$I,2,FALSE()),IF($E421="Patty Cash",VLOOKUP($C421,'Patty Cash'!$B:$J,2,FALSE()),"")))),"")</f>
        <v/>
      </c>
      <c r="E421" s="246"/>
      <c r="F421" s="210" t="str">
        <f>IFERROR(IF($E421="Inventory",VLOOKUP($C421,Inventory!$B:$I,3,FALSE()),IF($E421="Non Inventory",VLOOKUP($C421,'Non Inventory'!$B:$I,3,FALSE()),IF($E421="Services",VLOOKUP($C421,Services!$B:$I,3,FALSE()),IF($E421="Patty Cash",VLOOKUP($C421,'Patty Cash'!$B:$J,3,FALSE()),"")))),"")</f>
        <v/>
      </c>
      <c r="G421" s="211"/>
      <c r="H421" s="212" t="str">
        <f>IF($E421="","",IF($E421="Inventory",IFERROR(VLOOKUP($C421,Inventory!$B:$H,7,FALSE()),0),IF($E421="Non Inventory",IFERROR(VLOOKUP($C421,'Non Inventory'!$B:$H,7,FALSE()),0),IF($E421="Services",IFERROR(VLOOKUP($C421,Services!$B:$H,7,FALSE()),0),IF($E421="Patty Cash",IFERROR(VLOOKUP($C421,'Patty Cash'!$B:$H,7,FALSE()),0),0)))))</f>
        <v/>
      </c>
      <c r="I421" s="213"/>
      <c r="J421" s="214"/>
      <c r="K421" s="215"/>
      <c r="L421" s="197"/>
      <c r="M421" s="215"/>
      <c r="N421" s="216">
        <f>IFERROR(IF($E421="Inventory",VLOOKUP($C421,Inventory!$B:$I,8,FALSE()),IF($E421="Non Inventory",VLOOKUP($C421,'Non Inventory'!$B:$I,8,FALSE()),IF($E421="Services",VLOOKUP($C421,Services!$B:$I,8,FALSE()),IF($E421="Patty Cash",VLOOKUP($C421,'Patty Cash'!$B:$J,8,FALSE()),0)))),0)</f>
        <v>0</v>
      </c>
      <c r="O421" s="217" t="str">
        <f t="shared" si="6"/>
        <v/>
      </c>
    </row>
    <row r="422" spans="1:15" ht="23.1" customHeight="1">
      <c r="A422" s="206" t="str">
        <f>IF(AND($B422="",$C422=""),"",MAX($A$3:A421)+1)</f>
        <v/>
      </c>
      <c r="B422" s="207"/>
      <c r="C422" s="208"/>
      <c r="D422" s="209" t="str">
        <f>IFERROR(IF($E422="Inventory",VLOOKUP($C422,Inventory!$B:$I,2,FALSE()),IF($E422="Non Inventory",VLOOKUP($C422,'Non Inventory'!$B:$I,2,FALSE()),IF($E422="Services",VLOOKUP($C422,Services!$B:$I,2,FALSE()),IF($E422="Patty Cash",VLOOKUP($C422,'Patty Cash'!$B:$J,2,FALSE()),"")))),"")</f>
        <v/>
      </c>
      <c r="E422" s="246"/>
      <c r="F422" s="210" t="str">
        <f>IFERROR(IF($E422="Inventory",VLOOKUP($C422,Inventory!$B:$I,3,FALSE()),IF($E422="Non Inventory",VLOOKUP($C422,'Non Inventory'!$B:$I,3,FALSE()),IF($E422="Services",VLOOKUP($C422,Services!$B:$I,3,FALSE()),IF($E422="Patty Cash",VLOOKUP($C422,'Patty Cash'!$B:$J,3,FALSE()),"")))),"")</f>
        <v/>
      </c>
      <c r="G422" s="211"/>
      <c r="H422" s="212" t="str">
        <f>IF($E422="","",IF($E422="Inventory",IFERROR(VLOOKUP($C422,Inventory!$B:$H,7,FALSE()),0),IF($E422="Non Inventory",IFERROR(VLOOKUP($C422,'Non Inventory'!$B:$H,7,FALSE()),0),IF($E422="Services",IFERROR(VLOOKUP($C422,Services!$B:$H,7,FALSE()),0),IF($E422="Patty Cash",IFERROR(VLOOKUP($C422,'Patty Cash'!$B:$H,7,FALSE()),0),0)))))</f>
        <v/>
      </c>
      <c r="I422" s="213"/>
      <c r="J422" s="214"/>
      <c r="K422" s="215"/>
      <c r="L422" s="197"/>
      <c r="M422" s="215"/>
      <c r="N422" s="216">
        <f>IFERROR(IF($E422="Inventory",VLOOKUP($C422,Inventory!$B:$I,8,FALSE()),IF($E422="Non Inventory",VLOOKUP($C422,'Non Inventory'!$B:$I,8,FALSE()),IF($E422="Services",VLOOKUP($C422,Services!$B:$I,8,FALSE()),IF($E422="Patty Cash",VLOOKUP($C422,'Patty Cash'!$B:$J,8,FALSE()),0)))),0)</f>
        <v>0</v>
      </c>
      <c r="O422" s="217" t="str">
        <f t="shared" si="6"/>
        <v/>
      </c>
    </row>
    <row r="423" spans="1:15" ht="23.1" customHeight="1">
      <c r="A423" s="206" t="str">
        <f>IF(AND($B423="",$C423=""),"",MAX($A$3:A422)+1)</f>
        <v/>
      </c>
      <c r="B423" s="207"/>
      <c r="C423" s="208"/>
      <c r="D423" s="209" t="str">
        <f>IFERROR(IF($E423="Inventory",VLOOKUP($C423,Inventory!$B:$I,2,FALSE()),IF($E423="Non Inventory",VLOOKUP($C423,'Non Inventory'!$B:$I,2,FALSE()),IF($E423="Services",VLOOKUP($C423,Services!$B:$I,2,FALSE()),IF($E423="Patty Cash",VLOOKUP($C423,'Patty Cash'!$B:$J,2,FALSE()),"")))),"")</f>
        <v/>
      </c>
      <c r="E423" s="246"/>
      <c r="F423" s="210" t="str">
        <f>IFERROR(IF($E423="Inventory",VLOOKUP($C423,Inventory!$B:$I,3,FALSE()),IF($E423="Non Inventory",VLOOKUP($C423,'Non Inventory'!$B:$I,3,FALSE()),IF($E423="Services",VLOOKUP($C423,Services!$B:$I,3,FALSE()),IF($E423="Patty Cash",VLOOKUP($C423,'Patty Cash'!$B:$J,3,FALSE()),"")))),"")</f>
        <v/>
      </c>
      <c r="G423" s="211"/>
      <c r="H423" s="212" t="str">
        <f>IF($E423="","",IF($E423="Inventory",IFERROR(VLOOKUP($C423,Inventory!$B:$H,7,FALSE()),0),IF($E423="Non Inventory",IFERROR(VLOOKUP($C423,'Non Inventory'!$B:$H,7,FALSE()),0),IF($E423="Services",IFERROR(VLOOKUP($C423,Services!$B:$H,7,FALSE()),0),IF($E423="Patty Cash",IFERROR(VLOOKUP($C423,'Patty Cash'!$B:$H,7,FALSE()),0),0)))))</f>
        <v/>
      </c>
      <c r="I423" s="213"/>
      <c r="J423" s="214"/>
      <c r="K423" s="215"/>
      <c r="L423" s="197"/>
      <c r="M423" s="215"/>
      <c r="N423" s="216">
        <f>IFERROR(IF($E423="Inventory",VLOOKUP($C423,Inventory!$B:$I,8,FALSE()),IF($E423="Non Inventory",VLOOKUP($C423,'Non Inventory'!$B:$I,8,FALSE()),IF($E423="Services",VLOOKUP($C423,Services!$B:$I,8,FALSE()),IF($E423="Patty Cash",VLOOKUP($C423,'Patty Cash'!$B:$J,8,FALSE()),0)))),0)</f>
        <v>0</v>
      </c>
      <c r="O423" s="217" t="str">
        <f t="shared" si="6"/>
        <v/>
      </c>
    </row>
    <row r="424" spans="1:15" ht="23.1" customHeight="1">
      <c r="A424" s="206" t="str">
        <f>IF(AND($B424="",$C424=""),"",MAX($A$3:A423)+1)</f>
        <v/>
      </c>
      <c r="B424" s="207"/>
      <c r="C424" s="208"/>
      <c r="D424" s="209" t="str">
        <f>IFERROR(IF($E424="Inventory",VLOOKUP($C424,Inventory!$B:$I,2,FALSE()),IF($E424="Non Inventory",VLOOKUP($C424,'Non Inventory'!$B:$I,2,FALSE()),IF($E424="Services",VLOOKUP($C424,Services!$B:$I,2,FALSE()),IF($E424="Patty Cash",VLOOKUP($C424,'Patty Cash'!$B:$J,2,FALSE()),"")))),"")</f>
        <v/>
      </c>
      <c r="E424" s="246"/>
      <c r="F424" s="210" t="str">
        <f>IFERROR(IF($E424="Inventory",VLOOKUP($C424,Inventory!$B:$I,3,FALSE()),IF($E424="Non Inventory",VLOOKUP($C424,'Non Inventory'!$B:$I,3,FALSE()),IF($E424="Services",VLOOKUP($C424,Services!$B:$I,3,FALSE()),IF($E424="Patty Cash",VLOOKUP($C424,'Patty Cash'!$B:$J,3,FALSE()),"")))),"")</f>
        <v/>
      </c>
      <c r="G424" s="211"/>
      <c r="H424" s="212" t="str">
        <f>IF($E424="","",IF($E424="Inventory",IFERROR(VLOOKUP($C424,Inventory!$B:$H,7,FALSE()),0),IF($E424="Non Inventory",IFERROR(VLOOKUP($C424,'Non Inventory'!$B:$H,7,FALSE()),0),IF($E424="Services",IFERROR(VLOOKUP($C424,Services!$B:$H,7,FALSE()),0),IF($E424="Patty Cash",IFERROR(VLOOKUP($C424,'Patty Cash'!$B:$H,7,FALSE()),0),0)))))</f>
        <v/>
      </c>
      <c r="I424" s="213"/>
      <c r="J424" s="214"/>
      <c r="K424" s="215"/>
      <c r="L424" s="197"/>
      <c r="M424" s="215"/>
      <c r="N424" s="216">
        <f>IFERROR(IF($E424="Inventory",VLOOKUP($C424,Inventory!$B:$I,8,FALSE()),IF($E424="Non Inventory",VLOOKUP($C424,'Non Inventory'!$B:$I,8,FALSE()),IF($E424="Services",VLOOKUP($C424,Services!$B:$I,8,FALSE()),IF($E424="Patty Cash",VLOOKUP($C424,'Patty Cash'!$B:$J,8,FALSE()),0)))),0)</f>
        <v>0</v>
      </c>
      <c r="O424" s="217" t="str">
        <f t="shared" si="6"/>
        <v/>
      </c>
    </row>
    <row r="425" spans="1:15" ht="23.1" customHeight="1">
      <c r="A425" s="206" t="str">
        <f>IF(AND($B425="",$C425=""),"",MAX($A$3:A424)+1)</f>
        <v/>
      </c>
      <c r="B425" s="207"/>
      <c r="C425" s="208"/>
      <c r="D425" s="209" t="str">
        <f>IFERROR(IF($E425="Inventory",VLOOKUP($C425,Inventory!$B:$I,2,FALSE()),IF($E425="Non Inventory",VLOOKUP($C425,'Non Inventory'!$B:$I,2,FALSE()),IF($E425="Services",VLOOKUP($C425,Services!$B:$I,2,FALSE()),IF($E425="Patty Cash",VLOOKUP($C425,'Patty Cash'!$B:$J,2,FALSE()),"")))),"")</f>
        <v/>
      </c>
      <c r="E425" s="246"/>
      <c r="F425" s="210" t="str">
        <f>IFERROR(IF($E425="Inventory",VLOOKUP($C425,Inventory!$B:$I,3,FALSE()),IF($E425="Non Inventory",VLOOKUP($C425,'Non Inventory'!$B:$I,3,FALSE()),IF($E425="Services",VLOOKUP($C425,Services!$B:$I,3,FALSE()),IF($E425="Patty Cash",VLOOKUP($C425,'Patty Cash'!$B:$J,3,FALSE()),"")))),"")</f>
        <v/>
      </c>
      <c r="G425" s="211"/>
      <c r="H425" s="212" t="str">
        <f>IF($E425="","",IF($E425="Inventory",IFERROR(VLOOKUP($C425,Inventory!$B:$H,7,FALSE()),0),IF($E425="Non Inventory",IFERROR(VLOOKUP($C425,'Non Inventory'!$B:$H,7,FALSE()),0),IF($E425="Services",IFERROR(VLOOKUP($C425,Services!$B:$H,7,FALSE()),0),IF($E425="Patty Cash",IFERROR(VLOOKUP($C425,'Patty Cash'!$B:$H,7,FALSE()),0),0)))))</f>
        <v/>
      </c>
      <c r="I425" s="213"/>
      <c r="J425" s="214"/>
      <c r="K425" s="215"/>
      <c r="L425" s="197"/>
      <c r="M425" s="215"/>
      <c r="N425" s="216">
        <f>IFERROR(IF($E425="Inventory",VLOOKUP($C425,Inventory!$B:$I,8,FALSE()),IF($E425="Non Inventory",VLOOKUP($C425,'Non Inventory'!$B:$I,8,FALSE()),IF($E425="Services",VLOOKUP($C425,Services!$B:$I,8,FALSE()),IF($E425="Patty Cash",VLOOKUP($C425,'Patty Cash'!$B:$J,8,FALSE()),0)))),0)</f>
        <v>0</v>
      </c>
      <c r="O425" s="217" t="str">
        <f t="shared" si="6"/>
        <v/>
      </c>
    </row>
    <row r="426" spans="1:15" ht="23.1" customHeight="1">
      <c r="A426" s="206" t="str">
        <f>IF(AND($B426="",$C426=""),"",MAX($A$3:A425)+1)</f>
        <v/>
      </c>
      <c r="B426" s="207"/>
      <c r="C426" s="208"/>
      <c r="D426" s="209" t="str">
        <f>IFERROR(IF($E426="Inventory",VLOOKUP($C426,Inventory!$B:$I,2,FALSE()),IF($E426="Non Inventory",VLOOKUP($C426,'Non Inventory'!$B:$I,2,FALSE()),IF($E426="Services",VLOOKUP($C426,Services!$B:$I,2,FALSE()),IF($E426="Patty Cash",VLOOKUP($C426,'Patty Cash'!$B:$J,2,FALSE()),"")))),"")</f>
        <v/>
      </c>
      <c r="E426" s="246"/>
      <c r="F426" s="210" t="str">
        <f>IFERROR(IF($E426="Inventory",VLOOKUP($C426,Inventory!$B:$I,3,FALSE()),IF($E426="Non Inventory",VLOOKUP($C426,'Non Inventory'!$B:$I,3,FALSE()),IF($E426="Services",VLOOKUP($C426,Services!$B:$I,3,FALSE()),IF($E426="Patty Cash",VLOOKUP($C426,'Patty Cash'!$B:$J,3,FALSE()),"")))),"")</f>
        <v/>
      </c>
      <c r="G426" s="211"/>
      <c r="H426" s="212" t="str">
        <f>IF($E426="","",IF($E426="Inventory",IFERROR(VLOOKUP($C426,Inventory!$B:$H,7,FALSE()),0),IF($E426="Non Inventory",IFERROR(VLOOKUP($C426,'Non Inventory'!$B:$H,7,FALSE()),0),IF($E426="Services",IFERROR(VLOOKUP($C426,Services!$B:$H,7,FALSE()),0),IF($E426="Patty Cash",IFERROR(VLOOKUP($C426,'Patty Cash'!$B:$H,7,FALSE()),0),0)))))</f>
        <v/>
      </c>
      <c r="I426" s="213"/>
      <c r="J426" s="214"/>
      <c r="K426" s="215"/>
      <c r="L426" s="197"/>
      <c r="M426" s="215"/>
      <c r="N426" s="216">
        <f>IFERROR(IF($E426="Inventory",VLOOKUP($C426,Inventory!$B:$I,8,FALSE()),IF($E426="Non Inventory",VLOOKUP($C426,'Non Inventory'!$B:$I,8,FALSE()),IF($E426="Services",VLOOKUP($C426,Services!$B:$I,8,FALSE()),IF($E426="Patty Cash",VLOOKUP($C426,'Patty Cash'!$B:$J,8,FALSE()),0)))),0)</f>
        <v>0</v>
      </c>
      <c r="O426" s="217" t="str">
        <f t="shared" si="6"/>
        <v/>
      </c>
    </row>
    <row r="427" spans="1:15" ht="23.1" customHeight="1">
      <c r="A427" s="206" t="str">
        <f>IF(AND($B427="",$C427=""),"",MAX($A$3:A426)+1)</f>
        <v/>
      </c>
      <c r="B427" s="207"/>
      <c r="C427" s="208"/>
      <c r="D427" s="209" t="str">
        <f>IFERROR(IF($E427="Inventory",VLOOKUP($C427,Inventory!$B:$I,2,FALSE()),IF($E427="Non Inventory",VLOOKUP($C427,'Non Inventory'!$B:$I,2,FALSE()),IF($E427="Services",VLOOKUP($C427,Services!$B:$I,2,FALSE()),IF($E427="Patty Cash",VLOOKUP($C427,'Patty Cash'!$B:$J,2,FALSE()),"")))),"")</f>
        <v/>
      </c>
      <c r="E427" s="246"/>
      <c r="F427" s="210" t="str">
        <f>IFERROR(IF($E427="Inventory",VLOOKUP($C427,Inventory!$B:$I,3,FALSE()),IF($E427="Non Inventory",VLOOKUP($C427,'Non Inventory'!$B:$I,3,FALSE()),IF($E427="Services",VLOOKUP($C427,Services!$B:$I,3,FALSE()),IF($E427="Patty Cash",VLOOKUP($C427,'Patty Cash'!$B:$J,3,FALSE()),"")))),"")</f>
        <v/>
      </c>
      <c r="G427" s="211"/>
      <c r="H427" s="212" t="str">
        <f>IF($E427="","",IF($E427="Inventory",IFERROR(VLOOKUP($C427,Inventory!$B:$H,7,FALSE()),0),IF($E427="Non Inventory",IFERROR(VLOOKUP($C427,'Non Inventory'!$B:$H,7,FALSE()),0),IF($E427="Services",IFERROR(VLOOKUP($C427,Services!$B:$H,7,FALSE()),0),IF($E427="Patty Cash",IFERROR(VLOOKUP($C427,'Patty Cash'!$B:$H,7,FALSE()),0),0)))))</f>
        <v/>
      </c>
      <c r="I427" s="213"/>
      <c r="J427" s="214"/>
      <c r="K427" s="215"/>
      <c r="L427" s="197"/>
      <c r="M427" s="215"/>
      <c r="N427" s="216">
        <f>IFERROR(IF($E427="Inventory",VLOOKUP($C427,Inventory!$B:$I,8,FALSE()),IF($E427="Non Inventory",VLOOKUP($C427,'Non Inventory'!$B:$I,8,FALSE()),IF($E427="Services",VLOOKUP($C427,Services!$B:$I,8,FALSE()),IF($E427="Patty Cash",VLOOKUP($C427,'Patty Cash'!$B:$J,8,FALSE()),0)))),0)</f>
        <v>0</v>
      </c>
      <c r="O427" s="217" t="str">
        <f t="shared" si="6"/>
        <v/>
      </c>
    </row>
    <row r="428" spans="1:15" ht="23.1" customHeight="1">
      <c r="A428" s="206" t="str">
        <f>IF(AND($B428="",$C428=""),"",MAX($A$3:A427)+1)</f>
        <v/>
      </c>
      <c r="B428" s="207"/>
      <c r="C428" s="208"/>
      <c r="D428" s="209" t="str">
        <f>IFERROR(IF($E428="Inventory",VLOOKUP($C428,Inventory!$B:$I,2,FALSE()),IF($E428="Non Inventory",VLOOKUP($C428,'Non Inventory'!$B:$I,2,FALSE()),IF($E428="Services",VLOOKUP($C428,Services!$B:$I,2,FALSE()),IF($E428="Patty Cash",VLOOKUP($C428,'Patty Cash'!$B:$J,2,FALSE()),"")))),"")</f>
        <v/>
      </c>
      <c r="E428" s="246"/>
      <c r="F428" s="210" t="str">
        <f>IFERROR(IF($E428="Inventory",VLOOKUP($C428,Inventory!$B:$I,3,FALSE()),IF($E428="Non Inventory",VLOOKUP($C428,'Non Inventory'!$B:$I,3,FALSE()),IF($E428="Services",VLOOKUP($C428,Services!$B:$I,3,FALSE()),IF($E428="Patty Cash",VLOOKUP($C428,'Patty Cash'!$B:$J,3,FALSE()),"")))),"")</f>
        <v/>
      </c>
      <c r="G428" s="211"/>
      <c r="H428" s="212" t="str">
        <f>IF($E428="","",IF($E428="Inventory",IFERROR(VLOOKUP($C428,Inventory!$B:$H,7,FALSE()),0),IF($E428="Non Inventory",IFERROR(VLOOKUP($C428,'Non Inventory'!$B:$H,7,FALSE()),0),IF($E428="Services",IFERROR(VLOOKUP($C428,Services!$B:$H,7,FALSE()),0),IF($E428="Patty Cash",IFERROR(VLOOKUP($C428,'Patty Cash'!$B:$H,7,FALSE()),0),0)))))</f>
        <v/>
      </c>
      <c r="I428" s="213"/>
      <c r="J428" s="214"/>
      <c r="K428" s="215"/>
      <c r="L428" s="197"/>
      <c r="M428" s="215"/>
      <c r="N428" s="216">
        <f>IFERROR(IF($E428="Inventory",VLOOKUP($C428,Inventory!$B:$I,8,FALSE()),IF($E428="Non Inventory",VLOOKUP($C428,'Non Inventory'!$B:$I,8,FALSE()),IF($E428="Services",VLOOKUP($C428,Services!$B:$I,8,FALSE()),IF($E428="Patty Cash",VLOOKUP($C428,'Patty Cash'!$B:$J,8,FALSE()),0)))),0)</f>
        <v>0</v>
      </c>
      <c r="O428" s="217" t="str">
        <f t="shared" si="6"/>
        <v/>
      </c>
    </row>
    <row r="429" spans="1:15" ht="23.1" customHeight="1">
      <c r="A429" s="206" t="str">
        <f>IF(AND($B429="",$C429=""),"",MAX($A$3:A428)+1)</f>
        <v/>
      </c>
      <c r="B429" s="207"/>
      <c r="C429" s="208"/>
      <c r="D429" s="209" t="str">
        <f>IFERROR(IF($E429="Inventory",VLOOKUP($C429,Inventory!$B:$I,2,FALSE()),IF($E429="Non Inventory",VLOOKUP($C429,'Non Inventory'!$B:$I,2,FALSE()),IF($E429="Services",VLOOKUP($C429,Services!$B:$I,2,FALSE()),IF($E429="Patty Cash",VLOOKUP($C429,'Patty Cash'!$B:$J,2,FALSE()),"")))),"")</f>
        <v/>
      </c>
      <c r="E429" s="246"/>
      <c r="F429" s="210" t="str">
        <f>IFERROR(IF($E429="Inventory",VLOOKUP($C429,Inventory!$B:$I,3,FALSE()),IF($E429="Non Inventory",VLOOKUP($C429,'Non Inventory'!$B:$I,3,FALSE()),IF($E429="Services",VLOOKUP($C429,Services!$B:$I,3,FALSE()),IF($E429="Patty Cash",VLOOKUP($C429,'Patty Cash'!$B:$J,3,FALSE()),"")))),"")</f>
        <v/>
      </c>
      <c r="G429" s="211"/>
      <c r="H429" s="212" t="str">
        <f>IF($E429="","",IF($E429="Inventory",IFERROR(VLOOKUP($C429,Inventory!$B:$H,7,FALSE()),0),IF($E429="Non Inventory",IFERROR(VLOOKUP($C429,'Non Inventory'!$B:$H,7,FALSE()),0),IF($E429="Services",IFERROR(VLOOKUP($C429,Services!$B:$H,7,FALSE()),0),IF($E429="Patty Cash",IFERROR(VLOOKUP($C429,'Patty Cash'!$B:$H,7,FALSE()),0),0)))))</f>
        <v/>
      </c>
      <c r="I429" s="213"/>
      <c r="J429" s="214"/>
      <c r="K429" s="215"/>
      <c r="L429" s="197"/>
      <c r="M429" s="215"/>
      <c r="N429" s="216">
        <f>IFERROR(IF($E429="Inventory",VLOOKUP($C429,Inventory!$B:$I,8,FALSE()),IF($E429="Non Inventory",VLOOKUP($C429,'Non Inventory'!$B:$I,8,FALSE()),IF($E429="Services",VLOOKUP($C429,Services!$B:$I,8,FALSE()),IF($E429="Patty Cash",VLOOKUP($C429,'Patty Cash'!$B:$J,8,FALSE()),0)))),0)</f>
        <v>0</v>
      </c>
      <c r="O429" s="217" t="str">
        <f t="shared" si="6"/>
        <v/>
      </c>
    </row>
    <row r="430" spans="1:15" ht="23.1" customHeight="1">
      <c r="A430" s="206" t="str">
        <f>IF(AND($B430="",$C430=""),"",MAX($A$3:A429)+1)</f>
        <v/>
      </c>
      <c r="B430" s="207"/>
      <c r="C430" s="208"/>
      <c r="D430" s="209" t="str">
        <f>IFERROR(IF($E430="Inventory",VLOOKUP($C430,Inventory!$B:$I,2,FALSE()),IF($E430="Non Inventory",VLOOKUP($C430,'Non Inventory'!$B:$I,2,FALSE()),IF($E430="Services",VLOOKUP($C430,Services!$B:$I,2,FALSE()),IF($E430="Patty Cash",VLOOKUP($C430,'Patty Cash'!$B:$J,2,FALSE()),"")))),"")</f>
        <v/>
      </c>
      <c r="E430" s="246"/>
      <c r="F430" s="210" t="str">
        <f>IFERROR(IF($E430="Inventory",VLOOKUP($C430,Inventory!$B:$I,3,FALSE()),IF($E430="Non Inventory",VLOOKUP($C430,'Non Inventory'!$B:$I,3,FALSE()),IF($E430="Services",VLOOKUP($C430,Services!$B:$I,3,FALSE()),IF($E430="Patty Cash",VLOOKUP($C430,'Patty Cash'!$B:$J,3,FALSE()),"")))),"")</f>
        <v/>
      </c>
      <c r="G430" s="211"/>
      <c r="H430" s="212" t="str">
        <f>IF($E430="","",IF($E430="Inventory",IFERROR(VLOOKUP($C430,Inventory!$B:$H,7,FALSE()),0),IF($E430="Non Inventory",IFERROR(VLOOKUP($C430,'Non Inventory'!$B:$H,7,FALSE()),0),IF($E430="Services",IFERROR(VLOOKUP($C430,Services!$B:$H,7,FALSE()),0),IF($E430="Patty Cash",IFERROR(VLOOKUP($C430,'Patty Cash'!$B:$H,7,FALSE()),0),0)))))</f>
        <v/>
      </c>
      <c r="I430" s="213"/>
      <c r="J430" s="214"/>
      <c r="K430" s="215"/>
      <c r="L430" s="197"/>
      <c r="M430" s="215"/>
      <c r="N430" s="216">
        <f>IFERROR(IF($E430="Inventory",VLOOKUP($C430,Inventory!$B:$I,8,FALSE()),IF($E430="Non Inventory",VLOOKUP($C430,'Non Inventory'!$B:$I,8,FALSE()),IF($E430="Services",VLOOKUP($C430,Services!$B:$I,8,FALSE()),IF($E430="Patty Cash",VLOOKUP($C430,'Patty Cash'!$B:$J,8,FALSE()),0)))),0)</f>
        <v>0</v>
      </c>
      <c r="O430" s="217" t="str">
        <f t="shared" si="6"/>
        <v/>
      </c>
    </row>
    <row r="431" spans="1:15" ht="23.1" customHeight="1">
      <c r="A431" s="206" t="str">
        <f>IF(AND($B431="",$C431=""),"",MAX($A$3:A430)+1)</f>
        <v/>
      </c>
      <c r="B431" s="207"/>
      <c r="C431" s="208"/>
      <c r="D431" s="209" t="str">
        <f>IFERROR(IF($E431="Inventory",VLOOKUP($C431,Inventory!$B:$I,2,FALSE()),IF($E431="Non Inventory",VLOOKUP($C431,'Non Inventory'!$B:$I,2,FALSE()),IF($E431="Services",VLOOKUP($C431,Services!$B:$I,2,FALSE()),IF($E431="Patty Cash",VLOOKUP($C431,'Patty Cash'!$B:$J,2,FALSE()),"")))),"")</f>
        <v/>
      </c>
      <c r="E431" s="246"/>
      <c r="F431" s="210" t="str">
        <f>IFERROR(IF($E431="Inventory",VLOOKUP($C431,Inventory!$B:$I,3,FALSE()),IF($E431="Non Inventory",VLOOKUP($C431,'Non Inventory'!$B:$I,3,FALSE()),IF($E431="Services",VLOOKUP($C431,Services!$B:$I,3,FALSE()),IF($E431="Patty Cash",VLOOKUP($C431,'Patty Cash'!$B:$J,3,FALSE()),"")))),"")</f>
        <v/>
      </c>
      <c r="G431" s="211"/>
      <c r="H431" s="212" t="str">
        <f>IF($E431="","",IF($E431="Inventory",IFERROR(VLOOKUP($C431,Inventory!$B:$H,7,FALSE()),0),IF($E431="Non Inventory",IFERROR(VLOOKUP($C431,'Non Inventory'!$B:$H,7,FALSE()),0),IF($E431="Services",IFERROR(VLOOKUP($C431,Services!$B:$H,7,FALSE()),0),IF($E431="Patty Cash",IFERROR(VLOOKUP($C431,'Patty Cash'!$B:$H,7,FALSE()),0),0)))))</f>
        <v/>
      </c>
      <c r="I431" s="213"/>
      <c r="J431" s="214"/>
      <c r="K431" s="215"/>
      <c r="L431" s="197"/>
      <c r="M431" s="215"/>
      <c r="N431" s="216">
        <f>IFERROR(IF($E431="Inventory",VLOOKUP($C431,Inventory!$B:$I,8,FALSE()),IF($E431="Non Inventory",VLOOKUP($C431,'Non Inventory'!$B:$I,8,FALSE()),IF($E431="Services",VLOOKUP($C431,Services!$B:$I,8,FALSE()),IF($E431="Patty Cash",VLOOKUP($C431,'Patty Cash'!$B:$J,8,FALSE()),0)))),0)</f>
        <v>0</v>
      </c>
      <c r="O431" s="217" t="str">
        <f t="shared" si="6"/>
        <v/>
      </c>
    </row>
    <row r="432" spans="1:15" ht="23.1" customHeight="1">
      <c r="A432" s="206" t="str">
        <f>IF(AND($B432="",$C432=""),"",MAX($A$3:A431)+1)</f>
        <v/>
      </c>
      <c r="B432" s="207"/>
      <c r="C432" s="208"/>
      <c r="D432" s="209" t="str">
        <f>IFERROR(IF($E432="Inventory",VLOOKUP($C432,Inventory!$B:$I,2,FALSE()),IF($E432="Non Inventory",VLOOKUP($C432,'Non Inventory'!$B:$I,2,FALSE()),IF($E432="Services",VLOOKUP($C432,Services!$B:$I,2,FALSE()),IF($E432="Patty Cash",VLOOKUP($C432,'Patty Cash'!$B:$J,2,FALSE()),"")))),"")</f>
        <v/>
      </c>
      <c r="E432" s="246"/>
      <c r="F432" s="210" t="str">
        <f>IFERROR(IF($E432="Inventory",VLOOKUP($C432,Inventory!$B:$I,3,FALSE()),IF($E432="Non Inventory",VLOOKUP($C432,'Non Inventory'!$B:$I,3,FALSE()),IF($E432="Services",VLOOKUP($C432,Services!$B:$I,3,FALSE()),IF($E432="Patty Cash",VLOOKUP($C432,'Patty Cash'!$B:$J,3,FALSE()),"")))),"")</f>
        <v/>
      </c>
      <c r="G432" s="211"/>
      <c r="H432" s="212" t="str">
        <f>IF($E432="","",IF($E432="Inventory",IFERROR(VLOOKUP($C432,Inventory!$B:$H,7,FALSE()),0),IF($E432="Non Inventory",IFERROR(VLOOKUP($C432,'Non Inventory'!$B:$H,7,FALSE()),0),IF($E432="Services",IFERROR(VLOOKUP($C432,Services!$B:$H,7,FALSE()),0),IF($E432="Patty Cash",IFERROR(VLOOKUP($C432,'Patty Cash'!$B:$H,7,FALSE()),0),0)))))</f>
        <v/>
      </c>
      <c r="I432" s="213"/>
      <c r="J432" s="214"/>
      <c r="K432" s="215"/>
      <c r="L432" s="197"/>
      <c r="M432" s="215"/>
      <c r="N432" s="216">
        <f>IFERROR(IF($E432="Inventory",VLOOKUP($C432,Inventory!$B:$I,8,FALSE()),IF($E432="Non Inventory",VLOOKUP($C432,'Non Inventory'!$B:$I,8,FALSE()),IF($E432="Services",VLOOKUP($C432,Services!$B:$I,8,FALSE()),IF($E432="Patty Cash",VLOOKUP($C432,'Patty Cash'!$B:$J,8,FALSE()),0)))),0)</f>
        <v>0</v>
      </c>
      <c r="O432" s="217" t="str">
        <f t="shared" si="6"/>
        <v/>
      </c>
    </row>
    <row r="433" spans="1:15" ht="23.1" customHeight="1">
      <c r="A433" s="206" t="str">
        <f>IF(AND($B433="",$C433=""),"",MAX($A$3:A432)+1)</f>
        <v/>
      </c>
      <c r="B433" s="207"/>
      <c r="C433" s="208"/>
      <c r="D433" s="209" t="str">
        <f>IFERROR(IF($E433="Inventory",VLOOKUP($C433,Inventory!$B:$I,2,FALSE()),IF($E433="Non Inventory",VLOOKUP($C433,'Non Inventory'!$B:$I,2,FALSE()),IF($E433="Services",VLOOKUP($C433,Services!$B:$I,2,FALSE()),IF($E433="Patty Cash",VLOOKUP($C433,'Patty Cash'!$B:$J,2,FALSE()),"")))),"")</f>
        <v/>
      </c>
      <c r="E433" s="246"/>
      <c r="F433" s="210" t="str">
        <f>IFERROR(IF($E433="Inventory",VLOOKUP($C433,Inventory!$B:$I,3,FALSE()),IF($E433="Non Inventory",VLOOKUP($C433,'Non Inventory'!$B:$I,3,FALSE()),IF($E433="Services",VLOOKUP($C433,Services!$B:$I,3,FALSE()),IF($E433="Patty Cash",VLOOKUP($C433,'Patty Cash'!$B:$J,3,FALSE()),"")))),"")</f>
        <v/>
      </c>
      <c r="G433" s="211"/>
      <c r="H433" s="212" t="str">
        <f>IF($E433="","",IF($E433="Inventory",IFERROR(VLOOKUP($C433,Inventory!$B:$H,7,FALSE()),0),IF($E433="Non Inventory",IFERROR(VLOOKUP($C433,'Non Inventory'!$B:$H,7,FALSE()),0),IF($E433="Services",IFERROR(VLOOKUP($C433,Services!$B:$H,7,FALSE()),0),IF($E433="Patty Cash",IFERROR(VLOOKUP($C433,'Patty Cash'!$B:$H,7,FALSE()),0),0)))))</f>
        <v/>
      </c>
      <c r="I433" s="213"/>
      <c r="J433" s="214"/>
      <c r="K433" s="215"/>
      <c r="L433" s="197"/>
      <c r="M433" s="215"/>
      <c r="N433" s="216">
        <f>IFERROR(IF($E433="Inventory",VLOOKUP($C433,Inventory!$B:$I,8,FALSE()),IF($E433="Non Inventory",VLOOKUP($C433,'Non Inventory'!$B:$I,8,FALSE()),IF($E433="Services",VLOOKUP($C433,Services!$B:$I,8,FALSE()),IF($E433="Patty Cash",VLOOKUP($C433,'Patty Cash'!$B:$J,8,FALSE()),0)))),0)</f>
        <v>0</v>
      </c>
      <c r="O433" s="217" t="str">
        <f t="shared" si="6"/>
        <v/>
      </c>
    </row>
    <row r="434" spans="1:15" ht="23.1" customHeight="1">
      <c r="A434" s="206" t="str">
        <f>IF(AND($B434="",$C434=""),"",MAX($A$3:A433)+1)</f>
        <v/>
      </c>
      <c r="B434" s="207"/>
      <c r="C434" s="208"/>
      <c r="D434" s="209" t="str">
        <f>IFERROR(IF($E434="Inventory",VLOOKUP($C434,Inventory!$B:$I,2,FALSE()),IF($E434="Non Inventory",VLOOKUP($C434,'Non Inventory'!$B:$I,2,FALSE()),IF($E434="Services",VLOOKUP($C434,Services!$B:$I,2,FALSE()),IF($E434="Patty Cash",VLOOKUP($C434,'Patty Cash'!$B:$J,2,FALSE()),"")))),"")</f>
        <v/>
      </c>
      <c r="E434" s="246"/>
      <c r="F434" s="210" t="str">
        <f>IFERROR(IF($E434="Inventory",VLOOKUP($C434,Inventory!$B:$I,3,FALSE()),IF($E434="Non Inventory",VLOOKUP($C434,'Non Inventory'!$B:$I,3,FALSE()),IF($E434="Services",VLOOKUP($C434,Services!$B:$I,3,FALSE()),IF($E434="Patty Cash",VLOOKUP($C434,'Patty Cash'!$B:$J,3,FALSE()),"")))),"")</f>
        <v/>
      </c>
      <c r="G434" s="211"/>
      <c r="H434" s="212" t="str">
        <f>IF($E434="","",IF($E434="Inventory",IFERROR(VLOOKUP($C434,Inventory!$B:$H,7,FALSE()),0),IF($E434="Non Inventory",IFERROR(VLOOKUP($C434,'Non Inventory'!$B:$H,7,FALSE()),0),IF($E434="Services",IFERROR(VLOOKUP($C434,Services!$B:$H,7,FALSE()),0),IF($E434="Patty Cash",IFERROR(VLOOKUP($C434,'Patty Cash'!$B:$H,7,FALSE()),0),0)))))</f>
        <v/>
      </c>
      <c r="I434" s="213"/>
      <c r="J434" s="214"/>
      <c r="K434" s="215"/>
      <c r="L434" s="197"/>
      <c r="M434" s="215"/>
      <c r="N434" s="216">
        <f>IFERROR(IF($E434="Inventory",VLOOKUP($C434,Inventory!$B:$I,8,FALSE()),IF($E434="Non Inventory",VLOOKUP($C434,'Non Inventory'!$B:$I,8,FALSE()),IF($E434="Services",VLOOKUP($C434,Services!$B:$I,8,FALSE()),IF($E434="Patty Cash",VLOOKUP($C434,'Patty Cash'!$B:$J,8,FALSE()),0)))),0)</f>
        <v>0</v>
      </c>
      <c r="O434" s="217" t="str">
        <f t="shared" si="6"/>
        <v/>
      </c>
    </row>
    <row r="435" spans="1:15" ht="23.1" customHeight="1">
      <c r="A435" s="206" t="str">
        <f>IF(AND($B435="",$C435=""),"",MAX($A$3:A434)+1)</f>
        <v/>
      </c>
      <c r="B435" s="207"/>
      <c r="C435" s="208"/>
      <c r="D435" s="209" t="str">
        <f>IFERROR(IF($E435="Inventory",VLOOKUP($C435,Inventory!$B:$I,2,FALSE()),IF($E435="Non Inventory",VLOOKUP($C435,'Non Inventory'!$B:$I,2,FALSE()),IF($E435="Services",VLOOKUP($C435,Services!$B:$I,2,FALSE()),IF($E435="Patty Cash",VLOOKUP($C435,'Patty Cash'!$B:$J,2,FALSE()),"")))),"")</f>
        <v/>
      </c>
      <c r="E435" s="246"/>
      <c r="F435" s="210" t="str">
        <f>IFERROR(IF($E435="Inventory",VLOOKUP($C435,Inventory!$B:$I,3,FALSE()),IF($E435="Non Inventory",VLOOKUP($C435,'Non Inventory'!$B:$I,3,FALSE()),IF($E435="Services",VLOOKUP($C435,Services!$B:$I,3,FALSE()),IF($E435="Patty Cash",VLOOKUP($C435,'Patty Cash'!$B:$J,3,FALSE()),"")))),"")</f>
        <v/>
      </c>
      <c r="G435" s="211"/>
      <c r="H435" s="212" t="str">
        <f>IF($E435="","",IF($E435="Inventory",IFERROR(VLOOKUP($C435,Inventory!$B:$H,7,FALSE()),0),IF($E435="Non Inventory",IFERROR(VLOOKUP($C435,'Non Inventory'!$B:$H,7,FALSE()),0),IF($E435="Services",IFERROR(VLOOKUP($C435,Services!$B:$H,7,FALSE()),0),IF($E435="Patty Cash",IFERROR(VLOOKUP($C435,'Patty Cash'!$B:$H,7,FALSE()),0),0)))))</f>
        <v/>
      </c>
      <c r="I435" s="213"/>
      <c r="J435" s="214"/>
      <c r="K435" s="215"/>
      <c r="L435" s="197"/>
      <c r="M435" s="215"/>
      <c r="N435" s="216">
        <f>IFERROR(IF($E435="Inventory",VLOOKUP($C435,Inventory!$B:$I,8,FALSE()),IF($E435="Non Inventory",VLOOKUP($C435,'Non Inventory'!$B:$I,8,FALSE()),IF($E435="Services",VLOOKUP($C435,Services!$B:$I,8,FALSE()),IF($E435="Patty Cash",VLOOKUP($C435,'Patty Cash'!$B:$J,8,FALSE()),0)))),0)</f>
        <v>0</v>
      </c>
      <c r="O435" s="217" t="str">
        <f t="shared" si="6"/>
        <v/>
      </c>
    </row>
    <row r="436" spans="1:15" ht="23.1" customHeight="1">
      <c r="A436" s="206" t="str">
        <f>IF(AND($B436="",$C436=""),"",MAX($A$3:A435)+1)</f>
        <v/>
      </c>
      <c r="B436" s="207"/>
      <c r="C436" s="208"/>
      <c r="D436" s="209" t="str">
        <f>IFERROR(IF($E436="Inventory",VLOOKUP($C436,Inventory!$B:$I,2,FALSE()),IF($E436="Non Inventory",VLOOKUP($C436,'Non Inventory'!$B:$I,2,FALSE()),IF($E436="Services",VLOOKUP($C436,Services!$B:$I,2,FALSE()),IF($E436="Patty Cash",VLOOKUP($C436,'Patty Cash'!$B:$J,2,FALSE()),"")))),"")</f>
        <v/>
      </c>
      <c r="E436" s="246"/>
      <c r="F436" s="210" t="str">
        <f>IFERROR(IF($E436="Inventory",VLOOKUP($C436,Inventory!$B:$I,3,FALSE()),IF($E436="Non Inventory",VLOOKUP($C436,'Non Inventory'!$B:$I,3,FALSE()),IF($E436="Services",VLOOKUP($C436,Services!$B:$I,3,FALSE()),IF($E436="Patty Cash",VLOOKUP($C436,'Patty Cash'!$B:$J,3,FALSE()),"")))),"")</f>
        <v/>
      </c>
      <c r="G436" s="211"/>
      <c r="H436" s="212" t="str">
        <f>IF($E436="","",IF($E436="Inventory",IFERROR(VLOOKUP($C436,Inventory!$B:$H,7,FALSE()),0),IF($E436="Non Inventory",IFERROR(VLOOKUP($C436,'Non Inventory'!$B:$H,7,FALSE()),0),IF($E436="Services",IFERROR(VLOOKUP($C436,Services!$B:$H,7,FALSE()),0),IF($E436="Patty Cash",IFERROR(VLOOKUP($C436,'Patty Cash'!$B:$H,7,FALSE()),0),0)))))</f>
        <v/>
      </c>
      <c r="I436" s="213"/>
      <c r="J436" s="214"/>
      <c r="K436" s="215"/>
      <c r="L436" s="197"/>
      <c r="M436" s="215"/>
      <c r="N436" s="216">
        <f>IFERROR(IF($E436="Inventory",VLOOKUP($C436,Inventory!$B:$I,8,FALSE()),IF($E436="Non Inventory",VLOOKUP($C436,'Non Inventory'!$B:$I,8,FALSE()),IF($E436="Services",VLOOKUP($C436,Services!$B:$I,8,FALSE()),IF($E436="Patty Cash",VLOOKUP($C436,'Patty Cash'!$B:$J,8,FALSE()),0)))),0)</f>
        <v>0</v>
      </c>
      <c r="O436" s="217" t="str">
        <f t="shared" si="6"/>
        <v/>
      </c>
    </row>
    <row r="437" spans="1:15" ht="23.1" customHeight="1">
      <c r="A437" s="206" t="str">
        <f>IF(AND($B437="",$C437=""),"",MAX($A$3:A436)+1)</f>
        <v/>
      </c>
      <c r="B437" s="207"/>
      <c r="C437" s="208"/>
      <c r="D437" s="209" t="str">
        <f>IFERROR(IF($E437="Inventory",VLOOKUP($C437,Inventory!$B:$I,2,FALSE()),IF($E437="Non Inventory",VLOOKUP($C437,'Non Inventory'!$B:$I,2,FALSE()),IF($E437="Services",VLOOKUP($C437,Services!$B:$I,2,FALSE()),IF($E437="Patty Cash",VLOOKUP($C437,'Patty Cash'!$B:$J,2,FALSE()),"")))),"")</f>
        <v/>
      </c>
      <c r="E437" s="246"/>
      <c r="F437" s="210" t="str">
        <f>IFERROR(IF($E437="Inventory",VLOOKUP($C437,Inventory!$B:$I,3,FALSE()),IF($E437="Non Inventory",VLOOKUP($C437,'Non Inventory'!$B:$I,3,FALSE()),IF($E437="Services",VLOOKUP($C437,Services!$B:$I,3,FALSE()),IF($E437="Patty Cash",VLOOKUP($C437,'Patty Cash'!$B:$J,3,FALSE()),"")))),"")</f>
        <v/>
      </c>
      <c r="G437" s="211"/>
      <c r="H437" s="212" t="str">
        <f>IF($E437="","",IF($E437="Inventory",IFERROR(VLOOKUP($C437,Inventory!$B:$H,7,FALSE()),0),IF($E437="Non Inventory",IFERROR(VLOOKUP($C437,'Non Inventory'!$B:$H,7,FALSE()),0),IF($E437="Services",IFERROR(VLOOKUP($C437,Services!$B:$H,7,FALSE()),0),IF($E437="Patty Cash",IFERROR(VLOOKUP($C437,'Patty Cash'!$B:$H,7,FALSE()),0),0)))))</f>
        <v/>
      </c>
      <c r="I437" s="213"/>
      <c r="J437" s="214"/>
      <c r="K437" s="215"/>
      <c r="L437" s="197"/>
      <c r="M437" s="215"/>
      <c r="N437" s="216">
        <f>IFERROR(IF($E437="Inventory",VLOOKUP($C437,Inventory!$B:$I,8,FALSE()),IF($E437="Non Inventory",VLOOKUP($C437,'Non Inventory'!$B:$I,8,FALSE()),IF($E437="Services",VLOOKUP($C437,Services!$B:$I,8,FALSE()),IF($E437="Patty Cash",VLOOKUP($C437,'Patty Cash'!$B:$J,8,FALSE()),0)))),0)</f>
        <v>0</v>
      </c>
      <c r="O437" s="217" t="str">
        <f t="shared" si="6"/>
        <v/>
      </c>
    </row>
    <row r="438" spans="1:15" ht="23.1" customHeight="1">
      <c r="A438" s="206" t="str">
        <f>IF(AND($B438="",$C438=""),"",MAX($A$3:A437)+1)</f>
        <v/>
      </c>
      <c r="B438" s="207"/>
      <c r="C438" s="208"/>
      <c r="D438" s="209" t="str">
        <f>IFERROR(IF($E438="Inventory",VLOOKUP($C438,Inventory!$B:$I,2,FALSE()),IF($E438="Non Inventory",VLOOKUP($C438,'Non Inventory'!$B:$I,2,FALSE()),IF($E438="Services",VLOOKUP($C438,Services!$B:$I,2,FALSE()),IF($E438="Patty Cash",VLOOKUP($C438,'Patty Cash'!$B:$J,2,FALSE()),"")))),"")</f>
        <v/>
      </c>
      <c r="E438" s="246"/>
      <c r="F438" s="210" t="str">
        <f>IFERROR(IF($E438="Inventory",VLOOKUP($C438,Inventory!$B:$I,3,FALSE()),IF($E438="Non Inventory",VLOOKUP($C438,'Non Inventory'!$B:$I,3,FALSE()),IF($E438="Services",VLOOKUP($C438,Services!$B:$I,3,FALSE()),IF($E438="Patty Cash",VLOOKUP($C438,'Patty Cash'!$B:$J,3,FALSE()),"")))),"")</f>
        <v/>
      </c>
      <c r="G438" s="211"/>
      <c r="H438" s="212" t="str">
        <f>IF($E438="","",IF($E438="Inventory",IFERROR(VLOOKUP($C438,Inventory!$B:$H,7,FALSE()),0),IF($E438="Non Inventory",IFERROR(VLOOKUP($C438,'Non Inventory'!$B:$H,7,FALSE()),0),IF($E438="Services",IFERROR(VLOOKUP($C438,Services!$B:$H,7,FALSE()),0),IF($E438="Patty Cash",IFERROR(VLOOKUP($C438,'Patty Cash'!$B:$H,7,FALSE()),0),0)))))</f>
        <v/>
      </c>
      <c r="I438" s="213"/>
      <c r="J438" s="214"/>
      <c r="K438" s="215"/>
      <c r="L438" s="197"/>
      <c r="M438" s="215"/>
      <c r="N438" s="216">
        <f>IFERROR(IF($E438="Inventory",VLOOKUP($C438,Inventory!$B:$I,8,FALSE()),IF($E438="Non Inventory",VLOOKUP($C438,'Non Inventory'!$B:$I,8,FALSE()),IF($E438="Services",VLOOKUP($C438,Services!$B:$I,8,FALSE()),IF($E438="Patty Cash",VLOOKUP($C438,'Patty Cash'!$B:$J,8,FALSE()),0)))),0)</f>
        <v>0</v>
      </c>
      <c r="O438" s="217" t="str">
        <f t="shared" si="6"/>
        <v/>
      </c>
    </row>
    <row r="439" spans="1:15" ht="23.1" customHeight="1">
      <c r="A439" s="206" t="str">
        <f>IF(AND($B439="",$C439=""),"",MAX($A$3:A438)+1)</f>
        <v/>
      </c>
      <c r="B439" s="207"/>
      <c r="C439" s="208"/>
      <c r="D439" s="209" t="str">
        <f>IFERROR(IF($E439="Inventory",VLOOKUP($C439,Inventory!$B:$I,2,FALSE()),IF($E439="Non Inventory",VLOOKUP($C439,'Non Inventory'!$B:$I,2,FALSE()),IF($E439="Services",VLOOKUP($C439,Services!$B:$I,2,FALSE()),IF($E439="Patty Cash",VLOOKUP($C439,'Patty Cash'!$B:$J,2,FALSE()),"")))),"")</f>
        <v/>
      </c>
      <c r="E439" s="246"/>
      <c r="F439" s="210" t="str">
        <f>IFERROR(IF($E439="Inventory",VLOOKUP($C439,Inventory!$B:$I,3,FALSE()),IF($E439="Non Inventory",VLOOKUP($C439,'Non Inventory'!$B:$I,3,FALSE()),IF($E439="Services",VLOOKUP($C439,Services!$B:$I,3,FALSE()),IF($E439="Patty Cash",VLOOKUP($C439,'Patty Cash'!$B:$J,3,FALSE()),"")))),"")</f>
        <v/>
      </c>
      <c r="G439" s="211"/>
      <c r="H439" s="212" t="str">
        <f>IF($E439="","",IF($E439="Inventory",IFERROR(VLOOKUP($C439,Inventory!$B:$H,7,FALSE()),0),IF($E439="Non Inventory",IFERROR(VLOOKUP($C439,'Non Inventory'!$B:$H,7,FALSE()),0),IF($E439="Services",IFERROR(VLOOKUP($C439,Services!$B:$H,7,FALSE()),0),IF($E439="Patty Cash",IFERROR(VLOOKUP($C439,'Patty Cash'!$B:$H,7,FALSE()),0),0)))))</f>
        <v/>
      </c>
      <c r="I439" s="213"/>
      <c r="J439" s="214"/>
      <c r="K439" s="215"/>
      <c r="L439" s="197"/>
      <c r="M439" s="215"/>
      <c r="N439" s="216">
        <f>IFERROR(IF($E439="Inventory",VLOOKUP($C439,Inventory!$B:$I,8,FALSE()),IF($E439="Non Inventory",VLOOKUP($C439,'Non Inventory'!$B:$I,8,FALSE()),IF($E439="Services",VLOOKUP($C439,Services!$B:$I,8,FALSE()),IF($E439="Patty Cash",VLOOKUP($C439,'Patty Cash'!$B:$J,8,FALSE()),0)))),0)</f>
        <v>0</v>
      </c>
      <c r="O439" s="217" t="str">
        <f t="shared" si="6"/>
        <v/>
      </c>
    </row>
    <row r="440" spans="1:15" ht="23.1" customHeight="1">
      <c r="A440" s="206" t="str">
        <f>IF(AND($B440="",$C440=""),"",MAX($A$3:A439)+1)</f>
        <v/>
      </c>
      <c r="B440" s="207"/>
      <c r="C440" s="208"/>
      <c r="D440" s="209" t="str">
        <f>IFERROR(IF($E440="Inventory",VLOOKUP($C440,Inventory!$B:$I,2,FALSE()),IF($E440="Non Inventory",VLOOKUP($C440,'Non Inventory'!$B:$I,2,FALSE()),IF($E440="Services",VLOOKUP($C440,Services!$B:$I,2,FALSE()),IF($E440="Patty Cash",VLOOKUP($C440,'Patty Cash'!$B:$J,2,FALSE()),"")))),"")</f>
        <v/>
      </c>
      <c r="E440" s="246"/>
      <c r="F440" s="210" t="str">
        <f>IFERROR(IF($E440="Inventory",VLOOKUP($C440,Inventory!$B:$I,3,FALSE()),IF($E440="Non Inventory",VLOOKUP($C440,'Non Inventory'!$B:$I,3,FALSE()),IF($E440="Services",VLOOKUP($C440,Services!$B:$I,3,FALSE()),IF($E440="Patty Cash",VLOOKUP($C440,'Patty Cash'!$B:$J,3,FALSE()),"")))),"")</f>
        <v/>
      </c>
      <c r="G440" s="211"/>
      <c r="H440" s="212" t="str">
        <f>IF($E440="","",IF($E440="Inventory",IFERROR(VLOOKUP($C440,Inventory!$B:$H,7,FALSE()),0),IF($E440="Non Inventory",IFERROR(VLOOKUP($C440,'Non Inventory'!$B:$H,7,FALSE()),0),IF($E440="Services",IFERROR(VLOOKUP($C440,Services!$B:$H,7,FALSE()),0),IF($E440="Patty Cash",IFERROR(VLOOKUP($C440,'Patty Cash'!$B:$H,7,FALSE()),0),0)))))</f>
        <v/>
      </c>
      <c r="I440" s="213"/>
      <c r="J440" s="214"/>
      <c r="K440" s="215"/>
      <c r="L440" s="197"/>
      <c r="M440" s="215"/>
      <c r="N440" s="216">
        <f>IFERROR(IF($E440="Inventory",VLOOKUP($C440,Inventory!$B:$I,8,FALSE()),IF($E440="Non Inventory",VLOOKUP($C440,'Non Inventory'!$B:$I,8,FALSE()),IF($E440="Services",VLOOKUP($C440,Services!$B:$I,8,FALSE()),IF($E440="Patty Cash",VLOOKUP($C440,'Patty Cash'!$B:$J,8,FALSE()),0)))),0)</f>
        <v>0</v>
      </c>
      <c r="O440" s="217" t="str">
        <f t="shared" si="6"/>
        <v/>
      </c>
    </row>
    <row r="441" spans="1:15" ht="23.1" customHeight="1">
      <c r="A441" s="206" t="str">
        <f>IF(AND($B441="",$C441=""),"",MAX($A$3:A440)+1)</f>
        <v/>
      </c>
      <c r="B441" s="207"/>
      <c r="C441" s="208"/>
      <c r="D441" s="209" t="str">
        <f>IFERROR(IF($E441="Inventory",VLOOKUP($C441,Inventory!$B:$I,2,FALSE()),IF($E441="Non Inventory",VLOOKUP($C441,'Non Inventory'!$B:$I,2,FALSE()),IF($E441="Services",VLOOKUP($C441,Services!$B:$I,2,FALSE()),IF($E441="Patty Cash",VLOOKUP($C441,'Patty Cash'!$B:$J,2,FALSE()),"")))),"")</f>
        <v/>
      </c>
      <c r="E441" s="246"/>
      <c r="F441" s="210" t="str">
        <f>IFERROR(IF($E441="Inventory",VLOOKUP($C441,Inventory!$B:$I,3,FALSE()),IF($E441="Non Inventory",VLOOKUP($C441,'Non Inventory'!$B:$I,3,FALSE()),IF($E441="Services",VLOOKUP($C441,Services!$B:$I,3,FALSE()),IF($E441="Patty Cash",VLOOKUP($C441,'Patty Cash'!$B:$J,3,FALSE()),"")))),"")</f>
        <v/>
      </c>
      <c r="G441" s="211"/>
      <c r="H441" s="212" t="str">
        <f>IF($E441="","",IF($E441="Inventory",IFERROR(VLOOKUP($C441,Inventory!$B:$H,7,FALSE()),0),IF($E441="Non Inventory",IFERROR(VLOOKUP($C441,'Non Inventory'!$B:$H,7,FALSE()),0),IF($E441="Services",IFERROR(VLOOKUP($C441,Services!$B:$H,7,FALSE()),0),IF($E441="Patty Cash",IFERROR(VLOOKUP($C441,'Patty Cash'!$B:$H,7,FALSE()),0),0)))))</f>
        <v/>
      </c>
      <c r="I441" s="213"/>
      <c r="J441" s="214"/>
      <c r="K441" s="215"/>
      <c r="L441" s="197"/>
      <c r="M441" s="215"/>
      <c r="N441" s="216">
        <f>IFERROR(IF($E441="Inventory",VLOOKUP($C441,Inventory!$B:$I,8,FALSE()),IF($E441="Non Inventory",VLOOKUP($C441,'Non Inventory'!$B:$I,8,FALSE()),IF($E441="Services",VLOOKUP($C441,Services!$B:$I,8,FALSE()),IF($E441="Patty Cash",VLOOKUP($C441,'Patty Cash'!$B:$J,8,FALSE()),0)))),0)</f>
        <v>0</v>
      </c>
      <c r="O441" s="217" t="str">
        <f t="shared" si="6"/>
        <v/>
      </c>
    </row>
    <row r="442" spans="1:15" ht="23.1" customHeight="1">
      <c r="A442" s="206" t="str">
        <f>IF(AND($B442="",$C442=""),"",MAX($A$3:A441)+1)</f>
        <v/>
      </c>
      <c r="B442" s="207"/>
      <c r="C442" s="208"/>
      <c r="D442" s="209" t="str">
        <f>IFERROR(IF($E442="Inventory",VLOOKUP($C442,Inventory!$B:$I,2,FALSE()),IF($E442="Non Inventory",VLOOKUP($C442,'Non Inventory'!$B:$I,2,FALSE()),IF($E442="Services",VLOOKUP($C442,Services!$B:$I,2,FALSE()),IF($E442="Patty Cash",VLOOKUP($C442,'Patty Cash'!$B:$J,2,FALSE()),"")))),"")</f>
        <v/>
      </c>
      <c r="E442" s="246"/>
      <c r="F442" s="210" t="str">
        <f>IFERROR(IF($E442="Inventory",VLOOKUP($C442,Inventory!$B:$I,3,FALSE()),IF($E442="Non Inventory",VLOOKUP($C442,'Non Inventory'!$B:$I,3,FALSE()),IF($E442="Services",VLOOKUP($C442,Services!$B:$I,3,FALSE()),IF($E442="Patty Cash",VLOOKUP($C442,'Patty Cash'!$B:$J,3,FALSE()),"")))),"")</f>
        <v/>
      </c>
      <c r="G442" s="211"/>
      <c r="H442" s="212" t="str">
        <f>IF($E442="","",IF($E442="Inventory",IFERROR(VLOOKUP($C442,Inventory!$B:$H,7,FALSE()),0),IF($E442="Non Inventory",IFERROR(VLOOKUP($C442,'Non Inventory'!$B:$H,7,FALSE()),0),IF($E442="Services",IFERROR(VLOOKUP($C442,Services!$B:$H,7,FALSE()),0),IF($E442="Patty Cash",IFERROR(VLOOKUP($C442,'Patty Cash'!$B:$H,7,FALSE()),0),0)))))</f>
        <v/>
      </c>
      <c r="I442" s="213"/>
      <c r="J442" s="214"/>
      <c r="K442" s="215"/>
      <c r="L442" s="197"/>
      <c r="M442" s="215"/>
      <c r="N442" s="216">
        <f>IFERROR(IF($E442="Inventory",VLOOKUP($C442,Inventory!$B:$I,8,FALSE()),IF($E442="Non Inventory",VLOOKUP($C442,'Non Inventory'!$B:$I,8,FALSE()),IF($E442="Services",VLOOKUP($C442,Services!$B:$I,8,FALSE()),IF($E442="Patty Cash",VLOOKUP($C442,'Patty Cash'!$B:$J,8,FALSE()),0)))),0)</f>
        <v>0</v>
      </c>
      <c r="O442" s="217" t="str">
        <f t="shared" si="6"/>
        <v/>
      </c>
    </row>
    <row r="443" spans="1:15" ht="23.1" customHeight="1">
      <c r="A443" s="206" t="str">
        <f>IF(AND($B443="",$C443=""),"",MAX($A$3:A442)+1)</f>
        <v/>
      </c>
      <c r="B443" s="207"/>
      <c r="C443" s="208"/>
      <c r="D443" s="209" t="str">
        <f>IFERROR(IF($E443="Inventory",VLOOKUP($C443,Inventory!$B:$I,2,FALSE()),IF($E443="Non Inventory",VLOOKUP($C443,'Non Inventory'!$B:$I,2,FALSE()),IF($E443="Services",VLOOKUP($C443,Services!$B:$I,2,FALSE()),IF($E443="Patty Cash",VLOOKUP($C443,'Patty Cash'!$B:$J,2,FALSE()),"")))),"")</f>
        <v/>
      </c>
      <c r="E443" s="246"/>
      <c r="F443" s="210" t="str">
        <f>IFERROR(IF($E443="Inventory",VLOOKUP($C443,Inventory!$B:$I,3,FALSE()),IF($E443="Non Inventory",VLOOKUP($C443,'Non Inventory'!$B:$I,3,FALSE()),IF($E443="Services",VLOOKUP($C443,Services!$B:$I,3,FALSE()),IF($E443="Patty Cash",VLOOKUP($C443,'Patty Cash'!$B:$J,3,FALSE()),"")))),"")</f>
        <v/>
      </c>
      <c r="G443" s="211"/>
      <c r="H443" s="212" t="str">
        <f>IF($E443="","",IF($E443="Inventory",IFERROR(VLOOKUP($C443,Inventory!$B:$H,7,FALSE()),0),IF($E443="Non Inventory",IFERROR(VLOOKUP($C443,'Non Inventory'!$B:$H,7,FALSE()),0),IF($E443="Services",IFERROR(VLOOKUP($C443,Services!$B:$H,7,FALSE()),0),IF($E443="Patty Cash",IFERROR(VLOOKUP($C443,'Patty Cash'!$B:$H,7,FALSE()),0),0)))))</f>
        <v/>
      </c>
      <c r="I443" s="213"/>
      <c r="J443" s="214"/>
      <c r="K443" s="215"/>
      <c r="L443" s="197"/>
      <c r="M443" s="215"/>
      <c r="N443" s="216">
        <f>IFERROR(IF($E443="Inventory",VLOOKUP($C443,Inventory!$B:$I,8,FALSE()),IF($E443="Non Inventory",VLOOKUP($C443,'Non Inventory'!$B:$I,8,FALSE()),IF($E443="Services",VLOOKUP($C443,Services!$B:$I,8,FALSE()),IF($E443="Patty Cash",VLOOKUP($C443,'Patty Cash'!$B:$J,8,FALSE()),0)))),0)</f>
        <v>0</v>
      </c>
      <c r="O443" s="217" t="str">
        <f t="shared" si="6"/>
        <v/>
      </c>
    </row>
    <row r="444" spans="1:15" ht="23.1" customHeight="1">
      <c r="A444" s="206" t="str">
        <f>IF(AND($B444="",$C444=""),"",MAX($A$3:A443)+1)</f>
        <v/>
      </c>
      <c r="B444" s="207"/>
      <c r="C444" s="208"/>
      <c r="D444" s="209" t="str">
        <f>IFERROR(IF($E444="Inventory",VLOOKUP($C444,Inventory!$B:$I,2,FALSE()),IF($E444="Non Inventory",VLOOKUP($C444,'Non Inventory'!$B:$I,2,FALSE()),IF($E444="Services",VLOOKUP($C444,Services!$B:$I,2,FALSE()),IF($E444="Patty Cash",VLOOKUP($C444,'Patty Cash'!$B:$J,2,FALSE()),"")))),"")</f>
        <v/>
      </c>
      <c r="E444" s="246"/>
      <c r="F444" s="210" t="str">
        <f>IFERROR(IF($E444="Inventory",VLOOKUP($C444,Inventory!$B:$I,3,FALSE()),IF($E444="Non Inventory",VLOOKUP($C444,'Non Inventory'!$B:$I,3,FALSE()),IF($E444="Services",VLOOKUP($C444,Services!$B:$I,3,FALSE()),IF($E444="Patty Cash",VLOOKUP($C444,'Patty Cash'!$B:$J,3,FALSE()),"")))),"")</f>
        <v/>
      </c>
      <c r="G444" s="211"/>
      <c r="H444" s="212" t="str">
        <f>IF($E444="","",IF($E444="Inventory",IFERROR(VLOOKUP($C444,Inventory!$B:$H,7,FALSE()),0),IF($E444="Non Inventory",IFERROR(VLOOKUP($C444,'Non Inventory'!$B:$H,7,FALSE()),0),IF($E444="Services",IFERROR(VLOOKUP($C444,Services!$B:$H,7,FALSE()),0),IF($E444="Patty Cash",IFERROR(VLOOKUP($C444,'Patty Cash'!$B:$H,7,FALSE()),0),0)))))</f>
        <v/>
      </c>
      <c r="I444" s="213"/>
      <c r="J444" s="214"/>
      <c r="K444" s="215"/>
      <c r="L444" s="197"/>
      <c r="M444" s="215"/>
      <c r="N444" s="216">
        <f>IFERROR(IF($E444="Inventory",VLOOKUP($C444,Inventory!$B:$I,8,FALSE()),IF($E444="Non Inventory",VLOOKUP($C444,'Non Inventory'!$B:$I,8,FALSE()),IF($E444="Services",VLOOKUP($C444,Services!$B:$I,8,FALSE()),IF($E444="Patty Cash",VLOOKUP($C444,'Patty Cash'!$B:$J,8,FALSE()),0)))),0)</f>
        <v>0</v>
      </c>
      <c r="O444" s="217" t="str">
        <f t="shared" si="6"/>
        <v/>
      </c>
    </row>
    <row r="445" spans="1:15" ht="23.1" customHeight="1">
      <c r="A445" s="206" t="str">
        <f>IF(AND($B445="",$C445=""),"",MAX($A$3:A444)+1)</f>
        <v/>
      </c>
      <c r="B445" s="207"/>
      <c r="C445" s="208"/>
      <c r="D445" s="209" t="str">
        <f>IFERROR(IF($E445="Inventory",VLOOKUP($C445,Inventory!$B:$I,2,FALSE()),IF($E445="Non Inventory",VLOOKUP($C445,'Non Inventory'!$B:$I,2,FALSE()),IF($E445="Services",VLOOKUP($C445,Services!$B:$I,2,FALSE()),IF($E445="Patty Cash",VLOOKUP($C445,'Patty Cash'!$B:$J,2,FALSE()),"")))),"")</f>
        <v/>
      </c>
      <c r="E445" s="246"/>
      <c r="F445" s="210" t="str">
        <f>IFERROR(IF($E445="Inventory",VLOOKUP($C445,Inventory!$B:$I,3,FALSE()),IF($E445="Non Inventory",VLOOKUP($C445,'Non Inventory'!$B:$I,3,FALSE()),IF($E445="Services",VLOOKUP($C445,Services!$B:$I,3,FALSE()),IF($E445="Patty Cash",VLOOKUP($C445,'Patty Cash'!$B:$J,3,FALSE()),"")))),"")</f>
        <v/>
      </c>
      <c r="G445" s="211"/>
      <c r="H445" s="212" t="str">
        <f>IF($E445="","",IF($E445="Inventory",IFERROR(VLOOKUP($C445,Inventory!$B:$H,7,FALSE()),0),IF($E445="Non Inventory",IFERROR(VLOOKUP($C445,'Non Inventory'!$B:$H,7,FALSE()),0),IF($E445="Services",IFERROR(VLOOKUP($C445,Services!$B:$H,7,FALSE()),0),IF($E445="Patty Cash",IFERROR(VLOOKUP($C445,'Patty Cash'!$B:$H,7,FALSE()),0),0)))))</f>
        <v/>
      </c>
      <c r="I445" s="213"/>
      <c r="J445" s="214"/>
      <c r="K445" s="215"/>
      <c r="L445" s="197"/>
      <c r="M445" s="215"/>
      <c r="N445" s="216">
        <f>IFERROR(IF($E445="Inventory",VLOOKUP($C445,Inventory!$B:$I,8,FALSE()),IF($E445="Non Inventory",VLOOKUP($C445,'Non Inventory'!$B:$I,8,FALSE()),IF($E445="Services",VLOOKUP($C445,Services!$B:$I,8,FALSE()),IF($E445="Patty Cash",VLOOKUP($C445,'Patty Cash'!$B:$J,8,FALSE()),0)))),0)</f>
        <v>0</v>
      </c>
      <c r="O445" s="217" t="str">
        <f t="shared" si="6"/>
        <v/>
      </c>
    </row>
    <row r="446" spans="1:15" ht="23.1" customHeight="1">
      <c r="A446" s="206" t="str">
        <f>IF(AND($B446="",$C446=""),"",MAX($A$3:A445)+1)</f>
        <v/>
      </c>
      <c r="B446" s="207"/>
      <c r="C446" s="208"/>
      <c r="D446" s="209" t="str">
        <f>IFERROR(IF($E446="Inventory",VLOOKUP($C446,Inventory!$B:$I,2,FALSE()),IF($E446="Non Inventory",VLOOKUP($C446,'Non Inventory'!$B:$I,2,FALSE()),IF($E446="Services",VLOOKUP($C446,Services!$B:$I,2,FALSE()),IF($E446="Patty Cash",VLOOKUP($C446,'Patty Cash'!$B:$J,2,FALSE()),"")))),"")</f>
        <v/>
      </c>
      <c r="E446" s="246"/>
      <c r="F446" s="210" t="str">
        <f>IFERROR(IF($E446="Inventory",VLOOKUP($C446,Inventory!$B:$I,3,FALSE()),IF($E446="Non Inventory",VLOOKUP($C446,'Non Inventory'!$B:$I,3,FALSE()),IF($E446="Services",VLOOKUP($C446,Services!$B:$I,3,FALSE()),IF($E446="Patty Cash",VLOOKUP($C446,'Patty Cash'!$B:$J,3,FALSE()),"")))),"")</f>
        <v/>
      </c>
      <c r="G446" s="211"/>
      <c r="H446" s="212" t="str">
        <f>IF($E446="","",IF($E446="Inventory",IFERROR(VLOOKUP($C446,Inventory!$B:$H,7,FALSE()),0),IF($E446="Non Inventory",IFERROR(VLOOKUP($C446,'Non Inventory'!$B:$H,7,FALSE()),0),IF($E446="Services",IFERROR(VLOOKUP($C446,Services!$B:$H,7,FALSE()),0),IF($E446="Patty Cash",IFERROR(VLOOKUP($C446,'Patty Cash'!$B:$H,7,FALSE()),0),0)))))</f>
        <v/>
      </c>
      <c r="I446" s="213"/>
      <c r="J446" s="214"/>
      <c r="K446" s="215"/>
      <c r="L446" s="197"/>
      <c r="M446" s="215"/>
      <c r="N446" s="216">
        <f>IFERROR(IF($E446="Inventory",VLOOKUP($C446,Inventory!$B:$I,8,FALSE()),IF($E446="Non Inventory",VLOOKUP($C446,'Non Inventory'!$B:$I,8,FALSE()),IF($E446="Services",VLOOKUP($C446,Services!$B:$I,8,FALSE()),IF($E446="Patty Cash",VLOOKUP($C446,'Patty Cash'!$B:$J,8,FALSE()),0)))),0)</f>
        <v>0</v>
      </c>
      <c r="O446" s="217" t="str">
        <f t="shared" si="6"/>
        <v/>
      </c>
    </row>
    <row r="447" spans="1:15" ht="23.1" customHeight="1">
      <c r="A447" s="206" t="str">
        <f>IF(AND($B447="",$C447=""),"",MAX($A$3:A446)+1)</f>
        <v/>
      </c>
      <c r="B447" s="207"/>
      <c r="C447" s="208"/>
      <c r="D447" s="209" t="str">
        <f>IFERROR(IF($E447="Inventory",VLOOKUP($C447,Inventory!$B:$I,2,FALSE()),IF($E447="Non Inventory",VLOOKUP($C447,'Non Inventory'!$B:$I,2,FALSE()),IF($E447="Services",VLOOKUP($C447,Services!$B:$I,2,FALSE()),IF($E447="Patty Cash",VLOOKUP($C447,'Patty Cash'!$B:$J,2,FALSE()),"")))),"")</f>
        <v/>
      </c>
      <c r="E447" s="246"/>
      <c r="F447" s="210" t="str">
        <f>IFERROR(IF($E447="Inventory",VLOOKUP($C447,Inventory!$B:$I,3,FALSE()),IF($E447="Non Inventory",VLOOKUP($C447,'Non Inventory'!$B:$I,3,FALSE()),IF($E447="Services",VLOOKUP($C447,Services!$B:$I,3,FALSE()),IF($E447="Patty Cash",VLOOKUP($C447,'Patty Cash'!$B:$J,3,FALSE()),"")))),"")</f>
        <v/>
      </c>
      <c r="G447" s="211"/>
      <c r="H447" s="212" t="str">
        <f>IF($E447="","",IF($E447="Inventory",IFERROR(VLOOKUP($C447,Inventory!$B:$H,7,FALSE()),0),IF($E447="Non Inventory",IFERROR(VLOOKUP($C447,'Non Inventory'!$B:$H,7,FALSE()),0),IF($E447="Services",IFERROR(VLOOKUP($C447,Services!$B:$H,7,FALSE()),0),IF($E447="Patty Cash",IFERROR(VLOOKUP($C447,'Patty Cash'!$B:$H,7,FALSE()),0),0)))))</f>
        <v/>
      </c>
      <c r="I447" s="213"/>
      <c r="J447" s="214"/>
      <c r="K447" s="215"/>
      <c r="L447" s="197"/>
      <c r="M447" s="215"/>
      <c r="N447" s="216">
        <f>IFERROR(IF($E447="Inventory",VLOOKUP($C447,Inventory!$B:$I,8,FALSE()),IF($E447="Non Inventory",VLOOKUP($C447,'Non Inventory'!$B:$I,8,FALSE()),IF($E447="Services",VLOOKUP($C447,Services!$B:$I,8,FALSE()),IF($E447="Patty Cash",VLOOKUP($C447,'Patty Cash'!$B:$J,8,FALSE()),0)))),0)</f>
        <v>0</v>
      </c>
      <c r="O447" s="217" t="str">
        <f t="shared" si="6"/>
        <v/>
      </c>
    </row>
    <row r="448" spans="1:15" ht="23.1" customHeight="1">
      <c r="A448" s="206" t="str">
        <f>IF(AND($B448="",$C448=""),"",MAX($A$3:A447)+1)</f>
        <v/>
      </c>
      <c r="B448" s="207"/>
      <c r="C448" s="208"/>
      <c r="D448" s="209" t="str">
        <f>IFERROR(IF($E448="Inventory",VLOOKUP($C448,Inventory!$B:$I,2,FALSE()),IF($E448="Non Inventory",VLOOKUP($C448,'Non Inventory'!$B:$I,2,FALSE()),IF($E448="Services",VLOOKUP($C448,Services!$B:$I,2,FALSE()),IF($E448="Patty Cash",VLOOKUP($C448,'Patty Cash'!$B:$J,2,FALSE()),"")))),"")</f>
        <v/>
      </c>
      <c r="E448" s="246"/>
      <c r="F448" s="210" t="str">
        <f>IFERROR(IF($E448="Inventory",VLOOKUP($C448,Inventory!$B:$I,3,FALSE()),IF($E448="Non Inventory",VLOOKUP($C448,'Non Inventory'!$B:$I,3,FALSE()),IF($E448="Services",VLOOKUP($C448,Services!$B:$I,3,FALSE()),IF($E448="Patty Cash",VLOOKUP($C448,'Patty Cash'!$B:$J,3,FALSE()),"")))),"")</f>
        <v/>
      </c>
      <c r="G448" s="211"/>
      <c r="H448" s="212" t="str">
        <f>IF($E448="","",IF($E448="Inventory",IFERROR(VLOOKUP($C448,Inventory!$B:$H,7,FALSE()),0),IF($E448="Non Inventory",IFERROR(VLOOKUP($C448,'Non Inventory'!$B:$H,7,FALSE()),0),IF($E448="Services",IFERROR(VLOOKUP($C448,Services!$B:$H,7,FALSE()),0),IF($E448="Patty Cash",IFERROR(VLOOKUP($C448,'Patty Cash'!$B:$H,7,FALSE()),0),0)))))</f>
        <v/>
      </c>
      <c r="I448" s="213"/>
      <c r="J448" s="214"/>
      <c r="K448" s="215"/>
      <c r="L448" s="197"/>
      <c r="M448" s="215"/>
      <c r="N448" s="216">
        <f>IFERROR(IF($E448="Inventory",VLOOKUP($C448,Inventory!$B:$I,8,FALSE()),IF($E448="Non Inventory",VLOOKUP($C448,'Non Inventory'!$B:$I,8,FALSE()),IF($E448="Services",VLOOKUP($C448,Services!$B:$I,8,FALSE()),IF($E448="Patty Cash",VLOOKUP($C448,'Patty Cash'!$B:$J,8,FALSE()),0)))),0)</f>
        <v>0</v>
      </c>
      <c r="O448" s="217" t="str">
        <f t="shared" si="6"/>
        <v/>
      </c>
    </row>
    <row r="449" spans="1:15" ht="23.1" customHeight="1">
      <c r="A449" s="206" t="str">
        <f>IF(AND($B449="",$C449=""),"",MAX($A$3:A448)+1)</f>
        <v/>
      </c>
      <c r="B449" s="207"/>
      <c r="C449" s="208"/>
      <c r="D449" s="209" t="str">
        <f>IFERROR(IF($E449="Inventory",VLOOKUP($C449,Inventory!$B:$I,2,FALSE()),IF($E449="Non Inventory",VLOOKUP($C449,'Non Inventory'!$B:$I,2,FALSE()),IF($E449="Services",VLOOKUP($C449,Services!$B:$I,2,FALSE()),IF($E449="Patty Cash",VLOOKUP($C449,'Patty Cash'!$B:$J,2,FALSE()),"")))),"")</f>
        <v/>
      </c>
      <c r="E449" s="246"/>
      <c r="F449" s="210" t="str">
        <f>IFERROR(IF($E449="Inventory",VLOOKUP($C449,Inventory!$B:$I,3,FALSE()),IF($E449="Non Inventory",VLOOKUP($C449,'Non Inventory'!$B:$I,3,FALSE()),IF($E449="Services",VLOOKUP($C449,Services!$B:$I,3,FALSE()),IF($E449="Patty Cash",VLOOKUP($C449,'Patty Cash'!$B:$J,3,FALSE()),"")))),"")</f>
        <v/>
      </c>
      <c r="G449" s="211"/>
      <c r="H449" s="212" t="str">
        <f>IF($E449="","",IF($E449="Inventory",IFERROR(VLOOKUP($C449,Inventory!$B:$H,7,FALSE()),0),IF($E449="Non Inventory",IFERROR(VLOOKUP($C449,'Non Inventory'!$B:$H,7,FALSE()),0),IF($E449="Services",IFERROR(VLOOKUP($C449,Services!$B:$H,7,FALSE()),0),IF($E449="Patty Cash",IFERROR(VLOOKUP($C449,'Patty Cash'!$B:$H,7,FALSE()),0),0)))))</f>
        <v/>
      </c>
      <c r="I449" s="213"/>
      <c r="J449" s="214"/>
      <c r="K449" s="215"/>
      <c r="L449" s="197"/>
      <c r="M449" s="215"/>
      <c r="N449" s="216">
        <f>IFERROR(IF($E449="Inventory",VLOOKUP($C449,Inventory!$B:$I,8,FALSE()),IF($E449="Non Inventory",VLOOKUP($C449,'Non Inventory'!$B:$I,8,FALSE()),IF($E449="Services",VLOOKUP($C449,Services!$B:$I,8,FALSE()),IF($E449="Patty Cash",VLOOKUP($C449,'Patty Cash'!$B:$J,8,FALSE()),0)))),0)</f>
        <v>0</v>
      </c>
      <c r="O449" s="217" t="str">
        <f t="shared" si="6"/>
        <v/>
      </c>
    </row>
    <row r="450" spans="1:15" ht="23.1" customHeight="1">
      <c r="A450" s="206" t="str">
        <f>IF(AND($B450="",$C450=""),"",MAX($A$3:A449)+1)</f>
        <v/>
      </c>
      <c r="B450" s="207"/>
      <c r="C450" s="208"/>
      <c r="D450" s="209" t="str">
        <f>IFERROR(IF($E450="Inventory",VLOOKUP($C450,Inventory!$B:$I,2,FALSE()),IF($E450="Non Inventory",VLOOKUP($C450,'Non Inventory'!$B:$I,2,FALSE()),IF($E450="Services",VLOOKUP($C450,Services!$B:$I,2,FALSE()),IF($E450="Patty Cash",VLOOKUP($C450,'Patty Cash'!$B:$J,2,FALSE()),"")))),"")</f>
        <v/>
      </c>
      <c r="E450" s="246"/>
      <c r="F450" s="210" t="str">
        <f>IFERROR(IF($E450="Inventory",VLOOKUP($C450,Inventory!$B:$I,3,FALSE()),IF($E450="Non Inventory",VLOOKUP($C450,'Non Inventory'!$B:$I,3,FALSE()),IF($E450="Services",VLOOKUP($C450,Services!$B:$I,3,FALSE()),IF($E450="Patty Cash",VLOOKUP($C450,'Patty Cash'!$B:$J,3,FALSE()),"")))),"")</f>
        <v/>
      </c>
      <c r="G450" s="211"/>
      <c r="H450" s="212" t="str">
        <f>IF($E450="","",IF($E450="Inventory",IFERROR(VLOOKUP($C450,Inventory!$B:$H,7,FALSE()),0),IF($E450="Non Inventory",IFERROR(VLOOKUP($C450,'Non Inventory'!$B:$H,7,FALSE()),0),IF($E450="Services",IFERROR(VLOOKUP($C450,Services!$B:$H,7,FALSE()),0),IF($E450="Patty Cash",IFERROR(VLOOKUP($C450,'Patty Cash'!$B:$H,7,FALSE()),0),0)))))</f>
        <v/>
      </c>
      <c r="I450" s="213"/>
      <c r="J450" s="214"/>
      <c r="K450" s="215"/>
      <c r="L450" s="197"/>
      <c r="M450" s="215"/>
      <c r="N450" s="216">
        <f>IFERROR(IF($E450="Inventory",VLOOKUP($C450,Inventory!$B:$I,8,FALSE()),IF($E450="Non Inventory",VLOOKUP($C450,'Non Inventory'!$B:$I,8,FALSE()),IF($E450="Services",VLOOKUP($C450,Services!$B:$I,8,FALSE()),IF($E450="Patty Cash",VLOOKUP($C450,'Patty Cash'!$B:$J,8,FALSE()),0)))),0)</f>
        <v>0</v>
      </c>
      <c r="O450" s="217" t="str">
        <f t="shared" si="6"/>
        <v/>
      </c>
    </row>
    <row r="451" spans="1:15" ht="23.1" customHeight="1">
      <c r="A451" s="206" t="str">
        <f>IF(AND($B451="",$C451=""),"",MAX($A$3:A450)+1)</f>
        <v/>
      </c>
      <c r="B451" s="207"/>
      <c r="C451" s="208"/>
      <c r="D451" s="209" t="str">
        <f>IFERROR(IF($E451="Inventory",VLOOKUP($C451,Inventory!$B:$I,2,FALSE()),IF($E451="Non Inventory",VLOOKUP($C451,'Non Inventory'!$B:$I,2,FALSE()),IF($E451="Services",VLOOKUP($C451,Services!$B:$I,2,FALSE()),IF($E451="Patty Cash",VLOOKUP($C451,'Patty Cash'!$B:$J,2,FALSE()),"")))),"")</f>
        <v/>
      </c>
      <c r="E451" s="246"/>
      <c r="F451" s="210" t="str">
        <f>IFERROR(IF($E451="Inventory",VLOOKUP($C451,Inventory!$B:$I,3,FALSE()),IF($E451="Non Inventory",VLOOKUP($C451,'Non Inventory'!$B:$I,3,FALSE()),IF($E451="Services",VLOOKUP($C451,Services!$B:$I,3,FALSE()),IF($E451="Patty Cash",VLOOKUP($C451,'Patty Cash'!$B:$J,3,FALSE()),"")))),"")</f>
        <v/>
      </c>
      <c r="G451" s="211"/>
      <c r="H451" s="212" t="str">
        <f>IF($E451="","",IF($E451="Inventory",IFERROR(VLOOKUP($C451,Inventory!$B:$H,7,FALSE()),0),IF($E451="Non Inventory",IFERROR(VLOOKUP($C451,'Non Inventory'!$B:$H,7,FALSE()),0),IF($E451="Services",IFERROR(VLOOKUP($C451,Services!$B:$H,7,FALSE()),0),IF($E451="Patty Cash",IFERROR(VLOOKUP($C451,'Patty Cash'!$B:$H,7,FALSE()),0),0)))))</f>
        <v/>
      </c>
      <c r="I451" s="213"/>
      <c r="J451" s="214"/>
      <c r="K451" s="215"/>
      <c r="L451" s="197"/>
      <c r="M451" s="215"/>
      <c r="N451" s="216">
        <f>IFERROR(IF($E451="Inventory",VLOOKUP($C451,Inventory!$B:$I,8,FALSE()),IF($E451="Non Inventory",VLOOKUP($C451,'Non Inventory'!$B:$I,8,FALSE()),IF($E451="Services",VLOOKUP($C451,Services!$B:$I,8,FALSE()),IF($E451="Patty Cash",VLOOKUP($C451,'Patty Cash'!$B:$J,8,FALSE()),0)))),0)</f>
        <v>0</v>
      </c>
      <c r="O451" s="217" t="str">
        <f t="shared" ref="O451:O514" si="7">IF($G451="","",G451*N451)</f>
        <v/>
      </c>
    </row>
    <row r="452" spans="1:15" ht="23.1" customHeight="1">
      <c r="A452" s="206" t="str">
        <f>IF(AND($B452="",$C452=""),"",MAX($A$3:A451)+1)</f>
        <v/>
      </c>
      <c r="B452" s="207"/>
      <c r="C452" s="208"/>
      <c r="D452" s="209" t="str">
        <f>IFERROR(IF($E452="Inventory",VLOOKUP($C452,Inventory!$B:$I,2,FALSE()),IF($E452="Non Inventory",VLOOKUP($C452,'Non Inventory'!$B:$I,2,FALSE()),IF($E452="Services",VLOOKUP($C452,Services!$B:$I,2,FALSE()),IF($E452="Patty Cash",VLOOKUP($C452,'Patty Cash'!$B:$J,2,FALSE()),"")))),"")</f>
        <v/>
      </c>
      <c r="E452" s="246"/>
      <c r="F452" s="210" t="str">
        <f>IFERROR(IF($E452="Inventory",VLOOKUP($C452,Inventory!$B:$I,3,FALSE()),IF($E452="Non Inventory",VLOOKUP($C452,'Non Inventory'!$B:$I,3,FALSE()),IF($E452="Services",VLOOKUP($C452,Services!$B:$I,3,FALSE()),IF($E452="Patty Cash",VLOOKUP($C452,'Patty Cash'!$B:$J,3,FALSE()),"")))),"")</f>
        <v/>
      </c>
      <c r="G452" s="211"/>
      <c r="H452" s="212" t="str">
        <f>IF($E452="","",IF($E452="Inventory",IFERROR(VLOOKUP($C452,Inventory!$B:$H,7,FALSE()),0),IF($E452="Non Inventory",IFERROR(VLOOKUP($C452,'Non Inventory'!$B:$H,7,FALSE()),0),IF($E452="Services",IFERROR(VLOOKUP($C452,Services!$B:$H,7,FALSE()),0),IF($E452="Patty Cash",IFERROR(VLOOKUP($C452,'Patty Cash'!$B:$H,7,FALSE()),0),0)))))</f>
        <v/>
      </c>
      <c r="I452" s="213"/>
      <c r="J452" s="214"/>
      <c r="K452" s="215"/>
      <c r="L452" s="197"/>
      <c r="M452" s="215"/>
      <c r="N452" s="216">
        <f>IFERROR(IF($E452="Inventory",VLOOKUP($C452,Inventory!$B:$I,8,FALSE()),IF($E452="Non Inventory",VLOOKUP($C452,'Non Inventory'!$B:$I,8,FALSE()),IF($E452="Services",VLOOKUP($C452,Services!$B:$I,8,FALSE()),IF($E452="Patty Cash",VLOOKUP($C452,'Patty Cash'!$B:$J,8,FALSE()),0)))),0)</f>
        <v>0</v>
      </c>
      <c r="O452" s="217" t="str">
        <f t="shared" si="7"/>
        <v/>
      </c>
    </row>
    <row r="453" spans="1:15" ht="23.1" customHeight="1">
      <c r="A453" s="206" t="str">
        <f>IF(AND($B453="",$C453=""),"",MAX($A$3:A452)+1)</f>
        <v/>
      </c>
      <c r="B453" s="207"/>
      <c r="C453" s="208"/>
      <c r="D453" s="209" t="str">
        <f>IFERROR(IF($E453="Inventory",VLOOKUP($C453,Inventory!$B:$I,2,FALSE()),IF($E453="Non Inventory",VLOOKUP($C453,'Non Inventory'!$B:$I,2,FALSE()),IF($E453="Services",VLOOKUP($C453,Services!$B:$I,2,FALSE()),IF($E453="Patty Cash",VLOOKUP($C453,'Patty Cash'!$B:$J,2,FALSE()),"")))),"")</f>
        <v/>
      </c>
      <c r="E453" s="246"/>
      <c r="F453" s="210" t="str">
        <f>IFERROR(IF($E453="Inventory",VLOOKUP($C453,Inventory!$B:$I,3,FALSE()),IF($E453="Non Inventory",VLOOKUP($C453,'Non Inventory'!$B:$I,3,FALSE()),IF($E453="Services",VLOOKUP($C453,Services!$B:$I,3,FALSE()),IF($E453="Patty Cash",VLOOKUP($C453,'Patty Cash'!$B:$J,3,FALSE()),"")))),"")</f>
        <v/>
      </c>
      <c r="G453" s="211"/>
      <c r="H453" s="212" t="str">
        <f>IF($E453="","",IF($E453="Inventory",IFERROR(VLOOKUP($C453,Inventory!$B:$H,7,FALSE()),0),IF($E453="Non Inventory",IFERROR(VLOOKUP($C453,'Non Inventory'!$B:$H,7,FALSE()),0),IF($E453="Services",IFERROR(VLOOKUP($C453,Services!$B:$H,7,FALSE()),0),IF($E453="Patty Cash",IFERROR(VLOOKUP($C453,'Patty Cash'!$B:$H,7,FALSE()),0),0)))))</f>
        <v/>
      </c>
      <c r="I453" s="213"/>
      <c r="J453" s="214"/>
      <c r="K453" s="215"/>
      <c r="L453" s="197"/>
      <c r="M453" s="215"/>
      <c r="N453" s="216">
        <f>IFERROR(IF($E453="Inventory",VLOOKUP($C453,Inventory!$B:$I,8,FALSE()),IF($E453="Non Inventory",VLOOKUP($C453,'Non Inventory'!$B:$I,8,FALSE()),IF($E453="Services",VLOOKUP($C453,Services!$B:$I,8,FALSE()),IF($E453="Patty Cash",VLOOKUP($C453,'Patty Cash'!$B:$J,8,FALSE()),0)))),0)</f>
        <v>0</v>
      </c>
      <c r="O453" s="217" t="str">
        <f t="shared" si="7"/>
        <v/>
      </c>
    </row>
    <row r="454" spans="1:15" ht="23.1" customHeight="1">
      <c r="A454" s="206" t="str">
        <f>IF(AND($B454="",$C454=""),"",MAX($A$3:A453)+1)</f>
        <v/>
      </c>
      <c r="B454" s="207"/>
      <c r="C454" s="208"/>
      <c r="D454" s="209" t="str">
        <f>IFERROR(IF($E454="Inventory",VLOOKUP($C454,Inventory!$B:$I,2,FALSE()),IF($E454="Non Inventory",VLOOKUP($C454,'Non Inventory'!$B:$I,2,FALSE()),IF($E454="Services",VLOOKUP($C454,Services!$B:$I,2,FALSE()),IF($E454="Patty Cash",VLOOKUP($C454,'Patty Cash'!$B:$J,2,FALSE()),"")))),"")</f>
        <v/>
      </c>
      <c r="E454" s="246"/>
      <c r="F454" s="210" t="str">
        <f>IFERROR(IF($E454="Inventory",VLOOKUP($C454,Inventory!$B:$I,3,FALSE()),IF($E454="Non Inventory",VLOOKUP($C454,'Non Inventory'!$B:$I,3,FALSE()),IF($E454="Services",VLOOKUP($C454,Services!$B:$I,3,FALSE()),IF($E454="Patty Cash",VLOOKUP($C454,'Patty Cash'!$B:$J,3,FALSE()),"")))),"")</f>
        <v/>
      </c>
      <c r="G454" s="211"/>
      <c r="H454" s="212" t="str">
        <f>IF($E454="","",IF($E454="Inventory",IFERROR(VLOOKUP($C454,Inventory!$B:$H,7,FALSE()),0),IF($E454="Non Inventory",IFERROR(VLOOKUP($C454,'Non Inventory'!$B:$H,7,FALSE()),0),IF($E454="Services",IFERROR(VLOOKUP($C454,Services!$B:$H,7,FALSE()),0),IF($E454="Patty Cash",IFERROR(VLOOKUP($C454,'Patty Cash'!$B:$H,7,FALSE()),0),0)))))</f>
        <v/>
      </c>
      <c r="I454" s="213"/>
      <c r="J454" s="214"/>
      <c r="K454" s="215"/>
      <c r="L454" s="197"/>
      <c r="M454" s="215"/>
      <c r="N454" s="216">
        <f>IFERROR(IF($E454="Inventory",VLOOKUP($C454,Inventory!$B:$I,8,FALSE()),IF($E454="Non Inventory",VLOOKUP($C454,'Non Inventory'!$B:$I,8,FALSE()),IF($E454="Services",VLOOKUP($C454,Services!$B:$I,8,FALSE()),IF($E454="Patty Cash",VLOOKUP($C454,'Patty Cash'!$B:$J,8,FALSE()),0)))),0)</f>
        <v>0</v>
      </c>
      <c r="O454" s="217" t="str">
        <f t="shared" si="7"/>
        <v/>
      </c>
    </row>
    <row r="455" spans="1:15" ht="23.1" customHeight="1">
      <c r="A455" s="206" t="str">
        <f>IF(AND($B455="",$C455=""),"",MAX($A$3:A454)+1)</f>
        <v/>
      </c>
      <c r="B455" s="207"/>
      <c r="C455" s="208"/>
      <c r="D455" s="209" t="str">
        <f>IFERROR(IF($E455="Inventory",VLOOKUP($C455,Inventory!$B:$I,2,FALSE()),IF($E455="Non Inventory",VLOOKUP($C455,'Non Inventory'!$B:$I,2,FALSE()),IF($E455="Services",VLOOKUP($C455,Services!$B:$I,2,FALSE()),IF($E455="Patty Cash",VLOOKUP($C455,'Patty Cash'!$B:$J,2,FALSE()),"")))),"")</f>
        <v/>
      </c>
      <c r="E455" s="246"/>
      <c r="F455" s="210" t="str">
        <f>IFERROR(IF($E455="Inventory",VLOOKUP($C455,Inventory!$B:$I,3,FALSE()),IF($E455="Non Inventory",VLOOKUP($C455,'Non Inventory'!$B:$I,3,FALSE()),IF($E455="Services",VLOOKUP($C455,Services!$B:$I,3,FALSE()),IF($E455="Patty Cash",VLOOKUP($C455,'Patty Cash'!$B:$J,3,FALSE()),"")))),"")</f>
        <v/>
      </c>
      <c r="G455" s="211"/>
      <c r="H455" s="212" t="str">
        <f>IF($E455="","",IF($E455="Inventory",IFERROR(VLOOKUP($C455,Inventory!$B:$H,7,FALSE()),0),IF($E455="Non Inventory",IFERROR(VLOOKUP($C455,'Non Inventory'!$B:$H,7,FALSE()),0),IF($E455="Services",IFERROR(VLOOKUP($C455,Services!$B:$H,7,FALSE()),0),IF($E455="Patty Cash",IFERROR(VLOOKUP($C455,'Patty Cash'!$B:$H,7,FALSE()),0),0)))))</f>
        <v/>
      </c>
      <c r="I455" s="213"/>
      <c r="J455" s="214"/>
      <c r="K455" s="215"/>
      <c r="L455" s="197"/>
      <c r="M455" s="215"/>
      <c r="N455" s="216">
        <f>IFERROR(IF($E455="Inventory",VLOOKUP($C455,Inventory!$B:$I,8,FALSE()),IF($E455="Non Inventory",VLOOKUP($C455,'Non Inventory'!$B:$I,8,FALSE()),IF($E455="Services",VLOOKUP($C455,Services!$B:$I,8,FALSE()),IF($E455="Patty Cash",VLOOKUP($C455,'Patty Cash'!$B:$J,8,FALSE()),0)))),0)</f>
        <v>0</v>
      </c>
      <c r="O455" s="217" t="str">
        <f t="shared" si="7"/>
        <v/>
      </c>
    </row>
    <row r="456" spans="1:15" ht="23.1" customHeight="1">
      <c r="A456" s="206" t="str">
        <f>IF(AND($B456="",$C456=""),"",MAX($A$3:A455)+1)</f>
        <v/>
      </c>
      <c r="B456" s="207"/>
      <c r="C456" s="208"/>
      <c r="D456" s="209" t="str">
        <f>IFERROR(IF($E456="Inventory",VLOOKUP($C456,Inventory!$B:$I,2,FALSE()),IF($E456="Non Inventory",VLOOKUP($C456,'Non Inventory'!$B:$I,2,FALSE()),IF($E456="Services",VLOOKUP($C456,Services!$B:$I,2,FALSE()),IF($E456="Patty Cash",VLOOKUP($C456,'Patty Cash'!$B:$J,2,FALSE()),"")))),"")</f>
        <v/>
      </c>
      <c r="E456" s="246"/>
      <c r="F456" s="210" t="str">
        <f>IFERROR(IF($E456="Inventory",VLOOKUP($C456,Inventory!$B:$I,3,FALSE()),IF($E456="Non Inventory",VLOOKUP($C456,'Non Inventory'!$B:$I,3,FALSE()),IF($E456="Services",VLOOKUP($C456,Services!$B:$I,3,FALSE()),IF($E456="Patty Cash",VLOOKUP($C456,'Patty Cash'!$B:$J,3,FALSE()),"")))),"")</f>
        <v/>
      </c>
      <c r="G456" s="211"/>
      <c r="H456" s="212" t="str">
        <f>IF($E456="","",IF($E456="Inventory",IFERROR(VLOOKUP($C456,Inventory!$B:$H,7,FALSE()),0),IF($E456="Non Inventory",IFERROR(VLOOKUP($C456,'Non Inventory'!$B:$H,7,FALSE()),0),IF($E456="Services",IFERROR(VLOOKUP($C456,Services!$B:$H,7,FALSE()),0),IF($E456="Patty Cash",IFERROR(VLOOKUP($C456,'Patty Cash'!$B:$H,7,FALSE()),0),0)))))</f>
        <v/>
      </c>
      <c r="I456" s="213"/>
      <c r="J456" s="214"/>
      <c r="K456" s="215"/>
      <c r="L456" s="197"/>
      <c r="M456" s="215"/>
      <c r="N456" s="216">
        <f>IFERROR(IF($E456="Inventory",VLOOKUP($C456,Inventory!$B:$I,8,FALSE()),IF($E456="Non Inventory",VLOOKUP($C456,'Non Inventory'!$B:$I,8,FALSE()),IF($E456="Services",VLOOKUP($C456,Services!$B:$I,8,FALSE()),IF($E456="Patty Cash",VLOOKUP($C456,'Patty Cash'!$B:$J,8,FALSE()),0)))),0)</f>
        <v>0</v>
      </c>
      <c r="O456" s="217" t="str">
        <f t="shared" si="7"/>
        <v/>
      </c>
    </row>
    <row r="457" spans="1:15" ht="23.1" customHeight="1">
      <c r="A457" s="206" t="str">
        <f>IF(AND($B457="",$C457=""),"",MAX($A$3:A456)+1)</f>
        <v/>
      </c>
      <c r="B457" s="207"/>
      <c r="C457" s="208"/>
      <c r="D457" s="209" t="str">
        <f>IFERROR(IF($E457="Inventory",VLOOKUP($C457,Inventory!$B:$I,2,FALSE()),IF($E457="Non Inventory",VLOOKUP($C457,'Non Inventory'!$B:$I,2,FALSE()),IF($E457="Services",VLOOKUP($C457,Services!$B:$I,2,FALSE()),IF($E457="Patty Cash",VLOOKUP($C457,'Patty Cash'!$B:$J,2,FALSE()),"")))),"")</f>
        <v/>
      </c>
      <c r="E457" s="246"/>
      <c r="F457" s="210" t="str">
        <f>IFERROR(IF($E457="Inventory",VLOOKUP($C457,Inventory!$B:$I,3,FALSE()),IF($E457="Non Inventory",VLOOKUP($C457,'Non Inventory'!$B:$I,3,FALSE()),IF($E457="Services",VLOOKUP($C457,Services!$B:$I,3,FALSE()),IF($E457="Patty Cash",VLOOKUP($C457,'Patty Cash'!$B:$J,3,FALSE()),"")))),"")</f>
        <v/>
      </c>
      <c r="G457" s="211"/>
      <c r="H457" s="212" t="str">
        <f>IF($E457="","",IF($E457="Inventory",IFERROR(VLOOKUP($C457,Inventory!$B:$H,7,FALSE()),0),IF($E457="Non Inventory",IFERROR(VLOOKUP($C457,'Non Inventory'!$B:$H,7,FALSE()),0),IF($E457="Services",IFERROR(VLOOKUP($C457,Services!$B:$H,7,FALSE()),0),IF($E457="Patty Cash",IFERROR(VLOOKUP($C457,'Patty Cash'!$B:$H,7,FALSE()),0),0)))))</f>
        <v/>
      </c>
      <c r="I457" s="213"/>
      <c r="J457" s="214"/>
      <c r="K457" s="215"/>
      <c r="L457" s="197"/>
      <c r="M457" s="215"/>
      <c r="N457" s="216">
        <f>IFERROR(IF($E457="Inventory",VLOOKUP($C457,Inventory!$B:$I,8,FALSE()),IF($E457="Non Inventory",VLOOKUP($C457,'Non Inventory'!$B:$I,8,FALSE()),IF($E457="Services",VLOOKUP($C457,Services!$B:$I,8,FALSE()),IF($E457="Patty Cash",VLOOKUP($C457,'Patty Cash'!$B:$J,8,FALSE()),0)))),0)</f>
        <v>0</v>
      </c>
      <c r="O457" s="217" t="str">
        <f t="shared" si="7"/>
        <v/>
      </c>
    </row>
    <row r="458" spans="1:15" ht="23.1" customHeight="1">
      <c r="A458" s="206" t="str">
        <f>IF(AND($B458="",$C458=""),"",MAX($A$3:A457)+1)</f>
        <v/>
      </c>
      <c r="B458" s="207"/>
      <c r="C458" s="208"/>
      <c r="D458" s="209" t="str">
        <f>IFERROR(IF($E458="Inventory",VLOOKUP($C458,Inventory!$B:$I,2,FALSE()),IF($E458="Non Inventory",VLOOKUP($C458,'Non Inventory'!$B:$I,2,FALSE()),IF($E458="Services",VLOOKUP($C458,Services!$B:$I,2,FALSE()),IF($E458="Patty Cash",VLOOKUP($C458,'Patty Cash'!$B:$J,2,FALSE()),"")))),"")</f>
        <v/>
      </c>
      <c r="E458" s="246"/>
      <c r="F458" s="210" t="str">
        <f>IFERROR(IF($E458="Inventory",VLOOKUP($C458,Inventory!$B:$I,3,FALSE()),IF($E458="Non Inventory",VLOOKUP($C458,'Non Inventory'!$B:$I,3,FALSE()),IF($E458="Services",VLOOKUP($C458,Services!$B:$I,3,FALSE()),IF($E458="Patty Cash",VLOOKUP($C458,'Patty Cash'!$B:$J,3,FALSE()),"")))),"")</f>
        <v/>
      </c>
      <c r="G458" s="211"/>
      <c r="H458" s="212" t="str">
        <f>IF($E458="","",IF($E458="Inventory",IFERROR(VLOOKUP($C458,Inventory!$B:$H,7,FALSE()),0),IF($E458="Non Inventory",IFERROR(VLOOKUP($C458,'Non Inventory'!$B:$H,7,FALSE()),0),IF($E458="Services",IFERROR(VLOOKUP($C458,Services!$B:$H,7,FALSE()),0),IF($E458="Patty Cash",IFERROR(VLOOKUP($C458,'Patty Cash'!$B:$H,7,FALSE()),0),0)))))</f>
        <v/>
      </c>
      <c r="I458" s="213"/>
      <c r="J458" s="214"/>
      <c r="K458" s="215"/>
      <c r="L458" s="197"/>
      <c r="M458" s="215"/>
      <c r="N458" s="216">
        <f>IFERROR(IF($E458="Inventory",VLOOKUP($C458,Inventory!$B:$I,8,FALSE()),IF($E458="Non Inventory",VLOOKUP($C458,'Non Inventory'!$B:$I,8,FALSE()),IF($E458="Services",VLOOKUP($C458,Services!$B:$I,8,FALSE()),IF($E458="Patty Cash",VLOOKUP($C458,'Patty Cash'!$B:$J,8,FALSE()),0)))),0)</f>
        <v>0</v>
      </c>
      <c r="O458" s="217" t="str">
        <f t="shared" si="7"/>
        <v/>
      </c>
    </row>
    <row r="459" spans="1:15" ht="23.1" customHeight="1">
      <c r="A459" s="206" t="str">
        <f>IF(AND($B459="",$C459=""),"",MAX($A$3:A458)+1)</f>
        <v/>
      </c>
      <c r="B459" s="207"/>
      <c r="C459" s="208"/>
      <c r="D459" s="209" t="str">
        <f>IFERROR(IF($E459="Inventory",VLOOKUP($C459,Inventory!$B:$I,2,FALSE()),IF($E459="Non Inventory",VLOOKUP($C459,'Non Inventory'!$B:$I,2,FALSE()),IF($E459="Services",VLOOKUP($C459,Services!$B:$I,2,FALSE()),IF($E459="Patty Cash",VLOOKUP($C459,'Patty Cash'!$B:$J,2,FALSE()),"")))),"")</f>
        <v/>
      </c>
      <c r="E459" s="246"/>
      <c r="F459" s="210" t="str">
        <f>IFERROR(IF($E459="Inventory",VLOOKUP($C459,Inventory!$B:$I,3,FALSE()),IF($E459="Non Inventory",VLOOKUP($C459,'Non Inventory'!$B:$I,3,FALSE()),IF($E459="Services",VLOOKUP($C459,Services!$B:$I,3,FALSE()),IF($E459="Patty Cash",VLOOKUP($C459,'Patty Cash'!$B:$J,3,FALSE()),"")))),"")</f>
        <v/>
      </c>
      <c r="G459" s="211"/>
      <c r="H459" s="212" t="str">
        <f>IF($E459="","",IF($E459="Inventory",IFERROR(VLOOKUP($C459,Inventory!$B:$H,7,FALSE()),0),IF($E459="Non Inventory",IFERROR(VLOOKUP($C459,'Non Inventory'!$B:$H,7,FALSE()),0),IF($E459="Services",IFERROR(VLOOKUP($C459,Services!$B:$H,7,FALSE()),0),IF($E459="Patty Cash",IFERROR(VLOOKUP($C459,'Patty Cash'!$B:$H,7,FALSE()),0),0)))))</f>
        <v/>
      </c>
      <c r="I459" s="213"/>
      <c r="J459" s="214"/>
      <c r="K459" s="215"/>
      <c r="L459" s="197"/>
      <c r="M459" s="215"/>
      <c r="N459" s="216">
        <f>IFERROR(IF($E459="Inventory",VLOOKUP($C459,Inventory!$B:$I,8,FALSE()),IF($E459="Non Inventory",VLOOKUP($C459,'Non Inventory'!$B:$I,8,FALSE()),IF($E459="Services",VLOOKUP($C459,Services!$B:$I,8,FALSE()),IF($E459="Patty Cash",VLOOKUP($C459,'Patty Cash'!$B:$J,8,FALSE()),0)))),0)</f>
        <v>0</v>
      </c>
      <c r="O459" s="217" t="str">
        <f t="shared" si="7"/>
        <v/>
      </c>
    </row>
    <row r="460" spans="1:15" ht="23.1" customHeight="1">
      <c r="A460" s="206" t="str">
        <f>IF(AND($B460="",$C460=""),"",MAX($A$3:A459)+1)</f>
        <v/>
      </c>
      <c r="B460" s="207"/>
      <c r="C460" s="208"/>
      <c r="D460" s="209" t="str">
        <f>IFERROR(IF($E460="Inventory",VLOOKUP($C460,Inventory!$B:$I,2,FALSE()),IF($E460="Non Inventory",VLOOKUP($C460,'Non Inventory'!$B:$I,2,FALSE()),IF($E460="Services",VLOOKUP($C460,Services!$B:$I,2,FALSE()),IF($E460="Patty Cash",VLOOKUP($C460,'Patty Cash'!$B:$J,2,FALSE()),"")))),"")</f>
        <v/>
      </c>
      <c r="E460" s="246"/>
      <c r="F460" s="210" t="str">
        <f>IFERROR(IF($E460="Inventory",VLOOKUP($C460,Inventory!$B:$I,3,FALSE()),IF($E460="Non Inventory",VLOOKUP($C460,'Non Inventory'!$B:$I,3,FALSE()),IF($E460="Services",VLOOKUP($C460,Services!$B:$I,3,FALSE()),IF($E460="Patty Cash",VLOOKUP($C460,'Patty Cash'!$B:$J,3,FALSE()),"")))),"")</f>
        <v/>
      </c>
      <c r="G460" s="211"/>
      <c r="H460" s="212" t="str">
        <f>IF($E460="","",IF($E460="Inventory",IFERROR(VLOOKUP($C460,Inventory!$B:$H,7,FALSE()),0),IF($E460="Non Inventory",IFERROR(VLOOKUP($C460,'Non Inventory'!$B:$H,7,FALSE()),0),IF($E460="Services",IFERROR(VLOOKUP($C460,Services!$B:$H,7,FALSE()),0),IF($E460="Patty Cash",IFERROR(VLOOKUP($C460,'Patty Cash'!$B:$H,7,FALSE()),0),0)))))</f>
        <v/>
      </c>
      <c r="I460" s="213"/>
      <c r="J460" s="214"/>
      <c r="K460" s="215"/>
      <c r="L460" s="197"/>
      <c r="M460" s="215"/>
      <c r="N460" s="216">
        <f>IFERROR(IF($E460="Inventory",VLOOKUP($C460,Inventory!$B:$I,8,FALSE()),IF($E460="Non Inventory",VLOOKUP($C460,'Non Inventory'!$B:$I,8,FALSE()),IF($E460="Services",VLOOKUP($C460,Services!$B:$I,8,FALSE()),IF($E460="Patty Cash",VLOOKUP($C460,'Patty Cash'!$B:$J,8,FALSE()),0)))),0)</f>
        <v>0</v>
      </c>
      <c r="O460" s="217" t="str">
        <f t="shared" si="7"/>
        <v/>
      </c>
    </row>
    <row r="461" spans="1:15" ht="23.1" customHeight="1">
      <c r="A461" s="206" t="str">
        <f>IF(AND($B461="",$C461=""),"",MAX($A$3:A460)+1)</f>
        <v/>
      </c>
      <c r="B461" s="207"/>
      <c r="C461" s="208"/>
      <c r="D461" s="209" t="str">
        <f>IFERROR(IF($E461="Inventory",VLOOKUP($C461,Inventory!$B:$I,2,FALSE()),IF($E461="Non Inventory",VLOOKUP($C461,'Non Inventory'!$B:$I,2,FALSE()),IF($E461="Services",VLOOKUP($C461,Services!$B:$I,2,FALSE()),IF($E461="Patty Cash",VLOOKUP($C461,'Patty Cash'!$B:$J,2,FALSE()),"")))),"")</f>
        <v/>
      </c>
      <c r="E461" s="246"/>
      <c r="F461" s="210" t="str">
        <f>IFERROR(IF($E461="Inventory",VLOOKUP($C461,Inventory!$B:$I,3,FALSE()),IF($E461="Non Inventory",VLOOKUP($C461,'Non Inventory'!$B:$I,3,FALSE()),IF($E461="Services",VLOOKUP($C461,Services!$B:$I,3,FALSE()),IF($E461="Patty Cash",VLOOKUP($C461,'Patty Cash'!$B:$J,3,FALSE()),"")))),"")</f>
        <v/>
      </c>
      <c r="G461" s="211"/>
      <c r="H461" s="212" t="str">
        <f>IF($E461="","",IF($E461="Inventory",IFERROR(VLOOKUP($C461,Inventory!$B:$H,7,FALSE()),0),IF($E461="Non Inventory",IFERROR(VLOOKUP($C461,'Non Inventory'!$B:$H,7,FALSE()),0),IF($E461="Services",IFERROR(VLOOKUP($C461,Services!$B:$H,7,FALSE()),0),IF($E461="Patty Cash",IFERROR(VLOOKUP($C461,'Patty Cash'!$B:$H,7,FALSE()),0),0)))))</f>
        <v/>
      </c>
      <c r="I461" s="213"/>
      <c r="J461" s="214"/>
      <c r="K461" s="215"/>
      <c r="L461" s="197"/>
      <c r="M461" s="215"/>
      <c r="N461" s="216">
        <f>IFERROR(IF($E461="Inventory",VLOOKUP($C461,Inventory!$B:$I,8,FALSE()),IF($E461="Non Inventory",VLOOKUP($C461,'Non Inventory'!$B:$I,8,FALSE()),IF($E461="Services",VLOOKUP($C461,Services!$B:$I,8,FALSE()),IF($E461="Patty Cash",VLOOKUP($C461,'Patty Cash'!$B:$J,8,FALSE()),0)))),0)</f>
        <v>0</v>
      </c>
      <c r="O461" s="217" t="str">
        <f t="shared" si="7"/>
        <v/>
      </c>
    </row>
    <row r="462" spans="1:15" ht="23.1" customHeight="1">
      <c r="A462" s="206" t="str">
        <f>IF(AND($B462="",$C462=""),"",MAX($A$3:A461)+1)</f>
        <v/>
      </c>
      <c r="B462" s="207"/>
      <c r="C462" s="208"/>
      <c r="D462" s="209" t="str">
        <f>IFERROR(IF($E462="Inventory",VLOOKUP($C462,Inventory!$B:$I,2,FALSE()),IF($E462="Non Inventory",VLOOKUP($C462,'Non Inventory'!$B:$I,2,FALSE()),IF($E462="Services",VLOOKUP($C462,Services!$B:$I,2,FALSE()),IF($E462="Patty Cash",VLOOKUP($C462,'Patty Cash'!$B:$J,2,FALSE()),"")))),"")</f>
        <v/>
      </c>
      <c r="E462" s="246"/>
      <c r="F462" s="210" t="str">
        <f>IFERROR(IF($E462="Inventory",VLOOKUP($C462,Inventory!$B:$I,3,FALSE()),IF($E462="Non Inventory",VLOOKUP($C462,'Non Inventory'!$B:$I,3,FALSE()),IF($E462="Services",VLOOKUP($C462,Services!$B:$I,3,FALSE()),IF($E462="Patty Cash",VLOOKUP($C462,'Patty Cash'!$B:$J,3,FALSE()),"")))),"")</f>
        <v/>
      </c>
      <c r="G462" s="211"/>
      <c r="H462" s="212" t="str">
        <f>IF($E462="","",IF($E462="Inventory",IFERROR(VLOOKUP($C462,Inventory!$B:$H,7,FALSE()),0),IF($E462="Non Inventory",IFERROR(VLOOKUP($C462,'Non Inventory'!$B:$H,7,FALSE()),0),IF($E462="Services",IFERROR(VLOOKUP($C462,Services!$B:$H,7,FALSE()),0),IF($E462="Patty Cash",IFERROR(VLOOKUP($C462,'Patty Cash'!$B:$H,7,FALSE()),0),0)))))</f>
        <v/>
      </c>
      <c r="I462" s="213"/>
      <c r="J462" s="214"/>
      <c r="K462" s="215"/>
      <c r="L462" s="197"/>
      <c r="M462" s="215"/>
      <c r="N462" s="216">
        <f>IFERROR(IF($E462="Inventory",VLOOKUP($C462,Inventory!$B:$I,8,FALSE()),IF($E462="Non Inventory",VLOOKUP($C462,'Non Inventory'!$B:$I,8,FALSE()),IF($E462="Services",VLOOKUP($C462,Services!$B:$I,8,FALSE()),IF($E462="Patty Cash",VLOOKUP($C462,'Patty Cash'!$B:$J,8,FALSE()),0)))),0)</f>
        <v>0</v>
      </c>
      <c r="O462" s="217" t="str">
        <f t="shared" si="7"/>
        <v/>
      </c>
    </row>
    <row r="463" spans="1:15" ht="23.1" customHeight="1">
      <c r="A463" s="206" t="str">
        <f>IF(AND($B463="",$C463=""),"",MAX($A$3:A462)+1)</f>
        <v/>
      </c>
      <c r="B463" s="207"/>
      <c r="C463" s="208"/>
      <c r="D463" s="209" t="str">
        <f>IFERROR(IF($E463="Inventory",VLOOKUP($C463,Inventory!$B:$I,2,FALSE()),IF($E463="Non Inventory",VLOOKUP($C463,'Non Inventory'!$B:$I,2,FALSE()),IF($E463="Services",VLOOKUP($C463,Services!$B:$I,2,FALSE()),IF($E463="Patty Cash",VLOOKUP($C463,'Patty Cash'!$B:$J,2,FALSE()),"")))),"")</f>
        <v/>
      </c>
      <c r="E463" s="246"/>
      <c r="F463" s="210" t="str">
        <f>IFERROR(IF($E463="Inventory",VLOOKUP($C463,Inventory!$B:$I,3,FALSE()),IF($E463="Non Inventory",VLOOKUP($C463,'Non Inventory'!$B:$I,3,FALSE()),IF($E463="Services",VLOOKUP($C463,Services!$B:$I,3,FALSE()),IF($E463="Patty Cash",VLOOKUP($C463,'Patty Cash'!$B:$J,3,FALSE()),"")))),"")</f>
        <v/>
      </c>
      <c r="G463" s="211"/>
      <c r="H463" s="212" t="str">
        <f>IF($E463="","",IF($E463="Inventory",IFERROR(VLOOKUP($C463,Inventory!$B:$H,7,FALSE()),0),IF($E463="Non Inventory",IFERROR(VLOOKUP($C463,'Non Inventory'!$B:$H,7,FALSE()),0),IF($E463="Services",IFERROR(VLOOKUP($C463,Services!$B:$H,7,FALSE()),0),IF($E463="Patty Cash",IFERROR(VLOOKUP($C463,'Patty Cash'!$B:$H,7,FALSE()),0),0)))))</f>
        <v/>
      </c>
      <c r="I463" s="213"/>
      <c r="J463" s="214"/>
      <c r="K463" s="215"/>
      <c r="L463" s="197"/>
      <c r="M463" s="215"/>
      <c r="N463" s="216">
        <f>IFERROR(IF($E463="Inventory",VLOOKUP($C463,Inventory!$B:$I,8,FALSE()),IF($E463="Non Inventory",VLOOKUP($C463,'Non Inventory'!$B:$I,8,FALSE()),IF($E463="Services",VLOOKUP($C463,Services!$B:$I,8,FALSE()),IF($E463="Patty Cash",VLOOKUP($C463,'Patty Cash'!$B:$J,8,FALSE()),0)))),0)</f>
        <v>0</v>
      </c>
      <c r="O463" s="217" t="str">
        <f t="shared" si="7"/>
        <v/>
      </c>
    </row>
    <row r="464" spans="1:15" ht="23.1" customHeight="1">
      <c r="A464" s="206" t="str">
        <f>IF(AND($B464="",$C464=""),"",MAX($A$3:A463)+1)</f>
        <v/>
      </c>
      <c r="B464" s="207"/>
      <c r="C464" s="208"/>
      <c r="D464" s="209" t="str">
        <f>IFERROR(IF($E464="Inventory",VLOOKUP($C464,Inventory!$B:$I,2,FALSE()),IF($E464="Non Inventory",VLOOKUP($C464,'Non Inventory'!$B:$I,2,FALSE()),IF($E464="Services",VLOOKUP($C464,Services!$B:$I,2,FALSE()),IF($E464="Patty Cash",VLOOKUP($C464,'Patty Cash'!$B:$J,2,FALSE()),"")))),"")</f>
        <v/>
      </c>
      <c r="E464" s="246"/>
      <c r="F464" s="210" t="str">
        <f>IFERROR(IF($E464="Inventory",VLOOKUP($C464,Inventory!$B:$I,3,FALSE()),IF($E464="Non Inventory",VLOOKUP($C464,'Non Inventory'!$B:$I,3,FALSE()),IF($E464="Services",VLOOKUP($C464,Services!$B:$I,3,FALSE()),IF($E464="Patty Cash",VLOOKUP($C464,'Patty Cash'!$B:$J,3,FALSE()),"")))),"")</f>
        <v/>
      </c>
      <c r="G464" s="211"/>
      <c r="H464" s="212" t="str">
        <f>IF($E464="","",IF($E464="Inventory",IFERROR(VLOOKUP($C464,Inventory!$B:$H,7,FALSE()),0),IF($E464="Non Inventory",IFERROR(VLOOKUP($C464,'Non Inventory'!$B:$H,7,FALSE()),0),IF($E464="Services",IFERROR(VLOOKUP($C464,Services!$B:$H,7,FALSE()),0),IF($E464="Patty Cash",IFERROR(VLOOKUP($C464,'Patty Cash'!$B:$H,7,FALSE()),0),0)))))</f>
        <v/>
      </c>
      <c r="I464" s="213"/>
      <c r="J464" s="214"/>
      <c r="K464" s="215"/>
      <c r="L464" s="197"/>
      <c r="M464" s="215"/>
      <c r="N464" s="216">
        <f>IFERROR(IF($E464="Inventory",VLOOKUP($C464,Inventory!$B:$I,8,FALSE()),IF($E464="Non Inventory",VLOOKUP($C464,'Non Inventory'!$B:$I,8,FALSE()),IF($E464="Services",VLOOKUP($C464,Services!$B:$I,8,FALSE()),IF($E464="Patty Cash",VLOOKUP($C464,'Patty Cash'!$B:$J,8,FALSE()),0)))),0)</f>
        <v>0</v>
      </c>
      <c r="O464" s="217" t="str">
        <f t="shared" si="7"/>
        <v/>
      </c>
    </row>
    <row r="465" spans="1:15" ht="23.1" customHeight="1">
      <c r="A465" s="206" t="str">
        <f>IF(AND($B465="",$C465=""),"",MAX($A$3:A464)+1)</f>
        <v/>
      </c>
      <c r="B465" s="207"/>
      <c r="C465" s="208"/>
      <c r="D465" s="209" t="str">
        <f>IFERROR(IF($E465="Inventory",VLOOKUP($C465,Inventory!$B:$I,2,FALSE()),IF($E465="Non Inventory",VLOOKUP($C465,'Non Inventory'!$B:$I,2,FALSE()),IF($E465="Services",VLOOKUP($C465,Services!$B:$I,2,FALSE()),IF($E465="Patty Cash",VLOOKUP($C465,'Patty Cash'!$B:$J,2,FALSE()),"")))),"")</f>
        <v/>
      </c>
      <c r="E465" s="246"/>
      <c r="F465" s="210" t="str">
        <f>IFERROR(IF($E465="Inventory",VLOOKUP($C465,Inventory!$B:$I,3,FALSE()),IF($E465="Non Inventory",VLOOKUP($C465,'Non Inventory'!$B:$I,3,FALSE()),IF($E465="Services",VLOOKUP($C465,Services!$B:$I,3,FALSE()),IF($E465="Patty Cash",VLOOKUP($C465,'Patty Cash'!$B:$J,3,FALSE()),"")))),"")</f>
        <v/>
      </c>
      <c r="G465" s="211"/>
      <c r="H465" s="212" t="str">
        <f>IF($E465="","",IF($E465="Inventory",IFERROR(VLOOKUP($C465,Inventory!$B:$H,7,FALSE()),0),IF($E465="Non Inventory",IFERROR(VLOOKUP($C465,'Non Inventory'!$B:$H,7,FALSE()),0),IF($E465="Services",IFERROR(VLOOKUP($C465,Services!$B:$H,7,FALSE()),0),IF($E465="Patty Cash",IFERROR(VLOOKUP($C465,'Patty Cash'!$B:$H,7,FALSE()),0),0)))))</f>
        <v/>
      </c>
      <c r="I465" s="213"/>
      <c r="J465" s="214"/>
      <c r="K465" s="215"/>
      <c r="L465" s="197"/>
      <c r="M465" s="215"/>
      <c r="N465" s="216">
        <f>IFERROR(IF($E465="Inventory",VLOOKUP($C465,Inventory!$B:$I,8,FALSE()),IF($E465="Non Inventory",VLOOKUP($C465,'Non Inventory'!$B:$I,8,FALSE()),IF($E465="Services",VLOOKUP($C465,Services!$B:$I,8,FALSE()),IF($E465="Patty Cash",VLOOKUP($C465,'Patty Cash'!$B:$J,8,FALSE()),0)))),0)</f>
        <v>0</v>
      </c>
      <c r="O465" s="217" t="str">
        <f t="shared" si="7"/>
        <v/>
      </c>
    </row>
    <row r="466" spans="1:15" ht="23.1" customHeight="1">
      <c r="A466" s="206" t="str">
        <f>IF(AND($B466="",$C466=""),"",MAX($A$3:A465)+1)</f>
        <v/>
      </c>
      <c r="B466" s="207"/>
      <c r="C466" s="208"/>
      <c r="D466" s="209" t="str">
        <f>IFERROR(IF($E466="Inventory",VLOOKUP($C466,Inventory!$B:$I,2,FALSE()),IF($E466="Non Inventory",VLOOKUP($C466,'Non Inventory'!$B:$I,2,FALSE()),IF($E466="Services",VLOOKUP($C466,Services!$B:$I,2,FALSE()),IF($E466="Patty Cash",VLOOKUP($C466,'Patty Cash'!$B:$J,2,FALSE()),"")))),"")</f>
        <v/>
      </c>
      <c r="E466" s="246"/>
      <c r="F466" s="210" t="str">
        <f>IFERROR(IF($E466="Inventory",VLOOKUP($C466,Inventory!$B:$I,3,FALSE()),IF($E466="Non Inventory",VLOOKUP($C466,'Non Inventory'!$B:$I,3,FALSE()),IF($E466="Services",VLOOKUP($C466,Services!$B:$I,3,FALSE()),IF($E466="Patty Cash",VLOOKUP($C466,'Patty Cash'!$B:$J,3,FALSE()),"")))),"")</f>
        <v/>
      </c>
      <c r="G466" s="211"/>
      <c r="H466" s="212" t="str">
        <f>IF($E466="","",IF($E466="Inventory",IFERROR(VLOOKUP($C466,Inventory!$B:$H,7,FALSE()),0),IF($E466="Non Inventory",IFERROR(VLOOKUP($C466,'Non Inventory'!$B:$H,7,FALSE()),0),IF($E466="Services",IFERROR(VLOOKUP($C466,Services!$B:$H,7,FALSE()),0),IF($E466="Patty Cash",IFERROR(VLOOKUP($C466,'Patty Cash'!$B:$H,7,FALSE()),0),0)))))</f>
        <v/>
      </c>
      <c r="I466" s="213"/>
      <c r="J466" s="214"/>
      <c r="K466" s="215"/>
      <c r="L466" s="197"/>
      <c r="M466" s="215"/>
      <c r="N466" s="216">
        <f>IFERROR(IF($E466="Inventory",VLOOKUP($C466,Inventory!$B:$I,8,FALSE()),IF($E466="Non Inventory",VLOOKUP($C466,'Non Inventory'!$B:$I,8,FALSE()),IF($E466="Services",VLOOKUP($C466,Services!$B:$I,8,FALSE()),IF($E466="Patty Cash",VLOOKUP($C466,'Patty Cash'!$B:$J,8,FALSE()),0)))),0)</f>
        <v>0</v>
      </c>
      <c r="O466" s="217" t="str">
        <f t="shared" si="7"/>
        <v/>
      </c>
    </row>
    <row r="467" spans="1:15" ht="23.1" customHeight="1">
      <c r="A467" s="206" t="str">
        <f>IF(AND($B467="",$C467=""),"",MAX($A$3:A466)+1)</f>
        <v/>
      </c>
      <c r="B467" s="207"/>
      <c r="C467" s="208"/>
      <c r="D467" s="209" t="str">
        <f>IFERROR(IF($E467="Inventory",VLOOKUP($C467,Inventory!$B:$I,2,FALSE()),IF($E467="Non Inventory",VLOOKUP($C467,'Non Inventory'!$B:$I,2,FALSE()),IF($E467="Services",VLOOKUP($C467,Services!$B:$I,2,FALSE()),IF($E467="Patty Cash",VLOOKUP($C467,'Patty Cash'!$B:$J,2,FALSE()),"")))),"")</f>
        <v/>
      </c>
      <c r="E467" s="246"/>
      <c r="F467" s="210" t="str">
        <f>IFERROR(IF($E467="Inventory",VLOOKUP($C467,Inventory!$B:$I,3,FALSE()),IF($E467="Non Inventory",VLOOKUP($C467,'Non Inventory'!$B:$I,3,FALSE()),IF($E467="Services",VLOOKUP($C467,Services!$B:$I,3,FALSE()),IF($E467="Patty Cash",VLOOKUP($C467,'Patty Cash'!$B:$J,3,FALSE()),"")))),"")</f>
        <v/>
      </c>
      <c r="G467" s="211"/>
      <c r="H467" s="212" t="str">
        <f>IF($E467="","",IF($E467="Inventory",IFERROR(VLOOKUP($C467,Inventory!$B:$H,7,FALSE()),0),IF($E467="Non Inventory",IFERROR(VLOOKUP($C467,'Non Inventory'!$B:$H,7,FALSE()),0),IF($E467="Services",IFERROR(VLOOKUP($C467,Services!$B:$H,7,FALSE()),0),IF($E467="Patty Cash",IFERROR(VLOOKUP($C467,'Patty Cash'!$B:$H,7,FALSE()),0),0)))))</f>
        <v/>
      </c>
      <c r="I467" s="213"/>
      <c r="J467" s="214"/>
      <c r="K467" s="215"/>
      <c r="L467" s="197"/>
      <c r="M467" s="215"/>
      <c r="N467" s="216">
        <f>IFERROR(IF($E467="Inventory",VLOOKUP($C467,Inventory!$B:$I,8,FALSE()),IF($E467="Non Inventory",VLOOKUP($C467,'Non Inventory'!$B:$I,8,FALSE()),IF($E467="Services",VLOOKUP($C467,Services!$B:$I,8,FALSE()),IF($E467="Patty Cash",VLOOKUP($C467,'Patty Cash'!$B:$J,8,FALSE()),0)))),0)</f>
        <v>0</v>
      </c>
      <c r="O467" s="217" t="str">
        <f t="shared" si="7"/>
        <v/>
      </c>
    </row>
    <row r="468" spans="1:15" ht="23.1" customHeight="1">
      <c r="A468" s="206" t="str">
        <f>IF(AND($B468="",$C468=""),"",MAX($A$3:A467)+1)</f>
        <v/>
      </c>
      <c r="B468" s="207"/>
      <c r="C468" s="208"/>
      <c r="D468" s="209" t="str">
        <f>IFERROR(IF($E468="Inventory",VLOOKUP($C468,Inventory!$B:$I,2,FALSE()),IF($E468="Non Inventory",VLOOKUP($C468,'Non Inventory'!$B:$I,2,FALSE()),IF($E468="Services",VLOOKUP($C468,Services!$B:$I,2,FALSE()),IF($E468="Patty Cash",VLOOKUP($C468,'Patty Cash'!$B:$J,2,FALSE()),"")))),"")</f>
        <v/>
      </c>
      <c r="E468" s="246"/>
      <c r="F468" s="210" t="str">
        <f>IFERROR(IF($E468="Inventory",VLOOKUP($C468,Inventory!$B:$I,3,FALSE()),IF($E468="Non Inventory",VLOOKUP($C468,'Non Inventory'!$B:$I,3,FALSE()),IF($E468="Services",VLOOKUP($C468,Services!$B:$I,3,FALSE()),IF($E468="Patty Cash",VLOOKUP($C468,'Patty Cash'!$B:$J,3,FALSE()),"")))),"")</f>
        <v/>
      </c>
      <c r="G468" s="211"/>
      <c r="H468" s="212" t="str">
        <f>IF($E468="","",IF($E468="Inventory",IFERROR(VLOOKUP($C468,Inventory!$B:$H,7,FALSE()),0),IF($E468="Non Inventory",IFERROR(VLOOKUP($C468,'Non Inventory'!$B:$H,7,FALSE()),0),IF($E468="Services",IFERROR(VLOOKUP($C468,Services!$B:$H,7,FALSE()),0),IF($E468="Patty Cash",IFERROR(VLOOKUP($C468,'Patty Cash'!$B:$H,7,FALSE()),0),0)))))</f>
        <v/>
      </c>
      <c r="I468" s="213"/>
      <c r="J468" s="214"/>
      <c r="K468" s="215"/>
      <c r="L468" s="197"/>
      <c r="M468" s="215"/>
      <c r="N468" s="216">
        <f>IFERROR(IF($E468="Inventory",VLOOKUP($C468,Inventory!$B:$I,8,FALSE()),IF($E468="Non Inventory",VLOOKUP($C468,'Non Inventory'!$B:$I,8,FALSE()),IF($E468="Services",VLOOKUP($C468,Services!$B:$I,8,FALSE()),IF($E468="Patty Cash",VLOOKUP($C468,'Patty Cash'!$B:$J,8,FALSE()),0)))),0)</f>
        <v>0</v>
      </c>
      <c r="O468" s="217" t="str">
        <f t="shared" si="7"/>
        <v/>
      </c>
    </row>
    <row r="469" spans="1:15" ht="23.1" customHeight="1">
      <c r="A469" s="206" t="str">
        <f>IF(AND($B469="",$C469=""),"",MAX($A$3:A468)+1)</f>
        <v/>
      </c>
      <c r="B469" s="207"/>
      <c r="C469" s="208"/>
      <c r="D469" s="209" t="str">
        <f>IFERROR(IF($E469="Inventory",VLOOKUP($C469,Inventory!$B:$I,2,FALSE()),IF($E469="Non Inventory",VLOOKUP($C469,'Non Inventory'!$B:$I,2,FALSE()),IF($E469="Services",VLOOKUP($C469,Services!$B:$I,2,FALSE()),IF($E469="Patty Cash",VLOOKUP($C469,'Patty Cash'!$B:$J,2,FALSE()),"")))),"")</f>
        <v/>
      </c>
      <c r="E469" s="246"/>
      <c r="F469" s="210" t="str">
        <f>IFERROR(IF($E469="Inventory",VLOOKUP($C469,Inventory!$B:$I,3,FALSE()),IF($E469="Non Inventory",VLOOKUP($C469,'Non Inventory'!$B:$I,3,FALSE()),IF($E469="Services",VLOOKUP($C469,Services!$B:$I,3,FALSE()),IF($E469="Patty Cash",VLOOKUP($C469,'Patty Cash'!$B:$J,3,FALSE()),"")))),"")</f>
        <v/>
      </c>
      <c r="G469" s="211"/>
      <c r="H469" s="212" t="str">
        <f>IF($E469="","",IF($E469="Inventory",IFERROR(VLOOKUP($C469,Inventory!$B:$H,7,FALSE()),0),IF($E469="Non Inventory",IFERROR(VLOOKUP($C469,'Non Inventory'!$B:$H,7,FALSE()),0),IF($E469="Services",IFERROR(VLOOKUP($C469,Services!$B:$H,7,FALSE()),0),IF($E469="Patty Cash",IFERROR(VLOOKUP($C469,'Patty Cash'!$B:$H,7,FALSE()),0),0)))))</f>
        <v/>
      </c>
      <c r="I469" s="213"/>
      <c r="J469" s="214"/>
      <c r="K469" s="215"/>
      <c r="L469" s="197"/>
      <c r="M469" s="215"/>
      <c r="N469" s="216">
        <f>IFERROR(IF($E469="Inventory",VLOOKUP($C469,Inventory!$B:$I,8,FALSE()),IF($E469="Non Inventory",VLOOKUP($C469,'Non Inventory'!$B:$I,8,FALSE()),IF($E469="Services",VLOOKUP($C469,Services!$B:$I,8,FALSE()),IF($E469="Patty Cash",VLOOKUP($C469,'Patty Cash'!$B:$J,8,FALSE()),0)))),0)</f>
        <v>0</v>
      </c>
      <c r="O469" s="217" t="str">
        <f t="shared" si="7"/>
        <v/>
      </c>
    </row>
    <row r="470" spans="1:15" ht="23.1" customHeight="1">
      <c r="A470" s="206" t="str">
        <f>IF(AND($B470="",$C470=""),"",MAX($A$3:A469)+1)</f>
        <v/>
      </c>
      <c r="B470" s="207"/>
      <c r="C470" s="208"/>
      <c r="D470" s="209" t="str">
        <f>IFERROR(IF($E470="Inventory",VLOOKUP($C470,Inventory!$B:$I,2,FALSE()),IF($E470="Non Inventory",VLOOKUP($C470,'Non Inventory'!$B:$I,2,FALSE()),IF($E470="Services",VLOOKUP($C470,Services!$B:$I,2,FALSE()),IF($E470="Patty Cash",VLOOKUP($C470,'Patty Cash'!$B:$J,2,FALSE()),"")))),"")</f>
        <v/>
      </c>
      <c r="E470" s="246"/>
      <c r="F470" s="210" t="str">
        <f>IFERROR(IF($E470="Inventory",VLOOKUP($C470,Inventory!$B:$I,3,FALSE()),IF($E470="Non Inventory",VLOOKUP($C470,'Non Inventory'!$B:$I,3,FALSE()),IF($E470="Services",VLOOKUP($C470,Services!$B:$I,3,FALSE()),IF($E470="Patty Cash",VLOOKUP($C470,'Patty Cash'!$B:$J,3,FALSE()),"")))),"")</f>
        <v/>
      </c>
      <c r="G470" s="211"/>
      <c r="H470" s="212" t="str">
        <f>IF($E470="","",IF($E470="Inventory",IFERROR(VLOOKUP($C470,Inventory!$B:$H,7,FALSE()),0),IF($E470="Non Inventory",IFERROR(VLOOKUP($C470,'Non Inventory'!$B:$H,7,FALSE()),0),IF($E470="Services",IFERROR(VLOOKUP($C470,Services!$B:$H,7,FALSE()),0),IF($E470="Patty Cash",IFERROR(VLOOKUP($C470,'Patty Cash'!$B:$H,7,FALSE()),0),0)))))</f>
        <v/>
      </c>
      <c r="I470" s="213"/>
      <c r="J470" s="214"/>
      <c r="K470" s="215"/>
      <c r="L470" s="197"/>
      <c r="M470" s="215"/>
      <c r="N470" s="216">
        <f>IFERROR(IF($E470="Inventory",VLOOKUP($C470,Inventory!$B:$I,8,FALSE()),IF($E470="Non Inventory",VLOOKUP($C470,'Non Inventory'!$B:$I,8,FALSE()),IF($E470="Services",VLOOKUP($C470,Services!$B:$I,8,FALSE()),IF($E470="Patty Cash",VLOOKUP($C470,'Patty Cash'!$B:$J,8,FALSE()),0)))),0)</f>
        <v>0</v>
      </c>
      <c r="O470" s="217" t="str">
        <f t="shared" si="7"/>
        <v/>
      </c>
    </row>
    <row r="471" spans="1:15" ht="23.1" customHeight="1">
      <c r="A471" s="206" t="str">
        <f>IF(AND($B471="",$C471=""),"",MAX($A$3:A470)+1)</f>
        <v/>
      </c>
      <c r="B471" s="207"/>
      <c r="C471" s="208"/>
      <c r="D471" s="209" t="str">
        <f>IFERROR(IF($E471="Inventory",VLOOKUP($C471,Inventory!$B:$I,2,FALSE()),IF($E471="Non Inventory",VLOOKUP($C471,'Non Inventory'!$B:$I,2,FALSE()),IF($E471="Services",VLOOKUP($C471,Services!$B:$I,2,FALSE()),IF($E471="Patty Cash",VLOOKUP($C471,'Patty Cash'!$B:$J,2,FALSE()),"")))),"")</f>
        <v/>
      </c>
      <c r="E471" s="246"/>
      <c r="F471" s="210" t="str">
        <f>IFERROR(IF($E471="Inventory",VLOOKUP($C471,Inventory!$B:$I,3,FALSE()),IF($E471="Non Inventory",VLOOKUP($C471,'Non Inventory'!$B:$I,3,FALSE()),IF($E471="Services",VLOOKUP($C471,Services!$B:$I,3,FALSE()),IF($E471="Patty Cash",VLOOKUP($C471,'Patty Cash'!$B:$J,3,FALSE()),"")))),"")</f>
        <v/>
      </c>
      <c r="G471" s="211"/>
      <c r="H471" s="212" t="str">
        <f>IF($E471="","",IF($E471="Inventory",IFERROR(VLOOKUP($C471,Inventory!$B:$H,7,FALSE()),0),IF($E471="Non Inventory",IFERROR(VLOOKUP($C471,'Non Inventory'!$B:$H,7,FALSE()),0),IF($E471="Services",IFERROR(VLOOKUP($C471,Services!$B:$H,7,FALSE()),0),IF($E471="Patty Cash",IFERROR(VLOOKUP($C471,'Patty Cash'!$B:$H,7,FALSE()),0),0)))))</f>
        <v/>
      </c>
      <c r="I471" s="213"/>
      <c r="J471" s="214"/>
      <c r="K471" s="215"/>
      <c r="L471" s="197"/>
      <c r="M471" s="215"/>
      <c r="N471" s="216">
        <f>IFERROR(IF($E471="Inventory",VLOOKUP($C471,Inventory!$B:$I,8,FALSE()),IF($E471="Non Inventory",VLOOKUP($C471,'Non Inventory'!$B:$I,8,FALSE()),IF($E471="Services",VLOOKUP($C471,Services!$B:$I,8,FALSE()),IF($E471="Patty Cash",VLOOKUP($C471,'Patty Cash'!$B:$J,8,FALSE()),0)))),0)</f>
        <v>0</v>
      </c>
      <c r="O471" s="217" t="str">
        <f t="shared" si="7"/>
        <v/>
      </c>
    </row>
    <row r="472" spans="1:15" ht="23.1" customHeight="1">
      <c r="A472" s="206" t="str">
        <f>IF(AND($B472="",$C472=""),"",MAX($A$3:A471)+1)</f>
        <v/>
      </c>
      <c r="B472" s="207"/>
      <c r="C472" s="208"/>
      <c r="D472" s="209" t="str">
        <f>IFERROR(IF($E472="Inventory",VLOOKUP($C472,Inventory!$B:$I,2,FALSE()),IF($E472="Non Inventory",VLOOKUP($C472,'Non Inventory'!$B:$I,2,FALSE()),IF($E472="Services",VLOOKUP($C472,Services!$B:$I,2,FALSE()),IF($E472="Patty Cash",VLOOKUP($C472,'Patty Cash'!$B:$J,2,FALSE()),"")))),"")</f>
        <v/>
      </c>
      <c r="E472" s="246"/>
      <c r="F472" s="210" t="str">
        <f>IFERROR(IF($E472="Inventory",VLOOKUP($C472,Inventory!$B:$I,3,FALSE()),IF($E472="Non Inventory",VLOOKUP($C472,'Non Inventory'!$B:$I,3,FALSE()),IF($E472="Services",VLOOKUP($C472,Services!$B:$I,3,FALSE()),IF($E472="Patty Cash",VLOOKUP($C472,'Patty Cash'!$B:$J,3,FALSE()),"")))),"")</f>
        <v/>
      </c>
      <c r="G472" s="211"/>
      <c r="H472" s="212" t="str">
        <f>IF($E472="","",IF($E472="Inventory",IFERROR(VLOOKUP($C472,Inventory!$B:$H,7,FALSE()),0),IF($E472="Non Inventory",IFERROR(VLOOKUP($C472,'Non Inventory'!$B:$H,7,FALSE()),0),IF($E472="Services",IFERROR(VLOOKUP($C472,Services!$B:$H,7,FALSE()),0),IF($E472="Patty Cash",IFERROR(VLOOKUP($C472,'Patty Cash'!$B:$H,7,FALSE()),0),0)))))</f>
        <v/>
      </c>
      <c r="I472" s="213"/>
      <c r="J472" s="214"/>
      <c r="K472" s="215"/>
      <c r="L472" s="197"/>
      <c r="M472" s="215"/>
      <c r="N472" s="216">
        <f>IFERROR(IF($E472="Inventory",VLOOKUP($C472,Inventory!$B:$I,8,FALSE()),IF($E472="Non Inventory",VLOOKUP($C472,'Non Inventory'!$B:$I,8,FALSE()),IF($E472="Services",VLOOKUP($C472,Services!$B:$I,8,FALSE()),IF($E472="Patty Cash",VLOOKUP($C472,'Patty Cash'!$B:$J,8,FALSE()),0)))),0)</f>
        <v>0</v>
      </c>
      <c r="O472" s="217" t="str">
        <f t="shared" si="7"/>
        <v/>
      </c>
    </row>
    <row r="473" spans="1:15" ht="23.1" customHeight="1">
      <c r="A473" s="206" t="str">
        <f>IF(AND($B473="",$C473=""),"",MAX($A$3:A472)+1)</f>
        <v/>
      </c>
      <c r="B473" s="207"/>
      <c r="C473" s="208"/>
      <c r="D473" s="209" t="str">
        <f>IFERROR(IF($E473="Inventory",VLOOKUP($C473,Inventory!$B:$I,2,FALSE()),IF($E473="Non Inventory",VLOOKUP($C473,'Non Inventory'!$B:$I,2,FALSE()),IF($E473="Services",VLOOKUP($C473,Services!$B:$I,2,FALSE()),IF($E473="Patty Cash",VLOOKUP($C473,'Patty Cash'!$B:$J,2,FALSE()),"")))),"")</f>
        <v/>
      </c>
      <c r="E473" s="246"/>
      <c r="F473" s="210" t="str">
        <f>IFERROR(IF($E473="Inventory",VLOOKUP($C473,Inventory!$B:$I,3,FALSE()),IF($E473="Non Inventory",VLOOKUP($C473,'Non Inventory'!$B:$I,3,FALSE()),IF($E473="Services",VLOOKUP($C473,Services!$B:$I,3,FALSE()),IF($E473="Patty Cash",VLOOKUP($C473,'Patty Cash'!$B:$J,3,FALSE()),"")))),"")</f>
        <v/>
      </c>
      <c r="G473" s="211"/>
      <c r="H473" s="212" t="str">
        <f>IF($E473="","",IF($E473="Inventory",IFERROR(VLOOKUP($C473,Inventory!$B:$H,7,FALSE()),0),IF($E473="Non Inventory",IFERROR(VLOOKUP($C473,'Non Inventory'!$B:$H,7,FALSE()),0),IF($E473="Services",IFERROR(VLOOKUP($C473,Services!$B:$H,7,FALSE()),0),IF($E473="Patty Cash",IFERROR(VLOOKUP($C473,'Patty Cash'!$B:$H,7,FALSE()),0),0)))))</f>
        <v/>
      </c>
      <c r="I473" s="213"/>
      <c r="J473" s="214"/>
      <c r="K473" s="215"/>
      <c r="L473" s="197"/>
      <c r="M473" s="215"/>
      <c r="N473" s="216">
        <f>IFERROR(IF($E473="Inventory",VLOOKUP($C473,Inventory!$B:$I,8,FALSE()),IF($E473="Non Inventory",VLOOKUP($C473,'Non Inventory'!$B:$I,8,FALSE()),IF($E473="Services",VLOOKUP($C473,Services!$B:$I,8,FALSE()),IF($E473="Patty Cash",VLOOKUP($C473,'Patty Cash'!$B:$J,8,FALSE()),0)))),0)</f>
        <v>0</v>
      </c>
      <c r="O473" s="217" t="str">
        <f t="shared" si="7"/>
        <v/>
      </c>
    </row>
    <row r="474" spans="1:15" ht="23.1" customHeight="1">
      <c r="A474" s="206" t="str">
        <f>IF(AND($B474="",$C474=""),"",MAX($A$3:A473)+1)</f>
        <v/>
      </c>
      <c r="B474" s="207"/>
      <c r="C474" s="208"/>
      <c r="D474" s="209" t="str">
        <f>IFERROR(IF($E474="Inventory",VLOOKUP($C474,Inventory!$B:$I,2,FALSE()),IF($E474="Non Inventory",VLOOKUP($C474,'Non Inventory'!$B:$I,2,FALSE()),IF($E474="Services",VLOOKUP($C474,Services!$B:$I,2,FALSE()),IF($E474="Patty Cash",VLOOKUP($C474,'Patty Cash'!$B:$J,2,FALSE()),"")))),"")</f>
        <v/>
      </c>
      <c r="E474" s="246"/>
      <c r="F474" s="210" t="str">
        <f>IFERROR(IF($E474="Inventory",VLOOKUP($C474,Inventory!$B:$I,3,FALSE()),IF($E474="Non Inventory",VLOOKUP($C474,'Non Inventory'!$B:$I,3,FALSE()),IF($E474="Services",VLOOKUP($C474,Services!$B:$I,3,FALSE()),IF($E474="Patty Cash",VLOOKUP($C474,'Patty Cash'!$B:$J,3,FALSE()),"")))),"")</f>
        <v/>
      </c>
      <c r="G474" s="211"/>
      <c r="H474" s="212" t="str">
        <f>IF($E474="","",IF($E474="Inventory",IFERROR(VLOOKUP($C474,Inventory!$B:$H,7,FALSE()),0),IF($E474="Non Inventory",IFERROR(VLOOKUP($C474,'Non Inventory'!$B:$H,7,FALSE()),0),IF($E474="Services",IFERROR(VLOOKUP($C474,Services!$B:$H,7,FALSE()),0),IF($E474="Patty Cash",IFERROR(VLOOKUP($C474,'Patty Cash'!$B:$H,7,FALSE()),0),0)))))</f>
        <v/>
      </c>
      <c r="I474" s="213"/>
      <c r="J474" s="214"/>
      <c r="K474" s="215"/>
      <c r="L474" s="197"/>
      <c r="M474" s="215"/>
      <c r="N474" s="216">
        <f>IFERROR(IF($E474="Inventory",VLOOKUP($C474,Inventory!$B:$I,8,FALSE()),IF($E474="Non Inventory",VLOOKUP($C474,'Non Inventory'!$B:$I,8,FALSE()),IF($E474="Services",VLOOKUP($C474,Services!$B:$I,8,FALSE()),IF($E474="Patty Cash",VLOOKUP($C474,'Patty Cash'!$B:$J,8,FALSE()),0)))),0)</f>
        <v>0</v>
      </c>
      <c r="O474" s="217" t="str">
        <f t="shared" si="7"/>
        <v/>
      </c>
    </row>
    <row r="475" spans="1:15" ht="23.1" customHeight="1">
      <c r="A475" s="206" t="str">
        <f>IF(AND($B475="",$C475=""),"",MAX($A$3:A474)+1)</f>
        <v/>
      </c>
      <c r="B475" s="207"/>
      <c r="C475" s="208"/>
      <c r="D475" s="209" t="str">
        <f>IFERROR(IF($E475="Inventory",VLOOKUP($C475,Inventory!$B:$I,2,FALSE()),IF($E475="Non Inventory",VLOOKUP($C475,'Non Inventory'!$B:$I,2,FALSE()),IF($E475="Services",VLOOKUP($C475,Services!$B:$I,2,FALSE()),IF($E475="Patty Cash",VLOOKUP($C475,'Patty Cash'!$B:$J,2,FALSE()),"")))),"")</f>
        <v/>
      </c>
      <c r="E475" s="246"/>
      <c r="F475" s="210" t="str">
        <f>IFERROR(IF($E475="Inventory",VLOOKUP($C475,Inventory!$B:$I,3,FALSE()),IF($E475="Non Inventory",VLOOKUP($C475,'Non Inventory'!$B:$I,3,FALSE()),IF($E475="Services",VLOOKUP($C475,Services!$B:$I,3,FALSE()),IF($E475="Patty Cash",VLOOKUP($C475,'Patty Cash'!$B:$J,3,FALSE()),"")))),"")</f>
        <v/>
      </c>
      <c r="G475" s="211"/>
      <c r="H475" s="212" t="str">
        <f>IF($E475="","",IF($E475="Inventory",IFERROR(VLOOKUP($C475,Inventory!$B:$H,7,FALSE()),0),IF($E475="Non Inventory",IFERROR(VLOOKUP($C475,'Non Inventory'!$B:$H,7,FALSE()),0),IF($E475="Services",IFERROR(VLOOKUP($C475,Services!$B:$H,7,FALSE()),0),IF($E475="Patty Cash",IFERROR(VLOOKUP($C475,'Patty Cash'!$B:$H,7,FALSE()),0),0)))))</f>
        <v/>
      </c>
      <c r="I475" s="213"/>
      <c r="J475" s="214"/>
      <c r="K475" s="215"/>
      <c r="L475" s="197"/>
      <c r="M475" s="215"/>
      <c r="N475" s="216">
        <f>IFERROR(IF($E475="Inventory",VLOOKUP($C475,Inventory!$B:$I,8,FALSE()),IF($E475="Non Inventory",VLOOKUP($C475,'Non Inventory'!$B:$I,8,FALSE()),IF($E475="Services",VLOOKUP($C475,Services!$B:$I,8,FALSE()),IF($E475="Patty Cash",VLOOKUP($C475,'Patty Cash'!$B:$J,8,FALSE()),0)))),0)</f>
        <v>0</v>
      </c>
      <c r="O475" s="217" t="str">
        <f t="shared" si="7"/>
        <v/>
      </c>
    </row>
    <row r="476" spans="1:15" ht="23.1" customHeight="1">
      <c r="A476" s="206" t="str">
        <f>IF(AND($B476="",$C476=""),"",MAX($A$3:A475)+1)</f>
        <v/>
      </c>
      <c r="B476" s="207"/>
      <c r="C476" s="208"/>
      <c r="D476" s="209" t="str">
        <f>IFERROR(IF($E476="Inventory",VLOOKUP($C476,Inventory!$B:$I,2,FALSE()),IF($E476="Non Inventory",VLOOKUP($C476,'Non Inventory'!$B:$I,2,FALSE()),IF($E476="Services",VLOOKUP($C476,Services!$B:$I,2,FALSE()),IF($E476="Patty Cash",VLOOKUP($C476,'Patty Cash'!$B:$J,2,FALSE()),"")))),"")</f>
        <v/>
      </c>
      <c r="E476" s="246"/>
      <c r="F476" s="210" t="str">
        <f>IFERROR(IF($E476="Inventory",VLOOKUP($C476,Inventory!$B:$I,3,FALSE()),IF($E476="Non Inventory",VLOOKUP($C476,'Non Inventory'!$B:$I,3,FALSE()),IF($E476="Services",VLOOKUP($C476,Services!$B:$I,3,FALSE()),IF($E476="Patty Cash",VLOOKUP($C476,'Patty Cash'!$B:$J,3,FALSE()),"")))),"")</f>
        <v/>
      </c>
      <c r="G476" s="211"/>
      <c r="H476" s="212" t="str">
        <f>IF($E476="","",IF($E476="Inventory",IFERROR(VLOOKUP($C476,Inventory!$B:$H,7,FALSE()),0),IF($E476="Non Inventory",IFERROR(VLOOKUP($C476,'Non Inventory'!$B:$H,7,FALSE()),0),IF($E476="Services",IFERROR(VLOOKUP($C476,Services!$B:$H,7,FALSE()),0),IF($E476="Patty Cash",IFERROR(VLOOKUP($C476,'Patty Cash'!$B:$H,7,FALSE()),0),0)))))</f>
        <v/>
      </c>
      <c r="I476" s="213"/>
      <c r="J476" s="214"/>
      <c r="K476" s="215"/>
      <c r="L476" s="197"/>
      <c r="M476" s="215"/>
      <c r="N476" s="216">
        <f>IFERROR(IF($E476="Inventory",VLOOKUP($C476,Inventory!$B:$I,8,FALSE()),IF($E476="Non Inventory",VLOOKUP($C476,'Non Inventory'!$B:$I,8,FALSE()),IF($E476="Services",VLOOKUP($C476,Services!$B:$I,8,FALSE()),IF($E476="Patty Cash",VLOOKUP($C476,'Patty Cash'!$B:$J,8,FALSE()),0)))),0)</f>
        <v>0</v>
      </c>
      <c r="O476" s="217" t="str">
        <f t="shared" si="7"/>
        <v/>
      </c>
    </row>
    <row r="477" spans="1:15" ht="23.1" customHeight="1">
      <c r="A477" s="206" t="str">
        <f>IF(AND($B477="",$C477=""),"",MAX($A$3:A476)+1)</f>
        <v/>
      </c>
      <c r="B477" s="207"/>
      <c r="C477" s="208"/>
      <c r="D477" s="209" t="str">
        <f>IFERROR(IF($E477="Inventory",VLOOKUP($C477,Inventory!$B:$I,2,FALSE()),IF($E477="Non Inventory",VLOOKUP($C477,'Non Inventory'!$B:$I,2,FALSE()),IF($E477="Services",VLOOKUP($C477,Services!$B:$I,2,FALSE()),IF($E477="Patty Cash",VLOOKUP($C477,'Patty Cash'!$B:$J,2,FALSE()),"")))),"")</f>
        <v/>
      </c>
      <c r="E477" s="246"/>
      <c r="F477" s="210" t="str">
        <f>IFERROR(IF($E477="Inventory",VLOOKUP($C477,Inventory!$B:$I,3,FALSE()),IF($E477="Non Inventory",VLOOKUP($C477,'Non Inventory'!$B:$I,3,FALSE()),IF($E477="Services",VLOOKUP($C477,Services!$B:$I,3,FALSE()),IF($E477="Patty Cash",VLOOKUP($C477,'Patty Cash'!$B:$J,3,FALSE()),"")))),"")</f>
        <v/>
      </c>
      <c r="G477" s="211"/>
      <c r="H477" s="212" t="str">
        <f>IF($E477="","",IF($E477="Inventory",IFERROR(VLOOKUP($C477,Inventory!$B:$H,7,FALSE()),0),IF($E477="Non Inventory",IFERROR(VLOOKUP($C477,'Non Inventory'!$B:$H,7,FALSE()),0),IF($E477="Services",IFERROR(VLOOKUP($C477,Services!$B:$H,7,FALSE()),0),IF($E477="Patty Cash",IFERROR(VLOOKUP($C477,'Patty Cash'!$B:$H,7,FALSE()),0),0)))))</f>
        <v/>
      </c>
      <c r="I477" s="213"/>
      <c r="J477" s="214"/>
      <c r="K477" s="215"/>
      <c r="L477" s="197"/>
      <c r="M477" s="215"/>
      <c r="N477" s="216">
        <f>IFERROR(IF($E477="Inventory",VLOOKUP($C477,Inventory!$B:$I,8,FALSE()),IF($E477="Non Inventory",VLOOKUP($C477,'Non Inventory'!$B:$I,8,FALSE()),IF($E477="Services",VLOOKUP($C477,Services!$B:$I,8,FALSE()),IF($E477="Patty Cash",VLOOKUP($C477,'Patty Cash'!$B:$J,8,FALSE()),0)))),0)</f>
        <v>0</v>
      </c>
      <c r="O477" s="217" t="str">
        <f t="shared" si="7"/>
        <v/>
      </c>
    </row>
    <row r="478" spans="1:15" ht="23.1" customHeight="1">
      <c r="A478" s="206" t="str">
        <f>IF(AND($B478="",$C478=""),"",MAX($A$3:A477)+1)</f>
        <v/>
      </c>
      <c r="B478" s="207"/>
      <c r="C478" s="208"/>
      <c r="D478" s="209" t="str">
        <f>IFERROR(IF($E478="Inventory",VLOOKUP($C478,Inventory!$B:$I,2,FALSE()),IF($E478="Non Inventory",VLOOKUP($C478,'Non Inventory'!$B:$I,2,FALSE()),IF($E478="Services",VLOOKUP($C478,Services!$B:$I,2,FALSE()),IF($E478="Patty Cash",VLOOKUP($C478,'Patty Cash'!$B:$J,2,FALSE()),"")))),"")</f>
        <v/>
      </c>
      <c r="E478" s="246"/>
      <c r="F478" s="210" t="str">
        <f>IFERROR(IF($E478="Inventory",VLOOKUP($C478,Inventory!$B:$I,3,FALSE()),IF($E478="Non Inventory",VLOOKUP($C478,'Non Inventory'!$B:$I,3,FALSE()),IF($E478="Services",VLOOKUP($C478,Services!$B:$I,3,FALSE()),IF($E478="Patty Cash",VLOOKUP($C478,'Patty Cash'!$B:$J,3,FALSE()),"")))),"")</f>
        <v/>
      </c>
      <c r="G478" s="211"/>
      <c r="H478" s="212" t="str">
        <f>IF($E478="","",IF($E478="Inventory",IFERROR(VLOOKUP($C478,Inventory!$B:$H,7,FALSE()),0),IF($E478="Non Inventory",IFERROR(VLOOKUP($C478,'Non Inventory'!$B:$H,7,FALSE()),0),IF($E478="Services",IFERROR(VLOOKUP($C478,Services!$B:$H,7,FALSE()),0),IF($E478="Patty Cash",IFERROR(VLOOKUP($C478,'Patty Cash'!$B:$H,7,FALSE()),0),0)))))</f>
        <v/>
      </c>
      <c r="I478" s="213"/>
      <c r="J478" s="214"/>
      <c r="K478" s="215"/>
      <c r="L478" s="197"/>
      <c r="M478" s="215"/>
      <c r="N478" s="216">
        <f>IFERROR(IF($E478="Inventory",VLOOKUP($C478,Inventory!$B:$I,8,FALSE()),IF($E478="Non Inventory",VLOOKUP($C478,'Non Inventory'!$B:$I,8,FALSE()),IF($E478="Services",VLOOKUP($C478,Services!$B:$I,8,FALSE()),IF($E478="Patty Cash",VLOOKUP($C478,'Patty Cash'!$B:$J,8,FALSE()),0)))),0)</f>
        <v>0</v>
      </c>
      <c r="O478" s="217" t="str">
        <f t="shared" si="7"/>
        <v/>
      </c>
    </row>
    <row r="479" spans="1:15" ht="23.1" customHeight="1">
      <c r="A479" s="206" t="str">
        <f>IF(AND($B479="",$C479=""),"",MAX($A$3:A478)+1)</f>
        <v/>
      </c>
      <c r="B479" s="207"/>
      <c r="C479" s="208"/>
      <c r="D479" s="209" t="str">
        <f>IFERROR(IF($E479="Inventory",VLOOKUP($C479,Inventory!$B:$I,2,FALSE()),IF($E479="Non Inventory",VLOOKUP($C479,'Non Inventory'!$B:$I,2,FALSE()),IF($E479="Services",VLOOKUP($C479,Services!$B:$I,2,FALSE()),IF($E479="Patty Cash",VLOOKUP($C479,'Patty Cash'!$B:$J,2,FALSE()),"")))),"")</f>
        <v/>
      </c>
      <c r="E479" s="246"/>
      <c r="F479" s="210" t="str">
        <f>IFERROR(IF($E479="Inventory",VLOOKUP($C479,Inventory!$B:$I,3,FALSE()),IF($E479="Non Inventory",VLOOKUP($C479,'Non Inventory'!$B:$I,3,FALSE()),IF($E479="Services",VLOOKUP($C479,Services!$B:$I,3,FALSE()),IF($E479="Patty Cash",VLOOKUP($C479,'Patty Cash'!$B:$J,3,FALSE()),"")))),"")</f>
        <v/>
      </c>
      <c r="G479" s="211"/>
      <c r="H479" s="212" t="str">
        <f>IF($E479="","",IF($E479="Inventory",IFERROR(VLOOKUP($C479,Inventory!$B:$H,7,FALSE()),0),IF($E479="Non Inventory",IFERROR(VLOOKUP($C479,'Non Inventory'!$B:$H,7,FALSE()),0),IF($E479="Services",IFERROR(VLOOKUP($C479,Services!$B:$H,7,FALSE()),0),IF($E479="Patty Cash",IFERROR(VLOOKUP($C479,'Patty Cash'!$B:$H,7,FALSE()),0),0)))))</f>
        <v/>
      </c>
      <c r="I479" s="213"/>
      <c r="J479" s="214"/>
      <c r="K479" s="215"/>
      <c r="L479" s="197"/>
      <c r="M479" s="215"/>
      <c r="N479" s="216">
        <f>IFERROR(IF($E479="Inventory",VLOOKUP($C479,Inventory!$B:$I,8,FALSE()),IF($E479="Non Inventory",VLOOKUP($C479,'Non Inventory'!$B:$I,8,FALSE()),IF($E479="Services",VLOOKUP($C479,Services!$B:$I,8,FALSE()),IF($E479="Patty Cash",VLOOKUP($C479,'Patty Cash'!$B:$J,8,FALSE()),0)))),0)</f>
        <v>0</v>
      </c>
      <c r="O479" s="217" t="str">
        <f t="shared" si="7"/>
        <v/>
      </c>
    </row>
    <row r="480" spans="1:15" ht="23.1" customHeight="1">
      <c r="A480" s="206" t="str">
        <f>IF(AND($B480="",$C480=""),"",MAX($A$3:A479)+1)</f>
        <v/>
      </c>
      <c r="B480" s="207"/>
      <c r="C480" s="208"/>
      <c r="D480" s="209" t="str">
        <f>IFERROR(IF($E480="Inventory",VLOOKUP($C480,Inventory!$B:$I,2,FALSE()),IF($E480="Non Inventory",VLOOKUP($C480,'Non Inventory'!$B:$I,2,FALSE()),IF($E480="Services",VLOOKUP($C480,Services!$B:$I,2,FALSE()),IF($E480="Patty Cash",VLOOKUP($C480,'Patty Cash'!$B:$J,2,FALSE()),"")))),"")</f>
        <v/>
      </c>
      <c r="E480" s="246"/>
      <c r="F480" s="210" t="str">
        <f>IFERROR(IF($E480="Inventory",VLOOKUP($C480,Inventory!$B:$I,3,FALSE()),IF($E480="Non Inventory",VLOOKUP($C480,'Non Inventory'!$B:$I,3,FALSE()),IF($E480="Services",VLOOKUP($C480,Services!$B:$I,3,FALSE()),IF($E480="Patty Cash",VLOOKUP($C480,'Patty Cash'!$B:$J,3,FALSE()),"")))),"")</f>
        <v/>
      </c>
      <c r="G480" s="211"/>
      <c r="H480" s="212" t="str">
        <f>IF($E480="","",IF($E480="Inventory",IFERROR(VLOOKUP($C480,Inventory!$B:$H,7,FALSE()),0),IF($E480="Non Inventory",IFERROR(VLOOKUP($C480,'Non Inventory'!$B:$H,7,FALSE()),0),IF($E480="Services",IFERROR(VLOOKUP($C480,Services!$B:$H,7,FALSE()),0),IF($E480="Patty Cash",IFERROR(VLOOKUP($C480,'Patty Cash'!$B:$H,7,FALSE()),0),0)))))</f>
        <v/>
      </c>
      <c r="I480" s="213"/>
      <c r="J480" s="214"/>
      <c r="K480" s="215"/>
      <c r="L480" s="197"/>
      <c r="M480" s="215"/>
      <c r="N480" s="216">
        <f>IFERROR(IF($E480="Inventory",VLOOKUP($C480,Inventory!$B:$I,8,FALSE()),IF($E480="Non Inventory",VLOOKUP($C480,'Non Inventory'!$B:$I,8,FALSE()),IF($E480="Services",VLOOKUP($C480,Services!$B:$I,8,FALSE()),IF($E480="Patty Cash",VLOOKUP($C480,'Patty Cash'!$B:$J,8,FALSE()),0)))),0)</f>
        <v>0</v>
      </c>
      <c r="O480" s="217" t="str">
        <f t="shared" si="7"/>
        <v/>
      </c>
    </row>
    <row r="481" spans="1:15" ht="23.1" customHeight="1">
      <c r="A481" s="206" t="str">
        <f>IF(AND($B481="",$C481=""),"",MAX($A$3:A480)+1)</f>
        <v/>
      </c>
      <c r="B481" s="207"/>
      <c r="C481" s="208"/>
      <c r="D481" s="209" t="str">
        <f>IFERROR(IF($E481="Inventory",VLOOKUP($C481,Inventory!$B:$I,2,FALSE()),IF($E481="Non Inventory",VLOOKUP($C481,'Non Inventory'!$B:$I,2,FALSE()),IF($E481="Services",VLOOKUP($C481,Services!$B:$I,2,FALSE()),IF($E481="Patty Cash",VLOOKUP($C481,'Patty Cash'!$B:$J,2,FALSE()),"")))),"")</f>
        <v/>
      </c>
      <c r="E481" s="246"/>
      <c r="F481" s="210" t="str">
        <f>IFERROR(IF($E481="Inventory",VLOOKUP($C481,Inventory!$B:$I,3,FALSE()),IF($E481="Non Inventory",VLOOKUP($C481,'Non Inventory'!$B:$I,3,FALSE()),IF($E481="Services",VLOOKUP($C481,Services!$B:$I,3,FALSE()),IF($E481="Patty Cash",VLOOKUP($C481,'Patty Cash'!$B:$J,3,FALSE()),"")))),"")</f>
        <v/>
      </c>
      <c r="G481" s="211"/>
      <c r="H481" s="212" t="str">
        <f>IF($E481="","",IF($E481="Inventory",IFERROR(VLOOKUP($C481,Inventory!$B:$H,7,FALSE()),0),IF($E481="Non Inventory",IFERROR(VLOOKUP($C481,'Non Inventory'!$B:$H,7,FALSE()),0),IF($E481="Services",IFERROR(VLOOKUP($C481,Services!$B:$H,7,FALSE()),0),IF($E481="Patty Cash",IFERROR(VLOOKUP($C481,'Patty Cash'!$B:$H,7,FALSE()),0),0)))))</f>
        <v/>
      </c>
      <c r="I481" s="213"/>
      <c r="J481" s="214"/>
      <c r="K481" s="215"/>
      <c r="L481" s="197"/>
      <c r="M481" s="215"/>
      <c r="N481" s="216">
        <f>IFERROR(IF($E481="Inventory",VLOOKUP($C481,Inventory!$B:$I,8,FALSE()),IF($E481="Non Inventory",VLOOKUP($C481,'Non Inventory'!$B:$I,8,FALSE()),IF($E481="Services",VLOOKUP($C481,Services!$B:$I,8,FALSE()),IF($E481="Patty Cash",VLOOKUP($C481,'Patty Cash'!$B:$J,8,FALSE()),0)))),0)</f>
        <v>0</v>
      </c>
      <c r="O481" s="217" t="str">
        <f t="shared" si="7"/>
        <v/>
      </c>
    </row>
    <row r="482" spans="1:15" ht="23.1" customHeight="1">
      <c r="A482" s="206" t="str">
        <f>IF(AND($B482="",$C482=""),"",MAX($A$3:A481)+1)</f>
        <v/>
      </c>
      <c r="B482" s="207"/>
      <c r="C482" s="208"/>
      <c r="D482" s="209" t="str">
        <f>IFERROR(IF($E482="Inventory",VLOOKUP($C482,Inventory!$B:$I,2,FALSE()),IF($E482="Non Inventory",VLOOKUP($C482,'Non Inventory'!$B:$I,2,FALSE()),IF($E482="Services",VLOOKUP($C482,Services!$B:$I,2,FALSE()),IF($E482="Patty Cash",VLOOKUP($C482,'Patty Cash'!$B:$J,2,FALSE()),"")))),"")</f>
        <v/>
      </c>
      <c r="E482" s="246"/>
      <c r="F482" s="210" t="str">
        <f>IFERROR(IF($E482="Inventory",VLOOKUP($C482,Inventory!$B:$I,3,FALSE()),IF($E482="Non Inventory",VLOOKUP($C482,'Non Inventory'!$B:$I,3,FALSE()),IF($E482="Services",VLOOKUP($C482,Services!$B:$I,3,FALSE()),IF($E482="Patty Cash",VLOOKUP($C482,'Patty Cash'!$B:$J,3,FALSE()),"")))),"")</f>
        <v/>
      </c>
      <c r="G482" s="211"/>
      <c r="H482" s="212" t="str">
        <f>IF($E482="","",IF($E482="Inventory",IFERROR(VLOOKUP($C482,Inventory!$B:$H,7,FALSE()),0),IF($E482="Non Inventory",IFERROR(VLOOKUP($C482,'Non Inventory'!$B:$H,7,FALSE()),0),IF($E482="Services",IFERROR(VLOOKUP($C482,Services!$B:$H,7,FALSE()),0),IF($E482="Patty Cash",IFERROR(VLOOKUP($C482,'Patty Cash'!$B:$H,7,FALSE()),0),0)))))</f>
        <v/>
      </c>
      <c r="I482" s="213"/>
      <c r="J482" s="214"/>
      <c r="K482" s="215"/>
      <c r="L482" s="197"/>
      <c r="M482" s="215"/>
      <c r="N482" s="216">
        <f>IFERROR(IF($E482="Inventory",VLOOKUP($C482,Inventory!$B:$I,8,FALSE()),IF($E482="Non Inventory",VLOOKUP($C482,'Non Inventory'!$B:$I,8,FALSE()),IF($E482="Services",VLOOKUP($C482,Services!$B:$I,8,FALSE()),IF($E482="Patty Cash",VLOOKUP($C482,'Patty Cash'!$B:$J,8,FALSE()),0)))),0)</f>
        <v>0</v>
      </c>
      <c r="O482" s="217" t="str">
        <f t="shared" si="7"/>
        <v/>
      </c>
    </row>
    <row r="483" spans="1:15" ht="23.1" customHeight="1">
      <c r="A483" s="206" t="str">
        <f>IF(AND($B483="",$C483=""),"",MAX($A$3:A482)+1)</f>
        <v/>
      </c>
      <c r="B483" s="207"/>
      <c r="C483" s="208"/>
      <c r="D483" s="209" t="str">
        <f>IFERROR(IF($E483="Inventory",VLOOKUP($C483,Inventory!$B:$I,2,FALSE()),IF($E483="Non Inventory",VLOOKUP($C483,'Non Inventory'!$B:$I,2,FALSE()),IF($E483="Services",VLOOKUP($C483,Services!$B:$I,2,FALSE()),IF($E483="Patty Cash",VLOOKUP($C483,'Patty Cash'!$B:$J,2,FALSE()),"")))),"")</f>
        <v/>
      </c>
      <c r="E483" s="246"/>
      <c r="F483" s="210" t="str">
        <f>IFERROR(IF($E483="Inventory",VLOOKUP($C483,Inventory!$B:$I,3,FALSE()),IF($E483="Non Inventory",VLOOKUP($C483,'Non Inventory'!$B:$I,3,FALSE()),IF($E483="Services",VLOOKUP($C483,Services!$B:$I,3,FALSE()),IF($E483="Patty Cash",VLOOKUP($C483,'Patty Cash'!$B:$J,3,FALSE()),"")))),"")</f>
        <v/>
      </c>
      <c r="G483" s="211"/>
      <c r="H483" s="212" t="str">
        <f>IF($E483="","",IF($E483="Inventory",IFERROR(VLOOKUP($C483,Inventory!$B:$H,7,FALSE()),0),IF($E483="Non Inventory",IFERROR(VLOOKUP($C483,'Non Inventory'!$B:$H,7,FALSE()),0),IF($E483="Services",IFERROR(VLOOKUP($C483,Services!$B:$H,7,FALSE()),0),IF($E483="Patty Cash",IFERROR(VLOOKUP($C483,'Patty Cash'!$B:$H,7,FALSE()),0),0)))))</f>
        <v/>
      </c>
      <c r="I483" s="213"/>
      <c r="J483" s="214"/>
      <c r="K483" s="215"/>
      <c r="L483" s="197"/>
      <c r="M483" s="215"/>
      <c r="N483" s="216">
        <f>IFERROR(IF($E483="Inventory",VLOOKUP($C483,Inventory!$B:$I,8,FALSE()),IF($E483="Non Inventory",VLOOKUP($C483,'Non Inventory'!$B:$I,8,FALSE()),IF($E483="Services",VLOOKUP($C483,Services!$B:$I,8,FALSE()),IF($E483="Patty Cash",VLOOKUP($C483,'Patty Cash'!$B:$J,8,FALSE()),0)))),0)</f>
        <v>0</v>
      </c>
      <c r="O483" s="217" t="str">
        <f t="shared" si="7"/>
        <v/>
      </c>
    </row>
    <row r="484" spans="1:15" ht="23.1" customHeight="1">
      <c r="A484" s="206" t="str">
        <f>IF(AND($B484="",$C484=""),"",MAX($A$3:A483)+1)</f>
        <v/>
      </c>
      <c r="B484" s="207"/>
      <c r="C484" s="208"/>
      <c r="D484" s="209" t="str">
        <f>IFERROR(IF($E484="Inventory",VLOOKUP($C484,Inventory!$B:$I,2,FALSE()),IF($E484="Non Inventory",VLOOKUP($C484,'Non Inventory'!$B:$I,2,FALSE()),IF($E484="Services",VLOOKUP($C484,Services!$B:$I,2,FALSE()),IF($E484="Patty Cash",VLOOKUP($C484,'Patty Cash'!$B:$J,2,FALSE()),"")))),"")</f>
        <v/>
      </c>
      <c r="E484" s="246"/>
      <c r="F484" s="210" t="str">
        <f>IFERROR(IF($E484="Inventory",VLOOKUP($C484,Inventory!$B:$I,3,FALSE()),IF($E484="Non Inventory",VLOOKUP($C484,'Non Inventory'!$B:$I,3,FALSE()),IF($E484="Services",VLOOKUP($C484,Services!$B:$I,3,FALSE()),IF($E484="Patty Cash",VLOOKUP($C484,'Patty Cash'!$B:$J,3,FALSE()),"")))),"")</f>
        <v/>
      </c>
      <c r="G484" s="211"/>
      <c r="H484" s="212" t="str">
        <f>IF($E484="","",IF($E484="Inventory",IFERROR(VLOOKUP($C484,Inventory!$B:$H,7,FALSE()),0),IF($E484="Non Inventory",IFERROR(VLOOKUP($C484,'Non Inventory'!$B:$H,7,FALSE()),0),IF($E484="Services",IFERROR(VLOOKUP($C484,Services!$B:$H,7,FALSE()),0),IF($E484="Patty Cash",IFERROR(VLOOKUP($C484,'Patty Cash'!$B:$H,7,FALSE()),0),0)))))</f>
        <v/>
      </c>
      <c r="I484" s="213"/>
      <c r="J484" s="214"/>
      <c r="K484" s="215"/>
      <c r="L484" s="197"/>
      <c r="M484" s="215"/>
      <c r="N484" s="216">
        <f>IFERROR(IF($E484="Inventory",VLOOKUP($C484,Inventory!$B:$I,8,FALSE()),IF($E484="Non Inventory",VLOOKUP($C484,'Non Inventory'!$B:$I,8,FALSE()),IF($E484="Services",VLOOKUP($C484,Services!$B:$I,8,FALSE()),IF($E484="Patty Cash",VLOOKUP($C484,'Patty Cash'!$B:$J,8,FALSE()),0)))),0)</f>
        <v>0</v>
      </c>
      <c r="O484" s="217" t="str">
        <f t="shared" si="7"/>
        <v/>
      </c>
    </row>
    <row r="485" spans="1:15" ht="23.1" customHeight="1">
      <c r="A485" s="206" t="str">
        <f>IF(AND($B485="",$C485=""),"",MAX($A$3:A484)+1)</f>
        <v/>
      </c>
      <c r="B485" s="207"/>
      <c r="C485" s="208"/>
      <c r="D485" s="209" t="str">
        <f>IFERROR(IF($E485="Inventory",VLOOKUP($C485,Inventory!$B:$I,2,FALSE()),IF($E485="Non Inventory",VLOOKUP($C485,'Non Inventory'!$B:$I,2,FALSE()),IF($E485="Services",VLOOKUP($C485,Services!$B:$I,2,FALSE()),IF($E485="Patty Cash",VLOOKUP($C485,'Patty Cash'!$B:$J,2,FALSE()),"")))),"")</f>
        <v/>
      </c>
      <c r="E485" s="246"/>
      <c r="F485" s="210" t="str">
        <f>IFERROR(IF($E485="Inventory",VLOOKUP($C485,Inventory!$B:$I,3,FALSE()),IF($E485="Non Inventory",VLOOKUP($C485,'Non Inventory'!$B:$I,3,FALSE()),IF($E485="Services",VLOOKUP($C485,Services!$B:$I,3,FALSE()),IF($E485="Patty Cash",VLOOKUP($C485,'Patty Cash'!$B:$J,3,FALSE()),"")))),"")</f>
        <v/>
      </c>
      <c r="G485" s="211"/>
      <c r="H485" s="212" t="str">
        <f>IF($E485="","",IF($E485="Inventory",IFERROR(VLOOKUP($C485,Inventory!$B:$H,7,FALSE()),0),IF($E485="Non Inventory",IFERROR(VLOOKUP($C485,'Non Inventory'!$B:$H,7,FALSE()),0),IF($E485="Services",IFERROR(VLOOKUP($C485,Services!$B:$H,7,FALSE()),0),IF($E485="Patty Cash",IFERROR(VLOOKUP($C485,'Patty Cash'!$B:$H,7,FALSE()),0),0)))))</f>
        <v/>
      </c>
      <c r="I485" s="213"/>
      <c r="J485" s="214"/>
      <c r="K485" s="215"/>
      <c r="L485" s="197"/>
      <c r="M485" s="215"/>
      <c r="N485" s="216">
        <f>IFERROR(IF($E485="Inventory",VLOOKUP($C485,Inventory!$B:$I,8,FALSE()),IF($E485="Non Inventory",VLOOKUP($C485,'Non Inventory'!$B:$I,8,FALSE()),IF($E485="Services",VLOOKUP($C485,Services!$B:$I,8,FALSE()),IF($E485="Patty Cash",VLOOKUP($C485,'Patty Cash'!$B:$J,8,FALSE()),0)))),0)</f>
        <v>0</v>
      </c>
      <c r="O485" s="217" t="str">
        <f t="shared" si="7"/>
        <v/>
      </c>
    </row>
    <row r="486" spans="1:15" ht="23.1" customHeight="1">
      <c r="A486" s="206" t="str">
        <f>IF(AND($B486="",$C486=""),"",MAX($A$3:A485)+1)</f>
        <v/>
      </c>
      <c r="B486" s="207"/>
      <c r="C486" s="208"/>
      <c r="D486" s="209" t="str">
        <f>IFERROR(IF($E486="Inventory",VLOOKUP($C486,Inventory!$B:$I,2,FALSE()),IF($E486="Non Inventory",VLOOKUP($C486,'Non Inventory'!$B:$I,2,FALSE()),IF($E486="Services",VLOOKUP($C486,Services!$B:$I,2,FALSE()),IF($E486="Patty Cash",VLOOKUP($C486,'Patty Cash'!$B:$J,2,FALSE()),"")))),"")</f>
        <v/>
      </c>
      <c r="E486" s="246"/>
      <c r="F486" s="210" t="str">
        <f>IFERROR(IF($E486="Inventory",VLOOKUP($C486,Inventory!$B:$I,3,FALSE()),IF($E486="Non Inventory",VLOOKUP($C486,'Non Inventory'!$B:$I,3,FALSE()),IF($E486="Services",VLOOKUP($C486,Services!$B:$I,3,FALSE()),IF($E486="Patty Cash",VLOOKUP($C486,'Patty Cash'!$B:$J,3,FALSE()),"")))),"")</f>
        <v/>
      </c>
      <c r="G486" s="211"/>
      <c r="H486" s="212" t="str">
        <f>IF($E486="","",IF($E486="Inventory",IFERROR(VLOOKUP($C486,Inventory!$B:$H,7,FALSE()),0),IF($E486="Non Inventory",IFERROR(VLOOKUP($C486,'Non Inventory'!$B:$H,7,FALSE()),0),IF($E486="Services",IFERROR(VLOOKUP($C486,Services!$B:$H,7,FALSE()),0),IF($E486="Patty Cash",IFERROR(VLOOKUP($C486,'Patty Cash'!$B:$H,7,FALSE()),0),0)))))</f>
        <v/>
      </c>
      <c r="I486" s="213"/>
      <c r="J486" s="214"/>
      <c r="K486" s="215"/>
      <c r="L486" s="197"/>
      <c r="M486" s="215"/>
      <c r="N486" s="216">
        <f>IFERROR(IF($E486="Inventory",VLOOKUP($C486,Inventory!$B:$I,8,FALSE()),IF($E486="Non Inventory",VLOOKUP($C486,'Non Inventory'!$B:$I,8,FALSE()),IF($E486="Services",VLOOKUP($C486,Services!$B:$I,8,FALSE()),IF($E486="Patty Cash",VLOOKUP($C486,'Patty Cash'!$B:$J,8,FALSE()),0)))),0)</f>
        <v>0</v>
      </c>
      <c r="O486" s="217" t="str">
        <f t="shared" si="7"/>
        <v/>
      </c>
    </row>
    <row r="487" spans="1:15" ht="23.1" customHeight="1">
      <c r="A487" s="206" t="str">
        <f>IF(AND($B487="",$C487=""),"",MAX($A$3:A486)+1)</f>
        <v/>
      </c>
      <c r="B487" s="207"/>
      <c r="C487" s="208"/>
      <c r="D487" s="209" t="str">
        <f>IFERROR(IF($E487="Inventory",VLOOKUP($C487,Inventory!$B:$I,2,FALSE()),IF($E487="Non Inventory",VLOOKUP($C487,'Non Inventory'!$B:$I,2,FALSE()),IF($E487="Services",VLOOKUP($C487,Services!$B:$I,2,FALSE()),IF($E487="Patty Cash",VLOOKUP($C487,'Patty Cash'!$B:$J,2,FALSE()),"")))),"")</f>
        <v/>
      </c>
      <c r="E487" s="246"/>
      <c r="F487" s="210" t="str">
        <f>IFERROR(IF($E487="Inventory",VLOOKUP($C487,Inventory!$B:$I,3,FALSE()),IF($E487="Non Inventory",VLOOKUP($C487,'Non Inventory'!$B:$I,3,FALSE()),IF($E487="Services",VLOOKUP($C487,Services!$B:$I,3,FALSE()),IF($E487="Patty Cash",VLOOKUP($C487,'Patty Cash'!$B:$J,3,FALSE()),"")))),"")</f>
        <v/>
      </c>
      <c r="G487" s="211"/>
      <c r="H487" s="212" t="str">
        <f>IF($E487="","",IF($E487="Inventory",IFERROR(VLOOKUP($C487,Inventory!$B:$H,7,FALSE()),0),IF($E487="Non Inventory",IFERROR(VLOOKUP($C487,'Non Inventory'!$B:$H,7,FALSE()),0),IF($E487="Services",IFERROR(VLOOKUP($C487,Services!$B:$H,7,FALSE()),0),IF($E487="Patty Cash",IFERROR(VLOOKUP($C487,'Patty Cash'!$B:$H,7,FALSE()),0),0)))))</f>
        <v/>
      </c>
      <c r="I487" s="213"/>
      <c r="J487" s="214"/>
      <c r="K487" s="215"/>
      <c r="L487" s="197"/>
      <c r="M487" s="215"/>
      <c r="N487" s="216">
        <f>IFERROR(IF($E487="Inventory",VLOOKUP($C487,Inventory!$B:$I,8,FALSE()),IF($E487="Non Inventory",VLOOKUP($C487,'Non Inventory'!$B:$I,8,FALSE()),IF($E487="Services",VLOOKUP($C487,Services!$B:$I,8,FALSE()),IF($E487="Patty Cash",VLOOKUP($C487,'Patty Cash'!$B:$J,8,FALSE()),0)))),0)</f>
        <v>0</v>
      </c>
      <c r="O487" s="217" t="str">
        <f t="shared" si="7"/>
        <v/>
      </c>
    </row>
    <row r="488" spans="1:15" ht="23.1" customHeight="1">
      <c r="A488" s="206" t="str">
        <f>IF(AND($B488="",$C488=""),"",MAX($A$3:A487)+1)</f>
        <v/>
      </c>
      <c r="B488" s="207"/>
      <c r="C488" s="208"/>
      <c r="D488" s="209" t="str">
        <f>IFERROR(IF($E488="Inventory",VLOOKUP($C488,Inventory!$B:$I,2,FALSE()),IF($E488="Non Inventory",VLOOKUP($C488,'Non Inventory'!$B:$I,2,FALSE()),IF($E488="Services",VLOOKUP($C488,Services!$B:$I,2,FALSE()),IF($E488="Patty Cash",VLOOKUP($C488,'Patty Cash'!$B:$J,2,FALSE()),"")))),"")</f>
        <v/>
      </c>
      <c r="E488" s="246"/>
      <c r="F488" s="210" t="str">
        <f>IFERROR(IF($E488="Inventory",VLOOKUP($C488,Inventory!$B:$I,3,FALSE()),IF($E488="Non Inventory",VLOOKUP($C488,'Non Inventory'!$B:$I,3,FALSE()),IF($E488="Services",VLOOKUP($C488,Services!$B:$I,3,FALSE()),IF($E488="Patty Cash",VLOOKUP($C488,'Patty Cash'!$B:$J,3,FALSE()),"")))),"")</f>
        <v/>
      </c>
      <c r="G488" s="211"/>
      <c r="H488" s="212" t="str">
        <f>IF($E488="","",IF($E488="Inventory",IFERROR(VLOOKUP($C488,Inventory!$B:$H,7,FALSE()),0),IF($E488="Non Inventory",IFERROR(VLOOKUP($C488,'Non Inventory'!$B:$H,7,FALSE()),0),IF($E488="Services",IFERROR(VLOOKUP($C488,Services!$B:$H,7,FALSE()),0),IF($E488="Patty Cash",IFERROR(VLOOKUP($C488,'Patty Cash'!$B:$H,7,FALSE()),0),0)))))</f>
        <v/>
      </c>
      <c r="I488" s="213"/>
      <c r="J488" s="214"/>
      <c r="K488" s="215"/>
      <c r="L488" s="197"/>
      <c r="M488" s="215"/>
      <c r="N488" s="216">
        <f>IFERROR(IF($E488="Inventory",VLOOKUP($C488,Inventory!$B:$I,8,FALSE()),IF($E488="Non Inventory",VLOOKUP($C488,'Non Inventory'!$B:$I,8,FALSE()),IF($E488="Services",VLOOKUP($C488,Services!$B:$I,8,FALSE()),IF($E488="Patty Cash",VLOOKUP($C488,'Patty Cash'!$B:$J,8,FALSE()),0)))),0)</f>
        <v>0</v>
      </c>
      <c r="O488" s="217" t="str">
        <f t="shared" si="7"/>
        <v/>
      </c>
    </row>
    <row r="489" spans="1:15" ht="23.1" customHeight="1">
      <c r="A489" s="206" t="str">
        <f>IF(AND($B489="",$C489=""),"",MAX($A$3:A488)+1)</f>
        <v/>
      </c>
      <c r="B489" s="207"/>
      <c r="C489" s="208"/>
      <c r="D489" s="209" t="str">
        <f>IFERROR(IF($E489="Inventory",VLOOKUP($C489,Inventory!$B:$I,2,FALSE()),IF($E489="Non Inventory",VLOOKUP($C489,'Non Inventory'!$B:$I,2,FALSE()),IF($E489="Services",VLOOKUP($C489,Services!$B:$I,2,FALSE()),IF($E489="Patty Cash",VLOOKUP($C489,'Patty Cash'!$B:$J,2,FALSE()),"")))),"")</f>
        <v/>
      </c>
      <c r="E489" s="246"/>
      <c r="F489" s="210" t="str">
        <f>IFERROR(IF($E489="Inventory",VLOOKUP($C489,Inventory!$B:$I,3,FALSE()),IF($E489="Non Inventory",VLOOKUP($C489,'Non Inventory'!$B:$I,3,FALSE()),IF($E489="Services",VLOOKUP($C489,Services!$B:$I,3,FALSE()),IF($E489="Patty Cash",VLOOKUP($C489,'Patty Cash'!$B:$J,3,FALSE()),"")))),"")</f>
        <v/>
      </c>
      <c r="G489" s="211"/>
      <c r="H489" s="212" t="str">
        <f>IF($E489="","",IF($E489="Inventory",IFERROR(VLOOKUP($C489,Inventory!$B:$H,7,FALSE()),0),IF($E489="Non Inventory",IFERROR(VLOOKUP($C489,'Non Inventory'!$B:$H,7,FALSE()),0),IF($E489="Services",IFERROR(VLOOKUP($C489,Services!$B:$H,7,FALSE()),0),IF($E489="Patty Cash",IFERROR(VLOOKUP($C489,'Patty Cash'!$B:$H,7,FALSE()),0),0)))))</f>
        <v/>
      </c>
      <c r="I489" s="213"/>
      <c r="J489" s="214"/>
      <c r="K489" s="215"/>
      <c r="L489" s="197"/>
      <c r="M489" s="215"/>
      <c r="N489" s="216">
        <f>IFERROR(IF($E489="Inventory",VLOOKUP($C489,Inventory!$B:$I,8,FALSE()),IF($E489="Non Inventory",VLOOKUP($C489,'Non Inventory'!$B:$I,8,FALSE()),IF($E489="Services",VLOOKUP($C489,Services!$B:$I,8,FALSE()),IF($E489="Patty Cash",VLOOKUP($C489,'Patty Cash'!$B:$J,8,FALSE()),0)))),0)</f>
        <v>0</v>
      </c>
      <c r="O489" s="217" t="str">
        <f t="shared" si="7"/>
        <v/>
      </c>
    </row>
    <row r="490" spans="1:15" ht="23.1" customHeight="1">
      <c r="A490" s="206" t="str">
        <f>IF(AND($B490="",$C490=""),"",MAX($A$3:A489)+1)</f>
        <v/>
      </c>
      <c r="B490" s="207"/>
      <c r="C490" s="208"/>
      <c r="D490" s="209" t="str">
        <f>IFERROR(IF($E490="Inventory",VLOOKUP($C490,Inventory!$B:$I,2,FALSE()),IF($E490="Non Inventory",VLOOKUP($C490,'Non Inventory'!$B:$I,2,FALSE()),IF($E490="Services",VLOOKUP($C490,Services!$B:$I,2,FALSE()),IF($E490="Patty Cash",VLOOKUP($C490,'Patty Cash'!$B:$J,2,FALSE()),"")))),"")</f>
        <v/>
      </c>
      <c r="E490" s="246"/>
      <c r="F490" s="210" t="str">
        <f>IFERROR(IF($E490="Inventory",VLOOKUP($C490,Inventory!$B:$I,3,FALSE()),IF($E490="Non Inventory",VLOOKUP($C490,'Non Inventory'!$B:$I,3,FALSE()),IF($E490="Services",VLOOKUP($C490,Services!$B:$I,3,FALSE()),IF($E490="Patty Cash",VLOOKUP($C490,'Patty Cash'!$B:$J,3,FALSE()),"")))),"")</f>
        <v/>
      </c>
      <c r="G490" s="211"/>
      <c r="H490" s="212" t="str">
        <f>IF($E490="","",IF($E490="Inventory",IFERROR(VLOOKUP($C490,Inventory!$B:$H,7,FALSE()),0),IF($E490="Non Inventory",IFERROR(VLOOKUP($C490,'Non Inventory'!$B:$H,7,FALSE()),0),IF($E490="Services",IFERROR(VLOOKUP($C490,Services!$B:$H,7,FALSE()),0),IF($E490="Patty Cash",IFERROR(VLOOKUP($C490,'Patty Cash'!$B:$H,7,FALSE()),0),0)))))</f>
        <v/>
      </c>
      <c r="I490" s="213"/>
      <c r="J490" s="214"/>
      <c r="K490" s="215"/>
      <c r="L490" s="197"/>
      <c r="M490" s="215"/>
      <c r="N490" s="216">
        <f>IFERROR(IF($E490="Inventory",VLOOKUP($C490,Inventory!$B:$I,8,FALSE()),IF($E490="Non Inventory",VLOOKUP($C490,'Non Inventory'!$B:$I,8,FALSE()),IF($E490="Services",VLOOKUP($C490,Services!$B:$I,8,FALSE()),IF($E490="Patty Cash",VLOOKUP($C490,'Patty Cash'!$B:$J,8,FALSE()),0)))),0)</f>
        <v>0</v>
      </c>
      <c r="O490" s="217" t="str">
        <f t="shared" si="7"/>
        <v/>
      </c>
    </row>
    <row r="491" spans="1:15" ht="23.1" customHeight="1">
      <c r="A491" s="206" t="str">
        <f>IF(AND($B491="",$C491=""),"",MAX($A$3:A490)+1)</f>
        <v/>
      </c>
      <c r="B491" s="207"/>
      <c r="C491" s="208"/>
      <c r="D491" s="209" t="str">
        <f>IFERROR(IF($E491="Inventory",VLOOKUP($C491,Inventory!$B:$I,2,FALSE()),IF($E491="Non Inventory",VLOOKUP($C491,'Non Inventory'!$B:$I,2,FALSE()),IF($E491="Services",VLOOKUP($C491,Services!$B:$I,2,FALSE()),IF($E491="Patty Cash",VLOOKUP($C491,'Patty Cash'!$B:$J,2,FALSE()),"")))),"")</f>
        <v/>
      </c>
      <c r="E491" s="246"/>
      <c r="F491" s="210" t="str">
        <f>IFERROR(IF($E491="Inventory",VLOOKUP($C491,Inventory!$B:$I,3,FALSE()),IF($E491="Non Inventory",VLOOKUP($C491,'Non Inventory'!$B:$I,3,FALSE()),IF($E491="Services",VLOOKUP($C491,Services!$B:$I,3,FALSE()),IF($E491="Patty Cash",VLOOKUP($C491,'Patty Cash'!$B:$J,3,FALSE()),"")))),"")</f>
        <v/>
      </c>
      <c r="G491" s="211"/>
      <c r="H491" s="212" t="str">
        <f>IF($E491="","",IF($E491="Inventory",IFERROR(VLOOKUP($C491,Inventory!$B:$H,7,FALSE()),0),IF($E491="Non Inventory",IFERROR(VLOOKUP($C491,'Non Inventory'!$B:$H,7,FALSE()),0),IF($E491="Services",IFERROR(VLOOKUP($C491,Services!$B:$H,7,FALSE()),0),IF($E491="Patty Cash",IFERROR(VLOOKUP($C491,'Patty Cash'!$B:$H,7,FALSE()),0),0)))))</f>
        <v/>
      </c>
      <c r="I491" s="213"/>
      <c r="J491" s="214"/>
      <c r="K491" s="215"/>
      <c r="L491" s="197"/>
      <c r="M491" s="215"/>
      <c r="N491" s="216">
        <f>IFERROR(IF($E491="Inventory",VLOOKUP($C491,Inventory!$B:$I,8,FALSE()),IF($E491="Non Inventory",VLOOKUP($C491,'Non Inventory'!$B:$I,8,FALSE()),IF($E491="Services",VLOOKUP($C491,Services!$B:$I,8,FALSE()),IF($E491="Patty Cash",VLOOKUP($C491,'Patty Cash'!$B:$J,8,FALSE()),0)))),0)</f>
        <v>0</v>
      </c>
      <c r="O491" s="217" t="str">
        <f t="shared" si="7"/>
        <v/>
      </c>
    </row>
    <row r="492" spans="1:15" ht="23.1" customHeight="1">
      <c r="A492" s="206" t="str">
        <f>IF(AND($B492="",$C492=""),"",MAX($A$3:A491)+1)</f>
        <v/>
      </c>
      <c r="B492" s="207"/>
      <c r="C492" s="208"/>
      <c r="D492" s="209" t="str">
        <f>IFERROR(IF($E492="Inventory",VLOOKUP($C492,Inventory!$B:$I,2,FALSE()),IF($E492="Non Inventory",VLOOKUP($C492,'Non Inventory'!$B:$I,2,FALSE()),IF($E492="Services",VLOOKUP($C492,Services!$B:$I,2,FALSE()),IF($E492="Patty Cash",VLOOKUP($C492,'Patty Cash'!$B:$J,2,FALSE()),"")))),"")</f>
        <v/>
      </c>
      <c r="E492" s="246"/>
      <c r="F492" s="210" t="str">
        <f>IFERROR(IF($E492="Inventory",VLOOKUP($C492,Inventory!$B:$I,3,FALSE()),IF($E492="Non Inventory",VLOOKUP($C492,'Non Inventory'!$B:$I,3,FALSE()),IF($E492="Services",VLOOKUP($C492,Services!$B:$I,3,FALSE()),IF($E492="Patty Cash",VLOOKUP($C492,'Patty Cash'!$B:$J,3,FALSE()),"")))),"")</f>
        <v/>
      </c>
      <c r="G492" s="211"/>
      <c r="H492" s="212" t="str">
        <f>IF($E492="","",IF($E492="Inventory",IFERROR(VLOOKUP($C492,Inventory!$B:$H,7,FALSE()),0),IF($E492="Non Inventory",IFERROR(VLOOKUP($C492,'Non Inventory'!$B:$H,7,FALSE()),0),IF($E492="Services",IFERROR(VLOOKUP($C492,Services!$B:$H,7,FALSE()),0),IF($E492="Patty Cash",IFERROR(VLOOKUP($C492,'Patty Cash'!$B:$H,7,FALSE()),0),0)))))</f>
        <v/>
      </c>
      <c r="I492" s="213"/>
      <c r="J492" s="214"/>
      <c r="K492" s="215"/>
      <c r="L492" s="197"/>
      <c r="M492" s="215"/>
      <c r="N492" s="216">
        <f>IFERROR(IF($E492="Inventory",VLOOKUP($C492,Inventory!$B:$I,8,FALSE()),IF($E492="Non Inventory",VLOOKUP($C492,'Non Inventory'!$B:$I,8,FALSE()),IF($E492="Services",VLOOKUP($C492,Services!$B:$I,8,FALSE()),IF($E492="Patty Cash",VLOOKUP($C492,'Patty Cash'!$B:$J,8,FALSE()),0)))),0)</f>
        <v>0</v>
      </c>
      <c r="O492" s="217" t="str">
        <f t="shared" si="7"/>
        <v/>
      </c>
    </row>
    <row r="493" spans="1:15" ht="23.1" customHeight="1">
      <c r="A493" s="206" t="str">
        <f>IF(AND($B493="",$C493=""),"",MAX($A$3:A492)+1)</f>
        <v/>
      </c>
      <c r="B493" s="207"/>
      <c r="C493" s="208"/>
      <c r="D493" s="209" t="str">
        <f>IFERROR(IF($E493="Inventory",VLOOKUP($C493,Inventory!$B:$I,2,FALSE()),IF($E493="Non Inventory",VLOOKUP($C493,'Non Inventory'!$B:$I,2,FALSE()),IF($E493="Services",VLOOKUP($C493,Services!$B:$I,2,FALSE()),IF($E493="Patty Cash",VLOOKUP($C493,'Patty Cash'!$B:$J,2,FALSE()),"")))),"")</f>
        <v/>
      </c>
      <c r="E493" s="246"/>
      <c r="F493" s="210" t="str">
        <f>IFERROR(IF($E493="Inventory",VLOOKUP($C493,Inventory!$B:$I,3,FALSE()),IF($E493="Non Inventory",VLOOKUP($C493,'Non Inventory'!$B:$I,3,FALSE()),IF($E493="Services",VLOOKUP($C493,Services!$B:$I,3,FALSE()),IF($E493="Patty Cash",VLOOKUP($C493,'Patty Cash'!$B:$J,3,FALSE()),"")))),"")</f>
        <v/>
      </c>
      <c r="G493" s="211"/>
      <c r="H493" s="212" t="str">
        <f>IF($E493="","",IF($E493="Inventory",IFERROR(VLOOKUP($C493,Inventory!$B:$H,7,FALSE()),0),IF($E493="Non Inventory",IFERROR(VLOOKUP($C493,'Non Inventory'!$B:$H,7,FALSE()),0),IF($E493="Services",IFERROR(VLOOKUP($C493,Services!$B:$H,7,FALSE()),0),IF($E493="Patty Cash",IFERROR(VLOOKUP($C493,'Patty Cash'!$B:$H,7,FALSE()),0),0)))))</f>
        <v/>
      </c>
      <c r="I493" s="213"/>
      <c r="J493" s="214"/>
      <c r="K493" s="215"/>
      <c r="L493" s="197"/>
      <c r="M493" s="215"/>
      <c r="N493" s="216">
        <f>IFERROR(IF($E493="Inventory",VLOOKUP($C493,Inventory!$B:$I,8,FALSE()),IF($E493="Non Inventory",VLOOKUP($C493,'Non Inventory'!$B:$I,8,FALSE()),IF($E493="Services",VLOOKUP($C493,Services!$B:$I,8,FALSE()),IF($E493="Patty Cash",VLOOKUP($C493,'Patty Cash'!$B:$J,8,FALSE()),0)))),0)</f>
        <v>0</v>
      </c>
      <c r="O493" s="217" t="str">
        <f t="shared" si="7"/>
        <v/>
      </c>
    </row>
    <row r="494" spans="1:15" ht="23.1" customHeight="1">
      <c r="A494" s="206" t="str">
        <f>IF(AND($B494="",$C494=""),"",MAX($A$3:A493)+1)</f>
        <v/>
      </c>
      <c r="B494" s="207"/>
      <c r="C494" s="208"/>
      <c r="D494" s="209" t="str">
        <f>IFERROR(IF($E494="Inventory",VLOOKUP($C494,Inventory!$B:$I,2,FALSE()),IF($E494="Non Inventory",VLOOKUP($C494,'Non Inventory'!$B:$I,2,FALSE()),IF($E494="Services",VLOOKUP($C494,Services!$B:$I,2,FALSE()),IF($E494="Patty Cash",VLOOKUP($C494,'Patty Cash'!$B:$J,2,FALSE()),"")))),"")</f>
        <v/>
      </c>
      <c r="E494" s="246"/>
      <c r="F494" s="210" t="str">
        <f>IFERROR(IF($E494="Inventory",VLOOKUP($C494,Inventory!$B:$I,3,FALSE()),IF($E494="Non Inventory",VLOOKUP($C494,'Non Inventory'!$B:$I,3,FALSE()),IF($E494="Services",VLOOKUP($C494,Services!$B:$I,3,FALSE()),IF($E494="Patty Cash",VLOOKUP($C494,'Patty Cash'!$B:$J,3,FALSE()),"")))),"")</f>
        <v/>
      </c>
      <c r="G494" s="211"/>
      <c r="H494" s="212" t="str">
        <f>IF($E494="","",IF($E494="Inventory",IFERROR(VLOOKUP($C494,Inventory!$B:$H,7,FALSE()),0),IF($E494="Non Inventory",IFERROR(VLOOKUP($C494,'Non Inventory'!$B:$H,7,FALSE()),0),IF($E494="Services",IFERROR(VLOOKUP($C494,Services!$B:$H,7,FALSE()),0),IF($E494="Patty Cash",IFERROR(VLOOKUP($C494,'Patty Cash'!$B:$H,7,FALSE()),0),0)))))</f>
        <v/>
      </c>
      <c r="I494" s="213"/>
      <c r="J494" s="214"/>
      <c r="K494" s="215"/>
      <c r="L494" s="197"/>
      <c r="M494" s="215"/>
      <c r="N494" s="216">
        <f>IFERROR(IF($E494="Inventory",VLOOKUP($C494,Inventory!$B:$I,8,FALSE()),IF($E494="Non Inventory",VLOOKUP($C494,'Non Inventory'!$B:$I,8,FALSE()),IF($E494="Services",VLOOKUP($C494,Services!$B:$I,8,FALSE()),IF($E494="Patty Cash",VLOOKUP($C494,'Patty Cash'!$B:$J,8,FALSE()),0)))),0)</f>
        <v>0</v>
      </c>
      <c r="O494" s="217" t="str">
        <f t="shared" si="7"/>
        <v/>
      </c>
    </row>
    <row r="495" spans="1:15" ht="23.1" customHeight="1">
      <c r="A495" s="206" t="str">
        <f>IF(AND($B495="",$C495=""),"",MAX($A$3:A494)+1)</f>
        <v/>
      </c>
      <c r="B495" s="207"/>
      <c r="C495" s="208"/>
      <c r="D495" s="209" t="str">
        <f>IFERROR(IF($E495="Inventory",VLOOKUP($C495,Inventory!$B:$I,2,FALSE()),IF($E495="Non Inventory",VLOOKUP($C495,'Non Inventory'!$B:$I,2,FALSE()),IF($E495="Services",VLOOKUP($C495,Services!$B:$I,2,FALSE()),IF($E495="Patty Cash",VLOOKUP($C495,'Patty Cash'!$B:$J,2,FALSE()),"")))),"")</f>
        <v/>
      </c>
      <c r="E495" s="246"/>
      <c r="F495" s="210" t="str">
        <f>IFERROR(IF($E495="Inventory",VLOOKUP($C495,Inventory!$B:$I,3,FALSE()),IF($E495="Non Inventory",VLOOKUP($C495,'Non Inventory'!$B:$I,3,FALSE()),IF($E495="Services",VLOOKUP($C495,Services!$B:$I,3,FALSE()),IF($E495="Patty Cash",VLOOKUP($C495,'Patty Cash'!$B:$J,3,FALSE()),"")))),"")</f>
        <v/>
      </c>
      <c r="G495" s="211"/>
      <c r="H495" s="212" t="str">
        <f>IF($E495="","",IF($E495="Inventory",IFERROR(VLOOKUP($C495,Inventory!$B:$H,7,FALSE()),0),IF($E495="Non Inventory",IFERROR(VLOOKUP($C495,'Non Inventory'!$B:$H,7,FALSE()),0),IF($E495="Services",IFERROR(VLOOKUP($C495,Services!$B:$H,7,FALSE()),0),IF($E495="Patty Cash",IFERROR(VLOOKUP($C495,'Patty Cash'!$B:$H,7,FALSE()),0),0)))))</f>
        <v/>
      </c>
      <c r="I495" s="213"/>
      <c r="J495" s="214"/>
      <c r="K495" s="215"/>
      <c r="L495" s="197"/>
      <c r="M495" s="215"/>
      <c r="N495" s="216">
        <f>IFERROR(IF($E495="Inventory",VLOOKUP($C495,Inventory!$B:$I,8,FALSE()),IF($E495="Non Inventory",VLOOKUP($C495,'Non Inventory'!$B:$I,8,FALSE()),IF($E495="Services",VLOOKUP($C495,Services!$B:$I,8,FALSE()),IF($E495="Patty Cash",VLOOKUP($C495,'Patty Cash'!$B:$J,8,FALSE()),0)))),0)</f>
        <v>0</v>
      </c>
      <c r="O495" s="217" t="str">
        <f t="shared" si="7"/>
        <v/>
      </c>
    </row>
    <row r="496" spans="1:15" ht="23.1" customHeight="1">
      <c r="A496" s="206" t="str">
        <f>IF(AND($B496="",$C496=""),"",MAX($A$3:A495)+1)</f>
        <v/>
      </c>
      <c r="B496" s="207"/>
      <c r="C496" s="208"/>
      <c r="D496" s="209" t="str">
        <f>IFERROR(IF($E496="Inventory",VLOOKUP($C496,Inventory!$B:$I,2,FALSE()),IF($E496="Non Inventory",VLOOKUP($C496,'Non Inventory'!$B:$I,2,FALSE()),IF($E496="Services",VLOOKUP($C496,Services!$B:$I,2,FALSE()),IF($E496="Patty Cash",VLOOKUP($C496,'Patty Cash'!$B:$J,2,FALSE()),"")))),"")</f>
        <v/>
      </c>
      <c r="E496" s="246"/>
      <c r="F496" s="210" t="str">
        <f>IFERROR(IF($E496="Inventory",VLOOKUP($C496,Inventory!$B:$I,3,FALSE()),IF($E496="Non Inventory",VLOOKUP($C496,'Non Inventory'!$B:$I,3,FALSE()),IF($E496="Services",VLOOKUP($C496,Services!$B:$I,3,FALSE()),IF($E496="Patty Cash",VLOOKUP($C496,'Patty Cash'!$B:$J,3,FALSE()),"")))),"")</f>
        <v/>
      </c>
      <c r="G496" s="211"/>
      <c r="H496" s="212" t="str">
        <f>IF($E496="","",IF($E496="Inventory",IFERROR(VLOOKUP($C496,Inventory!$B:$H,7,FALSE()),0),IF($E496="Non Inventory",IFERROR(VLOOKUP($C496,'Non Inventory'!$B:$H,7,FALSE()),0),IF($E496="Services",IFERROR(VLOOKUP($C496,Services!$B:$H,7,FALSE()),0),IF($E496="Patty Cash",IFERROR(VLOOKUP($C496,'Patty Cash'!$B:$H,7,FALSE()),0),0)))))</f>
        <v/>
      </c>
      <c r="I496" s="213"/>
      <c r="J496" s="214"/>
      <c r="K496" s="215"/>
      <c r="L496" s="197"/>
      <c r="M496" s="215"/>
      <c r="N496" s="216">
        <f>IFERROR(IF($E496="Inventory",VLOOKUP($C496,Inventory!$B:$I,8,FALSE()),IF($E496="Non Inventory",VLOOKUP($C496,'Non Inventory'!$B:$I,8,FALSE()),IF($E496="Services",VLOOKUP($C496,Services!$B:$I,8,FALSE()),IF($E496="Patty Cash",VLOOKUP($C496,'Patty Cash'!$B:$J,8,FALSE()),0)))),0)</f>
        <v>0</v>
      </c>
      <c r="O496" s="217" t="str">
        <f t="shared" si="7"/>
        <v/>
      </c>
    </row>
    <row r="497" spans="1:15" ht="23.1" customHeight="1">
      <c r="A497" s="206" t="str">
        <f>IF(AND($B497="",$C497=""),"",MAX($A$3:A496)+1)</f>
        <v/>
      </c>
      <c r="B497" s="207"/>
      <c r="C497" s="208"/>
      <c r="D497" s="209" t="str">
        <f>IFERROR(IF($E497="Inventory",VLOOKUP($C497,Inventory!$B:$I,2,FALSE()),IF($E497="Non Inventory",VLOOKUP($C497,'Non Inventory'!$B:$I,2,FALSE()),IF($E497="Services",VLOOKUP($C497,Services!$B:$I,2,FALSE()),IF($E497="Patty Cash",VLOOKUP($C497,'Patty Cash'!$B:$J,2,FALSE()),"")))),"")</f>
        <v/>
      </c>
      <c r="E497" s="246"/>
      <c r="F497" s="210" t="str">
        <f>IFERROR(IF($E497="Inventory",VLOOKUP($C497,Inventory!$B:$I,3,FALSE()),IF($E497="Non Inventory",VLOOKUP($C497,'Non Inventory'!$B:$I,3,FALSE()),IF($E497="Services",VLOOKUP($C497,Services!$B:$I,3,FALSE()),IF($E497="Patty Cash",VLOOKUP($C497,'Patty Cash'!$B:$J,3,FALSE()),"")))),"")</f>
        <v/>
      </c>
      <c r="G497" s="211"/>
      <c r="H497" s="212" t="str">
        <f>IF($E497="","",IF($E497="Inventory",IFERROR(VLOOKUP($C497,Inventory!$B:$H,7,FALSE()),0),IF($E497="Non Inventory",IFERROR(VLOOKUP($C497,'Non Inventory'!$B:$H,7,FALSE()),0),IF($E497="Services",IFERROR(VLOOKUP($C497,Services!$B:$H,7,FALSE()),0),IF($E497="Patty Cash",IFERROR(VLOOKUP($C497,'Patty Cash'!$B:$H,7,FALSE()),0),0)))))</f>
        <v/>
      </c>
      <c r="I497" s="213"/>
      <c r="J497" s="214"/>
      <c r="K497" s="215"/>
      <c r="L497" s="197"/>
      <c r="M497" s="215"/>
      <c r="N497" s="216">
        <f>IFERROR(IF($E497="Inventory",VLOOKUP($C497,Inventory!$B:$I,8,FALSE()),IF($E497="Non Inventory",VLOOKUP($C497,'Non Inventory'!$B:$I,8,FALSE()),IF($E497="Services",VLOOKUP($C497,Services!$B:$I,8,FALSE()),IF($E497="Patty Cash",VLOOKUP($C497,'Patty Cash'!$B:$J,8,FALSE()),0)))),0)</f>
        <v>0</v>
      </c>
      <c r="O497" s="217" t="str">
        <f t="shared" si="7"/>
        <v/>
      </c>
    </row>
    <row r="498" spans="1:15" ht="23.1" customHeight="1">
      <c r="A498" s="206" t="str">
        <f>IF(AND($B498="",$C498=""),"",MAX($A$3:A497)+1)</f>
        <v/>
      </c>
      <c r="B498" s="207"/>
      <c r="C498" s="208"/>
      <c r="D498" s="209" t="str">
        <f>IFERROR(IF($E498="Inventory",VLOOKUP($C498,Inventory!$B:$I,2,FALSE()),IF($E498="Non Inventory",VLOOKUP($C498,'Non Inventory'!$B:$I,2,FALSE()),IF($E498="Services",VLOOKUP($C498,Services!$B:$I,2,FALSE()),IF($E498="Patty Cash",VLOOKUP($C498,'Patty Cash'!$B:$J,2,FALSE()),"")))),"")</f>
        <v/>
      </c>
      <c r="E498" s="246"/>
      <c r="F498" s="210" t="str">
        <f>IFERROR(IF($E498="Inventory",VLOOKUP($C498,Inventory!$B:$I,3,FALSE()),IF($E498="Non Inventory",VLOOKUP($C498,'Non Inventory'!$B:$I,3,FALSE()),IF($E498="Services",VLOOKUP($C498,Services!$B:$I,3,FALSE()),IF($E498="Patty Cash",VLOOKUP($C498,'Patty Cash'!$B:$J,3,FALSE()),"")))),"")</f>
        <v/>
      </c>
      <c r="G498" s="211"/>
      <c r="H498" s="212" t="str">
        <f>IF($E498="","",IF($E498="Inventory",IFERROR(VLOOKUP($C498,Inventory!$B:$H,7,FALSE()),0),IF($E498="Non Inventory",IFERROR(VLOOKUP($C498,'Non Inventory'!$B:$H,7,FALSE()),0),IF($E498="Services",IFERROR(VLOOKUP($C498,Services!$B:$H,7,FALSE()),0),IF($E498="Patty Cash",IFERROR(VLOOKUP($C498,'Patty Cash'!$B:$H,7,FALSE()),0),0)))))</f>
        <v/>
      </c>
      <c r="I498" s="213"/>
      <c r="J498" s="214"/>
      <c r="K498" s="215"/>
      <c r="L498" s="197"/>
      <c r="M498" s="215"/>
      <c r="N498" s="216">
        <f>IFERROR(IF($E498="Inventory",VLOOKUP($C498,Inventory!$B:$I,8,FALSE()),IF($E498="Non Inventory",VLOOKUP($C498,'Non Inventory'!$B:$I,8,FALSE()),IF($E498="Services",VLOOKUP($C498,Services!$B:$I,8,FALSE()),IF($E498="Patty Cash",VLOOKUP($C498,'Patty Cash'!$B:$J,8,FALSE()),0)))),0)</f>
        <v>0</v>
      </c>
      <c r="O498" s="217" t="str">
        <f t="shared" si="7"/>
        <v/>
      </c>
    </row>
    <row r="499" spans="1:15" ht="23.1" customHeight="1">
      <c r="A499" s="206" t="str">
        <f>IF(AND($B499="",$C499=""),"",MAX($A$3:A498)+1)</f>
        <v/>
      </c>
      <c r="B499" s="207"/>
      <c r="C499" s="208"/>
      <c r="D499" s="209" t="str">
        <f>IFERROR(IF($E499="Inventory",VLOOKUP($C499,Inventory!$B:$I,2,FALSE()),IF($E499="Non Inventory",VLOOKUP($C499,'Non Inventory'!$B:$I,2,FALSE()),IF($E499="Services",VLOOKUP($C499,Services!$B:$I,2,FALSE()),IF($E499="Patty Cash",VLOOKUP($C499,'Patty Cash'!$B:$J,2,FALSE()),"")))),"")</f>
        <v/>
      </c>
      <c r="E499" s="246"/>
      <c r="F499" s="210" t="str">
        <f>IFERROR(IF($E499="Inventory",VLOOKUP($C499,Inventory!$B:$I,3,FALSE()),IF($E499="Non Inventory",VLOOKUP($C499,'Non Inventory'!$B:$I,3,FALSE()),IF($E499="Services",VLOOKUP($C499,Services!$B:$I,3,FALSE()),IF($E499="Patty Cash",VLOOKUP($C499,'Patty Cash'!$B:$J,3,FALSE()),"")))),"")</f>
        <v/>
      </c>
      <c r="G499" s="211"/>
      <c r="H499" s="212" t="str">
        <f>IF($E499="","",IF($E499="Inventory",IFERROR(VLOOKUP($C499,Inventory!$B:$H,7,FALSE()),0),IF($E499="Non Inventory",IFERROR(VLOOKUP($C499,'Non Inventory'!$B:$H,7,FALSE()),0),IF($E499="Services",IFERROR(VLOOKUP($C499,Services!$B:$H,7,FALSE()),0),IF($E499="Patty Cash",IFERROR(VLOOKUP($C499,'Patty Cash'!$B:$H,7,FALSE()),0),0)))))</f>
        <v/>
      </c>
      <c r="I499" s="213"/>
      <c r="J499" s="214"/>
      <c r="K499" s="215"/>
      <c r="L499" s="197"/>
      <c r="M499" s="215"/>
      <c r="N499" s="216">
        <f>IFERROR(IF($E499="Inventory",VLOOKUP($C499,Inventory!$B:$I,8,FALSE()),IF($E499="Non Inventory",VLOOKUP($C499,'Non Inventory'!$B:$I,8,FALSE()),IF($E499="Services",VLOOKUP($C499,Services!$B:$I,8,FALSE()),IF($E499="Patty Cash",VLOOKUP($C499,'Patty Cash'!$B:$J,8,FALSE()),0)))),0)</f>
        <v>0</v>
      </c>
      <c r="O499" s="217" t="str">
        <f t="shared" si="7"/>
        <v/>
      </c>
    </row>
    <row r="500" spans="1:15" ht="23.1" customHeight="1">
      <c r="A500" s="206" t="str">
        <f>IF(AND($B500="",$C500=""),"",MAX($A$3:A499)+1)</f>
        <v/>
      </c>
      <c r="B500" s="207"/>
      <c r="C500" s="208"/>
      <c r="D500" s="209" t="str">
        <f>IFERROR(IF($E500="Inventory",VLOOKUP($C500,Inventory!$B:$I,2,FALSE()),IF($E500="Non Inventory",VLOOKUP($C500,'Non Inventory'!$B:$I,2,FALSE()),IF($E500="Services",VLOOKUP($C500,Services!$B:$I,2,FALSE()),IF($E500="Patty Cash",VLOOKUP($C500,'Patty Cash'!$B:$J,2,FALSE()),"")))),"")</f>
        <v/>
      </c>
      <c r="E500" s="246"/>
      <c r="F500" s="210" t="str">
        <f>IFERROR(IF($E500="Inventory",VLOOKUP($C500,Inventory!$B:$I,3,FALSE()),IF($E500="Non Inventory",VLOOKUP($C500,'Non Inventory'!$B:$I,3,FALSE()),IF($E500="Services",VLOOKUP($C500,Services!$B:$I,3,FALSE()),IF($E500="Patty Cash",VLOOKUP($C500,'Patty Cash'!$B:$J,3,FALSE()),"")))),"")</f>
        <v/>
      </c>
      <c r="G500" s="211"/>
      <c r="H500" s="212" t="str">
        <f>IF($E500="","",IF($E500="Inventory",IFERROR(VLOOKUP($C500,Inventory!$B:$H,7,FALSE()),0),IF($E500="Non Inventory",IFERROR(VLOOKUP($C500,'Non Inventory'!$B:$H,7,FALSE()),0),IF($E500="Services",IFERROR(VLOOKUP($C500,Services!$B:$H,7,FALSE()),0),IF($E500="Patty Cash",IFERROR(VLOOKUP($C500,'Patty Cash'!$B:$H,7,FALSE()),0),0)))))</f>
        <v/>
      </c>
      <c r="I500" s="213"/>
      <c r="J500" s="214"/>
      <c r="K500" s="215"/>
      <c r="L500" s="197"/>
      <c r="M500" s="215"/>
      <c r="N500" s="216">
        <f>IFERROR(IF($E500="Inventory",VLOOKUP($C500,Inventory!$B:$I,8,FALSE()),IF($E500="Non Inventory",VLOOKUP($C500,'Non Inventory'!$B:$I,8,FALSE()),IF($E500="Services",VLOOKUP($C500,Services!$B:$I,8,FALSE()),IF($E500="Patty Cash",VLOOKUP($C500,'Patty Cash'!$B:$J,8,FALSE()),0)))),0)</f>
        <v>0</v>
      </c>
      <c r="O500" s="217" t="str">
        <f t="shared" si="7"/>
        <v/>
      </c>
    </row>
    <row r="501" spans="1:15" ht="23.1" customHeight="1">
      <c r="A501" s="206" t="str">
        <f>IF(AND($B501="",$C501=""),"",MAX($A$3:A500)+1)</f>
        <v/>
      </c>
      <c r="B501" s="207"/>
      <c r="C501" s="208"/>
      <c r="D501" s="209" t="str">
        <f>IFERROR(IF($E501="Inventory",VLOOKUP($C501,Inventory!$B:$I,2,FALSE()),IF($E501="Non Inventory",VLOOKUP($C501,'Non Inventory'!$B:$I,2,FALSE()),IF($E501="Services",VLOOKUP($C501,Services!$B:$I,2,FALSE()),IF($E501="Patty Cash",VLOOKUP($C501,'Patty Cash'!$B:$J,2,FALSE()),"")))),"")</f>
        <v/>
      </c>
      <c r="E501" s="246"/>
      <c r="F501" s="210" t="str">
        <f>IFERROR(IF($E501="Inventory",VLOOKUP($C501,Inventory!$B:$I,3,FALSE()),IF($E501="Non Inventory",VLOOKUP($C501,'Non Inventory'!$B:$I,3,FALSE()),IF($E501="Services",VLOOKUP($C501,Services!$B:$I,3,FALSE()),IF($E501="Patty Cash",VLOOKUP($C501,'Patty Cash'!$B:$J,3,FALSE()),"")))),"")</f>
        <v/>
      </c>
      <c r="G501" s="211"/>
      <c r="H501" s="212" t="str">
        <f>IF($E501="","",IF($E501="Inventory",IFERROR(VLOOKUP($C501,Inventory!$B:$H,7,FALSE()),0),IF($E501="Non Inventory",IFERROR(VLOOKUP($C501,'Non Inventory'!$B:$H,7,FALSE()),0),IF($E501="Services",IFERROR(VLOOKUP($C501,Services!$B:$H,7,FALSE()),0),IF($E501="Patty Cash",IFERROR(VLOOKUP($C501,'Patty Cash'!$B:$H,7,FALSE()),0),0)))))</f>
        <v/>
      </c>
      <c r="I501" s="213"/>
      <c r="J501" s="214"/>
      <c r="K501" s="215"/>
      <c r="L501" s="197"/>
      <c r="M501" s="215"/>
      <c r="N501" s="216">
        <f>IFERROR(IF($E501="Inventory",VLOOKUP($C501,Inventory!$B:$I,8,FALSE()),IF($E501="Non Inventory",VLOOKUP($C501,'Non Inventory'!$B:$I,8,FALSE()),IF($E501="Services",VLOOKUP($C501,Services!$B:$I,8,FALSE()),IF($E501="Patty Cash",VLOOKUP($C501,'Patty Cash'!$B:$J,8,FALSE()),0)))),0)</f>
        <v>0</v>
      </c>
      <c r="O501" s="217" t="str">
        <f t="shared" si="7"/>
        <v/>
      </c>
    </row>
    <row r="502" spans="1:15" ht="23.1" customHeight="1">
      <c r="A502" s="206" t="str">
        <f>IF(AND($B502="",$C502=""),"",MAX($A$3:A501)+1)</f>
        <v/>
      </c>
      <c r="B502" s="207"/>
      <c r="C502" s="208"/>
      <c r="D502" s="209" t="str">
        <f>IFERROR(IF($E502="Inventory",VLOOKUP($C502,Inventory!$B:$I,2,FALSE()),IF($E502="Non Inventory",VLOOKUP($C502,'Non Inventory'!$B:$I,2,FALSE()),IF($E502="Services",VLOOKUP($C502,Services!$B:$I,2,FALSE()),IF($E502="Patty Cash",VLOOKUP($C502,'Patty Cash'!$B:$J,2,FALSE()),"")))),"")</f>
        <v/>
      </c>
      <c r="E502" s="246"/>
      <c r="F502" s="210" t="str">
        <f>IFERROR(IF($E502="Inventory",VLOOKUP($C502,Inventory!$B:$I,3,FALSE()),IF($E502="Non Inventory",VLOOKUP($C502,'Non Inventory'!$B:$I,3,FALSE()),IF($E502="Services",VLOOKUP($C502,Services!$B:$I,3,FALSE()),IF($E502="Patty Cash",VLOOKUP($C502,'Patty Cash'!$B:$J,3,FALSE()),"")))),"")</f>
        <v/>
      </c>
      <c r="G502" s="211"/>
      <c r="H502" s="212" t="str">
        <f>IF($E502="","",IF($E502="Inventory",IFERROR(VLOOKUP($C502,Inventory!$B:$H,7,FALSE()),0),IF($E502="Non Inventory",IFERROR(VLOOKUP($C502,'Non Inventory'!$B:$H,7,FALSE()),0),IF($E502="Services",IFERROR(VLOOKUP($C502,Services!$B:$H,7,FALSE()),0),IF($E502="Patty Cash",IFERROR(VLOOKUP($C502,'Patty Cash'!$B:$H,7,FALSE()),0),0)))))</f>
        <v/>
      </c>
      <c r="I502" s="213"/>
      <c r="J502" s="214"/>
      <c r="K502" s="215"/>
      <c r="L502" s="197"/>
      <c r="M502" s="215"/>
      <c r="N502" s="216">
        <f>IFERROR(IF($E502="Inventory",VLOOKUP($C502,Inventory!$B:$I,8,FALSE()),IF($E502="Non Inventory",VLOOKUP($C502,'Non Inventory'!$B:$I,8,FALSE()),IF($E502="Services",VLOOKUP($C502,Services!$B:$I,8,FALSE()),IF($E502="Patty Cash",VLOOKUP($C502,'Patty Cash'!$B:$J,8,FALSE()),0)))),0)</f>
        <v>0</v>
      </c>
      <c r="O502" s="217" t="str">
        <f t="shared" si="7"/>
        <v/>
      </c>
    </row>
    <row r="503" spans="1:15" ht="23.1" customHeight="1">
      <c r="A503" s="206" t="str">
        <f>IF(AND($B503="",$C503=""),"",MAX($A$3:A502)+1)</f>
        <v/>
      </c>
      <c r="B503" s="207"/>
      <c r="C503" s="208"/>
      <c r="D503" s="209" t="str">
        <f>IFERROR(IF($E503="Inventory",VLOOKUP($C503,Inventory!$B:$I,2,FALSE()),IF($E503="Non Inventory",VLOOKUP($C503,'Non Inventory'!$B:$I,2,FALSE()),IF($E503="Services",VLOOKUP($C503,Services!$B:$I,2,FALSE()),IF($E503="Patty Cash",VLOOKUP($C503,'Patty Cash'!$B:$J,2,FALSE()),"")))),"")</f>
        <v/>
      </c>
      <c r="E503" s="246"/>
      <c r="F503" s="210" t="str">
        <f>IFERROR(IF($E503="Inventory",VLOOKUP($C503,Inventory!$B:$I,3,FALSE()),IF($E503="Non Inventory",VLOOKUP($C503,'Non Inventory'!$B:$I,3,FALSE()),IF($E503="Services",VLOOKUP($C503,Services!$B:$I,3,FALSE()),IF($E503="Patty Cash",VLOOKUP($C503,'Patty Cash'!$B:$J,3,FALSE()),"")))),"")</f>
        <v/>
      </c>
      <c r="G503" s="211"/>
      <c r="H503" s="212" t="str">
        <f>IF($E503="","",IF($E503="Inventory",IFERROR(VLOOKUP($C503,Inventory!$B:$H,7,FALSE()),0),IF($E503="Non Inventory",IFERROR(VLOOKUP($C503,'Non Inventory'!$B:$H,7,FALSE()),0),IF($E503="Services",IFERROR(VLOOKUP($C503,Services!$B:$H,7,FALSE()),0),IF($E503="Patty Cash",IFERROR(VLOOKUP($C503,'Patty Cash'!$B:$H,7,FALSE()),0),0)))))</f>
        <v/>
      </c>
      <c r="I503" s="213"/>
      <c r="J503" s="214"/>
      <c r="K503" s="215"/>
      <c r="L503" s="197"/>
      <c r="M503" s="215"/>
      <c r="N503" s="216">
        <f>IFERROR(IF($E503="Inventory",VLOOKUP($C503,Inventory!$B:$I,8,FALSE()),IF($E503="Non Inventory",VLOOKUP($C503,'Non Inventory'!$B:$I,8,FALSE()),IF($E503="Services",VLOOKUP($C503,Services!$B:$I,8,FALSE()),IF($E503="Patty Cash",VLOOKUP($C503,'Patty Cash'!$B:$J,8,FALSE()),0)))),0)</f>
        <v>0</v>
      </c>
      <c r="O503" s="217" t="str">
        <f t="shared" si="7"/>
        <v/>
      </c>
    </row>
    <row r="504" spans="1:15" ht="23.1" customHeight="1">
      <c r="A504" s="206" t="str">
        <f>IF(AND($B504="",$C504=""),"",MAX($A$3:A503)+1)</f>
        <v/>
      </c>
      <c r="B504" s="207"/>
      <c r="C504" s="208"/>
      <c r="D504" s="209" t="str">
        <f>IFERROR(IF($E504="Inventory",VLOOKUP($C504,Inventory!$B:$I,2,FALSE()),IF($E504="Non Inventory",VLOOKUP($C504,'Non Inventory'!$B:$I,2,FALSE()),IF($E504="Services",VLOOKUP($C504,Services!$B:$I,2,FALSE()),IF($E504="Patty Cash",VLOOKUP($C504,'Patty Cash'!$B:$J,2,FALSE()),"")))),"")</f>
        <v/>
      </c>
      <c r="E504" s="246"/>
      <c r="F504" s="210" t="str">
        <f>IFERROR(IF($E504="Inventory",VLOOKUP($C504,Inventory!$B:$I,3,FALSE()),IF($E504="Non Inventory",VLOOKUP($C504,'Non Inventory'!$B:$I,3,FALSE()),IF($E504="Services",VLOOKUP($C504,Services!$B:$I,3,FALSE()),IF($E504="Patty Cash",VLOOKUP($C504,'Patty Cash'!$B:$J,3,FALSE()),"")))),"")</f>
        <v/>
      </c>
      <c r="G504" s="211"/>
      <c r="H504" s="212" t="str">
        <f>IF($E504="","",IF($E504="Inventory",IFERROR(VLOOKUP($C504,Inventory!$B:$H,7,FALSE()),0),IF($E504="Non Inventory",IFERROR(VLOOKUP($C504,'Non Inventory'!$B:$H,7,FALSE()),0),IF($E504="Services",IFERROR(VLOOKUP($C504,Services!$B:$H,7,FALSE()),0),IF($E504="Patty Cash",IFERROR(VLOOKUP($C504,'Patty Cash'!$B:$H,7,FALSE()),0),0)))))</f>
        <v/>
      </c>
      <c r="I504" s="213"/>
      <c r="J504" s="214"/>
      <c r="K504" s="215"/>
      <c r="L504" s="197"/>
      <c r="M504" s="215"/>
      <c r="N504" s="216">
        <f>IFERROR(IF($E504="Inventory",VLOOKUP($C504,Inventory!$B:$I,8,FALSE()),IF($E504="Non Inventory",VLOOKUP($C504,'Non Inventory'!$B:$I,8,FALSE()),IF($E504="Services",VLOOKUP($C504,Services!$B:$I,8,FALSE()),IF($E504="Patty Cash",VLOOKUP($C504,'Patty Cash'!$B:$J,8,FALSE()),0)))),0)</f>
        <v>0</v>
      </c>
      <c r="O504" s="217" t="str">
        <f t="shared" si="7"/>
        <v/>
      </c>
    </row>
    <row r="505" spans="1:15" ht="23.1" customHeight="1">
      <c r="A505" s="206" t="str">
        <f>IF(AND($B505="",$C505=""),"",MAX($A$3:A504)+1)</f>
        <v/>
      </c>
      <c r="B505" s="207"/>
      <c r="C505" s="208"/>
      <c r="D505" s="209" t="str">
        <f>IFERROR(IF($E505="Inventory",VLOOKUP($C505,Inventory!$B:$I,2,FALSE()),IF($E505="Non Inventory",VLOOKUP($C505,'Non Inventory'!$B:$I,2,FALSE()),IF($E505="Services",VLOOKUP($C505,Services!$B:$I,2,FALSE()),IF($E505="Patty Cash",VLOOKUP($C505,'Patty Cash'!$B:$J,2,FALSE()),"")))),"")</f>
        <v/>
      </c>
      <c r="E505" s="246"/>
      <c r="F505" s="210" t="str">
        <f>IFERROR(IF($E505="Inventory",VLOOKUP($C505,Inventory!$B:$I,3,FALSE()),IF($E505="Non Inventory",VLOOKUP($C505,'Non Inventory'!$B:$I,3,FALSE()),IF($E505="Services",VLOOKUP($C505,Services!$B:$I,3,FALSE()),IF($E505="Patty Cash",VLOOKUP($C505,'Patty Cash'!$B:$J,3,FALSE()),"")))),"")</f>
        <v/>
      </c>
      <c r="G505" s="211"/>
      <c r="H505" s="212" t="str">
        <f>IF($E505="","",IF($E505="Inventory",IFERROR(VLOOKUP($C505,Inventory!$B:$H,7,FALSE()),0),IF($E505="Non Inventory",IFERROR(VLOOKUP($C505,'Non Inventory'!$B:$H,7,FALSE()),0),IF($E505="Services",IFERROR(VLOOKUP($C505,Services!$B:$H,7,FALSE()),0),IF($E505="Patty Cash",IFERROR(VLOOKUP($C505,'Patty Cash'!$B:$H,7,FALSE()),0),0)))))</f>
        <v/>
      </c>
      <c r="I505" s="213"/>
      <c r="J505" s="214"/>
      <c r="K505" s="215"/>
      <c r="L505" s="197"/>
      <c r="M505" s="215"/>
      <c r="N505" s="216">
        <f>IFERROR(IF($E505="Inventory",VLOOKUP($C505,Inventory!$B:$I,8,FALSE()),IF($E505="Non Inventory",VLOOKUP($C505,'Non Inventory'!$B:$I,8,FALSE()),IF($E505="Services",VLOOKUP($C505,Services!$B:$I,8,FALSE()),IF($E505="Patty Cash",VLOOKUP($C505,'Patty Cash'!$B:$J,8,FALSE()),0)))),0)</f>
        <v>0</v>
      </c>
      <c r="O505" s="217" t="str">
        <f t="shared" si="7"/>
        <v/>
      </c>
    </row>
    <row r="506" spans="1:15" ht="23.1" customHeight="1">
      <c r="A506" s="206" t="str">
        <f>IF(AND($B506="",$C506=""),"",MAX($A$3:A505)+1)</f>
        <v/>
      </c>
      <c r="B506" s="207"/>
      <c r="C506" s="208"/>
      <c r="D506" s="209" t="str">
        <f>IFERROR(IF($E506="Inventory",VLOOKUP($C506,Inventory!$B:$I,2,FALSE()),IF($E506="Non Inventory",VLOOKUP($C506,'Non Inventory'!$B:$I,2,FALSE()),IF($E506="Services",VLOOKUP($C506,Services!$B:$I,2,FALSE()),IF($E506="Patty Cash",VLOOKUP($C506,'Patty Cash'!$B:$J,2,FALSE()),"")))),"")</f>
        <v/>
      </c>
      <c r="E506" s="246"/>
      <c r="F506" s="210" t="str">
        <f>IFERROR(IF($E506="Inventory",VLOOKUP($C506,Inventory!$B:$I,3,FALSE()),IF($E506="Non Inventory",VLOOKUP($C506,'Non Inventory'!$B:$I,3,FALSE()),IF($E506="Services",VLOOKUP($C506,Services!$B:$I,3,FALSE()),IF($E506="Patty Cash",VLOOKUP($C506,'Patty Cash'!$B:$J,3,FALSE()),"")))),"")</f>
        <v/>
      </c>
      <c r="G506" s="211"/>
      <c r="H506" s="212" t="str">
        <f>IF($E506="","",IF($E506="Inventory",IFERROR(VLOOKUP($C506,Inventory!$B:$H,7,FALSE()),0),IF($E506="Non Inventory",IFERROR(VLOOKUP($C506,'Non Inventory'!$B:$H,7,FALSE()),0),IF($E506="Services",IFERROR(VLOOKUP($C506,Services!$B:$H,7,FALSE()),0),IF($E506="Patty Cash",IFERROR(VLOOKUP($C506,'Patty Cash'!$B:$H,7,FALSE()),0),0)))))</f>
        <v/>
      </c>
      <c r="I506" s="213"/>
      <c r="J506" s="214"/>
      <c r="K506" s="215"/>
      <c r="L506" s="197"/>
      <c r="M506" s="215"/>
      <c r="N506" s="216">
        <f>IFERROR(IF($E506="Inventory",VLOOKUP($C506,Inventory!$B:$I,8,FALSE()),IF($E506="Non Inventory",VLOOKUP($C506,'Non Inventory'!$B:$I,8,FALSE()),IF($E506="Services",VLOOKUP($C506,Services!$B:$I,8,FALSE()),IF($E506="Patty Cash",VLOOKUP($C506,'Patty Cash'!$B:$J,8,FALSE()),0)))),0)</f>
        <v>0</v>
      </c>
      <c r="O506" s="217" t="str">
        <f t="shared" si="7"/>
        <v/>
      </c>
    </row>
    <row r="507" spans="1:15" ht="23.1" customHeight="1">
      <c r="A507" s="206" t="str">
        <f>IF(AND($B507="",$C507=""),"",MAX($A$3:A506)+1)</f>
        <v/>
      </c>
      <c r="B507" s="207"/>
      <c r="C507" s="208"/>
      <c r="D507" s="209" t="str">
        <f>IFERROR(IF($E507="Inventory",VLOOKUP($C507,Inventory!$B:$I,2,FALSE()),IF($E507="Non Inventory",VLOOKUP($C507,'Non Inventory'!$B:$I,2,FALSE()),IF($E507="Services",VLOOKUP($C507,Services!$B:$I,2,FALSE()),IF($E507="Patty Cash",VLOOKUP($C507,'Patty Cash'!$B:$J,2,FALSE()),"")))),"")</f>
        <v/>
      </c>
      <c r="E507" s="246"/>
      <c r="F507" s="210" t="str">
        <f>IFERROR(IF($E507="Inventory",VLOOKUP($C507,Inventory!$B:$I,3,FALSE()),IF($E507="Non Inventory",VLOOKUP($C507,'Non Inventory'!$B:$I,3,FALSE()),IF($E507="Services",VLOOKUP($C507,Services!$B:$I,3,FALSE()),IF($E507="Patty Cash",VLOOKUP($C507,'Patty Cash'!$B:$J,3,FALSE()),"")))),"")</f>
        <v/>
      </c>
      <c r="G507" s="211"/>
      <c r="H507" s="212" t="str">
        <f>IF($E507="","",IF($E507="Inventory",IFERROR(VLOOKUP($C507,Inventory!$B:$H,7,FALSE()),0),IF($E507="Non Inventory",IFERROR(VLOOKUP($C507,'Non Inventory'!$B:$H,7,FALSE()),0),IF($E507="Services",IFERROR(VLOOKUP($C507,Services!$B:$H,7,FALSE()),0),IF($E507="Patty Cash",IFERROR(VLOOKUP($C507,'Patty Cash'!$B:$H,7,FALSE()),0),0)))))</f>
        <v/>
      </c>
      <c r="I507" s="213"/>
      <c r="J507" s="214"/>
      <c r="K507" s="215"/>
      <c r="L507" s="197"/>
      <c r="M507" s="215"/>
      <c r="N507" s="216">
        <f>IFERROR(IF($E507="Inventory",VLOOKUP($C507,Inventory!$B:$I,8,FALSE()),IF($E507="Non Inventory",VLOOKUP($C507,'Non Inventory'!$B:$I,8,FALSE()),IF($E507="Services",VLOOKUP($C507,Services!$B:$I,8,FALSE()),IF($E507="Patty Cash",VLOOKUP($C507,'Patty Cash'!$B:$J,8,FALSE()),0)))),0)</f>
        <v>0</v>
      </c>
      <c r="O507" s="217" t="str">
        <f t="shared" si="7"/>
        <v/>
      </c>
    </row>
    <row r="508" spans="1:15" ht="23.1" customHeight="1">
      <c r="A508" s="206" t="str">
        <f>IF(AND($B508="",$C508=""),"",MAX($A$3:A507)+1)</f>
        <v/>
      </c>
      <c r="B508" s="207"/>
      <c r="C508" s="208"/>
      <c r="D508" s="209" t="str">
        <f>IFERROR(IF($E508="Inventory",VLOOKUP($C508,Inventory!$B:$I,2,FALSE()),IF($E508="Non Inventory",VLOOKUP($C508,'Non Inventory'!$B:$I,2,FALSE()),IF($E508="Services",VLOOKUP($C508,Services!$B:$I,2,FALSE()),IF($E508="Patty Cash",VLOOKUP($C508,'Patty Cash'!$B:$J,2,FALSE()),"")))),"")</f>
        <v/>
      </c>
      <c r="E508" s="246"/>
      <c r="F508" s="210" t="str">
        <f>IFERROR(IF($E508="Inventory",VLOOKUP($C508,Inventory!$B:$I,3,FALSE()),IF($E508="Non Inventory",VLOOKUP($C508,'Non Inventory'!$B:$I,3,FALSE()),IF($E508="Services",VLOOKUP($C508,Services!$B:$I,3,FALSE()),IF($E508="Patty Cash",VLOOKUP($C508,'Patty Cash'!$B:$J,3,FALSE()),"")))),"")</f>
        <v/>
      </c>
      <c r="G508" s="211"/>
      <c r="H508" s="212" t="str">
        <f>IF($E508="","",IF($E508="Inventory",IFERROR(VLOOKUP($C508,Inventory!$B:$H,7,FALSE()),0),IF($E508="Non Inventory",IFERROR(VLOOKUP($C508,'Non Inventory'!$B:$H,7,FALSE()),0),IF($E508="Services",IFERROR(VLOOKUP($C508,Services!$B:$H,7,FALSE()),0),IF($E508="Patty Cash",IFERROR(VLOOKUP($C508,'Patty Cash'!$B:$H,7,FALSE()),0),0)))))</f>
        <v/>
      </c>
      <c r="I508" s="213"/>
      <c r="J508" s="214"/>
      <c r="K508" s="215"/>
      <c r="L508" s="197"/>
      <c r="M508" s="215"/>
      <c r="N508" s="216">
        <f>IFERROR(IF($E508="Inventory",VLOOKUP($C508,Inventory!$B:$I,8,FALSE()),IF($E508="Non Inventory",VLOOKUP($C508,'Non Inventory'!$B:$I,8,FALSE()),IF($E508="Services",VLOOKUP($C508,Services!$B:$I,8,FALSE()),IF($E508="Patty Cash",VLOOKUP($C508,'Patty Cash'!$B:$J,8,FALSE()),0)))),0)</f>
        <v>0</v>
      </c>
      <c r="O508" s="217" t="str">
        <f t="shared" si="7"/>
        <v/>
      </c>
    </row>
    <row r="509" spans="1:15" ht="23.1" customHeight="1">
      <c r="A509" s="206" t="str">
        <f>IF(AND($B509="",$C509=""),"",MAX($A$3:A508)+1)</f>
        <v/>
      </c>
      <c r="B509" s="207"/>
      <c r="C509" s="208"/>
      <c r="D509" s="209" t="str">
        <f>IFERROR(IF($E509="Inventory",VLOOKUP($C509,Inventory!$B:$I,2,FALSE()),IF($E509="Non Inventory",VLOOKUP($C509,'Non Inventory'!$B:$I,2,FALSE()),IF($E509="Services",VLOOKUP($C509,Services!$B:$I,2,FALSE()),IF($E509="Patty Cash",VLOOKUP($C509,'Patty Cash'!$B:$J,2,FALSE()),"")))),"")</f>
        <v/>
      </c>
      <c r="E509" s="246"/>
      <c r="F509" s="210" t="str">
        <f>IFERROR(IF($E509="Inventory",VLOOKUP($C509,Inventory!$B:$I,3,FALSE()),IF($E509="Non Inventory",VLOOKUP($C509,'Non Inventory'!$B:$I,3,FALSE()),IF($E509="Services",VLOOKUP($C509,Services!$B:$I,3,FALSE()),IF($E509="Patty Cash",VLOOKUP($C509,'Patty Cash'!$B:$J,3,FALSE()),"")))),"")</f>
        <v/>
      </c>
      <c r="G509" s="211"/>
      <c r="H509" s="212" t="str">
        <f>IF($E509="","",IF($E509="Inventory",IFERROR(VLOOKUP($C509,Inventory!$B:$H,7,FALSE()),0),IF($E509="Non Inventory",IFERROR(VLOOKUP($C509,'Non Inventory'!$B:$H,7,FALSE()),0),IF($E509="Services",IFERROR(VLOOKUP($C509,Services!$B:$H,7,FALSE()),0),IF($E509="Patty Cash",IFERROR(VLOOKUP($C509,'Patty Cash'!$B:$H,7,FALSE()),0),0)))))</f>
        <v/>
      </c>
      <c r="I509" s="213"/>
      <c r="J509" s="214"/>
      <c r="K509" s="215"/>
      <c r="L509" s="197"/>
      <c r="M509" s="215"/>
      <c r="N509" s="216">
        <f>IFERROR(IF($E509="Inventory",VLOOKUP($C509,Inventory!$B:$I,8,FALSE()),IF($E509="Non Inventory",VLOOKUP($C509,'Non Inventory'!$B:$I,8,FALSE()),IF($E509="Services",VLOOKUP($C509,Services!$B:$I,8,FALSE()),IF($E509="Patty Cash",VLOOKUP($C509,'Patty Cash'!$B:$J,8,FALSE()),0)))),0)</f>
        <v>0</v>
      </c>
      <c r="O509" s="217" t="str">
        <f t="shared" si="7"/>
        <v/>
      </c>
    </row>
    <row r="510" spans="1:15" ht="23.1" customHeight="1">
      <c r="A510" s="206" t="str">
        <f>IF(AND($B510="",$C510=""),"",MAX($A$3:A509)+1)</f>
        <v/>
      </c>
      <c r="B510" s="207"/>
      <c r="C510" s="208"/>
      <c r="D510" s="209" t="str">
        <f>IFERROR(IF($E510="Inventory",VLOOKUP($C510,Inventory!$B:$I,2,FALSE()),IF($E510="Non Inventory",VLOOKUP($C510,'Non Inventory'!$B:$I,2,FALSE()),IF($E510="Services",VLOOKUP($C510,Services!$B:$I,2,FALSE()),IF($E510="Patty Cash",VLOOKUP($C510,'Patty Cash'!$B:$J,2,FALSE()),"")))),"")</f>
        <v/>
      </c>
      <c r="E510" s="246"/>
      <c r="F510" s="210" t="str">
        <f>IFERROR(IF($E510="Inventory",VLOOKUP($C510,Inventory!$B:$I,3,FALSE()),IF($E510="Non Inventory",VLOOKUP($C510,'Non Inventory'!$B:$I,3,FALSE()),IF($E510="Services",VLOOKUP($C510,Services!$B:$I,3,FALSE()),IF($E510="Patty Cash",VLOOKUP($C510,'Patty Cash'!$B:$J,3,FALSE()),"")))),"")</f>
        <v/>
      </c>
      <c r="G510" s="211"/>
      <c r="H510" s="212" t="str">
        <f>IF($E510="","",IF($E510="Inventory",IFERROR(VLOOKUP($C510,Inventory!$B:$H,7,FALSE()),0),IF($E510="Non Inventory",IFERROR(VLOOKUP($C510,'Non Inventory'!$B:$H,7,FALSE()),0),IF($E510="Services",IFERROR(VLOOKUP($C510,Services!$B:$H,7,FALSE()),0),IF($E510="Patty Cash",IFERROR(VLOOKUP($C510,'Patty Cash'!$B:$H,7,FALSE()),0),0)))))</f>
        <v/>
      </c>
      <c r="I510" s="213"/>
      <c r="J510" s="214"/>
      <c r="K510" s="215"/>
      <c r="L510" s="197"/>
      <c r="M510" s="215"/>
      <c r="N510" s="216">
        <f>IFERROR(IF($E510="Inventory",VLOOKUP($C510,Inventory!$B:$I,8,FALSE()),IF($E510="Non Inventory",VLOOKUP($C510,'Non Inventory'!$B:$I,8,FALSE()),IF($E510="Services",VLOOKUP($C510,Services!$B:$I,8,FALSE()),IF($E510="Patty Cash",VLOOKUP($C510,'Patty Cash'!$B:$J,8,FALSE()),0)))),0)</f>
        <v>0</v>
      </c>
      <c r="O510" s="217" t="str">
        <f t="shared" si="7"/>
        <v/>
      </c>
    </row>
    <row r="511" spans="1:15" ht="23.1" customHeight="1">
      <c r="A511" s="206" t="str">
        <f>IF(AND($B511="",$C511=""),"",MAX($A$3:A510)+1)</f>
        <v/>
      </c>
      <c r="B511" s="207"/>
      <c r="C511" s="208"/>
      <c r="D511" s="209" t="str">
        <f>IFERROR(IF($E511="Inventory",VLOOKUP($C511,Inventory!$B:$I,2,FALSE()),IF($E511="Non Inventory",VLOOKUP($C511,'Non Inventory'!$B:$I,2,FALSE()),IF($E511="Services",VLOOKUP($C511,Services!$B:$I,2,FALSE()),IF($E511="Patty Cash",VLOOKUP($C511,'Patty Cash'!$B:$J,2,FALSE()),"")))),"")</f>
        <v/>
      </c>
      <c r="E511" s="246"/>
      <c r="F511" s="210" t="str">
        <f>IFERROR(IF($E511="Inventory",VLOOKUP($C511,Inventory!$B:$I,3,FALSE()),IF($E511="Non Inventory",VLOOKUP($C511,'Non Inventory'!$B:$I,3,FALSE()),IF($E511="Services",VLOOKUP($C511,Services!$B:$I,3,FALSE()),IF($E511="Patty Cash",VLOOKUP($C511,'Patty Cash'!$B:$J,3,FALSE()),"")))),"")</f>
        <v/>
      </c>
      <c r="G511" s="211"/>
      <c r="H511" s="212" t="str">
        <f>IF($E511="","",IF($E511="Inventory",IFERROR(VLOOKUP($C511,Inventory!$B:$H,7,FALSE()),0),IF($E511="Non Inventory",IFERROR(VLOOKUP($C511,'Non Inventory'!$B:$H,7,FALSE()),0),IF($E511="Services",IFERROR(VLOOKUP($C511,Services!$B:$H,7,FALSE()),0),IF($E511="Patty Cash",IFERROR(VLOOKUP($C511,'Patty Cash'!$B:$H,7,FALSE()),0),0)))))</f>
        <v/>
      </c>
      <c r="I511" s="213"/>
      <c r="J511" s="214"/>
      <c r="K511" s="215"/>
      <c r="L511" s="197"/>
      <c r="M511" s="215"/>
      <c r="N511" s="216">
        <f>IFERROR(IF($E511="Inventory",VLOOKUP($C511,Inventory!$B:$I,8,FALSE()),IF($E511="Non Inventory",VLOOKUP($C511,'Non Inventory'!$B:$I,8,FALSE()),IF($E511="Services",VLOOKUP($C511,Services!$B:$I,8,FALSE()),IF($E511="Patty Cash",VLOOKUP($C511,'Patty Cash'!$B:$J,8,FALSE()),0)))),0)</f>
        <v>0</v>
      </c>
      <c r="O511" s="217" t="str">
        <f t="shared" si="7"/>
        <v/>
      </c>
    </row>
    <row r="512" spans="1:15" ht="23.1" customHeight="1">
      <c r="A512" s="206" t="str">
        <f>IF(AND($B512="",$C512=""),"",MAX($A$3:A511)+1)</f>
        <v/>
      </c>
      <c r="B512" s="207"/>
      <c r="C512" s="208"/>
      <c r="D512" s="209" t="str">
        <f>IFERROR(IF($E512="Inventory",VLOOKUP($C512,Inventory!$B:$I,2,FALSE()),IF($E512="Non Inventory",VLOOKUP($C512,'Non Inventory'!$B:$I,2,FALSE()),IF($E512="Services",VLOOKUP($C512,Services!$B:$I,2,FALSE()),IF($E512="Patty Cash",VLOOKUP($C512,'Patty Cash'!$B:$J,2,FALSE()),"")))),"")</f>
        <v/>
      </c>
      <c r="E512" s="246"/>
      <c r="F512" s="210" t="str">
        <f>IFERROR(IF($E512="Inventory",VLOOKUP($C512,Inventory!$B:$I,3,FALSE()),IF($E512="Non Inventory",VLOOKUP($C512,'Non Inventory'!$B:$I,3,FALSE()),IF($E512="Services",VLOOKUP($C512,Services!$B:$I,3,FALSE()),IF($E512="Patty Cash",VLOOKUP($C512,'Patty Cash'!$B:$J,3,FALSE()),"")))),"")</f>
        <v/>
      </c>
      <c r="G512" s="211"/>
      <c r="H512" s="212" t="str">
        <f>IF($E512="","",IF($E512="Inventory",IFERROR(VLOOKUP($C512,Inventory!$B:$H,7,FALSE()),0),IF($E512="Non Inventory",IFERROR(VLOOKUP($C512,'Non Inventory'!$B:$H,7,FALSE()),0),IF($E512="Services",IFERROR(VLOOKUP($C512,Services!$B:$H,7,FALSE()),0),IF($E512="Patty Cash",IFERROR(VLOOKUP($C512,'Patty Cash'!$B:$H,7,FALSE()),0),0)))))</f>
        <v/>
      </c>
      <c r="I512" s="213"/>
      <c r="J512" s="214"/>
      <c r="K512" s="215"/>
      <c r="L512" s="197"/>
      <c r="M512" s="215"/>
      <c r="N512" s="216">
        <f>IFERROR(IF($E512="Inventory",VLOOKUP($C512,Inventory!$B:$I,8,FALSE()),IF($E512="Non Inventory",VLOOKUP($C512,'Non Inventory'!$B:$I,8,FALSE()),IF($E512="Services",VLOOKUP($C512,Services!$B:$I,8,FALSE()),IF($E512="Patty Cash",VLOOKUP($C512,'Patty Cash'!$B:$J,8,FALSE()),0)))),0)</f>
        <v>0</v>
      </c>
      <c r="O512" s="217" t="str">
        <f t="shared" si="7"/>
        <v/>
      </c>
    </row>
    <row r="513" spans="1:15" ht="23.1" customHeight="1">
      <c r="A513" s="206" t="str">
        <f>IF(AND($B513="",$C513=""),"",MAX($A$3:A512)+1)</f>
        <v/>
      </c>
      <c r="B513" s="207"/>
      <c r="C513" s="208"/>
      <c r="D513" s="209" t="str">
        <f>IFERROR(IF($E513="Inventory",VLOOKUP($C513,Inventory!$B:$I,2,FALSE()),IF($E513="Non Inventory",VLOOKUP($C513,'Non Inventory'!$B:$I,2,FALSE()),IF($E513="Services",VLOOKUP($C513,Services!$B:$I,2,FALSE()),IF($E513="Patty Cash",VLOOKUP($C513,'Patty Cash'!$B:$J,2,FALSE()),"")))),"")</f>
        <v/>
      </c>
      <c r="E513" s="246"/>
      <c r="F513" s="210" t="str">
        <f>IFERROR(IF($E513="Inventory",VLOOKUP($C513,Inventory!$B:$I,3,FALSE()),IF($E513="Non Inventory",VLOOKUP($C513,'Non Inventory'!$B:$I,3,FALSE()),IF($E513="Services",VLOOKUP($C513,Services!$B:$I,3,FALSE()),IF($E513="Patty Cash",VLOOKUP($C513,'Patty Cash'!$B:$J,3,FALSE()),"")))),"")</f>
        <v/>
      </c>
      <c r="G513" s="211"/>
      <c r="H513" s="212" t="str">
        <f>IF($E513="","",IF($E513="Inventory",IFERROR(VLOOKUP($C513,Inventory!$B:$H,7,FALSE()),0),IF($E513="Non Inventory",IFERROR(VLOOKUP($C513,'Non Inventory'!$B:$H,7,FALSE()),0),IF($E513="Services",IFERROR(VLOOKUP($C513,Services!$B:$H,7,FALSE()),0),IF($E513="Patty Cash",IFERROR(VLOOKUP($C513,'Patty Cash'!$B:$H,7,FALSE()),0),0)))))</f>
        <v/>
      </c>
      <c r="I513" s="213"/>
      <c r="J513" s="214"/>
      <c r="K513" s="215"/>
      <c r="L513" s="197"/>
      <c r="M513" s="215"/>
      <c r="N513" s="216">
        <f>IFERROR(IF($E513="Inventory",VLOOKUP($C513,Inventory!$B:$I,8,FALSE()),IF($E513="Non Inventory",VLOOKUP($C513,'Non Inventory'!$B:$I,8,FALSE()),IF($E513="Services",VLOOKUP($C513,Services!$B:$I,8,FALSE()),IF($E513="Patty Cash",VLOOKUP($C513,'Patty Cash'!$B:$J,8,FALSE()),0)))),0)</f>
        <v>0</v>
      </c>
      <c r="O513" s="217" t="str">
        <f t="shared" si="7"/>
        <v/>
      </c>
    </row>
    <row r="514" spans="1:15" ht="23.1" customHeight="1">
      <c r="A514" s="206" t="str">
        <f>IF(AND($B514="",$C514=""),"",MAX($A$3:A513)+1)</f>
        <v/>
      </c>
      <c r="B514" s="207"/>
      <c r="C514" s="208"/>
      <c r="D514" s="209" t="str">
        <f>IFERROR(IF($E514="Inventory",VLOOKUP($C514,Inventory!$B:$I,2,FALSE()),IF($E514="Non Inventory",VLOOKUP($C514,'Non Inventory'!$B:$I,2,FALSE()),IF($E514="Services",VLOOKUP($C514,Services!$B:$I,2,FALSE()),IF($E514="Patty Cash",VLOOKUP($C514,'Patty Cash'!$B:$J,2,FALSE()),"")))),"")</f>
        <v/>
      </c>
      <c r="E514" s="246"/>
      <c r="F514" s="210" t="str">
        <f>IFERROR(IF($E514="Inventory",VLOOKUP($C514,Inventory!$B:$I,3,FALSE()),IF($E514="Non Inventory",VLOOKUP($C514,'Non Inventory'!$B:$I,3,FALSE()),IF($E514="Services",VLOOKUP($C514,Services!$B:$I,3,FALSE()),IF($E514="Patty Cash",VLOOKUP($C514,'Patty Cash'!$B:$J,3,FALSE()),"")))),"")</f>
        <v/>
      </c>
      <c r="G514" s="211"/>
      <c r="H514" s="212" t="str">
        <f>IF($E514="","",IF($E514="Inventory",IFERROR(VLOOKUP($C514,Inventory!$B:$H,7,FALSE()),0),IF($E514="Non Inventory",IFERROR(VLOOKUP($C514,'Non Inventory'!$B:$H,7,FALSE()),0),IF($E514="Services",IFERROR(VLOOKUP($C514,Services!$B:$H,7,FALSE()),0),IF($E514="Patty Cash",IFERROR(VLOOKUP($C514,'Patty Cash'!$B:$H,7,FALSE()),0),0)))))</f>
        <v/>
      </c>
      <c r="I514" s="213"/>
      <c r="J514" s="214"/>
      <c r="K514" s="215"/>
      <c r="L514" s="197"/>
      <c r="M514" s="215"/>
      <c r="N514" s="216">
        <f>IFERROR(IF($E514="Inventory",VLOOKUP($C514,Inventory!$B:$I,8,FALSE()),IF($E514="Non Inventory",VLOOKUP($C514,'Non Inventory'!$B:$I,8,FALSE()),IF($E514="Services",VLOOKUP($C514,Services!$B:$I,8,FALSE()),IF($E514="Patty Cash",VLOOKUP($C514,'Patty Cash'!$B:$J,8,FALSE()),0)))),0)</f>
        <v>0</v>
      </c>
      <c r="O514" s="217" t="str">
        <f t="shared" si="7"/>
        <v/>
      </c>
    </row>
    <row r="515" spans="1:15" ht="23.1" customHeight="1">
      <c r="A515" s="206" t="str">
        <f>IF(AND($B515="",$C515=""),"",MAX($A$3:A514)+1)</f>
        <v/>
      </c>
      <c r="B515" s="207"/>
      <c r="C515" s="208"/>
      <c r="D515" s="209" t="str">
        <f>IFERROR(IF($E515="Inventory",VLOOKUP($C515,Inventory!$B:$I,2,FALSE()),IF($E515="Non Inventory",VLOOKUP($C515,'Non Inventory'!$B:$I,2,FALSE()),IF($E515="Services",VLOOKUP($C515,Services!$B:$I,2,FALSE()),IF($E515="Patty Cash",VLOOKUP($C515,'Patty Cash'!$B:$J,2,FALSE()),"")))),"")</f>
        <v/>
      </c>
      <c r="E515" s="246"/>
      <c r="F515" s="210" t="str">
        <f>IFERROR(IF($E515="Inventory",VLOOKUP($C515,Inventory!$B:$I,3,FALSE()),IF($E515="Non Inventory",VLOOKUP($C515,'Non Inventory'!$B:$I,3,FALSE()),IF($E515="Services",VLOOKUP($C515,Services!$B:$I,3,FALSE()),IF($E515="Patty Cash",VLOOKUP($C515,'Patty Cash'!$B:$J,3,FALSE()),"")))),"")</f>
        <v/>
      </c>
      <c r="G515" s="211"/>
      <c r="H515" s="212" t="str">
        <f>IF($E515="","",IF($E515="Inventory",IFERROR(VLOOKUP($C515,Inventory!$B:$H,7,FALSE()),0),IF($E515="Non Inventory",IFERROR(VLOOKUP($C515,'Non Inventory'!$B:$H,7,FALSE()),0),IF($E515="Services",IFERROR(VLOOKUP($C515,Services!$B:$H,7,FALSE()),0),IF($E515="Patty Cash",IFERROR(VLOOKUP($C515,'Patty Cash'!$B:$H,7,FALSE()),0),0)))))</f>
        <v/>
      </c>
      <c r="I515" s="213"/>
      <c r="J515" s="214"/>
      <c r="K515" s="215"/>
      <c r="L515" s="197"/>
      <c r="M515" s="215"/>
      <c r="N515" s="216">
        <f>IFERROR(IF($E515="Inventory",VLOOKUP($C515,Inventory!$B:$I,8,FALSE()),IF($E515="Non Inventory",VLOOKUP($C515,'Non Inventory'!$B:$I,8,FALSE()),IF($E515="Services",VLOOKUP($C515,Services!$B:$I,8,FALSE()),IF($E515="Patty Cash",VLOOKUP($C515,'Patty Cash'!$B:$J,8,FALSE()),0)))),0)</f>
        <v>0</v>
      </c>
      <c r="O515" s="217" t="str">
        <f t="shared" ref="O515:O578" si="8">IF($G515="","",G515*N515)</f>
        <v/>
      </c>
    </row>
    <row r="516" spans="1:15" ht="23.1" customHeight="1">
      <c r="A516" s="206" t="str">
        <f>IF(AND($B516="",$C516=""),"",MAX($A$3:A515)+1)</f>
        <v/>
      </c>
      <c r="B516" s="207"/>
      <c r="C516" s="208"/>
      <c r="D516" s="209" t="str">
        <f>IFERROR(IF($E516="Inventory",VLOOKUP($C516,Inventory!$B:$I,2,FALSE()),IF($E516="Non Inventory",VLOOKUP($C516,'Non Inventory'!$B:$I,2,FALSE()),IF($E516="Services",VLOOKUP($C516,Services!$B:$I,2,FALSE()),IF($E516="Patty Cash",VLOOKUP($C516,'Patty Cash'!$B:$J,2,FALSE()),"")))),"")</f>
        <v/>
      </c>
      <c r="E516" s="246"/>
      <c r="F516" s="210" t="str">
        <f>IFERROR(IF($E516="Inventory",VLOOKUP($C516,Inventory!$B:$I,3,FALSE()),IF($E516="Non Inventory",VLOOKUP($C516,'Non Inventory'!$B:$I,3,FALSE()),IF($E516="Services",VLOOKUP($C516,Services!$B:$I,3,FALSE()),IF($E516="Patty Cash",VLOOKUP($C516,'Patty Cash'!$B:$J,3,FALSE()),"")))),"")</f>
        <v/>
      </c>
      <c r="G516" s="211"/>
      <c r="H516" s="212" t="str">
        <f>IF($E516="","",IF($E516="Inventory",IFERROR(VLOOKUP($C516,Inventory!$B:$H,7,FALSE()),0),IF($E516="Non Inventory",IFERROR(VLOOKUP($C516,'Non Inventory'!$B:$H,7,FALSE()),0),IF($E516="Services",IFERROR(VLOOKUP($C516,Services!$B:$H,7,FALSE()),0),IF($E516="Patty Cash",IFERROR(VLOOKUP($C516,'Patty Cash'!$B:$H,7,FALSE()),0),0)))))</f>
        <v/>
      </c>
      <c r="I516" s="213"/>
      <c r="J516" s="214"/>
      <c r="K516" s="215"/>
      <c r="L516" s="197"/>
      <c r="M516" s="215"/>
      <c r="N516" s="216">
        <f>IFERROR(IF($E516="Inventory",VLOOKUP($C516,Inventory!$B:$I,8,FALSE()),IF($E516="Non Inventory",VLOOKUP($C516,'Non Inventory'!$B:$I,8,FALSE()),IF($E516="Services",VLOOKUP($C516,Services!$B:$I,8,FALSE()),IF($E516="Patty Cash",VLOOKUP($C516,'Patty Cash'!$B:$J,8,FALSE()),0)))),0)</f>
        <v>0</v>
      </c>
      <c r="O516" s="217" t="str">
        <f t="shared" si="8"/>
        <v/>
      </c>
    </row>
    <row r="517" spans="1:15" ht="23.1" customHeight="1">
      <c r="A517" s="206" t="str">
        <f>IF(AND($B517="",$C517=""),"",MAX($A$3:A516)+1)</f>
        <v/>
      </c>
      <c r="B517" s="207"/>
      <c r="C517" s="208"/>
      <c r="D517" s="209" t="str">
        <f>IFERROR(IF($E517="Inventory",VLOOKUP($C517,Inventory!$B:$I,2,FALSE()),IF($E517="Non Inventory",VLOOKUP($C517,'Non Inventory'!$B:$I,2,FALSE()),IF($E517="Services",VLOOKUP($C517,Services!$B:$I,2,FALSE()),IF($E517="Patty Cash",VLOOKUP($C517,'Patty Cash'!$B:$J,2,FALSE()),"")))),"")</f>
        <v/>
      </c>
      <c r="E517" s="246"/>
      <c r="F517" s="210" t="str">
        <f>IFERROR(IF($E517="Inventory",VLOOKUP($C517,Inventory!$B:$I,3,FALSE()),IF($E517="Non Inventory",VLOOKUP($C517,'Non Inventory'!$B:$I,3,FALSE()),IF($E517="Services",VLOOKUP($C517,Services!$B:$I,3,FALSE()),IF($E517="Patty Cash",VLOOKUP($C517,'Patty Cash'!$B:$J,3,FALSE()),"")))),"")</f>
        <v/>
      </c>
      <c r="G517" s="211"/>
      <c r="H517" s="212" t="str">
        <f>IF($E517="","",IF($E517="Inventory",IFERROR(VLOOKUP($C517,Inventory!$B:$H,7,FALSE()),0),IF($E517="Non Inventory",IFERROR(VLOOKUP($C517,'Non Inventory'!$B:$H,7,FALSE()),0),IF($E517="Services",IFERROR(VLOOKUP($C517,Services!$B:$H,7,FALSE()),0),IF($E517="Patty Cash",IFERROR(VLOOKUP($C517,'Patty Cash'!$B:$H,7,FALSE()),0),0)))))</f>
        <v/>
      </c>
      <c r="I517" s="213"/>
      <c r="J517" s="214"/>
      <c r="K517" s="215"/>
      <c r="L517" s="197"/>
      <c r="M517" s="215"/>
      <c r="N517" s="216">
        <f>IFERROR(IF($E517="Inventory",VLOOKUP($C517,Inventory!$B:$I,8,FALSE()),IF($E517="Non Inventory",VLOOKUP($C517,'Non Inventory'!$B:$I,8,FALSE()),IF($E517="Services",VLOOKUP($C517,Services!$B:$I,8,FALSE()),IF($E517="Patty Cash",VLOOKUP($C517,'Patty Cash'!$B:$J,8,FALSE()),0)))),0)</f>
        <v>0</v>
      </c>
      <c r="O517" s="217" t="str">
        <f t="shared" si="8"/>
        <v/>
      </c>
    </row>
    <row r="518" spans="1:15" ht="23.1" customHeight="1">
      <c r="A518" s="206" t="str">
        <f>IF(AND($B518="",$C518=""),"",MAX($A$3:A517)+1)</f>
        <v/>
      </c>
      <c r="B518" s="207"/>
      <c r="C518" s="208"/>
      <c r="D518" s="209" t="str">
        <f>IFERROR(IF($E518="Inventory",VLOOKUP($C518,Inventory!$B:$I,2,FALSE()),IF($E518="Non Inventory",VLOOKUP($C518,'Non Inventory'!$B:$I,2,FALSE()),IF($E518="Services",VLOOKUP($C518,Services!$B:$I,2,FALSE()),IF($E518="Patty Cash",VLOOKUP($C518,'Patty Cash'!$B:$J,2,FALSE()),"")))),"")</f>
        <v/>
      </c>
      <c r="E518" s="246"/>
      <c r="F518" s="210" t="str">
        <f>IFERROR(IF($E518="Inventory",VLOOKUP($C518,Inventory!$B:$I,3,FALSE()),IF($E518="Non Inventory",VLOOKUP($C518,'Non Inventory'!$B:$I,3,FALSE()),IF($E518="Services",VLOOKUP($C518,Services!$B:$I,3,FALSE()),IF($E518="Patty Cash",VLOOKUP($C518,'Patty Cash'!$B:$J,3,FALSE()),"")))),"")</f>
        <v/>
      </c>
      <c r="G518" s="211"/>
      <c r="H518" s="212" t="str">
        <f>IF($E518="","",IF($E518="Inventory",IFERROR(VLOOKUP($C518,Inventory!$B:$H,7,FALSE()),0),IF($E518="Non Inventory",IFERROR(VLOOKUP($C518,'Non Inventory'!$B:$H,7,FALSE()),0),IF($E518="Services",IFERROR(VLOOKUP($C518,Services!$B:$H,7,FALSE()),0),IF($E518="Patty Cash",IFERROR(VLOOKUP($C518,'Patty Cash'!$B:$H,7,FALSE()),0),0)))))</f>
        <v/>
      </c>
      <c r="I518" s="213"/>
      <c r="J518" s="214"/>
      <c r="K518" s="215"/>
      <c r="L518" s="197"/>
      <c r="M518" s="215"/>
      <c r="N518" s="216">
        <f>IFERROR(IF($E518="Inventory",VLOOKUP($C518,Inventory!$B:$I,8,FALSE()),IF($E518="Non Inventory",VLOOKUP($C518,'Non Inventory'!$B:$I,8,FALSE()),IF($E518="Services",VLOOKUP($C518,Services!$B:$I,8,FALSE()),IF($E518="Patty Cash",VLOOKUP($C518,'Patty Cash'!$B:$J,8,FALSE()),0)))),0)</f>
        <v>0</v>
      </c>
      <c r="O518" s="217" t="str">
        <f t="shared" si="8"/>
        <v/>
      </c>
    </row>
    <row r="519" spans="1:15" ht="23.1" customHeight="1">
      <c r="A519" s="206" t="str">
        <f>IF(AND($B519="",$C519=""),"",MAX($A$3:A518)+1)</f>
        <v/>
      </c>
      <c r="B519" s="207"/>
      <c r="C519" s="208"/>
      <c r="D519" s="209" t="str">
        <f>IFERROR(IF($E519="Inventory",VLOOKUP($C519,Inventory!$B:$I,2,FALSE()),IF($E519="Non Inventory",VLOOKUP($C519,'Non Inventory'!$B:$I,2,FALSE()),IF($E519="Services",VLOOKUP($C519,Services!$B:$I,2,FALSE()),IF($E519="Patty Cash",VLOOKUP($C519,'Patty Cash'!$B:$J,2,FALSE()),"")))),"")</f>
        <v/>
      </c>
      <c r="E519" s="246"/>
      <c r="F519" s="210" t="str">
        <f>IFERROR(IF($E519="Inventory",VLOOKUP($C519,Inventory!$B:$I,3,FALSE()),IF($E519="Non Inventory",VLOOKUP($C519,'Non Inventory'!$B:$I,3,FALSE()),IF($E519="Services",VLOOKUP($C519,Services!$B:$I,3,FALSE()),IF($E519="Patty Cash",VLOOKUP($C519,'Patty Cash'!$B:$J,3,FALSE()),"")))),"")</f>
        <v/>
      </c>
      <c r="G519" s="211"/>
      <c r="H519" s="212" t="str">
        <f>IF($E519="","",IF($E519="Inventory",IFERROR(VLOOKUP($C519,Inventory!$B:$H,7,FALSE()),0),IF($E519="Non Inventory",IFERROR(VLOOKUP($C519,'Non Inventory'!$B:$H,7,FALSE()),0),IF($E519="Services",IFERROR(VLOOKUP($C519,Services!$B:$H,7,FALSE()),0),IF($E519="Patty Cash",IFERROR(VLOOKUP($C519,'Patty Cash'!$B:$H,7,FALSE()),0),0)))))</f>
        <v/>
      </c>
      <c r="I519" s="213"/>
      <c r="J519" s="214"/>
      <c r="K519" s="215"/>
      <c r="L519" s="197"/>
      <c r="M519" s="215"/>
      <c r="N519" s="216">
        <f>IFERROR(IF($E519="Inventory",VLOOKUP($C519,Inventory!$B:$I,8,FALSE()),IF($E519="Non Inventory",VLOOKUP($C519,'Non Inventory'!$B:$I,8,FALSE()),IF($E519="Services",VLOOKUP($C519,Services!$B:$I,8,FALSE()),IF($E519="Patty Cash",VLOOKUP($C519,'Patty Cash'!$B:$J,8,FALSE()),0)))),0)</f>
        <v>0</v>
      </c>
      <c r="O519" s="217" t="str">
        <f t="shared" si="8"/>
        <v/>
      </c>
    </row>
    <row r="520" spans="1:15" ht="23.1" customHeight="1">
      <c r="A520" s="206" t="str">
        <f>IF(AND($B520="",$C520=""),"",MAX($A$3:A519)+1)</f>
        <v/>
      </c>
      <c r="B520" s="207"/>
      <c r="C520" s="208"/>
      <c r="D520" s="209" t="str">
        <f>IFERROR(IF($E520="Inventory",VLOOKUP($C520,Inventory!$B:$I,2,FALSE()),IF($E520="Non Inventory",VLOOKUP($C520,'Non Inventory'!$B:$I,2,FALSE()),IF($E520="Services",VLOOKUP($C520,Services!$B:$I,2,FALSE()),IF($E520="Patty Cash",VLOOKUP($C520,'Patty Cash'!$B:$J,2,FALSE()),"")))),"")</f>
        <v/>
      </c>
      <c r="E520" s="246"/>
      <c r="F520" s="210" t="str">
        <f>IFERROR(IF($E520="Inventory",VLOOKUP($C520,Inventory!$B:$I,3,FALSE()),IF($E520="Non Inventory",VLOOKUP($C520,'Non Inventory'!$B:$I,3,FALSE()),IF($E520="Services",VLOOKUP($C520,Services!$B:$I,3,FALSE()),IF($E520="Patty Cash",VLOOKUP($C520,'Patty Cash'!$B:$J,3,FALSE()),"")))),"")</f>
        <v/>
      </c>
      <c r="G520" s="211"/>
      <c r="H520" s="212" t="str">
        <f>IF($E520="","",IF($E520="Inventory",IFERROR(VLOOKUP($C520,Inventory!$B:$H,7,FALSE()),0),IF($E520="Non Inventory",IFERROR(VLOOKUP($C520,'Non Inventory'!$B:$H,7,FALSE()),0),IF($E520="Services",IFERROR(VLOOKUP($C520,Services!$B:$H,7,FALSE()),0),IF($E520="Patty Cash",IFERROR(VLOOKUP($C520,'Patty Cash'!$B:$H,7,FALSE()),0),0)))))</f>
        <v/>
      </c>
      <c r="I520" s="213"/>
      <c r="J520" s="214"/>
      <c r="K520" s="215"/>
      <c r="L520" s="197"/>
      <c r="M520" s="215"/>
      <c r="N520" s="216">
        <f>IFERROR(IF($E520="Inventory",VLOOKUP($C520,Inventory!$B:$I,8,FALSE()),IF($E520="Non Inventory",VLOOKUP($C520,'Non Inventory'!$B:$I,8,FALSE()),IF($E520="Services",VLOOKUP($C520,Services!$B:$I,8,FALSE()),IF($E520="Patty Cash",VLOOKUP($C520,'Patty Cash'!$B:$J,8,FALSE()),0)))),0)</f>
        <v>0</v>
      </c>
      <c r="O520" s="217" t="str">
        <f t="shared" si="8"/>
        <v/>
      </c>
    </row>
    <row r="521" spans="1:15" ht="23.1" customHeight="1">
      <c r="A521" s="206" t="str">
        <f>IF(AND($B521="",$C521=""),"",MAX($A$3:A520)+1)</f>
        <v/>
      </c>
      <c r="B521" s="207"/>
      <c r="C521" s="208"/>
      <c r="D521" s="209" t="str">
        <f>IFERROR(IF($E521="Inventory",VLOOKUP($C521,Inventory!$B:$I,2,FALSE()),IF($E521="Non Inventory",VLOOKUP($C521,'Non Inventory'!$B:$I,2,FALSE()),IF($E521="Services",VLOOKUP($C521,Services!$B:$I,2,FALSE()),IF($E521="Patty Cash",VLOOKUP($C521,'Patty Cash'!$B:$J,2,FALSE()),"")))),"")</f>
        <v/>
      </c>
      <c r="E521" s="246"/>
      <c r="F521" s="210" t="str">
        <f>IFERROR(IF($E521="Inventory",VLOOKUP($C521,Inventory!$B:$I,3,FALSE()),IF($E521="Non Inventory",VLOOKUP($C521,'Non Inventory'!$B:$I,3,FALSE()),IF($E521="Services",VLOOKUP($C521,Services!$B:$I,3,FALSE()),IF($E521="Patty Cash",VLOOKUP($C521,'Patty Cash'!$B:$J,3,FALSE()),"")))),"")</f>
        <v/>
      </c>
      <c r="G521" s="211"/>
      <c r="H521" s="212" t="str">
        <f>IF($E521="","",IF($E521="Inventory",IFERROR(VLOOKUP($C521,Inventory!$B:$H,7,FALSE()),0),IF($E521="Non Inventory",IFERROR(VLOOKUP($C521,'Non Inventory'!$B:$H,7,FALSE()),0),IF($E521="Services",IFERROR(VLOOKUP($C521,Services!$B:$H,7,FALSE()),0),IF($E521="Patty Cash",IFERROR(VLOOKUP($C521,'Patty Cash'!$B:$H,7,FALSE()),0),0)))))</f>
        <v/>
      </c>
      <c r="I521" s="213"/>
      <c r="J521" s="214"/>
      <c r="K521" s="215"/>
      <c r="L521" s="197"/>
      <c r="M521" s="215"/>
      <c r="N521" s="216">
        <f>IFERROR(IF($E521="Inventory",VLOOKUP($C521,Inventory!$B:$I,8,FALSE()),IF($E521="Non Inventory",VLOOKUP($C521,'Non Inventory'!$B:$I,8,FALSE()),IF($E521="Services",VLOOKUP($C521,Services!$B:$I,8,FALSE()),IF($E521="Patty Cash",VLOOKUP($C521,'Patty Cash'!$B:$J,8,FALSE()),0)))),0)</f>
        <v>0</v>
      </c>
      <c r="O521" s="217" t="str">
        <f t="shared" si="8"/>
        <v/>
      </c>
    </row>
    <row r="522" spans="1:15" ht="23.1" customHeight="1">
      <c r="A522" s="206" t="str">
        <f>IF(AND($B522="",$C522=""),"",MAX($A$3:A521)+1)</f>
        <v/>
      </c>
      <c r="B522" s="207"/>
      <c r="C522" s="208"/>
      <c r="D522" s="209" t="str">
        <f>IFERROR(IF($E522="Inventory",VLOOKUP($C522,Inventory!$B:$I,2,FALSE()),IF($E522="Non Inventory",VLOOKUP($C522,'Non Inventory'!$B:$I,2,FALSE()),IF($E522="Services",VLOOKUP($C522,Services!$B:$I,2,FALSE()),IF($E522="Patty Cash",VLOOKUP($C522,'Patty Cash'!$B:$J,2,FALSE()),"")))),"")</f>
        <v/>
      </c>
      <c r="E522" s="246"/>
      <c r="F522" s="210" t="str">
        <f>IFERROR(IF($E522="Inventory",VLOOKUP($C522,Inventory!$B:$I,3,FALSE()),IF($E522="Non Inventory",VLOOKUP($C522,'Non Inventory'!$B:$I,3,FALSE()),IF($E522="Services",VLOOKUP($C522,Services!$B:$I,3,FALSE()),IF($E522="Patty Cash",VLOOKUP($C522,'Patty Cash'!$B:$J,3,FALSE()),"")))),"")</f>
        <v/>
      </c>
      <c r="G522" s="211"/>
      <c r="H522" s="212" t="str">
        <f>IF($E522="","",IF($E522="Inventory",IFERROR(VLOOKUP($C522,Inventory!$B:$H,7,FALSE()),0),IF($E522="Non Inventory",IFERROR(VLOOKUP($C522,'Non Inventory'!$B:$H,7,FALSE()),0),IF($E522="Services",IFERROR(VLOOKUP($C522,Services!$B:$H,7,FALSE()),0),IF($E522="Patty Cash",IFERROR(VLOOKUP($C522,'Patty Cash'!$B:$H,7,FALSE()),0),0)))))</f>
        <v/>
      </c>
      <c r="I522" s="213"/>
      <c r="J522" s="214"/>
      <c r="K522" s="215"/>
      <c r="L522" s="197"/>
      <c r="M522" s="215"/>
      <c r="N522" s="216">
        <f>IFERROR(IF($E522="Inventory",VLOOKUP($C522,Inventory!$B:$I,8,FALSE()),IF($E522="Non Inventory",VLOOKUP($C522,'Non Inventory'!$B:$I,8,FALSE()),IF($E522="Services",VLOOKUP($C522,Services!$B:$I,8,FALSE()),IF($E522="Patty Cash",VLOOKUP($C522,'Patty Cash'!$B:$J,8,FALSE()),0)))),0)</f>
        <v>0</v>
      </c>
      <c r="O522" s="217" t="str">
        <f t="shared" si="8"/>
        <v/>
      </c>
    </row>
    <row r="523" spans="1:15" ht="23.1" customHeight="1">
      <c r="A523" s="206" t="str">
        <f>IF(AND($B523="",$C523=""),"",MAX($A$3:A522)+1)</f>
        <v/>
      </c>
      <c r="B523" s="207"/>
      <c r="C523" s="208"/>
      <c r="D523" s="209" t="str">
        <f>IFERROR(IF($E523="Inventory",VLOOKUP($C523,Inventory!$B:$I,2,FALSE()),IF($E523="Non Inventory",VLOOKUP($C523,'Non Inventory'!$B:$I,2,FALSE()),IF($E523="Services",VLOOKUP($C523,Services!$B:$I,2,FALSE()),IF($E523="Patty Cash",VLOOKUP($C523,'Patty Cash'!$B:$J,2,FALSE()),"")))),"")</f>
        <v/>
      </c>
      <c r="E523" s="246"/>
      <c r="F523" s="210" t="str">
        <f>IFERROR(IF($E523="Inventory",VLOOKUP($C523,Inventory!$B:$I,3,FALSE()),IF($E523="Non Inventory",VLOOKUP($C523,'Non Inventory'!$B:$I,3,FALSE()),IF($E523="Services",VLOOKUP($C523,Services!$B:$I,3,FALSE()),IF($E523="Patty Cash",VLOOKUP($C523,'Patty Cash'!$B:$J,3,FALSE()),"")))),"")</f>
        <v/>
      </c>
      <c r="G523" s="211"/>
      <c r="H523" s="212" t="str">
        <f>IF($E523="","",IF($E523="Inventory",IFERROR(VLOOKUP($C523,Inventory!$B:$H,7,FALSE()),0),IF($E523="Non Inventory",IFERROR(VLOOKUP($C523,'Non Inventory'!$B:$H,7,FALSE()),0),IF($E523="Services",IFERROR(VLOOKUP($C523,Services!$B:$H,7,FALSE()),0),IF($E523="Patty Cash",IFERROR(VLOOKUP($C523,'Patty Cash'!$B:$H,7,FALSE()),0),0)))))</f>
        <v/>
      </c>
      <c r="I523" s="213"/>
      <c r="J523" s="214"/>
      <c r="K523" s="215"/>
      <c r="L523" s="197"/>
      <c r="M523" s="215"/>
      <c r="N523" s="216">
        <f>IFERROR(IF($E523="Inventory",VLOOKUP($C523,Inventory!$B:$I,8,FALSE()),IF($E523="Non Inventory",VLOOKUP($C523,'Non Inventory'!$B:$I,8,FALSE()),IF($E523="Services",VLOOKUP($C523,Services!$B:$I,8,FALSE()),IF($E523="Patty Cash",VLOOKUP($C523,'Patty Cash'!$B:$J,8,FALSE()),0)))),0)</f>
        <v>0</v>
      </c>
      <c r="O523" s="217" t="str">
        <f t="shared" si="8"/>
        <v/>
      </c>
    </row>
    <row r="524" spans="1:15" ht="23.1" customHeight="1">
      <c r="A524" s="206" t="str">
        <f>IF(AND($B524="",$C524=""),"",MAX($A$3:A523)+1)</f>
        <v/>
      </c>
      <c r="B524" s="207"/>
      <c r="C524" s="208"/>
      <c r="D524" s="209" t="str">
        <f>IFERROR(IF($E524="Inventory",VLOOKUP($C524,Inventory!$B:$I,2,FALSE()),IF($E524="Non Inventory",VLOOKUP($C524,'Non Inventory'!$B:$I,2,FALSE()),IF($E524="Services",VLOOKUP($C524,Services!$B:$I,2,FALSE()),IF($E524="Patty Cash",VLOOKUP($C524,'Patty Cash'!$B:$J,2,FALSE()),"")))),"")</f>
        <v/>
      </c>
      <c r="E524" s="246"/>
      <c r="F524" s="210" t="str">
        <f>IFERROR(IF($E524="Inventory",VLOOKUP($C524,Inventory!$B:$I,3,FALSE()),IF($E524="Non Inventory",VLOOKUP($C524,'Non Inventory'!$B:$I,3,FALSE()),IF($E524="Services",VLOOKUP($C524,Services!$B:$I,3,FALSE()),IF($E524="Patty Cash",VLOOKUP($C524,'Patty Cash'!$B:$J,3,FALSE()),"")))),"")</f>
        <v/>
      </c>
      <c r="G524" s="211"/>
      <c r="H524" s="212" t="str">
        <f>IF($E524="","",IF($E524="Inventory",IFERROR(VLOOKUP($C524,Inventory!$B:$H,7,FALSE()),0),IF($E524="Non Inventory",IFERROR(VLOOKUP($C524,'Non Inventory'!$B:$H,7,FALSE()),0),IF($E524="Services",IFERROR(VLOOKUP($C524,Services!$B:$H,7,FALSE()),0),IF($E524="Patty Cash",IFERROR(VLOOKUP($C524,'Patty Cash'!$B:$H,7,FALSE()),0),0)))))</f>
        <v/>
      </c>
      <c r="I524" s="213"/>
      <c r="J524" s="214"/>
      <c r="K524" s="215"/>
      <c r="L524" s="197"/>
      <c r="M524" s="215"/>
      <c r="N524" s="216">
        <f>IFERROR(IF($E524="Inventory",VLOOKUP($C524,Inventory!$B:$I,8,FALSE()),IF($E524="Non Inventory",VLOOKUP($C524,'Non Inventory'!$B:$I,8,FALSE()),IF($E524="Services",VLOOKUP($C524,Services!$B:$I,8,FALSE()),IF($E524="Patty Cash",VLOOKUP($C524,'Patty Cash'!$B:$J,8,FALSE()),0)))),0)</f>
        <v>0</v>
      </c>
      <c r="O524" s="217" t="str">
        <f t="shared" si="8"/>
        <v/>
      </c>
    </row>
    <row r="525" spans="1:15" ht="23.1" customHeight="1">
      <c r="A525" s="206" t="str">
        <f>IF(AND($B525="",$C525=""),"",MAX($A$3:A524)+1)</f>
        <v/>
      </c>
      <c r="B525" s="207"/>
      <c r="C525" s="208"/>
      <c r="D525" s="209" t="str">
        <f>IFERROR(IF($E525="Inventory",VLOOKUP($C525,Inventory!$B:$I,2,FALSE()),IF($E525="Non Inventory",VLOOKUP($C525,'Non Inventory'!$B:$I,2,FALSE()),IF($E525="Services",VLOOKUP($C525,Services!$B:$I,2,FALSE()),IF($E525="Patty Cash",VLOOKUP($C525,'Patty Cash'!$B:$J,2,FALSE()),"")))),"")</f>
        <v/>
      </c>
      <c r="E525" s="246"/>
      <c r="F525" s="210" t="str">
        <f>IFERROR(IF($E525="Inventory",VLOOKUP($C525,Inventory!$B:$I,3,FALSE()),IF($E525="Non Inventory",VLOOKUP($C525,'Non Inventory'!$B:$I,3,FALSE()),IF($E525="Services",VLOOKUP($C525,Services!$B:$I,3,FALSE()),IF($E525="Patty Cash",VLOOKUP($C525,'Patty Cash'!$B:$J,3,FALSE()),"")))),"")</f>
        <v/>
      </c>
      <c r="G525" s="211"/>
      <c r="H525" s="212" t="str">
        <f>IF($E525="","",IF($E525="Inventory",IFERROR(VLOOKUP($C525,Inventory!$B:$H,7,FALSE()),0),IF($E525="Non Inventory",IFERROR(VLOOKUP($C525,'Non Inventory'!$B:$H,7,FALSE()),0),IF($E525="Services",IFERROR(VLOOKUP($C525,Services!$B:$H,7,FALSE()),0),IF($E525="Patty Cash",IFERROR(VLOOKUP($C525,'Patty Cash'!$B:$H,7,FALSE()),0),0)))))</f>
        <v/>
      </c>
      <c r="I525" s="213"/>
      <c r="J525" s="214"/>
      <c r="K525" s="215"/>
      <c r="L525" s="197"/>
      <c r="M525" s="215"/>
      <c r="N525" s="216">
        <f>IFERROR(IF($E525="Inventory",VLOOKUP($C525,Inventory!$B:$I,8,FALSE()),IF($E525="Non Inventory",VLOOKUP($C525,'Non Inventory'!$B:$I,8,FALSE()),IF($E525="Services",VLOOKUP($C525,Services!$B:$I,8,FALSE()),IF($E525="Patty Cash",VLOOKUP($C525,'Patty Cash'!$B:$J,8,FALSE()),0)))),0)</f>
        <v>0</v>
      </c>
      <c r="O525" s="217" t="str">
        <f t="shared" si="8"/>
        <v/>
      </c>
    </row>
    <row r="526" spans="1:15" ht="23.1" customHeight="1">
      <c r="A526" s="206" t="str">
        <f>IF(AND($B526="",$C526=""),"",MAX($A$3:A525)+1)</f>
        <v/>
      </c>
      <c r="B526" s="207"/>
      <c r="C526" s="208"/>
      <c r="D526" s="209" t="str">
        <f>IFERROR(IF($E526="Inventory",VLOOKUP($C526,Inventory!$B:$I,2,FALSE()),IF($E526="Non Inventory",VLOOKUP($C526,'Non Inventory'!$B:$I,2,FALSE()),IF($E526="Services",VLOOKUP($C526,Services!$B:$I,2,FALSE()),IF($E526="Patty Cash",VLOOKUP($C526,'Patty Cash'!$B:$J,2,FALSE()),"")))),"")</f>
        <v/>
      </c>
      <c r="E526" s="246"/>
      <c r="F526" s="210" t="str">
        <f>IFERROR(IF($E526="Inventory",VLOOKUP($C526,Inventory!$B:$I,3,FALSE()),IF($E526="Non Inventory",VLOOKUP($C526,'Non Inventory'!$B:$I,3,FALSE()),IF($E526="Services",VLOOKUP($C526,Services!$B:$I,3,FALSE()),IF($E526="Patty Cash",VLOOKUP($C526,'Patty Cash'!$B:$J,3,FALSE()),"")))),"")</f>
        <v/>
      </c>
      <c r="G526" s="211"/>
      <c r="H526" s="212" t="str">
        <f>IF($E526="","",IF($E526="Inventory",IFERROR(VLOOKUP($C526,Inventory!$B:$H,7,FALSE()),0),IF($E526="Non Inventory",IFERROR(VLOOKUP($C526,'Non Inventory'!$B:$H,7,FALSE()),0),IF($E526="Services",IFERROR(VLOOKUP($C526,Services!$B:$H,7,FALSE()),0),IF($E526="Patty Cash",IFERROR(VLOOKUP($C526,'Patty Cash'!$B:$H,7,FALSE()),0),0)))))</f>
        <v/>
      </c>
      <c r="I526" s="213"/>
      <c r="J526" s="214"/>
      <c r="K526" s="215"/>
      <c r="L526" s="197"/>
      <c r="M526" s="215"/>
      <c r="N526" s="216">
        <f>IFERROR(IF($E526="Inventory",VLOOKUP($C526,Inventory!$B:$I,8,FALSE()),IF($E526="Non Inventory",VLOOKUP($C526,'Non Inventory'!$B:$I,8,FALSE()),IF($E526="Services",VLOOKUP($C526,Services!$B:$I,8,FALSE()),IF($E526="Patty Cash",VLOOKUP($C526,'Patty Cash'!$B:$J,8,FALSE()),0)))),0)</f>
        <v>0</v>
      </c>
      <c r="O526" s="217" t="str">
        <f t="shared" si="8"/>
        <v/>
      </c>
    </row>
    <row r="527" spans="1:15" ht="23.1" customHeight="1">
      <c r="A527" s="206" t="str">
        <f>IF(AND($B527="",$C527=""),"",MAX($A$3:A526)+1)</f>
        <v/>
      </c>
      <c r="B527" s="207"/>
      <c r="C527" s="208"/>
      <c r="D527" s="209" t="str">
        <f>IFERROR(IF($E527="Inventory",VLOOKUP($C527,Inventory!$B:$I,2,FALSE()),IF($E527="Non Inventory",VLOOKUP($C527,'Non Inventory'!$B:$I,2,FALSE()),IF($E527="Services",VLOOKUP($C527,Services!$B:$I,2,FALSE()),IF($E527="Patty Cash",VLOOKUP($C527,'Patty Cash'!$B:$J,2,FALSE()),"")))),"")</f>
        <v/>
      </c>
      <c r="E527" s="246"/>
      <c r="F527" s="210" t="str">
        <f>IFERROR(IF($E527="Inventory",VLOOKUP($C527,Inventory!$B:$I,3,FALSE()),IF($E527="Non Inventory",VLOOKUP($C527,'Non Inventory'!$B:$I,3,FALSE()),IF($E527="Services",VLOOKUP($C527,Services!$B:$I,3,FALSE()),IF($E527="Patty Cash",VLOOKUP($C527,'Patty Cash'!$B:$J,3,FALSE()),"")))),"")</f>
        <v/>
      </c>
      <c r="G527" s="211"/>
      <c r="H527" s="212" t="str">
        <f>IF($E527="","",IF($E527="Inventory",IFERROR(VLOOKUP($C527,Inventory!$B:$H,7,FALSE()),0),IF($E527="Non Inventory",IFERROR(VLOOKUP($C527,'Non Inventory'!$B:$H,7,FALSE()),0),IF($E527="Services",IFERROR(VLOOKUP($C527,Services!$B:$H,7,FALSE()),0),IF($E527="Patty Cash",IFERROR(VLOOKUP($C527,'Patty Cash'!$B:$H,7,FALSE()),0),0)))))</f>
        <v/>
      </c>
      <c r="I527" s="213"/>
      <c r="J527" s="214"/>
      <c r="K527" s="215"/>
      <c r="L527" s="197"/>
      <c r="M527" s="215"/>
      <c r="N527" s="216">
        <f>IFERROR(IF($E527="Inventory",VLOOKUP($C527,Inventory!$B:$I,8,FALSE()),IF($E527="Non Inventory",VLOOKUP($C527,'Non Inventory'!$B:$I,8,FALSE()),IF($E527="Services",VLOOKUP($C527,Services!$B:$I,8,FALSE()),IF($E527="Patty Cash",VLOOKUP($C527,'Patty Cash'!$B:$J,8,FALSE()),0)))),0)</f>
        <v>0</v>
      </c>
      <c r="O527" s="217" t="str">
        <f t="shared" si="8"/>
        <v/>
      </c>
    </row>
    <row r="528" spans="1:15" ht="23.1" customHeight="1">
      <c r="A528" s="206" t="str">
        <f>IF(AND($B528="",$C528=""),"",MAX($A$3:A527)+1)</f>
        <v/>
      </c>
      <c r="B528" s="207"/>
      <c r="C528" s="208"/>
      <c r="D528" s="209" t="str">
        <f>IFERROR(IF($E528="Inventory",VLOOKUP($C528,Inventory!$B:$I,2,FALSE()),IF($E528="Non Inventory",VLOOKUP($C528,'Non Inventory'!$B:$I,2,FALSE()),IF($E528="Services",VLOOKUP($C528,Services!$B:$I,2,FALSE()),IF($E528="Patty Cash",VLOOKUP($C528,'Patty Cash'!$B:$J,2,FALSE()),"")))),"")</f>
        <v/>
      </c>
      <c r="E528" s="246"/>
      <c r="F528" s="210" t="str">
        <f>IFERROR(IF($E528="Inventory",VLOOKUP($C528,Inventory!$B:$I,3,FALSE()),IF($E528="Non Inventory",VLOOKUP($C528,'Non Inventory'!$B:$I,3,FALSE()),IF($E528="Services",VLOOKUP($C528,Services!$B:$I,3,FALSE()),IF($E528="Patty Cash",VLOOKUP($C528,'Patty Cash'!$B:$J,3,FALSE()),"")))),"")</f>
        <v/>
      </c>
      <c r="G528" s="211"/>
      <c r="H528" s="212" t="str">
        <f>IF($E528="","",IF($E528="Inventory",IFERROR(VLOOKUP($C528,Inventory!$B:$H,7,FALSE()),0),IF($E528="Non Inventory",IFERROR(VLOOKUP($C528,'Non Inventory'!$B:$H,7,FALSE()),0),IF($E528="Services",IFERROR(VLOOKUP($C528,Services!$B:$H,7,FALSE()),0),IF($E528="Patty Cash",IFERROR(VLOOKUP($C528,'Patty Cash'!$B:$H,7,FALSE()),0),0)))))</f>
        <v/>
      </c>
      <c r="I528" s="213"/>
      <c r="J528" s="214"/>
      <c r="K528" s="215"/>
      <c r="L528" s="197"/>
      <c r="M528" s="215"/>
      <c r="N528" s="216">
        <f>IFERROR(IF($E528="Inventory",VLOOKUP($C528,Inventory!$B:$I,8,FALSE()),IF($E528="Non Inventory",VLOOKUP($C528,'Non Inventory'!$B:$I,8,FALSE()),IF($E528="Services",VLOOKUP($C528,Services!$B:$I,8,FALSE()),IF($E528="Patty Cash",VLOOKUP($C528,'Patty Cash'!$B:$J,8,FALSE()),0)))),0)</f>
        <v>0</v>
      </c>
      <c r="O528" s="217" t="str">
        <f t="shared" si="8"/>
        <v/>
      </c>
    </row>
    <row r="529" spans="1:15" ht="23.1" customHeight="1">
      <c r="A529" s="206" t="str">
        <f>IF(AND($B529="",$C529=""),"",MAX($A$3:A528)+1)</f>
        <v/>
      </c>
      <c r="B529" s="207"/>
      <c r="C529" s="208"/>
      <c r="D529" s="209" t="str">
        <f>IFERROR(IF($E529="Inventory",VLOOKUP($C529,Inventory!$B:$I,2,FALSE()),IF($E529="Non Inventory",VLOOKUP($C529,'Non Inventory'!$B:$I,2,FALSE()),IF($E529="Services",VLOOKUP($C529,Services!$B:$I,2,FALSE()),IF($E529="Patty Cash",VLOOKUP($C529,'Patty Cash'!$B:$J,2,FALSE()),"")))),"")</f>
        <v/>
      </c>
      <c r="E529" s="246"/>
      <c r="F529" s="210" t="str">
        <f>IFERROR(IF($E529="Inventory",VLOOKUP($C529,Inventory!$B:$I,3,FALSE()),IF($E529="Non Inventory",VLOOKUP($C529,'Non Inventory'!$B:$I,3,FALSE()),IF($E529="Services",VLOOKUP($C529,Services!$B:$I,3,FALSE()),IF($E529="Patty Cash",VLOOKUP($C529,'Patty Cash'!$B:$J,3,FALSE()),"")))),"")</f>
        <v/>
      </c>
      <c r="G529" s="211"/>
      <c r="H529" s="212" t="str">
        <f>IF($E529="","",IF($E529="Inventory",IFERROR(VLOOKUP($C529,Inventory!$B:$H,7,FALSE()),0),IF($E529="Non Inventory",IFERROR(VLOOKUP($C529,'Non Inventory'!$B:$H,7,FALSE()),0),IF($E529="Services",IFERROR(VLOOKUP($C529,Services!$B:$H,7,FALSE()),0),IF($E529="Patty Cash",IFERROR(VLOOKUP($C529,'Patty Cash'!$B:$H,7,FALSE()),0),0)))))</f>
        <v/>
      </c>
      <c r="I529" s="213"/>
      <c r="J529" s="214"/>
      <c r="K529" s="215"/>
      <c r="L529" s="197"/>
      <c r="M529" s="215"/>
      <c r="N529" s="216">
        <f>IFERROR(IF($E529="Inventory",VLOOKUP($C529,Inventory!$B:$I,8,FALSE()),IF($E529="Non Inventory",VLOOKUP($C529,'Non Inventory'!$B:$I,8,FALSE()),IF($E529="Services",VLOOKUP($C529,Services!$B:$I,8,FALSE()),IF($E529="Patty Cash",VLOOKUP($C529,'Patty Cash'!$B:$J,8,FALSE()),0)))),0)</f>
        <v>0</v>
      </c>
      <c r="O529" s="217" t="str">
        <f t="shared" si="8"/>
        <v/>
      </c>
    </row>
    <row r="530" spans="1:15" ht="23.1" customHeight="1">
      <c r="A530" s="206" t="str">
        <f>IF(AND($B530="",$C530=""),"",MAX($A$3:A529)+1)</f>
        <v/>
      </c>
      <c r="B530" s="207"/>
      <c r="C530" s="208"/>
      <c r="D530" s="209" t="str">
        <f>IFERROR(IF($E530="Inventory",VLOOKUP($C530,Inventory!$B:$I,2,FALSE()),IF($E530="Non Inventory",VLOOKUP($C530,'Non Inventory'!$B:$I,2,FALSE()),IF($E530="Services",VLOOKUP($C530,Services!$B:$I,2,FALSE()),IF($E530="Patty Cash",VLOOKUP($C530,'Patty Cash'!$B:$J,2,FALSE()),"")))),"")</f>
        <v/>
      </c>
      <c r="E530" s="246"/>
      <c r="F530" s="210" t="str">
        <f>IFERROR(IF($E530="Inventory",VLOOKUP($C530,Inventory!$B:$I,3,FALSE()),IF($E530="Non Inventory",VLOOKUP($C530,'Non Inventory'!$B:$I,3,FALSE()),IF($E530="Services",VLOOKUP($C530,Services!$B:$I,3,FALSE()),IF($E530="Patty Cash",VLOOKUP($C530,'Patty Cash'!$B:$J,3,FALSE()),"")))),"")</f>
        <v/>
      </c>
      <c r="G530" s="211"/>
      <c r="H530" s="212" t="str">
        <f>IF($E530="","",IF($E530="Inventory",IFERROR(VLOOKUP($C530,Inventory!$B:$H,7,FALSE()),0),IF($E530="Non Inventory",IFERROR(VLOOKUP($C530,'Non Inventory'!$B:$H,7,FALSE()),0),IF($E530="Services",IFERROR(VLOOKUP($C530,Services!$B:$H,7,FALSE()),0),IF($E530="Patty Cash",IFERROR(VLOOKUP($C530,'Patty Cash'!$B:$H,7,FALSE()),0),0)))))</f>
        <v/>
      </c>
      <c r="I530" s="213"/>
      <c r="J530" s="214"/>
      <c r="K530" s="215"/>
      <c r="L530" s="197"/>
      <c r="M530" s="215"/>
      <c r="N530" s="216">
        <f>IFERROR(IF($E530="Inventory",VLOOKUP($C530,Inventory!$B:$I,8,FALSE()),IF($E530="Non Inventory",VLOOKUP($C530,'Non Inventory'!$B:$I,8,FALSE()),IF($E530="Services",VLOOKUP($C530,Services!$B:$I,8,FALSE()),IF($E530="Patty Cash",VLOOKUP($C530,'Patty Cash'!$B:$J,8,FALSE()),0)))),0)</f>
        <v>0</v>
      </c>
      <c r="O530" s="217" t="str">
        <f t="shared" si="8"/>
        <v/>
      </c>
    </row>
    <row r="531" spans="1:15" ht="23.1" customHeight="1">
      <c r="A531" s="206" t="str">
        <f>IF(AND($B531="",$C531=""),"",MAX($A$3:A530)+1)</f>
        <v/>
      </c>
      <c r="B531" s="207"/>
      <c r="C531" s="208"/>
      <c r="D531" s="209" t="str">
        <f>IFERROR(IF($E531="Inventory",VLOOKUP($C531,Inventory!$B:$I,2,FALSE()),IF($E531="Non Inventory",VLOOKUP($C531,'Non Inventory'!$B:$I,2,FALSE()),IF($E531="Services",VLOOKUP($C531,Services!$B:$I,2,FALSE()),IF($E531="Patty Cash",VLOOKUP($C531,'Patty Cash'!$B:$J,2,FALSE()),"")))),"")</f>
        <v/>
      </c>
      <c r="E531" s="246"/>
      <c r="F531" s="210" t="str">
        <f>IFERROR(IF($E531="Inventory",VLOOKUP($C531,Inventory!$B:$I,3,FALSE()),IF($E531="Non Inventory",VLOOKUP($C531,'Non Inventory'!$B:$I,3,FALSE()),IF($E531="Services",VLOOKUP($C531,Services!$B:$I,3,FALSE()),IF($E531="Patty Cash",VLOOKUP($C531,'Patty Cash'!$B:$J,3,FALSE()),"")))),"")</f>
        <v/>
      </c>
      <c r="G531" s="211"/>
      <c r="H531" s="212" t="str">
        <f>IF($E531="","",IF($E531="Inventory",IFERROR(VLOOKUP($C531,Inventory!$B:$H,7,FALSE()),0),IF($E531="Non Inventory",IFERROR(VLOOKUP($C531,'Non Inventory'!$B:$H,7,FALSE()),0),IF($E531="Services",IFERROR(VLOOKUP($C531,Services!$B:$H,7,FALSE()),0),IF($E531="Patty Cash",IFERROR(VLOOKUP($C531,'Patty Cash'!$B:$H,7,FALSE()),0),0)))))</f>
        <v/>
      </c>
      <c r="I531" s="213"/>
      <c r="J531" s="214"/>
      <c r="K531" s="215"/>
      <c r="L531" s="197"/>
      <c r="M531" s="215"/>
      <c r="N531" s="216">
        <f>IFERROR(IF($E531="Inventory",VLOOKUP($C531,Inventory!$B:$I,8,FALSE()),IF($E531="Non Inventory",VLOOKUP($C531,'Non Inventory'!$B:$I,8,FALSE()),IF($E531="Services",VLOOKUP($C531,Services!$B:$I,8,FALSE()),IF($E531="Patty Cash",VLOOKUP($C531,'Patty Cash'!$B:$J,8,FALSE()),0)))),0)</f>
        <v>0</v>
      </c>
      <c r="O531" s="217" t="str">
        <f t="shared" si="8"/>
        <v/>
      </c>
    </row>
    <row r="532" spans="1:15" ht="23.1" customHeight="1">
      <c r="A532" s="206" t="str">
        <f>IF(AND($B532="",$C532=""),"",MAX($A$3:A531)+1)</f>
        <v/>
      </c>
      <c r="B532" s="207"/>
      <c r="C532" s="208"/>
      <c r="D532" s="209" t="str">
        <f>IFERROR(IF($E532="Inventory",VLOOKUP($C532,Inventory!$B:$I,2,FALSE()),IF($E532="Non Inventory",VLOOKUP($C532,'Non Inventory'!$B:$I,2,FALSE()),IF($E532="Services",VLOOKUP($C532,Services!$B:$I,2,FALSE()),IF($E532="Patty Cash",VLOOKUP($C532,'Patty Cash'!$B:$J,2,FALSE()),"")))),"")</f>
        <v/>
      </c>
      <c r="E532" s="246"/>
      <c r="F532" s="210" t="str">
        <f>IFERROR(IF($E532="Inventory",VLOOKUP($C532,Inventory!$B:$I,3,FALSE()),IF($E532="Non Inventory",VLOOKUP($C532,'Non Inventory'!$B:$I,3,FALSE()),IF($E532="Services",VLOOKUP($C532,Services!$B:$I,3,FALSE()),IF($E532="Patty Cash",VLOOKUP($C532,'Patty Cash'!$B:$J,3,FALSE()),"")))),"")</f>
        <v/>
      </c>
      <c r="G532" s="211"/>
      <c r="H532" s="212" t="str">
        <f>IF($E532="","",IF($E532="Inventory",IFERROR(VLOOKUP($C532,Inventory!$B:$H,7,FALSE()),0),IF($E532="Non Inventory",IFERROR(VLOOKUP($C532,'Non Inventory'!$B:$H,7,FALSE()),0),IF($E532="Services",IFERROR(VLOOKUP($C532,Services!$B:$H,7,FALSE()),0),IF($E532="Patty Cash",IFERROR(VLOOKUP($C532,'Patty Cash'!$B:$H,7,FALSE()),0),0)))))</f>
        <v/>
      </c>
      <c r="I532" s="213"/>
      <c r="J532" s="214"/>
      <c r="K532" s="215"/>
      <c r="L532" s="197"/>
      <c r="M532" s="215"/>
      <c r="N532" s="216">
        <f>IFERROR(IF($E532="Inventory",VLOOKUP($C532,Inventory!$B:$I,8,FALSE()),IF($E532="Non Inventory",VLOOKUP($C532,'Non Inventory'!$B:$I,8,FALSE()),IF($E532="Services",VLOOKUP($C532,Services!$B:$I,8,FALSE()),IF($E532="Patty Cash",VLOOKUP($C532,'Patty Cash'!$B:$J,8,FALSE()),0)))),0)</f>
        <v>0</v>
      </c>
      <c r="O532" s="217" t="str">
        <f t="shared" si="8"/>
        <v/>
      </c>
    </row>
    <row r="533" spans="1:15" ht="23.1" customHeight="1">
      <c r="A533" s="206" t="str">
        <f>IF(AND($B533="",$C533=""),"",MAX($A$3:A532)+1)</f>
        <v/>
      </c>
      <c r="B533" s="207"/>
      <c r="C533" s="208"/>
      <c r="D533" s="209" t="str">
        <f>IFERROR(IF($E533="Inventory",VLOOKUP($C533,Inventory!$B:$I,2,FALSE()),IF($E533="Non Inventory",VLOOKUP($C533,'Non Inventory'!$B:$I,2,FALSE()),IF($E533="Services",VLOOKUP($C533,Services!$B:$I,2,FALSE()),IF($E533="Patty Cash",VLOOKUP($C533,'Patty Cash'!$B:$J,2,FALSE()),"")))),"")</f>
        <v/>
      </c>
      <c r="E533" s="246"/>
      <c r="F533" s="210" t="str">
        <f>IFERROR(IF($E533="Inventory",VLOOKUP($C533,Inventory!$B:$I,3,FALSE()),IF($E533="Non Inventory",VLOOKUP($C533,'Non Inventory'!$B:$I,3,FALSE()),IF($E533="Services",VLOOKUP($C533,Services!$B:$I,3,FALSE()),IF($E533="Patty Cash",VLOOKUP($C533,'Patty Cash'!$B:$J,3,FALSE()),"")))),"")</f>
        <v/>
      </c>
      <c r="G533" s="211"/>
      <c r="H533" s="212" t="str">
        <f>IF($E533="","",IF($E533="Inventory",IFERROR(VLOOKUP($C533,Inventory!$B:$H,7,FALSE()),0),IF($E533="Non Inventory",IFERROR(VLOOKUP($C533,'Non Inventory'!$B:$H,7,FALSE()),0),IF($E533="Services",IFERROR(VLOOKUP($C533,Services!$B:$H,7,FALSE()),0),IF($E533="Patty Cash",IFERROR(VLOOKUP($C533,'Patty Cash'!$B:$H,7,FALSE()),0),0)))))</f>
        <v/>
      </c>
      <c r="I533" s="213"/>
      <c r="J533" s="214"/>
      <c r="K533" s="215"/>
      <c r="L533" s="197"/>
      <c r="M533" s="215"/>
      <c r="N533" s="216">
        <f>IFERROR(IF($E533="Inventory",VLOOKUP($C533,Inventory!$B:$I,8,FALSE()),IF($E533="Non Inventory",VLOOKUP($C533,'Non Inventory'!$B:$I,8,FALSE()),IF($E533="Services",VLOOKUP($C533,Services!$B:$I,8,FALSE()),IF($E533="Patty Cash",VLOOKUP($C533,'Patty Cash'!$B:$J,8,FALSE()),0)))),0)</f>
        <v>0</v>
      </c>
      <c r="O533" s="217" t="str">
        <f t="shared" si="8"/>
        <v/>
      </c>
    </row>
    <row r="534" spans="1:15" ht="23.1" customHeight="1">
      <c r="A534" s="206" t="str">
        <f>IF(AND($B534="",$C534=""),"",MAX($A$3:A533)+1)</f>
        <v/>
      </c>
      <c r="B534" s="207"/>
      <c r="C534" s="208"/>
      <c r="D534" s="209" t="str">
        <f>IFERROR(IF($E534="Inventory",VLOOKUP($C534,Inventory!$B:$I,2,FALSE()),IF($E534="Non Inventory",VLOOKUP($C534,'Non Inventory'!$B:$I,2,FALSE()),IF($E534="Services",VLOOKUP($C534,Services!$B:$I,2,FALSE()),IF($E534="Patty Cash",VLOOKUP($C534,'Patty Cash'!$B:$J,2,FALSE()),"")))),"")</f>
        <v/>
      </c>
      <c r="E534" s="246"/>
      <c r="F534" s="210" t="str">
        <f>IFERROR(IF($E534="Inventory",VLOOKUP($C534,Inventory!$B:$I,3,FALSE()),IF($E534="Non Inventory",VLOOKUP($C534,'Non Inventory'!$B:$I,3,FALSE()),IF($E534="Services",VLOOKUP($C534,Services!$B:$I,3,FALSE()),IF($E534="Patty Cash",VLOOKUP($C534,'Patty Cash'!$B:$J,3,FALSE()),"")))),"")</f>
        <v/>
      </c>
      <c r="G534" s="211"/>
      <c r="H534" s="212" t="str">
        <f>IF($E534="","",IF($E534="Inventory",IFERROR(VLOOKUP($C534,Inventory!$B:$H,7,FALSE()),0),IF($E534="Non Inventory",IFERROR(VLOOKUP($C534,'Non Inventory'!$B:$H,7,FALSE()),0),IF($E534="Services",IFERROR(VLOOKUP($C534,Services!$B:$H,7,FALSE()),0),IF($E534="Patty Cash",IFERROR(VLOOKUP($C534,'Patty Cash'!$B:$H,7,FALSE()),0),0)))))</f>
        <v/>
      </c>
      <c r="I534" s="213"/>
      <c r="J534" s="214"/>
      <c r="K534" s="215"/>
      <c r="L534" s="197"/>
      <c r="M534" s="215"/>
      <c r="N534" s="216">
        <f>IFERROR(IF($E534="Inventory",VLOOKUP($C534,Inventory!$B:$I,8,FALSE()),IF($E534="Non Inventory",VLOOKUP($C534,'Non Inventory'!$B:$I,8,FALSE()),IF($E534="Services",VLOOKUP($C534,Services!$B:$I,8,FALSE()),IF($E534="Patty Cash",VLOOKUP($C534,'Patty Cash'!$B:$J,8,FALSE()),0)))),0)</f>
        <v>0</v>
      </c>
      <c r="O534" s="217" t="str">
        <f t="shared" si="8"/>
        <v/>
      </c>
    </row>
    <row r="535" spans="1:15" ht="23.1" customHeight="1">
      <c r="A535" s="206" t="str">
        <f>IF(AND($B535="",$C535=""),"",MAX($A$3:A534)+1)</f>
        <v/>
      </c>
      <c r="B535" s="207"/>
      <c r="C535" s="208"/>
      <c r="D535" s="209" t="str">
        <f>IFERROR(IF($E535="Inventory",VLOOKUP($C535,Inventory!$B:$I,2,FALSE()),IF($E535="Non Inventory",VLOOKUP($C535,'Non Inventory'!$B:$I,2,FALSE()),IF($E535="Services",VLOOKUP($C535,Services!$B:$I,2,FALSE()),IF($E535="Patty Cash",VLOOKUP($C535,'Patty Cash'!$B:$J,2,FALSE()),"")))),"")</f>
        <v/>
      </c>
      <c r="E535" s="246"/>
      <c r="F535" s="210" t="str">
        <f>IFERROR(IF($E535="Inventory",VLOOKUP($C535,Inventory!$B:$I,3,FALSE()),IF($E535="Non Inventory",VLOOKUP($C535,'Non Inventory'!$B:$I,3,FALSE()),IF($E535="Services",VLOOKUP($C535,Services!$B:$I,3,FALSE()),IF($E535="Patty Cash",VLOOKUP($C535,'Patty Cash'!$B:$J,3,FALSE()),"")))),"")</f>
        <v/>
      </c>
      <c r="G535" s="211"/>
      <c r="H535" s="212" t="str">
        <f>IF($E535="","",IF($E535="Inventory",IFERROR(VLOOKUP($C535,Inventory!$B:$H,7,FALSE()),0),IF($E535="Non Inventory",IFERROR(VLOOKUP($C535,'Non Inventory'!$B:$H,7,FALSE()),0),IF($E535="Services",IFERROR(VLOOKUP($C535,Services!$B:$H,7,FALSE()),0),IF($E535="Patty Cash",IFERROR(VLOOKUP($C535,'Patty Cash'!$B:$H,7,FALSE()),0),0)))))</f>
        <v/>
      </c>
      <c r="I535" s="213"/>
      <c r="J535" s="214"/>
      <c r="K535" s="215"/>
      <c r="L535" s="197"/>
      <c r="M535" s="215"/>
      <c r="N535" s="216">
        <f>IFERROR(IF($E535="Inventory",VLOOKUP($C535,Inventory!$B:$I,8,FALSE()),IF($E535="Non Inventory",VLOOKUP($C535,'Non Inventory'!$B:$I,8,FALSE()),IF($E535="Services",VLOOKUP($C535,Services!$B:$I,8,FALSE()),IF($E535="Patty Cash",VLOOKUP($C535,'Patty Cash'!$B:$J,8,FALSE()),0)))),0)</f>
        <v>0</v>
      </c>
      <c r="O535" s="217" t="str">
        <f t="shared" si="8"/>
        <v/>
      </c>
    </row>
    <row r="536" spans="1:15" ht="23.1" customHeight="1">
      <c r="A536" s="206" t="str">
        <f>IF(AND($B536="",$C536=""),"",MAX($A$3:A535)+1)</f>
        <v/>
      </c>
      <c r="B536" s="207"/>
      <c r="C536" s="208"/>
      <c r="D536" s="209" t="str">
        <f>IFERROR(IF($E536="Inventory",VLOOKUP($C536,Inventory!$B:$I,2,FALSE()),IF($E536="Non Inventory",VLOOKUP($C536,'Non Inventory'!$B:$I,2,FALSE()),IF($E536="Services",VLOOKUP($C536,Services!$B:$I,2,FALSE()),IF($E536="Patty Cash",VLOOKUP($C536,'Patty Cash'!$B:$J,2,FALSE()),"")))),"")</f>
        <v/>
      </c>
      <c r="E536" s="246"/>
      <c r="F536" s="210" t="str">
        <f>IFERROR(IF($E536="Inventory",VLOOKUP($C536,Inventory!$B:$I,3,FALSE()),IF($E536="Non Inventory",VLOOKUP($C536,'Non Inventory'!$B:$I,3,FALSE()),IF($E536="Services",VLOOKUP($C536,Services!$B:$I,3,FALSE()),IF($E536="Patty Cash",VLOOKUP($C536,'Patty Cash'!$B:$J,3,FALSE()),"")))),"")</f>
        <v/>
      </c>
      <c r="G536" s="211"/>
      <c r="H536" s="212" t="str">
        <f>IF($E536="","",IF($E536="Inventory",IFERROR(VLOOKUP($C536,Inventory!$B:$H,7,FALSE()),0),IF($E536="Non Inventory",IFERROR(VLOOKUP($C536,'Non Inventory'!$B:$H,7,FALSE()),0),IF($E536="Services",IFERROR(VLOOKUP($C536,Services!$B:$H,7,FALSE()),0),IF($E536="Patty Cash",IFERROR(VLOOKUP($C536,'Patty Cash'!$B:$H,7,FALSE()),0),0)))))</f>
        <v/>
      </c>
      <c r="I536" s="213"/>
      <c r="J536" s="214"/>
      <c r="K536" s="215"/>
      <c r="L536" s="197"/>
      <c r="M536" s="215"/>
      <c r="N536" s="216">
        <f>IFERROR(IF($E536="Inventory",VLOOKUP($C536,Inventory!$B:$I,8,FALSE()),IF($E536="Non Inventory",VLOOKUP($C536,'Non Inventory'!$B:$I,8,FALSE()),IF($E536="Services",VLOOKUP($C536,Services!$B:$I,8,FALSE()),IF($E536="Patty Cash",VLOOKUP($C536,'Patty Cash'!$B:$J,8,FALSE()),0)))),0)</f>
        <v>0</v>
      </c>
      <c r="O536" s="217" t="str">
        <f t="shared" si="8"/>
        <v/>
      </c>
    </row>
    <row r="537" spans="1:15" ht="23.1" customHeight="1">
      <c r="A537" s="206" t="str">
        <f>IF(AND($B537="",$C537=""),"",MAX($A$3:A536)+1)</f>
        <v/>
      </c>
      <c r="B537" s="207"/>
      <c r="C537" s="208"/>
      <c r="D537" s="209" t="str">
        <f>IFERROR(IF($E537="Inventory",VLOOKUP($C537,Inventory!$B:$I,2,FALSE()),IF($E537="Non Inventory",VLOOKUP($C537,'Non Inventory'!$B:$I,2,FALSE()),IF($E537="Services",VLOOKUP($C537,Services!$B:$I,2,FALSE()),IF($E537="Patty Cash",VLOOKUP($C537,'Patty Cash'!$B:$J,2,FALSE()),"")))),"")</f>
        <v/>
      </c>
      <c r="E537" s="246"/>
      <c r="F537" s="210" t="str">
        <f>IFERROR(IF($E537="Inventory",VLOOKUP($C537,Inventory!$B:$I,3,FALSE()),IF($E537="Non Inventory",VLOOKUP($C537,'Non Inventory'!$B:$I,3,FALSE()),IF($E537="Services",VLOOKUP($C537,Services!$B:$I,3,FALSE()),IF($E537="Patty Cash",VLOOKUP($C537,'Patty Cash'!$B:$J,3,FALSE()),"")))),"")</f>
        <v/>
      </c>
      <c r="G537" s="211"/>
      <c r="H537" s="212" t="str">
        <f>IF($E537="","",IF($E537="Inventory",IFERROR(VLOOKUP($C537,Inventory!$B:$H,7,FALSE()),0),IF($E537="Non Inventory",IFERROR(VLOOKUP($C537,'Non Inventory'!$B:$H,7,FALSE()),0),IF($E537="Services",IFERROR(VLOOKUP($C537,Services!$B:$H,7,FALSE()),0),IF($E537="Patty Cash",IFERROR(VLOOKUP($C537,'Patty Cash'!$B:$H,7,FALSE()),0),0)))))</f>
        <v/>
      </c>
      <c r="I537" s="213"/>
      <c r="J537" s="214"/>
      <c r="K537" s="215"/>
      <c r="L537" s="197"/>
      <c r="M537" s="215"/>
      <c r="N537" s="216">
        <f>IFERROR(IF($E537="Inventory",VLOOKUP($C537,Inventory!$B:$I,8,FALSE()),IF($E537="Non Inventory",VLOOKUP($C537,'Non Inventory'!$B:$I,8,FALSE()),IF($E537="Services",VLOOKUP($C537,Services!$B:$I,8,FALSE()),IF($E537="Patty Cash",VLOOKUP($C537,'Patty Cash'!$B:$J,8,FALSE()),0)))),0)</f>
        <v>0</v>
      </c>
      <c r="O537" s="217" t="str">
        <f t="shared" si="8"/>
        <v/>
      </c>
    </row>
    <row r="538" spans="1:15" ht="23.1" customHeight="1">
      <c r="A538" s="206" t="str">
        <f>IF(AND($B538="",$C538=""),"",MAX($A$3:A537)+1)</f>
        <v/>
      </c>
      <c r="B538" s="207"/>
      <c r="C538" s="208"/>
      <c r="D538" s="209" t="str">
        <f>IFERROR(IF($E538="Inventory",VLOOKUP($C538,Inventory!$B:$I,2,FALSE()),IF($E538="Non Inventory",VLOOKUP($C538,'Non Inventory'!$B:$I,2,FALSE()),IF($E538="Services",VLOOKUP($C538,Services!$B:$I,2,FALSE()),IF($E538="Patty Cash",VLOOKUP($C538,'Patty Cash'!$B:$J,2,FALSE()),"")))),"")</f>
        <v/>
      </c>
      <c r="E538" s="246"/>
      <c r="F538" s="210" t="str">
        <f>IFERROR(IF($E538="Inventory",VLOOKUP($C538,Inventory!$B:$I,3,FALSE()),IF($E538="Non Inventory",VLOOKUP($C538,'Non Inventory'!$B:$I,3,FALSE()),IF($E538="Services",VLOOKUP($C538,Services!$B:$I,3,FALSE()),IF($E538="Patty Cash",VLOOKUP($C538,'Patty Cash'!$B:$J,3,FALSE()),"")))),"")</f>
        <v/>
      </c>
      <c r="G538" s="211"/>
      <c r="H538" s="212" t="str">
        <f>IF($E538="","",IF($E538="Inventory",IFERROR(VLOOKUP($C538,Inventory!$B:$H,7,FALSE()),0),IF($E538="Non Inventory",IFERROR(VLOOKUP($C538,'Non Inventory'!$B:$H,7,FALSE()),0),IF($E538="Services",IFERROR(VLOOKUP($C538,Services!$B:$H,7,FALSE()),0),IF($E538="Patty Cash",IFERROR(VLOOKUP($C538,'Patty Cash'!$B:$H,7,FALSE()),0),0)))))</f>
        <v/>
      </c>
      <c r="I538" s="213"/>
      <c r="J538" s="214"/>
      <c r="K538" s="215"/>
      <c r="L538" s="197"/>
      <c r="M538" s="215"/>
      <c r="N538" s="216">
        <f>IFERROR(IF($E538="Inventory",VLOOKUP($C538,Inventory!$B:$I,8,FALSE()),IF($E538="Non Inventory",VLOOKUP($C538,'Non Inventory'!$B:$I,8,FALSE()),IF($E538="Services",VLOOKUP($C538,Services!$B:$I,8,FALSE()),IF($E538="Patty Cash",VLOOKUP($C538,'Patty Cash'!$B:$J,8,FALSE()),0)))),0)</f>
        <v>0</v>
      </c>
      <c r="O538" s="217" t="str">
        <f t="shared" si="8"/>
        <v/>
      </c>
    </row>
    <row r="539" spans="1:15" ht="23.1" customHeight="1">
      <c r="A539" s="206" t="str">
        <f>IF(AND($B539="",$C539=""),"",MAX($A$3:A538)+1)</f>
        <v/>
      </c>
      <c r="B539" s="207"/>
      <c r="C539" s="208"/>
      <c r="D539" s="209" t="str">
        <f>IFERROR(IF($E539="Inventory",VLOOKUP($C539,Inventory!$B:$I,2,FALSE()),IF($E539="Non Inventory",VLOOKUP($C539,'Non Inventory'!$B:$I,2,FALSE()),IF($E539="Services",VLOOKUP($C539,Services!$B:$I,2,FALSE()),IF($E539="Patty Cash",VLOOKUP($C539,'Patty Cash'!$B:$J,2,FALSE()),"")))),"")</f>
        <v/>
      </c>
      <c r="E539" s="246"/>
      <c r="F539" s="210" t="str">
        <f>IFERROR(IF($E539="Inventory",VLOOKUP($C539,Inventory!$B:$I,3,FALSE()),IF($E539="Non Inventory",VLOOKUP($C539,'Non Inventory'!$B:$I,3,FALSE()),IF($E539="Services",VLOOKUP($C539,Services!$B:$I,3,FALSE()),IF($E539="Patty Cash",VLOOKUP($C539,'Patty Cash'!$B:$J,3,FALSE()),"")))),"")</f>
        <v/>
      </c>
      <c r="G539" s="211"/>
      <c r="H539" s="212" t="str">
        <f>IF($E539="","",IF($E539="Inventory",IFERROR(VLOOKUP($C539,Inventory!$B:$H,7,FALSE()),0),IF($E539="Non Inventory",IFERROR(VLOOKUP($C539,'Non Inventory'!$B:$H,7,FALSE()),0),IF($E539="Services",IFERROR(VLOOKUP($C539,Services!$B:$H,7,FALSE()),0),IF($E539="Patty Cash",IFERROR(VLOOKUP($C539,'Patty Cash'!$B:$H,7,FALSE()),0),0)))))</f>
        <v/>
      </c>
      <c r="I539" s="213"/>
      <c r="J539" s="214"/>
      <c r="K539" s="215"/>
      <c r="L539" s="197"/>
      <c r="M539" s="215"/>
      <c r="N539" s="216">
        <f>IFERROR(IF($E539="Inventory",VLOOKUP($C539,Inventory!$B:$I,8,FALSE()),IF($E539="Non Inventory",VLOOKUP($C539,'Non Inventory'!$B:$I,8,FALSE()),IF($E539="Services",VLOOKUP($C539,Services!$B:$I,8,FALSE()),IF($E539="Patty Cash",VLOOKUP($C539,'Patty Cash'!$B:$J,8,FALSE()),0)))),0)</f>
        <v>0</v>
      </c>
      <c r="O539" s="217" t="str">
        <f t="shared" si="8"/>
        <v/>
      </c>
    </row>
    <row r="540" spans="1:15" ht="23.1" customHeight="1">
      <c r="A540" s="206" t="str">
        <f>IF(AND($B540="",$C540=""),"",MAX($A$3:A539)+1)</f>
        <v/>
      </c>
      <c r="B540" s="207"/>
      <c r="C540" s="208"/>
      <c r="D540" s="209" t="str">
        <f>IFERROR(IF($E540="Inventory",VLOOKUP($C540,Inventory!$B:$I,2,FALSE()),IF($E540="Non Inventory",VLOOKUP($C540,'Non Inventory'!$B:$I,2,FALSE()),IF($E540="Services",VLOOKUP($C540,Services!$B:$I,2,FALSE()),IF($E540="Patty Cash",VLOOKUP($C540,'Patty Cash'!$B:$J,2,FALSE()),"")))),"")</f>
        <v/>
      </c>
      <c r="E540" s="246"/>
      <c r="F540" s="210" t="str">
        <f>IFERROR(IF($E540="Inventory",VLOOKUP($C540,Inventory!$B:$I,3,FALSE()),IF($E540="Non Inventory",VLOOKUP($C540,'Non Inventory'!$B:$I,3,FALSE()),IF($E540="Services",VLOOKUP($C540,Services!$B:$I,3,FALSE()),IF($E540="Patty Cash",VLOOKUP($C540,'Patty Cash'!$B:$J,3,FALSE()),"")))),"")</f>
        <v/>
      </c>
      <c r="G540" s="211"/>
      <c r="H540" s="212" t="str">
        <f>IF($E540="","",IF($E540="Inventory",IFERROR(VLOOKUP($C540,Inventory!$B:$H,7,FALSE()),0),IF($E540="Non Inventory",IFERROR(VLOOKUP($C540,'Non Inventory'!$B:$H,7,FALSE()),0),IF($E540="Services",IFERROR(VLOOKUP($C540,Services!$B:$H,7,FALSE()),0),IF($E540="Patty Cash",IFERROR(VLOOKUP($C540,'Patty Cash'!$B:$H,7,FALSE()),0),0)))))</f>
        <v/>
      </c>
      <c r="I540" s="213"/>
      <c r="J540" s="214"/>
      <c r="K540" s="215"/>
      <c r="L540" s="197"/>
      <c r="M540" s="215"/>
      <c r="N540" s="216">
        <f>IFERROR(IF($E540="Inventory",VLOOKUP($C540,Inventory!$B:$I,8,FALSE()),IF($E540="Non Inventory",VLOOKUP($C540,'Non Inventory'!$B:$I,8,FALSE()),IF($E540="Services",VLOOKUP($C540,Services!$B:$I,8,FALSE()),IF($E540="Patty Cash",VLOOKUP($C540,'Patty Cash'!$B:$J,8,FALSE()),0)))),0)</f>
        <v>0</v>
      </c>
      <c r="O540" s="217" t="str">
        <f t="shared" si="8"/>
        <v/>
      </c>
    </row>
    <row r="541" spans="1:15" ht="23.1" customHeight="1">
      <c r="A541" s="206" t="str">
        <f>IF(AND($B541="",$C541=""),"",MAX($A$3:A540)+1)</f>
        <v/>
      </c>
      <c r="B541" s="207"/>
      <c r="C541" s="208"/>
      <c r="D541" s="209" t="str">
        <f>IFERROR(IF($E541="Inventory",VLOOKUP($C541,Inventory!$B:$I,2,FALSE()),IF($E541="Non Inventory",VLOOKUP($C541,'Non Inventory'!$B:$I,2,FALSE()),IF($E541="Services",VLOOKUP($C541,Services!$B:$I,2,FALSE()),IF($E541="Patty Cash",VLOOKUP($C541,'Patty Cash'!$B:$J,2,FALSE()),"")))),"")</f>
        <v/>
      </c>
      <c r="E541" s="246"/>
      <c r="F541" s="210" t="str">
        <f>IFERROR(IF($E541="Inventory",VLOOKUP($C541,Inventory!$B:$I,3,FALSE()),IF($E541="Non Inventory",VLOOKUP($C541,'Non Inventory'!$B:$I,3,FALSE()),IF($E541="Services",VLOOKUP($C541,Services!$B:$I,3,FALSE()),IF($E541="Patty Cash",VLOOKUP($C541,'Patty Cash'!$B:$J,3,FALSE()),"")))),"")</f>
        <v/>
      </c>
      <c r="G541" s="211"/>
      <c r="H541" s="212" t="str">
        <f>IF($E541="","",IF($E541="Inventory",IFERROR(VLOOKUP($C541,Inventory!$B:$H,7,FALSE()),0),IF($E541="Non Inventory",IFERROR(VLOOKUP($C541,'Non Inventory'!$B:$H,7,FALSE()),0),IF($E541="Services",IFERROR(VLOOKUP($C541,Services!$B:$H,7,FALSE()),0),IF($E541="Patty Cash",IFERROR(VLOOKUP($C541,'Patty Cash'!$B:$H,7,FALSE()),0),0)))))</f>
        <v/>
      </c>
      <c r="I541" s="213"/>
      <c r="J541" s="214"/>
      <c r="K541" s="215"/>
      <c r="L541" s="197"/>
      <c r="M541" s="215"/>
      <c r="N541" s="216">
        <f>IFERROR(IF($E541="Inventory",VLOOKUP($C541,Inventory!$B:$I,8,FALSE()),IF($E541="Non Inventory",VLOOKUP($C541,'Non Inventory'!$B:$I,8,FALSE()),IF($E541="Services",VLOOKUP($C541,Services!$B:$I,8,FALSE()),IF($E541="Patty Cash",VLOOKUP($C541,'Patty Cash'!$B:$J,8,FALSE()),0)))),0)</f>
        <v>0</v>
      </c>
      <c r="O541" s="217" t="str">
        <f t="shared" si="8"/>
        <v/>
      </c>
    </row>
    <row r="542" spans="1:15" ht="23.1" customHeight="1">
      <c r="A542" s="206" t="str">
        <f>IF(AND($B542="",$C542=""),"",MAX($A$3:A541)+1)</f>
        <v/>
      </c>
      <c r="B542" s="207"/>
      <c r="C542" s="208"/>
      <c r="D542" s="209" t="str">
        <f>IFERROR(IF($E542="Inventory",VLOOKUP($C542,Inventory!$B:$I,2,FALSE()),IF($E542="Non Inventory",VLOOKUP($C542,'Non Inventory'!$B:$I,2,FALSE()),IF($E542="Services",VLOOKUP($C542,Services!$B:$I,2,FALSE()),IF($E542="Patty Cash",VLOOKUP($C542,'Patty Cash'!$B:$J,2,FALSE()),"")))),"")</f>
        <v/>
      </c>
      <c r="E542" s="246"/>
      <c r="F542" s="210" t="str">
        <f>IFERROR(IF($E542="Inventory",VLOOKUP($C542,Inventory!$B:$I,3,FALSE()),IF($E542="Non Inventory",VLOOKUP($C542,'Non Inventory'!$B:$I,3,FALSE()),IF($E542="Services",VLOOKUP($C542,Services!$B:$I,3,FALSE()),IF($E542="Patty Cash",VLOOKUP($C542,'Patty Cash'!$B:$J,3,FALSE()),"")))),"")</f>
        <v/>
      </c>
      <c r="G542" s="211"/>
      <c r="H542" s="212" t="str">
        <f>IF($E542="","",IF($E542="Inventory",IFERROR(VLOOKUP($C542,Inventory!$B:$H,7,FALSE()),0),IF($E542="Non Inventory",IFERROR(VLOOKUP($C542,'Non Inventory'!$B:$H,7,FALSE()),0),IF($E542="Services",IFERROR(VLOOKUP($C542,Services!$B:$H,7,FALSE()),0),IF($E542="Patty Cash",IFERROR(VLOOKUP($C542,'Patty Cash'!$B:$H,7,FALSE()),0),0)))))</f>
        <v/>
      </c>
      <c r="I542" s="213"/>
      <c r="J542" s="214"/>
      <c r="K542" s="215"/>
      <c r="L542" s="197"/>
      <c r="M542" s="215"/>
      <c r="N542" s="216">
        <f>IFERROR(IF($E542="Inventory",VLOOKUP($C542,Inventory!$B:$I,8,FALSE()),IF($E542="Non Inventory",VLOOKUP($C542,'Non Inventory'!$B:$I,8,FALSE()),IF($E542="Services",VLOOKUP($C542,Services!$B:$I,8,FALSE()),IF($E542="Patty Cash",VLOOKUP($C542,'Patty Cash'!$B:$J,8,FALSE()),0)))),0)</f>
        <v>0</v>
      </c>
      <c r="O542" s="217" t="str">
        <f t="shared" si="8"/>
        <v/>
      </c>
    </row>
    <row r="543" spans="1:15" ht="23.1" customHeight="1">
      <c r="A543" s="206" t="str">
        <f>IF(AND($B543="",$C543=""),"",MAX($A$3:A542)+1)</f>
        <v/>
      </c>
      <c r="B543" s="207"/>
      <c r="C543" s="208"/>
      <c r="D543" s="209" t="str">
        <f>IFERROR(IF($E543="Inventory",VLOOKUP($C543,Inventory!$B:$I,2,FALSE()),IF($E543="Non Inventory",VLOOKUP($C543,'Non Inventory'!$B:$I,2,FALSE()),IF($E543="Services",VLOOKUP($C543,Services!$B:$I,2,FALSE()),IF($E543="Patty Cash",VLOOKUP($C543,'Patty Cash'!$B:$J,2,FALSE()),"")))),"")</f>
        <v/>
      </c>
      <c r="E543" s="246"/>
      <c r="F543" s="210" t="str">
        <f>IFERROR(IF($E543="Inventory",VLOOKUP($C543,Inventory!$B:$I,3,FALSE()),IF($E543="Non Inventory",VLOOKUP($C543,'Non Inventory'!$B:$I,3,FALSE()),IF($E543="Services",VLOOKUP($C543,Services!$B:$I,3,FALSE()),IF($E543="Patty Cash",VLOOKUP($C543,'Patty Cash'!$B:$J,3,FALSE()),"")))),"")</f>
        <v/>
      </c>
      <c r="G543" s="211"/>
      <c r="H543" s="212" t="str">
        <f>IF($E543="","",IF($E543="Inventory",IFERROR(VLOOKUP($C543,Inventory!$B:$H,7,FALSE()),0),IF($E543="Non Inventory",IFERROR(VLOOKUP($C543,'Non Inventory'!$B:$H,7,FALSE()),0),IF($E543="Services",IFERROR(VLOOKUP($C543,Services!$B:$H,7,FALSE()),0),IF($E543="Patty Cash",IFERROR(VLOOKUP($C543,'Patty Cash'!$B:$H,7,FALSE()),0),0)))))</f>
        <v/>
      </c>
      <c r="I543" s="213"/>
      <c r="J543" s="214"/>
      <c r="K543" s="215"/>
      <c r="L543" s="197"/>
      <c r="M543" s="215"/>
      <c r="N543" s="216">
        <f>IFERROR(IF($E543="Inventory",VLOOKUP($C543,Inventory!$B:$I,8,FALSE()),IF($E543="Non Inventory",VLOOKUP($C543,'Non Inventory'!$B:$I,8,FALSE()),IF($E543="Services",VLOOKUP($C543,Services!$B:$I,8,FALSE()),IF($E543="Patty Cash",VLOOKUP($C543,'Patty Cash'!$B:$J,8,FALSE()),0)))),0)</f>
        <v>0</v>
      </c>
      <c r="O543" s="217" t="str">
        <f t="shared" si="8"/>
        <v/>
      </c>
    </row>
    <row r="544" spans="1:15" ht="23.1" customHeight="1">
      <c r="A544" s="206" t="str">
        <f>IF(AND($B544="",$C544=""),"",MAX($A$3:A543)+1)</f>
        <v/>
      </c>
      <c r="B544" s="207"/>
      <c r="C544" s="208"/>
      <c r="D544" s="209" t="str">
        <f>IFERROR(IF($E544="Inventory",VLOOKUP($C544,Inventory!$B:$I,2,FALSE()),IF($E544="Non Inventory",VLOOKUP($C544,'Non Inventory'!$B:$I,2,FALSE()),IF($E544="Services",VLOOKUP($C544,Services!$B:$I,2,FALSE()),IF($E544="Patty Cash",VLOOKUP($C544,'Patty Cash'!$B:$J,2,FALSE()),"")))),"")</f>
        <v/>
      </c>
      <c r="E544" s="246"/>
      <c r="F544" s="210" t="str">
        <f>IFERROR(IF($E544="Inventory",VLOOKUP($C544,Inventory!$B:$I,3,FALSE()),IF($E544="Non Inventory",VLOOKUP($C544,'Non Inventory'!$B:$I,3,FALSE()),IF($E544="Services",VLOOKUP($C544,Services!$B:$I,3,FALSE()),IF($E544="Patty Cash",VLOOKUP($C544,'Patty Cash'!$B:$J,3,FALSE()),"")))),"")</f>
        <v/>
      </c>
      <c r="G544" s="211"/>
      <c r="H544" s="212" t="str">
        <f>IF($E544="","",IF($E544="Inventory",IFERROR(VLOOKUP($C544,Inventory!$B:$H,7,FALSE()),0),IF($E544="Non Inventory",IFERROR(VLOOKUP($C544,'Non Inventory'!$B:$H,7,FALSE()),0),IF($E544="Services",IFERROR(VLOOKUP($C544,Services!$B:$H,7,FALSE()),0),IF($E544="Patty Cash",IFERROR(VLOOKUP($C544,'Patty Cash'!$B:$H,7,FALSE()),0),0)))))</f>
        <v/>
      </c>
      <c r="I544" s="213"/>
      <c r="J544" s="214"/>
      <c r="K544" s="215"/>
      <c r="L544" s="197"/>
      <c r="M544" s="215"/>
      <c r="N544" s="216">
        <f>IFERROR(IF($E544="Inventory",VLOOKUP($C544,Inventory!$B:$I,8,FALSE()),IF($E544="Non Inventory",VLOOKUP($C544,'Non Inventory'!$B:$I,8,FALSE()),IF($E544="Services",VLOOKUP($C544,Services!$B:$I,8,FALSE()),IF($E544="Patty Cash",VLOOKUP($C544,'Patty Cash'!$B:$J,8,FALSE()),0)))),0)</f>
        <v>0</v>
      </c>
      <c r="O544" s="217" t="str">
        <f t="shared" si="8"/>
        <v/>
      </c>
    </row>
    <row r="545" spans="1:15" ht="23.1" customHeight="1">
      <c r="A545" s="206" t="str">
        <f>IF(AND($B545="",$C545=""),"",MAX($A$3:A544)+1)</f>
        <v/>
      </c>
      <c r="B545" s="207"/>
      <c r="C545" s="208"/>
      <c r="D545" s="209" t="str">
        <f>IFERROR(IF($E545="Inventory",VLOOKUP($C545,Inventory!$B:$I,2,FALSE()),IF($E545="Non Inventory",VLOOKUP($C545,'Non Inventory'!$B:$I,2,FALSE()),IF($E545="Services",VLOOKUP($C545,Services!$B:$I,2,FALSE()),IF($E545="Patty Cash",VLOOKUP($C545,'Patty Cash'!$B:$J,2,FALSE()),"")))),"")</f>
        <v/>
      </c>
      <c r="E545" s="246"/>
      <c r="F545" s="210" t="str">
        <f>IFERROR(IF($E545="Inventory",VLOOKUP($C545,Inventory!$B:$I,3,FALSE()),IF($E545="Non Inventory",VLOOKUP($C545,'Non Inventory'!$B:$I,3,FALSE()),IF($E545="Services",VLOOKUP($C545,Services!$B:$I,3,FALSE()),IF($E545="Patty Cash",VLOOKUP($C545,'Patty Cash'!$B:$J,3,FALSE()),"")))),"")</f>
        <v/>
      </c>
      <c r="G545" s="211"/>
      <c r="H545" s="212" t="str">
        <f>IF($E545="","",IF($E545="Inventory",IFERROR(VLOOKUP($C545,Inventory!$B:$H,7,FALSE()),0),IF($E545="Non Inventory",IFERROR(VLOOKUP($C545,'Non Inventory'!$B:$H,7,FALSE()),0),IF($E545="Services",IFERROR(VLOOKUP($C545,Services!$B:$H,7,FALSE()),0),IF($E545="Patty Cash",IFERROR(VLOOKUP($C545,'Patty Cash'!$B:$H,7,FALSE()),0),0)))))</f>
        <v/>
      </c>
      <c r="I545" s="213"/>
      <c r="J545" s="214"/>
      <c r="K545" s="215"/>
      <c r="L545" s="197"/>
      <c r="M545" s="215"/>
      <c r="N545" s="216">
        <f>IFERROR(IF($E545="Inventory",VLOOKUP($C545,Inventory!$B:$I,8,FALSE()),IF($E545="Non Inventory",VLOOKUP($C545,'Non Inventory'!$B:$I,8,FALSE()),IF($E545="Services",VLOOKUP($C545,Services!$B:$I,8,FALSE()),IF($E545="Patty Cash",VLOOKUP($C545,'Patty Cash'!$B:$J,8,FALSE()),0)))),0)</f>
        <v>0</v>
      </c>
      <c r="O545" s="217" t="str">
        <f t="shared" si="8"/>
        <v/>
      </c>
    </row>
    <row r="546" spans="1:15" ht="23.1" customHeight="1">
      <c r="A546" s="206" t="str">
        <f>IF(AND($B546="",$C546=""),"",MAX($A$3:A545)+1)</f>
        <v/>
      </c>
      <c r="B546" s="207"/>
      <c r="C546" s="208"/>
      <c r="D546" s="209" t="str">
        <f>IFERROR(IF($E546="Inventory",VLOOKUP($C546,Inventory!$B:$I,2,FALSE()),IF($E546="Non Inventory",VLOOKUP($C546,'Non Inventory'!$B:$I,2,FALSE()),IF($E546="Services",VLOOKUP($C546,Services!$B:$I,2,FALSE()),IF($E546="Patty Cash",VLOOKUP($C546,'Patty Cash'!$B:$J,2,FALSE()),"")))),"")</f>
        <v/>
      </c>
      <c r="E546" s="246"/>
      <c r="F546" s="210" t="str">
        <f>IFERROR(IF($E546="Inventory",VLOOKUP($C546,Inventory!$B:$I,3,FALSE()),IF($E546="Non Inventory",VLOOKUP($C546,'Non Inventory'!$B:$I,3,FALSE()),IF($E546="Services",VLOOKUP($C546,Services!$B:$I,3,FALSE()),IF($E546="Patty Cash",VLOOKUP($C546,'Patty Cash'!$B:$J,3,FALSE()),"")))),"")</f>
        <v/>
      </c>
      <c r="G546" s="211"/>
      <c r="H546" s="212" t="str">
        <f>IF($E546="","",IF($E546="Inventory",IFERROR(VLOOKUP($C546,Inventory!$B:$H,7,FALSE()),0),IF($E546="Non Inventory",IFERROR(VLOOKUP($C546,'Non Inventory'!$B:$H,7,FALSE()),0),IF($E546="Services",IFERROR(VLOOKUP($C546,Services!$B:$H,7,FALSE()),0),IF($E546="Patty Cash",IFERROR(VLOOKUP($C546,'Patty Cash'!$B:$H,7,FALSE()),0),0)))))</f>
        <v/>
      </c>
      <c r="I546" s="213"/>
      <c r="J546" s="214"/>
      <c r="K546" s="215"/>
      <c r="L546" s="197"/>
      <c r="M546" s="215"/>
      <c r="N546" s="216">
        <f>IFERROR(IF($E546="Inventory",VLOOKUP($C546,Inventory!$B:$I,8,FALSE()),IF($E546="Non Inventory",VLOOKUP($C546,'Non Inventory'!$B:$I,8,FALSE()),IF($E546="Services",VLOOKUP($C546,Services!$B:$I,8,FALSE()),IF($E546="Patty Cash",VLOOKUP($C546,'Patty Cash'!$B:$J,8,FALSE()),0)))),0)</f>
        <v>0</v>
      </c>
      <c r="O546" s="217" t="str">
        <f t="shared" si="8"/>
        <v/>
      </c>
    </row>
    <row r="547" spans="1:15" ht="23.1" customHeight="1">
      <c r="A547" s="206" t="str">
        <f>IF(AND($B547="",$C547=""),"",MAX($A$3:A546)+1)</f>
        <v/>
      </c>
      <c r="B547" s="207"/>
      <c r="C547" s="208"/>
      <c r="D547" s="209" t="str">
        <f>IFERROR(IF($E547="Inventory",VLOOKUP($C547,Inventory!$B:$I,2,FALSE()),IF($E547="Non Inventory",VLOOKUP($C547,'Non Inventory'!$B:$I,2,FALSE()),IF($E547="Services",VLOOKUP($C547,Services!$B:$I,2,FALSE()),IF($E547="Patty Cash",VLOOKUP($C547,'Patty Cash'!$B:$J,2,FALSE()),"")))),"")</f>
        <v/>
      </c>
      <c r="E547" s="246"/>
      <c r="F547" s="210" t="str">
        <f>IFERROR(IF($E547="Inventory",VLOOKUP($C547,Inventory!$B:$I,3,FALSE()),IF($E547="Non Inventory",VLOOKUP($C547,'Non Inventory'!$B:$I,3,FALSE()),IF($E547="Services",VLOOKUP($C547,Services!$B:$I,3,FALSE()),IF($E547="Patty Cash",VLOOKUP($C547,'Patty Cash'!$B:$J,3,FALSE()),"")))),"")</f>
        <v/>
      </c>
      <c r="G547" s="211"/>
      <c r="H547" s="212" t="str">
        <f>IF($E547="","",IF($E547="Inventory",IFERROR(VLOOKUP($C547,Inventory!$B:$H,7,FALSE()),0),IF($E547="Non Inventory",IFERROR(VLOOKUP($C547,'Non Inventory'!$B:$H,7,FALSE()),0),IF($E547="Services",IFERROR(VLOOKUP($C547,Services!$B:$H,7,FALSE()),0),IF($E547="Patty Cash",IFERROR(VLOOKUP($C547,'Patty Cash'!$B:$H,7,FALSE()),0),0)))))</f>
        <v/>
      </c>
      <c r="I547" s="213"/>
      <c r="J547" s="214"/>
      <c r="K547" s="215"/>
      <c r="L547" s="197"/>
      <c r="M547" s="215"/>
      <c r="N547" s="216">
        <f>IFERROR(IF($E547="Inventory",VLOOKUP($C547,Inventory!$B:$I,8,FALSE()),IF($E547="Non Inventory",VLOOKUP($C547,'Non Inventory'!$B:$I,8,FALSE()),IF($E547="Services",VLOOKUP($C547,Services!$B:$I,8,FALSE()),IF($E547="Patty Cash",VLOOKUP($C547,'Patty Cash'!$B:$J,8,FALSE()),0)))),0)</f>
        <v>0</v>
      </c>
      <c r="O547" s="217" t="str">
        <f t="shared" si="8"/>
        <v/>
      </c>
    </row>
    <row r="548" spans="1:15" ht="23.1" customHeight="1">
      <c r="A548" s="206" t="str">
        <f>IF(AND($B548="",$C548=""),"",MAX($A$3:A547)+1)</f>
        <v/>
      </c>
      <c r="B548" s="207"/>
      <c r="C548" s="208"/>
      <c r="D548" s="209" t="str">
        <f>IFERROR(IF($E548="Inventory",VLOOKUP($C548,Inventory!$B:$I,2,FALSE()),IF($E548="Non Inventory",VLOOKUP($C548,'Non Inventory'!$B:$I,2,FALSE()),IF($E548="Services",VLOOKUP($C548,Services!$B:$I,2,FALSE()),IF($E548="Patty Cash",VLOOKUP($C548,'Patty Cash'!$B:$J,2,FALSE()),"")))),"")</f>
        <v/>
      </c>
      <c r="E548" s="246"/>
      <c r="F548" s="210" t="str">
        <f>IFERROR(IF($E548="Inventory",VLOOKUP($C548,Inventory!$B:$I,3,FALSE()),IF($E548="Non Inventory",VLOOKUP($C548,'Non Inventory'!$B:$I,3,FALSE()),IF($E548="Services",VLOOKUP($C548,Services!$B:$I,3,FALSE()),IF($E548="Patty Cash",VLOOKUP($C548,'Patty Cash'!$B:$J,3,FALSE()),"")))),"")</f>
        <v/>
      </c>
      <c r="G548" s="211"/>
      <c r="H548" s="212" t="str">
        <f>IF($E548="","",IF($E548="Inventory",IFERROR(VLOOKUP($C548,Inventory!$B:$H,7,FALSE()),0),IF($E548="Non Inventory",IFERROR(VLOOKUP($C548,'Non Inventory'!$B:$H,7,FALSE()),0),IF($E548="Services",IFERROR(VLOOKUP($C548,Services!$B:$H,7,FALSE()),0),IF($E548="Patty Cash",IFERROR(VLOOKUP($C548,'Patty Cash'!$B:$H,7,FALSE()),0),0)))))</f>
        <v/>
      </c>
      <c r="I548" s="213"/>
      <c r="J548" s="214"/>
      <c r="K548" s="215"/>
      <c r="L548" s="197"/>
      <c r="M548" s="215"/>
      <c r="N548" s="216">
        <f>IFERROR(IF($E548="Inventory",VLOOKUP($C548,Inventory!$B:$I,8,FALSE()),IF($E548="Non Inventory",VLOOKUP($C548,'Non Inventory'!$B:$I,8,FALSE()),IF($E548="Services",VLOOKUP($C548,Services!$B:$I,8,FALSE()),IF($E548="Patty Cash",VLOOKUP($C548,'Patty Cash'!$B:$J,8,FALSE()),0)))),0)</f>
        <v>0</v>
      </c>
      <c r="O548" s="217" t="str">
        <f t="shared" si="8"/>
        <v/>
      </c>
    </row>
    <row r="549" spans="1:15" ht="23.1" customHeight="1">
      <c r="A549" s="206" t="str">
        <f>IF(AND($B549="",$C549=""),"",MAX($A$3:A548)+1)</f>
        <v/>
      </c>
      <c r="B549" s="207"/>
      <c r="C549" s="208"/>
      <c r="D549" s="209" t="str">
        <f>IFERROR(IF($E549="Inventory",VLOOKUP($C549,Inventory!$B:$I,2,FALSE()),IF($E549="Non Inventory",VLOOKUP($C549,'Non Inventory'!$B:$I,2,FALSE()),IF($E549="Services",VLOOKUP($C549,Services!$B:$I,2,FALSE()),IF($E549="Patty Cash",VLOOKUP($C549,'Patty Cash'!$B:$J,2,FALSE()),"")))),"")</f>
        <v/>
      </c>
      <c r="E549" s="246"/>
      <c r="F549" s="210" t="str">
        <f>IFERROR(IF($E549="Inventory",VLOOKUP($C549,Inventory!$B:$I,3,FALSE()),IF($E549="Non Inventory",VLOOKUP($C549,'Non Inventory'!$B:$I,3,FALSE()),IF($E549="Services",VLOOKUP($C549,Services!$B:$I,3,FALSE()),IF($E549="Patty Cash",VLOOKUP($C549,'Patty Cash'!$B:$J,3,FALSE()),"")))),"")</f>
        <v/>
      </c>
      <c r="G549" s="211"/>
      <c r="H549" s="212" t="str">
        <f>IF($E549="","",IF($E549="Inventory",IFERROR(VLOOKUP($C549,Inventory!$B:$H,7,FALSE()),0),IF($E549="Non Inventory",IFERROR(VLOOKUP($C549,'Non Inventory'!$B:$H,7,FALSE()),0),IF($E549="Services",IFERROR(VLOOKUP($C549,Services!$B:$H,7,FALSE()),0),IF($E549="Patty Cash",IFERROR(VLOOKUP($C549,'Patty Cash'!$B:$H,7,FALSE()),0),0)))))</f>
        <v/>
      </c>
      <c r="I549" s="213"/>
      <c r="J549" s="214"/>
      <c r="K549" s="215"/>
      <c r="L549" s="197"/>
      <c r="M549" s="215"/>
      <c r="N549" s="216">
        <f>IFERROR(IF($E549="Inventory",VLOOKUP($C549,Inventory!$B:$I,8,FALSE()),IF($E549="Non Inventory",VLOOKUP($C549,'Non Inventory'!$B:$I,8,FALSE()),IF($E549="Services",VLOOKUP($C549,Services!$B:$I,8,FALSE()),IF($E549="Patty Cash",VLOOKUP($C549,'Patty Cash'!$B:$J,8,FALSE()),0)))),0)</f>
        <v>0</v>
      </c>
      <c r="O549" s="217" t="str">
        <f t="shared" si="8"/>
        <v/>
      </c>
    </row>
    <row r="550" spans="1:15" ht="23.1" customHeight="1">
      <c r="A550" s="206" t="str">
        <f>IF(AND($B550="",$C550=""),"",MAX($A$3:A549)+1)</f>
        <v/>
      </c>
      <c r="B550" s="207"/>
      <c r="C550" s="208"/>
      <c r="D550" s="209" t="str">
        <f>IFERROR(IF($E550="Inventory",VLOOKUP($C550,Inventory!$B:$I,2,FALSE()),IF($E550="Non Inventory",VLOOKUP($C550,'Non Inventory'!$B:$I,2,FALSE()),IF($E550="Services",VLOOKUP($C550,Services!$B:$I,2,FALSE()),IF($E550="Patty Cash",VLOOKUP($C550,'Patty Cash'!$B:$J,2,FALSE()),"")))),"")</f>
        <v/>
      </c>
      <c r="E550" s="246"/>
      <c r="F550" s="210" t="str">
        <f>IFERROR(IF($E550="Inventory",VLOOKUP($C550,Inventory!$B:$I,3,FALSE()),IF($E550="Non Inventory",VLOOKUP($C550,'Non Inventory'!$B:$I,3,FALSE()),IF($E550="Services",VLOOKUP($C550,Services!$B:$I,3,FALSE()),IF($E550="Patty Cash",VLOOKUP($C550,'Patty Cash'!$B:$J,3,FALSE()),"")))),"")</f>
        <v/>
      </c>
      <c r="G550" s="211"/>
      <c r="H550" s="212" t="str">
        <f>IF($E550="","",IF($E550="Inventory",IFERROR(VLOOKUP($C550,Inventory!$B:$H,7,FALSE()),0),IF($E550="Non Inventory",IFERROR(VLOOKUP($C550,'Non Inventory'!$B:$H,7,FALSE()),0),IF($E550="Services",IFERROR(VLOOKUP($C550,Services!$B:$H,7,FALSE()),0),IF($E550="Patty Cash",IFERROR(VLOOKUP($C550,'Patty Cash'!$B:$H,7,FALSE()),0),0)))))</f>
        <v/>
      </c>
      <c r="I550" s="213"/>
      <c r="J550" s="214"/>
      <c r="K550" s="215"/>
      <c r="L550" s="197"/>
      <c r="M550" s="215"/>
      <c r="N550" s="216">
        <f>IFERROR(IF($E550="Inventory",VLOOKUP($C550,Inventory!$B:$I,8,FALSE()),IF($E550="Non Inventory",VLOOKUP($C550,'Non Inventory'!$B:$I,8,FALSE()),IF($E550="Services",VLOOKUP($C550,Services!$B:$I,8,FALSE()),IF($E550="Patty Cash",VLOOKUP($C550,'Patty Cash'!$B:$J,8,FALSE()),0)))),0)</f>
        <v>0</v>
      </c>
      <c r="O550" s="217" t="str">
        <f t="shared" si="8"/>
        <v/>
      </c>
    </row>
    <row r="551" spans="1:15" ht="23.1" customHeight="1">
      <c r="A551" s="206" t="str">
        <f>IF(AND($B551="",$C551=""),"",MAX($A$3:A550)+1)</f>
        <v/>
      </c>
      <c r="B551" s="207"/>
      <c r="C551" s="208"/>
      <c r="D551" s="209" t="str">
        <f>IFERROR(IF($E551="Inventory",VLOOKUP($C551,Inventory!$B:$I,2,FALSE()),IF($E551="Non Inventory",VLOOKUP($C551,'Non Inventory'!$B:$I,2,FALSE()),IF($E551="Services",VLOOKUP($C551,Services!$B:$I,2,FALSE()),IF($E551="Patty Cash",VLOOKUP($C551,'Patty Cash'!$B:$J,2,FALSE()),"")))),"")</f>
        <v/>
      </c>
      <c r="E551" s="246"/>
      <c r="F551" s="210" t="str">
        <f>IFERROR(IF($E551="Inventory",VLOOKUP($C551,Inventory!$B:$I,3,FALSE()),IF($E551="Non Inventory",VLOOKUP($C551,'Non Inventory'!$B:$I,3,FALSE()),IF($E551="Services",VLOOKUP($C551,Services!$B:$I,3,FALSE()),IF($E551="Patty Cash",VLOOKUP($C551,'Patty Cash'!$B:$J,3,FALSE()),"")))),"")</f>
        <v/>
      </c>
      <c r="G551" s="211"/>
      <c r="H551" s="212" t="str">
        <f>IF($E551="","",IF($E551="Inventory",IFERROR(VLOOKUP($C551,Inventory!$B:$H,7,FALSE()),0),IF($E551="Non Inventory",IFERROR(VLOOKUP($C551,'Non Inventory'!$B:$H,7,FALSE()),0),IF($E551="Services",IFERROR(VLOOKUP($C551,Services!$B:$H,7,FALSE()),0),IF($E551="Patty Cash",IFERROR(VLOOKUP($C551,'Patty Cash'!$B:$H,7,FALSE()),0),0)))))</f>
        <v/>
      </c>
      <c r="I551" s="213"/>
      <c r="J551" s="214"/>
      <c r="K551" s="215"/>
      <c r="L551" s="197"/>
      <c r="M551" s="215"/>
      <c r="N551" s="216">
        <f>IFERROR(IF($E551="Inventory",VLOOKUP($C551,Inventory!$B:$I,8,FALSE()),IF($E551="Non Inventory",VLOOKUP($C551,'Non Inventory'!$B:$I,8,FALSE()),IF($E551="Services",VLOOKUP($C551,Services!$B:$I,8,FALSE()),IF($E551="Patty Cash",VLOOKUP($C551,'Patty Cash'!$B:$J,8,FALSE()),0)))),0)</f>
        <v>0</v>
      </c>
      <c r="O551" s="217" t="str">
        <f t="shared" si="8"/>
        <v/>
      </c>
    </row>
    <row r="552" spans="1:15" ht="23.1" customHeight="1">
      <c r="A552" s="206" t="str">
        <f>IF(AND($B552="",$C552=""),"",MAX($A$3:A551)+1)</f>
        <v/>
      </c>
      <c r="B552" s="207"/>
      <c r="C552" s="208"/>
      <c r="D552" s="209" t="str">
        <f>IFERROR(IF($E552="Inventory",VLOOKUP($C552,Inventory!$B:$I,2,FALSE()),IF($E552="Non Inventory",VLOOKUP($C552,'Non Inventory'!$B:$I,2,FALSE()),IF($E552="Services",VLOOKUP($C552,Services!$B:$I,2,FALSE()),IF($E552="Patty Cash",VLOOKUP($C552,'Patty Cash'!$B:$J,2,FALSE()),"")))),"")</f>
        <v/>
      </c>
      <c r="E552" s="246"/>
      <c r="F552" s="210" t="str">
        <f>IFERROR(IF($E552="Inventory",VLOOKUP($C552,Inventory!$B:$I,3,FALSE()),IF($E552="Non Inventory",VLOOKUP($C552,'Non Inventory'!$B:$I,3,FALSE()),IF($E552="Services",VLOOKUP($C552,Services!$B:$I,3,FALSE()),IF($E552="Patty Cash",VLOOKUP($C552,'Patty Cash'!$B:$J,3,FALSE()),"")))),"")</f>
        <v/>
      </c>
      <c r="G552" s="211"/>
      <c r="H552" s="212" t="str">
        <f>IF($E552="","",IF($E552="Inventory",IFERROR(VLOOKUP($C552,Inventory!$B:$H,7,FALSE()),0),IF($E552="Non Inventory",IFERROR(VLOOKUP($C552,'Non Inventory'!$B:$H,7,FALSE()),0),IF($E552="Services",IFERROR(VLOOKUP($C552,Services!$B:$H,7,FALSE()),0),IF($E552="Patty Cash",IFERROR(VLOOKUP($C552,'Patty Cash'!$B:$H,7,FALSE()),0),0)))))</f>
        <v/>
      </c>
      <c r="I552" s="213"/>
      <c r="J552" s="214"/>
      <c r="K552" s="215"/>
      <c r="L552" s="197"/>
      <c r="M552" s="215"/>
      <c r="N552" s="216">
        <f>IFERROR(IF($E552="Inventory",VLOOKUP($C552,Inventory!$B:$I,8,FALSE()),IF($E552="Non Inventory",VLOOKUP($C552,'Non Inventory'!$B:$I,8,FALSE()),IF($E552="Services",VLOOKUP($C552,Services!$B:$I,8,FALSE()),IF($E552="Patty Cash",VLOOKUP($C552,'Patty Cash'!$B:$J,8,FALSE()),0)))),0)</f>
        <v>0</v>
      </c>
      <c r="O552" s="217" t="str">
        <f t="shared" si="8"/>
        <v/>
      </c>
    </row>
    <row r="553" spans="1:15" ht="23.1" customHeight="1">
      <c r="A553" s="206" t="str">
        <f>IF(AND($B553="",$C553=""),"",MAX($A$3:A552)+1)</f>
        <v/>
      </c>
      <c r="B553" s="207"/>
      <c r="C553" s="208"/>
      <c r="D553" s="209" t="str">
        <f>IFERROR(IF($E553="Inventory",VLOOKUP($C553,Inventory!$B:$I,2,FALSE()),IF($E553="Non Inventory",VLOOKUP($C553,'Non Inventory'!$B:$I,2,FALSE()),IF($E553="Services",VLOOKUP($C553,Services!$B:$I,2,FALSE()),IF($E553="Patty Cash",VLOOKUP($C553,'Patty Cash'!$B:$J,2,FALSE()),"")))),"")</f>
        <v/>
      </c>
      <c r="E553" s="246"/>
      <c r="F553" s="210" t="str">
        <f>IFERROR(IF($E553="Inventory",VLOOKUP($C553,Inventory!$B:$I,3,FALSE()),IF($E553="Non Inventory",VLOOKUP($C553,'Non Inventory'!$B:$I,3,FALSE()),IF($E553="Services",VLOOKUP($C553,Services!$B:$I,3,FALSE()),IF($E553="Patty Cash",VLOOKUP($C553,'Patty Cash'!$B:$J,3,FALSE()),"")))),"")</f>
        <v/>
      </c>
      <c r="G553" s="211"/>
      <c r="H553" s="212" t="str">
        <f>IF($E553="","",IF($E553="Inventory",IFERROR(VLOOKUP($C553,Inventory!$B:$H,7,FALSE()),0),IF($E553="Non Inventory",IFERROR(VLOOKUP($C553,'Non Inventory'!$B:$H,7,FALSE()),0),IF($E553="Services",IFERROR(VLOOKUP($C553,Services!$B:$H,7,FALSE()),0),IF($E553="Patty Cash",IFERROR(VLOOKUP($C553,'Patty Cash'!$B:$H,7,FALSE()),0),0)))))</f>
        <v/>
      </c>
      <c r="I553" s="213"/>
      <c r="J553" s="214"/>
      <c r="K553" s="215"/>
      <c r="L553" s="197"/>
      <c r="M553" s="215"/>
      <c r="N553" s="216">
        <f>IFERROR(IF($E553="Inventory",VLOOKUP($C553,Inventory!$B:$I,8,FALSE()),IF($E553="Non Inventory",VLOOKUP($C553,'Non Inventory'!$B:$I,8,FALSE()),IF($E553="Services",VLOOKUP($C553,Services!$B:$I,8,FALSE()),IF($E553="Patty Cash",VLOOKUP($C553,'Patty Cash'!$B:$J,8,FALSE()),0)))),0)</f>
        <v>0</v>
      </c>
      <c r="O553" s="217" t="str">
        <f t="shared" si="8"/>
        <v/>
      </c>
    </row>
    <row r="554" spans="1:15" ht="23.1" customHeight="1">
      <c r="A554" s="206" t="str">
        <f>IF(AND($B554="",$C554=""),"",MAX($A$3:A553)+1)</f>
        <v/>
      </c>
      <c r="B554" s="207"/>
      <c r="C554" s="208"/>
      <c r="D554" s="209" t="str">
        <f>IFERROR(IF($E554="Inventory",VLOOKUP($C554,Inventory!$B:$I,2,FALSE()),IF($E554="Non Inventory",VLOOKUP($C554,'Non Inventory'!$B:$I,2,FALSE()),IF($E554="Services",VLOOKUP($C554,Services!$B:$I,2,FALSE()),IF($E554="Patty Cash",VLOOKUP($C554,'Patty Cash'!$B:$J,2,FALSE()),"")))),"")</f>
        <v/>
      </c>
      <c r="E554" s="246"/>
      <c r="F554" s="210" t="str">
        <f>IFERROR(IF($E554="Inventory",VLOOKUP($C554,Inventory!$B:$I,3,FALSE()),IF($E554="Non Inventory",VLOOKUP($C554,'Non Inventory'!$B:$I,3,FALSE()),IF($E554="Services",VLOOKUP($C554,Services!$B:$I,3,FALSE()),IF($E554="Patty Cash",VLOOKUP($C554,'Patty Cash'!$B:$J,3,FALSE()),"")))),"")</f>
        <v/>
      </c>
      <c r="G554" s="211"/>
      <c r="H554" s="212" t="str">
        <f>IF($E554="","",IF($E554="Inventory",IFERROR(VLOOKUP($C554,Inventory!$B:$H,7,FALSE()),0),IF($E554="Non Inventory",IFERROR(VLOOKUP($C554,'Non Inventory'!$B:$H,7,FALSE()),0),IF($E554="Services",IFERROR(VLOOKUP($C554,Services!$B:$H,7,FALSE()),0),IF($E554="Patty Cash",IFERROR(VLOOKUP($C554,'Patty Cash'!$B:$H,7,FALSE()),0),0)))))</f>
        <v/>
      </c>
      <c r="I554" s="213"/>
      <c r="J554" s="214"/>
      <c r="K554" s="215"/>
      <c r="L554" s="197"/>
      <c r="M554" s="215"/>
      <c r="N554" s="216">
        <f>IFERROR(IF($E554="Inventory",VLOOKUP($C554,Inventory!$B:$I,8,FALSE()),IF($E554="Non Inventory",VLOOKUP($C554,'Non Inventory'!$B:$I,8,FALSE()),IF($E554="Services",VLOOKUP($C554,Services!$B:$I,8,FALSE()),IF($E554="Patty Cash",VLOOKUP($C554,'Patty Cash'!$B:$J,8,FALSE()),0)))),0)</f>
        <v>0</v>
      </c>
      <c r="O554" s="217" t="str">
        <f t="shared" si="8"/>
        <v/>
      </c>
    </row>
    <row r="555" spans="1:15" ht="23.1" customHeight="1">
      <c r="A555" s="206" t="str">
        <f>IF(AND($B555="",$C555=""),"",MAX($A$3:A554)+1)</f>
        <v/>
      </c>
      <c r="B555" s="207"/>
      <c r="C555" s="208"/>
      <c r="D555" s="209" t="str">
        <f>IFERROR(IF($E555="Inventory",VLOOKUP($C555,Inventory!$B:$I,2,FALSE()),IF($E555="Non Inventory",VLOOKUP($C555,'Non Inventory'!$B:$I,2,FALSE()),IF($E555="Services",VLOOKUP($C555,Services!$B:$I,2,FALSE()),IF($E555="Patty Cash",VLOOKUP($C555,'Patty Cash'!$B:$J,2,FALSE()),"")))),"")</f>
        <v/>
      </c>
      <c r="E555" s="246"/>
      <c r="F555" s="210" t="str">
        <f>IFERROR(IF($E555="Inventory",VLOOKUP($C555,Inventory!$B:$I,3,FALSE()),IF($E555="Non Inventory",VLOOKUP($C555,'Non Inventory'!$B:$I,3,FALSE()),IF($E555="Services",VLOOKUP($C555,Services!$B:$I,3,FALSE()),IF($E555="Patty Cash",VLOOKUP($C555,'Patty Cash'!$B:$J,3,FALSE()),"")))),"")</f>
        <v/>
      </c>
      <c r="G555" s="211"/>
      <c r="H555" s="212" t="str">
        <f>IF($E555="","",IF($E555="Inventory",IFERROR(VLOOKUP($C555,Inventory!$B:$H,7,FALSE()),0),IF($E555="Non Inventory",IFERROR(VLOOKUP($C555,'Non Inventory'!$B:$H,7,FALSE()),0),IF($E555="Services",IFERROR(VLOOKUP($C555,Services!$B:$H,7,FALSE()),0),IF($E555="Patty Cash",IFERROR(VLOOKUP($C555,'Patty Cash'!$B:$H,7,FALSE()),0),0)))))</f>
        <v/>
      </c>
      <c r="I555" s="213"/>
      <c r="J555" s="214"/>
      <c r="K555" s="215"/>
      <c r="L555" s="197"/>
      <c r="M555" s="215"/>
      <c r="N555" s="216">
        <f>IFERROR(IF($E555="Inventory",VLOOKUP($C555,Inventory!$B:$I,8,FALSE()),IF($E555="Non Inventory",VLOOKUP($C555,'Non Inventory'!$B:$I,8,FALSE()),IF($E555="Services",VLOOKUP($C555,Services!$B:$I,8,FALSE()),IF($E555="Patty Cash",VLOOKUP($C555,'Patty Cash'!$B:$J,8,FALSE()),0)))),0)</f>
        <v>0</v>
      </c>
      <c r="O555" s="217" t="str">
        <f t="shared" si="8"/>
        <v/>
      </c>
    </row>
    <row r="556" spans="1:15" ht="23.1" customHeight="1">
      <c r="A556" s="206" t="str">
        <f>IF(AND($B556="",$C556=""),"",MAX($A$3:A555)+1)</f>
        <v/>
      </c>
      <c r="B556" s="207"/>
      <c r="C556" s="208"/>
      <c r="D556" s="209" t="str">
        <f>IFERROR(IF($E556="Inventory",VLOOKUP($C556,Inventory!$B:$I,2,FALSE()),IF($E556="Non Inventory",VLOOKUP($C556,'Non Inventory'!$B:$I,2,FALSE()),IF($E556="Services",VLOOKUP($C556,Services!$B:$I,2,FALSE()),IF($E556="Patty Cash",VLOOKUP($C556,'Patty Cash'!$B:$J,2,FALSE()),"")))),"")</f>
        <v/>
      </c>
      <c r="E556" s="246"/>
      <c r="F556" s="210" t="str">
        <f>IFERROR(IF($E556="Inventory",VLOOKUP($C556,Inventory!$B:$I,3,FALSE()),IF($E556="Non Inventory",VLOOKUP($C556,'Non Inventory'!$B:$I,3,FALSE()),IF($E556="Services",VLOOKUP($C556,Services!$B:$I,3,FALSE()),IF($E556="Patty Cash",VLOOKUP($C556,'Patty Cash'!$B:$J,3,FALSE()),"")))),"")</f>
        <v/>
      </c>
      <c r="G556" s="211"/>
      <c r="H556" s="212" t="str">
        <f>IF($E556="","",IF($E556="Inventory",IFERROR(VLOOKUP($C556,Inventory!$B:$H,7,FALSE()),0),IF($E556="Non Inventory",IFERROR(VLOOKUP($C556,'Non Inventory'!$B:$H,7,FALSE()),0),IF($E556="Services",IFERROR(VLOOKUP($C556,Services!$B:$H,7,FALSE()),0),IF($E556="Patty Cash",IFERROR(VLOOKUP($C556,'Patty Cash'!$B:$H,7,FALSE()),0),0)))))</f>
        <v/>
      </c>
      <c r="I556" s="213"/>
      <c r="J556" s="214"/>
      <c r="K556" s="215"/>
      <c r="L556" s="197"/>
      <c r="M556" s="215"/>
      <c r="N556" s="216">
        <f>IFERROR(IF($E556="Inventory",VLOOKUP($C556,Inventory!$B:$I,8,FALSE()),IF($E556="Non Inventory",VLOOKUP($C556,'Non Inventory'!$B:$I,8,FALSE()),IF($E556="Services",VLOOKUP($C556,Services!$B:$I,8,FALSE()),IF($E556="Patty Cash",VLOOKUP($C556,'Patty Cash'!$B:$J,8,FALSE()),0)))),0)</f>
        <v>0</v>
      </c>
      <c r="O556" s="217" t="str">
        <f t="shared" si="8"/>
        <v/>
      </c>
    </row>
    <row r="557" spans="1:15" ht="23.1" customHeight="1">
      <c r="A557" s="206" t="str">
        <f>IF(AND($B557="",$C557=""),"",MAX($A$3:A556)+1)</f>
        <v/>
      </c>
      <c r="B557" s="207"/>
      <c r="C557" s="208"/>
      <c r="D557" s="209" t="str">
        <f>IFERROR(IF($E557="Inventory",VLOOKUP($C557,Inventory!$B:$I,2,FALSE()),IF($E557="Non Inventory",VLOOKUP($C557,'Non Inventory'!$B:$I,2,FALSE()),IF($E557="Services",VLOOKUP($C557,Services!$B:$I,2,FALSE()),IF($E557="Patty Cash",VLOOKUP($C557,'Patty Cash'!$B:$J,2,FALSE()),"")))),"")</f>
        <v/>
      </c>
      <c r="E557" s="246"/>
      <c r="F557" s="210" t="str">
        <f>IFERROR(IF($E557="Inventory",VLOOKUP($C557,Inventory!$B:$I,3,FALSE()),IF($E557="Non Inventory",VLOOKUP($C557,'Non Inventory'!$B:$I,3,FALSE()),IF($E557="Services",VLOOKUP($C557,Services!$B:$I,3,FALSE()),IF($E557="Patty Cash",VLOOKUP($C557,'Patty Cash'!$B:$J,3,FALSE()),"")))),"")</f>
        <v/>
      </c>
      <c r="G557" s="211"/>
      <c r="H557" s="212" t="str">
        <f>IF($E557="","",IF($E557="Inventory",IFERROR(VLOOKUP($C557,Inventory!$B:$H,7,FALSE()),0),IF($E557="Non Inventory",IFERROR(VLOOKUP($C557,'Non Inventory'!$B:$H,7,FALSE()),0),IF($E557="Services",IFERROR(VLOOKUP($C557,Services!$B:$H,7,FALSE()),0),IF($E557="Patty Cash",IFERROR(VLOOKUP($C557,'Patty Cash'!$B:$H,7,FALSE()),0),0)))))</f>
        <v/>
      </c>
      <c r="I557" s="213"/>
      <c r="J557" s="214"/>
      <c r="K557" s="215"/>
      <c r="L557" s="197"/>
      <c r="M557" s="215"/>
      <c r="N557" s="216">
        <f>IFERROR(IF($E557="Inventory",VLOOKUP($C557,Inventory!$B:$I,8,FALSE()),IF($E557="Non Inventory",VLOOKUP($C557,'Non Inventory'!$B:$I,8,FALSE()),IF($E557="Services",VLOOKUP($C557,Services!$B:$I,8,FALSE()),IF($E557="Patty Cash",VLOOKUP($C557,'Patty Cash'!$B:$J,8,FALSE()),0)))),0)</f>
        <v>0</v>
      </c>
      <c r="O557" s="217" t="str">
        <f t="shared" si="8"/>
        <v/>
      </c>
    </row>
    <row r="558" spans="1:15" ht="23.1" customHeight="1">
      <c r="A558" s="206" t="str">
        <f>IF(AND($B558="",$C558=""),"",MAX($A$3:A557)+1)</f>
        <v/>
      </c>
      <c r="B558" s="207"/>
      <c r="C558" s="208"/>
      <c r="D558" s="209" t="str">
        <f>IFERROR(IF($E558="Inventory",VLOOKUP($C558,Inventory!$B:$I,2,FALSE()),IF($E558="Non Inventory",VLOOKUP($C558,'Non Inventory'!$B:$I,2,FALSE()),IF($E558="Services",VLOOKUP($C558,Services!$B:$I,2,FALSE()),IF($E558="Patty Cash",VLOOKUP($C558,'Patty Cash'!$B:$J,2,FALSE()),"")))),"")</f>
        <v/>
      </c>
      <c r="E558" s="246"/>
      <c r="F558" s="210" t="str">
        <f>IFERROR(IF($E558="Inventory",VLOOKUP($C558,Inventory!$B:$I,3,FALSE()),IF($E558="Non Inventory",VLOOKUP($C558,'Non Inventory'!$B:$I,3,FALSE()),IF($E558="Services",VLOOKUP($C558,Services!$B:$I,3,FALSE()),IF($E558="Patty Cash",VLOOKUP($C558,'Patty Cash'!$B:$J,3,FALSE()),"")))),"")</f>
        <v/>
      </c>
      <c r="G558" s="211"/>
      <c r="H558" s="212" t="str">
        <f>IF($E558="","",IF($E558="Inventory",IFERROR(VLOOKUP($C558,Inventory!$B:$H,7,FALSE()),0),IF($E558="Non Inventory",IFERROR(VLOOKUP($C558,'Non Inventory'!$B:$H,7,FALSE()),0),IF($E558="Services",IFERROR(VLOOKUP($C558,Services!$B:$H,7,FALSE()),0),IF($E558="Patty Cash",IFERROR(VLOOKUP($C558,'Patty Cash'!$B:$H,7,FALSE()),0),0)))))</f>
        <v/>
      </c>
      <c r="I558" s="213"/>
      <c r="J558" s="214"/>
      <c r="K558" s="215"/>
      <c r="L558" s="197"/>
      <c r="M558" s="215"/>
      <c r="N558" s="216">
        <f>IFERROR(IF($E558="Inventory",VLOOKUP($C558,Inventory!$B:$I,8,FALSE()),IF($E558="Non Inventory",VLOOKUP($C558,'Non Inventory'!$B:$I,8,FALSE()),IF($E558="Services",VLOOKUP($C558,Services!$B:$I,8,FALSE()),IF($E558="Patty Cash",VLOOKUP($C558,'Patty Cash'!$B:$J,8,FALSE()),0)))),0)</f>
        <v>0</v>
      </c>
      <c r="O558" s="217" t="str">
        <f t="shared" si="8"/>
        <v/>
      </c>
    </row>
    <row r="559" spans="1:15" ht="23.1" customHeight="1">
      <c r="A559" s="206" t="str">
        <f>IF(AND($B559="",$C559=""),"",MAX($A$3:A558)+1)</f>
        <v/>
      </c>
      <c r="B559" s="207"/>
      <c r="C559" s="208"/>
      <c r="D559" s="209" t="str">
        <f>IFERROR(IF($E559="Inventory",VLOOKUP($C559,Inventory!$B:$I,2,FALSE()),IF($E559="Non Inventory",VLOOKUP($C559,'Non Inventory'!$B:$I,2,FALSE()),IF($E559="Services",VLOOKUP($C559,Services!$B:$I,2,FALSE()),IF($E559="Patty Cash",VLOOKUP($C559,'Patty Cash'!$B:$J,2,FALSE()),"")))),"")</f>
        <v/>
      </c>
      <c r="E559" s="246"/>
      <c r="F559" s="210" t="str">
        <f>IFERROR(IF($E559="Inventory",VLOOKUP($C559,Inventory!$B:$I,3,FALSE()),IF($E559="Non Inventory",VLOOKUP($C559,'Non Inventory'!$B:$I,3,FALSE()),IF($E559="Services",VLOOKUP($C559,Services!$B:$I,3,FALSE()),IF($E559="Patty Cash",VLOOKUP($C559,'Patty Cash'!$B:$J,3,FALSE()),"")))),"")</f>
        <v/>
      </c>
      <c r="G559" s="211"/>
      <c r="H559" s="212" t="str">
        <f>IF($E559="","",IF($E559="Inventory",IFERROR(VLOOKUP($C559,Inventory!$B:$H,7,FALSE()),0),IF($E559="Non Inventory",IFERROR(VLOOKUP($C559,'Non Inventory'!$B:$H,7,FALSE()),0),IF($E559="Services",IFERROR(VLOOKUP($C559,Services!$B:$H,7,FALSE()),0),IF($E559="Patty Cash",IFERROR(VLOOKUP($C559,'Patty Cash'!$B:$H,7,FALSE()),0),0)))))</f>
        <v/>
      </c>
      <c r="I559" s="213"/>
      <c r="J559" s="214"/>
      <c r="K559" s="215"/>
      <c r="L559" s="197"/>
      <c r="M559" s="215"/>
      <c r="N559" s="216">
        <f>IFERROR(IF($E559="Inventory",VLOOKUP($C559,Inventory!$B:$I,8,FALSE()),IF($E559="Non Inventory",VLOOKUP($C559,'Non Inventory'!$B:$I,8,FALSE()),IF($E559="Services",VLOOKUP($C559,Services!$B:$I,8,FALSE()),IF($E559="Patty Cash",VLOOKUP($C559,'Patty Cash'!$B:$J,8,FALSE()),0)))),0)</f>
        <v>0</v>
      </c>
      <c r="O559" s="217" t="str">
        <f t="shared" si="8"/>
        <v/>
      </c>
    </row>
    <row r="560" spans="1:15" ht="23.1" customHeight="1">
      <c r="A560" s="206" t="str">
        <f>IF(AND($B560="",$C560=""),"",MAX($A$3:A559)+1)</f>
        <v/>
      </c>
      <c r="B560" s="207"/>
      <c r="C560" s="208"/>
      <c r="D560" s="209" t="str">
        <f>IFERROR(IF($E560="Inventory",VLOOKUP($C560,Inventory!$B:$I,2,FALSE()),IF($E560="Non Inventory",VLOOKUP($C560,'Non Inventory'!$B:$I,2,FALSE()),IF($E560="Services",VLOOKUP($C560,Services!$B:$I,2,FALSE()),IF($E560="Patty Cash",VLOOKUP($C560,'Patty Cash'!$B:$J,2,FALSE()),"")))),"")</f>
        <v/>
      </c>
      <c r="E560" s="246"/>
      <c r="F560" s="210" t="str">
        <f>IFERROR(IF($E560="Inventory",VLOOKUP($C560,Inventory!$B:$I,3,FALSE()),IF($E560="Non Inventory",VLOOKUP($C560,'Non Inventory'!$B:$I,3,FALSE()),IF($E560="Services",VLOOKUP($C560,Services!$B:$I,3,FALSE()),IF($E560="Patty Cash",VLOOKUP($C560,'Patty Cash'!$B:$J,3,FALSE()),"")))),"")</f>
        <v/>
      </c>
      <c r="G560" s="211"/>
      <c r="H560" s="212" t="str">
        <f>IF($E560="","",IF($E560="Inventory",IFERROR(VLOOKUP($C560,Inventory!$B:$H,7,FALSE()),0),IF($E560="Non Inventory",IFERROR(VLOOKUP($C560,'Non Inventory'!$B:$H,7,FALSE()),0),IF($E560="Services",IFERROR(VLOOKUP($C560,Services!$B:$H,7,FALSE()),0),IF($E560="Patty Cash",IFERROR(VLOOKUP($C560,'Patty Cash'!$B:$H,7,FALSE()),0),0)))))</f>
        <v/>
      </c>
      <c r="I560" s="213"/>
      <c r="J560" s="214"/>
      <c r="K560" s="215"/>
      <c r="L560" s="197"/>
      <c r="M560" s="215"/>
      <c r="N560" s="216">
        <f>IFERROR(IF($E560="Inventory",VLOOKUP($C560,Inventory!$B:$I,8,FALSE()),IF($E560="Non Inventory",VLOOKUP($C560,'Non Inventory'!$B:$I,8,FALSE()),IF($E560="Services",VLOOKUP($C560,Services!$B:$I,8,FALSE()),IF($E560="Patty Cash",VLOOKUP($C560,'Patty Cash'!$B:$J,8,FALSE()),0)))),0)</f>
        <v>0</v>
      </c>
      <c r="O560" s="217" t="str">
        <f t="shared" si="8"/>
        <v/>
      </c>
    </row>
    <row r="561" spans="1:15" ht="23.1" customHeight="1">
      <c r="A561" s="206" t="str">
        <f>IF(AND($B561="",$C561=""),"",MAX($A$3:A560)+1)</f>
        <v/>
      </c>
      <c r="B561" s="207"/>
      <c r="C561" s="208"/>
      <c r="D561" s="209" t="str">
        <f>IFERROR(IF($E561="Inventory",VLOOKUP($C561,Inventory!$B:$I,2,FALSE()),IF($E561="Non Inventory",VLOOKUP($C561,'Non Inventory'!$B:$I,2,FALSE()),IF($E561="Services",VLOOKUP($C561,Services!$B:$I,2,FALSE()),IF($E561="Patty Cash",VLOOKUP($C561,'Patty Cash'!$B:$J,2,FALSE()),"")))),"")</f>
        <v/>
      </c>
      <c r="E561" s="246"/>
      <c r="F561" s="210" t="str">
        <f>IFERROR(IF($E561="Inventory",VLOOKUP($C561,Inventory!$B:$I,3,FALSE()),IF($E561="Non Inventory",VLOOKUP($C561,'Non Inventory'!$B:$I,3,FALSE()),IF($E561="Services",VLOOKUP($C561,Services!$B:$I,3,FALSE()),IF($E561="Patty Cash",VLOOKUP($C561,'Patty Cash'!$B:$J,3,FALSE()),"")))),"")</f>
        <v/>
      </c>
      <c r="G561" s="211"/>
      <c r="H561" s="212" t="str">
        <f>IF($E561="","",IF($E561="Inventory",IFERROR(VLOOKUP($C561,Inventory!$B:$H,7,FALSE()),0),IF($E561="Non Inventory",IFERROR(VLOOKUP($C561,'Non Inventory'!$B:$H,7,FALSE()),0),IF($E561="Services",IFERROR(VLOOKUP($C561,Services!$B:$H,7,FALSE()),0),IF($E561="Patty Cash",IFERROR(VLOOKUP($C561,'Patty Cash'!$B:$H,7,FALSE()),0),0)))))</f>
        <v/>
      </c>
      <c r="I561" s="213"/>
      <c r="J561" s="214"/>
      <c r="K561" s="215"/>
      <c r="L561" s="197"/>
      <c r="M561" s="215"/>
      <c r="N561" s="216">
        <f>IFERROR(IF($E561="Inventory",VLOOKUP($C561,Inventory!$B:$I,8,FALSE()),IF($E561="Non Inventory",VLOOKUP($C561,'Non Inventory'!$B:$I,8,FALSE()),IF($E561="Services",VLOOKUP($C561,Services!$B:$I,8,FALSE()),IF($E561="Patty Cash",VLOOKUP($C561,'Patty Cash'!$B:$J,8,FALSE()),0)))),0)</f>
        <v>0</v>
      </c>
      <c r="O561" s="217" t="str">
        <f t="shared" si="8"/>
        <v/>
      </c>
    </row>
    <row r="562" spans="1:15" ht="23.1" customHeight="1">
      <c r="A562" s="206" t="str">
        <f>IF(AND($B562="",$C562=""),"",MAX($A$3:A561)+1)</f>
        <v/>
      </c>
      <c r="B562" s="207"/>
      <c r="C562" s="208"/>
      <c r="D562" s="209" t="str">
        <f>IFERROR(IF($E562="Inventory",VLOOKUP($C562,Inventory!$B:$I,2,FALSE()),IF($E562="Non Inventory",VLOOKUP($C562,'Non Inventory'!$B:$I,2,FALSE()),IF($E562="Services",VLOOKUP($C562,Services!$B:$I,2,FALSE()),IF($E562="Patty Cash",VLOOKUP($C562,'Patty Cash'!$B:$J,2,FALSE()),"")))),"")</f>
        <v/>
      </c>
      <c r="E562" s="246"/>
      <c r="F562" s="210" t="str">
        <f>IFERROR(IF($E562="Inventory",VLOOKUP($C562,Inventory!$B:$I,3,FALSE()),IF($E562="Non Inventory",VLOOKUP($C562,'Non Inventory'!$B:$I,3,FALSE()),IF($E562="Services",VLOOKUP($C562,Services!$B:$I,3,FALSE()),IF($E562="Patty Cash",VLOOKUP($C562,'Patty Cash'!$B:$J,3,FALSE()),"")))),"")</f>
        <v/>
      </c>
      <c r="G562" s="211"/>
      <c r="H562" s="212" t="str">
        <f>IF($E562="","",IF($E562="Inventory",IFERROR(VLOOKUP($C562,Inventory!$B:$H,7,FALSE()),0),IF($E562="Non Inventory",IFERROR(VLOOKUP($C562,'Non Inventory'!$B:$H,7,FALSE()),0),IF($E562="Services",IFERROR(VLOOKUP($C562,Services!$B:$H,7,FALSE()),0),IF($E562="Patty Cash",IFERROR(VLOOKUP($C562,'Patty Cash'!$B:$H,7,FALSE()),0),0)))))</f>
        <v/>
      </c>
      <c r="I562" s="213"/>
      <c r="J562" s="214"/>
      <c r="K562" s="215"/>
      <c r="L562" s="197"/>
      <c r="M562" s="215"/>
      <c r="N562" s="216">
        <f>IFERROR(IF($E562="Inventory",VLOOKUP($C562,Inventory!$B:$I,8,FALSE()),IF($E562="Non Inventory",VLOOKUP($C562,'Non Inventory'!$B:$I,8,FALSE()),IF($E562="Services",VLOOKUP($C562,Services!$B:$I,8,FALSE()),IF($E562="Patty Cash",VLOOKUP($C562,'Patty Cash'!$B:$J,8,FALSE()),0)))),0)</f>
        <v>0</v>
      </c>
      <c r="O562" s="217" t="str">
        <f t="shared" si="8"/>
        <v/>
      </c>
    </row>
    <row r="563" spans="1:15" ht="23.1" customHeight="1">
      <c r="A563" s="206" t="str">
        <f>IF(AND($B563="",$C563=""),"",MAX($A$3:A562)+1)</f>
        <v/>
      </c>
      <c r="B563" s="207"/>
      <c r="C563" s="208"/>
      <c r="D563" s="209" t="str">
        <f>IFERROR(IF($E563="Inventory",VLOOKUP($C563,Inventory!$B:$I,2,FALSE()),IF($E563="Non Inventory",VLOOKUP($C563,'Non Inventory'!$B:$I,2,FALSE()),IF($E563="Services",VLOOKUP($C563,Services!$B:$I,2,FALSE()),IF($E563="Patty Cash",VLOOKUP($C563,'Patty Cash'!$B:$J,2,FALSE()),"")))),"")</f>
        <v/>
      </c>
      <c r="E563" s="246"/>
      <c r="F563" s="210" t="str">
        <f>IFERROR(IF($E563="Inventory",VLOOKUP($C563,Inventory!$B:$I,3,FALSE()),IF($E563="Non Inventory",VLOOKUP($C563,'Non Inventory'!$B:$I,3,FALSE()),IF($E563="Services",VLOOKUP($C563,Services!$B:$I,3,FALSE()),IF($E563="Patty Cash",VLOOKUP($C563,'Patty Cash'!$B:$J,3,FALSE()),"")))),"")</f>
        <v/>
      </c>
      <c r="G563" s="211"/>
      <c r="H563" s="212" t="str">
        <f>IF($E563="","",IF($E563="Inventory",IFERROR(VLOOKUP($C563,Inventory!$B:$H,7,FALSE()),0),IF($E563="Non Inventory",IFERROR(VLOOKUP($C563,'Non Inventory'!$B:$H,7,FALSE()),0),IF($E563="Services",IFERROR(VLOOKUP($C563,Services!$B:$H,7,FALSE()),0),IF($E563="Patty Cash",IFERROR(VLOOKUP($C563,'Patty Cash'!$B:$H,7,FALSE()),0),0)))))</f>
        <v/>
      </c>
      <c r="I563" s="213"/>
      <c r="J563" s="214"/>
      <c r="K563" s="215"/>
      <c r="L563" s="197"/>
      <c r="M563" s="215"/>
      <c r="N563" s="216">
        <f>IFERROR(IF($E563="Inventory",VLOOKUP($C563,Inventory!$B:$I,8,FALSE()),IF($E563="Non Inventory",VLOOKUP($C563,'Non Inventory'!$B:$I,8,FALSE()),IF($E563="Services",VLOOKUP($C563,Services!$B:$I,8,FALSE()),IF($E563="Patty Cash",VLOOKUP($C563,'Patty Cash'!$B:$J,8,FALSE()),0)))),0)</f>
        <v>0</v>
      </c>
      <c r="O563" s="217" t="str">
        <f t="shared" si="8"/>
        <v/>
      </c>
    </row>
    <row r="564" spans="1:15" ht="23.1" customHeight="1">
      <c r="A564" s="206" t="str">
        <f>IF(AND($B564="",$C564=""),"",MAX($A$3:A563)+1)</f>
        <v/>
      </c>
      <c r="B564" s="207"/>
      <c r="C564" s="208"/>
      <c r="D564" s="209" t="str">
        <f>IFERROR(IF($E564="Inventory",VLOOKUP($C564,Inventory!$B:$I,2,FALSE()),IF($E564="Non Inventory",VLOOKUP($C564,'Non Inventory'!$B:$I,2,FALSE()),IF($E564="Services",VLOOKUP($C564,Services!$B:$I,2,FALSE()),IF($E564="Patty Cash",VLOOKUP($C564,'Patty Cash'!$B:$J,2,FALSE()),"")))),"")</f>
        <v/>
      </c>
      <c r="E564" s="246"/>
      <c r="F564" s="210" t="str">
        <f>IFERROR(IF($E564="Inventory",VLOOKUP($C564,Inventory!$B:$I,3,FALSE()),IF($E564="Non Inventory",VLOOKUP($C564,'Non Inventory'!$B:$I,3,FALSE()),IF($E564="Services",VLOOKUP($C564,Services!$B:$I,3,FALSE()),IF($E564="Patty Cash",VLOOKUP($C564,'Patty Cash'!$B:$J,3,FALSE()),"")))),"")</f>
        <v/>
      </c>
      <c r="G564" s="211"/>
      <c r="H564" s="212" t="str">
        <f>IF($E564="","",IF($E564="Inventory",IFERROR(VLOOKUP($C564,Inventory!$B:$H,7,FALSE()),0),IF($E564="Non Inventory",IFERROR(VLOOKUP($C564,'Non Inventory'!$B:$H,7,FALSE()),0),IF($E564="Services",IFERROR(VLOOKUP($C564,Services!$B:$H,7,FALSE()),0),IF($E564="Patty Cash",IFERROR(VLOOKUP($C564,'Patty Cash'!$B:$H,7,FALSE()),0),0)))))</f>
        <v/>
      </c>
      <c r="I564" s="213"/>
      <c r="J564" s="214"/>
      <c r="K564" s="215"/>
      <c r="L564" s="197"/>
      <c r="M564" s="215"/>
      <c r="N564" s="216">
        <f>IFERROR(IF($E564="Inventory",VLOOKUP($C564,Inventory!$B:$I,8,FALSE()),IF($E564="Non Inventory",VLOOKUP($C564,'Non Inventory'!$B:$I,8,FALSE()),IF($E564="Services",VLOOKUP($C564,Services!$B:$I,8,FALSE()),IF($E564="Patty Cash",VLOOKUP($C564,'Patty Cash'!$B:$J,8,FALSE()),0)))),0)</f>
        <v>0</v>
      </c>
      <c r="O564" s="217" t="str">
        <f t="shared" si="8"/>
        <v/>
      </c>
    </row>
    <row r="565" spans="1:15" ht="23.1" customHeight="1">
      <c r="A565" s="206" t="str">
        <f>IF(AND($B565="",$C565=""),"",MAX($A$3:A564)+1)</f>
        <v/>
      </c>
      <c r="B565" s="207"/>
      <c r="C565" s="208"/>
      <c r="D565" s="209" t="str">
        <f>IFERROR(IF($E565="Inventory",VLOOKUP($C565,Inventory!$B:$I,2,FALSE()),IF($E565="Non Inventory",VLOOKUP($C565,'Non Inventory'!$B:$I,2,FALSE()),IF($E565="Services",VLOOKUP($C565,Services!$B:$I,2,FALSE()),IF($E565="Patty Cash",VLOOKUP($C565,'Patty Cash'!$B:$J,2,FALSE()),"")))),"")</f>
        <v/>
      </c>
      <c r="E565" s="246"/>
      <c r="F565" s="210" t="str">
        <f>IFERROR(IF($E565="Inventory",VLOOKUP($C565,Inventory!$B:$I,3,FALSE()),IF($E565="Non Inventory",VLOOKUP($C565,'Non Inventory'!$B:$I,3,FALSE()),IF($E565="Services",VLOOKUP($C565,Services!$B:$I,3,FALSE()),IF($E565="Patty Cash",VLOOKUP($C565,'Patty Cash'!$B:$J,3,FALSE()),"")))),"")</f>
        <v/>
      </c>
      <c r="G565" s="211"/>
      <c r="H565" s="212" t="str">
        <f>IF($E565="","",IF($E565="Inventory",IFERROR(VLOOKUP($C565,Inventory!$B:$H,7,FALSE()),0),IF($E565="Non Inventory",IFERROR(VLOOKUP($C565,'Non Inventory'!$B:$H,7,FALSE()),0),IF($E565="Services",IFERROR(VLOOKUP($C565,Services!$B:$H,7,FALSE()),0),IF($E565="Patty Cash",IFERROR(VLOOKUP($C565,'Patty Cash'!$B:$H,7,FALSE()),0),0)))))</f>
        <v/>
      </c>
      <c r="I565" s="213"/>
      <c r="J565" s="214"/>
      <c r="K565" s="215"/>
      <c r="L565" s="197"/>
      <c r="M565" s="215"/>
      <c r="N565" s="216">
        <f>IFERROR(IF($E565="Inventory",VLOOKUP($C565,Inventory!$B:$I,8,FALSE()),IF($E565="Non Inventory",VLOOKUP($C565,'Non Inventory'!$B:$I,8,FALSE()),IF($E565="Services",VLOOKUP($C565,Services!$B:$I,8,FALSE()),IF($E565="Patty Cash",VLOOKUP($C565,'Patty Cash'!$B:$J,8,FALSE()),0)))),0)</f>
        <v>0</v>
      </c>
      <c r="O565" s="217" t="str">
        <f t="shared" si="8"/>
        <v/>
      </c>
    </row>
    <row r="566" spans="1:15" ht="23.1" customHeight="1">
      <c r="A566" s="206" t="str">
        <f>IF(AND($B566="",$C566=""),"",MAX($A$3:A565)+1)</f>
        <v/>
      </c>
      <c r="B566" s="207"/>
      <c r="C566" s="208"/>
      <c r="D566" s="209" t="str">
        <f>IFERROR(IF($E566="Inventory",VLOOKUP($C566,Inventory!$B:$I,2,FALSE()),IF($E566="Non Inventory",VLOOKUP($C566,'Non Inventory'!$B:$I,2,FALSE()),IF($E566="Services",VLOOKUP($C566,Services!$B:$I,2,FALSE()),IF($E566="Patty Cash",VLOOKUP($C566,'Patty Cash'!$B:$J,2,FALSE()),"")))),"")</f>
        <v/>
      </c>
      <c r="E566" s="246"/>
      <c r="F566" s="210" t="str">
        <f>IFERROR(IF($E566="Inventory",VLOOKUP($C566,Inventory!$B:$I,3,FALSE()),IF($E566="Non Inventory",VLOOKUP($C566,'Non Inventory'!$B:$I,3,FALSE()),IF($E566="Services",VLOOKUP($C566,Services!$B:$I,3,FALSE()),IF($E566="Patty Cash",VLOOKUP($C566,'Patty Cash'!$B:$J,3,FALSE()),"")))),"")</f>
        <v/>
      </c>
      <c r="G566" s="211"/>
      <c r="H566" s="212" t="str">
        <f>IF($E566="","",IF($E566="Inventory",IFERROR(VLOOKUP($C566,Inventory!$B:$H,7,FALSE()),0),IF($E566="Non Inventory",IFERROR(VLOOKUP($C566,'Non Inventory'!$B:$H,7,FALSE()),0),IF($E566="Services",IFERROR(VLOOKUP($C566,Services!$B:$H,7,FALSE()),0),IF($E566="Patty Cash",IFERROR(VLOOKUP($C566,'Patty Cash'!$B:$H,7,FALSE()),0),0)))))</f>
        <v/>
      </c>
      <c r="I566" s="213"/>
      <c r="J566" s="214"/>
      <c r="K566" s="215"/>
      <c r="L566" s="197"/>
      <c r="M566" s="215"/>
      <c r="N566" s="216">
        <f>IFERROR(IF($E566="Inventory",VLOOKUP($C566,Inventory!$B:$I,8,FALSE()),IF($E566="Non Inventory",VLOOKUP($C566,'Non Inventory'!$B:$I,8,FALSE()),IF($E566="Services",VLOOKUP($C566,Services!$B:$I,8,FALSE()),IF($E566="Patty Cash",VLOOKUP($C566,'Patty Cash'!$B:$J,8,FALSE()),0)))),0)</f>
        <v>0</v>
      </c>
      <c r="O566" s="217" t="str">
        <f t="shared" si="8"/>
        <v/>
      </c>
    </row>
    <row r="567" spans="1:15" ht="23.1" customHeight="1">
      <c r="A567" s="206" t="str">
        <f>IF(AND($B567="",$C567=""),"",MAX($A$3:A566)+1)</f>
        <v/>
      </c>
      <c r="B567" s="207"/>
      <c r="C567" s="208"/>
      <c r="D567" s="209" t="str">
        <f>IFERROR(IF($E567="Inventory",VLOOKUP($C567,Inventory!$B:$I,2,FALSE()),IF($E567="Non Inventory",VLOOKUP($C567,'Non Inventory'!$B:$I,2,FALSE()),IF($E567="Services",VLOOKUP($C567,Services!$B:$I,2,FALSE()),IF($E567="Patty Cash",VLOOKUP($C567,'Patty Cash'!$B:$J,2,FALSE()),"")))),"")</f>
        <v/>
      </c>
      <c r="E567" s="246"/>
      <c r="F567" s="210" t="str">
        <f>IFERROR(IF($E567="Inventory",VLOOKUP($C567,Inventory!$B:$I,3,FALSE()),IF($E567="Non Inventory",VLOOKUP($C567,'Non Inventory'!$B:$I,3,FALSE()),IF($E567="Services",VLOOKUP($C567,Services!$B:$I,3,FALSE()),IF($E567="Patty Cash",VLOOKUP($C567,'Patty Cash'!$B:$J,3,FALSE()),"")))),"")</f>
        <v/>
      </c>
      <c r="G567" s="211"/>
      <c r="H567" s="212" t="str">
        <f>IF($E567="","",IF($E567="Inventory",IFERROR(VLOOKUP($C567,Inventory!$B:$H,7,FALSE()),0),IF($E567="Non Inventory",IFERROR(VLOOKUP($C567,'Non Inventory'!$B:$H,7,FALSE()),0),IF($E567="Services",IFERROR(VLOOKUP($C567,Services!$B:$H,7,FALSE()),0),IF($E567="Patty Cash",IFERROR(VLOOKUP($C567,'Patty Cash'!$B:$H,7,FALSE()),0),0)))))</f>
        <v/>
      </c>
      <c r="I567" s="213"/>
      <c r="J567" s="214"/>
      <c r="K567" s="215"/>
      <c r="L567" s="197"/>
      <c r="M567" s="215"/>
      <c r="N567" s="216">
        <f>IFERROR(IF($E567="Inventory",VLOOKUP($C567,Inventory!$B:$I,8,FALSE()),IF($E567="Non Inventory",VLOOKUP($C567,'Non Inventory'!$B:$I,8,FALSE()),IF($E567="Services",VLOOKUP($C567,Services!$B:$I,8,FALSE()),IF($E567="Patty Cash",VLOOKUP($C567,'Patty Cash'!$B:$J,8,FALSE()),0)))),0)</f>
        <v>0</v>
      </c>
      <c r="O567" s="217" t="str">
        <f t="shared" si="8"/>
        <v/>
      </c>
    </row>
    <row r="568" spans="1:15" ht="23.1" customHeight="1">
      <c r="A568" s="206" t="str">
        <f>IF(AND($B568="",$C568=""),"",MAX($A$3:A567)+1)</f>
        <v/>
      </c>
      <c r="B568" s="207"/>
      <c r="C568" s="208"/>
      <c r="D568" s="209" t="str">
        <f>IFERROR(IF($E568="Inventory",VLOOKUP($C568,Inventory!$B:$I,2,FALSE()),IF($E568="Non Inventory",VLOOKUP($C568,'Non Inventory'!$B:$I,2,FALSE()),IF($E568="Services",VLOOKUP($C568,Services!$B:$I,2,FALSE()),IF($E568="Patty Cash",VLOOKUP($C568,'Patty Cash'!$B:$J,2,FALSE()),"")))),"")</f>
        <v/>
      </c>
      <c r="E568" s="246"/>
      <c r="F568" s="210" t="str">
        <f>IFERROR(IF($E568="Inventory",VLOOKUP($C568,Inventory!$B:$I,3,FALSE()),IF($E568="Non Inventory",VLOOKUP($C568,'Non Inventory'!$B:$I,3,FALSE()),IF($E568="Services",VLOOKUP($C568,Services!$B:$I,3,FALSE()),IF($E568="Patty Cash",VLOOKUP($C568,'Patty Cash'!$B:$J,3,FALSE()),"")))),"")</f>
        <v/>
      </c>
      <c r="G568" s="211"/>
      <c r="H568" s="212" t="str">
        <f>IF($E568="","",IF($E568="Inventory",IFERROR(VLOOKUP($C568,Inventory!$B:$H,7,FALSE()),0),IF($E568="Non Inventory",IFERROR(VLOOKUP($C568,'Non Inventory'!$B:$H,7,FALSE()),0),IF($E568="Services",IFERROR(VLOOKUP($C568,Services!$B:$H,7,FALSE()),0),IF($E568="Patty Cash",IFERROR(VLOOKUP($C568,'Patty Cash'!$B:$H,7,FALSE()),0),0)))))</f>
        <v/>
      </c>
      <c r="I568" s="213"/>
      <c r="J568" s="214"/>
      <c r="K568" s="215"/>
      <c r="L568" s="197"/>
      <c r="M568" s="215"/>
      <c r="N568" s="216">
        <f>IFERROR(IF($E568="Inventory",VLOOKUP($C568,Inventory!$B:$I,8,FALSE()),IF($E568="Non Inventory",VLOOKUP($C568,'Non Inventory'!$B:$I,8,FALSE()),IF($E568="Services",VLOOKUP($C568,Services!$B:$I,8,FALSE()),IF($E568="Patty Cash",VLOOKUP($C568,'Patty Cash'!$B:$J,8,FALSE()),0)))),0)</f>
        <v>0</v>
      </c>
      <c r="O568" s="217" t="str">
        <f t="shared" si="8"/>
        <v/>
      </c>
    </row>
    <row r="569" spans="1:15" ht="23.1" customHeight="1">
      <c r="A569" s="206" t="str">
        <f>IF(AND($B569="",$C569=""),"",MAX($A$3:A568)+1)</f>
        <v/>
      </c>
      <c r="B569" s="207"/>
      <c r="C569" s="208"/>
      <c r="D569" s="209" t="str">
        <f>IFERROR(IF($E569="Inventory",VLOOKUP($C569,Inventory!$B:$I,2,FALSE()),IF($E569="Non Inventory",VLOOKUP($C569,'Non Inventory'!$B:$I,2,FALSE()),IF($E569="Services",VLOOKUP($C569,Services!$B:$I,2,FALSE()),IF($E569="Patty Cash",VLOOKUP($C569,'Patty Cash'!$B:$J,2,FALSE()),"")))),"")</f>
        <v/>
      </c>
      <c r="E569" s="246"/>
      <c r="F569" s="210" t="str">
        <f>IFERROR(IF($E569="Inventory",VLOOKUP($C569,Inventory!$B:$I,3,FALSE()),IF($E569="Non Inventory",VLOOKUP($C569,'Non Inventory'!$B:$I,3,FALSE()),IF($E569="Services",VLOOKUP($C569,Services!$B:$I,3,FALSE()),IF($E569="Patty Cash",VLOOKUP($C569,'Patty Cash'!$B:$J,3,FALSE()),"")))),"")</f>
        <v/>
      </c>
      <c r="G569" s="211"/>
      <c r="H569" s="212" t="str">
        <f>IF($E569="","",IF($E569="Inventory",IFERROR(VLOOKUP($C569,Inventory!$B:$H,7,FALSE()),0),IF($E569="Non Inventory",IFERROR(VLOOKUP($C569,'Non Inventory'!$B:$H,7,FALSE()),0),IF($E569="Services",IFERROR(VLOOKUP($C569,Services!$B:$H,7,FALSE()),0),IF($E569="Patty Cash",IFERROR(VLOOKUP($C569,'Patty Cash'!$B:$H,7,FALSE()),0),0)))))</f>
        <v/>
      </c>
      <c r="I569" s="213"/>
      <c r="J569" s="214"/>
      <c r="K569" s="215"/>
      <c r="L569" s="197"/>
      <c r="M569" s="215"/>
      <c r="N569" s="216">
        <f>IFERROR(IF($E569="Inventory",VLOOKUP($C569,Inventory!$B:$I,8,FALSE()),IF($E569="Non Inventory",VLOOKUP($C569,'Non Inventory'!$B:$I,8,FALSE()),IF($E569="Services",VLOOKUP($C569,Services!$B:$I,8,FALSE()),IF($E569="Patty Cash",VLOOKUP($C569,'Patty Cash'!$B:$J,8,FALSE()),0)))),0)</f>
        <v>0</v>
      </c>
      <c r="O569" s="217" t="str">
        <f t="shared" si="8"/>
        <v/>
      </c>
    </row>
    <row r="570" spans="1:15" ht="23.1" customHeight="1">
      <c r="A570" s="206" t="str">
        <f>IF(AND($B570="",$C570=""),"",MAX($A$3:A569)+1)</f>
        <v/>
      </c>
      <c r="B570" s="207"/>
      <c r="C570" s="208"/>
      <c r="D570" s="209" t="str">
        <f>IFERROR(IF($E570="Inventory",VLOOKUP($C570,Inventory!$B:$I,2,FALSE()),IF($E570="Non Inventory",VLOOKUP($C570,'Non Inventory'!$B:$I,2,FALSE()),IF($E570="Services",VLOOKUP($C570,Services!$B:$I,2,FALSE()),IF($E570="Patty Cash",VLOOKUP($C570,'Patty Cash'!$B:$J,2,FALSE()),"")))),"")</f>
        <v/>
      </c>
      <c r="E570" s="246"/>
      <c r="F570" s="210" t="str">
        <f>IFERROR(IF($E570="Inventory",VLOOKUP($C570,Inventory!$B:$I,3,FALSE()),IF($E570="Non Inventory",VLOOKUP($C570,'Non Inventory'!$B:$I,3,FALSE()),IF($E570="Services",VLOOKUP($C570,Services!$B:$I,3,FALSE()),IF($E570="Patty Cash",VLOOKUP($C570,'Patty Cash'!$B:$J,3,FALSE()),"")))),"")</f>
        <v/>
      </c>
      <c r="G570" s="211"/>
      <c r="H570" s="212" t="str">
        <f>IF($E570="","",IF($E570="Inventory",IFERROR(VLOOKUP($C570,Inventory!$B:$H,7,FALSE()),0),IF($E570="Non Inventory",IFERROR(VLOOKUP($C570,'Non Inventory'!$B:$H,7,FALSE()),0),IF($E570="Services",IFERROR(VLOOKUP($C570,Services!$B:$H,7,FALSE()),0),IF($E570="Patty Cash",IFERROR(VLOOKUP($C570,'Patty Cash'!$B:$H,7,FALSE()),0),0)))))</f>
        <v/>
      </c>
      <c r="I570" s="213"/>
      <c r="J570" s="214"/>
      <c r="K570" s="215"/>
      <c r="L570" s="197"/>
      <c r="M570" s="215"/>
      <c r="N570" s="216">
        <f>IFERROR(IF($E570="Inventory",VLOOKUP($C570,Inventory!$B:$I,8,FALSE()),IF($E570="Non Inventory",VLOOKUP($C570,'Non Inventory'!$B:$I,8,FALSE()),IF($E570="Services",VLOOKUP($C570,Services!$B:$I,8,FALSE()),IF($E570="Patty Cash",VLOOKUP($C570,'Patty Cash'!$B:$J,8,FALSE()),0)))),0)</f>
        <v>0</v>
      </c>
      <c r="O570" s="217" t="str">
        <f t="shared" si="8"/>
        <v/>
      </c>
    </row>
    <row r="571" spans="1:15" ht="23.1" customHeight="1">
      <c r="A571" s="206" t="str">
        <f>IF(AND($B571="",$C571=""),"",MAX($A$3:A570)+1)</f>
        <v/>
      </c>
      <c r="B571" s="207"/>
      <c r="C571" s="208"/>
      <c r="D571" s="209" t="str">
        <f>IFERROR(IF($E571="Inventory",VLOOKUP($C571,Inventory!$B:$I,2,FALSE()),IF($E571="Non Inventory",VLOOKUP($C571,'Non Inventory'!$B:$I,2,FALSE()),IF($E571="Services",VLOOKUP($C571,Services!$B:$I,2,FALSE()),IF($E571="Patty Cash",VLOOKUP($C571,'Patty Cash'!$B:$J,2,FALSE()),"")))),"")</f>
        <v/>
      </c>
      <c r="E571" s="246"/>
      <c r="F571" s="210" t="str">
        <f>IFERROR(IF($E571="Inventory",VLOOKUP($C571,Inventory!$B:$I,3,FALSE()),IF($E571="Non Inventory",VLOOKUP($C571,'Non Inventory'!$B:$I,3,FALSE()),IF($E571="Services",VLOOKUP($C571,Services!$B:$I,3,FALSE()),IF($E571="Patty Cash",VLOOKUP($C571,'Patty Cash'!$B:$J,3,FALSE()),"")))),"")</f>
        <v/>
      </c>
      <c r="G571" s="211"/>
      <c r="H571" s="212" t="str">
        <f>IF($E571="","",IF($E571="Inventory",IFERROR(VLOOKUP($C571,Inventory!$B:$H,7,FALSE()),0),IF($E571="Non Inventory",IFERROR(VLOOKUP($C571,'Non Inventory'!$B:$H,7,FALSE()),0),IF($E571="Services",IFERROR(VLOOKUP($C571,Services!$B:$H,7,FALSE()),0),IF($E571="Patty Cash",IFERROR(VLOOKUP($C571,'Patty Cash'!$B:$H,7,FALSE()),0),0)))))</f>
        <v/>
      </c>
      <c r="I571" s="213"/>
      <c r="J571" s="214"/>
      <c r="K571" s="215"/>
      <c r="L571" s="197"/>
      <c r="M571" s="215"/>
      <c r="N571" s="216">
        <f>IFERROR(IF($E571="Inventory",VLOOKUP($C571,Inventory!$B:$I,8,FALSE()),IF($E571="Non Inventory",VLOOKUP($C571,'Non Inventory'!$B:$I,8,FALSE()),IF($E571="Services",VLOOKUP($C571,Services!$B:$I,8,FALSE()),IF($E571="Patty Cash",VLOOKUP($C571,'Patty Cash'!$B:$J,8,FALSE()),0)))),0)</f>
        <v>0</v>
      </c>
      <c r="O571" s="217" t="str">
        <f t="shared" si="8"/>
        <v/>
      </c>
    </row>
    <row r="572" spans="1:15" ht="23.1" customHeight="1">
      <c r="A572" s="206" t="str">
        <f>IF(AND($B572="",$C572=""),"",MAX($A$3:A571)+1)</f>
        <v/>
      </c>
      <c r="B572" s="207"/>
      <c r="C572" s="208"/>
      <c r="D572" s="209" t="str">
        <f>IFERROR(IF($E572="Inventory",VLOOKUP($C572,Inventory!$B:$I,2,FALSE()),IF($E572="Non Inventory",VLOOKUP($C572,'Non Inventory'!$B:$I,2,FALSE()),IF($E572="Services",VLOOKUP($C572,Services!$B:$I,2,FALSE()),IF($E572="Patty Cash",VLOOKUP($C572,'Patty Cash'!$B:$J,2,FALSE()),"")))),"")</f>
        <v/>
      </c>
      <c r="E572" s="246"/>
      <c r="F572" s="210" t="str">
        <f>IFERROR(IF($E572="Inventory",VLOOKUP($C572,Inventory!$B:$I,3,FALSE()),IF($E572="Non Inventory",VLOOKUP($C572,'Non Inventory'!$B:$I,3,FALSE()),IF($E572="Services",VLOOKUP($C572,Services!$B:$I,3,FALSE()),IF($E572="Patty Cash",VLOOKUP($C572,'Patty Cash'!$B:$J,3,FALSE()),"")))),"")</f>
        <v/>
      </c>
      <c r="G572" s="211"/>
      <c r="H572" s="212" t="str">
        <f>IF($E572="","",IF($E572="Inventory",IFERROR(VLOOKUP($C572,Inventory!$B:$H,7,FALSE()),0),IF($E572="Non Inventory",IFERROR(VLOOKUP($C572,'Non Inventory'!$B:$H,7,FALSE()),0),IF($E572="Services",IFERROR(VLOOKUP($C572,Services!$B:$H,7,FALSE()),0),IF($E572="Patty Cash",IFERROR(VLOOKUP($C572,'Patty Cash'!$B:$H,7,FALSE()),0),0)))))</f>
        <v/>
      </c>
      <c r="I572" s="213"/>
      <c r="J572" s="214"/>
      <c r="K572" s="215"/>
      <c r="L572" s="197"/>
      <c r="M572" s="215"/>
      <c r="N572" s="216">
        <f>IFERROR(IF($E572="Inventory",VLOOKUP($C572,Inventory!$B:$I,8,FALSE()),IF($E572="Non Inventory",VLOOKUP($C572,'Non Inventory'!$B:$I,8,FALSE()),IF($E572="Services",VLOOKUP($C572,Services!$B:$I,8,FALSE()),IF($E572="Patty Cash",VLOOKUP($C572,'Patty Cash'!$B:$J,8,FALSE()),0)))),0)</f>
        <v>0</v>
      </c>
      <c r="O572" s="217" t="str">
        <f t="shared" si="8"/>
        <v/>
      </c>
    </row>
    <row r="573" spans="1:15" ht="23.1" customHeight="1">
      <c r="A573" s="206" t="str">
        <f>IF(AND($B573="",$C573=""),"",MAX($A$3:A572)+1)</f>
        <v/>
      </c>
      <c r="B573" s="207"/>
      <c r="C573" s="208"/>
      <c r="D573" s="209" t="str">
        <f>IFERROR(IF($E573="Inventory",VLOOKUP($C573,Inventory!$B:$I,2,FALSE()),IF($E573="Non Inventory",VLOOKUP($C573,'Non Inventory'!$B:$I,2,FALSE()),IF($E573="Services",VLOOKUP($C573,Services!$B:$I,2,FALSE()),IF($E573="Patty Cash",VLOOKUP($C573,'Patty Cash'!$B:$J,2,FALSE()),"")))),"")</f>
        <v/>
      </c>
      <c r="E573" s="246"/>
      <c r="F573" s="210" t="str">
        <f>IFERROR(IF($E573="Inventory",VLOOKUP($C573,Inventory!$B:$I,3,FALSE()),IF($E573="Non Inventory",VLOOKUP($C573,'Non Inventory'!$B:$I,3,FALSE()),IF($E573="Services",VLOOKUP($C573,Services!$B:$I,3,FALSE()),IF($E573="Patty Cash",VLOOKUP($C573,'Patty Cash'!$B:$J,3,FALSE()),"")))),"")</f>
        <v/>
      </c>
      <c r="G573" s="211"/>
      <c r="H573" s="212" t="str">
        <f>IF($E573="","",IF($E573="Inventory",IFERROR(VLOOKUP($C573,Inventory!$B:$H,7,FALSE()),0),IF($E573="Non Inventory",IFERROR(VLOOKUP($C573,'Non Inventory'!$B:$H,7,FALSE()),0),IF($E573="Services",IFERROR(VLOOKUP($C573,Services!$B:$H,7,FALSE()),0),IF($E573="Patty Cash",IFERROR(VLOOKUP($C573,'Patty Cash'!$B:$H,7,FALSE()),0),0)))))</f>
        <v/>
      </c>
      <c r="I573" s="213"/>
      <c r="J573" s="214"/>
      <c r="K573" s="215"/>
      <c r="L573" s="197"/>
      <c r="M573" s="215"/>
      <c r="N573" s="216">
        <f>IFERROR(IF($E573="Inventory",VLOOKUP($C573,Inventory!$B:$I,8,FALSE()),IF($E573="Non Inventory",VLOOKUP($C573,'Non Inventory'!$B:$I,8,FALSE()),IF($E573="Services",VLOOKUP($C573,Services!$B:$I,8,FALSE()),IF($E573="Patty Cash",VLOOKUP($C573,'Patty Cash'!$B:$J,8,FALSE()),0)))),0)</f>
        <v>0</v>
      </c>
      <c r="O573" s="217" t="str">
        <f t="shared" si="8"/>
        <v/>
      </c>
    </row>
    <row r="574" spans="1:15" ht="23.1" customHeight="1">
      <c r="A574" s="206" t="str">
        <f>IF(AND($B574="",$C574=""),"",MAX($A$3:A573)+1)</f>
        <v/>
      </c>
      <c r="B574" s="207"/>
      <c r="C574" s="208"/>
      <c r="D574" s="209" t="str">
        <f>IFERROR(IF($E574="Inventory",VLOOKUP($C574,Inventory!$B:$I,2,FALSE()),IF($E574="Non Inventory",VLOOKUP($C574,'Non Inventory'!$B:$I,2,FALSE()),IF($E574="Services",VLOOKUP($C574,Services!$B:$I,2,FALSE()),IF($E574="Patty Cash",VLOOKUP($C574,'Patty Cash'!$B:$J,2,FALSE()),"")))),"")</f>
        <v/>
      </c>
      <c r="E574" s="246"/>
      <c r="F574" s="210" t="str">
        <f>IFERROR(IF($E574="Inventory",VLOOKUP($C574,Inventory!$B:$I,3,FALSE()),IF($E574="Non Inventory",VLOOKUP($C574,'Non Inventory'!$B:$I,3,FALSE()),IF($E574="Services",VLOOKUP($C574,Services!$B:$I,3,FALSE()),IF($E574="Patty Cash",VLOOKUP($C574,'Patty Cash'!$B:$J,3,FALSE()),"")))),"")</f>
        <v/>
      </c>
      <c r="G574" s="211"/>
      <c r="H574" s="212" t="str">
        <f>IF($E574="","",IF($E574="Inventory",IFERROR(VLOOKUP($C574,Inventory!$B:$H,7,FALSE()),0),IF($E574="Non Inventory",IFERROR(VLOOKUP($C574,'Non Inventory'!$B:$H,7,FALSE()),0),IF($E574="Services",IFERROR(VLOOKUP($C574,Services!$B:$H,7,FALSE()),0),IF($E574="Patty Cash",IFERROR(VLOOKUP($C574,'Patty Cash'!$B:$H,7,FALSE()),0),0)))))</f>
        <v/>
      </c>
      <c r="I574" s="213"/>
      <c r="J574" s="214"/>
      <c r="K574" s="215"/>
      <c r="L574" s="197"/>
      <c r="M574" s="215"/>
      <c r="N574" s="216">
        <f>IFERROR(IF($E574="Inventory",VLOOKUP($C574,Inventory!$B:$I,8,FALSE()),IF($E574="Non Inventory",VLOOKUP($C574,'Non Inventory'!$B:$I,8,FALSE()),IF($E574="Services",VLOOKUP($C574,Services!$B:$I,8,FALSE()),IF($E574="Patty Cash",VLOOKUP($C574,'Patty Cash'!$B:$J,8,FALSE()),0)))),0)</f>
        <v>0</v>
      </c>
      <c r="O574" s="217" t="str">
        <f t="shared" si="8"/>
        <v/>
      </c>
    </row>
    <row r="575" spans="1:15" ht="23.1" customHeight="1">
      <c r="A575" s="206" t="str">
        <f>IF(AND($B575="",$C575=""),"",MAX($A$3:A574)+1)</f>
        <v/>
      </c>
      <c r="B575" s="207"/>
      <c r="C575" s="208"/>
      <c r="D575" s="209" t="str">
        <f>IFERROR(IF($E575="Inventory",VLOOKUP($C575,Inventory!$B:$I,2,FALSE()),IF($E575="Non Inventory",VLOOKUP($C575,'Non Inventory'!$B:$I,2,FALSE()),IF($E575="Services",VLOOKUP($C575,Services!$B:$I,2,FALSE()),IF($E575="Patty Cash",VLOOKUP($C575,'Patty Cash'!$B:$J,2,FALSE()),"")))),"")</f>
        <v/>
      </c>
      <c r="E575" s="246"/>
      <c r="F575" s="210" t="str">
        <f>IFERROR(IF($E575="Inventory",VLOOKUP($C575,Inventory!$B:$I,3,FALSE()),IF($E575="Non Inventory",VLOOKUP($C575,'Non Inventory'!$B:$I,3,FALSE()),IF($E575="Services",VLOOKUP($C575,Services!$B:$I,3,FALSE()),IF($E575="Patty Cash",VLOOKUP($C575,'Patty Cash'!$B:$J,3,FALSE()),"")))),"")</f>
        <v/>
      </c>
      <c r="G575" s="211"/>
      <c r="H575" s="212" t="str">
        <f>IF($E575="","",IF($E575="Inventory",IFERROR(VLOOKUP($C575,Inventory!$B:$H,7,FALSE()),0),IF($E575="Non Inventory",IFERROR(VLOOKUP($C575,'Non Inventory'!$B:$H,7,FALSE()),0),IF($E575="Services",IFERROR(VLOOKUP($C575,Services!$B:$H,7,FALSE()),0),IF($E575="Patty Cash",IFERROR(VLOOKUP($C575,'Patty Cash'!$B:$H,7,FALSE()),0),0)))))</f>
        <v/>
      </c>
      <c r="I575" s="213"/>
      <c r="J575" s="214"/>
      <c r="K575" s="215"/>
      <c r="L575" s="197"/>
      <c r="M575" s="215"/>
      <c r="N575" s="216">
        <f>IFERROR(IF($E575="Inventory",VLOOKUP($C575,Inventory!$B:$I,8,FALSE()),IF($E575="Non Inventory",VLOOKUP($C575,'Non Inventory'!$B:$I,8,FALSE()),IF($E575="Services",VLOOKUP($C575,Services!$B:$I,8,FALSE()),IF($E575="Patty Cash",VLOOKUP($C575,'Patty Cash'!$B:$J,8,FALSE()),0)))),0)</f>
        <v>0</v>
      </c>
      <c r="O575" s="217" t="str">
        <f t="shared" si="8"/>
        <v/>
      </c>
    </row>
    <row r="576" spans="1:15" ht="23.1" customHeight="1">
      <c r="A576" s="206" t="str">
        <f>IF(AND($B576="",$C576=""),"",MAX($A$3:A575)+1)</f>
        <v/>
      </c>
      <c r="B576" s="207"/>
      <c r="C576" s="208"/>
      <c r="D576" s="209" t="str">
        <f>IFERROR(IF($E576="Inventory",VLOOKUP($C576,Inventory!$B:$I,2,FALSE()),IF($E576="Non Inventory",VLOOKUP($C576,'Non Inventory'!$B:$I,2,FALSE()),IF($E576="Services",VLOOKUP($C576,Services!$B:$I,2,FALSE()),IF($E576="Patty Cash",VLOOKUP($C576,'Patty Cash'!$B:$J,2,FALSE()),"")))),"")</f>
        <v/>
      </c>
      <c r="E576" s="246"/>
      <c r="F576" s="210" t="str">
        <f>IFERROR(IF($E576="Inventory",VLOOKUP($C576,Inventory!$B:$I,3,FALSE()),IF($E576="Non Inventory",VLOOKUP($C576,'Non Inventory'!$B:$I,3,FALSE()),IF($E576="Services",VLOOKUP($C576,Services!$B:$I,3,FALSE()),IF($E576="Patty Cash",VLOOKUP($C576,'Patty Cash'!$B:$J,3,FALSE()),"")))),"")</f>
        <v/>
      </c>
      <c r="G576" s="211"/>
      <c r="H576" s="212" t="str">
        <f>IF($E576="","",IF($E576="Inventory",IFERROR(VLOOKUP($C576,Inventory!$B:$H,7,FALSE()),0),IF($E576="Non Inventory",IFERROR(VLOOKUP($C576,'Non Inventory'!$B:$H,7,FALSE()),0),IF($E576="Services",IFERROR(VLOOKUP($C576,Services!$B:$H,7,FALSE()),0),IF($E576="Patty Cash",IFERROR(VLOOKUP($C576,'Patty Cash'!$B:$H,7,FALSE()),0),0)))))</f>
        <v/>
      </c>
      <c r="I576" s="213"/>
      <c r="J576" s="214"/>
      <c r="K576" s="215"/>
      <c r="L576" s="197"/>
      <c r="M576" s="215"/>
      <c r="N576" s="216">
        <f>IFERROR(IF($E576="Inventory",VLOOKUP($C576,Inventory!$B:$I,8,FALSE()),IF($E576="Non Inventory",VLOOKUP($C576,'Non Inventory'!$B:$I,8,FALSE()),IF($E576="Services",VLOOKUP($C576,Services!$B:$I,8,FALSE()),IF($E576="Patty Cash",VLOOKUP($C576,'Patty Cash'!$B:$J,8,FALSE()),0)))),0)</f>
        <v>0</v>
      </c>
      <c r="O576" s="217" t="str">
        <f t="shared" si="8"/>
        <v/>
      </c>
    </row>
    <row r="577" spans="1:15" ht="23.1" customHeight="1">
      <c r="A577" s="206" t="str">
        <f>IF(AND($B577="",$C577=""),"",MAX($A$3:A576)+1)</f>
        <v/>
      </c>
      <c r="B577" s="207"/>
      <c r="C577" s="208"/>
      <c r="D577" s="209" t="str">
        <f>IFERROR(IF($E577="Inventory",VLOOKUP($C577,Inventory!$B:$I,2,FALSE()),IF($E577="Non Inventory",VLOOKUP($C577,'Non Inventory'!$B:$I,2,FALSE()),IF($E577="Services",VLOOKUP($C577,Services!$B:$I,2,FALSE()),IF($E577="Patty Cash",VLOOKUP($C577,'Patty Cash'!$B:$J,2,FALSE()),"")))),"")</f>
        <v/>
      </c>
      <c r="E577" s="246"/>
      <c r="F577" s="210" t="str">
        <f>IFERROR(IF($E577="Inventory",VLOOKUP($C577,Inventory!$B:$I,3,FALSE()),IF($E577="Non Inventory",VLOOKUP($C577,'Non Inventory'!$B:$I,3,FALSE()),IF($E577="Services",VLOOKUP($C577,Services!$B:$I,3,FALSE()),IF($E577="Patty Cash",VLOOKUP($C577,'Patty Cash'!$B:$J,3,FALSE()),"")))),"")</f>
        <v/>
      </c>
      <c r="G577" s="211"/>
      <c r="H577" s="212" t="str">
        <f>IF($E577="","",IF($E577="Inventory",IFERROR(VLOOKUP($C577,Inventory!$B:$H,7,FALSE()),0),IF($E577="Non Inventory",IFERROR(VLOOKUP($C577,'Non Inventory'!$B:$H,7,FALSE()),0),IF($E577="Services",IFERROR(VLOOKUP($C577,Services!$B:$H,7,FALSE()),0),IF($E577="Patty Cash",IFERROR(VLOOKUP($C577,'Patty Cash'!$B:$H,7,FALSE()),0),0)))))</f>
        <v/>
      </c>
      <c r="I577" s="213"/>
      <c r="J577" s="214"/>
      <c r="K577" s="215"/>
      <c r="L577" s="197"/>
      <c r="M577" s="215"/>
      <c r="N577" s="216">
        <f>IFERROR(IF($E577="Inventory",VLOOKUP($C577,Inventory!$B:$I,8,FALSE()),IF($E577="Non Inventory",VLOOKUP($C577,'Non Inventory'!$B:$I,8,FALSE()),IF($E577="Services",VLOOKUP($C577,Services!$B:$I,8,FALSE()),IF($E577="Patty Cash",VLOOKUP($C577,'Patty Cash'!$B:$J,8,FALSE()),0)))),0)</f>
        <v>0</v>
      </c>
      <c r="O577" s="217" t="str">
        <f t="shared" si="8"/>
        <v/>
      </c>
    </row>
    <row r="578" spans="1:15" ht="23.1" customHeight="1">
      <c r="A578" s="206" t="str">
        <f>IF(AND($B578="",$C578=""),"",MAX($A$3:A577)+1)</f>
        <v/>
      </c>
      <c r="B578" s="207"/>
      <c r="C578" s="208"/>
      <c r="D578" s="209" t="str">
        <f>IFERROR(IF($E578="Inventory",VLOOKUP($C578,Inventory!$B:$I,2,FALSE()),IF($E578="Non Inventory",VLOOKUP($C578,'Non Inventory'!$B:$I,2,FALSE()),IF($E578="Services",VLOOKUP($C578,Services!$B:$I,2,FALSE()),IF($E578="Patty Cash",VLOOKUP($C578,'Patty Cash'!$B:$J,2,FALSE()),"")))),"")</f>
        <v/>
      </c>
      <c r="E578" s="246"/>
      <c r="F578" s="210" t="str">
        <f>IFERROR(IF($E578="Inventory",VLOOKUP($C578,Inventory!$B:$I,3,FALSE()),IF($E578="Non Inventory",VLOOKUP($C578,'Non Inventory'!$B:$I,3,FALSE()),IF($E578="Services",VLOOKUP($C578,Services!$B:$I,3,FALSE()),IF($E578="Patty Cash",VLOOKUP($C578,'Patty Cash'!$B:$J,3,FALSE()),"")))),"")</f>
        <v/>
      </c>
      <c r="G578" s="211"/>
      <c r="H578" s="212" t="str">
        <f>IF($E578="","",IF($E578="Inventory",IFERROR(VLOOKUP($C578,Inventory!$B:$H,7,FALSE()),0),IF($E578="Non Inventory",IFERROR(VLOOKUP($C578,'Non Inventory'!$B:$H,7,FALSE()),0),IF($E578="Services",IFERROR(VLOOKUP($C578,Services!$B:$H,7,FALSE()),0),IF($E578="Patty Cash",IFERROR(VLOOKUP($C578,'Patty Cash'!$B:$H,7,FALSE()),0),0)))))</f>
        <v/>
      </c>
      <c r="I578" s="213"/>
      <c r="J578" s="214"/>
      <c r="K578" s="215"/>
      <c r="L578" s="197"/>
      <c r="M578" s="215"/>
      <c r="N578" s="216">
        <f>IFERROR(IF($E578="Inventory",VLOOKUP($C578,Inventory!$B:$I,8,FALSE()),IF($E578="Non Inventory",VLOOKUP($C578,'Non Inventory'!$B:$I,8,FALSE()),IF($E578="Services",VLOOKUP($C578,Services!$B:$I,8,FALSE()),IF($E578="Patty Cash",VLOOKUP($C578,'Patty Cash'!$B:$J,8,FALSE()),0)))),0)</f>
        <v>0</v>
      </c>
      <c r="O578" s="217" t="str">
        <f t="shared" si="8"/>
        <v/>
      </c>
    </row>
    <row r="579" spans="1:15" ht="23.1" customHeight="1">
      <c r="A579" s="206" t="str">
        <f>IF(AND($B579="",$C579=""),"",MAX($A$3:A578)+1)</f>
        <v/>
      </c>
      <c r="B579" s="207"/>
      <c r="C579" s="208"/>
      <c r="D579" s="209" t="str">
        <f>IFERROR(IF($E579="Inventory",VLOOKUP($C579,Inventory!$B:$I,2,FALSE()),IF($E579="Non Inventory",VLOOKUP($C579,'Non Inventory'!$B:$I,2,FALSE()),IF($E579="Services",VLOOKUP($C579,Services!$B:$I,2,FALSE()),IF($E579="Patty Cash",VLOOKUP($C579,'Patty Cash'!$B:$J,2,FALSE()),"")))),"")</f>
        <v/>
      </c>
      <c r="E579" s="246"/>
      <c r="F579" s="210" t="str">
        <f>IFERROR(IF($E579="Inventory",VLOOKUP($C579,Inventory!$B:$I,3,FALSE()),IF($E579="Non Inventory",VLOOKUP($C579,'Non Inventory'!$B:$I,3,FALSE()),IF($E579="Services",VLOOKUP($C579,Services!$B:$I,3,FALSE()),IF($E579="Patty Cash",VLOOKUP($C579,'Patty Cash'!$B:$J,3,FALSE()),"")))),"")</f>
        <v/>
      </c>
      <c r="G579" s="211"/>
      <c r="H579" s="212" t="str">
        <f>IF($E579="","",IF($E579="Inventory",IFERROR(VLOOKUP($C579,Inventory!$B:$H,7,FALSE()),0),IF($E579="Non Inventory",IFERROR(VLOOKUP($C579,'Non Inventory'!$B:$H,7,FALSE()),0),IF($E579="Services",IFERROR(VLOOKUP($C579,Services!$B:$H,7,FALSE()),0),IF($E579="Patty Cash",IFERROR(VLOOKUP($C579,'Patty Cash'!$B:$H,7,FALSE()),0),0)))))</f>
        <v/>
      </c>
      <c r="I579" s="213"/>
      <c r="J579" s="214"/>
      <c r="K579" s="215"/>
      <c r="L579" s="197"/>
      <c r="M579" s="215"/>
      <c r="N579" s="216">
        <f>IFERROR(IF($E579="Inventory",VLOOKUP($C579,Inventory!$B:$I,8,FALSE()),IF($E579="Non Inventory",VLOOKUP($C579,'Non Inventory'!$B:$I,8,FALSE()),IF($E579="Services",VLOOKUP($C579,Services!$B:$I,8,FALSE()),IF($E579="Patty Cash",VLOOKUP($C579,'Patty Cash'!$B:$J,8,FALSE()),0)))),0)</f>
        <v>0</v>
      </c>
      <c r="O579" s="217" t="str">
        <f t="shared" ref="O579:O642" si="9">IF($G579="","",G579*N579)</f>
        <v/>
      </c>
    </row>
    <row r="580" spans="1:15" ht="23.1" customHeight="1">
      <c r="A580" s="206" t="str">
        <f>IF(AND($B580="",$C580=""),"",MAX($A$3:A579)+1)</f>
        <v/>
      </c>
      <c r="B580" s="207"/>
      <c r="C580" s="208"/>
      <c r="D580" s="209" t="str">
        <f>IFERROR(IF($E580="Inventory",VLOOKUP($C580,Inventory!$B:$I,2,FALSE()),IF($E580="Non Inventory",VLOOKUP($C580,'Non Inventory'!$B:$I,2,FALSE()),IF($E580="Services",VLOOKUP($C580,Services!$B:$I,2,FALSE()),IF($E580="Patty Cash",VLOOKUP($C580,'Patty Cash'!$B:$J,2,FALSE()),"")))),"")</f>
        <v/>
      </c>
      <c r="E580" s="246"/>
      <c r="F580" s="210" t="str">
        <f>IFERROR(IF($E580="Inventory",VLOOKUP($C580,Inventory!$B:$I,3,FALSE()),IF($E580="Non Inventory",VLOOKUP($C580,'Non Inventory'!$B:$I,3,FALSE()),IF($E580="Services",VLOOKUP($C580,Services!$B:$I,3,FALSE()),IF($E580="Patty Cash",VLOOKUP($C580,'Patty Cash'!$B:$J,3,FALSE()),"")))),"")</f>
        <v/>
      </c>
      <c r="G580" s="211"/>
      <c r="H580" s="212" t="str">
        <f>IF($E580="","",IF($E580="Inventory",IFERROR(VLOOKUP($C580,Inventory!$B:$H,7,FALSE()),0),IF($E580="Non Inventory",IFERROR(VLOOKUP($C580,'Non Inventory'!$B:$H,7,FALSE()),0),IF($E580="Services",IFERROR(VLOOKUP($C580,Services!$B:$H,7,FALSE()),0),IF($E580="Patty Cash",IFERROR(VLOOKUP($C580,'Patty Cash'!$B:$H,7,FALSE()),0),0)))))</f>
        <v/>
      </c>
      <c r="I580" s="213"/>
      <c r="J580" s="214"/>
      <c r="K580" s="215"/>
      <c r="L580" s="197"/>
      <c r="M580" s="215"/>
      <c r="N580" s="216">
        <f>IFERROR(IF($E580="Inventory",VLOOKUP($C580,Inventory!$B:$I,8,FALSE()),IF($E580="Non Inventory",VLOOKUP($C580,'Non Inventory'!$B:$I,8,FALSE()),IF($E580="Services",VLOOKUP($C580,Services!$B:$I,8,FALSE()),IF($E580="Patty Cash",VLOOKUP($C580,'Patty Cash'!$B:$J,8,FALSE()),0)))),0)</f>
        <v>0</v>
      </c>
      <c r="O580" s="217" t="str">
        <f t="shared" si="9"/>
        <v/>
      </c>
    </row>
    <row r="581" spans="1:15" ht="23.1" customHeight="1">
      <c r="A581" s="206" t="str">
        <f>IF(AND($B581="",$C581=""),"",MAX($A$3:A580)+1)</f>
        <v/>
      </c>
      <c r="B581" s="207"/>
      <c r="C581" s="208"/>
      <c r="D581" s="209" t="str">
        <f>IFERROR(IF($E581="Inventory",VLOOKUP($C581,Inventory!$B:$I,2,FALSE()),IF($E581="Non Inventory",VLOOKUP($C581,'Non Inventory'!$B:$I,2,FALSE()),IF($E581="Services",VLOOKUP($C581,Services!$B:$I,2,FALSE()),IF($E581="Patty Cash",VLOOKUP($C581,'Patty Cash'!$B:$J,2,FALSE()),"")))),"")</f>
        <v/>
      </c>
      <c r="E581" s="246"/>
      <c r="F581" s="210" t="str">
        <f>IFERROR(IF($E581="Inventory",VLOOKUP($C581,Inventory!$B:$I,3,FALSE()),IF($E581="Non Inventory",VLOOKUP($C581,'Non Inventory'!$B:$I,3,FALSE()),IF($E581="Services",VLOOKUP($C581,Services!$B:$I,3,FALSE()),IF($E581="Patty Cash",VLOOKUP($C581,'Patty Cash'!$B:$J,3,FALSE()),"")))),"")</f>
        <v/>
      </c>
      <c r="G581" s="211"/>
      <c r="H581" s="212" t="str">
        <f>IF($E581="","",IF($E581="Inventory",IFERROR(VLOOKUP($C581,Inventory!$B:$H,7,FALSE()),0),IF($E581="Non Inventory",IFERROR(VLOOKUP($C581,'Non Inventory'!$B:$H,7,FALSE()),0),IF($E581="Services",IFERROR(VLOOKUP($C581,Services!$B:$H,7,FALSE()),0),IF($E581="Patty Cash",IFERROR(VLOOKUP($C581,'Patty Cash'!$B:$H,7,FALSE()),0),0)))))</f>
        <v/>
      </c>
      <c r="I581" s="213"/>
      <c r="J581" s="214"/>
      <c r="K581" s="215"/>
      <c r="L581" s="197"/>
      <c r="M581" s="215"/>
      <c r="N581" s="216">
        <f>IFERROR(IF($E581="Inventory",VLOOKUP($C581,Inventory!$B:$I,8,FALSE()),IF($E581="Non Inventory",VLOOKUP($C581,'Non Inventory'!$B:$I,8,FALSE()),IF($E581="Services",VLOOKUP($C581,Services!$B:$I,8,FALSE()),IF($E581="Patty Cash",VLOOKUP($C581,'Patty Cash'!$B:$J,8,FALSE()),0)))),0)</f>
        <v>0</v>
      </c>
      <c r="O581" s="217" t="str">
        <f t="shared" si="9"/>
        <v/>
      </c>
    </row>
    <row r="582" spans="1:15" ht="23.1" customHeight="1">
      <c r="A582" s="206" t="str">
        <f>IF(AND($B582="",$C582=""),"",MAX($A$3:A581)+1)</f>
        <v/>
      </c>
      <c r="B582" s="207"/>
      <c r="C582" s="208"/>
      <c r="D582" s="209" t="str">
        <f>IFERROR(IF($E582="Inventory",VLOOKUP($C582,Inventory!$B:$I,2,FALSE()),IF($E582="Non Inventory",VLOOKUP($C582,'Non Inventory'!$B:$I,2,FALSE()),IF($E582="Services",VLOOKUP($C582,Services!$B:$I,2,FALSE()),IF($E582="Patty Cash",VLOOKUP($C582,'Patty Cash'!$B:$J,2,FALSE()),"")))),"")</f>
        <v/>
      </c>
      <c r="E582" s="246"/>
      <c r="F582" s="210" t="str">
        <f>IFERROR(IF($E582="Inventory",VLOOKUP($C582,Inventory!$B:$I,3,FALSE()),IF($E582="Non Inventory",VLOOKUP($C582,'Non Inventory'!$B:$I,3,FALSE()),IF($E582="Services",VLOOKUP($C582,Services!$B:$I,3,FALSE()),IF($E582="Patty Cash",VLOOKUP($C582,'Patty Cash'!$B:$J,3,FALSE()),"")))),"")</f>
        <v/>
      </c>
      <c r="G582" s="211"/>
      <c r="H582" s="212" t="str">
        <f>IF($E582="","",IF($E582="Inventory",IFERROR(VLOOKUP($C582,Inventory!$B:$H,7,FALSE()),0),IF($E582="Non Inventory",IFERROR(VLOOKUP($C582,'Non Inventory'!$B:$H,7,FALSE()),0),IF($E582="Services",IFERROR(VLOOKUP($C582,Services!$B:$H,7,FALSE()),0),IF($E582="Patty Cash",IFERROR(VLOOKUP($C582,'Patty Cash'!$B:$H,7,FALSE()),0),0)))))</f>
        <v/>
      </c>
      <c r="I582" s="213"/>
      <c r="J582" s="214"/>
      <c r="K582" s="215"/>
      <c r="L582" s="197"/>
      <c r="M582" s="215"/>
      <c r="N582" s="216">
        <f>IFERROR(IF($E582="Inventory",VLOOKUP($C582,Inventory!$B:$I,8,FALSE()),IF($E582="Non Inventory",VLOOKUP($C582,'Non Inventory'!$B:$I,8,FALSE()),IF($E582="Services",VLOOKUP($C582,Services!$B:$I,8,FALSE()),IF($E582="Patty Cash",VLOOKUP($C582,'Patty Cash'!$B:$J,8,FALSE()),0)))),0)</f>
        <v>0</v>
      </c>
      <c r="O582" s="217" t="str">
        <f t="shared" si="9"/>
        <v/>
      </c>
    </row>
    <row r="583" spans="1:15" ht="23.1" customHeight="1">
      <c r="A583" s="206" t="str">
        <f>IF(AND($B583="",$C583=""),"",MAX($A$3:A582)+1)</f>
        <v/>
      </c>
      <c r="B583" s="207"/>
      <c r="C583" s="208"/>
      <c r="D583" s="209" t="str">
        <f>IFERROR(IF($E583="Inventory",VLOOKUP($C583,Inventory!$B:$I,2,FALSE()),IF($E583="Non Inventory",VLOOKUP($C583,'Non Inventory'!$B:$I,2,FALSE()),IF($E583="Services",VLOOKUP($C583,Services!$B:$I,2,FALSE()),IF($E583="Patty Cash",VLOOKUP($C583,'Patty Cash'!$B:$J,2,FALSE()),"")))),"")</f>
        <v/>
      </c>
      <c r="E583" s="246"/>
      <c r="F583" s="210" t="str">
        <f>IFERROR(IF($E583="Inventory",VLOOKUP($C583,Inventory!$B:$I,3,FALSE()),IF($E583="Non Inventory",VLOOKUP($C583,'Non Inventory'!$B:$I,3,FALSE()),IF($E583="Services",VLOOKUP($C583,Services!$B:$I,3,FALSE()),IF($E583="Patty Cash",VLOOKUP($C583,'Patty Cash'!$B:$J,3,FALSE()),"")))),"")</f>
        <v/>
      </c>
      <c r="G583" s="211"/>
      <c r="H583" s="212" t="str">
        <f>IF($E583="","",IF($E583="Inventory",IFERROR(VLOOKUP($C583,Inventory!$B:$H,7,FALSE()),0),IF($E583="Non Inventory",IFERROR(VLOOKUP($C583,'Non Inventory'!$B:$H,7,FALSE()),0),IF($E583="Services",IFERROR(VLOOKUP($C583,Services!$B:$H,7,FALSE()),0),IF($E583="Patty Cash",IFERROR(VLOOKUP($C583,'Patty Cash'!$B:$H,7,FALSE()),0),0)))))</f>
        <v/>
      </c>
      <c r="I583" s="213"/>
      <c r="J583" s="214"/>
      <c r="K583" s="215"/>
      <c r="L583" s="197"/>
      <c r="M583" s="215"/>
      <c r="N583" s="216">
        <f>IFERROR(IF($E583="Inventory",VLOOKUP($C583,Inventory!$B:$I,8,FALSE()),IF($E583="Non Inventory",VLOOKUP($C583,'Non Inventory'!$B:$I,8,FALSE()),IF($E583="Services",VLOOKUP($C583,Services!$B:$I,8,FALSE()),IF($E583="Patty Cash",VLOOKUP($C583,'Patty Cash'!$B:$J,8,FALSE()),0)))),0)</f>
        <v>0</v>
      </c>
      <c r="O583" s="217" t="str">
        <f t="shared" si="9"/>
        <v/>
      </c>
    </row>
    <row r="584" spans="1:15" ht="23.1" customHeight="1">
      <c r="A584" s="206" t="str">
        <f>IF(AND($B584="",$C584=""),"",MAX($A$3:A583)+1)</f>
        <v/>
      </c>
      <c r="B584" s="207"/>
      <c r="C584" s="208"/>
      <c r="D584" s="209" t="str">
        <f>IFERROR(IF($E584="Inventory",VLOOKUP($C584,Inventory!$B:$I,2,FALSE()),IF($E584="Non Inventory",VLOOKUP($C584,'Non Inventory'!$B:$I,2,FALSE()),IF($E584="Services",VLOOKUP($C584,Services!$B:$I,2,FALSE()),IF($E584="Patty Cash",VLOOKUP($C584,'Patty Cash'!$B:$J,2,FALSE()),"")))),"")</f>
        <v/>
      </c>
      <c r="E584" s="246"/>
      <c r="F584" s="210" t="str">
        <f>IFERROR(IF($E584="Inventory",VLOOKUP($C584,Inventory!$B:$I,3,FALSE()),IF($E584="Non Inventory",VLOOKUP($C584,'Non Inventory'!$B:$I,3,FALSE()),IF($E584="Services",VLOOKUP($C584,Services!$B:$I,3,FALSE()),IF($E584="Patty Cash",VLOOKUP($C584,'Patty Cash'!$B:$J,3,FALSE()),"")))),"")</f>
        <v/>
      </c>
      <c r="G584" s="211"/>
      <c r="H584" s="212" t="str">
        <f>IF($E584="","",IF($E584="Inventory",IFERROR(VLOOKUP($C584,Inventory!$B:$H,7,FALSE()),0),IF($E584="Non Inventory",IFERROR(VLOOKUP($C584,'Non Inventory'!$B:$H,7,FALSE()),0),IF($E584="Services",IFERROR(VLOOKUP($C584,Services!$B:$H,7,FALSE()),0),IF($E584="Patty Cash",IFERROR(VLOOKUP($C584,'Patty Cash'!$B:$H,7,FALSE()),0),0)))))</f>
        <v/>
      </c>
      <c r="I584" s="213"/>
      <c r="J584" s="214"/>
      <c r="K584" s="215"/>
      <c r="L584" s="197"/>
      <c r="M584" s="215"/>
      <c r="N584" s="216">
        <f>IFERROR(IF($E584="Inventory",VLOOKUP($C584,Inventory!$B:$I,8,FALSE()),IF($E584="Non Inventory",VLOOKUP($C584,'Non Inventory'!$B:$I,8,FALSE()),IF($E584="Services",VLOOKUP($C584,Services!$B:$I,8,FALSE()),IF($E584="Patty Cash",VLOOKUP($C584,'Patty Cash'!$B:$J,8,FALSE()),0)))),0)</f>
        <v>0</v>
      </c>
      <c r="O584" s="217" t="str">
        <f t="shared" si="9"/>
        <v/>
      </c>
    </row>
    <row r="585" spans="1:15" ht="23.1" customHeight="1">
      <c r="A585" s="206" t="str">
        <f>IF(AND($B585="",$C585=""),"",MAX($A$3:A584)+1)</f>
        <v/>
      </c>
      <c r="B585" s="207"/>
      <c r="C585" s="208"/>
      <c r="D585" s="209" t="str">
        <f>IFERROR(IF($E585="Inventory",VLOOKUP($C585,Inventory!$B:$I,2,FALSE()),IF($E585="Non Inventory",VLOOKUP($C585,'Non Inventory'!$B:$I,2,FALSE()),IF($E585="Services",VLOOKUP($C585,Services!$B:$I,2,FALSE()),IF($E585="Patty Cash",VLOOKUP($C585,'Patty Cash'!$B:$J,2,FALSE()),"")))),"")</f>
        <v/>
      </c>
      <c r="E585" s="246"/>
      <c r="F585" s="210" t="str">
        <f>IFERROR(IF($E585="Inventory",VLOOKUP($C585,Inventory!$B:$I,3,FALSE()),IF($E585="Non Inventory",VLOOKUP($C585,'Non Inventory'!$B:$I,3,FALSE()),IF($E585="Services",VLOOKUP($C585,Services!$B:$I,3,FALSE()),IF($E585="Patty Cash",VLOOKUP($C585,'Patty Cash'!$B:$J,3,FALSE()),"")))),"")</f>
        <v/>
      </c>
      <c r="G585" s="211"/>
      <c r="H585" s="212" t="str">
        <f>IF($E585="","",IF($E585="Inventory",IFERROR(VLOOKUP($C585,Inventory!$B:$H,7,FALSE()),0),IF($E585="Non Inventory",IFERROR(VLOOKUP($C585,'Non Inventory'!$B:$H,7,FALSE()),0),IF($E585="Services",IFERROR(VLOOKUP($C585,Services!$B:$H,7,FALSE()),0),IF($E585="Patty Cash",IFERROR(VLOOKUP($C585,'Patty Cash'!$B:$H,7,FALSE()),0),0)))))</f>
        <v/>
      </c>
      <c r="I585" s="213"/>
      <c r="J585" s="214"/>
      <c r="K585" s="215"/>
      <c r="L585" s="197"/>
      <c r="M585" s="215"/>
      <c r="N585" s="216">
        <f>IFERROR(IF($E585="Inventory",VLOOKUP($C585,Inventory!$B:$I,8,FALSE()),IF($E585="Non Inventory",VLOOKUP($C585,'Non Inventory'!$B:$I,8,FALSE()),IF($E585="Services",VLOOKUP($C585,Services!$B:$I,8,FALSE()),IF($E585="Patty Cash",VLOOKUP($C585,'Patty Cash'!$B:$J,8,FALSE()),0)))),0)</f>
        <v>0</v>
      </c>
      <c r="O585" s="217" t="str">
        <f t="shared" si="9"/>
        <v/>
      </c>
    </row>
    <row r="586" spans="1:15" ht="23.1" customHeight="1">
      <c r="A586" s="206" t="str">
        <f>IF(AND($B586="",$C586=""),"",MAX($A$3:A585)+1)</f>
        <v/>
      </c>
      <c r="B586" s="207"/>
      <c r="C586" s="208"/>
      <c r="D586" s="209" t="str">
        <f>IFERROR(IF($E586="Inventory",VLOOKUP($C586,Inventory!$B:$I,2,FALSE()),IF($E586="Non Inventory",VLOOKUP($C586,'Non Inventory'!$B:$I,2,FALSE()),IF($E586="Services",VLOOKUP($C586,Services!$B:$I,2,FALSE()),IF($E586="Patty Cash",VLOOKUP($C586,'Patty Cash'!$B:$J,2,FALSE()),"")))),"")</f>
        <v/>
      </c>
      <c r="E586" s="246"/>
      <c r="F586" s="210" t="str">
        <f>IFERROR(IF($E586="Inventory",VLOOKUP($C586,Inventory!$B:$I,3,FALSE()),IF($E586="Non Inventory",VLOOKUP($C586,'Non Inventory'!$B:$I,3,FALSE()),IF($E586="Services",VLOOKUP($C586,Services!$B:$I,3,FALSE()),IF($E586="Patty Cash",VLOOKUP($C586,'Patty Cash'!$B:$J,3,FALSE()),"")))),"")</f>
        <v/>
      </c>
      <c r="G586" s="211"/>
      <c r="H586" s="212" t="str">
        <f>IF($E586="","",IF($E586="Inventory",IFERROR(VLOOKUP($C586,Inventory!$B:$H,7,FALSE()),0),IF($E586="Non Inventory",IFERROR(VLOOKUP($C586,'Non Inventory'!$B:$H,7,FALSE()),0),IF($E586="Services",IFERROR(VLOOKUP($C586,Services!$B:$H,7,FALSE()),0),IF($E586="Patty Cash",IFERROR(VLOOKUP($C586,'Patty Cash'!$B:$H,7,FALSE()),0),0)))))</f>
        <v/>
      </c>
      <c r="I586" s="213"/>
      <c r="J586" s="214"/>
      <c r="K586" s="215"/>
      <c r="L586" s="197"/>
      <c r="M586" s="215"/>
      <c r="N586" s="216">
        <f>IFERROR(IF($E586="Inventory",VLOOKUP($C586,Inventory!$B:$I,8,FALSE()),IF($E586="Non Inventory",VLOOKUP($C586,'Non Inventory'!$B:$I,8,FALSE()),IF($E586="Services",VLOOKUP($C586,Services!$B:$I,8,FALSE()),IF($E586="Patty Cash",VLOOKUP($C586,'Patty Cash'!$B:$J,8,FALSE()),0)))),0)</f>
        <v>0</v>
      </c>
      <c r="O586" s="217" t="str">
        <f t="shared" si="9"/>
        <v/>
      </c>
    </row>
    <row r="587" spans="1:15" ht="23.1" customHeight="1">
      <c r="A587" s="206" t="str">
        <f>IF(AND($B587="",$C587=""),"",MAX($A$3:A586)+1)</f>
        <v/>
      </c>
      <c r="B587" s="207"/>
      <c r="C587" s="208"/>
      <c r="D587" s="209" t="str">
        <f>IFERROR(IF($E587="Inventory",VLOOKUP($C587,Inventory!$B:$I,2,FALSE()),IF($E587="Non Inventory",VLOOKUP($C587,'Non Inventory'!$B:$I,2,FALSE()),IF($E587="Services",VLOOKUP($C587,Services!$B:$I,2,FALSE()),IF($E587="Patty Cash",VLOOKUP($C587,'Patty Cash'!$B:$J,2,FALSE()),"")))),"")</f>
        <v/>
      </c>
      <c r="E587" s="246"/>
      <c r="F587" s="210" t="str">
        <f>IFERROR(IF($E587="Inventory",VLOOKUP($C587,Inventory!$B:$I,3,FALSE()),IF($E587="Non Inventory",VLOOKUP($C587,'Non Inventory'!$B:$I,3,FALSE()),IF($E587="Services",VLOOKUP($C587,Services!$B:$I,3,FALSE()),IF($E587="Patty Cash",VLOOKUP($C587,'Patty Cash'!$B:$J,3,FALSE()),"")))),"")</f>
        <v/>
      </c>
      <c r="G587" s="211"/>
      <c r="H587" s="212" t="str">
        <f>IF($E587="","",IF($E587="Inventory",IFERROR(VLOOKUP($C587,Inventory!$B:$H,7,FALSE()),0),IF($E587="Non Inventory",IFERROR(VLOOKUP($C587,'Non Inventory'!$B:$H,7,FALSE()),0),IF($E587="Services",IFERROR(VLOOKUP($C587,Services!$B:$H,7,FALSE()),0),IF($E587="Patty Cash",IFERROR(VLOOKUP($C587,'Patty Cash'!$B:$H,7,FALSE()),0),0)))))</f>
        <v/>
      </c>
      <c r="I587" s="213"/>
      <c r="J587" s="214"/>
      <c r="K587" s="215"/>
      <c r="L587" s="197"/>
      <c r="M587" s="215"/>
      <c r="N587" s="216">
        <f>IFERROR(IF($E587="Inventory",VLOOKUP($C587,Inventory!$B:$I,8,FALSE()),IF($E587="Non Inventory",VLOOKUP($C587,'Non Inventory'!$B:$I,8,FALSE()),IF($E587="Services",VLOOKUP($C587,Services!$B:$I,8,FALSE()),IF($E587="Patty Cash",VLOOKUP($C587,'Patty Cash'!$B:$J,8,FALSE()),0)))),0)</f>
        <v>0</v>
      </c>
      <c r="O587" s="217" t="str">
        <f t="shared" si="9"/>
        <v/>
      </c>
    </row>
    <row r="588" spans="1:15" ht="23.1" customHeight="1">
      <c r="A588" s="206" t="str">
        <f>IF(AND($B588="",$C588=""),"",MAX($A$3:A587)+1)</f>
        <v/>
      </c>
      <c r="B588" s="207"/>
      <c r="C588" s="208"/>
      <c r="D588" s="209" t="str">
        <f>IFERROR(IF($E588="Inventory",VLOOKUP($C588,Inventory!$B:$I,2,FALSE()),IF($E588="Non Inventory",VLOOKUP($C588,'Non Inventory'!$B:$I,2,FALSE()),IF($E588="Services",VLOOKUP($C588,Services!$B:$I,2,FALSE()),IF($E588="Patty Cash",VLOOKUP($C588,'Patty Cash'!$B:$J,2,FALSE()),"")))),"")</f>
        <v/>
      </c>
      <c r="E588" s="246"/>
      <c r="F588" s="210" t="str">
        <f>IFERROR(IF($E588="Inventory",VLOOKUP($C588,Inventory!$B:$I,3,FALSE()),IF($E588="Non Inventory",VLOOKUP($C588,'Non Inventory'!$B:$I,3,FALSE()),IF($E588="Services",VLOOKUP($C588,Services!$B:$I,3,FALSE()),IF($E588="Patty Cash",VLOOKUP($C588,'Patty Cash'!$B:$J,3,FALSE()),"")))),"")</f>
        <v/>
      </c>
      <c r="G588" s="211"/>
      <c r="H588" s="212" t="str">
        <f>IF($E588="","",IF($E588="Inventory",IFERROR(VLOOKUP($C588,Inventory!$B:$H,7,FALSE()),0),IF($E588="Non Inventory",IFERROR(VLOOKUP($C588,'Non Inventory'!$B:$H,7,FALSE()),0),IF($E588="Services",IFERROR(VLOOKUP($C588,Services!$B:$H,7,FALSE()),0),IF($E588="Patty Cash",IFERROR(VLOOKUP($C588,'Patty Cash'!$B:$H,7,FALSE()),0),0)))))</f>
        <v/>
      </c>
      <c r="I588" s="213"/>
      <c r="J588" s="214"/>
      <c r="K588" s="215"/>
      <c r="L588" s="197"/>
      <c r="M588" s="215"/>
      <c r="N588" s="216">
        <f>IFERROR(IF($E588="Inventory",VLOOKUP($C588,Inventory!$B:$I,8,FALSE()),IF($E588="Non Inventory",VLOOKUP($C588,'Non Inventory'!$B:$I,8,FALSE()),IF($E588="Services",VLOOKUP($C588,Services!$B:$I,8,FALSE()),IF($E588="Patty Cash",VLOOKUP($C588,'Patty Cash'!$B:$J,8,FALSE()),0)))),0)</f>
        <v>0</v>
      </c>
      <c r="O588" s="217" t="str">
        <f t="shared" si="9"/>
        <v/>
      </c>
    </row>
    <row r="589" spans="1:15" ht="23.1" customHeight="1">
      <c r="A589" s="206" t="str">
        <f>IF(AND($B589="",$C589=""),"",MAX($A$3:A588)+1)</f>
        <v/>
      </c>
      <c r="B589" s="207"/>
      <c r="C589" s="208"/>
      <c r="D589" s="209" t="str">
        <f>IFERROR(IF($E589="Inventory",VLOOKUP($C589,Inventory!$B:$I,2,FALSE()),IF($E589="Non Inventory",VLOOKUP($C589,'Non Inventory'!$B:$I,2,FALSE()),IF($E589="Services",VLOOKUP($C589,Services!$B:$I,2,FALSE()),IF($E589="Patty Cash",VLOOKUP($C589,'Patty Cash'!$B:$J,2,FALSE()),"")))),"")</f>
        <v/>
      </c>
      <c r="E589" s="246"/>
      <c r="F589" s="210" t="str">
        <f>IFERROR(IF($E589="Inventory",VLOOKUP($C589,Inventory!$B:$I,3,FALSE()),IF($E589="Non Inventory",VLOOKUP($C589,'Non Inventory'!$B:$I,3,FALSE()),IF($E589="Services",VLOOKUP($C589,Services!$B:$I,3,FALSE()),IF($E589="Patty Cash",VLOOKUP($C589,'Patty Cash'!$B:$J,3,FALSE()),"")))),"")</f>
        <v/>
      </c>
      <c r="G589" s="211"/>
      <c r="H589" s="212" t="str">
        <f>IF($E589="","",IF($E589="Inventory",IFERROR(VLOOKUP($C589,Inventory!$B:$H,7,FALSE()),0),IF($E589="Non Inventory",IFERROR(VLOOKUP($C589,'Non Inventory'!$B:$H,7,FALSE()),0),IF($E589="Services",IFERROR(VLOOKUP($C589,Services!$B:$H,7,FALSE()),0),IF($E589="Patty Cash",IFERROR(VLOOKUP($C589,'Patty Cash'!$B:$H,7,FALSE()),0),0)))))</f>
        <v/>
      </c>
      <c r="I589" s="213"/>
      <c r="J589" s="214"/>
      <c r="K589" s="215"/>
      <c r="L589" s="197"/>
      <c r="M589" s="215"/>
      <c r="N589" s="216">
        <f>IFERROR(IF($E589="Inventory",VLOOKUP($C589,Inventory!$B:$I,8,FALSE()),IF($E589="Non Inventory",VLOOKUP($C589,'Non Inventory'!$B:$I,8,FALSE()),IF($E589="Services",VLOOKUP($C589,Services!$B:$I,8,FALSE()),IF($E589="Patty Cash",VLOOKUP($C589,'Patty Cash'!$B:$J,8,FALSE()),0)))),0)</f>
        <v>0</v>
      </c>
      <c r="O589" s="217" t="str">
        <f t="shared" si="9"/>
        <v/>
      </c>
    </row>
    <row r="590" spans="1:15" ht="23.1" customHeight="1">
      <c r="A590" s="206" t="str">
        <f>IF(AND($B590="",$C590=""),"",MAX($A$3:A589)+1)</f>
        <v/>
      </c>
      <c r="B590" s="207"/>
      <c r="C590" s="208"/>
      <c r="D590" s="209" t="str">
        <f>IFERROR(IF($E590="Inventory",VLOOKUP($C590,Inventory!$B:$I,2,FALSE()),IF($E590="Non Inventory",VLOOKUP($C590,'Non Inventory'!$B:$I,2,FALSE()),IF($E590="Services",VLOOKUP($C590,Services!$B:$I,2,FALSE()),IF($E590="Patty Cash",VLOOKUP($C590,'Patty Cash'!$B:$J,2,FALSE()),"")))),"")</f>
        <v/>
      </c>
      <c r="E590" s="246"/>
      <c r="F590" s="210" t="str">
        <f>IFERROR(IF($E590="Inventory",VLOOKUP($C590,Inventory!$B:$I,3,FALSE()),IF($E590="Non Inventory",VLOOKUP($C590,'Non Inventory'!$B:$I,3,FALSE()),IF($E590="Services",VLOOKUP($C590,Services!$B:$I,3,FALSE()),IF($E590="Patty Cash",VLOOKUP($C590,'Patty Cash'!$B:$J,3,FALSE()),"")))),"")</f>
        <v/>
      </c>
      <c r="G590" s="211"/>
      <c r="H590" s="212" t="str">
        <f>IF($E590="","",IF($E590="Inventory",IFERROR(VLOOKUP($C590,Inventory!$B:$H,7,FALSE()),0),IF($E590="Non Inventory",IFERROR(VLOOKUP($C590,'Non Inventory'!$B:$H,7,FALSE()),0),IF($E590="Services",IFERROR(VLOOKUP($C590,Services!$B:$H,7,FALSE()),0),IF($E590="Patty Cash",IFERROR(VLOOKUP($C590,'Patty Cash'!$B:$H,7,FALSE()),0),0)))))</f>
        <v/>
      </c>
      <c r="I590" s="213"/>
      <c r="J590" s="214"/>
      <c r="K590" s="215"/>
      <c r="L590" s="197"/>
      <c r="M590" s="215"/>
      <c r="N590" s="216">
        <f>IFERROR(IF($E590="Inventory",VLOOKUP($C590,Inventory!$B:$I,8,FALSE()),IF($E590="Non Inventory",VLOOKUP($C590,'Non Inventory'!$B:$I,8,FALSE()),IF($E590="Services",VLOOKUP($C590,Services!$B:$I,8,FALSE()),IF($E590="Patty Cash",VLOOKUP($C590,'Patty Cash'!$B:$J,8,FALSE()),0)))),0)</f>
        <v>0</v>
      </c>
      <c r="O590" s="217" t="str">
        <f t="shared" si="9"/>
        <v/>
      </c>
    </row>
    <row r="591" spans="1:15" ht="23.1" customHeight="1">
      <c r="A591" s="206" t="str">
        <f>IF(AND($B591="",$C591=""),"",MAX($A$3:A590)+1)</f>
        <v/>
      </c>
      <c r="B591" s="207"/>
      <c r="C591" s="208"/>
      <c r="D591" s="209" t="str">
        <f>IFERROR(IF($E591="Inventory",VLOOKUP($C591,Inventory!$B:$I,2,FALSE()),IF($E591="Non Inventory",VLOOKUP($C591,'Non Inventory'!$B:$I,2,FALSE()),IF($E591="Services",VLOOKUP($C591,Services!$B:$I,2,FALSE()),IF($E591="Patty Cash",VLOOKUP($C591,'Patty Cash'!$B:$J,2,FALSE()),"")))),"")</f>
        <v/>
      </c>
      <c r="E591" s="246"/>
      <c r="F591" s="210" t="str">
        <f>IFERROR(IF($E591="Inventory",VLOOKUP($C591,Inventory!$B:$I,3,FALSE()),IF($E591="Non Inventory",VLOOKUP($C591,'Non Inventory'!$B:$I,3,FALSE()),IF($E591="Services",VLOOKUP($C591,Services!$B:$I,3,FALSE()),IF($E591="Patty Cash",VLOOKUP($C591,'Patty Cash'!$B:$J,3,FALSE()),"")))),"")</f>
        <v/>
      </c>
      <c r="G591" s="211"/>
      <c r="H591" s="212" t="str">
        <f>IF($E591="","",IF($E591="Inventory",IFERROR(VLOOKUP($C591,Inventory!$B:$H,7,FALSE()),0),IF($E591="Non Inventory",IFERROR(VLOOKUP($C591,'Non Inventory'!$B:$H,7,FALSE()),0),IF($E591="Services",IFERROR(VLOOKUP($C591,Services!$B:$H,7,FALSE()),0),IF($E591="Patty Cash",IFERROR(VLOOKUP($C591,'Patty Cash'!$B:$H,7,FALSE()),0),0)))))</f>
        <v/>
      </c>
      <c r="I591" s="213"/>
      <c r="J591" s="214"/>
      <c r="K591" s="215"/>
      <c r="L591" s="197"/>
      <c r="M591" s="215"/>
      <c r="N591" s="216">
        <f>IFERROR(IF($E591="Inventory",VLOOKUP($C591,Inventory!$B:$I,8,FALSE()),IF($E591="Non Inventory",VLOOKUP($C591,'Non Inventory'!$B:$I,8,FALSE()),IF($E591="Services",VLOOKUP($C591,Services!$B:$I,8,FALSE()),IF($E591="Patty Cash",VLOOKUP($C591,'Patty Cash'!$B:$J,8,FALSE()),0)))),0)</f>
        <v>0</v>
      </c>
      <c r="O591" s="217" t="str">
        <f t="shared" si="9"/>
        <v/>
      </c>
    </row>
    <row r="592" spans="1:15" ht="23.1" customHeight="1">
      <c r="A592" s="206" t="str">
        <f>IF(AND($B592="",$C592=""),"",MAX($A$3:A591)+1)</f>
        <v/>
      </c>
      <c r="B592" s="207"/>
      <c r="C592" s="208"/>
      <c r="D592" s="209" t="str">
        <f>IFERROR(IF($E592="Inventory",VLOOKUP($C592,Inventory!$B:$I,2,FALSE()),IF($E592="Non Inventory",VLOOKUP($C592,'Non Inventory'!$B:$I,2,FALSE()),IF($E592="Services",VLOOKUP($C592,Services!$B:$I,2,FALSE()),IF($E592="Patty Cash",VLOOKUP($C592,'Patty Cash'!$B:$J,2,FALSE()),"")))),"")</f>
        <v/>
      </c>
      <c r="E592" s="246"/>
      <c r="F592" s="210" t="str">
        <f>IFERROR(IF($E592="Inventory",VLOOKUP($C592,Inventory!$B:$I,3,FALSE()),IF($E592="Non Inventory",VLOOKUP($C592,'Non Inventory'!$B:$I,3,FALSE()),IF($E592="Services",VLOOKUP($C592,Services!$B:$I,3,FALSE()),IF($E592="Patty Cash",VLOOKUP($C592,'Patty Cash'!$B:$J,3,FALSE()),"")))),"")</f>
        <v/>
      </c>
      <c r="G592" s="211"/>
      <c r="H592" s="212" t="str">
        <f>IF($E592="","",IF($E592="Inventory",IFERROR(VLOOKUP($C592,Inventory!$B:$H,7,FALSE()),0),IF($E592="Non Inventory",IFERROR(VLOOKUP($C592,'Non Inventory'!$B:$H,7,FALSE()),0),IF($E592="Services",IFERROR(VLOOKUP($C592,Services!$B:$H,7,FALSE()),0),IF($E592="Patty Cash",IFERROR(VLOOKUP($C592,'Patty Cash'!$B:$H,7,FALSE()),0),0)))))</f>
        <v/>
      </c>
      <c r="I592" s="213"/>
      <c r="J592" s="214"/>
      <c r="K592" s="215"/>
      <c r="L592" s="197"/>
      <c r="M592" s="215"/>
      <c r="N592" s="216">
        <f>IFERROR(IF($E592="Inventory",VLOOKUP($C592,Inventory!$B:$I,8,FALSE()),IF($E592="Non Inventory",VLOOKUP($C592,'Non Inventory'!$B:$I,8,FALSE()),IF($E592="Services",VLOOKUP($C592,Services!$B:$I,8,FALSE()),IF($E592="Patty Cash",VLOOKUP($C592,'Patty Cash'!$B:$J,8,FALSE()),0)))),0)</f>
        <v>0</v>
      </c>
      <c r="O592" s="217" t="str">
        <f t="shared" si="9"/>
        <v/>
      </c>
    </row>
    <row r="593" spans="1:15" ht="23.1" customHeight="1">
      <c r="A593" s="206" t="str">
        <f>IF(AND($B593="",$C593=""),"",MAX($A$3:A592)+1)</f>
        <v/>
      </c>
      <c r="B593" s="207"/>
      <c r="C593" s="208"/>
      <c r="D593" s="209" t="str">
        <f>IFERROR(IF($E593="Inventory",VLOOKUP($C593,Inventory!$B:$I,2,FALSE()),IF($E593="Non Inventory",VLOOKUP($C593,'Non Inventory'!$B:$I,2,FALSE()),IF($E593="Services",VLOOKUP($C593,Services!$B:$I,2,FALSE()),IF($E593="Patty Cash",VLOOKUP($C593,'Patty Cash'!$B:$J,2,FALSE()),"")))),"")</f>
        <v/>
      </c>
      <c r="E593" s="246"/>
      <c r="F593" s="210" t="str">
        <f>IFERROR(IF($E593="Inventory",VLOOKUP($C593,Inventory!$B:$I,3,FALSE()),IF($E593="Non Inventory",VLOOKUP($C593,'Non Inventory'!$B:$I,3,FALSE()),IF($E593="Services",VLOOKUP($C593,Services!$B:$I,3,FALSE()),IF($E593="Patty Cash",VLOOKUP($C593,'Patty Cash'!$B:$J,3,FALSE()),"")))),"")</f>
        <v/>
      </c>
      <c r="G593" s="211"/>
      <c r="H593" s="212" t="str">
        <f>IF($E593="","",IF($E593="Inventory",IFERROR(VLOOKUP($C593,Inventory!$B:$H,7,FALSE()),0),IF($E593="Non Inventory",IFERROR(VLOOKUP($C593,'Non Inventory'!$B:$H,7,FALSE()),0),IF($E593="Services",IFERROR(VLOOKUP($C593,Services!$B:$H,7,FALSE()),0),IF($E593="Patty Cash",IFERROR(VLOOKUP($C593,'Patty Cash'!$B:$H,7,FALSE()),0),0)))))</f>
        <v/>
      </c>
      <c r="I593" s="213"/>
      <c r="J593" s="214"/>
      <c r="K593" s="215"/>
      <c r="L593" s="197"/>
      <c r="M593" s="215"/>
      <c r="N593" s="216">
        <f>IFERROR(IF($E593="Inventory",VLOOKUP($C593,Inventory!$B:$I,8,FALSE()),IF($E593="Non Inventory",VLOOKUP($C593,'Non Inventory'!$B:$I,8,FALSE()),IF($E593="Services",VLOOKUP($C593,Services!$B:$I,8,FALSE()),IF($E593="Patty Cash",VLOOKUP($C593,'Patty Cash'!$B:$J,8,FALSE()),0)))),0)</f>
        <v>0</v>
      </c>
      <c r="O593" s="217" t="str">
        <f t="shared" si="9"/>
        <v/>
      </c>
    </row>
    <row r="594" spans="1:15" ht="23.1" customHeight="1">
      <c r="A594" s="206" t="str">
        <f>IF(AND($B594="",$C594=""),"",MAX($A$3:A593)+1)</f>
        <v/>
      </c>
      <c r="B594" s="207"/>
      <c r="C594" s="208"/>
      <c r="D594" s="209" t="str">
        <f>IFERROR(IF($E594="Inventory",VLOOKUP($C594,Inventory!$B:$I,2,FALSE()),IF($E594="Non Inventory",VLOOKUP($C594,'Non Inventory'!$B:$I,2,FALSE()),IF($E594="Services",VLOOKUP($C594,Services!$B:$I,2,FALSE()),IF($E594="Patty Cash",VLOOKUP($C594,'Patty Cash'!$B:$J,2,FALSE()),"")))),"")</f>
        <v/>
      </c>
      <c r="E594" s="246"/>
      <c r="F594" s="210" t="str">
        <f>IFERROR(IF($E594="Inventory",VLOOKUP($C594,Inventory!$B:$I,3,FALSE()),IF($E594="Non Inventory",VLOOKUP($C594,'Non Inventory'!$B:$I,3,FALSE()),IF($E594="Services",VLOOKUP($C594,Services!$B:$I,3,FALSE()),IF($E594="Patty Cash",VLOOKUP($C594,'Patty Cash'!$B:$J,3,FALSE()),"")))),"")</f>
        <v/>
      </c>
      <c r="G594" s="211"/>
      <c r="H594" s="212" t="str">
        <f>IF($E594="","",IF($E594="Inventory",IFERROR(VLOOKUP($C594,Inventory!$B:$H,7,FALSE()),0),IF($E594="Non Inventory",IFERROR(VLOOKUP($C594,'Non Inventory'!$B:$H,7,FALSE()),0),IF($E594="Services",IFERROR(VLOOKUP($C594,Services!$B:$H,7,FALSE()),0),IF($E594="Patty Cash",IFERROR(VLOOKUP($C594,'Patty Cash'!$B:$H,7,FALSE()),0),0)))))</f>
        <v/>
      </c>
      <c r="I594" s="213"/>
      <c r="J594" s="214"/>
      <c r="K594" s="215"/>
      <c r="L594" s="197"/>
      <c r="M594" s="215"/>
      <c r="N594" s="216">
        <f>IFERROR(IF($E594="Inventory",VLOOKUP($C594,Inventory!$B:$I,8,FALSE()),IF($E594="Non Inventory",VLOOKUP($C594,'Non Inventory'!$B:$I,8,FALSE()),IF($E594="Services",VLOOKUP($C594,Services!$B:$I,8,FALSE()),IF($E594="Patty Cash",VLOOKUP($C594,'Patty Cash'!$B:$J,8,FALSE()),0)))),0)</f>
        <v>0</v>
      </c>
      <c r="O594" s="217" t="str">
        <f t="shared" si="9"/>
        <v/>
      </c>
    </row>
    <row r="595" spans="1:15" ht="23.1" customHeight="1">
      <c r="A595" s="206" t="str">
        <f>IF(AND($B595="",$C595=""),"",MAX($A$3:A594)+1)</f>
        <v/>
      </c>
      <c r="B595" s="207"/>
      <c r="C595" s="208"/>
      <c r="D595" s="209" t="str">
        <f>IFERROR(IF($E595="Inventory",VLOOKUP($C595,Inventory!$B:$I,2,FALSE()),IF($E595="Non Inventory",VLOOKUP($C595,'Non Inventory'!$B:$I,2,FALSE()),IF($E595="Services",VLOOKUP($C595,Services!$B:$I,2,FALSE()),IF($E595="Patty Cash",VLOOKUP($C595,'Patty Cash'!$B:$J,2,FALSE()),"")))),"")</f>
        <v/>
      </c>
      <c r="E595" s="246"/>
      <c r="F595" s="210" t="str">
        <f>IFERROR(IF($E595="Inventory",VLOOKUP($C595,Inventory!$B:$I,3,FALSE()),IF($E595="Non Inventory",VLOOKUP($C595,'Non Inventory'!$B:$I,3,FALSE()),IF($E595="Services",VLOOKUP($C595,Services!$B:$I,3,FALSE()),IF($E595="Patty Cash",VLOOKUP($C595,'Patty Cash'!$B:$J,3,FALSE()),"")))),"")</f>
        <v/>
      </c>
      <c r="G595" s="211"/>
      <c r="H595" s="212" t="str">
        <f>IF($E595="","",IF($E595="Inventory",IFERROR(VLOOKUP($C595,Inventory!$B:$H,7,FALSE()),0),IF($E595="Non Inventory",IFERROR(VLOOKUP($C595,'Non Inventory'!$B:$H,7,FALSE()),0),IF($E595="Services",IFERROR(VLOOKUP($C595,Services!$B:$H,7,FALSE()),0),IF($E595="Patty Cash",IFERROR(VLOOKUP($C595,'Patty Cash'!$B:$H,7,FALSE()),0),0)))))</f>
        <v/>
      </c>
      <c r="I595" s="213"/>
      <c r="J595" s="214"/>
      <c r="K595" s="215"/>
      <c r="L595" s="197"/>
      <c r="M595" s="215"/>
      <c r="N595" s="216">
        <f>IFERROR(IF($E595="Inventory",VLOOKUP($C595,Inventory!$B:$I,8,FALSE()),IF($E595="Non Inventory",VLOOKUP($C595,'Non Inventory'!$B:$I,8,FALSE()),IF($E595="Services",VLOOKUP($C595,Services!$B:$I,8,FALSE()),IF($E595="Patty Cash",VLOOKUP($C595,'Patty Cash'!$B:$J,8,FALSE()),0)))),0)</f>
        <v>0</v>
      </c>
      <c r="O595" s="217" t="str">
        <f t="shared" si="9"/>
        <v/>
      </c>
    </row>
    <row r="596" spans="1:15" ht="23.1" customHeight="1">
      <c r="A596" s="206" t="str">
        <f>IF(AND($B596="",$C596=""),"",MAX($A$3:A595)+1)</f>
        <v/>
      </c>
      <c r="B596" s="207"/>
      <c r="C596" s="208"/>
      <c r="D596" s="209" t="str">
        <f>IFERROR(IF($E596="Inventory",VLOOKUP($C596,Inventory!$B:$I,2,FALSE()),IF($E596="Non Inventory",VLOOKUP($C596,'Non Inventory'!$B:$I,2,FALSE()),IF($E596="Services",VLOOKUP($C596,Services!$B:$I,2,FALSE()),IF($E596="Patty Cash",VLOOKUP($C596,'Patty Cash'!$B:$J,2,FALSE()),"")))),"")</f>
        <v/>
      </c>
      <c r="E596" s="246"/>
      <c r="F596" s="210" t="str">
        <f>IFERROR(IF($E596="Inventory",VLOOKUP($C596,Inventory!$B:$I,3,FALSE()),IF($E596="Non Inventory",VLOOKUP($C596,'Non Inventory'!$B:$I,3,FALSE()),IF($E596="Services",VLOOKUP($C596,Services!$B:$I,3,FALSE()),IF($E596="Patty Cash",VLOOKUP($C596,'Patty Cash'!$B:$J,3,FALSE()),"")))),"")</f>
        <v/>
      </c>
      <c r="G596" s="211"/>
      <c r="H596" s="212" t="str">
        <f>IF($E596="","",IF($E596="Inventory",IFERROR(VLOOKUP($C596,Inventory!$B:$H,7,FALSE()),0),IF($E596="Non Inventory",IFERROR(VLOOKUP($C596,'Non Inventory'!$B:$H,7,FALSE()),0),IF($E596="Services",IFERROR(VLOOKUP($C596,Services!$B:$H,7,FALSE()),0),IF($E596="Patty Cash",IFERROR(VLOOKUP($C596,'Patty Cash'!$B:$H,7,FALSE()),0),0)))))</f>
        <v/>
      </c>
      <c r="I596" s="213"/>
      <c r="J596" s="214"/>
      <c r="K596" s="215"/>
      <c r="L596" s="197"/>
      <c r="M596" s="215"/>
      <c r="N596" s="216">
        <f>IFERROR(IF($E596="Inventory",VLOOKUP($C596,Inventory!$B:$I,8,FALSE()),IF($E596="Non Inventory",VLOOKUP($C596,'Non Inventory'!$B:$I,8,FALSE()),IF($E596="Services",VLOOKUP($C596,Services!$B:$I,8,FALSE()),IF($E596="Patty Cash",VLOOKUP($C596,'Patty Cash'!$B:$J,8,FALSE()),0)))),0)</f>
        <v>0</v>
      </c>
      <c r="O596" s="217" t="str">
        <f t="shared" si="9"/>
        <v/>
      </c>
    </row>
    <row r="597" spans="1:15" ht="23.1" customHeight="1">
      <c r="A597" s="206" t="str">
        <f>IF(AND($B597="",$C597=""),"",MAX($A$3:A596)+1)</f>
        <v/>
      </c>
      <c r="B597" s="207"/>
      <c r="C597" s="208"/>
      <c r="D597" s="209" t="str">
        <f>IFERROR(IF($E597="Inventory",VLOOKUP($C597,Inventory!$B:$I,2,FALSE()),IF($E597="Non Inventory",VLOOKUP($C597,'Non Inventory'!$B:$I,2,FALSE()),IF($E597="Services",VLOOKUP($C597,Services!$B:$I,2,FALSE()),IF($E597="Patty Cash",VLOOKUP($C597,'Patty Cash'!$B:$J,2,FALSE()),"")))),"")</f>
        <v/>
      </c>
      <c r="E597" s="246"/>
      <c r="F597" s="210" t="str">
        <f>IFERROR(IF($E597="Inventory",VLOOKUP($C597,Inventory!$B:$I,3,FALSE()),IF($E597="Non Inventory",VLOOKUP($C597,'Non Inventory'!$B:$I,3,FALSE()),IF($E597="Services",VLOOKUP($C597,Services!$B:$I,3,FALSE()),IF($E597="Patty Cash",VLOOKUP($C597,'Patty Cash'!$B:$J,3,FALSE()),"")))),"")</f>
        <v/>
      </c>
      <c r="G597" s="211"/>
      <c r="H597" s="212" t="str">
        <f>IF($E597="","",IF($E597="Inventory",IFERROR(VLOOKUP($C597,Inventory!$B:$H,7,FALSE()),0),IF($E597="Non Inventory",IFERROR(VLOOKUP($C597,'Non Inventory'!$B:$H,7,FALSE()),0),IF($E597="Services",IFERROR(VLOOKUP($C597,Services!$B:$H,7,FALSE()),0),IF($E597="Patty Cash",IFERROR(VLOOKUP($C597,'Patty Cash'!$B:$H,7,FALSE()),0),0)))))</f>
        <v/>
      </c>
      <c r="I597" s="213"/>
      <c r="J597" s="214"/>
      <c r="K597" s="215"/>
      <c r="L597" s="197"/>
      <c r="M597" s="215"/>
      <c r="N597" s="216">
        <f>IFERROR(IF($E597="Inventory",VLOOKUP($C597,Inventory!$B:$I,8,FALSE()),IF($E597="Non Inventory",VLOOKUP($C597,'Non Inventory'!$B:$I,8,FALSE()),IF($E597="Services",VLOOKUP($C597,Services!$B:$I,8,FALSE()),IF($E597="Patty Cash",VLOOKUP($C597,'Patty Cash'!$B:$J,8,FALSE()),0)))),0)</f>
        <v>0</v>
      </c>
      <c r="O597" s="217" t="str">
        <f t="shared" si="9"/>
        <v/>
      </c>
    </row>
    <row r="598" spans="1:15" ht="23.1" customHeight="1">
      <c r="A598" s="206" t="str">
        <f>IF(AND($B598="",$C598=""),"",MAX($A$3:A597)+1)</f>
        <v/>
      </c>
      <c r="B598" s="207"/>
      <c r="C598" s="208"/>
      <c r="D598" s="209" t="str">
        <f>IFERROR(IF($E598="Inventory",VLOOKUP($C598,Inventory!$B:$I,2,FALSE()),IF($E598="Non Inventory",VLOOKUP($C598,'Non Inventory'!$B:$I,2,FALSE()),IF($E598="Services",VLOOKUP($C598,Services!$B:$I,2,FALSE()),IF($E598="Patty Cash",VLOOKUP($C598,'Patty Cash'!$B:$J,2,FALSE()),"")))),"")</f>
        <v/>
      </c>
      <c r="E598" s="246"/>
      <c r="F598" s="210" t="str">
        <f>IFERROR(IF($E598="Inventory",VLOOKUP($C598,Inventory!$B:$I,3,FALSE()),IF($E598="Non Inventory",VLOOKUP($C598,'Non Inventory'!$B:$I,3,FALSE()),IF($E598="Services",VLOOKUP($C598,Services!$B:$I,3,FALSE()),IF($E598="Patty Cash",VLOOKUP($C598,'Patty Cash'!$B:$J,3,FALSE()),"")))),"")</f>
        <v/>
      </c>
      <c r="G598" s="211"/>
      <c r="H598" s="212" t="str">
        <f>IF($E598="","",IF($E598="Inventory",IFERROR(VLOOKUP($C598,Inventory!$B:$H,7,FALSE()),0),IF($E598="Non Inventory",IFERROR(VLOOKUP($C598,'Non Inventory'!$B:$H,7,FALSE()),0),IF($E598="Services",IFERROR(VLOOKUP($C598,Services!$B:$H,7,FALSE()),0),IF($E598="Patty Cash",IFERROR(VLOOKUP($C598,'Patty Cash'!$B:$H,7,FALSE()),0),0)))))</f>
        <v/>
      </c>
      <c r="I598" s="213"/>
      <c r="J598" s="214"/>
      <c r="K598" s="215"/>
      <c r="L598" s="197"/>
      <c r="M598" s="215"/>
      <c r="N598" s="216">
        <f>IFERROR(IF($E598="Inventory",VLOOKUP($C598,Inventory!$B:$I,8,FALSE()),IF($E598="Non Inventory",VLOOKUP($C598,'Non Inventory'!$B:$I,8,FALSE()),IF($E598="Services",VLOOKUP($C598,Services!$B:$I,8,FALSE()),IF($E598="Patty Cash",VLOOKUP($C598,'Patty Cash'!$B:$J,8,FALSE()),0)))),0)</f>
        <v>0</v>
      </c>
      <c r="O598" s="217" t="str">
        <f t="shared" si="9"/>
        <v/>
      </c>
    </row>
    <row r="599" spans="1:15" ht="23.1" customHeight="1">
      <c r="A599" s="206" t="str">
        <f>IF(AND($B599="",$C599=""),"",MAX($A$3:A598)+1)</f>
        <v/>
      </c>
      <c r="B599" s="207"/>
      <c r="C599" s="208"/>
      <c r="D599" s="209" t="str">
        <f>IFERROR(IF($E599="Inventory",VLOOKUP($C599,Inventory!$B:$I,2,FALSE()),IF($E599="Non Inventory",VLOOKUP($C599,'Non Inventory'!$B:$I,2,FALSE()),IF($E599="Services",VLOOKUP($C599,Services!$B:$I,2,FALSE()),IF($E599="Patty Cash",VLOOKUP($C599,'Patty Cash'!$B:$J,2,FALSE()),"")))),"")</f>
        <v/>
      </c>
      <c r="E599" s="246"/>
      <c r="F599" s="210" t="str">
        <f>IFERROR(IF($E599="Inventory",VLOOKUP($C599,Inventory!$B:$I,3,FALSE()),IF($E599="Non Inventory",VLOOKUP($C599,'Non Inventory'!$B:$I,3,FALSE()),IF($E599="Services",VLOOKUP($C599,Services!$B:$I,3,FALSE()),IF($E599="Patty Cash",VLOOKUP($C599,'Patty Cash'!$B:$J,3,FALSE()),"")))),"")</f>
        <v/>
      </c>
      <c r="G599" s="211"/>
      <c r="H599" s="212" t="str">
        <f>IF($E599="","",IF($E599="Inventory",IFERROR(VLOOKUP($C599,Inventory!$B:$H,7,FALSE()),0),IF($E599="Non Inventory",IFERROR(VLOOKUP($C599,'Non Inventory'!$B:$H,7,FALSE()),0),IF($E599="Services",IFERROR(VLOOKUP($C599,Services!$B:$H,7,FALSE()),0),IF($E599="Patty Cash",IFERROR(VLOOKUP($C599,'Patty Cash'!$B:$H,7,FALSE()),0),0)))))</f>
        <v/>
      </c>
      <c r="I599" s="213"/>
      <c r="J599" s="214"/>
      <c r="K599" s="215"/>
      <c r="L599" s="197"/>
      <c r="M599" s="215"/>
      <c r="N599" s="216">
        <f>IFERROR(IF($E599="Inventory",VLOOKUP($C599,Inventory!$B:$I,8,FALSE()),IF($E599="Non Inventory",VLOOKUP($C599,'Non Inventory'!$B:$I,8,FALSE()),IF($E599="Services",VLOOKUP($C599,Services!$B:$I,8,FALSE()),IF($E599="Patty Cash",VLOOKUP($C599,'Patty Cash'!$B:$J,8,FALSE()),0)))),0)</f>
        <v>0</v>
      </c>
      <c r="O599" s="217" t="str">
        <f t="shared" si="9"/>
        <v/>
      </c>
    </row>
    <row r="600" spans="1:15" ht="23.1" customHeight="1">
      <c r="A600" s="206" t="str">
        <f>IF(AND($B600="",$C600=""),"",MAX($A$3:A599)+1)</f>
        <v/>
      </c>
      <c r="B600" s="207"/>
      <c r="C600" s="208"/>
      <c r="D600" s="209" t="str">
        <f>IFERROR(IF($E600="Inventory",VLOOKUP($C600,Inventory!$B:$I,2,FALSE()),IF($E600="Non Inventory",VLOOKUP($C600,'Non Inventory'!$B:$I,2,FALSE()),IF($E600="Services",VLOOKUP($C600,Services!$B:$I,2,FALSE()),IF($E600="Patty Cash",VLOOKUP($C600,'Patty Cash'!$B:$J,2,FALSE()),"")))),"")</f>
        <v/>
      </c>
      <c r="E600" s="246"/>
      <c r="F600" s="210" t="str">
        <f>IFERROR(IF($E600="Inventory",VLOOKUP($C600,Inventory!$B:$I,3,FALSE()),IF($E600="Non Inventory",VLOOKUP($C600,'Non Inventory'!$B:$I,3,FALSE()),IF($E600="Services",VLOOKUP($C600,Services!$B:$I,3,FALSE()),IF($E600="Patty Cash",VLOOKUP($C600,'Patty Cash'!$B:$J,3,FALSE()),"")))),"")</f>
        <v/>
      </c>
      <c r="G600" s="211"/>
      <c r="H600" s="212" t="str">
        <f>IF($E600="","",IF($E600="Inventory",IFERROR(VLOOKUP($C600,Inventory!$B:$H,7,FALSE()),0),IF($E600="Non Inventory",IFERROR(VLOOKUP($C600,'Non Inventory'!$B:$H,7,FALSE()),0),IF($E600="Services",IFERROR(VLOOKUP($C600,Services!$B:$H,7,FALSE()),0),IF($E600="Patty Cash",IFERROR(VLOOKUP($C600,'Patty Cash'!$B:$H,7,FALSE()),0),0)))))</f>
        <v/>
      </c>
      <c r="I600" s="213"/>
      <c r="J600" s="214"/>
      <c r="K600" s="215"/>
      <c r="L600" s="197"/>
      <c r="M600" s="215"/>
      <c r="N600" s="216">
        <f>IFERROR(IF($E600="Inventory",VLOOKUP($C600,Inventory!$B:$I,8,FALSE()),IF($E600="Non Inventory",VLOOKUP($C600,'Non Inventory'!$B:$I,8,FALSE()),IF($E600="Services",VLOOKUP($C600,Services!$B:$I,8,FALSE()),IF($E600="Patty Cash",VLOOKUP($C600,'Patty Cash'!$B:$J,8,FALSE()),0)))),0)</f>
        <v>0</v>
      </c>
      <c r="O600" s="217" t="str">
        <f t="shared" si="9"/>
        <v/>
      </c>
    </row>
    <row r="601" spans="1:15" ht="23.1" customHeight="1">
      <c r="A601" s="206" t="str">
        <f>IF(AND($B601="",$C601=""),"",MAX($A$3:A600)+1)</f>
        <v/>
      </c>
      <c r="B601" s="207"/>
      <c r="C601" s="208"/>
      <c r="D601" s="209" t="str">
        <f>IFERROR(IF($E601="Inventory",VLOOKUP($C601,Inventory!$B:$I,2,FALSE()),IF($E601="Non Inventory",VLOOKUP($C601,'Non Inventory'!$B:$I,2,FALSE()),IF($E601="Services",VLOOKUP($C601,Services!$B:$I,2,FALSE()),IF($E601="Patty Cash",VLOOKUP($C601,'Patty Cash'!$B:$J,2,FALSE()),"")))),"")</f>
        <v/>
      </c>
      <c r="E601" s="246"/>
      <c r="F601" s="210" t="str">
        <f>IFERROR(IF($E601="Inventory",VLOOKUP($C601,Inventory!$B:$I,3,FALSE()),IF($E601="Non Inventory",VLOOKUP($C601,'Non Inventory'!$B:$I,3,FALSE()),IF($E601="Services",VLOOKUP($C601,Services!$B:$I,3,FALSE()),IF($E601="Patty Cash",VLOOKUP($C601,'Patty Cash'!$B:$J,3,FALSE()),"")))),"")</f>
        <v/>
      </c>
      <c r="G601" s="211"/>
      <c r="H601" s="212" t="str">
        <f>IF($E601="","",IF($E601="Inventory",IFERROR(VLOOKUP($C601,Inventory!$B:$H,7,FALSE()),0),IF($E601="Non Inventory",IFERROR(VLOOKUP($C601,'Non Inventory'!$B:$H,7,FALSE()),0),IF($E601="Services",IFERROR(VLOOKUP($C601,Services!$B:$H,7,FALSE()),0),IF($E601="Patty Cash",IFERROR(VLOOKUP($C601,'Patty Cash'!$B:$H,7,FALSE()),0),0)))))</f>
        <v/>
      </c>
      <c r="I601" s="213"/>
      <c r="J601" s="214"/>
      <c r="K601" s="215"/>
      <c r="L601" s="197"/>
      <c r="M601" s="215"/>
      <c r="N601" s="216">
        <f>IFERROR(IF($E601="Inventory",VLOOKUP($C601,Inventory!$B:$I,8,FALSE()),IF($E601="Non Inventory",VLOOKUP($C601,'Non Inventory'!$B:$I,8,FALSE()),IF($E601="Services",VLOOKUP($C601,Services!$B:$I,8,FALSE()),IF($E601="Patty Cash",VLOOKUP($C601,'Patty Cash'!$B:$J,8,FALSE()),0)))),0)</f>
        <v>0</v>
      </c>
      <c r="O601" s="217" t="str">
        <f t="shared" si="9"/>
        <v/>
      </c>
    </row>
    <row r="602" spans="1:15" ht="23.1" customHeight="1">
      <c r="A602" s="206" t="str">
        <f>IF(AND($B602="",$C602=""),"",MAX($A$3:A601)+1)</f>
        <v/>
      </c>
      <c r="B602" s="207"/>
      <c r="C602" s="208"/>
      <c r="D602" s="209" t="str">
        <f>IFERROR(IF($E602="Inventory",VLOOKUP($C602,Inventory!$B:$I,2,FALSE()),IF($E602="Non Inventory",VLOOKUP($C602,'Non Inventory'!$B:$I,2,FALSE()),IF($E602="Services",VLOOKUP($C602,Services!$B:$I,2,FALSE()),IF($E602="Patty Cash",VLOOKUP($C602,'Patty Cash'!$B:$J,2,FALSE()),"")))),"")</f>
        <v/>
      </c>
      <c r="E602" s="246"/>
      <c r="F602" s="210" t="str">
        <f>IFERROR(IF($E602="Inventory",VLOOKUP($C602,Inventory!$B:$I,3,FALSE()),IF($E602="Non Inventory",VLOOKUP($C602,'Non Inventory'!$B:$I,3,FALSE()),IF($E602="Services",VLOOKUP($C602,Services!$B:$I,3,FALSE()),IF($E602="Patty Cash",VLOOKUP($C602,'Patty Cash'!$B:$J,3,FALSE()),"")))),"")</f>
        <v/>
      </c>
      <c r="G602" s="211"/>
      <c r="H602" s="212" t="str">
        <f>IF($E602="","",IF($E602="Inventory",IFERROR(VLOOKUP($C602,Inventory!$B:$H,7,FALSE()),0),IF($E602="Non Inventory",IFERROR(VLOOKUP($C602,'Non Inventory'!$B:$H,7,FALSE()),0),IF($E602="Services",IFERROR(VLOOKUP($C602,Services!$B:$H,7,FALSE()),0),IF($E602="Patty Cash",IFERROR(VLOOKUP($C602,'Patty Cash'!$B:$H,7,FALSE()),0),0)))))</f>
        <v/>
      </c>
      <c r="I602" s="213"/>
      <c r="J602" s="214"/>
      <c r="K602" s="215"/>
      <c r="L602" s="197"/>
      <c r="M602" s="215"/>
      <c r="N602" s="216">
        <f>IFERROR(IF($E602="Inventory",VLOOKUP($C602,Inventory!$B:$I,8,FALSE()),IF($E602="Non Inventory",VLOOKUP($C602,'Non Inventory'!$B:$I,8,FALSE()),IF($E602="Services",VLOOKUP($C602,Services!$B:$I,8,FALSE()),IF($E602="Patty Cash",VLOOKUP($C602,'Patty Cash'!$B:$J,8,FALSE()),0)))),0)</f>
        <v>0</v>
      </c>
      <c r="O602" s="217" t="str">
        <f t="shared" si="9"/>
        <v/>
      </c>
    </row>
    <row r="603" spans="1:15" ht="23.1" customHeight="1">
      <c r="A603" s="206" t="str">
        <f>IF(AND($B603="",$C603=""),"",MAX($A$3:A602)+1)</f>
        <v/>
      </c>
      <c r="B603" s="207"/>
      <c r="C603" s="208"/>
      <c r="D603" s="209" t="str">
        <f>IFERROR(IF($E603="Inventory",VLOOKUP($C603,Inventory!$B:$I,2,FALSE()),IF($E603="Non Inventory",VLOOKUP($C603,'Non Inventory'!$B:$I,2,FALSE()),IF($E603="Services",VLOOKUP($C603,Services!$B:$I,2,FALSE()),IF($E603="Patty Cash",VLOOKUP($C603,'Patty Cash'!$B:$J,2,FALSE()),"")))),"")</f>
        <v/>
      </c>
      <c r="E603" s="246"/>
      <c r="F603" s="210" t="str">
        <f>IFERROR(IF($E603="Inventory",VLOOKUP($C603,Inventory!$B:$I,3,FALSE()),IF($E603="Non Inventory",VLOOKUP($C603,'Non Inventory'!$B:$I,3,FALSE()),IF($E603="Services",VLOOKUP($C603,Services!$B:$I,3,FALSE()),IF($E603="Patty Cash",VLOOKUP($C603,'Patty Cash'!$B:$J,3,FALSE()),"")))),"")</f>
        <v/>
      </c>
      <c r="G603" s="211"/>
      <c r="H603" s="212" t="str">
        <f>IF($E603="","",IF($E603="Inventory",IFERROR(VLOOKUP($C603,Inventory!$B:$H,7,FALSE()),0),IF($E603="Non Inventory",IFERROR(VLOOKUP($C603,'Non Inventory'!$B:$H,7,FALSE()),0),IF($E603="Services",IFERROR(VLOOKUP($C603,Services!$B:$H,7,FALSE()),0),IF($E603="Patty Cash",IFERROR(VLOOKUP($C603,'Patty Cash'!$B:$H,7,FALSE()),0),0)))))</f>
        <v/>
      </c>
      <c r="I603" s="213"/>
      <c r="J603" s="214"/>
      <c r="K603" s="215"/>
      <c r="L603" s="197"/>
      <c r="M603" s="215"/>
      <c r="N603" s="216">
        <f>IFERROR(IF($E603="Inventory",VLOOKUP($C603,Inventory!$B:$I,8,FALSE()),IF($E603="Non Inventory",VLOOKUP($C603,'Non Inventory'!$B:$I,8,FALSE()),IF($E603="Services",VLOOKUP($C603,Services!$B:$I,8,FALSE()),IF($E603="Patty Cash",VLOOKUP($C603,'Patty Cash'!$B:$J,8,FALSE()),0)))),0)</f>
        <v>0</v>
      </c>
      <c r="O603" s="217" t="str">
        <f t="shared" si="9"/>
        <v/>
      </c>
    </row>
    <row r="604" spans="1:15" ht="23.1" customHeight="1">
      <c r="A604" s="206" t="str">
        <f>IF(AND($B604="",$C604=""),"",MAX($A$3:A603)+1)</f>
        <v/>
      </c>
      <c r="B604" s="207"/>
      <c r="C604" s="208"/>
      <c r="D604" s="209" t="str">
        <f>IFERROR(IF($E604="Inventory",VLOOKUP($C604,Inventory!$B:$I,2,FALSE()),IF($E604="Non Inventory",VLOOKUP($C604,'Non Inventory'!$B:$I,2,FALSE()),IF($E604="Services",VLOOKUP($C604,Services!$B:$I,2,FALSE()),IF($E604="Patty Cash",VLOOKUP($C604,'Patty Cash'!$B:$J,2,FALSE()),"")))),"")</f>
        <v/>
      </c>
      <c r="E604" s="246"/>
      <c r="F604" s="210" t="str">
        <f>IFERROR(IF($E604="Inventory",VLOOKUP($C604,Inventory!$B:$I,3,FALSE()),IF($E604="Non Inventory",VLOOKUP($C604,'Non Inventory'!$B:$I,3,FALSE()),IF($E604="Services",VLOOKUP($C604,Services!$B:$I,3,FALSE()),IF($E604="Patty Cash",VLOOKUP($C604,'Patty Cash'!$B:$J,3,FALSE()),"")))),"")</f>
        <v/>
      </c>
      <c r="G604" s="211"/>
      <c r="H604" s="212" t="str">
        <f>IF($E604="","",IF($E604="Inventory",IFERROR(VLOOKUP($C604,Inventory!$B:$H,7,FALSE()),0),IF($E604="Non Inventory",IFERROR(VLOOKUP($C604,'Non Inventory'!$B:$H,7,FALSE()),0),IF($E604="Services",IFERROR(VLOOKUP($C604,Services!$B:$H,7,FALSE()),0),IF($E604="Patty Cash",IFERROR(VLOOKUP($C604,'Patty Cash'!$B:$H,7,FALSE()),0),0)))))</f>
        <v/>
      </c>
      <c r="I604" s="213"/>
      <c r="J604" s="214"/>
      <c r="K604" s="215"/>
      <c r="L604" s="197"/>
      <c r="M604" s="215"/>
      <c r="N604" s="216">
        <f>IFERROR(IF($E604="Inventory",VLOOKUP($C604,Inventory!$B:$I,8,FALSE()),IF($E604="Non Inventory",VLOOKUP($C604,'Non Inventory'!$B:$I,8,FALSE()),IF($E604="Services",VLOOKUP($C604,Services!$B:$I,8,FALSE()),IF($E604="Patty Cash",VLOOKUP($C604,'Patty Cash'!$B:$J,8,FALSE()),0)))),0)</f>
        <v>0</v>
      </c>
      <c r="O604" s="217" t="str">
        <f t="shared" si="9"/>
        <v/>
      </c>
    </row>
    <row r="605" spans="1:15" ht="23.1" customHeight="1">
      <c r="A605" s="206" t="str">
        <f>IF(AND($B605="",$C605=""),"",MAX($A$3:A604)+1)</f>
        <v/>
      </c>
      <c r="B605" s="207"/>
      <c r="C605" s="208"/>
      <c r="D605" s="209" t="str">
        <f>IFERROR(IF($E605="Inventory",VLOOKUP($C605,Inventory!$B:$I,2,FALSE()),IF($E605="Non Inventory",VLOOKUP($C605,'Non Inventory'!$B:$I,2,FALSE()),IF($E605="Services",VLOOKUP($C605,Services!$B:$I,2,FALSE()),IF($E605="Patty Cash",VLOOKUP($C605,'Patty Cash'!$B:$J,2,FALSE()),"")))),"")</f>
        <v/>
      </c>
      <c r="E605" s="246"/>
      <c r="F605" s="210" t="str">
        <f>IFERROR(IF($E605="Inventory",VLOOKUP($C605,Inventory!$B:$I,3,FALSE()),IF($E605="Non Inventory",VLOOKUP($C605,'Non Inventory'!$B:$I,3,FALSE()),IF($E605="Services",VLOOKUP($C605,Services!$B:$I,3,FALSE()),IF($E605="Patty Cash",VLOOKUP($C605,'Patty Cash'!$B:$J,3,FALSE()),"")))),"")</f>
        <v/>
      </c>
      <c r="G605" s="211"/>
      <c r="H605" s="212" t="str">
        <f>IF($E605="","",IF($E605="Inventory",IFERROR(VLOOKUP($C605,Inventory!$B:$H,7,FALSE()),0),IF($E605="Non Inventory",IFERROR(VLOOKUP($C605,'Non Inventory'!$B:$H,7,FALSE()),0),IF($E605="Services",IFERROR(VLOOKUP($C605,Services!$B:$H,7,FALSE()),0),IF($E605="Patty Cash",IFERROR(VLOOKUP($C605,'Patty Cash'!$B:$H,7,FALSE()),0),0)))))</f>
        <v/>
      </c>
      <c r="I605" s="213"/>
      <c r="J605" s="214"/>
      <c r="K605" s="215"/>
      <c r="L605" s="197"/>
      <c r="M605" s="215"/>
      <c r="N605" s="216">
        <f>IFERROR(IF($E605="Inventory",VLOOKUP($C605,Inventory!$B:$I,8,FALSE()),IF($E605="Non Inventory",VLOOKUP($C605,'Non Inventory'!$B:$I,8,FALSE()),IF($E605="Services",VLOOKUP($C605,Services!$B:$I,8,FALSE()),IF($E605="Patty Cash",VLOOKUP($C605,'Patty Cash'!$B:$J,8,FALSE()),0)))),0)</f>
        <v>0</v>
      </c>
      <c r="O605" s="217" t="str">
        <f t="shared" si="9"/>
        <v/>
      </c>
    </row>
    <row r="606" spans="1:15" ht="23.1" customHeight="1">
      <c r="A606" s="206" t="str">
        <f>IF(AND($B606="",$C606=""),"",MAX($A$3:A605)+1)</f>
        <v/>
      </c>
      <c r="B606" s="207"/>
      <c r="C606" s="208"/>
      <c r="D606" s="209" t="str">
        <f>IFERROR(IF($E606="Inventory",VLOOKUP($C606,Inventory!$B:$I,2,FALSE()),IF($E606="Non Inventory",VLOOKUP($C606,'Non Inventory'!$B:$I,2,FALSE()),IF($E606="Services",VLOOKUP($C606,Services!$B:$I,2,FALSE()),IF($E606="Patty Cash",VLOOKUP($C606,'Patty Cash'!$B:$J,2,FALSE()),"")))),"")</f>
        <v/>
      </c>
      <c r="E606" s="246"/>
      <c r="F606" s="210" t="str">
        <f>IFERROR(IF($E606="Inventory",VLOOKUP($C606,Inventory!$B:$I,3,FALSE()),IF($E606="Non Inventory",VLOOKUP($C606,'Non Inventory'!$B:$I,3,FALSE()),IF($E606="Services",VLOOKUP($C606,Services!$B:$I,3,FALSE()),IF($E606="Patty Cash",VLOOKUP($C606,'Patty Cash'!$B:$J,3,FALSE()),"")))),"")</f>
        <v/>
      </c>
      <c r="G606" s="211"/>
      <c r="H606" s="212" t="str">
        <f>IF($E606="","",IF($E606="Inventory",IFERROR(VLOOKUP($C606,Inventory!$B:$H,7,FALSE()),0),IF($E606="Non Inventory",IFERROR(VLOOKUP($C606,'Non Inventory'!$B:$H,7,FALSE()),0),IF($E606="Services",IFERROR(VLOOKUP($C606,Services!$B:$H,7,FALSE()),0),IF($E606="Patty Cash",IFERROR(VLOOKUP($C606,'Patty Cash'!$B:$H,7,FALSE()),0),0)))))</f>
        <v/>
      </c>
      <c r="I606" s="213"/>
      <c r="J606" s="214"/>
      <c r="K606" s="215"/>
      <c r="L606" s="197"/>
      <c r="M606" s="215"/>
      <c r="N606" s="216">
        <f>IFERROR(IF($E606="Inventory",VLOOKUP($C606,Inventory!$B:$I,8,FALSE()),IF($E606="Non Inventory",VLOOKUP($C606,'Non Inventory'!$B:$I,8,FALSE()),IF($E606="Services",VLOOKUP($C606,Services!$B:$I,8,FALSE()),IF($E606="Patty Cash",VLOOKUP($C606,'Patty Cash'!$B:$J,8,FALSE()),0)))),0)</f>
        <v>0</v>
      </c>
      <c r="O606" s="217" t="str">
        <f t="shared" si="9"/>
        <v/>
      </c>
    </row>
    <row r="607" spans="1:15" ht="23.1" customHeight="1">
      <c r="A607" s="206" t="str">
        <f>IF(AND($B607="",$C607=""),"",MAX($A$3:A606)+1)</f>
        <v/>
      </c>
      <c r="B607" s="207"/>
      <c r="C607" s="208"/>
      <c r="D607" s="209" t="str">
        <f>IFERROR(IF($E607="Inventory",VLOOKUP($C607,Inventory!$B:$I,2,FALSE()),IF($E607="Non Inventory",VLOOKUP($C607,'Non Inventory'!$B:$I,2,FALSE()),IF($E607="Services",VLOOKUP($C607,Services!$B:$I,2,FALSE()),IF($E607="Patty Cash",VLOOKUP($C607,'Patty Cash'!$B:$J,2,FALSE()),"")))),"")</f>
        <v/>
      </c>
      <c r="E607" s="246"/>
      <c r="F607" s="210" t="str">
        <f>IFERROR(IF($E607="Inventory",VLOOKUP($C607,Inventory!$B:$I,3,FALSE()),IF($E607="Non Inventory",VLOOKUP($C607,'Non Inventory'!$B:$I,3,FALSE()),IF($E607="Services",VLOOKUP($C607,Services!$B:$I,3,FALSE()),IF($E607="Patty Cash",VLOOKUP($C607,'Patty Cash'!$B:$J,3,FALSE()),"")))),"")</f>
        <v/>
      </c>
      <c r="G607" s="211"/>
      <c r="H607" s="212" t="str">
        <f>IF($E607="","",IF($E607="Inventory",IFERROR(VLOOKUP($C607,Inventory!$B:$H,7,FALSE()),0),IF($E607="Non Inventory",IFERROR(VLOOKUP($C607,'Non Inventory'!$B:$H,7,FALSE()),0),IF($E607="Services",IFERROR(VLOOKUP($C607,Services!$B:$H,7,FALSE()),0),IF($E607="Patty Cash",IFERROR(VLOOKUP($C607,'Patty Cash'!$B:$H,7,FALSE()),0),0)))))</f>
        <v/>
      </c>
      <c r="I607" s="213"/>
      <c r="J607" s="214"/>
      <c r="K607" s="215"/>
      <c r="L607" s="197"/>
      <c r="M607" s="215"/>
      <c r="N607" s="216">
        <f>IFERROR(IF($E607="Inventory",VLOOKUP($C607,Inventory!$B:$I,8,FALSE()),IF($E607="Non Inventory",VLOOKUP($C607,'Non Inventory'!$B:$I,8,FALSE()),IF($E607="Services",VLOOKUP($C607,Services!$B:$I,8,FALSE()),IF($E607="Patty Cash",VLOOKUP($C607,'Patty Cash'!$B:$J,8,FALSE()),0)))),0)</f>
        <v>0</v>
      </c>
      <c r="O607" s="217" t="str">
        <f t="shared" si="9"/>
        <v/>
      </c>
    </row>
    <row r="608" spans="1:15" ht="23.1" customHeight="1">
      <c r="A608" s="206" t="str">
        <f>IF(AND($B608="",$C608=""),"",MAX($A$3:A607)+1)</f>
        <v/>
      </c>
      <c r="B608" s="207"/>
      <c r="C608" s="208"/>
      <c r="D608" s="209" t="str">
        <f>IFERROR(IF($E608="Inventory",VLOOKUP($C608,Inventory!$B:$I,2,FALSE()),IF($E608="Non Inventory",VLOOKUP($C608,'Non Inventory'!$B:$I,2,FALSE()),IF($E608="Services",VLOOKUP($C608,Services!$B:$I,2,FALSE()),IF($E608="Patty Cash",VLOOKUP($C608,'Patty Cash'!$B:$J,2,FALSE()),"")))),"")</f>
        <v/>
      </c>
      <c r="E608" s="246"/>
      <c r="F608" s="210" t="str">
        <f>IFERROR(IF($E608="Inventory",VLOOKUP($C608,Inventory!$B:$I,3,FALSE()),IF($E608="Non Inventory",VLOOKUP($C608,'Non Inventory'!$B:$I,3,FALSE()),IF($E608="Services",VLOOKUP($C608,Services!$B:$I,3,FALSE()),IF($E608="Patty Cash",VLOOKUP($C608,'Patty Cash'!$B:$J,3,FALSE()),"")))),"")</f>
        <v/>
      </c>
      <c r="G608" s="211"/>
      <c r="H608" s="212" t="str">
        <f>IF($E608="","",IF($E608="Inventory",IFERROR(VLOOKUP($C608,Inventory!$B:$H,7,FALSE()),0),IF($E608="Non Inventory",IFERROR(VLOOKUP($C608,'Non Inventory'!$B:$H,7,FALSE()),0),IF($E608="Services",IFERROR(VLOOKUP($C608,Services!$B:$H,7,FALSE()),0),IF($E608="Patty Cash",IFERROR(VLOOKUP($C608,'Patty Cash'!$B:$H,7,FALSE()),0),0)))))</f>
        <v/>
      </c>
      <c r="I608" s="213"/>
      <c r="J608" s="214"/>
      <c r="K608" s="215"/>
      <c r="L608" s="197"/>
      <c r="M608" s="215"/>
      <c r="N608" s="216">
        <f>IFERROR(IF($E608="Inventory",VLOOKUP($C608,Inventory!$B:$I,8,FALSE()),IF($E608="Non Inventory",VLOOKUP($C608,'Non Inventory'!$B:$I,8,FALSE()),IF($E608="Services",VLOOKUP($C608,Services!$B:$I,8,FALSE()),IF($E608="Patty Cash",VLOOKUP($C608,'Patty Cash'!$B:$J,8,FALSE()),0)))),0)</f>
        <v>0</v>
      </c>
      <c r="O608" s="217" t="str">
        <f t="shared" si="9"/>
        <v/>
      </c>
    </row>
    <row r="609" spans="1:15" ht="23.1" customHeight="1">
      <c r="A609" s="206" t="str">
        <f>IF(AND($B609="",$C609=""),"",MAX($A$3:A608)+1)</f>
        <v/>
      </c>
      <c r="B609" s="207"/>
      <c r="C609" s="208"/>
      <c r="D609" s="209" t="str">
        <f>IFERROR(IF($E609="Inventory",VLOOKUP($C609,Inventory!$B:$I,2,FALSE()),IF($E609="Non Inventory",VLOOKUP($C609,'Non Inventory'!$B:$I,2,FALSE()),IF($E609="Services",VLOOKUP($C609,Services!$B:$I,2,FALSE()),IF($E609="Patty Cash",VLOOKUP($C609,'Patty Cash'!$B:$J,2,FALSE()),"")))),"")</f>
        <v/>
      </c>
      <c r="E609" s="246"/>
      <c r="F609" s="210" t="str">
        <f>IFERROR(IF($E609="Inventory",VLOOKUP($C609,Inventory!$B:$I,3,FALSE()),IF($E609="Non Inventory",VLOOKUP($C609,'Non Inventory'!$B:$I,3,FALSE()),IF($E609="Services",VLOOKUP($C609,Services!$B:$I,3,FALSE()),IF($E609="Patty Cash",VLOOKUP($C609,'Patty Cash'!$B:$J,3,FALSE()),"")))),"")</f>
        <v/>
      </c>
      <c r="G609" s="211"/>
      <c r="H609" s="212" t="str">
        <f>IF($E609="","",IF($E609="Inventory",IFERROR(VLOOKUP($C609,Inventory!$B:$H,7,FALSE()),0),IF($E609="Non Inventory",IFERROR(VLOOKUP($C609,'Non Inventory'!$B:$H,7,FALSE()),0),IF($E609="Services",IFERROR(VLOOKUP($C609,Services!$B:$H,7,FALSE()),0),IF($E609="Patty Cash",IFERROR(VLOOKUP($C609,'Patty Cash'!$B:$H,7,FALSE()),0),0)))))</f>
        <v/>
      </c>
      <c r="I609" s="213"/>
      <c r="J609" s="214"/>
      <c r="K609" s="215"/>
      <c r="L609" s="197"/>
      <c r="M609" s="215"/>
      <c r="N609" s="216">
        <f>IFERROR(IF($E609="Inventory",VLOOKUP($C609,Inventory!$B:$I,8,FALSE()),IF($E609="Non Inventory",VLOOKUP($C609,'Non Inventory'!$B:$I,8,FALSE()),IF($E609="Services",VLOOKUP($C609,Services!$B:$I,8,FALSE()),IF($E609="Patty Cash",VLOOKUP($C609,'Patty Cash'!$B:$J,8,FALSE()),0)))),0)</f>
        <v>0</v>
      </c>
      <c r="O609" s="217" t="str">
        <f t="shared" si="9"/>
        <v/>
      </c>
    </row>
    <row r="610" spans="1:15" ht="23.1" customHeight="1">
      <c r="A610" s="206" t="str">
        <f>IF(AND($B610="",$C610=""),"",MAX($A$3:A609)+1)</f>
        <v/>
      </c>
      <c r="B610" s="207"/>
      <c r="C610" s="208"/>
      <c r="D610" s="209" t="str">
        <f>IFERROR(IF($E610="Inventory",VLOOKUP($C610,Inventory!$B:$I,2,FALSE()),IF($E610="Non Inventory",VLOOKUP($C610,'Non Inventory'!$B:$I,2,FALSE()),IF($E610="Services",VLOOKUP($C610,Services!$B:$I,2,FALSE()),IF($E610="Patty Cash",VLOOKUP($C610,'Patty Cash'!$B:$J,2,FALSE()),"")))),"")</f>
        <v/>
      </c>
      <c r="E610" s="246"/>
      <c r="F610" s="210" t="str">
        <f>IFERROR(IF($E610="Inventory",VLOOKUP($C610,Inventory!$B:$I,3,FALSE()),IF($E610="Non Inventory",VLOOKUP($C610,'Non Inventory'!$B:$I,3,FALSE()),IF($E610="Services",VLOOKUP($C610,Services!$B:$I,3,FALSE()),IF($E610="Patty Cash",VLOOKUP($C610,'Patty Cash'!$B:$J,3,FALSE()),"")))),"")</f>
        <v/>
      </c>
      <c r="G610" s="211"/>
      <c r="H610" s="212" t="str">
        <f>IF($E610="","",IF($E610="Inventory",IFERROR(VLOOKUP($C610,Inventory!$B:$H,7,FALSE()),0),IF($E610="Non Inventory",IFERROR(VLOOKUP($C610,'Non Inventory'!$B:$H,7,FALSE()),0),IF($E610="Services",IFERROR(VLOOKUP($C610,Services!$B:$H,7,FALSE()),0),IF($E610="Patty Cash",IFERROR(VLOOKUP($C610,'Patty Cash'!$B:$H,7,FALSE()),0),0)))))</f>
        <v/>
      </c>
      <c r="I610" s="213"/>
      <c r="J610" s="214"/>
      <c r="K610" s="215"/>
      <c r="L610" s="197"/>
      <c r="M610" s="215"/>
      <c r="N610" s="216">
        <f>IFERROR(IF($E610="Inventory",VLOOKUP($C610,Inventory!$B:$I,8,FALSE()),IF($E610="Non Inventory",VLOOKUP($C610,'Non Inventory'!$B:$I,8,FALSE()),IF($E610="Services",VLOOKUP($C610,Services!$B:$I,8,FALSE()),IF($E610="Patty Cash",VLOOKUP($C610,'Patty Cash'!$B:$J,8,FALSE()),0)))),0)</f>
        <v>0</v>
      </c>
      <c r="O610" s="217" t="str">
        <f t="shared" si="9"/>
        <v/>
      </c>
    </row>
    <row r="611" spans="1:15" ht="23.1" customHeight="1">
      <c r="A611" s="206" t="str">
        <f>IF(AND($B611="",$C611=""),"",MAX($A$3:A610)+1)</f>
        <v/>
      </c>
      <c r="B611" s="207"/>
      <c r="C611" s="208"/>
      <c r="D611" s="209" t="str">
        <f>IFERROR(IF($E611="Inventory",VLOOKUP($C611,Inventory!$B:$I,2,FALSE()),IF($E611="Non Inventory",VLOOKUP($C611,'Non Inventory'!$B:$I,2,FALSE()),IF($E611="Services",VLOOKUP($C611,Services!$B:$I,2,FALSE()),IF($E611="Patty Cash",VLOOKUP($C611,'Patty Cash'!$B:$J,2,FALSE()),"")))),"")</f>
        <v/>
      </c>
      <c r="E611" s="246"/>
      <c r="F611" s="210" t="str">
        <f>IFERROR(IF($E611="Inventory",VLOOKUP($C611,Inventory!$B:$I,3,FALSE()),IF($E611="Non Inventory",VLOOKUP($C611,'Non Inventory'!$B:$I,3,FALSE()),IF($E611="Services",VLOOKUP($C611,Services!$B:$I,3,FALSE()),IF($E611="Patty Cash",VLOOKUP($C611,'Patty Cash'!$B:$J,3,FALSE()),"")))),"")</f>
        <v/>
      </c>
      <c r="G611" s="211"/>
      <c r="H611" s="212" t="str">
        <f>IF($E611="","",IF($E611="Inventory",IFERROR(VLOOKUP($C611,Inventory!$B:$H,7,FALSE()),0),IF($E611="Non Inventory",IFERROR(VLOOKUP($C611,'Non Inventory'!$B:$H,7,FALSE()),0),IF($E611="Services",IFERROR(VLOOKUP($C611,Services!$B:$H,7,FALSE()),0),IF($E611="Patty Cash",IFERROR(VLOOKUP($C611,'Patty Cash'!$B:$H,7,FALSE()),0),0)))))</f>
        <v/>
      </c>
      <c r="I611" s="213"/>
      <c r="J611" s="214"/>
      <c r="K611" s="215"/>
      <c r="L611" s="197"/>
      <c r="M611" s="215"/>
      <c r="N611" s="216">
        <f>IFERROR(IF($E611="Inventory",VLOOKUP($C611,Inventory!$B:$I,8,FALSE()),IF($E611="Non Inventory",VLOOKUP($C611,'Non Inventory'!$B:$I,8,FALSE()),IF($E611="Services",VLOOKUP($C611,Services!$B:$I,8,FALSE()),IF($E611="Patty Cash",VLOOKUP($C611,'Patty Cash'!$B:$J,8,FALSE()),0)))),0)</f>
        <v>0</v>
      </c>
      <c r="O611" s="217" t="str">
        <f t="shared" si="9"/>
        <v/>
      </c>
    </row>
    <row r="612" spans="1:15" ht="23.1" customHeight="1">
      <c r="A612" s="206" t="str">
        <f>IF(AND($B612="",$C612=""),"",MAX($A$3:A611)+1)</f>
        <v/>
      </c>
      <c r="B612" s="207"/>
      <c r="C612" s="208"/>
      <c r="D612" s="209" t="str">
        <f>IFERROR(IF($E612="Inventory",VLOOKUP($C612,Inventory!$B:$I,2,FALSE()),IF($E612="Non Inventory",VLOOKUP($C612,'Non Inventory'!$B:$I,2,FALSE()),IF($E612="Services",VLOOKUP($C612,Services!$B:$I,2,FALSE()),IF($E612="Patty Cash",VLOOKUP($C612,'Patty Cash'!$B:$J,2,FALSE()),"")))),"")</f>
        <v/>
      </c>
      <c r="E612" s="246"/>
      <c r="F612" s="210" t="str">
        <f>IFERROR(IF($E612="Inventory",VLOOKUP($C612,Inventory!$B:$I,3,FALSE()),IF($E612="Non Inventory",VLOOKUP($C612,'Non Inventory'!$B:$I,3,FALSE()),IF($E612="Services",VLOOKUP($C612,Services!$B:$I,3,FALSE()),IF($E612="Patty Cash",VLOOKUP($C612,'Patty Cash'!$B:$J,3,FALSE()),"")))),"")</f>
        <v/>
      </c>
      <c r="G612" s="211"/>
      <c r="H612" s="212" t="str">
        <f>IF($E612="","",IF($E612="Inventory",IFERROR(VLOOKUP($C612,Inventory!$B:$H,7,FALSE()),0),IF($E612="Non Inventory",IFERROR(VLOOKUP($C612,'Non Inventory'!$B:$H,7,FALSE()),0),IF($E612="Services",IFERROR(VLOOKUP($C612,Services!$B:$H,7,FALSE()),0),IF($E612="Patty Cash",IFERROR(VLOOKUP($C612,'Patty Cash'!$B:$H,7,FALSE()),0),0)))))</f>
        <v/>
      </c>
      <c r="I612" s="213"/>
      <c r="J612" s="214"/>
      <c r="K612" s="215"/>
      <c r="L612" s="197"/>
      <c r="M612" s="215"/>
      <c r="N612" s="216">
        <f>IFERROR(IF($E612="Inventory",VLOOKUP($C612,Inventory!$B:$I,8,FALSE()),IF($E612="Non Inventory",VLOOKUP($C612,'Non Inventory'!$B:$I,8,FALSE()),IF($E612="Services",VLOOKUP($C612,Services!$B:$I,8,FALSE()),IF($E612="Patty Cash",VLOOKUP($C612,'Patty Cash'!$B:$J,8,FALSE()),0)))),0)</f>
        <v>0</v>
      </c>
      <c r="O612" s="217" t="str">
        <f t="shared" si="9"/>
        <v/>
      </c>
    </row>
    <row r="613" spans="1:15" ht="23.1" customHeight="1">
      <c r="A613" s="206" t="str">
        <f>IF(AND($B613="",$C613=""),"",MAX($A$3:A612)+1)</f>
        <v/>
      </c>
      <c r="B613" s="207"/>
      <c r="C613" s="208"/>
      <c r="D613" s="209" t="str">
        <f>IFERROR(IF($E613="Inventory",VLOOKUP($C613,Inventory!$B:$I,2,FALSE()),IF($E613="Non Inventory",VLOOKUP($C613,'Non Inventory'!$B:$I,2,FALSE()),IF($E613="Services",VLOOKUP($C613,Services!$B:$I,2,FALSE()),IF($E613="Patty Cash",VLOOKUP($C613,'Patty Cash'!$B:$J,2,FALSE()),"")))),"")</f>
        <v/>
      </c>
      <c r="E613" s="246"/>
      <c r="F613" s="210" t="str">
        <f>IFERROR(IF($E613="Inventory",VLOOKUP($C613,Inventory!$B:$I,3,FALSE()),IF($E613="Non Inventory",VLOOKUP($C613,'Non Inventory'!$B:$I,3,FALSE()),IF($E613="Services",VLOOKUP($C613,Services!$B:$I,3,FALSE()),IF($E613="Patty Cash",VLOOKUP($C613,'Patty Cash'!$B:$J,3,FALSE()),"")))),"")</f>
        <v/>
      </c>
      <c r="G613" s="211"/>
      <c r="H613" s="212" t="str">
        <f>IF($E613="","",IF($E613="Inventory",IFERROR(VLOOKUP($C613,Inventory!$B:$H,7,FALSE()),0),IF($E613="Non Inventory",IFERROR(VLOOKUP($C613,'Non Inventory'!$B:$H,7,FALSE()),0),IF($E613="Services",IFERROR(VLOOKUP($C613,Services!$B:$H,7,FALSE()),0),IF($E613="Patty Cash",IFERROR(VLOOKUP($C613,'Patty Cash'!$B:$H,7,FALSE()),0),0)))))</f>
        <v/>
      </c>
      <c r="I613" s="213"/>
      <c r="J613" s="214"/>
      <c r="K613" s="215"/>
      <c r="L613" s="197"/>
      <c r="M613" s="215"/>
      <c r="N613" s="216">
        <f>IFERROR(IF($E613="Inventory",VLOOKUP($C613,Inventory!$B:$I,8,FALSE()),IF($E613="Non Inventory",VLOOKUP($C613,'Non Inventory'!$B:$I,8,FALSE()),IF($E613="Services",VLOOKUP($C613,Services!$B:$I,8,FALSE()),IF($E613="Patty Cash",VLOOKUP($C613,'Patty Cash'!$B:$J,8,FALSE()),0)))),0)</f>
        <v>0</v>
      </c>
      <c r="O613" s="217" t="str">
        <f t="shared" si="9"/>
        <v/>
      </c>
    </row>
    <row r="614" spans="1:15" ht="23.1" customHeight="1">
      <c r="A614" s="206" t="str">
        <f>IF(AND($B614="",$C614=""),"",MAX($A$3:A613)+1)</f>
        <v/>
      </c>
      <c r="B614" s="207"/>
      <c r="C614" s="208"/>
      <c r="D614" s="209" t="str">
        <f>IFERROR(IF($E614="Inventory",VLOOKUP($C614,Inventory!$B:$I,2,FALSE()),IF($E614="Non Inventory",VLOOKUP($C614,'Non Inventory'!$B:$I,2,FALSE()),IF($E614="Services",VLOOKUP($C614,Services!$B:$I,2,FALSE()),IF($E614="Patty Cash",VLOOKUP($C614,'Patty Cash'!$B:$J,2,FALSE()),"")))),"")</f>
        <v/>
      </c>
      <c r="E614" s="246"/>
      <c r="F614" s="210" t="str">
        <f>IFERROR(IF($E614="Inventory",VLOOKUP($C614,Inventory!$B:$I,3,FALSE()),IF($E614="Non Inventory",VLOOKUP($C614,'Non Inventory'!$B:$I,3,FALSE()),IF($E614="Services",VLOOKUP($C614,Services!$B:$I,3,FALSE()),IF($E614="Patty Cash",VLOOKUP($C614,'Patty Cash'!$B:$J,3,FALSE()),"")))),"")</f>
        <v/>
      </c>
      <c r="G614" s="211"/>
      <c r="H614" s="212" t="str">
        <f>IF($E614="","",IF($E614="Inventory",IFERROR(VLOOKUP($C614,Inventory!$B:$H,7,FALSE()),0),IF($E614="Non Inventory",IFERROR(VLOOKUP($C614,'Non Inventory'!$B:$H,7,FALSE()),0),IF($E614="Services",IFERROR(VLOOKUP($C614,Services!$B:$H,7,FALSE()),0),IF($E614="Patty Cash",IFERROR(VLOOKUP($C614,'Patty Cash'!$B:$H,7,FALSE()),0),0)))))</f>
        <v/>
      </c>
      <c r="I614" s="213"/>
      <c r="J614" s="214"/>
      <c r="K614" s="215"/>
      <c r="L614" s="197"/>
      <c r="M614" s="215"/>
      <c r="N614" s="216">
        <f>IFERROR(IF($E614="Inventory",VLOOKUP($C614,Inventory!$B:$I,8,FALSE()),IF($E614="Non Inventory",VLOOKUP($C614,'Non Inventory'!$B:$I,8,FALSE()),IF($E614="Services",VLOOKUP($C614,Services!$B:$I,8,FALSE()),IF($E614="Patty Cash",VLOOKUP($C614,'Patty Cash'!$B:$J,8,FALSE()),0)))),0)</f>
        <v>0</v>
      </c>
      <c r="O614" s="217" t="str">
        <f t="shared" si="9"/>
        <v/>
      </c>
    </row>
    <row r="615" spans="1:15" ht="23.1" customHeight="1">
      <c r="A615" s="206" t="str">
        <f>IF(AND($B615="",$C615=""),"",MAX($A$3:A614)+1)</f>
        <v/>
      </c>
      <c r="B615" s="207"/>
      <c r="C615" s="208"/>
      <c r="D615" s="209" t="str">
        <f>IFERROR(IF($E615="Inventory",VLOOKUP($C615,Inventory!$B:$I,2,FALSE()),IF($E615="Non Inventory",VLOOKUP($C615,'Non Inventory'!$B:$I,2,FALSE()),IF($E615="Services",VLOOKUP($C615,Services!$B:$I,2,FALSE()),IF($E615="Patty Cash",VLOOKUP($C615,'Patty Cash'!$B:$J,2,FALSE()),"")))),"")</f>
        <v/>
      </c>
      <c r="E615" s="246"/>
      <c r="F615" s="210" t="str">
        <f>IFERROR(IF($E615="Inventory",VLOOKUP($C615,Inventory!$B:$I,3,FALSE()),IF($E615="Non Inventory",VLOOKUP($C615,'Non Inventory'!$B:$I,3,FALSE()),IF($E615="Services",VLOOKUP($C615,Services!$B:$I,3,FALSE()),IF($E615="Patty Cash",VLOOKUP($C615,'Patty Cash'!$B:$J,3,FALSE()),"")))),"")</f>
        <v/>
      </c>
      <c r="G615" s="211"/>
      <c r="H615" s="212" t="str">
        <f>IF($E615="","",IF($E615="Inventory",IFERROR(VLOOKUP($C615,Inventory!$B:$H,7,FALSE()),0),IF($E615="Non Inventory",IFERROR(VLOOKUP($C615,'Non Inventory'!$B:$H,7,FALSE()),0),IF($E615="Services",IFERROR(VLOOKUP($C615,Services!$B:$H,7,FALSE()),0),IF($E615="Patty Cash",IFERROR(VLOOKUP($C615,'Patty Cash'!$B:$H,7,FALSE()),0),0)))))</f>
        <v/>
      </c>
      <c r="I615" s="213"/>
      <c r="J615" s="214"/>
      <c r="K615" s="215"/>
      <c r="L615" s="197"/>
      <c r="M615" s="215"/>
      <c r="N615" s="216">
        <f>IFERROR(IF($E615="Inventory",VLOOKUP($C615,Inventory!$B:$I,8,FALSE()),IF($E615="Non Inventory",VLOOKUP($C615,'Non Inventory'!$B:$I,8,FALSE()),IF($E615="Services",VLOOKUP($C615,Services!$B:$I,8,FALSE()),IF($E615="Patty Cash",VLOOKUP($C615,'Patty Cash'!$B:$J,8,FALSE()),0)))),0)</f>
        <v>0</v>
      </c>
      <c r="O615" s="217" t="str">
        <f t="shared" si="9"/>
        <v/>
      </c>
    </row>
    <row r="616" spans="1:15" ht="23.1" customHeight="1">
      <c r="A616" s="206" t="str">
        <f>IF(AND($B616="",$C616=""),"",MAX($A$3:A615)+1)</f>
        <v/>
      </c>
      <c r="B616" s="207"/>
      <c r="C616" s="208"/>
      <c r="D616" s="209" t="str">
        <f>IFERROR(IF($E616="Inventory",VLOOKUP($C616,Inventory!$B:$I,2,FALSE()),IF($E616="Non Inventory",VLOOKUP($C616,'Non Inventory'!$B:$I,2,FALSE()),IF($E616="Services",VLOOKUP($C616,Services!$B:$I,2,FALSE()),IF($E616="Patty Cash",VLOOKUP($C616,'Patty Cash'!$B:$J,2,FALSE()),"")))),"")</f>
        <v/>
      </c>
      <c r="E616" s="246"/>
      <c r="F616" s="210" t="str">
        <f>IFERROR(IF($E616="Inventory",VLOOKUP($C616,Inventory!$B:$I,3,FALSE()),IF($E616="Non Inventory",VLOOKUP($C616,'Non Inventory'!$B:$I,3,FALSE()),IF($E616="Services",VLOOKUP($C616,Services!$B:$I,3,FALSE()),IF($E616="Patty Cash",VLOOKUP($C616,'Patty Cash'!$B:$J,3,FALSE()),"")))),"")</f>
        <v/>
      </c>
      <c r="G616" s="211"/>
      <c r="H616" s="212" t="str">
        <f>IF($E616="","",IF($E616="Inventory",IFERROR(VLOOKUP($C616,Inventory!$B:$H,7,FALSE()),0),IF($E616="Non Inventory",IFERROR(VLOOKUP($C616,'Non Inventory'!$B:$H,7,FALSE()),0),IF($E616="Services",IFERROR(VLOOKUP($C616,Services!$B:$H,7,FALSE()),0),IF($E616="Patty Cash",IFERROR(VLOOKUP($C616,'Patty Cash'!$B:$H,7,FALSE()),0),0)))))</f>
        <v/>
      </c>
      <c r="I616" s="213"/>
      <c r="J616" s="214"/>
      <c r="K616" s="215"/>
      <c r="L616" s="197"/>
      <c r="M616" s="215"/>
      <c r="N616" s="216">
        <f>IFERROR(IF($E616="Inventory",VLOOKUP($C616,Inventory!$B:$I,8,FALSE()),IF($E616="Non Inventory",VLOOKUP($C616,'Non Inventory'!$B:$I,8,FALSE()),IF($E616="Services",VLOOKUP($C616,Services!$B:$I,8,FALSE()),IF($E616="Patty Cash",VLOOKUP($C616,'Patty Cash'!$B:$J,8,FALSE()),0)))),0)</f>
        <v>0</v>
      </c>
      <c r="O616" s="217" t="str">
        <f t="shared" si="9"/>
        <v/>
      </c>
    </row>
    <row r="617" spans="1:15" ht="23.1" customHeight="1">
      <c r="A617" s="206" t="str">
        <f>IF(AND($B617="",$C617=""),"",MAX($A$3:A616)+1)</f>
        <v/>
      </c>
      <c r="B617" s="207"/>
      <c r="C617" s="208"/>
      <c r="D617" s="209" t="str">
        <f>IFERROR(IF($E617="Inventory",VLOOKUP($C617,Inventory!$B:$I,2,FALSE()),IF($E617="Non Inventory",VLOOKUP($C617,'Non Inventory'!$B:$I,2,FALSE()),IF($E617="Services",VLOOKUP($C617,Services!$B:$I,2,FALSE()),IF($E617="Patty Cash",VLOOKUP($C617,'Patty Cash'!$B:$J,2,FALSE()),"")))),"")</f>
        <v/>
      </c>
      <c r="E617" s="246"/>
      <c r="F617" s="210" t="str">
        <f>IFERROR(IF($E617="Inventory",VLOOKUP($C617,Inventory!$B:$I,3,FALSE()),IF($E617="Non Inventory",VLOOKUP($C617,'Non Inventory'!$B:$I,3,FALSE()),IF($E617="Services",VLOOKUP($C617,Services!$B:$I,3,FALSE()),IF($E617="Patty Cash",VLOOKUP($C617,'Patty Cash'!$B:$J,3,FALSE()),"")))),"")</f>
        <v/>
      </c>
      <c r="G617" s="211"/>
      <c r="H617" s="212" t="str">
        <f>IF($E617="","",IF($E617="Inventory",IFERROR(VLOOKUP($C617,Inventory!$B:$H,7,FALSE()),0),IF($E617="Non Inventory",IFERROR(VLOOKUP($C617,'Non Inventory'!$B:$H,7,FALSE()),0),IF($E617="Services",IFERROR(VLOOKUP($C617,Services!$B:$H,7,FALSE()),0),IF($E617="Patty Cash",IFERROR(VLOOKUP($C617,'Patty Cash'!$B:$H,7,FALSE()),0),0)))))</f>
        <v/>
      </c>
      <c r="I617" s="213"/>
      <c r="J617" s="214"/>
      <c r="K617" s="215"/>
      <c r="L617" s="197"/>
      <c r="M617" s="215"/>
      <c r="N617" s="216">
        <f>IFERROR(IF($E617="Inventory",VLOOKUP($C617,Inventory!$B:$I,8,FALSE()),IF($E617="Non Inventory",VLOOKUP($C617,'Non Inventory'!$B:$I,8,FALSE()),IF($E617="Services",VLOOKUP($C617,Services!$B:$I,8,FALSE()),IF($E617="Patty Cash",VLOOKUP($C617,'Patty Cash'!$B:$J,8,FALSE()),0)))),0)</f>
        <v>0</v>
      </c>
      <c r="O617" s="217" t="str">
        <f t="shared" si="9"/>
        <v/>
      </c>
    </row>
    <row r="618" spans="1:15" ht="23.1" customHeight="1">
      <c r="A618" s="206" t="str">
        <f>IF(AND($B618="",$C618=""),"",MAX($A$3:A617)+1)</f>
        <v/>
      </c>
      <c r="B618" s="207"/>
      <c r="C618" s="208"/>
      <c r="D618" s="209" t="str">
        <f>IFERROR(IF($E618="Inventory",VLOOKUP($C618,Inventory!$B:$I,2,FALSE()),IF($E618="Non Inventory",VLOOKUP($C618,'Non Inventory'!$B:$I,2,FALSE()),IF($E618="Services",VLOOKUP($C618,Services!$B:$I,2,FALSE()),IF($E618="Patty Cash",VLOOKUP($C618,'Patty Cash'!$B:$J,2,FALSE()),"")))),"")</f>
        <v/>
      </c>
      <c r="E618" s="246"/>
      <c r="F618" s="210" t="str">
        <f>IFERROR(IF($E618="Inventory",VLOOKUP($C618,Inventory!$B:$I,3,FALSE()),IF($E618="Non Inventory",VLOOKUP($C618,'Non Inventory'!$B:$I,3,FALSE()),IF($E618="Services",VLOOKUP($C618,Services!$B:$I,3,FALSE()),IF($E618="Patty Cash",VLOOKUP($C618,'Patty Cash'!$B:$J,3,FALSE()),"")))),"")</f>
        <v/>
      </c>
      <c r="G618" s="211"/>
      <c r="H618" s="212" t="str">
        <f>IF($E618="","",IF($E618="Inventory",IFERROR(VLOOKUP($C618,Inventory!$B:$H,7,FALSE()),0),IF($E618="Non Inventory",IFERROR(VLOOKUP($C618,'Non Inventory'!$B:$H,7,FALSE()),0),IF($E618="Services",IFERROR(VLOOKUP($C618,Services!$B:$H,7,FALSE()),0),IF($E618="Patty Cash",IFERROR(VLOOKUP($C618,'Patty Cash'!$B:$H,7,FALSE()),0),0)))))</f>
        <v/>
      </c>
      <c r="I618" s="213"/>
      <c r="J618" s="214"/>
      <c r="K618" s="215"/>
      <c r="L618" s="197"/>
      <c r="M618" s="215"/>
      <c r="N618" s="216">
        <f>IFERROR(IF($E618="Inventory",VLOOKUP($C618,Inventory!$B:$I,8,FALSE()),IF($E618="Non Inventory",VLOOKUP($C618,'Non Inventory'!$B:$I,8,FALSE()),IF($E618="Services",VLOOKUP($C618,Services!$B:$I,8,FALSE()),IF($E618="Patty Cash",VLOOKUP($C618,'Patty Cash'!$B:$J,8,FALSE()),0)))),0)</f>
        <v>0</v>
      </c>
      <c r="O618" s="217" t="str">
        <f t="shared" si="9"/>
        <v/>
      </c>
    </row>
    <row r="619" spans="1:15" ht="23.1" customHeight="1">
      <c r="A619" s="206" t="str">
        <f>IF(AND($B619="",$C619=""),"",MAX($A$3:A618)+1)</f>
        <v/>
      </c>
      <c r="B619" s="207"/>
      <c r="C619" s="208"/>
      <c r="D619" s="209" t="str">
        <f>IFERROR(IF($E619="Inventory",VLOOKUP($C619,Inventory!$B:$I,2,FALSE()),IF($E619="Non Inventory",VLOOKUP($C619,'Non Inventory'!$B:$I,2,FALSE()),IF($E619="Services",VLOOKUP($C619,Services!$B:$I,2,FALSE()),IF($E619="Patty Cash",VLOOKUP($C619,'Patty Cash'!$B:$J,2,FALSE()),"")))),"")</f>
        <v/>
      </c>
      <c r="E619" s="246"/>
      <c r="F619" s="210" t="str">
        <f>IFERROR(IF($E619="Inventory",VLOOKUP($C619,Inventory!$B:$I,3,FALSE()),IF($E619="Non Inventory",VLOOKUP($C619,'Non Inventory'!$B:$I,3,FALSE()),IF($E619="Services",VLOOKUP($C619,Services!$B:$I,3,FALSE()),IF($E619="Patty Cash",VLOOKUP($C619,'Patty Cash'!$B:$J,3,FALSE()),"")))),"")</f>
        <v/>
      </c>
      <c r="G619" s="211"/>
      <c r="H619" s="212" t="str">
        <f>IF($E619="","",IF($E619="Inventory",IFERROR(VLOOKUP($C619,Inventory!$B:$H,7,FALSE()),0),IF($E619="Non Inventory",IFERROR(VLOOKUP($C619,'Non Inventory'!$B:$H,7,FALSE()),0),IF($E619="Services",IFERROR(VLOOKUP($C619,Services!$B:$H,7,FALSE()),0),IF($E619="Patty Cash",IFERROR(VLOOKUP($C619,'Patty Cash'!$B:$H,7,FALSE()),0),0)))))</f>
        <v/>
      </c>
      <c r="I619" s="213"/>
      <c r="J619" s="214"/>
      <c r="K619" s="215"/>
      <c r="L619" s="197"/>
      <c r="M619" s="215"/>
      <c r="N619" s="216">
        <f>IFERROR(IF($E619="Inventory",VLOOKUP($C619,Inventory!$B:$I,8,FALSE()),IF($E619="Non Inventory",VLOOKUP($C619,'Non Inventory'!$B:$I,8,FALSE()),IF($E619="Services",VLOOKUP($C619,Services!$B:$I,8,FALSE()),IF($E619="Patty Cash",VLOOKUP($C619,'Patty Cash'!$B:$J,8,FALSE()),0)))),0)</f>
        <v>0</v>
      </c>
      <c r="O619" s="217" t="str">
        <f t="shared" si="9"/>
        <v/>
      </c>
    </row>
    <row r="620" spans="1:15" ht="23.1" customHeight="1">
      <c r="A620" s="206" t="str">
        <f>IF(AND($B620="",$C620=""),"",MAX($A$3:A619)+1)</f>
        <v/>
      </c>
      <c r="B620" s="207"/>
      <c r="C620" s="208"/>
      <c r="D620" s="209" t="str">
        <f>IFERROR(IF($E620="Inventory",VLOOKUP($C620,Inventory!$B:$I,2,FALSE()),IF($E620="Non Inventory",VLOOKUP($C620,'Non Inventory'!$B:$I,2,FALSE()),IF($E620="Services",VLOOKUP($C620,Services!$B:$I,2,FALSE()),IF($E620="Patty Cash",VLOOKUP($C620,'Patty Cash'!$B:$J,2,FALSE()),"")))),"")</f>
        <v/>
      </c>
      <c r="E620" s="246"/>
      <c r="F620" s="210" t="str">
        <f>IFERROR(IF($E620="Inventory",VLOOKUP($C620,Inventory!$B:$I,3,FALSE()),IF($E620="Non Inventory",VLOOKUP($C620,'Non Inventory'!$B:$I,3,FALSE()),IF($E620="Services",VLOOKUP($C620,Services!$B:$I,3,FALSE()),IF($E620="Patty Cash",VLOOKUP($C620,'Patty Cash'!$B:$J,3,FALSE()),"")))),"")</f>
        <v/>
      </c>
      <c r="G620" s="211"/>
      <c r="H620" s="212" t="str">
        <f>IF($E620="","",IF($E620="Inventory",IFERROR(VLOOKUP($C620,Inventory!$B:$H,7,FALSE()),0),IF($E620="Non Inventory",IFERROR(VLOOKUP($C620,'Non Inventory'!$B:$H,7,FALSE()),0),IF($E620="Services",IFERROR(VLOOKUP($C620,Services!$B:$H,7,FALSE()),0),IF($E620="Patty Cash",IFERROR(VLOOKUP($C620,'Patty Cash'!$B:$H,7,FALSE()),0),0)))))</f>
        <v/>
      </c>
      <c r="I620" s="213"/>
      <c r="J620" s="214"/>
      <c r="K620" s="215"/>
      <c r="L620" s="197"/>
      <c r="M620" s="215"/>
      <c r="N620" s="216">
        <f>IFERROR(IF($E620="Inventory",VLOOKUP($C620,Inventory!$B:$I,8,FALSE()),IF($E620="Non Inventory",VLOOKUP($C620,'Non Inventory'!$B:$I,8,FALSE()),IF($E620="Services",VLOOKUP($C620,Services!$B:$I,8,FALSE()),IF($E620="Patty Cash",VLOOKUP($C620,'Patty Cash'!$B:$J,8,FALSE()),0)))),0)</f>
        <v>0</v>
      </c>
      <c r="O620" s="217" t="str">
        <f t="shared" si="9"/>
        <v/>
      </c>
    </row>
    <row r="621" spans="1:15" ht="23.1" customHeight="1">
      <c r="A621" s="206" t="str">
        <f>IF(AND($B621="",$C621=""),"",MAX($A$3:A620)+1)</f>
        <v/>
      </c>
      <c r="B621" s="207"/>
      <c r="C621" s="208"/>
      <c r="D621" s="209" t="str">
        <f>IFERROR(IF($E621="Inventory",VLOOKUP($C621,Inventory!$B:$I,2,FALSE()),IF($E621="Non Inventory",VLOOKUP($C621,'Non Inventory'!$B:$I,2,FALSE()),IF($E621="Services",VLOOKUP($C621,Services!$B:$I,2,FALSE()),IF($E621="Patty Cash",VLOOKUP($C621,'Patty Cash'!$B:$J,2,FALSE()),"")))),"")</f>
        <v/>
      </c>
      <c r="E621" s="246"/>
      <c r="F621" s="210" t="str">
        <f>IFERROR(IF($E621="Inventory",VLOOKUP($C621,Inventory!$B:$I,3,FALSE()),IF($E621="Non Inventory",VLOOKUP($C621,'Non Inventory'!$B:$I,3,FALSE()),IF($E621="Services",VLOOKUP($C621,Services!$B:$I,3,FALSE()),IF($E621="Patty Cash",VLOOKUP($C621,'Patty Cash'!$B:$J,3,FALSE()),"")))),"")</f>
        <v/>
      </c>
      <c r="G621" s="211"/>
      <c r="H621" s="212" t="str">
        <f>IF($E621="","",IF($E621="Inventory",IFERROR(VLOOKUP($C621,Inventory!$B:$H,7,FALSE()),0),IF($E621="Non Inventory",IFERROR(VLOOKUP($C621,'Non Inventory'!$B:$H,7,FALSE()),0),IF($E621="Services",IFERROR(VLOOKUP($C621,Services!$B:$H,7,FALSE()),0),IF($E621="Patty Cash",IFERROR(VLOOKUP($C621,'Patty Cash'!$B:$H,7,FALSE()),0),0)))))</f>
        <v/>
      </c>
      <c r="I621" s="213"/>
      <c r="J621" s="214"/>
      <c r="K621" s="215"/>
      <c r="L621" s="197"/>
      <c r="M621" s="215"/>
      <c r="N621" s="216">
        <f>IFERROR(IF($E621="Inventory",VLOOKUP($C621,Inventory!$B:$I,8,FALSE()),IF($E621="Non Inventory",VLOOKUP($C621,'Non Inventory'!$B:$I,8,FALSE()),IF($E621="Services",VLOOKUP($C621,Services!$B:$I,8,FALSE()),IF($E621="Patty Cash",VLOOKUP($C621,'Patty Cash'!$B:$J,8,FALSE()),0)))),0)</f>
        <v>0</v>
      </c>
      <c r="O621" s="217" t="str">
        <f t="shared" si="9"/>
        <v/>
      </c>
    </row>
    <row r="622" spans="1:15" ht="23.1" customHeight="1">
      <c r="A622" s="206" t="str">
        <f>IF(AND($B622="",$C622=""),"",MAX($A$3:A621)+1)</f>
        <v/>
      </c>
      <c r="B622" s="207"/>
      <c r="C622" s="208"/>
      <c r="D622" s="209" t="str">
        <f>IFERROR(IF($E622="Inventory",VLOOKUP($C622,Inventory!$B:$I,2,FALSE()),IF($E622="Non Inventory",VLOOKUP($C622,'Non Inventory'!$B:$I,2,FALSE()),IF($E622="Services",VLOOKUP($C622,Services!$B:$I,2,FALSE()),IF($E622="Patty Cash",VLOOKUP($C622,'Patty Cash'!$B:$J,2,FALSE()),"")))),"")</f>
        <v/>
      </c>
      <c r="E622" s="246"/>
      <c r="F622" s="210" t="str">
        <f>IFERROR(IF($E622="Inventory",VLOOKUP($C622,Inventory!$B:$I,3,FALSE()),IF($E622="Non Inventory",VLOOKUP($C622,'Non Inventory'!$B:$I,3,FALSE()),IF($E622="Services",VLOOKUP($C622,Services!$B:$I,3,FALSE()),IF($E622="Patty Cash",VLOOKUP($C622,'Patty Cash'!$B:$J,3,FALSE()),"")))),"")</f>
        <v/>
      </c>
      <c r="G622" s="211"/>
      <c r="H622" s="212" t="str">
        <f>IF($E622="","",IF($E622="Inventory",IFERROR(VLOOKUP($C622,Inventory!$B:$H,7,FALSE()),0),IF($E622="Non Inventory",IFERROR(VLOOKUP($C622,'Non Inventory'!$B:$H,7,FALSE()),0),IF($E622="Services",IFERROR(VLOOKUP($C622,Services!$B:$H,7,FALSE()),0),IF($E622="Patty Cash",IFERROR(VLOOKUP($C622,'Patty Cash'!$B:$H,7,FALSE()),0),0)))))</f>
        <v/>
      </c>
      <c r="I622" s="213"/>
      <c r="J622" s="214"/>
      <c r="K622" s="215"/>
      <c r="L622" s="197"/>
      <c r="M622" s="215"/>
      <c r="N622" s="216">
        <f>IFERROR(IF($E622="Inventory",VLOOKUP($C622,Inventory!$B:$I,8,FALSE()),IF($E622="Non Inventory",VLOOKUP($C622,'Non Inventory'!$B:$I,8,FALSE()),IF($E622="Services",VLOOKUP($C622,Services!$B:$I,8,FALSE()),IF($E622="Patty Cash",VLOOKUP($C622,'Patty Cash'!$B:$J,8,FALSE()),0)))),0)</f>
        <v>0</v>
      </c>
      <c r="O622" s="217" t="str">
        <f t="shared" si="9"/>
        <v/>
      </c>
    </row>
    <row r="623" spans="1:15" ht="23.1" customHeight="1">
      <c r="A623" s="206" t="str">
        <f>IF(AND($B623="",$C623=""),"",MAX($A$3:A622)+1)</f>
        <v/>
      </c>
      <c r="B623" s="207"/>
      <c r="C623" s="208"/>
      <c r="D623" s="209" t="str">
        <f>IFERROR(IF($E623="Inventory",VLOOKUP($C623,Inventory!$B:$I,2,FALSE()),IF($E623="Non Inventory",VLOOKUP($C623,'Non Inventory'!$B:$I,2,FALSE()),IF($E623="Services",VLOOKUP($C623,Services!$B:$I,2,FALSE()),IF($E623="Patty Cash",VLOOKUP($C623,'Patty Cash'!$B:$J,2,FALSE()),"")))),"")</f>
        <v/>
      </c>
      <c r="E623" s="246"/>
      <c r="F623" s="210" t="str">
        <f>IFERROR(IF($E623="Inventory",VLOOKUP($C623,Inventory!$B:$I,3,FALSE()),IF($E623="Non Inventory",VLOOKUP($C623,'Non Inventory'!$B:$I,3,FALSE()),IF($E623="Services",VLOOKUP($C623,Services!$B:$I,3,FALSE()),IF($E623="Patty Cash",VLOOKUP($C623,'Patty Cash'!$B:$J,3,FALSE()),"")))),"")</f>
        <v/>
      </c>
      <c r="G623" s="211"/>
      <c r="H623" s="212" t="str">
        <f>IF($E623="","",IF($E623="Inventory",IFERROR(VLOOKUP($C623,Inventory!$B:$H,7,FALSE()),0),IF($E623="Non Inventory",IFERROR(VLOOKUP($C623,'Non Inventory'!$B:$H,7,FALSE()),0),IF($E623="Services",IFERROR(VLOOKUP($C623,Services!$B:$H,7,FALSE()),0),IF($E623="Patty Cash",IFERROR(VLOOKUP($C623,'Patty Cash'!$B:$H,7,FALSE()),0),0)))))</f>
        <v/>
      </c>
      <c r="I623" s="213"/>
      <c r="J623" s="214"/>
      <c r="K623" s="215"/>
      <c r="L623" s="197"/>
      <c r="M623" s="215"/>
      <c r="N623" s="216">
        <f>IFERROR(IF($E623="Inventory",VLOOKUP($C623,Inventory!$B:$I,8,FALSE()),IF($E623="Non Inventory",VLOOKUP($C623,'Non Inventory'!$B:$I,8,FALSE()),IF($E623="Services",VLOOKUP($C623,Services!$B:$I,8,FALSE()),IF($E623="Patty Cash",VLOOKUP($C623,'Patty Cash'!$B:$J,8,FALSE()),0)))),0)</f>
        <v>0</v>
      </c>
      <c r="O623" s="217" t="str">
        <f t="shared" si="9"/>
        <v/>
      </c>
    </row>
    <row r="624" spans="1:15" ht="23.1" customHeight="1">
      <c r="A624" s="206" t="str">
        <f>IF(AND($B624="",$C624=""),"",MAX($A$3:A623)+1)</f>
        <v/>
      </c>
      <c r="B624" s="207"/>
      <c r="C624" s="208"/>
      <c r="D624" s="209" t="str">
        <f>IFERROR(IF($E624="Inventory",VLOOKUP($C624,Inventory!$B:$I,2,FALSE()),IF($E624="Non Inventory",VLOOKUP($C624,'Non Inventory'!$B:$I,2,FALSE()),IF($E624="Services",VLOOKUP($C624,Services!$B:$I,2,FALSE()),IF($E624="Patty Cash",VLOOKUP($C624,'Patty Cash'!$B:$J,2,FALSE()),"")))),"")</f>
        <v/>
      </c>
      <c r="E624" s="246"/>
      <c r="F624" s="210" t="str">
        <f>IFERROR(IF($E624="Inventory",VLOOKUP($C624,Inventory!$B:$I,3,FALSE()),IF($E624="Non Inventory",VLOOKUP($C624,'Non Inventory'!$B:$I,3,FALSE()),IF($E624="Services",VLOOKUP($C624,Services!$B:$I,3,FALSE()),IF($E624="Patty Cash",VLOOKUP($C624,'Patty Cash'!$B:$J,3,FALSE()),"")))),"")</f>
        <v/>
      </c>
      <c r="G624" s="211"/>
      <c r="H624" s="212" t="str">
        <f>IF($E624="","",IF($E624="Inventory",IFERROR(VLOOKUP($C624,Inventory!$B:$H,7,FALSE()),0),IF($E624="Non Inventory",IFERROR(VLOOKUP($C624,'Non Inventory'!$B:$H,7,FALSE()),0),IF($E624="Services",IFERROR(VLOOKUP($C624,Services!$B:$H,7,FALSE()),0),IF($E624="Patty Cash",IFERROR(VLOOKUP($C624,'Patty Cash'!$B:$H,7,FALSE()),0),0)))))</f>
        <v/>
      </c>
      <c r="I624" s="213"/>
      <c r="J624" s="214"/>
      <c r="K624" s="215"/>
      <c r="L624" s="197"/>
      <c r="M624" s="215"/>
      <c r="N624" s="216">
        <f>IFERROR(IF($E624="Inventory",VLOOKUP($C624,Inventory!$B:$I,8,FALSE()),IF($E624="Non Inventory",VLOOKUP($C624,'Non Inventory'!$B:$I,8,FALSE()),IF($E624="Services",VLOOKUP($C624,Services!$B:$I,8,FALSE()),IF($E624="Patty Cash",VLOOKUP($C624,'Patty Cash'!$B:$J,8,FALSE()),0)))),0)</f>
        <v>0</v>
      </c>
      <c r="O624" s="217" t="str">
        <f t="shared" si="9"/>
        <v/>
      </c>
    </row>
    <row r="625" spans="1:15" ht="23.1" customHeight="1">
      <c r="A625" s="206" t="str">
        <f>IF(AND($B625="",$C625=""),"",MAX($A$3:A624)+1)</f>
        <v/>
      </c>
      <c r="B625" s="207"/>
      <c r="C625" s="208"/>
      <c r="D625" s="209" t="str">
        <f>IFERROR(IF($E625="Inventory",VLOOKUP($C625,Inventory!$B:$I,2,FALSE()),IF($E625="Non Inventory",VLOOKUP($C625,'Non Inventory'!$B:$I,2,FALSE()),IF($E625="Services",VLOOKUP($C625,Services!$B:$I,2,FALSE()),IF($E625="Patty Cash",VLOOKUP($C625,'Patty Cash'!$B:$J,2,FALSE()),"")))),"")</f>
        <v/>
      </c>
      <c r="E625" s="246"/>
      <c r="F625" s="210" t="str">
        <f>IFERROR(IF($E625="Inventory",VLOOKUP($C625,Inventory!$B:$I,3,FALSE()),IF($E625="Non Inventory",VLOOKUP($C625,'Non Inventory'!$B:$I,3,FALSE()),IF($E625="Services",VLOOKUP($C625,Services!$B:$I,3,FALSE()),IF($E625="Patty Cash",VLOOKUP($C625,'Patty Cash'!$B:$J,3,FALSE()),"")))),"")</f>
        <v/>
      </c>
      <c r="G625" s="211"/>
      <c r="H625" s="212" t="str">
        <f>IF($E625="","",IF($E625="Inventory",IFERROR(VLOOKUP($C625,Inventory!$B:$H,7,FALSE()),0),IF($E625="Non Inventory",IFERROR(VLOOKUP($C625,'Non Inventory'!$B:$H,7,FALSE()),0),IF($E625="Services",IFERROR(VLOOKUP($C625,Services!$B:$H,7,FALSE()),0),IF($E625="Patty Cash",IFERROR(VLOOKUP($C625,'Patty Cash'!$B:$H,7,FALSE()),0),0)))))</f>
        <v/>
      </c>
      <c r="I625" s="213"/>
      <c r="J625" s="214"/>
      <c r="K625" s="215"/>
      <c r="L625" s="197"/>
      <c r="M625" s="215"/>
      <c r="N625" s="216">
        <f>IFERROR(IF($E625="Inventory",VLOOKUP($C625,Inventory!$B:$I,8,FALSE()),IF($E625="Non Inventory",VLOOKUP($C625,'Non Inventory'!$B:$I,8,FALSE()),IF($E625="Services",VLOOKUP($C625,Services!$B:$I,8,FALSE()),IF($E625="Patty Cash",VLOOKUP($C625,'Patty Cash'!$B:$J,8,FALSE()),0)))),0)</f>
        <v>0</v>
      </c>
      <c r="O625" s="217" t="str">
        <f t="shared" si="9"/>
        <v/>
      </c>
    </row>
    <row r="626" spans="1:15" ht="23.1" customHeight="1">
      <c r="A626" s="206" t="str">
        <f>IF(AND($B626="",$C626=""),"",MAX($A$3:A625)+1)</f>
        <v/>
      </c>
      <c r="B626" s="207"/>
      <c r="C626" s="208"/>
      <c r="D626" s="209" t="str">
        <f>IFERROR(IF($E626="Inventory",VLOOKUP($C626,Inventory!$B:$I,2,FALSE()),IF($E626="Non Inventory",VLOOKUP($C626,'Non Inventory'!$B:$I,2,FALSE()),IF($E626="Services",VLOOKUP($C626,Services!$B:$I,2,FALSE()),IF($E626="Patty Cash",VLOOKUP($C626,'Patty Cash'!$B:$J,2,FALSE()),"")))),"")</f>
        <v/>
      </c>
      <c r="E626" s="246"/>
      <c r="F626" s="210" t="str">
        <f>IFERROR(IF($E626="Inventory",VLOOKUP($C626,Inventory!$B:$I,3,FALSE()),IF($E626="Non Inventory",VLOOKUP($C626,'Non Inventory'!$B:$I,3,FALSE()),IF($E626="Services",VLOOKUP($C626,Services!$B:$I,3,FALSE()),IF($E626="Patty Cash",VLOOKUP($C626,'Patty Cash'!$B:$J,3,FALSE()),"")))),"")</f>
        <v/>
      </c>
      <c r="G626" s="211"/>
      <c r="H626" s="212" t="str">
        <f>IF($E626="","",IF($E626="Inventory",IFERROR(VLOOKUP($C626,Inventory!$B:$H,7,FALSE()),0),IF($E626="Non Inventory",IFERROR(VLOOKUP($C626,'Non Inventory'!$B:$H,7,FALSE()),0),IF($E626="Services",IFERROR(VLOOKUP($C626,Services!$B:$H,7,FALSE()),0),IF($E626="Patty Cash",IFERROR(VLOOKUP($C626,'Patty Cash'!$B:$H,7,FALSE()),0),0)))))</f>
        <v/>
      </c>
      <c r="I626" s="213"/>
      <c r="J626" s="214"/>
      <c r="K626" s="215"/>
      <c r="L626" s="197"/>
      <c r="M626" s="215"/>
      <c r="N626" s="216">
        <f>IFERROR(IF($E626="Inventory",VLOOKUP($C626,Inventory!$B:$I,8,FALSE()),IF($E626="Non Inventory",VLOOKUP($C626,'Non Inventory'!$B:$I,8,FALSE()),IF($E626="Services",VLOOKUP($C626,Services!$B:$I,8,FALSE()),IF($E626="Patty Cash",VLOOKUP($C626,'Patty Cash'!$B:$J,8,FALSE()),0)))),0)</f>
        <v>0</v>
      </c>
      <c r="O626" s="217" t="str">
        <f t="shared" si="9"/>
        <v/>
      </c>
    </row>
    <row r="627" spans="1:15" ht="23.1" customHeight="1">
      <c r="A627" s="206" t="str">
        <f>IF(AND($B627="",$C627=""),"",MAX($A$3:A626)+1)</f>
        <v/>
      </c>
      <c r="B627" s="207"/>
      <c r="C627" s="208"/>
      <c r="D627" s="209" t="str">
        <f>IFERROR(IF($E627="Inventory",VLOOKUP($C627,Inventory!$B:$I,2,FALSE()),IF($E627="Non Inventory",VLOOKUP($C627,'Non Inventory'!$B:$I,2,FALSE()),IF($E627="Services",VLOOKUP($C627,Services!$B:$I,2,FALSE()),IF($E627="Patty Cash",VLOOKUP($C627,'Patty Cash'!$B:$J,2,FALSE()),"")))),"")</f>
        <v/>
      </c>
      <c r="E627" s="246"/>
      <c r="F627" s="210" t="str">
        <f>IFERROR(IF($E627="Inventory",VLOOKUP($C627,Inventory!$B:$I,3,FALSE()),IF($E627="Non Inventory",VLOOKUP($C627,'Non Inventory'!$B:$I,3,FALSE()),IF($E627="Services",VLOOKUP($C627,Services!$B:$I,3,FALSE()),IF($E627="Patty Cash",VLOOKUP($C627,'Patty Cash'!$B:$J,3,FALSE()),"")))),"")</f>
        <v/>
      </c>
      <c r="G627" s="211"/>
      <c r="H627" s="212" t="str">
        <f>IF($E627="","",IF($E627="Inventory",IFERROR(VLOOKUP($C627,Inventory!$B:$H,7,FALSE()),0),IF($E627="Non Inventory",IFERROR(VLOOKUP($C627,'Non Inventory'!$B:$H,7,FALSE()),0),IF($E627="Services",IFERROR(VLOOKUP($C627,Services!$B:$H,7,FALSE()),0),IF($E627="Patty Cash",IFERROR(VLOOKUP($C627,'Patty Cash'!$B:$H,7,FALSE()),0),0)))))</f>
        <v/>
      </c>
      <c r="I627" s="213"/>
      <c r="J627" s="214"/>
      <c r="K627" s="215"/>
      <c r="L627" s="197"/>
      <c r="M627" s="215"/>
      <c r="N627" s="216">
        <f>IFERROR(IF($E627="Inventory",VLOOKUP($C627,Inventory!$B:$I,8,FALSE()),IF($E627="Non Inventory",VLOOKUP($C627,'Non Inventory'!$B:$I,8,FALSE()),IF($E627="Services",VLOOKUP($C627,Services!$B:$I,8,FALSE()),IF($E627="Patty Cash",VLOOKUP($C627,'Patty Cash'!$B:$J,8,FALSE()),0)))),0)</f>
        <v>0</v>
      </c>
      <c r="O627" s="217" t="str">
        <f t="shared" si="9"/>
        <v/>
      </c>
    </row>
    <row r="628" spans="1:15" ht="23.1" customHeight="1">
      <c r="A628" s="206" t="str">
        <f>IF(AND($B628="",$C628=""),"",MAX($A$3:A627)+1)</f>
        <v/>
      </c>
      <c r="B628" s="207"/>
      <c r="C628" s="208"/>
      <c r="D628" s="209" t="str">
        <f>IFERROR(IF($E628="Inventory",VLOOKUP($C628,Inventory!$B:$I,2,FALSE()),IF($E628="Non Inventory",VLOOKUP($C628,'Non Inventory'!$B:$I,2,FALSE()),IF($E628="Services",VLOOKUP($C628,Services!$B:$I,2,FALSE()),IF($E628="Patty Cash",VLOOKUP($C628,'Patty Cash'!$B:$J,2,FALSE()),"")))),"")</f>
        <v/>
      </c>
      <c r="E628" s="246"/>
      <c r="F628" s="210" t="str">
        <f>IFERROR(IF($E628="Inventory",VLOOKUP($C628,Inventory!$B:$I,3,FALSE()),IF($E628="Non Inventory",VLOOKUP($C628,'Non Inventory'!$B:$I,3,FALSE()),IF($E628="Services",VLOOKUP($C628,Services!$B:$I,3,FALSE()),IF($E628="Patty Cash",VLOOKUP($C628,'Patty Cash'!$B:$J,3,FALSE()),"")))),"")</f>
        <v/>
      </c>
      <c r="G628" s="211"/>
      <c r="H628" s="212" t="str">
        <f>IF($E628="","",IF($E628="Inventory",IFERROR(VLOOKUP($C628,Inventory!$B:$H,7,FALSE()),0),IF($E628="Non Inventory",IFERROR(VLOOKUP($C628,'Non Inventory'!$B:$H,7,FALSE()),0),IF($E628="Services",IFERROR(VLOOKUP($C628,Services!$B:$H,7,FALSE()),0),IF($E628="Patty Cash",IFERROR(VLOOKUP($C628,'Patty Cash'!$B:$H,7,FALSE()),0),0)))))</f>
        <v/>
      </c>
      <c r="I628" s="213"/>
      <c r="J628" s="214"/>
      <c r="K628" s="215"/>
      <c r="L628" s="197"/>
      <c r="M628" s="215"/>
      <c r="N628" s="216">
        <f>IFERROR(IF($E628="Inventory",VLOOKUP($C628,Inventory!$B:$I,8,FALSE()),IF($E628="Non Inventory",VLOOKUP($C628,'Non Inventory'!$B:$I,8,FALSE()),IF($E628="Services",VLOOKUP($C628,Services!$B:$I,8,FALSE()),IF($E628="Patty Cash",VLOOKUP($C628,'Patty Cash'!$B:$J,8,FALSE()),0)))),0)</f>
        <v>0</v>
      </c>
      <c r="O628" s="217" t="str">
        <f t="shared" si="9"/>
        <v/>
      </c>
    </row>
    <row r="629" spans="1:15" ht="23.1" customHeight="1">
      <c r="A629" s="206" t="str">
        <f>IF(AND($B629="",$C629=""),"",MAX($A$3:A628)+1)</f>
        <v/>
      </c>
      <c r="B629" s="207"/>
      <c r="C629" s="208"/>
      <c r="D629" s="209" t="str">
        <f>IFERROR(IF($E629="Inventory",VLOOKUP($C629,Inventory!$B:$I,2,FALSE()),IF($E629="Non Inventory",VLOOKUP($C629,'Non Inventory'!$B:$I,2,FALSE()),IF($E629="Services",VLOOKUP($C629,Services!$B:$I,2,FALSE()),IF($E629="Patty Cash",VLOOKUP($C629,'Patty Cash'!$B:$J,2,FALSE()),"")))),"")</f>
        <v/>
      </c>
      <c r="E629" s="246"/>
      <c r="F629" s="210" t="str">
        <f>IFERROR(IF($E629="Inventory",VLOOKUP($C629,Inventory!$B:$I,3,FALSE()),IF($E629="Non Inventory",VLOOKUP($C629,'Non Inventory'!$B:$I,3,FALSE()),IF($E629="Services",VLOOKUP($C629,Services!$B:$I,3,FALSE()),IF($E629="Patty Cash",VLOOKUP($C629,'Patty Cash'!$B:$J,3,FALSE()),"")))),"")</f>
        <v/>
      </c>
      <c r="G629" s="211"/>
      <c r="H629" s="212" t="str">
        <f>IF($E629="","",IF($E629="Inventory",IFERROR(VLOOKUP($C629,Inventory!$B:$H,7,FALSE()),0),IF($E629="Non Inventory",IFERROR(VLOOKUP($C629,'Non Inventory'!$B:$H,7,FALSE()),0),IF($E629="Services",IFERROR(VLOOKUP($C629,Services!$B:$H,7,FALSE()),0),IF($E629="Patty Cash",IFERROR(VLOOKUP($C629,'Patty Cash'!$B:$H,7,FALSE()),0),0)))))</f>
        <v/>
      </c>
      <c r="I629" s="213"/>
      <c r="J629" s="214"/>
      <c r="K629" s="215"/>
      <c r="L629" s="197"/>
      <c r="M629" s="215"/>
      <c r="N629" s="216">
        <f>IFERROR(IF($E629="Inventory",VLOOKUP($C629,Inventory!$B:$I,8,FALSE()),IF($E629="Non Inventory",VLOOKUP($C629,'Non Inventory'!$B:$I,8,FALSE()),IF($E629="Services",VLOOKUP($C629,Services!$B:$I,8,FALSE()),IF($E629="Patty Cash",VLOOKUP($C629,'Patty Cash'!$B:$J,8,FALSE()),0)))),0)</f>
        <v>0</v>
      </c>
      <c r="O629" s="217" t="str">
        <f t="shared" si="9"/>
        <v/>
      </c>
    </row>
    <row r="630" spans="1:15" ht="23.1" customHeight="1">
      <c r="A630" s="206" t="str">
        <f>IF(AND($B630="",$C630=""),"",MAX($A$3:A629)+1)</f>
        <v/>
      </c>
      <c r="B630" s="207"/>
      <c r="C630" s="208"/>
      <c r="D630" s="209" t="str">
        <f>IFERROR(IF($E630="Inventory",VLOOKUP($C630,Inventory!$B:$I,2,FALSE()),IF($E630="Non Inventory",VLOOKUP($C630,'Non Inventory'!$B:$I,2,FALSE()),IF($E630="Services",VLOOKUP($C630,Services!$B:$I,2,FALSE()),IF($E630="Patty Cash",VLOOKUP($C630,'Patty Cash'!$B:$J,2,FALSE()),"")))),"")</f>
        <v/>
      </c>
      <c r="E630" s="246"/>
      <c r="F630" s="210" t="str">
        <f>IFERROR(IF($E630="Inventory",VLOOKUP($C630,Inventory!$B:$I,3,FALSE()),IF($E630="Non Inventory",VLOOKUP($C630,'Non Inventory'!$B:$I,3,FALSE()),IF($E630="Services",VLOOKUP($C630,Services!$B:$I,3,FALSE()),IF($E630="Patty Cash",VLOOKUP($C630,'Patty Cash'!$B:$J,3,FALSE()),"")))),"")</f>
        <v/>
      </c>
      <c r="G630" s="211"/>
      <c r="H630" s="212" t="str">
        <f>IF($E630="","",IF($E630="Inventory",IFERROR(VLOOKUP($C630,Inventory!$B:$H,7,FALSE()),0),IF($E630="Non Inventory",IFERROR(VLOOKUP($C630,'Non Inventory'!$B:$H,7,FALSE()),0),IF($E630="Services",IFERROR(VLOOKUP($C630,Services!$B:$H,7,FALSE()),0),IF($E630="Patty Cash",IFERROR(VLOOKUP($C630,'Patty Cash'!$B:$H,7,FALSE()),0),0)))))</f>
        <v/>
      </c>
      <c r="I630" s="213"/>
      <c r="J630" s="214"/>
      <c r="K630" s="215"/>
      <c r="L630" s="197"/>
      <c r="M630" s="215"/>
      <c r="N630" s="216">
        <f>IFERROR(IF($E630="Inventory",VLOOKUP($C630,Inventory!$B:$I,8,FALSE()),IF($E630="Non Inventory",VLOOKUP($C630,'Non Inventory'!$B:$I,8,FALSE()),IF($E630="Services",VLOOKUP($C630,Services!$B:$I,8,FALSE()),IF($E630="Patty Cash",VLOOKUP($C630,'Patty Cash'!$B:$J,8,FALSE()),0)))),0)</f>
        <v>0</v>
      </c>
      <c r="O630" s="217" t="str">
        <f t="shared" si="9"/>
        <v/>
      </c>
    </row>
    <row r="631" spans="1:15" ht="23.1" customHeight="1">
      <c r="A631" s="206" t="str">
        <f>IF(AND($B631="",$C631=""),"",MAX($A$3:A630)+1)</f>
        <v/>
      </c>
      <c r="B631" s="207"/>
      <c r="C631" s="208"/>
      <c r="D631" s="209" t="str">
        <f>IFERROR(IF($E631="Inventory",VLOOKUP($C631,Inventory!$B:$I,2,FALSE()),IF($E631="Non Inventory",VLOOKUP($C631,'Non Inventory'!$B:$I,2,FALSE()),IF($E631="Services",VLOOKUP($C631,Services!$B:$I,2,FALSE()),IF($E631="Patty Cash",VLOOKUP($C631,'Patty Cash'!$B:$J,2,FALSE()),"")))),"")</f>
        <v/>
      </c>
      <c r="E631" s="246"/>
      <c r="F631" s="210" t="str">
        <f>IFERROR(IF($E631="Inventory",VLOOKUP($C631,Inventory!$B:$I,3,FALSE()),IF($E631="Non Inventory",VLOOKUP($C631,'Non Inventory'!$B:$I,3,FALSE()),IF($E631="Services",VLOOKUP($C631,Services!$B:$I,3,FALSE()),IF($E631="Patty Cash",VLOOKUP($C631,'Patty Cash'!$B:$J,3,FALSE()),"")))),"")</f>
        <v/>
      </c>
      <c r="G631" s="211"/>
      <c r="H631" s="212" t="str">
        <f>IF($E631="","",IF($E631="Inventory",IFERROR(VLOOKUP($C631,Inventory!$B:$H,7,FALSE()),0),IF($E631="Non Inventory",IFERROR(VLOOKUP($C631,'Non Inventory'!$B:$H,7,FALSE()),0),IF($E631="Services",IFERROR(VLOOKUP($C631,Services!$B:$H,7,FALSE()),0),IF($E631="Patty Cash",IFERROR(VLOOKUP($C631,'Patty Cash'!$B:$H,7,FALSE()),0),0)))))</f>
        <v/>
      </c>
      <c r="I631" s="213"/>
      <c r="J631" s="214"/>
      <c r="K631" s="215"/>
      <c r="L631" s="197"/>
      <c r="M631" s="215"/>
      <c r="N631" s="216">
        <f>IFERROR(IF($E631="Inventory",VLOOKUP($C631,Inventory!$B:$I,8,FALSE()),IF($E631="Non Inventory",VLOOKUP($C631,'Non Inventory'!$B:$I,8,FALSE()),IF($E631="Services",VLOOKUP($C631,Services!$B:$I,8,FALSE()),IF($E631="Patty Cash",VLOOKUP($C631,'Patty Cash'!$B:$J,8,FALSE()),0)))),0)</f>
        <v>0</v>
      </c>
      <c r="O631" s="217" t="str">
        <f t="shared" si="9"/>
        <v/>
      </c>
    </row>
    <row r="632" spans="1:15" ht="23.1" customHeight="1">
      <c r="A632" s="206" t="str">
        <f>IF(AND($B632="",$C632=""),"",MAX($A$3:A631)+1)</f>
        <v/>
      </c>
      <c r="B632" s="207"/>
      <c r="C632" s="208"/>
      <c r="D632" s="209" t="str">
        <f>IFERROR(IF($E632="Inventory",VLOOKUP($C632,Inventory!$B:$I,2,FALSE()),IF($E632="Non Inventory",VLOOKUP($C632,'Non Inventory'!$B:$I,2,FALSE()),IF($E632="Services",VLOOKUP($C632,Services!$B:$I,2,FALSE()),IF($E632="Patty Cash",VLOOKUP($C632,'Patty Cash'!$B:$J,2,FALSE()),"")))),"")</f>
        <v/>
      </c>
      <c r="E632" s="246"/>
      <c r="F632" s="210" t="str">
        <f>IFERROR(IF($E632="Inventory",VLOOKUP($C632,Inventory!$B:$I,3,FALSE()),IF($E632="Non Inventory",VLOOKUP($C632,'Non Inventory'!$B:$I,3,FALSE()),IF($E632="Services",VLOOKUP($C632,Services!$B:$I,3,FALSE()),IF($E632="Patty Cash",VLOOKUP($C632,'Patty Cash'!$B:$J,3,FALSE()),"")))),"")</f>
        <v/>
      </c>
      <c r="G632" s="211"/>
      <c r="H632" s="212" t="str">
        <f>IF($E632="","",IF($E632="Inventory",IFERROR(VLOOKUP($C632,Inventory!$B:$H,7,FALSE()),0),IF($E632="Non Inventory",IFERROR(VLOOKUP($C632,'Non Inventory'!$B:$H,7,FALSE()),0),IF($E632="Services",IFERROR(VLOOKUP($C632,Services!$B:$H,7,FALSE()),0),IF($E632="Patty Cash",IFERROR(VLOOKUP($C632,'Patty Cash'!$B:$H,7,FALSE()),0),0)))))</f>
        <v/>
      </c>
      <c r="I632" s="213"/>
      <c r="J632" s="214"/>
      <c r="K632" s="215"/>
      <c r="L632" s="197"/>
      <c r="M632" s="215"/>
      <c r="N632" s="216">
        <f>IFERROR(IF($E632="Inventory",VLOOKUP($C632,Inventory!$B:$I,8,FALSE()),IF($E632="Non Inventory",VLOOKUP($C632,'Non Inventory'!$B:$I,8,FALSE()),IF($E632="Services",VLOOKUP($C632,Services!$B:$I,8,FALSE()),IF($E632="Patty Cash",VLOOKUP($C632,'Patty Cash'!$B:$J,8,FALSE()),0)))),0)</f>
        <v>0</v>
      </c>
      <c r="O632" s="217" t="str">
        <f t="shared" si="9"/>
        <v/>
      </c>
    </row>
    <row r="633" spans="1:15" ht="23.1" customHeight="1">
      <c r="A633" s="206" t="str">
        <f>IF(AND($B633="",$C633=""),"",MAX($A$3:A632)+1)</f>
        <v/>
      </c>
      <c r="B633" s="207"/>
      <c r="C633" s="208"/>
      <c r="D633" s="209" t="str">
        <f>IFERROR(IF($E633="Inventory",VLOOKUP($C633,Inventory!$B:$I,2,FALSE()),IF($E633="Non Inventory",VLOOKUP($C633,'Non Inventory'!$B:$I,2,FALSE()),IF($E633="Services",VLOOKUP($C633,Services!$B:$I,2,FALSE()),IF($E633="Patty Cash",VLOOKUP($C633,'Patty Cash'!$B:$J,2,FALSE()),"")))),"")</f>
        <v/>
      </c>
      <c r="E633" s="246"/>
      <c r="F633" s="210" t="str">
        <f>IFERROR(IF($E633="Inventory",VLOOKUP($C633,Inventory!$B:$I,3,FALSE()),IF($E633="Non Inventory",VLOOKUP($C633,'Non Inventory'!$B:$I,3,FALSE()),IF($E633="Services",VLOOKUP($C633,Services!$B:$I,3,FALSE()),IF($E633="Patty Cash",VLOOKUP($C633,'Patty Cash'!$B:$J,3,FALSE()),"")))),"")</f>
        <v/>
      </c>
      <c r="G633" s="211"/>
      <c r="H633" s="212" t="str">
        <f>IF($E633="","",IF($E633="Inventory",IFERROR(VLOOKUP($C633,Inventory!$B:$H,7,FALSE()),0),IF($E633="Non Inventory",IFERROR(VLOOKUP($C633,'Non Inventory'!$B:$H,7,FALSE()),0),IF($E633="Services",IFERROR(VLOOKUP($C633,Services!$B:$H,7,FALSE()),0),IF($E633="Patty Cash",IFERROR(VLOOKUP($C633,'Patty Cash'!$B:$H,7,FALSE()),0),0)))))</f>
        <v/>
      </c>
      <c r="I633" s="213"/>
      <c r="J633" s="214"/>
      <c r="K633" s="215"/>
      <c r="L633" s="197"/>
      <c r="M633" s="215"/>
      <c r="N633" s="216">
        <f>IFERROR(IF($E633="Inventory",VLOOKUP($C633,Inventory!$B:$I,8,FALSE()),IF($E633="Non Inventory",VLOOKUP($C633,'Non Inventory'!$B:$I,8,FALSE()),IF($E633="Services",VLOOKUP($C633,Services!$B:$I,8,FALSE()),IF($E633="Patty Cash",VLOOKUP($C633,'Patty Cash'!$B:$J,8,FALSE()),0)))),0)</f>
        <v>0</v>
      </c>
      <c r="O633" s="217" t="str">
        <f t="shared" si="9"/>
        <v/>
      </c>
    </row>
    <row r="634" spans="1:15" ht="23.1" customHeight="1">
      <c r="A634" s="206" t="str">
        <f>IF(AND($B634="",$C634=""),"",MAX($A$3:A633)+1)</f>
        <v/>
      </c>
      <c r="B634" s="207"/>
      <c r="C634" s="208"/>
      <c r="D634" s="209" t="str">
        <f>IFERROR(IF($E634="Inventory",VLOOKUP($C634,Inventory!$B:$I,2,FALSE()),IF($E634="Non Inventory",VLOOKUP($C634,'Non Inventory'!$B:$I,2,FALSE()),IF($E634="Services",VLOOKUP($C634,Services!$B:$I,2,FALSE()),IF($E634="Patty Cash",VLOOKUP($C634,'Patty Cash'!$B:$J,2,FALSE()),"")))),"")</f>
        <v/>
      </c>
      <c r="E634" s="246"/>
      <c r="F634" s="210" t="str">
        <f>IFERROR(IF($E634="Inventory",VLOOKUP($C634,Inventory!$B:$I,3,FALSE()),IF($E634="Non Inventory",VLOOKUP($C634,'Non Inventory'!$B:$I,3,FALSE()),IF($E634="Services",VLOOKUP($C634,Services!$B:$I,3,FALSE()),IF($E634="Patty Cash",VLOOKUP($C634,'Patty Cash'!$B:$J,3,FALSE()),"")))),"")</f>
        <v/>
      </c>
      <c r="G634" s="211"/>
      <c r="H634" s="212" t="str">
        <f>IF($E634="","",IF($E634="Inventory",IFERROR(VLOOKUP($C634,Inventory!$B:$H,7,FALSE()),0),IF($E634="Non Inventory",IFERROR(VLOOKUP($C634,'Non Inventory'!$B:$H,7,FALSE()),0),IF($E634="Services",IFERROR(VLOOKUP($C634,Services!$B:$H,7,FALSE()),0),IF($E634="Patty Cash",IFERROR(VLOOKUP($C634,'Patty Cash'!$B:$H,7,FALSE()),0),0)))))</f>
        <v/>
      </c>
      <c r="I634" s="213"/>
      <c r="J634" s="214"/>
      <c r="K634" s="215"/>
      <c r="L634" s="197"/>
      <c r="M634" s="215"/>
      <c r="N634" s="216">
        <f>IFERROR(IF($E634="Inventory",VLOOKUP($C634,Inventory!$B:$I,8,FALSE()),IF($E634="Non Inventory",VLOOKUP($C634,'Non Inventory'!$B:$I,8,FALSE()),IF($E634="Services",VLOOKUP($C634,Services!$B:$I,8,FALSE()),IF($E634="Patty Cash",VLOOKUP($C634,'Patty Cash'!$B:$J,8,FALSE()),0)))),0)</f>
        <v>0</v>
      </c>
      <c r="O634" s="217" t="str">
        <f t="shared" si="9"/>
        <v/>
      </c>
    </row>
    <row r="635" spans="1:15" ht="23.1" customHeight="1">
      <c r="A635" s="206" t="str">
        <f>IF(AND($B635="",$C635=""),"",MAX($A$3:A634)+1)</f>
        <v/>
      </c>
      <c r="B635" s="207"/>
      <c r="C635" s="208"/>
      <c r="D635" s="209" t="str">
        <f>IFERROR(IF($E635="Inventory",VLOOKUP($C635,Inventory!$B:$I,2,FALSE()),IF($E635="Non Inventory",VLOOKUP($C635,'Non Inventory'!$B:$I,2,FALSE()),IF($E635="Services",VLOOKUP($C635,Services!$B:$I,2,FALSE()),IF($E635="Patty Cash",VLOOKUP($C635,'Patty Cash'!$B:$J,2,FALSE()),"")))),"")</f>
        <v/>
      </c>
      <c r="E635" s="246"/>
      <c r="F635" s="210" t="str">
        <f>IFERROR(IF($E635="Inventory",VLOOKUP($C635,Inventory!$B:$I,3,FALSE()),IF($E635="Non Inventory",VLOOKUP($C635,'Non Inventory'!$B:$I,3,FALSE()),IF($E635="Services",VLOOKUP($C635,Services!$B:$I,3,FALSE()),IF($E635="Patty Cash",VLOOKUP($C635,'Patty Cash'!$B:$J,3,FALSE()),"")))),"")</f>
        <v/>
      </c>
      <c r="G635" s="211"/>
      <c r="H635" s="212" t="str">
        <f>IF($E635="","",IF($E635="Inventory",IFERROR(VLOOKUP($C635,Inventory!$B:$H,7,FALSE()),0),IF($E635="Non Inventory",IFERROR(VLOOKUP($C635,'Non Inventory'!$B:$H,7,FALSE()),0),IF($E635="Services",IFERROR(VLOOKUP($C635,Services!$B:$H,7,FALSE()),0),IF($E635="Patty Cash",IFERROR(VLOOKUP($C635,'Patty Cash'!$B:$H,7,FALSE()),0),0)))))</f>
        <v/>
      </c>
      <c r="I635" s="213"/>
      <c r="J635" s="214"/>
      <c r="K635" s="215"/>
      <c r="L635" s="197"/>
      <c r="M635" s="215"/>
      <c r="N635" s="216">
        <f>IFERROR(IF($E635="Inventory",VLOOKUP($C635,Inventory!$B:$I,8,FALSE()),IF($E635="Non Inventory",VLOOKUP($C635,'Non Inventory'!$B:$I,8,FALSE()),IF($E635="Services",VLOOKUP($C635,Services!$B:$I,8,FALSE()),IF($E635="Patty Cash",VLOOKUP($C635,'Patty Cash'!$B:$J,8,FALSE()),0)))),0)</f>
        <v>0</v>
      </c>
      <c r="O635" s="217" t="str">
        <f t="shared" si="9"/>
        <v/>
      </c>
    </row>
    <row r="636" spans="1:15" ht="23.1" customHeight="1">
      <c r="A636" s="206" t="str">
        <f>IF(AND($B636="",$C636=""),"",MAX($A$3:A635)+1)</f>
        <v/>
      </c>
      <c r="B636" s="207"/>
      <c r="C636" s="208"/>
      <c r="D636" s="209" t="str">
        <f>IFERROR(IF($E636="Inventory",VLOOKUP($C636,Inventory!$B:$I,2,FALSE()),IF($E636="Non Inventory",VLOOKUP($C636,'Non Inventory'!$B:$I,2,FALSE()),IF($E636="Services",VLOOKUP($C636,Services!$B:$I,2,FALSE()),IF($E636="Patty Cash",VLOOKUP($C636,'Patty Cash'!$B:$J,2,FALSE()),"")))),"")</f>
        <v/>
      </c>
      <c r="E636" s="246"/>
      <c r="F636" s="210" t="str">
        <f>IFERROR(IF($E636="Inventory",VLOOKUP($C636,Inventory!$B:$I,3,FALSE()),IF($E636="Non Inventory",VLOOKUP($C636,'Non Inventory'!$B:$I,3,FALSE()),IF($E636="Services",VLOOKUP($C636,Services!$B:$I,3,FALSE()),IF($E636="Patty Cash",VLOOKUP($C636,'Patty Cash'!$B:$J,3,FALSE()),"")))),"")</f>
        <v/>
      </c>
      <c r="G636" s="211"/>
      <c r="H636" s="212" t="str">
        <f>IF($E636="","",IF($E636="Inventory",IFERROR(VLOOKUP($C636,Inventory!$B:$H,7,FALSE()),0),IF($E636="Non Inventory",IFERROR(VLOOKUP($C636,'Non Inventory'!$B:$H,7,FALSE()),0),IF($E636="Services",IFERROR(VLOOKUP($C636,Services!$B:$H,7,FALSE()),0),IF($E636="Patty Cash",IFERROR(VLOOKUP($C636,'Patty Cash'!$B:$H,7,FALSE()),0),0)))))</f>
        <v/>
      </c>
      <c r="I636" s="213"/>
      <c r="J636" s="214"/>
      <c r="K636" s="215"/>
      <c r="L636" s="197"/>
      <c r="M636" s="215"/>
      <c r="N636" s="216">
        <f>IFERROR(IF($E636="Inventory",VLOOKUP($C636,Inventory!$B:$I,8,FALSE()),IF($E636="Non Inventory",VLOOKUP($C636,'Non Inventory'!$B:$I,8,FALSE()),IF($E636="Services",VLOOKUP($C636,Services!$B:$I,8,FALSE()),IF($E636="Patty Cash",VLOOKUP($C636,'Patty Cash'!$B:$J,8,FALSE()),0)))),0)</f>
        <v>0</v>
      </c>
      <c r="O636" s="217" t="str">
        <f t="shared" si="9"/>
        <v/>
      </c>
    </row>
    <row r="637" spans="1:15" ht="23.1" customHeight="1">
      <c r="A637" s="206" t="str">
        <f>IF(AND($B637="",$C637=""),"",MAX($A$3:A636)+1)</f>
        <v/>
      </c>
      <c r="B637" s="207"/>
      <c r="C637" s="208"/>
      <c r="D637" s="209" t="str">
        <f>IFERROR(IF($E637="Inventory",VLOOKUP($C637,Inventory!$B:$I,2,FALSE()),IF($E637="Non Inventory",VLOOKUP($C637,'Non Inventory'!$B:$I,2,FALSE()),IF($E637="Services",VLOOKUP($C637,Services!$B:$I,2,FALSE()),IF($E637="Patty Cash",VLOOKUP($C637,'Patty Cash'!$B:$J,2,FALSE()),"")))),"")</f>
        <v/>
      </c>
      <c r="E637" s="246"/>
      <c r="F637" s="210" t="str">
        <f>IFERROR(IF($E637="Inventory",VLOOKUP($C637,Inventory!$B:$I,3,FALSE()),IF($E637="Non Inventory",VLOOKUP($C637,'Non Inventory'!$B:$I,3,FALSE()),IF($E637="Services",VLOOKUP($C637,Services!$B:$I,3,FALSE()),IF($E637="Patty Cash",VLOOKUP($C637,'Patty Cash'!$B:$J,3,FALSE()),"")))),"")</f>
        <v/>
      </c>
      <c r="G637" s="211"/>
      <c r="H637" s="212" t="str">
        <f>IF($E637="","",IF($E637="Inventory",IFERROR(VLOOKUP($C637,Inventory!$B:$H,7,FALSE()),0),IF($E637="Non Inventory",IFERROR(VLOOKUP($C637,'Non Inventory'!$B:$H,7,FALSE()),0),IF($E637="Services",IFERROR(VLOOKUP($C637,Services!$B:$H,7,FALSE()),0),IF($E637="Patty Cash",IFERROR(VLOOKUP($C637,'Patty Cash'!$B:$H,7,FALSE()),0),0)))))</f>
        <v/>
      </c>
      <c r="I637" s="213"/>
      <c r="J637" s="214"/>
      <c r="K637" s="215"/>
      <c r="L637" s="197"/>
      <c r="M637" s="215"/>
      <c r="N637" s="216">
        <f>IFERROR(IF($E637="Inventory",VLOOKUP($C637,Inventory!$B:$I,8,FALSE()),IF($E637="Non Inventory",VLOOKUP($C637,'Non Inventory'!$B:$I,8,FALSE()),IF($E637="Services",VLOOKUP($C637,Services!$B:$I,8,FALSE()),IF($E637="Patty Cash",VLOOKUP($C637,'Patty Cash'!$B:$J,8,FALSE()),0)))),0)</f>
        <v>0</v>
      </c>
      <c r="O637" s="217" t="str">
        <f t="shared" si="9"/>
        <v/>
      </c>
    </row>
    <row r="638" spans="1:15" ht="23.1" customHeight="1">
      <c r="A638" s="206" t="str">
        <f>IF(AND($B638="",$C638=""),"",MAX($A$3:A637)+1)</f>
        <v/>
      </c>
      <c r="B638" s="207"/>
      <c r="C638" s="208"/>
      <c r="D638" s="209" t="str">
        <f>IFERROR(IF($E638="Inventory",VLOOKUP($C638,Inventory!$B:$I,2,FALSE()),IF($E638="Non Inventory",VLOOKUP($C638,'Non Inventory'!$B:$I,2,FALSE()),IF($E638="Services",VLOOKUP($C638,Services!$B:$I,2,FALSE()),IF($E638="Patty Cash",VLOOKUP($C638,'Patty Cash'!$B:$J,2,FALSE()),"")))),"")</f>
        <v/>
      </c>
      <c r="E638" s="246"/>
      <c r="F638" s="210" t="str">
        <f>IFERROR(IF($E638="Inventory",VLOOKUP($C638,Inventory!$B:$I,3,FALSE()),IF($E638="Non Inventory",VLOOKUP($C638,'Non Inventory'!$B:$I,3,FALSE()),IF($E638="Services",VLOOKUP($C638,Services!$B:$I,3,FALSE()),IF($E638="Patty Cash",VLOOKUP($C638,'Patty Cash'!$B:$J,3,FALSE()),"")))),"")</f>
        <v/>
      </c>
      <c r="G638" s="211"/>
      <c r="H638" s="212" t="str">
        <f>IF($E638="","",IF($E638="Inventory",IFERROR(VLOOKUP($C638,Inventory!$B:$H,7,FALSE()),0),IF($E638="Non Inventory",IFERROR(VLOOKUP($C638,'Non Inventory'!$B:$H,7,FALSE()),0),IF($E638="Services",IFERROR(VLOOKUP($C638,Services!$B:$H,7,FALSE()),0),IF($E638="Patty Cash",IFERROR(VLOOKUP($C638,'Patty Cash'!$B:$H,7,FALSE()),0),0)))))</f>
        <v/>
      </c>
      <c r="I638" s="213"/>
      <c r="J638" s="214"/>
      <c r="K638" s="215"/>
      <c r="L638" s="197"/>
      <c r="M638" s="215"/>
      <c r="N638" s="216">
        <f>IFERROR(IF($E638="Inventory",VLOOKUP($C638,Inventory!$B:$I,8,FALSE()),IF($E638="Non Inventory",VLOOKUP($C638,'Non Inventory'!$B:$I,8,FALSE()),IF($E638="Services",VLOOKUP($C638,Services!$B:$I,8,FALSE()),IF($E638="Patty Cash",VLOOKUP($C638,'Patty Cash'!$B:$J,8,FALSE()),0)))),0)</f>
        <v>0</v>
      </c>
      <c r="O638" s="217" t="str">
        <f t="shared" si="9"/>
        <v/>
      </c>
    </row>
    <row r="639" spans="1:15" ht="23.1" customHeight="1">
      <c r="A639" s="206" t="str">
        <f>IF(AND($B639="",$C639=""),"",MAX($A$3:A638)+1)</f>
        <v/>
      </c>
      <c r="B639" s="207"/>
      <c r="C639" s="208"/>
      <c r="D639" s="209" t="str">
        <f>IFERROR(IF($E639="Inventory",VLOOKUP($C639,Inventory!$B:$I,2,FALSE()),IF($E639="Non Inventory",VLOOKUP($C639,'Non Inventory'!$B:$I,2,FALSE()),IF($E639="Services",VLOOKUP($C639,Services!$B:$I,2,FALSE()),IF($E639="Patty Cash",VLOOKUP($C639,'Patty Cash'!$B:$J,2,FALSE()),"")))),"")</f>
        <v/>
      </c>
      <c r="E639" s="246"/>
      <c r="F639" s="210" t="str">
        <f>IFERROR(IF($E639="Inventory",VLOOKUP($C639,Inventory!$B:$I,3,FALSE()),IF($E639="Non Inventory",VLOOKUP($C639,'Non Inventory'!$B:$I,3,FALSE()),IF($E639="Services",VLOOKUP($C639,Services!$B:$I,3,FALSE()),IF($E639="Patty Cash",VLOOKUP($C639,'Patty Cash'!$B:$J,3,FALSE()),"")))),"")</f>
        <v/>
      </c>
      <c r="G639" s="211"/>
      <c r="H639" s="212" t="str">
        <f>IF($E639="","",IF($E639="Inventory",IFERROR(VLOOKUP($C639,Inventory!$B:$H,7,FALSE()),0),IF($E639="Non Inventory",IFERROR(VLOOKUP($C639,'Non Inventory'!$B:$H,7,FALSE()),0),IF($E639="Services",IFERROR(VLOOKUP($C639,Services!$B:$H,7,FALSE()),0),IF($E639="Patty Cash",IFERROR(VLOOKUP($C639,'Patty Cash'!$B:$H,7,FALSE()),0),0)))))</f>
        <v/>
      </c>
      <c r="I639" s="213"/>
      <c r="J639" s="214"/>
      <c r="K639" s="215"/>
      <c r="L639" s="197"/>
      <c r="M639" s="215"/>
      <c r="N639" s="216">
        <f>IFERROR(IF($E639="Inventory",VLOOKUP($C639,Inventory!$B:$I,8,FALSE()),IF($E639="Non Inventory",VLOOKUP($C639,'Non Inventory'!$B:$I,8,FALSE()),IF($E639="Services",VLOOKUP($C639,Services!$B:$I,8,FALSE()),IF($E639="Patty Cash",VLOOKUP($C639,'Patty Cash'!$B:$J,8,FALSE()),0)))),0)</f>
        <v>0</v>
      </c>
      <c r="O639" s="217" t="str">
        <f t="shared" si="9"/>
        <v/>
      </c>
    </row>
    <row r="640" spans="1:15" ht="23.1" customHeight="1">
      <c r="A640" s="206" t="str">
        <f>IF(AND($B640="",$C640=""),"",MAX($A$3:A639)+1)</f>
        <v/>
      </c>
      <c r="B640" s="207"/>
      <c r="C640" s="208"/>
      <c r="D640" s="209" t="str">
        <f>IFERROR(IF($E640="Inventory",VLOOKUP($C640,Inventory!$B:$I,2,FALSE()),IF($E640="Non Inventory",VLOOKUP($C640,'Non Inventory'!$B:$I,2,FALSE()),IF($E640="Services",VLOOKUP($C640,Services!$B:$I,2,FALSE()),IF($E640="Patty Cash",VLOOKUP($C640,'Patty Cash'!$B:$J,2,FALSE()),"")))),"")</f>
        <v/>
      </c>
      <c r="E640" s="246"/>
      <c r="F640" s="210" t="str">
        <f>IFERROR(IF($E640="Inventory",VLOOKUP($C640,Inventory!$B:$I,3,FALSE()),IF($E640="Non Inventory",VLOOKUP($C640,'Non Inventory'!$B:$I,3,FALSE()),IF($E640="Services",VLOOKUP($C640,Services!$B:$I,3,FALSE()),IF($E640="Patty Cash",VLOOKUP($C640,'Patty Cash'!$B:$J,3,FALSE()),"")))),"")</f>
        <v/>
      </c>
      <c r="G640" s="211"/>
      <c r="H640" s="212" t="str">
        <f>IF($E640="","",IF($E640="Inventory",IFERROR(VLOOKUP($C640,Inventory!$B:$H,7,FALSE()),0),IF($E640="Non Inventory",IFERROR(VLOOKUP($C640,'Non Inventory'!$B:$H,7,FALSE()),0),IF($E640="Services",IFERROR(VLOOKUP($C640,Services!$B:$H,7,FALSE()),0),IF($E640="Patty Cash",IFERROR(VLOOKUP($C640,'Patty Cash'!$B:$H,7,FALSE()),0),0)))))</f>
        <v/>
      </c>
      <c r="I640" s="213"/>
      <c r="J640" s="214"/>
      <c r="K640" s="215"/>
      <c r="L640" s="197"/>
      <c r="M640" s="215"/>
      <c r="N640" s="216">
        <f>IFERROR(IF($E640="Inventory",VLOOKUP($C640,Inventory!$B:$I,8,FALSE()),IF($E640="Non Inventory",VLOOKUP($C640,'Non Inventory'!$B:$I,8,FALSE()),IF($E640="Services",VLOOKUP($C640,Services!$B:$I,8,FALSE()),IF($E640="Patty Cash",VLOOKUP($C640,'Patty Cash'!$B:$J,8,FALSE()),0)))),0)</f>
        <v>0</v>
      </c>
      <c r="O640" s="217" t="str">
        <f t="shared" si="9"/>
        <v/>
      </c>
    </row>
    <row r="641" spans="1:15" ht="23.1" customHeight="1">
      <c r="A641" s="206" t="str">
        <f>IF(AND($B641="",$C641=""),"",MAX($A$3:A640)+1)</f>
        <v/>
      </c>
      <c r="B641" s="207"/>
      <c r="C641" s="208"/>
      <c r="D641" s="209" t="str">
        <f>IFERROR(IF($E641="Inventory",VLOOKUP($C641,Inventory!$B:$I,2,FALSE()),IF($E641="Non Inventory",VLOOKUP($C641,'Non Inventory'!$B:$I,2,FALSE()),IF($E641="Services",VLOOKUP($C641,Services!$B:$I,2,FALSE()),IF($E641="Patty Cash",VLOOKUP($C641,'Patty Cash'!$B:$J,2,FALSE()),"")))),"")</f>
        <v/>
      </c>
      <c r="E641" s="246"/>
      <c r="F641" s="210" t="str">
        <f>IFERROR(IF($E641="Inventory",VLOOKUP($C641,Inventory!$B:$I,3,FALSE()),IF($E641="Non Inventory",VLOOKUP($C641,'Non Inventory'!$B:$I,3,FALSE()),IF($E641="Services",VLOOKUP($C641,Services!$B:$I,3,FALSE()),IF($E641="Patty Cash",VLOOKUP($C641,'Patty Cash'!$B:$J,3,FALSE()),"")))),"")</f>
        <v/>
      </c>
      <c r="G641" s="211"/>
      <c r="H641" s="212" t="str">
        <f>IF($E641="","",IF($E641="Inventory",IFERROR(VLOOKUP($C641,Inventory!$B:$H,7,FALSE()),0),IF($E641="Non Inventory",IFERROR(VLOOKUP($C641,'Non Inventory'!$B:$H,7,FALSE()),0),IF($E641="Services",IFERROR(VLOOKUP($C641,Services!$B:$H,7,FALSE()),0),IF($E641="Patty Cash",IFERROR(VLOOKUP($C641,'Patty Cash'!$B:$H,7,FALSE()),0),0)))))</f>
        <v/>
      </c>
      <c r="I641" s="213"/>
      <c r="J641" s="214"/>
      <c r="K641" s="215"/>
      <c r="L641" s="197"/>
      <c r="M641" s="215"/>
      <c r="N641" s="216">
        <f>IFERROR(IF($E641="Inventory",VLOOKUP($C641,Inventory!$B:$I,8,FALSE()),IF($E641="Non Inventory",VLOOKUP($C641,'Non Inventory'!$B:$I,8,FALSE()),IF($E641="Services",VLOOKUP($C641,Services!$B:$I,8,FALSE()),IF($E641="Patty Cash",VLOOKUP($C641,'Patty Cash'!$B:$J,8,FALSE()),0)))),0)</f>
        <v>0</v>
      </c>
      <c r="O641" s="217" t="str">
        <f t="shared" si="9"/>
        <v/>
      </c>
    </row>
    <row r="642" spans="1:15" ht="23.1" customHeight="1">
      <c r="A642" s="206" t="str">
        <f>IF(AND($B642="",$C642=""),"",MAX($A$3:A641)+1)</f>
        <v/>
      </c>
      <c r="B642" s="207"/>
      <c r="C642" s="208"/>
      <c r="D642" s="209" t="str">
        <f>IFERROR(IF($E642="Inventory",VLOOKUP($C642,Inventory!$B:$I,2,FALSE()),IF($E642="Non Inventory",VLOOKUP($C642,'Non Inventory'!$B:$I,2,FALSE()),IF($E642="Services",VLOOKUP($C642,Services!$B:$I,2,FALSE()),IF($E642="Patty Cash",VLOOKUP($C642,'Patty Cash'!$B:$J,2,FALSE()),"")))),"")</f>
        <v/>
      </c>
      <c r="E642" s="246"/>
      <c r="F642" s="210" t="str">
        <f>IFERROR(IF($E642="Inventory",VLOOKUP($C642,Inventory!$B:$I,3,FALSE()),IF($E642="Non Inventory",VLOOKUP($C642,'Non Inventory'!$B:$I,3,FALSE()),IF($E642="Services",VLOOKUP($C642,Services!$B:$I,3,FALSE()),IF($E642="Patty Cash",VLOOKUP($C642,'Patty Cash'!$B:$J,3,FALSE()),"")))),"")</f>
        <v/>
      </c>
      <c r="G642" s="211"/>
      <c r="H642" s="212" t="str">
        <f>IF($E642="","",IF($E642="Inventory",IFERROR(VLOOKUP($C642,Inventory!$B:$H,7,FALSE()),0),IF($E642="Non Inventory",IFERROR(VLOOKUP($C642,'Non Inventory'!$B:$H,7,FALSE()),0),IF($E642="Services",IFERROR(VLOOKUP($C642,Services!$B:$H,7,FALSE()),0),IF($E642="Patty Cash",IFERROR(VLOOKUP($C642,'Patty Cash'!$B:$H,7,FALSE()),0),0)))))</f>
        <v/>
      </c>
      <c r="I642" s="213"/>
      <c r="J642" s="214"/>
      <c r="K642" s="215"/>
      <c r="L642" s="197"/>
      <c r="M642" s="215"/>
      <c r="N642" s="216">
        <f>IFERROR(IF($E642="Inventory",VLOOKUP($C642,Inventory!$B:$I,8,FALSE()),IF($E642="Non Inventory",VLOOKUP($C642,'Non Inventory'!$B:$I,8,FALSE()),IF($E642="Services",VLOOKUP($C642,Services!$B:$I,8,FALSE()),IF($E642="Patty Cash",VLOOKUP($C642,'Patty Cash'!$B:$J,8,FALSE()),0)))),0)</f>
        <v>0</v>
      </c>
      <c r="O642" s="217" t="str">
        <f t="shared" si="9"/>
        <v/>
      </c>
    </row>
    <row r="643" spans="1:15" ht="23.1" customHeight="1">
      <c r="A643" s="206" t="str">
        <f>IF(AND($B643="",$C643=""),"",MAX($A$3:A642)+1)</f>
        <v/>
      </c>
      <c r="B643" s="207"/>
      <c r="C643" s="208"/>
      <c r="D643" s="209" t="str">
        <f>IFERROR(IF($E643="Inventory",VLOOKUP($C643,Inventory!$B:$I,2,FALSE()),IF($E643="Non Inventory",VLOOKUP($C643,'Non Inventory'!$B:$I,2,FALSE()),IF($E643="Services",VLOOKUP($C643,Services!$B:$I,2,FALSE()),IF($E643="Patty Cash",VLOOKUP($C643,'Patty Cash'!$B:$J,2,FALSE()),"")))),"")</f>
        <v/>
      </c>
      <c r="E643" s="246"/>
      <c r="F643" s="210" t="str">
        <f>IFERROR(IF($E643="Inventory",VLOOKUP($C643,Inventory!$B:$I,3,FALSE()),IF($E643="Non Inventory",VLOOKUP($C643,'Non Inventory'!$B:$I,3,FALSE()),IF($E643="Services",VLOOKUP($C643,Services!$B:$I,3,FALSE()),IF($E643="Patty Cash",VLOOKUP($C643,'Patty Cash'!$B:$J,3,FALSE()),"")))),"")</f>
        <v/>
      </c>
      <c r="G643" s="211"/>
      <c r="H643" s="212" t="str">
        <f>IF($E643="","",IF($E643="Inventory",IFERROR(VLOOKUP($C643,Inventory!$B:$H,7,FALSE()),0),IF($E643="Non Inventory",IFERROR(VLOOKUP($C643,'Non Inventory'!$B:$H,7,FALSE()),0),IF($E643="Services",IFERROR(VLOOKUP($C643,Services!$B:$H,7,FALSE()),0),IF($E643="Patty Cash",IFERROR(VLOOKUP($C643,'Patty Cash'!$B:$H,7,FALSE()),0),0)))))</f>
        <v/>
      </c>
      <c r="I643" s="213"/>
      <c r="J643" s="214"/>
      <c r="K643" s="215"/>
      <c r="L643" s="197"/>
      <c r="M643" s="215"/>
      <c r="N643" s="216">
        <f>IFERROR(IF($E643="Inventory",VLOOKUP($C643,Inventory!$B:$I,8,FALSE()),IF($E643="Non Inventory",VLOOKUP($C643,'Non Inventory'!$B:$I,8,FALSE()),IF($E643="Services",VLOOKUP($C643,Services!$B:$I,8,FALSE()),IF($E643="Patty Cash",VLOOKUP($C643,'Patty Cash'!$B:$J,8,FALSE()),0)))),0)</f>
        <v>0</v>
      </c>
      <c r="O643" s="217" t="str">
        <f t="shared" ref="O643:O706" si="10">IF($G643="","",G643*N643)</f>
        <v/>
      </c>
    </row>
    <row r="644" spans="1:15" ht="23.1" customHeight="1">
      <c r="A644" s="206" t="str">
        <f>IF(AND($B644="",$C644=""),"",MAX($A$3:A643)+1)</f>
        <v/>
      </c>
      <c r="B644" s="207"/>
      <c r="C644" s="208"/>
      <c r="D644" s="209" t="str">
        <f>IFERROR(IF($E644="Inventory",VLOOKUP($C644,Inventory!$B:$I,2,FALSE()),IF($E644="Non Inventory",VLOOKUP($C644,'Non Inventory'!$B:$I,2,FALSE()),IF($E644="Services",VLOOKUP($C644,Services!$B:$I,2,FALSE()),IF($E644="Patty Cash",VLOOKUP($C644,'Patty Cash'!$B:$J,2,FALSE()),"")))),"")</f>
        <v/>
      </c>
      <c r="E644" s="246"/>
      <c r="F644" s="210" t="str">
        <f>IFERROR(IF($E644="Inventory",VLOOKUP($C644,Inventory!$B:$I,3,FALSE()),IF($E644="Non Inventory",VLOOKUP($C644,'Non Inventory'!$B:$I,3,FALSE()),IF($E644="Services",VLOOKUP($C644,Services!$B:$I,3,FALSE()),IF($E644="Patty Cash",VLOOKUP($C644,'Patty Cash'!$B:$J,3,FALSE()),"")))),"")</f>
        <v/>
      </c>
      <c r="G644" s="211"/>
      <c r="H644" s="212" t="str">
        <f>IF($E644="","",IF($E644="Inventory",IFERROR(VLOOKUP($C644,Inventory!$B:$H,7,FALSE()),0),IF($E644="Non Inventory",IFERROR(VLOOKUP($C644,'Non Inventory'!$B:$H,7,FALSE()),0),IF($E644="Services",IFERROR(VLOOKUP($C644,Services!$B:$H,7,FALSE()),0),IF($E644="Patty Cash",IFERROR(VLOOKUP($C644,'Patty Cash'!$B:$H,7,FALSE()),0),0)))))</f>
        <v/>
      </c>
      <c r="I644" s="213"/>
      <c r="J644" s="214"/>
      <c r="K644" s="215"/>
      <c r="L644" s="197"/>
      <c r="M644" s="215"/>
      <c r="N644" s="216">
        <f>IFERROR(IF($E644="Inventory",VLOOKUP($C644,Inventory!$B:$I,8,FALSE()),IF($E644="Non Inventory",VLOOKUP($C644,'Non Inventory'!$B:$I,8,FALSE()),IF($E644="Services",VLOOKUP($C644,Services!$B:$I,8,FALSE()),IF($E644="Patty Cash",VLOOKUP($C644,'Patty Cash'!$B:$J,8,FALSE()),0)))),0)</f>
        <v>0</v>
      </c>
      <c r="O644" s="217" t="str">
        <f t="shared" si="10"/>
        <v/>
      </c>
    </row>
    <row r="645" spans="1:15" ht="23.1" customHeight="1">
      <c r="A645" s="206" t="str">
        <f>IF(AND($B645="",$C645=""),"",MAX($A$3:A644)+1)</f>
        <v/>
      </c>
      <c r="B645" s="207"/>
      <c r="C645" s="208"/>
      <c r="D645" s="209" t="str">
        <f>IFERROR(IF($E645="Inventory",VLOOKUP($C645,Inventory!$B:$I,2,FALSE()),IF($E645="Non Inventory",VLOOKUP($C645,'Non Inventory'!$B:$I,2,FALSE()),IF($E645="Services",VLOOKUP($C645,Services!$B:$I,2,FALSE()),IF($E645="Patty Cash",VLOOKUP($C645,'Patty Cash'!$B:$J,2,FALSE()),"")))),"")</f>
        <v/>
      </c>
      <c r="E645" s="246"/>
      <c r="F645" s="210" t="str">
        <f>IFERROR(IF($E645="Inventory",VLOOKUP($C645,Inventory!$B:$I,3,FALSE()),IF($E645="Non Inventory",VLOOKUP($C645,'Non Inventory'!$B:$I,3,FALSE()),IF($E645="Services",VLOOKUP($C645,Services!$B:$I,3,FALSE()),IF($E645="Patty Cash",VLOOKUP($C645,'Patty Cash'!$B:$J,3,FALSE()),"")))),"")</f>
        <v/>
      </c>
      <c r="G645" s="211"/>
      <c r="H645" s="212" t="str">
        <f>IF($E645="","",IF($E645="Inventory",IFERROR(VLOOKUP($C645,Inventory!$B:$H,7,FALSE()),0),IF($E645="Non Inventory",IFERROR(VLOOKUP($C645,'Non Inventory'!$B:$H,7,FALSE()),0),IF($E645="Services",IFERROR(VLOOKUP($C645,Services!$B:$H,7,FALSE()),0),IF($E645="Patty Cash",IFERROR(VLOOKUP($C645,'Patty Cash'!$B:$H,7,FALSE()),0),0)))))</f>
        <v/>
      </c>
      <c r="I645" s="213"/>
      <c r="J645" s="214"/>
      <c r="K645" s="215"/>
      <c r="L645" s="197"/>
      <c r="M645" s="215"/>
      <c r="N645" s="216">
        <f>IFERROR(IF($E645="Inventory",VLOOKUP($C645,Inventory!$B:$I,8,FALSE()),IF($E645="Non Inventory",VLOOKUP($C645,'Non Inventory'!$B:$I,8,FALSE()),IF($E645="Services",VLOOKUP($C645,Services!$B:$I,8,FALSE()),IF($E645="Patty Cash",VLOOKUP($C645,'Patty Cash'!$B:$J,8,FALSE()),0)))),0)</f>
        <v>0</v>
      </c>
      <c r="O645" s="217" t="str">
        <f t="shared" si="10"/>
        <v/>
      </c>
    </row>
    <row r="646" spans="1:15" ht="23.1" customHeight="1">
      <c r="A646" s="206" t="str">
        <f>IF(AND($B646="",$C646=""),"",MAX($A$3:A645)+1)</f>
        <v/>
      </c>
      <c r="B646" s="207"/>
      <c r="C646" s="208"/>
      <c r="D646" s="209" t="str">
        <f>IFERROR(IF($E646="Inventory",VLOOKUP($C646,Inventory!$B:$I,2,FALSE()),IF($E646="Non Inventory",VLOOKUP($C646,'Non Inventory'!$B:$I,2,FALSE()),IF($E646="Services",VLOOKUP($C646,Services!$B:$I,2,FALSE()),IF($E646="Patty Cash",VLOOKUP($C646,'Patty Cash'!$B:$J,2,FALSE()),"")))),"")</f>
        <v/>
      </c>
      <c r="E646" s="246"/>
      <c r="F646" s="210" t="str">
        <f>IFERROR(IF($E646="Inventory",VLOOKUP($C646,Inventory!$B:$I,3,FALSE()),IF($E646="Non Inventory",VLOOKUP($C646,'Non Inventory'!$B:$I,3,FALSE()),IF($E646="Services",VLOOKUP($C646,Services!$B:$I,3,FALSE()),IF($E646="Patty Cash",VLOOKUP($C646,'Patty Cash'!$B:$J,3,FALSE()),"")))),"")</f>
        <v/>
      </c>
      <c r="G646" s="211"/>
      <c r="H646" s="212" t="str">
        <f>IF($E646="","",IF($E646="Inventory",IFERROR(VLOOKUP($C646,Inventory!$B:$H,7,FALSE()),0),IF($E646="Non Inventory",IFERROR(VLOOKUP($C646,'Non Inventory'!$B:$H,7,FALSE()),0),IF($E646="Services",IFERROR(VLOOKUP($C646,Services!$B:$H,7,FALSE()),0),IF($E646="Patty Cash",IFERROR(VLOOKUP($C646,'Patty Cash'!$B:$H,7,FALSE()),0),0)))))</f>
        <v/>
      </c>
      <c r="I646" s="213"/>
      <c r="J646" s="214"/>
      <c r="K646" s="215"/>
      <c r="L646" s="197"/>
      <c r="M646" s="215"/>
      <c r="N646" s="216">
        <f>IFERROR(IF($E646="Inventory",VLOOKUP($C646,Inventory!$B:$I,8,FALSE()),IF($E646="Non Inventory",VLOOKUP($C646,'Non Inventory'!$B:$I,8,FALSE()),IF($E646="Services",VLOOKUP($C646,Services!$B:$I,8,FALSE()),IF($E646="Patty Cash",VLOOKUP($C646,'Patty Cash'!$B:$J,8,FALSE()),0)))),0)</f>
        <v>0</v>
      </c>
      <c r="O646" s="217" t="str">
        <f t="shared" si="10"/>
        <v/>
      </c>
    </row>
    <row r="647" spans="1:15" ht="23.1" customHeight="1">
      <c r="A647" s="206" t="str">
        <f>IF(AND($B647="",$C647=""),"",MAX($A$3:A646)+1)</f>
        <v/>
      </c>
      <c r="B647" s="207"/>
      <c r="C647" s="208"/>
      <c r="D647" s="209" t="str">
        <f>IFERROR(IF($E647="Inventory",VLOOKUP($C647,Inventory!$B:$I,2,FALSE()),IF($E647="Non Inventory",VLOOKUP($C647,'Non Inventory'!$B:$I,2,FALSE()),IF($E647="Services",VLOOKUP($C647,Services!$B:$I,2,FALSE()),IF($E647="Patty Cash",VLOOKUP($C647,'Patty Cash'!$B:$J,2,FALSE()),"")))),"")</f>
        <v/>
      </c>
      <c r="E647" s="246"/>
      <c r="F647" s="210" t="str">
        <f>IFERROR(IF($E647="Inventory",VLOOKUP($C647,Inventory!$B:$I,3,FALSE()),IF($E647="Non Inventory",VLOOKUP($C647,'Non Inventory'!$B:$I,3,FALSE()),IF($E647="Services",VLOOKUP($C647,Services!$B:$I,3,FALSE()),IF($E647="Patty Cash",VLOOKUP($C647,'Patty Cash'!$B:$J,3,FALSE()),"")))),"")</f>
        <v/>
      </c>
      <c r="G647" s="211"/>
      <c r="H647" s="212" t="str">
        <f>IF($E647="","",IF($E647="Inventory",IFERROR(VLOOKUP($C647,Inventory!$B:$H,7,FALSE()),0),IF($E647="Non Inventory",IFERROR(VLOOKUP($C647,'Non Inventory'!$B:$H,7,FALSE()),0),IF($E647="Services",IFERROR(VLOOKUP($C647,Services!$B:$H,7,FALSE()),0),IF($E647="Patty Cash",IFERROR(VLOOKUP($C647,'Patty Cash'!$B:$H,7,FALSE()),0),0)))))</f>
        <v/>
      </c>
      <c r="I647" s="213"/>
      <c r="J647" s="214"/>
      <c r="K647" s="215"/>
      <c r="L647" s="197"/>
      <c r="M647" s="215"/>
      <c r="N647" s="216">
        <f>IFERROR(IF($E647="Inventory",VLOOKUP($C647,Inventory!$B:$I,8,FALSE()),IF($E647="Non Inventory",VLOOKUP($C647,'Non Inventory'!$B:$I,8,FALSE()),IF($E647="Services",VLOOKUP($C647,Services!$B:$I,8,FALSE()),IF($E647="Patty Cash",VLOOKUP($C647,'Patty Cash'!$B:$J,8,FALSE()),0)))),0)</f>
        <v>0</v>
      </c>
      <c r="O647" s="217" t="str">
        <f t="shared" si="10"/>
        <v/>
      </c>
    </row>
    <row r="648" spans="1:15" ht="23.1" customHeight="1">
      <c r="A648" s="206" t="str">
        <f>IF(AND($B648="",$C648=""),"",MAX($A$3:A647)+1)</f>
        <v/>
      </c>
      <c r="B648" s="207"/>
      <c r="C648" s="208"/>
      <c r="D648" s="209" t="str">
        <f>IFERROR(IF($E648="Inventory",VLOOKUP($C648,Inventory!$B:$I,2,FALSE()),IF($E648="Non Inventory",VLOOKUP($C648,'Non Inventory'!$B:$I,2,FALSE()),IF($E648="Services",VLOOKUP($C648,Services!$B:$I,2,FALSE()),IF($E648="Patty Cash",VLOOKUP($C648,'Patty Cash'!$B:$J,2,FALSE()),"")))),"")</f>
        <v/>
      </c>
      <c r="E648" s="246"/>
      <c r="F648" s="210" t="str">
        <f>IFERROR(IF($E648="Inventory",VLOOKUP($C648,Inventory!$B:$I,3,FALSE()),IF($E648="Non Inventory",VLOOKUP($C648,'Non Inventory'!$B:$I,3,FALSE()),IF($E648="Services",VLOOKUP($C648,Services!$B:$I,3,FALSE()),IF($E648="Patty Cash",VLOOKUP($C648,'Patty Cash'!$B:$J,3,FALSE()),"")))),"")</f>
        <v/>
      </c>
      <c r="G648" s="211"/>
      <c r="H648" s="212" t="str">
        <f>IF($E648="","",IF($E648="Inventory",IFERROR(VLOOKUP($C648,Inventory!$B:$H,7,FALSE()),0),IF($E648="Non Inventory",IFERROR(VLOOKUP($C648,'Non Inventory'!$B:$H,7,FALSE()),0),IF($E648="Services",IFERROR(VLOOKUP($C648,Services!$B:$H,7,FALSE()),0),IF($E648="Patty Cash",IFERROR(VLOOKUP($C648,'Patty Cash'!$B:$H,7,FALSE()),0),0)))))</f>
        <v/>
      </c>
      <c r="I648" s="213"/>
      <c r="J648" s="214"/>
      <c r="K648" s="215"/>
      <c r="L648" s="197"/>
      <c r="M648" s="215"/>
      <c r="N648" s="216">
        <f>IFERROR(IF($E648="Inventory",VLOOKUP($C648,Inventory!$B:$I,8,FALSE()),IF($E648="Non Inventory",VLOOKUP($C648,'Non Inventory'!$B:$I,8,FALSE()),IF($E648="Services",VLOOKUP($C648,Services!$B:$I,8,FALSE()),IF($E648="Patty Cash",VLOOKUP($C648,'Patty Cash'!$B:$J,8,FALSE()),0)))),0)</f>
        <v>0</v>
      </c>
      <c r="O648" s="217" t="str">
        <f t="shared" si="10"/>
        <v/>
      </c>
    </row>
    <row r="649" spans="1:15" ht="23.1" customHeight="1">
      <c r="A649" s="206" t="str">
        <f>IF(AND($B649="",$C649=""),"",MAX($A$3:A648)+1)</f>
        <v/>
      </c>
      <c r="B649" s="207"/>
      <c r="C649" s="208"/>
      <c r="D649" s="209" t="str">
        <f>IFERROR(IF($E649="Inventory",VLOOKUP($C649,Inventory!$B:$I,2,FALSE()),IF($E649="Non Inventory",VLOOKUP($C649,'Non Inventory'!$B:$I,2,FALSE()),IF($E649="Services",VLOOKUP($C649,Services!$B:$I,2,FALSE()),IF($E649="Patty Cash",VLOOKUP($C649,'Patty Cash'!$B:$J,2,FALSE()),"")))),"")</f>
        <v/>
      </c>
      <c r="E649" s="246"/>
      <c r="F649" s="210" t="str">
        <f>IFERROR(IF($E649="Inventory",VLOOKUP($C649,Inventory!$B:$I,3,FALSE()),IF($E649="Non Inventory",VLOOKUP($C649,'Non Inventory'!$B:$I,3,FALSE()),IF($E649="Services",VLOOKUP($C649,Services!$B:$I,3,FALSE()),IF($E649="Patty Cash",VLOOKUP($C649,'Patty Cash'!$B:$J,3,FALSE()),"")))),"")</f>
        <v/>
      </c>
      <c r="G649" s="211"/>
      <c r="H649" s="212" t="str">
        <f>IF($E649="","",IF($E649="Inventory",IFERROR(VLOOKUP($C649,Inventory!$B:$H,7,FALSE()),0),IF($E649="Non Inventory",IFERROR(VLOOKUP($C649,'Non Inventory'!$B:$H,7,FALSE()),0),IF($E649="Services",IFERROR(VLOOKUP($C649,Services!$B:$H,7,FALSE()),0),IF($E649="Patty Cash",IFERROR(VLOOKUP($C649,'Patty Cash'!$B:$H,7,FALSE()),0),0)))))</f>
        <v/>
      </c>
      <c r="I649" s="213"/>
      <c r="J649" s="214"/>
      <c r="K649" s="215"/>
      <c r="L649" s="197"/>
      <c r="M649" s="215"/>
      <c r="N649" s="216">
        <f>IFERROR(IF($E649="Inventory",VLOOKUP($C649,Inventory!$B:$I,8,FALSE()),IF($E649="Non Inventory",VLOOKUP($C649,'Non Inventory'!$B:$I,8,FALSE()),IF($E649="Services",VLOOKUP($C649,Services!$B:$I,8,FALSE()),IF($E649="Patty Cash",VLOOKUP($C649,'Patty Cash'!$B:$J,8,FALSE()),0)))),0)</f>
        <v>0</v>
      </c>
      <c r="O649" s="217" t="str">
        <f t="shared" si="10"/>
        <v/>
      </c>
    </row>
    <row r="650" spans="1:15" ht="23.1" customHeight="1">
      <c r="A650" s="206" t="str">
        <f>IF(AND($B650="",$C650=""),"",MAX($A$3:A649)+1)</f>
        <v/>
      </c>
      <c r="B650" s="207"/>
      <c r="C650" s="208"/>
      <c r="D650" s="209" t="str">
        <f>IFERROR(IF($E650="Inventory",VLOOKUP($C650,Inventory!$B:$I,2,FALSE()),IF($E650="Non Inventory",VLOOKUP($C650,'Non Inventory'!$B:$I,2,FALSE()),IF($E650="Services",VLOOKUP($C650,Services!$B:$I,2,FALSE()),IF($E650="Patty Cash",VLOOKUP($C650,'Patty Cash'!$B:$J,2,FALSE()),"")))),"")</f>
        <v/>
      </c>
      <c r="E650" s="246"/>
      <c r="F650" s="210" t="str">
        <f>IFERROR(IF($E650="Inventory",VLOOKUP($C650,Inventory!$B:$I,3,FALSE()),IF($E650="Non Inventory",VLOOKUP($C650,'Non Inventory'!$B:$I,3,FALSE()),IF($E650="Services",VLOOKUP($C650,Services!$B:$I,3,FALSE()),IF($E650="Patty Cash",VLOOKUP($C650,'Patty Cash'!$B:$J,3,FALSE()),"")))),"")</f>
        <v/>
      </c>
      <c r="G650" s="211"/>
      <c r="H650" s="212" t="str">
        <f>IF($E650="","",IF($E650="Inventory",IFERROR(VLOOKUP($C650,Inventory!$B:$H,7,FALSE()),0),IF($E650="Non Inventory",IFERROR(VLOOKUP($C650,'Non Inventory'!$B:$H,7,FALSE()),0),IF($E650="Services",IFERROR(VLOOKUP($C650,Services!$B:$H,7,FALSE()),0),IF($E650="Patty Cash",IFERROR(VLOOKUP($C650,'Patty Cash'!$B:$H,7,FALSE()),0),0)))))</f>
        <v/>
      </c>
      <c r="I650" s="213"/>
      <c r="J650" s="214"/>
      <c r="K650" s="215"/>
      <c r="L650" s="197"/>
      <c r="M650" s="215"/>
      <c r="N650" s="216">
        <f>IFERROR(IF($E650="Inventory",VLOOKUP($C650,Inventory!$B:$I,8,FALSE()),IF($E650="Non Inventory",VLOOKUP($C650,'Non Inventory'!$B:$I,8,FALSE()),IF($E650="Services",VLOOKUP($C650,Services!$B:$I,8,FALSE()),IF($E650="Patty Cash",VLOOKUP($C650,'Patty Cash'!$B:$J,8,FALSE()),0)))),0)</f>
        <v>0</v>
      </c>
      <c r="O650" s="217" t="str">
        <f t="shared" si="10"/>
        <v/>
      </c>
    </row>
    <row r="651" spans="1:15" ht="23.1" customHeight="1">
      <c r="A651" s="206" t="str">
        <f>IF(AND($B651="",$C651=""),"",MAX($A$3:A650)+1)</f>
        <v/>
      </c>
      <c r="B651" s="207"/>
      <c r="C651" s="208"/>
      <c r="D651" s="209" t="str">
        <f>IFERROR(IF($E651="Inventory",VLOOKUP($C651,Inventory!$B:$I,2,FALSE()),IF($E651="Non Inventory",VLOOKUP($C651,'Non Inventory'!$B:$I,2,FALSE()),IF($E651="Services",VLOOKUP($C651,Services!$B:$I,2,FALSE()),IF($E651="Patty Cash",VLOOKUP($C651,'Patty Cash'!$B:$J,2,FALSE()),"")))),"")</f>
        <v/>
      </c>
      <c r="E651" s="246"/>
      <c r="F651" s="210" t="str">
        <f>IFERROR(IF($E651="Inventory",VLOOKUP($C651,Inventory!$B:$I,3,FALSE()),IF($E651="Non Inventory",VLOOKUP($C651,'Non Inventory'!$B:$I,3,FALSE()),IF($E651="Services",VLOOKUP($C651,Services!$B:$I,3,FALSE()),IF($E651="Patty Cash",VLOOKUP($C651,'Patty Cash'!$B:$J,3,FALSE()),"")))),"")</f>
        <v/>
      </c>
      <c r="G651" s="211"/>
      <c r="H651" s="212" t="str">
        <f>IF($E651="","",IF($E651="Inventory",IFERROR(VLOOKUP($C651,Inventory!$B:$H,7,FALSE()),0),IF($E651="Non Inventory",IFERROR(VLOOKUP($C651,'Non Inventory'!$B:$H,7,FALSE()),0),IF($E651="Services",IFERROR(VLOOKUP($C651,Services!$B:$H,7,FALSE()),0),IF($E651="Patty Cash",IFERROR(VLOOKUP($C651,'Patty Cash'!$B:$H,7,FALSE()),0),0)))))</f>
        <v/>
      </c>
      <c r="I651" s="213"/>
      <c r="J651" s="214"/>
      <c r="K651" s="215"/>
      <c r="L651" s="197"/>
      <c r="M651" s="215"/>
      <c r="N651" s="216">
        <f>IFERROR(IF($E651="Inventory",VLOOKUP($C651,Inventory!$B:$I,8,FALSE()),IF($E651="Non Inventory",VLOOKUP($C651,'Non Inventory'!$B:$I,8,FALSE()),IF($E651="Services",VLOOKUP($C651,Services!$B:$I,8,FALSE()),IF($E651="Patty Cash",VLOOKUP($C651,'Patty Cash'!$B:$J,8,FALSE()),0)))),0)</f>
        <v>0</v>
      </c>
      <c r="O651" s="217" t="str">
        <f t="shared" si="10"/>
        <v/>
      </c>
    </row>
    <row r="652" spans="1:15" ht="23.1" customHeight="1">
      <c r="A652" s="206" t="str">
        <f>IF(AND($B652="",$C652=""),"",MAX($A$3:A651)+1)</f>
        <v/>
      </c>
      <c r="B652" s="207"/>
      <c r="C652" s="208"/>
      <c r="D652" s="209" t="str">
        <f>IFERROR(IF($E652="Inventory",VLOOKUP($C652,Inventory!$B:$I,2,FALSE()),IF($E652="Non Inventory",VLOOKUP($C652,'Non Inventory'!$B:$I,2,FALSE()),IF($E652="Services",VLOOKUP($C652,Services!$B:$I,2,FALSE()),IF($E652="Patty Cash",VLOOKUP($C652,'Patty Cash'!$B:$J,2,FALSE()),"")))),"")</f>
        <v/>
      </c>
      <c r="E652" s="246"/>
      <c r="F652" s="210" t="str">
        <f>IFERROR(IF($E652="Inventory",VLOOKUP($C652,Inventory!$B:$I,3,FALSE()),IF($E652="Non Inventory",VLOOKUP($C652,'Non Inventory'!$B:$I,3,FALSE()),IF($E652="Services",VLOOKUP($C652,Services!$B:$I,3,FALSE()),IF($E652="Patty Cash",VLOOKUP($C652,'Patty Cash'!$B:$J,3,FALSE()),"")))),"")</f>
        <v/>
      </c>
      <c r="G652" s="211"/>
      <c r="H652" s="212" t="str">
        <f>IF($E652="","",IF($E652="Inventory",IFERROR(VLOOKUP($C652,Inventory!$B:$H,7,FALSE()),0),IF($E652="Non Inventory",IFERROR(VLOOKUP($C652,'Non Inventory'!$B:$H,7,FALSE()),0),IF($E652="Services",IFERROR(VLOOKUP($C652,Services!$B:$H,7,FALSE()),0),IF($E652="Patty Cash",IFERROR(VLOOKUP($C652,'Patty Cash'!$B:$H,7,FALSE()),0),0)))))</f>
        <v/>
      </c>
      <c r="I652" s="213"/>
      <c r="J652" s="214"/>
      <c r="K652" s="215"/>
      <c r="L652" s="197"/>
      <c r="M652" s="215"/>
      <c r="N652" s="216">
        <f>IFERROR(IF($E652="Inventory",VLOOKUP($C652,Inventory!$B:$I,8,FALSE()),IF($E652="Non Inventory",VLOOKUP($C652,'Non Inventory'!$B:$I,8,FALSE()),IF($E652="Services",VLOOKUP($C652,Services!$B:$I,8,FALSE()),IF($E652="Patty Cash",VLOOKUP($C652,'Patty Cash'!$B:$J,8,FALSE()),0)))),0)</f>
        <v>0</v>
      </c>
      <c r="O652" s="217" t="str">
        <f t="shared" si="10"/>
        <v/>
      </c>
    </row>
    <row r="653" spans="1:15" ht="23.1" customHeight="1">
      <c r="A653" s="206" t="str">
        <f>IF(AND($B653="",$C653=""),"",MAX($A$3:A652)+1)</f>
        <v/>
      </c>
      <c r="B653" s="207"/>
      <c r="C653" s="208"/>
      <c r="D653" s="209" t="str">
        <f>IFERROR(IF($E653="Inventory",VLOOKUP($C653,Inventory!$B:$I,2,FALSE()),IF($E653="Non Inventory",VLOOKUP($C653,'Non Inventory'!$B:$I,2,FALSE()),IF($E653="Services",VLOOKUP($C653,Services!$B:$I,2,FALSE()),IF($E653="Patty Cash",VLOOKUP($C653,'Patty Cash'!$B:$J,2,FALSE()),"")))),"")</f>
        <v/>
      </c>
      <c r="E653" s="246"/>
      <c r="F653" s="210" t="str">
        <f>IFERROR(IF($E653="Inventory",VLOOKUP($C653,Inventory!$B:$I,3,FALSE()),IF($E653="Non Inventory",VLOOKUP($C653,'Non Inventory'!$B:$I,3,FALSE()),IF($E653="Services",VLOOKUP($C653,Services!$B:$I,3,FALSE()),IF($E653="Patty Cash",VLOOKUP($C653,'Patty Cash'!$B:$J,3,FALSE()),"")))),"")</f>
        <v/>
      </c>
      <c r="G653" s="211"/>
      <c r="H653" s="212" t="str">
        <f>IF($E653="","",IF($E653="Inventory",IFERROR(VLOOKUP($C653,Inventory!$B:$H,7,FALSE()),0),IF($E653="Non Inventory",IFERROR(VLOOKUP($C653,'Non Inventory'!$B:$H,7,FALSE()),0),IF($E653="Services",IFERROR(VLOOKUP($C653,Services!$B:$H,7,FALSE()),0),IF($E653="Patty Cash",IFERROR(VLOOKUP($C653,'Patty Cash'!$B:$H,7,FALSE()),0),0)))))</f>
        <v/>
      </c>
      <c r="I653" s="213"/>
      <c r="J653" s="214"/>
      <c r="K653" s="215"/>
      <c r="L653" s="197"/>
      <c r="M653" s="215"/>
      <c r="N653" s="216">
        <f>IFERROR(IF($E653="Inventory",VLOOKUP($C653,Inventory!$B:$I,8,FALSE()),IF($E653="Non Inventory",VLOOKUP($C653,'Non Inventory'!$B:$I,8,FALSE()),IF($E653="Services",VLOOKUP($C653,Services!$B:$I,8,FALSE()),IF($E653="Patty Cash",VLOOKUP($C653,'Patty Cash'!$B:$J,8,FALSE()),0)))),0)</f>
        <v>0</v>
      </c>
      <c r="O653" s="217" t="str">
        <f t="shared" si="10"/>
        <v/>
      </c>
    </row>
    <row r="654" spans="1:15" ht="23.1" customHeight="1">
      <c r="A654" s="206" t="str">
        <f>IF(AND($B654="",$C654=""),"",MAX($A$3:A653)+1)</f>
        <v/>
      </c>
      <c r="B654" s="207"/>
      <c r="C654" s="208"/>
      <c r="D654" s="209" t="str">
        <f>IFERROR(IF($E654="Inventory",VLOOKUP($C654,Inventory!$B:$I,2,FALSE()),IF($E654="Non Inventory",VLOOKUP($C654,'Non Inventory'!$B:$I,2,FALSE()),IF($E654="Services",VLOOKUP($C654,Services!$B:$I,2,FALSE()),IF($E654="Patty Cash",VLOOKUP($C654,'Patty Cash'!$B:$J,2,FALSE()),"")))),"")</f>
        <v/>
      </c>
      <c r="E654" s="246"/>
      <c r="F654" s="210" t="str">
        <f>IFERROR(IF($E654="Inventory",VLOOKUP($C654,Inventory!$B:$I,3,FALSE()),IF($E654="Non Inventory",VLOOKUP($C654,'Non Inventory'!$B:$I,3,FALSE()),IF($E654="Services",VLOOKUP($C654,Services!$B:$I,3,FALSE()),IF($E654="Patty Cash",VLOOKUP($C654,'Patty Cash'!$B:$J,3,FALSE()),"")))),"")</f>
        <v/>
      </c>
      <c r="G654" s="211"/>
      <c r="H654" s="212" t="str">
        <f>IF($E654="","",IF($E654="Inventory",IFERROR(VLOOKUP($C654,Inventory!$B:$H,7,FALSE()),0),IF($E654="Non Inventory",IFERROR(VLOOKUP($C654,'Non Inventory'!$B:$H,7,FALSE()),0),IF($E654="Services",IFERROR(VLOOKUP($C654,Services!$B:$H,7,FALSE()),0),IF($E654="Patty Cash",IFERROR(VLOOKUP($C654,'Patty Cash'!$B:$H,7,FALSE()),0),0)))))</f>
        <v/>
      </c>
      <c r="I654" s="213"/>
      <c r="J654" s="214"/>
      <c r="K654" s="215"/>
      <c r="L654" s="197"/>
      <c r="M654" s="215"/>
      <c r="N654" s="216">
        <f>IFERROR(IF($E654="Inventory",VLOOKUP($C654,Inventory!$B:$I,8,FALSE()),IF($E654="Non Inventory",VLOOKUP($C654,'Non Inventory'!$B:$I,8,FALSE()),IF($E654="Services",VLOOKUP($C654,Services!$B:$I,8,FALSE()),IF($E654="Patty Cash",VLOOKUP($C654,'Patty Cash'!$B:$J,8,FALSE()),0)))),0)</f>
        <v>0</v>
      </c>
      <c r="O654" s="217" t="str">
        <f t="shared" si="10"/>
        <v/>
      </c>
    </row>
    <row r="655" spans="1:15" ht="23.1" customHeight="1">
      <c r="A655" s="206" t="str">
        <f>IF(AND($B655="",$C655=""),"",MAX($A$3:A654)+1)</f>
        <v/>
      </c>
      <c r="B655" s="207"/>
      <c r="C655" s="208"/>
      <c r="D655" s="209" t="str">
        <f>IFERROR(IF($E655="Inventory",VLOOKUP($C655,Inventory!$B:$I,2,FALSE()),IF($E655="Non Inventory",VLOOKUP($C655,'Non Inventory'!$B:$I,2,FALSE()),IF($E655="Services",VLOOKUP($C655,Services!$B:$I,2,FALSE()),IF($E655="Patty Cash",VLOOKUP($C655,'Patty Cash'!$B:$J,2,FALSE()),"")))),"")</f>
        <v/>
      </c>
      <c r="E655" s="246"/>
      <c r="F655" s="210" t="str">
        <f>IFERROR(IF($E655="Inventory",VLOOKUP($C655,Inventory!$B:$I,3,FALSE()),IF($E655="Non Inventory",VLOOKUP($C655,'Non Inventory'!$B:$I,3,FALSE()),IF($E655="Services",VLOOKUP($C655,Services!$B:$I,3,FALSE()),IF($E655="Patty Cash",VLOOKUP($C655,'Patty Cash'!$B:$J,3,FALSE()),"")))),"")</f>
        <v/>
      </c>
      <c r="G655" s="211"/>
      <c r="H655" s="212" t="str">
        <f>IF($E655="","",IF($E655="Inventory",IFERROR(VLOOKUP($C655,Inventory!$B:$H,7,FALSE()),0),IF($E655="Non Inventory",IFERROR(VLOOKUP($C655,'Non Inventory'!$B:$H,7,FALSE()),0),IF($E655="Services",IFERROR(VLOOKUP($C655,Services!$B:$H,7,FALSE()),0),IF($E655="Patty Cash",IFERROR(VLOOKUP($C655,'Patty Cash'!$B:$H,7,FALSE()),0),0)))))</f>
        <v/>
      </c>
      <c r="I655" s="213"/>
      <c r="J655" s="214"/>
      <c r="K655" s="215"/>
      <c r="L655" s="197"/>
      <c r="M655" s="215"/>
      <c r="N655" s="216">
        <f>IFERROR(IF($E655="Inventory",VLOOKUP($C655,Inventory!$B:$I,8,FALSE()),IF($E655="Non Inventory",VLOOKUP($C655,'Non Inventory'!$B:$I,8,FALSE()),IF($E655="Services",VLOOKUP($C655,Services!$B:$I,8,FALSE()),IF($E655="Patty Cash",VLOOKUP($C655,'Patty Cash'!$B:$J,8,FALSE()),0)))),0)</f>
        <v>0</v>
      </c>
      <c r="O655" s="217" t="str">
        <f t="shared" si="10"/>
        <v/>
      </c>
    </row>
    <row r="656" spans="1:15" ht="23.1" customHeight="1">
      <c r="A656" s="206" t="str">
        <f>IF(AND($B656="",$C656=""),"",MAX($A$3:A655)+1)</f>
        <v/>
      </c>
      <c r="B656" s="207"/>
      <c r="C656" s="208"/>
      <c r="D656" s="209" t="str">
        <f>IFERROR(IF($E656="Inventory",VLOOKUP($C656,Inventory!$B:$I,2,FALSE()),IF($E656="Non Inventory",VLOOKUP($C656,'Non Inventory'!$B:$I,2,FALSE()),IF($E656="Services",VLOOKUP($C656,Services!$B:$I,2,FALSE()),IF($E656="Patty Cash",VLOOKUP($C656,'Patty Cash'!$B:$J,2,FALSE()),"")))),"")</f>
        <v/>
      </c>
      <c r="E656" s="246"/>
      <c r="F656" s="210" t="str">
        <f>IFERROR(IF($E656="Inventory",VLOOKUP($C656,Inventory!$B:$I,3,FALSE()),IF($E656="Non Inventory",VLOOKUP($C656,'Non Inventory'!$B:$I,3,FALSE()),IF($E656="Services",VLOOKUP($C656,Services!$B:$I,3,FALSE()),IF($E656="Patty Cash",VLOOKUP($C656,'Patty Cash'!$B:$J,3,FALSE()),"")))),"")</f>
        <v/>
      </c>
      <c r="G656" s="211"/>
      <c r="H656" s="212" t="str">
        <f>IF($E656="","",IF($E656="Inventory",IFERROR(VLOOKUP($C656,Inventory!$B:$H,7,FALSE()),0),IF($E656="Non Inventory",IFERROR(VLOOKUP($C656,'Non Inventory'!$B:$H,7,FALSE()),0),IF($E656="Services",IFERROR(VLOOKUP($C656,Services!$B:$H,7,FALSE()),0),IF($E656="Patty Cash",IFERROR(VLOOKUP($C656,'Patty Cash'!$B:$H,7,FALSE()),0),0)))))</f>
        <v/>
      </c>
      <c r="I656" s="213"/>
      <c r="J656" s="214"/>
      <c r="K656" s="215"/>
      <c r="L656" s="197"/>
      <c r="M656" s="215"/>
      <c r="N656" s="216">
        <f>IFERROR(IF($E656="Inventory",VLOOKUP($C656,Inventory!$B:$I,8,FALSE()),IF($E656="Non Inventory",VLOOKUP($C656,'Non Inventory'!$B:$I,8,FALSE()),IF($E656="Services",VLOOKUP($C656,Services!$B:$I,8,FALSE()),IF($E656="Patty Cash",VLOOKUP($C656,'Patty Cash'!$B:$J,8,FALSE()),0)))),0)</f>
        <v>0</v>
      </c>
      <c r="O656" s="217" t="str">
        <f t="shared" si="10"/>
        <v/>
      </c>
    </row>
    <row r="657" spans="1:15" ht="23.1" customHeight="1">
      <c r="A657" s="206" t="str">
        <f>IF(AND($B657="",$C657=""),"",MAX($A$3:A656)+1)</f>
        <v/>
      </c>
      <c r="B657" s="207"/>
      <c r="C657" s="208"/>
      <c r="D657" s="209" t="str">
        <f>IFERROR(IF($E657="Inventory",VLOOKUP($C657,Inventory!$B:$I,2,FALSE()),IF($E657="Non Inventory",VLOOKUP($C657,'Non Inventory'!$B:$I,2,FALSE()),IF($E657="Services",VLOOKUP($C657,Services!$B:$I,2,FALSE()),IF($E657="Patty Cash",VLOOKUP($C657,'Patty Cash'!$B:$J,2,FALSE()),"")))),"")</f>
        <v/>
      </c>
      <c r="E657" s="246"/>
      <c r="F657" s="210" t="str">
        <f>IFERROR(IF($E657="Inventory",VLOOKUP($C657,Inventory!$B:$I,3,FALSE()),IF($E657="Non Inventory",VLOOKUP($C657,'Non Inventory'!$B:$I,3,FALSE()),IF($E657="Services",VLOOKUP($C657,Services!$B:$I,3,FALSE()),IF($E657="Patty Cash",VLOOKUP($C657,'Patty Cash'!$B:$J,3,FALSE()),"")))),"")</f>
        <v/>
      </c>
      <c r="G657" s="211"/>
      <c r="H657" s="212" t="str">
        <f>IF($E657="","",IF($E657="Inventory",IFERROR(VLOOKUP($C657,Inventory!$B:$H,7,FALSE()),0),IF($E657="Non Inventory",IFERROR(VLOOKUP($C657,'Non Inventory'!$B:$H,7,FALSE()),0),IF($E657="Services",IFERROR(VLOOKUP($C657,Services!$B:$H,7,FALSE()),0),IF($E657="Patty Cash",IFERROR(VLOOKUP($C657,'Patty Cash'!$B:$H,7,FALSE()),0),0)))))</f>
        <v/>
      </c>
      <c r="I657" s="213"/>
      <c r="J657" s="214"/>
      <c r="K657" s="215"/>
      <c r="L657" s="197"/>
      <c r="M657" s="215"/>
      <c r="N657" s="216">
        <f>IFERROR(IF($E657="Inventory",VLOOKUP($C657,Inventory!$B:$I,8,FALSE()),IF($E657="Non Inventory",VLOOKUP($C657,'Non Inventory'!$B:$I,8,FALSE()),IF($E657="Services",VLOOKUP($C657,Services!$B:$I,8,FALSE()),IF($E657="Patty Cash",VLOOKUP($C657,'Patty Cash'!$B:$J,8,FALSE()),0)))),0)</f>
        <v>0</v>
      </c>
      <c r="O657" s="217" t="str">
        <f t="shared" si="10"/>
        <v/>
      </c>
    </row>
    <row r="658" spans="1:15" ht="23.1" customHeight="1">
      <c r="A658" s="206" t="str">
        <f>IF(AND($B658="",$C658=""),"",MAX($A$3:A657)+1)</f>
        <v/>
      </c>
      <c r="B658" s="207"/>
      <c r="C658" s="208"/>
      <c r="D658" s="209" t="str">
        <f>IFERROR(IF($E658="Inventory",VLOOKUP($C658,Inventory!$B:$I,2,FALSE()),IF($E658="Non Inventory",VLOOKUP($C658,'Non Inventory'!$B:$I,2,FALSE()),IF($E658="Services",VLOOKUP($C658,Services!$B:$I,2,FALSE()),IF($E658="Patty Cash",VLOOKUP($C658,'Patty Cash'!$B:$J,2,FALSE()),"")))),"")</f>
        <v/>
      </c>
      <c r="E658" s="246"/>
      <c r="F658" s="210" t="str">
        <f>IFERROR(IF($E658="Inventory",VLOOKUP($C658,Inventory!$B:$I,3,FALSE()),IF($E658="Non Inventory",VLOOKUP($C658,'Non Inventory'!$B:$I,3,FALSE()),IF($E658="Services",VLOOKUP($C658,Services!$B:$I,3,FALSE()),IF($E658="Patty Cash",VLOOKUP($C658,'Patty Cash'!$B:$J,3,FALSE()),"")))),"")</f>
        <v/>
      </c>
      <c r="G658" s="211"/>
      <c r="H658" s="212" t="str">
        <f>IF($E658="","",IF($E658="Inventory",IFERROR(VLOOKUP($C658,Inventory!$B:$H,7,FALSE()),0),IF($E658="Non Inventory",IFERROR(VLOOKUP($C658,'Non Inventory'!$B:$H,7,FALSE()),0),IF($E658="Services",IFERROR(VLOOKUP($C658,Services!$B:$H,7,FALSE()),0),IF($E658="Patty Cash",IFERROR(VLOOKUP($C658,'Patty Cash'!$B:$H,7,FALSE()),0),0)))))</f>
        <v/>
      </c>
      <c r="I658" s="213"/>
      <c r="J658" s="214"/>
      <c r="K658" s="215"/>
      <c r="L658" s="197"/>
      <c r="M658" s="215"/>
      <c r="N658" s="216">
        <f>IFERROR(IF($E658="Inventory",VLOOKUP($C658,Inventory!$B:$I,8,FALSE()),IF($E658="Non Inventory",VLOOKUP($C658,'Non Inventory'!$B:$I,8,FALSE()),IF($E658="Services",VLOOKUP($C658,Services!$B:$I,8,FALSE()),IF($E658="Patty Cash",VLOOKUP($C658,'Patty Cash'!$B:$J,8,FALSE()),0)))),0)</f>
        <v>0</v>
      </c>
      <c r="O658" s="217" t="str">
        <f t="shared" si="10"/>
        <v/>
      </c>
    </row>
    <row r="659" spans="1:15" ht="23.1" customHeight="1">
      <c r="A659" s="206" t="str">
        <f>IF(AND($B659="",$C659=""),"",MAX($A$3:A658)+1)</f>
        <v/>
      </c>
      <c r="B659" s="207"/>
      <c r="C659" s="208"/>
      <c r="D659" s="209" t="str">
        <f>IFERROR(IF($E659="Inventory",VLOOKUP($C659,Inventory!$B:$I,2,FALSE()),IF($E659="Non Inventory",VLOOKUP($C659,'Non Inventory'!$B:$I,2,FALSE()),IF($E659="Services",VLOOKUP($C659,Services!$B:$I,2,FALSE()),IF($E659="Patty Cash",VLOOKUP($C659,'Patty Cash'!$B:$J,2,FALSE()),"")))),"")</f>
        <v/>
      </c>
      <c r="E659" s="246"/>
      <c r="F659" s="210" t="str">
        <f>IFERROR(IF($E659="Inventory",VLOOKUP($C659,Inventory!$B:$I,3,FALSE()),IF($E659="Non Inventory",VLOOKUP($C659,'Non Inventory'!$B:$I,3,FALSE()),IF($E659="Services",VLOOKUP($C659,Services!$B:$I,3,FALSE()),IF($E659="Patty Cash",VLOOKUP($C659,'Patty Cash'!$B:$J,3,FALSE()),"")))),"")</f>
        <v/>
      </c>
      <c r="G659" s="211"/>
      <c r="H659" s="212" t="str">
        <f>IF($E659="","",IF($E659="Inventory",IFERROR(VLOOKUP($C659,Inventory!$B:$H,7,FALSE()),0),IF($E659="Non Inventory",IFERROR(VLOOKUP($C659,'Non Inventory'!$B:$H,7,FALSE()),0),IF($E659="Services",IFERROR(VLOOKUP($C659,Services!$B:$H,7,FALSE()),0),IF($E659="Patty Cash",IFERROR(VLOOKUP($C659,'Patty Cash'!$B:$H,7,FALSE()),0),0)))))</f>
        <v/>
      </c>
      <c r="I659" s="213"/>
      <c r="J659" s="214"/>
      <c r="K659" s="215"/>
      <c r="L659" s="197"/>
      <c r="M659" s="215"/>
      <c r="N659" s="216">
        <f>IFERROR(IF($E659="Inventory",VLOOKUP($C659,Inventory!$B:$I,8,FALSE()),IF($E659="Non Inventory",VLOOKUP($C659,'Non Inventory'!$B:$I,8,FALSE()),IF($E659="Services",VLOOKUP($C659,Services!$B:$I,8,FALSE()),IF($E659="Patty Cash",VLOOKUP($C659,'Patty Cash'!$B:$J,8,FALSE()),0)))),0)</f>
        <v>0</v>
      </c>
      <c r="O659" s="217" t="str">
        <f t="shared" si="10"/>
        <v/>
      </c>
    </row>
    <row r="660" spans="1:15" ht="23.1" customHeight="1">
      <c r="A660" s="206" t="str">
        <f>IF(AND($B660="",$C660=""),"",MAX($A$3:A659)+1)</f>
        <v/>
      </c>
      <c r="B660" s="207"/>
      <c r="C660" s="208"/>
      <c r="D660" s="209" t="str">
        <f>IFERROR(IF($E660="Inventory",VLOOKUP($C660,Inventory!$B:$I,2,FALSE()),IF($E660="Non Inventory",VLOOKUP($C660,'Non Inventory'!$B:$I,2,FALSE()),IF($E660="Services",VLOOKUP($C660,Services!$B:$I,2,FALSE()),IF($E660="Patty Cash",VLOOKUP($C660,'Patty Cash'!$B:$J,2,FALSE()),"")))),"")</f>
        <v/>
      </c>
      <c r="E660" s="246"/>
      <c r="F660" s="210" t="str">
        <f>IFERROR(IF($E660="Inventory",VLOOKUP($C660,Inventory!$B:$I,3,FALSE()),IF($E660="Non Inventory",VLOOKUP($C660,'Non Inventory'!$B:$I,3,FALSE()),IF($E660="Services",VLOOKUP($C660,Services!$B:$I,3,FALSE()),IF($E660="Patty Cash",VLOOKUP($C660,'Patty Cash'!$B:$J,3,FALSE()),"")))),"")</f>
        <v/>
      </c>
      <c r="G660" s="211"/>
      <c r="H660" s="212" t="str">
        <f>IF($E660="","",IF($E660="Inventory",IFERROR(VLOOKUP($C660,Inventory!$B:$H,7,FALSE()),0),IF($E660="Non Inventory",IFERROR(VLOOKUP($C660,'Non Inventory'!$B:$H,7,FALSE()),0),IF($E660="Services",IFERROR(VLOOKUP($C660,Services!$B:$H,7,FALSE()),0),IF($E660="Patty Cash",IFERROR(VLOOKUP($C660,'Patty Cash'!$B:$H,7,FALSE()),0),0)))))</f>
        <v/>
      </c>
      <c r="I660" s="213"/>
      <c r="J660" s="214"/>
      <c r="K660" s="215"/>
      <c r="L660" s="197"/>
      <c r="M660" s="215"/>
      <c r="N660" s="216">
        <f>IFERROR(IF($E660="Inventory",VLOOKUP($C660,Inventory!$B:$I,8,FALSE()),IF($E660="Non Inventory",VLOOKUP($C660,'Non Inventory'!$B:$I,8,FALSE()),IF($E660="Services",VLOOKUP($C660,Services!$B:$I,8,FALSE()),IF($E660="Patty Cash",VLOOKUP($C660,'Patty Cash'!$B:$J,8,FALSE()),0)))),0)</f>
        <v>0</v>
      </c>
      <c r="O660" s="217" t="str">
        <f t="shared" si="10"/>
        <v/>
      </c>
    </row>
    <row r="661" spans="1:15" ht="23.1" customHeight="1">
      <c r="A661" s="206" t="str">
        <f>IF(AND($B661="",$C661=""),"",MAX($A$3:A660)+1)</f>
        <v/>
      </c>
      <c r="B661" s="207"/>
      <c r="C661" s="208"/>
      <c r="D661" s="209" t="str">
        <f>IFERROR(IF($E661="Inventory",VLOOKUP($C661,Inventory!$B:$I,2,FALSE()),IF($E661="Non Inventory",VLOOKUP($C661,'Non Inventory'!$B:$I,2,FALSE()),IF($E661="Services",VLOOKUP($C661,Services!$B:$I,2,FALSE()),IF($E661="Patty Cash",VLOOKUP($C661,'Patty Cash'!$B:$J,2,FALSE()),"")))),"")</f>
        <v/>
      </c>
      <c r="E661" s="246"/>
      <c r="F661" s="210" t="str">
        <f>IFERROR(IF($E661="Inventory",VLOOKUP($C661,Inventory!$B:$I,3,FALSE()),IF($E661="Non Inventory",VLOOKUP($C661,'Non Inventory'!$B:$I,3,FALSE()),IF($E661="Services",VLOOKUP($C661,Services!$B:$I,3,FALSE()),IF($E661="Patty Cash",VLOOKUP($C661,'Patty Cash'!$B:$J,3,FALSE()),"")))),"")</f>
        <v/>
      </c>
      <c r="G661" s="211"/>
      <c r="H661" s="212" t="str">
        <f>IF($E661="","",IF($E661="Inventory",IFERROR(VLOOKUP($C661,Inventory!$B:$H,7,FALSE()),0),IF($E661="Non Inventory",IFERROR(VLOOKUP($C661,'Non Inventory'!$B:$H,7,FALSE()),0),IF($E661="Services",IFERROR(VLOOKUP($C661,Services!$B:$H,7,FALSE()),0),IF($E661="Patty Cash",IFERROR(VLOOKUP($C661,'Patty Cash'!$B:$H,7,FALSE()),0),0)))))</f>
        <v/>
      </c>
      <c r="I661" s="213"/>
      <c r="J661" s="214"/>
      <c r="K661" s="215"/>
      <c r="L661" s="197"/>
      <c r="M661" s="215"/>
      <c r="N661" s="216">
        <f>IFERROR(IF($E661="Inventory",VLOOKUP($C661,Inventory!$B:$I,8,FALSE()),IF($E661="Non Inventory",VLOOKUP($C661,'Non Inventory'!$B:$I,8,FALSE()),IF($E661="Services",VLOOKUP($C661,Services!$B:$I,8,FALSE()),IF($E661="Patty Cash",VLOOKUP($C661,'Patty Cash'!$B:$J,8,FALSE()),0)))),0)</f>
        <v>0</v>
      </c>
      <c r="O661" s="217" t="str">
        <f t="shared" si="10"/>
        <v/>
      </c>
    </row>
    <row r="662" spans="1:15" ht="23.1" customHeight="1">
      <c r="A662" s="206" t="str">
        <f>IF(AND($B662="",$C662=""),"",MAX($A$3:A661)+1)</f>
        <v/>
      </c>
      <c r="B662" s="207"/>
      <c r="C662" s="208"/>
      <c r="D662" s="209" t="str">
        <f>IFERROR(IF($E662="Inventory",VLOOKUP($C662,Inventory!$B:$I,2,FALSE()),IF($E662="Non Inventory",VLOOKUP($C662,'Non Inventory'!$B:$I,2,FALSE()),IF($E662="Services",VLOOKUP($C662,Services!$B:$I,2,FALSE()),IF($E662="Patty Cash",VLOOKUP($C662,'Patty Cash'!$B:$J,2,FALSE()),"")))),"")</f>
        <v/>
      </c>
      <c r="E662" s="246"/>
      <c r="F662" s="210" t="str">
        <f>IFERROR(IF($E662="Inventory",VLOOKUP($C662,Inventory!$B:$I,3,FALSE()),IF($E662="Non Inventory",VLOOKUP($C662,'Non Inventory'!$B:$I,3,FALSE()),IF($E662="Services",VLOOKUP($C662,Services!$B:$I,3,FALSE()),IF($E662="Patty Cash",VLOOKUP($C662,'Patty Cash'!$B:$J,3,FALSE()),"")))),"")</f>
        <v/>
      </c>
      <c r="G662" s="211"/>
      <c r="H662" s="212" t="str">
        <f>IF($E662="","",IF($E662="Inventory",IFERROR(VLOOKUP($C662,Inventory!$B:$H,7,FALSE()),0),IF($E662="Non Inventory",IFERROR(VLOOKUP($C662,'Non Inventory'!$B:$H,7,FALSE()),0),IF($E662="Services",IFERROR(VLOOKUP($C662,Services!$B:$H,7,FALSE()),0),IF($E662="Patty Cash",IFERROR(VLOOKUP($C662,'Patty Cash'!$B:$H,7,FALSE()),0),0)))))</f>
        <v/>
      </c>
      <c r="I662" s="213"/>
      <c r="J662" s="214"/>
      <c r="K662" s="215"/>
      <c r="L662" s="197"/>
      <c r="M662" s="215"/>
      <c r="N662" s="216">
        <f>IFERROR(IF($E662="Inventory",VLOOKUP($C662,Inventory!$B:$I,8,FALSE()),IF($E662="Non Inventory",VLOOKUP($C662,'Non Inventory'!$B:$I,8,FALSE()),IF($E662="Services",VLOOKUP($C662,Services!$B:$I,8,FALSE()),IF($E662="Patty Cash",VLOOKUP($C662,'Patty Cash'!$B:$J,8,FALSE()),0)))),0)</f>
        <v>0</v>
      </c>
      <c r="O662" s="217" t="str">
        <f t="shared" si="10"/>
        <v/>
      </c>
    </row>
    <row r="663" spans="1:15" ht="23.1" customHeight="1">
      <c r="A663" s="206" t="str">
        <f>IF(AND($B663="",$C663=""),"",MAX($A$3:A662)+1)</f>
        <v/>
      </c>
      <c r="B663" s="207"/>
      <c r="C663" s="208"/>
      <c r="D663" s="209" t="str">
        <f>IFERROR(IF($E663="Inventory",VLOOKUP($C663,Inventory!$B:$I,2,FALSE()),IF($E663="Non Inventory",VLOOKUP($C663,'Non Inventory'!$B:$I,2,FALSE()),IF($E663="Services",VLOOKUP($C663,Services!$B:$I,2,FALSE()),IF($E663="Patty Cash",VLOOKUP($C663,'Patty Cash'!$B:$J,2,FALSE()),"")))),"")</f>
        <v/>
      </c>
      <c r="E663" s="246"/>
      <c r="F663" s="210" t="str">
        <f>IFERROR(IF($E663="Inventory",VLOOKUP($C663,Inventory!$B:$I,3,FALSE()),IF($E663="Non Inventory",VLOOKUP($C663,'Non Inventory'!$B:$I,3,FALSE()),IF($E663="Services",VLOOKUP($C663,Services!$B:$I,3,FALSE()),IF($E663="Patty Cash",VLOOKUP($C663,'Patty Cash'!$B:$J,3,FALSE()),"")))),"")</f>
        <v/>
      </c>
      <c r="G663" s="211"/>
      <c r="H663" s="212" t="str">
        <f>IF($E663="","",IF($E663="Inventory",IFERROR(VLOOKUP($C663,Inventory!$B:$H,7,FALSE()),0),IF($E663="Non Inventory",IFERROR(VLOOKUP($C663,'Non Inventory'!$B:$H,7,FALSE()),0),IF($E663="Services",IFERROR(VLOOKUP($C663,Services!$B:$H,7,FALSE()),0),IF($E663="Patty Cash",IFERROR(VLOOKUP($C663,'Patty Cash'!$B:$H,7,FALSE()),0),0)))))</f>
        <v/>
      </c>
      <c r="I663" s="213"/>
      <c r="J663" s="214"/>
      <c r="K663" s="215"/>
      <c r="L663" s="197"/>
      <c r="M663" s="215"/>
      <c r="N663" s="216">
        <f>IFERROR(IF($E663="Inventory",VLOOKUP($C663,Inventory!$B:$I,8,FALSE()),IF($E663="Non Inventory",VLOOKUP($C663,'Non Inventory'!$B:$I,8,FALSE()),IF($E663="Services",VLOOKUP($C663,Services!$B:$I,8,FALSE()),IF($E663="Patty Cash",VLOOKUP($C663,'Patty Cash'!$B:$J,8,FALSE()),0)))),0)</f>
        <v>0</v>
      </c>
      <c r="O663" s="217" t="str">
        <f t="shared" si="10"/>
        <v/>
      </c>
    </row>
    <row r="664" spans="1:15" ht="23.1" customHeight="1">
      <c r="A664" s="206" t="str">
        <f>IF(AND($B664="",$C664=""),"",MAX($A$3:A663)+1)</f>
        <v/>
      </c>
      <c r="B664" s="207"/>
      <c r="C664" s="208"/>
      <c r="D664" s="209" t="str">
        <f>IFERROR(IF($E664="Inventory",VLOOKUP($C664,Inventory!$B:$I,2,FALSE()),IF($E664="Non Inventory",VLOOKUP($C664,'Non Inventory'!$B:$I,2,FALSE()),IF($E664="Services",VLOOKUP($C664,Services!$B:$I,2,FALSE()),IF($E664="Patty Cash",VLOOKUP($C664,'Patty Cash'!$B:$J,2,FALSE()),"")))),"")</f>
        <v/>
      </c>
      <c r="E664" s="246"/>
      <c r="F664" s="210" t="str">
        <f>IFERROR(IF($E664="Inventory",VLOOKUP($C664,Inventory!$B:$I,3,FALSE()),IF($E664="Non Inventory",VLOOKUP($C664,'Non Inventory'!$B:$I,3,FALSE()),IF($E664="Services",VLOOKUP($C664,Services!$B:$I,3,FALSE()),IF($E664="Patty Cash",VLOOKUP($C664,'Patty Cash'!$B:$J,3,FALSE()),"")))),"")</f>
        <v/>
      </c>
      <c r="G664" s="211"/>
      <c r="H664" s="212" t="str">
        <f>IF($E664="","",IF($E664="Inventory",IFERROR(VLOOKUP($C664,Inventory!$B:$H,7,FALSE()),0),IF($E664="Non Inventory",IFERROR(VLOOKUP($C664,'Non Inventory'!$B:$H,7,FALSE()),0),IF($E664="Services",IFERROR(VLOOKUP($C664,Services!$B:$H,7,FALSE()),0),IF($E664="Patty Cash",IFERROR(VLOOKUP($C664,'Patty Cash'!$B:$H,7,FALSE()),0),0)))))</f>
        <v/>
      </c>
      <c r="I664" s="213"/>
      <c r="J664" s="214"/>
      <c r="K664" s="215"/>
      <c r="L664" s="197"/>
      <c r="M664" s="215"/>
      <c r="N664" s="216">
        <f>IFERROR(IF($E664="Inventory",VLOOKUP($C664,Inventory!$B:$I,8,FALSE()),IF($E664="Non Inventory",VLOOKUP($C664,'Non Inventory'!$B:$I,8,FALSE()),IF($E664="Services",VLOOKUP($C664,Services!$B:$I,8,FALSE()),IF($E664="Patty Cash",VLOOKUP($C664,'Patty Cash'!$B:$J,8,FALSE()),0)))),0)</f>
        <v>0</v>
      </c>
      <c r="O664" s="217" t="str">
        <f t="shared" si="10"/>
        <v/>
      </c>
    </row>
    <row r="665" spans="1:15" ht="23.1" customHeight="1">
      <c r="A665" s="206" t="str">
        <f>IF(AND($B665="",$C665=""),"",MAX($A$3:A664)+1)</f>
        <v/>
      </c>
      <c r="B665" s="207"/>
      <c r="C665" s="208"/>
      <c r="D665" s="209" t="str">
        <f>IFERROR(IF($E665="Inventory",VLOOKUP($C665,Inventory!$B:$I,2,FALSE()),IF($E665="Non Inventory",VLOOKUP($C665,'Non Inventory'!$B:$I,2,FALSE()),IF($E665="Services",VLOOKUP($C665,Services!$B:$I,2,FALSE()),IF($E665="Patty Cash",VLOOKUP($C665,'Patty Cash'!$B:$J,2,FALSE()),"")))),"")</f>
        <v/>
      </c>
      <c r="E665" s="246"/>
      <c r="F665" s="210" t="str">
        <f>IFERROR(IF($E665="Inventory",VLOOKUP($C665,Inventory!$B:$I,3,FALSE()),IF($E665="Non Inventory",VLOOKUP($C665,'Non Inventory'!$B:$I,3,FALSE()),IF($E665="Services",VLOOKUP($C665,Services!$B:$I,3,FALSE()),IF($E665="Patty Cash",VLOOKUP($C665,'Patty Cash'!$B:$J,3,FALSE()),"")))),"")</f>
        <v/>
      </c>
      <c r="G665" s="211"/>
      <c r="H665" s="212" t="str">
        <f>IF($E665="","",IF($E665="Inventory",IFERROR(VLOOKUP($C665,Inventory!$B:$H,7,FALSE()),0),IF($E665="Non Inventory",IFERROR(VLOOKUP($C665,'Non Inventory'!$B:$H,7,FALSE()),0),IF($E665="Services",IFERROR(VLOOKUP($C665,Services!$B:$H,7,FALSE()),0),IF($E665="Patty Cash",IFERROR(VLOOKUP($C665,'Patty Cash'!$B:$H,7,FALSE()),0),0)))))</f>
        <v/>
      </c>
      <c r="I665" s="213"/>
      <c r="J665" s="214"/>
      <c r="K665" s="215"/>
      <c r="L665" s="197"/>
      <c r="M665" s="215"/>
      <c r="N665" s="216">
        <f>IFERROR(IF($E665="Inventory",VLOOKUP($C665,Inventory!$B:$I,8,FALSE()),IF($E665="Non Inventory",VLOOKUP($C665,'Non Inventory'!$B:$I,8,FALSE()),IF($E665="Services",VLOOKUP($C665,Services!$B:$I,8,FALSE()),IF($E665="Patty Cash",VLOOKUP($C665,'Patty Cash'!$B:$J,8,FALSE()),0)))),0)</f>
        <v>0</v>
      </c>
      <c r="O665" s="217" t="str">
        <f t="shared" si="10"/>
        <v/>
      </c>
    </row>
    <row r="666" spans="1:15" ht="23.1" customHeight="1">
      <c r="A666" s="206" t="str">
        <f>IF(AND($B666="",$C666=""),"",MAX($A$3:A665)+1)</f>
        <v/>
      </c>
      <c r="B666" s="207"/>
      <c r="C666" s="208"/>
      <c r="D666" s="209" t="str">
        <f>IFERROR(IF($E666="Inventory",VLOOKUP($C666,Inventory!$B:$I,2,FALSE()),IF($E666="Non Inventory",VLOOKUP($C666,'Non Inventory'!$B:$I,2,FALSE()),IF($E666="Services",VLOOKUP($C666,Services!$B:$I,2,FALSE()),IF($E666="Patty Cash",VLOOKUP($C666,'Patty Cash'!$B:$J,2,FALSE()),"")))),"")</f>
        <v/>
      </c>
      <c r="E666" s="246"/>
      <c r="F666" s="210" t="str">
        <f>IFERROR(IF($E666="Inventory",VLOOKUP($C666,Inventory!$B:$I,3,FALSE()),IF($E666="Non Inventory",VLOOKUP($C666,'Non Inventory'!$B:$I,3,FALSE()),IF($E666="Services",VLOOKUP($C666,Services!$B:$I,3,FALSE()),IF($E666="Patty Cash",VLOOKUP($C666,'Patty Cash'!$B:$J,3,FALSE()),"")))),"")</f>
        <v/>
      </c>
      <c r="G666" s="211"/>
      <c r="H666" s="212" t="str">
        <f>IF($E666="","",IF($E666="Inventory",IFERROR(VLOOKUP($C666,Inventory!$B:$H,7,FALSE()),0),IF($E666="Non Inventory",IFERROR(VLOOKUP($C666,'Non Inventory'!$B:$H,7,FALSE()),0),IF($E666="Services",IFERROR(VLOOKUP($C666,Services!$B:$H,7,FALSE()),0),IF($E666="Patty Cash",IFERROR(VLOOKUP($C666,'Patty Cash'!$B:$H,7,FALSE()),0),0)))))</f>
        <v/>
      </c>
      <c r="I666" s="213"/>
      <c r="J666" s="214"/>
      <c r="K666" s="215"/>
      <c r="L666" s="197"/>
      <c r="M666" s="215"/>
      <c r="N666" s="216">
        <f>IFERROR(IF($E666="Inventory",VLOOKUP($C666,Inventory!$B:$I,8,FALSE()),IF($E666="Non Inventory",VLOOKUP($C666,'Non Inventory'!$B:$I,8,FALSE()),IF($E666="Services",VLOOKUP($C666,Services!$B:$I,8,FALSE()),IF($E666="Patty Cash",VLOOKUP($C666,'Patty Cash'!$B:$J,8,FALSE()),0)))),0)</f>
        <v>0</v>
      </c>
      <c r="O666" s="217" t="str">
        <f t="shared" si="10"/>
        <v/>
      </c>
    </row>
    <row r="667" spans="1:15" ht="23.1" customHeight="1">
      <c r="A667" s="206" t="str">
        <f>IF(AND($B667="",$C667=""),"",MAX($A$3:A666)+1)</f>
        <v/>
      </c>
      <c r="B667" s="207"/>
      <c r="C667" s="208"/>
      <c r="D667" s="209" t="str">
        <f>IFERROR(IF($E667="Inventory",VLOOKUP($C667,Inventory!$B:$I,2,FALSE()),IF($E667="Non Inventory",VLOOKUP($C667,'Non Inventory'!$B:$I,2,FALSE()),IF($E667="Services",VLOOKUP($C667,Services!$B:$I,2,FALSE()),IF($E667="Patty Cash",VLOOKUP($C667,'Patty Cash'!$B:$J,2,FALSE()),"")))),"")</f>
        <v/>
      </c>
      <c r="E667" s="246"/>
      <c r="F667" s="210" t="str">
        <f>IFERROR(IF($E667="Inventory",VLOOKUP($C667,Inventory!$B:$I,3,FALSE()),IF($E667="Non Inventory",VLOOKUP($C667,'Non Inventory'!$B:$I,3,FALSE()),IF($E667="Services",VLOOKUP($C667,Services!$B:$I,3,FALSE()),IF($E667="Patty Cash",VLOOKUP($C667,'Patty Cash'!$B:$J,3,FALSE()),"")))),"")</f>
        <v/>
      </c>
      <c r="G667" s="211"/>
      <c r="H667" s="212" t="str">
        <f>IF($E667="","",IF($E667="Inventory",IFERROR(VLOOKUP($C667,Inventory!$B:$H,7,FALSE()),0),IF($E667="Non Inventory",IFERROR(VLOOKUP($C667,'Non Inventory'!$B:$H,7,FALSE()),0),IF($E667="Services",IFERROR(VLOOKUP($C667,Services!$B:$H,7,FALSE()),0),IF($E667="Patty Cash",IFERROR(VLOOKUP($C667,'Patty Cash'!$B:$H,7,FALSE()),0),0)))))</f>
        <v/>
      </c>
      <c r="I667" s="213"/>
      <c r="J667" s="214"/>
      <c r="K667" s="215"/>
      <c r="L667" s="197"/>
      <c r="M667" s="215"/>
      <c r="N667" s="216">
        <f>IFERROR(IF($E667="Inventory",VLOOKUP($C667,Inventory!$B:$I,8,FALSE()),IF($E667="Non Inventory",VLOOKUP($C667,'Non Inventory'!$B:$I,8,FALSE()),IF($E667="Services",VLOOKUP($C667,Services!$B:$I,8,FALSE()),IF($E667="Patty Cash",VLOOKUP($C667,'Patty Cash'!$B:$J,8,FALSE()),0)))),0)</f>
        <v>0</v>
      </c>
      <c r="O667" s="217" t="str">
        <f t="shared" si="10"/>
        <v/>
      </c>
    </row>
    <row r="668" spans="1:15" ht="23.1" customHeight="1">
      <c r="A668" s="206" t="str">
        <f>IF(AND($B668="",$C668=""),"",MAX($A$3:A667)+1)</f>
        <v/>
      </c>
      <c r="B668" s="207"/>
      <c r="C668" s="208"/>
      <c r="D668" s="209" t="str">
        <f>IFERROR(IF($E668="Inventory",VLOOKUP($C668,Inventory!$B:$I,2,FALSE()),IF($E668="Non Inventory",VLOOKUP($C668,'Non Inventory'!$B:$I,2,FALSE()),IF($E668="Services",VLOOKUP($C668,Services!$B:$I,2,FALSE()),IF($E668="Patty Cash",VLOOKUP($C668,'Patty Cash'!$B:$J,2,FALSE()),"")))),"")</f>
        <v/>
      </c>
      <c r="E668" s="246"/>
      <c r="F668" s="210" t="str">
        <f>IFERROR(IF($E668="Inventory",VLOOKUP($C668,Inventory!$B:$I,3,FALSE()),IF($E668="Non Inventory",VLOOKUP($C668,'Non Inventory'!$B:$I,3,FALSE()),IF($E668="Services",VLOOKUP($C668,Services!$B:$I,3,FALSE()),IF($E668="Patty Cash",VLOOKUP($C668,'Patty Cash'!$B:$J,3,FALSE()),"")))),"")</f>
        <v/>
      </c>
      <c r="G668" s="211"/>
      <c r="H668" s="212" t="str">
        <f>IF($E668="","",IF($E668="Inventory",IFERROR(VLOOKUP($C668,Inventory!$B:$H,7,FALSE()),0),IF($E668="Non Inventory",IFERROR(VLOOKUP($C668,'Non Inventory'!$B:$H,7,FALSE()),0),IF($E668="Services",IFERROR(VLOOKUP($C668,Services!$B:$H,7,FALSE()),0),IF($E668="Patty Cash",IFERROR(VLOOKUP($C668,'Patty Cash'!$B:$H,7,FALSE()),0),0)))))</f>
        <v/>
      </c>
      <c r="I668" s="213"/>
      <c r="J668" s="214"/>
      <c r="K668" s="215"/>
      <c r="L668" s="197"/>
      <c r="M668" s="215"/>
      <c r="N668" s="216">
        <f>IFERROR(IF($E668="Inventory",VLOOKUP($C668,Inventory!$B:$I,8,FALSE()),IF($E668="Non Inventory",VLOOKUP($C668,'Non Inventory'!$B:$I,8,FALSE()),IF($E668="Services",VLOOKUP($C668,Services!$B:$I,8,FALSE()),IF($E668="Patty Cash",VLOOKUP($C668,'Patty Cash'!$B:$J,8,FALSE()),0)))),0)</f>
        <v>0</v>
      </c>
      <c r="O668" s="217" t="str">
        <f t="shared" si="10"/>
        <v/>
      </c>
    </row>
    <row r="669" spans="1:15" ht="23.1" customHeight="1">
      <c r="A669" s="206" t="str">
        <f>IF(AND($B669="",$C669=""),"",MAX($A$3:A668)+1)</f>
        <v/>
      </c>
      <c r="B669" s="207"/>
      <c r="C669" s="208"/>
      <c r="D669" s="209" t="str">
        <f>IFERROR(IF($E669="Inventory",VLOOKUP($C669,Inventory!$B:$I,2,FALSE()),IF($E669="Non Inventory",VLOOKUP($C669,'Non Inventory'!$B:$I,2,FALSE()),IF($E669="Services",VLOOKUP($C669,Services!$B:$I,2,FALSE()),IF($E669="Patty Cash",VLOOKUP($C669,'Patty Cash'!$B:$J,2,FALSE()),"")))),"")</f>
        <v/>
      </c>
      <c r="E669" s="246"/>
      <c r="F669" s="210" t="str">
        <f>IFERROR(IF($E669="Inventory",VLOOKUP($C669,Inventory!$B:$I,3,FALSE()),IF($E669="Non Inventory",VLOOKUP($C669,'Non Inventory'!$B:$I,3,FALSE()),IF($E669="Services",VLOOKUP($C669,Services!$B:$I,3,FALSE()),IF($E669="Patty Cash",VLOOKUP($C669,'Patty Cash'!$B:$J,3,FALSE()),"")))),"")</f>
        <v/>
      </c>
      <c r="G669" s="211"/>
      <c r="H669" s="212" t="str">
        <f>IF($E669="","",IF($E669="Inventory",IFERROR(VLOOKUP($C669,Inventory!$B:$H,7,FALSE()),0),IF($E669="Non Inventory",IFERROR(VLOOKUP($C669,'Non Inventory'!$B:$H,7,FALSE()),0),IF($E669="Services",IFERROR(VLOOKUP($C669,Services!$B:$H,7,FALSE()),0),IF($E669="Patty Cash",IFERROR(VLOOKUP($C669,'Patty Cash'!$B:$H,7,FALSE()),0),0)))))</f>
        <v/>
      </c>
      <c r="I669" s="213"/>
      <c r="J669" s="214"/>
      <c r="K669" s="215"/>
      <c r="L669" s="197"/>
      <c r="M669" s="215"/>
      <c r="N669" s="216">
        <f>IFERROR(IF($E669="Inventory",VLOOKUP($C669,Inventory!$B:$I,8,FALSE()),IF($E669="Non Inventory",VLOOKUP($C669,'Non Inventory'!$B:$I,8,FALSE()),IF($E669="Services",VLOOKUP($C669,Services!$B:$I,8,FALSE()),IF($E669="Patty Cash",VLOOKUP($C669,'Patty Cash'!$B:$J,8,FALSE()),0)))),0)</f>
        <v>0</v>
      </c>
      <c r="O669" s="217" t="str">
        <f t="shared" si="10"/>
        <v/>
      </c>
    </row>
    <row r="670" spans="1:15" ht="23.1" customHeight="1">
      <c r="A670" s="206" t="str">
        <f>IF(AND($B670="",$C670=""),"",MAX($A$3:A669)+1)</f>
        <v/>
      </c>
      <c r="B670" s="207"/>
      <c r="C670" s="208"/>
      <c r="D670" s="209" t="str">
        <f>IFERROR(IF($E670="Inventory",VLOOKUP($C670,Inventory!$B:$I,2,FALSE()),IF($E670="Non Inventory",VLOOKUP($C670,'Non Inventory'!$B:$I,2,FALSE()),IF($E670="Services",VLOOKUP($C670,Services!$B:$I,2,FALSE()),IF($E670="Patty Cash",VLOOKUP($C670,'Patty Cash'!$B:$J,2,FALSE()),"")))),"")</f>
        <v/>
      </c>
      <c r="E670" s="246"/>
      <c r="F670" s="210" t="str">
        <f>IFERROR(IF($E670="Inventory",VLOOKUP($C670,Inventory!$B:$I,3,FALSE()),IF($E670="Non Inventory",VLOOKUP($C670,'Non Inventory'!$B:$I,3,FALSE()),IF($E670="Services",VLOOKUP($C670,Services!$B:$I,3,FALSE()),IF($E670="Patty Cash",VLOOKUP($C670,'Patty Cash'!$B:$J,3,FALSE()),"")))),"")</f>
        <v/>
      </c>
      <c r="G670" s="211"/>
      <c r="H670" s="212" t="str">
        <f>IF($E670="","",IF($E670="Inventory",IFERROR(VLOOKUP($C670,Inventory!$B:$H,7,FALSE()),0),IF($E670="Non Inventory",IFERROR(VLOOKUP($C670,'Non Inventory'!$B:$H,7,FALSE()),0),IF($E670="Services",IFERROR(VLOOKUP($C670,Services!$B:$H,7,FALSE()),0),IF($E670="Patty Cash",IFERROR(VLOOKUP($C670,'Patty Cash'!$B:$H,7,FALSE()),0),0)))))</f>
        <v/>
      </c>
      <c r="I670" s="213"/>
      <c r="J670" s="214"/>
      <c r="K670" s="215"/>
      <c r="L670" s="197"/>
      <c r="M670" s="215"/>
      <c r="N670" s="216">
        <f>IFERROR(IF($E670="Inventory",VLOOKUP($C670,Inventory!$B:$I,8,FALSE()),IF($E670="Non Inventory",VLOOKUP($C670,'Non Inventory'!$B:$I,8,FALSE()),IF($E670="Services",VLOOKUP($C670,Services!$B:$I,8,FALSE()),IF($E670="Patty Cash",VLOOKUP($C670,'Patty Cash'!$B:$J,8,FALSE()),0)))),0)</f>
        <v>0</v>
      </c>
      <c r="O670" s="217" t="str">
        <f t="shared" si="10"/>
        <v/>
      </c>
    </row>
    <row r="671" spans="1:15" ht="23.1" customHeight="1">
      <c r="A671" s="206" t="str">
        <f>IF(AND($B671="",$C671=""),"",MAX($A$3:A670)+1)</f>
        <v/>
      </c>
      <c r="B671" s="207"/>
      <c r="C671" s="208"/>
      <c r="D671" s="209" t="str">
        <f>IFERROR(IF($E671="Inventory",VLOOKUP($C671,Inventory!$B:$I,2,FALSE()),IF($E671="Non Inventory",VLOOKUP($C671,'Non Inventory'!$B:$I,2,FALSE()),IF($E671="Services",VLOOKUP($C671,Services!$B:$I,2,FALSE()),IF($E671="Patty Cash",VLOOKUP($C671,'Patty Cash'!$B:$J,2,FALSE()),"")))),"")</f>
        <v/>
      </c>
      <c r="E671" s="246"/>
      <c r="F671" s="210" t="str">
        <f>IFERROR(IF($E671="Inventory",VLOOKUP($C671,Inventory!$B:$I,3,FALSE()),IF($E671="Non Inventory",VLOOKUP($C671,'Non Inventory'!$B:$I,3,FALSE()),IF($E671="Services",VLOOKUP($C671,Services!$B:$I,3,FALSE()),IF($E671="Patty Cash",VLOOKUP($C671,'Patty Cash'!$B:$J,3,FALSE()),"")))),"")</f>
        <v/>
      </c>
      <c r="G671" s="211"/>
      <c r="H671" s="212" t="str">
        <f>IF($E671="","",IF($E671="Inventory",IFERROR(VLOOKUP($C671,Inventory!$B:$H,7,FALSE()),0),IF($E671="Non Inventory",IFERROR(VLOOKUP($C671,'Non Inventory'!$B:$H,7,FALSE()),0),IF($E671="Services",IFERROR(VLOOKUP($C671,Services!$B:$H,7,FALSE()),0),IF($E671="Patty Cash",IFERROR(VLOOKUP($C671,'Patty Cash'!$B:$H,7,FALSE()),0),0)))))</f>
        <v/>
      </c>
      <c r="I671" s="213"/>
      <c r="J671" s="214"/>
      <c r="K671" s="215"/>
      <c r="L671" s="197"/>
      <c r="M671" s="215"/>
      <c r="N671" s="216">
        <f>IFERROR(IF($E671="Inventory",VLOOKUP($C671,Inventory!$B:$I,8,FALSE()),IF($E671="Non Inventory",VLOOKUP($C671,'Non Inventory'!$B:$I,8,FALSE()),IF($E671="Services",VLOOKUP($C671,Services!$B:$I,8,FALSE()),IF($E671="Patty Cash",VLOOKUP($C671,'Patty Cash'!$B:$J,8,FALSE()),0)))),0)</f>
        <v>0</v>
      </c>
      <c r="O671" s="217" t="str">
        <f t="shared" si="10"/>
        <v/>
      </c>
    </row>
    <row r="672" spans="1:15" ht="23.1" customHeight="1">
      <c r="A672" s="206" t="str">
        <f>IF(AND($B672="",$C672=""),"",MAX($A$3:A671)+1)</f>
        <v/>
      </c>
      <c r="B672" s="207"/>
      <c r="C672" s="208"/>
      <c r="D672" s="209" t="str">
        <f>IFERROR(IF($E672="Inventory",VLOOKUP($C672,Inventory!$B:$I,2,FALSE()),IF($E672="Non Inventory",VLOOKUP($C672,'Non Inventory'!$B:$I,2,FALSE()),IF($E672="Services",VLOOKUP($C672,Services!$B:$I,2,FALSE()),IF($E672="Patty Cash",VLOOKUP($C672,'Patty Cash'!$B:$J,2,FALSE()),"")))),"")</f>
        <v/>
      </c>
      <c r="E672" s="246"/>
      <c r="F672" s="210" t="str">
        <f>IFERROR(IF($E672="Inventory",VLOOKUP($C672,Inventory!$B:$I,3,FALSE()),IF($E672="Non Inventory",VLOOKUP($C672,'Non Inventory'!$B:$I,3,FALSE()),IF($E672="Services",VLOOKUP($C672,Services!$B:$I,3,FALSE()),IF($E672="Patty Cash",VLOOKUP($C672,'Patty Cash'!$B:$J,3,FALSE()),"")))),"")</f>
        <v/>
      </c>
      <c r="G672" s="211"/>
      <c r="H672" s="212" t="str">
        <f>IF($E672="","",IF($E672="Inventory",IFERROR(VLOOKUP($C672,Inventory!$B:$H,7,FALSE()),0),IF($E672="Non Inventory",IFERROR(VLOOKUP($C672,'Non Inventory'!$B:$H,7,FALSE()),0),IF($E672="Services",IFERROR(VLOOKUP($C672,Services!$B:$H,7,FALSE()),0),IF($E672="Patty Cash",IFERROR(VLOOKUP($C672,'Patty Cash'!$B:$H,7,FALSE()),0),0)))))</f>
        <v/>
      </c>
      <c r="I672" s="213"/>
      <c r="J672" s="214"/>
      <c r="K672" s="215"/>
      <c r="L672" s="197"/>
      <c r="M672" s="215"/>
      <c r="N672" s="216">
        <f>IFERROR(IF($E672="Inventory",VLOOKUP($C672,Inventory!$B:$I,8,FALSE()),IF($E672="Non Inventory",VLOOKUP($C672,'Non Inventory'!$B:$I,8,FALSE()),IF($E672="Services",VLOOKUP($C672,Services!$B:$I,8,FALSE()),IF($E672="Patty Cash",VLOOKUP($C672,'Patty Cash'!$B:$J,8,FALSE()),0)))),0)</f>
        <v>0</v>
      </c>
      <c r="O672" s="217" t="str">
        <f t="shared" si="10"/>
        <v/>
      </c>
    </row>
    <row r="673" spans="1:15" ht="23.1" customHeight="1">
      <c r="A673" s="206" t="str">
        <f>IF(AND($B673="",$C673=""),"",MAX($A$3:A672)+1)</f>
        <v/>
      </c>
      <c r="B673" s="207"/>
      <c r="C673" s="208"/>
      <c r="D673" s="209" t="str">
        <f>IFERROR(IF($E673="Inventory",VLOOKUP($C673,Inventory!$B:$I,2,FALSE()),IF($E673="Non Inventory",VLOOKUP($C673,'Non Inventory'!$B:$I,2,FALSE()),IF($E673="Services",VLOOKUP($C673,Services!$B:$I,2,FALSE()),IF($E673="Patty Cash",VLOOKUP($C673,'Patty Cash'!$B:$J,2,FALSE()),"")))),"")</f>
        <v/>
      </c>
      <c r="E673" s="246"/>
      <c r="F673" s="210" t="str">
        <f>IFERROR(IF($E673="Inventory",VLOOKUP($C673,Inventory!$B:$I,3,FALSE()),IF($E673="Non Inventory",VLOOKUP($C673,'Non Inventory'!$B:$I,3,FALSE()),IF($E673="Services",VLOOKUP($C673,Services!$B:$I,3,FALSE()),IF($E673="Patty Cash",VLOOKUP($C673,'Patty Cash'!$B:$J,3,FALSE()),"")))),"")</f>
        <v/>
      </c>
      <c r="G673" s="211"/>
      <c r="H673" s="212" t="str">
        <f>IF($E673="","",IF($E673="Inventory",IFERROR(VLOOKUP($C673,Inventory!$B:$H,7,FALSE()),0),IF($E673="Non Inventory",IFERROR(VLOOKUP($C673,'Non Inventory'!$B:$H,7,FALSE()),0),IF($E673="Services",IFERROR(VLOOKUP($C673,Services!$B:$H,7,FALSE()),0),IF($E673="Patty Cash",IFERROR(VLOOKUP($C673,'Patty Cash'!$B:$H,7,FALSE()),0),0)))))</f>
        <v/>
      </c>
      <c r="I673" s="213"/>
      <c r="J673" s="214"/>
      <c r="K673" s="215"/>
      <c r="L673" s="197"/>
      <c r="M673" s="215"/>
      <c r="N673" s="216">
        <f>IFERROR(IF($E673="Inventory",VLOOKUP($C673,Inventory!$B:$I,8,FALSE()),IF($E673="Non Inventory",VLOOKUP($C673,'Non Inventory'!$B:$I,8,FALSE()),IF($E673="Services",VLOOKUP($C673,Services!$B:$I,8,FALSE()),IF($E673="Patty Cash",VLOOKUP($C673,'Patty Cash'!$B:$J,8,FALSE()),0)))),0)</f>
        <v>0</v>
      </c>
      <c r="O673" s="217" t="str">
        <f t="shared" si="10"/>
        <v/>
      </c>
    </row>
    <row r="674" spans="1:15" ht="23.1" customHeight="1">
      <c r="A674" s="206" t="str">
        <f>IF(AND($B674="",$C674=""),"",MAX($A$3:A673)+1)</f>
        <v/>
      </c>
      <c r="B674" s="207"/>
      <c r="C674" s="208"/>
      <c r="D674" s="209" t="str">
        <f>IFERROR(IF($E674="Inventory",VLOOKUP($C674,Inventory!$B:$I,2,FALSE()),IF($E674="Non Inventory",VLOOKUP($C674,'Non Inventory'!$B:$I,2,FALSE()),IF($E674="Services",VLOOKUP($C674,Services!$B:$I,2,FALSE()),IF($E674="Patty Cash",VLOOKUP($C674,'Patty Cash'!$B:$J,2,FALSE()),"")))),"")</f>
        <v/>
      </c>
      <c r="E674" s="246"/>
      <c r="F674" s="210" t="str">
        <f>IFERROR(IF($E674="Inventory",VLOOKUP($C674,Inventory!$B:$I,3,FALSE()),IF($E674="Non Inventory",VLOOKUP($C674,'Non Inventory'!$B:$I,3,FALSE()),IF($E674="Services",VLOOKUP($C674,Services!$B:$I,3,FALSE()),IF($E674="Patty Cash",VLOOKUP($C674,'Patty Cash'!$B:$J,3,FALSE()),"")))),"")</f>
        <v/>
      </c>
      <c r="G674" s="211"/>
      <c r="H674" s="212" t="str">
        <f>IF($E674="","",IF($E674="Inventory",IFERROR(VLOOKUP($C674,Inventory!$B:$H,7,FALSE()),0),IF($E674="Non Inventory",IFERROR(VLOOKUP($C674,'Non Inventory'!$B:$H,7,FALSE()),0),IF($E674="Services",IFERROR(VLOOKUP($C674,Services!$B:$H,7,FALSE()),0),IF($E674="Patty Cash",IFERROR(VLOOKUP($C674,'Patty Cash'!$B:$H,7,FALSE()),0),0)))))</f>
        <v/>
      </c>
      <c r="I674" s="213"/>
      <c r="J674" s="214"/>
      <c r="K674" s="215"/>
      <c r="L674" s="197"/>
      <c r="M674" s="215"/>
      <c r="N674" s="216">
        <f>IFERROR(IF($E674="Inventory",VLOOKUP($C674,Inventory!$B:$I,8,FALSE()),IF($E674="Non Inventory",VLOOKUP($C674,'Non Inventory'!$B:$I,8,FALSE()),IF($E674="Services",VLOOKUP($C674,Services!$B:$I,8,FALSE()),IF($E674="Patty Cash",VLOOKUP($C674,'Patty Cash'!$B:$J,8,FALSE()),0)))),0)</f>
        <v>0</v>
      </c>
      <c r="O674" s="217" t="str">
        <f t="shared" si="10"/>
        <v/>
      </c>
    </row>
    <row r="675" spans="1:15" ht="23.1" customHeight="1">
      <c r="A675" s="206" t="str">
        <f>IF(AND($B675="",$C675=""),"",MAX($A$3:A674)+1)</f>
        <v/>
      </c>
      <c r="B675" s="207"/>
      <c r="C675" s="208"/>
      <c r="D675" s="209" t="str">
        <f>IFERROR(IF($E675="Inventory",VLOOKUP($C675,Inventory!$B:$I,2,FALSE()),IF($E675="Non Inventory",VLOOKUP($C675,'Non Inventory'!$B:$I,2,FALSE()),IF($E675="Services",VLOOKUP($C675,Services!$B:$I,2,FALSE()),IF($E675="Patty Cash",VLOOKUP($C675,'Patty Cash'!$B:$J,2,FALSE()),"")))),"")</f>
        <v/>
      </c>
      <c r="E675" s="246"/>
      <c r="F675" s="210" t="str">
        <f>IFERROR(IF($E675="Inventory",VLOOKUP($C675,Inventory!$B:$I,3,FALSE()),IF($E675="Non Inventory",VLOOKUP($C675,'Non Inventory'!$B:$I,3,FALSE()),IF($E675="Services",VLOOKUP($C675,Services!$B:$I,3,FALSE()),IF($E675="Patty Cash",VLOOKUP($C675,'Patty Cash'!$B:$J,3,FALSE()),"")))),"")</f>
        <v/>
      </c>
      <c r="G675" s="211"/>
      <c r="H675" s="212" t="str">
        <f>IF($E675="","",IF($E675="Inventory",IFERROR(VLOOKUP($C675,Inventory!$B:$H,7,FALSE()),0),IF($E675="Non Inventory",IFERROR(VLOOKUP($C675,'Non Inventory'!$B:$H,7,FALSE()),0),IF($E675="Services",IFERROR(VLOOKUP($C675,Services!$B:$H,7,FALSE()),0),IF($E675="Patty Cash",IFERROR(VLOOKUP($C675,'Patty Cash'!$B:$H,7,FALSE()),0),0)))))</f>
        <v/>
      </c>
      <c r="I675" s="213"/>
      <c r="J675" s="214"/>
      <c r="K675" s="215"/>
      <c r="L675" s="197"/>
      <c r="M675" s="215"/>
      <c r="N675" s="216">
        <f>IFERROR(IF($E675="Inventory",VLOOKUP($C675,Inventory!$B:$I,8,FALSE()),IF($E675="Non Inventory",VLOOKUP($C675,'Non Inventory'!$B:$I,8,FALSE()),IF($E675="Services",VLOOKUP($C675,Services!$B:$I,8,FALSE()),IF($E675="Patty Cash",VLOOKUP($C675,'Patty Cash'!$B:$J,8,FALSE()),0)))),0)</f>
        <v>0</v>
      </c>
      <c r="O675" s="217" t="str">
        <f t="shared" si="10"/>
        <v/>
      </c>
    </row>
    <row r="676" spans="1:15" ht="23.1" customHeight="1">
      <c r="A676" s="206" t="str">
        <f>IF(AND($B676="",$C676=""),"",MAX($A$3:A675)+1)</f>
        <v/>
      </c>
      <c r="B676" s="207"/>
      <c r="C676" s="208"/>
      <c r="D676" s="209" t="str">
        <f>IFERROR(IF($E676="Inventory",VLOOKUP($C676,Inventory!$B:$I,2,FALSE()),IF($E676="Non Inventory",VLOOKUP($C676,'Non Inventory'!$B:$I,2,FALSE()),IF($E676="Services",VLOOKUP($C676,Services!$B:$I,2,FALSE()),IF($E676="Patty Cash",VLOOKUP($C676,'Patty Cash'!$B:$J,2,FALSE()),"")))),"")</f>
        <v/>
      </c>
      <c r="E676" s="246"/>
      <c r="F676" s="210" t="str">
        <f>IFERROR(IF($E676="Inventory",VLOOKUP($C676,Inventory!$B:$I,3,FALSE()),IF($E676="Non Inventory",VLOOKUP($C676,'Non Inventory'!$B:$I,3,FALSE()),IF($E676="Services",VLOOKUP($C676,Services!$B:$I,3,FALSE()),IF($E676="Patty Cash",VLOOKUP($C676,'Patty Cash'!$B:$J,3,FALSE()),"")))),"")</f>
        <v/>
      </c>
      <c r="G676" s="211"/>
      <c r="H676" s="212" t="str">
        <f>IF($E676="","",IF($E676="Inventory",IFERROR(VLOOKUP($C676,Inventory!$B:$H,7,FALSE()),0),IF($E676="Non Inventory",IFERROR(VLOOKUP($C676,'Non Inventory'!$B:$H,7,FALSE()),0),IF($E676="Services",IFERROR(VLOOKUP($C676,Services!$B:$H,7,FALSE()),0),IF($E676="Patty Cash",IFERROR(VLOOKUP($C676,'Patty Cash'!$B:$H,7,FALSE()),0),0)))))</f>
        <v/>
      </c>
      <c r="I676" s="213"/>
      <c r="J676" s="214"/>
      <c r="K676" s="215"/>
      <c r="L676" s="197"/>
      <c r="M676" s="215"/>
      <c r="N676" s="216">
        <f>IFERROR(IF($E676="Inventory",VLOOKUP($C676,Inventory!$B:$I,8,FALSE()),IF($E676="Non Inventory",VLOOKUP($C676,'Non Inventory'!$B:$I,8,FALSE()),IF($E676="Services",VLOOKUP($C676,Services!$B:$I,8,FALSE()),IF($E676="Patty Cash",VLOOKUP($C676,'Patty Cash'!$B:$J,8,FALSE()),0)))),0)</f>
        <v>0</v>
      </c>
      <c r="O676" s="217" t="str">
        <f t="shared" si="10"/>
        <v/>
      </c>
    </row>
    <row r="677" spans="1:15" ht="23.1" customHeight="1">
      <c r="A677" s="206" t="str">
        <f>IF(AND($B677="",$C677=""),"",MAX($A$3:A676)+1)</f>
        <v/>
      </c>
      <c r="B677" s="207"/>
      <c r="C677" s="208"/>
      <c r="D677" s="209" t="str">
        <f>IFERROR(IF($E677="Inventory",VLOOKUP($C677,Inventory!$B:$I,2,FALSE()),IF($E677="Non Inventory",VLOOKUP($C677,'Non Inventory'!$B:$I,2,FALSE()),IF($E677="Services",VLOOKUP($C677,Services!$B:$I,2,FALSE()),IF($E677="Patty Cash",VLOOKUP($C677,'Patty Cash'!$B:$J,2,FALSE()),"")))),"")</f>
        <v/>
      </c>
      <c r="E677" s="246"/>
      <c r="F677" s="210" t="str">
        <f>IFERROR(IF($E677="Inventory",VLOOKUP($C677,Inventory!$B:$I,3,FALSE()),IF($E677="Non Inventory",VLOOKUP($C677,'Non Inventory'!$B:$I,3,FALSE()),IF($E677="Services",VLOOKUP($C677,Services!$B:$I,3,FALSE()),IF($E677="Patty Cash",VLOOKUP($C677,'Patty Cash'!$B:$J,3,FALSE()),"")))),"")</f>
        <v/>
      </c>
      <c r="G677" s="211"/>
      <c r="H677" s="212" t="str">
        <f>IF($E677="","",IF($E677="Inventory",IFERROR(VLOOKUP($C677,Inventory!$B:$H,7,FALSE()),0),IF($E677="Non Inventory",IFERROR(VLOOKUP($C677,'Non Inventory'!$B:$H,7,FALSE()),0),IF($E677="Services",IFERROR(VLOOKUP($C677,Services!$B:$H,7,FALSE()),0),IF($E677="Patty Cash",IFERROR(VLOOKUP($C677,'Patty Cash'!$B:$H,7,FALSE()),0),0)))))</f>
        <v/>
      </c>
      <c r="I677" s="213"/>
      <c r="J677" s="214"/>
      <c r="K677" s="215"/>
      <c r="L677" s="197"/>
      <c r="M677" s="215"/>
      <c r="N677" s="216">
        <f>IFERROR(IF($E677="Inventory",VLOOKUP($C677,Inventory!$B:$I,8,FALSE()),IF($E677="Non Inventory",VLOOKUP($C677,'Non Inventory'!$B:$I,8,FALSE()),IF($E677="Services",VLOOKUP($C677,Services!$B:$I,8,FALSE()),IF($E677="Patty Cash",VLOOKUP($C677,'Patty Cash'!$B:$J,8,FALSE()),0)))),0)</f>
        <v>0</v>
      </c>
      <c r="O677" s="217" t="str">
        <f t="shared" si="10"/>
        <v/>
      </c>
    </row>
    <row r="678" spans="1:15" ht="23.1" customHeight="1">
      <c r="A678" s="206" t="str">
        <f>IF(AND($B678="",$C678=""),"",MAX($A$3:A677)+1)</f>
        <v/>
      </c>
      <c r="B678" s="207"/>
      <c r="C678" s="208"/>
      <c r="D678" s="209" t="str">
        <f>IFERROR(IF($E678="Inventory",VLOOKUP($C678,Inventory!$B:$I,2,FALSE()),IF($E678="Non Inventory",VLOOKUP($C678,'Non Inventory'!$B:$I,2,FALSE()),IF($E678="Services",VLOOKUP($C678,Services!$B:$I,2,FALSE()),IF($E678="Patty Cash",VLOOKUP($C678,'Patty Cash'!$B:$J,2,FALSE()),"")))),"")</f>
        <v/>
      </c>
      <c r="E678" s="246"/>
      <c r="F678" s="210" t="str">
        <f>IFERROR(IF($E678="Inventory",VLOOKUP($C678,Inventory!$B:$I,3,FALSE()),IF($E678="Non Inventory",VLOOKUP($C678,'Non Inventory'!$B:$I,3,FALSE()),IF($E678="Services",VLOOKUP($C678,Services!$B:$I,3,FALSE()),IF($E678="Patty Cash",VLOOKUP($C678,'Patty Cash'!$B:$J,3,FALSE()),"")))),"")</f>
        <v/>
      </c>
      <c r="G678" s="211"/>
      <c r="H678" s="212" t="str">
        <f>IF($E678="","",IF($E678="Inventory",IFERROR(VLOOKUP($C678,Inventory!$B:$H,7,FALSE()),0),IF($E678="Non Inventory",IFERROR(VLOOKUP($C678,'Non Inventory'!$B:$H,7,FALSE()),0),IF($E678="Services",IFERROR(VLOOKUP($C678,Services!$B:$H,7,FALSE()),0),IF($E678="Patty Cash",IFERROR(VLOOKUP($C678,'Patty Cash'!$B:$H,7,FALSE()),0),0)))))</f>
        <v/>
      </c>
      <c r="I678" s="213"/>
      <c r="J678" s="214"/>
      <c r="K678" s="215"/>
      <c r="L678" s="197"/>
      <c r="M678" s="215"/>
      <c r="N678" s="216">
        <f>IFERROR(IF($E678="Inventory",VLOOKUP($C678,Inventory!$B:$I,8,FALSE()),IF($E678="Non Inventory",VLOOKUP($C678,'Non Inventory'!$B:$I,8,FALSE()),IF($E678="Services",VLOOKUP($C678,Services!$B:$I,8,FALSE()),IF($E678="Patty Cash",VLOOKUP($C678,'Patty Cash'!$B:$J,8,FALSE()),0)))),0)</f>
        <v>0</v>
      </c>
      <c r="O678" s="217" t="str">
        <f t="shared" si="10"/>
        <v/>
      </c>
    </row>
    <row r="679" spans="1:15" ht="23.1" customHeight="1">
      <c r="A679" s="206" t="str">
        <f>IF(AND($B679="",$C679=""),"",MAX($A$3:A678)+1)</f>
        <v/>
      </c>
      <c r="B679" s="207"/>
      <c r="C679" s="208"/>
      <c r="D679" s="209" t="str">
        <f>IFERROR(IF($E679="Inventory",VLOOKUP($C679,Inventory!$B:$I,2,FALSE()),IF($E679="Non Inventory",VLOOKUP($C679,'Non Inventory'!$B:$I,2,FALSE()),IF($E679="Services",VLOOKUP($C679,Services!$B:$I,2,FALSE()),IF($E679="Patty Cash",VLOOKUP($C679,'Patty Cash'!$B:$J,2,FALSE()),"")))),"")</f>
        <v/>
      </c>
      <c r="E679" s="246"/>
      <c r="F679" s="210" t="str">
        <f>IFERROR(IF($E679="Inventory",VLOOKUP($C679,Inventory!$B:$I,3,FALSE()),IF($E679="Non Inventory",VLOOKUP($C679,'Non Inventory'!$B:$I,3,FALSE()),IF($E679="Services",VLOOKUP($C679,Services!$B:$I,3,FALSE()),IF($E679="Patty Cash",VLOOKUP($C679,'Patty Cash'!$B:$J,3,FALSE()),"")))),"")</f>
        <v/>
      </c>
      <c r="G679" s="211"/>
      <c r="H679" s="212" t="str">
        <f>IF($E679="","",IF($E679="Inventory",IFERROR(VLOOKUP($C679,Inventory!$B:$H,7,FALSE()),0),IF($E679="Non Inventory",IFERROR(VLOOKUP($C679,'Non Inventory'!$B:$H,7,FALSE()),0),IF($E679="Services",IFERROR(VLOOKUP($C679,Services!$B:$H,7,FALSE()),0),IF($E679="Patty Cash",IFERROR(VLOOKUP($C679,'Patty Cash'!$B:$H,7,FALSE()),0),0)))))</f>
        <v/>
      </c>
      <c r="I679" s="213"/>
      <c r="J679" s="214"/>
      <c r="K679" s="215"/>
      <c r="L679" s="197"/>
      <c r="M679" s="215"/>
      <c r="N679" s="216">
        <f>IFERROR(IF($E679="Inventory",VLOOKUP($C679,Inventory!$B:$I,8,FALSE()),IF($E679="Non Inventory",VLOOKUP($C679,'Non Inventory'!$B:$I,8,FALSE()),IF($E679="Services",VLOOKUP($C679,Services!$B:$I,8,FALSE()),IF($E679="Patty Cash",VLOOKUP($C679,'Patty Cash'!$B:$J,8,FALSE()),0)))),0)</f>
        <v>0</v>
      </c>
      <c r="O679" s="217" t="str">
        <f t="shared" si="10"/>
        <v/>
      </c>
    </row>
    <row r="680" spans="1:15" ht="23.1" customHeight="1">
      <c r="A680" s="206" t="str">
        <f>IF(AND($B680="",$C680=""),"",MAX($A$3:A679)+1)</f>
        <v/>
      </c>
      <c r="B680" s="207"/>
      <c r="C680" s="208"/>
      <c r="D680" s="209" t="str">
        <f>IFERROR(IF($E680="Inventory",VLOOKUP($C680,Inventory!$B:$I,2,FALSE()),IF($E680="Non Inventory",VLOOKUP($C680,'Non Inventory'!$B:$I,2,FALSE()),IF($E680="Services",VLOOKUP($C680,Services!$B:$I,2,FALSE()),IF($E680="Patty Cash",VLOOKUP($C680,'Patty Cash'!$B:$J,2,FALSE()),"")))),"")</f>
        <v/>
      </c>
      <c r="E680" s="246"/>
      <c r="F680" s="210" t="str">
        <f>IFERROR(IF($E680="Inventory",VLOOKUP($C680,Inventory!$B:$I,3,FALSE()),IF($E680="Non Inventory",VLOOKUP($C680,'Non Inventory'!$B:$I,3,FALSE()),IF($E680="Services",VLOOKUP($C680,Services!$B:$I,3,FALSE()),IF($E680="Patty Cash",VLOOKUP($C680,'Patty Cash'!$B:$J,3,FALSE()),"")))),"")</f>
        <v/>
      </c>
      <c r="G680" s="211"/>
      <c r="H680" s="212" t="str">
        <f>IF($E680="","",IF($E680="Inventory",IFERROR(VLOOKUP($C680,Inventory!$B:$H,7,FALSE()),0),IF($E680="Non Inventory",IFERROR(VLOOKUP($C680,'Non Inventory'!$B:$H,7,FALSE()),0),IF($E680="Services",IFERROR(VLOOKUP($C680,Services!$B:$H,7,FALSE()),0),IF($E680="Patty Cash",IFERROR(VLOOKUP($C680,'Patty Cash'!$B:$H,7,FALSE()),0),0)))))</f>
        <v/>
      </c>
      <c r="I680" s="213"/>
      <c r="J680" s="214"/>
      <c r="K680" s="215"/>
      <c r="L680" s="197"/>
      <c r="M680" s="215"/>
      <c r="N680" s="216">
        <f>IFERROR(IF($E680="Inventory",VLOOKUP($C680,Inventory!$B:$I,8,FALSE()),IF($E680="Non Inventory",VLOOKUP($C680,'Non Inventory'!$B:$I,8,FALSE()),IF($E680="Services",VLOOKUP($C680,Services!$B:$I,8,FALSE()),IF($E680="Patty Cash",VLOOKUP($C680,'Patty Cash'!$B:$J,8,FALSE()),0)))),0)</f>
        <v>0</v>
      </c>
      <c r="O680" s="217" t="str">
        <f t="shared" si="10"/>
        <v/>
      </c>
    </row>
    <row r="681" spans="1:15" ht="23.1" customHeight="1">
      <c r="A681" s="206" t="str">
        <f>IF(AND($B681="",$C681=""),"",MAX($A$3:A680)+1)</f>
        <v/>
      </c>
      <c r="B681" s="207"/>
      <c r="C681" s="208"/>
      <c r="D681" s="209" t="str">
        <f>IFERROR(IF($E681="Inventory",VLOOKUP($C681,Inventory!$B:$I,2,FALSE()),IF($E681="Non Inventory",VLOOKUP($C681,'Non Inventory'!$B:$I,2,FALSE()),IF($E681="Services",VLOOKUP($C681,Services!$B:$I,2,FALSE()),IF($E681="Patty Cash",VLOOKUP($C681,'Patty Cash'!$B:$J,2,FALSE()),"")))),"")</f>
        <v/>
      </c>
      <c r="E681" s="246"/>
      <c r="F681" s="210" t="str">
        <f>IFERROR(IF($E681="Inventory",VLOOKUP($C681,Inventory!$B:$I,3,FALSE()),IF($E681="Non Inventory",VLOOKUP($C681,'Non Inventory'!$B:$I,3,FALSE()),IF($E681="Services",VLOOKUP($C681,Services!$B:$I,3,FALSE()),IF($E681="Patty Cash",VLOOKUP($C681,'Patty Cash'!$B:$J,3,FALSE()),"")))),"")</f>
        <v/>
      </c>
      <c r="G681" s="211"/>
      <c r="H681" s="212" t="str">
        <f>IF($E681="","",IF($E681="Inventory",IFERROR(VLOOKUP($C681,Inventory!$B:$H,7,FALSE()),0),IF($E681="Non Inventory",IFERROR(VLOOKUP($C681,'Non Inventory'!$B:$H,7,FALSE()),0),IF($E681="Services",IFERROR(VLOOKUP($C681,Services!$B:$H,7,FALSE()),0),IF($E681="Patty Cash",IFERROR(VLOOKUP($C681,'Patty Cash'!$B:$H,7,FALSE()),0),0)))))</f>
        <v/>
      </c>
      <c r="I681" s="213"/>
      <c r="J681" s="214"/>
      <c r="K681" s="215"/>
      <c r="L681" s="197"/>
      <c r="M681" s="215"/>
      <c r="N681" s="216">
        <f>IFERROR(IF($E681="Inventory",VLOOKUP($C681,Inventory!$B:$I,8,FALSE()),IF($E681="Non Inventory",VLOOKUP($C681,'Non Inventory'!$B:$I,8,FALSE()),IF($E681="Services",VLOOKUP($C681,Services!$B:$I,8,FALSE()),IF($E681="Patty Cash",VLOOKUP($C681,'Patty Cash'!$B:$J,8,FALSE()),0)))),0)</f>
        <v>0</v>
      </c>
      <c r="O681" s="217" t="str">
        <f t="shared" si="10"/>
        <v/>
      </c>
    </row>
    <row r="682" spans="1:15" ht="23.1" customHeight="1">
      <c r="A682" s="206" t="str">
        <f>IF(AND($B682="",$C682=""),"",MAX($A$3:A681)+1)</f>
        <v/>
      </c>
      <c r="B682" s="207"/>
      <c r="C682" s="208"/>
      <c r="D682" s="209" t="str">
        <f>IFERROR(IF($E682="Inventory",VLOOKUP($C682,Inventory!$B:$I,2,FALSE()),IF($E682="Non Inventory",VLOOKUP($C682,'Non Inventory'!$B:$I,2,FALSE()),IF($E682="Services",VLOOKUP($C682,Services!$B:$I,2,FALSE()),IF($E682="Patty Cash",VLOOKUP($C682,'Patty Cash'!$B:$J,2,FALSE()),"")))),"")</f>
        <v/>
      </c>
      <c r="E682" s="246"/>
      <c r="F682" s="210" t="str">
        <f>IFERROR(IF($E682="Inventory",VLOOKUP($C682,Inventory!$B:$I,3,FALSE()),IF($E682="Non Inventory",VLOOKUP($C682,'Non Inventory'!$B:$I,3,FALSE()),IF($E682="Services",VLOOKUP($C682,Services!$B:$I,3,FALSE()),IF($E682="Patty Cash",VLOOKUP($C682,'Patty Cash'!$B:$J,3,FALSE()),"")))),"")</f>
        <v/>
      </c>
      <c r="G682" s="211"/>
      <c r="H682" s="212" t="str">
        <f>IF($E682="","",IF($E682="Inventory",IFERROR(VLOOKUP($C682,Inventory!$B:$H,7,FALSE()),0),IF($E682="Non Inventory",IFERROR(VLOOKUP($C682,'Non Inventory'!$B:$H,7,FALSE()),0),IF($E682="Services",IFERROR(VLOOKUP($C682,Services!$B:$H,7,FALSE()),0),IF($E682="Patty Cash",IFERROR(VLOOKUP($C682,'Patty Cash'!$B:$H,7,FALSE()),0),0)))))</f>
        <v/>
      </c>
      <c r="I682" s="213"/>
      <c r="J682" s="214"/>
      <c r="K682" s="215"/>
      <c r="L682" s="197"/>
      <c r="M682" s="215"/>
      <c r="N682" s="216">
        <f>IFERROR(IF($E682="Inventory",VLOOKUP($C682,Inventory!$B:$I,8,FALSE()),IF($E682="Non Inventory",VLOOKUP($C682,'Non Inventory'!$B:$I,8,FALSE()),IF($E682="Services",VLOOKUP($C682,Services!$B:$I,8,FALSE()),IF($E682="Patty Cash",VLOOKUP($C682,'Patty Cash'!$B:$J,8,FALSE()),0)))),0)</f>
        <v>0</v>
      </c>
      <c r="O682" s="217" t="str">
        <f t="shared" si="10"/>
        <v/>
      </c>
    </row>
    <row r="683" spans="1:15" ht="23.1" customHeight="1">
      <c r="A683" s="206" t="str">
        <f>IF(AND($B683="",$C683=""),"",MAX($A$3:A682)+1)</f>
        <v/>
      </c>
      <c r="B683" s="207"/>
      <c r="C683" s="208"/>
      <c r="D683" s="209" t="str">
        <f>IFERROR(IF($E683="Inventory",VLOOKUP($C683,Inventory!$B:$I,2,FALSE()),IF($E683="Non Inventory",VLOOKUP($C683,'Non Inventory'!$B:$I,2,FALSE()),IF($E683="Services",VLOOKUP($C683,Services!$B:$I,2,FALSE()),IF($E683="Patty Cash",VLOOKUP($C683,'Patty Cash'!$B:$J,2,FALSE()),"")))),"")</f>
        <v/>
      </c>
      <c r="E683" s="246"/>
      <c r="F683" s="210" t="str">
        <f>IFERROR(IF($E683="Inventory",VLOOKUP($C683,Inventory!$B:$I,3,FALSE()),IF($E683="Non Inventory",VLOOKUP($C683,'Non Inventory'!$B:$I,3,FALSE()),IF($E683="Services",VLOOKUP($C683,Services!$B:$I,3,FALSE()),IF($E683="Patty Cash",VLOOKUP($C683,'Patty Cash'!$B:$J,3,FALSE()),"")))),"")</f>
        <v/>
      </c>
      <c r="G683" s="211"/>
      <c r="H683" s="212" t="str">
        <f>IF($E683="","",IF($E683="Inventory",IFERROR(VLOOKUP($C683,Inventory!$B:$H,7,FALSE()),0),IF($E683="Non Inventory",IFERROR(VLOOKUP($C683,'Non Inventory'!$B:$H,7,FALSE()),0),IF($E683="Services",IFERROR(VLOOKUP($C683,Services!$B:$H,7,FALSE()),0),IF($E683="Patty Cash",IFERROR(VLOOKUP($C683,'Patty Cash'!$B:$H,7,FALSE()),0),0)))))</f>
        <v/>
      </c>
      <c r="I683" s="213"/>
      <c r="J683" s="214"/>
      <c r="K683" s="215"/>
      <c r="L683" s="197"/>
      <c r="M683" s="215"/>
      <c r="N683" s="216">
        <f>IFERROR(IF($E683="Inventory",VLOOKUP($C683,Inventory!$B:$I,8,FALSE()),IF($E683="Non Inventory",VLOOKUP($C683,'Non Inventory'!$B:$I,8,FALSE()),IF($E683="Services",VLOOKUP($C683,Services!$B:$I,8,FALSE()),IF($E683="Patty Cash",VLOOKUP($C683,'Patty Cash'!$B:$J,8,FALSE()),0)))),0)</f>
        <v>0</v>
      </c>
      <c r="O683" s="217" t="str">
        <f t="shared" si="10"/>
        <v/>
      </c>
    </row>
    <row r="684" spans="1:15" ht="23.1" customHeight="1">
      <c r="A684" s="206" t="str">
        <f>IF(AND($B684="",$C684=""),"",MAX($A$3:A683)+1)</f>
        <v/>
      </c>
      <c r="B684" s="207"/>
      <c r="C684" s="208"/>
      <c r="D684" s="209" t="str">
        <f>IFERROR(IF($E684="Inventory",VLOOKUP($C684,Inventory!$B:$I,2,FALSE()),IF($E684="Non Inventory",VLOOKUP($C684,'Non Inventory'!$B:$I,2,FALSE()),IF($E684="Services",VLOOKUP($C684,Services!$B:$I,2,FALSE()),IF($E684="Patty Cash",VLOOKUP($C684,'Patty Cash'!$B:$J,2,FALSE()),"")))),"")</f>
        <v/>
      </c>
      <c r="E684" s="246"/>
      <c r="F684" s="210" t="str">
        <f>IFERROR(IF($E684="Inventory",VLOOKUP($C684,Inventory!$B:$I,3,FALSE()),IF($E684="Non Inventory",VLOOKUP($C684,'Non Inventory'!$B:$I,3,FALSE()),IF($E684="Services",VLOOKUP($C684,Services!$B:$I,3,FALSE()),IF($E684="Patty Cash",VLOOKUP($C684,'Patty Cash'!$B:$J,3,FALSE()),"")))),"")</f>
        <v/>
      </c>
      <c r="G684" s="211"/>
      <c r="H684" s="212" t="str">
        <f>IF($E684="","",IF($E684="Inventory",IFERROR(VLOOKUP($C684,Inventory!$B:$H,7,FALSE()),0),IF($E684="Non Inventory",IFERROR(VLOOKUP($C684,'Non Inventory'!$B:$H,7,FALSE()),0),IF($E684="Services",IFERROR(VLOOKUP($C684,Services!$B:$H,7,FALSE()),0),IF($E684="Patty Cash",IFERROR(VLOOKUP($C684,'Patty Cash'!$B:$H,7,FALSE()),0),0)))))</f>
        <v/>
      </c>
      <c r="I684" s="213"/>
      <c r="J684" s="214"/>
      <c r="K684" s="215"/>
      <c r="L684" s="197"/>
      <c r="M684" s="215"/>
      <c r="N684" s="216">
        <f>IFERROR(IF($E684="Inventory",VLOOKUP($C684,Inventory!$B:$I,8,FALSE()),IF($E684="Non Inventory",VLOOKUP($C684,'Non Inventory'!$B:$I,8,FALSE()),IF($E684="Services",VLOOKUP($C684,Services!$B:$I,8,FALSE()),IF($E684="Patty Cash",VLOOKUP($C684,'Patty Cash'!$B:$J,8,FALSE()),0)))),0)</f>
        <v>0</v>
      </c>
      <c r="O684" s="217" t="str">
        <f t="shared" si="10"/>
        <v/>
      </c>
    </row>
    <row r="685" spans="1:15" ht="23.1" customHeight="1">
      <c r="A685" s="206" t="str">
        <f>IF(AND($B685="",$C685=""),"",MAX($A$3:A684)+1)</f>
        <v/>
      </c>
      <c r="B685" s="207"/>
      <c r="C685" s="208"/>
      <c r="D685" s="209" t="str">
        <f>IFERROR(IF($E685="Inventory",VLOOKUP($C685,Inventory!$B:$I,2,FALSE()),IF($E685="Non Inventory",VLOOKUP($C685,'Non Inventory'!$B:$I,2,FALSE()),IF($E685="Services",VLOOKUP($C685,Services!$B:$I,2,FALSE()),IF($E685="Patty Cash",VLOOKUP($C685,'Patty Cash'!$B:$J,2,FALSE()),"")))),"")</f>
        <v/>
      </c>
      <c r="E685" s="246"/>
      <c r="F685" s="210" t="str">
        <f>IFERROR(IF($E685="Inventory",VLOOKUP($C685,Inventory!$B:$I,3,FALSE()),IF($E685="Non Inventory",VLOOKUP($C685,'Non Inventory'!$B:$I,3,FALSE()),IF($E685="Services",VLOOKUP($C685,Services!$B:$I,3,FALSE()),IF($E685="Patty Cash",VLOOKUP($C685,'Patty Cash'!$B:$J,3,FALSE()),"")))),"")</f>
        <v/>
      </c>
      <c r="G685" s="211"/>
      <c r="H685" s="212" t="str">
        <f>IF($E685="","",IF($E685="Inventory",IFERROR(VLOOKUP($C685,Inventory!$B:$H,7,FALSE()),0),IF($E685="Non Inventory",IFERROR(VLOOKUP($C685,'Non Inventory'!$B:$H,7,FALSE()),0),IF($E685="Services",IFERROR(VLOOKUP($C685,Services!$B:$H,7,FALSE()),0),IF($E685="Patty Cash",IFERROR(VLOOKUP($C685,'Patty Cash'!$B:$H,7,FALSE()),0),0)))))</f>
        <v/>
      </c>
      <c r="I685" s="213"/>
      <c r="J685" s="214"/>
      <c r="K685" s="215"/>
      <c r="L685" s="197"/>
      <c r="M685" s="215"/>
      <c r="N685" s="216">
        <f>IFERROR(IF($E685="Inventory",VLOOKUP($C685,Inventory!$B:$I,8,FALSE()),IF($E685="Non Inventory",VLOOKUP($C685,'Non Inventory'!$B:$I,8,FALSE()),IF($E685="Services",VLOOKUP($C685,Services!$B:$I,8,FALSE()),IF($E685="Patty Cash",VLOOKUP($C685,'Patty Cash'!$B:$J,8,FALSE()),0)))),0)</f>
        <v>0</v>
      </c>
      <c r="O685" s="217" t="str">
        <f t="shared" si="10"/>
        <v/>
      </c>
    </row>
    <row r="686" spans="1:15" ht="23.1" customHeight="1">
      <c r="A686" s="206" t="str">
        <f>IF(AND($B686="",$C686=""),"",MAX($A$3:A685)+1)</f>
        <v/>
      </c>
      <c r="B686" s="207"/>
      <c r="C686" s="208"/>
      <c r="D686" s="209" t="str">
        <f>IFERROR(IF($E686="Inventory",VLOOKUP($C686,Inventory!$B:$I,2,FALSE()),IF($E686="Non Inventory",VLOOKUP($C686,'Non Inventory'!$B:$I,2,FALSE()),IF($E686="Services",VLOOKUP($C686,Services!$B:$I,2,FALSE()),IF($E686="Patty Cash",VLOOKUP($C686,'Patty Cash'!$B:$J,2,FALSE()),"")))),"")</f>
        <v/>
      </c>
      <c r="E686" s="246"/>
      <c r="F686" s="210" t="str">
        <f>IFERROR(IF($E686="Inventory",VLOOKUP($C686,Inventory!$B:$I,3,FALSE()),IF($E686="Non Inventory",VLOOKUP($C686,'Non Inventory'!$B:$I,3,FALSE()),IF($E686="Services",VLOOKUP($C686,Services!$B:$I,3,FALSE()),IF($E686="Patty Cash",VLOOKUP($C686,'Patty Cash'!$B:$J,3,FALSE()),"")))),"")</f>
        <v/>
      </c>
      <c r="G686" s="211"/>
      <c r="H686" s="212" t="str">
        <f>IF($E686="","",IF($E686="Inventory",IFERROR(VLOOKUP($C686,Inventory!$B:$H,7,FALSE()),0),IF($E686="Non Inventory",IFERROR(VLOOKUP($C686,'Non Inventory'!$B:$H,7,FALSE()),0),IF($E686="Services",IFERROR(VLOOKUP($C686,Services!$B:$H,7,FALSE()),0),IF($E686="Patty Cash",IFERROR(VLOOKUP($C686,'Patty Cash'!$B:$H,7,FALSE()),0),0)))))</f>
        <v/>
      </c>
      <c r="I686" s="213"/>
      <c r="J686" s="214"/>
      <c r="K686" s="215"/>
      <c r="L686" s="197"/>
      <c r="M686" s="215"/>
      <c r="N686" s="216">
        <f>IFERROR(IF($E686="Inventory",VLOOKUP($C686,Inventory!$B:$I,8,FALSE()),IF($E686="Non Inventory",VLOOKUP($C686,'Non Inventory'!$B:$I,8,FALSE()),IF($E686="Services",VLOOKUP($C686,Services!$B:$I,8,FALSE()),IF($E686="Patty Cash",VLOOKUP($C686,'Patty Cash'!$B:$J,8,FALSE()),0)))),0)</f>
        <v>0</v>
      </c>
      <c r="O686" s="217" t="str">
        <f t="shared" si="10"/>
        <v/>
      </c>
    </row>
    <row r="687" spans="1:15" ht="23.1" customHeight="1">
      <c r="A687" s="206" t="str">
        <f>IF(AND($B687="",$C687=""),"",MAX($A$3:A686)+1)</f>
        <v/>
      </c>
      <c r="B687" s="207"/>
      <c r="C687" s="208"/>
      <c r="D687" s="209" t="str">
        <f>IFERROR(IF($E687="Inventory",VLOOKUP($C687,Inventory!$B:$I,2,FALSE()),IF($E687="Non Inventory",VLOOKUP($C687,'Non Inventory'!$B:$I,2,FALSE()),IF($E687="Services",VLOOKUP($C687,Services!$B:$I,2,FALSE()),IF($E687="Patty Cash",VLOOKUP($C687,'Patty Cash'!$B:$J,2,FALSE()),"")))),"")</f>
        <v/>
      </c>
      <c r="E687" s="246"/>
      <c r="F687" s="210" t="str">
        <f>IFERROR(IF($E687="Inventory",VLOOKUP($C687,Inventory!$B:$I,3,FALSE()),IF($E687="Non Inventory",VLOOKUP($C687,'Non Inventory'!$B:$I,3,FALSE()),IF($E687="Services",VLOOKUP($C687,Services!$B:$I,3,FALSE()),IF($E687="Patty Cash",VLOOKUP($C687,'Patty Cash'!$B:$J,3,FALSE()),"")))),"")</f>
        <v/>
      </c>
      <c r="G687" s="211"/>
      <c r="H687" s="212" t="str">
        <f>IF($E687="","",IF($E687="Inventory",IFERROR(VLOOKUP($C687,Inventory!$B:$H,7,FALSE()),0),IF($E687="Non Inventory",IFERROR(VLOOKUP($C687,'Non Inventory'!$B:$H,7,FALSE()),0),IF($E687="Services",IFERROR(VLOOKUP($C687,Services!$B:$H,7,FALSE()),0),IF($E687="Patty Cash",IFERROR(VLOOKUP($C687,'Patty Cash'!$B:$H,7,FALSE()),0),0)))))</f>
        <v/>
      </c>
      <c r="I687" s="213"/>
      <c r="J687" s="214"/>
      <c r="K687" s="215"/>
      <c r="L687" s="197"/>
      <c r="M687" s="215"/>
      <c r="N687" s="216">
        <f>IFERROR(IF($E687="Inventory",VLOOKUP($C687,Inventory!$B:$I,8,FALSE()),IF($E687="Non Inventory",VLOOKUP($C687,'Non Inventory'!$B:$I,8,FALSE()),IF($E687="Services",VLOOKUP($C687,Services!$B:$I,8,FALSE()),IF($E687="Patty Cash",VLOOKUP($C687,'Patty Cash'!$B:$J,8,FALSE()),0)))),0)</f>
        <v>0</v>
      </c>
      <c r="O687" s="217" t="str">
        <f t="shared" si="10"/>
        <v/>
      </c>
    </row>
    <row r="688" spans="1:15" ht="23.1" customHeight="1">
      <c r="A688" s="206" t="str">
        <f>IF(AND($B688="",$C688=""),"",MAX($A$3:A687)+1)</f>
        <v/>
      </c>
      <c r="B688" s="207"/>
      <c r="C688" s="208"/>
      <c r="D688" s="209" t="str">
        <f>IFERROR(IF($E688="Inventory",VLOOKUP($C688,Inventory!$B:$I,2,FALSE()),IF($E688="Non Inventory",VLOOKUP($C688,'Non Inventory'!$B:$I,2,FALSE()),IF($E688="Services",VLOOKUP($C688,Services!$B:$I,2,FALSE()),IF($E688="Patty Cash",VLOOKUP($C688,'Patty Cash'!$B:$J,2,FALSE()),"")))),"")</f>
        <v/>
      </c>
      <c r="E688" s="246"/>
      <c r="F688" s="210" t="str">
        <f>IFERROR(IF($E688="Inventory",VLOOKUP($C688,Inventory!$B:$I,3,FALSE()),IF($E688="Non Inventory",VLOOKUP($C688,'Non Inventory'!$B:$I,3,FALSE()),IF($E688="Services",VLOOKUP($C688,Services!$B:$I,3,FALSE()),IF($E688="Patty Cash",VLOOKUP($C688,'Patty Cash'!$B:$J,3,FALSE()),"")))),"")</f>
        <v/>
      </c>
      <c r="G688" s="211"/>
      <c r="H688" s="212" t="str">
        <f>IF($E688="","",IF($E688="Inventory",IFERROR(VLOOKUP($C688,Inventory!$B:$H,7,FALSE()),0),IF($E688="Non Inventory",IFERROR(VLOOKUP($C688,'Non Inventory'!$B:$H,7,FALSE()),0),IF($E688="Services",IFERROR(VLOOKUP($C688,Services!$B:$H,7,FALSE()),0),IF($E688="Patty Cash",IFERROR(VLOOKUP($C688,'Patty Cash'!$B:$H,7,FALSE()),0),0)))))</f>
        <v/>
      </c>
      <c r="I688" s="213"/>
      <c r="J688" s="214"/>
      <c r="K688" s="215"/>
      <c r="L688" s="197"/>
      <c r="M688" s="215"/>
      <c r="N688" s="216">
        <f>IFERROR(IF($E688="Inventory",VLOOKUP($C688,Inventory!$B:$I,8,FALSE()),IF($E688="Non Inventory",VLOOKUP($C688,'Non Inventory'!$B:$I,8,FALSE()),IF($E688="Services",VLOOKUP($C688,Services!$B:$I,8,FALSE()),IF($E688="Patty Cash",VLOOKUP($C688,'Patty Cash'!$B:$J,8,FALSE()),0)))),0)</f>
        <v>0</v>
      </c>
      <c r="O688" s="217" t="str">
        <f t="shared" si="10"/>
        <v/>
      </c>
    </row>
    <row r="689" spans="1:15" ht="23.1" customHeight="1">
      <c r="A689" s="206" t="str">
        <f>IF(AND($B689="",$C689=""),"",MAX($A$3:A688)+1)</f>
        <v/>
      </c>
      <c r="B689" s="207"/>
      <c r="C689" s="208"/>
      <c r="D689" s="209" t="str">
        <f>IFERROR(IF($E689="Inventory",VLOOKUP($C689,Inventory!$B:$I,2,FALSE()),IF($E689="Non Inventory",VLOOKUP($C689,'Non Inventory'!$B:$I,2,FALSE()),IF($E689="Services",VLOOKUP($C689,Services!$B:$I,2,FALSE()),IF($E689="Patty Cash",VLOOKUP($C689,'Patty Cash'!$B:$J,2,FALSE()),"")))),"")</f>
        <v/>
      </c>
      <c r="E689" s="246"/>
      <c r="F689" s="210" t="str">
        <f>IFERROR(IF($E689="Inventory",VLOOKUP($C689,Inventory!$B:$I,3,FALSE()),IF($E689="Non Inventory",VLOOKUP($C689,'Non Inventory'!$B:$I,3,FALSE()),IF($E689="Services",VLOOKUP($C689,Services!$B:$I,3,FALSE()),IF($E689="Patty Cash",VLOOKUP($C689,'Patty Cash'!$B:$J,3,FALSE()),"")))),"")</f>
        <v/>
      </c>
      <c r="G689" s="211"/>
      <c r="H689" s="212" t="str">
        <f>IF($E689="","",IF($E689="Inventory",IFERROR(VLOOKUP($C689,Inventory!$B:$H,7,FALSE()),0),IF($E689="Non Inventory",IFERROR(VLOOKUP($C689,'Non Inventory'!$B:$H,7,FALSE()),0),IF($E689="Services",IFERROR(VLOOKUP($C689,Services!$B:$H,7,FALSE()),0),IF($E689="Patty Cash",IFERROR(VLOOKUP($C689,'Patty Cash'!$B:$H,7,FALSE()),0),0)))))</f>
        <v/>
      </c>
      <c r="I689" s="213"/>
      <c r="J689" s="214"/>
      <c r="K689" s="215"/>
      <c r="L689" s="197"/>
      <c r="M689" s="215"/>
      <c r="N689" s="216">
        <f>IFERROR(IF($E689="Inventory",VLOOKUP($C689,Inventory!$B:$I,8,FALSE()),IF($E689="Non Inventory",VLOOKUP($C689,'Non Inventory'!$B:$I,8,FALSE()),IF($E689="Services",VLOOKUP($C689,Services!$B:$I,8,FALSE()),IF($E689="Patty Cash",VLOOKUP($C689,'Patty Cash'!$B:$J,8,FALSE()),0)))),0)</f>
        <v>0</v>
      </c>
      <c r="O689" s="217" t="str">
        <f t="shared" si="10"/>
        <v/>
      </c>
    </row>
    <row r="690" spans="1:15" ht="23.1" customHeight="1">
      <c r="A690" s="206" t="str">
        <f>IF(AND($B690="",$C690=""),"",MAX($A$3:A689)+1)</f>
        <v/>
      </c>
      <c r="B690" s="207"/>
      <c r="C690" s="208"/>
      <c r="D690" s="209" t="str">
        <f>IFERROR(IF($E690="Inventory",VLOOKUP($C690,Inventory!$B:$I,2,FALSE()),IF($E690="Non Inventory",VLOOKUP($C690,'Non Inventory'!$B:$I,2,FALSE()),IF($E690="Services",VLOOKUP($C690,Services!$B:$I,2,FALSE()),IF($E690="Patty Cash",VLOOKUP($C690,'Patty Cash'!$B:$J,2,FALSE()),"")))),"")</f>
        <v/>
      </c>
      <c r="E690" s="246"/>
      <c r="F690" s="210" t="str">
        <f>IFERROR(IF($E690="Inventory",VLOOKUP($C690,Inventory!$B:$I,3,FALSE()),IF($E690="Non Inventory",VLOOKUP($C690,'Non Inventory'!$B:$I,3,FALSE()),IF($E690="Services",VLOOKUP($C690,Services!$B:$I,3,FALSE()),IF($E690="Patty Cash",VLOOKUP($C690,'Patty Cash'!$B:$J,3,FALSE()),"")))),"")</f>
        <v/>
      </c>
      <c r="G690" s="211"/>
      <c r="H690" s="212" t="str">
        <f>IF($E690="","",IF($E690="Inventory",IFERROR(VLOOKUP($C690,Inventory!$B:$H,7,FALSE()),0),IF($E690="Non Inventory",IFERROR(VLOOKUP($C690,'Non Inventory'!$B:$H,7,FALSE()),0),IF($E690="Services",IFERROR(VLOOKUP($C690,Services!$B:$H,7,FALSE()),0),IF($E690="Patty Cash",IFERROR(VLOOKUP($C690,'Patty Cash'!$B:$H,7,FALSE()),0),0)))))</f>
        <v/>
      </c>
      <c r="I690" s="213"/>
      <c r="J690" s="214"/>
      <c r="K690" s="215"/>
      <c r="L690" s="197"/>
      <c r="M690" s="215"/>
      <c r="N690" s="216">
        <f>IFERROR(IF($E690="Inventory",VLOOKUP($C690,Inventory!$B:$I,8,FALSE()),IF($E690="Non Inventory",VLOOKUP($C690,'Non Inventory'!$B:$I,8,FALSE()),IF($E690="Services",VLOOKUP($C690,Services!$B:$I,8,FALSE()),IF($E690="Patty Cash",VLOOKUP($C690,'Patty Cash'!$B:$J,8,FALSE()),0)))),0)</f>
        <v>0</v>
      </c>
      <c r="O690" s="217" t="str">
        <f t="shared" si="10"/>
        <v/>
      </c>
    </row>
    <row r="691" spans="1:15" ht="23.1" customHeight="1">
      <c r="A691" s="206" t="str">
        <f>IF(AND($B691="",$C691=""),"",MAX($A$3:A690)+1)</f>
        <v/>
      </c>
      <c r="B691" s="207"/>
      <c r="C691" s="208"/>
      <c r="D691" s="209" t="str">
        <f>IFERROR(IF($E691="Inventory",VLOOKUP($C691,Inventory!$B:$I,2,FALSE()),IF($E691="Non Inventory",VLOOKUP($C691,'Non Inventory'!$B:$I,2,FALSE()),IF($E691="Services",VLOOKUP($C691,Services!$B:$I,2,FALSE()),IF($E691="Patty Cash",VLOOKUP($C691,'Patty Cash'!$B:$J,2,FALSE()),"")))),"")</f>
        <v/>
      </c>
      <c r="E691" s="246"/>
      <c r="F691" s="210" t="str">
        <f>IFERROR(IF($E691="Inventory",VLOOKUP($C691,Inventory!$B:$I,3,FALSE()),IF($E691="Non Inventory",VLOOKUP($C691,'Non Inventory'!$B:$I,3,FALSE()),IF($E691="Services",VLOOKUP($C691,Services!$B:$I,3,FALSE()),IF($E691="Patty Cash",VLOOKUP($C691,'Patty Cash'!$B:$J,3,FALSE()),"")))),"")</f>
        <v/>
      </c>
      <c r="G691" s="211"/>
      <c r="H691" s="212" t="str">
        <f>IF($E691="","",IF($E691="Inventory",IFERROR(VLOOKUP($C691,Inventory!$B:$H,7,FALSE()),0),IF($E691="Non Inventory",IFERROR(VLOOKUP($C691,'Non Inventory'!$B:$H,7,FALSE()),0),IF($E691="Services",IFERROR(VLOOKUP($C691,Services!$B:$H,7,FALSE()),0),IF($E691="Patty Cash",IFERROR(VLOOKUP($C691,'Patty Cash'!$B:$H,7,FALSE()),0),0)))))</f>
        <v/>
      </c>
      <c r="I691" s="213"/>
      <c r="J691" s="214"/>
      <c r="K691" s="215"/>
      <c r="L691" s="197"/>
      <c r="M691" s="215"/>
      <c r="N691" s="216">
        <f>IFERROR(IF($E691="Inventory",VLOOKUP($C691,Inventory!$B:$I,8,FALSE()),IF($E691="Non Inventory",VLOOKUP($C691,'Non Inventory'!$B:$I,8,FALSE()),IF($E691="Services",VLOOKUP($C691,Services!$B:$I,8,FALSE()),IF($E691="Patty Cash",VLOOKUP($C691,'Patty Cash'!$B:$J,8,FALSE()),0)))),0)</f>
        <v>0</v>
      </c>
      <c r="O691" s="217" t="str">
        <f t="shared" si="10"/>
        <v/>
      </c>
    </row>
    <row r="692" spans="1:15" ht="23.1" customHeight="1">
      <c r="A692" s="206" t="str">
        <f>IF(AND($B692="",$C692=""),"",MAX($A$3:A691)+1)</f>
        <v/>
      </c>
      <c r="B692" s="207"/>
      <c r="C692" s="208"/>
      <c r="D692" s="209" t="str">
        <f>IFERROR(IF($E692="Inventory",VLOOKUP($C692,Inventory!$B:$I,2,FALSE()),IF($E692="Non Inventory",VLOOKUP($C692,'Non Inventory'!$B:$I,2,FALSE()),IF($E692="Services",VLOOKUP($C692,Services!$B:$I,2,FALSE()),IF($E692="Patty Cash",VLOOKUP($C692,'Patty Cash'!$B:$J,2,FALSE()),"")))),"")</f>
        <v/>
      </c>
      <c r="E692" s="246"/>
      <c r="F692" s="210" t="str">
        <f>IFERROR(IF($E692="Inventory",VLOOKUP($C692,Inventory!$B:$I,3,FALSE()),IF($E692="Non Inventory",VLOOKUP($C692,'Non Inventory'!$B:$I,3,FALSE()),IF($E692="Services",VLOOKUP($C692,Services!$B:$I,3,FALSE()),IF($E692="Patty Cash",VLOOKUP($C692,'Patty Cash'!$B:$J,3,FALSE()),"")))),"")</f>
        <v/>
      </c>
      <c r="G692" s="211"/>
      <c r="H692" s="212" t="str">
        <f>IF($E692="","",IF($E692="Inventory",IFERROR(VLOOKUP($C692,Inventory!$B:$H,7,FALSE()),0),IF($E692="Non Inventory",IFERROR(VLOOKUP($C692,'Non Inventory'!$B:$H,7,FALSE()),0),IF($E692="Services",IFERROR(VLOOKUP($C692,Services!$B:$H,7,FALSE()),0),IF($E692="Patty Cash",IFERROR(VLOOKUP($C692,'Patty Cash'!$B:$H,7,FALSE()),0),0)))))</f>
        <v/>
      </c>
      <c r="I692" s="213"/>
      <c r="J692" s="214"/>
      <c r="K692" s="215"/>
      <c r="L692" s="197"/>
      <c r="M692" s="215"/>
      <c r="N692" s="216">
        <f>IFERROR(IF($E692="Inventory",VLOOKUP($C692,Inventory!$B:$I,8,FALSE()),IF($E692="Non Inventory",VLOOKUP($C692,'Non Inventory'!$B:$I,8,FALSE()),IF($E692="Services",VLOOKUP($C692,Services!$B:$I,8,FALSE()),IF($E692="Patty Cash",VLOOKUP($C692,'Patty Cash'!$B:$J,8,FALSE()),0)))),0)</f>
        <v>0</v>
      </c>
      <c r="O692" s="217" t="str">
        <f t="shared" si="10"/>
        <v/>
      </c>
    </row>
    <row r="693" spans="1:15" ht="23.1" customHeight="1">
      <c r="A693" s="206" t="str">
        <f>IF(AND($B693="",$C693=""),"",MAX($A$3:A692)+1)</f>
        <v/>
      </c>
      <c r="B693" s="207"/>
      <c r="C693" s="208"/>
      <c r="D693" s="209" t="str">
        <f>IFERROR(IF($E693="Inventory",VLOOKUP($C693,Inventory!$B:$I,2,FALSE()),IF($E693="Non Inventory",VLOOKUP($C693,'Non Inventory'!$B:$I,2,FALSE()),IF($E693="Services",VLOOKUP($C693,Services!$B:$I,2,FALSE()),IF($E693="Patty Cash",VLOOKUP($C693,'Patty Cash'!$B:$J,2,FALSE()),"")))),"")</f>
        <v/>
      </c>
      <c r="E693" s="246"/>
      <c r="F693" s="210" t="str">
        <f>IFERROR(IF($E693="Inventory",VLOOKUP($C693,Inventory!$B:$I,3,FALSE()),IF($E693="Non Inventory",VLOOKUP($C693,'Non Inventory'!$B:$I,3,FALSE()),IF($E693="Services",VLOOKUP($C693,Services!$B:$I,3,FALSE()),IF($E693="Patty Cash",VLOOKUP($C693,'Patty Cash'!$B:$J,3,FALSE()),"")))),"")</f>
        <v/>
      </c>
      <c r="G693" s="211"/>
      <c r="H693" s="212" t="str">
        <f>IF($E693="","",IF($E693="Inventory",IFERROR(VLOOKUP($C693,Inventory!$B:$H,7,FALSE()),0),IF($E693="Non Inventory",IFERROR(VLOOKUP($C693,'Non Inventory'!$B:$H,7,FALSE()),0),IF($E693="Services",IFERROR(VLOOKUP($C693,Services!$B:$H,7,FALSE()),0),IF($E693="Patty Cash",IFERROR(VLOOKUP($C693,'Patty Cash'!$B:$H,7,FALSE()),0),0)))))</f>
        <v/>
      </c>
      <c r="I693" s="213"/>
      <c r="J693" s="214"/>
      <c r="K693" s="215"/>
      <c r="L693" s="197"/>
      <c r="M693" s="215"/>
      <c r="N693" s="216">
        <f>IFERROR(IF($E693="Inventory",VLOOKUP($C693,Inventory!$B:$I,8,FALSE()),IF($E693="Non Inventory",VLOOKUP($C693,'Non Inventory'!$B:$I,8,FALSE()),IF($E693="Services",VLOOKUP($C693,Services!$B:$I,8,FALSE()),IF($E693="Patty Cash",VLOOKUP($C693,'Patty Cash'!$B:$J,8,FALSE()),0)))),0)</f>
        <v>0</v>
      </c>
      <c r="O693" s="217" t="str">
        <f t="shared" si="10"/>
        <v/>
      </c>
    </row>
    <row r="694" spans="1:15" ht="23.1" customHeight="1">
      <c r="A694" s="206" t="str">
        <f>IF(AND($B694="",$C694=""),"",MAX($A$3:A693)+1)</f>
        <v/>
      </c>
      <c r="B694" s="207"/>
      <c r="C694" s="208"/>
      <c r="D694" s="209" t="str">
        <f>IFERROR(IF($E694="Inventory",VLOOKUP($C694,Inventory!$B:$I,2,FALSE()),IF($E694="Non Inventory",VLOOKUP($C694,'Non Inventory'!$B:$I,2,FALSE()),IF($E694="Services",VLOOKUP($C694,Services!$B:$I,2,FALSE()),IF($E694="Patty Cash",VLOOKUP($C694,'Patty Cash'!$B:$J,2,FALSE()),"")))),"")</f>
        <v/>
      </c>
      <c r="E694" s="246"/>
      <c r="F694" s="210" t="str">
        <f>IFERROR(IF($E694="Inventory",VLOOKUP($C694,Inventory!$B:$I,3,FALSE()),IF($E694="Non Inventory",VLOOKUP($C694,'Non Inventory'!$B:$I,3,FALSE()),IF($E694="Services",VLOOKUP($C694,Services!$B:$I,3,FALSE()),IF($E694="Patty Cash",VLOOKUP($C694,'Patty Cash'!$B:$J,3,FALSE()),"")))),"")</f>
        <v/>
      </c>
      <c r="G694" s="211"/>
      <c r="H694" s="212" t="str">
        <f>IF($E694="","",IF($E694="Inventory",IFERROR(VLOOKUP($C694,Inventory!$B:$H,7,FALSE()),0),IF($E694="Non Inventory",IFERROR(VLOOKUP($C694,'Non Inventory'!$B:$H,7,FALSE()),0),IF($E694="Services",IFERROR(VLOOKUP($C694,Services!$B:$H,7,FALSE()),0),IF($E694="Patty Cash",IFERROR(VLOOKUP($C694,'Patty Cash'!$B:$H,7,FALSE()),0),0)))))</f>
        <v/>
      </c>
      <c r="I694" s="213"/>
      <c r="J694" s="214"/>
      <c r="K694" s="215"/>
      <c r="L694" s="197"/>
      <c r="M694" s="215"/>
      <c r="N694" s="216">
        <f>IFERROR(IF($E694="Inventory",VLOOKUP($C694,Inventory!$B:$I,8,FALSE()),IF($E694="Non Inventory",VLOOKUP($C694,'Non Inventory'!$B:$I,8,FALSE()),IF($E694="Services",VLOOKUP($C694,Services!$B:$I,8,FALSE()),IF($E694="Patty Cash",VLOOKUP($C694,'Patty Cash'!$B:$J,8,FALSE()),0)))),0)</f>
        <v>0</v>
      </c>
      <c r="O694" s="217" t="str">
        <f t="shared" si="10"/>
        <v/>
      </c>
    </row>
    <row r="695" spans="1:15" ht="23.1" customHeight="1">
      <c r="A695" s="206" t="str">
        <f>IF(AND($B695="",$C695=""),"",MAX($A$3:A694)+1)</f>
        <v/>
      </c>
      <c r="B695" s="207"/>
      <c r="C695" s="208"/>
      <c r="D695" s="209" t="str">
        <f>IFERROR(IF($E695="Inventory",VLOOKUP($C695,Inventory!$B:$I,2,FALSE()),IF($E695="Non Inventory",VLOOKUP($C695,'Non Inventory'!$B:$I,2,FALSE()),IF($E695="Services",VLOOKUP($C695,Services!$B:$I,2,FALSE()),IF($E695="Patty Cash",VLOOKUP($C695,'Patty Cash'!$B:$J,2,FALSE()),"")))),"")</f>
        <v/>
      </c>
      <c r="E695" s="246"/>
      <c r="F695" s="210" t="str">
        <f>IFERROR(IF($E695="Inventory",VLOOKUP($C695,Inventory!$B:$I,3,FALSE()),IF($E695="Non Inventory",VLOOKUP($C695,'Non Inventory'!$B:$I,3,FALSE()),IF($E695="Services",VLOOKUP($C695,Services!$B:$I,3,FALSE()),IF($E695="Patty Cash",VLOOKUP($C695,'Patty Cash'!$B:$J,3,FALSE()),"")))),"")</f>
        <v/>
      </c>
      <c r="G695" s="211"/>
      <c r="H695" s="212" t="str">
        <f>IF($E695="","",IF($E695="Inventory",IFERROR(VLOOKUP($C695,Inventory!$B:$H,7,FALSE()),0),IF($E695="Non Inventory",IFERROR(VLOOKUP($C695,'Non Inventory'!$B:$H,7,FALSE()),0),IF($E695="Services",IFERROR(VLOOKUP($C695,Services!$B:$H,7,FALSE()),0),IF($E695="Patty Cash",IFERROR(VLOOKUP($C695,'Patty Cash'!$B:$H,7,FALSE()),0),0)))))</f>
        <v/>
      </c>
      <c r="I695" s="213"/>
      <c r="J695" s="214"/>
      <c r="K695" s="215"/>
      <c r="L695" s="197"/>
      <c r="M695" s="215"/>
      <c r="N695" s="216">
        <f>IFERROR(IF($E695="Inventory",VLOOKUP($C695,Inventory!$B:$I,8,FALSE()),IF($E695="Non Inventory",VLOOKUP($C695,'Non Inventory'!$B:$I,8,FALSE()),IF($E695="Services",VLOOKUP($C695,Services!$B:$I,8,FALSE()),IF($E695="Patty Cash",VLOOKUP($C695,'Patty Cash'!$B:$J,8,FALSE()),0)))),0)</f>
        <v>0</v>
      </c>
      <c r="O695" s="217" t="str">
        <f t="shared" si="10"/>
        <v/>
      </c>
    </row>
    <row r="696" spans="1:15" ht="23.1" customHeight="1">
      <c r="A696" s="206" t="str">
        <f>IF(AND($B696="",$C696=""),"",MAX($A$3:A695)+1)</f>
        <v/>
      </c>
      <c r="B696" s="207"/>
      <c r="C696" s="208"/>
      <c r="D696" s="209" t="str">
        <f>IFERROR(IF($E696="Inventory",VLOOKUP($C696,Inventory!$B:$I,2,FALSE()),IF($E696="Non Inventory",VLOOKUP($C696,'Non Inventory'!$B:$I,2,FALSE()),IF($E696="Services",VLOOKUP($C696,Services!$B:$I,2,FALSE()),IF($E696="Patty Cash",VLOOKUP($C696,'Patty Cash'!$B:$J,2,FALSE()),"")))),"")</f>
        <v/>
      </c>
      <c r="E696" s="246"/>
      <c r="F696" s="210" t="str">
        <f>IFERROR(IF($E696="Inventory",VLOOKUP($C696,Inventory!$B:$I,3,FALSE()),IF($E696="Non Inventory",VLOOKUP($C696,'Non Inventory'!$B:$I,3,FALSE()),IF($E696="Services",VLOOKUP($C696,Services!$B:$I,3,FALSE()),IF($E696="Patty Cash",VLOOKUP($C696,'Patty Cash'!$B:$J,3,FALSE()),"")))),"")</f>
        <v/>
      </c>
      <c r="G696" s="211"/>
      <c r="H696" s="212" t="str">
        <f>IF($E696="","",IF($E696="Inventory",IFERROR(VLOOKUP($C696,Inventory!$B:$H,7,FALSE()),0),IF($E696="Non Inventory",IFERROR(VLOOKUP($C696,'Non Inventory'!$B:$H,7,FALSE()),0),IF($E696="Services",IFERROR(VLOOKUP($C696,Services!$B:$H,7,FALSE()),0),IF($E696="Patty Cash",IFERROR(VLOOKUP($C696,'Patty Cash'!$B:$H,7,FALSE()),0),0)))))</f>
        <v/>
      </c>
      <c r="I696" s="213"/>
      <c r="J696" s="214"/>
      <c r="K696" s="215"/>
      <c r="L696" s="197"/>
      <c r="M696" s="215"/>
      <c r="N696" s="216">
        <f>IFERROR(IF($E696="Inventory",VLOOKUP($C696,Inventory!$B:$I,8,FALSE()),IF($E696="Non Inventory",VLOOKUP($C696,'Non Inventory'!$B:$I,8,FALSE()),IF($E696="Services",VLOOKUP($C696,Services!$B:$I,8,FALSE()),IF($E696="Patty Cash",VLOOKUP($C696,'Patty Cash'!$B:$J,8,FALSE()),0)))),0)</f>
        <v>0</v>
      </c>
      <c r="O696" s="217" t="str">
        <f t="shared" si="10"/>
        <v/>
      </c>
    </row>
    <row r="697" spans="1:15" ht="23.1" customHeight="1">
      <c r="A697" s="206" t="str">
        <f>IF(AND($B697="",$C697=""),"",MAX($A$3:A696)+1)</f>
        <v/>
      </c>
      <c r="B697" s="207"/>
      <c r="C697" s="208"/>
      <c r="D697" s="209" t="str">
        <f>IFERROR(IF($E697="Inventory",VLOOKUP($C697,Inventory!$B:$I,2,FALSE()),IF($E697="Non Inventory",VLOOKUP($C697,'Non Inventory'!$B:$I,2,FALSE()),IF($E697="Services",VLOOKUP($C697,Services!$B:$I,2,FALSE()),IF($E697="Patty Cash",VLOOKUP($C697,'Patty Cash'!$B:$J,2,FALSE()),"")))),"")</f>
        <v/>
      </c>
      <c r="E697" s="246"/>
      <c r="F697" s="210" t="str">
        <f>IFERROR(IF($E697="Inventory",VLOOKUP($C697,Inventory!$B:$I,3,FALSE()),IF($E697="Non Inventory",VLOOKUP($C697,'Non Inventory'!$B:$I,3,FALSE()),IF($E697="Services",VLOOKUP($C697,Services!$B:$I,3,FALSE()),IF($E697="Patty Cash",VLOOKUP($C697,'Patty Cash'!$B:$J,3,FALSE()),"")))),"")</f>
        <v/>
      </c>
      <c r="G697" s="211"/>
      <c r="H697" s="212" t="str">
        <f>IF($E697="","",IF($E697="Inventory",IFERROR(VLOOKUP($C697,Inventory!$B:$H,7,FALSE()),0),IF($E697="Non Inventory",IFERROR(VLOOKUP($C697,'Non Inventory'!$B:$H,7,FALSE()),0),IF($E697="Services",IFERROR(VLOOKUP($C697,Services!$B:$H,7,FALSE()),0),IF($E697="Patty Cash",IFERROR(VLOOKUP($C697,'Patty Cash'!$B:$H,7,FALSE()),0),0)))))</f>
        <v/>
      </c>
      <c r="I697" s="213"/>
      <c r="J697" s="214"/>
      <c r="K697" s="215"/>
      <c r="L697" s="197"/>
      <c r="M697" s="215"/>
      <c r="N697" s="216">
        <f>IFERROR(IF($E697="Inventory",VLOOKUP($C697,Inventory!$B:$I,8,FALSE()),IF($E697="Non Inventory",VLOOKUP($C697,'Non Inventory'!$B:$I,8,FALSE()),IF($E697="Services",VLOOKUP($C697,Services!$B:$I,8,FALSE()),IF($E697="Patty Cash",VLOOKUP($C697,'Patty Cash'!$B:$J,8,FALSE()),0)))),0)</f>
        <v>0</v>
      </c>
      <c r="O697" s="217" t="str">
        <f t="shared" si="10"/>
        <v/>
      </c>
    </row>
    <row r="698" spans="1:15" ht="23.1" customHeight="1">
      <c r="A698" s="206" t="str">
        <f>IF(AND($B698="",$C698=""),"",MAX($A$3:A697)+1)</f>
        <v/>
      </c>
      <c r="B698" s="207"/>
      <c r="C698" s="208"/>
      <c r="D698" s="209" t="str">
        <f>IFERROR(IF($E698="Inventory",VLOOKUP($C698,Inventory!$B:$I,2,FALSE()),IF($E698="Non Inventory",VLOOKUP($C698,'Non Inventory'!$B:$I,2,FALSE()),IF($E698="Services",VLOOKUP($C698,Services!$B:$I,2,FALSE()),IF($E698="Patty Cash",VLOOKUP($C698,'Patty Cash'!$B:$J,2,FALSE()),"")))),"")</f>
        <v/>
      </c>
      <c r="E698" s="246"/>
      <c r="F698" s="210" t="str">
        <f>IFERROR(IF($E698="Inventory",VLOOKUP($C698,Inventory!$B:$I,3,FALSE()),IF($E698="Non Inventory",VLOOKUP($C698,'Non Inventory'!$B:$I,3,FALSE()),IF($E698="Services",VLOOKUP($C698,Services!$B:$I,3,FALSE()),IF($E698="Patty Cash",VLOOKUP($C698,'Patty Cash'!$B:$J,3,FALSE()),"")))),"")</f>
        <v/>
      </c>
      <c r="G698" s="211"/>
      <c r="H698" s="212" t="str">
        <f>IF($E698="","",IF($E698="Inventory",IFERROR(VLOOKUP($C698,Inventory!$B:$H,7,FALSE()),0),IF($E698="Non Inventory",IFERROR(VLOOKUP($C698,'Non Inventory'!$B:$H,7,FALSE()),0),IF($E698="Services",IFERROR(VLOOKUP($C698,Services!$B:$H,7,FALSE()),0),IF($E698="Patty Cash",IFERROR(VLOOKUP($C698,'Patty Cash'!$B:$H,7,FALSE()),0),0)))))</f>
        <v/>
      </c>
      <c r="I698" s="213"/>
      <c r="J698" s="214"/>
      <c r="K698" s="215"/>
      <c r="L698" s="197"/>
      <c r="M698" s="215"/>
      <c r="N698" s="216">
        <f>IFERROR(IF($E698="Inventory",VLOOKUP($C698,Inventory!$B:$I,8,FALSE()),IF($E698="Non Inventory",VLOOKUP($C698,'Non Inventory'!$B:$I,8,FALSE()),IF($E698="Services",VLOOKUP($C698,Services!$B:$I,8,FALSE()),IF($E698="Patty Cash",VLOOKUP($C698,'Patty Cash'!$B:$J,8,FALSE()),0)))),0)</f>
        <v>0</v>
      </c>
      <c r="O698" s="217" t="str">
        <f t="shared" si="10"/>
        <v/>
      </c>
    </row>
    <row r="699" spans="1:15" ht="23.1" customHeight="1">
      <c r="A699" s="206" t="str">
        <f>IF(AND($B699="",$C699=""),"",MAX($A$3:A698)+1)</f>
        <v/>
      </c>
      <c r="B699" s="207"/>
      <c r="C699" s="208"/>
      <c r="D699" s="209" t="str">
        <f>IFERROR(IF($E699="Inventory",VLOOKUP($C699,Inventory!$B:$I,2,FALSE()),IF($E699="Non Inventory",VLOOKUP($C699,'Non Inventory'!$B:$I,2,FALSE()),IF($E699="Services",VLOOKUP($C699,Services!$B:$I,2,FALSE()),IF($E699="Patty Cash",VLOOKUP($C699,'Patty Cash'!$B:$J,2,FALSE()),"")))),"")</f>
        <v/>
      </c>
      <c r="E699" s="246"/>
      <c r="F699" s="210" t="str">
        <f>IFERROR(IF($E699="Inventory",VLOOKUP($C699,Inventory!$B:$I,3,FALSE()),IF($E699="Non Inventory",VLOOKUP($C699,'Non Inventory'!$B:$I,3,FALSE()),IF($E699="Services",VLOOKUP($C699,Services!$B:$I,3,FALSE()),IF($E699="Patty Cash",VLOOKUP($C699,'Patty Cash'!$B:$J,3,FALSE()),"")))),"")</f>
        <v/>
      </c>
      <c r="G699" s="211"/>
      <c r="H699" s="212" t="str">
        <f>IF($E699="","",IF($E699="Inventory",IFERROR(VLOOKUP($C699,Inventory!$B:$H,7,FALSE()),0),IF($E699="Non Inventory",IFERROR(VLOOKUP($C699,'Non Inventory'!$B:$H,7,FALSE()),0),IF($E699="Services",IFERROR(VLOOKUP($C699,Services!$B:$H,7,FALSE()),0),IF($E699="Patty Cash",IFERROR(VLOOKUP($C699,'Patty Cash'!$B:$H,7,FALSE()),0),0)))))</f>
        <v/>
      </c>
      <c r="I699" s="213"/>
      <c r="J699" s="214"/>
      <c r="K699" s="215"/>
      <c r="L699" s="197"/>
      <c r="M699" s="215"/>
      <c r="N699" s="216">
        <f>IFERROR(IF($E699="Inventory",VLOOKUP($C699,Inventory!$B:$I,8,FALSE()),IF($E699="Non Inventory",VLOOKUP($C699,'Non Inventory'!$B:$I,8,FALSE()),IF($E699="Services",VLOOKUP($C699,Services!$B:$I,8,FALSE()),IF($E699="Patty Cash",VLOOKUP($C699,'Patty Cash'!$B:$J,8,FALSE()),0)))),0)</f>
        <v>0</v>
      </c>
      <c r="O699" s="217" t="str">
        <f t="shared" si="10"/>
        <v/>
      </c>
    </row>
    <row r="700" spans="1:15" ht="23.1" customHeight="1">
      <c r="A700" s="206" t="str">
        <f>IF(AND($B700="",$C700=""),"",MAX($A$3:A699)+1)</f>
        <v/>
      </c>
      <c r="B700" s="207"/>
      <c r="C700" s="208"/>
      <c r="D700" s="209" t="str">
        <f>IFERROR(IF($E700="Inventory",VLOOKUP($C700,Inventory!$B:$I,2,FALSE()),IF($E700="Non Inventory",VLOOKUP($C700,'Non Inventory'!$B:$I,2,FALSE()),IF($E700="Services",VLOOKUP($C700,Services!$B:$I,2,FALSE()),IF($E700="Patty Cash",VLOOKUP($C700,'Patty Cash'!$B:$J,2,FALSE()),"")))),"")</f>
        <v/>
      </c>
      <c r="E700" s="246"/>
      <c r="F700" s="210" t="str">
        <f>IFERROR(IF($E700="Inventory",VLOOKUP($C700,Inventory!$B:$I,3,FALSE()),IF($E700="Non Inventory",VLOOKUP($C700,'Non Inventory'!$B:$I,3,FALSE()),IF($E700="Services",VLOOKUP($C700,Services!$B:$I,3,FALSE()),IF($E700="Patty Cash",VLOOKUP($C700,'Patty Cash'!$B:$J,3,FALSE()),"")))),"")</f>
        <v/>
      </c>
      <c r="G700" s="211"/>
      <c r="H700" s="212" t="str">
        <f>IF($E700="","",IF($E700="Inventory",IFERROR(VLOOKUP($C700,Inventory!$B:$H,7,FALSE()),0),IF($E700="Non Inventory",IFERROR(VLOOKUP($C700,'Non Inventory'!$B:$H,7,FALSE()),0),IF($E700="Services",IFERROR(VLOOKUP($C700,Services!$B:$H,7,FALSE()),0),IF($E700="Patty Cash",IFERROR(VLOOKUP($C700,'Patty Cash'!$B:$H,7,FALSE()),0),0)))))</f>
        <v/>
      </c>
      <c r="I700" s="213"/>
      <c r="J700" s="214"/>
      <c r="K700" s="215"/>
      <c r="L700" s="197"/>
      <c r="M700" s="215"/>
      <c r="N700" s="216">
        <f>IFERROR(IF($E700="Inventory",VLOOKUP($C700,Inventory!$B:$I,8,FALSE()),IF($E700="Non Inventory",VLOOKUP($C700,'Non Inventory'!$B:$I,8,FALSE()),IF($E700="Services",VLOOKUP($C700,Services!$B:$I,8,FALSE()),IF($E700="Patty Cash",VLOOKUP($C700,'Patty Cash'!$B:$J,8,FALSE()),0)))),0)</f>
        <v>0</v>
      </c>
      <c r="O700" s="217" t="str">
        <f t="shared" si="10"/>
        <v/>
      </c>
    </row>
    <row r="701" spans="1:15" ht="23.1" customHeight="1">
      <c r="A701" s="206" t="str">
        <f>IF(AND($B701="",$C701=""),"",MAX($A$3:A700)+1)</f>
        <v/>
      </c>
      <c r="B701" s="207"/>
      <c r="C701" s="208"/>
      <c r="D701" s="209" t="str">
        <f>IFERROR(IF($E701="Inventory",VLOOKUP($C701,Inventory!$B:$I,2,FALSE()),IF($E701="Non Inventory",VLOOKUP($C701,'Non Inventory'!$B:$I,2,FALSE()),IF($E701="Services",VLOOKUP($C701,Services!$B:$I,2,FALSE()),IF($E701="Patty Cash",VLOOKUP($C701,'Patty Cash'!$B:$J,2,FALSE()),"")))),"")</f>
        <v/>
      </c>
      <c r="E701" s="246"/>
      <c r="F701" s="210" t="str">
        <f>IFERROR(IF($E701="Inventory",VLOOKUP($C701,Inventory!$B:$I,3,FALSE()),IF($E701="Non Inventory",VLOOKUP($C701,'Non Inventory'!$B:$I,3,FALSE()),IF($E701="Services",VLOOKUP($C701,Services!$B:$I,3,FALSE()),IF($E701="Patty Cash",VLOOKUP($C701,'Patty Cash'!$B:$J,3,FALSE()),"")))),"")</f>
        <v/>
      </c>
      <c r="G701" s="211"/>
      <c r="H701" s="212" t="str">
        <f>IF($E701="","",IF($E701="Inventory",IFERROR(VLOOKUP($C701,Inventory!$B:$H,7,FALSE()),0),IF($E701="Non Inventory",IFERROR(VLOOKUP($C701,'Non Inventory'!$B:$H,7,FALSE()),0),IF($E701="Services",IFERROR(VLOOKUP($C701,Services!$B:$H,7,FALSE()),0),IF($E701="Patty Cash",IFERROR(VLOOKUP($C701,'Patty Cash'!$B:$H,7,FALSE()),0),0)))))</f>
        <v/>
      </c>
      <c r="I701" s="213"/>
      <c r="J701" s="214"/>
      <c r="K701" s="215"/>
      <c r="L701" s="197"/>
      <c r="M701" s="215"/>
      <c r="N701" s="216">
        <f>IFERROR(IF($E701="Inventory",VLOOKUP($C701,Inventory!$B:$I,8,FALSE()),IF($E701="Non Inventory",VLOOKUP($C701,'Non Inventory'!$B:$I,8,FALSE()),IF($E701="Services",VLOOKUP($C701,Services!$B:$I,8,FALSE()),IF($E701="Patty Cash",VLOOKUP($C701,'Patty Cash'!$B:$J,8,FALSE()),0)))),0)</f>
        <v>0</v>
      </c>
      <c r="O701" s="217" t="str">
        <f t="shared" si="10"/>
        <v/>
      </c>
    </row>
    <row r="702" spans="1:15" ht="23.1" customHeight="1">
      <c r="A702" s="206" t="str">
        <f>IF(AND($B702="",$C702=""),"",MAX($A$3:A701)+1)</f>
        <v/>
      </c>
      <c r="B702" s="207"/>
      <c r="C702" s="208"/>
      <c r="D702" s="209" t="str">
        <f>IFERROR(IF($E702="Inventory",VLOOKUP($C702,Inventory!$B:$I,2,FALSE()),IF($E702="Non Inventory",VLOOKUP($C702,'Non Inventory'!$B:$I,2,FALSE()),IF($E702="Services",VLOOKUP($C702,Services!$B:$I,2,FALSE()),IF($E702="Patty Cash",VLOOKUP($C702,'Patty Cash'!$B:$J,2,FALSE()),"")))),"")</f>
        <v/>
      </c>
      <c r="E702" s="246"/>
      <c r="F702" s="210" t="str">
        <f>IFERROR(IF($E702="Inventory",VLOOKUP($C702,Inventory!$B:$I,3,FALSE()),IF($E702="Non Inventory",VLOOKUP($C702,'Non Inventory'!$B:$I,3,FALSE()),IF($E702="Services",VLOOKUP($C702,Services!$B:$I,3,FALSE()),IF($E702="Patty Cash",VLOOKUP($C702,'Patty Cash'!$B:$J,3,FALSE()),"")))),"")</f>
        <v/>
      </c>
      <c r="G702" s="211"/>
      <c r="H702" s="212" t="str">
        <f>IF($E702="","",IF($E702="Inventory",IFERROR(VLOOKUP($C702,Inventory!$B:$H,7,FALSE()),0),IF($E702="Non Inventory",IFERROR(VLOOKUP($C702,'Non Inventory'!$B:$H,7,FALSE()),0),IF($E702="Services",IFERROR(VLOOKUP($C702,Services!$B:$H,7,FALSE()),0),IF($E702="Patty Cash",IFERROR(VLOOKUP($C702,'Patty Cash'!$B:$H,7,FALSE()),0),0)))))</f>
        <v/>
      </c>
      <c r="I702" s="213"/>
      <c r="J702" s="214"/>
      <c r="K702" s="215"/>
      <c r="L702" s="197"/>
      <c r="M702" s="215"/>
      <c r="N702" s="216">
        <f>IFERROR(IF($E702="Inventory",VLOOKUP($C702,Inventory!$B:$I,8,FALSE()),IF($E702="Non Inventory",VLOOKUP($C702,'Non Inventory'!$B:$I,8,FALSE()),IF($E702="Services",VLOOKUP($C702,Services!$B:$I,8,FALSE()),IF($E702="Patty Cash",VLOOKUP($C702,'Patty Cash'!$B:$J,8,FALSE()),0)))),0)</f>
        <v>0</v>
      </c>
      <c r="O702" s="217" t="str">
        <f t="shared" si="10"/>
        <v/>
      </c>
    </row>
    <row r="703" spans="1:15" ht="23.1" customHeight="1">
      <c r="A703" s="206" t="str">
        <f>IF(AND($B703="",$C703=""),"",MAX($A$3:A702)+1)</f>
        <v/>
      </c>
      <c r="B703" s="207"/>
      <c r="C703" s="208"/>
      <c r="D703" s="209" t="str">
        <f>IFERROR(IF($E703="Inventory",VLOOKUP($C703,Inventory!$B:$I,2,FALSE()),IF($E703="Non Inventory",VLOOKUP($C703,'Non Inventory'!$B:$I,2,FALSE()),IF($E703="Services",VLOOKUP($C703,Services!$B:$I,2,FALSE()),IF($E703="Patty Cash",VLOOKUP($C703,'Patty Cash'!$B:$J,2,FALSE()),"")))),"")</f>
        <v/>
      </c>
      <c r="E703" s="246"/>
      <c r="F703" s="210" t="str">
        <f>IFERROR(IF($E703="Inventory",VLOOKUP($C703,Inventory!$B:$I,3,FALSE()),IF($E703="Non Inventory",VLOOKUP($C703,'Non Inventory'!$B:$I,3,FALSE()),IF($E703="Services",VLOOKUP($C703,Services!$B:$I,3,FALSE()),IF($E703="Patty Cash",VLOOKUP($C703,'Patty Cash'!$B:$J,3,FALSE()),"")))),"")</f>
        <v/>
      </c>
      <c r="G703" s="211"/>
      <c r="H703" s="212" t="str">
        <f>IF($E703="","",IF($E703="Inventory",IFERROR(VLOOKUP($C703,Inventory!$B:$H,7,FALSE()),0),IF($E703="Non Inventory",IFERROR(VLOOKUP($C703,'Non Inventory'!$B:$H,7,FALSE()),0),IF($E703="Services",IFERROR(VLOOKUP($C703,Services!$B:$H,7,FALSE()),0),IF($E703="Patty Cash",IFERROR(VLOOKUP($C703,'Patty Cash'!$B:$H,7,FALSE()),0),0)))))</f>
        <v/>
      </c>
      <c r="I703" s="213"/>
      <c r="J703" s="214"/>
      <c r="K703" s="215"/>
      <c r="L703" s="197"/>
      <c r="M703" s="215"/>
      <c r="N703" s="216">
        <f>IFERROR(IF($E703="Inventory",VLOOKUP($C703,Inventory!$B:$I,8,FALSE()),IF($E703="Non Inventory",VLOOKUP($C703,'Non Inventory'!$B:$I,8,FALSE()),IF($E703="Services",VLOOKUP($C703,Services!$B:$I,8,FALSE()),IF($E703="Patty Cash",VLOOKUP($C703,'Patty Cash'!$B:$J,8,FALSE()),0)))),0)</f>
        <v>0</v>
      </c>
      <c r="O703" s="217" t="str">
        <f t="shared" si="10"/>
        <v/>
      </c>
    </row>
    <row r="704" spans="1:15" ht="23.1" customHeight="1">
      <c r="A704" s="206" t="str">
        <f>IF(AND($B704="",$C704=""),"",MAX($A$3:A703)+1)</f>
        <v/>
      </c>
      <c r="B704" s="207"/>
      <c r="C704" s="208"/>
      <c r="D704" s="209" t="str">
        <f>IFERROR(IF($E704="Inventory",VLOOKUP($C704,Inventory!$B:$I,2,FALSE()),IF($E704="Non Inventory",VLOOKUP($C704,'Non Inventory'!$B:$I,2,FALSE()),IF($E704="Services",VLOOKUP($C704,Services!$B:$I,2,FALSE()),IF($E704="Patty Cash",VLOOKUP($C704,'Patty Cash'!$B:$J,2,FALSE()),"")))),"")</f>
        <v/>
      </c>
      <c r="E704" s="246"/>
      <c r="F704" s="210" t="str">
        <f>IFERROR(IF($E704="Inventory",VLOOKUP($C704,Inventory!$B:$I,3,FALSE()),IF($E704="Non Inventory",VLOOKUP($C704,'Non Inventory'!$B:$I,3,FALSE()),IF($E704="Services",VLOOKUP($C704,Services!$B:$I,3,FALSE()),IF($E704="Patty Cash",VLOOKUP($C704,'Patty Cash'!$B:$J,3,FALSE()),"")))),"")</f>
        <v/>
      </c>
      <c r="G704" s="211"/>
      <c r="H704" s="212" t="str">
        <f>IF($E704="","",IF($E704="Inventory",IFERROR(VLOOKUP($C704,Inventory!$B:$H,7,FALSE()),0),IF($E704="Non Inventory",IFERROR(VLOOKUP($C704,'Non Inventory'!$B:$H,7,FALSE()),0),IF($E704="Services",IFERROR(VLOOKUP($C704,Services!$B:$H,7,FALSE()),0),IF($E704="Patty Cash",IFERROR(VLOOKUP($C704,'Patty Cash'!$B:$H,7,FALSE()),0),0)))))</f>
        <v/>
      </c>
      <c r="I704" s="213"/>
      <c r="J704" s="214"/>
      <c r="K704" s="215"/>
      <c r="L704" s="197"/>
      <c r="M704" s="215"/>
      <c r="N704" s="216">
        <f>IFERROR(IF($E704="Inventory",VLOOKUP($C704,Inventory!$B:$I,8,FALSE()),IF($E704="Non Inventory",VLOOKUP($C704,'Non Inventory'!$B:$I,8,FALSE()),IF($E704="Services",VLOOKUP($C704,Services!$B:$I,8,FALSE()),IF($E704="Patty Cash",VLOOKUP($C704,'Patty Cash'!$B:$J,8,FALSE()),0)))),0)</f>
        <v>0</v>
      </c>
      <c r="O704" s="217" t="str">
        <f t="shared" si="10"/>
        <v/>
      </c>
    </row>
    <row r="705" spans="1:15" ht="23.1" customHeight="1">
      <c r="A705" s="206" t="str">
        <f>IF(AND($B705="",$C705=""),"",MAX($A$3:A704)+1)</f>
        <v/>
      </c>
      <c r="B705" s="207"/>
      <c r="C705" s="208"/>
      <c r="D705" s="209" t="str">
        <f>IFERROR(IF($E705="Inventory",VLOOKUP($C705,Inventory!$B:$I,2,FALSE()),IF($E705="Non Inventory",VLOOKUP($C705,'Non Inventory'!$B:$I,2,FALSE()),IF($E705="Services",VLOOKUP($C705,Services!$B:$I,2,FALSE()),IF($E705="Patty Cash",VLOOKUP($C705,'Patty Cash'!$B:$J,2,FALSE()),"")))),"")</f>
        <v/>
      </c>
      <c r="E705" s="246"/>
      <c r="F705" s="210" t="str">
        <f>IFERROR(IF($E705="Inventory",VLOOKUP($C705,Inventory!$B:$I,3,FALSE()),IF($E705="Non Inventory",VLOOKUP($C705,'Non Inventory'!$B:$I,3,FALSE()),IF($E705="Services",VLOOKUP($C705,Services!$B:$I,3,FALSE()),IF($E705="Patty Cash",VLOOKUP($C705,'Patty Cash'!$B:$J,3,FALSE()),"")))),"")</f>
        <v/>
      </c>
      <c r="G705" s="211"/>
      <c r="H705" s="212" t="str">
        <f>IF($E705="","",IF($E705="Inventory",IFERROR(VLOOKUP($C705,Inventory!$B:$H,7,FALSE()),0),IF($E705="Non Inventory",IFERROR(VLOOKUP($C705,'Non Inventory'!$B:$H,7,FALSE()),0),IF($E705="Services",IFERROR(VLOOKUP($C705,Services!$B:$H,7,FALSE()),0),IF($E705="Patty Cash",IFERROR(VLOOKUP($C705,'Patty Cash'!$B:$H,7,FALSE()),0),0)))))</f>
        <v/>
      </c>
      <c r="I705" s="213"/>
      <c r="J705" s="214"/>
      <c r="K705" s="215"/>
      <c r="L705" s="197"/>
      <c r="M705" s="215"/>
      <c r="N705" s="216">
        <f>IFERROR(IF($E705="Inventory",VLOOKUP($C705,Inventory!$B:$I,8,FALSE()),IF($E705="Non Inventory",VLOOKUP($C705,'Non Inventory'!$B:$I,8,FALSE()),IF($E705="Services",VLOOKUP($C705,Services!$B:$I,8,FALSE()),IF($E705="Patty Cash",VLOOKUP($C705,'Patty Cash'!$B:$J,8,FALSE()),0)))),0)</f>
        <v>0</v>
      </c>
      <c r="O705" s="217" t="str">
        <f t="shared" si="10"/>
        <v/>
      </c>
    </row>
    <row r="706" spans="1:15" ht="23.1" customHeight="1">
      <c r="A706" s="206" t="str">
        <f>IF(AND($B706="",$C706=""),"",MAX($A$3:A705)+1)</f>
        <v/>
      </c>
      <c r="B706" s="207"/>
      <c r="C706" s="208"/>
      <c r="D706" s="209" t="str">
        <f>IFERROR(IF($E706="Inventory",VLOOKUP($C706,Inventory!$B:$I,2,FALSE()),IF($E706="Non Inventory",VLOOKUP($C706,'Non Inventory'!$B:$I,2,FALSE()),IF($E706="Services",VLOOKUP($C706,Services!$B:$I,2,FALSE()),IF($E706="Patty Cash",VLOOKUP($C706,'Patty Cash'!$B:$J,2,FALSE()),"")))),"")</f>
        <v/>
      </c>
      <c r="E706" s="246"/>
      <c r="F706" s="210" t="str">
        <f>IFERROR(IF($E706="Inventory",VLOOKUP($C706,Inventory!$B:$I,3,FALSE()),IF($E706="Non Inventory",VLOOKUP($C706,'Non Inventory'!$B:$I,3,FALSE()),IF($E706="Services",VLOOKUP($C706,Services!$B:$I,3,FALSE()),IF($E706="Patty Cash",VLOOKUP($C706,'Patty Cash'!$B:$J,3,FALSE()),"")))),"")</f>
        <v/>
      </c>
      <c r="G706" s="211"/>
      <c r="H706" s="212" t="str">
        <f>IF($E706="","",IF($E706="Inventory",IFERROR(VLOOKUP($C706,Inventory!$B:$H,7,FALSE()),0),IF($E706="Non Inventory",IFERROR(VLOOKUP($C706,'Non Inventory'!$B:$H,7,FALSE()),0),IF($E706="Services",IFERROR(VLOOKUP($C706,Services!$B:$H,7,FALSE()),0),IF($E706="Patty Cash",IFERROR(VLOOKUP($C706,'Patty Cash'!$B:$H,7,FALSE()),0),0)))))</f>
        <v/>
      </c>
      <c r="I706" s="213"/>
      <c r="J706" s="214"/>
      <c r="K706" s="215"/>
      <c r="L706" s="197"/>
      <c r="M706" s="215"/>
      <c r="N706" s="216">
        <f>IFERROR(IF($E706="Inventory",VLOOKUP($C706,Inventory!$B:$I,8,FALSE()),IF($E706="Non Inventory",VLOOKUP($C706,'Non Inventory'!$B:$I,8,FALSE()),IF($E706="Services",VLOOKUP($C706,Services!$B:$I,8,FALSE()),IF($E706="Patty Cash",VLOOKUP($C706,'Patty Cash'!$B:$J,8,FALSE()),0)))),0)</f>
        <v>0</v>
      </c>
      <c r="O706" s="217" t="str">
        <f t="shared" si="10"/>
        <v/>
      </c>
    </row>
    <row r="707" spans="1:15" ht="23.1" customHeight="1">
      <c r="A707" s="206" t="str">
        <f>IF(AND($B707="",$C707=""),"",MAX($A$3:A706)+1)</f>
        <v/>
      </c>
      <c r="B707" s="207"/>
      <c r="C707" s="208"/>
      <c r="D707" s="209" t="str">
        <f>IFERROR(IF($E707="Inventory",VLOOKUP($C707,Inventory!$B:$I,2,FALSE()),IF($E707="Non Inventory",VLOOKUP($C707,'Non Inventory'!$B:$I,2,FALSE()),IF($E707="Services",VLOOKUP($C707,Services!$B:$I,2,FALSE()),IF($E707="Patty Cash",VLOOKUP($C707,'Patty Cash'!$B:$J,2,FALSE()),"")))),"")</f>
        <v/>
      </c>
      <c r="E707" s="246"/>
      <c r="F707" s="210" t="str">
        <f>IFERROR(IF($E707="Inventory",VLOOKUP($C707,Inventory!$B:$I,3,FALSE()),IF($E707="Non Inventory",VLOOKUP($C707,'Non Inventory'!$B:$I,3,FALSE()),IF($E707="Services",VLOOKUP($C707,Services!$B:$I,3,FALSE()),IF($E707="Patty Cash",VLOOKUP($C707,'Patty Cash'!$B:$J,3,FALSE()),"")))),"")</f>
        <v/>
      </c>
      <c r="G707" s="211"/>
      <c r="H707" s="212" t="str">
        <f>IF($E707="","",IF($E707="Inventory",IFERROR(VLOOKUP($C707,Inventory!$B:$H,7,FALSE()),0),IF($E707="Non Inventory",IFERROR(VLOOKUP($C707,'Non Inventory'!$B:$H,7,FALSE()),0),IF($E707="Services",IFERROR(VLOOKUP($C707,Services!$B:$H,7,FALSE()),0),IF($E707="Patty Cash",IFERROR(VLOOKUP($C707,'Patty Cash'!$B:$H,7,FALSE()),0),0)))))</f>
        <v/>
      </c>
      <c r="I707" s="213"/>
      <c r="J707" s="214"/>
      <c r="K707" s="215"/>
      <c r="L707" s="197"/>
      <c r="M707" s="215"/>
      <c r="N707" s="216">
        <f>IFERROR(IF($E707="Inventory",VLOOKUP($C707,Inventory!$B:$I,8,FALSE()),IF($E707="Non Inventory",VLOOKUP($C707,'Non Inventory'!$B:$I,8,FALSE()),IF($E707="Services",VLOOKUP($C707,Services!$B:$I,8,FALSE()),IF($E707="Patty Cash",VLOOKUP($C707,'Patty Cash'!$B:$J,8,FALSE()),0)))),0)</f>
        <v>0</v>
      </c>
      <c r="O707" s="217" t="str">
        <f t="shared" ref="O707:O770" si="11">IF($G707="","",G707*N707)</f>
        <v/>
      </c>
    </row>
    <row r="708" spans="1:15" ht="23.1" customHeight="1">
      <c r="A708" s="206" t="str">
        <f>IF(AND($B708="",$C708=""),"",MAX($A$3:A707)+1)</f>
        <v/>
      </c>
      <c r="B708" s="207"/>
      <c r="C708" s="208"/>
      <c r="D708" s="209" t="str">
        <f>IFERROR(IF($E708="Inventory",VLOOKUP($C708,Inventory!$B:$I,2,FALSE()),IF($E708="Non Inventory",VLOOKUP($C708,'Non Inventory'!$B:$I,2,FALSE()),IF($E708="Services",VLOOKUP($C708,Services!$B:$I,2,FALSE()),IF($E708="Patty Cash",VLOOKUP($C708,'Patty Cash'!$B:$J,2,FALSE()),"")))),"")</f>
        <v/>
      </c>
      <c r="E708" s="246"/>
      <c r="F708" s="210" t="str">
        <f>IFERROR(IF($E708="Inventory",VLOOKUP($C708,Inventory!$B:$I,3,FALSE()),IF($E708="Non Inventory",VLOOKUP($C708,'Non Inventory'!$B:$I,3,FALSE()),IF($E708="Services",VLOOKUP($C708,Services!$B:$I,3,FALSE()),IF($E708="Patty Cash",VLOOKUP($C708,'Patty Cash'!$B:$J,3,FALSE()),"")))),"")</f>
        <v/>
      </c>
      <c r="G708" s="211"/>
      <c r="H708" s="212" t="str">
        <f>IF($E708="","",IF($E708="Inventory",IFERROR(VLOOKUP($C708,Inventory!$B:$H,7,FALSE()),0),IF($E708="Non Inventory",IFERROR(VLOOKUP($C708,'Non Inventory'!$B:$H,7,FALSE()),0),IF($E708="Services",IFERROR(VLOOKUP($C708,Services!$B:$H,7,FALSE()),0),IF($E708="Patty Cash",IFERROR(VLOOKUP($C708,'Patty Cash'!$B:$H,7,FALSE()),0),0)))))</f>
        <v/>
      </c>
      <c r="I708" s="213"/>
      <c r="J708" s="214"/>
      <c r="K708" s="215"/>
      <c r="L708" s="197"/>
      <c r="M708" s="215"/>
      <c r="N708" s="216">
        <f>IFERROR(IF($E708="Inventory",VLOOKUP($C708,Inventory!$B:$I,8,FALSE()),IF($E708="Non Inventory",VLOOKUP($C708,'Non Inventory'!$B:$I,8,FALSE()),IF($E708="Services",VLOOKUP($C708,Services!$B:$I,8,FALSE()),IF($E708="Patty Cash",VLOOKUP($C708,'Patty Cash'!$B:$J,8,FALSE()),0)))),0)</f>
        <v>0</v>
      </c>
      <c r="O708" s="217" t="str">
        <f t="shared" si="11"/>
        <v/>
      </c>
    </row>
    <row r="709" spans="1:15" ht="23.1" customHeight="1">
      <c r="A709" s="206" t="str">
        <f>IF(AND($B709="",$C709=""),"",MAX($A$3:A708)+1)</f>
        <v/>
      </c>
      <c r="B709" s="207"/>
      <c r="C709" s="208"/>
      <c r="D709" s="209" t="str">
        <f>IFERROR(IF($E709="Inventory",VLOOKUP($C709,Inventory!$B:$I,2,FALSE()),IF($E709="Non Inventory",VLOOKUP($C709,'Non Inventory'!$B:$I,2,FALSE()),IF($E709="Services",VLOOKUP($C709,Services!$B:$I,2,FALSE()),IF($E709="Patty Cash",VLOOKUP($C709,'Patty Cash'!$B:$J,2,FALSE()),"")))),"")</f>
        <v/>
      </c>
      <c r="E709" s="246"/>
      <c r="F709" s="210" t="str">
        <f>IFERROR(IF($E709="Inventory",VLOOKUP($C709,Inventory!$B:$I,3,FALSE()),IF($E709="Non Inventory",VLOOKUP($C709,'Non Inventory'!$B:$I,3,FALSE()),IF($E709="Services",VLOOKUP($C709,Services!$B:$I,3,FALSE()),IF($E709="Patty Cash",VLOOKUP($C709,'Patty Cash'!$B:$J,3,FALSE()),"")))),"")</f>
        <v/>
      </c>
      <c r="G709" s="211"/>
      <c r="H709" s="212" t="str">
        <f>IF($E709="","",IF($E709="Inventory",IFERROR(VLOOKUP($C709,Inventory!$B:$H,7,FALSE()),0),IF($E709="Non Inventory",IFERROR(VLOOKUP($C709,'Non Inventory'!$B:$H,7,FALSE()),0),IF($E709="Services",IFERROR(VLOOKUP($C709,Services!$B:$H,7,FALSE()),0),IF($E709="Patty Cash",IFERROR(VLOOKUP($C709,'Patty Cash'!$B:$H,7,FALSE()),0),0)))))</f>
        <v/>
      </c>
      <c r="I709" s="213"/>
      <c r="J709" s="214"/>
      <c r="K709" s="215"/>
      <c r="L709" s="197"/>
      <c r="M709" s="215"/>
      <c r="N709" s="216">
        <f>IFERROR(IF($E709="Inventory",VLOOKUP($C709,Inventory!$B:$I,8,FALSE()),IF($E709="Non Inventory",VLOOKUP($C709,'Non Inventory'!$B:$I,8,FALSE()),IF($E709="Services",VLOOKUP($C709,Services!$B:$I,8,FALSE()),IF($E709="Patty Cash",VLOOKUP($C709,'Patty Cash'!$B:$J,8,FALSE()),0)))),0)</f>
        <v>0</v>
      </c>
      <c r="O709" s="217" t="str">
        <f t="shared" si="11"/>
        <v/>
      </c>
    </row>
    <row r="710" spans="1:15" ht="23.1" customHeight="1">
      <c r="A710" s="206" t="str">
        <f>IF(AND($B710="",$C710=""),"",MAX($A$3:A709)+1)</f>
        <v/>
      </c>
      <c r="B710" s="207"/>
      <c r="C710" s="208"/>
      <c r="D710" s="209" t="str">
        <f>IFERROR(IF($E710="Inventory",VLOOKUP($C710,Inventory!$B:$I,2,FALSE()),IF($E710="Non Inventory",VLOOKUP($C710,'Non Inventory'!$B:$I,2,FALSE()),IF($E710="Services",VLOOKUP($C710,Services!$B:$I,2,FALSE()),IF($E710="Patty Cash",VLOOKUP($C710,'Patty Cash'!$B:$J,2,FALSE()),"")))),"")</f>
        <v/>
      </c>
      <c r="E710" s="246"/>
      <c r="F710" s="210" t="str">
        <f>IFERROR(IF($E710="Inventory",VLOOKUP($C710,Inventory!$B:$I,3,FALSE()),IF($E710="Non Inventory",VLOOKUP($C710,'Non Inventory'!$B:$I,3,FALSE()),IF($E710="Services",VLOOKUP($C710,Services!$B:$I,3,FALSE()),IF($E710="Patty Cash",VLOOKUP($C710,'Patty Cash'!$B:$J,3,FALSE()),"")))),"")</f>
        <v/>
      </c>
      <c r="G710" s="211"/>
      <c r="H710" s="212" t="str">
        <f>IF($E710="","",IF($E710="Inventory",IFERROR(VLOOKUP($C710,Inventory!$B:$H,7,FALSE()),0),IF($E710="Non Inventory",IFERROR(VLOOKUP($C710,'Non Inventory'!$B:$H,7,FALSE()),0),IF($E710="Services",IFERROR(VLOOKUP($C710,Services!$B:$H,7,FALSE()),0),IF($E710="Patty Cash",IFERROR(VLOOKUP($C710,'Patty Cash'!$B:$H,7,FALSE()),0),0)))))</f>
        <v/>
      </c>
      <c r="I710" s="213"/>
      <c r="J710" s="214"/>
      <c r="K710" s="215"/>
      <c r="L710" s="197"/>
      <c r="M710" s="215"/>
      <c r="N710" s="216">
        <f>IFERROR(IF($E710="Inventory",VLOOKUP($C710,Inventory!$B:$I,8,FALSE()),IF($E710="Non Inventory",VLOOKUP($C710,'Non Inventory'!$B:$I,8,FALSE()),IF($E710="Services",VLOOKUP($C710,Services!$B:$I,8,FALSE()),IF($E710="Patty Cash",VLOOKUP($C710,'Patty Cash'!$B:$J,8,FALSE()),0)))),0)</f>
        <v>0</v>
      </c>
      <c r="O710" s="217" t="str">
        <f t="shared" si="11"/>
        <v/>
      </c>
    </row>
    <row r="711" spans="1:15" ht="23.1" customHeight="1">
      <c r="A711" s="206" t="str">
        <f>IF(AND($B711="",$C711=""),"",MAX($A$3:A710)+1)</f>
        <v/>
      </c>
      <c r="B711" s="207"/>
      <c r="C711" s="208"/>
      <c r="D711" s="209" t="str">
        <f>IFERROR(IF($E711="Inventory",VLOOKUP($C711,Inventory!$B:$I,2,FALSE()),IF($E711="Non Inventory",VLOOKUP($C711,'Non Inventory'!$B:$I,2,FALSE()),IF($E711="Services",VLOOKUP($C711,Services!$B:$I,2,FALSE()),IF($E711="Patty Cash",VLOOKUP($C711,'Patty Cash'!$B:$J,2,FALSE()),"")))),"")</f>
        <v/>
      </c>
      <c r="E711" s="246"/>
      <c r="F711" s="210" t="str">
        <f>IFERROR(IF($E711="Inventory",VLOOKUP($C711,Inventory!$B:$I,3,FALSE()),IF($E711="Non Inventory",VLOOKUP($C711,'Non Inventory'!$B:$I,3,FALSE()),IF($E711="Services",VLOOKUP($C711,Services!$B:$I,3,FALSE()),IF($E711="Patty Cash",VLOOKUP($C711,'Patty Cash'!$B:$J,3,FALSE()),"")))),"")</f>
        <v/>
      </c>
      <c r="G711" s="211"/>
      <c r="H711" s="212" t="str">
        <f>IF($E711="","",IF($E711="Inventory",IFERROR(VLOOKUP($C711,Inventory!$B:$H,7,FALSE()),0),IF($E711="Non Inventory",IFERROR(VLOOKUP($C711,'Non Inventory'!$B:$H,7,FALSE()),0),IF($E711="Services",IFERROR(VLOOKUP($C711,Services!$B:$H,7,FALSE()),0),IF($E711="Patty Cash",IFERROR(VLOOKUP($C711,'Patty Cash'!$B:$H,7,FALSE()),0),0)))))</f>
        <v/>
      </c>
      <c r="I711" s="213"/>
      <c r="J711" s="214"/>
      <c r="K711" s="215"/>
      <c r="L711" s="197"/>
      <c r="M711" s="215"/>
      <c r="N711" s="216">
        <f>IFERROR(IF($E711="Inventory",VLOOKUP($C711,Inventory!$B:$I,8,FALSE()),IF($E711="Non Inventory",VLOOKUP($C711,'Non Inventory'!$B:$I,8,FALSE()),IF($E711="Services",VLOOKUP($C711,Services!$B:$I,8,FALSE()),IF($E711="Patty Cash",VLOOKUP($C711,'Patty Cash'!$B:$J,8,FALSE()),0)))),0)</f>
        <v>0</v>
      </c>
      <c r="O711" s="217" t="str">
        <f t="shared" si="11"/>
        <v/>
      </c>
    </row>
    <row r="712" spans="1:15" ht="23.1" customHeight="1">
      <c r="A712" s="206" t="str">
        <f>IF(AND($B712="",$C712=""),"",MAX($A$3:A711)+1)</f>
        <v/>
      </c>
      <c r="B712" s="207"/>
      <c r="C712" s="208"/>
      <c r="D712" s="209" t="str">
        <f>IFERROR(IF($E712="Inventory",VLOOKUP($C712,Inventory!$B:$I,2,FALSE()),IF($E712="Non Inventory",VLOOKUP($C712,'Non Inventory'!$B:$I,2,FALSE()),IF($E712="Services",VLOOKUP($C712,Services!$B:$I,2,FALSE()),IF($E712="Patty Cash",VLOOKUP($C712,'Patty Cash'!$B:$J,2,FALSE()),"")))),"")</f>
        <v/>
      </c>
      <c r="E712" s="246"/>
      <c r="F712" s="210" t="str">
        <f>IFERROR(IF($E712="Inventory",VLOOKUP($C712,Inventory!$B:$I,3,FALSE()),IF($E712="Non Inventory",VLOOKUP($C712,'Non Inventory'!$B:$I,3,FALSE()),IF($E712="Services",VLOOKUP($C712,Services!$B:$I,3,FALSE()),IF($E712="Patty Cash",VLOOKUP($C712,'Patty Cash'!$B:$J,3,FALSE()),"")))),"")</f>
        <v/>
      </c>
      <c r="G712" s="211"/>
      <c r="H712" s="212" t="str">
        <f>IF($E712="","",IF($E712="Inventory",IFERROR(VLOOKUP($C712,Inventory!$B:$H,7,FALSE()),0),IF($E712="Non Inventory",IFERROR(VLOOKUP($C712,'Non Inventory'!$B:$H,7,FALSE()),0),IF($E712="Services",IFERROR(VLOOKUP($C712,Services!$B:$H,7,FALSE()),0),IF($E712="Patty Cash",IFERROR(VLOOKUP($C712,'Patty Cash'!$B:$H,7,FALSE()),0),0)))))</f>
        <v/>
      </c>
      <c r="I712" s="213"/>
      <c r="J712" s="214"/>
      <c r="K712" s="215"/>
      <c r="L712" s="197"/>
      <c r="M712" s="215"/>
      <c r="N712" s="216">
        <f>IFERROR(IF($E712="Inventory",VLOOKUP($C712,Inventory!$B:$I,8,FALSE()),IF($E712="Non Inventory",VLOOKUP($C712,'Non Inventory'!$B:$I,8,FALSE()),IF($E712="Services",VLOOKUP($C712,Services!$B:$I,8,FALSE()),IF($E712="Patty Cash",VLOOKUP($C712,'Patty Cash'!$B:$J,8,FALSE()),0)))),0)</f>
        <v>0</v>
      </c>
      <c r="O712" s="217" t="str">
        <f t="shared" si="11"/>
        <v/>
      </c>
    </row>
    <row r="713" spans="1:15" ht="23.1" customHeight="1">
      <c r="A713" s="206" t="str">
        <f>IF(AND($B713="",$C713=""),"",MAX($A$3:A712)+1)</f>
        <v/>
      </c>
      <c r="B713" s="207"/>
      <c r="C713" s="208"/>
      <c r="D713" s="209" t="str">
        <f>IFERROR(IF($E713="Inventory",VLOOKUP($C713,Inventory!$B:$I,2,FALSE()),IF($E713="Non Inventory",VLOOKUP($C713,'Non Inventory'!$B:$I,2,FALSE()),IF($E713="Services",VLOOKUP($C713,Services!$B:$I,2,FALSE()),IF($E713="Patty Cash",VLOOKUP($C713,'Patty Cash'!$B:$J,2,FALSE()),"")))),"")</f>
        <v/>
      </c>
      <c r="E713" s="246"/>
      <c r="F713" s="210" t="str">
        <f>IFERROR(IF($E713="Inventory",VLOOKUP($C713,Inventory!$B:$I,3,FALSE()),IF($E713="Non Inventory",VLOOKUP($C713,'Non Inventory'!$B:$I,3,FALSE()),IF($E713="Services",VLOOKUP($C713,Services!$B:$I,3,FALSE()),IF($E713="Patty Cash",VLOOKUP($C713,'Patty Cash'!$B:$J,3,FALSE()),"")))),"")</f>
        <v/>
      </c>
      <c r="G713" s="211"/>
      <c r="H713" s="212" t="str">
        <f>IF($E713="","",IF($E713="Inventory",IFERROR(VLOOKUP($C713,Inventory!$B:$H,7,FALSE()),0),IF($E713="Non Inventory",IFERROR(VLOOKUP($C713,'Non Inventory'!$B:$H,7,FALSE()),0),IF($E713="Services",IFERROR(VLOOKUP($C713,Services!$B:$H,7,FALSE()),0),IF($E713="Patty Cash",IFERROR(VLOOKUP($C713,'Patty Cash'!$B:$H,7,FALSE()),0),0)))))</f>
        <v/>
      </c>
      <c r="I713" s="213"/>
      <c r="J713" s="214"/>
      <c r="K713" s="215"/>
      <c r="L713" s="197"/>
      <c r="M713" s="215"/>
      <c r="N713" s="216">
        <f>IFERROR(IF($E713="Inventory",VLOOKUP($C713,Inventory!$B:$I,8,FALSE()),IF($E713="Non Inventory",VLOOKUP($C713,'Non Inventory'!$B:$I,8,FALSE()),IF($E713="Services",VLOOKUP($C713,Services!$B:$I,8,FALSE()),IF($E713="Patty Cash",VLOOKUP($C713,'Patty Cash'!$B:$J,8,FALSE()),0)))),0)</f>
        <v>0</v>
      </c>
      <c r="O713" s="217" t="str">
        <f t="shared" si="11"/>
        <v/>
      </c>
    </row>
    <row r="714" spans="1:15" ht="23.1" customHeight="1">
      <c r="A714" s="206" t="str">
        <f>IF(AND($B714="",$C714=""),"",MAX($A$3:A713)+1)</f>
        <v/>
      </c>
      <c r="B714" s="207"/>
      <c r="C714" s="208"/>
      <c r="D714" s="209" t="str">
        <f>IFERROR(IF($E714="Inventory",VLOOKUP($C714,Inventory!$B:$I,2,FALSE()),IF($E714="Non Inventory",VLOOKUP($C714,'Non Inventory'!$B:$I,2,FALSE()),IF($E714="Services",VLOOKUP($C714,Services!$B:$I,2,FALSE()),IF($E714="Patty Cash",VLOOKUP($C714,'Patty Cash'!$B:$J,2,FALSE()),"")))),"")</f>
        <v/>
      </c>
      <c r="E714" s="246"/>
      <c r="F714" s="210" t="str">
        <f>IFERROR(IF($E714="Inventory",VLOOKUP($C714,Inventory!$B:$I,3,FALSE()),IF($E714="Non Inventory",VLOOKUP($C714,'Non Inventory'!$B:$I,3,FALSE()),IF($E714="Services",VLOOKUP($C714,Services!$B:$I,3,FALSE()),IF($E714="Patty Cash",VLOOKUP($C714,'Patty Cash'!$B:$J,3,FALSE()),"")))),"")</f>
        <v/>
      </c>
      <c r="G714" s="211"/>
      <c r="H714" s="212" t="str">
        <f>IF($E714="","",IF($E714="Inventory",IFERROR(VLOOKUP($C714,Inventory!$B:$H,7,FALSE()),0),IF($E714="Non Inventory",IFERROR(VLOOKUP($C714,'Non Inventory'!$B:$H,7,FALSE()),0),IF($E714="Services",IFERROR(VLOOKUP($C714,Services!$B:$H,7,FALSE()),0),IF($E714="Patty Cash",IFERROR(VLOOKUP($C714,'Patty Cash'!$B:$H,7,FALSE()),0),0)))))</f>
        <v/>
      </c>
      <c r="I714" s="213"/>
      <c r="J714" s="214"/>
      <c r="K714" s="215"/>
      <c r="L714" s="197"/>
      <c r="M714" s="215"/>
      <c r="N714" s="216">
        <f>IFERROR(IF($E714="Inventory",VLOOKUP($C714,Inventory!$B:$I,8,FALSE()),IF($E714="Non Inventory",VLOOKUP($C714,'Non Inventory'!$B:$I,8,FALSE()),IF($E714="Services",VLOOKUP($C714,Services!$B:$I,8,FALSE()),IF($E714="Patty Cash",VLOOKUP($C714,'Patty Cash'!$B:$J,8,FALSE()),0)))),0)</f>
        <v>0</v>
      </c>
      <c r="O714" s="217" t="str">
        <f t="shared" si="11"/>
        <v/>
      </c>
    </row>
    <row r="715" spans="1:15" ht="23.1" customHeight="1">
      <c r="A715" s="206" t="str">
        <f>IF(AND($B715="",$C715=""),"",MAX($A$3:A714)+1)</f>
        <v/>
      </c>
      <c r="B715" s="207"/>
      <c r="C715" s="208"/>
      <c r="D715" s="209" t="str">
        <f>IFERROR(IF($E715="Inventory",VLOOKUP($C715,Inventory!$B:$I,2,FALSE()),IF($E715="Non Inventory",VLOOKUP($C715,'Non Inventory'!$B:$I,2,FALSE()),IF($E715="Services",VLOOKUP($C715,Services!$B:$I,2,FALSE()),IF($E715="Patty Cash",VLOOKUP($C715,'Patty Cash'!$B:$J,2,FALSE()),"")))),"")</f>
        <v/>
      </c>
      <c r="E715" s="246"/>
      <c r="F715" s="210" t="str">
        <f>IFERROR(IF($E715="Inventory",VLOOKUP($C715,Inventory!$B:$I,3,FALSE()),IF($E715="Non Inventory",VLOOKUP($C715,'Non Inventory'!$B:$I,3,FALSE()),IF($E715="Services",VLOOKUP($C715,Services!$B:$I,3,FALSE()),IF($E715="Patty Cash",VLOOKUP($C715,'Patty Cash'!$B:$J,3,FALSE()),"")))),"")</f>
        <v/>
      </c>
      <c r="G715" s="211"/>
      <c r="H715" s="212" t="str">
        <f>IF($E715="","",IF($E715="Inventory",IFERROR(VLOOKUP($C715,Inventory!$B:$H,7,FALSE()),0),IF($E715="Non Inventory",IFERROR(VLOOKUP($C715,'Non Inventory'!$B:$H,7,FALSE()),0),IF($E715="Services",IFERROR(VLOOKUP($C715,Services!$B:$H,7,FALSE()),0),IF($E715="Patty Cash",IFERROR(VLOOKUP($C715,'Patty Cash'!$B:$H,7,FALSE()),0),0)))))</f>
        <v/>
      </c>
      <c r="I715" s="213"/>
      <c r="J715" s="214"/>
      <c r="K715" s="215"/>
      <c r="L715" s="197"/>
      <c r="M715" s="215"/>
      <c r="N715" s="216">
        <f>IFERROR(IF($E715="Inventory",VLOOKUP($C715,Inventory!$B:$I,8,FALSE()),IF($E715="Non Inventory",VLOOKUP($C715,'Non Inventory'!$B:$I,8,FALSE()),IF($E715="Services",VLOOKUP($C715,Services!$B:$I,8,FALSE()),IF($E715="Patty Cash",VLOOKUP($C715,'Patty Cash'!$B:$J,8,FALSE()),0)))),0)</f>
        <v>0</v>
      </c>
      <c r="O715" s="217" t="str">
        <f t="shared" si="11"/>
        <v/>
      </c>
    </row>
    <row r="716" spans="1:15" ht="23.1" customHeight="1">
      <c r="A716" s="206" t="str">
        <f>IF(AND($B716="",$C716=""),"",MAX($A$3:A715)+1)</f>
        <v/>
      </c>
      <c r="B716" s="207"/>
      <c r="C716" s="208"/>
      <c r="D716" s="209" t="str">
        <f>IFERROR(IF($E716="Inventory",VLOOKUP($C716,Inventory!$B:$I,2,FALSE()),IF($E716="Non Inventory",VLOOKUP($C716,'Non Inventory'!$B:$I,2,FALSE()),IF($E716="Services",VLOOKUP($C716,Services!$B:$I,2,FALSE()),IF($E716="Patty Cash",VLOOKUP($C716,'Patty Cash'!$B:$J,2,FALSE()),"")))),"")</f>
        <v/>
      </c>
      <c r="E716" s="246"/>
      <c r="F716" s="210" t="str">
        <f>IFERROR(IF($E716="Inventory",VLOOKUP($C716,Inventory!$B:$I,3,FALSE()),IF($E716="Non Inventory",VLOOKUP($C716,'Non Inventory'!$B:$I,3,FALSE()),IF($E716="Services",VLOOKUP($C716,Services!$B:$I,3,FALSE()),IF($E716="Patty Cash",VLOOKUP($C716,'Patty Cash'!$B:$J,3,FALSE()),"")))),"")</f>
        <v/>
      </c>
      <c r="G716" s="211"/>
      <c r="H716" s="212" t="str">
        <f>IF($E716="","",IF($E716="Inventory",IFERROR(VLOOKUP($C716,Inventory!$B:$H,7,FALSE()),0),IF($E716="Non Inventory",IFERROR(VLOOKUP($C716,'Non Inventory'!$B:$H,7,FALSE()),0),IF($E716="Services",IFERROR(VLOOKUP($C716,Services!$B:$H,7,FALSE()),0),IF($E716="Patty Cash",IFERROR(VLOOKUP($C716,'Patty Cash'!$B:$H,7,FALSE()),0),0)))))</f>
        <v/>
      </c>
      <c r="I716" s="213"/>
      <c r="J716" s="214"/>
      <c r="K716" s="215"/>
      <c r="L716" s="197"/>
      <c r="M716" s="215"/>
      <c r="N716" s="216">
        <f>IFERROR(IF($E716="Inventory",VLOOKUP($C716,Inventory!$B:$I,8,FALSE()),IF($E716="Non Inventory",VLOOKUP($C716,'Non Inventory'!$B:$I,8,FALSE()),IF($E716="Services",VLOOKUP($C716,Services!$B:$I,8,FALSE()),IF($E716="Patty Cash",VLOOKUP($C716,'Patty Cash'!$B:$J,8,FALSE()),0)))),0)</f>
        <v>0</v>
      </c>
      <c r="O716" s="217" t="str">
        <f t="shared" si="11"/>
        <v/>
      </c>
    </row>
    <row r="717" spans="1:15" ht="23.1" customHeight="1">
      <c r="A717" s="206" t="str">
        <f>IF(AND($B717="",$C717=""),"",MAX($A$3:A716)+1)</f>
        <v/>
      </c>
      <c r="B717" s="207"/>
      <c r="C717" s="208"/>
      <c r="D717" s="209" t="str">
        <f>IFERROR(IF($E717="Inventory",VLOOKUP($C717,Inventory!$B:$I,2,FALSE()),IF($E717="Non Inventory",VLOOKUP($C717,'Non Inventory'!$B:$I,2,FALSE()),IF($E717="Services",VLOOKUP($C717,Services!$B:$I,2,FALSE()),IF($E717="Patty Cash",VLOOKUP($C717,'Patty Cash'!$B:$J,2,FALSE()),"")))),"")</f>
        <v/>
      </c>
      <c r="E717" s="246"/>
      <c r="F717" s="210" t="str">
        <f>IFERROR(IF($E717="Inventory",VLOOKUP($C717,Inventory!$B:$I,3,FALSE()),IF($E717="Non Inventory",VLOOKUP($C717,'Non Inventory'!$B:$I,3,FALSE()),IF($E717="Services",VLOOKUP($C717,Services!$B:$I,3,FALSE()),IF($E717="Patty Cash",VLOOKUP($C717,'Patty Cash'!$B:$J,3,FALSE()),"")))),"")</f>
        <v/>
      </c>
      <c r="G717" s="211"/>
      <c r="H717" s="212" t="str">
        <f>IF($E717="","",IF($E717="Inventory",IFERROR(VLOOKUP($C717,Inventory!$B:$H,7,FALSE()),0),IF($E717="Non Inventory",IFERROR(VLOOKUP($C717,'Non Inventory'!$B:$H,7,FALSE()),0),IF($E717="Services",IFERROR(VLOOKUP($C717,Services!$B:$H,7,FALSE()),0),IF($E717="Patty Cash",IFERROR(VLOOKUP($C717,'Patty Cash'!$B:$H,7,FALSE()),0),0)))))</f>
        <v/>
      </c>
      <c r="I717" s="213"/>
      <c r="J717" s="214"/>
      <c r="K717" s="215"/>
      <c r="L717" s="197"/>
      <c r="M717" s="215"/>
      <c r="N717" s="216">
        <f>IFERROR(IF($E717="Inventory",VLOOKUP($C717,Inventory!$B:$I,8,FALSE()),IF($E717="Non Inventory",VLOOKUP($C717,'Non Inventory'!$B:$I,8,FALSE()),IF($E717="Services",VLOOKUP($C717,Services!$B:$I,8,FALSE()),IF($E717="Patty Cash",VLOOKUP($C717,'Patty Cash'!$B:$J,8,FALSE()),0)))),0)</f>
        <v>0</v>
      </c>
      <c r="O717" s="217" t="str">
        <f t="shared" si="11"/>
        <v/>
      </c>
    </row>
    <row r="718" spans="1:15" ht="23.1" customHeight="1">
      <c r="A718" s="206" t="str">
        <f>IF(AND($B718="",$C718=""),"",MAX($A$3:A717)+1)</f>
        <v/>
      </c>
      <c r="B718" s="207"/>
      <c r="C718" s="208"/>
      <c r="D718" s="209" t="str">
        <f>IFERROR(IF($E718="Inventory",VLOOKUP($C718,Inventory!$B:$I,2,FALSE()),IF($E718="Non Inventory",VLOOKUP($C718,'Non Inventory'!$B:$I,2,FALSE()),IF($E718="Services",VLOOKUP($C718,Services!$B:$I,2,FALSE()),IF($E718="Patty Cash",VLOOKUP($C718,'Patty Cash'!$B:$J,2,FALSE()),"")))),"")</f>
        <v/>
      </c>
      <c r="E718" s="246"/>
      <c r="F718" s="210" t="str">
        <f>IFERROR(IF($E718="Inventory",VLOOKUP($C718,Inventory!$B:$I,3,FALSE()),IF($E718="Non Inventory",VLOOKUP($C718,'Non Inventory'!$B:$I,3,FALSE()),IF($E718="Services",VLOOKUP($C718,Services!$B:$I,3,FALSE()),IF($E718="Patty Cash",VLOOKUP($C718,'Patty Cash'!$B:$J,3,FALSE()),"")))),"")</f>
        <v/>
      </c>
      <c r="G718" s="211"/>
      <c r="H718" s="212" t="str">
        <f>IF($E718="","",IF($E718="Inventory",IFERROR(VLOOKUP($C718,Inventory!$B:$H,7,FALSE()),0),IF($E718="Non Inventory",IFERROR(VLOOKUP($C718,'Non Inventory'!$B:$H,7,FALSE()),0),IF($E718="Services",IFERROR(VLOOKUP($C718,Services!$B:$H,7,FALSE()),0),IF($E718="Patty Cash",IFERROR(VLOOKUP($C718,'Patty Cash'!$B:$H,7,FALSE()),0),0)))))</f>
        <v/>
      </c>
      <c r="I718" s="213"/>
      <c r="J718" s="214"/>
      <c r="K718" s="215"/>
      <c r="L718" s="197"/>
      <c r="M718" s="215"/>
      <c r="N718" s="216">
        <f>IFERROR(IF($E718="Inventory",VLOOKUP($C718,Inventory!$B:$I,8,FALSE()),IF($E718="Non Inventory",VLOOKUP($C718,'Non Inventory'!$B:$I,8,FALSE()),IF($E718="Services",VLOOKUP($C718,Services!$B:$I,8,FALSE()),IF($E718="Patty Cash",VLOOKUP($C718,'Patty Cash'!$B:$J,8,FALSE()),0)))),0)</f>
        <v>0</v>
      </c>
      <c r="O718" s="217" t="str">
        <f t="shared" si="11"/>
        <v/>
      </c>
    </row>
    <row r="719" spans="1:15" ht="23.1" customHeight="1">
      <c r="A719" s="206" t="str">
        <f>IF(AND($B719="",$C719=""),"",MAX($A$3:A718)+1)</f>
        <v/>
      </c>
      <c r="B719" s="207"/>
      <c r="C719" s="208"/>
      <c r="D719" s="209" t="str">
        <f>IFERROR(IF($E719="Inventory",VLOOKUP($C719,Inventory!$B:$I,2,FALSE()),IF($E719="Non Inventory",VLOOKUP($C719,'Non Inventory'!$B:$I,2,FALSE()),IF($E719="Services",VLOOKUP($C719,Services!$B:$I,2,FALSE()),IF($E719="Patty Cash",VLOOKUP($C719,'Patty Cash'!$B:$J,2,FALSE()),"")))),"")</f>
        <v/>
      </c>
      <c r="E719" s="246"/>
      <c r="F719" s="210" t="str">
        <f>IFERROR(IF($E719="Inventory",VLOOKUP($C719,Inventory!$B:$I,3,FALSE()),IF($E719="Non Inventory",VLOOKUP($C719,'Non Inventory'!$B:$I,3,FALSE()),IF($E719="Services",VLOOKUP($C719,Services!$B:$I,3,FALSE()),IF($E719="Patty Cash",VLOOKUP($C719,'Patty Cash'!$B:$J,3,FALSE()),"")))),"")</f>
        <v/>
      </c>
      <c r="G719" s="211"/>
      <c r="H719" s="212" t="str">
        <f>IF($E719="","",IF($E719="Inventory",IFERROR(VLOOKUP($C719,Inventory!$B:$H,7,FALSE()),0),IF($E719="Non Inventory",IFERROR(VLOOKUP($C719,'Non Inventory'!$B:$H,7,FALSE()),0),IF($E719="Services",IFERROR(VLOOKUP($C719,Services!$B:$H,7,FALSE()),0),IF($E719="Patty Cash",IFERROR(VLOOKUP($C719,'Patty Cash'!$B:$H,7,FALSE()),0),0)))))</f>
        <v/>
      </c>
      <c r="I719" s="213"/>
      <c r="J719" s="214"/>
      <c r="K719" s="215"/>
      <c r="L719" s="197"/>
      <c r="M719" s="215"/>
      <c r="N719" s="216">
        <f>IFERROR(IF($E719="Inventory",VLOOKUP($C719,Inventory!$B:$I,8,FALSE()),IF($E719="Non Inventory",VLOOKUP($C719,'Non Inventory'!$B:$I,8,FALSE()),IF($E719="Services",VLOOKUP($C719,Services!$B:$I,8,FALSE()),IF($E719="Patty Cash",VLOOKUP($C719,'Patty Cash'!$B:$J,8,FALSE()),0)))),0)</f>
        <v>0</v>
      </c>
      <c r="O719" s="217" t="str">
        <f t="shared" si="11"/>
        <v/>
      </c>
    </row>
    <row r="720" spans="1:15" ht="23.1" customHeight="1">
      <c r="A720" s="206" t="str">
        <f>IF(AND($B720="",$C720=""),"",MAX($A$3:A719)+1)</f>
        <v/>
      </c>
      <c r="B720" s="207"/>
      <c r="C720" s="208"/>
      <c r="D720" s="209" t="str">
        <f>IFERROR(IF($E720="Inventory",VLOOKUP($C720,Inventory!$B:$I,2,FALSE()),IF($E720="Non Inventory",VLOOKUP($C720,'Non Inventory'!$B:$I,2,FALSE()),IF($E720="Services",VLOOKUP($C720,Services!$B:$I,2,FALSE()),IF($E720="Patty Cash",VLOOKUP($C720,'Patty Cash'!$B:$J,2,FALSE()),"")))),"")</f>
        <v/>
      </c>
      <c r="E720" s="246"/>
      <c r="F720" s="210" t="str">
        <f>IFERROR(IF($E720="Inventory",VLOOKUP($C720,Inventory!$B:$I,3,FALSE()),IF($E720="Non Inventory",VLOOKUP($C720,'Non Inventory'!$B:$I,3,FALSE()),IF($E720="Services",VLOOKUP($C720,Services!$B:$I,3,FALSE()),IF($E720="Patty Cash",VLOOKUP($C720,'Patty Cash'!$B:$J,3,FALSE()),"")))),"")</f>
        <v/>
      </c>
      <c r="G720" s="211"/>
      <c r="H720" s="212" t="str">
        <f>IF($E720="","",IF($E720="Inventory",IFERROR(VLOOKUP($C720,Inventory!$B:$H,7,FALSE()),0),IF($E720="Non Inventory",IFERROR(VLOOKUP($C720,'Non Inventory'!$B:$H,7,FALSE()),0),IF($E720="Services",IFERROR(VLOOKUP($C720,Services!$B:$H,7,FALSE()),0),IF($E720="Patty Cash",IFERROR(VLOOKUP($C720,'Patty Cash'!$B:$H,7,FALSE()),0),0)))))</f>
        <v/>
      </c>
      <c r="I720" s="213"/>
      <c r="J720" s="214"/>
      <c r="K720" s="215"/>
      <c r="L720" s="197"/>
      <c r="M720" s="215"/>
      <c r="N720" s="216">
        <f>IFERROR(IF($E720="Inventory",VLOOKUP($C720,Inventory!$B:$I,8,FALSE()),IF($E720="Non Inventory",VLOOKUP($C720,'Non Inventory'!$B:$I,8,FALSE()),IF($E720="Services",VLOOKUP($C720,Services!$B:$I,8,FALSE()),IF($E720="Patty Cash",VLOOKUP($C720,'Patty Cash'!$B:$J,8,FALSE()),0)))),0)</f>
        <v>0</v>
      </c>
      <c r="O720" s="217" t="str">
        <f t="shared" si="11"/>
        <v/>
      </c>
    </row>
    <row r="721" spans="1:15" ht="23.1" customHeight="1">
      <c r="A721" s="206" t="str">
        <f>IF(AND($B721="",$C721=""),"",MAX($A$3:A720)+1)</f>
        <v/>
      </c>
      <c r="B721" s="207"/>
      <c r="C721" s="208"/>
      <c r="D721" s="209" t="str">
        <f>IFERROR(IF($E721="Inventory",VLOOKUP($C721,Inventory!$B:$I,2,FALSE()),IF($E721="Non Inventory",VLOOKUP($C721,'Non Inventory'!$B:$I,2,FALSE()),IF($E721="Services",VLOOKUP($C721,Services!$B:$I,2,FALSE()),IF($E721="Patty Cash",VLOOKUP($C721,'Patty Cash'!$B:$J,2,FALSE()),"")))),"")</f>
        <v/>
      </c>
      <c r="E721" s="246"/>
      <c r="F721" s="210" t="str">
        <f>IFERROR(IF($E721="Inventory",VLOOKUP($C721,Inventory!$B:$I,3,FALSE()),IF($E721="Non Inventory",VLOOKUP($C721,'Non Inventory'!$B:$I,3,FALSE()),IF($E721="Services",VLOOKUP($C721,Services!$B:$I,3,FALSE()),IF($E721="Patty Cash",VLOOKUP($C721,'Patty Cash'!$B:$J,3,FALSE()),"")))),"")</f>
        <v/>
      </c>
      <c r="G721" s="211"/>
      <c r="H721" s="212" t="str">
        <f>IF($E721="","",IF($E721="Inventory",IFERROR(VLOOKUP($C721,Inventory!$B:$H,7,FALSE()),0),IF($E721="Non Inventory",IFERROR(VLOOKUP($C721,'Non Inventory'!$B:$H,7,FALSE()),0),IF($E721="Services",IFERROR(VLOOKUP($C721,Services!$B:$H,7,FALSE()),0),IF($E721="Patty Cash",IFERROR(VLOOKUP($C721,'Patty Cash'!$B:$H,7,FALSE()),0),0)))))</f>
        <v/>
      </c>
      <c r="I721" s="213"/>
      <c r="J721" s="214"/>
      <c r="K721" s="215"/>
      <c r="L721" s="197"/>
      <c r="M721" s="215"/>
      <c r="N721" s="216">
        <f>IFERROR(IF($E721="Inventory",VLOOKUP($C721,Inventory!$B:$I,8,FALSE()),IF($E721="Non Inventory",VLOOKUP($C721,'Non Inventory'!$B:$I,8,FALSE()),IF($E721="Services",VLOOKUP($C721,Services!$B:$I,8,FALSE()),IF($E721="Patty Cash",VLOOKUP($C721,'Patty Cash'!$B:$J,8,FALSE()),0)))),0)</f>
        <v>0</v>
      </c>
      <c r="O721" s="217" t="str">
        <f t="shared" si="11"/>
        <v/>
      </c>
    </row>
    <row r="722" spans="1:15" ht="23.1" customHeight="1">
      <c r="A722" s="206" t="str">
        <f>IF(AND($B722="",$C722=""),"",MAX($A$3:A721)+1)</f>
        <v/>
      </c>
      <c r="B722" s="207"/>
      <c r="C722" s="208"/>
      <c r="D722" s="209" t="str">
        <f>IFERROR(IF($E722="Inventory",VLOOKUP($C722,Inventory!$B:$I,2,FALSE()),IF($E722="Non Inventory",VLOOKUP($C722,'Non Inventory'!$B:$I,2,FALSE()),IF($E722="Services",VLOOKUP($C722,Services!$B:$I,2,FALSE()),IF($E722="Patty Cash",VLOOKUP($C722,'Patty Cash'!$B:$J,2,FALSE()),"")))),"")</f>
        <v/>
      </c>
      <c r="E722" s="246"/>
      <c r="F722" s="210" t="str">
        <f>IFERROR(IF($E722="Inventory",VLOOKUP($C722,Inventory!$B:$I,3,FALSE()),IF($E722="Non Inventory",VLOOKUP($C722,'Non Inventory'!$B:$I,3,FALSE()),IF($E722="Services",VLOOKUP($C722,Services!$B:$I,3,FALSE()),IF($E722="Patty Cash",VLOOKUP($C722,'Patty Cash'!$B:$J,3,FALSE()),"")))),"")</f>
        <v/>
      </c>
      <c r="G722" s="211"/>
      <c r="H722" s="212" t="str">
        <f>IF($E722="","",IF($E722="Inventory",IFERROR(VLOOKUP($C722,Inventory!$B:$H,7,FALSE()),0),IF($E722="Non Inventory",IFERROR(VLOOKUP($C722,'Non Inventory'!$B:$H,7,FALSE()),0),IF($E722="Services",IFERROR(VLOOKUP($C722,Services!$B:$H,7,FALSE()),0),IF($E722="Patty Cash",IFERROR(VLOOKUP($C722,'Patty Cash'!$B:$H,7,FALSE()),0),0)))))</f>
        <v/>
      </c>
      <c r="I722" s="213"/>
      <c r="J722" s="214"/>
      <c r="K722" s="215"/>
      <c r="L722" s="197"/>
      <c r="M722" s="215"/>
      <c r="N722" s="216">
        <f>IFERROR(IF($E722="Inventory",VLOOKUP($C722,Inventory!$B:$I,8,FALSE()),IF($E722="Non Inventory",VLOOKUP($C722,'Non Inventory'!$B:$I,8,FALSE()),IF($E722="Services",VLOOKUP($C722,Services!$B:$I,8,FALSE()),IF($E722="Patty Cash",VLOOKUP($C722,'Patty Cash'!$B:$J,8,FALSE()),0)))),0)</f>
        <v>0</v>
      </c>
      <c r="O722" s="217" t="str">
        <f t="shared" si="11"/>
        <v/>
      </c>
    </row>
    <row r="723" spans="1:15" ht="23.1" customHeight="1">
      <c r="A723" s="206" t="str">
        <f>IF(AND($B723="",$C723=""),"",MAX($A$3:A722)+1)</f>
        <v/>
      </c>
      <c r="B723" s="207"/>
      <c r="C723" s="208"/>
      <c r="D723" s="209" t="str">
        <f>IFERROR(IF($E723="Inventory",VLOOKUP($C723,Inventory!$B:$I,2,FALSE()),IF($E723="Non Inventory",VLOOKUP($C723,'Non Inventory'!$B:$I,2,FALSE()),IF($E723="Services",VLOOKUP($C723,Services!$B:$I,2,FALSE()),IF($E723="Patty Cash",VLOOKUP($C723,'Patty Cash'!$B:$J,2,FALSE()),"")))),"")</f>
        <v/>
      </c>
      <c r="E723" s="246"/>
      <c r="F723" s="210" t="str">
        <f>IFERROR(IF($E723="Inventory",VLOOKUP($C723,Inventory!$B:$I,3,FALSE()),IF($E723="Non Inventory",VLOOKUP($C723,'Non Inventory'!$B:$I,3,FALSE()),IF($E723="Services",VLOOKUP($C723,Services!$B:$I,3,FALSE()),IF($E723="Patty Cash",VLOOKUP($C723,'Patty Cash'!$B:$J,3,FALSE()),"")))),"")</f>
        <v/>
      </c>
      <c r="G723" s="211"/>
      <c r="H723" s="212" t="str">
        <f>IF($E723="","",IF($E723="Inventory",IFERROR(VLOOKUP($C723,Inventory!$B:$H,7,FALSE()),0),IF($E723="Non Inventory",IFERROR(VLOOKUP($C723,'Non Inventory'!$B:$H,7,FALSE()),0),IF($E723="Services",IFERROR(VLOOKUP($C723,Services!$B:$H,7,FALSE()),0),IF($E723="Patty Cash",IFERROR(VLOOKUP($C723,'Patty Cash'!$B:$H,7,FALSE()),0),0)))))</f>
        <v/>
      </c>
      <c r="I723" s="213"/>
      <c r="J723" s="214"/>
      <c r="K723" s="215"/>
      <c r="L723" s="197"/>
      <c r="M723" s="215"/>
      <c r="N723" s="216">
        <f>IFERROR(IF($E723="Inventory",VLOOKUP($C723,Inventory!$B:$I,8,FALSE()),IF($E723="Non Inventory",VLOOKUP($C723,'Non Inventory'!$B:$I,8,FALSE()),IF($E723="Services",VLOOKUP($C723,Services!$B:$I,8,FALSE()),IF($E723="Patty Cash",VLOOKUP($C723,'Patty Cash'!$B:$J,8,FALSE()),0)))),0)</f>
        <v>0</v>
      </c>
      <c r="O723" s="217" t="str">
        <f t="shared" si="11"/>
        <v/>
      </c>
    </row>
    <row r="724" spans="1:15" ht="23.1" customHeight="1">
      <c r="A724" s="206" t="str">
        <f>IF(AND($B724="",$C724=""),"",MAX($A$3:A723)+1)</f>
        <v/>
      </c>
      <c r="B724" s="207"/>
      <c r="C724" s="208"/>
      <c r="D724" s="209" t="str">
        <f>IFERROR(IF($E724="Inventory",VLOOKUP($C724,Inventory!$B:$I,2,FALSE()),IF($E724="Non Inventory",VLOOKUP($C724,'Non Inventory'!$B:$I,2,FALSE()),IF($E724="Services",VLOOKUP($C724,Services!$B:$I,2,FALSE()),IF($E724="Patty Cash",VLOOKUP($C724,'Patty Cash'!$B:$J,2,FALSE()),"")))),"")</f>
        <v/>
      </c>
      <c r="E724" s="246"/>
      <c r="F724" s="210" t="str">
        <f>IFERROR(IF($E724="Inventory",VLOOKUP($C724,Inventory!$B:$I,3,FALSE()),IF($E724="Non Inventory",VLOOKUP($C724,'Non Inventory'!$B:$I,3,FALSE()),IF($E724="Services",VLOOKUP($C724,Services!$B:$I,3,FALSE()),IF($E724="Patty Cash",VLOOKUP($C724,'Patty Cash'!$B:$J,3,FALSE()),"")))),"")</f>
        <v/>
      </c>
      <c r="G724" s="211"/>
      <c r="H724" s="212" t="str">
        <f>IF($E724="","",IF($E724="Inventory",IFERROR(VLOOKUP($C724,Inventory!$B:$H,7,FALSE()),0),IF($E724="Non Inventory",IFERROR(VLOOKUP($C724,'Non Inventory'!$B:$H,7,FALSE()),0),IF($E724="Services",IFERROR(VLOOKUP($C724,Services!$B:$H,7,FALSE()),0),IF($E724="Patty Cash",IFERROR(VLOOKUP($C724,'Patty Cash'!$B:$H,7,FALSE()),0),0)))))</f>
        <v/>
      </c>
      <c r="I724" s="213"/>
      <c r="J724" s="214"/>
      <c r="K724" s="215"/>
      <c r="L724" s="197"/>
      <c r="M724" s="215"/>
      <c r="N724" s="216">
        <f>IFERROR(IF($E724="Inventory",VLOOKUP($C724,Inventory!$B:$I,8,FALSE()),IF($E724="Non Inventory",VLOOKUP($C724,'Non Inventory'!$B:$I,8,FALSE()),IF($E724="Services",VLOOKUP($C724,Services!$B:$I,8,FALSE()),IF($E724="Patty Cash",VLOOKUP($C724,'Patty Cash'!$B:$J,8,FALSE()),0)))),0)</f>
        <v>0</v>
      </c>
      <c r="O724" s="217" t="str">
        <f t="shared" si="11"/>
        <v/>
      </c>
    </row>
    <row r="725" spans="1:15" ht="23.1" customHeight="1">
      <c r="A725" s="206" t="str">
        <f>IF(AND($B725="",$C725=""),"",MAX($A$3:A724)+1)</f>
        <v/>
      </c>
      <c r="B725" s="207"/>
      <c r="C725" s="208"/>
      <c r="D725" s="209" t="str">
        <f>IFERROR(IF($E725="Inventory",VLOOKUP($C725,Inventory!$B:$I,2,FALSE()),IF($E725="Non Inventory",VLOOKUP($C725,'Non Inventory'!$B:$I,2,FALSE()),IF($E725="Services",VLOOKUP($C725,Services!$B:$I,2,FALSE()),IF($E725="Patty Cash",VLOOKUP($C725,'Patty Cash'!$B:$J,2,FALSE()),"")))),"")</f>
        <v/>
      </c>
      <c r="E725" s="246"/>
      <c r="F725" s="210" t="str">
        <f>IFERROR(IF($E725="Inventory",VLOOKUP($C725,Inventory!$B:$I,3,FALSE()),IF($E725="Non Inventory",VLOOKUP($C725,'Non Inventory'!$B:$I,3,FALSE()),IF($E725="Services",VLOOKUP($C725,Services!$B:$I,3,FALSE()),IF($E725="Patty Cash",VLOOKUP($C725,'Patty Cash'!$B:$J,3,FALSE()),"")))),"")</f>
        <v/>
      </c>
      <c r="G725" s="211"/>
      <c r="H725" s="212" t="str">
        <f>IF($E725="","",IF($E725="Inventory",IFERROR(VLOOKUP($C725,Inventory!$B:$H,7,FALSE()),0),IF($E725="Non Inventory",IFERROR(VLOOKUP($C725,'Non Inventory'!$B:$H,7,FALSE()),0),IF($E725="Services",IFERROR(VLOOKUP($C725,Services!$B:$H,7,FALSE()),0),IF($E725="Patty Cash",IFERROR(VLOOKUP($C725,'Patty Cash'!$B:$H,7,FALSE()),0),0)))))</f>
        <v/>
      </c>
      <c r="I725" s="213"/>
      <c r="J725" s="214"/>
      <c r="K725" s="215"/>
      <c r="L725" s="197"/>
      <c r="M725" s="215"/>
      <c r="N725" s="216">
        <f>IFERROR(IF($E725="Inventory",VLOOKUP($C725,Inventory!$B:$I,8,FALSE()),IF($E725="Non Inventory",VLOOKUP($C725,'Non Inventory'!$B:$I,8,FALSE()),IF($E725="Services",VLOOKUP($C725,Services!$B:$I,8,FALSE()),IF($E725="Patty Cash",VLOOKUP($C725,'Patty Cash'!$B:$J,8,FALSE()),0)))),0)</f>
        <v>0</v>
      </c>
      <c r="O725" s="217" t="str">
        <f t="shared" si="11"/>
        <v/>
      </c>
    </row>
    <row r="726" spans="1:15" ht="23.1" customHeight="1">
      <c r="A726" s="206" t="str">
        <f>IF(AND($B726="",$C726=""),"",MAX($A$3:A725)+1)</f>
        <v/>
      </c>
      <c r="B726" s="207"/>
      <c r="C726" s="208"/>
      <c r="D726" s="209" t="str">
        <f>IFERROR(IF($E726="Inventory",VLOOKUP($C726,Inventory!$B:$I,2,FALSE()),IF($E726="Non Inventory",VLOOKUP($C726,'Non Inventory'!$B:$I,2,FALSE()),IF($E726="Services",VLOOKUP($C726,Services!$B:$I,2,FALSE()),IF($E726="Patty Cash",VLOOKUP($C726,'Patty Cash'!$B:$J,2,FALSE()),"")))),"")</f>
        <v/>
      </c>
      <c r="E726" s="246"/>
      <c r="F726" s="210" t="str">
        <f>IFERROR(IF($E726="Inventory",VLOOKUP($C726,Inventory!$B:$I,3,FALSE()),IF($E726="Non Inventory",VLOOKUP($C726,'Non Inventory'!$B:$I,3,FALSE()),IF($E726="Services",VLOOKUP($C726,Services!$B:$I,3,FALSE()),IF($E726="Patty Cash",VLOOKUP($C726,'Patty Cash'!$B:$J,3,FALSE()),"")))),"")</f>
        <v/>
      </c>
      <c r="G726" s="211"/>
      <c r="H726" s="212" t="str">
        <f>IF($E726="","",IF($E726="Inventory",IFERROR(VLOOKUP($C726,Inventory!$B:$H,7,FALSE()),0),IF($E726="Non Inventory",IFERROR(VLOOKUP($C726,'Non Inventory'!$B:$H,7,FALSE()),0),IF($E726="Services",IFERROR(VLOOKUP($C726,Services!$B:$H,7,FALSE()),0),IF($E726="Patty Cash",IFERROR(VLOOKUP($C726,'Patty Cash'!$B:$H,7,FALSE()),0),0)))))</f>
        <v/>
      </c>
      <c r="I726" s="213"/>
      <c r="J726" s="214"/>
      <c r="K726" s="215"/>
      <c r="L726" s="197"/>
      <c r="M726" s="215"/>
      <c r="N726" s="216">
        <f>IFERROR(IF($E726="Inventory",VLOOKUP($C726,Inventory!$B:$I,8,FALSE()),IF($E726="Non Inventory",VLOOKUP($C726,'Non Inventory'!$B:$I,8,FALSE()),IF($E726="Services",VLOOKUP($C726,Services!$B:$I,8,FALSE()),IF($E726="Patty Cash",VLOOKUP($C726,'Patty Cash'!$B:$J,8,FALSE()),0)))),0)</f>
        <v>0</v>
      </c>
      <c r="O726" s="217" t="str">
        <f t="shared" si="11"/>
        <v/>
      </c>
    </row>
    <row r="727" spans="1:15" ht="23.1" customHeight="1">
      <c r="A727" s="206" t="str">
        <f>IF(AND($B727="",$C727=""),"",MAX($A$3:A726)+1)</f>
        <v/>
      </c>
      <c r="B727" s="207"/>
      <c r="C727" s="208"/>
      <c r="D727" s="209" t="str">
        <f>IFERROR(IF($E727="Inventory",VLOOKUP($C727,Inventory!$B:$I,2,FALSE()),IF($E727="Non Inventory",VLOOKUP($C727,'Non Inventory'!$B:$I,2,FALSE()),IF($E727="Services",VLOOKUP($C727,Services!$B:$I,2,FALSE()),IF($E727="Patty Cash",VLOOKUP($C727,'Patty Cash'!$B:$J,2,FALSE()),"")))),"")</f>
        <v/>
      </c>
      <c r="E727" s="246"/>
      <c r="F727" s="210" t="str">
        <f>IFERROR(IF($E727="Inventory",VLOOKUP($C727,Inventory!$B:$I,3,FALSE()),IF($E727="Non Inventory",VLOOKUP($C727,'Non Inventory'!$B:$I,3,FALSE()),IF($E727="Services",VLOOKUP($C727,Services!$B:$I,3,FALSE()),IF($E727="Patty Cash",VLOOKUP($C727,'Patty Cash'!$B:$J,3,FALSE()),"")))),"")</f>
        <v/>
      </c>
      <c r="G727" s="211"/>
      <c r="H727" s="212" t="str">
        <f>IF($E727="","",IF($E727="Inventory",IFERROR(VLOOKUP($C727,Inventory!$B:$H,7,FALSE()),0),IF($E727="Non Inventory",IFERROR(VLOOKUP($C727,'Non Inventory'!$B:$H,7,FALSE()),0),IF($E727="Services",IFERROR(VLOOKUP($C727,Services!$B:$H,7,FALSE()),0),IF($E727="Patty Cash",IFERROR(VLOOKUP($C727,'Patty Cash'!$B:$H,7,FALSE()),0),0)))))</f>
        <v/>
      </c>
      <c r="I727" s="213"/>
      <c r="J727" s="214"/>
      <c r="K727" s="215"/>
      <c r="L727" s="197"/>
      <c r="M727" s="215"/>
      <c r="N727" s="216">
        <f>IFERROR(IF($E727="Inventory",VLOOKUP($C727,Inventory!$B:$I,8,FALSE()),IF($E727="Non Inventory",VLOOKUP($C727,'Non Inventory'!$B:$I,8,FALSE()),IF($E727="Services",VLOOKUP($C727,Services!$B:$I,8,FALSE()),IF($E727="Patty Cash",VLOOKUP($C727,'Patty Cash'!$B:$J,8,FALSE()),0)))),0)</f>
        <v>0</v>
      </c>
      <c r="O727" s="217" t="str">
        <f t="shared" si="11"/>
        <v/>
      </c>
    </row>
    <row r="728" spans="1:15" ht="23.1" customHeight="1">
      <c r="A728" s="206" t="str">
        <f>IF(AND($B728="",$C728=""),"",MAX($A$3:A727)+1)</f>
        <v/>
      </c>
      <c r="B728" s="207"/>
      <c r="C728" s="208"/>
      <c r="D728" s="209" t="str">
        <f>IFERROR(IF($E728="Inventory",VLOOKUP($C728,Inventory!$B:$I,2,FALSE()),IF($E728="Non Inventory",VLOOKUP($C728,'Non Inventory'!$B:$I,2,FALSE()),IF($E728="Services",VLOOKUP($C728,Services!$B:$I,2,FALSE()),IF($E728="Patty Cash",VLOOKUP($C728,'Patty Cash'!$B:$J,2,FALSE()),"")))),"")</f>
        <v/>
      </c>
      <c r="E728" s="246"/>
      <c r="F728" s="210" t="str">
        <f>IFERROR(IF($E728="Inventory",VLOOKUP($C728,Inventory!$B:$I,3,FALSE()),IF($E728="Non Inventory",VLOOKUP($C728,'Non Inventory'!$B:$I,3,FALSE()),IF($E728="Services",VLOOKUP($C728,Services!$B:$I,3,FALSE()),IF($E728="Patty Cash",VLOOKUP($C728,'Patty Cash'!$B:$J,3,FALSE()),"")))),"")</f>
        <v/>
      </c>
      <c r="G728" s="211"/>
      <c r="H728" s="212" t="str">
        <f>IF($E728="","",IF($E728="Inventory",IFERROR(VLOOKUP($C728,Inventory!$B:$H,7,FALSE()),0),IF($E728="Non Inventory",IFERROR(VLOOKUP($C728,'Non Inventory'!$B:$H,7,FALSE()),0),IF($E728="Services",IFERROR(VLOOKUP($C728,Services!$B:$H,7,FALSE()),0),IF($E728="Patty Cash",IFERROR(VLOOKUP($C728,'Patty Cash'!$B:$H,7,FALSE()),0),0)))))</f>
        <v/>
      </c>
      <c r="I728" s="213"/>
      <c r="J728" s="214"/>
      <c r="K728" s="215"/>
      <c r="L728" s="197"/>
      <c r="M728" s="215"/>
      <c r="N728" s="216">
        <f>IFERROR(IF($E728="Inventory",VLOOKUP($C728,Inventory!$B:$I,8,FALSE()),IF($E728="Non Inventory",VLOOKUP($C728,'Non Inventory'!$B:$I,8,FALSE()),IF($E728="Services",VLOOKUP($C728,Services!$B:$I,8,FALSE()),IF($E728="Patty Cash",VLOOKUP($C728,'Patty Cash'!$B:$J,8,FALSE()),0)))),0)</f>
        <v>0</v>
      </c>
      <c r="O728" s="217" t="str">
        <f t="shared" si="11"/>
        <v/>
      </c>
    </row>
    <row r="729" spans="1:15" ht="23.1" customHeight="1">
      <c r="A729" s="206" t="str">
        <f>IF(AND($B729="",$C729=""),"",MAX($A$3:A728)+1)</f>
        <v/>
      </c>
      <c r="B729" s="207"/>
      <c r="C729" s="208"/>
      <c r="D729" s="209" t="str">
        <f>IFERROR(IF($E729="Inventory",VLOOKUP($C729,Inventory!$B:$I,2,FALSE()),IF($E729="Non Inventory",VLOOKUP($C729,'Non Inventory'!$B:$I,2,FALSE()),IF($E729="Services",VLOOKUP($C729,Services!$B:$I,2,FALSE()),IF($E729="Patty Cash",VLOOKUP($C729,'Patty Cash'!$B:$J,2,FALSE()),"")))),"")</f>
        <v/>
      </c>
      <c r="E729" s="246"/>
      <c r="F729" s="210" t="str">
        <f>IFERROR(IF($E729="Inventory",VLOOKUP($C729,Inventory!$B:$I,3,FALSE()),IF($E729="Non Inventory",VLOOKUP($C729,'Non Inventory'!$B:$I,3,FALSE()),IF($E729="Services",VLOOKUP($C729,Services!$B:$I,3,FALSE()),IF($E729="Patty Cash",VLOOKUP($C729,'Patty Cash'!$B:$J,3,FALSE()),"")))),"")</f>
        <v/>
      </c>
      <c r="G729" s="211"/>
      <c r="H729" s="212" t="str">
        <f>IF($E729="","",IF($E729="Inventory",IFERROR(VLOOKUP($C729,Inventory!$B:$H,7,FALSE()),0),IF($E729="Non Inventory",IFERROR(VLOOKUP($C729,'Non Inventory'!$B:$H,7,FALSE()),0),IF($E729="Services",IFERROR(VLOOKUP($C729,Services!$B:$H,7,FALSE()),0),IF($E729="Patty Cash",IFERROR(VLOOKUP($C729,'Patty Cash'!$B:$H,7,FALSE()),0),0)))))</f>
        <v/>
      </c>
      <c r="I729" s="213"/>
      <c r="J729" s="214"/>
      <c r="K729" s="215"/>
      <c r="L729" s="197"/>
      <c r="M729" s="215"/>
      <c r="N729" s="216">
        <f>IFERROR(IF($E729="Inventory",VLOOKUP($C729,Inventory!$B:$I,8,FALSE()),IF($E729="Non Inventory",VLOOKUP($C729,'Non Inventory'!$B:$I,8,FALSE()),IF($E729="Services",VLOOKUP($C729,Services!$B:$I,8,FALSE()),IF($E729="Patty Cash",VLOOKUP($C729,'Patty Cash'!$B:$J,8,FALSE()),0)))),0)</f>
        <v>0</v>
      </c>
      <c r="O729" s="217" t="str">
        <f t="shared" si="11"/>
        <v/>
      </c>
    </row>
    <row r="730" spans="1:15" ht="23.1" customHeight="1">
      <c r="A730" s="206" t="str">
        <f>IF(AND($B730="",$C730=""),"",MAX($A$3:A729)+1)</f>
        <v/>
      </c>
      <c r="B730" s="207"/>
      <c r="C730" s="208"/>
      <c r="D730" s="209" t="str">
        <f>IFERROR(IF($E730="Inventory",VLOOKUP($C730,Inventory!$B:$I,2,FALSE()),IF($E730="Non Inventory",VLOOKUP($C730,'Non Inventory'!$B:$I,2,FALSE()),IF($E730="Services",VLOOKUP($C730,Services!$B:$I,2,FALSE()),IF($E730="Patty Cash",VLOOKUP($C730,'Patty Cash'!$B:$J,2,FALSE()),"")))),"")</f>
        <v/>
      </c>
      <c r="E730" s="246"/>
      <c r="F730" s="210" t="str">
        <f>IFERROR(IF($E730="Inventory",VLOOKUP($C730,Inventory!$B:$I,3,FALSE()),IF($E730="Non Inventory",VLOOKUP($C730,'Non Inventory'!$B:$I,3,FALSE()),IF($E730="Services",VLOOKUP($C730,Services!$B:$I,3,FALSE()),IF($E730="Patty Cash",VLOOKUP($C730,'Patty Cash'!$B:$J,3,FALSE()),"")))),"")</f>
        <v/>
      </c>
      <c r="G730" s="211"/>
      <c r="H730" s="212" t="str">
        <f>IF($E730="","",IF($E730="Inventory",IFERROR(VLOOKUP($C730,Inventory!$B:$H,7,FALSE()),0),IF($E730="Non Inventory",IFERROR(VLOOKUP($C730,'Non Inventory'!$B:$H,7,FALSE()),0),IF($E730="Services",IFERROR(VLOOKUP($C730,Services!$B:$H,7,FALSE()),0),IF($E730="Patty Cash",IFERROR(VLOOKUP($C730,'Patty Cash'!$B:$H,7,FALSE()),0),0)))))</f>
        <v/>
      </c>
      <c r="I730" s="213"/>
      <c r="J730" s="214"/>
      <c r="K730" s="215"/>
      <c r="L730" s="197"/>
      <c r="M730" s="215"/>
      <c r="N730" s="216">
        <f>IFERROR(IF($E730="Inventory",VLOOKUP($C730,Inventory!$B:$I,8,FALSE()),IF($E730="Non Inventory",VLOOKUP($C730,'Non Inventory'!$B:$I,8,FALSE()),IF($E730="Services",VLOOKUP($C730,Services!$B:$I,8,FALSE()),IF($E730="Patty Cash",VLOOKUP($C730,'Patty Cash'!$B:$J,8,FALSE()),0)))),0)</f>
        <v>0</v>
      </c>
      <c r="O730" s="217" t="str">
        <f t="shared" si="11"/>
        <v/>
      </c>
    </row>
    <row r="731" spans="1:15" ht="23.1" customHeight="1">
      <c r="A731" s="206" t="str">
        <f>IF(AND($B731="",$C731=""),"",MAX($A$3:A730)+1)</f>
        <v/>
      </c>
      <c r="B731" s="207"/>
      <c r="C731" s="208"/>
      <c r="D731" s="209" t="str">
        <f>IFERROR(IF($E731="Inventory",VLOOKUP($C731,Inventory!$B:$I,2,FALSE()),IF($E731="Non Inventory",VLOOKUP($C731,'Non Inventory'!$B:$I,2,FALSE()),IF($E731="Services",VLOOKUP($C731,Services!$B:$I,2,FALSE()),IF($E731="Patty Cash",VLOOKUP($C731,'Patty Cash'!$B:$J,2,FALSE()),"")))),"")</f>
        <v/>
      </c>
      <c r="E731" s="246"/>
      <c r="F731" s="210" t="str">
        <f>IFERROR(IF($E731="Inventory",VLOOKUP($C731,Inventory!$B:$I,3,FALSE()),IF($E731="Non Inventory",VLOOKUP($C731,'Non Inventory'!$B:$I,3,FALSE()),IF($E731="Services",VLOOKUP($C731,Services!$B:$I,3,FALSE()),IF($E731="Patty Cash",VLOOKUP($C731,'Patty Cash'!$B:$J,3,FALSE()),"")))),"")</f>
        <v/>
      </c>
      <c r="G731" s="211"/>
      <c r="H731" s="212" t="str">
        <f>IF($E731="","",IF($E731="Inventory",IFERROR(VLOOKUP($C731,Inventory!$B:$H,7,FALSE()),0),IF($E731="Non Inventory",IFERROR(VLOOKUP($C731,'Non Inventory'!$B:$H,7,FALSE()),0),IF($E731="Services",IFERROR(VLOOKUP($C731,Services!$B:$H,7,FALSE()),0),IF($E731="Patty Cash",IFERROR(VLOOKUP($C731,'Patty Cash'!$B:$H,7,FALSE()),0),0)))))</f>
        <v/>
      </c>
      <c r="I731" s="213"/>
      <c r="J731" s="214"/>
      <c r="K731" s="215"/>
      <c r="L731" s="197"/>
      <c r="M731" s="215"/>
      <c r="N731" s="216">
        <f>IFERROR(IF($E731="Inventory",VLOOKUP($C731,Inventory!$B:$I,8,FALSE()),IF($E731="Non Inventory",VLOOKUP($C731,'Non Inventory'!$B:$I,8,FALSE()),IF($E731="Services",VLOOKUP($C731,Services!$B:$I,8,FALSE()),IF($E731="Patty Cash",VLOOKUP($C731,'Patty Cash'!$B:$J,8,FALSE()),0)))),0)</f>
        <v>0</v>
      </c>
      <c r="O731" s="217" t="str">
        <f t="shared" si="11"/>
        <v/>
      </c>
    </row>
    <row r="732" spans="1:15" ht="23.1" customHeight="1">
      <c r="A732" s="206" t="str">
        <f>IF(AND($B732="",$C732=""),"",MAX($A$3:A731)+1)</f>
        <v/>
      </c>
      <c r="B732" s="207"/>
      <c r="C732" s="208"/>
      <c r="D732" s="209" t="str">
        <f>IFERROR(IF($E732="Inventory",VLOOKUP($C732,Inventory!$B:$I,2,FALSE()),IF($E732="Non Inventory",VLOOKUP($C732,'Non Inventory'!$B:$I,2,FALSE()),IF($E732="Services",VLOOKUP($C732,Services!$B:$I,2,FALSE()),IF($E732="Patty Cash",VLOOKUP($C732,'Patty Cash'!$B:$J,2,FALSE()),"")))),"")</f>
        <v/>
      </c>
      <c r="E732" s="246"/>
      <c r="F732" s="210" t="str">
        <f>IFERROR(IF($E732="Inventory",VLOOKUP($C732,Inventory!$B:$I,3,FALSE()),IF($E732="Non Inventory",VLOOKUP($C732,'Non Inventory'!$B:$I,3,FALSE()),IF($E732="Services",VLOOKUP($C732,Services!$B:$I,3,FALSE()),IF($E732="Patty Cash",VLOOKUP($C732,'Patty Cash'!$B:$J,3,FALSE()),"")))),"")</f>
        <v/>
      </c>
      <c r="G732" s="211"/>
      <c r="H732" s="212" t="str">
        <f>IF($E732="","",IF($E732="Inventory",IFERROR(VLOOKUP($C732,Inventory!$B:$H,7,FALSE()),0),IF($E732="Non Inventory",IFERROR(VLOOKUP($C732,'Non Inventory'!$B:$H,7,FALSE()),0),IF($E732="Services",IFERROR(VLOOKUP($C732,Services!$B:$H,7,FALSE()),0),IF($E732="Patty Cash",IFERROR(VLOOKUP($C732,'Patty Cash'!$B:$H,7,FALSE()),0),0)))))</f>
        <v/>
      </c>
      <c r="I732" s="213"/>
      <c r="J732" s="214"/>
      <c r="K732" s="215"/>
      <c r="L732" s="197"/>
      <c r="M732" s="215"/>
      <c r="N732" s="216">
        <f>IFERROR(IF($E732="Inventory",VLOOKUP($C732,Inventory!$B:$I,8,FALSE()),IF($E732="Non Inventory",VLOOKUP($C732,'Non Inventory'!$B:$I,8,FALSE()),IF($E732="Services",VLOOKUP($C732,Services!$B:$I,8,FALSE()),IF($E732="Patty Cash",VLOOKUP($C732,'Patty Cash'!$B:$J,8,FALSE()),0)))),0)</f>
        <v>0</v>
      </c>
      <c r="O732" s="217" t="str">
        <f t="shared" si="11"/>
        <v/>
      </c>
    </row>
    <row r="733" spans="1:15" ht="23.1" customHeight="1">
      <c r="A733" s="206" t="str">
        <f>IF(AND($B733="",$C733=""),"",MAX($A$3:A732)+1)</f>
        <v/>
      </c>
      <c r="B733" s="207"/>
      <c r="C733" s="208"/>
      <c r="D733" s="209" t="str">
        <f>IFERROR(IF($E733="Inventory",VLOOKUP($C733,Inventory!$B:$I,2,FALSE()),IF($E733="Non Inventory",VLOOKUP($C733,'Non Inventory'!$B:$I,2,FALSE()),IF($E733="Services",VLOOKUP($C733,Services!$B:$I,2,FALSE()),IF($E733="Patty Cash",VLOOKUP($C733,'Patty Cash'!$B:$J,2,FALSE()),"")))),"")</f>
        <v/>
      </c>
      <c r="E733" s="246"/>
      <c r="F733" s="210" t="str">
        <f>IFERROR(IF($E733="Inventory",VLOOKUP($C733,Inventory!$B:$I,3,FALSE()),IF($E733="Non Inventory",VLOOKUP($C733,'Non Inventory'!$B:$I,3,FALSE()),IF($E733="Services",VLOOKUP($C733,Services!$B:$I,3,FALSE()),IF($E733="Patty Cash",VLOOKUP($C733,'Patty Cash'!$B:$J,3,FALSE()),"")))),"")</f>
        <v/>
      </c>
      <c r="G733" s="211"/>
      <c r="H733" s="212" t="str">
        <f>IF($E733="","",IF($E733="Inventory",IFERROR(VLOOKUP($C733,Inventory!$B:$H,7,FALSE()),0),IF($E733="Non Inventory",IFERROR(VLOOKUP($C733,'Non Inventory'!$B:$H,7,FALSE()),0),IF($E733="Services",IFERROR(VLOOKUP($C733,Services!$B:$H,7,FALSE()),0),IF($E733="Patty Cash",IFERROR(VLOOKUP($C733,'Patty Cash'!$B:$H,7,FALSE()),0),0)))))</f>
        <v/>
      </c>
      <c r="I733" s="213"/>
      <c r="J733" s="214"/>
      <c r="K733" s="215"/>
      <c r="L733" s="197"/>
      <c r="M733" s="215"/>
      <c r="N733" s="216">
        <f>IFERROR(IF($E733="Inventory",VLOOKUP($C733,Inventory!$B:$I,8,FALSE()),IF($E733="Non Inventory",VLOOKUP($C733,'Non Inventory'!$B:$I,8,FALSE()),IF($E733="Services",VLOOKUP($C733,Services!$B:$I,8,FALSE()),IF($E733="Patty Cash",VLOOKUP($C733,'Patty Cash'!$B:$J,8,FALSE()),0)))),0)</f>
        <v>0</v>
      </c>
      <c r="O733" s="217" t="str">
        <f t="shared" si="11"/>
        <v/>
      </c>
    </row>
    <row r="734" spans="1:15" ht="23.1" customHeight="1">
      <c r="A734" s="206" t="str">
        <f>IF(AND($B734="",$C734=""),"",MAX($A$3:A733)+1)</f>
        <v/>
      </c>
      <c r="B734" s="207"/>
      <c r="C734" s="208"/>
      <c r="D734" s="209" t="str">
        <f>IFERROR(IF($E734="Inventory",VLOOKUP($C734,Inventory!$B:$I,2,FALSE()),IF($E734="Non Inventory",VLOOKUP($C734,'Non Inventory'!$B:$I,2,FALSE()),IF($E734="Services",VLOOKUP($C734,Services!$B:$I,2,FALSE()),IF($E734="Patty Cash",VLOOKUP($C734,'Patty Cash'!$B:$J,2,FALSE()),"")))),"")</f>
        <v/>
      </c>
      <c r="E734" s="246"/>
      <c r="F734" s="210" t="str">
        <f>IFERROR(IF($E734="Inventory",VLOOKUP($C734,Inventory!$B:$I,3,FALSE()),IF($E734="Non Inventory",VLOOKUP($C734,'Non Inventory'!$B:$I,3,FALSE()),IF($E734="Services",VLOOKUP($C734,Services!$B:$I,3,FALSE()),IF($E734="Patty Cash",VLOOKUP($C734,'Patty Cash'!$B:$J,3,FALSE()),"")))),"")</f>
        <v/>
      </c>
      <c r="G734" s="211"/>
      <c r="H734" s="212" t="str">
        <f>IF($E734="","",IF($E734="Inventory",IFERROR(VLOOKUP($C734,Inventory!$B:$H,7,FALSE()),0),IF($E734="Non Inventory",IFERROR(VLOOKUP($C734,'Non Inventory'!$B:$H,7,FALSE()),0),IF($E734="Services",IFERROR(VLOOKUP($C734,Services!$B:$H,7,FALSE()),0),IF($E734="Patty Cash",IFERROR(VLOOKUP($C734,'Patty Cash'!$B:$H,7,FALSE()),0),0)))))</f>
        <v/>
      </c>
      <c r="I734" s="213"/>
      <c r="J734" s="214"/>
      <c r="K734" s="215"/>
      <c r="L734" s="197"/>
      <c r="M734" s="215"/>
      <c r="N734" s="216">
        <f>IFERROR(IF($E734="Inventory",VLOOKUP($C734,Inventory!$B:$I,8,FALSE()),IF($E734="Non Inventory",VLOOKUP($C734,'Non Inventory'!$B:$I,8,FALSE()),IF($E734="Services",VLOOKUP($C734,Services!$B:$I,8,FALSE()),IF($E734="Patty Cash",VLOOKUP($C734,'Patty Cash'!$B:$J,8,FALSE()),0)))),0)</f>
        <v>0</v>
      </c>
      <c r="O734" s="217" t="str">
        <f t="shared" si="11"/>
        <v/>
      </c>
    </row>
    <row r="735" spans="1:15" ht="23.1" customHeight="1">
      <c r="A735" s="206" t="str">
        <f>IF(AND($B735="",$C735=""),"",MAX($A$3:A734)+1)</f>
        <v/>
      </c>
      <c r="B735" s="207"/>
      <c r="C735" s="208"/>
      <c r="D735" s="209" t="str">
        <f>IFERROR(IF($E735="Inventory",VLOOKUP($C735,Inventory!$B:$I,2,FALSE()),IF($E735="Non Inventory",VLOOKUP($C735,'Non Inventory'!$B:$I,2,FALSE()),IF($E735="Services",VLOOKUP($C735,Services!$B:$I,2,FALSE()),IF($E735="Patty Cash",VLOOKUP($C735,'Patty Cash'!$B:$J,2,FALSE()),"")))),"")</f>
        <v/>
      </c>
      <c r="E735" s="246"/>
      <c r="F735" s="210" t="str">
        <f>IFERROR(IF($E735="Inventory",VLOOKUP($C735,Inventory!$B:$I,3,FALSE()),IF($E735="Non Inventory",VLOOKUP($C735,'Non Inventory'!$B:$I,3,FALSE()),IF($E735="Services",VLOOKUP($C735,Services!$B:$I,3,FALSE()),IF($E735="Patty Cash",VLOOKUP($C735,'Patty Cash'!$B:$J,3,FALSE()),"")))),"")</f>
        <v/>
      </c>
      <c r="G735" s="211"/>
      <c r="H735" s="212" t="str">
        <f>IF($E735="","",IF($E735="Inventory",IFERROR(VLOOKUP($C735,Inventory!$B:$H,7,FALSE()),0),IF($E735="Non Inventory",IFERROR(VLOOKUP($C735,'Non Inventory'!$B:$H,7,FALSE()),0),IF($E735="Services",IFERROR(VLOOKUP($C735,Services!$B:$H,7,FALSE()),0),IF($E735="Patty Cash",IFERROR(VLOOKUP($C735,'Patty Cash'!$B:$H,7,FALSE()),0),0)))))</f>
        <v/>
      </c>
      <c r="I735" s="213"/>
      <c r="J735" s="214"/>
      <c r="K735" s="215"/>
      <c r="L735" s="197"/>
      <c r="M735" s="215"/>
      <c r="N735" s="216">
        <f>IFERROR(IF($E735="Inventory",VLOOKUP($C735,Inventory!$B:$I,8,FALSE()),IF($E735="Non Inventory",VLOOKUP($C735,'Non Inventory'!$B:$I,8,FALSE()),IF($E735="Services",VLOOKUP($C735,Services!$B:$I,8,FALSE()),IF($E735="Patty Cash",VLOOKUP($C735,'Patty Cash'!$B:$J,8,FALSE()),0)))),0)</f>
        <v>0</v>
      </c>
      <c r="O735" s="217" t="str">
        <f t="shared" si="11"/>
        <v/>
      </c>
    </row>
    <row r="736" spans="1:15" ht="23.1" customHeight="1">
      <c r="A736" s="206" t="str">
        <f>IF(AND($B736="",$C736=""),"",MAX($A$3:A735)+1)</f>
        <v/>
      </c>
      <c r="B736" s="207"/>
      <c r="C736" s="208"/>
      <c r="D736" s="209" t="str">
        <f>IFERROR(IF($E736="Inventory",VLOOKUP($C736,Inventory!$B:$I,2,FALSE()),IF($E736="Non Inventory",VLOOKUP($C736,'Non Inventory'!$B:$I,2,FALSE()),IF($E736="Services",VLOOKUP($C736,Services!$B:$I,2,FALSE()),IF($E736="Patty Cash",VLOOKUP($C736,'Patty Cash'!$B:$J,2,FALSE()),"")))),"")</f>
        <v/>
      </c>
      <c r="E736" s="246"/>
      <c r="F736" s="210" t="str">
        <f>IFERROR(IF($E736="Inventory",VLOOKUP($C736,Inventory!$B:$I,3,FALSE()),IF($E736="Non Inventory",VLOOKUP($C736,'Non Inventory'!$B:$I,3,FALSE()),IF($E736="Services",VLOOKUP($C736,Services!$B:$I,3,FALSE()),IF($E736="Patty Cash",VLOOKUP($C736,'Patty Cash'!$B:$J,3,FALSE()),"")))),"")</f>
        <v/>
      </c>
      <c r="G736" s="211"/>
      <c r="H736" s="212" t="str">
        <f>IF($E736="","",IF($E736="Inventory",IFERROR(VLOOKUP($C736,Inventory!$B:$H,7,FALSE()),0),IF($E736="Non Inventory",IFERROR(VLOOKUP($C736,'Non Inventory'!$B:$H,7,FALSE()),0),IF($E736="Services",IFERROR(VLOOKUP($C736,Services!$B:$H,7,FALSE()),0),IF($E736="Patty Cash",IFERROR(VLOOKUP($C736,'Patty Cash'!$B:$H,7,FALSE()),0),0)))))</f>
        <v/>
      </c>
      <c r="I736" s="213"/>
      <c r="J736" s="214"/>
      <c r="K736" s="215"/>
      <c r="L736" s="197"/>
      <c r="M736" s="215"/>
      <c r="N736" s="216">
        <f>IFERROR(IF($E736="Inventory",VLOOKUP($C736,Inventory!$B:$I,8,FALSE()),IF($E736="Non Inventory",VLOOKUP($C736,'Non Inventory'!$B:$I,8,FALSE()),IF($E736="Services",VLOOKUP($C736,Services!$B:$I,8,FALSE()),IF($E736="Patty Cash",VLOOKUP($C736,'Patty Cash'!$B:$J,8,FALSE()),0)))),0)</f>
        <v>0</v>
      </c>
      <c r="O736" s="217" t="str">
        <f t="shared" si="11"/>
        <v/>
      </c>
    </row>
    <row r="737" spans="1:15" ht="23.1" customHeight="1">
      <c r="A737" s="206" t="str">
        <f>IF(AND($B737="",$C737=""),"",MAX($A$3:A736)+1)</f>
        <v/>
      </c>
      <c r="B737" s="207"/>
      <c r="C737" s="208"/>
      <c r="D737" s="209" t="str">
        <f>IFERROR(IF($E737="Inventory",VLOOKUP($C737,Inventory!$B:$I,2,FALSE()),IF($E737="Non Inventory",VLOOKUP($C737,'Non Inventory'!$B:$I,2,FALSE()),IF($E737="Services",VLOOKUP($C737,Services!$B:$I,2,FALSE()),IF($E737="Patty Cash",VLOOKUP($C737,'Patty Cash'!$B:$J,2,FALSE()),"")))),"")</f>
        <v/>
      </c>
      <c r="E737" s="246"/>
      <c r="F737" s="210" t="str">
        <f>IFERROR(IF($E737="Inventory",VLOOKUP($C737,Inventory!$B:$I,3,FALSE()),IF($E737="Non Inventory",VLOOKUP($C737,'Non Inventory'!$B:$I,3,FALSE()),IF($E737="Services",VLOOKUP($C737,Services!$B:$I,3,FALSE()),IF($E737="Patty Cash",VLOOKUP($C737,'Patty Cash'!$B:$J,3,FALSE()),"")))),"")</f>
        <v/>
      </c>
      <c r="G737" s="211"/>
      <c r="H737" s="212" t="str">
        <f>IF($E737="","",IF($E737="Inventory",IFERROR(VLOOKUP($C737,Inventory!$B:$H,7,FALSE()),0),IF($E737="Non Inventory",IFERROR(VLOOKUP($C737,'Non Inventory'!$B:$H,7,FALSE()),0),IF($E737="Services",IFERROR(VLOOKUP($C737,Services!$B:$H,7,FALSE()),0),IF($E737="Patty Cash",IFERROR(VLOOKUP($C737,'Patty Cash'!$B:$H,7,FALSE()),0),0)))))</f>
        <v/>
      </c>
      <c r="I737" s="213"/>
      <c r="J737" s="214"/>
      <c r="K737" s="215"/>
      <c r="L737" s="197"/>
      <c r="M737" s="215"/>
      <c r="N737" s="216">
        <f>IFERROR(IF($E737="Inventory",VLOOKUP($C737,Inventory!$B:$I,8,FALSE()),IF($E737="Non Inventory",VLOOKUP($C737,'Non Inventory'!$B:$I,8,FALSE()),IF($E737="Services",VLOOKUP($C737,Services!$B:$I,8,FALSE()),IF($E737="Patty Cash",VLOOKUP($C737,'Patty Cash'!$B:$J,8,FALSE()),0)))),0)</f>
        <v>0</v>
      </c>
      <c r="O737" s="217" t="str">
        <f t="shared" si="11"/>
        <v/>
      </c>
    </row>
    <row r="738" spans="1:15" ht="23.1" customHeight="1">
      <c r="A738" s="206" t="str">
        <f>IF(AND($B738="",$C738=""),"",MAX($A$3:A737)+1)</f>
        <v/>
      </c>
      <c r="B738" s="207"/>
      <c r="C738" s="208"/>
      <c r="D738" s="209" t="str">
        <f>IFERROR(IF($E738="Inventory",VLOOKUP($C738,Inventory!$B:$I,2,FALSE()),IF($E738="Non Inventory",VLOOKUP($C738,'Non Inventory'!$B:$I,2,FALSE()),IF($E738="Services",VLOOKUP($C738,Services!$B:$I,2,FALSE()),IF($E738="Patty Cash",VLOOKUP($C738,'Patty Cash'!$B:$J,2,FALSE()),"")))),"")</f>
        <v/>
      </c>
      <c r="E738" s="246"/>
      <c r="F738" s="210" t="str">
        <f>IFERROR(IF($E738="Inventory",VLOOKUP($C738,Inventory!$B:$I,3,FALSE()),IF($E738="Non Inventory",VLOOKUP($C738,'Non Inventory'!$B:$I,3,FALSE()),IF($E738="Services",VLOOKUP($C738,Services!$B:$I,3,FALSE()),IF($E738="Patty Cash",VLOOKUP($C738,'Patty Cash'!$B:$J,3,FALSE()),"")))),"")</f>
        <v/>
      </c>
      <c r="G738" s="211"/>
      <c r="H738" s="212" t="str">
        <f>IF($E738="","",IF($E738="Inventory",IFERROR(VLOOKUP($C738,Inventory!$B:$H,7,FALSE()),0),IF($E738="Non Inventory",IFERROR(VLOOKUP($C738,'Non Inventory'!$B:$H,7,FALSE()),0),IF($E738="Services",IFERROR(VLOOKUP($C738,Services!$B:$H,7,FALSE()),0),IF($E738="Patty Cash",IFERROR(VLOOKUP($C738,'Patty Cash'!$B:$H,7,FALSE()),0),0)))))</f>
        <v/>
      </c>
      <c r="I738" s="213"/>
      <c r="J738" s="214"/>
      <c r="K738" s="215"/>
      <c r="L738" s="197"/>
      <c r="M738" s="215"/>
      <c r="N738" s="216">
        <f>IFERROR(IF($E738="Inventory",VLOOKUP($C738,Inventory!$B:$I,8,FALSE()),IF($E738="Non Inventory",VLOOKUP($C738,'Non Inventory'!$B:$I,8,FALSE()),IF($E738="Services",VLOOKUP($C738,Services!$B:$I,8,FALSE()),IF($E738="Patty Cash",VLOOKUP($C738,'Patty Cash'!$B:$J,8,FALSE()),0)))),0)</f>
        <v>0</v>
      </c>
      <c r="O738" s="217" t="str">
        <f t="shared" si="11"/>
        <v/>
      </c>
    </row>
    <row r="739" spans="1:15" ht="23.1" customHeight="1">
      <c r="A739" s="206" t="str">
        <f>IF(AND($B739="",$C739=""),"",MAX($A$3:A738)+1)</f>
        <v/>
      </c>
      <c r="B739" s="207"/>
      <c r="C739" s="208"/>
      <c r="D739" s="209" t="str">
        <f>IFERROR(IF($E739="Inventory",VLOOKUP($C739,Inventory!$B:$I,2,FALSE()),IF($E739="Non Inventory",VLOOKUP($C739,'Non Inventory'!$B:$I,2,FALSE()),IF($E739="Services",VLOOKUP($C739,Services!$B:$I,2,FALSE()),IF($E739="Patty Cash",VLOOKUP($C739,'Patty Cash'!$B:$J,2,FALSE()),"")))),"")</f>
        <v/>
      </c>
      <c r="E739" s="246"/>
      <c r="F739" s="210" t="str">
        <f>IFERROR(IF($E739="Inventory",VLOOKUP($C739,Inventory!$B:$I,3,FALSE()),IF($E739="Non Inventory",VLOOKUP($C739,'Non Inventory'!$B:$I,3,FALSE()),IF($E739="Services",VLOOKUP($C739,Services!$B:$I,3,FALSE()),IF($E739="Patty Cash",VLOOKUP($C739,'Patty Cash'!$B:$J,3,FALSE()),"")))),"")</f>
        <v/>
      </c>
      <c r="G739" s="211"/>
      <c r="H739" s="212" t="str">
        <f>IF($E739="","",IF($E739="Inventory",IFERROR(VLOOKUP($C739,Inventory!$B:$H,7,FALSE()),0),IF($E739="Non Inventory",IFERROR(VLOOKUP($C739,'Non Inventory'!$B:$H,7,FALSE()),0),IF($E739="Services",IFERROR(VLOOKUP($C739,Services!$B:$H,7,FALSE()),0),IF($E739="Patty Cash",IFERROR(VLOOKUP($C739,'Patty Cash'!$B:$H,7,FALSE()),0),0)))))</f>
        <v/>
      </c>
      <c r="I739" s="213"/>
      <c r="J739" s="214"/>
      <c r="K739" s="215"/>
      <c r="L739" s="197"/>
      <c r="M739" s="215"/>
      <c r="N739" s="216">
        <f>IFERROR(IF($E739="Inventory",VLOOKUP($C739,Inventory!$B:$I,8,FALSE()),IF($E739="Non Inventory",VLOOKUP($C739,'Non Inventory'!$B:$I,8,FALSE()),IF($E739="Services",VLOOKUP($C739,Services!$B:$I,8,FALSE()),IF($E739="Patty Cash",VLOOKUP($C739,'Patty Cash'!$B:$J,8,FALSE()),0)))),0)</f>
        <v>0</v>
      </c>
      <c r="O739" s="217" t="str">
        <f t="shared" si="11"/>
        <v/>
      </c>
    </row>
    <row r="740" spans="1:15" ht="23.1" customHeight="1">
      <c r="A740" s="206" t="str">
        <f>IF(AND($B740="",$C740=""),"",MAX($A$3:A739)+1)</f>
        <v/>
      </c>
      <c r="B740" s="207"/>
      <c r="C740" s="208"/>
      <c r="D740" s="209" t="str">
        <f>IFERROR(IF($E740="Inventory",VLOOKUP($C740,Inventory!$B:$I,2,FALSE()),IF($E740="Non Inventory",VLOOKUP($C740,'Non Inventory'!$B:$I,2,FALSE()),IF($E740="Services",VLOOKUP($C740,Services!$B:$I,2,FALSE()),IF($E740="Patty Cash",VLOOKUP($C740,'Patty Cash'!$B:$J,2,FALSE()),"")))),"")</f>
        <v/>
      </c>
      <c r="E740" s="246"/>
      <c r="F740" s="210" t="str">
        <f>IFERROR(IF($E740="Inventory",VLOOKUP($C740,Inventory!$B:$I,3,FALSE()),IF($E740="Non Inventory",VLOOKUP($C740,'Non Inventory'!$B:$I,3,FALSE()),IF($E740="Services",VLOOKUP($C740,Services!$B:$I,3,FALSE()),IF($E740="Patty Cash",VLOOKUP($C740,'Patty Cash'!$B:$J,3,FALSE()),"")))),"")</f>
        <v/>
      </c>
      <c r="G740" s="211"/>
      <c r="H740" s="212" t="str">
        <f>IF($E740="","",IF($E740="Inventory",IFERROR(VLOOKUP($C740,Inventory!$B:$H,7,FALSE()),0),IF($E740="Non Inventory",IFERROR(VLOOKUP($C740,'Non Inventory'!$B:$H,7,FALSE()),0),IF($E740="Services",IFERROR(VLOOKUP($C740,Services!$B:$H,7,FALSE()),0),IF($E740="Patty Cash",IFERROR(VLOOKUP($C740,'Patty Cash'!$B:$H,7,FALSE()),0),0)))))</f>
        <v/>
      </c>
      <c r="I740" s="213"/>
      <c r="J740" s="214"/>
      <c r="K740" s="215"/>
      <c r="L740" s="197"/>
      <c r="M740" s="215"/>
      <c r="N740" s="216">
        <f>IFERROR(IF($E740="Inventory",VLOOKUP($C740,Inventory!$B:$I,8,FALSE()),IF($E740="Non Inventory",VLOOKUP($C740,'Non Inventory'!$B:$I,8,FALSE()),IF($E740="Services",VLOOKUP($C740,Services!$B:$I,8,FALSE()),IF($E740="Patty Cash",VLOOKUP($C740,'Patty Cash'!$B:$J,8,FALSE()),0)))),0)</f>
        <v>0</v>
      </c>
      <c r="O740" s="217" t="str">
        <f t="shared" si="11"/>
        <v/>
      </c>
    </row>
    <row r="741" spans="1:15" ht="23.1" customHeight="1">
      <c r="A741" s="206" t="str">
        <f>IF(AND($B741="",$C741=""),"",MAX($A$3:A740)+1)</f>
        <v/>
      </c>
      <c r="B741" s="207"/>
      <c r="C741" s="208"/>
      <c r="D741" s="209" t="str">
        <f>IFERROR(IF($E741="Inventory",VLOOKUP($C741,Inventory!$B:$I,2,FALSE()),IF($E741="Non Inventory",VLOOKUP($C741,'Non Inventory'!$B:$I,2,FALSE()),IF($E741="Services",VLOOKUP($C741,Services!$B:$I,2,FALSE()),IF($E741="Patty Cash",VLOOKUP($C741,'Patty Cash'!$B:$J,2,FALSE()),"")))),"")</f>
        <v/>
      </c>
      <c r="E741" s="246"/>
      <c r="F741" s="210" t="str">
        <f>IFERROR(IF($E741="Inventory",VLOOKUP($C741,Inventory!$B:$I,3,FALSE()),IF($E741="Non Inventory",VLOOKUP($C741,'Non Inventory'!$B:$I,3,FALSE()),IF($E741="Services",VLOOKUP($C741,Services!$B:$I,3,FALSE()),IF($E741="Patty Cash",VLOOKUP($C741,'Patty Cash'!$B:$J,3,FALSE()),"")))),"")</f>
        <v/>
      </c>
      <c r="G741" s="211"/>
      <c r="H741" s="212" t="str">
        <f>IF($E741="","",IF($E741="Inventory",IFERROR(VLOOKUP($C741,Inventory!$B:$H,7,FALSE()),0),IF($E741="Non Inventory",IFERROR(VLOOKUP($C741,'Non Inventory'!$B:$H,7,FALSE()),0),IF($E741="Services",IFERROR(VLOOKUP($C741,Services!$B:$H,7,FALSE()),0),IF($E741="Patty Cash",IFERROR(VLOOKUP($C741,'Patty Cash'!$B:$H,7,FALSE()),0),0)))))</f>
        <v/>
      </c>
      <c r="I741" s="213"/>
      <c r="J741" s="214"/>
      <c r="K741" s="215"/>
      <c r="L741" s="197"/>
      <c r="M741" s="215"/>
      <c r="N741" s="216">
        <f>IFERROR(IF($E741="Inventory",VLOOKUP($C741,Inventory!$B:$I,8,FALSE()),IF($E741="Non Inventory",VLOOKUP($C741,'Non Inventory'!$B:$I,8,FALSE()),IF($E741="Services",VLOOKUP($C741,Services!$B:$I,8,FALSE()),IF($E741="Patty Cash",VLOOKUP($C741,'Patty Cash'!$B:$J,8,FALSE()),0)))),0)</f>
        <v>0</v>
      </c>
      <c r="O741" s="217" t="str">
        <f t="shared" si="11"/>
        <v/>
      </c>
    </row>
    <row r="742" spans="1:15" ht="23.1" customHeight="1">
      <c r="A742" s="206" t="str">
        <f>IF(AND($B742="",$C742=""),"",MAX($A$3:A741)+1)</f>
        <v/>
      </c>
      <c r="B742" s="207"/>
      <c r="C742" s="208"/>
      <c r="D742" s="209" t="str">
        <f>IFERROR(IF($E742="Inventory",VLOOKUP($C742,Inventory!$B:$I,2,FALSE()),IF($E742="Non Inventory",VLOOKUP($C742,'Non Inventory'!$B:$I,2,FALSE()),IF($E742="Services",VLOOKUP($C742,Services!$B:$I,2,FALSE()),IF($E742="Patty Cash",VLOOKUP($C742,'Patty Cash'!$B:$J,2,FALSE()),"")))),"")</f>
        <v/>
      </c>
      <c r="E742" s="246"/>
      <c r="F742" s="210" t="str">
        <f>IFERROR(IF($E742="Inventory",VLOOKUP($C742,Inventory!$B:$I,3,FALSE()),IF($E742="Non Inventory",VLOOKUP($C742,'Non Inventory'!$B:$I,3,FALSE()),IF($E742="Services",VLOOKUP($C742,Services!$B:$I,3,FALSE()),IF($E742="Patty Cash",VLOOKUP($C742,'Patty Cash'!$B:$J,3,FALSE()),"")))),"")</f>
        <v/>
      </c>
      <c r="G742" s="211"/>
      <c r="H742" s="212" t="str">
        <f>IF($E742="","",IF($E742="Inventory",IFERROR(VLOOKUP($C742,Inventory!$B:$H,7,FALSE()),0),IF($E742="Non Inventory",IFERROR(VLOOKUP($C742,'Non Inventory'!$B:$H,7,FALSE()),0),IF($E742="Services",IFERROR(VLOOKUP($C742,Services!$B:$H,7,FALSE()),0),IF($E742="Patty Cash",IFERROR(VLOOKUP($C742,'Patty Cash'!$B:$H,7,FALSE()),0),0)))))</f>
        <v/>
      </c>
      <c r="I742" s="213"/>
      <c r="J742" s="214"/>
      <c r="K742" s="215"/>
      <c r="L742" s="197"/>
      <c r="M742" s="215"/>
      <c r="N742" s="216">
        <f>IFERROR(IF($E742="Inventory",VLOOKUP($C742,Inventory!$B:$I,8,FALSE()),IF($E742="Non Inventory",VLOOKUP($C742,'Non Inventory'!$B:$I,8,FALSE()),IF($E742="Services",VLOOKUP($C742,Services!$B:$I,8,FALSE()),IF($E742="Patty Cash",VLOOKUP($C742,'Patty Cash'!$B:$J,8,FALSE()),0)))),0)</f>
        <v>0</v>
      </c>
      <c r="O742" s="217" t="str">
        <f t="shared" si="11"/>
        <v/>
      </c>
    </row>
    <row r="743" spans="1:15" ht="23.1" customHeight="1">
      <c r="A743" s="206" t="str">
        <f>IF(AND($B743="",$C743=""),"",MAX($A$3:A742)+1)</f>
        <v/>
      </c>
      <c r="B743" s="207"/>
      <c r="C743" s="208"/>
      <c r="D743" s="209" t="str">
        <f>IFERROR(IF($E743="Inventory",VLOOKUP($C743,Inventory!$B:$I,2,FALSE()),IF($E743="Non Inventory",VLOOKUP($C743,'Non Inventory'!$B:$I,2,FALSE()),IF($E743="Services",VLOOKUP($C743,Services!$B:$I,2,FALSE()),IF($E743="Patty Cash",VLOOKUP($C743,'Patty Cash'!$B:$J,2,FALSE()),"")))),"")</f>
        <v/>
      </c>
      <c r="E743" s="246"/>
      <c r="F743" s="210" t="str">
        <f>IFERROR(IF($E743="Inventory",VLOOKUP($C743,Inventory!$B:$I,3,FALSE()),IF($E743="Non Inventory",VLOOKUP($C743,'Non Inventory'!$B:$I,3,FALSE()),IF($E743="Services",VLOOKUP($C743,Services!$B:$I,3,FALSE()),IF($E743="Patty Cash",VLOOKUP($C743,'Patty Cash'!$B:$J,3,FALSE()),"")))),"")</f>
        <v/>
      </c>
      <c r="G743" s="211"/>
      <c r="H743" s="212" t="str">
        <f>IF($E743="","",IF($E743="Inventory",IFERROR(VLOOKUP($C743,Inventory!$B:$H,7,FALSE()),0),IF($E743="Non Inventory",IFERROR(VLOOKUP($C743,'Non Inventory'!$B:$H,7,FALSE()),0),IF($E743="Services",IFERROR(VLOOKUP($C743,Services!$B:$H,7,FALSE()),0),IF($E743="Patty Cash",IFERROR(VLOOKUP($C743,'Patty Cash'!$B:$H,7,FALSE()),0),0)))))</f>
        <v/>
      </c>
      <c r="I743" s="213"/>
      <c r="J743" s="214"/>
      <c r="K743" s="215"/>
      <c r="L743" s="197"/>
      <c r="M743" s="215"/>
      <c r="N743" s="216">
        <f>IFERROR(IF($E743="Inventory",VLOOKUP($C743,Inventory!$B:$I,8,FALSE()),IF($E743="Non Inventory",VLOOKUP($C743,'Non Inventory'!$B:$I,8,FALSE()),IF($E743="Services",VLOOKUP($C743,Services!$B:$I,8,FALSE()),IF($E743="Patty Cash",VLOOKUP($C743,'Patty Cash'!$B:$J,8,FALSE()),0)))),0)</f>
        <v>0</v>
      </c>
      <c r="O743" s="217" t="str">
        <f t="shared" si="11"/>
        <v/>
      </c>
    </row>
    <row r="744" spans="1:15" ht="23.1" customHeight="1">
      <c r="A744" s="206" t="str">
        <f>IF(AND($B744="",$C744=""),"",MAX($A$3:A743)+1)</f>
        <v/>
      </c>
      <c r="B744" s="207"/>
      <c r="C744" s="208"/>
      <c r="D744" s="209" t="str">
        <f>IFERROR(IF($E744="Inventory",VLOOKUP($C744,Inventory!$B:$I,2,FALSE()),IF($E744="Non Inventory",VLOOKUP($C744,'Non Inventory'!$B:$I,2,FALSE()),IF($E744="Services",VLOOKUP($C744,Services!$B:$I,2,FALSE()),IF($E744="Patty Cash",VLOOKUP($C744,'Patty Cash'!$B:$J,2,FALSE()),"")))),"")</f>
        <v/>
      </c>
      <c r="E744" s="246"/>
      <c r="F744" s="210" t="str">
        <f>IFERROR(IF($E744="Inventory",VLOOKUP($C744,Inventory!$B:$I,3,FALSE()),IF($E744="Non Inventory",VLOOKUP($C744,'Non Inventory'!$B:$I,3,FALSE()),IF($E744="Services",VLOOKUP($C744,Services!$B:$I,3,FALSE()),IF($E744="Patty Cash",VLOOKUP($C744,'Patty Cash'!$B:$J,3,FALSE()),"")))),"")</f>
        <v/>
      </c>
      <c r="G744" s="211"/>
      <c r="H744" s="212" t="str">
        <f>IF($E744="","",IF($E744="Inventory",IFERROR(VLOOKUP($C744,Inventory!$B:$H,7,FALSE()),0),IF($E744="Non Inventory",IFERROR(VLOOKUP($C744,'Non Inventory'!$B:$H,7,FALSE()),0),IF($E744="Services",IFERROR(VLOOKUP($C744,Services!$B:$H,7,FALSE()),0),IF($E744="Patty Cash",IFERROR(VLOOKUP($C744,'Patty Cash'!$B:$H,7,FALSE()),0),0)))))</f>
        <v/>
      </c>
      <c r="I744" s="213"/>
      <c r="J744" s="214"/>
      <c r="K744" s="215"/>
      <c r="L744" s="197"/>
      <c r="M744" s="215"/>
      <c r="N744" s="216">
        <f>IFERROR(IF($E744="Inventory",VLOOKUP($C744,Inventory!$B:$I,8,FALSE()),IF($E744="Non Inventory",VLOOKUP($C744,'Non Inventory'!$B:$I,8,FALSE()),IF($E744="Services",VLOOKUP($C744,Services!$B:$I,8,FALSE()),IF($E744="Patty Cash",VLOOKUP($C744,'Patty Cash'!$B:$J,8,FALSE()),0)))),0)</f>
        <v>0</v>
      </c>
      <c r="O744" s="217" t="str">
        <f t="shared" si="11"/>
        <v/>
      </c>
    </row>
    <row r="745" spans="1:15" ht="23.1" customHeight="1">
      <c r="A745" s="206" t="str">
        <f>IF(AND($B745="",$C745=""),"",MAX($A$3:A744)+1)</f>
        <v/>
      </c>
      <c r="B745" s="207"/>
      <c r="C745" s="208"/>
      <c r="D745" s="209" t="str">
        <f>IFERROR(IF($E745="Inventory",VLOOKUP($C745,Inventory!$B:$I,2,FALSE()),IF($E745="Non Inventory",VLOOKUP($C745,'Non Inventory'!$B:$I,2,FALSE()),IF($E745="Services",VLOOKUP($C745,Services!$B:$I,2,FALSE()),IF($E745="Patty Cash",VLOOKUP($C745,'Patty Cash'!$B:$J,2,FALSE()),"")))),"")</f>
        <v/>
      </c>
      <c r="E745" s="246"/>
      <c r="F745" s="210" t="str">
        <f>IFERROR(IF($E745="Inventory",VLOOKUP($C745,Inventory!$B:$I,3,FALSE()),IF($E745="Non Inventory",VLOOKUP($C745,'Non Inventory'!$B:$I,3,FALSE()),IF($E745="Services",VLOOKUP($C745,Services!$B:$I,3,FALSE()),IF($E745="Patty Cash",VLOOKUP($C745,'Patty Cash'!$B:$J,3,FALSE()),"")))),"")</f>
        <v/>
      </c>
      <c r="G745" s="211"/>
      <c r="H745" s="212" t="str">
        <f>IF($E745="","",IF($E745="Inventory",IFERROR(VLOOKUP($C745,Inventory!$B:$H,7,FALSE()),0),IF($E745="Non Inventory",IFERROR(VLOOKUP($C745,'Non Inventory'!$B:$H,7,FALSE()),0),IF($E745="Services",IFERROR(VLOOKUP($C745,Services!$B:$H,7,FALSE()),0),IF($E745="Patty Cash",IFERROR(VLOOKUP($C745,'Patty Cash'!$B:$H,7,FALSE()),0),0)))))</f>
        <v/>
      </c>
      <c r="I745" s="213"/>
      <c r="J745" s="214"/>
      <c r="K745" s="215"/>
      <c r="L745" s="197"/>
      <c r="M745" s="215"/>
      <c r="N745" s="216">
        <f>IFERROR(IF($E745="Inventory",VLOOKUP($C745,Inventory!$B:$I,8,FALSE()),IF($E745="Non Inventory",VLOOKUP($C745,'Non Inventory'!$B:$I,8,FALSE()),IF($E745="Services",VLOOKUP($C745,Services!$B:$I,8,FALSE()),IF($E745="Patty Cash",VLOOKUP($C745,'Patty Cash'!$B:$J,8,FALSE()),0)))),0)</f>
        <v>0</v>
      </c>
      <c r="O745" s="217" t="str">
        <f t="shared" si="11"/>
        <v/>
      </c>
    </row>
    <row r="746" spans="1:15" ht="23.1" customHeight="1">
      <c r="A746" s="206" t="str">
        <f>IF(AND($B746="",$C746=""),"",MAX($A$3:A745)+1)</f>
        <v/>
      </c>
      <c r="B746" s="207"/>
      <c r="C746" s="208"/>
      <c r="D746" s="209" t="str">
        <f>IFERROR(IF($E746="Inventory",VLOOKUP($C746,Inventory!$B:$I,2,FALSE()),IF($E746="Non Inventory",VLOOKUP($C746,'Non Inventory'!$B:$I,2,FALSE()),IF($E746="Services",VLOOKUP($C746,Services!$B:$I,2,FALSE()),IF($E746="Patty Cash",VLOOKUP($C746,'Patty Cash'!$B:$J,2,FALSE()),"")))),"")</f>
        <v/>
      </c>
      <c r="E746" s="246"/>
      <c r="F746" s="210" t="str">
        <f>IFERROR(IF($E746="Inventory",VLOOKUP($C746,Inventory!$B:$I,3,FALSE()),IF($E746="Non Inventory",VLOOKUP($C746,'Non Inventory'!$B:$I,3,FALSE()),IF($E746="Services",VLOOKUP($C746,Services!$B:$I,3,FALSE()),IF($E746="Patty Cash",VLOOKUP($C746,'Patty Cash'!$B:$J,3,FALSE()),"")))),"")</f>
        <v/>
      </c>
      <c r="G746" s="211"/>
      <c r="H746" s="212" t="str">
        <f>IF($E746="","",IF($E746="Inventory",IFERROR(VLOOKUP($C746,Inventory!$B:$H,7,FALSE()),0),IF($E746="Non Inventory",IFERROR(VLOOKUP($C746,'Non Inventory'!$B:$H,7,FALSE()),0),IF($E746="Services",IFERROR(VLOOKUP($C746,Services!$B:$H,7,FALSE()),0),IF($E746="Patty Cash",IFERROR(VLOOKUP($C746,'Patty Cash'!$B:$H,7,FALSE()),0),0)))))</f>
        <v/>
      </c>
      <c r="I746" s="213"/>
      <c r="J746" s="214"/>
      <c r="K746" s="215"/>
      <c r="L746" s="197"/>
      <c r="M746" s="215"/>
      <c r="N746" s="216">
        <f>IFERROR(IF($E746="Inventory",VLOOKUP($C746,Inventory!$B:$I,8,FALSE()),IF($E746="Non Inventory",VLOOKUP($C746,'Non Inventory'!$B:$I,8,FALSE()),IF($E746="Services",VLOOKUP($C746,Services!$B:$I,8,FALSE()),IF($E746="Patty Cash",VLOOKUP($C746,'Patty Cash'!$B:$J,8,FALSE()),0)))),0)</f>
        <v>0</v>
      </c>
      <c r="O746" s="217" t="str">
        <f t="shared" si="11"/>
        <v/>
      </c>
    </row>
    <row r="747" spans="1:15" ht="23.1" customHeight="1">
      <c r="A747" s="206" t="str">
        <f>IF(AND($B747="",$C747=""),"",MAX($A$3:A746)+1)</f>
        <v/>
      </c>
      <c r="B747" s="207"/>
      <c r="C747" s="208"/>
      <c r="D747" s="209" t="str">
        <f>IFERROR(IF($E747="Inventory",VLOOKUP($C747,Inventory!$B:$I,2,FALSE()),IF($E747="Non Inventory",VLOOKUP($C747,'Non Inventory'!$B:$I,2,FALSE()),IF($E747="Services",VLOOKUP($C747,Services!$B:$I,2,FALSE()),IF($E747="Patty Cash",VLOOKUP($C747,'Patty Cash'!$B:$J,2,FALSE()),"")))),"")</f>
        <v/>
      </c>
      <c r="E747" s="246"/>
      <c r="F747" s="210" t="str">
        <f>IFERROR(IF($E747="Inventory",VLOOKUP($C747,Inventory!$B:$I,3,FALSE()),IF($E747="Non Inventory",VLOOKUP($C747,'Non Inventory'!$B:$I,3,FALSE()),IF($E747="Services",VLOOKUP($C747,Services!$B:$I,3,FALSE()),IF($E747="Patty Cash",VLOOKUP($C747,'Patty Cash'!$B:$J,3,FALSE()),"")))),"")</f>
        <v/>
      </c>
      <c r="G747" s="211"/>
      <c r="H747" s="212" t="str">
        <f>IF($E747="","",IF($E747="Inventory",IFERROR(VLOOKUP($C747,Inventory!$B:$H,7,FALSE()),0),IF($E747="Non Inventory",IFERROR(VLOOKUP($C747,'Non Inventory'!$B:$H,7,FALSE()),0),IF($E747="Services",IFERROR(VLOOKUP($C747,Services!$B:$H,7,FALSE()),0),IF($E747="Patty Cash",IFERROR(VLOOKUP($C747,'Patty Cash'!$B:$H,7,FALSE()),0),0)))))</f>
        <v/>
      </c>
      <c r="I747" s="213"/>
      <c r="J747" s="214"/>
      <c r="K747" s="215"/>
      <c r="L747" s="197"/>
      <c r="M747" s="215"/>
      <c r="N747" s="216">
        <f>IFERROR(IF($E747="Inventory",VLOOKUP($C747,Inventory!$B:$I,8,FALSE()),IF($E747="Non Inventory",VLOOKUP($C747,'Non Inventory'!$B:$I,8,FALSE()),IF($E747="Services",VLOOKUP($C747,Services!$B:$I,8,FALSE()),IF($E747="Patty Cash",VLOOKUP($C747,'Patty Cash'!$B:$J,8,FALSE()),0)))),0)</f>
        <v>0</v>
      </c>
      <c r="O747" s="217" t="str">
        <f t="shared" si="11"/>
        <v/>
      </c>
    </row>
    <row r="748" spans="1:15" ht="23.1" customHeight="1">
      <c r="A748" s="206" t="str">
        <f>IF(AND($B748="",$C748=""),"",MAX($A$3:A747)+1)</f>
        <v/>
      </c>
      <c r="B748" s="207"/>
      <c r="C748" s="208"/>
      <c r="D748" s="209" t="str">
        <f>IFERROR(IF($E748="Inventory",VLOOKUP($C748,Inventory!$B:$I,2,FALSE()),IF($E748="Non Inventory",VLOOKUP($C748,'Non Inventory'!$B:$I,2,FALSE()),IF($E748="Services",VLOOKUP($C748,Services!$B:$I,2,FALSE()),IF($E748="Patty Cash",VLOOKUP($C748,'Patty Cash'!$B:$J,2,FALSE()),"")))),"")</f>
        <v/>
      </c>
      <c r="E748" s="246"/>
      <c r="F748" s="210" t="str">
        <f>IFERROR(IF($E748="Inventory",VLOOKUP($C748,Inventory!$B:$I,3,FALSE()),IF($E748="Non Inventory",VLOOKUP($C748,'Non Inventory'!$B:$I,3,FALSE()),IF($E748="Services",VLOOKUP($C748,Services!$B:$I,3,FALSE()),IF($E748="Patty Cash",VLOOKUP($C748,'Patty Cash'!$B:$J,3,FALSE()),"")))),"")</f>
        <v/>
      </c>
      <c r="G748" s="211"/>
      <c r="H748" s="212" t="str">
        <f>IF($E748="","",IF($E748="Inventory",IFERROR(VLOOKUP($C748,Inventory!$B:$H,7,FALSE()),0),IF($E748="Non Inventory",IFERROR(VLOOKUP($C748,'Non Inventory'!$B:$H,7,FALSE()),0),IF($E748="Services",IFERROR(VLOOKUP($C748,Services!$B:$H,7,FALSE()),0),IF($E748="Patty Cash",IFERROR(VLOOKUP($C748,'Patty Cash'!$B:$H,7,FALSE()),0),0)))))</f>
        <v/>
      </c>
      <c r="I748" s="213"/>
      <c r="J748" s="214"/>
      <c r="K748" s="215"/>
      <c r="L748" s="197"/>
      <c r="M748" s="215"/>
      <c r="N748" s="216">
        <f>IFERROR(IF($E748="Inventory",VLOOKUP($C748,Inventory!$B:$I,8,FALSE()),IF($E748="Non Inventory",VLOOKUP($C748,'Non Inventory'!$B:$I,8,FALSE()),IF($E748="Services",VLOOKUP($C748,Services!$B:$I,8,FALSE()),IF($E748="Patty Cash",VLOOKUP($C748,'Patty Cash'!$B:$J,8,FALSE()),0)))),0)</f>
        <v>0</v>
      </c>
      <c r="O748" s="217" t="str">
        <f t="shared" si="11"/>
        <v/>
      </c>
    </row>
    <row r="749" spans="1:15" ht="23.1" customHeight="1">
      <c r="A749" s="206" t="str">
        <f>IF(AND($B749="",$C749=""),"",MAX($A$3:A748)+1)</f>
        <v/>
      </c>
      <c r="B749" s="207"/>
      <c r="C749" s="208"/>
      <c r="D749" s="209" t="str">
        <f>IFERROR(IF($E749="Inventory",VLOOKUP($C749,Inventory!$B:$I,2,FALSE()),IF($E749="Non Inventory",VLOOKUP($C749,'Non Inventory'!$B:$I,2,FALSE()),IF($E749="Services",VLOOKUP($C749,Services!$B:$I,2,FALSE()),IF($E749="Patty Cash",VLOOKUP($C749,'Patty Cash'!$B:$J,2,FALSE()),"")))),"")</f>
        <v/>
      </c>
      <c r="E749" s="246"/>
      <c r="F749" s="210" t="str">
        <f>IFERROR(IF($E749="Inventory",VLOOKUP($C749,Inventory!$B:$I,3,FALSE()),IF($E749="Non Inventory",VLOOKUP($C749,'Non Inventory'!$B:$I,3,FALSE()),IF($E749="Services",VLOOKUP($C749,Services!$B:$I,3,FALSE()),IF($E749="Patty Cash",VLOOKUP($C749,'Patty Cash'!$B:$J,3,FALSE()),"")))),"")</f>
        <v/>
      </c>
      <c r="G749" s="211"/>
      <c r="H749" s="212" t="str">
        <f>IF($E749="","",IF($E749="Inventory",IFERROR(VLOOKUP($C749,Inventory!$B:$H,7,FALSE()),0),IF($E749="Non Inventory",IFERROR(VLOOKUP($C749,'Non Inventory'!$B:$H,7,FALSE()),0),IF($E749="Services",IFERROR(VLOOKUP($C749,Services!$B:$H,7,FALSE()),0),IF($E749="Patty Cash",IFERROR(VLOOKUP($C749,'Patty Cash'!$B:$H,7,FALSE()),0),0)))))</f>
        <v/>
      </c>
      <c r="I749" s="213"/>
      <c r="J749" s="214"/>
      <c r="K749" s="215"/>
      <c r="L749" s="197"/>
      <c r="M749" s="215"/>
      <c r="N749" s="216">
        <f>IFERROR(IF($E749="Inventory",VLOOKUP($C749,Inventory!$B:$I,8,FALSE()),IF($E749="Non Inventory",VLOOKUP($C749,'Non Inventory'!$B:$I,8,FALSE()),IF($E749="Services",VLOOKUP($C749,Services!$B:$I,8,FALSE()),IF($E749="Patty Cash",VLOOKUP($C749,'Patty Cash'!$B:$J,8,FALSE()),0)))),0)</f>
        <v>0</v>
      </c>
      <c r="O749" s="217" t="str">
        <f t="shared" si="11"/>
        <v/>
      </c>
    </row>
    <row r="750" spans="1:15" ht="23.1" customHeight="1">
      <c r="A750" s="206" t="str">
        <f>IF(AND($B750="",$C750=""),"",MAX($A$3:A749)+1)</f>
        <v/>
      </c>
      <c r="B750" s="207"/>
      <c r="C750" s="208"/>
      <c r="D750" s="209" t="str">
        <f>IFERROR(IF($E750="Inventory",VLOOKUP($C750,Inventory!$B:$I,2,FALSE()),IF($E750="Non Inventory",VLOOKUP($C750,'Non Inventory'!$B:$I,2,FALSE()),IF($E750="Services",VLOOKUP($C750,Services!$B:$I,2,FALSE()),IF($E750="Patty Cash",VLOOKUP($C750,'Patty Cash'!$B:$J,2,FALSE()),"")))),"")</f>
        <v/>
      </c>
      <c r="E750" s="246"/>
      <c r="F750" s="210" t="str">
        <f>IFERROR(IF($E750="Inventory",VLOOKUP($C750,Inventory!$B:$I,3,FALSE()),IF($E750="Non Inventory",VLOOKUP($C750,'Non Inventory'!$B:$I,3,FALSE()),IF($E750="Services",VLOOKUP($C750,Services!$B:$I,3,FALSE()),IF($E750="Patty Cash",VLOOKUP($C750,'Patty Cash'!$B:$J,3,FALSE()),"")))),"")</f>
        <v/>
      </c>
      <c r="G750" s="211"/>
      <c r="H750" s="212" t="str">
        <f>IF($E750="","",IF($E750="Inventory",IFERROR(VLOOKUP($C750,Inventory!$B:$H,7,FALSE()),0),IF($E750="Non Inventory",IFERROR(VLOOKUP($C750,'Non Inventory'!$B:$H,7,FALSE()),0),IF($E750="Services",IFERROR(VLOOKUP($C750,Services!$B:$H,7,FALSE()),0),IF($E750="Patty Cash",IFERROR(VLOOKUP($C750,'Patty Cash'!$B:$H,7,FALSE()),0),0)))))</f>
        <v/>
      </c>
      <c r="I750" s="213"/>
      <c r="J750" s="214"/>
      <c r="K750" s="215"/>
      <c r="L750" s="197"/>
      <c r="M750" s="215"/>
      <c r="N750" s="216">
        <f>IFERROR(IF($E750="Inventory",VLOOKUP($C750,Inventory!$B:$I,8,FALSE()),IF($E750="Non Inventory",VLOOKUP($C750,'Non Inventory'!$B:$I,8,FALSE()),IF($E750="Services",VLOOKUP($C750,Services!$B:$I,8,FALSE()),IF($E750="Patty Cash",VLOOKUP($C750,'Patty Cash'!$B:$J,8,FALSE()),0)))),0)</f>
        <v>0</v>
      </c>
      <c r="O750" s="217" t="str">
        <f t="shared" si="11"/>
        <v/>
      </c>
    </row>
    <row r="751" spans="1:15" ht="23.1" customHeight="1">
      <c r="A751" s="206" t="str">
        <f>IF(AND($B751="",$C751=""),"",MAX($A$3:A750)+1)</f>
        <v/>
      </c>
      <c r="B751" s="207"/>
      <c r="C751" s="208"/>
      <c r="D751" s="209" t="str">
        <f>IFERROR(IF($E751="Inventory",VLOOKUP($C751,Inventory!$B:$I,2,FALSE()),IF($E751="Non Inventory",VLOOKUP($C751,'Non Inventory'!$B:$I,2,FALSE()),IF($E751="Services",VLOOKUP($C751,Services!$B:$I,2,FALSE()),IF($E751="Patty Cash",VLOOKUP($C751,'Patty Cash'!$B:$J,2,FALSE()),"")))),"")</f>
        <v/>
      </c>
      <c r="E751" s="246"/>
      <c r="F751" s="210" t="str">
        <f>IFERROR(IF($E751="Inventory",VLOOKUP($C751,Inventory!$B:$I,3,FALSE()),IF($E751="Non Inventory",VLOOKUP($C751,'Non Inventory'!$B:$I,3,FALSE()),IF($E751="Services",VLOOKUP($C751,Services!$B:$I,3,FALSE()),IF($E751="Patty Cash",VLOOKUP($C751,'Patty Cash'!$B:$J,3,FALSE()),"")))),"")</f>
        <v/>
      </c>
      <c r="G751" s="211"/>
      <c r="H751" s="212" t="str">
        <f>IF($E751="","",IF($E751="Inventory",IFERROR(VLOOKUP($C751,Inventory!$B:$H,7,FALSE()),0),IF($E751="Non Inventory",IFERROR(VLOOKUP($C751,'Non Inventory'!$B:$H,7,FALSE()),0),IF($E751="Services",IFERROR(VLOOKUP($C751,Services!$B:$H,7,FALSE()),0),IF($E751="Patty Cash",IFERROR(VLOOKUP($C751,'Patty Cash'!$B:$H,7,FALSE()),0),0)))))</f>
        <v/>
      </c>
      <c r="I751" s="213"/>
      <c r="J751" s="214"/>
      <c r="K751" s="215"/>
      <c r="L751" s="197"/>
      <c r="M751" s="215"/>
      <c r="N751" s="216">
        <f>IFERROR(IF($E751="Inventory",VLOOKUP($C751,Inventory!$B:$I,8,FALSE()),IF($E751="Non Inventory",VLOOKUP($C751,'Non Inventory'!$B:$I,8,FALSE()),IF($E751="Services",VLOOKUP($C751,Services!$B:$I,8,FALSE()),IF($E751="Patty Cash",VLOOKUP($C751,'Patty Cash'!$B:$J,8,FALSE()),0)))),0)</f>
        <v>0</v>
      </c>
      <c r="O751" s="217" t="str">
        <f t="shared" si="11"/>
        <v/>
      </c>
    </row>
    <row r="752" spans="1:15" ht="23.1" customHeight="1">
      <c r="A752" s="206" t="str">
        <f>IF(AND($B752="",$C752=""),"",MAX($A$3:A751)+1)</f>
        <v/>
      </c>
      <c r="B752" s="207"/>
      <c r="C752" s="208"/>
      <c r="D752" s="209" t="str">
        <f>IFERROR(IF($E752="Inventory",VLOOKUP($C752,Inventory!$B:$I,2,FALSE()),IF($E752="Non Inventory",VLOOKUP($C752,'Non Inventory'!$B:$I,2,FALSE()),IF($E752="Services",VLOOKUP($C752,Services!$B:$I,2,FALSE()),IF($E752="Patty Cash",VLOOKUP($C752,'Patty Cash'!$B:$J,2,FALSE()),"")))),"")</f>
        <v/>
      </c>
      <c r="E752" s="246"/>
      <c r="F752" s="210" t="str">
        <f>IFERROR(IF($E752="Inventory",VLOOKUP($C752,Inventory!$B:$I,3,FALSE()),IF($E752="Non Inventory",VLOOKUP($C752,'Non Inventory'!$B:$I,3,FALSE()),IF($E752="Services",VLOOKUP($C752,Services!$B:$I,3,FALSE()),IF($E752="Patty Cash",VLOOKUP($C752,'Patty Cash'!$B:$J,3,FALSE()),"")))),"")</f>
        <v/>
      </c>
      <c r="G752" s="211"/>
      <c r="H752" s="212" t="str">
        <f>IF($E752="","",IF($E752="Inventory",IFERROR(VLOOKUP($C752,Inventory!$B:$H,7,FALSE()),0),IF($E752="Non Inventory",IFERROR(VLOOKUP($C752,'Non Inventory'!$B:$H,7,FALSE()),0),IF($E752="Services",IFERROR(VLOOKUP($C752,Services!$B:$H,7,FALSE()),0),IF($E752="Patty Cash",IFERROR(VLOOKUP($C752,'Patty Cash'!$B:$H,7,FALSE()),0),0)))))</f>
        <v/>
      </c>
      <c r="I752" s="213"/>
      <c r="J752" s="214"/>
      <c r="K752" s="215"/>
      <c r="L752" s="197"/>
      <c r="M752" s="215"/>
      <c r="N752" s="216">
        <f>IFERROR(IF($E752="Inventory",VLOOKUP($C752,Inventory!$B:$I,8,FALSE()),IF($E752="Non Inventory",VLOOKUP($C752,'Non Inventory'!$B:$I,8,FALSE()),IF($E752="Services",VLOOKUP($C752,Services!$B:$I,8,FALSE()),IF($E752="Patty Cash",VLOOKUP($C752,'Patty Cash'!$B:$J,8,FALSE()),0)))),0)</f>
        <v>0</v>
      </c>
      <c r="O752" s="217" t="str">
        <f t="shared" si="11"/>
        <v/>
      </c>
    </row>
    <row r="753" spans="1:15" ht="23.1" customHeight="1">
      <c r="A753" s="206" t="str">
        <f>IF(AND($B753="",$C753=""),"",MAX($A$3:A752)+1)</f>
        <v/>
      </c>
      <c r="B753" s="207"/>
      <c r="C753" s="208"/>
      <c r="D753" s="209" t="str">
        <f>IFERROR(IF($E753="Inventory",VLOOKUP($C753,Inventory!$B:$I,2,FALSE()),IF($E753="Non Inventory",VLOOKUP($C753,'Non Inventory'!$B:$I,2,FALSE()),IF($E753="Services",VLOOKUP($C753,Services!$B:$I,2,FALSE()),IF($E753="Patty Cash",VLOOKUP($C753,'Patty Cash'!$B:$J,2,FALSE()),"")))),"")</f>
        <v/>
      </c>
      <c r="E753" s="246"/>
      <c r="F753" s="210" t="str">
        <f>IFERROR(IF($E753="Inventory",VLOOKUP($C753,Inventory!$B:$I,3,FALSE()),IF($E753="Non Inventory",VLOOKUP($C753,'Non Inventory'!$B:$I,3,FALSE()),IF($E753="Services",VLOOKUP($C753,Services!$B:$I,3,FALSE()),IF($E753="Patty Cash",VLOOKUP($C753,'Patty Cash'!$B:$J,3,FALSE()),"")))),"")</f>
        <v/>
      </c>
      <c r="G753" s="211"/>
      <c r="H753" s="212" t="str">
        <f>IF($E753="","",IF($E753="Inventory",IFERROR(VLOOKUP($C753,Inventory!$B:$H,7,FALSE()),0),IF($E753="Non Inventory",IFERROR(VLOOKUP($C753,'Non Inventory'!$B:$H,7,FALSE()),0),IF($E753="Services",IFERROR(VLOOKUP($C753,Services!$B:$H,7,FALSE()),0),IF($E753="Patty Cash",IFERROR(VLOOKUP($C753,'Patty Cash'!$B:$H,7,FALSE()),0),0)))))</f>
        <v/>
      </c>
      <c r="I753" s="213"/>
      <c r="J753" s="214"/>
      <c r="K753" s="215"/>
      <c r="L753" s="197"/>
      <c r="M753" s="215"/>
      <c r="N753" s="216">
        <f>IFERROR(IF($E753="Inventory",VLOOKUP($C753,Inventory!$B:$I,8,FALSE()),IF($E753="Non Inventory",VLOOKUP($C753,'Non Inventory'!$B:$I,8,FALSE()),IF($E753="Services",VLOOKUP($C753,Services!$B:$I,8,FALSE()),IF($E753="Patty Cash",VLOOKUP($C753,'Patty Cash'!$B:$J,8,FALSE()),0)))),0)</f>
        <v>0</v>
      </c>
      <c r="O753" s="217" t="str">
        <f t="shared" si="11"/>
        <v/>
      </c>
    </row>
    <row r="754" spans="1:15" ht="23.1" customHeight="1">
      <c r="A754" s="206" t="str">
        <f>IF(AND($B754="",$C754=""),"",MAX($A$3:A753)+1)</f>
        <v/>
      </c>
      <c r="B754" s="207"/>
      <c r="C754" s="208"/>
      <c r="D754" s="209" t="str">
        <f>IFERROR(IF($E754="Inventory",VLOOKUP($C754,Inventory!$B:$I,2,FALSE()),IF($E754="Non Inventory",VLOOKUP($C754,'Non Inventory'!$B:$I,2,FALSE()),IF($E754="Services",VLOOKUP($C754,Services!$B:$I,2,FALSE()),IF($E754="Patty Cash",VLOOKUP($C754,'Patty Cash'!$B:$J,2,FALSE()),"")))),"")</f>
        <v/>
      </c>
      <c r="E754" s="246"/>
      <c r="F754" s="210" t="str">
        <f>IFERROR(IF($E754="Inventory",VLOOKUP($C754,Inventory!$B:$I,3,FALSE()),IF($E754="Non Inventory",VLOOKUP($C754,'Non Inventory'!$B:$I,3,FALSE()),IF($E754="Services",VLOOKUP($C754,Services!$B:$I,3,FALSE()),IF($E754="Patty Cash",VLOOKUP($C754,'Patty Cash'!$B:$J,3,FALSE()),"")))),"")</f>
        <v/>
      </c>
      <c r="G754" s="211"/>
      <c r="H754" s="212" t="str">
        <f>IF($E754="","",IF($E754="Inventory",IFERROR(VLOOKUP($C754,Inventory!$B:$H,7,FALSE()),0),IF($E754="Non Inventory",IFERROR(VLOOKUP($C754,'Non Inventory'!$B:$H,7,FALSE()),0),IF($E754="Services",IFERROR(VLOOKUP($C754,Services!$B:$H,7,FALSE()),0),IF($E754="Patty Cash",IFERROR(VLOOKUP($C754,'Patty Cash'!$B:$H,7,FALSE()),0),0)))))</f>
        <v/>
      </c>
      <c r="I754" s="213"/>
      <c r="J754" s="214"/>
      <c r="K754" s="215"/>
      <c r="L754" s="197"/>
      <c r="M754" s="215"/>
      <c r="N754" s="216">
        <f>IFERROR(IF($E754="Inventory",VLOOKUP($C754,Inventory!$B:$I,8,FALSE()),IF($E754="Non Inventory",VLOOKUP($C754,'Non Inventory'!$B:$I,8,FALSE()),IF($E754="Services",VLOOKUP($C754,Services!$B:$I,8,FALSE()),IF($E754="Patty Cash",VLOOKUP($C754,'Patty Cash'!$B:$J,8,FALSE()),0)))),0)</f>
        <v>0</v>
      </c>
      <c r="O754" s="217" t="str">
        <f t="shared" si="11"/>
        <v/>
      </c>
    </row>
    <row r="755" spans="1:15" ht="23.1" customHeight="1">
      <c r="A755" s="206" t="str">
        <f>IF(AND($B755="",$C755=""),"",MAX($A$3:A754)+1)</f>
        <v/>
      </c>
      <c r="B755" s="207"/>
      <c r="C755" s="208"/>
      <c r="D755" s="209" t="str">
        <f>IFERROR(IF($E755="Inventory",VLOOKUP($C755,Inventory!$B:$I,2,FALSE()),IF($E755="Non Inventory",VLOOKUP($C755,'Non Inventory'!$B:$I,2,FALSE()),IF($E755="Services",VLOOKUP($C755,Services!$B:$I,2,FALSE()),IF($E755="Patty Cash",VLOOKUP($C755,'Patty Cash'!$B:$J,2,FALSE()),"")))),"")</f>
        <v/>
      </c>
      <c r="E755" s="246"/>
      <c r="F755" s="210" t="str">
        <f>IFERROR(IF($E755="Inventory",VLOOKUP($C755,Inventory!$B:$I,3,FALSE()),IF($E755="Non Inventory",VLOOKUP($C755,'Non Inventory'!$B:$I,3,FALSE()),IF($E755="Services",VLOOKUP($C755,Services!$B:$I,3,FALSE()),IF($E755="Patty Cash",VLOOKUP($C755,'Patty Cash'!$B:$J,3,FALSE()),"")))),"")</f>
        <v/>
      </c>
      <c r="G755" s="211"/>
      <c r="H755" s="212" t="str">
        <f>IF($E755="","",IF($E755="Inventory",IFERROR(VLOOKUP($C755,Inventory!$B:$H,7,FALSE()),0),IF($E755="Non Inventory",IFERROR(VLOOKUP($C755,'Non Inventory'!$B:$H,7,FALSE()),0),IF($E755="Services",IFERROR(VLOOKUP($C755,Services!$B:$H,7,FALSE()),0),IF($E755="Patty Cash",IFERROR(VLOOKUP($C755,'Patty Cash'!$B:$H,7,FALSE()),0),0)))))</f>
        <v/>
      </c>
      <c r="I755" s="213"/>
      <c r="J755" s="214"/>
      <c r="K755" s="215"/>
      <c r="L755" s="197"/>
      <c r="M755" s="215"/>
      <c r="N755" s="216">
        <f>IFERROR(IF($E755="Inventory",VLOOKUP($C755,Inventory!$B:$I,8,FALSE()),IF($E755="Non Inventory",VLOOKUP($C755,'Non Inventory'!$B:$I,8,FALSE()),IF($E755="Services",VLOOKUP($C755,Services!$B:$I,8,FALSE()),IF($E755="Patty Cash",VLOOKUP($C755,'Patty Cash'!$B:$J,8,FALSE()),0)))),0)</f>
        <v>0</v>
      </c>
      <c r="O755" s="217" t="str">
        <f t="shared" si="11"/>
        <v/>
      </c>
    </row>
    <row r="756" spans="1:15" ht="23.1" customHeight="1">
      <c r="A756" s="206" t="str">
        <f>IF(AND($B756="",$C756=""),"",MAX($A$3:A755)+1)</f>
        <v/>
      </c>
      <c r="B756" s="207"/>
      <c r="C756" s="208"/>
      <c r="D756" s="209" t="str">
        <f>IFERROR(IF($E756="Inventory",VLOOKUP($C756,Inventory!$B:$I,2,FALSE()),IF($E756="Non Inventory",VLOOKUP($C756,'Non Inventory'!$B:$I,2,FALSE()),IF($E756="Services",VLOOKUP($C756,Services!$B:$I,2,FALSE()),IF($E756="Patty Cash",VLOOKUP($C756,'Patty Cash'!$B:$J,2,FALSE()),"")))),"")</f>
        <v/>
      </c>
      <c r="E756" s="246"/>
      <c r="F756" s="210" t="str">
        <f>IFERROR(IF($E756="Inventory",VLOOKUP($C756,Inventory!$B:$I,3,FALSE()),IF($E756="Non Inventory",VLOOKUP($C756,'Non Inventory'!$B:$I,3,FALSE()),IF($E756="Services",VLOOKUP($C756,Services!$B:$I,3,FALSE()),IF($E756="Patty Cash",VLOOKUP($C756,'Patty Cash'!$B:$J,3,FALSE()),"")))),"")</f>
        <v/>
      </c>
      <c r="G756" s="211"/>
      <c r="H756" s="212" t="str">
        <f>IF($E756="","",IF($E756="Inventory",IFERROR(VLOOKUP($C756,Inventory!$B:$H,7,FALSE()),0),IF($E756="Non Inventory",IFERROR(VLOOKUP($C756,'Non Inventory'!$B:$H,7,FALSE()),0),IF($E756="Services",IFERROR(VLOOKUP($C756,Services!$B:$H,7,FALSE()),0),IF($E756="Patty Cash",IFERROR(VLOOKUP($C756,'Patty Cash'!$B:$H,7,FALSE()),0),0)))))</f>
        <v/>
      </c>
      <c r="I756" s="213"/>
      <c r="J756" s="214"/>
      <c r="K756" s="215"/>
      <c r="L756" s="197"/>
      <c r="M756" s="215"/>
      <c r="N756" s="216">
        <f>IFERROR(IF($E756="Inventory",VLOOKUP($C756,Inventory!$B:$I,8,FALSE()),IF($E756="Non Inventory",VLOOKUP($C756,'Non Inventory'!$B:$I,8,FALSE()),IF($E756="Services",VLOOKUP($C756,Services!$B:$I,8,FALSE()),IF($E756="Patty Cash",VLOOKUP($C756,'Patty Cash'!$B:$J,8,FALSE()),0)))),0)</f>
        <v>0</v>
      </c>
      <c r="O756" s="217" t="str">
        <f t="shared" si="11"/>
        <v/>
      </c>
    </row>
    <row r="757" spans="1:15" ht="23.1" customHeight="1">
      <c r="A757" s="206" t="str">
        <f>IF(AND($B757="",$C757=""),"",MAX($A$3:A756)+1)</f>
        <v/>
      </c>
      <c r="B757" s="207"/>
      <c r="C757" s="208"/>
      <c r="D757" s="209" t="str">
        <f>IFERROR(IF($E757="Inventory",VLOOKUP($C757,Inventory!$B:$I,2,FALSE()),IF($E757="Non Inventory",VLOOKUP($C757,'Non Inventory'!$B:$I,2,FALSE()),IF($E757="Services",VLOOKUP($C757,Services!$B:$I,2,FALSE()),IF($E757="Patty Cash",VLOOKUP($C757,'Patty Cash'!$B:$J,2,FALSE()),"")))),"")</f>
        <v/>
      </c>
      <c r="E757" s="246"/>
      <c r="F757" s="210" t="str">
        <f>IFERROR(IF($E757="Inventory",VLOOKUP($C757,Inventory!$B:$I,3,FALSE()),IF($E757="Non Inventory",VLOOKUP($C757,'Non Inventory'!$B:$I,3,FALSE()),IF($E757="Services",VLOOKUP($C757,Services!$B:$I,3,FALSE()),IF($E757="Patty Cash",VLOOKUP($C757,'Patty Cash'!$B:$J,3,FALSE()),"")))),"")</f>
        <v/>
      </c>
      <c r="G757" s="211"/>
      <c r="H757" s="212" t="str">
        <f>IF($E757="","",IF($E757="Inventory",IFERROR(VLOOKUP($C757,Inventory!$B:$H,7,FALSE()),0),IF($E757="Non Inventory",IFERROR(VLOOKUP($C757,'Non Inventory'!$B:$H,7,FALSE()),0),IF($E757="Services",IFERROR(VLOOKUP($C757,Services!$B:$H,7,FALSE()),0),IF($E757="Patty Cash",IFERROR(VLOOKUP($C757,'Patty Cash'!$B:$H,7,FALSE()),0),0)))))</f>
        <v/>
      </c>
      <c r="I757" s="213"/>
      <c r="J757" s="214"/>
      <c r="K757" s="215"/>
      <c r="L757" s="197"/>
      <c r="M757" s="215"/>
      <c r="N757" s="216">
        <f>IFERROR(IF($E757="Inventory",VLOOKUP($C757,Inventory!$B:$I,8,FALSE()),IF($E757="Non Inventory",VLOOKUP($C757,'Non Inventory'!$B:$I,8,FALSE()),IF($E757="Services",VLOOKUP($C757,Services!$B:$I,8,FALSE()),IF($E757="Patty Cash",VLOOKUP($C757,'Patty Cash'!$B:$J,8,FALSE()),0)))),0)</f>
        <v>0</v>
      </c>
      <c r="O757" s="217" t="str">
        <f t="shared" si="11"/>
        <v/>
      </c>
    </row>
    <row r="758" spans="1:15" ht="23.1" customHeight="1">
      <c r="A758" s="206" t="str">
        <f>IF(AND($B758="",$C758=""),"",MAX($A$3:A757)+1)</f>
        <v/>
      </c>
      <c r="B758" s="207"/>
      <c r="C758" s="208"/>
      <c r="D758" s="209" t="str">
        <f>IFERROR(IF($E758="Inventory",VLOOKUP($C758,Inventory!$B:$I,2,FALSE()),IF($E758="Non Inventory",VLOOKUP($C758,'Non Inventory'!$B:$I,2,FALSE()),IF($E758="Services",VLOOKUP($C758,Services!$B:$I,2,FALSE()),IF($E758="Patty Cash",VLOOKUP($C758,'Patty Cash'!$B:$J,2,FALSE()),"")))),"")</f>
        <v/>
      </c>
      <c r="E758" s="246"/>
      <c r="F758" s="210" t="str">
        <f>IFERROR(IF($E758="Inventory",VLOOKUP($C758,Inventory!$B:$I,3,FALSE()),IF($E758="Non Inventory",VLOOKUP($C758,'Non Inventory'!$B:$I,3,FALSE()),IF($E758="Services",VLOOKUP($C758,Services!$B:$I,3,FALSE()),IF($E758="Patty Cash",VLOOKUP($C758,'Patty Cash'!$B:$J,3,FALSE()),"")))),"")</f>
        <v/>
      </c>
      <c r="G758" s="211"/>
      <c r="H758" s="212" t="str">
        <f>IF($E758="","",IF($E758="Inventory",IFERROR(VLOOKUP($C758,Inventory!$B:$H,7,FALSE()),0),IF($E758="Non Inventory",IFERROR(VLOOKUP($C758,'Non Inventory'!$B:$H,7,FALSE()),0),IF($E758="Services",IFERROR(VLOOKUP($C758,Services!$B:$H,7,FALSE()),0),IF($E758="Patty Cash",IFERROR(VLOOKUP($C758,'Patty Cash'!$B:$H,7,FALSE()),0),0)))))</f>
        <v/>
      </c>
      <c r="I758" s="213"/>
      <c r="J758" s="214"/>
      <c r="K758" s="215"/>
      <c r="L758" s="197"/>
      <c r="M758" s="215"/>
      <c r="N758" s="216">
        <f>IFERROR(IF($E758="Inventory",VLOOKUP($C758,Inventory!$B:$I,8,FALSE()),IF($E758="Non Inventory",VLOOKUP($C758,'Non Inventory'!$B:$I,8,FALSE()),IF($E758="Services",VLOOKUP($C758,Services!$B:$I,8,FALSE()),IF($E758="Patty Cash",VLOOKUP($C758,'Patty Cash'!$B:$J,8,FALSE()),0)))),0)</f>
        <v>0</v>
      </c>
      <c r="O758" s="217" t="str">
        <f t="shared" si="11"/>
        <v/>
      </c>
    </row>
    <row r="759" spans="1:15" ht="23.1" customHeight="1">
      <c r="A759" s="206" t="str">
        <f>IF(AND($B759="",$C759=""),"",MAX($A$3:A758)+1)</f>
        <v/>
      </c>
      <c r="B759" s="207"/>
      <c r="C759" s="208"/>
      <c r="D759" s="209" t="str">
        <f>IFERROR(IF($E759="Inventory",VLOOKUP($C759,Inventory!$B:$I,2,FALSE()),IF($E759="Non Inventory",VLOOKUP($C759,'Non Inventory'!$B:$I,2,FALSE()),IF($E759="Services",VLOOKUP($C759,Services!$B:$I,2,FALSE()),IF($E759="Patty Cash",VLOOKUP($C759,'Patty Cash'!$B:$J,2,FALSE()),"")))),"")</f>
        <v/>
      </c>
      <c r="E759" s="246"/>
      <c r="F759" s="210" t="str">
        <f>IFERROR(IF($E759="Inventory",VLOOKUP($C759,Inventory!$B:$I,3,FALSE()),IF($E759="Non Inventory",VLOOKUP($C759,'Non Inventory'!$B:$I,3,FALSE()),IF($E759="Services",VLOOKUP($C759,Services!$B:$I,3,FALSE()),IF($E759="Patty Cash",VLOOKUP($C759,'Patty Cash'!$B:$J,3,FALSE()),"")))),"")</f>
        <v/>
      </c>
      <c r="G759" s="211"/>
      <c r="H759" s="212" t="str">
        <f>IF($E759="","",IF($E759="Inventory",IFERROR(VLOOKUP($C759,Inventory!$B:$H,7,FALSE()),0),IF($E759="Non Inventory",IFERROR(VLOOKUP($C759,'Non Inventory'!$B:$H,7,FALSE()),0),IF($E759="Services",IFERROR(VLOOKUP($C759,Services!$B:$H,7,FALSE()),0),IF($E759="Patty Cash",IFERROR(VLOOKUP($C759,'Patty Cash'!$B:$H,7,FALSE()),0),0)))))</f>
        <v/>
      </c>
      <c r="I759" s="213"/>
      <c r="J759" s="214"/>
      <c r="K759" s="215"/>
      <c r="L759" s="197"/>
      <c r="M759" s="215"/>
      <c r="N759" s="216">
        <f>IFERROR(IF($E759="Inventory",VLOOKUP($C759,Inventory!$B:$I,8,FALSE()),IF($E759="Non Inventory",VLOOKUP($C759,'Non Inventory'!$B:$I,8,FALSE()),IF($E759="Services",VLOOKUP($C759,Services!$B:$I,8,FALSE()),IF($E759="Patty Cash",VLOOKUP($C759,'Patty Cash'!$B:$J,8,FALSE()),0)))),0)</f>
        <v>0</v>
      </c>
      <c r="O759" s="217" t="str">
        <f t="shared" si="11"/>
        <v/>
      </c>
    </row>
    <row r="760" spans="1:15" ht="23.1" customHeight="1">
      <c r="A760" s="206" t="str">
        <f>IF(AND($B760="",$C760=""),"",MAX($A$3:A759)+1)</f>
        <v/>
      </c>
      <c r="B760" s="207"/>
      <c r="C760" s="208"/>
      <c r="D760" s="209" t="str">
        <f>IFERROR(IF($E760="Inventory",VLOOKUP($C760,Inventory!$B:$I,2,FALSE()),IF($E760="Non Inventory",VLOOKUP($C760,'Non Inventory'!$B:$I,2,FALSE()),IF($E760="Services",VLOOKUP($C760,Services!$B:$I,2,FALSE()),IF($E760="Patty Cash",VLOOKUP($C760,'Patty Cash'!$B:$J,2,FALSE()),"")))),"")</f>
        <v/>
      </c>
      <c r="E760" s="246"/>
      <c r="F760" s="210" t="str">
        <f>IFERROR(IF($E760="Inventory",VLOOKUP($C760,Inventory!$B:$I,3,FALSE()),IF($E760="Non Inventory",VLOOKUP($C760,'Non Inventory'!$B:$I,3,FALSE()),IF($E760="Services",VLOOKUP($C760,Services!$B:$I,3,FALSE()),IF($E760="Patty Cash",VLOOKUP($C760,'Patty Cash'!$B:$J,3,FALSE()),"")))),"")</f>
        <v/>
      </c>
      <c r="G760" s="211"/>
      <c r="H760" s="212" t="str">
        <f>IF($E760="","",IF($E760="Inventory",IFERROR(VLOOKUP($C760,Inventory!$B:$H,7,FALSE()),0),IF($E760="Non Inventory",IFERROR(VLOOKUP($C760,'Non Inventory'!$B:$H,7,FALSE()),0),IF($E760="Services",IFERROR(VLOOKUP($C760,Services!$B:$H,7,FALSE()),0),IF($E760="Patty Cash",IFERROR(VLOOKUP($C760,'Patty Cash'!$B:$H,7,FALSE()),0),0)))))</f>
        <v/>
      </c>
      <c r="I760" s="213"/>
      <c r="J760" s="214"/>
      <c r="K760" s="215"/>
      <c r="L760" s="197"/>
      <c r="M760" s="215"/>
      <c r="N760" s="216">
        <f>IFERROR(IF($E760="Inventory",VLOOKUP($C760,Inventory!$B:$I,8,FALSE()),IF($E760="Non Inventory",VLOOKUP($C760,'Non Inventory'!$B:$I,8,FALSE()),IF($E760="Services",VLOOKUP($C760,Services!$B:$I,8,FALSE()),IF($E760="Patty Cash",VLOOKUP($C760,'Patty Cash'!$B:$J,8,FALSE()),0)))),0)</f>
        <v>0</v>
      </c>
      <c r="O760" s="217" t="str">
        <f t="shared" si="11"/>
        <v/>
      </c>
    </row>
    <row r="761" spans="1:15" ht="23.1" customHeight="1">
      <c r="A761" s="206" t="str">
        <f>IF(AND($B761="",$C761=""),"",MAX($A$3:A760)+1)</f>
        <v/>
      </c>
      <c r="B761" s="207"/>
      <c r="C761" s="208"/>
      <c r="D761" s="209" t="str">
        <f>IFERROR(IF($E761="Inventory",VLOOKUP($C761,Inventory!$B:$I,2,FALSE()),IF($E761="Non Inventory",VLOOKUP($C761,'Non Inventory'!$B:$I,2,FALSE()),IF($E761="Services",VLOOKUP($C761,Services!$B:$I,2,FALSE()),IF($E761="Patty Cash",VLOOKUP($C761,'Patty Cash'!$B:$J,2,FALSE()),"")))),"")</f>
        <v/>
      </c>
      <c r="E761" s="246"/>
      <c r="F761" s="210" t="str">
        <f>IFERROR(IF($E761="Inventory",VLOOKUP($C761,Inventory!$B:$I,3,FALSE()),IF($E761="Non Inventory",VLOOKUP($C761,'Non Inventory'!$B:$I,3,FALSE()),IF($E761="Services",VLOOKUP($C761,Services!$B:$I,3,FALSE()),IF($E761="Patty Cash",VLOOKUP($C761,'Patty Cash'!$B:$J,3,FALSE()),"")))),"")</f>
        <v/>
      </c>
      <c r="G761" s="211"/>
      <c r="H761" s="212" t="str">
        <f>IF($E761="","",IF($E761="Inventory",IFERROR(VLOOKUP($C761,Inventory!$B:$H,7,FALSE()),0),IF($E761="Non Inventory",IFERROR(VLOOKUP($C761,'Non Inventory'!$B:$H,7,FALSE()),0),IF($E761="Services",IFERROR(VLOOKUP($C761,Services!$B:$H,7,FALSE()),0),IF($E761="Patty Cash",IFERROR(VLOOKUP($C761,'Patty Cash'!$B:$H,7,FALSE()),0),0)))))</f>
        <v/>
      </c>
      <c r="I761" s="213"/>
      <c r="J761" s="214"/>
      <c r="K761" s="215"/>
      <c r="L761" s="197"/>
      <c r="M761" s="215"/>
      <c r="N761" s="216">
        <f>IFERROR(IF($E761="Inventory",VLOOKUP($C761,Inventory!$B:$I,8,FALSE()),IF($E761="Non Inventory",VLOOKUP($C761,'Non Inventory'!$B:$I,8,FALSE()),IF($E761="Services",VLOOKUP($C761,Services!$B:$I,8,FALSE()),IF($E761="Patty Cash",VLOOKUP($C761,'Patty Cash'!$B:$J,8,FALSE()),0)))),0)</f>
        <v>0</v>
      </c>
      <c r="O761" s="217" t="str">
        <f t="shared" si="11"/>
        <v/>
      </c>
    </row>
    <row r="762" spans="1:15" ht="23.1" customHeight="1">
      <c r="A762" s="206" t="str">
        <f>IF(AND($B762="",$C762=""),"",MAX($A$3:A761)+1)</f>
        <v/>
      </c>
      <c r="B762" s="207"/>
      <c r="C762" s="208"/>
      <c r="D762" s="209" t="str">
        <f>IFERROR(IF($E762="Inventory",VLOOKUP($C762,Inventory!$B:$I,2,FALSE()),IF($E762="Non Inventory",VLOOKUP($C762,'Non Inventory'!$B:$I,2,FALSE()),IF($E762="Services",VLOOKUP($C762,Services!$B:$I,2,FALSE()),IF($E762="Patty Cash",VLOOKUP($C762,'Patty Cash'!$B:$J,2,FALSE()),"")))),"")</f>
        <v/>
      </c>
      <c r="E762" s="246"/>
      <c r="F762" s="210" t="str">
        <f>IFERROR(IF($E762="Inventory",VLOOKUP($C762,Inventory!$B:$I,3,FALSE()),IF($E762="Non Inventory",VLOOKUP($C762,'Non Inventory'!$B:$I,3,FALSE()),IF($E762="Services",VLOOKUP($C762,Services!$B:$I,3,FALSE()),IF($E762="Patty Cash",VLOOKUP($C762,'Patty Cash'!$B:$J,3,FALSE()),"")))),"")</f>
        <v/>
      </c>
      <c r="G762" s="211"/>
      <c r="H762" s="212" t="str">
        <f>IF($E762="","",IF($E762="Inventory",IFERROR(VLOOKUP($C762,Inventory!$B:$H,7,FALSE()),0),IF($E762="Non Inventory",IFERROR(VLOOKUP($C762,'Non Inventory'!$B:$H,7,FALSE()),0),IF($E762="Services",IFERROR(VLOOKUP($C762,Services!$B:$H,7,FALSE()),0),IF($E762="Patty Cash",IFERROR(VLOOKUP($C762,'Patty Cash'!$B:$H,7,FALSE()),0),0)))))</f>
        <v/>
      </c>
      <c r="I762" s="213"/>
      <c r="J762" s="214"/>
      <c r="K762" s="215"/>
      <c r="L762" s="197"/>
      <c r="M762" s="215"/>
      <c r="N762" s="216">
        <f>IFERROR(IF($E762="Inventory",VLOOKUP($C762,Inventory!$B:$I,8,FALSE()),IF($E762="Non Inventory",VLOOKUP($C762,'Non Inventory'!$B:$I,8,FALSE()),IF($E762="Services",VLOOKUP($C762,Services!$B:$I,8,FALSE()),IF($E762="Patty Cash",VLOOKUP($C762,'Patty Cash'!$B:$J,8,FALSE()),0)))),0)</f>
        <v>0</v>
      </c>
      <c r="O762" s="217" t="str">
        <f t="shared" si="11"/>
        <v/>
      </c>
    </row>
    <row r="763" spans="1:15" ht="23.1" customHeight="1">
      <c r="A763" s="206" t="str">
        <f>IF(AND($B763="",$C763=""),"",MAX($A$3:A762)+1)</f>
        <v/>
      </c>
      <c r="B763" s="207"/>
      <c r="C763" s="208"/>
      <c r="D763" s="209" t="str">
        <f>IFERROR(IF($E763="Inventory",VLOOKUP($C763,Inventory!$B:$I,2,FALSE()),IF($E763="Non Inventory",VLOOKUP($C763,'Non Inventory'!$B:$I,2,FALSE()),IF($E763="Services",VLOOKUP($C763,Services!$B:$I,2,FALSE()),IF($E763="Patty Cash",VLOOKUP($C763,'Patty Cash'!$B:$J,2,FALSE()),"")))),"")</f>
        <v/>
      </c>
      <c r="E763" s="246"/>
      <c r="F763" s="210" t="str">
        <f>IFERROR(IF($E763="Inventory",VLOOKUP($C763,Inventory!$B:$I,3,FALSE()),IF($E763="Non Inventory",VLOOKUP($C763,'Non Inventory'!$B:$I,3,FALSE()),IF($E763="Services",VLOOKUP($C763,Services!$B:$I,3,FALSE()),IF($E763="Patty Cash",VLOOKUP($C763,'Patty Cash'!$B:$J,3,FALSE()),"")))),"")</f>
        <v/>
      </c>
      <c r="G763" s="211"/>
      <c r="H763" s="212" t="str">
        <f>IF($E763="","",IF($E763="Inventory",IFERROR(VLOOKUP($C763,Inventory!$B:$H,7,FALSE()),0),IF($E763="Non Inventory",IFERROR(VLOOKUP($C763,'Non Inventory'!$B:$H,7,FALSE()),0),IF($E763="Services",IFERROR(VLOOKUP($C763,Services!$B:$H,7,FALSE()),0),IF($E763="Patty Cash",IFERROR(VLOOKUP($C763,'Patty Cash'!$B:$H,7,FALSE()),0),0)))))</f>
        <v/>
      </c>
      <c r="I763" s="213"/>
      <c r="J763" s="214"/>
      <c r="K763" s="215"/>
      <c r="L763" s="197"/>
      <c r="M763" s="215"/>
      <c r="N763" s="216">
        <f>IFERROR(IF($E763="Inventory",VLOOKUP($C763,Inventory!$B:$I,8,FALSE()),IF($E763="Non Inventory",VLOOKUP($C763,'Non Inventory'!$B:$I,8,FALSE()),IF($E763="Services",VLOOKUP($C763,Services!$B:$I,8,FALSE()),IF($E763="Patty Cash",VLOOKUP($C763,'Patty Cash'!$B:$J,8,FALSE()),0)))),0)</f>
        <v>0</v>
      </c>
      <c r="O763" s="217" t="str">
        <f t="shared" si="11"/>
        <v/>
      </c>
    </row>
    <row r="764" spans="1:15" ht="23.1" customHeight="1">
      <c r="A764" s="206" t="str">
        <f>IF(AND($B764="",$C764=""),"",MAX($A$3:A763)+1)</f>
        <v/>
      </c>
      <c r="B764" s="207"/>
      <c r="C764" s="208"/>
      <c r="D764" s="209" t="str">
        <f>IFERROR(IF($E764="Inventory",VLOOKUP($C764,Inventory!$B:$I,2,FALSE()),IF($E764="Non Inventory",VLOOKUP($C764,'Non Inventory'!$B:$I,2,FALSE()),IF($E764="Services",VLOOKUP($C764,Services!$B:$I,2,FALSE()),IF($E764="Patty Cash",VLOOKUP($C764,'Patty Cash'!$B:$J,2,FALSE()),"")))),"")</f>
        <v/>
      </c>
      <c r="E764" s="246"/>
      <c r="F764" s="210" t="str">
        <f>IFERROR(IF($E764="Inventory",VLOOKUP($C764,Inventory!$B:$I,3,FALSE()),IF($E764="Non Inventory",VLOOKUP($C764,'Non Inventory'!$B:$I,3,FALSE()),IF($E764="Services",VLOOKUP($C764,Services!$B:$I,3,FALSE()),IF($E764="Patty Cash",VLOOKUP($C764,'Patty Cash'!$B:$J,3,FALSE()),"")))),"")</f>
        <v/>
      </c>
      <c r="G764" s="211"/>
      <c r="H764" s="212" t="str">
        <f>IF($E764="","",IF($E764="Inventory",IFERROR(VLOOKUP($C764,Inventory!$B:$H,7,FALSE()),0),IF($E764="Non Inventory",IFERROR(VLOOKUP($C764,'Non Inventory'!$B:$H,7,FALSE()),0),IF($E764="Services",IFERROR(VLOOKUP($C764,Services!$B:$H,7,FALSE()),0),IF($E764="Patty Cash",IFERROR(VLOOKUP($C764,'Patty Cash'!$B:$H,7,FALSE()),0),0)))))</f>
        <v/>
      </c>
      <c r="I764" s="213"/>
      <c r="J764" s="214"/>
      <c r="K764" s="215"/>
      <c r="L764" s="197"/>
      <c r="M764" s="215"/>
      <c r="N764" s="216">
        <f>IFERROR(IF($E764="Inventory",VLOOKUP($C764,Inventory!$B:$I,8,FALSE()),IF($E764="Non Inventory",VLOOKUP($C764,'Non Inventory'!$B:$I,8,FALSE()),IF($E764="Services",VLOOKUP($C764,Services!$B:$I,8,FALSE()),IF($E764="Patty Cash",VLOOKUP($C764,'Patty Cash'!$B:$J,8,FALSE()),0)))),0)</f>
        <v>0</v>
      </c>
      <c r="O764" s="217" t="str">
        <f t="shared" si="11"/>
        <v/>
      </c>
    </row>
    <row r="765" spans="1:15" ht="23.1" customHeight="1">
      <c r="A765" s="206" t="str">
        <f>IF(AND($B765="",$C765=""),"",MAX($A$3:A764)+1)</f>
        <v/>
      </c>
      <c r="B765" s="207"/>
      <c r="C765" s="208"/>
      <c r="D765" s="209" t="str">
        <f>IFERROR(IF($E765="Inventory",VLOOKUP($C765,Inventory!$B:$I,2,FALSE()),IF($E765="Non Inventory",VLOOKUP($C765,'Non Inventory'!$B:$I,2,FALSE()),IF($E765="Services",VLOOKUP($C765,Services!$B:$I,2,FALSE()),IF($E765="Patty Cash",VLOOKUP($C765,'Patty Cash'!$B:$J,2,FALSE()),"")))),"")</f>
        <v/>
      </c>
      <c r="E765" s="246"/>
      <c r="F765" s="210" t="str">
        <f>IFERROR(IF($E765="Inventory",VLOOKUP($C765,Inventory!$B:$I,3,FALSE()),IF($E765="Non Inventory",VLOOKUP($C765,'Non Inventory'!$B:$I,3,FALSE()),IF($E765="Services",VLOOKUP($C765,Services!$B:$I,3,FALSE()),IF($E765="Patty Cash",VLOOKUP($C765,'Patty Cash'!$B:$J,3,FALSE()),"")))),"")</f>
        <v/>
      </c>
      <c r="G765" s="211"/>
      <c r="H765" s="212" t="str">
        <f>IF($E765="","",IF($E765="Inventory",IFERROR(VLOOKUP($C765,Inventory!$B:$H,7,FALSE()),0),IF($E765="Non Inventory",IFERROR(VLOOKUP($C765,'Non Inventory'!$B:$H,7,FALSE()),0),IF($E765="Services",IFERROR(VLOOKUP($C765,Services!$B:$H,7,FALSE()),0),IF($E765="Patty Cash",IFERROR(VLOOKUP($C765,'Patty Cash'!$B:$H,7,FALSE()),0),0)))))</f>
        <v/>
      </c>
      <c r="I765" s="213"/>
      <c r="J765" s="214"/>
      <c r="K765" s="215"/>
      <c r="L765" s="197"/>
      <c r="M765" s="215"/>
      <c r="N765" s="216">
        <f>IFERROR(IF($E765="Inventory",VLOOKUP($C765,Inventory!$B:$I,8,FALSE()),IF($E765="Non Inventory",VLOOKUP($C765,'Non Inventory'!$B:$I,8,FALSE()),IF($E765="Services",VLOOKUP($C765,Services!$B:$I,8,FALSE()),IF($E765="Patty Cash",VLOOKUP($C765,'Patty Cash'!$B:$J,8,FALSE()),0)))),0)</f>
        <v>0</v>
      </c>
      <c r="O765" s="217" t="str">
        <f t="shared" si="11"/>
        <v/>
      </c>
    </row>
    <row r="766" spans="1:15" ht="23.1" customHeight="1">
      <c r="A766" s="206" t="str">
        <f>IF(AND($B766="",$C766=""),"",MAX($A$3:A765)+1)</f>
        <v/>
      </c>
      <c r="B766" s="207"/>
      <c r="C766" s="208"/>
      <c r="D766" s="209" t="str">
        <f>IFERROR(IF($E766="Inventory",VLOOKUP($C766,Inventory!$B:$I,2,FALSE()),IF($E766="Non Inventory",VLOOKUP($C766,'Non Inventory'!$B:$I,2,FALSE()),IF($E766="Services",VLOOKUP($C766,Services!$B:$I,2,FALSE()),IF($E766="Patty Cash",VLOOKUP($C766,'Patty Cash'!$B:$J,2,FALSE()),"")))),"")</f>
        <v/>
      </c>
      <c r="E766" s="246"/>
      <c r="F766" s="210" t="str">
        <f>IFERROR(IF($E766="Inventory",VLOOKUP($C766,Inventory!$B:$I,3,FALSE()),IF($E766="Non Inventory",VLOOKUP($C766,'Non Inventory'!$B:$I,3,FALSE()),IF($E766="Services",VLOOKUP($C766,Services!$B:$I,3,FALSE()),IF($E766="Patty Cash",VLOOKUP($C766,'Patty Cash'!$B:$J,3,FALSE()),"")))),"")</f>
        <v/>
      </c>
      <c r="G766" s="211"/>
      <c r="H766" s="212" t="str">
        <f>IF($E766="","",IF($E766="Inventory",IFERROR(VLOOKUP($C766,Inventory!$B:$H,7,FALSE()),0),IF($E766="Non Inventory",IFERROR(VLOOKUP($C766,'Non Inventory'!$B:$H,7,FALSE()),0),IF($E766="Services",IFERROR(VLOOKUP($C766,Services!$B:$H,7,FALSE()),0),IF($E766="Patty Cash",IFERROR(VLOOKUP($C766,'Patty Cash'!$B:$H,7,FALSE()),0),0)))))</f>
        <v/>
      </c>
      <c r="I766" s="213"/>
      <c r="J766" s="214"/>
      <c r="K766" s="215"/>
      <c r="L766" s="197"/>
      <c r="M766" s="215"/>
      <c r="N766" s="216">
        <f>IFERROR(IF($E766="Inventory",VLOOKUP($C766,Inventory!$B:$I,8,FALSE()),IF($E766="Non Inventory",VLOOKUP($C766,'Non Inventory'!$B:$I,8,FALSE()),IF($E766="Services",VLOOKUP($C766,Services!$B:$I,8,FALSE()),IF($E766="Patty Cash",VLOOKUP($C766,'Patty Cash'!$B:$J,8,FALSE()),0)))),0)</f>
        <v>0</v>
      </c>
      <c r="O766" s="217" t="str">
        <f t="shared" si="11"/>
        <v/>
      </c>
    </row>
    <row r="767" spans="1:15" ht="23.1" customHeight="1">
      <c r="A767" s="206" t="str">
        <f>IF(AND($B767="",$C767=""),"",MAX($A$3:A766)+1)</f>
        <v/>
      </c>
      <c r="B767" s="207"/>
      <c r="C767" s="208"/>
      <c r="D767" s="209" t="str">
        <f>IFERROR(IF($E767="Inventory",VLOOKUP($C767,Inventory!$B:$I,2,FALSE()),IF($E767="Non Inventory",VLOOKUP($C767,'Non Inventory'!$B:$I,2,FALSE()),IF($E767="Services",VLOOKUP($C767,Services!$B:$I,2,FALSE()),IF($E767="Patty Cash",VLOOKUP($C767,'Patty Cash'!$B:$J,2,FALSE()),"")))),"")</f>
        <v/>
      </c>
      <c r="E767" s="246"/>
      <c r="F767" s="210" t="str">
        <f>IFERROR(IF($E767="Inventory",VLOOKUP($C767,Inventory!$B:$I,3,FALSE()),IF($E767="Non Inventory",VLOOKUP($C767,'Non Inventory'!$B:$I,3,FALSE()),IF($E767="Services",VLOOKUP($C767,Services!$B:$I,3,FALSE()),IF($E767="Patty Cash",VLOOKUP($C767,'Patty Cash'!$B:$J,3,FALSE()),"")))),"")</f>
        <v/>
      </c>
      <c r="G767" s="211"/>
      <c r="H767" s="212" t="str">
        <f>IF($E767="","",IF($E767="Inventory",IFERROR(VLOOKUP($C767,Inventory!$B:$H,7,FALSE()),0),IF($E767="Non Inventory",IFERROR(VLOOKUP($C767,'Non Inventory'!$B:$H,7,FALSE()),0),IF($E767="Services",IFERROR(VLOOKUP($C767,Services!$B:$H,7,FALSE()),0),IF($E767="Patty Cash",IFERROR(VLOOKUP($C767,'Patty Cash'!$B:$H,7,FALSE()),0),0)))))</f>
        <v/>
      </c>
      <c r="I767" s="213"/>
      <c r="J767" s="214"/>
      <c r="K767" s="215"/>
      <c r="L767" s="197"/>
      <c r="M767" s="215"/>
      <c r="N767" s="216">
        <f>IFERROR(IF($E767="Inventory",VLOOKUP($C767,Inventory!$B:$I,8,FALSE()),IF($E767="Non Inventory",VLOOKUP($C767,'Non Inventory'!$B:$I,8,FALSE()),IF($E767="Services",VLOOKUP($C767,Services!$B:$I,8,FALSE()),IF($E767="Patty Cash",VLOOKUP($C767,'Patty Cash'!$B:$J,8,FALSE()),0)))),0)</f>
        <v>0</v>
      </c>
      <c r="O767" s="217" t="str">
        <f t="shared" si="11"/>
        <v/>
      </c>
    </row>
    <row r="768" spans="1:15" ht="23.1" customHeight="1">
      <c r="A768" s="206" t="str">
        <f>IF(AND($B768="",$C768=""),"",MAX($A$3:A767)+1)</f>
        <v/>
      </c>
      <c r="B768" s="207"/>
      <c r="C768" s="208"/>
      <c r="D768" s="209" t="str">
        <f>IFERROR(IF($E768="Inventory",VLOOKUP($C768,Inventory!$B:$I,2,FALSE()),IF($E768="Non Inventory",VLOOKUP($C768,'Non Inventory'!$B:$I,2,FALSE()),IF($E768="Services",VLOOKUP($C768,Services!$B:$I,2,FALSE()),IF($E768="Patty Cash",VLOOKUP($C768,'Patty Cash'!$B:$J,2,FALSE()),"")))),"")</f>
        <v/>
      </c>
      <c r="E768" s="246"/>
      <c r="F768" s="210" t="str">
        <f>IFERROR(IF($E768="Inventory",VLOOKUP($C768,Inventory!$B:$I,3,FALSE()),IF($E768="Non Inventory",VLOOKUP($C768,'Non Inventory'!$B:$I,3,FALSE()),IF($E768="Services",VLOOKUP($C768,Services!$B:$I,3,FALSE()),IF($E768="Patty Cash",VLOOKUP($C768,'Patty Cash'!$B:$J,3,FALSE()),"")))),"")</f>
        <v/>
      </c>
      <c r="G768" s="211"/>
      <c r="H768" s="212" t="str">
        <f>IF($E768="","",IF($E768="Inventory",IFERROR(VLOOKUP($C768,Inventory!$B:$H,7,FALSE()),0),IF($E768="Non Inventory",IFERROR(VLOOKUP($C768,'Non Inventory'!$B:$H,7,FALSE()),0),IF($E768="Services",IFERROR(VLOOKUP($C768,Services!$B:$H,7,FALSE()),0),IF($E768="Patty Cash",IFERROR(VLOOKUP($C768,'Patty Cash'!$B:$H,7,FALSE()),0),0)))))</f>
        <v/>
      </c>
      <c r="I768" s="213"/>
      <c r="J768" s="214"/>
      <c r="K768" s="215"/>
      <c r="L768" s="197"/>
      <c r="M768" s="215"/>
      <c r="N768" s="216">
        <f>IFERROR(IF($E768="Inventory",VLOOKUP($C768,Inventory!$B:$I,8,FALSE()),IF($E768="Non Inventory",VLOOKUP($C768,'Non Inventory'!$B:$I,8,FALSE()),IF($E768="Services",VLOOKUP($C768,Services!$B:$I,8,FALSE()),IF($E768="Patty Cash",VLOOKUP($C768,'Patty Cash'!$B:$J,8,FALSE()),0)))),0)</f>
        <v>0</v>
      </c>
      <c r="O768" s="217" t="str">
        <f t="shared" si="11"/>
        <v/>
      </c>
    </row>
    <row r="769" spans="1:15" ht="23.1" customHeight="1">
      <c r="A769" s="206" t="str">
        <f>IF(AND($B769="",$C769=""),"",MAX($A$3:A768)+1)</f>
        <v/>
      </c>
      <c r="B769" s="207"/>
      <c r="C769" s="208"/>
      <c r="D769" s="209" t="str">
        <f>IFERROR(IF($E769="Inventory",VLOOKUP($C769,Inventory!$B:$I,2,FALSE()),IF($E769="Non Inventory",VLOOKUP($C769,'Non Inventory'!$B:$I,2,FALSE()),IF($E769="Services",VLOOKUP($C769,Services!$B:$I,2,FALSE()),IF($E769="Patty Cash",VLOOKUP($C769,'Patty Cash'!$B:$J,2,FALSE()),"")))),"")</f>
        <v/>
      </c>
      <c r="E769" s="246"/>
      <c r="F769" s="210" t="str">
        <f>IFERROR(IF($E769="Inventory",VLOOKUP($C769,Inventory!$B:$I,3,FALSE()),IF($E769="Non Inventory",VLOOKUP($C769,'Non Inventory'!$B:$I,3,FALSE()),IF($E769="Services",VLOOKUP($C769,Services!$B:$I,3,FALSE()),IF($E769="Patty Cash",VLOOKUP($C769,'Patty Cash'!$B:$J,3,FALSE()),"")))),"")</f>
        <v/>
      </c>
      <c r="G769" s="211"/>
      <c r="H769" s="212" t="str">
        <f>IF($E769="","",IF($E769="Inventory",IFERROR(VLOOKUP($C769,Inventory!$B:$H,7,FALSE()),0),IF($E769="Non Inventory",IFERROR(VLOOKUP($C769,'Non Inventory'!$B:$H,7,FALSE()),0),IF($E769="Services",IFERROR(VLOOKUP($C769,Services!$B:$H,7,FALSE()),0),IF($E769="Patty Cash",IFERROR(VLOOKUP($C769,'Patty Cash'!$B:$H,7,FALSE()),0),0)))))</f>
        <v/>
      </c>
      <c r="I769" s="213"/>
      <c r="J769" s="214"/>
      <c r="K769" s="215"/>
      <c r="L769" s="197"/>
      <c r="M769" s="215"/>
      <c r="N769" s="216">
        <f>IFERROR(IF($E769="Inventory",VLOOKUP($C769,Inventory!$B:$I,8,FALSE()),IF($E769="Non Inventory",VLOOKUP($C769,'Non Inventory'!$B:$I,8,FALSE()),IF($E769="Services",VLOOKUP($C769,Services!$B:$I,8,FALSE()),IF($E769="Patty Cash",VLOOKUP($C769,'Patty Cash'!$B:$J,8,FALSE()),0)))),0)</f>
        <v>0</v>
      </c>
      <c r="O769" s="217" t="str">
        <f t="shared" si="11"/>
        <v/>
      </c>
    </row>
    <row r="770" spans="1:15" ht="23.1" customHeight="1">
      <c r="A770" s="206" t="str">
        <f>IF(AND($B770="",$C770=""),"",MAX($A$3:A769)+1)</f>
        <v/>
      </c>
      <c r="B770" s="207"/>
      <c r="C770" s="208"/>
      <c r="D770" s="209" t="str">
        <f>IFERROR(IF($E770="Inventory",VLOOKUP($C770,Inventory!$B:$I,2,FALSE()),IF($E770="Non Inventory",VLOOKUP($C770,'Non Inventory'!$B:$I,2,FALSE()),IF($E770="Services",VLOOKUP($C770,Services!$B:$I,2,FALSE()),IF($E770="Patty Cash",VLOOKUP($C770,'Patty Cash'!$B:$J,2,FALSE()),"")))),"")</f>
        <v/>
      </c>
      <c r="E770" s="246"/>
      <c r="F770" s="210" t="str">
        <f>IFERROR(IF($E770="Inventory",VLOOKUP($C770,Inventory!$B:$I,3,FALSE()),IF($E770="Non Inventory",VLOOKUP($C770,'Non Inventory'!$B:$I,3,FALSE()),IF($E770="Services",VLOOKUP($C770,Services!$B:$I,3,FALSE()),IF($E770="Patty Cash",VLOOKUP($C770,'Patty Cash'!$B:$J,3,FALSE()),"")))),"")</f>
        <v/>
      </c>
      <c r="G770" s="211"/>
      <c r="H770" s="212" t="str">
        <f>IF($E770="","",IF($E770="Inventory",IFERROR(VLOOKUP($C770,Inventory!$B:$H,7,FALSE()),0),IF($E770="Non Inventory",IFERROR(VLOOKUP($C770,'Non Inventory'!$B:$H,7,FALSE()),0),IF($E770="Services",IFERROR(VLOOKUP($C770,Services!$B:$H,7,FALSE()),0),IF($E770="Patty Cash",IFERROR(VLOOKUP($C770,'Patty Cash'!$B:$H,7,FALSE()),0),0)))))</f>
        <v/>
      </c>
      <c r="I770" s="213"/>
      <c r="J770" s="214"/>
      <c r="K770" s="215"/>
      <c r="L770" s="197"/>
      <c r="M770" s="215"/>
      <c r="N770" s="216">
        <f>IFERROR(IF($E770="Inventory",VLOOKUP($C770,Inventory!$B:$I,8,FALSE()),IF($E770="Non Inventory",VLOOKUP($C770,'Non Inventory'!$B:$I,8,FALSE()),IF($E770="Services",VLOOKUP($C770,Services!$B:$I,8,FALSE()),IF($E770="Patty Cash",VLOOKUP($C770,'Patty Cash'!$B:$J,8,FALSE()),0)))),0)</f>
        <v>0</v>
      </c>
      <c r="O770" s="217" t="str">
        <f t="shared" si="11"/>
        <v/>
      </c>
    </row>
    <row r="771" spans="1:15" ht="23.1" customHeight="1">
      <c r="A771" s="206" t="str">
        <f>IF(AND($B771="",$C771=""),"",MAX($A$3:A770)+1)</f>
        <v/>
      </c>
      <c r="B771" s="207"/>
      <c r="C771" s="208"/>
      <c r="D771" s="209" t="str">
        <f>IFERROR(IF($E771="Inventory",VLOOKUP($C771,Inventory!$B:$I,2,FALSE()),IF($E771="Non Inventory",VLOOKUP($C771,'Non Inventory'!$B:$I,2,FALSE()),IF($E771="Services",VLOOKUP($C771,Services!$B:$I,2,FALSE()),IF($E771="Patty Cash",VLOOKUP($C771,'Patty Cash'!$B:$J,2,FALSE()),"")))),"")</f>
        <v/>
      </c>
      <c r="E771" s="246"/>
      <c r="F771" s="210" t="str">
        <f>IFERROR(IF($E771="Inventory",VLOOKUP($C771,Inventory!$B:$I,3,FALSE()),IF($E771="Non Inventory",VLOOKUP($C771,'Non Inventory'!$B:$I,3,FALSE()),IF($E771="Services",VLOOKUP($C771,Services!$B:$I,3,FALSE()),IF($E771="Patty Cash",VLOOKUP($C771,'Patty Cash'!$B:$J,3,FALSE()),"")))),"")</f>
        <v/>
      </c>
      <c r="G771" s="211"/>
      <c r="H771" s="212" t="str">
        <f>IF($E771="","",IF($E771="Inventory",IFERROR(VLOOKUP($C771,Inventory!$B:$H,7,FALSE()),0),IF($E771="Non Inventory",IFERROR(VLOOKUP($C771,'Non Inventory'!$B:$H,7,FALSE()),0),IF($E771="Services",IFERROR(VLOOKUP($C771,Services!$B:$H,7,FALSE()),0),IF($E771="Patty Cash",IFERROR(VLOOKUP($C771,'Patty Cash'!$B:$H,7,FALSE()),0),0)))))</f>
        <v/>
      </c>
      <c r="I771" s="213"/>
      <c r="J771" s="214"/>
      <c r="K771" s="215"/>
      <c r="L771" s="197"/>
      <c r="M771" s="215"/>
      <c r="N771" s="216">
        <f>IFERROR(IF($E771="Inventory",VLOOKUP($C771,Inventory!$B:$I,8,FALSE()),IF($E771="Non Inventory",VLOOKUP($C771,'Non Inventory'!$B:$I,8,FALSE()),IF($E771="Services",VLOOKUP($C771,Services!$B:$I,8,FALSE()),IF($E771="Patty Cash",VLOOKUP($C771,'Patty Cash'!$B:$J,8,FALSE()),0)))),0)</f>
        <v>0</v>
      </c>
      <c r="O771" s="217" t="str">
        <f t="shared" ref="O771:O834" si="12">IF($G771="","",G771*N771)</f>
        <v/>
      </c>
    </row>
    <row r="772" spans="1:15" ht="23.1" customHeight="1">
      <c r="A772" s="206" t="str">
        <f>IF(AND($B772="",$C772=""),"",MAX($A$3:A771)+1)</f>
        <v/>
      </c>
      <c r="B772" s="207"/>
      <c r="C772" s="208"/>
      <c r="D772" s="209" t="str">
        <f>IFERROR(IF($E772="Inventory",VLOOKUP($C772,Inventory!$B:$I,2,FALSE()),IF($E772="Non Inventory",VLOOKUP($C772,'Non Inventory'!$B:$I,2,FALSE()),IF($E772="Services",VLOOKUP($C772,Services!$B:$I,2,FALSE()),IF($E772="Patty Cash",VLOOKUP($C772,'Patty Cash'!$B:$J,2,FALSE()),"")))),"")</f>
        <v/>
      </c>
      <c r="E772" s="246"/>
      <c r="F772" s="210" t="str">
        <f>IFERROR(IF($E772="Inventory",VLOOKUP($C772,Inventory!$B:$I,3,FALSE()),IF($E772="Non Inventory",VLOOKUP($C772,'Non Inventory'!$B:$I,3,FALSE()),IF($E772="Services",VLOOKUP($C772,Services!$B:$I,3,FALSE()),IF($E772="Patty Cash",VLOOKUP($C772,'Patty Cash'!$B:$J,3,FALSE()),"")))),"")</f>
        <v/>
      </c>
      <c r="G772" s="211"/>
      <c r="H772" s="212" t="str">
        <f>IF($E772="","",IF($E772="Inventory",IFERROR(VLOOKUP($C772,Inventory!$B:$H,7,FALSE()),0),IF($E772="Non Inventory",IFERROR(VLOOKUP($C772,'Non Inventory'!$B:$H,7,FALSE()),0),IF($E772="Services",IFERROR(VLOOKUP($C772,Services!$B:$H,7,FALSE()),0),IF($E772="Patty Cash",IFERROR(VLOOKUP($C772,'Patty Cash'!$B:$H,7,FALSE()),0),0)))))</f>
        <v/>
      </c>
      <c r="I772" s="213"/>
      <c r="J772" s="214"/>
      <c r="K772" s="215"/>
      <c r="L772" s="197"/>
      <c r="M772" s="215"/>
      <c r="N772" s="216">
        <f>IFERROR(IF($E772="Inventory",VLOOKUP($C772,Inventory!$B:$I,8,FALSE()),IF($E772="Non Inventory",VLOOKUP($C772,'Non Inventory'!$B:$I,8,FALSE()),IF($E772="Services",VLOOKUP($C772,Services!$B:$I,8,FALSE()),IF($E772="Patty Cash",VLOOKUP($C772,'Patty Cash'!$B:$J,8,FALSE()),0)))),0)</f>
        <v>0</v>
      </c>
      <c r="O772" s="217" t="str">
        <f t="shared" si="12"/>
        <v/>
      </c>
    </row>
    <row r="773" spans="1:15" ht="23.1" customHeight="1">
      <c r="A773" s="206" t="str">
        <f>IF(AND($B773="",$C773=""),"",MAX($A$3:A772)+1)</f>
        <v/>
      </c>
      <c r="B773" s="207"/>
      <c r="C773" s="208"/>
      <c r="D773" s="209" t="str">
        <f>IFERROR(IF($E773="Inventory",VLOOKUP($C773,Inventory!$B:$I,2,FALSE()),IF($E773="Non Inventory",VLOOKUP($C773,'Non Inventory'!$B:$I,2,FALSE()),IF($E773="Services",VLOOKUP($C773,Services!$B:$I,2,FALSE()),IF($E773="Patty Cash",VLOOKUP($C773,'Patty Cash'!$B:$J,2,FALSE()),"")))),"")</f>
        <v/>
      </c>
      <c r="E773" s="246"/>
      <c r="F773" s="210" t="str">
        <f>IFERROR(IF($E773="Inventory",VLOOKUP($C773,Inventory!$B:$I,3,FALSE()),IF($E773="Non Inventory",VLOOKUP($C773,'Non Inventory'!$B:$I,3,FALSE()),IF($E773="Services",VLOOKUP($C773,Services!$B:$I,3,FALSE()),IF($E773="Patty Cash",VLOOKUP($C773,'Patty Cash'!$B:$J,3,FALSE()),"")))),"")</f>
        <v/>
      </c>
      <c r="G773" s="211"/>
      <c r="H773" s="212" t="str">
        <f>IF($E773="","",IF($E773="Inventory",IFERROR(VLOOKUP($C773,Inventory!$B:$H,7,FALSE()),0),IF($E773="Non Inventory",IFERROR(VLOOKUP($C773,'Non Inventory'!$B:$H,7,FALSE()),0),IF($E773="Services",IFERROR(VLOOKUP($C773,Services!$B:$H,7,FALSE()),0),IF($E773="Patty Cash",IFERROR(VLOOKUP($C773,'Patty Cash'!$B:$H,7,FALSE()),0),0)))))</f>
        <v/>
      </c>
      <c r="I773" s="213"/>
      <c r="J773" s="214"/>
      <c r="K773" s="215"/>
      <c r="L773" s="197"/>
      <c r="M773" s="215"/>
      <c r="N773" s="216">
        <f>IFERROR(IF($E773="Inventory",VLOOKUP($C773,Inventory!$B:$I,8,FALSE()),IF($E773="Non Inventory",VLOOKUP($C773,'Non Inventory'!$B:$I,8,FALSE()),IF($E773="Services",VLOOKUP($C773,Services!$B:$I,8,FALSE()),IF($E773="Patty Cash",VLOOKUP($C773,'Patty Cash'!$B:$J,8,FALSE()),0)))),0)</f>
        <v>0</v>
      </c>
      <c r="O773" s="217" t="str">
        <f t="shared" si="12"/>
        <v/>
      </c>
    </row>
    <row r="774" spans="1:15" ht="23.1" customHeight="1">
      <c r="A774" s="206" t="str">
        <f>IF(AND($B774="",$C774=""),"",MAX($A$3:A773)+1)</f>
        <v/>
      </c>
      <c r="B774" s="207"/>
      <c r="C774" s="208"/>
      <c r="D774" s="209" t="str">
        <f>IFERROR(IF($E774="Inventory",VLOOKUP($C774,Inventory!$B:$I,2,FALSE()),IF($E774="Non Inventory",VLOOKUP($C774,'Non Inventory'!$B:$I,2,FALSE()),IF($E774="Services",VLOOKUP($C774,Services!$B:$I,2,FALSE()),IF($E774="Patty Cash",VLOOKUP($C774,'Patty Cash'!$B:$J,2,FALSE()),"")))),"")</f>
        <v/>
      </c>
      <c r="E774" s="246"/>
      <c r="F774" s="210" t="str">
        <f>IFERROR(IF($E774="Inventory",VLOOKUP($C774,Inventory!$B:$I,3,FALSE()),IF($E774="Non Inventory",VLOOKUP($C774,'Non Inventory'!$B:$I,3,FALSE()),IF($E774="Services",VLOOKUP($C774,Services!$B:$I,3,FALSE()),IF($E774="Patty Cash",VLOOKUP($C774,'Patty Cash'!$B:$J,3,FALSE()),"")))),"")</f>
        <v/>
      </c>
      <c r="G774" s="211"/>
      <c r="H774" s="212" t="str">
        <f>IF($E774="","",IF($E774="Inventory",IFERROR(VLOOKUP($C774,Inventory!$B:$H,7,FALSE()),0),IF($E774="Non Inventory",IFERROR(VLOOKUP($C774,'Non Inventory'!$B:$H,7,FALSE()),0),IF($E774="Services",IFERROR(VLOOKUP($C774,Services!$B:$H,7,FALSE()),0),IF($E774="Patty Cash",IFERROR(VLOOKUP($C774,'Patty Cash'!$B:$H,7,FALSE()),0),0)))))</f>
        <v/>
      </c>
      <c r="I774" s="213"/>
      <c r="J774" s="214"/>
      <c r="K774" s="215"/>
      <c r="L774" s="197"/>
      <c r="M774" s="215"/>
      <c r="N774" s="216">
        <f>IFERROR(IF($E774="Inventory",VLOOKUP($C774,Inventory!$B:$I,8,FALSE()),IF($E774="Non Inventory",VLOOKUP($C774,'Non Inventory'!$B:$I,8,FALSE()),IF($E774="Services",VLOOKUP($C774,Services!$B:$I,8,FALSE()),IF($E774="Patty Cash",VLOOKUP($C774,'Patty Cash'!$B:$J,8,FALSE()),0)))),0)</f>
        <v>0</v>
      </c>
      <c r="O774" s="217" t="str">
        <f t="shared" si="12"/>
        <v/>
      </c>
    </row>
    <row r="775" spans="1:15" ht="23.1" customHeight="1">
      <c r="A775" s="206" t="str">
        <f>IF(AND($B775="",$C775=""),"",MAX($A$3:A774)+1)</f>
        <v/>
      </c>
      <c r="B775" s="207"/>
      <c r="C775" s="208"/>
      <c r="D775" s="209" t="str">
        <f>IFERROR(IF($E775="Inventory",VLOOKUP($C775,Inventory!$B:$I,2,FALSE()),IF($E775="Non Inventory",VLOOKUP($C775,'Non Inventory'!$B:$I,2,FALSE()),IF($E775="Services",VLOOKUP($C775,Services!$B:$I,2,FALSE()),IF($E775="Patty Cash",VLOOKUP($C775,'Patty Cash'!$B:$J,2,FALSE()),"")))),"")</f>
        <v/>
      </c>
      <c r="E775" s="246"/>
      <c r="F775" s="210" t="str">
        <f>IFERROR(IF($E775="Inventory",VLOOKUP($C775,Inventory!$B:$I,3,FALSE()),IF($E775="Non Inventory",VLOOKUP($C775,'Non Inventory'!$B:$I,3,FALSE()),IF($E775="Services",VLOOKUP($C775,Services!$B:$I,3,FALSE()),IF($E775="Patty Cash",VLOOKUP($C775,'Patty Cash'!$B:$J,3,FALSE()),"")))),"")</f>
        <v/>
      </c>
      <c r="G775" s="211"/>
      <c r="H775" s="212" t="str">
        <f>IF($E775="","",IF($E775="Inventory",IFERROR(VLOOKUP($C775,Inventory!$B:$H,7,FALSE()),0),IF($E775="Non Inventory",IFERROR(VLOOKUP($C775,'Non Inventory'!$B:$H,7,FALSE()),0),IF($E775="Services",IFERROR(VLOOKUP($C775,Services!$B:$H,7,FALSE()),0),IF($E775="Patty Cash",IFERROR(VLOOKUP($C775,'Patty Cash'!$B:$H,7,FALSE()),0),0)))))</f>
        <v/>
      </c>
      <c r="I775" s="213"/>
      <c r="J775" s="214"/>
      <c r="K775" s="215"/>
      <c r="L775" s="197"/>
      <c r="M775" s="215"/>
      <c r="N775" s="216">
        <f>IFERROR(IF($E775="Inventory",VLOOKUP($C775,Inventory!$B:$I,8,FALSE()),IF($E775="Non Inventory",VLOOKUP($C775,'Non Inventory'!$B:$I,8,FALSE()),IF($E775="Services",VLOOKUP($C775,Services!$B:$I,8,FALSE()),IF($E775="Patty Cash",VLOOKUP($C775,'Patty Cash'!$B:$J,8,FALSE()),0)))),0)</f>
        <v>0</v>
      </c>
      <c r="O775" s="217" t="str">
        <f t="shared" si="12"/>
        <v/>
      </c>
    </row>
    <row r="776" spans="1:15" ht="23.1" customHeight="1">
      <c r="A776" s="206" t="str">
        <f>IF(AND($B776="",$C776=""),"",MAX($A$3:A775)+1)</f>
        <v/>
      </c>
      <c r="B776" s="207"/>
      <c r="C776" s="208"/>
      <c r="D776" s="209" t="str">
        <f>IFERROR(IF($E776="Inventory",VLOOKUP($C776,Inventory!$B:$I,2,FALSE()),IF($E776="Non Inventory",VLOOKUP($C776,'Non Inventory'!$B:$I,2,FALSE()),IF($E776="Services",VLOOKUP($C776,Services!$B:$I,2,FALSE()),IF($E776="Patty Cash",VLOOKUP($C776,'Patty Cash'!$B:$J,2,FALSE()),"")))),"")</f>
        <v/>
      </c>
      <c r="E776" s="246"/>
      <c r="F776" s="210" t="str">
        <f>IFERROR(IF($E776="Inventory",VLOOKUP($C776,Inventory!$B:$I,3,FALSE()),IF($E776="Non Inventory",VLOOKUP($C776,'Non Inventory'!$B:$I,3,FALSE()),IF($E776="Services",VLOOKUP($C776,Services!$B:$I,3,FALSE()),IF($E776="Patty Cash",VLOOKUP($C776,'Patty Cash'!$B:$J,3,FALSE()),"")))),"")</f>
        <v/>
      </c>
      <c r="G776" s="211"/>
      <c r="H776" s="212" t="str">
        <f>IF($E776="","",IF($E776="Inventory",IFERROR(VLOOKUP($C776,Inventory!$B:$H,7,FALSE()),0),IF($E776="Non Inventory",IFERROR(VLOOKUP($C776,'Non Inventory'!$B:$H,7,FALSE()),0),IF($E776="Services",IFERROR(VLOOKUP($C776,Services!$B:$H,7,FALSE()),0),IF($E776="Patty Cash",IFERROR(VLOOKUP($C776,'Patty Cash'!$B:$H,7,FALSE()),0),0)))))</f>
        <v/>
      </c>
      <c r="I776" s="213"/>
      <c r="J776" s="214"/>
      <c r="K776" s="215"/>
      <c r="L776" s="197"/>
      <c r="M776" s="215"/>
      <c r="N776" s="216">
        <f>IFERROR(IF($E776="Inventory",VLOOKUP($C776,Inventory!$B:$I,8,FALSE()),IF($E776="Non Inventory",VLOOKUP($C776,'Non Inventory'!$B:$I,8,FALSE()),IF($E776="Services",VLOOKUP($C776,Services!$B:$I,8,FALSE()),IF($E776="Patty Cash",VLOOKUP($C776,'Patty Cash'!$B:$J,8,FALSE()),0)))),0)</f>
        <v>0</v>
      </c>
      <c r="O776" s="217" t="str">
        <f t="shared" si="12"/>
        <v/>
      </c>
    </row>
    <row r="777" spans="1:15" ht="23.1" customHeight="1">
      <c r="A777" s="206" t="str">
        <f>IF(AND($B777="",$C777=""),"",MAX($A$3:A776)+1)</f>
        <v/>
      </c>
      <c r="B777" s="207"/>
      <c r="C777" s="208"/>
      <c r="D777" s="209" t="str">
        <f>IFERROR(IF($E777="Inventory",VLOOKUP($C777,Inventory!$B:$I,2,FALSE()),IF($E777="Non Inventory",VLOOKUP($C777,'Non Inventory'!$B:$I,2,FALSE()),IF($E777="Services",VLOOKUP($C777,Services!$B:$I,2,FALSE()),IF($E777="Patty Cash",VLOOKUP($C777,'Patty Cash'!$B:$J,2,FALSE()),"")))),"")</f>
        <v/>
      </c>
      <c r="E777" s="246"/>
      <c r="F777" s="210" t="str">
        <f>IFERROR(IF($E777="Inventory",VLOOKUP($C777,Inventory!$B:$I,3,FALSE()),IF($E777="Non Inventory",VLOOKUP($C777,'Non Inventory'!$B:$I,3,FALSE()),IF($E777="Services",VLOOKUP($C777,Services!$B:$I,3,FALSE()),IF($E777="Patty Cash",VLOOKUP($C777,'Patty Cash'!$B:$J,3,FALSE()),"")))),"")</f>
        <v/>
      </c>
      <c r="G777" s="211"/>
      <c r="H777" s="212" t="str">
        <f>IF($E777="","",IF($E777="Inventory",IFERROR(VLOOKUP($C777,Inventory!$B:$H,7,FALSE()),0),IF($E777="Non Inventory",IFERROR(VLOOKUP($C777,'Non Inventory'!$B:$H,7,FALSE()),0),IF($E777="Services",IFERROR(VLOOKUP($C777,Services!$B:$H,7,FALSE()),0),IF($E777="Patty Cash",IFERROR(VLOOKUP($C777,'Patty Cash'!$B:$H,7,FALSE()),0),0)))))</f>
        <v/>
      </c>
      <c r="I777" s="213"/>
      <c r="J777" s="214"/>
      <c r="K777" s="215"/>
      <c r="L777" s="197"/>
      <c r="M777" s="215"/>
      <c r="N777" s="216">
        <f>IFERROR(IF($E777="Inventory",VLOOKUP($C777,Inventory!$B:$I,8,FALSE()),IF($E777="Non Inventory",VLOOKUP($C777,'Non Inventory'!$B:$I,8,FALSE()),IF($E777="Services",VLOOKUP($C777,Services!$B:$I,8,FALSE()),IF($E777="Patty Cash",VLOOKUP($C777,'Patty Cash'!$B:$J,8,FALSE()),0)))),0)</f>
        <v>0</v>
      </c>
      <c r="O777" s="217" t="str">
        <f t="shared" si="12"/>
        <v/>
      </c>
    </row>
    <row r="778" spans="1:15" ht="23.1" customHeight="1">
      <c r="A778" s="206" t="str">
        <f>IF(AND($B778="",$C778=""),"",MAX($A$3:A777)+1)</f>
        <v/>
      </c>
      <c r="B778" s="207"/>
      <c r="C778" s="208"/>
      <c r="D778" s="209" t="str">
        <f>IFERROR(IF($E778="Inventory",VLOOKUP($C778,Inventory!$B:$I,2,FALSE()),IF($E778="Non Inventory",VLOOKUP($C778,'Non Inventory'!$B:$I,2,FALSE()),IF($E778="Services",VLOOKUP($C778,Services!$B:$I,2,FALSE()),IF($E778="Patty Cash",VLOOKUP($C778,'Patty Cash'!$B:$J,2,FALSE()),"")))),"")</f>
        <v/>
      </c>
      <c r="E778" s="246"/>
      <c r="F778" s="210" t="str">
        <f>IFERROR(IF($E778="Inventory",VLOOKUP($C778,Inventory!$B:$I,3,FALSE()),IF($E778="Non Inventory",VLOOKUP($C778,'Non Inventory'!$B:$I,3,FALSE()),IF($E778="Services",VLOOKUP($C778,Services!$B:$I,3,FALSE()),IF($E778="Patty Cash",VLOOKUP($C778,'Patty Cash'!$B:$J,3,FALSE()),"")))),"")</f>
        <v/>
      </c>
      <c r="G778" s="211"/>
      <c r="H778" s="212" t="str">
        <f>IF($E778="","",IF($E778="Inventory",IFERROR(VLOOKUP($C778,Inventory!$B:$H,7,FALSE()),0),IF($E778="Non Inventory",IFERROR(VLOOKUP($C778,'Non Inventory'!$B:$H,7,FALSE()),0),IF($E778="Services",IFERROR(VLOOKUP($C778,Services!$B:$H,7,FALSE()),0),IF($E778="Patty Cash",IFERROR(VLOOKUP($C778,'Patty Cash'!$B:$H,7,FALSE()),0),0)))))</f>
        <v/>
      </c>
      <c r="I778" s="213"/>
      <c r="J778" s="214"/>
      <c r="K778" s="215"/>
      <c r="L778" s="197"/>
      <c r="M778" s="215"/>
      <c r="N778" s="216">
        <f>IFERROR(IF($E778="Inventory",VLOOKUP($C778,Inventory!$B:$I,8,FALSE()),IF($E778="Non Inventory",VLOOKUP($C778,'Non Inventory'!$B:$I,8,FALSE()),IF($E778="Services",VLOOKUP($C778,Services!$B:$I,8,FALSE()),IF($E778="Patty Cash",VLOOKUP($C778,'Patty Cash'!$B:$J,8,FALSE()),0)))),0)</f>
        <v>0</v>
      </c>
      <c r="O778" s="217" t="str">
        <f t="shared" si="12"/>
        <v/>
      </c>
    </row>
    <row r="779" spans="1:15" ht="23.1" customHeight="1">
      <c r="A779" s="206" t="str">
        <f>IF(AND($B779="",$C779=""),"",MAX($A$3:A778)+1)</f>
        <v/>
      </c>
      <c r="B779" s="207"/>
      <c r="C779" s="208"/>
      <c r="D779" s="209" t="str">
        <f>IFERROR(IF($E779="Inventory",VLOOKUP($C779,Inventory!$B:$I,2,FALSE()),IF($E779="Non Inventory",VLOOKUP($C779,'Non Inventory'!$B:$I,2,FALSE()),IF($E779="Services",VLOOKUP($C779,Services!$B:$I,2,FALSE()),IF($E779="Patty Cash",VLOOKUP($C779,'Patty Cash'!$B:$J,2,FALSE()),"")))),"")</f>
        <v/>
      </c>
      <c r="E779" s="246"/>
      <c r="F779" s="210" t="str">
        <f>IFERROR(IF($E779="Inventory",VLOOKUP($C779,Inventory!$B:$I,3,FALSE()),IF($E779="Non Inventory",VLOOKUP($C779,'Non Inventory'!$B:$I,3,FALSE()),IF($E779="Services",VLOOKUP($C779,Services!$B:$I,3,FALSE()),IF($E779="Patty Cash",VLOOKUP($C779,'Patty Cash'!$B:$J,3,FALSE()),"")))),"")</f>
        <v/>
      </c>
      <c r="G779" s="211"/>
      <c r="H779" s="212" t="str">
        <f>IF($E779="","",IF($E779="Inventory",IFERROR(VLOOKUP($C779,Inventory!$B:$H,7,FALSE()),0),IF($E779="Non Inventory",IFERROR(VLOOKUP($C779,'Non Inventory'!$B:$H,7,FALSE()),0),IF($E779="Services",IFERROR(VLOOKUP($C779,Services!$B:$H,7,FALSE()),0),IF($E779="Patty Cash",IFERROR(VLOOKUP($C779,'Patty Cash'!$B:$H,7,FALSE()),0),0)))))</f>
        <v/>
      </c>
      <c r="I779" s="213"/>
      <c r="J779" s="214"/>
      <c r="K779" s="215"/>
      <c r="L779" s="197"/>
      <c r="M779" s="215"/>
      <c r="N779" s="216">
        <f>IFERROR(IF($E779="Inventory",VLOOKUP($C779,Inventory!$B:$I,8,FALSE()),IF($E779="Non Inventory",VLOOKUP($C779,'Non Inventory'!$B:$I,8,FALSE()),IF($E779="Services",VLOOKUP($C779,Services!$B:$I,8,FALSE()),IF($E779="Patty Cash",VLOOKUP($C779,'Patty Cash'!$B:$J,8,FALSE()),0)))),0)</f>
        <v>0</v>
      </c>
      <c r="O779" s="217" t="str">
        <f t="shared" si="12"/>
        <v/>
      </c>
    </row>
    <row r="780" spans="1:15" ht="23.1" customHeight="1">
      <c r="A780" s="206" t="str">
        <f>IF(AND($B780="",$C780=""),"",MAX($A$3:A779)+1)</f>
        <v/>
      </c>
      <c r="B780" s="207"/>
      <c r="C780" s="208"/>
      <c r="D780" s="209" t="str">
        <f>IFERROR(IF($E780="Inventory",VLOOKUP($C780,Inventory!$B:$I,2,FALSE()),IF($E780="Non Inventory",VLOOKUP($C780,'Non Inventory'!$B:$I,2,FALSE()),IF($E780="Services",VLOOKUP($C780,Services!$B:$I,2,FALSE()),IF($E780="Patty Cash",VLOOKUP($C780,'Patty Cash'!$B:$J,2,FALSE()),"")))),"")</f>
        <v/>
      </c>
      <c r="E780" s="246"/>
      <c r="F780" s="210" t="str">
        <f>IFERROR(IF($E780="Inventory",VLOOKUP($C780,Inventory!$B:$I,3,FALSE()),IF($E780="Non Inventory",VLOOKUP($C780,'Non Inventory'!$B:$I,3,FALSE()),IF($E780="Services",VLOOKUP($C780,Services!$B:$I,3,FALSE()),IF($E780="Patty Cash",VLOOKUP($C780,'Patty Cash'!$B:$J,3,FALSE()),"")))),"")</f>
        <v/>
      </c>
      <c r="G780" s="211"/>
      <c r="H780" s="212" t="str">
        <f>IF($E780="","",IF($E780="Inventory",IFERROR(VLOOKUP($C780,Inventory!$B:$H,7,FALSE()),0),IF($E780="Non Inventory",IFERROR(VLOOKUP($C780,'Non Inventory'!$B:$H,7,FALSE()),0),IF($E780="Services",IFERROR(VLOOKUP($C780,Services!$B:$H,7,FALSE()),0),IF($E780="Patty Cash",IFERROR(VLOOKUP($C780,'Patty Cash'!$B:$H,7,FALSE()),0),0)))))</f>
        <v/>
      </c>
      <c r="I780" s="213"/>
      <c r="J780" s="214"/>
      <c r="K780" s="215"/>
      <c r="L780" s="197"/>
      <c r="M780" s="215"/>
      <c r="N780" s="216">
        <f>IFERROR(IF($E780="Inventory",VLOOKUP($C780,Inventory!$B:$I,8,FALSE()),IF($E780="Non Inventory",VLOOKUP($C780,'Non Inventory'!$B:$I,8,FALSE()),IF($E780="Services",VLOOKUP($C780,Services!$B:$I,8,FALSE()),IF($E780="Patty Cash",VLOOKUP($C780,'Patty Cash'!$B:$J,8,FALSE()),0)))),0)</f>
        <v>0</v>
      </c>
      <c r="O780" s="217" t="str">
        <f t="shared" si="12"/>
        <v/>
      </c>
    </row>
    <row r="781" spans="1:15" ht="23.1" customHeight="1">
      <c r="A781" s="206" t="str">
        <f>IF(AND($B781="",$C781=""),"",MAX($A$3:A780)+1)</f>
        <v/>
      </c>
      <c r="B781" s="207"/>
      <c r="C781" s="208"/>
      <c r="D781" s="209" t="str">
        <f>IFERROR(IF($E781="Inventory",VLOOKUP($C781,Inventory!$B:$I,2,FALSE()),IF($E781="Non Inventory",VLOOKUP($C781,'Non Inventory'!$B:$I,2,FALSE()),IF($E781="Services",VLOOKUP($C781,Services!$B:$I,2,FALSE()),IF($E781="Patty Cash",VLOOKUP($C781,'Patty Cash'!$B:$J,2,FALSE()),"")))),"")</f>
        <v/>
      </c>
      <c r="E781" s="246"/>
      <c r="F781" s="210" t="str">
        <f>IFERROR(IF($E781="Inventory",VLOOKUP($C781,Inventory!$B:$I,3,FALSE()),IF($E781="Non Inventory",VLOOKUP($C781,'Non Inventory'!$B:$I,3,FALSE()),IF($E781="Services",VLOOKUP($C781,Services!$B:$I,3,FALSE()),IF($E781="Patty Cash",VLOOKUP($C781,'Patty Cash'!$B:$J,3,FALSE()),"")))),"")</f>
        <v/>
      </c>
      <c r="G781" s="211"/>
      <c r="H781" s="212" t="str">
        <f>IF($E781="","",IF($E781="Inventory",IFERROR(VLOOKUP($C781,Inventory!$B:$H,7,FALSE()),0),IF($E781="Non Inventory",IFERROR(VLOOKUP($C781,'Non Inventory'!$B:$H,7,FALSE()),0),IF($E781="Services",IFERROR(VLOOKUP($C781,Services!$B:$H,7,FALSE()),0),IF($E781="Patty Cash",IFERROR(VLOOKUP($C781,'Patty Cash'!$B:$H,7,FALSE()),0),0)))))</f>
        <v/>
      </c>
      <c r="I781" s="213"/>
      <c r="J781" s="214"/>
      <c r="K781" s="215"/>
      <c r="L781" s="197"/>
      <c r="M781" s="215"/>
      <c r="N781" s="216">
        <f>IFERROR(IF($E781="Inventory",VLOOKUP($C781,Inventory!$B:$I,8,FALSE()),IF($E781="Non Inventory",VLOOKUP($C781,'Non Inventory'!$B:$I,8,FALSE()),IF($E781="Services",VLOOKUP($C781,Services!$B:$I,8,FALSE()),IF($E781="Patty Cash",VLOOKUP($C781,'Patty Cash'!$B:$J,8,FALSE()),0)))),0)</f>
        <v>0</v>
      </c>
      <c r="O781" s="217" t="str">
        <f t="shared" si="12"/>
        <v/>
      </c>
    </row>
    <row r="782" spans="1:15" ht="23.1" customHeight="1">
      <c r="A782" s="206" t="str">
        <f>IF(AND($B782="",$C782=""),"",MAX($A$3:A781)+1)</f>
        <v/>
      </c>
      <c r="B782" s="207"/>
      <c r="C782" s="208"/>
      <c r="D782" s="209" t="str">
        <f>IFERROR(IF($E782="Inventory",VLOOKUP($C782,Inventory!$B:$I,2,FALSE()),IF($E782="Non Inventory",VLOOKUP($C782,'Non Inventory'!$B:$I,2,FALSE()),IF($E782="Services",VLOOKUP($C782,Services!$B:$I,2,FALSE()),IF($E782="Patty Cash",VLOOKUP($C782,'Patty Cash'!$B:$J,2,FALSE()),"")))),"")</f>
        <v/>
      </c>
      <c r="E782" s="246"/>
      <c r="F782" s="210" t="str">
        <f>IFERROR(IF($E782="Inventory",VLOOKUP($C782,Inventory!$B:$I,3,FALSE()),IF($E782="Non Inventory",VLOOKUP($C782,'Non Inventory'!$B:$I,3,FALSE()),IF($E782="Services",VLOOKUP($C782,Services!$B:$I,3,FALSE()),IF($E782="Patty Cash",VLOOKUP($C782,'Patty Cash'!$B:$J,3,FALSE()),"")))),"")</f>
        <v/>
      </c>
      <c r="G782" s="211"/>
      <c r="H782" s="212" t="str">
        <f>IF($E782="","",IF($E782="Inventory",IFERROR(VLOOKUP($C782,Inventory!$B:$H,7,FALSE()),0),IF($E782="Non Inventory",IFERROR(VLOOKUP($C782,'Non Inventory'!$B:$H,7,FALSE()),0),IF($E782="Services",IFERROR(VLOOKUP($C782,Services!$B:$H,7,FALSE()),0),IF($E782="Patty Cash",IFERROR(VLOOKUP($C782,'Patty Cash'!$B:$H,7,FALSE()),0),0)))))</f>
        <v/>
      </c>
      <c r="I782" s="213"/>
      <c r="J782" s="214"/>
      <c r="K782" s="215"/>
      <c r="L782" s="197"/>
      <c r="M782" s="215"/>
      <c r="N782" s="216">
        <f>IFERROR(IF($E782="Inventory",VLOOKUP($C782,Inventory!$B:$I,8,FALSE()),IF($E782="Non Inventory",VLOOKUP($C782,'Non Inventory'!$B:$I,8,FALSE()),IF($E782="Services",VLOOKUP($C782,Services!$B:$I,8,FALSE()),IF($E782="Patty Cash",VLOOKUP($C782,'Patty Cash'!$B:$J,8,FALSE()),0)))),0)</f>
        <v>0</v>
      </c>
      <c r="O782" s="217" t="str">
        <f t="shared" si="12"/>
        <v/>
      </c>
    </row>
    <row r="783" spans="1:15" ht="23.1" customHeight="1">
      <c r="A783" s="206" t="str">
        <f>IF(AND($B783="",$C783=""),"",MAX($A$3:A782)+1)</f>
        <v/>
      </c>
      <c r="B783" s="207"/>
      <c r="C783" s="208"/>
      <c r="D783" s="209" t="str">
        <f>IFERROR(IF($E783="Inventory",VLOOKUP($C783,Inventory!$B:$I,2,FALSE()),IF($E783="Non Inventory",VLOOKUP($C783,'Non Inventory'!$B:$I,2,FALSE()),IF($E783="Services",VLOOKUP($C783,Services!$B:$I,2,FALSE()),IF($E783="Patty Cash",VLOOKUP($C783,'Patty Cash'!$B:$J,2,FALSE()),"")))),"")</f>
        <v/>
      </c>
      <c r="E783" s="246"/>
      <c r="F783" s="210" t="str">
        <f>IFERROR(IF($E783="Inventory",VLOOKUP($C783,Inventory!$B:$I,3,FALSE()),IF($E783="Non Inventory",VLOOKUP($C783,'Non Inventory'!$B:$I,3,FALSE()),IF($E783="Services",VLOOKUP($C783,Services!$B:$I,3,FALSE()),IF($E783="Patty Cash",VLOOKUP($C783,'Patty Cash'!$B:$J,3,FALSE()),"")))),"")</f>
        <v/>
      </c>
      <c r="G783" s="211"/>
      <c r="H783" s="212" t="str">
        <f>IF($E783="","",IF($E783="Inventory",IFERROR(VLOOKUP($C783,Inventory!$B:$H,7,FALSE()),0),IF($E783="Non Inventory",IFERROR(VLOOKUP($C783,'Non Inventory'!$B:$H,7,FALSE()),0),IF($E783="Services",IFERROR(VLOOKUP($C783,Services!$B:$H,7,FALSE()),0),IF($E783="Patty Cash",IFERROR(VLOOKUP($C783,'Patty Cash'!$B:$H,7,FALSE()),0),0)))))</f>
        <v/>
      </c>
      <c r="I783" s="213"/>
      <c r="J783" s="214"/>
      <c r="K783" s="215"/>
      <c r="L783" s="197"/>
      <c r="M783" s="215"/>
      <c r="N783" s="216">
        <f>IFERROR(IF($E783="Inventory",VLOOKUP($C783,Inventory!$B:$I,8,FALSE()),IF($E783="Non Inventory",VLOOKUP($C783,'Non Inventory'!$B:$I,8,FALSE()),IF($E783="Services",VLOOKUP($C783,Services!$B:$I,8,FALSE()),IF($E783="Patty Cash",VLOOKUP($C783,'Patty Cash'!$B:$J,8,FALSE()),0)))),0)</f>
        <v>0</v>
      </c>
      <c r="O783" s="217" t="str">
        <f t="shared" si="12"/>
        <v/>
      </c>
    </row>
    <row r="784" spans="1:15" ht="23.1" customHeight="1">
      <c r="A784" s="206" t="str">
        <f>IF(AND($B784="",$C784=""),"",MAX($A$3:A783)+1)</f>
        <v/>
      </c>
      <c r="B784" s="207"/>
      <c r="C784" s="208"/>
      <c r="D784" s="209" t="str">
        <f>IFERROR(IF($E784="Inventory",VLOOKUP($C784,Inventory!$B:$I,2,FALSE()),IF($E784="Non Inventory",VLOOKUP($C784,'Non Inventory'!$B:$I,2,FALSE()),IF($E784="Services",VLOOKUP($C784,Services!$B:$I,2,FALSE()),IF($E784="Patty Cash",VLOOKUP($C784,'Patty Cash'!$B:$J,2,FALSE()),"")))),"")</f>
        <v/>
      </c>
      <c r="E784" s="246"/>
      <c r="F784" s="210" t="str">
        <f>IFERROR(IF($E784="Inventory",VLOOKUP($C784,Inventory!$B:$I,3,FALSE()),IF($E784="Non Inventory",VLOOKUP($C784,'Non Inventory'!$B:$I,3,FALSE()),IF($E784="Services",VLOOKUP($C784,Services!$B:$I,3,FALSE()),IF($E784="Patty Cash",VLOOKUP($C784,'Patty Cash'!$B:$J,3,FALSE()),"")))),"")</f>
        <v/>
      </c>
      <c r="G784" s="211"/>
      <c r="H784" s="212" t="str">
        <f>IF($E784="","",IF($E784="Inventory",IFERROR(VLOOKUP($C784,Inventory!$B:$H,7,FALSE()),0),IF($E784="Non Inventory",IFERROR(VLOOKUP($C784,'Non Inventory'!$B:$H,7,FALSE()),0),IF($E784="Services",IFERROR(VLOOKUP($C784,Services!$B:$H,7,FALSE()),0),IF($E784="Patty Cash",IFERROR(VLOOKUP($C784,'Patty Cash'!$B:$H,7,FALSE()),0),0)))))</f>
        <v/>
      </c>
      <c r="I784" s="213"/>
      <c r="J784" s="214"/>
      <c r="K784" s="215"/>
      <c r="L784" s="197"/>
      <c r="M784" s="215"/>
      <c r="N784" s="216">
        <f>IFERROR(IF($E784="Inventory",VLOOKUP($C784,Inventory!$B:$I,8,FALSE()),IF($E784="Non Inventory",VLOOKUP($C784,'Non Inventory'!$B:$I,8,FALSE()),IF($E784="Services",VLOOKUP($C784,Services!$B:$I,8,FALSE()),IF($E784="Patty Cash",VLOOKUP($C784,'Patty Cash'!$B:$J,8,FALSE()),0)))),0)</f>
        <v>0</v>
      </c>
      <c r="O784" s="217" t="str">
        <f t="shared" si="12"/>
        <v/>
      </c>
    </row>
    <row r="785" spans="1:15" ht="23.1" customHeight="1">
      <c r="A785" s="206" t="str">
        <f>IF(AND($B785="",$C785=""),"",MAX($A$3:A784)+1)</f>
        <v/>
      </c>
      <c r="B785" s="207"/>
      <c r="C785" s="208"/>
      <c r="D785" s="209" t="str">
        <f>IFERROR(IF($E785="Inventory",VLOOKUP($C785,Inventory!$B:$I,2,FALSE()),IF($E785="Non Inventory",VLOOKUP($C785,'Non Inventory'!$B:$I,2,FALSE()),IF($E785="Services",VLOOKUP($C785,Services!$B:$I,2,FALSE()),IF($E785="Patty Cash",VLOOKUP($C785,'Patty Cash'!$B:$J,2,FALSE()),"")))),"")</f>
        <v/>
      </c>
      <c r="E785" s="246"/>
      <c r="F785" s="210" t="str">
        <f>IFERROR(IF($E785="Inventory",VLOOKUP($C785,Inventory!$B:$I,3,FALSE()),IF($E785="Non Inventory",VLOOKUP($C785,'Non Inventory'!$B:$I,3,FALSE()),IF($E785="Services",VLOOKUP($C785,Services!$B:$I,3,FALSE()),IF($E785="Patty Cash",VLOOKUP($C785,'Patty Cash'!$B:$J,3,FALSE()),"")))),"")</f>
        <v/>
      </c>
      <c r="G785" s="211"/>
      <c r="H785" s="212" t="str">
        <f>IF($E785="","",IF($E785="Inventory",IFERROR(VLOOKUP($C785,Inventory!$B:$H,7,FALSE()),0),IF($E785="Non Inventory",IFERROR(VLOOKUP($C785,'Non Inventory'!$B:$H,7,FALSE()),0),IF($E785="Services",IFERROR(VLOOKUP($C785,Services!$B:$H,7,FALSE()),0),IF($E785="Patty Cash",IFERROR(VLOOKUP($C785,'Patty Cash'!$B:$H,7,FALSE()),0),0)))))</f>
        <v/>
      </c>
      <c r="I785" s="213"/>
      <c r="J785" s="214"/>
      <c r="K785" s="215"/>
      <c r="L785" s="197"/>
      <c r="M785" s="215"/>
      <c r="N785" s="216">
        <f>IFERROR(IF($E785="Inventory",VLOOKUP($C785,Inventory!$B:$I,8,FALSE()),IF($E785="Non Inventory",VLOOKUP($C785,'Non Inventory'!$B:$I,8,FALSE()),IF($E785="Services",VLOOKUP($C785,Services!$B:$I,8,FALSE()),IF($E785="Patty Cash",VLOOKUP($C785,'Patty Cash'!$B:$J,8,FALSE()),0)))),0)</f>
        <v>0</v>
      </c>
      <c r="O785" s="217" t="str">
        <f t="shared" si="12"/>
        <v/>
      </c>
    </row>
    <row r="786" spans="1:15" ht="23.1" customHeight="1">
      <c r="A786" s="206" t="str">
        <f>IF(AND($B786="",$C786=""),"",MAX($A$3:A785)+1)</f>
        <v/>
      </c>
      <c r="B786" s="207"/>
      <c r="C786" s="208"/>
      <c r="D786" s="209" t="str">
        <f>IFERROR(IF($E786="Inventory",VLOOKUP($C786,Inventory!$B:$I,2,FALSE()),IF($E786="Non Inventory",VLOOKUP($C786,'Non Inventory'!$B:$I,2,FALSE()),IF($E786="Services",VLOOKUP($C786,Services!$B:$I,2,FALSE()),IF($E786="Patty Cash",VLOOKUP($C786,'Patty Cash'!$B:$J,2,FALSE()),"")))),"")</f>
        <v/>
      </c>
      <c r="E786" s="246"/>
      <c r="F786" s="210" t="str">
        <f>IFERROR(IF($E786="Inventory",VLOOKUP($C786,Inventory!$B:$I,3,FALSE()),IF($E786="Non Inventory",VLOOKUP($C786,'Non Inventory'!$B:$I,3,FALSE()),IF($E786="Services",VLOOKUP($C786,Services!$B:$I,3,FALSE()),IF($E786="Patty Cash",VLOOKUP($C786,'Patty Cash'!$B:$J,3,FALSE()),"")))),"")</f>
        <v/>
      </c>
      <c r="G786" s="211"/>
      <c r="H786" s="212" t="str">
        <f>IF($E786="","",IF($E786="Inventory",IFERROR(VLOOKUP($C786,Inventory!$B:$H,7,FALSE()),0),IF($E786="Non Inventory",IFERROR(VLOOKUP($C786,'Non Inventory'!$B:$H,7,FALSE()),0),IF($E786="Services",IFERROR(VLOOKUP($C786,Services!$B:$H,7,FALSE()),0),IF($E786="Patty Cash",IFERROR(VLOOKUP($C786,'Patty Cash'!$B:$H,7,FALSE()),0),0)))))</f>
        <v/>
      </c>
      <c r="I786" s="213"/>
      <c r="J786" s="214"/>
      <c r="K786" s="215"/>
      <c r="L786" s="197"/>
      <c r="M786" s="215"/>
      <c r="N786" s="216">
        <f>IFERROR(IF($E786="Inventory",VLOOKUP($C786,Inventory!$B:$I,8,FALSE()),IF($E786="Non Inventory",VLOOKUP($C786,'Non Inventory'!$B:$I,8,FALSE()),IF($E786="Services",VLOOKUP($C786,Services!$B:$I,8,FALSE()),IF($E786="Patty Cash",VLOOKUP($C786,'Patty Cash'!$B:$J,8,FALSE()),0)))),0)</f>
        <v>0</v>
      </c>
      <c r="O786" s="217" t="str">
        <f t="shared" si="12"/>
        <v/>
      </c>
    </row>
    <row r="787" spans="1:15" ht="23.1" customHeight="1">
      <c r="A787" s="206" t="str">
        <f>IF(AND($B787="",$C787=""),"",MAX($A$3:A786)+1)</f>
        <v/>
      </c>
      <c r="B787" s="207"/>
      <c r="C787" s="208"/>
      <c r="D787" s="209" t="str">
        <f>IFERROR(IF($E787="Inventory",VLOOKUP($C787,Inventory!$B:$I,2,FALSE()),IF($E787="Non Inventory",VLOOKUP($C787,'Non Inventory'!$B:$I,2,FALSE()),IF($E787="Services",VLOOKUP($C787,Services!$B:$I,2,FALSE()),IF($E787="Patty Cash",VLOOKUP($C787,'Patty Cash'!$B:$J,2,FALSE()),"")))),"")</f>
        <v/>
      </c>
      <c r="E787" s="246"/>
      <c r="F787" s="210" t="str">
        <f>IFERROR(IF($E787="Inventory",VLOOKUP($C787,Inventory!$B:$I,3,FALSE()),IF($E787="Non Inventory",VLOOKUP($C787,'Non Inventory'!$B:$I,3,FALSE()),IF($E787="Services",VLOOKUP($C787,Services!$B:$I,3,FALSE()),IF($E787="Patty Cash",VLOOKUP($C787,'Patty Cash'!$B:$J,3,FALSE()),"")))),"")</f>
        <v/>
      </c>
      <c r="G787" s="211"/>
      <c r="H787" s="212" t="str">
        <f>IF($E787="","",IF($E787="Inventory",IFERROR(VLOOKUP($C787,Inventory!$B:$H,7,FALSE()),0),IF($E787="Non Inventory",IFERROR(VLOOKUP($C787,'Non Inventory'!$B:$H,7,FALSE()),0),IF($E787="Services",IFERROR(VLOOKUP($C787,Services!$B:$H,7,FALSE()),0),IF($E787="Patty Cash",IFERROR(VLOOKUP($C787,'Patty Cash'!$B:$H,7,FALSE()),0),0)))))</f>
        <v/>
      </c>
      <c r="I787" s="213"/>
      <c r="J787" s="214"/>
      <c r="K787" s="215"/>
      <c r="L787" s="197"/>
      <c r="M787" s="215"/>
      <c r="N787" s="216">
        <f>IFERROR(IF($E787="Inventory",VLOOKUP($C787,Inventory!$B:$I,8,FALSE()),IF($E787="Non Inventory",VLOOKUP($C787,'Non Inventory'!$B:$I,8,FALSE()),IF($E787="Services",VLOOKUP($C787,Services!$B:$I,8,FALSE()),IF($E787="Patty Cash",VLOOKUP($C787,'Patty Cash'!$B:$J,8,FALSE()),0)))),0)</f>
        <v>0</v>
      </c>
      <c r="O787" s="217" t="str">
        <f t="shared" si="12"/>
        <v/>
      </c>
    </row>
    <row r="788" spans="1:15" ht="23.1" customHeight="1">
      <c r="A788" s="206" t="str">
        <f>IF(AND($B788="",$C788=""),"",MAX($A$3:A787)+1)</f>
        <v/>
      </c>
      <c r="B788" s="207"/>
      <c r="C788" s="208"/>
      <c r="D788" s="209" t="str">
        <f>IFERROR(IF($E788="Inventory",VLOOKUP($C788,Inventory!$B:$I,2,FALSE()),IF($E788="Non Inventory",VLOOKUP($C788,'Non Inventory'!$B:$I,2,FALSE()),IF($E788="Services",VLOOKUP($C788,Services!$B:$I,2,FALSE()),IF($E788="Patty Cash",VLOOKUP($C788,'Patty Cash'!$B:$J,2,FALSE()),"")))),"")</f>
        <v/>
      </c>
      <c r="E788" s="246"/>
      <c r="F788" s="210" t="str">
        <f>IFERROR(IF($E788="Inventory",VLOOKUP($C788,Inventory!$B:$I,3,FALSE()),IF($E788="Non Inventory",VLOOKUP($C788,'Non Inventory'!$B:$I,3,FALSE()),IF($E788="Services",VLOOKUP($C788,Services!$B:$I,3,FALSE()),IF($E788="Patty Cash",VLOOKUP($C788,'Patty Cash'!$B:$J,3,FALSE()),"")))),"")</f>
        <v/>
      </c>
      <c r="G788" s="211"/>
      <c r="H788" s="212" t="str">
        <f>IF($E788="","",IF($E788="Inventory",IFERROR(VLOOKUP($C788,Inventory!$B:$H,7,FALSE()),0),IF($E788="Non Inventory",IFERROR(VLOOKUP($C788,'Non Inventory'!$B:$H,7,FALSE()),0),IF($E788="Services",IFERROR(VLOOKUP($C788,Services!$B:$H,7,FALSE()),0),IF($E788="Patty Cash",IFERROR(VLOOKUP($C788,'Patty Cash'!$B:$H,7,FALSE()),0),0)))))</f>
        <v/>
      </c>
      <c r="I788" s="213"/>
      <c r="J788" s="214"/>
      <c r="K788" s="215"/>
      <c r="L788" s="197"/>
      <c r="M788" s="215"/>
      <c r="N788" s="216">
        <f>IFERROR(IF($E788="Inventory",VLOOKUP($C788,Inventory!$B:$I,8,FALSE()),IF($E788="Non Inventory",VLOOKUP($C788,'Non Inventory'!$B:$I,8,FALSE()),IF($E788="Services",VLOOKUP($C788,Services!$B:$I,8,FALSE()),IF($E788="Patty Cash",VLOOKUP($C788,'Patty Cash'!$B:$J,8,FALSE()),0)))),0)</f>
        <v>0</v>
      </c>
      <c r="O788" s="217" t="str">
        <f t="shared" si="12"/>
        <v/>
      </c>
    </row>
    <row r="789" spans="1:15" ht="23.1" customHeight="1">
      <c r="A789" s="206" t="str">
        <f>IF(AND($B789="",$C789=""),"",MAX($A$3:A788)+1)</f>
        <v/>
      </c>
      <c r="B789" s="207"/>
      <c r="C789" s="208"/>
      <c r="D789" s="209" t="str">
        <f>IFERROR(IF($E789="Inventory",VLOOKUP($C789,Inventory!$B:$I,2,FALSE()),IF($E789="Non Inventory",VLOOKUP($C789,'Non Inventory'!$B:$I,2,FALSE()),IF($E789="Services",VLOOKUP($C789,Services!$B:$I,2,FALSE()),IF($E789="Patty Cash",VLOOKUP($C789,'Patty Cash'!$B:$J,2,FALSE()),"")))),"")</f>
        <v/>
      </c>
      <c r="E789" s="246"/>
      <c r="F789" s="210" t="str">
        <f>IFERROR(IF($E789="Inventory",VLOOKUP($C789,Inventory!$B:$I,3,FALSE()),IF($E789="Non Inventory",VLOOKUP($C789,'Non Inventory'!$B:$I,3,FALSE()),IF($E789="Services",VLOOKUP($C789,Services!$B:$I,3,FALSE()),IF($E789="Patty Cash",VLOOKUP($C789,'Patty Cash'!$B:$J,3,FALSE()),"")))),"")</f>
        <v/>
      </c>
      <c r="G789" s="211"/>
      <c r="H789" s="212" t="str">
        <f>IF($E789="","",IF($E789="Inventory",IFERROR(VLOOKUP($C789,Inventory!$B:$H,7,FALSE()),0),IF($E789="Non Inventory",IFERROR(VLOOKUP($C789,'Non Inventory'!$B:$H,7,FALSE()),0),IF($E789="Services",IFERROR(VLOOKUP($C789,Services!$B:$H,7,FALSE()),0),IF($E789="Patty Cash",IFERROR(VLOOKUP($C789,'Patty Cash'!$B:$H,7,FALSE()),0),0)))))</f>
        <v/>
      </c>
      <c r="I789" s="213"/>
      <c r="J789" s="214"/>
      <c r="K789" s="215"/>
      <c r="L789" s="197"/>
      <c r="M789" s="215"/>
      <c r="N789" s="216">
        <f>IFERROR(IF($E789="Inventory",VLOOKUP($C789,Inventory!$B:$I,8,FALSE()),IF($E789="Non Inventory",VLOOKUP($C789,'Non Inventory'!$B:$I,8,FALSE()),IF($E789="Services",VLOOKUP($C789,Services!$B:$I,8,FALSE()),IF($E789="Patty Cash",VLOOKUP($C789,'Patty Cash'!$B:$J,8,FALSE()),0)))),0)</f>
        <v>0</v>
      </c>
      <c r="O789" s="217" t="str">
        <f t="shared" si="12"/>
        <v/>
      </c>
    </row>
    <row r="790" spans="1:15" ht="23.1" customHeight="1">
      <c r="A790" s="206" t="str">
        <f>IF(AND($B790="",$C790=""),"",MAX($A$3:A789)+1)</f>
        <v/>
      </c>
      <c r="B790" s="207"/>
      <c r="C790" s="208"/>
      <c r="D790" s="209" t="str">
        <f>IFERROR(IF($E790="Inventory",VLOOKUP($C790,Inventory!$B:$I,2,FALSE()),IF($E790="Non Inventory",VLOOKUP($C790,'Non Inventory'!$B:$I,2,FALSE()),IF($E790="Services",VLOOKUP($C790,Services!$B:$I,2,FALSE()),IF($E790="Patty Cash",VLOOKUP($C790,'Patty Cash'!$B:$J,2,FALSE()),"")))),"")</f>
        <v/>
      </c>
      <c r="E790" s="246"/>
      <c r="F790" s="210" t="str">
        <f>IFERROR(IF($E790="Inventory",VLOOKUP($C790,Inventory!$B:$I,3,FALSE()),IF($E790="Non Inventory",VLOOKUP($C790,'Non Inventory'!$B:$I,3,FALSE()),IF($E790="Services",VLOOKUP($C790,Services!$B:$I,3,FALSE()),IF($E790="Patty Cash",VLOOKUP($C790,'Patty Cash'!$B:$J,3,FALSE()),"")))),"")</f>
        <v/>
      </c>
      <c r="G790" s="211"/>
      <c r="H790" s="212" t="str">
        <f>IF($E790="","",IF($E790="Inventory",IFERROR(VLOOKUP($C790,Inventory!$B:$H,7,FALSE()),0),IF($E790="Non Inventory",IFERROR(VLOOKUP($C790,'Non Inventory'!$B:$H,7,FALSE()),0),IF($E790="Services",IFERROR(VLOOKUP($C790,Services!$B:$H,7,FALSE()),0),IF($E790="Patty Cash",IFERROR(VLOOKUP($C790,'Patty Cash'!$B:$H,7,FALSE()),0),0)))))</f>
        <v/>
      </c>
      <c r="I790" s="213"/>
      <c r="J790" s="214"/>
      <c r="K790" s="215"/>
      <c r="L790" s="197"/>
      <c r="M790" s="215"/>
      <c r="N790" s="216">
        <f>IFERROR(IF($E790="Inventory",VLOOKUP($C790,Inventory!$B:$I,8,FALSE()),IF($E790="Non Inventory",VLOOKUP($C790,'Non Inventory'!$B:$I,8,FALSE()),IF($E790="Services",VLOOKUP($C790,Services!$B:$I,8,FALSE()),IF($E790="Patty Cash",VLOOKUP($C790,'Patty Cash'!$B:$J,8,FALSE()),0)))),0)</f>
        <v>0</v>
      </c>
      <c r="O790" s="217" t="str">
        <f t="shared" si="12"/>
        <v/>
      </c>
    </row>
    <row r="791" spans="1:15" ht="23.1" customHeight="1">
      <c r="A791" s="206" t="str">
        <f>IF(AND($B791="",$C791=""),"",MAX($A$3:A790)+1)</f>
        <v/>
      </c>
      <c r="B791" s="207"/>
      <c r="C791" s="208"/>
      <c r="D791" s="209" t="str">
        <f>IFERROR(IF($E791="Inventory",VLOOKUP($C791,Inventory!$B:$I,2,FALSE()),IF($E791="Non Inventory",VLOOKUP($C791,'Non Inventory'!$B:$I,2,FALSE()),IF($E791="Services",VLOOKUP($C791,Services!$B:$I,2,FALSE()),IF($E791="Patty Cash",VLOOKUP($C791,'Patty Cash'!$B:$J,2,FALSE()),"")))),"")</f>
        <v/>
      </c>
      <c r="E791" s="246"/>
      <c r="F791" s="210" t="str">
        <f>IFERROR(IF($E791="Inventory",VLOOKUP($C791,Inventory!$B:$I,3,FALSE()),IF($E791="Non Inventory",VLOOKUP($C791,'Non Inventory'!$B:$I,3,FALSE()),IF($E791="Services",VLOOKUP($C791,Services!$B:$I,3,FALSE()),IF($E791="Patty Cash",VLOOKUP($C791,'Patty Cash'!$B:$J,3,FALSE()),"")))),"")</f>
        <v/>
      </c>
      <c r="G791" s="211"/>
      <c r="H791" s="212" t="str">
        <f>IF($E791="","",IF($E791="Inventory",IFERROR(VLOOKUP($C791,Inventory!$B:$H,7,FALSE()),0),IF($E791="Non Inventory",IFERROR(VLOOKUP($C791,'Non Inventory'!$B:$H,7,FALSE()),0),IF($E791="Services",IFERROR(VLOOKUP($C791,Services!$B:$H,7,FALSE()),0),IF($E791="Patty Cash",IFERROR(VLOOKUP($C791,'Patty Cash'!$B:$H,7,FALSE()),0),0)))))</f>
        <v/>
      </c>
      <c r="I791" s="213"/>
      <c r="J791" s="214"/>
      <c r="K791" s="215"/>
      <c r="L791" s="197"/>
      <c r="M791" s="215"/>
      <c r="N791" s="216">
        <f>IFERROR(IF($E791="Inventory",VLOOKUP($C791,Inventory!$B:$I,8,FALSE()),IF($E791="Non Inventory",VLOOKUP($C791,'Non Inventory'!$B:$I,8,FALSE()),IF($E791="Services",VLOOKUP($C791,Services!$B:$I,8,FALSE()),IF($E791="Patty Cash",VLOOKUP($C791,'Patty Cash'!$B:$J,8,FALSE()),0)))),0)</f>
        <v>0</v>
      </c>
      <c r="O791" s="217" t="str">
        <f t="shared" si="12"/>
        <v/>
      </c>
    </row>
    <row r="792" spans="1:15" ht="23.1" customHeight="1">
      <c r="A792" s="206" t="str">
        <f>IF(AND($B792="",$C792=""),"",MAX($A$3:A791)+1)</f>
        <v/>
      </c>
      <c r="B792" s="207"/>
      <c r="C792" s="208"/>
      <c r="D792" s="209" t="str">
        <f>IFERROR(IF($E792="Inventory",VLOOKUP($C792,Inventory!$B:$I,2,FALSE()),IF($E792="Non Inventory",VLOOKUP($C792,'Non Inventory'!$B:$I,2,FALSE()),IF($E792="Services",VLOOKUP($C792,Services!$B:$I,2,FALSE()),IF($E792="Patty Cash",VLOOKUP($C792,'Patty Cash'!$B:$J,2,FALSE()),"")))),"")</f>
        <v/>
      </c>
      <c r="E792" s="246"/>
      <c r="F792" s="210" t="str">
        <f>IFERROR(IF($E792="Inventory",VLOOKUP($C792,Inventory!$B:$I,3,FALSE()),IF($E792="Non Inventory",VLOOKUP($C792,'Non Inventory'!$B:$I,3,FALSE()),IF($E792="Services",VLOOKUP($C792,Services!$B:$I,3,FALSE()),IF($E792="Patty Cash",VLOOKUP($C792,'Patty Cash'!$B:$J,3,FALSE()),"")))),"")</f>
        <v/>
      </c>
      <c r="G792" s="211"/>
      <c r="H792" s="212" t="str">
        <f>IF($E792="","",IF($E792="Inventory",IFERROR(VLOOKUP($C792,Inventory!$B:$H,7,FALSE()),0),IF($E792="Non Inventory",IFERROR(VLOOKUP($C792,'Non Inventory'!$B:$H,7,FALSE()),0),IF($E792="Services",IFERROR(VLOOKUP($C792,Services!$B:$H,7,FALSE()),0),IF($E792="Patty Cash",IFERROR(VLOOKUP($C792,'Patty Cash'!$B:$H,7,FALSE()),0),0)))))</f>
        <v/>
      </c>
      <c r="I792" s="213"/>
      <c r="J792" s="214"/>
      <c r="K792" s="215"/>
      <c r="L792" s="197"/>
      <c r="M792" s="215"/>
      <c r="N792" s="216">
        <f>IFERROR(IF($E792="Inventory",VLOOKUP($C792,Inventory!$B:$I,8,FALSE()),IF($E792="Non Inventory",VLOOKUP($C792,'Non Inventory'!$B:$I,8,FALSE()),IF($E792="Services",VLOOKUP($C792,Services!$B:$I,8,FALSE()),IF($E792="Patty Cash",VLOOKUP($C792,'Patty Cash'!$B:$J,8,FALSE()),0)))),0)</f>
        <v>0</v>
      </c>
      <c r="O792" s="217" t="str">
        <f t="shared" si="12"/>
        <v/>
      </c>
    </row>
    <row r="793" spans="1:15" ht="23.1" customHeight="1">
      <c r="A793" s="206" t="str">
        <f>IF(AND($B793="",$C793=""),"",MAX($A$3:A792)+1)</f>
        <v/>
      </c>
      <c r="B793" s="207"/>
      <c r="C793" s="208"/>
      <c r="D793" s="209" t="str">
        <f>IFERROR(IF($E793="Inventory",VLOOKUP($C793,Inventory!$B:$I,2,FALSE()),IF($E793="Non Inventory",VLOOKUP($C793,'Non Inventory'!$B:$I,2,FALSE()),IF($E793="Services",VLOOKUP($C793,Services!$B:$I,2,FALSE()),IF($E793="Patty Cash",VLOOKUP($C793,'Patty Cash'!$B:$J,2,FALSE()),"")))),"")</f>
        <v/>
      </c>
      <c r="E793" s="246"/>
      <c r="F793" s="210" t="str">
        <f>IFERROR(IF($E793="Inventory",VLOOKUP($C793,Inventory!$B:$I,3,FALSE()),IF($E793="Non Inventory",VLOOKUP($C793,'Non Inventory'!$B:$I,3,FALSE()),IF($E793="Services",VLOOKUP($C793,Services!$B:$I,3,FALSE()),IF($E793="Patty Cash",VLOOKUP($C793,'Patty Cash'!$B:$J,3,FALSE()),"")))),"")</f>
        <v/>
      </c>
      <c r="G793" s="211"/>
      <c r="H793" s="212" t="str">
        <f>IF($E793="","",IF($E793="Inventory",IFERROR(VLOOKUP($C793,Inventory!$B:$H,7,FALSE()),0),IF($E793="Non Inventory",IFERROR(VLOOKUP($C793,'Non Inventory'!$B:$H,7,FALSE()),0),IF($E793="Services",IFERROR(VLOOKUP($C793,Services!$B:$H,7,FALSE()),0),IF($E793="Patty Cash",IFERROR(VLOOKUP($C793,'Patty Cash'!$B:$H,7,FALSE()),0),0)))))</f>
        <v/>
      </c>
      <c r="I793" s="213"/>
      <c r="J793" s="214"/>
      <c r="K793" s="215"/>
      <c r="L793" s="197"/>
      <c r="M793" s="215"/>
      <c r="N793" s="216">
        <f>IFERROR(IF($E793="Inventory",VLOOKUP($C793,Inventory!$B:$I,8,FALSE()),IF($E793="Non Inventory",VLOOKUP($C793,'Non Inventory'!$B:$I,8,FALSE()),IF($E793="Services",VLOOKUP($C793,Services!$B:$I,8,FALSE()),IF($E793="Patty Cash",VLOOKUP($C793,'Patty Cash'!$B:$J,8,FALSE()),0)))),0)</f>
        <v>0</v>
      </c>
      <c r="O793" s="217" t="str">
        <f t="shared" si="12"/>
        <v/>
      </c>
    </row>
    <row r="794" spans="1:15" ht="23.1" customHeight="1">
      <c r="A794" s="206" t="str">
        <f>IF(AND($B794="",$C794=""),"",MAX($A$3:A793)+1)</f>
        <v/>
      </c>
      <c r="B794" s="207"/>
      <c r="C794" s="208"/>
      <c r="D794" s="209" t="str">
        <f>IFERROR(IF($E794="Inventory",VLOOKUP($C794,Inventory!$B:$I,2,FALSE()),IF($E794="Non Inventory",VLOOKUP($C794,'Non Inventory'!$B:$I,2,FALSE()),IF($E794="Services",VLOOKUP($C794,Services!$B:$I,2,FALSE()),IF($E794="Patty Cash",VLOOKUP($C794,'Patty Cash'!$B:$J,2,FALSE()),"")))),"")</f>
        <v/>
      </c>
      <c r="E794" s="246"/>
      <c r="F794" s="210" t="str">
        <f>IFERROR(IF($E794="Inventory",VLOOKUP($C794,Inventory!$B:$I,3,FALSE()),IF($E794="Non Inventory",VLOOKUP($C794,'Non Inventory'!$B:$I,3,FALSE()),IF($E794="Services",VLOOKUP($C794,Services!$B:$I,3,FALSE()),IF($E794="Patty Cash",VLOOKUP($C794,'Patty Cash'!$B:$J,3,FALSE()),"")))),"")</f>
        <v/>
      </c>
      <c r="G794" s="211"/>
      <c r="H794" s="212" t="str">
        <f>IF($E794="","",IF($E794="Inventory",IFERROR(VLOOKUP($C794,Inventory!$B:$H,7,FALSE()),0),IF($E794="Non Inventory",IFERROR(VLOOKUP($C794,'Non Inventory'!$B:$H,7,FALSE()),0),IF($E794="Services",IFERROR(VLOOKUP($C794,Services!$B:$H,7,FALSE()),0),IF($E794="Patty Cash",IFERROR(VLOOKUP($C794,'Patty Cash'!$B:$H,7,FALSE()),0),0)))))</f>
        <v/>
      </c>
      <c r="I794" s="213"/>
      <c r="J794" s="214"/>
      <c r="K794" s="215"/>
      <c r="L794" s="197"/>
      <c r="M794" s="215"/>
      <c r="N794" s="216">
        <f>IFERROR(IF($E794="Inventory",VLOOKUP($C794,Inventory!$B:$I,8,FALSE()),IF($E794="Non Inventory",VLOOKUP($C794,'Non Inventory'!$B:$I,8,FALSE()),IF($E794="Services",VLOOKUP($C794,Services!$B:$I,8,FALSE()),IF($E794="Patty Cash",VLOOKUP($C794,'Patty Cash'!$B:$J,8,FALSE()),0)))),0)</f>
        <v>0</v>
      </c>
      <c r="O794" s="217" t="str">
        <f t="shared" si="12"/>
        <v/>
      </c>
    </row>
    <row r="795" spans="1:15" ht="23.1" customHeight="1">
      <c r="A795" s="206" t="str">
        <f>IF(AND($B795="",$C795=""),"",MAX($A$3:A794)+1)</f>
        <v/>
      </c>
      <c r="B795" s="207"/>
      <c r="C795" s="208"/>
      <c r="D795" s="209" t="str">
        <f>IFERROR(IF($E795="Inventory",VLOOKUP($C795,Inventory!$B:$I,2,FALSE()),IF($E795="Non Inventory",VLOOKUP($C795,'Non Inventory'!$B:$I,2,FALSE()),IF($E795="Services",VLOOKUP($C795,Services!$B:$I,2,FALSE()),IF($E795="Patty Cash",VLOOKUP($C795,'Patty Cash'!$B:$J,2,FALSE()),"")))),"")</f>
        <v/>
      </c>
      <c r="E795" s="246"/>
      <c r="F795" s="210" t="str">
        <f>IFERROR(IF($E795="Inventory",VLOOKUP($C795,Inventory!$B:$I,3,FALSE()),IF($E795="Non Inventory",VLOOKUP($C795,'Non Inventory'!$B:$I,3,FALSE()),IF($E795="Services",VLOOKUP($C795,Services!$B:$I,3,FALSE()),IF($E795="Patty Cash",VLOOKUP($C795,'Patty Cash'!$B:$J,3,FALSE()),"")))),"")</f>
        <v/>
      </c>
      <c r="G795" s="211"/>
      <c r="H795" s="212" t="str">
        <f>IF($E795="","",IF($E795="Inventory",IFERROR(VLOOKUP($C795,Inventory!$B:$H,7,FALSE()),0),IF($E795="Non Inventory",IFERROR(VLOOKUP($C795,'Non Inventory'!$B:$H,7,FALSE()),0),IF($E795="Services",IFERROR(VLOOKUP($C795,Services!$B:$H,7,FALSE()),0),IF($E795="Patty Cash",IFERROR(VLOOKUP($C795,'Patty Cash'!$B:$H,7,FALSE()),0),0)))))</f>
        <v/>
      </c>
      <c r="I795" s="213"/>
      <c r="J795" s="214"/>
      <c r="K795" s="215"/>
      <c r="L795" s="197"/>
      <c r="M795" s="215"/>
      <c r="N795" s="216">
        <f>IFERROR(IF($E795="Inventory",VLOOKUP($C795,Inventory!$B:$I,8,FALSE()),IF($E795="Non Inventory",VLOOKUP($C795,'Non Inventory'!$B:$I,8,FALSE()),IF($E795="Services",VLOOKUP($C795,Services!$B:$I,8,FALSE()),IF($E795="Patty Cash",VLOOKUP($C795,'Patty Cash'!$B:$J,8,FALSE()),0)))),0)</f>
        <v>0</v>
      </c>
      <c r="O795" s="217" t="str">
        <f t="shared" si="12"/>
        <v/>
      </c>
    </row>
    <row r="796" spans="1:15" ht="23.1" customHeight="1">
      <c r="A796" s="206" t="str">
        <f>IF(AND($B796="",$C796=""),"",MAX($A$3:A795)+1)</f>
        <v/>
      </c>
      <c r="B796" s="207"/>
      <c r="C796" s="208"/>
      <c r="D796" s="209" t="str">
        <f>IFERROR(IF($E796="Inventory",VLOOKUP($C796,Inventory!$B:$I,2,FALSE()),IF($E796="Non Inventory",VLOOKUP($C796,'Non Inventory'!$B:$I,2,FALSE()),IF($E796="Services",VLOOKUP($C796,Services!$B:$I,2,FALSE()),IF($E796="Patty Cash",VLOOKUP($C796,'Patty Cash'!$B:$J,2,FALSE()),"")))),"")</f>
        <v/>
      </c>
      <c r="E796" s="246"/>
      <c r="F796" s="210" t="str">
        <f>IFERROR(IF($E796="Inventory",VLOOKUP($C796,Inventory!$B:$I,3,FALSE()),IF($E796="Non Inventory",VLOOKUP($C796,'Non Inventory'!$B:$I,3,FALSE()),IF($E796="Services",VLOOKUP($C796,Services!$B:$I,3,FALSE()),IF($E796="Patty Cash",VLOOKUP($C796,'Patty Cash'!$B:$J,3,FALSE()),"")))),"")</f>
        <v/>
      </c>
      <c r="G796" s="211"/>
      <c r="H796" s="212" t="str">
        <f>IF($E796="","",IF($E796="Inventory",IFERROR(VLOOKUP($C796,Inventory!$B:$H,7,FALSE()),0),IF($E796="Non Inventory",IFERROR(VLOOKUP($C796,'Non Inventory'!$B:$H,7,FALSE()),0),IF($E796="Services",IFERROR(VLOOKUP($C796,Services!$B:$H,7,FALSE()),0),IF($E796="Patty Cash",IFERROR(VLOOKUP($C796,'Patty Cash'!$B:$H,7,FALSE()),0),0)))))</f>
        <v/>
      </c>
      <c r="I796" s="213"/>
      <c r="J796" s="214"/>
      <c r="K796" s="215"/>
      <c r="L796" s="197"/>
      <c r="M796" s="215"/>
      <c r="N796" s="216">
        <f>IFERROR(IF($E796="Inventory",VLOOKUP($C796,Inventory!$B:$I,8,FALSE()),IF($E796="Non Inventory",VLOOKUP($C796,'Non Inventory'!$B:$I,8,FALSE()),IF($E796="Services",VLOOKUP($C796,Services!$B:$I,8,FALSE()),IF($E796="Patty Cash",VLOOKUP($C796,'Patty Cash'!$B:$J,8,FALSE()),0)))),0)</f>
        <v>0</v>
      </c>
      <c r="O796" s="217" t="str">
        <f t="shared" si="12"/>
        <v/>
      </c>
    </row>
    <row r="797" spans="1:15" ht="23.1" customHeight="1">
      <c r="A797" s="206" t="str">
        <f>IF(AND($B797="",$C797=""),"",MAX($A$3:A796)+1)</f>
        <v/>
      </c>
      <c r="B797" s="207"/>
      <c r="C797" s="208"/>
      <c r="D797" s="209" t="str">
        <f>IFERROR(IF($E797="Inventory",VLOOKUP($C797,Inventory!$B:$I,2,FALSE()),IF($E797="Non Inventory",VLOOKUP($C797,'Non Inventory'!$B:$I,2,FALSE()),IF($E797="Services",VLOOKUP($C797,Services!$B:$I,2,FALSE()),IF($E797="Patty Cash",VLOOKUP($C797,'Patty Cash'!$B:$J,2,FALSE()),"")))),"")</f>
        <v/>
      </c>
      <c r="E797" s="246"/>
      <c r="F797" s="210" t="str">
        <f>IFERROR(IF($E797="Inventory",VLOOKUP($C797,Inventory!$B:$I,3,FALSE()),IF($E797="Non Inventory",VLOOKUP($C797,'Non Inventory'!$B:$I,3,FALSE()),IF($E797="Services",VLOOKUP($C797,Services!$B:$I,3,FALSE()),IF($E797="Patty Cash",VLOOKUP($C797,'Patty Cash'!$B:$J,3,FALSE()),"")))),"")</f>
        <v/>
      </c>
      <c r="G797" s="211"/>
      <c r="H797" s="212" t="str">
        <f>IF($E797="","",IF($E797="Inventory",IFERROR(VLOOKUP($C797,Inventory!$B:$H,7,FALSE()),0),IF($E797="Non Inventory",IFERROR(VLOOKUP($C797,'Non Inventory'!$B:$H,7,FALSE()),0),IF($E797="Services",IFERROR(VLOOKUP($C797,Services!$B:$H,7,FALSE()),0),IF($E797="Patty Cash",IFERROR(VLOOKUP($C797,'Patty Cash'!$B:$H,7,FALSE()),0),0)))))</f>
        <v/>
      </c>
      <c r="I797" s="213"/>
      <c r="J797" s="214"/>
      <c r="K797" s="215"/>
      <c r="L797" s="197"/>
      <c r="M797" s="215"/>
      <c r="N797" s="216">
        <f>IFERROR(IF($E797="Inventory",VLOOKUP($C797,Inventory!$B:$I,8,FALSE()),IF($E797="Non Inventory",VLOOKUP($C797,'Non Inventory'!$B:$I,8,FALSE()),IF($E797="Services",VLOOKUP($C797,Services!$B:$I,8,FALSE()),IF($E797="Patty Cash",VLOOKUP($C797,'Patty Cash'!$B:$J,8,FALSE()),0)))),0)</f>
        <v>0</v>
      </c>
      <c r="O797" s="217" t="str">
        <f t="shared" si="12"/>
        <v/>
      </c>
    </row>
    <row r="798" spans="1:15" ht="23.1" customHeight="1">
      <c r="A798" s="206" t="str">
        <f>IF(AND($B798="",$C798=""),"",MAX($A$3:A797)+1)</f>
        <v/>
      </c>
      <c r="B798" s="207"/>
      <c r="C798" s="208"/>
      <c r="D798" s="209" t="str">
        <f>IFERROR(IF($E798="Inventory",VLOOKUP($C798,Inventory!$B:$I,2,FALSE()),IF($E798="Non Inventory",VLOOKUP($C798,'Non Inventory'!$B:$I,2,FALSE()),IF($E798="Services",VLOOKUP($C798,Services!$B:$I,2,FALSE()),IF($E798="Patty Cash",VLOOKUP($C798,'Patty Cash'!$B:$J,2,FALSE()),"")))),"")</f>
        <v/>
      </c>
      <c r="E798" s="246"/>
      <c r="F798" s="210" t="str">
        <f>IFERROR(IF($E798="Inventory",VLOOKUP($C798,Inventory!$B:$I,3,FALSE()),IF($E798="Non Inventory",VLOOKUP($C798,'Non Inventory'!$B:$I,3,FALSE()),IF($E798="Services",VLOOKUP($C798,Services!$B:$I,3,FALSE()),IF($E798="Patty Cash",VLOOKUP($C798,'Patty Cash'!$B:$J,3,FALSE()),"")))),"")</f>
        <v/>
      </c>
      <c r="G798" s="211"/>
      <c r="H798" s="212" t="str">
        <f>IF($E798="","",IF($E798="Inventory",IFERROR(VLOOKUP($C798,Inventory!$B:$H,7,FALSE()),0),IF($E798="Non Inventory",IFERROR(VLOOKUP($C798,'Non Inventory'!$B:$H,7,FALSE()),0),IF($E798="Services",IFERROR(VLOOKUP($C798,Services!$B:$H,7,FALSE()),0),IF($E798="Patty Cash",IFERROR(VLOOKUP($C798,'Patty Cash'!$B:$H,7,FALSE()),0),0)))))</f>
        <v/>
      </c>
      <c r="I798" s="213"/>
      <c r="J798" s="214"/>
      <c r="K798" s="215"/>
      <c r="L798" s="197"/>
      <c r="M798" s="215"/>
      <c r="N798" s="216">
        <f>IFERROR(IF($E798="Inventory",VLOOKUP($C798,Inventory!$B:$I,8,FALSE()),IF($E798="Non Inventory",VLOOKUP($C798,'Non Inventory'!$B:$I,8,FALSE()),IF($E798="Services",VLOOKUP($C798,Services!$B:$I,8,FALSE()),IF($E798="Patty Cash",VLOOKUP($C798,'Patty Cash'!$B:$J,8,FALSE()),0)))),0)</f>
        <v>0</v>
      </c>
      <c r="O798" s="217" t="str">
        <f t="shared" si="12"/>
        <v/>
      </c>
    </row>
    <row r="799" spans="1:15" ht="23.1" customHeight="1">
      <c r="A799" s="206" t="str">
        <f>IF(AND($B799="",$C799=""),"",MAX($A$3:A798)+1)</f>
        <v/>
      </c>
      <c r="B799" s="207"/>
      <c r="C799" s="208"/>
      <c r="D799" s="209" t="str">
        <f>IFERROR(IF($E799="Inventory",VLOOKUP($C799,Inventory!$B:$I,2,FALSE()),IF($E799="Non Inventory",VLOOKUP($C799,'Non Inventory'!$B:$I,2,FALSE()),IF($E799="Services",VLOOKUP($C799,Services!$B:$I,2,FALSE()),IF($E799="Patty Cash",VLOOKUP($C799,'Patty Cash'!$B:$J,2,FALSE()),"")))),"")</f>
        <v/>
      </c>
      <c r="E799" s="246"/>
      <c r="F799" s="210" t="str">
        <f>IFERROR(IF($E799="Inventory",VLOOKUP($C799,Inventory!$B:$I,3,FALSE()),IF($E799="Non Inventory",VLOOKUP($C799,'Non Inventory'!$B:$I,3,FALSE()),IF($E799="Services",VLOOKUP($C799,Services!$B:$I,3,FALSE()),IF($E799="Patty Cash",VLOOKUP($C799,'Patty Cash'!$B:$J,3,FALSE()),"")))),"")</f>
        <v/>
      </c>
      <c r="G799" s="211"/>
      <c r="H799" s="212" t="str">
        <f>IF($E799="","",IF($E799="Inventory",IFERROR(VLOOKUP($C799,Inventory!$B:$H,7,FALSE()),0),IF($E799="Non Inventory",IFERROR(VLOOKUP($C799,'Non Inventory'!$B:$H,7,FALSE()),0),IF($E799="Services",IFERROR(VLOOKUP($C799,Services!$B:$H,7,FALSE()),0),IF($E799="Patty Cash",IFERROR(VLOOKUP($C799,'Patty Cash'!$B:$H,7,FALSE()),0),0)))))</f>
        <v/>
      </c>
      <c r="I799" s="213"/>
      <c r="J799" s="214"/>
      <c r="K799" s="215"/>
      <c r="L799" s="197"/>
      <c r="M799" s="215"/>
      <c r="N799" s="216">
        <f>IFERROR(IF($E799="Inventory",VLOOKUP($C799,Inventory!$B:$I,8,FALSE()),IF($E799="Non Inventory",VLOOKUP($C799,'Non Inventory'!$B:$I,8,FALSE()),IF($E799="Services",VLOOKUP($C799,Services!$B:$I,8,FALSE()),IF($E799="Patty Cash",VLOOKUP($C799,'Patty Cash'!$B:$J,8,FALSE()),0)))),0)</f>
        <v>0</v>
      </c>
      <c r="O799" s="217" t="str">
        <f t="shared" si="12"/>
        <v/>
      </c>
    </row>
    <row r="800" spans="1:15" ht="23.1" customHeight="1">
      <c r="A800" s="206" t="str">
        <f>IF(AND($B800="",$C800=""),"",MAX($A$3:A799)+1)</f>
        <v/>
      </c>
      <c r="B800" s="207"/>
      <c r="C800" s="208"/>
      <c r="D800" s="209" t="str">
        <f>IFERROR(IF($E800="Inventory",VLOOKUP($C800,Inventory!$B:$I,2,FALSE()),IF($E800="Non Inventory",VLOOKUP($C800,'Non Inventory'!$B:$I,2,FALSE()),IF($E800="Services",VLOOKUP($C800,Services!$B:$I,2,FALSE()),IF($E800="Patty Cash",VLOOKUP($C800,'Patty Cash'!$B:$J,2,FALSE()),"")))),"")</f>
        <v/>
      </c>
      <c r="E800" s="246"/>
      <c r="F800" s="210" t="str">
        <f>IFERROR(IF($E800="Inventory",VLOOKUP($C800,Inventory!$B:$I,3,FALSE()),IF($E800="Non Inventory",VLOOKUP($C800,'Non Inventory'!$B:$I,3,FALSE()),IF($E800="Services",VLOOKUP($C800,Services!$B:$I,3,FALSE()),IF($E800="Patty Cash",VLOOKUP($C800,'Patty Cash'!$B:$J,3,FALSE()),"")))),"")</f>
        <v/>
      </c>
      <c r="G800" s="211"/>
      <c r="H800" s="212" t="str">
        <f>IF($E800="","",IF($E800="Inventory",IFERROR(VLOOKUP($C800,Inventory!$B:$H,7,FALSE()),0),IF($E800="Non Inventory",IFERROR(VLOOKUP($C800,'Non Inventory'!$B:$H,7,FALSE()),0),IF($E800="Services",IFERROR(VLOOKUP($C800,Services!$B:$H,7,FALSE()),0),IF($E800="Patty Cash",IFERROR(VLOOKUP($C800,'Patty Cash'!$B:$H,7,FALSE()),0),0)))))</f>
        <v/>
      </c>
      <c r="I800" s="213"/>
      <c r="J800" s="214"/>
      <c r="K800" s="215"/>
      <c r="L800" s="197"/>
      <c r="M800" s="215"/>
      <c r="N800" s="216">
        <f>IFERROR(IF($E800="Inventory",VLOOKUP($C800,Inventory!$B:$I,8,FALSE()),IF($E800="Non Inventory",VLOOKUP($C800,'Non Inventory'!$B:$I,8,FALSE()),IF($E800="Services",VLOOKUP($C800,Services!$B:$I,8,FALSE()),IF($E800="Patty Cash",VLOOKUP($C800,'Patty Cash'!$B:$J,8,FALSE()),0)))),0)</f>
        <v>0</v>
      </c>
      <c r="O800" s="217" t="str">
        <f t="shared" si="12"/>
        <v/>
      </c>
    </row>
    <row r="801" spans="1:15" ht="23.1" customHeight="1">
      <c r="A801" s="206" t="str">
        <f>IF(AND($B801="",$C801=""),"",MAX($A$3:A800)+1)</f>
        <v/>
      </c>
      <c r="B801" s="207"/>
      <c r="C801" s="208"/>
      <c r="D801" s="209" t="str">
        <f>IFERROR(IF($E801="Inventory",VLOOKUP($C801,Inventory!$B:$I,2,FALSE()),IF($E801="Non Inventory",VLOOKUP($C801,'Non Inventory'!$B:$I,2,FALSE()),IF($E801="Services",VLOOKUP($C801,Services!$B:$I,2,FALSE()),IF($E801="Patty Cash",VLOOKUP($C801,'Patty Cash'!$B:$J,2,FALSE()),"")))),"")</f>
        <v/>
      </c>
      <c r="E801" s="246"/>
      <c r="F801" s="210" t="str">
        <f>IFERROR(IF($E801="Inventory",VLOOKUP($C801,Inventory!$B:$I,3,FALSE()),IF($E801="Non Inventory",VLOOKUP($C801,'Non Inventory'!$B:$I,3,FALSE()),IF($E801="Services",VLOOKUP($C801,Services!$B:$I,3,FALSE()),IF($E801="Patty Cash",VLOOKUP($C801,'Patty Cash'!$B:$J,3,FALSE()),"")))),"")</f>
        <v/>
      </c>
      <c r="G801" s="211"/>
      <c r="H801" s="212" t="str">
        <f>IF($E801="","",IF($E801="Inventory",IFERROR(VLOOKUP($C801,Inventory!$B:$H,7,FALSE()),0),IF($E801="Non Inventory",IFERROR(VLOOKUP($C801,'Non Inventory'!$B:$H,7,FALSE()),0),IF($E801="Services",IFERROR(VLOOKUP($C801,Services!$B:$H,7,FALSE()),0),IF($E801="Patty Cash",IFERROR(VLOOKUP($C801,'Patty Cash'!$B:$H,7,FALSE()),0),0)))))</f>
        <v/>
      </c>
      <c r="I801" s="213"/>
      <c r="J801" s="214"/>
      <c r="K801" s="215"/>
      <c r="L801" s="197"/>
      <c r="M801" s="215"/>
      <c r="N801" s="216">
        <f>IFERROR(IF($E801="Inventory",VLOOKUP($C801,Inventory!$B:$I,8,FALSE()),IF($E801="Non Inventory",VLOOKUP($C801,'Non Inventory'!$B:$I,8,FALSE()),IF($E801="Services",VLOOKUP($C801,Services!$B:$I,8,FALSE()),IF($E801="Patty Cash",VLOOKUP($C801,'Patty Cash'!$B:$J,8,FALSE()),0)))),0)</f>
        <v>0</v>
      </c>
      <c r="O801" s="217" t="str">
        <f t="shared" si="12"/>
        <v/>
      </c>
    </row>
    <row r="802" spans="1:15" ht="23.1" customHeight="1">
      <c r="A802" s="206" t="str">
        <f>IF(AND($B802="",$C802=""),"",MAX($A$3:A801)+1)</f>
        <v/>
      </c>
      <c r="B802" s="207"/>
      <c r="C802" s="208"/>
      <c r="D802" s="209" t="str">
        <f>IFERROR(IF($E802="Inventory",VLOOKUP($C802,Inventory!$B:$I,2,FALSE()),IF($E802="Non Inventory",VLOOKUP($C802,'Non Inventory'!$B:$I,2,FALSE()),IF($E802="Services",VLOOKUP($C802,Services!$B:$I,2,FALSE()),IF($E802="Patty Cash",VLOOKUP($C802,'Patty Cash'!$B:$J,2,FALSE()),"")))),"")</f>
        <v/>
      </c>
      <c r="E802" s="246"/>
      <c r="F802" s="210" t="str">
        <f>IFERROR(IF($E802="Inventory",VLOOKUP($C802,Inventory!$B:$I,3,FALSE()),IF($E802="Non Inventory",VLOOKUP($C802,'Non Inventory'!$B:$I,3,FALSE()),IF($E802="Services",VLOOKUP($C802,Services!$B:$I,3,FALSE()),IF($E802="Patty Cash",VLOOKUP($C802,'Patty Cash'!$B:$J,3,FALSE()),"")))),"")</f>
        <v/>
      </c>
      <c r="G802" s="211"/>
      <c r="H802" s="212" t="str">
        <f>IF($E802="","",IF($E802="Inventory",IFERROR(VLOOKUP($C802,Inventory!$B:$H,7,FALSE()),0),IF($E802="Non Inventory",IFERROR(VLOOKUP($C802,'Non Inventory'!$B:$H,7,FALSE()),0),IF($E802="Services",IFERROR(VLOOKUP($C802,Services!$B:$H,7,FALSE()),0),IF($E802="Patty Cash",IFERROR(VLOOKUP($C802,'Patty Cash'!$B:$H,7,FALSE()),0),0)))))</f>
        <v/>
      </c>
      <c r="I802" s="213"/>
      <c r="J802" s="214"/>
      <c r="K802" s="215"/>
      <c r="L802" s="197"/>
      <c r="M802" s="215"/>
      <c r="N802" s="216">
        <f>IFERROR(IF($E802="Inventory",VLOOKUP($C802,Inventory!$B:$I,8,FALSE()),IF($E802="Non Inventory",VLOOKUP($C802,'Non Inventory'!$B:$I,8,FALSE()),IF($E802="Services",VLOOKUP($C802,Services!$B:$I,8,FALSE()),IF($E802="Patty Cash",VLOOKUP($C802,'Patty Cash'!$B:$J,8,FALSE()),0)))),0)</f>
        <v>0</v>
      </c>
      <c r="O802" s="217" t="str">
        <f t="shared" si="12"/>
        <v/>
      </c>
    </row>
    <row r="803" spans="1:15" ht="23.1" customHeight="1">
      <c r="A803" s="206" t="str">
        <f>IF(AND($B803="",$C803=""),"",MAX($A$3:A802)+1)</f>
        <v/>
      </c>
      <c r="B803" s="207"/>
      <c r="C803" s="208"/>
      <c r="D803" s="209" t="str">
        <f>IFERROR(IF($E803="Inventory",VLOOKUP($C803,Inventory!$B:$I,2,FALSE()),IF($E803="Non Inventory",VLOOKUP($C803,'Non Inventory'!$B:$I,2,FALSE()),IF($E803="Services",VLOOKUP($C803,Services!$B:$I,2,FALSE()),IF($E803="Patty Cash",VLOOKUP($C803,'Patty Cash'!$B:$J,2,FALSE()),"")))),"")</f>
        <v/>
      </c>
      <c r="E803" s="246"/>
      <c r="F803" s="210" t="str">
        <f>IFERROR(IF($E803="Inventory",VLOOKUP($C803,Inventory!$B:$I,3,FALSE()),IF($E803="Non Inventory",VLOOKUP($C803,'Non Inventory'!$B:$I,3,FALSE()),IF($E803="Services",VLOOKUP($C803,Services!$B:$I,3,FALSE()),IF($E803="Patty Cash",VLOOKUP($C803,'Patty Cash'!$B:$J,3,FALSE()),"")))),"")</f>
        <v/>
      </c>
      <c r="G803" s="211"/>
      <c r="H803" s="212" t="str">
        <f>IF($E803="","",IF($E803="Inventory",IFERROR(VLOOKUP($C803,Inventory!$B:$H,7,FALSE()),0),IF($E803="Non Inventory",IFERROR(VLOOKUP($C803,'Non Inventory'!$B:$H,7,FALSE()),0),IF($E803="Services",IFERROR(VLOOKUP($C803,Services!$B:$H,7,FALSE()),0),IF($E803="Patty Cash",IFERROR(VLOOKUP($C803,'Patty Cash'!$B:$H,7,FALSE()),0),0)))))</f>
        <v/>
      </c>
      <c r="I803" s="213"/>
      <c r="J803" s="214"/>
      <c r="K803" s="215"/>
      <c r="L803" s="197"/>
      <c r="M803" s="215"/>
      <c r="N803" s="216">
        <f>IFERROR(IF($E803="Inventory",VLOOKUP($C803,Inventory!$B:$I,8,FALSE()),IF($E803="Non Inventory",VLOOKUP($C803,'Non Inventory'!$B:$I,8,FALSE()),IF($E803="Services",VLOOKUP($C803,Services!$B:$I,8,FALSE()),IF($E803="Patty Cash",VLOOKUP($C803,'Patty Cash'!$B:$J,8,FALSE()),0)))),0)</f>
        <v>0</v>
      </c>
      <c r="O803" s="217" t="str">
        <f t="shared" si="12"/>
        <v/>
      </c>
    </row>
    <row r="804" spans="1:15" ht="23.1" customHeight="1">
      <c r="A804" s="206" t="str">
        <f>IF(AND($B804="",$C804=""),"",MAX($A$3:A803)+1)</f>
        <v/>
      </c>
      <c r="B804" s="207"/>
      <c r="C804" s="208"/>
      <c r="D804" s="209" t="str">
        <f>IFERROR(IF($E804="Inventory",VLOOKUP($C804,Inventory!$B:$I,2,FALSE()),IF($E804="Non Inventory",VLOOKUP($C804,'Non Inventory'!$B:$I,2,FALSE()),IF($E804="Services",VLOOKUP($C804,Services!$B:$I,2,FALSE()),IF($E804="Patty Cash",VLOOKUP($C804,'Patty Cash'!$B:$J,2,FALSE()),"")))),"")</f>
        <v/>
      </c>
      <c r="E804" s="246"/>
      <c r="F804" s="210" t="str">
        <f>IFERROR(IF($E804="Inventory",VLOOKUP($C804,Inventory!$B:$I,3,FALSE()),IF($E804="Non Inventory",VLOOKUP($C804,'Non Inventory'!$B:$I,3,FALSE()),IF($E804="Services",VLOOKUP($C804,Services!$B:$I,3,FALSE()),IF($E804="Patty Cash",VLOOKUP($C804,'Patty Cash'!$B:$J,3,FALSE()),"")))),"")</f>
        <v/>
      </c>
      <c r="G804" s="211"/>
      <c r="H804" s="212" t="str">
        <f>IF($E804="","",IF($E804="Inventory",IFERROR(VLOOKUP($C804,Inventory!$B:$H,7,FALSE()),0),IF($E804="Non Inventory",IFERROR(VLOOKUP($C804,'Non Inventory'!$B:$H,7,FALSE()),0),IF($E804="Services",IFERROR(VLOOKUP($C804,Services!$B:$H,7,FALSE()),0),IF($E804="Patty Cash",IFERROR(VLOOKUP($C804,'Patty Cash'!$B:$H,7,FALSE()),0),0)))))</f>
        <v/>
      </c>
      <c r="I804" s="213"/>
      <c r="J804" s="214"/>
      <c r="K804" s="215"/>
      <c r="L804" s="197"/>
      <c r="M804" s="215"/>
      <c r="N804" s="216">
        <f>IFERROR(IF($E804="Inventory",VLOOKUP($C804,Inventory!$B:$I,8,FALSE()),IF($E804="Non Inventory",VLOOKUP($C804,'Non Inventory'!$B:$I,8,FALSE()),IF($E804="Services",VLOOKUP($C804,Services!$B:$I,8,FALSE()),IF($E804="Patty Cash",VLOOKUP($C804,'Patty Cash'!$B:$J,8,FALSE()),0)))),0)</f>
        <v>0</v>
      </c>
      <c r="O804" s="217" t="str">
        <f t="shared" si="12"/>
        <v/>
      </c>
    </row>
    <row r="805" spans="1:15" ht="23.1" customHeight="1">
      <c r="A805" s="206" t="str">
        <f>IF(AND($B805="",$C805=""),"",MAX($A$3:A804)+1)</f>
        <v/>
      </c>
      <c r="B805" s="207"/>
      <c r="C805" s="208"/>
      <c r="D805" s="209" t="str">
        <f>IFERROR(IF($E805="Inventory",VLOOKUP($C805,Inventory!$B:$I,2,FALSE()),IF($E805="Non Inventory",VLOOKUP($C805,'Non Inventory'!$B:$I,2,FALSE()),IF($E805="Services",VLOOKUP($C805,Services!$B:$I,2,FALSE()),IF($E805="Patty Cash",VLOOKUP($C805,'Patty Cash'!$B:$J,2,FALSE()),"")))),"")</f>
        <v/>
      </c>
      <c r="E805" s="246"/>
      <c r="F805" s="210" t="str">
        <f>IFERROR(IF($E805="Inventory",VLOOKUP($C805,Inventory!$B:$I,3,FALSE()),IF($E805="Non Inventory",VLOOKUP($C805,'Non Inventory'!$B:$I,3,FALSE()),IF($E805="Services",VLOOKUP($C805,Services!$B:$I,3,FALSE()),IF($E805="Patty Cash",VLOOKUP($C805,'Patty Cash'!$B:$J,3,FALSE()),"")))),"")</f>
        <v/>
      </c>
      <c r="G805" s="211"/>
      <c r="H805" s="212" t="str">
        <f>IF($E805="","",IF($E805="Inventory",IFERROR(VLOOKUP($C805,Inventory!$B:$H,7,FALSE()),0),IF($E805="Non Inventory",IFERROR(VLOOKUP($C805,'Non Inventory'!$B:$H,7,FALSE()),0),IF($E805="Services",IFERROR(VLOOKUP($C805,Services!$B:$H,7,FALSE()),0),IF($E805="Patty Cash",IFERROR(VLOOKUP($C805,'Patty Cash'!$B:$H,7,FALSE()),0),0)))))</f>
        <v/>
      </c>
      <c r="I805" s="213"/>
      <c r="J805" s="214"/>
      <c r="K805" s="215"/>
      <c r="L805" s="197"/>
      <c r="M805" s="215"/>
      <c r="N805" s="216">
        <f>IFERROR(IF($E805="Inventory",VLOOKUP($C805,Inventory!$B:$I,8,FALSE()),IF($E805="Non Inventory",VLOOKUP($C805,'Non Inventory'!$B:$I,8,FALSE()),IF($E805="Services",VLOOKUP($C805,Services!$B:$I,8,FALSE()),IF($E805="Patty Cash",VLOOKUP($C805,'Patty Cash'!$B:$J,8,FALSE()),0)))),0)</f>
        <v>0</v>
      </c>
      <c r="O805" s="217" t="str">
        <f t="shared" si="12"/>
        <v/>
      </c>
    </row>
    <row r="806" spans="1:15" ht="23.1" customHeight="1">
      <c r="A806" s="206" t="str">
        <f>IF(AND($B806="",$C806=""),"",MAX($A$3:A805)+1)</f>
        <v/>
      </c>
      <c r="B806" s="207"/>
      <c r="C806" s="208"/>
      <c r="D806" s="209" t="str">
        <f>IFERROR(IF($E806="Inventory",VLOOKUP($C806,Inventory!$B:$I,2,FALSE()),IF($E806="Non Inventory",VLOOKUP($C806,'Non Inventory'!$B:$I,2,FALSE()),IF($E806="Services",VLOOKUP($C806,Services!$B:$I,2,FALSE()),IF($E806="Patty Cash",VLOOKUP($C806,'Patty Cash'!$B:$J,2,FALSE()),"")))),"")</f>
        <v/>
      </c>
      <c r="E806" s="246"/>
      <c r="F806" s="210" t="str">
        <f>IFERROR(IF($E806="Inventory",VLOOKUP($C806,Inventory!$B:$I,3,FALSE()),IF($E806="Non Inventory",VLOOKUP($C806,'Non Inventory'!$B:$I,3,FALSE()),IF($E806="Services",VLOOKUP($C806,Services!$B:$I,3,FALSE()),IF($E806="Patty Cash",VLOOKUP($C806,'Patty Cash'!$B:$J,3,FALSE()),"")))),"")</f>
        <v/>
      </c>
      <c r="G806" s="211"/>
      <c r="H806" s="212" t="str">
        <f>IF($E806="","",IF($E806="Inventory",IFERROR(VLOOKUP($C806,Inventory!$B:$H,7,FALSE()),0),IF($E806="Non Inventory",IFERROR(VLOOKUP($C806,'Non Inventory'!$B:$H,7,FALSE()),0),IF($E806="Services",IFERROR(VLOOKUP($C806,Services!$B:$H,7,FALSE()),0),IF($E806="Patty Cash",IFERROR(VLOOKUP($C806,'Patty Cash'!$B:$H,7,FALSE()),0),0)))))</f>
        <v/>
      </c>
      <c r="I806" s="213"/>
      <c r="J806" s="214"/>
      <c r="K806" s="215"/>
      <c r="L806" s="197"/>
      <c r="M806" s="215"/>
      <c r="N806" s="216">
        <f>IFERROR(IF($E806="Inventory",VLOOKUP($C806,Inventory!$B:$I,8,FALSE()),IF($E806="Non Inventory",VLOOKUP($C806,'Non Inventory'!$B:$I,8,FALSE()),IF($E806="Services",VLOOKUP($C806,Services!$B:$I,8,FALSE()),IF($E806="Patty Cash",VLOOKUP($C806,'Patty Cash'!$B:$J,8,FALSE()),0)))),0)</f>
        <v>0</v>
      </c>
      <c r="O806" s="217" t="str">
        <f t="shared" si="12"/>
        <v/>
      </c>
    </row>
    <row r="807" spans="1:15" ht="23.1" customHeight="1">
      <c r="A807" s="206" t="str">
        <f>IF(AND($B807="",$C807=""),"",MAX($A$3:A806)+1)</f>
        <v/>
      </c>
      <c r="B807" s="207"/>
      <c r="C807" s="208"/>
      <c r="D807" s="209" t="str">
        <f>IFERROR(IF($E807="Inventory",VLOOKUP($C807,Inventory!$B:$I,2,FALSE()),IF($E807="Non Inventory",VLOOKUP($C807,'Non Inventory'!$B:$I,2,FALSE()),IF($E807="Services",VLOOKUP($C807,Services!$B:$I,2,FALSE()),IF($E807="Patty Cash",VLOOKUP($C807,'Patty Cash'!$B:$J,2,FALSE()),"")))),"")</f>
        <v/>
      </c>
      <c r="E807" s="246"/>
      <c r="F807" s="210" t="str">
        <f>IFERROR(IF($E807="Inventory",VLOOKUP($C807,Inventory!$B:$I,3,FALSE()),IF($E807="Non Inventory",VLOOKUP($C807,'Non Inventory'!$B:$I,3,FALSE()),IF($E807="Services",VLOOKUP($C807,Services!$B:$I,3,FALSE()),IF($E807="Patty Cash",VLOOKUP($C807,'Patty Cash'!$B:$J,3,FALSE()),"")))),"")</f>
        <v/>
      </c>
      <c r="G807" s="211"/>
      <c r="H807" s="212" t="str">
        <f>IF($E807="","",IF($E807="Inventory",IFERROR(VLOOKUP($C807,Inventory!$B:$H,7,FALSE()),0),IF($E807="Non Inventory",IFERROR(VLOOKUP($C807,'Non Inventory'!$B:$H,7,FALSE()),0),IF($E807="Services",IFERROR(VLOOKUP($C807,Services!$B:$H,7,FALSE()),0),IF($E807="Patty Cash",IFERROR(VLOOKUP($C807,'Patty Cash'!$B:$H,7,FALSE()),0),0)))))</f>
        <v/>
      </c>
      <c r="I807" s="213"/>
      <c r="J807" s="214"/>
      <c r="K807" s="215"/>
      <c r="L807" s="197"/>
      <c r="M807" s="215"/>
      <c r="N807" s="216">
        <f>IFERROR(IF($E807="Inventory",VLOOKUP($C807,Inventory!$B:$I,8,FALSE()),IF($E807="Non Inventory",VLOOKUP($C807,'Non Inventory'!$B:$I,8,FALSE()),IF($E807="Services",VLOOKUP($C807,Services!$B:$I,8,FALSE()),IF($E807="Patty Cash",VLOOKUP($C807,'Patty Cash'!$B:$J,8,FALSE()),0)))),0)</f>
        <v>0</v>
      </c>
      <c r="O807" s="217" t="str">
        <f t="shared" si="12"/>
        <v/>
      </c>
    </row>
    <row r="808" spans="1:15" ht="23.1" customHeight="1">
      <c r="A808" s="206" t="str">
        <f>IF(AND($B808="",$C808=""),"",MAX($A$3:A807)+1)</f>
        <v/>
      </c>
      <c r="B808" s="207"/>
      <c r="C808" s="208"/>
      <c r="D808" s="209" t="str">
        <f>IFERROR(IF($E808="Inventory",VLOOKUP($C808,Inventory!$B:$I,2,FALSE()),IF($E808="Non Inventory",VLOOKUP($C808,'Non Inventory'!$B:$I,2,FALSE()),IF($E808="Services",VLOOKUP($C808,Services!$B:$I,2,FALSE()),IF($E808="Patty Cash",VLOOKUP($C808,'Patty Cash'!$B:$J,2,FALSE()),"")))),"")</f>
        <v/>
      </c>
      <c r="E808" s="246"/>
      <c r="F808" s="210" t="str">
        <f>IFERROR(IF($E808="Inventory",VLOOKUP($C808,Inventory!$B:$I,3,FALSE()),IF($E808="Non Inventory",VLOOKUP($C808,'Non Inventory'!$B:$I,3,FALSE()),IF($E808="Services",VLOOKUP($C808,Services!$B:$I,3,FALSE()),IF($E808="Patty Cash",VLOOKUP($C808,'Patty Cash'!$B:$J,3,FALSE()),"")))),"")</f>
        <v/>
      </c>
      <c r="G808" s="211"/>
      <c r="H808" s="212" t="str">
        <f>IF($E808="","",IF($E808="Inventory",IFERROR(VLOOKUP($C808,Inventory!$B:$H,7,FALSE()),0),IF($E808="Non Inventory",IFERROR(VLOOKUP($C808,'Non Inventory'!$B:$H,7,FALSE()),0),IF($E808="Services",IFERROR(VLOOKUP($C808,Services!$B:$H,7,FALSE()),0),IF($E808="Patty Cash",IFERROR(VLOOKUP($C808,'Patty Cash'!$B:$H,7,FALSE()),0),0)))))</f>
        <v/>
      </c>
      <c r="I808" s="213"/>
      <c r="J808" s="214"/>
      <c r="K808" s="215"/>
      <c r="L808" s="197"/>
      <c r="M808" s="215"/>
      <c r="N808" s="216">
        <f>IFERROR(IF($E808="Inventory",VLOOKUP($C808,Inventory!$B:$I,8,FALSE()),IF($E808="Non Inventory",VLOOKUP($C808,'Non Inventory'!$B:$I,8,FALSE()),IF($E808="Services",VLOOKUP($C808,Services!$B:$I,8,FALSE()),IF($E808="Patty Cash",VLOOKUP($C808,'Patty Cash'!$B:$J,8,FALSE()),0)))),0)</f>
        <v>0</v>
      </c>
      <c r="O808" s="217" t="str">
        <f t="shared" si="12"/>
        <v/>
      </c>
    </row>
    <row r="809" spans="1:15" ht="23.1" customHeight="1">
      <c r="A809" s="206" t="str">
        <f>IF(AND($B809="",$C809=""),"",MAX($A$3:A808)+1)</f>
        <v/>
      </c>
      <c r="B809" s="207"/>
      <c r="C809" s="208"/>
      <c r="D809" s="209" t="str">
        <f>IFERROR(IF($E809="Inventory",VLOOKUP($C809,Inventory!$B:$I,2,FALSE()),IF($E809="Non Inventory",VLOOKUP($C809,'Non Inventory'!$B:$I,2,FALSE()),IF($E809="Services",VLOOKUP($C809,Services!$B:$I,2,FALSE()),IF($E809="Patty Cash",VLOOKUP($C809,'Patty Cash'!$B:$J,2,FALSE()),"")))),"")</f>
        <v/>
      </c>
      <c r="E809" s="246"/>
      <c r="F809" s="210" t="str">
        <f>IFERROR(IF($E809="Inventory",VLOOKUP($C809,Inventory!$B:$I,3,FALSE()),IF($E809="Non Inventory",VLOOKUP($C809,'Non Inventory'!$B:$I,3,FALSE()),IF($E809="Services",VLOOKUP($C809,Services!$B:$I,3,FALSE()),IF($E809="Patty Cash",VLOOKUP($C809,'Patty Cash'!$B:$J,3,FALSE()),"")))),"")</f>
        <v/>
      </c>
      <c r="G809" s="211"/>
      <c r="H809" s="212" t="str">
        <f>IF($E809="","",IF($E809="Inventory",IFERROR(VLOOKUP($C809,Inventory!$B:$H,7,FALSE()),0),IF($E809="Non Inventory",IFERROR(VLOOKUP($C809,'Non Inventory'!$B:$H,7,FALSE()),0),IF($E809="Services",IFERROR(VLOOKUP($C809,Services!$B:$H,7,FALSE()),0),IF($E809="Patty Cash",IFERROR(VLOOKUP($C809,'Patty Cash'!$B:$H,7,FALSE()),0),0)))))</f>
        <v/>
      </c>
      <c r="I809" s="213"/>
      <c r="J809" s="214"/>
      <c r="K809" s="215"/>
      <c r="L809" s="197"/>
      <c r="M809" s="215"/>
      <c r="N809" s="216">
        <f>IFERROR(IF($E809="Inventory",VLOOKUP($C809,Inventory!$B:$I,8,FALSE()),IF($E809="Non Inventory",VLOOKUP($C809,'Non Inventory'!$B:$I,8,FALSE()),IF($E809="Services",VLOOKUP($C809,Services!$B:$I,8,FALSE()),IF($E809="Patty Cash",VLOOKUP($C809,'Patty Cash'!$B:$J,8,FALSE()),0)))),0)</f>
        <v>0</v>
      </c>
      <c r="O809" s="217" t="str">
        <f t="shared" si="12"/>
        <v/>
      </c>
    </row>
    <row r="810" spans="1:15" ht="23.1" customHeight="1">
      <c r="A810" s="206" t="str">
        <f>IF(AND($B810="",$C810=""),"",MAX($A$3:A809)+1)</f>
        <v/>
      </c>
      <c r="B810" s="207"/>
      <c r="C810" s="208"/>
      <c r="D810" s="209" t="str">
        <f>IFERROR(IF($E810="Inventory",VLOOKUP($C810,Inventory!$B:$I,2,FALSE()),IF($E810="Non Inventory",VLOOKUP($C810,'Non Inventory'!$B:$I,2,FALSE()),IF($E810="Services",VLOOKUP($C810,Services!$B:$I,2,FALSE()),IF($E810="Patty Cash",VLOOKUP($C810,'Patty Cash'!$B:$J,2,FALSE()),"")))),"")</f>
        <v/>
      </c>
      <c r="E810" s="246"/>
      <c r="F810" s="210" t="str">
        <f>IFERROR(IF($E810="Inventory",VLOOKUP($C810,Inventory!$B:$I,3,FALSE()),IF($E810="Non Inventory",VLOOKUP($C810,'Non Inventory'!$B:$I,3,FALSE()),IF($E810="Services",VLOOKUP($C810,Services!$B:$I,3,FALSE()),IF($E810="Patty Cash",VLOOKUP($C810,'Patty Cash'!$B:$J,3,FALSE()),"")))),"")</f>
        <v/>
      </c>
      <c r="G810" s="211"/>
      <c r="H810" s="212" t="str">
        <f>IF($E810="","",IF($E810="Inventory",IFERROR(VLOOKUP($C810,Inventory!$B:$H,7,FALSE()),0),IF($E810="Non Inventory",IFERROR(VLOOKUP($C810,'Non Inventory'!$B:$H,7,FALSE()),0),IF($E810="Services",IFERROR(VLOOKUP($C810,Services!$B:$H,7,FALSE()),0),IF($E810="Patty Cash",IFERROR(VLOOKUP($C810,'Patty Cash'!$B:$H,7,FALSE()),0),0)))))</f>
        <v/>
      </c>
      <c r="I810" s="213"/>
      <c r="J810" s="214"/>
      <c r="K810" s="215"/>
      <c r="L810" s="197"/>
      <c r="M810" s="215"/>
      <c r="N810" s="216">
        <f>IFERROR(IF($E810="Inventory",VLOOKUP($C810,Inventory!$B:$I,8,FALSE()),IF($E810="Non Inventory",VLOOKUP($C810,'Non Inventory'!$B:$I,8,FALSE()),IF($E810="Services",VLOOKUP($C810,Services!$B:$I,8,FALSE()),IF($E810="Patty Cash",VLOOKUP($C810,'Patty Cash'!$B:$J,8,FALSE()),0)))),0)</f>
        <v>0</v>
      </c>
      <c r="O810" s="217" t="str">
        <f t="shared" si="12"/>
        <v/>
      </c>
    </row>
    <row r="811" spans="1:15" ht="23.1" customHeight="1">
      <c r="A811" s="206" t="str">
        <f>IF(AND($B811="",$C811=""),"",MAX($A$3:A810)+1)</f>
        <v/>
      </c>
      <c r="B811" s="207"/>
      <c r="C811" s="208"/>
      <c r="D811" s="209" t="str">
        <f>IFERROR(IF($E811="Inventory",VLOOKUP($C811,Inventory!$B:$I,2,FALSE()),IF($E811="Non Inventory",VLOOKUP($C811,'Non Inventory'!$B:$I,2,FALSE()),IF($E811="Services",VLOOKUP($C811,Services!$B:$I,2,FALSE()),IF($E811="Patty Cash",VLOOKUP($C811,'Patty Cash'!$B:$J,2,FALSE()),"")))),"")</f>
        <v/>
      </c>
      <c r="E811" s="246"/>
      <c r="F811" s="210" t="str">
        <f>IFERROR(IF($E811="Inventory",VLOOKUP($C811,Inventory!$B:$I,3,FALSE()),IF($E811="Non Inventory",VLOOKUP($C811,'Non Inventory'!$B:$I,3,FALSE()),IF($E811="Services",VLOOKUP($C811,Services!$B:$I,3,FALSE()),IF($E811="Patty Cash",VLOOKUP($C811,'Patty Cash'!$B:$J,3,FALSE()),"")))),"")</f>
        <v/>
      </c>
      <c r="G811" s="211"/>
      <c r="H811" s="212" t="str">
        <f>IF($E811="","",IF($E811="Inventory",IFERROR(VLOOKUP($C811,Inventory!$B:$H,7,FALSE()),0),IF($E811="Non Inventory",IFERROR(VLOOKUP($C811,'Non Inventory'!$B:$H,7,FALSE()),0),IF($E811="Services",IFERROR(VLOOKUP($C811,Services!$B:$H,7,FALSE()),0),IF($E811="Patty Cash",IFERROR(VLOOKUP($C811,'Patty Cash'!$B:$H,7,FALSE()),0),0)))))</f>
        <v/>
      </c>
      <c r="I811" s="213"/>
      <c r="J811" s="214"/>
      <c r="K811" s="215"/>
      <c r="L811" s="197"/>
      <c r="M811" s="215"/>
      <c r="N811" s="216">
        <f>IFERROR(IF($E811="Inventory",VLOOKUP($C811,Inventory!$B:$I,8,FALSE()),IF($E811="Non Inventory",VLOOKUP($C811,'Non Inventory'!$B:$I,8,FALSE()),IF($E811="Services",VLOOKUP($C811,Services!$B:$I,8,FALSE()),IF($E811="Patty Cash",VLOOKUP($C811,'Patty Cash'!$B:$J,8,FALSE()),0)))),0)</f>
        <v>0</v>
      </c>
      <c r="O811" s="217" t="str">
        <f t="shared" si="12"/>
        <v/>
      </c>
    </row>
    <row r="812" spans="1:15" ht="23.1" customHeight="1">
      <c r="A812" s="206" t="str">
        <f>IF(AND($B812="",$C812=""),"",MAX($A$3:A811)+1)</f>
        <v/>
      </c>
      <c r="B812" s="207"/>
      <c r="C812" s="208"/>
      <c r="D812" s="209" t="str">
        <f>IFERROR(IF($E812="Inventory",VLOOKUP($C812,Inventory!$B:$I,2,FALSE()),IF($E812="Non Inventory",VLOOKUP($C812,'Non Inventory'!$B:$I,2,FALSE()),IF($E812="Services",VLOOKUP($C812,Services!$B:$I,2,FALSE()),IF($E812="Patty Cash",VLOOKUP($C812,'Patty Cash'!$B:$J,2,FALSE()),"")))),"")</f>
        <v/>
      </c>
      <c r="E812" s="246"/>
      <c r="F812" s="210" t="str">
        <f>IFERROR(IF($E812="Inventory",VLOOKUP($C812,Inventory!$B:$I,3,FALSE()),IF($E812="Non Inventory",VLOOKUP($C812,'Non Inventory'!$B:$I,3,FALSE()),IF($E812="Services",VLOOKUP($C812,Services!$B:$I,3,FALSE()),IF($E812="Patty Cash",VLOOKUP($C812,'Patty Cash'!$B:$J,3,FALSE()),"")))),"")</f>
        <v/>
      </c>
      <c r="G812" s="211"/>
      <c r="H812" s="212" t="str">
        <f>IF($E812="","",IF($E812="Inventory",IFERROR(VLOOKUP($C812,Inventory!$B:$H,7,FALSE()),0),IF($E812="Non Inventory",IFERROR(VLOOKUP($C812,'Non Inventory'!$B:$H,7,FALSE()),0),IF($E812="Services",IFERROR(VLOOKUP($C812,Services!$B:$H,7,FALSE()),0),IF($E812="Patty Cash",IFERROR(VLOOKUP($C812,'Patty Cash'!$B:$H,7,FALSE()),0),0)))))</f>
        <v/>
      </c>
      <c r="I812" s="213"/>
      <c r="J812" s="214"/>
      <c r="K812" s="215"/>
      <c r="L812" s="197"/>
      <c r="M812" s="215"/>
      <c r="N812" s="216">
        <f>IFERROR(IF($E812="Inventory",VLOOKUP($C812,Inventory!$B:$I,8,FALSE()),IF($E812="Non Inventory",VLOOKUP($C812,'Non Inventory'!$B:$I,8,FALSE()),IF($E812="Services",VLOOKUP($C812,Services!$B:$I,8,FALSE()),IF($E812="Patty Cash",VLOOKUP($C812,'Patty Cash'!$B:$J,8,FALSE()),0)))),0)</f>
        <v>0</v>
      </c>
      <c r="O812" s="217" t="str">
        <f t="shared" si="12"/>
        <v/>
      </c>
    </row>
    <row r="813" spans="1:15" ht="23.1" customHeight="1">
      <c r="A813" s="206" t="str">
        <f>IF(AND($B813="",$C813=""),"",MAX($A$3:A812)+1)</f>
        <v/>
      </c>
      <c r="B813" s="207"/>
      <c r="C813" s="208"/>
      <c r="D813" s="209" t="str">
        <f>IFERROR(IF($E813="Inventory",VLOOKUP($C813,Inventory!$B:$I,2,FALSE()),IF($E813="Non Inventory",VLOOKUP($C813,'Non Inventory'!$B:$I,2,FALSE()),IF($E813="Services",VLOOKUP($C813,Services!$B:$I,2,FALSE()),IF($E813="Patty Cash",VLOOKUP($C813,'Patty Cash'!$B:$J,2,FALSE()),"")))),"")</f>
        <v/>
      </c>
      <c r="E813" s="246"/>
      <c r="F813" s="210" t="str">
        <f>IFERROR(IF($E813="Inventory",VLOOKUP($C813,Inventory!$B:$I,3,FALSE()),IF($E813="Non Inventory",VLOOKUP($C813,'Non Inventory'!$B:$I,3,FALSE()),IF($E813="Services",VLOOKUP($C813,Services!$B:$I,3,FALSE()),IF($E813="Patty Cash",VLOOKUP($C813,'Patty Cash'!$B:$J,3,FALSE()),"")))),"")</f>
        <v/>
      </c>
      <c r="G813" s="211"/>
      <c r="H813" s="212" t="str">
        <f>IF($E813="","",IF($E813="Inventory",IFERROR(VLOOKUP($C813,Inventory!$B:$H,7,FALSE()),0),IF($E813="Non Inventory",IFERROR(VLOOKUP($C813,'Non Inventory'!$B:$H,7,FALSE()),0),IF($E813="Services",IFERROR(VLOOKUP($C813,Services!$B:$H,7,FALSE()),0),IF($E813="Patty Cash",IFERROR(VLOOKUP($C813,'Patty Cash'!$B:$H,7,FALSE()),0),0)))))</f>
        <v/>
      </c>
      <c r="I813" s="213"/>
      <c r="J813" s="214"/>
      <c r="K813" s="215"/>
      <c r="L813" s="197"/>
      <c r="M813" s="215"/>
      <c r="N813" s="216">
        <f>IFERROR(IF($E813="Inventory",VLOOKUP($C813,Inventory!$B:$I,8,FALSE()),IF($E813="Non Inventory",VLOOKUP($C813,'Non Inventory'!$B:$I,8,FALSE()),IF($E813="Services",VLOOKUP($C813,Services!$B:$I,8,FALSE()),IF($E813="Patty Cash",VLOOKUP($C813,'Patty Cash'!$B:$J,8,FALSE()),0)))),0)</f>
        <v>0</v>
      </c>
      <c r="O813" s="217" t="str">
        <f t="shared" si="12"/>
        <v/>
      </c>
    </row>
    <row r="814" spans="1:15" ht="23.1" customHeight="1">
      <c r="A814" s="206" t="str">
        <f>IF(AND($B814="",$C814=""),"",MAX($A$3:A813)+1)</f>
        <v/>
      </c>
      <c r="B814" s="207"/>
      <c r="C814" s="208"/>
      <c r="D814" s="209" t="str">
        <f>IFERROR(IF($E814="Inventory",VLOOKUP($C814,Inventory!$B:$I,2,FALSE()),IF($E814="Non Inventory",VLOOKUP($C814,'Non Inventory'!$B:$I,2,FALSE()),IF($E814="Services",VLOOKUP($C814,Services!$B:$I,2,FALSE()),IF($E814="Patty Cash",VLOOKUP($C814,'Patty Cash'!$B:$J,2,FALSE()),"")))),"")</f>
        <v/>
      </c>
      <c r="E814" s="246"/>
      <c r="F814" s="210" t="str">
        <f>IFERROR(IF($E814="Inventory",VLOOKUP($C814,Inventory!$B:$I,3,FALSE()),IF($E814="Non Inventory",VLOOKUP($C814,'Non Inventory'!$B:$I,3,FALSE()),IF($E814="Services",VLOOKUP($C814,Services!$B:$I,3,FALSE()),IF($E814="Patty Cash",VLOOKUP($C814,'Patty Cash'!$B:$J,3,FALSE()),"")))),"")</f>
        <v/>
      </c>
      <c r="G814" s="211"/>
      <c r="H814" s="212" t="str">
        <f>IF($E814="","",IF($E814="Inventory",IFERROR(VLOOKUP($C814,Inventory!$B:$H,7,FALSE()),0),IF($E814="Non Inventory",IFERROR(VLOOKUP($C814,'Non Inventory'!$B:$H,7,FALSE()),0),IF($E814="Services",IFERROR(VLOOKUP($C814,Services!$B:$H,7,FALSE()),0),IF($E814="Patty Cash",IFERROR(VLOOKUP($C814,'Patty Cash'!$B:$H,7,FALSE()),0),0)))))</f>
        <v/>
      </c>
      <c r="I814" s="213"/>
      <c r="J814" s="214"/>
      <c r="K814" s="215"/>
      <c r="L814" s="197"/>
      <c r="M814" s="215"/>
      <c r="N814" s="216">
        <f>IFERROR(IF($E814="Inventory",VLOOKUP($C814,Inventory!$B:$I,8,FALSE()),IF($E814="Non Inventory",VLOOKUP($C814,'Non Inventory'!$B:$I,8,FALSE()),IF($E814="Services",VLOOKUP($C814,Services!$B:$I,8,FALSE()),IF($E814="Patty Cash",VLOOKUP($C814,'Patty Cash'!$B:$J,8,FALSE()),0)))),0)</f>
        <v>0</v>
      </c>
      <c r="O814" s="217" t="str">
        <f t="shared" si="12"/>
        <v/>
      </c>
    </row>
    <row r="815" spans="1:15" ht="23.1" customHeight="1">
      <c r="A815" s="206" t="str">
        <f>IF(AND($B815="",$C815=""),"",MAX($A$3:A814)+1)</f>
        <v/>
      </c>
      <c r="B815" s="207"/>
      <c r="C815" s="208"/>
      <c r="D815" s="209" t="str">
        <f>IFERROR(IF($E815="Inventory",VLOOKUP($C815,Inventory!$B:$I,2,FALSE()),IF($E815="Non Inventory",VLOOKUP($C815,'Non Inventory'!$B:$I,2,FALSE()),IF($E815="Services",VLOOKUP($C815,Services!$B:$I,2,FALSE()),IF($E815="Patty Cash",VLOOKUP($C815,'Patty Cash'!$B:$J,2,FALSE()),"")))),"")</f>
        <v/>
      </c>
      <c r="E815" s="246"/>
      <c r="F815" s="210" t="str">
        <f>IFERROR(IF($E815="Inventory",VLOOKUP($C815,Inventory!$B:$I,3,FALSE()),IF($E815="Non Inventory",VLOOKUP($C815,'Non Inventory'!$B:$I,3,FALSE()),IF($E815="Services",VLOOKUP($C815,Services!$B:$I,3,FALSE()),IF($E815="Patty Cash",VLOOKUP($C815,'Patty Cash'!$B:$J,3,FALSE()),"")))),"")</f>
        <v/>
      </c>
      <c r="G815" s="211"/>
      <c r="H815" s="212" t="str">
        <f>IF($E815="","",IF($E815="Inventory",IFERROR(VLOOKUP($C815,Inventory!$B:$H,7,FALSE()),0),IF($E815="Non Inventory",IFERROR(VLOOKUP($C815,'Non Inventory'!$B:$H,7,FALSE()),0),IF($E815="Services",IFERROR(VLOOKUP($C815,Services!$B:$H,7,FALSE()),0),IF($E815="Patty Cash",IFERROR(VLOOKUP($C815,'Patty Cash'!$B:$H,7,FALSE()),0),0)))))</f>
        <v/>
      </c>
      <c r="I815" s="213"/>
      <c r="J815" s="214"/>
      <c r="K815" s="215"/>
      <c r="L815" s="197"/>
      <c r="M815" s="215"/>
      <c r="N815" s="216">
        <f>IFERROR(IF($E815="Inventory",VLOOKUP($C815,Inventory!$B:$I,8,FALSE()),IF($E815="Non Inventory",VLOOKUP($C815,'Non Inventory'!$B:$I,8,FALSE()),IF($E815="Services",VLOOKUP($C815,Services!$B:$I,8,FALSE()),IF($E815="Patty Cash",VLOOKUP($C815,'Patty Cash'!$B:$J,8,FALSE()),0)))),0)</f>
        <v>0</v>
      </c>
      <c r="O815" s="217" t="str">
        <f t="shared" si="12"/>
        <v/>
      </c>
    </row>
    <row r="816" spans="1:15" ht="23.1" customHeight="1">
      <c r="A816" s="206" t="str">
        <f>IF(AND($B816="",$C816=""),"",MAX($A$3:A815)+1)</f>
        <v/>
      </c>
      <c r="B816" s="207"/>
      <c r="C816" s="208"/>
      <c r="D816" s="209" t="str">
        <f>IFERROR(IF($E816="Inventory",VLOOKUP($C816,Inventory!$B:$I,2,FALSE()),IF($E816="Non Inventory",VLOOKUP($C816,'Non Inventory'!$B:$I,2,FALSE()),IF($E816="Services",VLOOKUP($C816,Services!$B:$I,2,FALSE()),IF($E816="Patty Cash",VLOOKUP($C816,'Patty Cash'!$B:$J,2,FALSE()),"")))),"")</f>
        <v/>
      </c>
      <c r="E816" s="246"/>
      <c r="F816" s="210" t="str">
        <f>IFERROR(IF($E816="Inventory",VLOOKUP($C816,Inventory!$B:$I,3,FALSE()),IF($E816="Non Inventory",VLOOKUP($C816,'Non Inventory'!$B:$I,3,FALSE()),IF($E816="Services",VLOOKUP($C816,Services!$B:$I,3,FALSE()),IF($E816="Patty Cash",VLOOKUP($C816,'Patty Cash'!$B:$J,3,FALSE()),"")))),"")</f>
        <v/>
      </c>
      <c r="G816" s="211"/>
      <c r="H816" s="212" t="str">
        <f>IF($E816="","",IF($E816="Inventory",IFERROR(VLOOKUP($C816,Inventory!$B:$H,7,FALSE()),0),IF($E816="Non Inventory",IFERROR(VLOOKUP($C816,'Non Inventory'!$B:$H,7,FALSE()),0),IF($E816="Services",IFERROR(VLOOKUP($C816,Services!$B:$H,7,FALSE()),0),IF($E816="Patty Cash",IFERROR(VLOOKUP($C816,'Patty Cash'!$B:$H,7,FALSE()),0),0)))))</f>
        <v/>
      </c>
      <c r="I816" s="213"/>
      <c r="J816" s="214"/>
      <c r="K816" s="215"/>
      <c r="L816" s="197"/>
      <c r="M816" s="215"/>
      <c r="N816" s="216">
        <f>IFERROR(IF($E816="Inventory",VLOOKUP($C816,Inventory!$B:$I,8,FALSE()),IF($E816="Non Inventory",VLOOKUP($C816,'Non Inventory'!$B:$I,8,FALSE()),IF($E816="Services",VLOOKUP($C816,Services!$B:$I,8,FALSE()),IF($E816="Patty Cash",VLOOKUP($C816,'Patty Cash'!$B:$J,8,FALSE()),0)))),0)</f>
        <v>0</v>
      </c>
      <c r="O816" s="217" t="str">
        <f t="shared" si="12"/>
        <v/>
      </c>
    </row>
    <row r="817" spans="1:15" ht="23.1" customHeight="1">
      <c r="A817" s="206" t="str">
        <f>IF(AND($B817="",$C817=""),"",MAX($A$3:A816)+1)</f>
        <v/>
      </c>
      <c r="B817" s="207"/>
      <c r="C817" s="208"/>
      <c r="D817" s="209" t="str">
        <f>IFERROR(IF($E817="Inventory",VLOOKUP($C817,Inventory!$B:$I,2,FALSE()),IF($E817="Non Inventory",VLOOKUP($C817,'Non Inventory'!$B:$I,2,FALSE()),IF($E817="Services",VLOOKUP($C817,Services!$B:$I,2,FALSE()),IF($E817="Patty Cash",VLOOKUP($C817,'Patty Cash'!$B:$J,2,FALSE()),"")))),"")</f>
        <v/>
      </c>
      <c r="E817" s="246"/>
      <c r="F817" s="210" t="str">
        <f>IFERROR(IF($E817="Inventory",VLOOKUP($C817,Inventory!$B:$I,3,FALSE()),IF($E817="Non Inventory",VLOOKUP($C817,'Non Inventory'!$B:$I,3,FALSE()),IF($E817="Services",VLOOKUP($C817,Services!$B:$I,3,FALSE()),IF($E817="Patty Cash",VLOOKUP($C817,'Patty Cash'!$B:$J,3,FALSE()),"")))),"")</f>
        <v/>
      </c>
      <c r="G817" s="211"/>
      <c r="H817" s="212" t="str">
        <f>IF($E817="","",IF($E817="Inventory",IFERROR(VLOOKUP($C817,Inventory!$B:$H,7,FALSE()),0),IF($E817="Non Inventory",IFERROR(VLOOKUP($C817,'Non Inventory'!$B:$H,7,FALSE()),0),IF($E817="Services",IFERROR(VLOOKUP($C817,Services!$B:$H,7,FALSE()),0),IF($E817="Patty Cash",IFERROR(VLOOKUP($C817,'Patty Cash'!$B:$H,7,FALSE()),0),0)))))</f>
        <v/>
      </c>
      <c r="I817" s="213"/>
      <c r="J817" s="214"/>
      <c r="K817" s="215"/>
      <c r="L817" s="197"/>
      <c r="M817" s="215"/>
      <c r="N817" s="216">
        <f>IFERROR(IF($E817="Inventory",VLOOKUP($C817,Inventory!$B:$I,8,FALSE()),IF($E817="Non Inventory",VLOOKUP($C817,'Non Inventory'!$B:$I,8,FALSE()),IF($E817="Services",VLOOKUP($C817,Services!$B:$I,8,FALSE()),IF($E817="Patty Cash",VLOOKUP($C817,'Patty Cash'!$B:$J,8,FALSE()),0)))),0)</f>
        <v>0</v>
      </c>
      <c r="O817" s="217" t="str">
        <f t="shared" si="12"/>
        <v/>
      </c>
    </row>
    <row r="818" spans="1:15" ht="23.1" customHeight="1">
      <c r="A818" s="206" t="str">
        <f>IF(AND($B818="",$C818=""),"",MAX($A$3:A817)+1)</f>
        <v/>
      </c>
      <c r="B818" s="207"/>
      <c r="C818" s="208"/>
      <c r="D818" s="209" t="str">
        <f>IFERROR(IF($E818="Inventory",VLOOKUP($C818,Inventory!$B:$I,2,FALSE()),IF($E818="Non Inventory",VLOOKUP($C818,'Non Inventory'!$B:$I,2,FALSE()),IF($E818="Services",VLOOKUP($C818,Services!$B:$I,2,FALSE()),IF($E818="Patty Cash",VLOOKUP($C818,'Patty Cash'!$B:$J,2,FALSE()),"")))),"")</f>
        <v/>
      </c>
      <c r="E818" s="246"/>
      <c r="F818" s="210" t="str">
        <f>IFERROR(IF($E818="Inventory",VLOOKUP($C818,Inventory!$B:$I,3,FALSE()),IF($E818="Non Inventory",VLOOKUP($C818,'Non Inventory'!$B:$I,3,FALSE()),IF($E818="Services",VLOOKUP($C818,Services!$B:$I,3,FALSE()),IF($E818="Patty Cash",VLOOKUP($C818,'Patty Cash'!$B:$J,3,FALSE()),"")))),"")</f>
        <v/>
      </c>
      <c r="G818" s="211"/>
      <c r="H818" s="212" t="str">
        <f>IF($E818="","",IF($E818="Inventory",IFERROR(VLOOKUP($C818,Inventory!$B:$H,7,FALSE()),0),IF($E818="Non Inventory",IFERROR(VLOOKUP($C818,'Non Inventory'!$B:$H,7,FALSE()),0),IF($E818="Services",IFERROR(VLOOKUP($C818,Services!$B:$H,7,FALSE()),0),IF($E818="Patty Cash",IFERROR(VLOOKUP($C818,'Patty Cash'!$B:$H,7,FALSE()),0),0)))))</f>
        <v/>
      </c>
      <c r="I818" s="213"/>
      <c r="J818" s="214"/>
      <c r="K818" s="215"/>
      <c r="L818" s="197"/>
      <c r="M818" s="215"/>
      <c r="N818" s="216">
        <f>IFERROR(IF($E818="Inventory",VLOOKUP($C818,Inventory!$B:$I,8,FALSE()),IF($E818="Non Inventory",VLOOKUP($C818,'Non Inventory'!$B:$I,8,FALSE()),IF($E818="Services",VLOOKUP($C818,Services!$B:$I,8,FALSE()),IF($E818="Patty Cash",VLOOKUP($C818,'Patty Cash'!$B:$J,8,FALSE()),0)))),0)</f>
        <v>0</v>
      </c>
      <c r="O818" s="217" t="str">
        <f t="shared" si="12"/>
        <v/>
      </c>
    </row>
    <row r="819" spans="1:15" ht="23.1" customHeight="1">
      <c r="A819" s="206" t="str">
        <f>IF(AND($B819="",$C819=""),"",MAX($A$3:A818)+1)</f>
        <v/>
      </c>
      <c r="B819" s="207"/>
      <c r="C819" s="208"/>
      <c r="D819" s="209" t="str">
        <f>IFERROR(IF($E819="Inventory",VLOOKUP($C819,Inventory!$B:$I,2,FALSE()),IF($E819="Non Inventory",VLOOKUP($C819,'Non Inventory'!$B:$I,2,FALSE()),IF($E819="Services",VLOOKUP($C819,Services!$B:$I,2,FALSE()),IF($E819="Patty Cash",VLOOKUP($C819,'Patty Cash'!$B:$J,2,FALSE()),"")))),"")</f>
        <v/>
      </c>
      <c r="E819" s="246"/>
      <c r="F819" s="210" t="str">
        <f>IFERROR(IF($E819="Inventory",VLOOKUP($C819,Inventory!$B:$I,3,FALSE()),IF($E819="Non Inventory",VLOOKUP($C819,'Non Inventory'!$B:$I,3,FALSE()),IF($E819="Services",VLOOKUP($C819,Services!$B:$I,3,FALSE()),IF($E819="Patty Cash",VLOOKUP($C819,'Patty Cash'!$B:$J,3,FALSE()),"")))),"")</f>
        <v/>
      </c>
      <c r="G819" s="211"/>
      <c r="H819" s="212" t="str">
        <f>IF($E819="","",IF($E819="Inventory",IFERROR(VLOOKUP($C819,Inventory!$B:$H,7,FALSE()),0),IF($E819="Non Inventory",IFERROR(VLOOKUP($C819,'Non Inventory'!$B:$H,7,FALSE()),0),IF($E819="Services",IFERROR(VLOOKUP($C819,Services!$B:$H,7,FALSE()),0),IF($E819="Patty Cash",IFERROR(VLOOKUP($C819,'Patty Cash'!$B:$H,7,FALSE()),0),0)))))</f>
        <v/>
      </c>
      <c r="I819" s="213"/>
      <c r="J819" s="214"/>
      <c r="K819" s="215"/>
      <c r="L819" s="197"/>
      <c r="M819" s="215"/>
      <c r="N819" s="216">
        <f>IFERROR(IF($E819="Inventory",VLOOKUP($C819,Inventory!$B:$I,8,FALSE()),IF($E819="Non Inventory",VLOOKUP($C819,'Non Inventory'!$B:$I,8,FALSE()),IF($E819="Services",VLOOKUP($C819,Services!$B:$I,8,FALSE()),IF($E819="Patty Cash",VLOOKUP($C819,'Patty Cash'!$B:$J,8,FALSE()),0)))),0)</f>
        <v>0</v>
      </c>
      <c r="O819" s="217" t="str">
        <f t="shared" si="12"/>
        <v/>
      </c>
    </row>
    <row r="820" spans="1:15" ht="23.1" customHeight="1">
      <c r="A820" s="206" t="str">
        <f>IF(AND($B820="",$C820=""),"",MAX($A$3:A819)+1)</f>
        <v/>
      </c>
      <c r="B820" s="207"/>
      <c r="C820" s="208"/>
      <c r="D820" s="209" t="str">
        <f>IFERROR(IF($E820="Inventory",VLOOKUP($C820,Inventory!$B:$I,2,FALSE()),IF($E820="Non Inventory",VLOOKUP($C820,'Non Inventory'!$B:$I,2,FALSE()),IF($E820="Services",VLOOKUP($C820,Services!$B:$I,2,FALSE()),IF($E820="Patty Cash",VLOOKUP($C820,'Patty Cash'!$B:$J,2,FALSE()),"")))),"")</f>
        <v/>
      </c>
      <c r="E820" s="246"/>
      <c r="F820" s="210" t="str">
        <f>IFERROR(IF($E820="Inventory",VLOOKUP($C820,Inventory!$B:$I,3,FALSE()),IF($E820="Non Inventory",VLOOKUP($C820,'Non Inventory'!$B:$I,3,FALSE()),IF($E820="Services",VLOOKUP($C820,Services!$B:$I,3,FALSE()),IF($E820="Patty Cash",VLOOKUP($C820,'Patty Cash'!$B:$J,3,FALSE()),"")))),"")</f>
        <v/>
      </c>
      <c r="G820" s="211"/>
      <c r="H820" s="212" t="str">
        <f>IF($E820="","",IF($E820="Inventory",IFERROR(VLOOKUP($C820,Inventory!$B:$H,7,FALSE()),0),IF($E820="Non Inventory",IFERROR(VLOOKUP($C820,'Non Inventory'!$B:$H,7,FALSE()),0),IF($E820="Services",IFERROR(VLOOKUP($C820,Services!$B:$H,7,FALSE()),0),IF($E820="Patty Cash",IFERROR(VLOOKUP($C820,'Patty Cash'!$B:$H,7,FALSE()),0),0)))))</f>
        <v/>
      </c>
      <c r="I820" s="213"/>
      <c r="J820" s="214"/>
      <c r="K820" s="215"/>
      <c r="L820" s="197"/>
      <c r="M820" s="215"/>
      <c r="N820" s="216">
        <f>IFERROR(IF($E820="Inventory",VLOOKUP($C820,Inventory!$B:$I,8,FALSE()),IF($E820="Non Inventory",VLOOKUP($C820,'Non Inventory'!$B:$I,8,FALSE()),IF($E820="Services",VLOOKUP($C820,Services!$B:$I,8,FALSE()),IF($E820="Patty Cash",VLOOKUP($C820,'Patty Cash'!$B:$J,8,FALSE()),0)))),0)</f>
        <v>0</v>
      </c>
      <c r="O820" s="217" t="str">
        <f t="shared" si="12"/>
        <v/>
      </c>
    </row>
    <row r="821" spans="1:15" ht="23.1" customHeight="1">
      <c r="A821" s="206" t="str">
        <f>IF(AND($B821="",$C821=""),"",MAX($A$3:A820)+1)</f>
        <v/>
      </c>
      <c r="B821" s="207"/>
      <c r="C821" s="208"/>
      <c r="D821" s="209" t="str">
        <f>IFERROR(IF($E821="Inventory",VLOOKUP($C821,Inventory!$B:$I,2,FALSE()),IF($E821="Non Inventory",VLOOKUP($C821,'Non Inventory'!$B:$I,2,FALSE()),IF($E821="Services",VLOOKUP($C821,Services!$B:$I,2,FALSE()),IF($E821="Patty Cash",VLOOKUP($C821,'Patty Cash'!$B:$J,2,FALSE()),"")))),"")</f>
        <v/>
      </c>
      <c r="E821" s="246"/>
      <c r="F821" s="210" t="str">
        <f>IFERROR(IF($E821="Inventory",VLOOKUP($C821,Inventory!$B:$I,3,FALSE()),IF($E821="Non Inventory",VLOOKUP($C821,'Non Inventory'!$B:$I,3,FALSE()),IF($E821="Services",VLOOKUP($C821,Services!$B:$I,3,FALSE()),IF($E821="Patty Cash",VLOOKUP($C821,'Patty Cash'!$B:$J,3,FALSE()),"")))),"")</f>
        <v/>
      </c>
      <c r="G821" s="211"/>
      <c r="H821" s="212" t="str">
        <f>IF($E821="","",IF($E821="Inventory",IFERROR(VLOOKUP($C821,Inventory!$B:$H,7,FALSE()),0),IF($E821="Non Inventory",IFERROR(VLOOKUP($C821,'Non Inventory'!$B:$H,7,FALSE()),0),IF($E821="Services",IFERROR(VLOOKUP($C821,Services!$B:$H,7,FALSE()),0),IF($E821="Patty Cash",IFERROR(VLOOKUP($C821,'Patty Cash'!$B:$H,7,FALSE()),0),0)))))</f>
        <v/>
      </c>
      <c r="I821" s="213"/>
      <c r="J821" s="214"/>
      <c r="K821" s="215"/>
      <c r="L821" s="197"/>
      <c r="M821" s="215"/>
      <c r="N821" s="216">
        <f>IFERROR(IF($E821="Inventory",VLOOKUP($C821,Inventory!$B:$I,8,FALSE()),IF($E821="Non Inventory",VLOOKUP($C821,'Non Inventory'!$B:$I,8,FALSE()),IF($E821="Services",VLOOKUP($C821,Services!$B:$I,8,FALSE()),IF($E821="Patty Cash",VLOOKUP($C821,'Patty Cash'!$B:$J,8,FALSE()),0)))),0)</f>
        <v>0</v>
      </c>
      <c r="O821" s="217" t="str">
        <f t="shared" si="12"/>
        <v/>
      </c>
    </row>
    <row r="822" spans="1:15" ht="23.1" customHeight="1">
      <c r="A822" s="206" t="str">
        <f>IF(AND($B822="",$C822=""),"",MAX($A$3:A821)+1)</f>
        <v/>
      </c>
      <c r="B822" s="207"/>
      <c r="C822" s="208"/>
      <c r="D822" s="209" t="str">
        <f>IFERROR(IF($E822="Inventory",VLOOKUP($C822,Inventory!$B:$I,2,FALSE()),IF($E822="Non Inventory",VLOOKUP($C822,'Non Inventory'!$B:$I,2,FALSE()),IF($E822="Services",VLOOKUP($C822,Services!$B:$I,2,FALSE()),IF($E822="Patty Cash",VLOOKUP($C822,'Patty Cash'!$B:$J,2,FALSE()),"")))),"")</f>
        <v/>
      </c>
      <c r="E822" s="246"/>
      <c r="F822" s="210" t="str">
        <f>IFERROR(IF($E822="Inventory",VLOOKUP($C822,Inventory!$B:$I,3,FALSE()),IF($E822="Non Inventory",VLOOKUP($C822,'Non Inventory'!$B:$I,3,FALSE()),IF($E822="Services",VLOOKUP($C822,Services!$B:$I,3,FALSE()),IF($E822="Patty Cash",VLOOKUP($C822,'Patty Cash'!$B:$J,3,FALSE()),"")))),"")</f>
        <v/>
      </c>
      <c r="G822" s="211"/>
      <c r="H822" s="212" t="str">
        <f>IF($E822="","",IF($E822="Inventory",IFERROR(VLOOKUP($C822,Inventory!$B:$H,7,FALSE()),0),IF($E822="Non Inventory",IFERROR(VLOOKUP($C822,'Non Inventory'!$B:$H,7,FALSE()),0),IF($E822="Services",IFERROR(VLOOKUP($C822,Services!$B:$H,7,FALSE()),0),IF($E822="Patty Cash",IFERROR(VLOOKUP($C822,'Patty Cash'!$B:$H,7,FALSE()),0),0)))))</f>
        <v/>
      </c>
      <c r="I822" s="213"/>
      <c r="J822" s="214"/>
      <c r="K822" s="215"/>
      <c r="L822" s="197"/>
      <c r="M822" s="215"/>
      <c r="N822" s="216">
        <f>IFERROR(IF($E822="Inventory",VLOOKUP($C822,Inventory!$B:$I,8,FALSE()),IF($E822="Non Inventory",VLOOKUP($C822,'Non Inventory'!$B:$I,8,FALSE()),IF($E822="Services",VLOOKUP($C822,Services!$B:$I,8,FALSE()),IF($E822="Patty Cash",VLOOKUP($C822,'Patty Cash'!$B:$J,8,FALSE()),0)))),0)</f>
        <v>0</v>
      </c>
      <c r="O822" s="217" t="str">
        <f t="shared" si="12"/>
        <v/>
      </c>
    </row>
    <row r="823" spans="1:15" ht="23.1" customHeight="1">
      <c r="A823" s="206" t="str">
        <f>IF(AND($B823="",$C823=""),"",MAX($A$3:A822)+1)</f>
        <v/>
      </c>
      <c r="B823" s="207"/>
      <c r="C823" s="208"/>
      <c r="D823" s="209" t="str">
        <f>IFERROR(IF($E823="Inventory",VLOOKUP($C823,Inventory!$B:$I,2,FALSE()),IF($E823="Non Inventory",VLOOKUP($C823,'Non Inventory'!$B:$I,2,FALSE()),IF($E823="Services",VLOOKUP($C823,Services!$B:$I,2,FALSE()),IF($E823="Patty Cash",VLOOKUP($C823,'Patty Cash'!$B:$J,2,FALSE()),"")))),"")</f>
        <v/>
      </c>
      <c r="E823" s="246"/>
      <c r="F823" s="210" t="str">
        <f>IFERROR(IF($E823="Inventory",VLOOKUP($C823,Inventory!$B:$I,3,FALSE()),IF($E823="Non Inventory",VLOOKUP($C823,'Non Inventory'!$B:$I,3,FALSE()),IF($E823="Services",VLOOKUP($C823,Services!$B:$I,3,FALSE()),IF($E823="Patty Cash",VLOOKUP($C823,'Patty Cash'!$B:$J,3,FALSE()),"")))),"")</f>
        <v/>
      </c>
      <c r="G823" s="211"/>
      <c r="H823" s="212" t="str">
        <f>IF($E823="","",IF($E823="Inventory",IFERROR(VLOOKUP($C823,Inventory!$B:$H,7,FALSE()),0),IF($E823="Non Inventory",IFERROR(VLOOKUP($C823,'Non Inventory'!$B:$H,7,FALSE()),0),IF($E823="Services",IFERROR(VLOOKUP($C823,Services!$B:$H,7,FALSE()),0),IF($E823="Patty Cash",IFERROR(VLOOKUP($C823,'Patty Cash'!$B:$H,7,FALSE()),0),0)))))</f>
        <v/>
      </c>
      <c r="I823" s="213"/>
      <c r="J823" s="214"/>
      <c r="K823" s="215"/>
      <c r="L823" s="197"/>
      <c r="M823" s="215"/>
      <c r="N823" s="216">
        <f>IFERROR(IF($E823="Inventory",VLOOKUP($C823,Inventory!$B:$I,8,FALSE()),IF($E823="Non Inventory",VLOOKUP($C823,'Non Inventory'!$B:$I,8,FALSE()),IF($E823="Services",VLOOKUP($C823,Services!$B:$I,8,FALSE()),IF($E823="Patty Cash",VLOOKUP($C823,'Patty Cash'!$B:$J,8,FALSE()),0)))),0)</f>
        <v>0</v>
      </c>
      <c r="O823" s="217" t="str">
        <f t="shared" si="12"/>
        <v/>
      </c>
    </row>
    <row r="824" spans="1:15" ht="23.1" customHeight="1">
      <c r="A824" s="206" t="str">
        <f>IF(AND($B824="",$C824=""),"",MAX($A$3:A823)+1)</f>
        <v/>
      </c>
      <c r="B824" s="207"/>
      <c r="C824" s="208"/>
      <c r="D824" s="209" t="str">
        <f>IFERROR(IF($E824="Inventory",VLOOKUP($C824,Inventory!$B:$I,2,FALSE()),IF($E824="Non Inventory",VLOOKUP($C824,'Non Inventory'!$B:$I,2,FALSE()),IF($E824="Services",VLOOKUP($C824,Services!$B:$I,2,FALSE()),IF($E824="Patty Cash",VLOOKUP($C824,'Patty Cash'!$B:$J,2,FALSE()),"")))),"")</f>
        <v/>
      </c>
      <c r="E824" s="246"/>
      <c r="F824" s="210" t="str">
        <f>IFERROR(IF($E824="Inventory",VLOOKUP($C824,Inventory!$B:$I,3,FALSE()),IF($E824="Non Inventory",VLOOKUP($C824,'Non Inventory'!$B:$I,3,FALSE()),IF($E824="Services",VLOOKUP($C824,Services!$B:$I,3,FALSE()),IF($E824="Patty Cash",VLOOKUP($C824,'Patty Cash'!$B:$J,3,FALSE()),"")))),"")</f>
        <v/>
      </c>
      <c r="G824" s="211"/>
      <c r="H824" s="212" t="str">
        <f>IF($E824="","",IF($E824="Inventory",IFERROR(VLOOKUP($C824,Inventory!$B:$H,7,FALSE()),0),IF($E824="Non Inventory",IFERROR(VLOOKUP($C824,'Non Inventory'!$B:$H,7,FALSE()),0),IF($E824="Services",IFERROR(VLOOKUP($C824,Services!$B:$H,7,FALSE()),0),IF($E824="Patty Cash",IFERROR(VLOOKUP($C824,'Patty Cash'!$B:$H,7,FALSE()),0),0)))))</f>
        <v/>
      </c>
      <c r="I824" s="213"/>
      <c r="J824" s="214"/>
      <c r="K824" s="215"/>
      <c r="L824" s="197"/>
      <c r="M824" s="215"/>
      <c r="N824" s="216">
        <f>IFERROR(IF($E824="Inventory",VLOOKUP($C824,Inventory!$B:$I,8,FALSE()),IF($E824="Non Inventory",VLOOKUP($C824,'Non Inventory'!$B:$I,8,FALSE()),IF($E824="Services",VLOOKUP($C824,Services!$B:$I,8,FALSE()),IF($E824="Patty Cash",VLOOKUP($C824,'Patty Cash'!$B:$J,8,FALSE()),0)))),0)</f>
        <v>0</v>
      </c>
      <c r="O824" s="217" t="str">
        <f t="shared" si="12"/>
        <v/>
      </c>
    </row>
    <row r="825" spans="1:15" ht="23.1" customHeight="1">
      <c r="A825" s="206" t="str">
        <f>IF(AND($B825="",$C825=""),"",MAX($A$3:A824)+1)</f>
        <v/>
      </c>
      <c r="B825" s="207"/>
      <c r="C825" s="208"/>
      <c r="D825" s="209" t="str">
        <f>IFERROR(IF($E825="Inventory",VLOOKUP($C825,Inventory!$B:$I,2,FALSE()),IF($E825="Non Inventory",VLOOKUP($C825,'Non Inventory'!$B:$I,2,FALSE()),IF($E825="Services",VLOOKUP($C825,Services!$B:$I,2,FALSE()),IF($E825="Patty Cash",VLOOKUP($C825,'Patty Cash'!$B:$J,2,FALSE()),"")))),"")</f>
        <v/>
      </c>
      <c r="E825" s="246"/>
      <c r="F825" s="210" t="str">
        <f>IFERROR(IF($E825="Inventory",VLOOKUP($C825,Inventory!$B:$I,3,FALSE()),IF($E825="Non Inventory",VLOOKUP($C825,'Non Inventory'!$B:$I,3,FALSE()),IF($E825="Services",VLOOKUP($C825,Services!$B:$I,3,FALSE()),IF($E825="Patty Cash",VLOOKUP($C825,'Patty Cash'!$B:$J,3,FALSE()),"")))),"")</f>
        <v/>
      </c>
      <c r="G825" s="211"/>
      <c r="H825" s="212" t="str">
        <f>IF($E825="","",IF($E825="Inventory",IFERROR(VLOOKUP($C825,Inventory!$B:$H,7,FALSE()),0),IF($E825="Non Inventory",IFERROR(VLOOKUP($C825,'Non Inventory'!$B:$H,7,FALSE()),0),IF($E825="Services",IFERROR(VLOOKUP($C825,Services!$B:$H,7,FALSE()),0),IF($E825="Patty Cash",IFERROR(VLOOKUP($C825,'Patty Cash'!$B:$H,7,FALSE()),0),0)))))</f>
        <v/>
      </c>
      <c r="I825" s="213"/>
      <c r="J825" s="214"/>
      <c r="K825" s="215"/>
      <c r="L825" s="197"/>
      <c r="M825" s="215"/>
      <c r="N825" s="216">
        <f>IFERROR(IF($E825="Inventory",VLOOKUP($C825,Inventory!$B:$I,8,FALSE()),IF($E825="Non Inventory",VLOOKUP($C825,'Non Inventory'!$B:$I,8,FALSE()),IF($E825="Services",VLOOKUP($C825,Services!$B:$I,8,FALSE()),IF($E825="Patty Cash",VLOOKUP($C825,'Patty Cash'!$B:$J,8,FALSE()),0)))),0)</f>
        <v>0</v>
      </c>
      <c r="O825" s="217" t="str">
        <f t="shared" si="12"/>
        <v/>
      </c>
    </row>
    <row r="826" spans="1:15" ht="23.1" customHeight="1">
      <c r="A826" s="206" t="str">
        <f>IF(AND($B826="",$C826=""),"",MAX($A$3:A825)+1)</f>
        <v/>
      </c>
      <c r="B826" s="207"/>
      <c r="C826" s="208"/>
      <c r="D826" s="209" t="str">
        <f>IFERROR(IF($E826="Inventory",VLOOKUP($C826,Inventory!$B:$I,2,FALSE()),IF($E826="Non Inventory",VLOOKUP($C826,'Non Inventory'!$B:$I,2,FALSE()),IF($E826="Services",VLOOKUP($C826,Services!$B:$I,2,FALSE()),IF($E826="Patty Cash",VLOOKUP($C826,'Patty Cash'!$B:$J,2,FALSE()),"")))),"")</f>
        <v/>
      </c>
      <c r="E826" s="246"/>
      <c r="F826" s="210" t="str">
        <f>IFERROR(IF($E826="Inventory",VLOOKUP($C826,Inventory!$B:$I,3,FALSE()),IF($E826="Non Inventory",VLOOKUP($C826,'Non Inventory'!$B:$I,3,FALSE()),IF($E826="Services",VLOOKUP($C826,Services!$B:$I,3,FALSE()),IF($E826="Patty Cash",VLOOKUP($C826,'Patty Cash'!$B:$J,3,FALSE()),"")))),"")</f>
        <v/>
      </c>
      <c r="G826" s="211"/>
      <c r="H826" s="212" t="str">
        <f>IF($E826="","",IF($E826="Inventory",IFERROR(VLOOKUP($C826,Inventory!$B:$H,7,FALSE()),0),IF($E826="Non Inventory",IFERROR(VLOOKUP($C826,'Non Inventory'!$B:$H,7,FALSE()),0),IF($E826="Services",IFERROR(VLOOKUP($C826,Services!$B:$H,7,FALSE()),0),IF($E826="Patty Cash",IFERROR(VLOOKUP($C826,'Patty Cash'!$B:$H,7,FALSE()),0),0)))))</f>
        <v/>
      </c>
      <c r="I826" s="213"/>
      <c r="J826" s="214"/>
      <c r="K826" s="215"/>
      <c r="L826" s="197"/>
      <c r="M826" s="215"/>
      <c r="N826" s="216">
        <f>IFERROR(IF($E826="Inventory",VLOOKUP($C826,Inventory!$B:$I,8,FALSE()),IF($E826="Non Inventory",VLOOKUP($C826,'Non Inventory'!$B:$I,8,FALSE()),IF($E826="Services",VLOOKUP($C826,Services!$B:$I,8,FALSE()),IF($E826="Patty Cash",VLOOKUP($C826,'Patty Cash'!$B:$J,8,FALSE()),0)))),0)</f>
        <v>0</v>
      </c>
      <c r="O826" s="217" t="str">
        <f t="shared" si="12"/>
        <v/>
      </c>
    </row>
    <row r="827" spans="1:15" ht="23.1" customHeight="1">
      <c r="A827" s="206" t="str">
        <f>IF(AND($B827="",$C827=""),"",MAX($A$3:A826)+1)</f>
        <v/>
      </c>
      <c r="B827" s="207"/>
      <c r="C827" s="208"/>
      <c r="D827" s="209" t="str">
        <f>IFERROR(IF($E827="Inventory",VLOOKUP($C827,Inventory!$B:$I,2,FALSE()),IF($E827="Non Inventory",VLOOKUP($C827,'Non Inventory'!$B:$I,2,FALSE()),IF($E827="Services",VLOOKUP($C827,Services!$B:$I,2,FALSE()),IF($E827="Patty Cash",VLOOKUP($C827,'Patty Cash'!$B:$J,2,FALSE()),"")))),"")</f>
        <v/>
      </c>
      <c r="E827" s="246"/>
      <c r="F827" s="210" t="str">
        <f>IFERROR(IF($E827="Inventory",VLOOKUP($C827,Inventory!$B:$I,3,FALSE()),IF($E827="Non Inventory",VLOOKUP($C827,'Non Inventory'!$B:$I,3,FALSE()),IF($E827="Services",VLOOKUP($C827,Services!$B:$I,3,FALSE()),IF($E827="Patty Cash",VLOOKUP($C827,'Patty Cash'!$B:$J,3,FALSE()),"")))),"")</f>
        <v/>
      </c>
      <c r="G827" s="211"/>
      <c r="H827" s="212" t="str">
        <f>IF($E827="","",IF($E827="Inventory",IFERROR(VLOOKUP($C827,Inventory!$B:$H,7,FALSE()),0),IF($E827="Non Inventory",IFERROR(VLOOKUP($C827,'Non Inventory'!$B:$H,7,FALSE()),0),IF($E827="Services",IFERROR(VLOOKUP($C827,Services!$B:$H,7,FALSE()),0),IF($E827="Patty Cash",IFERROR(VLOOKUP($C827,'Patty Cash'!$B:$H,7,FALSE()),0),0)))))</f>
        <v/>
      </c>
      <c r="I827" s="213"/>
      <c r="J827" s="214"/>
      <c r="K827" s="215"/>
      <c r="L827" s="197"/>
      <c r="M827" s="215"/>
      <c r="N827" s="216">
        <f>IFERROR(IF($E827="Inventory",VLOOKUP($C827,Inventory!$B:$I,8,FALSE()),IF($E827="Non Inventory",VLOOKUP($C827,'Non Inventory'!$B:$I,8,FALSE()),IF($E827="Services",VLOOKUP($C827,Services!$B:$I,8,FALSE()),IF($E827="Patty Cash",VLOOKUP($C827,'Patty Cash'!$B:$J,8,FALSE()),0)))),0)</f>
        <v>0</v>
      </c>
      <c r="O827" s="217" t="str">
        <f t="shared" si="12"/>
        <v/>
      </c>
    </row>
    <row r="828" spans="1:15" ht="23.1" customHeight="1">
      <c r="A828" s="206" t="str">
        <f>IF(AND($B828="",$C828=""),"",MAX($A$3:A827)+1)</f>
        <v/>
      </c>
      <c r="B828" s="207"/>
      <c r="C828" s="208"/>
      <c r="D828" s="209" t="str">
        <f>IFERROR(IF($E828="Inventory",VLOOKUP($C828,Inventory!$B:$I,2,FALSE()),IF($E828="Non Inventory",VLOOKUP($C828,'Non Inventory'!$B:$I,2,FALSE()),IF($E828="Services",VLOOKUP($C828,Services!$B:$I,2,FALSE()),IF($E828="Patty Cash",VLOOKUP($C828,'Patty Cash'!$B:$J,2,FALSE()),"")))),"")</f>
        <v/>
      </c>
      <c r="E828" s="246"/>
      <c r="F828" s="210" t="str">
        <f>IFERROR(IF($E828="Inventory",VLOOKUP($C828,Inventory!$B:$I,3,FALSE()),IF($E828="Non Inventory",VLOOKUP($C828,'Non Inventory'!$B:$I,3,FALSE()),IF($E828="Services",VLOOKUP($C828,Services!$B:$I,3,FALSE()),IF($E828="Patty Cash",VLOOKUP($C828,'Patty Cash'!$B:$J,3,FALSE()),"")))),"")</f>
        <v/>
      </c>
      <c r="G828" s="211"/>
      <c r="H828" s="212" t="str">
        <f>IF($E828="","",IF($E828="Inventory",IFERROR(VLOOKUP($C828,Inventory!$B:$H,7,FALSE()),0),IF($E828="Non Inventory",IFERROR(VLOOKUP($C828,'Non Inventory'!$B:$H,7,FALSE()),0),IF($E828="Services",IFERROR(VLOOKUP($C828,Services!$B:$H,7,FALSE()),0),IF($E828="Patty Cash",IFERROR(VLOOKUP($C828,'Patty Cash'!$B:$H,7,FALSE()),0),0)))))</f>
        <v/>
      </c>
      <c r="I828" s="213"/>
      <c r="J828" s="214"/>
      <c r="K828" s="215"/>
      <c r="L828" s="197"/>
      <c r="M828" s="215"/>
      <c r="N828" s="216">
        <f>IFERROR(IF($E828="Inventory",VLOOKUP($C828,Inventory!$B:$I,8,FALSE()),IF($E828="Non Inventory",VLOOKUP($C828,'Non Inventory'!$B:$I,8,FALSE()),IF($E828="Services",VLOOKUP($C828,Services!$B:$I,8,FALSE()),IF($E828="Patty Cash",VLOOKUP($C828,'Patty Cash'!$B:$J,8,FALSE()),0)))),0)</f>
        <v>0</v>
      </c>
      <c r="O828" s="217" t="str">
        <f t="shared" si="12"/>
        <v/>
      </c>
    </row>
    <row r="829" spans="1:15" ht="23.1" customHeight="1">
      <c r="A829" s="206" t="str">
        <f>IF(AND($B829="",$C829=""),"",MAX($A$3:A828)+1)</f>
        <v/>
      </c>
      <c r="B829" s="207"/>
      <c r="C829" s="208"/>
      <c r="D829" s="209" t="str">
        <f>IFERROR(IF($E829="Inventory",VLOOKUP($C829,Inventory!$B:$I,2,FALSE()),IF($E829="Non Inventory",VLOOKUP($C829,'Non Inventory'!$B:$I,2,FALSE()),IF($E829="Services",VLOOKUP($C829,Services!$B:$I,2,FALSE()),IF($E829="Patty Cash",VLOOKUP($C829,'Patty Cash'!$B:$J,2,FALSE()),"")))),"")</f>
        <v/>
      </c>
      <c r="E829" s="246"/>
      <c r="F829" s="210" t="str">
        <f>IFERROR(IF($E829="Inventory",VLOOKUP($C829,Inventory!$B:$I,3,FALSE()),IF($E829="Non Inventory",VLOOKUP($C829,'Non Inventory'!$B:$I,3,FALSE()),IF($E829="Services",VLOOKUP($C829,Services!$B:$I,3,FALSE()),IF($E829="Patty Cash",VLOOKUP($C829,'Patty Cash'!$B:$J,3,FALSE()),"")))),"")</f>
        <v/>
      </c>
      <c r="G829" s="211"/>
      <c r="H829" s="212" t="str">
        <f>IF($E829="","",IF($E829="Inventory",IFERROR(VLOOKUP($C829,Inventory!$B:$H,7,FALSE()),0),IF($E829="Non Inventory",IFERROR(VLOOKUP($C829,'Non Inventory'!$B:$H,7,FALSE()),0),IF($E829="Services",IFERROR(VLOOKUP($C829,Services!$B:$H,7,FALSE()),0),IF($E829="Patty Cash",IFERROR(VLOOKUP($C829,'Patty Cash'!$B:$H,7,FALSE()),0),0)))))</f>
        <v/>
      </c>
      <c r="I829" s="213"/>
      <c r="J829" s="214"/>
      <c r="K829" s="215"/>
      <c r="L829" s="197"/>
      <c r="M829" s="215"/>
      <c r="N829" s="216">
        <f>IFERROR(IF($E829="Inventory",VLOOKUP($C829,Inventory!$B:$I,8,FALSE()),IF($E829="Non Inventory",VLOOKUP($C829,'Non Inventory'!$B:$I,8,FALSE()),IF($E829="Services",VLOOKUP($C829,Services!$B:$I,8,FALSE()),IF($E829="Patty Cash",VLOOKUP($C829,'Patty Cash'!$B:$J,8,FALSE()),0)))),0)</f>
        <v>0</v>
      </c>
      <c r="O829" s="217" t="str">
        <f t="shared" si="12"/>
        <v/>
      </c>
    </row>
    <row r="830" spans="1:15" ht="23.1" customHeight="1">
      <c r="A830" s="206" t="str">
        <f>IF(AND($B830="",$C830=""),"",MAX($A$3:A829)+1)</f>
        <v/>
      </c>
      <c r="B830" s="207"/>
      <c r="C830" s="208"/>
      <c r="D830" s="209" t="str">
        <f>IFERROR(IF($E830="Inventory",VLOOKUP($C830,Inventory!$B:$I,2,FALSE()),IF($E830="Non Inventory",VLOOKUP($C830,'Non Inventory'!$B:$I,2,FALSE()),IF($E830="Services",VLOOKUP($C830,Services!$B:$I,2,FALSE()),IF($E830="Patty Cash",VLOOKUP($C830,'Patty Cash'!$B:$J,2,FALSE()),"")))),"")</f>
        <v/>
      </c>
      <c r="E830" s="246"/>
      <c r="F830" s="210" t="str">
        <f>IFERROR(IF($E830="Inventory",VLOOKUP($C830,Inventory!$B:$I,3,FALSE()),IF($E830="Non Inventory",VLOOKUP($C830,'Non Inventory'!$B:$I,3,FALSE()),IF($E830="Services",VLOOKUP($C830,Services!$B:$I,3,FALSE()),IF($E830="Patty Cash",VLOOKUP($C830,'Patty Cash'!$B:$J,3,FALSE()),"")))),"")</f>
        <v/>
      </c>
      <c r="G830" s="211"/>
      <c r="H830" s="212" t="str">
        <f>IF($E830="","",IF($E830="Inventory",IFERROR(VLOOKUP($C830,Inventory!$B:$H,7,FALSE()),0),IF($E830="Non Inventory",IFERROR(VLOOKUP($C830,'Non Inventory'!$B:$H,7,FALSE()),0),IF($E830="Services",IFERROR(VLOOKUP($C830,Services!$B:$H,7,FALSE()),0),IF($E830="Patty Cash",IFERROR(VLOOKUP($C830,'Patty Cash'!$B:$H,7,FALSE()),0),0)))))</f>
        <v/>
      </c>
      <c r="I830" s="213"/>
      <c r="J830" s="214"/>
      <c r="K830" s="215"/>
      <c r="L830" s="197"/>
      <c r="M830" s="215"/>
      <c r="N830" s="216">
        <f>IFERROR(IF($E830="Inventory",VLOOKUP($C830,Inventory!$B:$I,8,FALSE()),IF($E830="Non Inventory",VLOOKUP($C830,'Non Inventory'!$B:$I,8,FALSE()),IF($E830="Services",VLOOKUP($C830,Services!$B:$I,8,FALSE()),IF($E830="Patty Cash",VLOOKUP($C830,'Patty Cash'!$B:$J,8,FALSE()),0)))),0)</f>
        <v>0</v>
      </c>
      <c r="O830" s="217" t="str">
        <f t="shared" si="12"/>
        <v/>
      </c>
    </row>
    <row r="831" spans="1:15" ht="23.1" customHeight="1">
      <c r="A831" s="206" t="str">
        <f>IF(AND($B831="",$C831=""),"",MAX($A$3:A830)+1)</f>
        <v/>
      </c>
      <c r="B831" s="207"/>
      <c r="C831" s="208"/>
      <c r="D831" s="209" t="str">
        <f>IFERROR(IF($E831="Inventory",VLOOKUP($C831,Inventory!$B:$I,2,FALSE()),IF($E831="Non Inventory",VLOOKUP($C831,'Non Inventory'!$B:$I,2,FALSE()),IF($E831="Services",VLOOKUP($C831,Services!$B:$I,2,FALSE()),IF($E831="Patty Cash",VLOOKUP($C831,'Patty Cash'!$B:$J,2,FALSE()),"")))),"")</f>
        <v/>
      </c>
      <c r="E831" s="246"/>
      <c r="F831" s="210" t="str">
        <f>IFERROR(IF($E831="Inventory",VLOOKUP($C831,Inventory!$B:$I,3,FALSE()),IF($E831="Non Inventory",VLOOKUP($C831,'Non Inventory'!$B:$I,3,FALSE()),IF($E831="Services",VLOOKUP($C831,Services!$B:$I,3,FALSE()),IF($E831="Patty Cash",VLOOKUP($C831,'Patty Cash'!$B:$J,3,FALSE()),"")))),"")</f>
        <v/>
      </c>
      <c r="G831" s="211"/>
      <c r="H831" s="212" t="str">
        <f>IF($E831="","",IF($E831="Inventory",IFERROR(VLOOKUP($C831,Inventory!$B:$H,7,FALSE()),0),IF($E831="Non Inventory",IFERROR(VLOOKUP($C831,'Non Inventory'!$B:$H,7,FALSE()),0),IF($E831="Services",IFERROR(VLOOKUP($C831,Services!$B:$H,7,FALSE()),0),IF($E831="Patty Cash",IFERROR(VLOOKUP($C831,'Patty Cash'!$B:$H,7,FALSE()),0),0)))))</f>
        <v/>
      </c>
      <c r="I831" s="213"/>
      <c r="J831" s="214"/>
      <c r="K831" s="215"/>
      <c r="L831" s="197"/>
      <c r="M831" s="215"/>
      <c r="N831" s="216">
        <f>IFERROR(IF($E831="Inventory",VLOOKUP($C831,Inventory!$B:$I,8,FALSE()),IF($E831="Non Inventory",VLOOKUP($C831,'Non Inventory'!$B:$I,8,FALSE()),IF($E831="Services",VLOOKUP($C831,Services!$B:$I,8,FALSE()),IF($E831="Patty Cash",VLOOKUP($C831,'Patty Cash'!$B:$J,8,FALSE()),0)))),0)</f>
        <v>0</v>
      </c>
      <c r="O831" s="217" t="str">
        <f t="shared" si="12"/>
        <v/>
      </c>
    </row>
    <row r="832" spans="1:15" ht="23.1" customHeight="1">
      <c r="A832" s="206" t="str">
        <f>IF(AND($B832="",$C832=""),"",MAX($A$3:A831)+1)</f>
        <v/>
      </c>
      <c r="B832" s="207"/>
      <c r="C832" s="208"/>
      <c r="D832" s="209" t="str">
        <f>IFERROR(IF($E832="Inventory",VLOOKUP($C832,Inventory!$B:$I,2,FALSE()),IF($E832="Non Inventory",VLOOKUP($C832,'Non Inventory'!$B:$I,2,FALSE()),IF($E832="Services",VLOOKUP($C832,Services!$B:$I,2,FALSE()),IF($E832="Patty Cash",VLOOKUP($C832,'Patty Cash'!$B:$J,2,FALSE()),"")))),"")</f>
        <v/>
      </c>
      <c r="E832" s="246"/>
      <c r="F832" s="210" t="str">
        <f>IFERROR(IF($E832="Inventory",VLOOKUP($C832,Inventory!$B:$I,3,FALSE()),IF($E832="Non Inventory",VLOOKUP($C832,'Non Inventory'!$B:$I,3,FALSE()),IF($E832="Services",VLOOKUP($C832,Services!$B:$I,3,FALSE()),IF($E832="Patty Cash",VLOOKUP($C832,'Patty Cash'!$B:$J,3,FALSE()),"")))),"")</f>
        <v/>
      </c>
      <c r="G832" s="211"/>
      <c r="H832" s="212" t="str">
        <f>IF($E832="","",IF($E832="Inventory",IFERROR(VLOOKUP($C832,Inventory!$B:$H,7,FALSE()),0),IF($E832="Non Inventory",IFERROR(VLOOKUP($C832,'Non Inventory'!$B:$H,7,FALSE()),0),IF($E832="Services",IFERROR(VLOOKUP($C832,Services!$B:$H,7,FALSE()),0),IF($E832="Patty Cash",IFERROR(VLOOKUP($C832,'Patty Cash'!$B:$H,7,FALSE()),0),0)))))</f>
        <v/>
      </c>
      <c r="I832" s="213"/>
      <c r="J832" s="214"/>
      <c r="K832" s="215"/>
      <c r="L832" s="197"/>
      <c r="M832" s="215"/>
      <c r="N832" s="216">
        <f>IFERROR(IF($E832="Inventory",VLOOKUP($C832,Inventory!$B:$I,8,FALSE()),IF($E832="Non Inventory",VLOOKUP($C832,'Non Inventory'!$B:$I,8,FALSE()),IF($E832="Services",VLOOKUP($C832,Services!$B:$I,8,FALSE()),IF($E832="Patty Cash",VLOOKUP($C832,'Patty Cash'!$B:$J,8,FALSE()),0)))),0)</f>
        <v>0</v>
      </c>
      <c r="O832" s="217" t="str">
        <f t="shared" si="12"/>
        <v/>
      </c>
    </row>
    <row r="833" spans="1:15" ht="23.1" customHeight="1">
      <c r="A833" s="206" t="str">
        <f>IF(AND($B833="",$C833=""),"",MAX($A$3:A832)+1)</f>
        <v/>
      </c>
      <c r="B833" s="207"/>
      <c r="C833" s="208"/>
      <c r="D833" s="209" t="str">
        <f>IFERROR(IF($E833="Inventory",VLOOKUP($C833,Inventory!$B:$I,2,FALSE()),IF($E833="Non Inventory",VLOOKUP($C833,'Non Inventory'!$B:$I,2,FALSE()),IF($E833="Services",VLOOKUP($C833,Services!$B:$I,2,FALSE()),IF($E833="Patty Cash",VLOOKUP($C833,'Patty Cash'!$B:$J,2,FALSE()),"")))),"")</f>
        <v/>
      </c>
      <c r="E833" s="246"/>
      <c r="F833" s="210" t="str">
        <f>IFERROR(IF($E833="Inventory",VLOOKUP($C833,Inventory!$B:$I,3,FALSE()),IF($E833="Non Inventory",VLOOKUP($C833,'Non Inventory'!$B:$I,3,FALSE()),IF($E833="Services",VLOOKUP($C833,Services!$B:$I,3,FALSE()),IF($E833="Patty Cash",VLOOKUP($C833,'Patty Cash'!$B:$J,3,FALSE()),"")))),"")</f>
        <v/>
      </c>
      <c r="G833" s="211"/>
      <c r="H833" s="212" t="str">
        <f>IF($E833="","",IF($E833="Inventory",IFERROR(VLOOKUP($C833,Inventory!$B:$H,7,FALSE()),0),IF($E833="Non Inventory",IFERROR(VLOOKUP($C833,'Non Inventory'!$B:$H,7,FALSE()),0),IF($E833="Services",IFERROR(VLOOKUP($C833,Services!$B:$H,7,FALSE()),0),IF($E833="Patty Cash",IFERROR(VLOOKUP($C833,'Patty Cash'!$B:$H,7,FALSE()),0),0)))))</f>
        <v/>
      </c>
      <c r="I833" s="213"/>
      <c r="J833" s="214"/>
      <c r="K833" s="215"/>
      <c r="L833" s="197"/>
      <c r="M833" s="215"/>
      <c r="N833" s="216">
        <f>IFERROR(IF($E833="Inventory",VLOOKUP($C833,Inventory!$B:$I,8,FALSE()),IF($E833="Non Inventory",VLOOKUP($C833,'Non Inventory'!$B:$I,8,FALSE()),IF($E833="Services",VLOOKUP($C833,Services!$B:$I,8,FALSE()),IF($E833="Patty Cash",VLOOKUP($C833,'Patty Cash'!$B:$J,8,FALSE()),0)))),0)</f>
        <v>0</v>
      </c>
      <c r="O833" s="217" t="str">
        <f t="shared" si="12"/>
        <v/>
      </c>
    </row>
    <row r="834" spans="1:15" ht="23.1" customHeight="1">
      <c r="A834" s="206" t="str">
        <f>IF(AND($B834="",$C834=""),"",MAX($A$3:A833)+1)</f>
        <v/>
      </c>
      <c r="B834" s="207"/>
      <c r="C834" s="208"/>
      <c r="D834" s="209" t="str">
        <f>IFERROR(IF($E834="Inventory",VLOOKUP($C834,Inventory!$B:$I,2,FALSE()),IF($E834="Non Inventory",VLOOKUP($C834,'Non Inventory'!$B:$I,2,FALSE()),IF($E834="Services",VLOOKUP($C834,Services!$B:$I,2,FALSE()),IF($E834="Patty Cash",VLOOKUP($C834,'Patty Cash'!$B:$J,2,FALSE()),"")))),"")</f>
        <v/>
      </c>
      <c r="E834" s="246"/>
      <c r="F834" s="210" t="str">
        <f>IFERROR(IF($E834="Inventory",VLOOKUP($C834,Inventory!$B:$I,3,FALSE()),IF($E834="Non Inventory",VLOOKUP($C834,'Non Inventory'!$B:$I,3,FALSE()),IF($E834="Services",VLOOKUP($C834,Services!$B:$I,3,FALSE()),IF($E834="Patty Cash",VLOOKUP($C834,'Patty Cash'!$B:$J,3,FALSE()),"")))),"")</f>
        <v/>
      </c>
      <c r="G834" s="211"/>
      <c r="H834" s="212" t="str">
        <f>IF($E834="","",IF($E834="Inventory",IFERROR(VLOOKUP($C834,Inventory!$B:$H,7,FALSE()),0),IF($E834="Non Inventory",IFERROR(VLOOKUP($C834,'Non Inventory'!$B:$H,7,FALSE()),0),IF($E834="Services",IFERROR(VLOOKUP($C834,Services!$B:$H,7,FALSE()),0),IF($E834="Patty Cash",IFERROR(VLOOKUP($C834,'Patty Cash'!$B:$H,7,FALSE()),0),0)))))</f>
        <v/>
      </c>
      <c r="I834" s="213"/>
      <c r="J834" s="214"/>
      <c r="K834" s="215"/>
      <c r="L834" s="197"/>
      <c r="M834" s="215"/>
      <c r="N834" s="216">
        <f>IFERROR(IF($E834="Inventory",VLOOKUP($C834,Inventory!$B:$I,8,FALSE()),IF($E834="Non Inventory",VLOOKUP($C834,'Non Inventory'!$B:$I,8,FALSE()),IF($E834="Services",VLOOKUP($C834,Services!$B:$I,8,FALSE()),IF($E834="Patty Cash",VLOOKUP($C834,'Patty Cash'!$B:$J,8,FALSE()),0)))),0)</f>
        <v>0</v>
      </c>
      <c r="O834" s="217" t="str">
        <f t="shared" si="12"/>
        <v/>
      </c>
    </row>
    <row r="835" spans="1:15" ht="23.1" customHeight="1">
      <c r="A835" s="206" t="str">
        <f>IF(AND($B835="",$C835=""),"",MAX($A$3:A834)+1)</f>
        <v/>
      </c>
      <c r="B835" s="207"/>
      <c r="C835" s="208"/>
      <c r="D835" s="209" t="str">
        <f>IFERROR(IF($E835="Inventory",VLOOKUP($C835,Inventory!$B:$I,2,FALSE()),IF($E835="Non Inventory",VLOOKUP($C835,'Non Inventory'!$B:$I,2,FALSE()),IF($E835="Services",VLOOKUP($C835,Services!$B:$I,2,FALSE()),IF($E835="Patty Cash",VLOOKUP($C835,'Patty Cash'!$B:$J,2,FALSE()),"")))),"")</f>
        <v/>
      </c>
      <c r="E835" s="246"/>
      <c r="F835" s="210" t="str">
        <f>IFERROR(IF($E835="Inventory",VLOOKUP($C835,Inventory!$B:$I,3,FALSE()),IF($E835="Non Inventory",VLOOKUP($C835,'Non Inventory'!$B:$I,3,FALSE()),IF($E835="Services",VLOOKUP($C835,Services!$B:$I,3,FALSE()),IF($E835="Patty Cash",VLOOKUP($C835,'Patty Cash'!$B:$J,3,FALSE()),"")))),"")</f>
        <v/>
      </c>
      <c r="G835" s="211"/>
      <c r="H835" s="212" t="str">
        <f>IF($E835="","",IF($E835="Inventory",IFERROR(VLOOKUP($C835,Inventory!$B:$H,7,FALSE()),0),IF($E835="Non Inventory",IFERROR(VLOOKUP($C835,'Non Inventory'!$B:$H,7,FALSE()),0),IF($E835="Services",IFERROR(VLOOKUP($C835,Services!$B:$H,7,FALSE()),0),IF($E835="Patty Cash",IFERROR(VLOOKUP($C835,'Patty Cash'!$B:$H,7,FALSE()),0),0)))))</f>
        <v/>
      </c>
      <c r="I835" s="213"/>
      <c r="J835" s="214"/>
      <c r="K835" s="215"/>
      <c r="L835" s="197"/>
      <c r="M835" s="215"/>
      <c r="N835" s="216">
        <f>IFERROR(IF($E835="Inventory",VLOOKUP($C835,Inventory!$B:$I,8,FALSE()),IF($E835="Non Inventory",VLOOKUP($C835,'Non Inventory'!$B:$I,8,FALSE()),IF($E835="Services",VLOOKUP($C835,Services!$B:$I,8,FALSE()),IF($E835="Patty Cash",VLOOKUP($C835,'Patty Cash'!$B:$J,8,FALSE()),0)))),0)</f>
        <v>0</v>
      </c>
      <c r="O835" s="217" t="str">
        <f t="shared" ref="O835:O898" si="13">IF($G835="","",G835*N835)</f>
        <v/>
      </c>
    </row>
    <row r="836" spans="1:15" ht="23.1" customHeight="1">
      <c r="A836" s="206" t="str">
        <f>IF(AND($B836="",$C836=""),"",MAX($A$3:A835)+1)</f>
        <v/>
      </c>
      <c r="B836" s="207"/>
      <c r="C836" s="208"/>
      <c r="D836" s="209" t="str">
        <f>IFERROR(IF($E836="Inventory",VLOOKUP($C836,Inventory!$B:$I,2,FALSE()),IF($E836="Non Inventory",VLOOKUP($C836,'Non Inventory'!$B:$I,2,FALSE()),IF($E836="Services",VLOOKUP($C836,Services!$B:$I,2,FALSE()),IF($E836="Patty Cash",VLOOKUP($C836,'Patty Cash'!$B:$J,2,FALSE()),"")))),"")</f>
        <v/>
      </c>
      <c r="E836" s="246"/>
      <c r="F836" s="210" t="str">
        <f>IFERROR(IF($E836="Inventory",VLOOKUP($C836,Inventory!$B:$I,3,FALSE()),IF($E836="Non Inventory",VLOOKUP($C836,'Non Inventory'!$B:$I,3,FALSE()),IF($E836="Services",VLOOKUP($C836,Services!$B:$I,3,FALSE()),IF($E836="Patty Cash",VLOOKUP($C836,'Patty Cash'!$B:$J,3,FALSE()),"")))),"")</f>
        <v/>
      </c>
      <c r="G836" s="211"/>
      <c r="H836" s="212" t="str">
        <f>IF($E836="","",IF($E836="Inventory",IFERROR(VLOOKUP($C836,Inventory!$B:$H,7,FALSE()),0),IF($E836="Non Inventory",IFERROR(VLOOKUP($C836,'Non Inventory'!$B:$H,7,FALSE()),0),IF($E836="Services",IFERROR(VLOOKUP($C836,Services!$B:$H,7,FALSE()),0),IF($E836="Patty Cash",IFERROR(VLOOKUP($C836,'Patty Cash'!$B:$H,7,FALSE()),0),0)))))</f>
        <v/>
      </c>
      <c r="I836" s="213"/>
      <c r="J836" s="214"/>
      <c r="K836" s="215"/>
      <c r="L836" s="197"/>
      <c r="M836" s="215"/>
      <c r="N836" s="216">
        <f>IFERROR(IF($E836="Inventory",VLOOKUP($C836,Inventory!$B:$I,8,FALSE()),IF($E836="Non Inventory",VLOOKUP($C836,'Non Inventory'!$B:$I,8,FALSE()),IF($E836="Services",VLOOKUP($C836,Services!$B:$I,8,FALSE()),IF($E836="Patty Cash",VLOOKUP($C836,'Patty Cash'!$B:$J,8,FALSE()),0)))),0)</f>
        <v>0</v>
      </c>
      <c r="O836" s="217" t="str">
        <f t="shared" si="13"/>
        <v/>
      </c>
    </row>
    <row r="837" spans="1:15" ht="23.1" customHeight="1">
      <c r="A837" s="206" t="str">
        <f>IF(AND($B837="",$C837=""),"",MAX($A$3:A836)+1)</f>
        <v/>
      </c>
      <c r="B837" s="207"/>
      <c r="C837" s="208"/>
      <c r="D837" s="209" t="str">
        <f>IFERROR(IF($E837="Inventory",VLOOKUP($C837,Inventory!$B:$I,2,FALSE()),IF($E837="Non Inventory",VLOOKUP($C837,'Non Inventory'!$B:$I,2,FALSE()),IF($E837="Services",VLOOKUP($C837,Services!$B:$I,2,FALSE()),IF($E837="Patty Cash",VLOOKUP($C837,'Patty Cash'!$B:$J,2,FALSE()),"")))),"")</f>
        <v/>
      </c>
      <c r="E837" s="246"/>
      <c r="F837" s="210" t="str">
        <f>IFERROR(IF($E837="Inventory",VLOOKUP($C837,Inventory!$B:$I,3,FALSE()),IF($E837="Non Inventory",VLOOKUP($C837,'Non Inventory'!$B:$I,3,FALSE()),IF($E837="Services",VLOOKUP($C837,Services!$B:$I,3,FALSE()),IF($E837="Patty Cash",VLOOKUP($C837,'Patty Cash'!$B:$J,3,FALSE()),"")))),"")</f>
        <v/>
      </c>
      <c r="G837" s="211"/>
      <c r="H837" s="212" t="str">
        <f>IF($E837="","",IF($E837="Inventory",IFERROR(VLOOKUP($C837,Inventory!$B:$H,7,FALSE()),0),IF($E837="Non Inventory",IFERROR(VLOOKUP($C837,'Non Inventory'!$B:$H,7,FALSE()),0),IF($E837="Services",IFERROR(VLOOKUP($C837,Services!$B:$H,7,FALSE()),0),IF($E837="Patty Cash",IFERROR(VLOOKUP($C837,'Patty Cash'!$B:$H,7,FALSE()),0),0)))))</f>
        <v/>
      </c>
      <c r="I837" s="213"/>
      <c r="J837" s="214"/>
      <c r="K837" s="215"/>
      <c r="L837" s="197"/>
      <c r="M837" s="215"/>
      <c r="N837" s="216">
        <f>IFERROR(IF($E837="Inventory",VLOOKUP($C837,Inventory!$B:$I,8,FALSE()),IF($E837="Non Inventory",VLOOKUP($C837,'Non Inventory'!$B:$I,8,FALSE()),IF($E837="Services",VLOOKUP($C837,Services!$B:$I,8,FALSE()),IF($E837="Patty Cash",VLOOKUP($C837,'Patty Cash'!$B:$J,8,FALSE()),0)))),0)</f>
        <v>0</v>
      </c>
      <c r="O837" s="217" t="str">
        <f t="shared" si="13"/>
        <v/>
      </c>
    </row>
    <row r="838" spans="1:15" ht="23.1" customHeight="1">
      <c r="A838" s="206" t="str">
        <f>IF(AND($B838="",$C838=""),"",MAX($A$3:A837)+1)</f>
        <v/>
      </c>
      <c r="B838" s="207"/>
      <c r="C838" s="208"/>
      <c r="D838" s="209" t="str">
        <f>IFERROR(IF($E838="Inventory",VLOOKUP($C838,Inventory!$B:$I,2,FALSE()),IF($E838="Non Inventory",VLOOKUP($C838,'Non Inventory'!$B:$I,2,FALSE()),IF($E838="Services",VLOOKUP($C838,Services!$B:$I,2,FALSE()),IF($E838="Patty Cash",VLOOKUP($C838,'Patty Cash'!$B:$J,2,FALSE()),"")))),"")</f>
        <v/>
      </c>
      <c r="E838" s="246"/>
      <c r="F838" s="210" t="str">
        <f>IFERROR(IF($E838="Inventory",VLOOKUP($C838,Inventory!$B:$I,3,FALSE()),IF($E838="Non Inventory",VLOOKUP($C838,'Non Inventory'!$B:$I,3,FALSE()),IF($E838="Services",VLOOKUP($C838,Services!$B:$I,3,FALSE()),IF($E838="Patty Cash",VLOOKUP($C838,'Patty Cash'!$B:$J,3,FALSE()),"")))),"")</f>
        <v/>
      </c>
      <c r="G838" s="211"/>
      <c r="H838" s="212" t="str">
        <f>IF($E838="","",IF($E838="Inventory",IFERROR(VLOOKUP($C838,Inventory!$B:$H,7,FALSE()),0),IF($E838="Non Inventory",IFERROR(VLOOKUP($C838,'Non Inventory'!$B:$H,7,FALSE()),0),IF($E838="Services",IFERROR(VLOOKUP($C838,Services!$B:$H,7,FALSE()),0),IF($E838="Patty Cash",IFERROR(VLOOKUP($C838,'Patty Cash'!$B:$H,7,FALSE()),0),0)))))</f>
        <v/>
      </c>
      <c r="I838" s="213"/>
      <c r="J838" s="214"/>
      <c r="K838" s="215"/>
      <c r="L838" s="197"/>
      <c r="M838" s="215"/>
      <c r="N838" s="216">
        <f>IFERROR(IF($E838="Inventory",VLOOKUP($C838,Inventory!$B:$I,8,FALSE()),IF($E838="Non Inventory",VLOOKUP($C838,'Non Inventory'!$B:$I,8,FALSE()),IF($E838="Services",VLOOKUP($C838,Services!$B:$I,8,FALSE()),IF($E838="Patty Cash",VLOOKUP($C838,'Patty Cash'!$B:$J,8,FALSE()),0)))),0)</f>
        <v>0</v>
      </c>
      <c r="O838" s="217" t="str">
        <f t="shared" si="13"/>
        <v/>
      </c>
    </row>
    <row r="839" spans="1:15" ht="23.1" customHeight="1">
      <c r="A839" s="206" t="str">
        <f>IF(AND($B839="",$C839=""),"",MAX($A$3:A838)+1)</f>
        <v/>
      </c>
      <c r="B839" s="207"/>
      <c r="C839" s="208"/>
      <c r="D839" s="209" t="str">
        <f>IFERROR(IF($E839="Inventory",VLOOKUP($C839,Inventory!$B:$I,2,FALSE()),IF($E839="Non Inventory",VLOOKUP($C839,'Non Inventory'!$B:$I,2,FALSE()),IF($E839="Services",VLOOKUP($C839,Services!$B:$I,2,FALSE()),IF($E839="Patty Cash",VLOOKUP($C839,'Patty Cash'!$B:$J,2,FALSE()),"")))),"")</f>
        <v/>
      </c>
      <c r="E839" s="246"/>
      <c r="F839" s="210" t="str">
        <f>IFERROR(IF($E839="Inventory",VLOOKUP($C839,Inventory!$B:$I,3,FALSE()),IF($E839="Non Inventory",VLOOKUP($C839,'Non Inventory'!$B:$I,3,FALSE()),IF($E839="Services",VLOOKUP($C839,Services!$B:$I,3,FALSE()),IF($E839="Patty Cash",VLOOKUP($C839,'Patty Cash'!$B:$J,3,FALSE()),"")))),"")</f>
        <v/>
      </c>
      <c r="G839" s="211"/>
      <c r="H839" s="212" t="str">
        <f>IF($E839="","",IF($E839="Inventory",IFERROR(VLOOKUP($C839,Inventory!$B:$H,7,FALSE()),0),IF($E839="Non Inventory",IFERROR(VLOOKUP($C839,'Non Inventory'!$B:$H,7,FALSE()),0),IF($E839="Services",IFERROR(VLOOKUP($C839,Services!$B:$H,7,FALSE()),0),IF($E839="Patty Cash",IFERROR(VLOOKUP($C839,'Patty Cash'!$B:$H,7,FALSE()),0),0)))))</f>
        <v/>
      </c>
      <c r="I839" s="213"/>
      <c r="J839" s="214"/>
      <c r="K839" s="215"/>
      <c r="L839" s="197"/>
      <c r="M839" s="215"/>
      <c r="N839" s="216">
        <f>IFERROR(IF($E839="Inventory",VLOOKUP($C839,Inventory!$B:$I,8,FALSE()),IF($E839="Non Inventory",VLOOKUP($C839,'Non Inventory'!$B:$I,8,FALSE()),IF($E839="Services",VLOOKUP($C839,Services!$B:$I,8,FALSE()),IF($E839="Patty Cash",VLOOKUP($C839,'Patty Cash'!$B:$J,8,FALSE()),0)))),0)</f>
        <v>0</v>
      </c>
      <c r="O839" s="217" t="str">
        <f t="shared" si="13"/>
        <v/>
      </c>
    </row>
    <row r="840" spans="1:15" ht="23.1" customHeight="1">
      <c r="A840" s="206" t="str">
        <f>IF(AND($B840="",$C840=""),"",MAX($A$3:A839)+1)</f>
        <v/>
      </c>
      <c r="B840" s="207"/>
      <c r="C840" s="208"/>
      <c r="D840" s="209" t="str">
        <f>IFERROR(IF($E840="Inventory",VLOOKUP($C840,Inventory!$B:$I,2,FALSE()),IF($E840="Non Inventory",VLOOKUP($C840,'Non Inventory'!$B:$I,2,FALSE()),IF($E840="Services",VLOOKUP($C840,Services!$B:$I,2,FALSE()),IF($E840="Patty Cash",VLOOKUP($C840,'Patty Cash'!$B:$J,2,FALSE()),"")))),"")</f>
        <v/>
      </c>
      <c r="E840" s="246"/>
      <c r="F840" s="210" t="str">
        <f>IFERROR(IF($E840="Inventory",VLOOKUP($C840,Inventory!$B:$I,3,FALSE()),IF($E840="Non Inventory",VLOOKUP($C840,'Non Inventory'!$B:$I,3,FALSE()),IF($E840="Services",VLOOKUP($C840,Services!$B:$I,3,FALSE()),IF($E840="Patty Cash",VLOOKUP($C840,'Patty Cash'!$B:$J,3,FALSE()),"")))),"")</f>
        <v/>
      </c>
      <c r="G840" s="211"/>
      <c r="H840" s="212" t="str">
        <f>IF($E840="","",IF($E840="Inventory",IFERROR(VLOOKUP($C840,Inventory!$B:$H,7,FALSE()),0),IF($E840="Non Inventory",IFERROR(VLOOKUP($C840,'Non Inventory'!$B:$H,7,FALSE()),0),IF($E840="Services",IFERROR(VLOOKUP($C840,Services!$B:$H,7,FALSE()),0),IF($E840="Patty Cash",IFERROR(VLOOKUP($C840,'Patty Cash'!$B:$H,7,FALSE()),0),0)))))</f>
        <v/>
      </c>
      <c r="I840" s="213"/>
      <c r="J840" s="214"/>
      <c r="K840" s="215"/>
      <c r="L840" s="197"/>
      <c r="M840" s="215"/>
      <c r="N840" s="216">
        <f>IFERROR(IF($E840="Inventory",VLOOKUP($C840,Inventory!$B:$I,8,FALSE()),IF($E840="Non Inventory",VLOOKUP($C840,'Non Inventory'!$B:$I,8,FALSE()),IF($E840="Services",VLOOKUP($C840,Services!$B:$I,8,FALSE()),IF($E840="Patty Cash",VLOOKUP($C840,'Patty Cash'!$B:$J,8,FALSE()),0)))),0)</f>
        <v>0</v>
      </c>
      <c r="O840" s="217" t="str">
        <f t="shared" si="13"/>
        <v/>
      </c>
    </row>
    <row r="841" spans="1:15" ht="23.1" customHeight="1">
      <c r="A841" s="206" t="str">
        <f>IF(AND($B841="",$C841=""),"",MAX($A$3:A840)+1)</f>
        <v/>
      </c>
      <c r="B841" s="207"/>
      <c r="C841" s="208"/>
      <c r="D841" s="209" t="str">
        <f>IFERROR(IF($E841="Inventory",VLOOKUP($C841,Inventory!$B:$I,2,FALSE()),IF($E841="Non Inventory",VLOOKUP($C841,'Non Inventory'!$B:$I,2,FALSE()),IF($E841="Services",VLOOKUP($C841,Services!$B:$I,2,FALSE()),IF($E841="Patty Cash",VLOOKUP($C841,'Patty Cash'!$B:$J,2,FALSE()),"")))),"")</f>
        <v/>
      </c>
      <c r="E841" s="246"/>
      <c r="F841" s="210" t="str">
        <f>IFERROR(IF($E841="Inventory",VLOOKUP($C841,Inventory!$B:$I,3,FALSE()),IF($E841="Non Inventory",VLOOKUP($C841,'Non Inventory'!$B:$I,3,FALSE()),IF($E841="Services",VLOOKUP($C841,Services!$B:$I,3,FALSE()),IF($E841="Patty Cash",VLOOKUP($C841,'Patty Cash'!$B:$J,3,FALSE()),"")))),"")</f>
        <v/>
      </c>
      <c r="G841" s="211"/>
      <c r="H841" s="212" t="str">
        <f>IF($E841="","",IF($E841="Inventory",IFERROR(VLOOKUP($C841,Inventory!$B:$H,7,FALSE()),0),IF($E841="Non Inventory",IFERROR(VLOOKUP($C841,'Non Inventory'!$B:$H,7,FALSE()),0),IF($E841="Services",IFERROR(VLOOKUP($C841,Services!$B:$H,7,FALSE()),0),IF($E841="Patty Cash",IFERROR(VLOOKUP($C841,'Patty Cash'!$B:$H,7,FALSE()),0),0)))))</f>
        <v/>
      </c>
      <c r="I841" s="213"/>
      <c r="J841" s="214"/>
      <c r="K841" s="215"/>
      <c r="L841" s="197"/>
      <c r="M841" s="215"/>
      <c r="N841" s="216">
        <f>IFERROR(IF($E841="Inventory",VLOOKUP($C841,Inventory!$B:$I,8,FALSE()),IF($E841="Non Inventory",VLOOKUP($C841,'Non Inventory'!$B:$I,8,FALSE()),IF($E841="Services",VLOOKUP($C841,Services!$B:$I,8,FALSE()),IF($E841="Patty Cash",VLOOKUP($C841,'Patty Cash'!$B:$J,8,FALSE()),0)))),0)</f>
        <v>0</v>
      </c>
      <c r="O841" s="217" t="str">
        <f t="shared" si="13"/>
        <v/>
      </c>
    </row>
    <row r="842" spans="1:15" ht="23.1" customHeight="1">
      <c r="A842" s="206" t="str">
        <f>IF(AND($B842="",$C842=""),"",MAX($A$3:A841)+1)</f>
        <v/>
      </c>
      <c r="B842" s="207"/>
      <c r="C842" s="208"/>
      <c r="D842" s="209" t="str">
        <f>IFERROR(IF($E842="Inventory",VLOOKUP($C842,Inventory!$B:$I,2,FALSE()),IF($E842="Non Inventory",VLOOKUP($C842,'Non Inventory'!$B:$I,2,FALSE()),IF($E842="Services",VLOOKUP($C842,Services!$B:$I,2,FALSE()),IF($E842="Patty Cash",VLOOKUP($C842,'Patty Cash'!$B:$J,2,FALSE()),"")))),"")</f>
        <v/>
      </c>
      <c r="E842" s="246"/>
      <c r="F842" s="210" t="str">
        <f>IFERROR(IF($E842="Inventory",VLOOKUP($C842,Inventory!$B:$I,3,FALSE()),IF($E842="Non Inventory",VLOOKUP($C842,'Non Inventory'!$B:$I,3,FALSE()),IF($E842="Services",VLOOKUP($C842,Services!$B:$I,3,FALSE()),IF($E842="Patty Cash",VLOOKUP($C842,'Patty Cash'!$B:$J,3,FALSE()),"")))),"")</f>
        <v/>
      </c>
      <c r="G842" s="211"/>
      <c r="H842" s="212" t="str">
        <f>IF($E842="","",IF($E842="Inventory",IFERROR(VLOOKUP($C842,Inventory!$B:$H,7,FALSE()),0),IF($E842="Non Inventory",IFERROR(VLOOKUP($C842,'Non Inventory'!$B:$H,7,FALSE()),0),IF($E842="Services",IFERROR(VLOOKUP($C842,Services!$B:$H,7,FALSE()),0),IF($E842="Patty Cash",IFERROR(VLOOKUP($C842,'Patty Cash'!$B:$H,7,FALSE()),0),0)))))</f>
        <v/>
      </c>
      <c r="I842" s="213"/>
      <c r="J842" s="214"/>
      <c r="K842" s="215"/>
      <c r="L842" s="197"/>
      <c r="M842" s="215"/>
      <c r="N842" s="216">
        <f>IFERROR(IF($E842="Inventory",VLOOKUP($C842,Inventory!$B:$I,8,FALSE()),IF($E842="Non Inventory",VLOOKUP($C842,'Non Inventory'!$B:$I,8,FALSE()),IF($E842="Services",VLOOKUP($C842,Services!$B:$I,8,FALSE()),IF($E842="Patty Cash",VLOOKUP($C842,'Patty Cash'!$B:$J,8,FALSE()),0)))),0)</f>
        <v>0</v>
      </c>
      <c r="O842" s="217" t="str">
        <f t="shared" si="13"/>
        <v/>
      </c>
    </row>
    <row r="843" spans="1:15" ht="23.1" customHeight="1">
      <c r="A843" s="206" t="str">
        <f>IF(AND($B843="",$C843=""),"",MAX($A$3:A842)+1)</f>
        <v/>
      </c>
      <c r="B843" s="207"/>
      <c r="C843" s="208"/>
      <c r="D843" s="209" t="str">
        <f>IFERROR(IF($E843="Inventory",VLOOKUP($C843,Inventory!$B:$I,2,FALSE()),IF($E843="Non Inventory",VLOOKUP($C843,'Non Inventory'!$B:$I,2,FALSE()),IF($E843="Services",VLOOKUP($C843,Services!$B:$I,2,FALSE()),IF($E843="Patty Cash",VLOOKUP($C843,'Patty Cash'!$B:$J,2,FALSE()),"")))),"")</f>
        <v/>
      </c>
      <c r="E843" s="246"/>
      <c r="F843" s="210" t="str">
        <f>IFERROR(IF($E843="Inventory",VLOOKUP($C843,Inventory!$B:$I,3,FALSE()),IF($E843="Non Inventory",VLOOKUP($C843,'Non Inventory'!$B:$I,3,FALSE()),IF($E843="Services",VLOOKUP($C843,Services!$B:$I,3,FALSE()),IF($E843="Patty Cash",VLOOKUP($C843,'Patty Cash'!$B:$J,3,FALSE()),"")))),"")</f>
        <v/>
      </c>
      <c r="G843" s="211"/>
      <c r="H843" s="212" t="str">
        <f>IF($E843="","",IF($E843="Inventory",IFERROR(VLOOKUP($C843,Inventory!$B:$H,7,FALSE()),0),IF($E843="Non Inventory",IFERROR(VLOOKUP($C843,'Non Inventory'!$B:$H,7,FALSE()),0),IF($E843="Services",IFERROR(VLOOKUP($C843,Services!$B:$H,7,FALSE()),0),IF($E843="Patty Cash",IFERROR(VLOOKUP($C843,'Patty Cash'!$B:$H,7,FALSE()),0),0)))))</f>
        <v/>
      </c>
      <c r="I843" s="213"/>
      <c r="J843" s="214"/>
      <c r="K843" s="215"/>
      <c r="L843" s="197"/>
      <c r="M843" s="215"/>
      <c r="N843" s="216">
        <f>IFERROR(IF($E843="Inventory",VLOOKUP($C843,Inventory!$B:$I,8,FALSE()),IF($E843="Non Inventory",VLOOKUP($C843,'Non Inventory'!$B:$I,8,FALSE()),IF($E843="Services",VLOOKUP($C843,Services!$B:$I,8,FALSE()),IF($E843="Patty Cash",VLOOKUP($C843,'Patty Cash'!$B:$J,8,FALSE()),0)))),0)</f>
        <v>0</v>
      </c>
      <c r="O843" s="217" t="str">
        <f t="shared" si="13"/>
        <v/>
      </c>
    </row>
    <row r="844" spans="1:15" ht="23.1" customHeight="1">
      <c r="A844" s="206" t="str">
        <f>IF(AND($B844="",$C844=""),"",MAX($A$3:A843)+1)</f>
        <v/>
      </c>
      <c r="B844" s="207"/>
      <c r="C844" s="208"/>
      <c r="D844" s="209" t="str">
        <f>IFERROR(IF($E844="Inventory",VLOOKUP($C844,Inventory!$B:$I,2,FALSE()),IF($E844="Non Inventory",VLOOKUP($C844,'Non Inventory'!$B:$I,2,FALSE()),IF($E844="Services",VLOOKUP($C844,Services!$B:$I,2,FALSE()),IF($E844="Patty Cash",VLOOKUP($C844,'Patty Cash'!$B:$J,2,FALSE()),"")))),"")</f>
        <v/>
      </c>
      <c r="E844" s="246"/>
      <c r="F844" s="210" t="str">
        <f>IFERROR(IF($E844="Inventory",VLOOKUP($C844,Inventory!$B:$I,3,FALSE()),IF($E844="Non Inventory",VLOOKUP($C844,'Non Inventory'!$B:$I,3,FALSE()),IF($E844="Services",VLOOKUP($C844,Services!$B:$I,3,FALSE()),IF($E844="Patty Cash",VLOOKUP($C844,'Patty Cash'!$B:$J,3,FALSE()),"")))),"")</f>
        <v/>
      </c>
      <c r="G844" s="211"/>
      <c r="H844" s="212" t="str">
        <f>IF($E844="","",IF($E844="Inventory",IFERROR(VLOOKUP($C844,Inventory!$B:$H,7,FALSE()),0),IF($E844="Non Inventory",IFERROR(VLOOKUP($C844,'Non Inventory'!$B:$H,7,FALSE()),0),IF($E844="Services",IFERROR(VLOOKUP($C844,Services!$B:$H,7,FALSE()),0),IF($E844="Patty Cash",IFERROR(VLOOKUP($C844,'Patty Cash'!$B:$H,7,FALSE()),0),0)))))</f>
        <v/>
      </c>
      <c r="I844" s="213"/>
      <c r="J844" s="214"/>
      <c r="K844" s="215"/>
      <c r="L844" s="197"/>
      <c r="M844" s="215"/>
      <c r="N844" s="216">
        <f>IFERROR(IF($E844="Inventory",VLOOKUP($C844,Inventory!$B:$I,8,FALSE()),IF($E844="Non Inventory",VLOOKUP($C844,'Non Inventory'!$B:$I,8,FALSE()),IF($E844="Services",VLOOKUP($C844,Services!$B:$I,8,FALSE()),IF($E844="Patty Cash",VLOOKUP($C844,'Patty Cash'!$B:$J,8,FALSE()),0)))),0)</f>
        <v>0</v>
      </c>
      <c r="O844" s="217" t="str">
        <f t="shared" si="13"/>
        <v/>
      </c>
    </row>
    <row r="845" spans="1:15" ht="23.1" customHeight="1">
      <c r="A845" s="206" t="str">
        <f>IF(AND($B845="",$C845=""),"",MAX($A$3:A844)+1)</f>
        <v/>
      </c>
      <c r="B845" s="207"/>
      <c r="C845" s="208"/>
      <c r="D845" s="209" t="str">
        <f>IFERROR(IF($E845="Inventory",VLOOKUP($C845,Inventory!$B:$I,2,FALSE()),IF($E845="Non Inventory",VLOOKUP($C845,'Non Inventory'!$B:$I,2,FALSE()),IF($E845="Services",VLOOKUP($C845,Services!$B:$I,2,FALSE()),IF($E845="Patty Cash",VLOOKUP($C845,'Patty Cash'!$B:$J,2,FALSE()),"")))),"")</f>
        <v/>
      </c>
      <c r="E845" s="246"/>
      <c r="F845" s="210" t="str">
        <f>IFERROR(IF($E845="Inventory",VLOOKUP($C845,Inventory!$B:$I,3,FALSE()),IF($E845="Non Inventory",VLOOKUP($C845,'Non Inventory'!$B:$I,3,FALSE()),IF($E845="Services",VLOOKUP($C845,Services!$B:$I,3,FALSE()),IF($E845="Patty Cash",VLOOKUP($C845,'Patty Cash'!$B:$J,3,FALSE()),"")))),"")</f>
        <v/>
      </c>
      <c r="G845" s="211"/>
      <c r="H845" s="212" t="str">
        <f>IF($E845="","",IF($E845="Inventory",IFERROR(VLOOKUP($C845,Inventory!$B:$H,7,FALSE()),0),IF($E845="Non Inventory",IFERROR(VLOOKUP($C845,'Non Inventory'!$B:$H,7,FALSE()),0),IF($E845="Services",IFERROR(VLOOKUP($C845,Services!$B:$H,7,FALSE()),0),IF($E845="Patty Cash",IFERROR(VLOOKUP($C845,'Patty Cash'!$B:$H,7,FALSE()),0),0)))))</f>
        <v/>
      </c>
      <c r="I845" s="213"/>
      <c r="J845" s="214"/>
      <c r="K845" s="215"/>
      <c r="L845" s="197"/>
      <c r="M845" s="215"/>
      <c r="N845" s="216">
        <f>IFERROR(IF($E845="Inventory",VLOOKUP($C845,Inventory!$B:$I,8,FALSE()),IF($E845="Non Inventory",VLOOKUP($C845,'Non Inventory'!$B:$I,8,FALSE()),IF($E845="Services",VLOOKUP($C845,Services!$B:$I,8,FALSE()),IF($E845="Patty Cash",VLOOKUP($C845,'Patty Cash'!$B:$J,8,FALSE()),0)))),0)</f>
        <v>0</v>
      </c>
      <c r="O845" s="217" t="str">
        <f t="shared" si="13"/>
        <v/>
      </c>
    </row>
    <row r="846" spans="1:15" ht="23.1" customHeight="1">
      <c r="A846" s="206" t="str">
        <f>IF(AND($B846="",$C846=""),"",MAX($A$3:A845)+1)</f>
        <v/>
      </c>
      <c r="B846" s="207"/>
      <c r="C846" s="208"/>
      <c r="D846" s="209" t="str">
        <f>IFERROR(IF($E846="Inventory",VLOOKUP($C846,Inventory!$B:$I,2,FALSE()),IF($E846="Non Inventory",VLOOKUP($C846,'Non Inventory'!$B:$I,2,FALSE()),IF($E846="Services",VLOOKUP($C846,Services!$B:$I,2,FALSE()),IF($E846="Patty Cash",VLOOKUP($C846,'Patty Cash'!$B:$J,2,FALSE()),"")))),"")</f>
        <v/>
      </c>
      <c r="E846" s="246"/>
      <c r="F846" s="210" t="str">
        <f>IFERROR(IF($E846="Inventory",VLOOKUP($C846,Inventory!$B:$I,3,FALSE()),IF($E846="Non Inventory",VLOOKUP($C846,'Non Inventory'!$B:$I,3,FALSE()),IF($E846="Services",VLOOKUP($C846,Services!$B:$I,3,FALSE()),IF($E846="Patty Cash",VLOOKUP($C846,'Patty Cash'!$B:$J,3,FALSE()),"")))),"")</f>
        <v/>
      </c>
      <c r="G846" s="211"/>
      <c r="H846" s="212" t="str">
        <f>IF($E846="","",IF($E846="Inventory",IFERROR(VLOOKUP($C846,Inventory!$B:$H,7,FALSE()),0),IF($E846="Non Inventory",IFERROR(VLOOKUP($C846,'Non Inventory'!$B:$H,7,FALSE()),0),IF($E846="Services",IFERROR(VLOOKUP($C846,Services!$B:$H,7,FALSE()),0),IF($E846="Patty Cash",IFERROR(VLOOKUP($C846,'Patty Cash'!$B:$H,7,FALSE()),0),0)))))</f>
        <v/>
      </c>
      <c r="I846" s="213"/>
      <c r="J846" s="214"/>
      <c r="K846" s="215"/>
      <c r="L846" s="197"/>
      <c r="M846" s="215"/>
      <c r="N846" s="216">
        <f>IFERROR(IF($E846="Inventory",VLOOKUP($C846,Inventory!$B:$I,8,FALSE()),IF($E846="Non Inventory",VLOOKUP($C846,'Non Inventory'!$B:$I,8,FALSE()),IF($E846="Services",VLOOKUP($C846,Services!$B:$I,8,FALSE()),IF($E846="Patty Cash",VLOOKUP($C846,'Patty Cash'!$B:$J,8,FALSE()),0)))),0)</f>
        <v>0</v>
      </c>
      <c r="O846" s="217" t="str">
        <f t="shared" si="13"/>
        <v/>
      </c>
    </row>
    <row r="847" spans="1:15" ht="23.1" customHeight="1">
      <c r="A847" s="206" t="str">
        <f>IF(AND($B847="",$C847=""),"",MAX($A$3:A846)+1)</f>
        <v/>
      </c>
      <c r="B847" s="207"/>
      <c r="C847" s="208"/>
      <c r="D847" s="209" t="str">
        <f>IFERROR(IF($E847="Inventory",VLOOKUP($C847,Inventory!$B:$I,2,FALSE()),IF($E847="Non Inventory",VLOOKUP($C847,'Non Inventory'!$B:$I,2,FALSE()),IF($E847="Services",VLOOKUP($C847,Services!$B:$I,2,FALSE()),IF($E847="Patty Cash",VLOOKUP($C847,'Patty Cash'!$B:$J,2,FALSE()),"")))),"")</f>
        <v/>
      </c>
      <c r="E847" s="246"/>
      <c r="F847" s="210" t="str">
        <f>IFERROR(IF($E847="Inventory",VLOOKUP($C847,Inventory!$B:$I,3,FALSE()),IF($E847="Non Inventory",VLOOKUP($C847,'Non Inventory'!$B:$I,3,FALSE()),IF($E847="Services",VLOOKUP($C847,Services!$B:$I,3,FALSE()),IF($E847="Patty Cash",VLOOKUP($C847,'Patty Cash'!$B:$J,3,FALSE()),"")))),"")</f>
        <v/>
      </c>
      <c r="G847" s="211"/>
      <c r="H847" s="212" t="str">
        <f>IF($E847="","",IF($E847="Inventory",IFERROR(VLOOKUP($C847,Inventory!$B:$H,7,FALSE()),0),IF($E847="Non Inventory",IFERROR(VLOOKUP($C847,'Non Inventory'!$B:$H,7,FALSE()),0),IF($E847="Services",IFERROR(VLOOKUP($C847,Services!$B:$H,7,FALSE()),0),IF($E847="Patty Cash",IFERROR(VLOOKUP($C847,'Patty Cash'!$B:$H,7,FALSE()),0),0)))))</f>
        <v/>
      </c>
      <c r="I847" s="213"/>
      <c r="J847" s="214"/>
      <c r="K847" s="215"/>
      <c r="L847" s="197"/>
      <c r="M847" s="215"/>
      <c r="N847" s="216">
        <f>IFERROR(IF($E847="Inventory",VLOOKUP($C847,Inventory!$B:$I,8,FALSE()),IF($E847="Non Inventory",VLOOKUP($C847,'Non Inventory'!$B:$I,8,FALSE()),IF($E847="Services",VLOOKUP($C847,Services!$B:$I,8,FALSE()),IF($E847="Patty Cash",VLOOKUP($C847,'Patty Cash'!$B:$J,8,FALSE()),0)))),0)</f>
        <v>0</v>
      </c>
      <c r="O847" s="217" t="str">
        <f t="shared" si="13"/>
        <v/>
      </c>
    </row>
    <row r="848" spans="1:15" ht="23.1" customHeight="1">
      <c r="A848" s="206" t="str">
        <f>IF(AND($B848="",$C848=""),"",MAX($A$3:A847)+1)</f>
        <v/>
      </c>
      <c r="B848" s="207"/>
      <c r="C848" s="208"/>
      <c r="D848" s="209" t="str">
        <f>IFERROR(IF($E848="Inventory",VLOOKUP($C848,Inventory!$B:$I,2,FALSE()),IF($E848="Non Inventory",VLOOKUP($C848,'Non Inventory'!$B:$I,2,FALSE()),IF($E848="Services",VLOOKUP($C848,Services!$B:$I,2,FALSE()),IF($E848="Patty Cash",VLOOKUP($C848,'Patty Cash'!$B:$J,2,FALSE()),"")))),"")</f>
        <v/>
      </c>
      <c r="E848" s="246"/>
      <c r="F848" s="210" t="str">
        <f>IFERROR(IF($E848="Inventory",VLOOKUP($C848,Inventory!$B:$I,3,FALSE()),IF($E848="Non Inventory",VLOOKUP($C848,'Non Inventory'!$B:$I,3,FALSE()),IF($E848="Services",VLOOKUP($C848,Services!$B:$I,3,FALSE()),IF($E848="Patty Cash",VLOOKUP($C848,'Patty Cash'!$B:$J,3,FALSE()),"")))),"")</f>
        <v/>
      </c>
      <c r="G848" s="211"/>
      <c r="H848" s="212" t="str">
        <f>IF($E848="","",IF($E848="Inventory",IFERROR(VLOOKUP($C848,Inventory!$B:$H,7,FALSE()),0),IF($E848="Non Inventory",IFERROR(VLOOKUP($C848,'Non Inventory'!$B:$H,7,FALSE()),0),IF($E848="Services",IFERROR(VLOOKUP($C848,Services!$B:$H,7,FALSE()),0),IF($E848="Patty Cash",IFERROR(VLOOKUP($C848,'Patty Cash'!$B:$H,7,FALSE()),0),0)))))</f>
        <v/>
      </c>
      <c r="I848" s="213"/>
      <c r="J848" s="214"/>
      <c r="K848" s="215"/>
      <c r="L848" s="197"/>
      <c r="M848" s="215"/>
      <c r="N848" s="216">
        <f>IFERROR(IF($E848="Inventory",VLOOKUP($C848,Inventory!$B:$I,8,FALSE()),IF($E848="Non Inventory",VLOOKUP($C848,'Non Inventory'!$B:$I,8,FALSE()),IF($E848="Services",VLOOKUP($C848,Services!$B:$I,8,FALSE()),IF($E848="Patty Cash",VLOOKUP($C848,'Patty Cash'!$B:$J,8,FALSE()),0)))),0)</f>
        <v>0</v>
      </c>
      <c r="O848" s="217" t="str">
        <f t="shared" si="13"/>
        <v/>
      </c>
    </row>
    <row r="849" spans="1:15" ht="23.1" customHeight="1">
      <c r="A849" s="206" t="str">
        <f>IF(AND($B849="",$C849=""),"",MAX($A$3:A848)+1)</f>
        <v/>
      </c>
      <c r="B849" s="207"/>
      <c r="C849" s="208"/>
      <c r="D849" s="209" t="str">
        <f>IFERROR(IF($E849="Inventory",VLOOKUP($C849,Inventory!$B:$I,2,FALSE()),IF($E849="Non Inventory",VLOOKUP($C849,'Non Inventory'!$B:$I,2,FALSE()),IF($E849="Services",VLOOKUP($C849,Services!$B:$I,2,FALSE()),IF($E849="Patty Cash",VLOOKUP($C849,'Patty Cash'!$B:$J,2,FALSE()),"")))),"")</f>
        <v/>
      </c>
      <c r="E849" s="246"/>
      <c r="F849" s="210" t="str">
        <f>IFERROR(IF($E849="Inventory",VLOOKUP($C849,Inventory!$B:$I,3,FALSE()),IF($E849="Non Inventory",VLOOKUP($C849,'Non Inventory'!$B:$I,3,FALSE()),IF($E849="Services",VLOOKUP($C849,Services!$B:$I,3,FALSE()),IF($E849="Patty Cash",VLOOKUP($C849,'Patty Cash'!$B:$J,3,FALSE()),"")))),"")</f>
        <v/>
      </c>
      <c r="G849" s="211"/>
      <c r="H849" s="212" t="str">
        <f>IF($E849="","",IF($E849="Inventory",IFERROR(VLOOKUP($C849,Inventory!$B:$H,7,FALSE()),0),IF($E849="Non Inventory",IFERROR(VLOOKUP($C849,'Non Inventory'!$B:$H,7,FALSE()),0),IF($E849="Services",IFERROR(VLOOKUP($C849,Services!$B:$H,7,FALSE()),0),IF($E849="Patty Cash",IFERROR(VLOOKUP($C849,'Patty Cash'!$B:$H,7,FALSE()),0),0)))))</f>
        <v/>
      </c>
      <c r="I849" s="213"/>
      <c r="J849" s="214"/>
      <c r="K849" s="215"/>
      <c r="L849" s="197"/>
      <c r="M849" s="215"/>
      <c r="N849" s="216">
        <f>IFERROR(IF($E849="Inventory",VLOOKUP($C849,Inventory!$B:$I,8,FALSE()),IF($E849="Non Inventory",VLOOKUP($C849,'Non Inventory'!$B:$I,8,FALSE()),IF($E849="Services",VLOOKUP($C849,Services!$B:$I,8,FALSE()),IF($E849="Patty Cash",VLOOKUP($C849,'Patty Cash'!$B:$J,8,FALSE()),0)))),0)</f>
        <v>0</v>
      </c>
      <c r="O849" s="217" t="str">
        <f t="shared" si="13"/>
        <v/>
      </c>
    </row>
    <row r="850" spans="1:15" ht="23.1" customHeight="1">
      <c r="A850" s="206" t="str">
        <f>IF(AND($B850="",$C850=""),"",MAX($A$3:A849)+1)</f>
        <v/>
      </c>
      <c r="B850" s="207"/>
      <c r="C850" s="208"/>
      <c r="D850" s="209" t="str">
        <f>IFERROR(IF($E850="Inventory",VLOOKUP($C850,Inventory!$B:$I,2,FALSE()),IF($E850="Non Inventory",VLOOKUP($C850,'Non Inventory'!$B:$I,2,FALSE()),IF($E850="Services",VLOOKUP($C850,Services!$B:$I,2,FALSE()),IF($E850="Patty Cash",VLOOKUP($C850,'Patty Cash'!$B:$J,2,FALSE()),"")))),"")</f>
        <v/>
      </c>
      <c r="E850" s="246"/>
      <c r="F850" s="210" t="str">
        <f>IFERROR(IF($E850="Inventory",VLOOKUP($C850,Inventory!$B:$I,3,FALSE()),IF($E850="Non Inventory",VLOOKUP($C850,'Non Inventory'!$B:$I,3,FALSE()),IF($E850="Services",VLOOKUP($C850,Services!$B:$I,3,FALSE()),IF($E850="Patty Cash",VLOOKUP($C850,'Patty Cash'!$B:$J,3,FALSE()),"")))),"")</f>
        <v/>
      </c>
      <c r="G850" s="211"/>
      <c r="H850" s="212" t="str">
        <f>IF($E850="","",IF($E850="Inventory",IFERROR(VLOOKUP($C850,Inventory!$B:$H,7,FALSE()),0),IF($E850="Non Inventory",IFERROR(VLOOKUP($C850,'Non Inventory'!$B:$H,7,FALSE()),0),IF($E850="Services",IFERROR(VLOOKUP($C850,Services!$B:$H,7,FALSE()),0),IF($E850="Patty Cash",IFERROR(VLOOKUP($C850,'Patty Cash'!$B:$H,7,FALSE()),0),0)))))</f>
        <v/>
      </c>
      <c r="I850" s="213"/>
      <c r="J850" s="214"/>
      <c r="K850" s="215"/>
      <c r="L850" s="197"/>
      <c r="M850" s="215"/>
      <c r="N850" s="216">
        <f>IFERROR(IF($E850="Inventory",VLOOKUP($C850,Inventory!$B:$I,8,FALSE()),IF($E850="Non Inventory",VLOOKUP($C850,'Non Inventory'!$B:$I,8,FALSE()),IF($E850="Services",VLOOKUP($C850,Services!$B:$I,8,FALSE()),IF($E850="Patty Cash",VLOOKUP($C850,'Patty Cash'!$B:$J,8,FALSE()),0)))),0)</f>
        <v>0</v>
      </c>
      <c r="O850" s="217" t="str">
        <f t="shared" si="13"/>
        <v/>
      </c>
    </row>
    <row r="851" spans="1:15" ht="23.1" customHeight="1">
      <c r="A851" s="206" t="str">
        <f>IF(AND($B851="",$C851=""),"",MAX($A$3:A850)+1)</f>
        <v/>
      </c>
      <c r="B851" s="207"/>
      <c r="C851" s="208"/>
      <c r="D851" s="209" t="str">
        <f>IFERROR(IF($E851="Inventory",VLOOKUP($C851,Inventory!$B:$I,2,FALSE()),IF($E851="Non Inventory",VLOOKUP($C851,'Non Inventory'!$B:$I,2,FALSE()),IF($E851="Services",VLOOKUP($C851,Services!$B:$I,2,FALSE()),IF($E851="Patty Cash",VLOOKUP($C851,'Patty Cash'!$B:$J,2,FALSE()),"")))),"")</f>
        <v/>
      </c>
      <c r="E851" s="246"/>
      <c r="F851" s="210" t="str">
        <f>IFERROR(IF($E851="Inventory",VLOOKUP($C851,Inventory!$B:$I,3,FALSE()),IF($E851="Non Inventory",VLOOKUP($C851,'Non Inventory'!$B:$I,3,FALSE()),IF($E851="Services",VLOOKUP($C851,Services!$B:$I,3,FALSE()),IF($E851="Patty Cash",VLOOKUP($C851,'Patty Cash'!$B:$J,3,FALSE()),"")))),"")</f>
        <v/>
      </c>
      <c r="G851" s="211"/>
      <c r="H851" s="212" t="str">
        <f>IF($E851="","",IF($E851="Inventory",IFERROR(VLOOKUP($C851,Inventory!$B:$H,7,FALSE()),0),IF($E851="Non Inventory",IFERROR(VLOOKUP($C851,'Non Inventory'!$B:$H,7,FALSE()),0),IF($E851="Services",IFERROR(VLOOKUP($C851,Services!$B:$H,7,FALSE()),0),IF($E851="Patty Cash",IFERROR(VLOOKUP($C851,'Patty Cash'!$B:$H,7,FALSE()),0),0)))))</f>
        <v/>
      </c>
      <c r="I851" s="213"/>
      <c r="J851" s="214"/>
      <c r="K851" s="215"/>
      <c r="L851" s="197"/>
      <c r="M851" s="215"/>
      <c r="N851" s="216">
        <f>IFERROR(IF($E851="Inventory",VLOOKUP($C851,Inventory!$B:$I,8,FALSE()),IF($E851="Non Inventory",VLOOKUP($C851,'Non Inventory'!$B:$I,8,FALSE()),IF($E851="Services",VLOOKUP($C851,Services!$B:$I,8,FALSE()),IF($E851="Patty Cash",VLOOKUP($C851,'Patty Cash'!$B:$J,8,FALSE()),0)))),0)</f>
        <v>0</v>
      </c>
      <c r="O851" s="217" t="str">
        <f t="shared" si="13"/>
        <v/>
      </c>
    </row>
    <row r="852" spans="1:15" ht="23.1" customHeight="1">
      <c r="A852" s="206" t="str">
        <f>IF(AND($B852="",$C852=""),"",MAX($A$3:A851)+1)</f>
        <v/>
      </c>
      <c r="B852" s="207"/>
      <c r="C852" s="208"/>
      <c r="D852" s="209" t="str">
        <f>IFERROR(IF($E852="Inventory",VLOOKUP($C852,Inventory!$B:$I,2,FALSE()),IF($E852="Non Inventory",VLOOKUP($C852,'Non Inventory'!$B:$I,2,FALSE()),IF($E852="Services",VLOOKUP($C852,Services!$B:$I,2,FALSE()),IF($E852="Patty Cash",VLOOKUP($C852,'Patty Cash'!$B:$J,2,FALSE()),"")))),"")</f>
        <v/>
      </c>
      <c r="E852" s="246"/>
      <c r="F852" s="210" t="str">
        <f>IFERROR(IF($E852="Inventory",VLOOKUP($C852,Inventory!$B:$I,3,FALSE()),IF($E852="Non Inventory",VLOOKUP($C852,'Non Inventory'!$B:$I,3,FALSE()),IF($E852="Services",VLOOKUP($C852,Services!$B:$I,3,FALSE()),IF($E852="Patty Cash",VLOOKUP($C852,'Patty Cash'!$B:$J,3,FALSE()),"")))),"")</f>
        <v/>
      </c>
      <c r="G852" s="211"/>
      <c r="H852" s="212" t="str">
        <f>IF($E852="","",IF($E852="Inventory",IFERROR(VLOOKUP($C852,Inventory!$B:$H,7,FALSE()),0),IF($E852="Non Inventory",IFERROR(VLOOKUP($C852,'Non Inventory'!$B:$H,7,FALSE()),0),IF($E852="Services",IFERROR(VLOOKUP($C852,Services!$B:$H,7,FALSE()),0),IF($E852="Patty Cash",IFERROR(VLOOKUP($C852,'Patty Cash'!$B:$H,7,FALSE()),0),0)))))</f>
        <v/>
      </c>
      <c r="I852" s="213"/>
      <c r="J852" s="214"/>
      <c r="K852" s="215"/>
      <c r="L852" s="197"/>
      <c r="M852" s="215"/>
      <c r="N852" s="216">
        <f>IFERROR(IF($E852="Inventory",VLOOKUP($C852,Inventory!$B:$I,8,FALSE()),IF($E852="Non Inventory",VLOOKUP($C852,'Non Inventory'!$B:$I,8,FALSE()),IF($E852="Services",VLOOKUP($C852,Services!$B:$I,8,FALSE()),IF($E852="Patty Cash",VLOOKUP($C852,'Patty Cash'!$B:$J,8,FALSE()),0)))),0)</f>
        <v>0</v>
      </c>
      <c r="O852" s="217" t="str">
        <f t="shared" si="13"/>
        <v/>
      </c>
    </row>
    <row r="853" spans="1:15" ht="23.1" customHeight="1">
      <c r="A853" s="206" t="str">
        <f>IF(AND($B853="",$C853=""),"",MAX($A$3:A852)+1)</f>
        <v/>
      </c>
      <c r="B853" s="207"/>
      <c r="C853" s="208"/>
      <c r="D853" s="209" t="str">
        <f>IFERROR(IF($E853="Inventory",VLOOKUP($C853,Inventory!$B:$I,2,FALSE()),IF($E853="Non Inventory",VLOOKUP($C853,'Non Inventory'!$B:$I,2,FALSE()),IF($E853="Services",VLOOKUP($C853,Services!$B:$I,2,FALSE()),IF($E853="Patty Cash",VLOOKUP($C853,'Patty Cash'!$B:$J,2,FALSE()),"")))),"")</f>
        <v/>
      </c>
      <c r="E853" s="246"/>
      <c r="F853" s="210" t="str">
        <f>IFERROR(IF($E853="Inventory",VLOOKUP($C853,Inventory!$B:$I,3,FALSE()),IF($E853="Non Inventory",VLOOKUP($C853,'Non Inventory'!$B:$I,3,FALSE()),IF($E853="Services",VLOOKUP($C853,Services!$B:$I,3,FALSE()),IF($E853="Patty Cash",VLOOKUP($C853,'Patty Cash'!$B:$J,3,FALSE()),"")))),"")</f>
        <v/>
      </c>
      <c r="G853" s="211"/>
      <c r="H853" s="212" t="str">
        <f>IF($E853="","",IF($E853="Inventory",IFERROR(VLOOKUP($C853,Inventory!$B:$H,7,FALSE()),0),IF($E853="Non Inventory",IFERROR(VLOOKUP($C853,'Non Inventory'!$B:$H,7,FALSE()),0),IF($E853="Services",IFERROR(VLOOKUP($C853,Services!$B:$H,7,FALSE()),0),IF($E853="Patty Cash",IFERROR(VLOOKUP($C853,'Patty Cash'!$B:$H,7,FALSE()),0),0)))))</f>
        <v/>
      </c>
      <c r="I853" s="213"/>
      <c r="J853" s="214"/>
      <c r="K853" s="215"/>
      <c r="L853" s="197"/>
      <c r="M853" s="215"/>
      <c r="N853" s="216">
        <f>IFERROR(IF($E853="Inventory",VLOOKUP($C853,Inventory!$B:$I,8,FALSE()),IF($E853="Non Inventory",VLOOKUP($C853,'Non Inventory'!$B:$I,8,FALSE()),IF($E853="Services",VLOOKUP($C853,Services!$B:$I,8,FALSE()),IF($E853="Patty Cash",VLOOKUP($C853,'Patty Cash'!$B:$J,8,FALSE()),0)))),0)</f>
        <v>0</v>
      </c>
      <c r="O853" s="217" t="str">
        <f t="shared" si="13"/>
        <v/>
      </c>
    </row>
    <row r="854" spans="1:15" ht="23.1" customHeight="1">
      <c r="A854" s="206" t="str">
        <f>IF(AND($B854="",$C854=""),"",MAX($A$3:A853)+1)</f>
        <v/>
      </c>
      <c r="B854" s="207"/>
      <c r="C854" s="208"/>
      <c r="D854" s="209" t="str">
        <f>IFERROR(IF($E854="Inventory",VLOOKUP($C854,Inventory!$B:$I,2,FALSE()),IF($E854="Non Inventory",VLOOKUP($C854,'Non Inventory'!$B:$I,2,FALSE()),IF($E854="Services",VLOOKUP($C854,Services!$B:$I,2,FALSE()),IF($E854="Patty Cash",VLOOKUP($C854,'Patty Cash'!$B:$J,2,FALSE()),"")))),"")</f>
        <v/>
      </c>
      <c r="E854" s="246"/>
      <c r="F854" s="210" t="str">
        <f>IFERROR(IF($E854="Inventory",VLOOKUP($C854,Inventory!$B:$I,3,FALSE()),IF($E854="Non Inventory",VLOOKUP($C854,'Non Inventory'!$B:$I,3,FALSE()),IF($E854="Services",VLOOKUP($C854,Services!$B:$I,3,FALSE()),IF($E854="Patty Cash",VLOOKUP($C854,'Patty Cash'!$B:$J,3,FALSE()),"")))),"")</f>
        <v/>
      </c>
      <c r="G854" s="211"/>
      <c r="H854" s="212" t="str">
        <f>IF($E854="","",IF($E854="Inventory",IFERROR(VLOOKUP($C854,Inventory!$B:$H,7,FALSE()),0),IF($E854="Non Inventory",IFERROR(VLOOKUP($C854,'Non Inventory'!$B:$H,7,FALSE()),0),IF($E854="Services",IFERROR(VLOOKUP($C854,Services!$B:$H,7,FALSE()),0),IF($E854="Patty Cash",IFERROR(VLOOKUP($C854,'Patty Cash'!$B:$H,7,FALSE()),0),0)))))</f>
        <v/>
      </c>
      <c r="I854" s="213"/>
      <c r="J854" s="214"/>
      <c r="K854" s="215"/>
      <c r="L854" s="197"/>
      <c r="M854" s="215"/>
      <c r="N854" s="216">
        <f>IFERROR(IF($E854="Inventory",VLOOKUP($C854,Inventory!$B:$I,8,FALSE()),IF($E854="Non Inventory",VLOOKUP($C854,'Non Inventory'!$B:$I,8,FALSE()),IF($E854="Services",VLOOKUP($C854,Services!$B:$I,8,FALSE()),IF($E854="Patty Cash",VLOOKUP($C854,'Patty Cash'!$B:$J,8,FALSE()),0)))),0)</f>
        <v>0</v>
      </c>
      <c r="O854" s="217" t="str">
        <f t="shared" si="13"/>
        <v/>
      </c>
    </row>
    <row r="855" spans="1:15" ht="23.1" customHeight="1">
      <c r="A855" s="206" t="str">
        <f>IF(AND($B855="",$C855=""),"",MAX($A$3:A854)+1)</f>
        <v/>
      </c>
      <c r="B855" s="207"/>
      <c r="C855" s="208"/>
      <c r="D855" s="209" t="str">
        <f>IFERROR(IF($E855="Inventory",VLOOKUP($C855,Inventory!$B:$I,2,FALSE()),IF($E855="Non Inventory",VLOOKUP($C855,'Non Inventory'!$B:$I,2,FALSE()),IF($E855="Services",VLOOKUP($C855,Services!$B:$I,2,FALSE()),IF($E855="Patty Cash",VLOOKUP($C855,'Patty Cash'!$B:$J,2,FALSE()),"")))),"")</f>
        <v/>
      </c>
      <c r="E855" s="246"/>
      <c r="F855" s="210" t="str">
        <f>IFERROR(IF($E855="Inventory",VLOOKUP($C855,Inventory!$B:$I,3,FALSE()),IF($E855="Non Inventory",VLOOKUP($C855,'Non Inventory'!$B:$I,3,FALSE()),IF($E855="Services",VLOOKUP($C855,Services!$B:$I,3,FALSE()),IF($E855="Patty Cash",VLOOKUP($C855,'Patty Cash'!$B:$J,3,FALSE()),"")))),"")</f>
        <v/>
      </c>
      <c r="G855" s="211"/>
      <c r="H855" s="212" t="str">
        <f>IF($E855="","",IF($E855="Inventory",IFERROR(VLOOKUP($C855,Inventory!$B:$H,7,FALSE()),0),IF($E855="Non Inventory",IFERROR(VLOOKUP($C855,'Non Inventory'!$B:$H,7,FALSE()),0),IF($E855="Services",IFERROR(VLOOKUP($C855,Services!$B:$H,7,FALSE()),0),IF($E855="Patty Cash",IFERROR(VLOOKUP($C855,'Patty Cash'!$B:$H,7,FALSE()),0),0)))))</f>
        <v/>
      </c>
      <c r="I855" s="213"/>
      <c r="J855" s="214"/>
      <c r="K855" s="215"/>
      <c r="L855" s="197"/>
      <c r="M855" s="215"/>
      <c r="N855" s="216">
        <f>IFERROR(IF($E855="Inventory",VLOOKUP($C855,Inventory!$B:$I,8,FALSE()),IF($E855="Non Inventory",VLOOKUP($C855,'Non Inventory'!$B:$I,8,FALSE()),IF($E855="Services",VLOOKUP($C855,Services!$B:$I,8,FALSE()),IF($E855="Patty Cash",VLOOKUP($C855,'Patty Cash'!$B:$J,8,FALSE()),0)))),0)</f>
        <v>0</v>
      </c>
      <c r="O855" s="217" t="str">
        <f t="shared" si="13"/>
        <v/>
      </c>
    </row>
    <row r="856" spans="1:15" ht="23.1" customHeight="1">
      <c r="A856" s="206" t="str">
        <f>IF(AND($B856="",$C856=""),"",MAX($A$3:A855)+1)</f>
        <v/>
      </c>
      <c r="B856" s="207"/>
      <c r="C856" s="208"/>
      <c r="D856" s="209" t="str">
        <f>IFERROR(IF($E856="Inventory",VLOOKUP($C856,Inventory!$B:$I,2,FALSE()),IF($E856="Non Inventory",VLOOKUP($C856,'Non Inventory'!$B:$I,2,FALSE()),IF($E856="Services",VLOOKUP($C856,Services!$B:$I,2,FALSE()),IF($E856="Patty Cash",VLOOKUP($C856,'Patty Cash'!$B:$J,2,FALSE()),"")))),"")</f>
        <v/>
      </c>
      <c r="E856" s="246"/>
      <c r="F856" s="210" t="str">
        <f>IFERROR(IF($E856="Inventory",VLOOKUP($C856,Inventory!$B:$I,3,FALSE()),IF($E856="Non Inventory",VLOOKUP($C856,'Non Inventory'!$B:$I,3,FALSE()),IF($E856="Services",VLOOKUP($C856,Services!$B:$I,3,FALSE()),IF($E856="Patty Cash",VLOOKUP($C856,'Patty Cash'!$B:$J,3,FALSE()),"")))),"")</f>
        <v/>
      </c>
      <c r="G856" s="211"/>
      <c r="H856" s="212" t="str">
        <f>IF($E856="","",IF($E856="Inventory",IFERROR(VLOOKUP($C856,Inventory!$B:$H,7,FALSE()),0),IF($E856="Non Inventory",IFERROR(VLOOKUP($C856,'Non Inventory'!$B:$H,7,FALSE()),0),IF($E856="Services",IFERROR(VLOOKUP($C856,Services!$B:$H,7,FALSE()),0),IF($E856="Patty Cash",IFERROR(VLOOKUP($C856,'Patty Cash'!$B:$H,7,FALSE()),0),0)))))</f>
        <v/>
      </c>
      <c r="I856" s="213"/>
      <c r="J856" s="214"/>
      <c r="K856" s="215"/>
      <c r="L856" s="197"/>
      <c r="M856" s="215"/>
      <c r="N856" s="216">
        <f>IFERROR(IF($E856="Inventory",VLOOKUP($C856,Inventory!$B:$I,8,FALSE()),IF($E856="Non Inventory",VLOOKUP($C856,'Non Inventory'!$B:$I,8,FALSE()),IF($E856="Services",VLOOKUP($C856,Services!$B:$I,8,FALSE()),IF($E856="Patty Cash",VLOOKUP($C856,'Patty Cash'!$B:$J,8,FALSE()),0)))),0)</f>
        <v>0</v>
      </c>
      <c r="O856" s="217" t="str">
        <f t="shared" si="13"/>
        <v/>
      </c>
    </row>
    <row r="857" spans="1:15" ht="23.1" customHeight="1">
      <c r="A857" s="206" t="str">
        <f>IF(AND($B857="",$C857=""),"",MAX($A$3:A856)+1)</f>
        <v/>
      </c>
      <c r="B857" s="207"/>
      <c r="C857" s="208"/>
      <c r="D857" s="209" t="str">
        <f>IFERROR(IF($E857="Inventory",VLOOKUP($C857,Inventory!$B:$I,2,FALSE()),IF($E857="Non Inventory",VLOOKUP($C857,'Non Inventory'!$B:$I,2,FALSE()),IF($E857="Services",VLOOKUP($C857,Services!$B:$I,2,FALSE()),IF($E857="Patty Cash",VLOOKUP($C857,'Patty Cash'!$B:$J,2,FALSE()),"")))),"")</f>
        <v/>
      </c>
      <c r="E857" s="246"/>
      <c r="F857" s="210" t="str">
        <f>IFERROR(IF($E857="Inventory",VLOOKUP($C857,Inventory!$B:$I,3,FALSE()),IF($E857="Non Inventory",VLOOKUP($C857,'Non Inventory'!$B:$I,3,FALSE()),IF($E857="Services",VLOOKUP($C857,Services!$B:$I,3,FALSE()),IF($E857="Patty Cash",VLOOKUP($C857,'Patty Cash'!$B:$J,3,FALSE()),"")))),"")</f>
        <v/>
      </c>
      <c r="G857" s="211"/>
      <c r="H857" s="212" t="str">
        <f>IF($E857="","",IF($E857="Inventory",IFERROR(VLOOKUP($C857,Inventory!$B:$H,7,FALSE()),0),IF($E857="Non Inventory",IFERROR(VLOOKUP($C857,'Non Inventory'!$B:$H,7,FALSE()),0),IF($E857="Services",IFERROR(VLOOKUP($C857,Services!$B:$H,7,FALSE()),0),IF($E857="Patty Cash",IFERROR(VLOOKUP($C857,'Patty Cash'!$B:$H,7,FALSE()),0),0)))))</f>
        <v/>
      </c>
      <c r="I857" s="213"/>
      <c r="J857" s="214"/>
      <c r="K857" s="215"/>
      <c r="L857" s="197"/>
      <c r="M857" s="215"/>
      <c r="N857" s="216">
        <f>IFERROR(IF($E857="Inventory",VLOOKUP($C857,Inventory!$B:$I,8,FALSE()),IF($E857="Non Inventory",VLOOKUP($C857,'Non Inventory'!$B:$I,8,FALSE()),IF($E857="Services",VLOOKUP($C857,Services!$B:$I,8,FALSE()),IF($E857="Patty Cash",VLOOKUP($C857,'Patty Cash'!$B:$J,8,FALSE()),0)))),0)</f>
        <v>0</v>
      </c>
      <c r="O857" s="217" t="str">
        <f t="shared" si="13"/>
        <v/>
      </c>
    </row>
    <row r="858" spans="1:15" ht="23.1" customHeight="1">
      <c r="A858" s="206" t="str">
        <f>IF(AND($B858="",$C858=""),"",MAX($A$3:A857)+1)</f>
        <v/>
      </c>
      <c r="B858" s="207"/>
      <c r="C858" s="208"/>
      <c r="D858" s="209" t="str">
        <f>IFERROR(IF($E858="Inventory",VLOOKUP($C858,Inventory!$B:$I,2,FALSE()),IF($E858="Non Inventory",VLOOKUP($C858,'Non Inventory'!$B:$I,2,FALSE()),IF($E858="Services",VLOOKUP($C858,Services!$B:$I,2,FALSE()),IF($E858="Patty Cash",VLOOKUP($C858,'Patty Cash'!$B:$J,2,FALSE()),"")))),"")</f>
        <v/>
      </c>
      <c r="E858" s="246"/>
      <c r="F858" s="210" t="str">
        <f>IFERROR(IF($E858="Inventory",VLOOKUP($C858,Inventory!$B:$I,3,FALSE()),IF($E858="Non Inventory",VLOOKUP($C858,'Non Inventory'!$B:$I,3,FALSE()),IF($E858="Services",VLOOKUP($C858,Services!$B:$I,3,FALSE()),IF($E858="Patty Cash",VLOOKUP($C858,'Patty Cash'!$B:$J,3,FALSE()),"")))),"")</f>
        <v/>
      </c>
      <c r="G858" s="211"/>
      <c r="H858" s="212" t="str">
        <f>IF($E858="","",IF($E858="Inventory",IFERROR(VLOOKUP($C858,Inventory!$B:$H,7,FALSE()),0),IF($E858="Non Inventory",IFERROR(VLOOKUP($C858,'Non Inventory'!$B:$H,7,FALSE()),0),IF($E858="Services",IFERROR(VLOOKUP($C858,Services!$B:$H,7,FALSE()),0),IF($E858="Patty Cash",IFERROR(VLOOKUP($C858,'Patty Cash'!$B:$H,7,FALSE()),0),0)))))</f>
        <v/>
      </c>
      <c r="I858" s="213"/>
      <c r="J858" s="214"/>
      <c r="K858" s="215"/>
      <c r="L858" s="197"/>
      <c r="M858" s="215"/>
      <c r="N858" s="216">
        <f>IFERROR(IF($E858="Inventory",VLOOKUP($C858,Inventory!$B:$I,8,FALSE()),IF($E858="Non Inventory",VLOOKUP($C858,'Non Inventory'!$B:$I,8,FALSE()),IF($E858="Services",VLOOKUP($C858,Services!$B:$I,8,FALSE()),IF($E858="Patty Cash",VLOOKUP($C858,'Patty Cash'!$B:$J,8,FALSE()),0)))),0)</f>
        <v>0</v>
      </c>
      <c r="O858" s="217" t="str">
        <f t="shared" si="13"/>
        <v/>
      </c>
    </row>
    <row r="859" spans="1:15" ht="23.1" customHeight="1">
      <c r="A859" s="206" t="str">
        <f>IF(AND($B859="",$C859=""),"",MAX($A$3:A858)+1)</f>
        <v/>
      </c>
      <c r="B859" s="207"/>
      <c r="C859" s="208"/>
      <c r="D859" s="209" t="str">
        <f>IFERROR(IF($E859="Inventory",VLOOKUP($C859,Inventory!$B:$I,2,FALSE()),IF($E859="Non Inventory",VLOOKUP($C859,'Non Inventory'!$B:$I,2,FALSE()),IF($E859="Services",VLOOKUP($C859,Services!$B:$I,2,FALSE()),IF($E859="Patty Cash",VLOOKUP($C859,'Patty Cash'!$B:$J,2,FALSE()),"")))),"")</f>
        <v/>
      </c>
      <c r="E859" s="246"/>
      <c r="F859" s="210" t="str">
        <f>IFERROR(IF($E859="Inventory",VLOOKUP($C859,Inventory!$B:$I,3,FALSE()),IF($E859="Non Inventory",VLOOKUP($C859,'Non Inventory'!$B:$I,3,FALSE()),IF($E859="Services",VLOOKUP($C859,Services!$B:$I,3,FALSE()),IF($E859="Patty Cash",VLOOKUP($C859,'Patty Cash'!$B:$J,3,FALSE()),"")))),"")</f>
        <v/>
      </c>
      <c r="G859" s="211"/>
      <c r="H859" s="212" t="str">
        <f>IF($E859="","",IF($E859="Inventory",IFERROR(VLOOKUP($C859,Inventory!$B:$H,7,FALSE()),0),IF($E859="Non Inventory",IFERROR(VLOOKUP($C859,'Non Inventory'!$B:$H,7,FALSE()),0),IF($E859="Services",IFERROR(VLOOKUP($C859,Services!$B:$H,7,FALSE()),0),IF($E859="Patty Cash",IFERROR(VLOOKUP($C859,'Patty Cash'!$B:$H,7,FALSE()),0),0)))))</f>
        <v/>
      </c>
      <c r="I859" s="213"/>
      <c r="J859" s="214"/>
      <c r="K859" s="215"/>
      <c r="L859" s="197"/>
      <c r="M859" s="215"/>
      <c r="N859" s="216">
        <f>IFERROR(IF($E859="Inventory",VLOOKUP($C859,Inventory!$B:$I,8,FALSE()),IF($E859="Non Inventory",VLOOKUP($C859,'Non Inventory'!$B:$I,8,FALSE()),IF($E859="Services",VLOOKUP($C859,Services!$B:$I,8,FALSE()),IF($E859="Patty Cash",VLOOKUP($C859,'Patty Cash'!$B:$J,8,FALSE()),0)))),0)</f>
        <v>0</v>
      </c>
      <c r="O859" s="217" t="str">
        <f t="shared" si="13"/>
        <v/>
      </c>
    </row>
    <row r="860" spans="1:15" ht="23.1" customHeight="1">
      <c r="A860" s="206" t="str">
        <f>IF(AND($B860="",$C860=""),"",MAX($A$3:A859)+1)</f>
        <v/>
      </c>
      <c r="B860" s="207"/>
      <c r="C860" s="208"/>
      <c r="D860" s="209" t="str">
        <f>IFERROR(IF($E860="Inventory",VLOOKUP($C860,Inventory!$B:$I,2,FALSE()),IF($E860="Non Inventory",VLOOKUP($C860,'Non Inventory'!$B:$I,2,FALSE()),IF($E860="Services",VLOOKUP($C860,Services!$B:$I,2,FALSE()),IF($E860="Patty Cash",VLOOKUP($C860,'Patty Cash'!$B:$J,2,FALSE()),"")))),"")</f>
        <v/>
      </c>
      <c r="E860" s="246"/>
      <c r="F860" s="210" t="str">
        <f>IFERROR(IF($E860="Inventory",VLOOKUP($C860,Inventory!$B:$I,3,FALSE()),IF($E860="Non Inventory",VLOOKUP($C860,'Non Inventory'!$B:$I,3,FALSE()),IF($E860="Services",VLOOKUP($C860,Services!$B:$I,3,FALSE()),IF($E860="Patty Cash",VLOOKUP($C860,'Patty Cash'!$B:$J,3,FALSE()),"")))),"")</f>
        <v/>
      </c>
      <c r="G860" s="211"/>
      <c r="H860" s="212" t="str">
        <f>IF($E860="","",IF($E860="Inventory",IFERROR(VLOOKUP($C860,Inventory!$B:$H,7,FALSE()),0),IF($E860="Non Inventory",IFERROR(VLOOKUP($C860,'Non Inventory'!$B:$H,7,FALSE()),0),IF($E860="Services",IFERROR(VLOOKUP($C860,Services!$B:$H,7,FALSE()),0),IF($E860="Patty Cash",IFERROR(VLOOKUP($C860,'Patty Cash'!$B:$H,7,FALSE()),0),0)))))</f>
        <v/>
      </c>
      <c r="I860" s="213"/>
      <c r="J860" s="214"/>
      <c r="K860" s="215"/>
      <c r="L860" s="197"/>
      <c r="M860" s="215"/>
      <c r="N860" s="216">
        <f>IFERROR(IF($E860="Inventory",VLOOKUP($C860,Inventory!$B:$I,8,FALSE()),IF($E860="Non Inventory",VLOOKUP($C860,'Non Inventory'!$B:$I,8,FALSE()),IF($E860="Services",VLOOKUP($C860,Services!$B:$I,8,FALSE()),IF($E860="Patty Cash",VLOOKUP($C860,'Patty Cash'!$B:$J,8,FALSE()),0)))),0)</f>
        <v>0</v>
      </c>
      <c r="O860" s="217" t="str">
        <f t="shared" si="13"/>
        <v/>
      </c>
    </row>
    <row r="861" spans="1:15" ht="23.1" customHeight="1">
      <c r="A861" s="206" t="str">
        <f>IF(AND($B861="",$C861=""),"",MAX($A$3:A860)+1)</f>
        <v/>
      </c>
      <c r="B861" s="207"/>
      <c r="C861" s="208"/>
      <c r="D861" s="209" t="str">
        <f>IFERROR(IF($E861="Inventory",VLOOKUP($C861,Inventory!$B:$I,2,FALSE()),IF($E861="Non Inventory",VLOOKUP($C861,'Non Inventory'!$B:$I,2,FALSE()),IF($E861="Services",VLOOKUP($C861,Services!$B:$I,2,FALSE()),IF($E861="Patty Cash",VLOOKUP($C861,'Patty Cash'!$B:$J,2,FALSE()),"")))),"")</f>
        <v/>
      </c>
      <c r="E861" s="246"/>
      <c r="F861" s="210" t="str">
        <f>IFERROR(IF($E861="Inventory",VLOOKUP($C861,Inventory!$B:$I,3,FALSE()),IF($E861="Non Inventory",VLOOKUP($C861,'Non Inventory'!$B:$I,3,FALSE()),IF($E861="Services",VLOOKUP($C861,Services!$B:$I,3,FALSE()),IF($E861="Patty Cash",VLOOKUP($C861,'Patty Cash'!$B:$J,3,FALSE()),"")))),"")</f>
        <v/>
      </c>
      <c r="G861" s="211"/>
      <c r="H861" s="212" t="str">
        <f>IF($E861="","",IF($E861="Inventory",IFERROR(VLOOKUP($C861,Inventory!$B:$H,7,FALSE()),0),IF($E861="Non Inventory",IFERROR(VLOOKUP($C861,'Non Inventory'!$B:$H,7,FALSE()),0),IF($E861="Services",IFERROR(VLOOKUP($C861,Services!$B:$H,7,FALSE()),0),IF($E861="Patty Cash",IFERROR(VLOOKUP($C861,'Patty Cash'!$B:$H,7,FALSE()),0),0)))))</f>
        <v/>
      </c>
      <c r="I861" s="213"/>
      <c r="J861" s="214"/>
      <c r="K861" s="215"/>
      <c r="L861" s="197"/>
      <c r="M861" s="215"/>
      <c r="N861" s="216">
        <f>IFERROR(IF($E861="Inventory",VLOOKUP($C861,Inventory!$B:$I,8,FALSE()),IF($E861="Non Inventory",VLOOKUP($C861,'Non Inventory'!$B:$I,8,FALSE()),IF($E861="Services",VLOOKUP($C861,Services!$B:$I,8,FALSE()),IF($E861="Patty Cash",VLOOKUP($C861,'Patty Cash'!$B:$J,8,FALSE()),0)))),0)</f>
        <v>0</v>
      </c>
      <c r="O861" s="217" t="str">
        <f t="shared" si="13"/>
        <v/>
      </c>
    </row>
    <row r="862" spans="1:15" ht="23.1" customHeight="1">
      <c r="A862" s="206" t="str">
        <f>IF(AND($B862="",$C862=""),"",MAX($A$3:A861)+1)</f>
        <v/>
      </c>
      <c r="B862" s="207"/>
      <c r="C862" s="208"/>
      <c r="D862" s="209" t="str">
        <f>IFERROR(IF($E862="Inventory",VLOOKUP($C862,Inventory!$B:$I,2,FALSE()),IF($E862="Non Inventory",VLOOKUP($C862,'Non Inventory'!$B:$I,2,FALSE()),IF($E862="Services",VLOOKUP($C862,Services!$B:$I,2,FALSE()),IF($E862="Patty Cash",VLOOKUP($C862,'Patty Cash'!$B:$J,2,FALSE()),"")))),"")</f>
        <v/>
      </c>
      <c r="E862" s="246"/>
      <c r="F862" s="210" t="str">
        <f>IFERROR(IF($E862="Inventory",VLOOKUP($C862,Inventory!$B:$I,3,FALSE()),IF($E862="Non Inventory",VLOOKUP($C862,'Non Inventory'!$B:$I,3,FALSE()),IF($E862="Services",VLOOKUP($C862,Services!$B:$I,3,FALSE()),IF($E862="Patty Cash",VLOOKUP($C862,'Patty Cash'!$B:$J,3,FALSE()),"")))),"")</f>
        <v/>
      </c>
      <c r="G862" s="211"/>
      <c r="H862" s="212" t="str">
        <f>IF($E862="","",IF($E862="Inventory",IFERROR(VLOOKUP($C862,Inventory!$B:$H,7,FALSE()),0),IF($E862="Non Inventory",IFERROR(VLOOKUP($C862,'Non Inventory'!$B:$H,7,FALSE()),0),IF($E862="Services",IFERROR(VLOOKUP($C862,Services!$B:$H,7,FALSE()),0),IF($E862="Patty Cash",IFERROR(VLOOKUP($C862,'Patty Cash'!$B:$H,7,FALSE()),0),0)))))</f>
        <v/>
      </c>
      <c r="I862" s="213"/>
      <c r="J862" s="214"/>
      <c r="K862" s="215"/>
      <c r="L862" s="197"/>
      <c r="M862" s="215"/>
      <c r="N862" s="216">
        <f>IFERROR(IF($E862="Inventory",VLOOKUP($C862,Inventory!$B:$I,8,FALSE()),IF($E862="Non Inventory",VLOOKUP($C862,'Non Inventory'!$B:$I,8,FALSE()),IF($E862="Services",VLOOKUP($C862,Services!$B:$I,8,FALSE()),IF($E862="Patty Cash",VLOOKUP($C862,'Patty Cash'!$B:$J,8,FALSE()),0)))),0)</f>
        <v>0</v>
      </c>
      <c r="O862" s="217" t="str">
        <f t="shared" si="13"/>
        <v/>
      </c>
    </row>
    <row r="863" spans="1:15" ht="23.1" customHeight="1">
      <c r="A863" s="206" t="str">
        <f>IF(AND($B863="",$C863=""),"",MAX($A$3:A862)+1)</f>
        <v/>
      </c>
      <c r="B863" s="207"/>
      <c r="C863" s="208"/>
      <c r="D863" s="209" t="str">
        <f>IFERROR(IF($E863="Inventory",VLOOKUP($C863,Inventory!$B:$I,2,FALSE()),IF($E863="Non Inventory",VLOOKUP($C863,'Non Inventory'!$B:$I,2,FALSE()),IF($E863="Services",VLOOKUP($C863,Services!$B:$I,2,FALSE()),IF($E863="Patty Cash",VLOOKUP($C863,'Patty Cash'!$B:$J,2,FALSE()),"")))),"")</f>
        <v/>
      </c>
      <c r="E863" s="246"/>
      <c r="F863" s="210" t="str">
        <f>IFERROR(IF($E863="Inventory",VLOOKUP($C863,Inventory!$B:$I,3,FALSE()),IF($E863="Non Inventory",VLOOKUP($C863,'Non Inventory'!$B:$I,3,FALSE()),IF($E863="Services",VLOOKUP($C863,Services!$B:$I,3,FALSE()),IF($E863="Patty Cash",VLOOKUP($C863,'Patty Cash'!$B:$J,3,FALSE()),"")))),"")</f>
        <v/>
      </c>
      <c r="G863" s="211"/>
      <c r="H863" s="212" t="str">
        <f>IF($E863="","",IF($E863="Inventory",IFERROR(VLOOKUP($C863,Inventory!$B:$H,7,FALSE()),0),IF($E863="Non Inventory",IFERROR(VLOOKUP($C863,'Non Inventory'!$B:$H,7,FALSE()),0),IF($E863="Services",IFERROR(VLOOKUP($C863,Services!$B:$H,7,FALSE()),0),IF($E863="Patty Cash",IFERROR(VLOOKUP($C863,'Patty Cash'!$B:$H,7,FALSE()),0),0)))))</f>
        <v/>
      </c>
      <c r="I863" s="213"/>
      <c r="J863" s="214"/>
      <c r="K863" s="215"/>
      <c r="L863" s="197"/>
      <c r="M863" s="215"/>
      <c r="N863" s="216">
        <f>IFERROR(IF($E863="Inventory",VLOOKUP($C863,Inventory!$B:$I,8,FALSE()),IF($E863="Non Inventory",VLOOKUP($C863,'Non Inventory'!$B:$I,8,FALSE()),IF($E863="Services",VLOOKUP($C863,Services!$B:$I,8,FALSE()),IF($E863="Patty Cash",VLOOKUP($C863,'Patty Cash'!$B:$J,8,FALSE()),0)))),0)</f>
        <v>0</v>
      </c>
      <c r="O863" s="217" t="str">
        <f t="shared" si="13"/>
        <v/>
      </c>
    </row>
    <row r="864" spans="1:15" ht="23.1" customHeight="1">
      <c r="A864" s="206" t="str">
        <f>IF(AND($B864="",$C864=""),"",MAX($A$3:A863)+1)</f>
        <v/>
      </c>
      <c r="B864" s="207"/>
      <c r="C864" s="208"/>
      <c r="D864" s="209" t="str">
        <f>IFERROR(IF($E864="Inventory",VLOOKUP($C864,Inventory!$B:$I,2,FALSE()),IF($E864="Non Inventory",VLOOKUP($C864,'Non Inventory'!$B:$I,2,FALSE()),IF($E864="Services",VLOOKUP($C864,Services!$B:$I,2,FALSE()),IF($E864="Patty Cash",VLOOKUP($C864,'Patty Cash'!$B:$J,2,FALSE()),"")))),"")</f>
        <v/>
      </c>
      <c r="E864" s="246"/>
      <c r="F864" s="210" t="str">
        <f>IFERROR(IF($E864="Inventory",VLOOKUP($C864,Inventory!$B:$I,3,FALSE()),IF($E864="Non Inventory",VLOOKUP($C864,'Non Inventory'!$B:$I,3,FALSE()),IF($E864="Services",VLOOKUP($C864,Services!$B:$I,3,FALSE()),IF($E864="Patty Cash",VLOOKUP($C864,'Patty Cash'!$B:$J,3,FALSE()),"")))),"")</f>
        <v/>
      </c>
      <c r="G864" s="211"/>
      <c r="H864" s="212" t="str">
        <f>IF($E864="","",IF($E864="Inventory",IFERROR(VLOOKUP($C864,Inventory!$B:$H,7,FALSE()),0),IF($E864="Non Inventory",IFERROR(VLOOKUP($C864,'Non Inventory'!$B:$H,7,FALSE()),0),IF($E864="Services",IFERROR(VLOOKUP($C864,Services!$B:$H,7,FALSE()),0),IF($E864="Patty Cash",IFERROR(VLOOKUP($C864,'Patty Cash'!$B:$H,7,FALSE()),0),0)))))</f>
        <v/>
      </c>
      <c r="I864" s="213"/>
      <c r="J864" s="214"/>
      <c r="K864" s="215"/>
      <c r="L864" s="197"/>
      <c r="M864" s="215"/>
      <c r="N864" s="216">
        <f>IFERROR(IF($E864="Inventory",VLOOKUP($C864,Inventory!$B:$I,8,FALSE()),IF($E864="Non Inventory",VLOOKUP($C864,'Non Inventory'!$B:$I,8,FALSE()),IF($E864="Services",VLOOKUP($C864,Services!$B:$I,8,FALSE()),IF($E864="Patty Cash",VLOOKUP($C864,'Patty Cash'!$B:$J,8,FALSE()),0)))),0)</f>
        <v>0</v>
      </c>
      <c r="O864" s="217" t="str">
        <f t="shared" si="13"/>
        <v/>
      </c>
    </row>
    <row r="865" spans="1:15" ht="23.1" customHeight="1">
      <c r="A865" s="206" t="str">
        <f>IF(AND($B865="",$C865=""),"",MAX($A$3:A864)+1)</f>
        <v/>
      </c>
      <c r="B865" s="207"/>
      <c r="C865" s="208"/>
      <c r="D865" s="209" t="str">
        <f>IFERROR(IF($E865="Inventory",VLOOKUP($C865,Inventory!$B:$I,2,FALSE()),IF($E865="Non Inventory",VLOOKUP($C865,'Non Inventory'!$B:$I,2,FALSE()),IF($E865="Services",VLOOKUP($C865,Services!$B:$I,2,FALSE()),IF($E865="Patty Cash",VLOOKUP($C865,'Patty Cash'!$B:$J,2,FALSE()),"")))),"")</f>
        <v/>
      </c>
      <c r="E865" s="246"/>
      <c r="F865" s="210" t="str">
        <f>IFERROR(IF($E865="Inventory",VLOOKUP($C865,Inventory!$B:$I,3,FALSE()),IF($E865="Non Inventory",VLOOKUP($C865,'Non Inventory'!$B:$I,3,FALSE()),IF($E865="Services",VLOOKUP($C865,Services!$B:$I,3,FALSE()),IF($E865="Patty Cash",VLOOKUP($C865,'Patty Cash'!$B:$J,3,FALSE()),"")))),"")</f>
        <v/>
      </c>
      <c r="G865" s="211"/>
      <c r="H865" s="212" t="str">
        <f>IF($E865="","",IF($E865="Inventory",IFERROR(VLOOKUP($C865,Inventory!$B:$H,7,FALSE()),0),IF($E865="Non Inventory",IFERROR(VLOOKUP($C865,'Non Inventory'!$B:$H,7,FALSE()),0),IF($E865="Services",IFERROR(VLOOKUP($C865,Services!$B:$H,7,FALSE()),0),IF($E865="Patty Cash",IFERROR(VLOOKUP($C865,'Patty Cash'!$B:$H,7,FALSE()),0),0)))))</f>
        <v/>
      </c>
      <c r="I865" s="213"/>
      <c r="J865" s="214"/>
      <c r="K865" s="215"/>
      <c r="L865" s="197"/>
      <c r="M865" s="215"/>
      <c r="N865" s="216">
        <f>IFERROR(IF($E865="Inventory",VLOOKUP($C865,Inventory!$B:$I,8,FALSE()),IF($E865="Non Inventory",VLOOKUP($C865,'Non Inventory'!$B:$I,8,FALSE()),IF($E865="Services",VLOOKUP($C865,Services!$B:$I,8,FALSE()),IF($E865="Patty Cash",VLOOKUP($C865,'Patty Cash'!$B:$J,8,FALSE()),0)))),0)</f>
        <v>0</v>
      </c>
      <c r="O865" s="217" t="str">
        <f t="shared" si="13"/>
        <v/>
      </c>
    </row>
    <row r="866" spans="1:15" ht="23.1" customHeight="1">
      <c r="A866" s="206" t="str">
        <f>IF(AND($B866="",$C866=""),"",MAX($A$3:A865)+1)</f>
        <v/>
      </c>
      <c r="B866" s="207"/>
      <c r="C866" s="208"/>
      <c r="D866" s="209" t="str">
        <f>IFERROR(IF($E866="Inventory",VLOOKUP($C866,Inventory!$B:$I,2,FALSE()),IF($E866="Non Inventory",VLOOKUP($C866,'Non Inventory'!$B:$I,2,FALSE()),IF($E866="Services",VLOOKUP($C866,Services!$B:$I,2,FALSE()),IF($E866="Patty Cash",VLOOKUP($C866,'Patty Cash'!$B:$J,2,FALSE()),"")))),"")</f>
        <v/>
      </c>
      <c r="E866" s="246"/>
      <c r="F866" s="210" t="str">
        <f>IFERROR(IF($E866="Inventory",VLOOKUP($C866,Inventory!$B:$I,3,FALSE()),IF($E866="Non Inventory",VLOOKUP($C866,'Non Inventory'!$B:$I,3,FALSE()),IF($E866="Services",VLOOKUP($C866,Services!$B:$I,3,FALSE()),IF($E866="Patty Cash",VLOOKUP($C866,'Patty Cash'!$B:$J,3,FALSE()),"")))),"")</f>
        <v/>
      </c>
      <c r="G866" s="211"/>
      <c r="H866" s="212" t="str">
        <f>IF($E866="","",IF($E866="Inventory",IFERROR(VLOOKUP($C866,Inventory!$B:$H,7,FALSE()),0),IF($E866="Non Inventory",IFERROR(VLOOKUP($C866,'Non Inventory'!$B:$H,7,FALSE()),0),IF($E866="Services",IFERROR(VLOOKUP($C866,Services!$B:$H,7,FALSE()),0),IF($E866="Patty Cash",IFERROR(VLOOKUP($C866,'Patty Cash'!$B:$H,7,FALSE()),0),0)))))</f>
        <v/>
      </c>
      <c r="I866" s="213"/>
      <c r="J866" s="214"/>
      <c r="K866" s="215"/>
      <c r="L866" s="197"/>
      <c r="M866" s="215"/>
      <c r="N866" s="216">
        <f>IFERROR(IF($E866="Inventory",VLOOKUP($C866,Inventory!$B:$I,8,FALSE()),IF($E866="Non Inventory",VLOOKUP($C866,'Non Inventory'!$B:$I,8,FALSE()),IF($E866="Services",VLOOKUP($C866,Services!$B:$I,8,FALSE()),IF($E866="Patty Cash",VLOOKUP($C866,'Patty Cash'!$B:$J,8,FALSE()),0)))),0)</f>
        <v>0</v>
      </c>
      <c r="O866" s="217" t="str">
        <f t="shared" si="13"/>
        <v/>
      </c>
    </row>
    <row r="867" spans="1:15" ht="23.1" customHeight="1">
      <c r="A867" s="206" t="str">
        <f>IF(AND($B867="",$C867=""),"",MAX($A$3:A866)+1)</f>
        <v/>
      </c>
      <c r="B867" s="207"/>
      <c r="C867" s="208"/>
      <c r="D867" s="209" t="str">
        <f>IFERROR(IF($E867="Inventory",VLOOKUP($C867,Inventory!$B:$I,2,FALSE()),IF($E867="Non Inventory",VLOOKUP($C867,'Non Inventory'!$B:$I,2,FALSE()),IF($E867="Services",VLOOKUP($C867,Services!$B:$I,2,FALSE()),IF($E867="Patty Cash",VLOOKUP($C867,'Patty Cash'!$B:$J,2,FALSE()),"")))),"")</f>
        <v/>
      </c>
      <c r="E867" s="246"/>
      <c r="F867" s="210" t="str">
        <f>IFERROR(IF($E867="Inventory",VLOOKUP($C867,Inventory!$B:$I,3,FALSE()),IF($E867="Non Inventory",VLOOKUP($C867,'Non Inventory'!$B:$I,3,FALSE()),IF($E867="Services",VLOOKUP($C867,Services!$B:$I,3,FALSE()),IF($E867="Patty Cash",VLOOKUP($C867,'Patty Cash'!$B:$J,3,FALSE()),"")))),"")</f>
        <v/>
      </c>
      <c r="G867" s="211"/>
      <c r="H867" s="212" t="str">
        <f>IF($E867="","",IF($E867="Inventory",IFERROR(VLOOKUP($C867,Inventory!$B:$H,7,FALSE()),0),IF($E867="Non Inventory",IFERROR(VLOOKUP($C867,'Non Inventory'!$B:$H,7,FALSE()),0),IF($E867="Services",IFERROR(VLOOKUP($C867,Services!$B:$H,7,FALSE()),0),IF($E867="Patty Cash",IFERROR(VLOOKUP($C867,'Patty Cash'!$B:$H,7,FALSE()),0),0)))))</f>
        <v/>
      </c>
      <c r="I867" s="213"/>
      <c r="J867" s="214"/>
      <c r="K867" s="215"/>
      <c r="L867" s="197"/>
      <c r="M867" s="215"/>
      <c r="N867" s="216">
        <f>IFERROR(IF($E867="Inventory",VLOOKUP($C867,Inventory!$B:$I,8,FALSE()),IF($E867="Non Inventory",VLOOKUP($C867,'Non Inventory'!$B:$I,8,FALSE()),IF($E867="Services",VLOOKUP($C867,Services!$B:$I,8,FALSE()),IF($E867="Patty Cash",VLOOKUP($C867,'Patty Cash'!$B:$J,8,FALSE()),0)))),0)</f>
        <v>0</v>
      </c>
      <c r="O867" s="217" t="str">
        <f t="shared" si="13"/>
        <v/>
      </c>
    </row>
    <row r="868" spans="1:15" ht="23.1" customHeight="1">
      <c r="A868" s="206" t="str">
        <f>IF(AND($B868="",$C868=""),"",MAX($A$3:A867)+1)</f>
        <v/>
      </c>
      <c r="B868" s="207"/>
      <c r="C868" s="208"/>
      <c r="D868" s="209" t="str">
        <f>IFERROR(IF($E868="Inventory",VLOOKUP($C868,Inventory!$B:$I,2,FALSE()),IF($E868="Non Inventory",VLOOKUP($C868,'Non Inventory'!$B:$I,2,FALSE()),IF($E868="Services",VLOOKUP($C868,Services!$B:$I,2,FALSE()),IF($E868="Patty Cash",VLOOKUP($C868,'Patty Cash'!$B:$J,2,FALSE()),"")))),"")</f>
        <v/>
      </c>
      <c r="E868" s="246"/>
      <c r="F868" s="210" t="str">
        <f>IFERROR(IF($E868="Inventory",VLOOKUP($C868,Inventory!$B:$I,3,FALSE()),IF($E868="Non Inventory",VLOOKUP($C868,'Non Inventory'!$B:$I,3,FALSE()),IF($E868="Services",VLOOKUP($C868,Services!$B:$I,3,FALSE()),IF($E868="Patty Cash",VLOOKUP($C868,'Patty Cash'!$B:$J,3,FALSE()),"")))),"")</f>
        <v/>
      </c>
      <c r="G868" s="211"/>
      <c r="H868" s="212" t="str">
        <f>IF($E868="","",IF($E868="Inventory",IFERROR(VLOOKUP($C868,Inventory!$B:$H,7,FALSE()),0),IF($E868="Non Inventory",IFERROR(VLOOKUP($C868,'Non Inventory'!$B:$H,7,FALSE()),0),IF($E868="Services",IFERROR(VLOOKUP($C868,Services!$B:$H,7,FALSE()),0),IF($E868="Patty Cash",IFERROR(VLOOKUP($C868,'Patty Cash'!$B:$H,7,FALSE()),0),0)))))</f>
        <v/>
      </c>
      <c r="I868" s="213"/>
      <c r="J868" s="214"/>
      <c r="K868" s="215"/>
      <c r="L868" s="197"/>
      <c r="M868" s="215"/>
      <c r="N868" s="216">
        <f>IFERROR(IF($E868="Inventory",VLOOKUP($C868,Inventory!$B:$I,8,FALSE()),IF($E868="Non Inventory",VLOOKUP($C868,'Non Inventory'!$B:$I,8,FALSE()),IF($E868="Services",VLOOKUP($C868,Services!$B:$I,8,FALSE()),IF($E868="Patty Cash",VLOOKUP($C868,'Patty Cash'!$B:$J,8,FALSE()),0)))),0)</f>
        <v>0</v>
      </c>
      <c r="O868" s="217" t="str">
        <f t="shared" si="13"/>
        <v/>
      </c>
    </row>
    <row r="869" spans="1:15" ht="23.1" customHeight="1">
      <c r="A869" s="206" t="str">
        <f>IF(AND($B869="",$C869=""),"",MAX($A$3:A868)+1)</f>
        <v/>
      </c>
      <c r="B869" s="207"/>
      <c r="C869" s="208"/>
      <c r="D869" s="209" t="str">
        <f>IFERROR(IF($E869="Inventory",VLOOKUP($C869,Inventory!$B:$I,2,FALSE()),IF($E869="Non Inventory",VLOOKUP($C869,'Non Inventory'!$B:$I,2,FALSE()),IF($E869="Services",VLOOKUP($C869,Services!$B:$I,2,FALSE()),IF($E869="Patty Cash",VLOOKUP($C869,'Patty Cash'!$B:$J,2,FALSE()),"")))),"")</f>
        <v/>
      </c>
      <c r="E869" s="246"/>
      <c r="F869" s="210" t="str">
        <f>IFERROR(IF($E869="Inventory",VLOOKUP($C869,Inventory!$B:$I,3,FALSE()),IF($E869="Non Inventory",VLOOKUP($C869,'Non Inventory'!$B:$I,3,FALSE()),IF($E869="Services",VLOOKUP($C869,Services!$B:$I,3,FALSE()),IF($E869="Patty Cash",VLOOKUP($C869,'Patty Cash'!$B:$J,3,FALSE()),"")))),"")</f>
        <v/>
      </c>
      <c r="G869" s="211"/>
      <c r="H869" s="212" t="str">
        <f>IF($E869="","",IF($E869="Inventory",IFERROR(VLOOKUP($C869,Inventory!$B:$H,7,FALSE()),0),IF($E869="Non Inventory",IFERROR(VLOOKUP($C869,'Non Inventory'!$B:$H,7,FALSE()),0),IF($E869="Services",IFERROR(VLOOKUP($C869,Services!$B:$H,7,FALSE()),0),IF($E869="Patty Cash",IFERROR(VLOOKUP($C869,'Patty Cash'!$B:$H,7,FALSE()),0),0)))))</f>
        <v/>
      </c>
      <c r="I869" s="213"/>
      <c r="J869" s="214"/>
      <c r="K869" s="215"/>
      <c r="L869" s="197"/>
      <c r="M869" s="215"/>
      <c r="N869" s="216">
        <f>IFERROR(IF($E869="Inventory",VLOOKUP($C869,Inventory!$B:$I,8,FALSE()),IF($E869="Non Inventory",VLOOKUP($C869,'Non Inventory'!$B:$I,8,FALSE()),IF($E869="Services",VLOOKUP($C869,Services!$B:$I,8,FALSE()),IF($E869="Patty Cash",VLOOKUP($C869,'Patty Cash'!$B:$J,8,FALSE()),0)))),0)</f>
        <v>0</v>
      </c>
      <c r="O869" s="217" t="str">
        <f t="shared" si="13"/>
        <v/>
      </c>
    </row>
    <row r="870" spans="1:15" ht="23.1" customHeight="1">
      <c r="A870" s="206" t="str">
        <f>IF(AND($B870="",$C870=""),"",MAX($A$3:A869)+1)</f>
        <v/>
      </c>
      <c r="B870" s="207"/>
      <c r="C870" s="208"/>
      <c r="D870" s="209" t="str">
        <f>IFERROR(IF($E870="Inventory",VLOOKUP($C870,Inventory!$B:$I,2,FALSE()),IF($E870="Non Inventory",VLOOKUP($C870,'Non Inventory'!$B:$I,2,FALSE()),IF($E870="Services",VLOOKUP($C870,Services!$B:$I,2,FALSE()),IF($E870="Patty Cash",VLOOKUP($C870,'Patty Cash'!$B:$J,2,FALSE()),"")))),"")</f>
        <v/>
      </c>
      <c r="E870" s="246"/>
      <c r="F870" s="210" t="str">
        <f>IFERROR(IF($E870="Inventory",VLOOKUP($C870,Inventory!$B:$I,3,FALSE()),IF($E870="Non Inventory",VLOOKUP($C870,'Non Inventory'!$B:$I,3,FALSE()),IF($E870="Services",VLOOKUP($C870,Services!$B:$I,3,FALSE()),IF($E870="Patty Cash",VLOOKUP($C870,'Patty Cash'!$B:$J,3,FALSE()),"")))),"")</f>
        <v/>
      </c>
      <c r="G870" s="211"/>
      <c r="H870" s="212" t="str">
        <f>IF($E870="","",IF($E870="Inventory",IFERROR(VLOOKUP($C870,Inventory!$B:$H,7,FALSE()),0),IF($E870="Non Inventory",IFERROR(VLOOKUP($C870,'Non Inventory'!$B:$H,7,FALSE()),0),IF($E870="Services",IFERROR(VLOOKUP($C870,Services!$B:$H,7,FALSE()),0),IF($E870="Patty Cash",IFERROR(VLOOKUP($C870,'Patty Cash'!$B:$H,7,FALSE()),0),0)))))</f>
        <v/>
      </c>
      <c r="I870" s="213"/>
      <c r="J870" s="214"/>
      <c r="K870" s="215"/>
      <c r="L870" s="197"/>
      <c r="M870" s="215"/>
      <c r="N870" s="216">
        <f>IFERROR(IF($E870="Inventory",VLOOKUP($C870,Inventory!$B:$I,8,FALSE()),IF($E870="Non Inventory",VLOOKUP($C870,'Non Inventory'!$B:$I,8,FALSE()),IF($E870="Services",VLOOKUP($C870,Services!$B:$I,8,FALSE()),IF($E870="Patty Cash",VLOOKUP($C870,'Patty Cash'!$B:$J,8,FALSE()),0)))),0)</f>
        <v>0</v>
      </c>
      <c r="O870" s="217" t="str">
        <f t="shared" si="13"/>
        <v/>
      </c>
    </row>
    <row r="871" spans="1:15" ht="23.1" customHeight="1">
      <c r="A871" s="206" t="str">
        <f>IF(AND($B871="",$C871=""),"",MAX($A$3:A870)+1)</f>
        <v/>
      </c>
      <c r="B871" s="207"/>
      <c r="C871" s="208"/>
      <c r="D871" s="209" t="str">
        <f>IFERROR(IF($E871="Inventory",VLOOKUP($C871,Inventory!$B:$I,2,FALSE()),IF($E871="Non Inventory",VLOOKUP($C871,'Non Inventory'!$B:$I,2,FALSE()),IF($E871="Services",VLOOKUP($C871,Services!$B:$I,2,FALSE()),IF($E871="Patty Cash",VLOOKUP($C871,'Patty Cash'!$B:$J,2,FALSE()),"")))),"")</f>
        <v/>
      </c>
      <c r="E871" s="246"/>
      <c r="F871" s="210" t="str">
        <f>IFERROR(IF($E871="Inventory",VLOOKUP($C871,Inventory!$B:$I,3,FALSE()),IF($E871="Non Inventory",VLOOKUP($C871,'Non Inventory'!$B:$I,3,FALSE()),IF($E871="Services",VLOOKUP($C871,Services!$B:$I,3,FALSE()),IF($E871="Patty Cash",VLOOKUP($C871,'Patty Cash'!$B:$J,3,FALSE()),"")))),"")</f>
        <v/>
      </c>
      <c r="G871" s="211"/>
      <c r="H871" s="212" t="str">
        <f>IF($E871="","",IF($E871="Inventory",IFERROR(VLOOKUP($C871,Inventory!$B:$H,7,FALSE()),0),IF($E871="Non Inventory",IFERROR(VLOOKUP($C871,'Non Inventory'!$B:$H,7,FALSE()),0),IF($E871="Services",IFERROR(VLOOKUP($C871,Services!$B:$H,7,FALSE()),0),IF($E871="Patty Cash",IFERROR(VLOOKUP($C871,'Patty Cash'!$B:$H,7,FALSE()),0),0)))))</f>
        <v/>
      </c>
      <c r="I871" s="213"/>
      <c r="J871" s="214"/>
      <c r="K871" s="215"/>
      <c r="L871" s="197"/>
      <c r="M871" s="215"/>
      <c r="N871" s="216">
        <f>IFERROR(IF($E871="Inventory",VLOOKUP($C871,Inventory!$B:$I,8,FALSE()),IF($E871="Non Inventory",VLOOKUP($C871,'Non Inventory'!$B:$I,8,FALSE()),IF($E871="Services",VLOOKUP($C871,Services!$B:$I,8,FALSE()),IF($E871="Patty Cash",VLOOKUP($C871,'Patty Cash'!$B:$J,8,FALSE()),0)))),0)</f>
        <v>0</v>
      </c>
      <c r="O871" s="217" t="str">
        <f t="shared" si="13"/>
        <v/>
      </c>
    </row>
    <row r="872" spans="1:15" ht="23.1" customHeight="1">
      <c r="A872" s="206" t="str">
        <f>IF(AND($B872="",$C872=""),"",MAX($A$3:A871)+1)</f>
        <v/>
      </c>
      <c r="B872" s="207"/>
      <c r="C872" s="208"/>
      <c r="D872" s="209" t="str">
        <f>IFERROR(IF($E872="Inventory",VLOOKUP($C872,Inventory!$B:$I,2,FALSE()),IF($E872="Non Inventory",VLOOKUP($C872,'Non Inventory'!$B:$I,2,FALSE()),IF($E872="Services",VLOOKUP($C872,Services!$B:$I,2,FALSE()),IF($E872="Patty Cash",VLOOKUP($C872,'Patty Cash'!$B:$J,2,FALSE()),"")))),"")</f>
        <v/>
      </c>
      <c r="E872" s="246"/>
      <c r="F872" s="210" t="str">
        <f>IFERROR(IF($E872="Inventory",VLOOKUP($C872,Inventory!$B:$I,3,FALSE()),IF($E872="Non Inventory",VLOOKUP($C872,'Non Inventory'!$B:$I,3,FALSE()),IF($E872="Services",VLOOKUP($C872,Services!$B:$I,3,FALSE()),IF($E872="Patty Cash",VLOOKUP($C872,'Patty Cash'!$B:$J,3,FALSE()),"")))),"")</f>
        <v/>
      </c>
      <c r="G872" s="211"/>
      <c r="H872" s="212" t="str">
        <f>IF($E872="","",IF($E872="Inventory",IFERROR(VLOOKUP($C872,Inventory!$B:$H,7,FALSE()),0),IF($E872="Non Inventory",IFERROR(VLOOKUP($C872,'Non Inventory'!$B:$H,7,FALSE()),0),IF($E872="Services",IFERROR(VLOOKUP($C872,Services!$B:$H,7,FALSE()),0),IF($E872="Patty Cash",IFERROR(VLOOKUP($C872,'Patty Cash'!$B:$H,7,FALSE()),0),0)))))</f>
        <v/>
      </c>
      <c r="I872" s="213"/>
      <c r="J872" s="214"/>
      <c r="K872" s="215"/>
      <c r="L872" s="197"/>
      <c r="M872" s="215"/>
      <c r="N872" s="216">
        <f>IFERROR(IF($E872="Inventory",VLOOKUP($C872,Inventory!$B:$I,8,FALSE()),IF($E872="Non Inventory",VLOOKUP($C872,'Non Inventory'!$B:$I,8,FALSE()),IF($E872="Services",VLOOKUP($C872,Services!$B:$I,8,FALSE()),IF($E872="Patty Cash",VLOOKUP($C872,'Patty Cash'!$B:$J,8,FALSE()),0)))),0)</f>
        <v>0</v>
      </c>
      <c r="O872" s="217" t="str">
        <f t="shared" si="13"/>
        <v/>
      </c>
    </row>
    <row r="873" spans="1:15" ht="23.1" customHeight="1">
      <c r="A873" s="206" t="str">
        <f>IF(AND($B873="",$C873=""),"",MAX($A$3:A872)+1)</f>
        <v/>
      </c>
      <c r="B873" s="207"/>
      <c r="C873" s="208"/>
      <c r="D873" s="209" t="str">
        <f>IFERROR(IF($E873="Inventory",VLOOKUP($C873,Inventory!$B:$I,2,FALSE()),IF($E873="Non Inventory",VLOOKUP($C873,'Non Inventory'!$B:$I,2,FALSE()),IF($E873="Services",VLOOKUP($C873,Services!$B:$I,2,FALSE()),IF($E873="Patty Cash",VLOOKUP($C873,'Patty Cash'!$B:$J,2,FALSE()),"")))),"")</f>
        <v/>
      </c>
      <c r="E873" s="246"/>
      <c r="F873" s="210" t="str">
        <f>IFERROR(IF($E873="Inventory",VLOOKUP($C873,Inventory!$B:$I,3,FALSE()),IF($E873="Non Inventory",VLOOKUP($C873,'Non Inventory'!$B:$I,3,FALSE()),IF($E873="Services",VLOOKUP($C873,Services!$B:$I,3,FALSE()),IF($E873="Patty Cash",VLOOKUP($C873,'Patty Cash'!$B:$J,3,FALSE()),"")))),"")</f>
        <v/>
      </c>
      <c r="G873" s="211"/>
      <c r="H873" s="212" t="str">
        <f>IF($E873="","",IF($E873="Inventory",IFERROR(VLOOKUP($C873,Inventory!$B:$H,7,FALSE()),0),IF($E873="Non Inventory",IFERROR(VLOOKUP($C873,'Non Inventory'!$B:$H,7,FALSE()),0),IF($E873="Services",IFERROR(VLOOKUP($C873,Services!$B:$H,7,FALSE()),0),IF($E873="Patty Cash",IFERROR(VLOOKUP($C873,'Patty Cash'!$B:$H,7,FALSE()),0),0)))))</f>
        <v/>
      </c>
      <c r="I873" s="213"/>
      <c r="J873" s="214"/>
      <c r="K873" s="215"/>
      <c r="L873" s="197"/>
      <c r="M873" s="215"/>
      <c r="N873" s="216">
        <f>IFERROR(IF($E873="Inventory",VLOOKUP($C873,Inventory!$B:$I,8,FALSE()),IF($E873="Non Inventory",VLOOKUP($C873,'Non Inventory'!$B:$I,8,FALSE()),IF($E873="Services",VLOOKUP($C873,Services!$B:$I,8,FALSE()),IF($E873="Patty Cash",VLOOKUP($C873,'Patty Cash'!$B:$J,8,FALSE()),0)))),0)</f>
        <v>0</v>
      </c>
      <c r="O873" s="217" t="str">
        <f t="shared" si="13"/>
        <v/>
      </c>
    </row>
    <row r="874" spans="1:15" ht="23.1" customHeight="1">
      <c r="A874" s="206" t="str">
        <f>IF(AND($B874="",$C874=""),"",MAX($A$3:A873)+1)</f>
        <v/>
      </c>
      <c r="B874" s="207"/>
      <c r="C874" s="208"/>
      <c r="D874" s="209" t="str">
        <f>IFERROR(IF($E874="Inventory",VLOOKUP($C874,Inventory!$B:$I,2,FALSE()),IF($E874="Non Inventory",VLOOKUP($C874,'Non Inventory'!$B:$I,2,FALSE()),IF($E874="Services",VLOOKUP($C874,Services!$B:$I,2,FALSE()),IF($E874="Patty Cash",VLOOKUP($C874,'Patty Cash'!$B:$J,2,FALSE()),"")))),"")</f>
        <v/>
      </c>
      <c r="E874" s="246"/>
      <c r="F874" s="210" t="str">
        <f>IFERROR(IF($E874="Inventory",VLOOKUP($C874,Inventory!$B:$I,3,FALSE()),IF($E874="Non Inventory",VLOOKUP($C874,'Non Inventory'!$B:$I,3,FALSE()),IF($E874="Services",VLOOKUP($C874,Services!$B:$I,3,FALSE()),IF($E874="Patty Cash",VLOOKUP($C874,'Patty Cash'!$B:$J,3,FALSE()),"")))),"")</f>
        <v/>
      </c>
      <c r="G874" s="211"/>
      <c r="H874" s="212" t="str">
        <f>IF($E874="","",IF($E874="Inventory",IFERROR(VLOOKUP($C874,Inventory!$B:$H,7,FALSE()),0),IF($E874="Non Inventory",IFERROR(VLOOKUP($C874,'Non Inventory'!$B:$H,7,FALSE()),0),IF($E874="Services",IFERROR(VLOOKUP($C874,Services!$B:$H,7,FALSE()),0),IF($E874="Patty Cash",IFERROR(VLOOKUP($C874,'Patty Cash'!$B:$H,7,FALSE()),0),0)))))</f>
        <v/>
      </c>
      <c r="I874" s="213"/>
      <c r="J874" s="214"/>
      <c r="K874" s="215"/>
      <c r="L874" s="197"/>
      <c r="M874" s="215"/>
      <c r="N874" s="216">
        <f>IFERROR(IF($E874="Inventory",VLOOKUP($C874,Inventory!$B:$I,8,FALSE()),IF($E874="Non Inventory",VLOOKUP($C874,'Non Inventory'!$B:$I,8,FALSE()),IF($E874="Services",VLOOKUP($C874,Services!$B:$I,8,FALSE()),IF($E874="Patty Cash",VLOOKUP($C874,'Patty Cash'!$B:$J,8,FALSE()),0)))),0)</f>
        <v>0</v>
      </c>
      <c r="O874" s="217" t="str">
        <f t="shared" si="13"/>
        <v/>
      </c>
    </row>
    <row r="875" spans="1:15" ht="23.1" customHeight="1">
      <c r="A875" s="206" t="str">
        <f>IF(AND($B875="",$C875=""),"",MAX($A$3:A874)+1)</f>
        <v/>
      </c>
      <c r="B875" s="207"/>
      <c r="C875" s="208"/>
      <c r="D875" s="209" t="str">
        <f>IFERROR(IF($E875="Inventory",VLOOKUP($C875,Inventory!$B:$I,2,FALSE()),IF($E875="Non Inventory",VLOOKUP($C875,'Non Inventory'!$B:$I,2,FALSE()),IF($E875="Services",VLOOKUP($C875,Services!$B:$I,2,FALSE()),IF($E875="Patty Cash",VLOOKUP($C875,'Patty Cash'!$B:$J,2,FALSE()),"")))),"")</f>
        <v/>
      </c>
      <c r="E875" s="246"/>
      <c r="F875" s="210" t="str">
        <f>IFERROR(IF($E875="Inventory",VLOOKUP($C875,Inventory!$B:$I,3,FALSE()),IF($E875="Non Inventory",VLOOKUP($C875,'Non Inventory'!$B:$I,3,FALSE()),IF($E875="Services",VLOOKUP($C875,Services!$B:$I,3,FALSE()),IF($E875="Patty Cash",VLOOKUP($C875,'Patty Cash'!$B:$J,3,FALSE()),"")))),"")</f>
        <v/>
      </c>
      <c r="G875" s="211"/>
      <c r="H875" s="212" t="str">
        <f>IF($E875="","",IF($E875="Inventory",IFERROR(VLOOKUP($C875,Inventory!$B:$H,7,FALSE()),0),IF($E875="Non Inventory",IFERROR(VLOOKUP($C875,'Non Inventory'!$B:$H,7,FALSE()),0),IF($E875="Services",IFERROR(VLOOKUP($C875,Services!$B:$H,7,FALSE()),0),IF($E875="Patty Cash",IFERROR(VLOOKUP($C875,'Patty Cash'!$B:$H,7,FALSE()),0),0)))))</f>
        <v/>
      </c>
      <c r="I875" s="213"/>
      <c r="J875" s="214"/>
      <c r="K875" s="215"/>
      <c r="L875" s="197"/>
      <c r="M875" s="215"/>
      <c r="N875" s="216">
        <f>IFERROR(IF($E875="Inventory",VLOOKUP($C875,Inventory!$B:$I,8,FALSE()),IF($E875="Non Inventory",VLOOKUP($C875,'Non Inventory'!$B:$I,8,FALSE()),IF($E875="Services",VLOOKUP($C875,Services!$B:$I,8,FALSE()),IF($E875="Patty Cash",VLOOKUP($C875,'Patty Cash'!$B:$J,8,FALSE()),0)))),0)</f>
        <v>0</v>
      </c>
      <c r="O875" s="217" t="str">
        <f t="shared" si="13"/>
        <v/>
      </c>
    </row>
    <row r="876" spans="1:15" ht="23.1" customHeight="1">
      <c r="A876" s="206" t="str">
        <f>IF(AND($B876="",$C876=""),"",MAX($A$3:A875)+1)</f>
        <v/>
      </c>
      <c r="B876" s="207"/>
      <c r="C876" s="208"/>
      <c r="D876" s="209" t="str">
        <f>IFERROR(IF($E876="Inventory",VLOOKUP($C876,Inventory!$B:$I,2,FALSE()),IF($E876="Non Inventory",VLOOKUP($C876,'Non Inventory'!$B:$I,2,FALSE()),IF($E876="Services",VLOOKUP($C876,Services!$B:$I,2,FALSE()),IF($E876="Patty Cash",VLOOKUP($C876,'Patty Cash'!$B:$J,2,FALSE()),"")))),"")</f>
        <v/>
      </c>
      <c r="E876" s="246"/>
      <c r="F876" s="210" t="str">
        <f>IFERROR(IF($E876="Inventory",VLOOKUP($C876,Inventory!$B:$I,3,FALSE()),IF($E876="Non Inventory",VLOOKUP($C876,'Non Inventory'!$B:$I,3,FALSE()),IF($E876="Services",VLOOKUP($C876,Services!$B:$I,3,FALSE()),IF($E876="Patty Cash",VLOOKUP($C876,'Patty Cash'!$B:$J,3,FALSE()),"")))),"")</f>
        <v/>
      </c>
      <c r="G876" s="211"/>
      <c r="H876" s="212" t="str">
        <f>IF($E876="","",IF($E876="Inventory",IFERROR(VLOOKUP($C876,Inventory!$B:$H,7,FALSE()),0),IF($E876="Non Inventory",IFERROR(VLOOKUP($C876,'Non Inventory'!$B:$H,7,FALSE()),0),IF($E876="Services",IFERROR(VLOOKUP($C876,Services!$B:$H,7,FALSE()),0),IF($E876="Patty Cash",IFERROR(VLOOKUP($C876,'Patty Cash'!$B:$H,7,FALSE()),0),0)))))</f>
        <v/>
      </c>
      <c r="I876" s="213"/>
      <c r="J876" s="214"/>
      <c r="K876" s="215"/>
      <c r="L876" s="197"/>
      <c r="M876" s="215"/>
      <c r="N876" s="216">
        <f>IFERROR(IF($E876="Inventory",VLOOKUP($C876,Inventory!$B:$I,8,FALSE()),IF($E876="Non Inventory",VLOOKUP($C876,'Non Inventory'!$B:$I,8,FALSE()),IF($E876="Services",VLOOKUP($C876,Services!$B:$I,8,FALSE()),IF($E876="Patty Cash",VLOOKUP($C876,'Patty Cash'!$B:$J,8,FALSE()),0)))),0)</f>
        <v>0</v>
      </c>
      <c r="O876" s="217" t="str">
        <f t="shared" si="13"/>
        <v/>
      </c>
    </row>
    <row r="877" spans="1:15" ht="23.1" customHeight="1">
      <c r="A877" s="206" t="str">
        <f>IF(AND($B877="",$C877=""),"",MAX($A$3:A876)+1)</f>
        <v/>
      </c>
      <c r="B877" s="207"/>
      <c r="C877" s="208"/>
      <c r="D877" s="209" t="str">
        <f>IFERROR(IF($E877="Inventory",VLOOKUP($C877,Inventory!$B:$I,2,FALSE()),IF($E877="Non Inventory",VLOOKUP($C877,'Non Inventory'!$B:$I,2,FALSE()),IF($E877="Services",VLOOKUP($C877,Services!$B:$I,2,FALSE()),IF($E877="Patty Cash",VLOOKUP($C877,'Patty Cash'!$B:$J,2,FALSE()),"")))),"")</f>
        <v/>
      </c>
      <c r="E877" s="246"/>
      <c r="F877" s="210" t="str">
        <f>IFERROR(IF($E877="Inventory",VLOOKUP($C877,Inventory!$B:$I,3,FALSE()),IF($E877="Non Inventory",VLOOKUP($C877,'Non Inventory'!$B:$I,3,FALSE()),IF($E877="Services",VLOOKUP($C877,Services!$B:$I,3,FALSE()),IF($E877="Patty Cash",VLOOKUP($C877,'Patty Cash'!$B:$J,3,FALSE()),"")))),"")</f>
        <v/>
      </c>
      <c r="G877" s="211"/>
      <c r="H877" s="212" t="str">
        <f>IF($E877="","",IF($E877="Inventory",IFERROR(VLOOKUP($C877,Inventory!$B:$H,7,FALSE()),0),IF($E877="Non Inventory",IFERROR(VLOOKUP($C877,'Non Inventory'!$B:$H,7,FALSE()),0),IF($E877="Services",IFERROR(VLOOKUP($C877,Services!$B:$H,7,FALSE()),0),IF($E877="Patty Cash",IFERROR(VLOOKUP($C877,'Patty Cash'!$B:$H,7,FALSE()),0),0)))))</f>
        <v/>
      </c>
      <c r="I877" s="213"/>
      <c r="J877" s="214"/>
      <c r="K877" s="215"/>
      <c r="L877" s="197"/>
      <c r="M877" s="215"/>
      <c r="N877" s="216">
        <f>IFERROR(IF($E877="Inventory",VLOOKUP($C877,Inventory!$B:$I,8,FALSE()),IF($E877="Non Inventory",VLOOKUP($C877,'Non Inventory'!$B:$I,8,FALSE()),IF($E877="Services",VLOOKUP($C877,Services!$B:$I,8,FALSE()),IF($E877="Patty Cash",VLOOKUP($C877,'Patty Cash'!$B:$J,8,FALSE()),0)))),0)</f>
        <v>0</v>
      </c>
      <c r="O877" s="217" t="str">
        <f t="shared" si="13"/>
        <v/>
      </c>
    </row>
    <row r="878" spans="1:15" ht="23.1" customHeight="1">
      <c r="A878" s="206" t="str">
        <f>IF(AND($B878="",$C878=""),"",MAX($A$3:A877)+1)</f>
        <v/>
      </c>
      <c r="B878" s="207"/>
      <c r="C878" s="208"/>
      <c r="D878" s="209" t="str">
        <f>IFERROR(IF($E878="Inventory",VLOOKUP($C878,Inventory!$B:$I,2,FALSE()),IF($E878="Non Inventory",VLOOKUP($C878,'Non Inventory'!$B:$I,2,FALSE()),IF($E878="Services",VLOOKUP($C878,Services!$B:$I,2,FALSE()),IF($E878="Patty Cash",VLOOKUP($C878,'Patty Cash'!$B:$J,2,FALSE()),"")))),"")</f>
        <v/>
      </c>
      <c r="E878" s="246"/>
      <c r="F878" s="210" t="str">
        <f>IFERROR(IF($E878="Inventory",VLOOKUP($C878,Inventory!$B:$I,3,FALSE()),IF($E878="Non Inventory",VLOOKUP($C878,'Non Inventory'!$B:$I,3,FALSE()),IF($E878="Services",VLOOKUP($C878,Services!$B:$I,3,FALSE()),IF($E878="Patty Cash",VLOOKUP($C878,'Patty Cash'!$B:$J,3,FALSE()),"")))),"")</f>
        <v/>
      </c>
      <c r="G878" s="211"/>
      <c r="H878" s="212" t="str">
        <f>IF($E878="","",IF($E878="Inventory",IFERROR(VLOOKUP($C878,Inventory!$B:$H,7,FALSE()),0),IF($E878="Non Inventory",IFERROR(VLOOKUP($C878,'Non Inventory'!$B:$H,7,FALSE()),0),IF($E878="Services",IFERROR(VLOOKUP($C878,Services!$B:$H,7,FALSE()),0),IF($E878="Patty Cash",IFERROR(VLOOKUP($C878,'Patty Cash'!$B:$H,7,FALSE()),0),0)))))</f>
        <v/>
      </c>
      <c r="I878" s="213"/>
      <c r="J878" s="214"/>
      <c r="K878" s="215"/>
      <c r="L878" s="197"/>
      <c r="M878" s="215"/>
      <c r="N878" s="216">
        <f>IFERROR(IF($E878="Inventory",VLOOKUP($C878,Inventory!$B:$I,8,FALSE()),IF($E878="Non Inventory",VLOOKUP($C878,'Non Inventory'!$B:$I,8,FALSE()),IF($E878="Services",VLOOKUP($C878,Services!$B:$I,8,FALSE()),IF($E878="Patty Cash",VLOOKUP($C878,'Patty Cash'!$B:$J,8,FALSE()),0)))),0)</f>
        <v>0</v>
      </c>
      <c r="O878" s="217" t="str">
        <f t="shared" si="13"/>
        <v/>
      </c>
    </row>
    <row r="879" spans="1:15" ht="23.1" customHeight="1">
      <c r="A879" s="206" t="str">
        <f>IF(AND($B879="",$C879=""),"",MAX($A$3:A878)+1)</f>
        <v/>
      </c>
      <c r="B879" s="207"/>
      <c r="C879" s="208"/>
      <c r="D879" s="209" t="str">
        <f>IFERROR(IF($E879="Inventory",VLOOKUP($C879,Inventory!$B:$I,2,FALSE()),IF($E879="Non Inventory",VLOOKUP($C879,'Non Inventory'!$B:$I,2,FALSE()),IF($E879="Services",VLOOKUP($C879,Services!$B:$I,2,FALSE()),IF($E879="Patty Cash",VLOOKUP($C879,'Patty Cash'!$B:$J,2,FALSE()),"")))),"")</f>
        <v/>
      </c>
      <c r="E879" s="246"/>
      <c r="F879" s="210" t="str">
        <f>IFERROR(IF($E879="Inventory",VLOOKUP($C879,Inventory!$B:$I,3,FALSE()),IF($E879="Non Inventory",VLOOKUP($C879,'Non Inventory'!$B:$I,3,FALSE()),IF($E879="Services",VLOOKUP($C879,Services!$B:$I,3,FALSE()),IF($E879="Patty Cash",VLOOKUP($C879,'Patty Cash'!$B:$J,3,FALSE()),"")))),"")</f>
        <v/>
      </c>
      <c r="G879" s="211"/>
      <c r="H879" s="212" t="str">
        <f>IF($E879="","",IF($E879="Inventory",IFERROR(VLOOKUP($C879,Inventory!$B:$H,7,FALSE()),0),IF($E879="Non Inventory",IFERROR(VLOOKUP($C879,'Non Inventory'!$B:$H,7,FALSE()),0),IF($E879="Services",IFERROR(VLOOKUP($C879,Services!$B:$H,7,FALSE()),0),IF($E879="Patty Cash",IFERROR(VLOOKUP($C879,'Patty Cash'!$B:$H,7,FALSE()),0),0)))))</f>
        <v/>
      </c>
      <c r="I879" s="213"/>
      <c r="J879" s="214"/>
      <c r="K879" s="215"/>
      <c r="L879" s="197"/>
      <c r="M879" s="215"/>
      <c r="N879" s="216">
        <f>IFERROR(IF($E879="Inventory",VLOOKUP($C879,Inventory!$B:$I,8,FALSE()),IF($E879="Non Inventory",VLOOKUP($C879,'Non Inventory'!$B:$I,8,FALSE()),IF($E879="Services",VLOOKUP($C879,Services!$B:$I,8,FALSE()),IF($E879="Patty Cash",VLOOKUP($C879,'Patty Cash'!$B:$J,8,FALSE()),0)))),0)</f>
        <v>0</v>
      </c>
      <c r="O879" s="217" t="str">
        <f t="shared" si="13"/>
        <v/>
      </c>
    </row>
    <row r="880" spans="1:15" ht="23.1" customHeight="1">
      <c r="A880" s="206" t="str">
        <f>IF(AND($B880="",$C880=""),"",MAX($A$3:A879)+1)</f>
        <v/>
      </c>
      <c r="B880" s="207"/>
      <c r="C880" s="208"/>
      <c r="D880" s="209" t="str">
        <f>IFERROR(IF($E880="Inventory",VLOOKUP($C880,Inventory!$B:$I,2,FALSE()),IF($E880="Non Inventory",VLOOKUP($C880,'Non Inventory'!$B:$I,2,FALSE()),IF($E880="Services",VLOOKUP($C880,Services!$B:$I,2,FALSE()),IF($E880="Patty Cash",VLOOKUP($C880,'Patty Cash'!$B:$J,2,FALSE()),"")))),"")</f>
        <v/>
      </c>
      <c r="E880" s="246"/>
      <c r="F880" s="210" t="str">
        <f>IFERROR(IF($E880="Inventory",VLOOKUP($C880,Inventory!$B:$I,3,FALSE()),IF($E880="Non Inventory",VLOOKUP($C880,'Non Inventory'!$B:$I,3,FALSE()),IF($E880="Services",VLOOKUP($C880,Services!$B:$I,3,FALSE()),IF($E880="Patty Cash",VLOOKUP($C880,'Patty Cash'!$B:$J,3,FALSE()),"")))),"")</f>
        <v/>
      </c>
      <c r="G880" s="211"/>
      <c r="H880" s="212" t="str">
        <f>IF($E880="","",IF($E880="Inventory",IFERROR(VLOOKUP($C880,Inventory!$B:$H,7,FALSE()),0),IF($E880="Non Inventory",IFERROR(VLOOKUP($C880,'Non Inventory'!$B:$H,7,FALSE()),0),IF($E880="Services",IFERROR(VLOOKUP($C880,Services!$B:$H,7,FALSE()),0),IF($E880="Patty Cash",IFERROR(VLOOKUP($C880,'Patty Cash'!$B:$H,7,FALSE()),0),0)))))</f>
        <v/>
      </c>
      <c r="I880" s="213"/>
      <c r="J880" s="214"/>
      <c r="K880" s="215"/>
      <c r="L880" s="197"/>
      <c r="M880" s="215"/>
      <c r="N880" s="216">
        <f>IFERROR(IF($E880="Inventory",VLOOKUP($C880,Inventory!$B:$I,8,FALSE()),IF($E880="Non Inventory",VLOOKUP($C880,'Non Inventory'!$B:$I,8,FALSE()),IF($E880="Services",VLOOKUP($C880,Services!$B:$I,8,FALSE()),IF($E880="Patty Cash",VLOOKUP($C880,'Patty Cash'!$B:$J,8,FALSE()),0)))),0)</f>
        <v>0</v>
      </c>
      <c r="O880" s="217" t="str">
        <f t="shared" si="13"/>
        <v/>
      </c>
    </row>
    <row r="881" spans="1:15" ht="23.1" customHeight="1">
      <c r="A881" s="206" t="str">
        <f>IF(AND($B881="",$C881=""),"",MAX($A$3:A880)+1)</f>
        <v/>
      </c>
      <c r="B881" s="207"/>
      <c r="C881" s="208"/>
      <c r="D881" s="209" t="str">
        <f>IFERROR(IF($E881="Inventory",VLOOKUP($C881,Inventory!$B:$I,2,FALSE()),IF($E881="Non Inventory",VLOOKUP($C881,'Non Inventory'!$B:$I,2,FALSE()),IF($E881="Services",VLOOKUP($C881,Services!$B:$I,2,FALSE()),IF($E881="Patty Cash",VLOOKUP($C881,'Patty Cash'!$B:$J,2,FALSE()),"")))),"")</f>
        <v/>
      </c>
      <c r="E881" s="246"/>
      <c r="F881" s="210" t="str">
        <f>IFERROR(IF($E881="Inventory",VLOOKUP($C881,Inventory!$B:$I,3,FALSE()),IF($E881="Non Inventory",VLOOKUP($C881,'Non Inventory'!$B:$I,3,FALSE()),IF($E881="Services",VLOOKUP($C881,Services!$B:$I,3,FALSE()),IF($E881="Patty Cash",VLOOKUP($C881,'Patty Cash'!$B:$J,3,FALSE()),"")))),"")</f>
        <v/>
      </c>
      <c r="G881" s="211"/>
      <c r="H881" s="212" t="str">
        <f>IF($E881="","",IF($E881="Inventory",IFERROR(VLOOKUP($C881,Inventory!$B:$H,7,FALSE()),0),IF($E881="Non Inventory",IFERROR(VLOOKUP($C881,'Non Inventory'!$B:$H,7,FALSE()),0),IF($E881="Services",IFERROR(VLOOKUP($C881,Services!$B:$H,7,FALSE()),0),IF($E881="Patty Cash",IFERROR(VLOOKUP($C881,'Patty Cash'!$B:$H,7,FALSE()),0),0)))))</f>
        <v/>
      </c>
      <c r="I881" s="213"/>
      <c r="J881" s="214"/>
      <c r="K881" s="215"/>
      <c r="L881" s="197"/>
      <c r="M881" s="215"/>
      <c r="N881" s="216">
        <f>IFERROR(IF($E881="Inventory",VLOOKUP($C881,Inventory!$B:$I,8,FALSE()),IF($E881="Non Inventory",VLOOKUP($C881,'Non Inventory'!$B:$I,8,FALSE()),IF($E881="Services",VLOOKUP($C881,Services!$B:$I,8,FALSE()),IF($E881="Patty Cash",VLOOKUP($C881,'Patty Cash'!$B:$J,8,FALSE()),0)))),0)</f>
        <v>0</v>
      </c>
      <c r="O881" s="217" t="str">
        <f t="shared" si="13"/>
        <v/>
      </c>
    </row>
    <row r="882" spans="1:15" ht="23.1" customHeight="1">
      <c r="A882" s="206" t="str">
        <f>IF(AND($B882="",$C882=""),"",MAX($A$3:A881)+1)</f>
        <v/>
      </c>
      <c r="B882" s="207"/>
      <c r="C882" s="208"/>
      <c r="D882" s="209" t="str">
        <f>IFERROR(IF($E882="Inventory",VLOOKUP($C882,Inventory!$B:$I,2,FALSE()),IF($E882="Non Inventory",VLOOKUP($C882,'Non Inventory'!$B:$I,2,FALSE()),IF($E882="Services",VLOOKUP($C882,Services!$B:$I,2,FALSE()),IF($E882="Patty Cash",VLOOKUP($C882,'Patty Cash'!$B:$J,2,FALSE()),"")))),"")</f>
        <v/>
      </c>
      <c r="E882" s="246"/>
      <c r="F882" s="210" t="str">
        <f>IFERROR(IF($E882="Inventory",VLOOKUP($C882,Inventory!$B:$I,3,FALSE()),IF($E882="Non Inventory",VLOOKUP($C882,'Non Inventory'!$B:$I,3,FALSE()),IF($E882="Services",VLOOKUP($C882,Services!$B:$I,3,FALSE()),IF($E882="Patty Cash",VLOOKUP($C882,'Patty Cash'!$B:$J,3,FALSE()),"")))),"")</f>
        <v/>
      </c>
      <c r="G882" s="211"/>
      <c r="H882" s="212" t="str">
        <f>IF($E882="","",IF($E882="Inventory",IFERROR(VLOOKUP($C882,Inventory!$B:$H,7,FALSE()),0),IF($E882="Non Inventory",IFERROR(VLOOKUP($C882,'Non Inventory'!$B:$H,7,FALSE()),0),IF($E882="Services",IFERROR(VLOOKUP($C882,Services!$B:$H,7,FALSE()),0),IF($E882="Patty Cash",IFERROR(VLOOKUP($C882,'Patty Cash'!$B:$H,7,FALSE()),0),0)))))</f>
        <v/>
      </c>
      <c r="I882" s="213"/>
      <c r="J882" s="214"/>
      <c r="K882" s="215"/>
      <c r="L882" s="197"/>
      <c r="M882" s="215"/>
      <c r="N882" s="216">
        <f>IFERROR(IF($E882="Inventory",VLOOKUP($C882,Inventory!$B:$I,8,FALSE()),IF($E882="Non Inventory",VLOOKUP($C882,'Non Inventory'!$B:$I,8,FALSE()),IF($E882="Services",VLOOKUP($C882,Services!$B:$I,8,FALSE()),IF($E882="Patty Cash",VLOOKUP($C882,'Patty Cash'!$B:$J,8,FALSE()),0)))),0)</f>
        <v>0</v>
      </c>
      <c r="O882" s="217" t="str">
        <f t="shared" si="13"/>
        <v/>
      </c>
    </row>
    <row r="883" spans="1:15" ht="23.1" customHeight="1">
      <c r="A883" s="206" t="str">
        <f>IF(AND($B883="",$C883=""),"",MAX($A$3:A882)+1)</f>
        <v/>
      </c>
      <c r="B883" s="207"/>
      <c r="C883" s="208"/>
      <c r="D883" s="209" t="str">
        <f>IFERROR(IF($E883="Inventory",VLOOKUP($C883,Inventory!$B:$I,2,FALSE()),IF($E883="Non Inventory",VLOOKUP($C883,'Non Inventory'!$B:$I,2,FALSE()),IF($E883="Services",VLOOKUP($C883,Services!$B:$I,2,FALSE()),IF($E883="Patty Cash",VLOOKUP($C883,'Patty Cash'!$B:$J,2,FALSE()),"")))),"")</f>
        <v/>
      </c>
      <c r="E883" s="246"/>
      <c r="F883" s="210" t="str">
        <f>IFERROR(IF($E883="Inventory",VLOOKUP($C883,Inventory!$B:$I,3,FALSE()),IF($E883="Non Inventory",VLOOKUP($C883,'Non Inventory'!$B:$I,3,FALSE()),IF($E883="Services",VLOOKUP($C883,Services!$B:$I,3,FALSE()),IF($E883="Patty Cash",VLOOKUP($C883,'Patty Cash'!$B:$J,3,FALSE()),"")))),"")</f>
        <v/>
      </c>
      <c r="G883" s="211"/>
      <c r="H883" s="212" t="str">
        <f>IF($E883="","",IF($E883="Inventory",IFERROR(VLOOKUP($C883,Inventory!$B:$H,7,FALSE()),0),IF($E883="Non Inventory",IFERROR(VLOOKUP($C883,'Non Inventory'!$B:$H,7,FALSE()),0),IF($E883="Services",IFERROR(VLOOKUP($C883,Services!$B:$H,7,FALSE()),0),IF($E883="Patty Cash",IFERROR(VLOOKUP($C883,'Patty Cash'!$B:$H,7,FALSE()),0),0)))))</f>
        <v/>
      </c>
      <c r="I883" s="213"/>
      <c r="J883" s="214"/>
      <c r="K883" s="215"/>
      <c r="L883" s="197"/>
      <c r="M883" s="215"/>
      <c r="N883" s="216">
        <f>IFERROR(IF($E883="Inventory",VLOOKUP($C883,Inventory!$B:$I,8,FALSE()),IF($E883="Non Inventory",VLOOKUP($C883,'Non Inventory'!$B:$I,8,FALSE()),IF($E883="Services",VLOOKUP($C883,Services!$B:$I,8,FALSE()),IF($E883="Patty Cash",VLOOKUP($C883,'Patty Cash'!$B:$J,8,FALSE()),0)))),0)</f>
        <v>0</v>
      </c>
      <c r="O883" s="217" t="str">
        <f t="shared" si="13"/>
        <v/>
      </c>
    </row>
    <row r="884" spans="1:15" ht="23.1" customHeight="1">
      <c r="A884" s="206" t="str">
        <f>IF(AND($B884="",$C884=""),"",MAX($A$3:A883)+1)</f>
        <v/>
      </c>
      <c r="B884" s="207"/>
      <c r="C884" s="208"/>
      <c r="D884" s="209" t="str">
        <f>IFERROR(IF($E884="Inventory",VLOOKUP($C884,Inventory!$B:$I,2,FALSE()),IF($E884="Non Inventory",VLOOKUP($C884,'Non Inventory'!$B:$I,2,FALSE()),IF($E884="Services",VLOOKUP($C884,Services!$B:$I,2,FALSE()),IF($E884="Patty Cash",VLOOKUP($C884,'Patty Cash'!$B:$J,2,FALSE()),"")))),"")</f>
        <v/>
      </c>
      <c r="E884" s="246"/>
      <c r="F884" s="210" t="str">
        <f>IFERROR(IF($E884="Inventory",VLOOKUP($C884,Inventory!$B:$I,3,FALSE()),IF($E884="Non Inventory",VLOOKUP($C884,'Non Inventory'!$B:$I,3,FALSE()),IF($E884="Services",VLOOKUP($C884,Services!$B:$I,3,FALSE()),IF($E884="Patty Cash",VLOOKUP($C884,'Patty Cash'!$B:$J,3,FALSE()),"")))),"")</f>
        <v/>
      </c>
      <c r="G884" s="211"/>
      <c r="H884" s="212" t="str">
        <f>IF($E884="","",IF($E884="Inventory",IFERROR(VLOOKUP($C884,Inventory!$B:$H,7,FALSE()),0),IF($E884="Non Inventory",IFERROR(VLOOKUP($C884,'Non Inventory'!$B:$H,7,FALSE()),0),IF($E884="Services",IFERROR(VLOOKUP($C884,Services!$B:$H,7,FALSE()),0),IF($E884="Patty Cash",IFERROR(VLOOKUP($C884,'Patty Cash'!$B:$H,7,FALSE()),0),0)))))</f>
        <v/>
      </c>
      <c r="I884" s="213"/>
      <c r="J884" s="214"/>
      <c r="K884" s="215"/>
      <c r="L884" s="197"/>
      <c r="M884" s="215"/>
      <c r="N884" s="216">
        <f>IFERROR(IF($E884="Inventory",VLOOKUP($C884,Inventory!$B:$I,8,FALSE()),IF($E884="Non Inventory",VLOOKUP($C884,'Non Inventory'!$B:$I,8,FALSE()),IF($E884="Services",VLOOKUP($C884,Services!$B:$I,8,FALSE()),IF($E884="Patty Cash",VLOOKUP($C884,'Patty Cash'!$B:$J,8,FALSE()),0)))),0)</f>
        <v>0</v>
      </c>
      <c r="O884" s="217" t="str">
        <f t="shared" si="13"/>
        <v/>
      </c>
    </row>
    <row r="885" spans="1:15" ht="23.1" customHeight="1">
      <c r="A885" s="206" t="str">
        <f>IF(AND($B885="",$C885=""),"",MAX($A$3:A884)+1)</f>
        <v/>
      </c>
      <c r="B885" s="207"/>
      <c r="C885" s="208"/>
      <c r="D885" s="209" t="str">
        <f>IFERROR(IF($E885="Inventory",VLOOKUP($C885,Inventory!$B:$I,2,FALSE()),IF($E885="Non Inventory",VLOOKUP($C885,'Non Inventory'!$B:$I,2,FALSE()),IF($E885="Services",VLOOKUP($C885,Services!$B:$I,2,FALSE()),IF($E885="Patty Cash",VLOOKUP($C885,'Patty Cash'!$B:$J,2,FALSE()),"")))),"")</f>
        <v/>
      </c>
      <c r="E885" s="246"/>
      <c r="F885" s="210" t="str">
        <f>IFERROR(IF($E885="Inventory",VLOOKUP($C885,Inventory!$B:$I,3,FALSE()),IF($E885="Non Inventory",VLOOKUP($C885,'Non Inventory'!$B:$I,3,FALSE()),IF($E885="Services",VLOOKUP($C885,Services!$B:$I,3,FALSE()),IF($E885="Patty Cash",VLOOKUP($C885,'Patty Cash'!$B:$J,3,FALSE()),"")))),"")</f>
        <v/>
      </c>
      <c r="G885" s="211"/>
      <c r="H885" s="212" t="str">
        <f>IF($E885="","",IF($E885="Inventory",IFERROR(VLOOKUP($C885,Inventory!$B:$H,7,FALSE()),0),IF($E885="Non Inventory",IFERROR(VLOOKUP($C885,'Non Inventory'!$B:$H,7,FALSE()),0),IF($E885="Services",IFERROR(VLOOKUP($C885,Services!$B:$H,7,FALSE()),0),IF($E885="Patty Cash",IFERROR(VLOOKUP($C885,'Patty Cash'!$B:$H,7,FALSE()),0),0)))))</f>
        <v/>
      </c>
      <c r="I885" s="213"/>
      <c r="J885" s="214"/>
      <c r="K885" s="215"/>
      <c r="L885" s="197"/>
      <c r="M885" s="215"/>
      <c r="N885" s="216">
        <f>IFERROR(IF($E885="Inventory",VLOOKUP($C885,Inventory!$B:$I,8,FALSE()),IF($E885="Non Inventory",VLOOKUP($C885,'Non Inventory'!$B:$I,8,FALSE()),IF($E885="Services",VLOOKUP($C885,Services!$B:$I,8,FALSE()),IF($E885="Patty Cash",VLOOKUP($C885,'Patty Cash'!$B:$J,8,FALSE()),0)))),0)</f>
        <v>0</v>
      </c>
      <c r="O885" s="217" t="str">
        <f t="shared" si="13"/>
        <v/>
      </c>
    </row>
    <row r="886" spans="1:15" ht="23.1" customHeight="1">
      <c r="A886" s="206" t="str">
        <f>IF(AND($B886="",$C886=""),"",MAX($A$3:A885)+1)</f>
        <v/>
      </c>
      <c r="B886" s="207"/>
      <c r="C886" s="208"/>
      <c r="D886" s="209" t="str">
        <f>IFERROR(IF($E886="Inventory",VLOOKUP($C886,Inventory!$B:$I,2,FALSE()),IF($E886="Non Inventory",VLOOKUP($C886,'Non Inventory'!$B:$I,2,FALSE()),IF($E886="Services",VLOOKUP($C886,Services!$B:$I,2,FALSE()),IF($E886="Patty Cash",VLOOKUP($C886,'Patty Cash'!$B:$J,2,FALSE()),"")))),"")</f>
        <v/>
      </c>
      <c r="E886" s="246"/>
      <c r="F886" s="210" t="str">
        <f>IFERROR(IF($E886="Inventory",VLOOKUP($C886,Inventory!$B:$I,3,FALSE()),IF($E886="Non Inventory",VLOOKUP($C886,'Non Inventory'!$B:$I,3,FALSE()),IF($E886="Services",VLOOKUP($C886,Services!$B:$I,3,FALSE()),IF($E886="Patty Cash",VLOOKUP($C886,'Patty Cash'!$B:$J,3,FALSE()),"")))),"")</f>
        <v/>
      </c>
      <c r="G886" s="211"/>
      <c r="H886" s="212" t="str">
        <f>IF($E886="","",IF($E886="Inventory",IFERROR(VLOOKUP($C886,Inventory!$B:$H,7,FALSE()),0),IF($E886="Non Inventory",IFERROR(VLOOKUP($C886,'Non Inventory'!$B:$H,7,FALSE()),0),IF($E886="Services",IFERROR(VLOOKUP($C886,Services!$B:$H,7,FALSE()),0),IF($E886="Patty Cash",IFERROR(VLOOKUP($C886,'Patty Cash'!$B:$H,7,FALSE()),0),0)))))</f>
        <v/>
      </c>
      <c r="I886" s="213"/>
      <c r="J886" s="214"/>
      <c r="K886" s="215"/>
      <c r="L886" s="197"/>
      <c r="M886" s="215"/>
      <c r="N886" s="216">
        <f>IFERROR(IF($E886="Inventory",VLOOKUP($C886,Inventory!$B:$I,8,FALSE()),IF($E886="Non Inventory",VLOOKUP($C886,'Non Inventory'!$B:$I,8,FALSE()),IF($E886="Services",VLOOKUP($C886,Services!$B:$I,8,FALSE()),IF($E886="Patty Cash",VLOOKUP($C886,'Patty Cash'!$B:$J,8,FALSE()),0)))),0)</f>
        <v>0</v>
      </c>
      <c r="O886" s="217" t="str">
        <f t="shared" si="13"/>
        <v/>
      </c>
    </row>
    <row r="887" spans="1:15" ht="23.1" customHeight="1">
      <c r="A887" s="206" t="str">
        <f>IF(AND($B887="",$C887=""),"",MAX($A$3:A886)+1)</f>
        <v/>
      </c>
      <c r="B887" s="207"/>
      <c r="C887" s="208"/>
      <c r="D887" s="209" t="str">
        <f>IFERROR(IF($E887="Inventory",VLOOKUP($C887,Inventory!$B:$I,2,FALSE()),IF($E887="Non Inventory",VLOOKUP($C887,'Non Inventory'!$B:$I,2,FALSE()),IF($E887="Services",VLOOKUP($C887,Services!$B:$I,2,FALSE()),IF($E887="Patty Cash",VLOOKUP($C887,'Patty Cash'!$B:$J,2,FALSE()),"")))),"")</f>
        <v/>
      </c>
      <c r="E887" s="246"/>
      <c r="F887" s="210" t="str">
        <f>IFERROR(IF($E887="Inventory",VLOOKUP($C887,Inventory!$B:$I,3,FALSE()),IF($E887="Non Inventory",VLOOKUP($C887,'Non Inventory'!$B:$I,3,FALSE()),IF($E887="Services",VLOOKUP($C887,Services!$B:$I,3,FALSE()),IF($E887="Patty Cash",VLOOKUP($C887,'Patty Cash'!$B:$J,3,FALSE()),"")))),"")</f>
        <v/>
      </c>
      <c r="G887" s="211"/>
      <c r="H887" s="212" t="str">
        <f>IF($E887="","",IF($E887="Inventory",IFERROR(VLOOKUP($C887,Inventory!$B:$H,7,FALSE()),0),IF($E887="Non Inventory",IFERROR(VLOOKUP($C887,'Non Inventory'!$B:$H,7,FALSE()),0),IF($E887="Services",IFERROR(VLOOKUP($C887,Services!$B:$H,7,FALSE()),0),IF($E887="Patty Cash",IFERROR(VLOOKUP($C887,'Patty Cash'!$B:$H,7,FALSE()),0),0)))))</f>
        <v/>
      </c>
      <c r="I887" s="213"/>
      <c r="J887" s="214"/>
      <c r="K887" s="215"/>
      <c r="L887" s="197"/>
      <c r="M887" s="215"/>
      <c r="N887" s="216">
        <f>IFERROR(IF($E887="Inventory",VLOOKUP($C887,Inventory!$B:$I,8,FALSE()),IF($E887="Non Inventory",VLOOKUP($C887,'Non Inventory'!$B:$I,8,FALSE()),IF($E887="Services",VLOOKUP($C887,Services!$B:$I,8,FALSE()),IF($E887="Patty Cash",VLOOKUP($C887,'Patty Cash'!$B:$J,8,FALSE()),0)))),0)</f>
        <v>0</v>
      </c>
      <c r="O887" s="217" t="str">
        <f t="shared" si="13"/>
        <v/>
      </c>
    </row>
    <row r="888" spans="1:15" ht="23.1" customHeight="1">
      <c r="A888" s="206" t="str">
        <f>IF(AND($B888="",$C888=""),"",MAX($A$3:A887)+1)</f>
        <v/>
      </c>
      <c r="B888" s="207"/>
      <c r="C888" s="208"/>
      <c r="D888" s="209" t="str">
        <f>IFERROR(IF($E888="Inventory",VLOOKUP($C888,Inventory!$B:$I,2,FALSE()),IF($E888="Non Inventory",VLOOKUP($C888,'Non Inventory'!$B:$I,2,FALSE()),IF($E888="Services",VLOOKUP($C888,Services!$B:$I,2,FALSE()),IF($E888="Patty Cash",VLOOKUP($C888,'Patty Cash'!$B:$J,2,FALSE()),"")))),"")</f>
        <v/>
      </c>
      <c r="E888" s="246"/>
      <c r="F888" s="210" t="str">
        <f>IFERROR(IF($E888="Inventory",VLOOKUP($C888,Inventory!$B:$I,3,FALSE()),IF($E888="Non Inventory",VLOOKUP($C888,'Non Inventory'!$B:$I,3,FALSE()),IF($E888="Services",VLOOKUP($C888,Services!$B:$I,3,FALSE()),IF($E888="Patty Cash",VLOOKUP($C888,'Patty Cash'!$B:$J,3,FALSE()),"")))),"")</f>
        <v/>
      </c>
      <c r="G888" s="211"/>
      <c r="H888" s="212" t="str">
        <f>IF($E888="","",IF($E888="Inventory",IFERROR(VLOOKUP($C888,Inventory!$B:$H,7,FALSE()),0),IF($E888="Non Inventory",IFERROR(VLOOKUP($C888,'Non Inventory'!$B:$H,7,FALSE()),0),IF($E888="Services",IFERROR(VLOOKUP($C888,Services!$B:$H,7,FALSE()),0),IF($E888="Patty Cash",IFERROR(VLOOKUP($C888,'Patty Cash'!$B:$H,7,FALSE()),0),0)))))</f>
        <v/>
      </c>
      <c r="I888" s="213"/>
      <c r="J888" s="214"/>
      <c r="K888" s="215"/>
      <c r="L888" s="197"/>
      <c r="M888" s="215"/>
      <c r="N888" s="216">
        <f>IFERROR(IF($E888="Inventory",VLOOKUP($C888,Inventory!$B:$I,8,FALSE()),IF($E888="Non Inventory",VLOOKUP($C888,'Non Inventory'!$B:$I,8,FALSE()),IF($E888="Services",VLOOKUP($C888,Services!$B:$I,8,FALSE()),IF($E888="Patty Cash",VLOOKUP($C888,'Patty Cash'!$B:$J,8,FALSE()),0)))),0)</f>
        <v>0</v>
      </c>
      <c r="O888" s="217" t="str">
        <f t="shared" si="13"/>
        <v/>
      </c>
    </row>
    <row r="889" spans="1:15" ht="23.1" customHeight="1">
      <c r="A889" s="206" t="str">
        <f>IF(AND($B889="",$C889=""),"",MAX($A$3:A888)+1)</f>
        <v/>
      </c>
      <c r="B889" s="207"/>
      <c r="C889" s="208"/>
      <c r="D889" s="209" t="str">
        <f>IFERROR(IF($E889="Inventory",VLOOKUP($C889,Inventory!$B:$I,2,FALSE()),IF($E889="Non Inventory",VLOOKUP($C889,'Non Inventory'!$B:$I,2,FALSE()),IF($E889="Services",VLOOKUP($C889,Services!$B:$I,2,FALSE()),IF($E889="Patty Cash",VLOOKUP($C889,'Patty Cash'!$B:$J,2,FALSE()),"")))),"")</f>
        <v/>
      </c>
      <c r="E889" s="246"/>
      <c r="F889" s="210" t="str">
        <f>IFERROR(IF($E889="Inventory",VLOOKUP($C889,Inventory!$B:$I,3,FALSE()),IF($E889="Non Inventory",VLOOKUP($C889,'Non Inventory'!$B:$I,3,FALSE()),IF($E889="Services",VLOOKUP($C889,Services!$B:$I,3,FALSE()),IF($E889="Patty Cash",VLOOKUP($C889,'Patty Cash'!$B:$J,3,FALSE()),"")))),"")</f>
        <v/>
      </c>
      <c r="G889" s="211"/>
      <c r="H889" s="212" t="str">
        <f>IF($E889="","",IF($E889="Inventory",IFERROR(VLOOKUP($C889,Inventory!$B:$H,7,FALSE()),0),IF($E889="Non Inventory",IFERROR(VLOOKUP($C889,'Non Inventory'!$B:$H,7,FALSE()),0),IF($E889="Services",IFERROR(VLOOKUP($C889,Services!$B:$H,7,FALSE()),0),IF($E889="Patty Cash",IFERROR(VLOOKUP($C889,'Patty Cash'!$B:$H,7,FALSE()),0),0)))))</f>
        <v/>
      </c>
      <c r="I889" s="213"/>
      <c r="J889" s="214"/>
      <c r="K889" s="215"/>
      <c r="L889" s="197"/>
      <c r="M889" s="215"/>
      <c r="N889" s="216">
        <f>IFERROR(IF($E889="Inventory",VLOOKUP($C889,Inventory!$B:$I,8,FALSE()),IF($E889="Non Inventory",VLOOKUP($C889,'Non Inventory'!$B:$I,8,FALSE()),IF($E889="Services",VLOOKUP($C889,Services!$B:$I,8,FALSE()),IF($E889="Patty Cash",VLOOKUP($C889,'Patty Cash'!$B:$J,8,FALSE()),0)))),0)</f>
        <v>0</v>
      </c>
      <c r="O889" s="217" t="str">
        <f t="shared" si="13"/>
        <v/>
      </c>
    </row>
    <row r="890" spans="1:15" ht="23.1" customHeight="1">
      <c r="A890" s="206" t="str">
        <f>IF(AND($B890="",$C890=""),"",MAX($A$3:A889)+1)</f>
        <v/>
      </c>
      <c r="B890" s="207"/>
      <c r="C890" s="208"/>
      <c r="D890" s="209" t="str">
        <f>IFERROR(IF($E890="Inventory",VLOOKUP($C890,Inventory!$B:$I,2,FALSE()),IF($E890="Non Inventory",VLOOKUP($C890,'Non Inventory'!$B:$I,2,FALSE()),IF($E890="Services",VLOOKUP($C890,Services!$B:$I,2,FALSE()),IF($E890="Patty Cash",VLOOKUP($C890,'Patty Cash'!$B:$J,2,FALSE()),"")))),"")</f>
        <v/>
      </c>
      <c r="E890" s="246"/>
      <c r="F890" s="210" t="str">
        <f>IFERROR(IF($E890="Inventory",VLOOKUP($C890,Inventory!$B:$I,3,FALSE()),IF($E890="Non Inventory",VLOOKUP($C890,'Non Inventory'!$B:$I,3,FALSE()),IF($E890="Services",VLOOKUP($C890,Services!$B:$I,3,FALSE()),IF($E890="Patty Cash",VLOOKUP($C890,'Patty Cash'!$B:$J,3,FALSE()),"")))),"")</f>
        <v/>
      </c>
      <c r="G890" s="211"/>
      <c r="H890" s="212" t="str">
        <f>IF($E890="","",IF($E890="Inventory",IFERROR(VLOOKUP($C890,Inventory!$B:$H,7,FALSE()),0),IF($E890="Non Inventory",IFERROR(VLOOKUP($C890,'Non Inventory'!$B:$H,7,FALSE()),0),IF($E890="Services",IFERROR(VLOOKUP($C890,Services!$B:$H,7,FALSE()),0),IF($E890="Patty Cash",IFERROR(VLOOKUP($C890,'Patty Cash'!$B:$H,7,FALSE()),0),0)))))</f>
        <v/>
      </c>
      <c r="I890" s="213"/>
      <c r="J890" s="214"/>
      <c r="K890" s="215"/>
      <c r="L890" s="197"/>
      <c r="M890" s="215"/>
      <c r="N890" s="216">
        <f>IFERROR(IF($E890="Inventory",VLOOKUP($C890,Inventory!$B:$I,8,FALSE()),IF($E890="Non Inventory",VLOOKUP($C890,'Non Inventory'!$B:$I,8,FALSE()),IF($E890="Services",VLOOKUP($C890,Services!$B:$I,8,FALSE()),IF($E890="Patty Cash",VLOOKUP($C890,'Patty Cash'!$B:$J,8,FALSE()),0)))),0)</f>
        <v>0</v>
      </c>
      <c r="O890" s="217" t="str">
        <f t="shared" si="13"/>
        <v/>
      </c>
    </row>
    <row r="891" spans="1:15" ht="23.1" customHeight="1">
      <c r="A891" s="206" t="str">
        <f>IF(AND($B891="",$C891=""),"",MAX($A$3:A890)+1)</f>
        <v/>
      </c>
      <c r="B891" s="207"/>
      <c r="C891" s="208"/>
      <c r="D891" s="209" t="str">
        <f>IFERROR(IF($E891="Inventory",VLOOKUP($C891,Inventory!$B:$I,2,FALSE()),IF($E891="Non Inventory",VLOOKUP($C891,'Non Inventory'!$B:$I,2,FALSE()),IF($E891="Services",VLOOKUP($C891,Services!$B:$I,2,FALSE()),IF($E891="Patty Cash",VLOOKUP($C891,'Patty Cash'!$B:$J,2,FALSE()),"")))),"")</f>
        <v/>
      </c>
      <c r="E891" s="246"/>
      <c r="F891" s="210" t="str">
        <f>IFERROR(IF($E891="Inventory",VLOOKUP($C891,Inventory!$B:$I,3,FALSE()),IF($E891="Non Inventory",VLOOKUP($C891,'Non Inventory'!$B:$I,3,FALSE()),IF($E891="Services",VLOOKUP($C891,Services!$B:$I,3,FALSE()),IF($E891="Patty Cash",VLOOKUP($C891,'Patty Cash'!$B:$J,3,FALSE()),"")))),"")</f>
        <v/>
      </c>
      <c r="G891" s="211"/>
      <c r="H891" s="212" t="str">
        <f>IF($E891="","",IF($E891="Inventory",IFERROR(VLOOKUP($C891,Inventory!$B:$H,7,FALSE()),0),IF($E891="Non Inventory",IFERROR(VLOOKUP($C891,'Non Inventory'!$B:$H,7,FALSE()),0),IF($E891="Services",IFERROR(VLOOKUP($C891,Services!$B:$H,7,FALSE()),0),IF($E891="Patty Cash",IFERROR(VLOOKUP($C891,'Patty Cash'!$B:$H,7,FALSE()),0),0)))))</f>
        <v/>
      </c>
      <c r="I891" s="213"/>
      <c r="J891" s="214"/>
      <c r="K891" s="215"/>
      <c r="L891" s="197"/>
      <c r="M891" s="215"/>
      <c r="N891" s="216">
        <f>IFERROR(IF($E891="Inventory",VLOOKUP($C891,Inventory!$B:$I,8,FALSE()),IF($E891="Non Inventory",VLOOKUP($C891,'Non Inventory'!$B:$I,8,FALSE()),IF($E891="Services",VLOOKUP($C891,Services!$B:$I,8,FALSE()),IF($E891="Patty Cash",VLOOKUP($C891,'Patty Cash'!$B:$J,8,FALSE()),0)))),0)</f>
        <v>0</v>
      </c>
      <c r="O891" s="217" t="str">
        <f t="shared" si="13"/>
        <v/>
      </c>
    </row>
    <row r="892" spans="1:15" ht="23.1" customHeight="1">
      <c r="A892" s="206" t="str">
        <f>IF(AND($B892="",$C892=""),"",MAX($A$3:A891)+1)</f>
        <v/>
      </c>
      <c r="B892" s="207"/>
      <c r="C892" s="208"/>
      <c r="D892" s="209" t="str">
        <f>IFERROR(IF($E892="Inventory",VLOOKUP($C892,Inventory!$B:$I,2,FALSE()),IF($E892="Non Inventory",VLOOKUP($C892,'Non Inventory'!$B:$I,2,FALSE()),IF($E892="Services",VLOOKUP($C892,Services!$B:$I,2,FALSE()),IF($E892="Patty Cash",VLOOKUP($C892,'Patty Cash'!$B:$J,2,FALSE()),"")))),"")</f>
        <v/>
      </c>
      <c r="E892" s="246"/>
      <c r="F892" s="210" t="str">
        <f>IFERROR(IF($E892="Inventory",VLOOKUP($C892,Inventory!$B:$I,3,FALSE()),IF($E892="Non Inventory",VLOOKUP($C892,'Non Inventory'!$B:$I,3,FALSE()),IF($E892="Services",VLOOKUP($C892,Services!$B:$I,3,FALSE()),IF($E892="Patty Cash",VLOOKUP($C892,'Patty Cash'!$B:$J,3,FALSE()),"")))),"")</f>
        <v/>
      </c>
      <c r="G892" s="211"/>
      <c r="H892" s="212" t="str">
        <f>IF($E892="","",IF($E892="Inventory",IFERROR(VLOOKUP($C892,Inventory!$B:$H,7,FALSE()),0),IF($E892="Non Inventory",IFERROR(VLOOKUP($C892,'Non Inventory'!$B:$H,7,FALSE()),0),IF($E892="Services",IFERROR(VLOOKUP($C892,Services!$B:$H,7,FALSE()),0),IF($E892="Patty Cash",IFERROR(VLOOKUP($C892,'Patty Cash'!$B:$H,7,FALSE()),0),0)))))</f>
        <v/>
      </c>
      <c r="I892" s="213"/>
      <c r="J892" s="214"/>
      <c r="K892" s="215"/>
      <c r="L892" s="197"/>
      <c r="M892" s="215"/>
      <c r="N892" s="216">
        <f>IFERROR(IF($E892="Inventory",VLOOKUP($C892,Inventory!$B:$I,8,FALSE()),IF($E892="Non Inventory",VLOOKUP($C892,'Non Inventory'!$B:$I,8,FALSE()),IF($E892="Services",VLOOKUP($C892,Services!$B:$I,8,FALSE()),IF($E892="Patty Cash",VLOOKUP($C892,'Patty Cash'!$B:$J,8,FALSE()),0)))),0)</f>
        <v>0</v>
      </c>
      <c r="O892" s="217" t="str">
        <f t="shared" si="13"/>
        <v/>
      </c>
    </row>
    <row r="893" spans="1:15" ht="23.1" customHeight="1">
      <c r="A893" s="206" t="str">
        <f>IF(AND($B893="",$C893=""),"",MAX($A$3:A892)+1)</f>
        <v/>
      </c>
      <c r="B893" s="207"/>
      <c r="C893" s="208"/>
      <c r="D893" s="209" t="str">
        <f>IFERROR(IF($E893="Inventory",VLOOKUP($C893,Inventory!$B:$I,2,FALSE()),IF($E893="Non Inventory",VLOOKUP($C893,'Non Inventory'!$B:$I,2,FALSE()),IF($E893="Services",VLOOKUP($C893,Services!$B:$I,2,FALSE()),IF($E893="Patty Cash",VLOOKUP($C893,'Patty Cash'!$B:$J,2,FALSE()),"")))),"")</f>
        <v/>
      </c>
      <c r="E893" s="246"/>
      <c r="F893" s="210" t="str">
        <f>IFERROR(IF($E893="Inventory",VLOOKUP($C893,Inventory!$B:$I,3,FALSE()),IF($E893="Non Inventory",VLOOKUP($C893,'Non Inventory'!$B:$I,3,FALSE()),IF($E893="Services",VLOOKUP($C893,Services!$B:$I,3,FALSE()),IF($E893="Patty Cash",VLOOKUP($C893,'Patty Cash'!$B:$J,3,FALSE()),"")))),"")</f>
        <v/>
      </c>
      <c r="G893" s="211"/>
      <c r="H893" s="212" t="str">
        <f>IF($E893="","",IF($E893="Inventory",IFERROR(VLOOKUP($C893,Inventory!$B:$H,7,FALSE()),0),IF($E893="Non Inventory",IFERROR(VLOOKUP($C893,'Non Inventory'!$B:$H,7,FALSE()),0),IF($E893="Services",IFERROR(VLOOKUP($C893,Services!$B:$H,7,FALSE()),0),IF($E893="Patty Cash",IFERROR(VLOOKUP($C893,'Patty Cash'!$B:$H,7,FALSE()),0),0)))))</f>
        <v/>
      </c>
      <c r="I893" s="213"/>
      <c r="J893" s="214"/>
      <c r="K893" s="215"/>
      <c r="L893" s="197"/>
      <c r="M893" s="215"/>
      <c r="N893" s="216">
        <f>IFERROR(IF($E893="Inventory",VLOOKUP($C893,Inventory!$B:$I,8,FALSE()),IF($E893="Non Inventory",VLOOKUP($C893,'Non Inventory'!$B:$I,8,FALSE()),IF($E893="Services",VLOOKUP($C893,Services!$B:$I,8,FALSE()),IF($E893="Patty Cash",VLOOKUP($C893,'Patty Cash'!$B:$J,8,FALSE()),0)))),0)</f>
        <v>0</v>
      </c>
      <c r="O893" s="217" t="str">
        <f t="shared" si="13"/>
        <v/>
      </c>
    </row>
    <row r="894" spans="1:15" ht="23.1" customHeight="1">
      <c r="A894" s="206" t="str">
        <f>IF(AND($B894="",$C894=""),"",MAX($A$3:A893)+1)</f>
        <v/>
      </c>
      <c r="B894" s="207"/>
      <c r="C894" s="208"/>
      <c r="D894" s="209" t="str">
        <f>IFERROR(IF($E894="Inventory",VLOOKUP($C894,Inventory!$B:$I,2,FALSE()),IF($E894="Non Inventory",VLOOKUP($C894,'Non Inventory'!$B:$I,2,FALSE()),IF($E894="Services",VLOOKUP($C894,Services!$B:$I,2,FALSE()),IF($E894="Patty Cash",VLOOKUP($C894,'Patty Cash'!$B:$J,2,FALSE()),"")))),"")</f>
        <v/>
      </c>
      <c r="E894" s="246"/>
      <c r="F894" s="210" t="str">
        <f>IFERROR(IF($E894="Inventory",VLOOKUP($C894,Inventory!$B:$I,3,FALSE()),IF($E894="Non Inventory",VLOOKUP($C894,'Non Inventory'!$B:$I,3,FALSE()),IF($E894="Services",VLOOKUP($C894,Services!$B:$I,3,FALSE()),IF($E894="Patty Cash",VLOOKUP($C894,'Patty Cash'!$B:$J,3,FALSE()),"")))),"")</f>
        <v/>
      </c>
      <c r="G894" s="211"/>
      <c r="H894" s="212" t="str">
        <f>IF($E894="","",IF($E894="Inventory",IFERROR(VLOOKUP($C894,Inventory!$B:$H,7,FALSE()),0),IF($E894="Non Inventory",IFERROR(VLOOKUP($C894,'Non Inventory'!$B:$H,7,FALSE()),0),IF($E894="Services",IFERROR(VLOOKUP($C894,Services!$B:$H,7,FALSE()),0),IF($E894="Patty Cash",IFERROR(VLOOKUP($C894,'Patty Cash'!$B:$H,7,FALSE()),0),0)))))</f>
        <v/>
      </c>
      <c r="I894" s="213"/>
      <c r="J894" s="214"/>
      <c r="K894" s="215"/>
      <c r="L894" s="197"/>
      <c r="M894" s="215"/>
      <c r="N894" s="216">
        <f>IFERROR(IF($E894="Inventory",VLOOKUP($C894,Inventory!$B:$I,8,FALSE()),IF($E894="Non Inventory",VLOOKUP($C894,'Non Inventory'!$B:$I,8,FALSE()),IF($E894="Services",VLOOKUP($C894,Services!$B:$I,8,FALSE()),IF($E894="Patty Cash",VLOOKUP($C894,'Patty Cash'!$B:$J,8,FALSE()),0)))),0)</f>
        <v>0</v>
      </c>
      <c r="O894" s="217" t="str">
        <f t="shared" si="13"/>
        <v/>
      </c>
    </row>
    <row r="895" spans="1:15" ht="23.1" customHeight="1">
      <c r="A895" s="206" t="str">
        <f>IF(AND($B895="",$C895=""),"",MAX($A$3:A894)+1)</f>
        <v/>
      </c>
      <c r="B895" s="207"/>
      <c r="C895" s="208"/>
      <c r="D895" s="209" t="str">
        <f>IFERROR(IF($E895="Inventory",VLOOKUP($C895,Inventory!$B:$I,2,FALSE()),IF($E895="Non Inventory",VLOOKUP($C895,'Non Inventory'!$B:$I,2,FALSE()),IF($E895="Services",VLOOKUP($C895,Services!$B:$I,2,FALSE()),IF($E895="Patty Cash",VLOOKUP($C895,'Patty Cash'!$B:$J,2,FALSE()),"")))),"")</f>
        <v/>
      </c>
      <c r="E895" s="246"/>
      <c r="F895" s="210" t="str">
        <f>IFERROR(IF($E895="Inventory",VLOOKUP($C895,Inventory!$B:$I,3,FALSE()),IF($E895="Non Inventory",VLOOKUP($C895,'Non Inventory'!$B:$I,3,FALSE()),IF($E895="Services",VLOOKUP($C895,Services!$B:$I,3,FALSE()),IF($E895="Patty Cash",VLOOKUP($C895,'Patty Cash'!$B:$J,3,FALSE()),"")))),"")</f>
        <v/>
      </c>
      <c r="G895" s="211"/>
      <c r="H895" s="212" t="str">
        <f>IF($E895="","",IF($E895="Inventory",IFERROR(VLOOKUP($C895,Inventory!$B:$H,7,FALSE()),0),IF($E895="Non Inventory",IFERROR(VLOOKUP($C895,'Non Inventory'!$B:$H,7,FALSE()),0),IF($E895="Services",IFERROR(VLOOKUP($C895,Services!$B:$H,7,FALSE()),0),IF($E895="Patty Cash",IFERROR(VLOOKUP($C895,'Patty Cash'!$B:$H,7,FALSE()),0),0)))))</f>
        <v/>
      </c>
      <c r="I895" s="213"/>
      <c r="J895" s="214"/>
      <c r="K895" s="215"/>
      <c r="L895" s="197"/>
      <c r="M895" s="215"/>
      <c r="N895" s="216">
        <f>IFERROR(IF($E895="Inventory",VLOOKUP($C895,Inventory!$B:$I,8,FALSE()),IF($E895="Non Inventory",VLOOKUP($C895,'Non Inventory'!$B:$I,8,FALSE()),IF($E895="Services",VLOOKUP($C895,Services!$B:$I,8,FALSE()),IF($E895="Patty Cash",VLOOKUP($C895,'Patty Cash'!$B:$J,8,FALSE()),0)))),0)</f>
        <v>0</v>
      </c>
      <c r="O895" s="217" t="str">
        <f t="shared" si="13"/>
        <v/>
      </c>
    </row>
    <row r="896" spans="1:15" ht="23.1" customHeight="1">
      <c r="A896" s="206" t="str">
        <f>IF(AND($B896="",$C896=""),"",MAX($A$3:A895)+1)</f>
        <v/>
      </c>
      <c r="B896" s="207"/>
      <c r="C896" s="208"/>
      <c r="D896" s="209" t="str">
        <f>IFERROR(IF($E896="Inventory",VLOOKUP($C896,Inventory!$B:$I,2,FALSE()),IF($E896="Non Inventory",VLOOKUP($C896,'Non Inventory'!$B:$I,2,FALSE()),IF($E896="Services",VLOOKUP($C896,Services!$B:$I,2,FALSE()),IF($E896="Patty Cash",VLOOKUP($C896,'Patty Cash'!$B:$J,2,FALSE()),"")))),"")</f>
        <v/>
      </c>
      <c r="E896" s="246"/>
      <c r="F896" s="210" t="str">
        <f>IFERROR(IF($E896="Inventory",VLOOKUP($C896,Inventory!$B:$I,3,FALSE()),IF($E896="Non Inventory",VLOOKUP($C896,'Non Inventory'!$B:$I,3,FALSE()),IF($E896="Services",VLOOKUP($C896,Services!$B:$I,3,FALSE()),IF($E896="Patty Cash",VLOOKUP($C896,'Patty Cash'!$B:$J,3,FALSE()),"")))),"")</f>
        <v/>
      </c>
      <c r="G896" s="211"/>
      <c r="H896" s="212" t="str">
        <f>IF($E896="","",IF($E896="Inventory",IFERROR(VLOOKUP($C896,Inventory!$B:$H,7,FALSE()),0),IF($E896="Non Inventory",IFERROR(VLOOKUP($C896,'Non Inventory'!$B:$H,7,FALSE()),0),IF($E896="Services",IFERROR(VLOOKUP($C896,Services!$B:$H,7,FALSE()),0),IF($E896="Patty Cash",IFERROR(VLOOKUP($C896,'Patty Cash'!$B:$H,7,FALSE()),0),0)))))</f>
        <v/>
      </c>
      <c r="I896" s="213"/>
      <c r="J896" s="214"/>
      <c r="K896" s="215"/>
      <c r="L896" s="197"/>
      <c r="M896" s="215"/>
      <c r="N896" s="216">
        <f>IFERROR(IF($E896="Inventory",VLOOKUP($C896,Inventory!$B:$I,8,FALSE()),IF($E896="Non Inventory",VLOOKUP($C896,'Non Inventory'!$B:$I,8,FALSE()),IF($E896="Services",VLOOKUP($C896,Services!$B:$I,8,FALSE()),IF($E896="Patty Cash",VLOOKUP($C896,'Patty Cash'!$B:$J,8,FALSE()),0)))),0)</f>
        <v>0</v>
      </c>
      <c r="O896" s="217" t="str">
        <f t="shared" si="13"/>
        <v/>
      </c>
    </row>
    <row r="897" spans="1:15" ht="23.1" customHeight="1">
      <c r="A897" s="206" t="str">
        <f>IF(AND($B897="",$C897=""),"",MAX($A$3:A896)+1)</f>
        <v/>
      </c>
      <c r="B897" s="207"/>
      <c r="C897" s="208"/>
      <c r="D897" s="209" t="str">
        <f>IFERROR(IF($E897="Inventory",VLOOKUP($C897,Inventory!$B:$I,2,FALSE()),IF($E897="Non Inventory",VLOOKUP($C897,'Non Inventory'!$B:$I,2,FALSE()),IF($E897="Services",VLOOKUP($C897,Services!$B:$I,2,FALSE()),IF($E897="Patty Cash",VLOOKUP($C897,'Patty Cash'!$B:$J,2,FALSE()),"")))),"")</f>
        <v/>
      </c>
      <c r="E897" s="246"/>
      <c r="F897" s="210" t="str">
        <f>IFERROR(IF($E897="Inventory",VLOOKUP($C897,Inventory!$B:$I,3,FALSE()),IF($E897="Non Inventory",VLOOKUP($C897,'Non Inventory'!$B:$I,3,FALSE()),IF($E897="Services",VLOOKUP($C897,Services!$B:$I,3,FALSE()),IF($E897="Patty Cash",VLOOKUP($C897,'Patty Cash'!$B:$J,3,FALSE()),"")))),"")</f>
        <v/>
      </c>
      <c r="G897" s="211"/>
      <c r="H897" s="212" t="str">
        <f>IF($E897="","",IF($E897="Inventory",IFERROR(VLOOKUP($C897,Inventory!$B:$H,7,FALSE()),0),IF($E897="Non Inventory",IFERROR(VLOOKUP($C897,'Non Inventory'!$B:$H,7,FALSE()),0),IF($E897="Services",IFERROR(VLOOKUP($C897,Services!$B:$H,7,FALSE()),0),IF($E897="Patty Cash",IFERROR(VLOOKUP($C897,'Patty Cash'!$B:$H,7,FALSE()),0),0)))))</f>
        <v/>
      </c>
      <c r="I897" s="213"/>
      <c r="J897" s="214"/>
      <c r="K897" s="215"/>
      <c r="L897" s="197"/>
      <c r="M897" s="215"/>
      <c r="N897" s="216">
        <f>IFERROR(IF($E897="Inventory",VLOOKUP($C897,Inventory!$B:$I,8,FALSE()),IF($E897="Non Inventory",VLOOKUP($C897,'Non Inventory'!$B:$I,8,FALSE()),IF($E897="Services",VLOOKUP($C897,Services!$B:$I,8,FALSE()),IF($E897="Patty Cash",VLOOKUP($C897,'Patty Cash'!$B:$J,8,FALSE()),0)))),0)</f>
        <v>0</v>
      </c>
      <c r="O897" s="217" t="str">
        <f t="shared" si="13"/>
        <v/>
      </c>
    </row>
    <row r="898" spans="1:15" ht="23.1" customHeight="1">
      <c r="A898" s="206" t="str">
        <f>IF(AND($B898="",$C898=""),"",MAX($A$3:A897)+1)</f>
        <v/>
      </c>
      <c r="B898" s="207"/>
      <c r="C898" s="208"/>
      <c r="D898" s="209" t="str">
        <f>IFERROR(IF($E898="Inventory",VLOOKUP($C898,Inventory!$B:$I,2,FALSE()),IF($E898="Non Inventory",VLOOKUP($C898,'Non Inventory'!$B:$I,2,FALSE()),IF($E898="Services",VLOOKUP($C898,Services!$B:$I,2,FALSE()),IF($E898="Patty Cash",VLOOKUP($C898,'Patty Cash'!$B:$J,2,FALSE()),"")))),"")</f>
        <v/>
      </c>
      <c r="E898" s="246"/>
      <c r="F898" s="210" t="str">
        <f>IFERROR(IF($E898="Inventory",VLOOKUP($C898,Inventory!$B:$I,3,FALSE()),IF($E898="Non Inventory",VLOOKUP($C898,'Non Inventory'!$B:$I,3,FALSE()),IF($E898="Services",VLOOKUP($C898,Services!$B:$I,3,FALSE()),IF($E898="Patty Cash",VLOOKUP($C898,'Patty Cash'!$B:$J,3,FALSE()),"")))),"")</f>
        <v/>
      </c>
      <c r="G898" s="211"/>
      <c r="H898" s="212" t="str">
        <f>IF($E898="","",IF($E898="Inventory",IFERROR(VLOOKUP($C898,Inventory!$B:$H,7,FALSE()),0),IF($E898="Non Inventory",IFERROR(VLOOKUP($C898,'Non Inventory'!$B:$H,7,FALSE()),0),IF($E898="Services",IFERROR(VLOOKUP($C898,Services!$B:$H,7,FALSE()),0),IF($E898="Patty Cash",IFERROR(VLOOKUP($C898,'Patty Cash'!$B:$H,7,FALSE()),0),0)))))</f>
        <v/>
      </c>
      <c r="I898" s="213"/>
      <c r="J898" s="214"/>
      <c r="K898" s="215"/>
      <c r="L898" s="197"/>
      <c r="M898" s="215"/>
      <c r="N898" s="216">
        <f>IFERROR(IF($E898="Inventory",VLOOKUP($C898,Inventory!$B:$I,8,FALSE()),IF($E898="Non Inventory",VLOOKUP($C898,'Non Inventory'!$B:$I,8,FALSE()),IF($E898="Services",VLOOKUP($C898,Services!$B:$I,8,FALSE()),IF($E898="Patty Cash",VLOOKUP($C898,'Patty Cash'!$B:$J,8,FALSE()),0)))),0)</f>
        <v>0</v>
      </c>
      <c r="O898" s="217" t="str">
        <f t="shared" si="13"/>
        <v/>
      </c>
    </row>
    <row r="899" spans="1:15" ht="23.1" customHeight="1">
      <c r="A899" s="206" t="str">
        <f>IF(AND($B899="",$C899=""),"",MAX($A$3:A898)+1)</f>
        <v/>
      </c>
      <c r="B899" s="207"/>
      <c r="C899" s="208"/>
      <c r="D899" s="209" t="str">
        <f>IFERROR(IF($E899="Inventory",VLOOKUP($C899,Inventory!$B:$I,2,FALSE()),IF($E899="Non Inventory",VLOOKUP($C899,'Non Inventory'!$B:$I,2,FALSE()),IF($E899="Services",VLOOKUP($C899,Services!$B:$I,2,FALSE()),IF($E899="Patty Cash",VLOOKUP($C899,'Patty Cash'!$B:$J,2,FALSE()),"")))),"")</f>
        <v/>
      </c>
      <c r="E899" s="246"/>
      <c r="F899" s="210" t="str">
        <f>IFERROR(IF($E899="Inventory",VLOOKUP($C899,Inventory!$B:$I,3,FALSE()),IF($E899="Non Inventory",VLOOKUP($C899,'Non Inventory'!$B:$I,3,FALSE()),IF($E899="Services",VLOOKUP($C899,Services!$B:$I,3,FALSE()),IF($E899="Patty Cash",VLOOKUP($C899,'Patty Cash'!$B:$J,3,FALSE()),"")))),"")</f>
        <v/>
      </c>
      <c r="G899" s="211"/>
      <c r="H899" s="212" t="str">
        <f>IF($E899="","",IF($E899="Inventory",IFERROR(VLOOKUP($C899,Inventory!$B:$H,7,FALSE()),0),IF($E899="Non Inventory",IFERROR(VLOOKUP($C899,'Non Inventory'!$B:$H,7,FALSE()),0),IF($E899="Services",IFERROR(VLOOKUP($C899,Services!$B:$H,7,FALSE()),0),IF($E899="Patty Cash",IFERROR(VLOOKUP($C899,'Patty Cash'!$B:$H,7,FALSE()),0),0)))))</f>
        <v/>
      </c>
      <c r="I899" s="213"/>
      <c r="J899" s="214"/>
      <c r="K899" s="215"/>
      <c r="L899" s="197"/>
      <c r="M899" s="215"/>
      <c r="N899" s="216">
        <f>IFERROR(IF($E899="Inventory",VLOOKUP($C899,Inventory!$B:$I,8,FALSE()),IF($E899="Non Inventory",VLOOKUP($C899,'Non Inventory'!$B:$I,8,FALSE()),IF($E899="Services",VLOOKUP($C899,Services!$B:$I,8,FALSE()),IF($E899="Patty Cash",VLOOKUP($C899,'Patty Cash'!$B:$J,8,FALSE()),0)))),0)</f>
        <v>0</v>
      </c>
      <c r="O899" s="217" t="str">
        <f t="shared" ref="O899:O962" si="14">IF($G899="","",G899*N899)</f>
        <v/>
      </c>
    </row>
    <row r="900" spans="1:15" ht="23.1" customHeight="1">
      <c r="A900" s="206" t="str">
        <f>IF(AND($B900="",$C900=""),"",MAX($A$3:A899)+1)</f>
        <v/>
      </c>
      <c r="B900" s="207"/>
      <c r="C900" s="208"/>
      <c r="D900" s="209" t="str">
        <f>IFERROR(IF($E900="Inventory",VLOOKUP($C900,Inventory!$B:$I,2,FALSE()),IF($E900="Non Inventory",VLOOKUP($C900,'Non Inventory'!$B:$I,2,FALSE()),IF($E900="Services",VLOOKUP($C900,Services!$B:$I,2,FALSE()),IF($E900="Patty Cash",VLOOKUP($C900,'Patty Cash'!$B:$J,2,FALSE()),"")))),"")</f>
        <v/>
      </c>
      <c r="E900" s="246"/>
      <c r="F900" s="210" t="str">
        <f>IFERROR(IF($E900="Inventory",VLOOKUP($C900,Inventory!$B:$I,3,FALSE()),IF($E900="Non Inventory",VLOOKUP($C900,'Non Inventory'!$B:$I,3,FALSE()),IF($E900="Services",VLOOKUP($C900,Services!$B:$I,3,FALSE()),IF($E900="Patty Cash",VLOOKUP($C900,'Patty Cash'!$B:$J,3,FALSE()),"")))),"")</f>
        <v/>
      </c>
      <c r="G900" s="211"/>
      <c r="H900" s="212" t="str">
        <f>IF($E900="","",IF($E900="Inventory",IFERROR(VLOOKUP($C900,Inventory!$B:$H,7,FALSE()),0),IF($E900="Non Inventory",IFERROR(VLOOKUP($C900,'Non Inventory'!$B:$H,7,FALSE()),0),IF($E900="Services",IFERROR(VLOOKUP($C900,Services!$B:$H,7,FALSE()),0),IF($E900="Patty Cash",IFERROR(VLOOKUP($C900,'Patty Cash'!$B:$H,7,FALSE()),0),0)))))</f>
        <v/>
      </c>
      <c r="I900" s="213"/>
      <c r="J900" s="214"/>
      <c r="K900" s="215"/>
      <c r="L900" s="197"/>
      <c r="M900" s="215"/>
      <c r="N900" s="216">
        <f>IFERROR(IF($E900="Inventory",VLOOKUP($C900,Inventory!$B:$I,8,FALSE()),IF($E900="Non Inventory",VLOOKUP($C900,'Non Inventory'!$B:$I,8,FALSE()),IF($E900="Services",VLOOKUP($C900,Services!$B:$I,8,FALSE()),IF($E900="Patty Cash",VLOOKUP($C900,'Patty Cash'!$B:$J,8,FALSE()),0)))),0)</f>
        <v>0</v>
      </c>
      <c r="O900" s="217" t="str">
        <f t="shared" si="14"/>
        <v/>
      </c>
    </row>
    <row r="901" spans="1:15" ht="23.1" customHeight="1">
      <c r="A901" s="206" t="str">
        <f>IF(AND($B901="",$C901=""),"",MAX($A$3:A900)+1)</f>
        <v/>
      </c>
      <c r="B901" s="207"/>
      <c r="C901" s="208"/>
      <c r="D901" s="209" t="str">
        <f>IFERROR(IF($E901="Inventory",VLOOKUP($C901,Inventory!$B:$I,2,FALSE()),IF($E901="Non Inventory",VLOOKUP($C901,'Non Inventory'!$B:$I,2,FALSE()),IF($E901="Services",VLOOKUP($C901,Services!$B:$I,2,FALSE()),IF($E901="Patty Cash",VLOOKUP($C901,'Patty Cash'!$B:$J,2,FALSE()),"")))),"")</f>
        <v/>
      </c>
      <c r="E901" s="246"/>
      <c r="F901" s="210" t="str">
        <f>IFERROR(IF($E901="Inventory",VLOOKUP($C901,Inventory!$B:$I,3,FALSE()),IF($E901="Non Inventory",VLOOKUP($C901,'Non Inventory'!$B:$I,3,FALSE()),IF($E901="Services",VLOOKUP($C901,Services!$B:$I,3,FALSE()),IF($E901="Patty Cash",VLOOKUP($C901,'Patty Cash'!$B:$J,3,FALSE()),"")))),"")</f>
        <v/>
      </c>
      <c r="G901" s="211"/>
      <c r="H901" s="212" t="str">
        <f>IF($E901="","",IF($E901="Inventory",IFERROR(VLOOKUP($C901,Inventory!$B:$H,7,FALSE()),0),IF($E901="Non Inventory",IFERROR(VLOOKUP($C901,'Non Inventory'!$B:$H,7,FALSE()),0),IF($E901="Services",IFERROR(VLOOKUP($C901,Services!$B:$H,7,FALSE()),0),IF($E901="Patty Cash",IFERROR(VLOOKUP($C901,'Patty Cash'!$B:$H,7,FALSE()),0),0)))))</f>
        <v/>
      </c>
      <c r="I901" s="213"/>
      <c r="J901" s="214"/>
      <c r="K901" s="215"/>
      <c r="L901" s="197"/>
      <c r="M901" s="215"/>
      <c r="N901" s="216">
        <f>IFERROR(IF($E901="Inventory",VLOOKUP($C901,Inventory!$B:$I,8,FALSE()),IF($E901="Non Inventory",VLOOKUP($C901,'Non Inventory'!$B:$I,8,FALSE()),IF($E901="Services",VLOOKUP($C901,Services!$B:$I,8,FALSE()),IF($E901="Patty Cash",VLOOKUP($C901,'Patty Cash'!$B:$J,8,FALSE()),0)))),0)</f>
        <v>0</v>
      </c>
      <c r="O901" s="217" t="str">
        <f t="shared" si="14"/>
        <v/>
      </c>
    </row>
    <row r="902" spans="1:15" ht="23.1" customHeight="1">
      <c r="A902" s="206" t="str">
        <f>IF(AND($B902="",$C902=""),"",MAX($A$3:A901)+1)</f>
        <v/>
      </c>
      <c r="B902" s="207"/>
      <c r="C902" s="208"/>
      <c r="D902" s="209" t="str">
        <f>IFERROR(IF($E902="Inventory",VLOOKUP($C902,Inventory!$B:$I,2,FALSE()),IF($E902="Non Inventory",VLOOKUP($C902,'Non Inventory'!$B:$I,2,FALSE()),IF($E902="Services",VLOOKUP($C902,Services!$B:$I,2,FALSE()),IF($E902="Patty Cash",VLOOKUP($C902,'Patty Cash'!$B:$J,2,FALSE()),"")))),"")</f>
        <v/>
      </c>
      <c r="E902" s="246"/>
      <c r="F902" s="210" t="str">
        <f>IFERROR(IF($E902="Inventory",VLOOKUP($C902,Inventory!$B:$I,3,FALSE()),IF($E902="Non Inventory",VLOOKUP($C902,'Non Inventory'!$B:$I,3,FALSE()),IF($E902="Services",VLOOKUP($C902,Services!$B:$I,3,FALSE()),IF($E902="Patty Cash",VLOOKUP($C902,'Patty Cash'!$B:$J,3,FALSE()),"")))),"")</f>
        <v/>
      </c>
      <c r="G902" s="211"/>
      <c r="H902" s="212" t="str">
        <f>IF($E902="","",IF($E902="Inventory",IFERROR(VLOOKUP($C902,Inventory!$B:$H,7,FALSE()),0),IF($E902="Non Inventory",IFERROR(VLOOKUP($C902,'Non Inventory'!$B:$H,7,FALSE()),0),IF($E902="Services",IFERROR(VLOOKUP($C902,Services!$B:$H,7,FALSE()),0),IF($E902="Patty Cash",IFERROR(VLOOKUP($C902,'Patty Cash'!$B:$H,7,FALSE()),0),0)))))</f>
        <v/>
      </c>
      <c r="I902" s="213"/>
      <c r="J902" s="214"/>
      <c r="K902" s="215"/>
      <c r="L902" s="197"/>
      <c r="M902" s="215"/>
      <c r="N902" s="216">
        <f>IFERROR(IF($E902="Inventory",VLOOKUP($C902,Inventory!$B:$I,8,FALSE()),IF($E902="Non Inventory",VLOOKUP($C902,'Non Inventory'!$B:$I,8,FALSE()),IF($E902="Services",VLOOKUP($C902,Services!$B:$I,8,FALSE()),IF($E902="Patty Cash",VLOOKUP($C902,'Patty Cash'!$B:$J,8,FALSE()),0)))),0)</f>
        <v>0</v>
      </c>
      <c r="O902" s="217" t="str">
        <f t="shared" si="14"/>
        <v/>
      </c>
    </row>
    <row r="903" spans="1:15" ht="23.1" customHeight="1">
      <c r="A903" s="206" t="str">
        <f>IF(AND($B903="",$C903=""),"",MAX($A$3:A902)+1)</f>
        <v/>
      </c>
      <c r="B903" s="207"/>
      <c r="C903" s="208"/>
      <c r="D903" s="209" t="str">
        <f>IFERROR(IF($E903="Inventory",VLOOKUP($C903,Inventory!$B:$I,2,FALSE()),IF($E903="Non Inventory",VLOOKUP($C903,'Non Inventory'!$B:$I,2,FALSE()),IF($E903="Services",VLOOKUP($C903,Services!$B:$I,2,FALSE()),IF($E903="Patty Cash",VLOOKUP($C903,'Patty Cash'!$B:$J,2,FALSE()),"")))),"")</f>
        <v/>
      </c>
      <c r="E903" s="246"/>
      <c r="F903" s="210" t="str">
        <f>IFERROR(IF($E903="Inventory",VLOOKUP($C903,Inventory!$B:$I,3,FALSE()),IF($E903="Non Inventory",VLOOKUP($C903,'Non Inventory'!$B:$I,3,FALSE()),IF($E903="Services",VLOOKUP($C903,Services!$B:$I,3,FALSE()),IF($E903="Patty Cash",VLOOKUP($C903,'Patty Cash'!$B:$J,3,FALSE()),"")))),"")</f>
        <v/>
      </c>
      <c r="G903" s="211"/>
      <c r="H903" s="212" t="str">
        <f>IF($E903="","",IF($E903="Inventory",IFERROR(VLOOKUP($C903,Inventory!$B:$H,7,FALSE()),0),IF($E903="Non Inventory",IFERROR(VLOOKUP($C903,'Non Inventory'!$B:$H,7,FALSE()),0),IF($E903="Services",IFERROR(VLOOKUP($C903,Services!$B:$H,7,FALSE()),0),IF($E903="Patty Cash",IFERROR(VLOOKUP($C903,'Patty Cash'!$B:$H,7,FALSE()),0),0)))))</f>
        <v/>
      </c>
      <c r="I903" s="213"/>
      <c r="J903" s="214"/>
      <c r="K903" s="215"/>
      <c r="L903" s="197"/>
      <c r="M903" s="215"/>
      <c r="N903" s="216">
        <f>IFERROR(IF($E903="Inventory",VLOOKUP($C903,Inventory!$B:$I,8,FALSE()),IF($E903="Non Inventory",VLOOKUP($C903,'Non Inventory'!$B:$I,8,FALSE()),IF($E903="Services",VLOOKUP($C903,Services!$B:$I,8,FALSE()),IF($E903="Patty Cash",VLOOKUP($C903,'Patty Cash'!$B:$J,8,FALSE()),0)))),0)</f>
        <v>0</v>
      </c>
      <c r="O903" s="217" t="str">
        <f t="shared" si="14"/>
        <v/>
      </c>
    </row>
    <row r="904" spans="1:15" ht="23.1" customHeight="1">
      <c r="A904" s="206" t="str">
        <f>IF(AND($B904="",$C904=""),"",MAX($A$3:A903)+1)</f>
        <v/>
      </c>
      <c r="B904" s="207"/>
      <c r="C904" s="208"/>
      <c r="D904" s="209" t="str">
        <f>IFERROR(IF($E904="Inventory",VLOOKUP($C904,Inventory!$B:$I,2,FALSE()),IF($E904="Non Inventory",VLOOKUP($C904,'Non Inventory'!$B:$I,2,FALSE()),IF($E904="Services",VLOOKUP($C904,Services!$B:$I,2,FALSE()),IF($E904="Patty Cash",VLOOKUP($C904,'Patty Cash'!$B:$J,2,FALSE()),"")))),"")</f>
        <v/>
      </c>
      <c r="E904" s="246"/>
      <c r="F904" s="210" t="str">
        <f>IFERROR(IF($E904="Inventory",VLOOKUP($C904,Inventory!$B:$I,3,FALSE()),IF($E904="Non Inventory",VLOOKUP($C904,'Non Inventory'!$B:$I,3,FALSE()),IF($E904="Services",VLOOKUP($C904,Services!$B:$I,3,FALSE()),IF($E904="Patty Cash",VLOOKUP($C904,'Patty Cash'!$B:$J,3,FALSE()),"")))),"")</f>
        <v/>
      </c>
      <c r="G904" s="211"/>
      <c r="H904" s="212" t="str">
        <f>IF($E904="","",IF($E904="Inventory",IFERROR(VLOOKUP($C904,Inventory!$B:$H,7,FALSE()),0),IF($E904="Non Inventory",IFERROR(VLOOKUP($C904,'Non Inventory'!$B:$H,7,FALSE()),0),IF($E904="Services",IFERROR(VLOOKUP($C904,Services!$B:$H,7,FALSE()),0),IF($E904="Patty Cash",IFERROR(VLOOKUP($C904,'Patty Cash'!$B:$H,7,FALSE()),0),0)))))</f>
        <v/>
      </c>
      <c r="I904" s="213"/>
      <c r="J904" s="214"/>
      <c r="K904" s="215"/>
      <c r="L904" s="197"/>
      <c r="M904" s="215"/>
      <c r="N904" s="216">
        <f>IFERROR(IF($E904="Inventory",VLOOKUP($C904,Inventory!$B:$I,8,FALSE()),IF($E904="Non Inventory",VLOOKUP($C904,'Non Inventory'!$B:$I,8,FALSE()),IF($E904="Services",VLOOKUP($C904,Services!$B:$I,8,FALSE()),IF($E904="Patty Cash",VLOOKUP($C904,'Patty Cash'!$B:$J,8,FALSE()),0)))),0)</f>
        <v>0</v>
      </c>
      <c r="O904" s="217" t="str">
        <f t="shared" si="14"/>
        <v/>
      </c>
    </row>
    <row r="905" spans="1:15" ht="23.1" customHeight="1">
      <c r="A905" s="206" t="str">
        <f>IF(AND($B905="",$C905=""),"",MAX($A$3:A904)+1)</f>
        <v/>
      </c>
      <c r="B905" s="207"/>
      <c r="C905" s="208"/>
      <c r="D905" s="209" t="str">
        <f>IFERROR(IF($E905="Inventory",VLOOKUP($C905,Inventory!$B:$I,2,FALSE()),IF($E905="Non Inventory",VLOOKUP($C905,'Non Inventory'!$B:$I,2,FALSE()),IF($E905="Services",VLOOKUP($C905,Services!$B:$I,2,FALSE()),IF($E905="Patty Cash",VLOOKUP($C905,'Patty Cash'!$B:$J,2,FALSE()),"")))),"")</f>
        <v/>
      </c>
      <c r="E905" s="246"/>
      <c r="F905" s="210" t="str">
        <f>IFERROR(IF($E905="Inventory",VLOOKUP($C905,Inventory!$B:$I,3,FALSE()),IF($E905="Non Inventory",VLOOKUP($C905,'Non Inventory'!$B:$I,3,FALSE()),IF($E905="Services",VLOOKUP($C905,Services!$B:$I,3,FALSE()),IF($E905="Patty Cash",VLOOKUP($C905,'Patty Cash'!$B:$J,3,FALSE()),"")))),"")</f>
        <v/>
      </c>
      <c r="G905" s="211"/>
      <c r="H905" s="212" t="str">
        <f>IF($E905="","",IF($E905="Inventory",IFERROR(VLOOKUP($C905,Inventory!$B:$H,7,FALSE()),0),IF($E905="Non Inventory",IFERROR(VLOOKUP($C905,'Non Inventory'!$B:$H,7,FALSE()),0),IF($E905="Services",IFERROR(VLOOKUP($C905,Services!$B:$H,7,FALSE()),0),IF($E905="Patty Cash",IFERROR(VLOOKUP($C905,'Patty Cash'!$B:$H,7,FALSE()),0),0)))))</f>
        <v/>
      </c>
      <c r="I905" s="213"/>
      <c r="J905" s="214"/>
      <c r="K905" s="215"/>
      <c r="L905" s="197"/>
      <c r="M905" s="215"/>
      <c r="N905" s="216">
        <f>IFERROR(IF($E905="Inventory",VLOOKUP($C905,Inventory!$B:$I,8,FALSE()),IF($E905="Non Inventory",VLOOKUP($C905,'Non Inventory'!$B:$I,8,FALSE()),IF($E905="Services",VLOOKUP($C905,Services!$B:$I,8,FALSE()),IF($E905="Patty Cash",VLOOKUP($C905,'Patty Cash'!$B:$J,8,FALSE()),0)))),0)</f>
        <v>0</v>
      </c>
      <c r="O905" s="217" t="str">
        <f t="shared" si="14"/>
        <v/>
      </c>
    </row>
    <row r="906" spans="1:15" ht="23.1" customHeight="1">
      <c r="A906" s="206" t="str">
        <f>IF(AND($B906="",$C906=""),"",MAX($A$3:A905)+1)</f>
        <v/>
      </c>
      <c r="B906" s="207"/>
      <c r="C906" s="208"/>
      <c r="D906" s="209" t="str">
        <f>IFERROR(IF($E906="Inventory",VLOOKUP($C906,Inventory!$B:$I,2,FALSE()),IF($E906="Non Inventory",VLOOKUP($C906,'Non Inventory'!$B:$I,2,FALSE()),IF($E906="Services",VLOOKUP($C906,Services!$B:$I,2,FALSE()),IF($E906="Patty Cash",VLOOKUP($C906,'Patty Cash'!$B:$J,2,FALSE()),"")))),"")</f>
        <v/>
      </c>
      <c r="E906" s="246"/>
      <c r="F906" s="210" t="str">
        <f>IFERROR(IF($E906="Inventory",VLOOKUP($C906,Inventory!$B:$I,3,FALSE()),IF($E906="Non Inventory",VLOOKUP($C906,'Non Inventory'!$B:$I,3,FALSE()),IF($E906="Services",VLOOKUP($C906,Services!$B:$I,3,FALSE()),IF($E906="Patty Cash",VLOOKUP($C906,'Patty Cash'!$B:$J,3,FALSE()),"")))),"")</f>
        <v/>
      </c>
      <c r="G906" s="211"/>
      <c r="H906" s="212" t="str">
        <f>IF($E906="","",IF($E906="Inventory",IFERROR(VLOOKUP($C906,Inventory!$B:$H,7,FALSE()),0),IF($E906="Non Inventory",IFERROR(VLOOKUP($C906,'Non Inventory'!$B:$H,7,FALSE()),0),IF($E906="Services",IFERROR(VLOOKUP($C906,Services!$B:$H,7,FALSE()),0),IF($E906="Patty Cash",IFERROR(VLOOKUP($C906,'Patty Cash'!$B:$H,7,FALSE()),0),0)))))</f>
        <v/>
      </c>
      <c r="I906" s="213"/>
      <c r="J906" s="214"/>
      <c r="K906" s="215"/>
      <c r="L906" s="197"/>
      <c r="M906" s="215"/>
      <c r="N906" s="216">
        <f>IFERROR(IF($E906="Inventory",VLOOKUP($C906,Inventory!$B:$I,8,FALSE()),IF($E906="Non Inventory",VLOOKUP($C906,'Non Inventory'!$B:$I,8,FALSE()),IF($E906="Services",VLOOKUP($C906,Services!$B:$I,8,FALSE()),IF($E906="Patty Cash",VLOOKUP($C906,'Patty Cash'!$B:$J,8,FALSE()),0)))),0)</f>
        <v>0</v>
      </c>
      <c r="O906" s="217" t="str">
        <f t="shared" si="14"/>
        <v/>
      </c>
    </row>
    <row r="907" spans="1:15" ht="23.1" customHeight="1">
      <c r="A907" s="206" t="str">
        <f>IF(AND($B907="",$C907=""),"",MAX($A$3:A906)+1)</f>
        <v/>
      </c>
      <c r="B907" s="207"/>
      <c r="C907" s="208"/>
      <c r="D907" s="209" t="str">
        <f>IFERROR(IF($E907="Inventory",VLOOKUP($C907,Inventory!$B:$I,2,FALSE()),IF($E907="Non Inventory",VLOOKUP($C907,'Non Inventory'!$B:$I,2,FALSE()),IF($E907="Services",VLOOKUP($C907,Services!$B:$I,2,FALSE()),IF($E907="Patty Cash",VLOOKUP($C907,'Patty Cash'!$B:$J,2,FALSE()),"")))),"")</f>
        <v/>
      </c>
      <c r="E907" s="246"/>
      <c r="F907" s="210" t="str">
        <f>IFERROR(IF($E907="Inventory",VLOOKUP($C907,Inventory!$B:$I,3,FALSE()),IF($E907="Non Inventory",VLOOKUP($C907,'Non Inventory'!$B:$I,3,FALSE()),IF($E907="Services",VLOOKUP($C907,Services!$B:$I,3,FALSE()),IF($E907="Patty Cash",VLOOKUP($C907,'Patty Cash'!$B:$J,3,FALSE()),"")))),"")</f>
        <v/>
      </c>
      <c r="G907" s="211"/>
      <c r="H907" s="212" t="str">
        <f>IF($E907="","",IF($E907="Inventory",IFERROR(VLOOKUP($C907,Inventory!$B:$H,7,FALSE()),0),IF($E907="Non Inventory",IFERROR(VLOOKUP($C907,'Non Inventory'!$B:$H,7,FALSE()),0),IF($E907="Services",IFERROR(VLOOKUP($C907,Services!$B:$H,7,FALSE()),0),IF($E907="Patty Cash",IFERROR(VLOOKUP($C907,'Patty Cash'!$B:$H,7,FALSE()),0),0)))))</f>
        <v/>
      </c>
      <c r="I907" s="213"/>
      <c r="J907" s="214"/>
      <c r="K907" s="215"/>
      <c r="L907" s="197"/>
      <c r="M907" s="215"/>
      <c r="N907" s="216">
        <f>IFERROR(IF($E907="Inventory",VLOOKUP($C907,Inventory!$B:$I,8,FALSE()),IF($E907="Non Inventory",VLOOKUP($C907,'Non Inventory'!$B:$I,8,FALSE()),IF($E907="Services",VLOOKUP($C907,Services!$B:$I,8,FALSE()),IF($E907="Patty Cash",VLOOKUP($C907,'Patty Cash'!$B:$J,8,FALSE()),0)))),0)</f>
        <v>0</v>
      </c>
      <c r="O907" s="217" t="str">
        <f t="shared" si="14"/>
        <v/>
      </c>
    </row>
    <row r="908" spans="1:15" ht="23.1" customHeight="1">
      <c r="A908" s="206" t="str">
        <f>IF(AND($B908="",$C908=""),"",MAX($A$3:A907)+1)</f>
        <v/>
      </c>
      <c r="B908" s="207"/>
      <c r="C908" s="208"/>
      <c r="D908" s="209" t="str">
        <f>IFERROR(IF($E908="Inventory",VLOOKUP($C908,Inventory!$B:$I,2,FALSE()),IF($E908="Non Inventory",VLOOKUP($C908,'Non Inventory'!$B:$I,2,FALSE()),IF($E908="Services",VLOOKUP($C908,Services!$B:$I,2,FALSE()),IF($E908="Patty Cash",VLOOKUP($C908,'Patty Cash'!$B:$J,2,FALSE()),"")))),"")</f>
        <v/>
      </c>
      <c r="E908" s="246"/>
      <c r="F908" s="210" t="str">
        <f>IFERROR(IF($E908="Inventory",VLOOKUP($C908,Inventory!$B:$I,3,FALSE()),IF($E908="Non Inventory",VLOOKUP($C908,'Non Inventory'!$B:$I,3,FALSE()),IF($E908="Services",VLOOKUP($C908,Services!$B:$I,3,FALSE()),IF($E908="Patty Cash",VLOOKUP($C908,'Patty Cash'!$B:$J,3,FALSE()),"")))),"")</f>
        <v/>
      </c>
      <c r="G908" s="211"/>
      <c r="H908" s="212" t="str">
        <f>IF($E908="","",IF($E908="Inventory",IFERROR(VLOOKUP($C908,Inventory!$B:$H,7,FALSE()),0),IF($E908="Non Inventory",IFERROR(VLOOKUP($C908,'Non Inventory'!$B:$H,7,FALSE()),0),IF($E908="Services",IFERROR(VLOOKUP($C908,Services!$B:$H,7,FALSE()),0),IF($E908="Patty Cash",IFERROR(VLOOKUP($C908,'Patty Cash'!$B:$H,7,FALSE()),0),0)))))</f>
        <v/>
      </c>
      <c r="I908" s="213"/>
      <c r="J908" s="214"/>
      <c r="K908" s="215"/>
      <c r="L908" s="197"/>
      <c r="M908" s="215"/>
      <c r="N908" s="216">
        <f>IFERROR(IF($E908="Inventory",VLOOKUP($C908,Inventory!$B:$I,8,FALSE()),IF($E908="Non Inventory",VLOOKUP($C908,'Non Inventory'!$B:$I,8,FALSE()),IF($E908="Services",VLOOKUP($C908,Services!$B:$I,8,FALSE()),IF($E908="Patty Cash",VLOOKUP($C908,'Patty Cash'!$B:$J,8,FALSE()),0)))),0)</f>
        <v>0</v>
      </c>
      <c r="O908" s="217" t="str">
        <f t="shared" si="14"/>
        <v/>
      </c>
    </row>
    <row r="909" spans="1:15" ht="23.1" customHeight="1">
      <c r="A909" s="206" t="str">
        <f>IF(AND($B909="",$C909=""),"",MAX($A$3:A908)+1)</f>
        <v/>
      </c>
      <c r="B909" s="207"/>
      <c r="C909" s="208"/>
      <c r="D909" s="209" t="str">
        <f>IFERROR(IF($E909="Inventory",VLOOKUP($C909,Inventory!$B:$I,2,FALSE()),IF($E909="Non Inventory",VLOOKUP($C909,'Non Inventory'!$B:$I,2,FALSE()),IF($E909="Services",VLOOKUP($C909,Services!$B:$I,2,FALSE()),IF($E909="Patty Cash",VLOOKUP($C909,'Patty Cash'!$B:$J,2,FALSE()),"")))),"")</f>
        <v/>
      </c>
      <c r="E909" s="246"/>
      <c r="F909" s="210" t="str">
        <f>IFERROR(IF($E909="Inventory",VLOOKUP($C909,Inventory!$B:$I,3,FALSE()),IF($E909="Non Inventory",VLOOKUP($C909,'Non Inventory'!$B:$I,3,FALSE()),IF($E909="Services",VLOOKUP($C909,Services!$B:$I,3,FALSE()),IF($E909="Patty Cash",VLOOKUP($C909,'Patty Cash'!$B:$J,3,FALSE()),"")))),"")</f>
        <v/>
      </c>
      <c r="G909" s="211"/>
      <c r="H909" s="212" t="str">
        <f>IF($E909="","",IF($E909="Inventory",IFERROR(VLOOKUP($C909,Inventory!$B:$H,7,FALSE()),0),IF($E909="Non Inventory",IFERROR(VLOOKUP($C909,'Non Inventory'!$B:$H,7,FALSE()),0),IF($E909="Services",IFERROR(VLOOKUP($C909,Services!$B:$H,7,FALSE()),0),IF($E909="Patty Cash",IFERROR(VLOOKUP($C909,'Patty Cash'!$B:$H,7,FALSE()),0),0)))))</f>
        <v/>
      </c>
      <c r="I909" s="213"/>
      <c r="J909" s="214"/>
      <c r="K909" s="215"/>
      <c r="L909" s="197"/>
      <c r="M909" s="215"/>
      <c r="N909" s="216">
        <f>IFERROR(IF($E909="Inventory",VLOOKUP($C909,Inventory!$B:$I,8,FALSE()),IF($E909="Non Inventory",VLOOKUP($C909,'Non Inventory'!$B:$I,8,FALSE()),IF($E909="Services",VLOOKUP($C909,Services!$B:$I,8,FALSE()),IF($E909="Patty Cash",VLOOKUP($C909,'Patty Cash'!$B:$J,8,FALSE()),0)))),0)</f>
        <v>0</v>
      </c>
      <c r="O909" s="217" t="str">
        <f t="shared" si="14"/>
        <v/>
      </c>
    </row>
    <row r="910" spans="1:15" ht="23.1" customHeight="1">
      <c r="A910" s="206" t="str">
        <f>IF(AND($B910="",$C910=""),"",MAX($A$3:A909)+1)</f>
        <v/>
      </c>
      <c r="B910" s="207"/>
      <c r="C910" s="208"/>
      <c r="D910" s="209" t="str">
        <f>IFERROR(IF($E910="Inventory",VLOOKUP($C910,Inventory!$B:$I,2,FALSE()),IF($E910="Non Inventory",VLOOKUP($C910,'Non Inventory'!$B:$I,2,FALSE()),IF($E910="Services",VLOOKUP($C910,Services!$B:$I,2,FALSE()),IF($E910="Patty Cash",VLOOKUP($C910,'Patty Cash'!$B:$J,2,FALSE()),"")))),"")</f>
        <v/>
      </c>
      <c r="E910" s="246"/>
      <c r="F910" s="210" t="str">
        <f>IFERROR(IF($E910="Inventory",VLOOKUP($C910,Inventory!$B:$I,3,FALSE()),IF($E910="Non Inventory",VLOOKUP($C910,'Non Inventory'!$B:$I,3,FALSE()),IF($E910="Services",VLOOKUP($C910,Services!$B:$I,3,FALSE()),IF($E910="Patty Cash",VLOOKUP($C910,'Patty Cash'!$B:$J,3,FALSE()),"")))),"")</f>
        <v/>
      </c>
      <c r="G910" s="211"/>
      <c r="H910" s="212" t="str">
        <f>IF($E910="","",IF($E910="Inventory",IFERROR(VLOOKUP($C910,Inventory!$B:$H,7,FALSE()),0),IF($E910="Non Inventory",IFERROR(VLOOKUP($C910,'Non Inventory'!$B:$H,7,FALSE()),0),IF($E910="Services",IFERROR(VLOOKUP($C910,Services!$B:$H,7,FALSE()),0),IF($E910="Patty Cash",IFERROR(VLOOKUP($C910,'Patty Cash'!$B:$H,7,FALSE()),0),0)))))</f>
        <v/>
      </c>
      <c r="I910" s="213"/>
      <c r="J910" s="214"/>
      <c r="K910" s="215"/>
      <c r="L910" s="197"/>
      <c r="M910" s="215"/>
      <c r="N910" s="216">
        <f>IFERROR(IF($E910="Inventory",VLOOKUP($C910,Inventory!$B:$I,8,FALSE()),IF($E910="Non Inventory",VLOOKUP($C910,'Non Inventory'!$B:$I,8,FALSE()),IF($E910="Services",VLOOKUP($C910,Services!$B:$I,8,FALSE()),IF($E910="Patty Cash",VLOOKUP($C910,'Patty Cash'!$B:$J,8,FALSE()),0)))),0)</f>
        <v>0</v>
      </c>
      <c r="O910" s="217" t="str">
        <f t="shared" si="14"/>
        <v/>
      </c>
    </row>
    <row r="911" spans="1:15" ht="23.1" customHeight="1">
      <c r="A911" s="206" t="str">
        <f>IF(AND($B911="",$C911=""),"",MAX($A$3:A910)+1)</f>
        <v/>
      </c>
      <c r="B911" s="207"/>
      <c r="C911" s="208"/>
      <c r="D911" s="209" t="str">
        <f>IFERROR(IF($E911="Inventory",VLOOKUP($C911,Inventory!$B:$I,2,FALSE()),IF($E911="Non Inventory",VLOOKUP($C911,'Non Inventory'!$B:$I,2,FALSE()),IF($E911="Services",VLOOKUP($C911,Services!$B:$I,2,FALSE()),IF($E911="Patty Cash",VLOOKUP($C911,'Patty Cash'!$B:$J,2,FALSE()),"")))),"")</f>
        <v/>
      </c>
      <c r="E911" s="246"/>
      <c r="F911" s="210" t="str">
        <f>IFERROR(IF($E911="Inventory",VLOOKUP($C911,Inventory!$B:$I,3,FALSE()),IF($E911="Non Inventory",VLOOKUP($C911,'Non Inventory'!$B:$I,3,FALSE()),IF($E911="Services",VLOOKUP($C911,Services!$B:$I,3,FALSE()),IF($E911="Patty Cash",VLOOKUP($C911,'Patty Cash'!$B:$J,3,FALSE()),"")))),"")</f>
        <v/>
      </c>
      <c r="G911" s="211"/>
      <c r="H911" s="212" t="str">
        <f>IF($E911="","",IF($E911="Inventory",IFERROR(VLOOKUP($C911,Inventory!$B:$H,7,FALSE()),0),IF($E911="Non Inventory",IFERROR(VLOOKUP($C911,'Non Inventory'!$B:$H,7,FALSE()),0),IF($E911="Services",IFERROR(VLOOKUP($C911,Services!$B:$H,7,FALSE()),0),IF($E911="Patty Cash",IFERROR(VLOOKUP($C911,'Patty Cash'!$B:$H,7,FALSE()),0),0)))))</f>
        <v/>
      </c>
      <c r="I911" s="213"/>
      <c r="J911" s="214"/>
      <c r="K911" s="215"/>
      <c r="L911" s="197"/>
      <c r="M911" s="215"/>
      <c r="N911" s="216">
        <f>IFERROR(IF($E911="Inventory",VLOOKUP($C911,Inventory!$B:$I,8,FALSE()),IF($E911="Non Inventory",VLOOKUP($C911,'Non Inventory'!$B:$I,8,FALSE()),IF($E911="Services",VLOOKUP($C911,Services!$B:$I,8,FALSE()),IF($E911="Patty Cash",VLOOKUP($C911,'Patty Cash'!$B:$J,8,FALSE()),0)))),0)</f>
        <v>0</v>
      </c>
      <c r="O911" s="217" t="str">
        <f t="shared" si="14"/>
        <v/>
      </c>
    </row>
    <row r="912" spans="1:15" ht="23.1" customHeight="1">
      <c r="A912" s="206" t="str">
        <f>IF(AND($B912="",$C912=""),"",MAX($A$3:A911)+1)</f>
        <v/>
      </c>
      <c r="B912" s="207"/>
      <c r="C912" s="208"/>
      <c r="D912" s="209" t="str">
        <f>IFERROR(IF($E912="Inventory",VLOOKUP($C912,Inventory!$B:$I,2,FALSE()),IF($E912="Non Inventory",VLOOKUP($C912,'Non Inventory'!$B:$I,2,FALSE()),IF($E912="Services",VLOOKUP($C912,Services!$B:$I,2,FALSE()),IF($E912="Patty Cash",VLOOKUP($C912,'Patty Cash'!$B:$J,2,FALSE()),"")))),"")</f>
        <v/>
      </c>
      <c r="E912" s="246"/>
      <c r="F912" s="210" t="str">
        <f>IFERROR(IF($E912="Inventory",VLOOKUP($C912,Inventory!$B:$I,3,FALSE()),IF($E912="Non Inventory",VLOOKUP($C912,'Non Inventory'!$B:$I,3,FALSE()),IF($E912="Services",VLOOKUP($C912,Services!$B:$I,3,FALSE()),IF($E912="Patty Cash",VLOOKUP($C912,'Patty Cash'!$B:$J,3,FALSE()),"")))),"")</f>
        <v/>
      </c>
      <c r="G912" s="211"/>
      <c r="H912" s="212" t="str">
        <f>IF($E912="","",IF($E912="Inventory",IFERROR(VLOOKUP($C912,Inventory!$B:$H,7,FALSE()),0),IF($E912="Non Inventory",IFERROR(VLOOKUP($C912,'Non Inventory'!$B:$H,7,FALSE()),0),IF($E912="Services",IFERROR(VLOOKUP($C912,Services!$B:$H,7,FALSE()),0),IF($E912="Patty Cash",IFERROR(VLOOKUP($C912,'Patty Cash'!$B:$H,7,FALSE()),0),0)))))</f>
        <v/>
      </c>
      <c r="I912" s="213"/>
      <c r="J912" s="214"/>
      <c r="K912" s="215"/>
      <c r="L912" s="197"/>
      <c r="M912" s="215"/>
      <c r="N912" s="216">
        <f>IFERROR(IF($E912="Inventory",VLOOKUP($C912,Inventory!$B:$I,8,FALSE()),IF($E912="Non Inventory",VLOOKUP($C912,'Non Inventory'!$B:$I,8,FALSE()),IF($E912="Services",VLOOKUP($C912,Services!$B:$I,8,FALSE()),IF($E912="Patty Cash",VLOOKUP($C912,'Patty Cash'!$B:$J,8,FALSE()),0)))),0)</f>
        <v>0</v>
      </c>
      <c r="O912" s="217" t="str">
        <f t="shared" si="14"/>
        <v/>
      </c>
    </row>
    <row r="913" spans="1:15" ht="23.1" customHeight="1">
      <c r="A913" s="206" t="str">
        <f>IF(AND($B913="",$C913=""),"",MAX($A$3:A912)+1)</f>
        <v/>
      </c>
      <c r="B913" s="207"/>
      <c r="C913" s="208"/>
      <c r="D913" s="209" t="str">
        <f>IFERROR(IF($E913="Inventory",VLOOKUP($C913,Inventory!$B:$I,2,FALSE()),IF($E913="Non Inventory",VLOOKUP($C913,'Non Inventory'!$B:$I,2,FALSE()),IF($E913="Services",VLOOKUP($C913,Services!$B:$I,2,FALSE()),IF($E913="Patty Cash",VLOOKUP($C913,'Patty Cash'!$B:$J,2,FALSE()),"")))),"")</f>
        <v/>
      </c>
      <c r="E913" s="246"/>
      <c r="F913" s="210" t="str">
        <f>IFERROR(IF($E913="Inventory",VLOOKUP($C913,Inventory!$B:$I,3,FALSE()),IF($E913="Non Inventory",VLOOKUP($C913,'Non Inventory'!$B:$I,3,FALSE()),IF($E913="Services",VLOOKUP($C913,Services!$B:$I,3,FALSE()),IF($E913="Patty Cash",VLOOKUP($C913,'Patty Cash'!$B:$J,3,FALSE()),"")))),"")</f>
        <v/>
      </c>
      <c r="G913" s="211"/>
      <c r="H913" s="212" t="str">
        <f>IF($E913="","",IF($E913="Inventory",IFERROR(VLOOKUP($C913,Inventory!$B:$H,7,FALSE()),0),IF($E913="Non Inventory",IFERROR(VLOOKUP($C913,'Non Inventory'!$B:$H,7,FALSE()),0),IF($E913="Services",IFERROR(VLOOKUP($C913,Services!$B:$H,7,FALSE()),0),IF($E913="Patty Cash",IFERROR(VLOOKUP($C913,'Patty Cash'!$B:$H,7,FALSE()),0),0)))))</f>
        <v/>
      </c>
      <c r="I913" s="213"/>
      <c r="J913" s="214"/>
      <c r="K913" s="215"/>
      <c r="L913" s="197"/>
      <c r="M913" s="215"/>
      <c r="N913" s="216">
        <f>IFERROR(IF($E913="Inventory",VLOOKUP($C913,Inventory!$B:$I,8,FALSE()),IF($E913="Non Inventory",VLOOKUP($C913,'Non Inventory'!$B:$I,8,FALSE()),IF($E913="Services",VLOOKUP($C913,Services!$B:$I,8,FALSE()),IF($E913="Patty Cash",VLOOKUP($C913,'Patty Cash'!$B:$J,8,FALSE()),0)))),0)</f>
        <v>0</v>
      </c>
      <c r="O913" s="217" t="str">
        <f t="shared" si="14"/>
        <v/>
      </c>
    </row>
    <row r="914" spans="1:15" ht="23.1" customHeight="1">
      <c r="A914" s="206" t="str">
        <f>IF(AND($B914="",$C914=""),"",MAX($A$3:A913)+1)</f>
        <v/>
      </c>
      <c r="B914" s="207"/>
      <c r="C914" s="208"/>
      <c r="D914" s="209" t="str">
        <f>IFERROR(IF($E914="Inventory",VLOOKUP($C914,Inventory!$B:$I,2,FALSE()),IF($E914="Non Inventory",VLOOKUP($C914,'Non Inventory'!$B:$I,2,FALSE()),IF($E914="Services",VLOOKUP($C914,Services!$B:$I,2,FALSE()),IF($E914="Patty Cash",VLOOKUP($C914,'Patty Cash'!$B:$J,2,FALSE()),"")))),"")</f>
        <v/>
      </c>
      <c r="E914" s="246"/>
      <c r="F914" s="210" t="str">
        <f>IFERROR(IF($E914="Inventory",VLOOKUP($C914,Inventory!$B:$I,3,FALSE()),IF($E914="Non Inventory",VLOOKUP($C914,'Non Inventory'!$B:$I,3,FALSE()),IF($E914="Services",VLOOKUP($C914,Services!$B:$I,3,FALSE()),IF($E914="Patty Cash",VLOOKUP($C914,'Patty Cash'!$B:$J,3,FALSE()),"")))),"")</f>
        <v/>
      </c>
      <c r="G914" s="211"/>
      <c r="H914" s="212" t="str">
        <f>IF($E914="","",IF($E914="Inventory",IFERROR(VLOOKUP($C914,Inventory!$B:$H,7,FALSE()),0),IF($E914="Non Inventory",IFERROR(VLOOKUP($C914,'Non Inventory'!$B:$H,7,FALSE()),0),IF($E914="Services",IFERROR(VLOOKUP($C914,Services!$B:$H,7,FALSE()),0),IF($E914="Patty Cash",IFERROR(VLOOKUP($C914,'Patty Cash'!$B:$H,7,FALSE()),0),0)))))</f>
        <v/>
      </c>
      <c r="I914" s="213"/>
      <c r="J914" s="214"/>
      <c r="K914" s="215"/>
      <c r="L914" s="197"/>
      <c r="M914" s="215"/>
      <c r="N914" s="216">
        <f>IFERROR(IF($E914="Inventory",VLOOKUP($C914,Inventory!$B:$I,8,FALSE()),IF($E914="Non Inventory",VLOOKUP($C914,'Non Inventory'!$B:$I,8,FALSE()),IF($E914="Services",VLOOKUP($C914,Services!$B:$I,8,FALSE()),IF($E914="Patty Cash",VLOOKUP($C914,'Patty Cash'!$B:$J,8,FALSE()),0)))),0)</f>
        <v>0</v>
      </c>
      <c r="O914" s="217" t="str">
        <f t="shared" si="14"/>
        <v/>
      </c>
    </row>
    <row r="915" spans="1:15" ht="23.1" customHeight="1">
      <c r="A915" s="206" t="str">
        <f>IF(AND($B915="",$C915=""),"",MAX($A$3:A914)+1)</f>
        <v/>
      </c>
      <c r="B915" s="207"/>
      <c r="C915" s="208"/>
      <c r="D915" s="209" t="str">
        <f>IFERROR(IF($E915="Inventory",VLOOKUP($C915,Inventory!$B:$I,2,FALSE()),IF($E915="Non Inventory",VLOOKUP($C915,'Non Inventory'!$B:$I,2,FALSE()),IF($E915="Services",VLOOKUP($C915,Services!$B:$I,2,FALSE()),IF($E915="Patty Cash",VLOOKUP($C915,'Patty Cash'!$B:$J,2,FALSE()),"")))),"")</f>
        <v/>
      </c>
      <c r="E915" s="246"/>
      <c r="F915" s="210" t="str">
        <f>IFERROR(IF($E915="Inventory",VLOOKUP($C915,Inventory!$B:$I,3,FALSE()),IF($E915="Non Inventory",VLOOKUP($C915,'Non Inventory'!$B:$I,3,FALSE()),IF($E915="Services",VLOOKUP($C915,Services!$B:$I,3,FALSE()),IF($E915="Patty Cash",VLOOKUP($C915,'Patty Cash'!$B:$J,3,FALSE()),"")))),"")</f>
        <v/>
      </c>
      <c r="G915" s="211"/>
      <c r="H915" s="212" t="str">
        <f>IF($E915="","",IF($E915="Inventory",IFERROR(VLOOKUP($C915,Inventory!$B:$H,7,FALSE()),0),IF($E915="Non Inventory",IFERROR(VLOOKUP($C915,'Non Inventory'!$B:$H,7,FALSE()),0),IF($E915="Services",IFERROR(VLOOKUP($C915,Services!$B:$H,7,FALSE()),0),IF($E915="Patty Cash",IFERROR(VLOOKUP($C915,'Patty Cash'!$B:$H,7,FALSE()),0),0)))))</f>
        <v/>
      </c>
      <c r="I915" s="213"/>
      <c r="J915" s="214"/>
      <c r="K915" s="215"/>
      <c r="L915" s="197"/>
      <c r="M915" s="215"/>
      <c r="N915" s="216">
        <f>IFERROR(IF($E915="Inventory",VLOOKUP($C915,Inventory!$B:$I,8,FALSE()),IF($E915="Non Inventory",VLOOKUP($C915,'Non Inventory'!$B:$I,8,FALSE()),IF($E915="Services",VLOOKUP($C915,Services!$B:$I,8,FALSE()),IF($E915="Patty Cash",VLOOKUP($C915,'Patty Cash'!$B:$J,8,FALSE()),0)))),0)</f>
        <v>0</v>
      </c>
      <c r="O915" s="217" t="str">
        <f t="shared" si="14"/>
        <v/>
      </c>
    </row>
    <row r="916" spans="1:15" ht="23.1" customHeight="1">
      <c r="A916" s="206" t="str">
        <f>IF(AND($B916="",$C916=""),"",MAX($A$3:A915)+1)</f>
        <v/>
      </c>
      <c r="B916" s="207"/>
      <c r="C916" s="208"/>
      <c r="D916" s="209" t="str">
        <f>IFERROR(IF($E916="Inventory",VLOOKUP($C916,Inventory!$B:$I,2,FALSE()),IF($E916="Non Inventory",VLOOKUP($C916,'Non Inventory'!$B:$I,2,FALSE()),IF($E916="Services",VLOOKUP($C916,Services!$B:$I,2,FALSE()),IF($E916="Patty Cash",VLOOKUP($C916,'Patty Cash'!$B:$J,2,FALSE()),"")))),"")</f>
        <v/>
      </c>
      <c r="E916" s="246"/>
      <c r="F916" s="210" t="str">
        <f>IFERROR(IF($E916="Inventory",VLOOKUP($C916,Inventory!$B:$I,3,FALSE()),IF($E916="Non Inventory",VLOOKUP($C916,'Non Inventory'!$B:$I,3,FALSE()),IF($E916="Services",VLOOKUP($C916,Services!$B:$I,3,FALSE()),IF($E916="Patty Cash",VLOOKUP($C916,'Patty Cash'!$B:$J,3,FALSE()),"")))),"")</f>
        <v/>
      </c>
      <c r="G916" s="211"/>
      <c r="H916" s="212" t="str">
        <f>IF($E916="","",IF($E916="Inventory",IFERROR(VLOOKUP($C916,Inventory!$B:$H,7,FALSE()),0),IF($E916="Non Inventory",IFERROR(VLOOKUP($C916,'Non Inventory'!$B:$H,7,FALSE()),0),IF($E916="Services",IFERROR(VLOOKUP($C916,Services!$B:$H,7,FALSE()),0),IF($E916="Patty Cash",IFERROR(VLOOKUP($C916,'Patty Cash'!$B:$H,7,FALSE()),0),0)))))</f>
        <v/>
      </c>
      <c r="I916" s="213"/>
      <c r="J916" s="214"/>
      <c r="K916" s="215"/>
      <c r="L916" s="197"/>
      <c r="M916" s="215"/>
      <c r="N916" s="216">
        <f>IFERROR(IF($E916="Inventory",VLOOKUP($C916,Inventory!$B:$I,8,FALSE()),IF($E916="Non Inventory",VLOOKUP($C916,'Non Inventory'!$B:$I,8,FALSE()),IF($E916="Services",VLOOKUP($C916,Services!$B:$I,8,FALSE()),IF($E916="Patty Cash",VLOOKUP($C916,'Patty Cash'!$B:$J,8,FALSE()),0)))),0)</f>
        <v>0</v>
      </c>
      <c r="O916" s="217" t="str">
        <f t="shared" si="14"/>
        <v/>
      </c>
    </row>
    <row r="917" spans="1:15" ht="23.1" customHeight="1">
      <c r="A917" s="206" t="str">
        <f>IF(AND($B917="",$C917=""),"",MAX($A$3:A916)+1)</f>
        <v/>
      </c>
      <c r="B917" s="207"/>
      <c r="C917" s="208"/>
      <c r="D917" s="209" t="str">
        <f>IFERROR(IF($E917="Inventory",VLOOKUP($C917,Inventory!$B:$I,2,FALSE()),IF($E917="Non Inventory",VLOOKUP($C917,'Non Inventory'!$B:$I,2,FALSE()),IF($E917="Services",VLOOKUP($C917,Services!$B:$I,2,FALSE()),IF($E917="Patty Cash",VLOOKUP($C917,'Patty Cash'!$B:$J,2,FALSE()),"")))),"")</f>
        <v/>
      </c>
      <c r="E917" s="246"/>
      <c r="F917" s="210" t="str">
        <f>IFERROR(IF($E917="Inventory",VLOOKUP($C917,Inventory!$B:$I,3,FALSE()),IF($E917="Non Inventory",VLOOKUP($C917,'Non Inventory'!$B:$I,3,FALSE()),IF($E917="Services",VLOOKUP($C917,Services!$B:$I,3,FALSE()),IF($E917="Patty Cash",VLOOKUP($C917,'Patty Cash'!$B:$J,3,FALSE()),"")))),"")</f>
        <v/>
      </c>
      <c r="G917" s="211"/>
      <c r="H917" s="212" t="str">
        <f>IF($E917="","",IF($E917="Inventory",IFERROR(VLOOKUP($C917,Inventory!$B:$H,7,FALSE()),0),IF($E917="Non Inventory",IFERROR(VLOOKUP($C917,'Non Inventory'!$B:$H,7,FALSE()),0),IF($E917="Services",IFERROR(VLOOKUP($C917,Services!$B:$H,7,FALSE()),0),IF($E917="Patty Cash",IFERROR(VLOOKUP($C917,'Patty Cash'!$B:$H,7,FALSE()),0),0)))))</f>
        <v/>
      </c>
      <c r="I917" s="213"/>
      <c r="J917" s="214"/>
      <c r="K917" s="215"/>
      <c r="L917" s="197"/>
      <c r="M917" s="215"/>
      <c r="N917" s="216">
        <f>IFERROR(IF($E917="Inventory",VLOOKUP($C917,Inventory!$B:$I,8,FALSE()),IF($E917="Non Inventory",VLOOKUP($C917,'Non Inventory'!$B:$I,8,FALSE()),IF($E917="Services",VLOOKUP($C917,Services!$B:$I,8,FALSE()),IF($E917="Patty Cash",VLOOKUP($C917,'Patty Cash'!$B:$J,8,FALSE()),0)))),0)</f>
        <v>0</v>
      </c>
      <c r="O917" s="217" t="str">
        <f t="shared" si="14"/>
        <v/>
      </c>
    </row>
    <row r="918" spans="1:15" ht="23.1" customHeight="1">
      <c r="A918" s="206" t="str">
        <f>IF(AND($B918="",$C918=""),"",MAX($A$3:A917)+1)</f>
        <v/>
      </c>
      <c r="B918" s="207"/>
      <c r="C918" s="208"/>
      <c r="D918" s="209" t="str">
        <f>IFERROR(IF($E918="Inventory",VLOOKUP($C918,Inventory!$B:$I,2,FALSE()),IF($E918="Non Inventory",VLOOKUP($C918,'Non Inventory'!$B:$I,2,FALSE()),IF($E918="Services",VLOOKUP($C918,Services!$B:$I,2,FALSE()),IF($E918="Patty Cash",VLOOKUP($C918,'Patty Cash'!$B:$J,2,FALSE()),"")))),"")</f>
        <v/>
      </c>
      <c r="E918" s="246"/>
      <c r="F918" s="210" t="str">
        <f>IFERROR(IF($E918="Inventory",VLOOKUP($C918,Inventory!$B:$I,3,FALSE()),IF($E918="Non Inventory",VLOOKUP($C918,'Non Inventory'!$B:$I,3,FALSE()),IF($E918="Services",VLOOKUP($C918,Services!$B:$I,3,FALSE()),IF($E918="Patty Cash",VLOOKUP($C918,'Patty Cash'!$B:$J,3,FALSE()),"")))),"")</f>
        <v/>
      </c>
      <c r="G918" s="211"/>
      <c r="H918" s="212" t="str">
        <f>IF($E918="","",IF($E918="Inventory",IFERROR(VLOOKUP($C918,Inventory!$B:$H,7,FALSE()),0),IF($E918="Non Inventory",IFERROR(VLOOKUP($C918,'Non Inventory'!$B:$H,7,FALSE()),0),IF($E918="Services",IFERROR(VLOOKUP($C918,Services!$B:$H,7,FALSE()),0),IF($E918="Patty Cash",IFERROR(VLOOKUP($C918,'Patty Cash'!$B:$H,7,FALSE()),0),0)))))</f>
        <v/>
      </c>
      <c r="I918" s="213"/>
      <c r="J918" s="214"/>
      <c r="K918" s="215"/>
      <c r="L918" s="197"/>
      <c r="M918" s="215"/>
      <c r="N918" s="216">
        <f>IFERROR(IF($E918="Inventory",VLOOKUP($C918,Inventory!$B:$I,8,FALSE()),IF($E918="Non Inventory",VLOOKUP($C918,'Non Inventory'!$B:$I,8,FALSE()),IF($E918="Services",VLOOKUP($C918,Services!$B:$I,8,FALSE()),IF($E918="Patty Cash",VLOOKUP($C918,'Patty Cash'!$B:$J,8,FALSE()),0)))),0)</f>
        <v>0</v>
      </c>
      <c r="O918" s="217" t="str">
        <f t="shared" si="14"/>
        <v/>
      </c>
    </row>
    <row r="919" spans="1:15" ht="23.1" customHeight="1">
      <c r="A919" s="206" t="str">
        <f>IF(AND($B919="",$C919=""),"",MAX($A$3:A918)+1)</f>
        <v/>
      </c>
      <c r="B919" s="207"/>
      <c r="C919" s="208"/>
      <c r="D919" s="209" t="str">
        <f>IFERROR(IF($E919="Inventory",VLOOKUP($C919,Inventory!$B:$I,2,FALSE()),IF($E919="Non Inventory",VLOOKUP($C919,'Non Inventory'!$B:$I,2,FALSE()),IF($E919="Services",VLOOKUP($C919,Services!$B:$I,2,FALSE()),IF($E919="Patty Cash",VLOOKUP($C919,'Patty Cash'!$B:$J,2,FALSE()),"")))),"")</f>
        <v/>
      </c>
      <c r="E919" s="246"/>
      <c r="F919" s="210" t="str">
        <f>IFERROR(IF($E919="Inventory",VLOOKUP($C919,Inventory!$B:$I,3,FALSE()),IF($E919="Non Inventory",VLOOKUP($C919,'Non Inventory'!$B:$I,3,FALSE()),IF($E919="Services",VLOOKUP($C919,Services!$B:$I,3,FALSE()),IF($E919="Patty Cash",VLOOKUP($C919,'Patty Cash'!$B:$J,3,FALSE()),"")))),"")</f>
        <v/>
      </c>
      <c r="G919" s="211"/>
      <c r="H919" s="212" t="str">
        <f>IF($E919="","",IF($E919="Inventory",IFERROR(VLOOKUP($C919,Inventory!$B:$H,7,FALSE()),0),IF($E919="Non Inventory",IFERROR(VLOOKUP($C919,'Non Inventory'!$B:$H,7,FALSE()),0),IF($E919="Services",IFERROR(VLOOKUP($C919,Services!$B:$H,7,FALSE()),0),IF($E919="Patty Cash",IFERROR(VLOOKUP($C919,'Patty Cash'!$B:$H,7,FALSE()),0),0)))))</f>
        <v/>
      </c>
      <c r="I919" s="213"/>
      <c r="J919" s="214"/>
      <c r="K919" s="215"/>
      <c r="L919" s="197"/>
      <c r="M919" s="215"/>
      <c r="N919" s="216">
        <f>IFERROR(IF($E919="Inventory",VLOOKUP($C919,Inventory!$B:$I,8,FALSE()),IF($E919="Non Inventory",VLOOKUP($C919,'Non Inventory'!$B:$I,8,FALSE()),IF($E919="Services",VLOOKUP($C919,Services!$B:$I,8,FALSE()),IF($E919="Patty Cash",VLOOKUP($C919,'Patty Cash'!$B:$J,8,FALSE()),0)))),0)</f>
        <v>0</v>
      </c>
      <c r="O919" s="217" t="str">
        <f t="shared" si="14"/>
        <v/>
      </c>
    </row>
    <row r="920" spans="1:15" ht="23.1" customHeight="1">
      <c r="A920" s="206" t="str">
        <f>IF(AND($B920="",$C920=""),"",MAX($A$3:A919)+1)</f>
        <v/>
      </c>
      <c r="B920" s="207"/>
      <c r="C920" s="208"/>
      <c r="D920" s="209" t="str">
        <f>IFERROR(IF($E920="Inventory",VLOOKUP($C920,Inventory!$B:$I,2,FALSE()),IF($E920="Non Inventory",VLOOKUP($C920,'Non Inventory'!$B:$I,2,FALSE()),IF($E920="Services",VLOOKUP($C920,Services!$B:$I,2,FALSE()),IF($E920="Patty Cash",VLOOKUP($C920,'Patty Cash'!$B:$J,2,FALSE()),"")))),"")</f>
        <v/>
      </c>
      <c r="E920" s="246"/>
      <c r="F920" s="210" t="str">
        <f>IFERROR(IF($E920="Inventory",VLOOKUP($C920,Inventory!$B:$I,3,FALSE()),IF($E920="Non Inventory",VLOOKUP($C920,'Non Inventory'!$B:$I,3,FALSE()),IF($E920="Services",VLOOKUP($C920,Services!$B:$I,3,FALSE()),IF($E920="Patty Cash",VLOOKUP($C920,'Patty Cash'!$B:$J,3,FALSE()),"")))),"")</f>
        <v/>
      </c>
      <c r="G920" s="211"/>
      <c r="H920" s="212" t="str">
        <f>IF($E920="","",IF($E920="Inventory",IFERROR(VLOOKUP($C920,Inventory!$B:$H,7,FALSE()),0),IF($E920="Non Inventory",IFERROR(VLOOKUP($C920,'Non Inventory'!$B:$H,7,FALSE()),0),IF($E920="Services",IFERROR(VLOOKUP($C920,Services!$B:$H,7,FALSE()),0),IF($E920="Patty Cash",IFERROR(VLOOKUP($C920,'Patty Cash'!$B:$H,7,FALSE()),0),0)))))</f>
        <v/>
      </c>
      <c r="I920" s="213"/>
      <c r="J920" s="214"/>
      <c r="K920" s="215"/>
      <c r="L920" s="197"/>
      <c r="M920" s="215"/>
      <c r="N920" s="216">
        <f>IFERROR(IF($E920="Inventory",VLOOKUP($C920,Inventory!$B:$I,8,FALSE()),IF($E920="Non Inventory",VLOOKUP($C920,'Non Inventory'!$B:$I,8,FALSE()),IF($E920="Services",VLOOKUP($C920,Services!$B:$I,8,FALSE()),IF($E920="Patty Cash",VLOOKUP($C920,'Patty Cash'!$B:$J,8,FALSE()),0)))),0)</f>
        <v>0</v>
      </c>
      <c r="O920" s="217" t="str">
        <f t="shared" si="14"/>
        <v/>
      </c>
    </row>
    <row r="921" spans="1:15" ht="23.1" customHeight="1">
      <c r="A921" s="206" t="str">
        <f>IF(AND($B921="",$C921=""),"",MAX($A$3:A920)+1)</f>
        <v/>
      </c>
      <c r="B921" s="207"/>
      <c r="C921" s="208"/>
      <c r="D921" s="209" t="str">
        <f>IFERROR(IF($E921="Inventory",VLOOKUP($C921,Inventory!$B:$I,2,FALSE()),IF($E921="Non Inventory",VLOOKUP($C921,'Non Inventory'!$B:$I,2,FALSE()),IF($E921="Services",VLOOKUP($C921,Services!$B:$I,2,FALSE()),IF($E921="Patty Cash",VLOOKUP($C921,'Patty Cash'!$B:$J,2,FALSE()),"")))),"")</f>
        <v/>
      </c>
      <c r="E921" s="246"/>
      <c r="F921" s="210" t="str">
        <f>IFERROR(IF($E921="Inventory",VLOOKUP($C921,Inventory!$B:$I,3,FALSE()),IF($E921="Non Inventory",VLOOKUP($C921,'Non Inventory'!$B:$I,3,FALSE()),IF($E921="Services",VLOOKUP($C921,Services!$B:$I,3,FALSE()),IF($E921="Patty Cash",VLOOKUP($C921,'Patty Cash'!$B:$J,3,FALSE()),"")))),"")</f>
        <v/>
      </c>
      <c r="G921" s="211"/>
      <c r="H921" s="212" t="str">
        <f>IF($E921="","",IF($E921="Inventory",IFERROR(VLOOKUP($C921,Inventory!$B:$H,7,FALSE()),0),IF($E921="Non Inventory",IFERROR(VLOOKUP($C921,'Non Inventory'!$B:$H,7,FALSE()),0),IF($E921="Services",IFERROR(VLOOKUP($C921,Services!$B:$H,7,FALSE()),0),IF($E921="Patty Cash",IFERROR(VLOOKUP($C921,'Patty Cash'!$B:$H,7,FALSE()),0),0)))))</f>
        <v/>
      </c>
      <c r="I921" s="213"/>
      <c r="J921" s="214"/>
      <c r="K921" s="215"/>
      <c r="L921" s="197"/>
      <c r="M921" s="215"/>
      <c r="N921" s="216">
        <f>IFERROR(IF($E921="Inventory",VLOOKUP($C921,Inventory!$B:$I,8,FALSE()),IF($E921="Non Inventory",VLOOKUP($C921,'Non Inventory'!$B:$I,8,FALSE()),IF($E921="Services",VLOOKUP($C921,Services!$B:$I,8,FALSE()),IF($E921="Patty Cash",VLOOKUP($C921,'Patty Cash'!$B:$J,8,FALSE()),0)))),0)</f>
        <v>0</v>
      </c>
      <c r="O921" s="217" t="str">
        <f t="shared" si="14"/>
        <v/>
      </c>
    </row>
    <row r="922" spans="1:15" ht="23.1" customHeight="1">
      <c r="A922" s="206" t="str">
        <f>IF(AND($B922="",$C922=""),"",MAX($A$3:A921)+1)</f>
        <v/>
      </c>
      <c r="B922" s="207"/>
      <c r="C922" s="208"/>
      <c r="D922" s="209" t="str">
        <f>IFERROR(IF($E922="Inventory",VLOOKUP($C922,Inventory!$B:$I,2,FALSE()),IF($E922="Non Inventory",VLOOKUP($C922,'Non Inventory'!$B:$I,2,FALSE()),IF($E922="Services",VLOOKUP($C922,Services!$B:$I,2,FALSE()),IF($E922="Patty Cash",VLOOKUP($C922,'Patty Cash'!$B:$J,2,FALSE()),"")))),"")</f>
        <v/>
      </c>
      <c r="E922" s="246"/>
      <c r="F922" s="210" t="str">
        <f>IFERROR(IF($E922="Inventory",VLOOKUP($C922,Inventory!$B:$I,3,FALSE()),IF($E922="Non Inventory",VLOOKUP($C922,'Non Inventory'!$B:$I,3,FALSE()),IF($E922="Services",VLOOKUP($C922,Services!$B:$I,3,FALSE()),IF($E922="Patty Cash",VLOOKUP($C922,'Patty Cash'!$B:$J,3,FALSE()),"")))),"")</f>
        <v/>
      </c>
      <c r="G922" s="211"/>
      <c r="H922" s="212" t="str">
        <f>IF($E922="","",IF($E922="Inventory",IFERROR(VLOOKUP($C922,Inventory!$B:$H,7,FALSE()),0),IF($E922="Non Inventory",IFERROR(VLOOKUP($C922,'Non Inventory'!$B:$H,7,FALSE()),0),IF($E922="Services",IFERROR(VLOOKUP($C922,Services!$B:$H,7,FALSE()),0),IF($E922="Patty Cash",IFERROR(VLOOKUP($C922,'Patty Cash'!$B:$H,7,FALSE()),0),0)))))</f>
        <v/>
      </c>
      <c r="I922" s="213"/>
      <c r="J922" s="214"/>
      <c r="K922" s="215"/>
      <c r="L922" s="197"/>
      <c r="M922" s="215"/>
      <c r="N922" s="216">
        <f>IFERROR(IF($E922="Inventory",VLOOKUP($C922,Inventory!$B:$I,8,FALSE()),IF($E922="Non Inventory",VLOOKUP($C922,'Non Inventory'!$B:$I,8,FALSE()),IF($E922="Services",VLOOKUP($C922,Services!$B:$I,8,FALSE()),IF($E922="Patty Cash",VLOOKUP($C922,'Patty Cash'!$B:$J,8,FALSE()),0)))),0)</f>
        <v>0</v>
      </c>
      <c r="O922" s="217" t="str">
        <f t="shared" si="14"/>
        <v/>
      </c>
    </row>
    <row r="923" spans="1:15" ht="23.1" customHeight="1">
      <c r="A923" s="206" t="str">
        <f>IF(AND($B923="",$C923=""),"",MAX($A$3:A922)+1)</f>
        <v/>
      </c>
      <c r="B923" s="207"/>
      <c r="C923" s="208"/>
      <c r="D923" s="209" t="str">
        <f>IFERROR(IF($E923="Inventory",VLOOKUP($C923,Inventory!$B:$I,2,FALSE()),IF($E923="Non Inventory",VLOOKUP($C923,'Non Inventory'!$B:$I,2,FALSE()),IF($E923="Services",VLOOKUP($C923,Services!$B:$I,2,FALSE()),IF($E923="Patty Cash",VLOOKUP($C923,'Patty Cash'!$B:$J,2,FALSE()),"")))),"")</f>
        <v/>
      </c>
      <c r="E923" s="246"/>
      <c r="F923" s="210" t="str">
        <f>IFERROR(IF($E923="Inventory",VLOOKUP($C923,Inventory!$B:$I,3,FALSE()),IF($E923="Non Inventory",VLOOKUP($C923,'Non Inventory'!$B:$I,3,FALSE()),IF($E923="Services",VLOOKUP($C923,Services!$B:$I,3,FALSE()),IF($E923="Patty Cash",VLOOKUP($C923,'Patty Cash'!$B:$J,3,FALSE()),"")))),"")</f>
        <v/>
      </c>
      <c r="G923" s="211"/>
      <c r="H923" s="212" t="str">
        <f>IF($E923="","",IF($E923="Inventory",IFERROR(VLOOKUP($C923,Inventory!$B:$H,7,FALSE()),0),IF($E923="Non Inventory",IFERROR(VLOOKUP($C923,'Non Inventory'!$B:$H,7,FALSE()),0),IF($E923="Services",IFERROR(VLOOKUP($C923,Services!$B:$H,7,FALSE()),0),IF($E923="Patty Cash",IFERROR(VLOOKUP($C923,'Patty Cash'!$B:$H,7,FALSE()),0),0)))))</f>
        <v/>
      </c>
      <c r="I923" s="213"/>
      <c r="J923" s="214"/>
      <c r="K923" s="215"/>
      <c r="L923" s="197"/>
      <c r="M923" s="215"/>
      <c r="N923" s="216">
        <f>IFERROR(IF($E923="Inventory",VLOOKUP($C923,Inventory!$B:$I,8,FALSE()),IF($E923="Non Inventory",VLOOKUP($C923,'Non Inventory'!$B:$I,8,FALSE()),IF($E923="Services",VLOOKUP($C923,Services!$B:$I,8,FALSE()),IF($E923="Patty Cash",VLOOKUP($C923,'Patty Cash'!$B:$J,8,FALSE()),0)))),0)</f>
        <v>0</v>
      </c>
      <c r="O923" s="217" t="str">
        <f t="shared" si="14"/>
        <v/>
      </c>
    </row>
    <row r="924" spans="1:15" ht="23.1" customHeight="1">
      <c r="A924" s="206" t="str">
        <f>IF(AND($B924="",$C924=""),"",MAX($A$3:A923)+1)</f>
        <v/>
      </c>
      <c r="B924" s="207"/>
      <c r="C924" s="208"/>
      <c r="D924" s="209" t="str">
        <f>IFERROR(IF($E924="Inventory",VLOOKUP($C924,Inventory!$B:$I,2,FALSE()),IF($E924="Non Inventory",VLOOKUP($C924,'Non Inventory'!$B:$I,2,FALSE()),IF($E924="Services",VLOOKUP($C924,Services!$B:$I,2,FALSE()),IF($E924="Patty Cash",VLOOKUP($C924,'Patty Cash'!$B:$J,2,FALSE()),"")))),"")</f>
        <v/>
      </c>
      <c r="E924" s="246"/>
      <c r="F924" s="210" t="str">
        <f>IFERROR(IF($E924="Inventory",VLOOKUP($C924,Inventory!$B:$I,3,FALSE()),IF($E924="Non Inventory",VLOOKUP($C924,'Non Inventory'!$B:$I,3,FALSE()),IF($E924="Services",VLOOKUP($C924,Services!$B:$I,3,FALSE()),IF($E924="Patty Cash",VLOOKUP($C924,'Patty Cash'!$B:$J,3,FALSE()),"")))),"")</f>
        <v/>
      </c>
      <c r="G924" s="211"/>
      <c r="H924" s="212" t="str">
        <f>IF($E924="","",IF($E924="Inventory",IFERROR(VLOOKUP($C924,Inventory!$B:$H,7,FALSE()),0),IF($E924="Non Inventory",IFERROR(VLOOKUP($C924,'Non Inventory'!$B:$H,7,FALSE()),0),IF($E924="Services",IFERROR(VLOOKUP($C924,Services!$B:$H,7,FALSE()),0),IF($E924="Patty Cash",IFERROR(VLOOKUP($C924,'Patty Cash'!$B:$H,7,FALSE()),0),0)))))</f>
        <v/>
      </c>
      <c r="I924" s="213"/>
      <c r="J924" s="214"/>
      <c r="K924" s="215"/>
      <c r="L924" s="197"/>
      <c r="M924" s="215"/>
      <c r="N924" s="216">
        <f>IFERROR(IF($E924="Inventory",VLOOKUP($C924,Inventory!$B:$I,8,FALSE()),IF($E924="Non Inventory",VLOOKUP($C924,'Non Inventory'!$B:$I,8,FALSE()),IF($E924="Services",VLOOKUP($C924,Services!$B:$I,8,FALSE()),IF($E924="Patty Cash",VLOOKUP($C924,'Patty Cash'!$B:$J,8,FALSE()),0)))),0)</f>
        <v>0</v>
      </c>
      <c r="O924" s="217" t="str">
        <f t="shared" si="14"/>
        <v/>
      </c>
    </row>
    <row r="925" spans="1:15" ht="23.1" customHeight="1">
      <c r="A925" s="206" t="str">
        <f>IF(AND($B925="",$C925=""),"",MAX($A$3:A924)+1)</f>
        <v/>
      </c>
      <c r="B925" s="207"/>
      <c r="C925" s="208"/>
      <c r="D925" s="209" t="str">
        <f>IFERROR(IF($E925="Inventory",VLOOKUP($C925,Inventory!$B:$I,2,FALSE()),IF($E925="Non Inventory",VLOOKUP($C925,'Non Inventory'!$B:$I,2,FALSE()),IF($E925="Services",VLOOKUP($C925,Services!$B:$I,2,FALSE()),IF($E925="Patty Cash",VLOOKUP($C925,'Patty Cash'!$B:$J,2,FALSE()),"")))),"")</f>
        <v/>
      </c>
      <c r="E925" s="246"/>
      <c r="F925" s="210" t="str">
        <f>IFERROR(IF($E925="Inventory",VLOOKUP($C925,Inventory!$B:$I,3,FALSE()),IF($E925="Non Inventory",VLOOKUP($C925,'Non Inventory'!$B:$I,3,FALSE()),IF($E925="Services",VLOOKUP($C925,Services!$B:$I,3,FALSE()),IF($E925="Patty Cash",VLOOKUP($C925,'Patty Cash'!$B:$J,3,FALSE()),"")))),"")</f>
        <v/>
      </c>
      <c r="G925" s="211"/>
      <c r="H925" s="212" t="str">
        <f>IF($E925="","",IF($E925="Inventory",IFERROR(VLOOKUP($C925,Inventory!$B:$H,7,FALSE()),0),IF($E925="Non Inventory",IFERROR(VLOOKUP($C925,'Non Inventory'!$B:$H,7,FALSE()),0),IF($E925="Services",IFERROR(VLOOKUP($C925,Services!$B:$H,7,FALSE()),0),IF($E925="Patty Cash",IFERROR(VLOOKUP($C925,'Patty Cash'!$B:$H,7,FALSE()),0),0)))))</f>
        <v/>
      </c>
      <c r="I925" s="213"/>
      <c r="J925" s="214"/>
      <c r="K925" s="215"/>
      <c r="L925" s="197"/>
      <c r="M925" s="215"/>
      <c r="N925" s="216">
        <f>IFERROR(IF($E925="Inventory",VLOOKUP($C925,Inventory!$B:$I,8,FALSE()),IF($E925="Non Inventory",VLOOKUP($C925,'Non Inventory'!$B:$I,8,FALSE()),IF($E925="Services",VLOOKUP($C925,Services!$B:$I,8,FALSE()),IF($E925="Patty Cash",VLOOKUP($C925,'Patty Cash'!$B:$J,8,FALSE()),0)))),0)</f>
        <v>0</v>
      </c>
      <c r="O925" s="217" t="str">
        <f t="shared" si="14"/>
        <v/>
      </c>
    </row>
    <row r="926" spans="1:15" ht="23.1" customHeight="1">
      <c r="A926" s="206" t="str">
        <f>IF(AND($B926="",$C926=""),"",MAX($A$3:A925)+1)</f>
        <v/>
      </c>
      <c r="B926" s="207"/>
      <c r="C926" s="208"/>
      <c r="D926" s="209" t="str">
        <f>IFERROR(IF($E926="Inventory",VLOOKUP($C926,Inventory!$B:$I,2,FALSE()),IF($E926="Non Inventory",VLOOKUP($C926,'Non Inventory'!$B:$I,2,FALSE()),IF($E926="Services",VLOOKUP($C926,Services!$B:$I,2,FALSE()),IF($E926="Patty Cash",VLOOKUP($C926,'Patty Cash'!$B:$J,2,FALSE()),"")))),"")</f>
        <v/>
      </c>
      <c r="E926" s="246"/>
      <c r="F926" s="210" t="str">
        <f>IFERROR(IF($E926="Inventory",VLOOKUP($C926,Inventory!$B:$I,3,FALSE()),IF($E926="Non Inventory",VLOOKUP($C926,'Non Inventory'!$B:$I,3,FALSE()),IF($E926="Services",VLOOKUP($C926,Services!$B:$I,3,FALSE()),IF($E926="Patty Cash",VLOOKUP($C926,'Patty Cash'!$B:$J,3,FALSE()),"")))),"")</f>
        <v/>
      </c>
      <c r="G926" s="211"/>
      <c r="H926" s="212" t="str">
        <f>IF($E926="","",IF($E926="Inventory",IFERROR(VLOOKUP($C926,Inventory!$B:$H,7,FALSE()),0),IF($E926="Non Inventory",IFERROR(VLOOKUP($C926,'Non Inventory'!$B:$H,7,FALSE()),0),IF($E926="Services",IFERROR(VLOOKUP($C926,Services!$B:$H,7,FALSE()),0),IF($E926="Patty Cash",IFERROR(VLOOKUP($C926,'Patty Cash'!$B:$H,7,FALSE()),0),0)))))</f>
        <v/>
      </c>
      <c r="I926" s="213"/>
      <c r="J926" s="214"/>
      <c r="K926" s="215"/>
      <c r="L926" s="197"/>
      <c r="M926" s="215"/>
      <c r="N926" s="216">
        <f>IFERROR(IF($E926="Inventory",VLOOKUP($C926,Inventory!$B:$I,8,FALSE()),IF($E926="Non Inventory",VLOOKUP($C926,'Non Inventory'!$B:$I,8,FALSE()),IF($E926="Services",VLOOKUP($C926,Services!$B:$I,8,FALSE()),IF($E926="Patty Cash",VLOOKUP($C926,'Patty Cash'!$B:$J,8,FALSE()),0)))),0)</f>
        <v>0</v>
      </c>
      <c r="O926" s="217" t="str">
        <f t="shared" si="14"/>
        <v/>
      </c>
    </row>
    <row r="927" spans="1:15" ht="23.1" customHeight="1">
      <c r="A927" s="206" t="str">
        <f>IF(AND($B927="",$C927=""),"",MAX($A$3:A926)+1)</f>
        <v/>
      </c>
      <c r="B927" s="207"/>
      <c r="C927" s="208"/>
      <c r="D927" s="209" t="str">
        <f>IFERROR(IF($E927="Inventory",VLOOKUP($C927,Inventory!$B:$I,2,FALSE()),IF($E927="Non Inventory",VLOOKUP($C927,'Non Inventory'!$B:$I,2,FALSE()),IF($E927="Services",VLOOKUP($C927,Services!$B:$I,2,FALSE()),IF($E927="Patty Cash",VLOOKUP($C927,'Patty Cash'!$B:$J,2,FALSE()),"")))),"")</f>
        <v/>
      </c>
      <c r="E927" s="246"/>
      <c r="F927" s="210" t="str">
        <f>IFERROR(IF($E927="Inventory",VLOOKUP($C927,Inventory!$B:$I,3,FALSE()),IF($E927="Non Inventory",VLOOKUP($C927,'Non Inventory'!$B:$I,3,FALSE()),IF($E927="Services",VLOOKUP($C927,Services!$B:$I,3,FALSE()),IF($E927="Patty Cash",VLOOKUP($C927,'Patty Cash'!$B:$J,3,FALSE()),"")))),"")</f>
        <v/>
      </c>
      <c r="G927" s="211"/>
      <c r="H927" s="212" t="str">
        <f>IF($E927="","",IF($E927="Inventory",IFERROR(VLOOKUP($C927,Inventory!$B:$H,7,FALSE()),0),IF($E927="Non Inventory",IFERROR(VLOOKUP($C927,'Non Inventory'!$B:$H,7,FALSE()),0),IF($E927="Services",IFERROR(VLOOKUP($C927,Services!$B:$H,7,FALSE()),0),IF($E927="Patty Cash",IFERROR(VLOOKUP($C927,'Patty Cash'!$B:$H,7,FALSE()),0),0)))))</f>
        <v/>
      </c>
      <c r="I927" s="213"/>
      <c r="J927" s="214"/>
      <c r="K927" s="215"/>
      <c r="L927" s="197"/>
      <c r="M927" s="215"/>
      <c r="N927" s="216">
        <f>IFERROR(IF($E927="Inventory",VLOOKUP($C927,Inventory!$B:$I,8,FALSE()),IF($E927="Non Inventory",VLOOKUP($C927,'Non Inventory'!$B:$I,8,FALSE()),IF($E927="Services",VLOOKUP($C927,Services!$B:$I,8,FALSE()),IF($E927="Patty Cash",VLOOKUP($C927,'Patty Cash'!$B:$J,8,FALSE()),0)))),0)</f>
        <v>0</v>
      </c>
      <c r="O927" s="217" t="str">
        <f t="shared" si="14"/>
        <v/>
      </c>
    </row>
    <row r="928" spans="1:15" ht="23.1" customHeight="1">
      <c r="A928" s="206" t="str">
        <f>IF(AND($B928="",$C928=""),"",MAX($A$3:A927)+1)</f>
        <v/>
      </c>
      <c r="B928" s="207"/>
      <c r="C928" s="208"/>
      <c r="D928" s="209" t="str">
        <f>IFERROR(IF($E928="Inventory",VLOOKUP($C928,Inventory!$B:$I,2,FALSE()),IF($E928="Non Inventory",VLOOKUP($C928,'Non Inventory'!$B:$I,2,FALSE()),IF($E928="Services",VLOOKUP($C928,Services!$B:$I,2,FALSE()),IF($E928="Patty Cash",VLOOKUP($C928,'Patty Cash'!$B:$J,2,FALSE()),"")))),"")</f>
        <v/>
      </c>
      <c r="E928" s="246"/>
      <c r="F928" s="210" t="str">
        <f>IFERROR(IF($E928="Inventory",VLOOKUP($C928,Inventory!$B:$I,3,FALSE()),IF($E928="Non Inventory",VLOOKUP($C928,'Non Inventory'!$B:$I,3,FALSE()),IF($E928="Services",VLOOKUP($C928,Services!$B:$I,3,FALSE()),IF($E928="Patty Cash",VLOOKUP($C928,'Patty Cash'!$B:$J,3,FALSE()),"")))),"")</f>
        <v/>
      </c>
      <c r="G928" s="211"/>
      <c r="H928" s="212" t="str">
        <f>IF($E928="","",IF($E928="Inventory",IFERROR(VLOOKUP($C928,Inventory!$B:$H,7,FALSE()),0),IF($E928="Non Inventory",IFERROR(VLOOKUP($C928,'Non Inventory'!$B:$H,7,FALSE()),0),IF($E928="Services",IFERROR(VLOOKUP($C928,Services!$B:$H,7,FALSE()),0),IF($E928="Patty Cash",IFERROR(VLOOKUP($C928,'Patty Cash'!$B:$H,7,FALSE()),0),0)))))</f>
        <v/>
      </c>
      <c r="I928" s="213"/>
      <c r="J928" s="214"/>
      <c r="K928" s="215"/>
      <c r="L928" s="197"/>
      <c r="M928" s="215"/>
      <c r="N928" s="216">
        <f>IFERROR(IF($E928="Inventory",VLOOKUP($C928,Inventory!$B:$I,8,FALSE()),IF($E928="Non Inventory",VLOOKUP($C928,'Non Inventory'!$B:$I,8,FALSE()),IF($E928="Services",VLOOKUP($C928,Services!$B:$I,8,FALSE()),IF($E928="Patty Cash",VLOOKUP($C928,'Patty Cash'!$B:$J,8,FALSE()),0)))),0)</f>
        <v>0</v>
      </c>
      <c r="O928" s="217" t="str">
        <f t="shared" si="14"/>
        <v/>
      </c>
    </row>
    <row r="929" spans="1:15" ht="23.1" customHeight="1">
      <c r="A929" s="206" t="str">
        <f>IF(AND($B929="",$C929=""),"",MAX($A$3:A928)+1)</f>
        <v/>
      </c>
      <c r="B929" s="207"/>
      <c r="C929" s="208"/>
      <c r="D929" s="209" t="str">
        <f>IFERROR(IF($E929="Inventory",VLOOKUP($C929,Inventory!$B:$I,2,FALSE()),IF($E929="Non Inventory",VLOOKUP($C929,'Non Inventory'!$B:$I,2,FALSE()),IF($E929="Services",VLOOKUP($C929,Services!$B:$I,2,FALSE()),IF($E929="Patty Cash",VLOOKUP($C929,'Patty Cash'!$B:$J,2,FALSE()),"")))),"")</f>
        <v/>
      </c>
      <c r="E929" s="246"/>
      <c r="F929" s="210" t="str">
        <f>IFERROR(IF($E929="Inventory",VLOOKUP($C929,Inventory!$B:$I,3,FALSE()),IF($E929="Non Inventory",VLOOKUP($C929,'Non Inventory'!$B:$I,3,FALSE()),IF($E929="Services",VLOOKUP($C929,Services!$B:$I,3,FALSE()),IF($E929="Patty Cash",VLOOKUP($C929,'Patty Cash'!$B:$J,3,FALSE()),"")))),"")</f>
        <v/>
      </c>
      <c r="G929" s="211"/>
      <c r="H929" s="212" t="str">
        <f>IF($E929="","",IF($E929="Inventory",IFERROR(VLOOKUP($C929,Inventory!$B:$H,7,FALSE()),0),IF($E929="Non Inventory",IFERROR(VLOOKUP($C929,'Non Inventory'!$B:$H,7,FALSE()),0),IF($E929="Services",IFERROR(VLOOKUP($C929,Services!$B:$H,7,FALSE()),0),IF($E929="Patty Cash",IFERROR(VLOOKUP($C929,'Patty Cash'!$B:$H,7,FALSE()),0),0)))))</f>
        <v/>
      </c>
      <c r="I929" s="213"/>
      <c r="J929" s="214"/>
      <c r="K929" s="215"/>
      <c r="L929" s="197"/>
      <c r="M929" s="215"/>
      <c r="N929" s="216">
        <f>IFERROR(IF($E929="Inventory",VLOOKUP($C929,Inventory!$B:$I,8,FALSE()),IF($E929="Non Inventory",VLOOKUP($C929,'Non Inventory'!$B:$I,8,FALSE()),IF($E929="Services",VLOOKUP($C929,Services!$B:$I,8,FALSE()),IF($E929="Patty Cash",VLOOKUP($C929,'Patty Cash'!$B:$J,8,FALSE()),0)))),0)</f>
        <v>0</v>
      </c>
      <c r="O929" s="217" t="str">
        <f t="shared" si="14"/>
        <v/>
      </c>
    </row>
    <row r="930" spans="1:15" ht="23.1" customHeight="1">
      <c r="A930" s="206" t="str">
        <f>IF(AND($B930="",$C930=""),"",MAX($A$3:A929)+1)</f>
        <v/>
      </c>
      <c r="B930" s="207"/>
      <c r="C930" s="208"/>
      <c r="D930" s="209" t="str">
        <f>IFERROR(IF($E930="Inventory",VLOOKUP($C930,Inventory!$B:$I,2,FALSE()),IF($E930="Non Inventory",VLOOKUP($C930,'Non Inventory'!$B:$I,2,FALSE()),IF($E930="Services",VLOOKUP($C930,Services!$B:$I,2,FALSE()),IF($E930="Patty Cash",VLOOKUP($C930,'Patty Cash'!$B:$J,2,FALSE()),"")))),"")</f>
        <v/>
      </c>
      <c r="E930" s="246"/>
      <c r="F930" s="210" t="str">
        <f>IFERROR(IF($E930="Inventory",VLOOKUP($C930,Inventory!$B:$I,3,FALSE()),IF($E930="Non Inventory",VLOOKUP($C930,'Non Inventory'!$B:$I,3,FALSE()),IF($E930="Services",VLOOKUP($C930,Services!$B:$I,3,FALSE()),IF($E930="Patty Cash",VLOOKUP($C930,'Patty Cash'!$B:$J,3,FALSE()),"")))),"")</f>
        <v/>
      </c>
      <c r="G930" s="211"/>
      <c r="H930" s="212" t="str">
        <f>IF($E930="","",IF($E930="Inventory",IFERROR(VLOOKUP($C930,Inventory!$B:$H,7,FALSE()),0),IF($E930="Non Inventory",IFERROR(VLOOKUP($C930,'Non Inventory'!$B:$H,7,FALSE()),0),IF($E930="Services",IFERROR(VLOOKUP($C930,Services!$B:$H,7,FALSE()),0),IF($E930="Patty Cash",IFERROR(VLOOKUP($C930,'Patty Cash'!$B:$H,7,FALSE()),0),0)))))</f>
        <v/>
      </c>
      <c r="I930" s="213"/>
      <c r="J930" s="214"/>
      <c r="K930" s="215"/>
      <c r="L930" s="197"/>
      <c r="M930" s="215"/>
      <c r="N930" s="216">
        <f>IFERROR(IF($E930="Inventory",VLOOKUP($C930,Inventory!$B:$I,8,FALSE()),IF($E930="Non Inventory",VLOOKUP($C930,'Non Inventory'!$B:$I,8,FALSE()),IF($E930="Services",VLOOKUP($C930,Services!$B:$I,8,FALSE()),IF($E930="Patty Cash",VLOOKUP($C930,'Patty Cash'!$B:$J,8,FALSE()),0)))),0)</f>
        <v>0</v>
      </c>
      <c r="O930" s="217" t="str">
        <f t="shared" si="14"/>
        <v/>
      </c>
    </row>
    <row r="931" spans="1:15" ht="23.1" customHeight="1">
      <c r="A931" s="206" t="str">
        <f>IF(AND($B931="",$C931=""),"",MAX($A$3:A930)+1)</f>
        <v/>
      </c>
      <c r="B931" s="207"/>
      <c r="C931" s="208"/>
      <c r="D931" s="209" t="str">
        <f>IFERROR(IF($E931="Inventory",VLOOKUP($C931,Inventory!$B:$I,2,FALSE()),IF($E931="Non Inventory",VLOOKUP($C931,'Non Inventory'!$B:$I,2,FALSE()),IF($E931="Services",VLOOKUP($C931,Services!$B:$I,2,FALSE()),IF($E931="Patty Cash",VLOOKUP($C931,'Patty Cash'!$B:$J,2,FALSE()),"")))),"")</f>
        <v/>
      </c>
      <c r="E931" s="246"/>
      <c r="F931" s="210" t="str">
        <f>IFERROR(IF($E931="Inventory",VLOOKUP($C931,Inventory!$B:$I,3,FALSE()),IF($E931="Non Inventory",VLOOKUP($C931,'Non Inventory'!$B:$I,3,FALSE()),IF($E931="Services",VLOOKUP($C931,Services!$B:$I,3,FALSE()),IF($E931="Patty Cash",VLOOKUP($C931,'Patty Cash'!$B:$J,3,FALSE()),"")))),"")</f>
        <v/>
      </c>
      <c r="G931" s="211"/>
      <c r="H931" s="212" t="str">
        <f>IF($E931="","",IF($E931="Inventory",IFERROR(VLOOKUP($C931,Inventory!$B:$H,7,FALSE()),0),IF($E931="Non Inventory",IFERROR(VLOOKUP($C931,'Non Inventory'!$B:$H,7,FALSE()),0),IF($E931="Services",IFERROR(VLOOKUP($C931,Services!$B:$H,7,FALSE()),0),IF($E931="Patty Cash",IFERROR(VLOOKUP($C931,'Patty Cash'!$B:$H,7,FALSE()),0),0)))))</f>
        <v/>
      </c>
      <c r="I931" s="213"/>
      <c r="J931" s="214"/>
      <c r="K931" s="215"/>
      <c r="L931" s="197"/>
      <c r="M931" s="215"/>
      <c r="N931" s="216">
        <f>IFERROR(IF($E931="Inventory",VLOOKUP($C931,Inventory!$B:$I,8,FALSE()),IF($E931="Non Inventory",VLOOKUP($C931,'Non Inventory'!$B:$I,8,FALSE()),IF($E931="Services",VLOOKUP($C931,Services!$B:$I,8,FALSE()),IF($E931="Patty Cash",VLOOKUP($C931,'Patty Cash'!$B:$J,8,FALSE()),0)))),0)</f>
        <v>0</v>
      </c>
      <c r="O931" s="217" t="str">
        <f t="shared" si="14"/>
        <v/>
      </c>
    </row>
    <row r="932" spans="1:15" ht="23.1" customHeight="1">
      <c r="A932" s="206" t="str">
        <f>IF(AND($B932="",$C932=""),"",MAX($A$3:A931)+1)</f>
        <v/>
      </c>
      <c r="B932" s="207"/>
      <c r="C932" s="208"/>
      <c r="D932" s="209" t="str">
        <f>IFERROR(IF($E932="Inventory",VLOOKUP($C932,Inventory!$B:$I,2,FALSE()),IF($E932="Non Inventory",VLOOKUP($C932,'Non Inventory'!$B:$I,2,FALSE()),IF($E932="Services",VLOOKUP($C932,Services!$B:$I,2,FALSE()),IF($E932="Patty Cash",VLOOKUP($C932,'Patty Cash'!$B:$J,2,FALSE()),"")))),"")</f>
        <v/>
      </c>
      <c r="E932" s="246"/>
      <c r="F932" s="210" t="str">
        <f>IFERROR(IF($E932="Inventory",VLOOKUP($C932,Inventory!$B:$I,3,FALSE()),IF($E932="Non Inventory",VLOOKUP($C932,'Non Inventory'!$B:$I,3,FALSE()),IF($E932="Services",VLOOKUP($C932,Services!$B:$I,3,FALSE()),IF($E932="Patty Cash",VLOOKUP($C932,'Patty Cash'!$B:$J,3,FALSE()),"")))),"")</f>
        <v/>
      </c>
      <c r="G932" s="211"/>
      <c r="H932" s="212" t="str">
        <f>IF($E932="","",IF($E932="Inventory",IFERROR(VLOOKUP($C932,Inventory!$B:$H,7,FALSE()),0),IF($E932="Non Inventory",IFERROR(VLOOKUP($C932,'Non Inventory'!$B:$H,7,FALSE()),0),IF($E932="Services",IFERROR(VLOOKUP($C932,Services!$B:$H,7,FALSE()),0),IF($E932="Patty Cash",IFERROR(VLOOKUP($C932,'Patty Cash'!$B:$H,7,FALSE()),0),0)))))</f>
        <v/>
      </c>
      <c r="I932" s="213"/>
      <c r="J932" s="214"/>
      <c r="K932" s="215"/>
      <c r="L932" s="197"/>
      <c r="M932" s="215"/>
      <c r="N932" s="216">
        <f>IFERROR(IF($E932="Inventory",VLOOKUP($C932,Inventory!$B:$I,8,FALSE()),IF($E932="Non Inventory",VLOOKUP($C932,'Non Inventory'!$B:$I,8,FALSE()),IF($E932="Services",VLOOKUP($C932,Services!$B:$I,8,FALSE()),IF($E932="Patty Cash",VLOOKUP($C932,'Patty Cash'!$B:$J,8,FALSE()),0)))),0)</f>
        <v>0</v>
      </c>
      <c r="O932" s="217" t="str">
        <f t="shared" si="14"/>
        <v/>
      </c>
    </row>
    <row r="933" spans="1:15" ht="23.1" customHeight="1">
      <c r="A933" s="206" t="str">
        <f>IF(AND($B933="",$C933=""),"",MAX($A$3:A932)+1)</f>
        <v/>
      </c>
      <c r="B933" s="207"/>
      <c r="C933" s="208"/>
      <c r="D933" s="209" t="str">
        <f>IFERROR(IF($E933="Inventory",VLOOKUP($C933,Inventory!$B:$I,2,FALSE()),IF($E933="Non Inventory",VLOOKUP($C933,'Non Inventory'!$B:$I,2,FALSE()),IF($E933="Services",VLOOKUP($C933,Services!$B:$I,2,FALSE()),IF($E933="Patty Cash",VLOOKUP($C933,'Patty Cash'!$B:$J,2,FALSE()),"")))),"")</f>
        <v/>
      </c>
      <c r="E933" s="246"/>
      <c r="F933" s="210" t="str">
        <f>IFERROR(IF($E933="Inventory",VLOOKUP($C933,Inventory!$B:$I,3,FALSE()),IF($E933="Non Inventory",VLOOKUP($C933,'Non Inventory'!$B:$I,3,FALSE()),IF($E933="Services",VLOOKUP($C933,Services!$B:$I,3,FALSE()),IF($E933="Patty Cash",VLOOKUP($C933,'Patty Cash'!$B:$J,3,FALSE()),"")))),"")</f>
        <v/>
      </c>
      <c r="G933" s="211"/>
      <c r="H933" s="212" t="str">
        <f>IF($E933="","",IF($E933="Inventory",IFERROR(VLOOKUP($C933,Inventory!$B:$H,7,FALSE()),0),IF($E933="Non Inventory",IFERROR(VLOOKUP($C933,'Non Inventory'!$B:$H,7,FALSE()),0),IF($E933="Services",IFERROR(VLOOKUP($C933,Services!$B:$H,7,FALSE()),0),IF($E933="Patty Cash",IFERROR(VLOOKUP($C933,'Patty Cash'!$B:$H,7,FALSE()),0),0)))))</f>
        <v/>
      </c>
      <c r="I933" s="213"/>
      <c r="J933" s="214"/>
      <c r="K933" s="215"/>
      <c r="L933" s="197"/>
      <c r="M933" s="215"/>
      <c r="N933" s="216">
        <f>IFERROR(IF($E933="Inventory",VLOOKUP($C933,Inventory!$B:$I,8,FALSE()),IF($E933="Non Inventory",VLOOKUP($C933,'Non Inventory'!$B:$I,8,FALSE()),IF($E933="Services",VLOOKUP($C933,Services!$B:$I,8,FALSE()),IF($E933="Patty Cash",VLOOKUP($C933,'Patty Cash'!$B:$J,8,FALSE()),0)))),0)</f>
        <v>0</v>
      </c>
      <c r="O933" s="217" t="str">
        <f t="shared" si="14"/>
        <v/>
      </c>
    </row>
    <row r="934" spans="1:15" ht="23.1" customHeight="1">
      <c r="A934" s="206" t="str">
        <f>IF(AND($B934="",$C934=""),"",MAX($A$3:A933)+1)</f>
        <v/>
      </c>
      <c r="B934" s="207"/>
      <c r="C934" s="208"/>
      <c r="D934" s="209" t="str">
        <f>IFERROR(IF($E934="Inventory",VLOOKUP($C934,Inventory!$B:$I,2,FALSE()),IF($E934="Non Inventory",VLOOKUP($C934,'Non Inventory'!$B:$I,2,FALSE()),IF($E934="Services",VLOOKUP($C934,Services!$B:$I,2,FALSE()),IF($E934="Patty Cash",VLOOKUP($C934,'Patty Cash'!$B:$J,2,FALSE()),"")))),"")</f>
        <v/>
      </c>
      <c r="E934" s="246"/>
      <c r="F934" s="210" t="str">
        <f>IFERROR(IF($E934="Inventory",VLOOKUP($C934,Inventory!$B:$I,3,FALSE()),IF($E934="Non Inventory",VLOOKUP($C934,'Non Inventory'!$B:$I,3,FALSE()),IF($E934="Services",VLOOKUP($C934,Services!$B:$I,3,FALSE()),IF($E934="Patty Cash",VLOOKUP($C934,'Patty Cash'!$B:$J,3,FALSE()),"")))),"")</f>
        <v/>
      </c>
      <c r="G934" s="211"/>
      <c r="H934" s="212" t="str">
        <f>IF($E934="","",IF($E934="Inventory",IFERROR(VLOOKUP($C934,Inventory!$B:$H,7,FALSE()),0),IF($E934="Non Inventory",IFERROR(VLOOKUP($C934,'Non Inventory'!$B:$H,7,FALSE()),0),IF($E934="Services",IFERROR(VLOOKUP($C934,Services!$B:$H,7,FALSE()),0),IF($E934="Patty Cash",IFERROR(VLOOKUP($C934,'Patty Cash'!$B:$H,7,FALSE()),0),0)))))</f>
        <v/>
      </c>
      <c r="I934" s="213"/>
      <c r="J934" s="214"/>
      <c r="K934" s="215"/>
      <c r="L934" s="197"/>
      <c r="M934" s="215"/>
      <c r="N934" s="216">
        <f>IFERROR(IF($E934="Inventory",VLOOKUP($C934,Inventory!$B:$I,8,FALSE()),IF($E934="Non Inventory",VLOOKUP($C934,'Non Inventory'!$B:$I,8,FALSE()),IF($E934="Services",VLOOKUP($C934,Services!$B:$I,8,FALSE()),IF($E934="Patty Cash",VLOOKUP($C934,'Patty Cash'!$B:$J,8,FALSE()),0)))),0)</f>
        <v>0</v>
      </c>
      <c r="O934" s="217" t="str">
        <f t="shared" si="14"/>
        <v/>
      </c>
    </row>
    <row r="935" spans="1:15" ht="23.1" customHeight="1">
      <c r="A935" s="206" t="str">
        <f>IF(AND($B935="",$C935=""),"",MAX($A$3:A934)+1)</f>
        <v/>
      </c>
      <c r="B935" s="207"/>
      <c r="C935" s="208"/>
      <c r="D935" s="209" t="str">
        <f>IFERROR(IF($E935="Inventory",VLOOKUP($C935,Inventory!$B:$I,2,FALSE()),IF($E935="Non Inventory",VLOOKUP($C935,'Non Inventory'!$B:$I,2,FALSE()),IF($E935="Services",VLOOKUP($C935,Services!$B:$I,2,FALSE()),IF($E935="Patty Cash",VLOOKUP($C935,'Patty Cash'!$B:$J,2,FALSE()),"")))),"")</f>
        <v/>
      </c>
      <c r="E935" s="246"/>
      <c r="F935" s="210" t="str">
        <f>IFERROR(IF($E935="Inventory",VLOOKUP($C935,Inventory!$B:$I,3,FALSE()),IF($E935="Non Inventory",VLOOKUP($C935,'Non Inventory'!$B:$I,3,FALSE()),IF($E935="Services",VLOOKUP($C935,Services!$B:$I,3,FALSE()),IF($E935="Patty Cash",VLOOKUP($C935,'Patty Cash'!$B:$J,3,FALSE()),"")))),"")</f>
        <v/>
      </c>
      <c r="G935" s="211"/>
      <c r="H935" s="212" t="str">
        <f>IF($E935="","",IF($E935="Inventory",IFERROR(VLOOKUP($C935,Inventory!$B:$H,7,FALSE()),0),IF($E935="Non Inventory",IFERROR(VLOOKUP($C935,'Non Inventory'!$B:$H,7,FALSE()),0),IF($E935="Services",IFERROR(VLOOKUP($C935,Services!$B:$H,7,FALSE()),0),IF($E935="Patty Cash",IFERROR(VLOOKUP($C935,'Patty Cash'!$B:$H,7,FALSE()),0),0)))))</f>
        <v/>
      </c>
      <c r="I935" s="213"/>
      <c r="J935" s="214"/>
      <c r="K935" s="215"/>
      <c r="L935" s="197"/>
      <c r="M935" s="215"/>
      <c r="N935" s="216">
        <f>IFERROR(IF($E935="Inventory",VLOOKUP($C935,Inventory!$B:$I,8,FALSE()),IF($E935="Non Inventory",VLOOKUP($C935,'Non Inventory'!$B:$I,8,FALSE()),IF($E935="Services",VLOOKUP($C935,Services!$B:$I,8,FALSE()),IF($E935="Patty Cash",VLOOKUP($C935,'Patty Cash'!$B:$J,8,FALSE()),0)))),0)</f>
        <v>0</v>
      </c>
      <c r="O935" s="217" t="str">
        <f t="shared" si="14"/>
        <v/>
      </c>
    </row>
    <row r="936" spans="1:15" ht="23.1" customHeight="1">
      <c r="A936" s="206" t="str">
        <f>IF(AND($B936="",$C936=""),"",MAX($A$3:A935)+1)</f>
        <v/>
      </c>
      <c r="B936" s="207"/>
      <c r="C936" s="208"/>
      <c r="D936" s="209" t="str">
        <f>IFERROR(IF($E936="Inventory",VLOOKUP($C936,Inventory!$B:$I,2,FALSE()),IF($E936="Non Inventory",VLOOKUP($C936,'Non Inventory'!$B:$I,2,FALSE()),IF($E936="Services",VLOOKUP($C936,Services!$B:$I,2,FALSE()),IF($E936="Patty Cash",VLOOKUP($C936,'Patty Cash'!$B:$J,2,FALSE()),"")))),"")</f>
        <v/>
      </c>
      <c r="E936" s="246"/>
      <c r="F936" s="210" t="str">
        <f>IFERROR(IF($E936="Inventory",VLOOKUP($C936,Inventory!$B:$I,3,FALSE()),IF($E936="Non Inventory",VLOOKUP($C936,'Non Inventory'!$B:$I,3,FALSE()),IF($E936="Services",VLOOKUP($C936,Services!$B:$I,3,FALSE()),IF($E936="Patty Cash",VLOOKUP($C936,'Patty Cash'!$B:$J,3,FALSE()),"")))),"")</f>
        <v/>
      </c>
      <c r="G936" s="211"/>
      <c r="H936" s="212" t="str">
        <f>IF($E936="","",IF($E936="Inventory",IFERROR(VLOOKUP($C936,Inventory!$B:$H,7,FALSE()),0),IF($E936="Non Inventory",IFERROR(VLOOKUP($C936,'Non Inventory'!$B:$H,7,FALSE()),0),IF($E936="Services",IFERROR(VLOOKUP($C936,Services!$B:$H,7,FALSE()),0),IF($E936="Patty Cash",IFERROR(VLOOKUP($C936,'Patty Cash'!$B:$H,7,FALSE()),0),0)))))</f>
        <v/>
      </c>
      <c r="I936" s="213"/>
      <c r="J936" s="214"/>
      <c r="K936" s="215"/>
      <c r="L936" s="197"/>
      <c r="M936" s="215"/>
      <c r="N936" s="216">
        <f>IFERROR(IF($E936="Inventory",VLOOKUP($C936,Inventory!$B:$I,8,FALSE()),IF($E936="Non Inventory",VLOOKUP($C936,'Non Inventory'!$B:$I,8,FALSE()),IF($E936="Services",VLOOKUP($C936,Services!$B:$I,8,FALSE()),IF($E936="Patty Cash",VLOOKUP($C936,'Patty Cash'!$B:$J,8,FALSE()),0)))),0)</f>
        <v>0</v>
      </c>
      <c r="O936" s="217" t="str">
        <f t="shared" si="14"/>
        <v/>
      </c>
    </row>
    <row r="937" spans="1:15" ht="23.1" customHeight="1">
      <c r="A937" s="206" t="str">
        <f>IF(AND($B937="",$C937=""),"",MAX($A$3:A936)+1)</f>
        <v/>
      </c>
      <c r="B937" s="207"/>
      <c r="C937" s="208"/>
      <c r="D937" s="209" t="str">
        <f>IFERROR(IF($E937="Inventory",VLOOKUP($C937,Inventory!$B:$I,2,FALSE()),IF($E937="Non Inventory",VLOOKUP($C937,'Non Inventory'!$B:$I,2,FALSE()),IF($E937="Services",VLOOKUP($C937,Services!$B:$I,2,FALSE()),IF($E937="Patty Cash",VLOOKUP($C937,'Patty Cash'!$B:$J,2,FALSE()),"")))),"")</f>
        <v/>
      </c>
      <c r="E937" s="246"/>
      <c r="F937" s="210" t="str">
        <f>IFERROR(IF($E937="Inventory",VLOOKUP($C937,Inventory!$B:$I,3,FALSE()),IF($E937="Non Inventory",VLOOKUP($C937,'Non Inventory'!$B:$I,3,FALSE()),IF($E937="Services",VLOOKUP($C937,Services!$B:$I,3,FALSE()),IF($E937="Patty Cash",VLOOKUP($C937,'Patty Cash'!$B:$J,3,FALSE()),"")))),"")</f>
        <v/>
      </c>
      <c r="G937" s="211"/>
      <c r="H937" s="212" t="str">
        <f>IF($E937="","",IF($E937="Inventory",IFERROR(VLOOKUP($C937,Inventory!$B:$H,7,FALSE()),0),IF($E937="Non Inventory",IFERROR(VLOOKUP($C937,'Non Inventory'!$B:$H,7,FALSE()),0),IF($E937="Services",IFERROR(VLOOKUP($C937,Services!$B:$H,7,FALSE()),0),IF($E937="Patty Cash",IFERROR(VLOOKUP($C937,'Patty Cash'!$B:$H,7,FALSE()),0),0)))))</f>
        <v/>
      </c>
      <c r="I937" s="213"/>
      <c r="J937" s="214"/>
      <c r="K937" s="215"/>
      <c r="L937" s="197"/>
      <c r="M937" s="215"/>
      <c r="N937" s="216">
        <f>IFERROR(IF($E937="Inventory",VLOOKUP($C937,Inventory!$B:$I,8,FALSE()),IF($E937="Non Inventory",VLOOKUP($C937,'Non Inventory'!$B:$I,8,FALSE()),IF($E937="Services",VLOOKUP($C937,Services!$B:$I,8,FALSE()),IF($E937="Patty Cash",VLOOKUP($C937,'Patty Cash'!$B:$J,8,FALSE()),0)))),0)</f>
        <v>0</v>
      </c>
      <c r="O937" s="217" t="str">
        <f t="shared" si="14"/>
        <v/>
      </c>
    </row>
    <row r="938" spans="1:15" ht="23.1" customHeight="1">
      <c r="A938" s="206" t="str">
        <f>IF(AND($B938="",$C938=""),"",MAX($A$3:A937)+1)</f>
        <v/>
      </c>
      <c r="B938" s="207"/>
      <c r="C938" s="208"/>
      <c r="D938" s="209" t="str">
        <f>IFERROR(IF($E938="Inventory",VLOOKUP($C938,Inventory!$B:$I,2,FALSE()),IF($E938="Non Inventory",VLOOKUP($C938,'Non Inventory'!$B:$I,2,FALSE()),IF($E938="Services",VLOOKUP($C938,Services!$B:$I,2,FALSE()),IF($E938="Patty Cash",VLOOKUP($C938,'Patty Cash'!$B:$J,2,FALSE()),"")))),"")</f>
        <v/>
      </c>
      <c r="E938" s="246"/>
      <c r="F938" s="210" t="str">
        <f>IFERROR(IF($E938="Inventory",VLOOKUP($C938,Inventory!$B:$I,3,FALSE()),IF($E938="Non Inventory",VLOOKUP($C938,'Non Inventory'!$B:$I,3,FALSE()),IF($E938="Services",VLOOKUP($C938,Services!$B:$I,3,FALSE()),IF($E938="Patty Cash",VLOOKUP($C938,'Patty Cash'!$B:$J,3,FALSE()),"")))),"")</f>
        <v/>
      </c>
      <c r="G938" s="211"/>
      <c r="H938" s="212" t="str">
        <f>IF($E938="","",IF($E938="Inventory",IFERROR(VLOOKUP($C938,Inventory!$B:$H,7,FALSE()),0),IF($E938="Non Inventory",IFERROR(VLOOKUP($C938,'Non Inventory'!$B:$H,7,FALSE()),0),IF($E938="Services",IFERROR(VLOOKUP($C938,Services!$B:$H,7,FALSE()),0),IF($E938="Patty Cash",IFERROR(VLOOKUP($C938,'Patty Cash'!$B:$H,7,FALSE()),0),0)))))</f>
        <v/>
      </c>
      <c r="I938" s="213"/>
      <c r="J938" s="214"/>
      <c r="K938" s="215"/>
      <c r="L938" s="197"/>
      <c r="M938" s="215"/>
      <c r="N938" s="216">
        <f>IFERROR(IF($E938="Inventory",VLOOKUP($C938,Inventory!$B:$I,8,FALSE()),IF($E938="Non Inventory",VLOOKUP($C938,'Non Inventory'!$B:$I,8,FALSE()),IF($E938="Services",VLOOKUP($C938,Services!$B:$I,8,FALSE()),IF($E938="Patty Cash",VLOOKUP($C938,'Patty Cash'!$B:$J,8,FALSE()),0)))),0)</f>
        <v>0</v>
      </c>
      <c r="O938" s="217" t="str">
        <f t="shared" si="14"/>
        <v/>
      </c>
    </row>
    <row r="939" spans="1:15" ht="23.1" customHeight="1">
      <c r="A939" s="206" t="str">
        <f>IF(AND($B939="",$C939=""),"",MAX($A$3:A938)+1)</f>
        <v/>
      </c>
      <c r="B939" s="207"/>
      <c r="C939" s="208"/>
      <c r="D939" s="209" t="str">
        <f>IFERROR(IF($E939="Inventory",VLOOKUP($C939,Inventory!$B:$I,2,FALSE()),IF($E939="Non Inventory",VLOOKUP($C939,'Non Inventory'!$B:$I,2,FALSE()),IF($E939="Services",VLOOKUP($C939,Services!$B:$I,2,FALSE()),IF($E939="Patty Cash",VLOOKUP($C939,'Patty Cash'!$B:$J,2,FALSE()),"")))),"")</f>
        <v/>
      </c>
      <c r="E939" s="246"/>
      <c r="F939" s="210" t="str">
        <f>IFERROR(IF($E939="Inventory",VLOOKUP($C939,Inventory!$B:$I,3,FALSE()),IF($E939="Non Inventory",VLOOKUP($C939,'Non Inventory'!$B:$I,3,FALSE()),IF($E939="Services",VLOOKUP($C939,Services!$B:$I,3,FALSE()),IF($E939="Patty Cash",VLOOKUP($C939,'Patty Cash'!$B:$J,3,FALSE()),"")))),"")</f>
        <v/>
      </c>
      <c r="G939" s="211"/>
      <c r="H939" s="212" t="str">
        <f>IF($E939="","",IF($E939="Inventory",IFERROR(VLOOKUP($C939,Inventory!$B:$H,7,FALSE()),0),IF($E939="Non Inventory",IFERROR(VLOOKUP($C939,'Non Inventory'!$B:$H,7,FALSE()),0),IF($E939="Services",IFERROR(VLOOKUP($C939,Services!$B:$H,7,FALSE()),0),IF($E939="Patty Cash",IFERROR(VLOOKUP($C939,'Patty Cash'!$B:$H,7,FALSE()),0),0)))))</f>
        <v/>
      </c>
      <c r="I939" s="213"/>
      <c r="J939" s="214"/>
      <c r="K939" s="215"/>
      <c r="L939" s="197"/>
      <c r="M939" s="215"/>
      <c r="N939" s="216">
        <f>IFERROR(IF($E939="Inventory",VLOOKUP($C939,Inventory!$B:$I,8,FALSE()),IF($E939="Non Inventory",VLOOKUP($C939,'Non Inventory'!$B:$I,8,FALSE()),IF($E939="Services",VLOOKUP($C939,Services!$B:$I,8,FALSE()),IF($E939="Patty Cash",VLOOKUP($C939,'Patty Cash'!$B:$J,8,FALSE()),0)))),0)</f>
        <v>0</v>
      </c>
      <c r="O939" s="217" t="str">
        <f t="shared" si="14"/>
        <v/>
      </c>
    </row>
    <row r="940" spans="1:15" ht="23.1" customHeight="1">
      <c r="A940" s="206" t="str">
        <f>IF(AND($B940="",$C940=""),"",MAX($A$3:A939)+1)</f>
        <v/>
      </c>
      <c r="B940" s="207"/>
      <c r="C940" s="208"/>
      <c r="D940" s="209" t="str">
        <f>IFERROR(IF($E940="Inventory",VLOOKUP($C940,Inventory!$B:$I,2,FALSE()),IF($E940="Non Inventory",VLOOKUP($C940,'Non Inventory'!$B:$I,2,FALSE()),IF($E940="Services",VLOOKUP($C940,Services!$B:$I,2,FALSE()),IF($E940="Patty Cash",VLOOKUP($C940,'Patty Cash'!$B:$J,2,FALSE()),"")))),"")</f>
        <v/>
      </c>
      <c r="E940" s="246"/>
      <c r="F940" s="210" t="str">
        <f>IFERROR(IF($E940="Inventory",VLOOKUP($C940,Inventory!$B:$I,3,FALSE()),IF($E940="Non Inventory",VLOOKUP($C940,'Non Inventory'!$B:$I,3,FALSE()),IF($E940="Services",VLOOKUP($C940,Services!$B:$I,3,FALSE()),IF($E940="Patty Cash",VLOOKUP($C940,'Patty Cash'!$B:$J,3,FALSE()),"")))),"")</f>
        <v/>
      </c>
      <c r="G940" s="211"/>
      <c r="H940" s="212" t="str">
        <f>IF($E940="","",IF($E940="Inventory",IFERROR(VLOOKUP($C940,Inventory!$B:$H,7,FALSE()),0),IF($E940="Non Inventory",IFERROR(VLOOKUP($C940,'Non Inventory'!$B:$H,7,FALSE()),0),IF($E940="Services",IFERROR(VLOOKUP($C940,Services!$B:$H,7,FALSE()),0),IF($E940="Patty Cash",IFERROR(VLOOKUP($C940,'Patty Cash'!$B:$H,7,FALSE()),0),0)))))</f>
        <v/>
      </c>
      <c r="I940" s="213"/>
      <c r="J940" s="214"/>
      <c r="K940" s="215"/>
      <c r="L940" s="197"/>
      <c r="M940" s="215"/>
      <c r="N940" s="216">
        <f>IFERROR(IF($E940="Inventory",VLOOKUP($C940,Inventory!$B:$I,8,FALSE()),IF($E940="Non Inventory",VLOOKUP($C940,'Non Inventory'!$B:$I,8,FALSE()),IF($E940="Services",VLOOKUP($C940,Services!$B:$I,8,FALSE()),IF($E940="Patty Cash",VLOOKUP($C940,'Patty Cash'!$B:$J,8,FALSE()),0)))),0)</f>
        <v>0</v>
      </c>
      <c r="O940" s="217" t="str">
        <f t="shared" si="14"/>
        <v/>
      </c>
    </row>
    <row r="941" spans="1:15" ht="23.1" customHeight="1">
      <c r="A941" s="206" t="str">
        <f>IF(AND($B941="",$C941=""),"",MAX($A$3:A940)+1)</f>
        <v/>
      </c>
      <c r="B941" s="207"/>
      <c r="C941" s="208"/>
      <c r="D941" s="209" t="str">
        <f>IFERROR(IF($E941="Inventory",VLOOKUP($C941,Inventory!$B:$I,2,FALSE()),IF($E941="Non Inventory",VLOOKUP($C941,'Non Inventory'!$B:$I,2,FALSE()),IF($E941="Services",VLOOKUP($C941,Services!$B:$I,2,FALSE()),IF($E941="Patty Cash",VLOOKUP($C941,'Patty Cash'!$B:$J,2,FALSE()),"")))),"")</f>
        <v/>
      </c>
      <c r="E941" s="246"/>
      <c r="F941" s="210" t="str">
        <f>IFERROR(IF($E941="Inventory",VLOOKUP($C941,Inventory!$B:$I,3,FALSE()),IF($E941="Non Inventory",VLOOKUP($C941,'Non Inventory'!$B:$I,3,FALSE()),IF($E941="Services",VLOOKUP($C941,Services!$B:$I,3,FALSE()),IF($E941="Patty Cash",VLOOKUP($C941,'Patty Cash'!$B:$J,3,FALSE()),"")))),"")</f>
        <v/>
      </c>
      <c r="G941" s="211"/>
      <c r="H941" s="212" t="str">
        <f>IF($E941="","",IF($E941="Inventory",IFERROR(VLOOKUP($C941,Inventory!$B:$H,7,FALSE()),0),IF($E941="Non Inventory",IFERROR(VLOOKUP($C941,'Non Inventory'!$B:$H,7,FALSE()),0),IF($E941="Services",IFERROR(VLOOKUP($C941,Services!$B:$H,7,FALSE()),0),IF($E941="Patty Cash",IFERROR(VLOOKUP($C941,'Patty Cash'!$B:$H,7,FALSE()),0),0)))))</f>
        <v/>
      </c>
      <c r="I941" s="213"/>
      <c r="J941" s="214"/>
      <c r="K941" s="215"/>
      <c r="L941" s="197"/>
      <c r="M941" s="215"/>
      <c r="N941" s="216">
        <f>IFERROR(IF($E941="Inventory",VLOOKUP($C941,Inventory!$B:$I,8,FALSE()),IF($E941="Non Inventory",VLOOKUP($C941,'Non Inventory'!$B:$I,8,FALSE()),IF($E941="Services",VLOOKUP($C941,Services!$B:$I,8,FALSE()),IF($E941="Patty Cash",VLOOKUP($C941,'Patty Cash'!$B:$J,8,FALSE()),0)))),0)</f>
        <v>0</v>
      </c>
      <c r="O941" s="217" t="str">
        <f t="shared" si="14"/>
        <v/>
      </c>
    </row>
    <row r="942" spans="1:15" ht="23.1" customHeight="1">
      <c r="A942" s="206" t="str">
        <f>IF(AND($B942="",$C942=""),"",MAX($A$3:A941)+1)</f>
        <v/>
      </c>
      <c r="B942" s="207"/>
      <c r="C942" s="208"/>
      <c r="D942" s="209" t="str">
        <f>IFERROR(IF($E942="Inventory",VLOOKUP($C942,Inventory!$B:$I,2,FALSE()),IF($E942="Non Inventory",VLOOKUP($C942,'Non Inventory'!$B:$I,2,FALSE()),IF($E942="Services",VLOOKUP($C942,Services!$B:$I,2,FALSE()),IF($E942="Patty Cash",VLOOKUP($C942,'Patty Cash'!$B:$J,2,FALSE()),"")))),"")</f>
        <v/>
      </c>
      <c r="E942" s="246"/>
      <c r="F942" s="210" t="str">
        <f>IFERROR(IF($E942="Inventory",VLOOKUP($C942,Inventory!$B:$I,3,FALSE()),IF($E942="Non Inventory",VLOOKUP($C942,'Non Inventory'!$B:$I,3,FALSE()),IF($E942="Services",VLOOKUP($C942,Services!$B:$I,3,FALSE()),IF($E942="Patty Cash",VLOOKUP($C942,'Patty Cash'!$B:$J,3,FALSE()),"")))),"")</f>
        <v/>
      </c>
      <c r="G942" s="211"/>
      <c r="H942" s="212" t="str">
        <f>IF($E942="","",IF($E942="Inventory",IFERROR(VLOOKUP($C942,Inventory!$B:$H,7,FALSE()),0),IF($E942="Non Inventory",IFERROR(VLOOKUP($C942,'Non Inventory'!$B:$H,7,FALSE()),0),IF($E942="Services",IFERROR(VLOOKUP($C942,Services!$B:$H,7,FALSE()),0),IF($E942="Patty Cash",IFERROR(VLOOKUP($C942,'Patty Cash'!$B:$H,7,FALSE()),0),0)))))</f>
        <v/>
      </c>
      <c r="I942" s="213"/>
      <c r="J942" s="214"/>
      <c r="K942" s="215"/>
      <c r="L942" s="197"/>
      <c r="M942" s="215"/>
      <c r="N942" s="216">
        <f>IFERROR(IF($E942="Inventory",VLOOKUP($C942,Inventory!$B:$I,8,FALSE()),IF($E942="Non Inventory",VLOOKUP($C942,'Non Inventory'!$B:$I,8,FALSE()),IF($E942="Services",VLOOKUP($C942,Services!$B:$I,8,FALSE()),IF($E942="Patty Cash",VLOOKUP($C942,'Patty Cash'!$B:$J,8,FALSE()),0)))),0)</f>
        <v>0</v>
      </c>
      <c r="O942" s="217" t="str">
        <f t="shared" si="14"/>
        <v/>
      </c>
    </row>
    <row r="943" spans="1:15" ht="23.1" customHeight="1">
      <c r="A943" s="206" t="str">
        <f>IF(AND($B943="",$C943=""),"",MAX($A$3:A942)+1)</f>
        <v/>
      </c>
      <c r="B943" s="207"/>
      <c r="C943" s="208"/>
      <c r="D943" s="209" t="str">
        <f>IFERROR(IF($E943="Inventory",VLOOKUP($C943,Inventory!$B:$I,2,FALSE()),IF($E943="Non Inventory",VLOOKUP($C943,'Non Inventory'!$B:$I,2,FALSE()),IF($E943="Services",VLOOKUP($C943,Services!$B:$I,2,FALSE()),IF($E943="Patty Cash",VLOOKUP($C943,'Patty Cash'!$B:$J,2,FALSE()),"")))),"")</f>
        <v/>
      </c>
      <c r="E943" s="246"/>
      <c r="F943" s="210" t="str">
        <f>IFERROR(IF($E943="Inventory",VLOOKUP($C943,Inventory!$B:$I,3,FALSE()),IF($E943="Non Inventory",VLOOKUP($C943,'Non Inventory'!$B:$I,3,FALSE()),IF($E943="Services",VLOOKUP($C943,Services!$B:$I,3,FALSE()),IF($E943="Patty Cash",VLOOKUP($C943,'Patty Cash'!$B:$J,3,FALSE()),"")))),"")</f>
        <v/>
      </c>
      <c r="G943" s="211"/>
      <c r="H943" s="212" t="str">
        <f>IF($E943="","",IF($E943="Inventory",IFERROR(VLOOKUP($C943,Inventory!$B:$H,7,FALSE()),0),IF($E943="Non Inventory",IFERROR(VLOOKUP($C943,'Non Inventory'!$B:$H,7,FALSE()),0),IF($E943="Services",IFERROR(VLOOKUP($C943,Services!$B:$H,7,FALSE()),0),IF($E943="Patty Cash",IFERROR(VLOOKUP($C943,'Patty Cash'!$B:$H,7,FALSE()),0),0)))))</f>
        <v/>
      </c>
      <c r="I943" s="213"/>
      <c r="J943" s="214"/>
      <c r="K943" s="215"/>
      <c r="L943" s="197"/>
      <c r="M943" s="215"/>
      <c r="N943" s="216">
        <f>IFERROR(IF($E943="Inventory",VLOOKUP($C943,Inventory!$B:$I,8,FALSE()),IF($E943="Non Inventory",VLOOKUP($C943,'Non Inventory'!$B:$I,8,FALSE()),IF($E943="Services",VLOOKUP($C943,Services!$B:$I,8,FALSE()),IF($E943="Patty Cash",VLOOKUP($C943,'Patty Cash'!$B:$J,8,FALSE()),0)))),0)</f>
        <v>0</v>
      </c>
      <c r="O943" s="217" t="str">
        <f t="shared" si="14"/>
        <v/>
      </c>
    </row>
    <row r="944" spans="1:15" ht="23.1" customHeight="1">
      <c r="A944" s="206" t="str">
        <f>IF(AND($B944="",$C944=""),"",MAX($A$3:A943)+1)</f>
        <v/>
      </c>
      <c r="B944" s="207"/>
      <c r="C944" s="208"/>
      <c r="D944" s="209" t="str">
        <f>IFERROR(IF($E944="Inventory",VLOOKUP($C944,Inventory!$B:$I,2,FALSE()),IF($E944="Non Inventory",VLOOKUP($C944,'Non Inventory'!$B:$I,2,FALSE()),IF($E944="Services",VLOOKUP($C944,Services!$B:$I,2,FALSE()),IF($E944="Patty Cash",VLOOKUP($C944,'Patty Cash'!$B:$J,2,FALSE()),"")))),"")</f>
        <v/>
      </c>
      <c r="E944" s="246"/>
      <c r="F944" s="210" t="str">
        <f>IFERROR(IF($E944="Inventory",VLOOKUP($C944,Inventory!$B:$I,3,FALSE()),IF($E944="Non Inventory",VLOOKUP($C944,'Non Inventory'!$B:$I,3,FALSE()),IF($E944="Services",VLOOKUP($C944,Services!$B:$I,3,FALSE()),IF($E944="Patty Cash",VLOOKUP($C944,'Patty Cash'!$B:$J,3,FALSE()),"")))),"")</f>
        <v/>
      </c>
      <c r="G944" s="211"/>
      <c r="H944" s="212" t="str">
        <f>IF($E944="","",IF($E944="Inventory",IFERROR(VLOOKUP($C944,Inventory!$B:$H,7,FALSE()),0),IF($E944="Non Inventory",IFERROR(VLOOKUP($C944,'Non Inventory'!$B:$H,7,FALSE()),0),IF($E944="Services",IFERROR(VLOOKUP($C944,Services!$B:$H,7,FALSE()),0),IF($E944="Patty Cash",IFERROR(VLOOKUP($C944,'Patty Cash'!$B:$H,7,FALSE()),0),0)))))</f>
        <v/>
      </c>
      <c r="I944" s="213"/>
      <c r="J944" s="214"/>
      <c r="K944" s="215"/>
      <c r="L944" s="197"/>
      <c r="M944" s="215"/>
      <c r="N944" s="216">
        <f>IFERROR(IF($E944="Inventory",VLOOKUP($C944,Inventory!$B:$I,8,FALSE()),IF($E944="Non Inventory",VLOOKUP($C944,'Non Inventory'!$B:$I,8,FALSE()),IF($E944="Services",VLOOKUP($C944,Services!$B:$I,8,FALSE()),IF($E944="Patty Cash",VLOOKUP($C944,'Patty Cash'!$B:$J,8,FALSE()),0)))),0)</f>
        <v>0</v>
      </c>
      <c r="O944" s="217" t="str">
        <f t="shared" si="14"/>
        <v/>
      </c>
    </row>
    <row r="945" spans="1:15" ht="23.1" customHeight="1">
      <c r="A945" s="206" t="str">
        <f>IF(AND($B945="",$C945=""),"",MAX($A$3:A944)+1)</f>
        <v/>
      </c>
      <c r="B945" s="207"/>
      <c r="C945" s="208"/>
      <c r="D945" s="209" t="str">
        <f>IFERROR(IF($E945="Inventory",VLOOKUP($C945,Inventory!$B:$I,2,FALSE()),IF($E945="Non Inventory",VLOOKUP($C945,'Non Inventory'!$B:$I,2,FALSE()),IF($E945="Services",VLOOKUP($C945,Services!$B:$I,2,FALSE()),IF($E945="Patty Cash",VLOOKUP($C945,'Patty Cash'!$B:$J,2,FALSE()),"")))),"")</f>
        <v/>
      </c>
      <c r="E945" s="246"/>
      <c r="F945" s="210" t="str">
        <f>IFERROR(IF($E945="Inventory",VLOOKUP($C945,Inventory!$B:$I,3,FALSE()),IF($E945="Non Inventory",VLOOKUP($C945,'Non Inventory'!$B:$I,3,FALSE()),IF($E945="Services",VLOOKUP($C945,Services!$B:$I,3,FALSE()),IF($E945="Patty Cash",VLOOKUP($C945,'Patty Cash'!$B:$J,3,FALSE()),"")))),"")</f>
        <v/>
      </c>
      <c r="G945" s="211"/>
      <c r="H945" s="212" t="str">
        <f>IF($E945="","",IF($E945="Inventory",IFERROR(VLOOKUP($C945,Inventory!$B:$H,7,FALSE()),0),IF($E945="Non Inventory",IFERROR(VLOOKUP($C945,'Non Inventory'!$B:$H,7,FALSE()),0),IF($E945="Services",IFERROR(VLOOKUP($C945,Services!$B:$H,7,FALSE()),0),IF($E945="Patty Cash",IFERROR(VLOOKUP($C945,'Patty Cash'!$B:$H,7,FALSE()),0),0)))))</f>
        <v/>
      </c>
      <c r="I945" s="213"/>
      <c r="J945" s="214"/>
      <c r="K945" s="215"/>
      <c r="L945" s="197"/>
      <c r="M945" s="215"/>
      <c r="N945" s="216">
        <f>IFERROR(IF($E945="Inventory",VLOOKUP($C945,Inventory!$B:$I,8,FALSE()),IF($E945="Non Inventory",VLOOKUP($C945,'Non Inventory'!$B:$I,8,FALSE()),IF($E945="Services",VLOOKUP($C945,Services!$B:$I,8,FALSE()),IF($E945="Patty Cash",VLOOKUP($C945,'Patty Cash'!$B:$J,8,FALSE()),0)))),0)</f>
        <v>0</v>
      </c>
      <c r="O945" s="217" t="str">
        <f t="shared" si="14"/>
        <v/>
      </c>
    </row>
    <row r="946" spans="1:15" ht="23.1" customHeight="1">
      <c r="A946" s="206" t="str">
        <f>IF(AND($B946="",$C946=""),"",MAX($A$3:A945)+1)</f>
        <v/>
      </c>
      <c r="B946" s="207"/>
      <c r="C946" s="208"/>
      <c r="D946" s="209" t="str">
        <f>IFERROR(IF($E946="Inventory",VLOOKUP($C946,Inventory!$B:$I,2,FALSE()),IF($E946="Non Inventory",VLOOKUP($C946,'Non Inventory'!$B:$I,2,FALSE()),IF($E946="Services",VLOOKUP($C946,Services!$B:$I,2,FALSE()),IF($E946="Patty Cash",VLOOKUP($C946,'Patty Cash'!$B:$J,2,FALSE()),"")))),"")</f>
        <v/>
      </c>
      <c r="E946" s="246"/>
      <c r="F946" s="210" t="str">
        <f>IFERROR(IF($E946="Inventory",VLOOKUP($C946,Inventory!$B:$I,3,FALSE()),IF($E946="Non Inventory",VLOOKUP($C946,'Non Inventory'!$B:$I,3,FALSE()),IF($E946="Services",VLOOKUP($C946,Services!$B:$I,3,FALSE()),IF($E946="Patty Cash",VLOOKUP($C946,'Patty Cash'!$B:$J,3,FALSE()),"")))),"")</f>
        <v/>
      </c>
      <c r="G946" s="211"/>
      <c r="H946" s="212" t="str">
        <f>IF($E946="","",IF($E946="Inventory",IFERROR(VLOOKUP($C946,Inventory!$B:$H,7,FALSE()),0),IF($E946="Non Inventory",IFERROR(VLOOKUP($C946,'Non Inventory'!$B:$H,7,FALSE()),0),IF($E946="Services",IFERROR(VLOOKUP($C946,Services!$B:$H,7,FALSE()),0),IF($E946="Patty Cash",IFERROR(VLOOKUP($C946,'Patty Cash'!$B:$H,7,FALSE()),0),0)))))</f>
        <v/>
      </c>
      <c r="I946" s="213"/>
      <c r="J946" s="214"/>
      <c r="K946" s="215"/>
      <c r="L946" s="197"/>
      <c r="M946" s="215"/>
      <c r="N946" s="216">
        <f>IFERROR(IF($E946="Inventory",VLOOKUP($C946,Inventory!$B:$I,8,FALSE()),IF($E946="Non Inventory",VLOOKUP($C946,'Non Inventory'!$B:$I,8,FALSE()),IF($E946="Services",VLOOKUP($C946,Services!$B:$I,8,FALSE()),IF($E946="Patty Cash",VLOOKUP($C946,'Patty Cash'!$B:$J,8,FALSE()),0)))),0)</f>
        <v>0</v>
      </c>
      <c r="O946" s="217" t="str">
        <f t="shared" si="14"/>
        <v/>
      </c>
    </row>
    <row r="947" spans="1:15" ht="23.1" customHeight="1">
      <c r="A947" s="206" t="str">
        <f>IF(AND($B947="",$C947=""),"",MAX($A$3:A946)+1)</f>
        <v/>
      </c>
      <c r="B947" s="207"/>
      <c r="C947" s="208"/>
      <c r="D947" s="209" t="str">
        <f>IFERROR(IF($E947="Inventory",VLOOKUP($C947,Inventory!$B:$I,2,FALSE()),IF($E947="Non Inventory",VLOOKUP($C947,'Non Inventory'!$B:$I,2,FALSE()),IF($E947="Services",VLOOKUP($C947,Services!$B:$I,2,FALSE()),IF($E947="Patty Cash",VLOOKUP($C947,'Patty Cash'!$B:$J,2,FALSE()),"")))),"")</f>
        <v/>
      </c>
      <c r="E947" s="246"/>
      <c r="F947" s="210" t="str">
        <f>IFERROR(IF($E947="Inventory",VLOOKUP($C947,Inventory!$B:$I,3,FALSE()),IF($E947="Non Inventory",VLOOKUP($C947,'Non Inventory'!$B:$I,3,FALSE()),IF($E947="Services",VLOOKUP($C947,Services!$B:$I,3,FALSE()),IF($E947="Patty Cash",VLOOKUP($C947,'Patty Cash'!$B:$J,3,FALSE()),"")))),"")</f>
        <v/>
      </c>
      <c r="G947" s="211"/>
      <c r="H947" s="212" t="str">
        <f>IF($E947="","",IF($E947="Inventory",IFERROR(VLOOKUP($C947,Inventory!$B:$H,7,FALSE()),0),IF($E947="Non Inventory",IFERROR(VLOOKUP($C947,'Non Inventory'!$B:$H,7,FALSE()),0),IF($E947="Services",IFERROR(VLOOKUP($C947,Services!$B:$H,7,FALSE()),0),IF($E947="Patty Cash",IFERROR(VLOOKUP($C947,'Patty Cash'!$B:$H,7,FALSE()),0),0)))))</f>
        <v/>
      </c>
      <c r="I947" s="213"/>
      <c r="J947" s="214"/>
      <c r="K947" s="215"/>
      <c r="L947" s="197"/>
      <c r="M947" s="215"/>
      <c r="N947" s="216">
        <f>IFERROR(IF($E947="Inventory",VLOOKUP($C947,Inventory!$B:$I,8,FALSE()),IF($E947="Non Inventory",VLOOKUP($C947,'Non Inventory'!$B:$I,8,FALSE()),IF($E947="Services",VLOOKUP($C947,Services!$B:$I,8,FALSE()),IF($E947="Patty Cash",VLOOKUP($C947,'Patty Cash'!$B:$J,8,FALSE()),0)))),0)</f>
        <v>0</v>
      </c>
      <c r="O947" s="217" t="str">
        <f t="shared" si="14"/>
        <v/>
      </c>
    </row>
    <row r="948" spans="1:15" ht="23.1" customHeight="1">
      <c r="A948" s="206" t="str">
        <f>IF(AND($B948="",$C948=""),"",MAX($A$3:A947)+1)</f>
        <v/>
      </c>
      <c r="B948" s="207"/>
      <c r="C948" s="208"/>
      <c r="D948" s="209" t="str">
        <f>IFERROR(IF($E948="Inventory",VLOOKUP($C948,Inventory!$B:$I,2,FALSE()),IF($E948="Non Inventory",VLOOKUP($C948,'Non Inventory'!$B:$I,2,FALSE()),IF($E948="Services",VLOOKUP($C948,Services!$B:$I,2,FALSE()),IF($E948="Patty Cash",VLOOKUP($C948,'Patty Cash'!$B:$J,2,FALSE()),"")))),"")</f>
        <v/>
      </c>
      <c r="E948" s="246"/>
      <c r="F948" s="210" t="str">
        <f>IFERROR(IF($E948="Inventory",VLOOKUP($C948,Inventory!$B:$I,3,FALSE()),IF($E948="Non Inventory",VLOOKUP($C948,'Non Inventory'!$B:$I,3,FALSE()),IF($E948="Services",VLOOKUP($C948,Services!$B:$I,3,FALSE()),IF($E948="Patty Cash",VLOOKUP($C948,'Patty Cash'!$B:$J,3,FALSE()),"")))),"")</f>
        <v/>
      </c>
      <c r="G948" s="211"/>
      <c r="H948" s="212" t="str">
        <f>IF($E948="","",IF($E948="Inventory",IFERROR(VLOOKUP($C948,Inventory!$B:$H,7,FALSE()),0),IF($E948="Non Inventory",IFERROR(VLOOKUP($C948,'Non Inventory'!$B:$H,7,FALSE()),0),IF($E948="Services",IFERROR(VLOOKUP($C948,Services!$B:$H,7,FALSE()),0),IF($E948="Patty Cash",IFERROR(VLOOKUP($C948,'Patty Cash'!$B:$H,7,FALSE()),0),0)))))</f>
        <v/>
      </c>
      <c r="I948" s="213"/>
      <c r="J948" s="214"/>
      <c r="K948" s="215"/>
      <c r="L948" s="197"/>
      <c r="M948" s="215"/>
      <c r="N948" s="216">
        <f>IFERROR(IF($E948="Inventory",VLOOKUP($C948,Inventory!$B:$I,8,FALSE()),IF($E948="Non Inventory",VLOOKUP($C948,'Non Inventory'!$B:$I,8,FALSE()),IF($E948="Services",VLOOKUP($C948,Services!$B:$I,8,FALSE()),IF($E948="Patty Cash",VLOOKUP($C948,'Patty Cash'!$B:$J,8,FALSE()),0)))),0)</f>
        <v>0</v>
      </c>
      <c r="O948" s="217" t="str">
        <f t="shared" si="14"/>
        <v/>
      </c>
    </row>
    <row r="949" spans="1:15" ht="23.1" customHeight="1">
      <c r="A949" s="206" t="str">
        <f>IF(AND($B949="",$C949=""),"",MAX($A$3:A948)+1)</f>
        <v/>
      </c>
      <c r="B949" s="207"/>
      <c r="C949" s="208"/>
      <c r="D949" s="209" t="str">
        <f>IFERROR(IF($E949="Inventory",VLOOKUP($C949,Inventory!$B:$I,2,FALSE()),IF($E949="Non Inventory",VLOOKUP($C949,'Non Inventory'!$B:$I,2,FALSE()),IF($E949="Services",VLOOKUP($C949,Services!$B:$I,2,FALSE()),IF($E949="Patty Cash",VLOOKUP($C949,'Patty Cash'!$B:$J,2,FALSE()),"")))),"")</f>
        <v/>
      </c>
      <c r="E949" s="246"/>
      <c r="F949" s="210" t="str">
        <f>IFERROR(IF($E949="Inventory",VLOOKUP($C949,Inventory!$B:$I,3,FALSE()),IF($E949="Non Inventory",VLOOKUP($C949,'Non Inventory'!$B:$I,3,FALSE()),IF($E949="Services",VLOOKUP($C949,Services!$B:$I,3,FALSE()),IF($E949="Patty Cash",VLOOKUP($C949,'Patty Cash'!$B:$J,3,FALSE()),"")))),"")</f>
        <v/>
      </c>
      <c r="G949" s="211"/>
      <c r="H949" s="212" t="str">
        <f>IF($E949="","",IF($E949="Inventory",IFERROR(VLOOKUP($C949,Inventory!$B:$H,7,FALSE()),0),IF($E949="Non Inventory",IFERROR(VLOOKUP($C949,'Non Inventory'!$B:$H,7,FALSE()),0),IF($E949="Services",IFERROR(VLOOKUP($C949,Services!$B:$H,7,FALSE()),0),IF($E949="Patty Cash",IFERROR(VLOOKUP($C949,'Patty Cash'!$B:$H,7,FALSE()),0),0)))))</f>
        <v/>
      </c>
      <c r="I949" s="213"/>
      <c r="J949" s="214"/>
      <c r="K949" s="215"/>
      <c r="L949" s="197"/>
      <c r="M949" s="215"/>
      <c r="N949" s="216">
        <f>IFERROR(IF($E949="Inventory",VLOOKUP($C949,Inventory!$B:$I,8,FALSE()),IF($E949="Non Inventory",VLOOKUP($C949,'Non Inventory'!$B:$I,8,FALSE()),IF($E949="Services",VLOOKUP($C949,Services!$B:$I,8,FALSE()),IF($E949="Patty Cash",VLOOKUP($C949,'Patty Cash'!$B:$J,8,FALSE()),0)))),0)</f>
        <v>0</v>
      </c>
      <c r="O949" s="217" t="str">
        <f t="shared" si="14"/>
        <v/>
      </c>
    </row>
    <row r="950" spans="1:15" ht="23.1" customHeight="1">
      <c r="A950" s="206" t="str">
        <f>IF(AND($B950="",$C950=""),"",MAX($A$3:A949)+1)</f>
        <v/>
      </c>
      <c r="B950" s="207"/>
      <c r="C950" s="208"/>
      <c r="D950" s="209" t="str">
        <f>IFERROR(IF($E950="Inventory",VLOOKUP($C950,Inventory!$B:$I,2,FALSE()),IF($E950="Non Inventory",VLOOKUP($C950,'Non Inventory'!$B:$I,2,FALSE()),IF($E950="Services",VLOOKUP($C950,Services!$B:$I,2,FALSE()),IF($E950="Patty Cash",VLOOKUP($C950,'Patty Cash'!$B:$J,2,FALSE()),"")))),"")</f>
        <v/>
      </c>
      <c r="E950" s="246"/>
      <c r="F950" s="210" t="str">
        <f>IFERROR(IF($E950="Inventory",VLOOKUP($C950,Inventory!$B:$I,3,FALSE()),IF($E950="Non Inventory",VLOOKUP($C950,'Non Inventory'!$B:$I,3,FALSE()),IF($E950="Services",VLOOKUP($C950,Services!$B:$I,3,FALSE()),IF($E950="Patty Cash",VLOOKUP($C950,'Patty Cash'!$B:$J,3,FALSE()),"")))),"")</f>
        <v/>
      </c>
      <c r="G950" s="211"/>
      <c r="H950" s="212" t="str">
        <f>IF($E950="","",IF($E950="Inventory",IFERROR(VLOOKUP($C950,Inventory!$B:$H,7,FALSE()),0),IF($E950="Non Inventory",IFERROR(VLOOKUP($C950,'Non Inventory'!$B:$H,7,FALSE()),0),IF($E950="Services",IFERROR(VLOOKUP($C950,Services!$B:$H,7,FALSE()),0),IF($E950="Patty Cash",IFERROR(VLOOKUP($C950,'Patty Cash'!$B:$H,7,FALSE()),0),0)))))</f>
        <v/>
      </c>
      <c r="I950" s="213"/>
      <c r="J950" s="214"/>
      <c r="K950" s="215"/>
      <c r="L950" s="197"/>
      <c r="M950" s="215"/>
      <c r="N950" s="216">
        <f>IFERROR(IF($E950="Inventory",VLOOKUP($C950,Inventory!$B:$I,8,FALSE()),IF($E950="Non Inventory",VLOOKUP($C950,'Non Inventory'!$B:$I,8,FALSE()),IF($E950="Services",VLOOKUP($C950,Services!$B:$I,8,FALSE()),IF($E950="Patty Cash",VLOOKUP($C950,'Patty Cash'!$B:$J,8,FALSE()),0)))),0)</f>
        <v>0</v>
      </c>
      <c r="O950" s="217" t="str">
        <f t="shared" si="14"/>
        <v/>
      </c>
    </row>
    <row r="951" spans="1:15" ht="23.1" customHeight="1">
      <c r="A951" s="206" t="str">
        <f>IF(AND($B951="",$C951=""),"",MAX($A$3:A950)+1)</f>
        <v/>
      </c>
      <c r="B951" s="207"/>
      <c r="C951" s="208"/>
      <c r="D951" s="209" t="str">
        <f>IFERROR(IF($E951="Inventory",VLOOKUP($C951,Inventory!$B:$I,2,FALSE()),IF($E951="Non Inventory",VLOOKUP($C951,'Non Inventory'!$B:$I,2,FALSE()),IF($E951="Services",VLOOKUP($C951,Services!$B:$I,2,FALSE()),IF($E951="Patty Cash",VLOOKUP($C951,'Patty Cash'!$B:$J,2,FALSE()),"")))),"")</f>
        <v/>
      </c>
      <c r="E951" s="246"/>
      <c r="F951" s="210" t="str">
        <f>IFERROR(IF($E951="Inventory",VLOOKUP($C951,Inventory!$B:$I,3,FALSE()),IF($E951="Non Inventory",VLOOKUP($C951,'Non Inventory'!$B:$I,3,FALSE()),IF($E951="Services",VLOOKUP($C951,Services!$B:$I,3,FALSE()),IF($E951="Patty Cash",VLOOKUP($C951,'Patty Cash'!$B:$J,3,FALSE()),"")))),"")</f>
        <v/>
      </c>
      <c r="G951" s="211"/>
      <c r="H951" s="212" t="str">
        <f>IF($E951="","",IF($E951="Inventory",IFERROR(VLOOKUP($C951,Inventory!$B:$H,7,FALSE()),0),IF($E951="Non Inventory",IFERROR(VLOOKUP($C951,'Non Inventory'!$B:$H,7,FALSE()),0),IF($E951="Services",IFERROR(VLOOKUP($C951,Services!$B:$H,7,FALSE()),0),IF($E951="Patty Cash",IFERROR(VLOOKUP($C951,'Patty Cash'!$B:$H,7,FALSE()),0),0)))))</f>
        <v/>
      </c>
      <c r="I951" s="213"/>
      <c r="J951" s="214"/>
      <c r="K951" s="215"/>
      <c r="L951" s="197"/>
      <c r="M951" s="215"/>
      <c r="N951" s="216">
        <f>IFERROR(IF($E951="Inventory",VLOOKUP($C951,Inventory!$B:$I,8,FALSE()),IF($E951="Non Inventory",VLOOKUP($C951,'Non Inventory'!$B:$I,8,FALSE()),IF($E951="Services",VLOOKUP($C951,Services!$B:$I,8,FALSE()),IF($E951="Patty Cash",VLOOKUP($C951,'Patty Cash'!$B:$J,8,FALSE()),0)))),0)</f>
        <v>0</v>
      </c>
      <c r="O951" s="217" t="str">
        <f t="shared" si="14"/>
        <v/>
      </c>
    </row>
    <row r="952" spans="1:15" ht="23.1" customHeight="1">
      <c r="A952" s="206" t="str">
        <f>IF(AND($B952="",$C952=""),"",MAX($A$3:A951)+1)</f>
        <v/>
      </c>
      <c r="B952" s="207"/>
      <c r="C952" s="208"/>
      <c r="D952" s="209" t="str">
        <f>IFERROR(IF($E952="Inventory",VLOOKUP($C952,Inventory!$B:$I,2,FALSE()),IF($E952="Non Inventory",VLOOKUP($C952,'Non Inventory'!$B:$I,2,FALSE()),IF($E952="Services",VLOOKUP($C952,Services!$B:$I,2,FALSE()),IF($E952="Patty Cash",VLOOKUP($C952,'Patty Cash'!$B:$J,2,FALSE()),"")))),"")</f>
        <v/>
      </c>
      <c r="E952" s="246"/>
      <c r="F952" s="210" t="str">
        <f>IFERROR(IF($E952="Inventory",VLOOKUP($C952,Inventory!$B:$I,3,FALSE()),IF($E952="Non Inventory",VLOOKUP($C952,'Non Inventory'!$B:$I,3,FALSE()),IF($E952="Services",VLOOKUP($C952,Services!$B:$I,3,FALSE()),IF($E952="Patty Cash",VLOOKUP($C952,'Patty Cash'!$B:$J,3,FALSE()),"")))),"")</f>
        <v/>
      </c>
      <c r="G952" s="211"/>
      <c r="H952" s="212" t="str">
        <f>IF($E952="","",IF($E952="Inventory",IFERROR(VLOOKUP($C952,Inventory!$B:$H,7,FALSE()),0),IF($E952="Non Inventory",IFERROR(VLOOKUP($C952,'Non Inventory'!$B:$H,7,FALSE()),0),IF($E952="Services",IFERROR(VLOOKUP($C952,Services!$B:$H,7,FALSE()),0),IF($E952="Patty Cash",IFERROR(VLOOKUP($C952,'Patty Cash'!$B:$H,7,FALSE()),0),0)))))</f>
        <v/>
      </c>
      <c r="I952" s="213"/>
      <c r="J952" s="214"/>
      <c r="K952" s="215"/>
      <c r="L952" s="197"/>
      <c r="M952" s="215"/>
      <c r="N952" s="216">
        <f>IFERROR(IF($E952="Inventory",VLOOKUP($C952,Inventory!$B:$I,8,FALSE()),IF($E952="Non Inventory",VLOOKUP($C952,'Non Inventory'!$B:$I,8,FALSE()),IF($E952="Services",VLOOKUP($C952,Services!$B:$I,8,FALSE()),IF($E952="Patty Cash",VLOOKUP($C952,'Patty Cash'!$B:$J,8,FALSE()),0)))),0)</f>
        <v>0</v>
      </c>
      <c r="O952" s="217" t="str">
        <f t="shared" si="14"/>
        <v/>
      </c>
    </row>
    <row r="953" spans="1:15" ht="23.1" customHeight="1">
      <c r="A953" s="206" t="str">
        <f>IF(AND($B953="",$C953=""),"",MAX($A$3:A952)+1)</f>
        <v/>
      </c>
      <c r="B953" s="207"/>
      <c r="C953" s="208"/>
      <c r="D953" s="209" t="str">
        <f>IFERROR(IF($E953="Inventory",VLOOKUP($C953,Inventory!$B:$I,2,FALSE()),IF($E953="Non Inventory",VLOOKUP($C953,'Non Inventory'!$B:$I,2,FALSE()),IF($E953="Services",VLOOKUP($C953,Services!$B:$I,2,FALSE()),IF($E953="Patty Cash",VLOOKUP($C953,'Patty Cash'!$B:$J,2,FALSE()),"")))),"")</f>
        <v/>
      </c>
      <c r="E953" s="246"/>
      <c r="F953" s="210" t="str">
        <f>IFERROR(IF($E953="Inventory",VLOOKUP($C953,Inventory!$B:$I,3,FALSE()),IF($E953="Non Inventory",VLOOKUP($C953,'Non Inventory'!$B:$I,3,FALSE()),IF($E953="Services",VLOOKUP($C953,Services!$B:$I,3,FALSE()),IF($E953="Patty Cash",VLOOKUP($C953,'Patty Cash'!$B:$J,3,FALSE()),"")))),"")</f>
        <v/>
      </c>
      <c r="G953" s="211"/>
      <c r="H953" s="212" t="str">
        <f>IF($E953="","",IF($E953="Inventory",IFERROR(VLOOKUP($C953,Inventory!$B:$H,7,FALSE()),0),IF($E953="Non Inventory",IFERROR(VLOOKUP($C953,'Non Inventory'!$B:$H,7,FALSE()),0),IF($E953="Services",IFERROR(VLOOKUP($C953,Services!$B:$H,7,FALSE()),0),IF($E953="Patty Cash",IFERROR(VLOOKUP($C953,'Patty Cash'!$B:$H,7,FALSE()),0),0)))))</f>
        <v/>
      </c>
      <c r="I953" s="213"/>
      <c r="J953" s="214"/>
      <c r="K953" s="215"/>
      <c r="L953" s="197"/>
      <c r="M953" s="215"/>
      <c r="N953" s="216">
        <f>IFERROR(IF($E953="Inventory",VLOOKUP($C953,Inventory!$B:$I,8,FALSE()),IF($E953="Non Inventory",VLOOKUP($C953,'Non Inventory'!$B:$I,8,FALSE()),IF($E953="Services",VLOOKUP($C953,Services!$B:$I,8,FALSE()),IF($E953="Patty Cash",VLOOKUP($C953,'Patty Cash'!$B:$J,8,FALSE()),0)))),0)</f>
        <v>0</v>
      </c>
      <c r="O953" s="217" t="str">
        <f t="shared" si="14"/>
        <v/>
      </c>
    </row>
    <row r="954" spans="1:15" ht="23.1" customHeight="1">
      <c r="A954" s="206" t="str">
        <f>IF(AND($B954="",$C954=""),"",MAX($A$3:A953)+1)</f>
        <v/>
      </c>
      <c r="B954" s="207"/>
      <c r="C954" s="208"/>
      <c r="D954" s="209" t="str">
        <f>IFERROR(IF($E954="Inventory",VLOOKUP($C954,Inventory!$B:$I,2,FALSE()),IF($E954="Non Inventory",VLOOKUP($C954,'Non Inventory'!$B:$I,2,FALSE()),IF($E954="Services",VLOOKUP($C954,Services!$B:$I,2,FALSE()),IF($E954="Patty Cash",VLOOKUP($C954,'Patty Cash'!$B:$J,2,FALSE()),"")))),"")</f>
        <v/>
      </c>
      <c r="E954" s="246"/>
      <c r="F954" s="210" t="str">
        <f>IFERROR(IF($E954="Inventory",VLOOKUP($C954,Inventory!$B:$I,3,FALSE()),IF($E954="Non Inventory",VLOOKUP($C954,'Non Inventory'!$B:$I,3,FALSE()),IF($E954="Services",VLOOKUP($C954,Services!$B:$I,3,FALSE()),IF($E954="Patty Cash",VLOOKUP($C954,'Patty Cash'!$B:$J,3,FALSE()),"")))),"")</f>
        <v/>
      </c>
      <c r="G954" s="211"/>
      <c r="H954" s="212" t="str">
        <f>IF($E954="","",IF($E954="Inventory",IFERROR(VLOOKUP($C954,Inventory!$B:$H,7,FALSE()),0),IF($E954="Non Inventory",IFERROR(VLOOKUP($C954,'Non Inventory'!$B:$H,7,FALSE()),0),IF($E954="Services",IFERROR(VLOOKUP($C954,Services!$B:$H,7,FALSE()),0),IF($E954="Patty Cash",IFERROR(VLOOKUP($C954,'Patty Cash'!$B:$H,7,FALSE()),0),0)))))</f>
        <v/>
      </c>
      <c r="I954" s="213"/>
      <c r="J954" s="214"/>
      <c r="K954" s="215"/>
      <c r="L954" s="197"/>
      <c r="M954" s="215"/>
      <c r="N954" s="216">
        <f>IFERROR(IF($E954="Inventory",VLOOKUP($C954,Inventory!$B:$I,8,FALSE()),IF($E954="Non Inventory",VLOOKUP($C954,'Non Inventory'!$B:$I,8,FALSE()),IF($E954="Services",VLOOKUP($C954,Services!$B:$I,8,FALSE()),IF($E954="Patty Cash",VLOOKUP($C954,'Patty Cash'!$B:$J,8,FALSE()),0)))),0)</f>
        <v>0</v>
      </c>
      <c r="O954" s="217" t="str">
        <f t="shared" si="14"/>
        <v/>
      </c>
    </row>
    <row r="955" spans="1:15" ht="23.1" customHeight="1">
      <c r="A955" s="206" t="str">
        <f>IF(AND($B955="",$C955=""),"",MAX($A$3:A954)+1)</f>
        <v/>
      </c>
      <c r="B955" s="207"/>
      <c r="C955" s="208"/>
      <c r="D955" s="209" t="str">
        <f>IFERROR(IF($E955="Inventory",VLOOKUP($C955,Inventory!$B:$I,2,FALSE()),IF($E955="Non Inventory",VLOOKUP($C955,'Non Inventory'!$B:$I,2,FALSE()),IF($E955="Services",VLOOKUP($C955,Services!$B:$I,2,FALSE()),IF($E955="Patty Cash",VLOOKUP($C955,'Patty Cash'!$B:$J,2,FALSE()),"")))),"")</f>
        <v/>
      </c>
      <c r="E955" s="246"/>
      <c r="F955" s="210" t="str">
        <f>IFERROR(IF($E955="Inventory",VLOOKUP($C955,Inventory!$B:$I,3,FALSE()),IF($E955="Non Inventory",VLOOKUP($C955,'Non Inventory'!$B:$I,3,FALSE()),IF($E955="Services",VLOOKUP($C955,Services!$B:$I,3,FALSE()),IF($E955="Patty Cash",VLOOKUP($C955,'Patty Cash'!$B:$J,3,FALSE()),"")))),"")</f>
        <v/>
      </c>
      <c r="G955" s="211"/>
      <c r="H955" s="212" t="str">
        <f>IF($E955="","",IF($E955="Inventory",IFERROR(VLOOKUP($C955,Inventory!$B:$H,7,FALSE()),0),IF($E955="Non Inventory",IFERROR(VLOOKUP($C955,'Non Inventory'!$B:$H,7,FALSE()),0),IF($E955="Services",IFERROR(VLOOKUP($C955,Services!$B:$H,7,FALSE()),0),IF($E955="Patty Cash",IFERROR(VLOOKUP($C955,'Patty Cash'!$B:$H,7,FALSE()),0),0)))))</f>
        <v/>
      </c>
      <c r="I955" s="213"/>
      <c r="J955" s="214"/>
      <c r="K955" s="215"/>
      <c r="L955" s="197"/>
      <c r="M955" s="215"/>
      <c r="N955" s="216">
        <f>IFERROR(IF($E955="Inventory",VLOOKUP($C955,Inventory!$B:$I,8,FALSE()),IF($E955="Non Inventory",VLOOKUP($C955,'Non Inventory'!$B:$I,8,FALSE()),IF($E955="Services",VLOOKUP($C955,Services!$B:$I,8,FALSE()),IF($E955="Patty Cash",VLOOKUP($C955,'Patty Cash'!$B:$J,8,FALSE()),0)))),0)</f>
        <v>0</v>
      </c>
      <c r="O955" s="217" t="str">
        <f t="shared" si="14"/>
        <v/>
      </c>
    </row>
    <row r="956" spans="1:15" ht="23.1" customHeight="1">
      <c r="A956" s="206" t="str">
        <f>IF(AND($B956="",$C956=""),"",MAX($A$3:A955)+1)</f>
        <v/>
      </c>
      <c r="B956" s="207"/>
      <c r="C956" s="208"/>
      <c r="D956" s="209" t="str">
        <f>IFERROR(IF($E956="Inventory",VLOOKUP($C956,Inventory!$B:$I,2,FALSE()),IF($E956="Non Inventory",VLOOKUP($C956,'Non Inventory'!$B:$I,2,FALSE()),IF($E956="Services",VLOOKUP($C956,Services!$B:$I,2,FALSE()),IF($E956="Patty Cash",VLOOKUP($C956,'Patty Cash'!$B:$J,2,FALSE()),"")))),"")</f>
        <v/>
      </c>
      <c r="E956" s="246"/>
      <c r="F956" s="210" t="str">
        <f>IFERROR(IF($E956="Inventory",VLOOKUP($C956,Inventory!$B:$I,3,FALSE()),IF($E956="Non Inventory",VLOOKUP($C956,'Non Inventory'!$B:$I,3,FALSE()),IF($E956="Services",VLOOKUP($C956,Services!$B:$I,3,FALSE()),IF($E956="Patty Cash",VLOOKUP($C956,'Patty Cash'!$B:$J,3,FALSE()),"")))),"")</f>
        <v/>
      </c>
      <c r="G956" s="211"/>
      <c r="H956" s="212" t="str">
        <f>IF($E956="","",IF($E956="Inventory",IFERROR(VLOOKUP($C956,Inventory!$B:$H,7,FALSE()),0),IF($E956="Non Inventory",IFERROR(VLOOKUP($C956,'Non Inventory'!$B:$H,7,FALSE()),0),IF($E956="Services",IFERROR(VLOOKUP($C956,Services!$B:$H,7,FALSE()),0),IF($E956="Patty Cash",IFERROR(VLOOKUP($C956,'Patty Cash'!$B:$H,7,FALSE()),0),0)))))</f>
        <v/>
      </c>
      <c r="I956" s="213"/>
      <c r="J956" s="214"/>
      <c r="K956" s="215"/>
      <c r="L956" s="197"/>
      <c r="M956" s="215"/>
      <c r="N956" s="216">
        <f>IFERROR(IF($E956="Inventory",VLOOKUP($C956,Inventory!$B:$I,8,FALSE()),IF($E956="Non Inventory",VLOOKUP($C956,'Non Inventory'!$B:$I,8,FALSE()),IF($E956="Services",VLOOKUP($C956,Services!$B:$I,8,FALSE()),IF($E956="Patty Cash",VLOOKUP($C956,'Patty Cash'!$B:$J,8,FALSE()),0)))),0)</f>
        <v>0</v>
      </c>
      <c r="O956" s="217" t="str">
        <f t="shared" si="14"/>
        <v/>
      </c>
    </row>
    <row r="957" spans="1:15" ht="23.1" customHeight="1">
      <c r="A957" s="206" t="str">
        <f>IF(AND($B957="",$C957=""),"",MAX($A$3:A956)+1)</f>
        <v/>
      </c>
      <c r="B957" s="207"/>
      <c r="C957" s="208"/>
      <c r="D957" s="209" t="str">
        <f>IFERROR(IF($E957="Inventory",VLOOKUP($C957,Inventory!$B:$I,2,FALSE()),IF($E957="Non Inventory",VLOOKUP($C957,'Non Inventory'!$B:$I,2,FALSE()),IF($E957="Services",VLOOKUP($C957,Services!$B:$I,2,FALSE()),IF($E957="Patty Cash",VLOOKUP($C957,'Patty Cash'!$B:$J,2,FALSE()),"")))),"")</f>
        <v/>
      </c>
      <c r="E957" s="246"/>
      <c r="F957" s="210" t="str">
        <f>IFERROR(IF($E957="Inventory",VLOOKUP($C957,Inventory!$B:$I,3,FALSE()),IF($E957="Non Inventory",VLOOKUP($C957,'Non Inventory'!$B:$I,3,FALSE()),IF($E957="Services",VLOOKUP($C957,Services!$B:$I,3,FALSE()),IF($E957="Patty Cash",VLOOKUP($C957,'Patty Cash'!$B:$J,3,FALSE()),"")))),"")</f>
        <v/>
      </c>
      <c r="G957" s="211"/>
      <c r="H957" s="212" t="str">
        <f>IF($E957="","",IF($E957="Inventory",IFERROR(VLOOKUP($C957,Inventory!$B:$H,7,FALSE()),0),IF($E957="Non Inventory",IFERROR(VLOOKUP($C957,'Non Inventory'!$B:$H,7,FALSE()),0),IF($E957="Services",IFERROR(VLOOKUP($C957,Services!$B:$H,7,FALSE()),0),IF($E957="Patty Cash",IFERROR(VLOOKUP($C957,'Patty Cash'!$B:$H,7,FALSE()),0),0)))))</f>
        <v/>
      </c>
      <c r="I957" s="213"/>
      <c r="J957" s="214"/>
      <c r="K957" s="215"/>
      <c r="L957" s="197"/>
      <c r="M957" s="215"/>
      <c r="N957" s="216">
        <f>IFERROR(IF($E957="Inventory",VLOOKUP($C957,Inventory!$B:$I,8,FALSE()),IF($E957="Non Inventory",VLOOKUP($C957,'Non Inventory'!$B:$I,8,FALSE()),IF($E957="Services",VLOOKUP($C957,Services!$B:$I,8,FALSE()),IF($E957="Patty Cash",VLOOKUP($C957,'Patty Cash'!$B:$J,8,FALSE()),0)))),0)</f>
        <v>0</v>
      </c>
      <c r="O957" s="217" t="str">
        <f t="shared" si="14"/>
        <v/>
      </c>
    </row>
    <row r="958" spans="1:15" ht="23.1" customHeight="1">
      <c r="A958" s="206" t="str">
        <f>IF(AND($B958="",$C958=""),"",MAX($A$3:A957)+1)</f>
        <v/>
      </c>
      <c r="B958" s="207"/>
      <c r="C958" s="208"/>
      <c r="D958" s="209" t="str">
        <f>IFERROR(IF($E958="Inventory",VLOOKUP($C958,Inventory!$B:$I,2,FALSE()),IF($E958="Non Inventory",VLOOKUP($C958,'Non Inventory'!$B:$I,2,FALSE()),IF($E958="Services",VLOOKUP($C958,Services!$B:$I,2,FALSE()),IF($E958="Patty Cash",VLOOKUP($C958,'Patty Cash'!$B:$J,2,FALSE()),"")))),"")</f>
        <v/>
      </c>
      <c r="E958" s="246"/>
      <c r="F958" s="210" t="str">
        <f>IFERROR(IF($E958="Inventory",VLOOKUP($C958,Inventory!$B:$I,3,FALSE()),IF($E958="Non Inventory",VLOOKUP($C958,'Non Inventory'!$B:$I,3,FALSE()),IF($E958="Services",VLOOKUP($C958,Services!$B:$I,3,FALSE()),IF($E958="Patty Cash",VLOOKUP($C958,'Patty Cash'!$B:$J,3,FALSE()),"")))),"")</f>
        <v/>
      </c>
      <c r="G958" s="211"/>
      <c r="H958" s="212" t="str">
        <f>IF($E958="","",IF($E958="Inventory",IFERROR(VLOOKUP($C958,Inventory!$B:$H,7,FALSE()),0),IF($E958="Non Inventory",IFERROR(VLOOKUP($C958,'Non Inventory'!$B:$H,7,FALSE()),0),IF($E958="Services",IFERROR(VLOOKUP($C958,Services!$B:$H,7,FALSE()),0),IF($E958="Patty Cash",IFERROR(VLOOKUP($C958,'Patty Cash'!$B:$H,7,FALSE()),0),0)))))</f>
        <v/>
      </c>
      <c r="I958" s="213"/>
      <c r="J958" s="214"/>
      <c r="K958" s="215"/>
      <c r="L958" s="197"/>
      <c r="M958" s="215"/>
      <c r="N958" s="216">
        <f>IFERROR(IF($E958="Inventory",VLOOKUP($C958,Inventory!$B:$I,8,FALSE()),IF($E958="Non Inventory",VLOOKUP($C958,'Non Inventory'!$B:$I,8,FALSE()),IF($E958="Services",VLOOKUP($C958,Services!$B:$I,8,FALSE()),IF($E958="Patty Cash",VLOOKUP($C958,'Patty Cash'!$B:$J,8,FALSE()),0)))),0)</f>
        <v>0</v>
      </c>
      <c r="O958" s="217" t="str">
        <f t="shared" si="14"/>
        <v/>
      </c>
    </row>
    <row r="959" spans="1:15" ht="23.1" customHeight="1">
      <c r="A959" s="206" t="str">
        <f>IF(AND($B959="",$C959=""),"",MAX($A$3:A958)+1)</f>
        <v/>
      </c>
      <c r="B959" s="207"/>
      <c r="C959" s="208"/>
      <c r="D959" s="209" t="str">
        <f>IFERROR(IF($E959="Inventory",VLOOKUP($C959,Inventory!$B:$I,2,FALSE()),IF($E959="Non Inventory",VLOOKUP($C959,'Non Inventory'!$B:$I,2,FALSE()),IF($E959="Services",VLOOKUP($C959,Services!$B:$I,2,FALSE()),IF($E959="Patty Cash",VLOOKUP($C959,'Patty Cash'!$B:$J,2,FALSE()),"")))),"")</f>
        <v/>
      </c>
      <c r="E959" s="246"/>
      <c r="F959" s="210" t="str">
        <f>IFERROR(IF($E959="Inventory",VLOOKUP($C959,Inventory!$B:$I,3,FALSE()),IF($E959="Non Inventory",VLOOKUP($C959,'Non Inventory'!$B:$I,3,FALSE()),IF($E959="Services",VLOOKUP($C959,Services!$B:$I,3,FALSE()),IF($E959="Patty Cash",VLOOKUP($C959,'Patty Cash'!$B:$J,3,FALSE()),"")))),"")</f>
        <v/>
      </c>
      <c r="G959" s="211"/>
      <c r="H959" s="212" t="str">
        <f>IF($E959="","",IF($E959="Inventory",IFERROR(VLOOKUP($C959,Inventory!$B:$H,7,FALSE()),0),IF($E959="Non Inventory",IFERROR(VLOOKUP($C959,'Non Inventory'!$B:$H,7,FALSE()),0),IF($E959="Services",IFERROR(VLOOKUP($C959,Services!$B:$H,7,FALSE()),0),IF($E959="Patty Cash",IFERROR(VLOOKUP($C959,'Patty Cash'!$B:$H,7,FALSE()),0),0)))))</f>
        <v/>
      </c>
      <c r="I959" s="213"/>
      <c r="J959" s="214"/>
      <c r="K959" s="215"/>
      <c r="L959" s="197"/>
      <c r="M959" s="215"/>
      <c r="N959" s="216">
        <f>IFERROR(IF($E959="Inventory",VLOOKUP($C959,Inventory!$B:$I,8,FALSE()),IF($E959="Non Inventory",VLOOKUP($C959,'Non Inventory'!$B:$I,8,FALSE()),IF($E959="Services",VLOOKUP($C959,Services!$B:$I,8,FALSE()),IF($E959="Patty Cash",VLOOKUP($C959,'Patty Cash'!$B:$J,8,FALSE()),0)))),0)</f>
        <v>0</v>
      </c>
      <c r="O959" s="217" t="str">
        <f t="shared" si="14"/>
        <v/>
      </c>
    </row>
    <row r="960" spans="1:15" ht="23.1" customHeight="1">
      <c r="A960" s="206" t="str">
        <f>IF(AND($B960="",$C960=""),"",MAX($A$3:A959)+1)</f>
        <v/>
      </c>
      <c r="B960" s="207"/>
      <c r="C960" s="208"/>
      <c r="D960" s="209" t="str">
        <f>IFERROR(IF($E960="Inventory",VLOOKUP($C960,Inventory!$B:$I,2,FALSE()),IF($E960="Non Inventory",VLOOKUP($C960,'Non Inventory'!$B:$I,2,FALSE()),IF($E960="Services",VLOOKUP($C960,Services!$B:$I,2,FALSE()),IF($E960="Patty Cash",VLOOKUP($C960,'Patty Cash'!$B:$J,2,FALSE()),"")))),"")</f>
        <v/>
      </c>
      <c r="E960" s="246"/>
      <c r="F960" s="210" t="str">
        <f>IFERROR(IF($E960="Inventory",VLOOKUP($C960,Inventory!$B:$I,3,FALSE()),IF($E960="Non Inventory",VLOOKUP($C960,'Non Inventory'!$B:$I,3,FALSE()),IF($E960="Services",VLOOKUP($C960,Services!$B:$I,3,FALSE()),IF($E960="Patty Cash",VLOOKUP($C960,'Patty Cash'!$B:$J,3,FALSE()),"")))),"")</f>
        <v/>
      </c>
      <c r="G960" s="211"/>
      <c r="H960" s="212" t="str">
        <f>IF($E960="","",IF($E960="Inventory",IFERROR(VLOOKUP($C960,Inventory!$B:$H,7,FALSE()),0),IF($E960="Non Inventory",IFERROR(VLOOKUP($C960,'Non Inventory'!$B:$H,7,FALSE()),0),IF($E960="Services",IFERROR(VLOOKUP($C960,Services!$B:$H,7,FALSE()),0),IF($E960="Patty Cash",IFERROR(VLOOKUP($C960,'Patty Cash'!$B:$H,7,FALSE()),0),0)))))</f>
        <v/>
      </c>
      <c r="I960" s="213"/>
      <c r="J960" s="214"/>
      <c r="K960" s="215"/>
      <c r="L960" s="197"/>
      <c r="M960" s="215"/>
      <c r="N960" s="216">
        <f>IFERROR(IF($E960="Inventory",VLOOKUP($C960,Inventory!$B:$I,8,FALSE()),IF($E960="Non Inventory",VLOOKUP($C960,'Non Inventory'!$B:$I,8,FALSE()),IF($E960="Services",VLOOKUP($C960,Services!$B:$I,8,FALSE()),IF($E960="Patty Cash",VLOOKUP($C960,'Patty Cash'!$B:$J,8,FALSE()),0)))),0)</f>
        <v>0</v>
      </c>
      <c r="O960" s="217" t="str">
        <f t="shared" si="14"/>
        <v/>
      </c>
    </row>
    <row r="961" spans="1:15" ht="23.1" customHeight="1">
      <c r="A961" s="206" t="str">
        <f>IF(AND($B961="",$C961=""),"",MAX($A$3:A960)+1)</f>
        <v/>
      </c>
      <c r="B961" s="207"/>
      <c r="C961" s="208"/>
      <c r="D961" s="209" t="str">
        <f>IFERROR(IF($E961="Inventory",VLOOKUP($C961,Inventory!$B:$I,2,FALSE()),IF($E961="Non Inventory",VLOOKUP($C961,'Non Inventory'!$B:$I,2,FALSE()),IF($E961="Services",VLOOKUP($C961,Services!$B:$I,2,FALSE()),IF($E961="Patty Cash",VLOOKUP($C961,'Patty Cash'!$B:$J,2,FALSE()),"")))),"")</f>
        <v/>
      </c>
      <c r="E961" s="246"/>
      <c r="F961" s="210" t="str">
        <f>IFERROR(IF($E961="Inventory",VLOOKUP($C961,Inventory!$B:$I,3,FALSE()),IF($E961="Non Inventory",VLOOKUP($C961,'Non Inventory'!$B:$I,3,FALSE()),IF($E961="Services",VLOOKUP($C961,Services!$B:$I,3,FALSE()),IF($E961="Patty Cash",VLOOKUP($C961,'Patty Cash'!$B:$J,3,FALSE()),"")))),"")</f>
        <v/>
      </c>
      <c r="G961" s="211"/>
      <c r="H961" s="212" t="str">
        <f>IF($E961="","",IF($E961="Inventory",IFERROR(VLOOKUP($C961,Inventory!$B:$H,7,FALSE()),0),IF($E961="Non Inventory",IFERROR(VLOOKUP($C961,'Non Inventory'!$B:$H,7,FALSE()),0),IF($E961="Services",IFERROR(VLOOKUP($C961,Services!$B:$H,7,FALSE()),0),IF($E961="Patty Cash",IFERROR(VLOOKUP($C961,'Patty Cash'!$B:$H,7,FALSE()),0),0)))))</f>
        <v/>
      </c>
      <c r="I961" s="213"/>
      <c r="J961" s="214"/>
      <c r="K961" s="215"/>
      <c r="L961" s="197"/>
      <c r="M961" s="215"/>
      <c r="N961" s="216">
        <f>IFERROR(IF($E961="Inventory",VLOOKUP($C961,Inventory!$B:$I,8,FALSE()),IF($E961="Non Inventory",VLOOKUP($C961,'Non Inventory'!$B:$I,8,FALSE()),IF($E961="Services",VLOOKUP($C961,Services!$B:$I,8,FALSE()),IF($E961="Patty Cash",VLOOKUP($C961,'Patty Cash'!$B:$J,8,FALSE()),0)))),0)</f>
        <v>0</v>
      </c>
      <c r="O961" s="217" t="str">
        <f t="shared" si="14"/>
        <v/>
      </c>
    </row>
    <row r="962" spans="1:15" ht="23.1" customHeight="1">
      <c r="A962" s="206" t="str">
        <f>IF(AND($B962="",$C962=""),"",MAX($A$3:A961)+1)</f>
        <v/>
      </c>
      <c r="B962" s="207"/>
      <c r="C962" s="208"/>
      <c r="D962" s="209" t="str">
        <f>IFERROR(IF($E962="Inventory",VLOOKUP($C962,Inventory!$B:$I,2,FALSE()),IF($E962="Non Inventory",VLOOKUP($C962,'Non Inventory'!$B:$I,2,FALSE()),IF($E962="Services",VLOOKUP($C962,Services!$B:$I,2,FALSE()),IF($E962="Patty Cash",VLOOKUP($C962,'Patty Cash'!$B:$J,2,FALSE()),"")))),"")</f>
        <v/>
      </c>
      <c r="E962" s="246"/>
      <c r="F962" s="210" t="str">
        <f>IFERROR(IF($E962="Inventory",VLOOKUP($C962,Inventory!$B:$I,3,FALSE()),IF($E962="Non Inventory",VLOOKUP($C962,'Non Inventory'!$B:$I,3,FALSE()),IF($E962="Services",VLOOKUP($C962,Services!$B:$I,3,FALSE()),IF($E962="Patty Cash",VLOOKUP($C962,'Patty Cash'!$B:$J,3,FALSE()),"")))),"")</f>
        <v/>
      </c>
      <c r="G962" s="211"/>
      <c r="H962" s="212" t="str">
        <f>IF($E962="","",IF($E962="Inventory",IFERROR(VLOOKUP($C962,Inventory!$B:$H,7,FALSE()),0),IF($E962="Non Inventory",IFERROR(VLOOKUP($C962,'Non Inventory'!$B:$H,7,FALSE()),0),IF($E962="Services",IFERROR(VLOOKUP($C962,Services!$B:$H,7,FALSE()),0),IF($E962="Patty Cash",IFERROR(VLOOKUP($C962,'Patty Cash'!$B:$H,7,FALSE()),0),0)))))</f>
        <v/>
      </c>
      <c r="I962" s="213"/>
      <c r="J962" s="214"/>
      <c r="K962" s="215"/>
      <c r="L962" s="197"/>
      <c r="M962" s="215"/>
      <c r="N962" s="216">
        <f>IFERROR(IF($E962="Inventory",VLOOKUP($C962,Inventory!$B:$I,8,FALSE()),IF($E962="Non Inventory",VLOOKUP($C962,'Non Inventory'!$B:$I,8,FALSE()),IF($E962="Services",VLOOKUP($C962,Services!$B:$I,8,FALSE()),IF($E962="Patty Cash",VLOOKUP($C962,'Patty Cash'!$B:$J,8,FALSE()),0)))),0)</f>
        <v>0</v>
      </c>
      <c r="O962" s="217" t="str">
        <f t="shared" si="14"/>
        <v/>
      </c>
    </row>
    <row r="963" spans="1:15" ht="23.1" customHeight="1">
      <c r="A963" s="206" t="str">
        <f>IF(AND($B963="",$C963=""),"",MAX($A$3:A962)+1)</f>
        <v/>
      </c>
      <c r="B963" s="207"/>
      <c r="C963" s="208"/>
      <c r="D963" s="209" t="str">
        <f>IFERROR(IF($E963="Inventory",VLOOKUP($C963,Inventory!$B:$I,2,FALSE()),IF($E963="Non Inventory",VLOOKUP($C963,'Non Inventory'!$B:$I,2,FALSE()),IF($E963="Services",VLOOKUP($C963,Services!$B:$I,2,FALSE()),IF($E963="Patty Cash",VLOOKUP($C963,'Patty Cash'!$B:$J,2,FALSE()),"")))),"")</f>
        <v/>
      </c>
      <c r="E963" s="246"/>
      <c r="F963" s="210" t="str">
        <f>IFERROR(IF($E963="Inventory",VLOOKUP($C963,Inventory!$B:$I,3,FALSE()),IF($E963="Non Inventory",VLOOKUP($C963,'Non Inventory'!$B:$I,3,FALSE()),IF($E963="Services",VLOOKUP($C963,Services!$B:$I,3,FALSE()),IF($E963="Patty Cash",VLOOKUP($C963,'Patty Cash'!$B:$J,3,FALSE()),"")))),"")</f>
        <v/>
      </c>
      <c r="G963" s="211"/>
      <c r="H963" s="212" t="str">
        <f>IF($E963="","",IF($E963="Inventory",IFERROR(VLOOKUP($C963,Inventory!$B:$H,7,FALSE()),0),IF($E963="Non Inventory",IFERROR(VLOOKUP($C963,'Non Inventory'!$B:$H,7,FALSE()),0),IF($E963="Services",IFERROR(VLOOKUP($C963,Services!$B:$H,7,FALSE()),0),IF($E963="Patty Cash",IFERROR(VLOOKUP($C963,'Patty Cash'!$B:$H,7,FALSE()),0),0)))))</f>
        <v/>
      </c>
      <c r="I963" s="213"/>
      <c r="J963" s="214"/>
      <c r="K963" s="215"/>
      <c r="L963" s="197"/>
      <c r="M963" s="215"/>
      <c r="N963" s="216">
        <f>IFERROR(IF($E963="Inventory",VLOOKUP($C963,Inventory!$B:$I,8,FALSE()),IF($E963="Non Inventory",VLOOKUP($C963,'Non Inventory'!$B:$I,8,FALSE()),IF($E963="Services",VLOOKUP($C963,Services!$B:$I,8,FALSE()),IF($E963="Patty Cash",VLOOKUP($C963,'Patty Cash'!$B:$J,8,FALSE()),0)))),0)</f>
        <v>0</v>
      </c>
      <c r="O963" s="217" t="str">
        <f t="shared" ref="O963:O998" si="15">IF($G963="","",G963*N963)</f>
        <v/>
      </c>
    </row>
    <row r="964" spans="1:15" ht="23.1" customHeight="1">
      <c r="A964" s="206" t="str">
        <f>IF(AND($B964="",$C964=""),"",MAX($A$3:A963)+1)</f>
        <v/>
      </c>
      <c r="B964" s="207"/>
      <c r="C964" s="208"/>
      <c r="D964" s="209" t="str">
        <f>IFERROR(IF($E964="Inventory",VLOOKUP($C964,Inventory!$B:$I,2,FALSE()),IF($E964="Non Inventory",VLOOKUP($C964,'Non Inventory'!$B:$I,2,FALSE()),IF($E964="Services",VLOOKUP($C964,Services!$B:$I,2,FALSE()),IF($E964="Patty Cash",VLOOKUP($C964,'Patty Cash'!$B:$J,2,FALSE()),"")))),"")</f>
        <v/>
      </c>
      <c r="E964" s="246"/>
      <c r="F964" s="210" t="str">
        <f>IFERROR(IF($E964="Inventory",VLOOKUP($C964,Inventory!$B:$I,3,FALSE()),IF($E964="Non Inventory",VLOOKUP($C964,'Non Inventory'!$B:$I,3,FALSE()),IF($E964="Services",VLOOKUP($C964,Services!$B:$I,3,FALSE()),IF($E964="Patty Cash",VLOOKUP($C964,'Patty Cash'!$B:$J,3,FALSE()),"")))),"")</f>
        <v/>
      </c>
      <c r="G964" s="211"/>
      <c r="H964" s="212" t="str">
        <f>IF($E964="","",IF($E964="Inventory",IFERROR(VLOOKUP($C964,Inventory!$B:$H,7,FALSE()),0),IF($E964="Non Inventory",IFERROR(VLOOKUP($C964,'Non Inventory'!$B:$H,7,FALSE()),0),IF($E964="Services",IFERROR(VLOOKUP($C964,Services!$B:$H,7,FALSE()),0),IF($E964="Patty Cash",IFERROR(VLOOKUP($C964,'Patty Cash'!$B:$H,7,FALSE()),0),0)))))</f>
        <v/>
      </c>
      <c r="I964" s="213"/>
      <c r="J964" s="214"/>
      <c r="K964" s="215"/>
      <c r="L964" s="197"/>
      <c r="M964" s="215"/>
      <c r="N964" s="216">
        <f>IFERROR(IF($E964="Inventory",VLOOKUP($C964,Inventory!$B:$I,8,FALSE()),IF($E964="Non Inventory",VLOOKUP($C964,'Non Inventory'!$B:$I,8,FALSE()),IF($E964="Services",VLOOKUP($C964,Services!$B:$I,8,FALSE()),IF($E964="Patty Cash",VLOOKUP($C964,'Patty Cash'!$B:$J,8,FALSE()),0)))),0)</f>
        <v>0</v>
      </c>
      <c r="O964" s="217" t="str">
        <f t="shared" si="15"/>
        <v/>
      </c>
    </row>
    <row r="965" spans="1:15" ht="23.1" customHeight="1">
      <c r="A965" s="206" t="str">
        <f>IF(AND($B965="",$C965=""),"",MAX($A$3:A964)+1)</f>
        <v/>
      </c>
      <c r="B965" s="207"/>
      <c r="C965" s="208"/>
      <c r="D965" s="209" t="str">
        <f>IFERROR(IF($E965="Inventory",VLOOKUP($C965,Inventory!$B:$I,2,FALSE()),IF($E965="Non Inventory",VLOOKUP($C965,'Non Inventory'!$B:$I,2,FALSE()),IF($E965="Services",VLOOKUP($C965,Services!$B:$I,2,FALSE()),IF($E965="Patty Cash",VLOOKUP($C965,'Patty Cash'!$B:$J,2,FALSE()),"")))),"")</f>
        <v/>
      </c>
      <c r="E965" s="246"/>
      <c r="F965" s="210" t="str">
        <f>IFERROR(IF($E965="Inventory",VLOOKUP($C965,Inventory!$B:$I,3,FALSE()),IF($E965="Non Inventory",VLOOKUP($C965,'Non Inventory'!$B:$I,3,FALSE()),IF($E965="Services",VLOOKUP($C965,Services!$B:$I,3,FALSE()),IF($E965="Patty Cash",VLOOKUP($C965,'Patty Cash'!$B:$J,3,FALSE()),"")))),"")</f>
        <v/>
      </c>
      <c r="G965" s="211"/>
      <c r="H965" s="212" t="str">
        <f>IF($E965="","",IF($E965="Inventory",IFERROR(VLOOKUP($C965,Inventory!$B:$H,7,FALSE()),0),IF($E965="Non Inventory",IFERROR(VLOOKUP($C965,'Non Inventory'!$B:$H,7,FALSE()),0),IF($E965="Services",IFERROR(VLOOKUP($C965,Services!$B:$H,7,FALSE()),0),IF($E965="Patty Cash",IFERROR(VLOOKUP($C965,'Patty Cash'!$B:$H,7,FALSE()),0),0)))))</f>
        <v/>
      </c>
      <c r="I965" s="213"/>
      <c r="J965" s="214"/>
      <c r="K965" s="215"/>
      <c r="L965" s="197"/>
      <c r="M965" s="215"/>
      <c r="N965" s="216">
        <f>IFERROR(IF($E965="Inventory",VLOOKUP($C965,Inventory!$B:$I,8,FALSE()),IF($E965="Non Inventory",VLOOKUP($C965,'Non Inventory'!$B:$I,8,FALSE()),IF($E965="Services",VLOOKUP($C965,Services!$B:$I,8,FALSE()),IF($E965="Patty Cash",VLOOKUP($C965,'Patty Cash'!$B:$J,8,FALSE()),0)))),0)</f>
        <v>0</v>
      </c>
      <c r="O965" s="217" t="str">
        <f t="shared" si="15"/>
        <v/>
      </c>
    </row>
    <row r="966" spans="1:15" ht="23.1" customHeight="1">
      <c r="A966" s="206" t="str">
        <f>IF(AND($B966="",$C966=""),"",MAX($A$3:A965)+1)</f>
        <v/>
      </c>
      <c r="B966" s="207"/>
      <c r="C966" s="208"/>
      <c r="D966" s="209" t="str">
        <f>IFERROR(IF($E966="Inventory",VLOOKUP($C966,Inventory!$B:$I,2,FALSE()),IF($E966="Non Inventory",VLOOKUP($C966,'Non Inventory'!$B:$I,2,FALSE()),IF($E966="Services",VLOOKUP($C966,Services!$B:$I,2,FALSE()),IF($E966="Patty Cash",VLOOKUP($C966,'Patty Cash'!$B:$J,2,FALSE()),"")))),"")</f>
        <v/>
      </c>
      <c r="E966" s="246"/>
      <c r="F966" s="210" t="str">
        <f>IFERROR(IF($E966="Inventory",VLOOKUP($C966,Inventory!$B:$I,3,FALSE()),IF($E966="Non Inventory",VLOOKUP($C966,'Non Inventory'!$B:$I,3,FALSE()),IF($E966="Services",VLOOKUP($C966,Services!$B:$I,3,FALSE()),IF($E966="Patty Cash",VLOOKUP($C966,'Patty Cash'!$B:$J,3,FALSE()),"")))),"")</f>
        <v/>
      </c>
      <c r="G966" s="211"/>
      <c r="H966" s="212" t="str">
        <f>IF($E966="","",IF($E966="Inventory",IFERROR(VLOOKUP($C966,Inventory!$B:$H,7,FALSE()),0),IF($E966="Non Inventory",IFERROR(VLOOKUP($C966,'Non Inventory'!$B:$H,7,FALSE()),0),IF($E966="Services",IFERROR(VLOOKUP($C966,Services!$B:$H,7,FALSE()),0),IF($E966="Patty Cash",IFERROR(VLOOKUP($C966,'Patty Cash'!$B:$H,7,FALSE()),0),0)))))</f>
        <v/>
      </c>
      <c r="I966" s="213"/>
      <c r="J966" s="214"/>
      <c r="K966" s="215"/>
      <c r="L966" s="197"/>
      <c r="M966" s="215"/>
      <c r="N966" s="216">
        <f>IFERROR(IF($E966="Inventory",VLOOKUP($C966,Inventory!$B:$I,8,FALSE()),IF($E966="Non Inventory",VLOOKUP($C966,'Non Inventory'!$B:$I,8,FALSE()),IF($E966="Services",VLOOKUP($C966,Services!$B:$I,8,FALSE()),IF($E966="Patty Cash",VLOOKUP($C966,'Patty Cash'!$B:$J,8,FALSE()),0)))),0)</f>
        <v>0</v>
      </c>
      <c r="O966" s="217" t="str">
        <f t="shared" si="15"/>
        <v/>
      </c>
    </row>
    <row r="967" spans="1:15" ht="23.1" customHeight="1">
      <c r="A967" s="206" t="str">
        <f>IF(AND($B967="",$C967=""),"",MAX($A$3:A966)+1)</f>
        <v/>
      </c>
      <c r="B967" s="207"/>
      <c r="C967" s="208"/>
      <c r="D967" s="209" t="str">
        <f>IFERROR(IF($E967="Inventory",VLOOKUP($C967,Inventory!$B:$I,2,FALSE()),IF($E967="Non Inventory",VLOOKUP($C967,'Non Inventory'!$B:$I,2,FALSE()),IF($E967="Services",VLOOKUP($C967,Services!$B:$I,2,FALSE()),IF($E967="Patty Cash",VLOOKUP($C967,'Patty Cash'!$B:$J,2,FALSE()),"")))),"")</f>
        <v/>
      </c>
      <c r="E967" s="246"/>
      <c r="F967" s="210" t="str">
        <f>IFERROR(IF($E967="Inventory",VLOOKUP($C967,Inventory!$B:$I,3,FALSE()),IF($E967="Non Inventory",VLOOKUP($C967,'Non Inventory'!$B:$I,3,FALSE()),IF($E967="Services",VLOOKUP($C967,Services!$B:$I,3,FALSE()),IF($E967="Patty Cash",VLOOKUP($C967,'Patty Cash'!$B:$J,3,FALSE()),"")))),"")</f>
        <v/>
      </c>
      <c r="G967" s="211"/>
      <c r="H967" s="212" t="str">
        <f>IF($E967="","",IF($E967="Inventory",IFERROR(VLOOKUP($C967,Inventory!$B:$H,7,FALSE()),0),IF($E967="Non Inventory",IFERROR(VLOOKUP($C967,'Non Inventory'!$B:$H,7,FALSE()),0),IF($E967="Services",IFERROR(VLOOKUP($C967,Services!$B:$H,7,FALSE()),0),IF($E967="Patty Cash",IFERROR(VLOOKUP($C967,'Patty Cash'!$B:$H,7,FALSE()),0),0)))))</f>
        <v/>
      </c>
      <c r="I967" s="213"/>
      <c r="J967" s="214"/>
      <c r="K967" s="215"/>
      <c r="L967" s="197"/>
      <c r="M967" s="215"/>
      <c r="N967" s="216">
        <f>IFERROR(IF($E967="Inventory",VLOOKUP($C967,Inventory!$B:$I,8,FALSE()),IF($E967="Non Inventory",VLOOKUP($C967,'Non Inventory'!$B:$I,8,FALSE()),IF($E967="Services",VLOOKUP($C967,Services!$B:$I,8,FALSE()),IF($E967="Patty Cash",VLOOKUP($C967,'Patty Cash'!$B:$J,8,FALSE()),0)))),0)</f>
        <v>0</v>
      </c>
      <c r="O967" s="217" t="str">
        <f t="shared" si="15"/>
        <v/>
      </c>
    </row>
    <row r="968" spans="1:15" ht="23.1" customHeight="1">
      <c r="A968" s="206" t="str">
        <f>IF(AND($B968="",$C968=""),"",MAX($A$3:A967)+1)</f>
        <v/>
      </c>
      <c r="B968" s="207"/>
      <c r="C968" s="208"/>
      <c r="D968" s="209" t="str">
        <f>IFERROR(IF($E968="Inventory",VLOOKUP($C968,Inventory!$B:$I,2,FALSE()),IF($E968="Non Inventory",VLOOKUP($C968,'Non Inventory'!$B:$I,2,FALSE()),IF($E968="Services",VLOOKUP($C968,Services!$B:$I,2,FALSE()),IF($E968="Patty Cash",VLOOKUP($C968,'Patty Cash'!$B:$J,2,FALSE()),"")))),"")</f>
        <v/>
      </c>
      <c r="E968" s="246"/>
      <c r="F968" s="210" t="str">
        <f>IFERROR(IF($E968="Inventory",VLOOKUP($C968,Inventory!$B:$I,3,FALSE()),IF($E968="Non Inventory",VLOOKUP($C968,'Non Inventory'!$B:$I,3,FALSE()),IF($E968="Services",VLOOKUP($C968,Services!$B:$I,3,FALSE()),IF($E968="Patty Cash",VLOOKUP($C968,'Patty Cash'!$B:$J,3,FALSE()),"")))),"")</f>
        <v/>
      </c>
      <c r="G968" s="211"/>
      <c r="H968" s="212" t="str">
        <f>IF($E968="","",IF($E968="Inventory",IFERROR(VLOOKUP($C968,Inventory!$B:$H,7,FALSE()),0),IF($E968="Non Inventory",IFERROR(VLOOKUP($C968,'Non Inventory'!$B:$H,7,FALSE()),0),IF($E968="Services",IFERROR(VLOOKUP($C968,Services!$B:$H,7,FALSE()),0),IF($E968="Patty Cash",IFERROR(VLOOKUP($C968,'Patty Cash'!$B:$H,7,FALSE()),0),0)))))</f>
        <v/>
      </c>
      <c r="I968" s="213"/>
      <c r="J968" s="214"/>
      <c r="K968" s="215"/>
      <c r="L968" s="197"/>
      <c r="M968" s="215"/>
      <c r="N968" s="216">
        <f>IFERROR(IF($E968="Inventory",VLOOKUP($C968,Inventory!$B:$I,8,FALSE()),IF($E968="Non Inventory",VLOOKUP($C968,'Non Inventory'!$B:$I,8,FALSE()),IF($E968="Services",VLOOKUP($C968,Services!$B:$I,8,FALSE()),IF($E968="Patty Cash",VLOOKUP($C968,'Patty Cash'!$B:$J,8,FALSE()),0)))),0)</f>
        <v>0</v>
      </c>
      <c r="O968" s="217" t="str">
        <f t="shared" si="15"/>
        <v/>
      </c>
    </row>
    <row r="969" spans="1:15" ht="23.1" customHeight="1">
      <c r="A969" s="206" t="str">
        <f>IF(AND($B969="",$C969=""),"",MAX($A$3:A968)+1)</f>
        <v/>
      </c>
      <c r="B969" s="207"/>
      <c r="C969" s="208"/>
      <c r="D969" s="209" t="str">
        <f>IFERROR(IF($E969="Inventory",VLOOKUP($C969,Inventory!$B:$I,2,FALSE()),IF($E969="Non Inventory",VLOOKUP($C969,'Non Inventory'!$B:$I,2,FALSE()),IF($E969="Services",VLOOKUP($C969,Services!$B:$I,2,FALSE()),IF($E969="Patty Cash",VLOOKUP($C969,'Patty Cash'!$B:$J,2,FALSE()),"")))),"")</f>
        <v/>
      </c>
      <c r="E969" s="246"/>
      <c r="F969" s="210" t="str">
        <f>IFERROR(IF($E969="Inventory",VLOOKUP($C969,Inventory!$B:$I,3,FALSE()),IF($E969="Non Inventory",VLOOKUP($C969,'Non Inventory'!$B:$I,3,FALSE()),IF($E969="Services",VLOOKUP($C969,Services!$B:$I,3,FALSE()),IF($E969="Patty Cash",VLOOKUP($C969,'Patty Cash'!$B:$J,3,FALSE()),"")))),"")</f>
        <v/>
      </c>
      <c r="G969" s="211"/>
      <c r="H969" s="212" t="str">
        <f>IF($E969="","",IF($E969="Inventory",IFERROR(VLOOKUP($C969,Inventory!$B:$H,7,FALSE()),0),IF($E969="Non Inventory",IFERROR(VLOOKUP($C969,'Non Inventory'!$B:$H,7,FALSE()),0),IF($E969="Services",IFERROR(VLOOKUP($C969,Services!$B:$H,7,FALSE()),0),IF($E969="Patty Cash",IFERROR(VLOOKUP($C969,'Patty Cash'!$B:$H,7,FALSE()),0),0)))))</f>
        <v/>
      </c>
      <c r="I969" s="213"/>
      <c r="J969" s="214"/>
      <c r="K969" s="215"/>
      <c r="L969" s="197"/>
      <c r="M969" s="215"/>
      <c r="N969" s="216">
        <f>IFERROR(IF($E969="Inventory",VLOOKUP($C969,Inventory!$B:$I,8,FALSE()),IF($E969="Non Inventory",VLOOKUP($C969,'Non Inventory'!$B:$I,8,FALSE()),IF($E969="Services",VLOOKUP($C969,Services!$B:$I,8,FALSE()),IF($E969="Patty Cash",VLOOKUP($C969,'Patty Cash'!$B:$J,8,FALSE()),0)))),0)</f>
        <v>0</v>
      </c>
      <c r="O969" s="217" t="str">
        <f t="shared" si="15"/>
        <v/>
      </c>
    </row>
    <row r="970" spans="1:15" ht="23.1" customHeight="1">
      <c r="A970" s="206" t="str">
        <f>IF(AND($B970="",$C970=""),"",MAX($A$3:A969)+1)</f>
        <v/>
      </c>
      <c r="B970" s="207"/>
      <c r="C970" s="208"/>
      <c r="D970" s="209" t="str">
        <f>IFERROR(IF($E970="Inventory",VLOOKUP($C970,Inventory!$B:$I,2,FALSE()),IF($E970="Non Inventory",VLOOKUP($C970,'Non Inventory'!$B:$I,2,FALSE()),IF($E970="Services",VLOOKUP($C970,Services!$B:$I,2,FALSE()),IF($E970="Patty Cash",VLOOKUP($C970,'Patty Cash'!$B:$J,2,FALSE()),"")))),"")</f>
        <v/>
      </c>
      <c r="E970" s="246"/>
      <c r="F970" s="210" t="str">
        <f>IFERROR(IF($E970="Inventory",VLOOKUP($C970,Inventory!$B:$I,3,FALSE()),IF($E970="Non Inventory",VLOOKUP($C970,'Non Inventory'!$B:$I,3,FALSE()),IF($E970="Services",VLOOKUP($C970,Services!$B:$I,3,FALSE()),IF($E970="Patty Cash",VLOOKUP($C970,'Patty Cash'!$B:$J,3,FALSE()),"")))),"")</f>
        <v/>
      </c>
      <c r="G970" s="211"/>
      <c r="H970" s="212" t="str">
        <f>IF($E970="","",IF($E970="Inventory",IFERROR(VLOOKUP($C970,Inventory!$B:$H,7,FALSE()),0),IF($E970="Non Inventory",IFERROR(VLOOKUP($C970,'Non Inventory'!$B:$H,7,FALSE()),0),IF($E970="Services",IFERROR(VLOOKUP($C970,Services!$B:$H,7,FALSE()),0),IF($E970="Patty Cash",IFERROR(VLOOKUP($C970,'Patty Cash'!$B:$H,7,FALSE()),0),0)))))</f>
        <v/>
      </c>
      <c r="I970" s="213"/>
      <c r="J970" s="214"/>
      <c r="K970" s="215"/>
      <c r="L970" s="197"/>
      <c r="M970" s="215"/>
      <c r="N970" s="216">
        <f>IFERROR(IF($E970="Inventory",VLOOKUP($C970,Inventory!$B:$I,8,FALSE()),IF($E970="Non Inventory",VLOOKUP($C970,'Non Inventory'!$B:$I,8,FALSE()),IF($E970="Services",VLOOKUP($C970,Services!$B:$I,8,FALSE()),IF($E970="Patty Cash",VLOOKUP($C970,'Patty Cash'!$B:$J,8,FALSE()),0)))),0)</f>
        <v>0</v>
      </c>
      <c r="O970" s="217" t="str">
        <f t="shared" si="15"/>
        <v/>
      </c>
    </row>
    <row r="971" spans="1:15" ht="23.1" customHeight="1">
      <c r="A971" s="206" t="str">
        <f>IF(AND($B971="",$C971=""),"",MAX($A$3:A970)+1)</f>
        <v/>
      </c>
      <c r="B971" s="207"/>
      <c r="C971" s="208"/>
      <c r="D971" s="209" t="str">
        <f>IFERROR(IF($E971="Inventory",VLOOKUP($C971,Inventory!$B:$I,2,FALSE()),IF($E971="Non Inventory",VLOOKUP($C971,'Non Inventory'!$B:$I,2,FALSE()),IF($E971="Services",VLOOKUP($C971,Services!$B:$I,2,FALSE()),IF($E971="Patty Cash",VLOOKUP($C971,'Patty Cash'!$B:$J,2,FALSE()),"")))),"")</f>
        <v/>
      </c>
      <c r="E971" s="246"/>
      <c r="F971" s="210" t="str">
        <f>IFERROR(IF($E971="Inventory",VLOOKUP($C971,Inventory!$B:$I,3,FALSE()),IF($E971="Non Inventory",VLOOKUP($C971,'Non Inventory'!$B:$I,3,FALSE()),IF($E971="Services",VLOOKUP($C971,Services!$B:$I,3,FALSE()),IF($E971="Patty Cash",VLOOKUP($C971,'Patty Cash'!$B:$J,3,FALSE()),"")))),"")</f>
        <v/>
      </c>
      <c r="G971" s="211"/>
      <c r="H971" s="212" t="str">
        <f>IF($E971="","",IF($E971="Inventory",IFERROR(VLOOKUP($C971,Inventory!$B:$H,7,FALSE()),0),IF($E971="Non Inventory",IFERROR(VLOOKUP($C971,'Non Inventory'!$B:$H,7,FALSE()),0),IF($E971="Services",IFERROR(VLOOKUP($C971,Services!$B:$H,7,FALSE()),0),IF($E971="Patty Cash",IFERROR(VLOOKUP($C971,'Patty Cash'!$B:$H,7,FALSE()),0),0)))))</f>
        <v/>
      </c>
      <c r="I971" s="213"/>
      <c r="J971" s="214"/>
      <c r="K971" s="215"/>
      <c r="L971" s="197"/>
      <c r="M971" s="215"/>
      <c r="N971" s="216">
        <f>IFERROR(IF($E971="Inventory",VLOOKUP($C971,Inventory!$B:$I,8,FALSE()),IF($E971="Non Inventory",VLOOKUP($C971,'Non Inventory'!$B:$I,8,FALSE()),IF($E971="Services",VLOOKUP($C971,Services!$B:$I,8,FALSE()),IF($E971="Patty Cash",VLOOKUP($C971,'Patty Cash'!$B:$J,8,FALSE()),0)))),0)</f>
        <v>0</v>
      </c>
      <c r="O971" s="217" t="str">
        <f t="shared" si="15"/>
        <v/>
      </c>
    </row>
    <row r="972" spans="1:15" ht="23.1" customHeight="1">
      <c r="A972" s="206" t="str">
        <f>IF(AND($B972="",$C972=""),"",MAX($A$3:A971)+1)</f>
        <v/>
      </c>
      <c r="B972" s="207"/>
      <c r="C972" s="208"/>
      <c r="D972" s="209" t="str">
        <f>IFERROR(IF($E972="Inventory",VLOOKUP($C972,Inventory!$B:$I,2,FALSE()),IF($E972="Non Inventory",VLOOKUP($C972,'Non Inventory'!$B:$I,2,FALSE()),IF($E972="Services",VLOOKUP($C972,Services!$B:$I,2,FALSE()),IF($E972="Patty Cash",VLOOKUP($C972,'Patty Cash'!$B:$J,2,FALSE()),"")))),"")</f>
        <v/>
      </c>
      <c r="E972" s="246"/>
      <c r="F972" s="210" t="str">
        <f>IFERROR(IF($E972="Inventory",VLOOKUP($C972,Inventory!$B:$I,3,FALSE()),IF($E972="Non Inventory",VLOOKUP($C972,'Non Inventory'!$B:$I,3,FALSE()),IF($E972="Services",VLOOKUP($C972,Services!$B:$I,3,FALSE()),IF($E972="Patty Cash",VLOOKUP($C972,'Patty Cash'!$B:$J,3,FALSE()),"")))),"")</f>
        <v/>
      </c>
      <c r="G972" s="211"/>
      <c r="H972" s="212" t="str">
        <f>IF($E972="","",IF($E972="Inventory",IFERROR(VLOOKUP($C972,Inventory!$B:$H,7,FALSE()),0),IF($E972="Non Inventory",IFERROR(VLOOKUP($C972,'Non Inventory'!$B:$H,7,FALSE()),0),IF($E972="Services",IFERROR(VLOOKUP($C972,Services!$B:$H,7,FALSE()),0),IF($E972="Patty Cash",IFERROR(VLOOKUP($C972,'Patty Cash'!$B:$H,7,FALSE()),0),0)))))</f>
        <v/>
      </c>
      <c r="I972" s="213"/>
      <c r="J972" s="214"/>
      <c r="K972" s="215"/>
      <c r="L972" s="197"/>
      <c r="M972" s="215"/>
      <c r="N972" s="216">
        <f>IFERROR(IF($E972="Inventory",VLOOKUP($C972,Inventory!$B:$I,8,FALSE()),IF($E972="Non Inventory",VLOOKUP($C972,'Non Inventory'!$B:$I,8,FALSE()),IF($E972="Services",VLOOKUP($C972,Services!$B:$I,8,FALSE()),IF($E972="Patty Cash",VLOOKUP($C972,'Patty Cash'!$B:$J,8,FALSE()),0)))),0)</f>
        <v>0</v>
      </c>
      <c r="O972" s="217" t="str">
        <f t="shared" si="15"/>
        <v/>
      </c>
    </row>
    <row r="973" spans="1:15" ht="23.1" customHeight="1">
      <c r="A973" s="206" t="str">
        <f>IF(AND($B973="",$C973=""),"",MAX($A$3:A972)+1)</f>
        <v/>
      </c>
      <c r="B973" s="207"/>
      <c r="C973" s="208"/>
      <c r="D973" s="209" t="str">
        <f>IFERROR(IF($E973="Inventory",VLOOKUP($C973,Inventory!$B:$I,2,FALSE()),IF($E973="Non Inventory",VLOOKUP($C973,'Non Inventory'!$B:$I,2,FALSE()),IF($E973="Services",VLOOKUP($C973,Services!$B:$I,2,FALSE()),IF($E973="Patty Cash",VLOOKUP($C973,'Patty Cash'!$B:$J,2,FALSE()),"")))),"")</f>
        <v/>
      </c>
      <c r="E973" s="246"/>
      <c r="F973" s="210" t="str">
        <f>IFERROR(IF($E973="Inventory",VLOOKUP($C973,Inventory!$B:$I,3,FALSE()),IF($E973="Non Inventory",VLOOKUP($C973,'Non Inventory'!$B:$I,3,FALSE()),IF($E973="Services",VLOOKUP($C973,Services!$B:$I,3,FALSE()),IF($E973="Patty Cash",VLOOKUP($C973,'Patty Cash'!$B:$J,3,FALSE()),"")))),"")</f>
        <v/>
      </c>
      <c r="G973" s="211"/>
      <c r="H973" s="212" t="str">
        <f>IF($E973="","",IF($E973="Inventory",IFERROR(VLOOKUP($C973,Inventory!$B:$H,7,FALSE()),0),IF($E973="Non Inventory",IFERROR(VLOOKUP($C973,'Non Inventory'!$B:$H,7,FALSE()),0),IF($E973="Services",IFERROR(VLOOKUP($C973,Services!$B:$H,7,FALSE()),0),IF($E973="Patty Cash",IFERROR(VLOOKUP($C973,'Patty Cash'!$B:$H,7,FALSE()),0),0)))))</f>
        <v/>
      </c>
      <c r="I973" s="213"/>
      <c r="J973" s="214"/>
      <c r="K973" s="215"/>
      <c r="L973" s="197"/>
      <c r="M973" s="215"/>
      <c r="N973" s="216">
        <f>IFERROR(IF($E973="Inventory",VLOOKUP($C973,Inventory!$B:$I,8,FALSE()),IF($E973="Non Inventory",VLOOKUP($C973,'Non Inventory'!$B:$I,8,FALSE()),IF($E973="Services",VLOOKUP($C973,Services!$B:$I,8,FALSE()),IF($E973="Patty Cash",VLOOKUP($C973,'Patty Cash'!$B:$J,8,FALSE()),0)))),0)</f>
        <v>0</v>
      </c>
      <c r="O973" s="217" t="str">
        <f t="shared" si="15"/>
        <v/>
      </c>
    </row>
    <row r="974" spans="1:15" ht="23.1" customHeight="1">
      <c r="A974" s="206" t="str">
        <f>IF(AND($B974="",$C974=""),"",MAX($A$3:A973)+1)</f>
        <v/>
      </c>
      <c r="B974" s="207"/>
      <c r="C974" s="208"/>
      <c r="D974" s="209" t="str">
        <f>IFERROR(IF($E974="Inventory",VLOOKUP($C974,Inventory!$B:$I,2,FALSE()),IF($E974="Non Inventory",VLOOKUP($C974,'Non Inventory'!$B:$I,2,FALSE()),IF($E974="Services",VLOOKUP($C974,Services!$B:$I,2,FALSE()),IF($E974="Patty Cash",VLOOKUP($C974,'Patty Cash'!$B:$J,2,FALSE()),"")))),"")</f>
        <v/>
      </c>
      <c r="E974" s="246"/>
      <c r="F974" s="210" t="str">
        <f>IFERROR(IF($E974="Inventory",VLOOKUP($C974,Inventory!$B:$I,3,FALSE()),IF($E974="Non Inventory",VLOOKUP($C974,'Non Inventory'!$B:$I,3,FALSE()),IF($E974="Services",VLOOKUP($C974,Services!$B:$I,3,FALSE()),IF($E974="Patty Cash",VLOOKUP($C974,'Patty Cash'!$B:$J,3,FALSE()),"")))),"")</f>
        <v/>
      </c>
      <c r="G974" s="211"/>
      <c r="H974" s="212" t="str">
        <f>IF($E974="","",IF($E974="Inventory",IFERROR(VLOOKUP($C974,Inventory!$B:$H,7,FALSE()),0),IF($E974="Non Inventory",IFERROR(VLOOKUP($C974,'Non Inventory'!$B:$H,7,FALSE()),0),IF($E974="Services",IFERROR(VLOOKUP($C974,Services!$B:$H,7,FALSE()),0),IF($E974="Patty Cash",IFERROR(VLOOKUP($C974,'Patty Cash'!$B:$H,7,FALSE()),0),0)))))</f>
        <v/>
      </c>
      <c r="I974" s="213"/>
      <c r="J974" s="214"/>
      <c r="K974" s="215"/>
      <c r="L974" s="197"/>
      <c r="M974" s="215"/>
      <c r="N974" s="216">
        <f>IFERROR(IF($E974="Inventory",VLOOKUP($C974,Inventory!$B:$I,8,FALSE()),IF($E974="Non Inventory",VLOOKUP($C974,'Non Inventory'!$B:$I,8,FALSE()),IF($E974="Services",VLOOKUP($C974,Services!$B:$I,8,FALSE()),IF($E974="Patty Cash",VLOOKUP($C974,'Patty Cash'!$B:$J,8,FALSE()),0)))),0)</f>
        <v>0</v>
      </c>
      <c r="O974" s="217" t="str">
        <f t="shared" si="15"/>
        <v/>
      </c>
    </row>
    <row r="975" spans="1:15" ht="23.1" customHeight="1">
      <c r="A975" s="206" t="str">
        <f>IF(AND($B975="",$C975=""),"",MAX($A$3:A974)+1)</f>
        <v/>
      </c>
      <c r="B975" s="207"/>
      <c r="C975" s="208"/>
      <c r="D975" s="209" t="str">
        <f>IFERROR(IF($E975="Inventory",VLOOKUP($C975,Inventory!$B:$I,2,FALSE()),IF($E975="Non Inventory",VLOOKUP($C975,'Non Inventory'!$B:$I,2,FALSE()),IF($E975="Services",VLOOKUP($C975,Services!$B:$I,2,FALSE()),IF($E975="Patty Cash",VLOOKUP($C975,'Patty Cash'!$B:$J,2,FALSE()),"")))),"")</f>
        <v/>
      </c>
      <c r="E975" s="246"/>
      <c r="F975" s="210" t="str">
        <f>IFERROR(IF($E975="Inventory",VLOOKUP($C975,Inventory!$B:$I,3,FALSE()),IF($E975="Non Inventory",VLOOKUP($C975,'Non Inventory'!$B:$I,3,FALSE()),IF($E975="Services",VLOOKUP($C975,Services!$B:$I,3,FALSE()),IF($E975="Patty Cash",VLOOKUP($C975,'Patty Cash'!$B:$J,3,FALSE()),"")))),"")</f>
        <v/>
      </c>
      <c r="G975" s="211"/>
      <c r="H975" s="212" t="str">
        <f>IF($E975="","",IF($E975="Inventory",IFERROR(VLOOKUP($C975,Inventory!$B:$H,7,FALSE()),0),IF($E975="Non Inventory",IFERROR(VLOOKUP($C975,'Non Inventory'!$B:$H,7,FALSE()),0),IF($E975="Services",IFERROR(VLOOKUP($C975,Services!$B:$H,7,FALSE()),0),IF($E975="Patty Cash",IFERROR(VLOOKUP($C975,'Patty Cash'!$B:$H,7,FALSE()),0),0)))))</f>
        <v/>
      </c>
      <c r="I975" s="213"/>
      <c r="J975" s="214"/>
      <c r="K975" s="215"/>
      <c r="L975" s="197"/>
      <c r="M975" s="215"/>
      <c r="N975" s="216">
        <f>IFERROR(IF($E975="Inventory",VLOOKUP($C975,Inventory!$B:$I,8,FALSE()),IF($E975="Non Inventory",VLOOKUP($C975,'Non Inventory'!$B:$I,8,FALSE()),IF($E975="Services",VLOOKUP($C975,Services!$B:$I,8,FALSE()),IF($E975="Patty Cash",VLOOKUP($C975,'Patty Cash'!$B:$J,8,FALSE()),0)))),0)</f>
        <v>0</v>
      </c>
      <c r="O975" s="217" t="str">
        <f t="shared" si="15"/>
        <v/>
      </c>
    </row>
    <row r="976" spans="1:15" ht="23.1" customHeight="1">
      <c r="A976" s="206" t="str">
        <f>IF(AND($B976="",$C976=""),"",MAX($A$3:A975)+1)</f>
        <v/>
      </c>
      <c r="B976" s="207"/>
      <c r="C976" s="208"/>
      <c r="D976" s="209" t="str">
        <f>IFERROR(IF($E976="Inventory",VLOOKUP($C976,Inventory!$B:$I,2,FALSE()),IF($E976="Non Inventory",VLOOKUP($C976,'Non Inventory'!$B:$I,2,FALSE()),IF($E976="Services",VLOOKUP($C976,Services!$B:$I,2,FALSE()),IF($E976="Patty Cash",VLOOKUP($C976,'Patty Cash'!$B:$J,2,FALSE()),"")))),"")</f>
        <v/>
      </c>
      <c r="E976" s="246"/>
      <c r="F976" s="210" t="str">
        <f>IFERROR(IF($E976="Inventory",VLOOKUP($C976,Inventory!$B:$I,3,FALSE()),IF($E976="Non Inventory",VLOOKUP($C976,'Non Inventory'!$B:$I,3,FALSE()),IF($E976="Services",VLOOKUP($C976,Services!$B:$I,3,FALSE()),IF($E976="Patty Cash",VLOOKUP($C976,'Patty Cash'!$B:$J,3,FALSE()),"")))),"")</f>
        <v/>
      </c>
      <c r="G976" s="211"/>
      <c r="H976" s="212" t="str">
        <f>IF($E976="","",IF($E976="Inventory",IFERROR(VLOOKUP($C976,Inventory!$B:$H,7,FALSE()),0),IF($E976="Non Inventory",IFERROR(VLOOKUP($C976,'Non Inventory'!$B:$H,7,FALSE()),0),IF($E976="Services",IFERROR(VLOOKUP($C976,Services!$B:$H,7,FALSE()),0),IF($E976="Patty Cash",IFERROR(VLOOKUP($C976,'Patty Cash'!$B:$H,7,FALSE()),0),0)))))</f>
        <v/>
      </c>
      <c r="I976" s="213"/>
      <c r="J976" s="214"/>
      <c r="K976" s="215"/>
      <c r="L976" s="197"/>
      <c r="M976" s="215"/>
      <c r="N976" s="216">
        <f>IFERROR(IF($E976="Inventory",VLOOKUP($C976,Inventory!$B:$I,8,FALSE()),IF($E976="Non Inventory",VLOOKUP($C976,'Non Inventory'!$B:$I,8,FALSE()),IF($E976="Services",VLOOKUP($C976,Services!$B:$I,8,FALSE()),IF($E976="Patty Cash",VLOOKUP($C976,'Patty Cash'!$B:$J,8,FALSE()),0)))),0)</f>
        <v>0</v>
      </c>
      <c r="O976" s="217" t="str">
        <f t="shared" si="15"/>
        <v/>
      </c>
    </row>
    <row r="977" spans="1:15" ht="23.1" customHeight="1">
      <c r="A977" s="206" t="str">
        <f>IF(AND($B977="",$C977=""),"",MAX($A$3:A976)+1)</f>
        <v/>
      </c>
      <c r="B977" s="207"/>
      <c r="C977" s="208"/>
      <c r="D977" s="209" t="str">
        <f>IFERROR(IF($E977="Inventory",VLOOKUP($C977,Inventory!$B:$I,2,FALSE()),IF($E977="Non Inventory",VLOOKUP($C977,'Non Inventory'!$B:$I,2,FALSE()),IF($E977="Services",VLOOKUP($C977,Services!$B:$I,2,FALSE()),IF($E977="Patty Cash",VLOOKUP($C977,'Patty Cash'!$B:$J,2,FALSE()),"")))),"")</f>
        <v/>
      </c>
      <c r="E977" s="246"/>
      <c r="F977" s="210" t="str">
        <f>IFERROR(IF($E977="Inventory",VLOOKUP($C977,Inventory!$B:$I,3,FALSE()),IF($E977="Non Inventory",VLOOKUP($C977,'Non Inventory'!$B:$I,3,FALSE()),IF($E977="Services",VLOOKUP($C977,Services!$B:$I,3,FALSE()),IF($E977="Patty Cash",VLOOKUP($C977,'Patty Cash'!$B:$J,3,FALSE()),"")))),"")</f>
        <v/>
      </c>
      <c r="G977" s="211"/>
      <c r="H977" s="212" t="str">
        <f>IF($E977="","",IF($E977="Inventory",IFERROR(VLOOKUP($C977,Inventory!$B:$H,7,FALSE()),0),IF($E977="Non Inventory",IFERROR(VLOOKUP($C977,'Non Inventory'!$B:$H,7,FALSE()),0),IF($E977="Services",IFERROR(VLOOKUP($C977,Services!$B:$H,7,FALSE()),0),IF($E977="Patty Cash",IFERROR(VLOOKUP($C977,'Patty Cash'!$B:$H,7,FALSE()),0),0)))))</f>
        <v/>
      </c>
      <c r="I977" s="213"/>
      <c r="J977" s="214"/>
      <c r="K977" s="215"/>
      <c r="L977" s="197"/>
      <c r="M977" s="215"/>
      <c r="N977" s="216">
        <f>IFERROR(IF($E977="Inventory",VLOOKUP($C977,Inventory!$B:$I,8,FALSE()),IF($E977="Non Inventory",VLOOKUP($C977,'Non Inventory'!$B:$I,8,FALSE()),IF($E977="Services",VLOOKUP($C977,Services!$B:$I,8,FALSE()),IF($E977="Patty Cash",VLOOKUP($C977,'Patty Cash'!$B:$J,8,FALSE()),0)))),0)</f>
        <v>0</v>
      </c>
      <c r="O977" s="217" t="str">
        <f t="shared" si="15"/>
        <v/>
      </c>
    </row>
    <row r="978" spans="1:15" ht="23.1" customHeight="1">
      <c r="A978" s="206" t="str">
        <f>IF(AND($B978="",$C978=""),"",MAX($A$3:A977)+1)</f>
        <v/>
      </c>
      <c r="B978" s="207"/>
      <c r="C978" s="208"/>
      <c r="D978" s="209" t="str">
        <f>IFERROR(IF($E978="Inventory",VLOOKUP($C978,Inventory!$B:$I,2,FALSE()),IF($E978="Non Inventory",VLOOKUP($C978,'Non Inventory'!$B:$I,2,FALSE()),IF($E978="Services",VLOOKUP($C978,Services!$B:$I,2,FALSE()),IF($E978="Patty Cash",VLOOKUP($C978,'Patty Cash'!$B:$J,2,FALSE()),"")))),"")</f>
        <v/>
      </c>
      <c r="E978" s="246"/>
      <c r="F978" s="210" t="str">
        <f>IFERROR(IF($E978="Inventory",VLOOKUP($C978,Inventory!$B:$I,3,FALSE()),IF($E978="Non Inventory",VLOOKUP($C978,'Non Inventory'!$B:$I,3,FALSE()),IF($E978="Services",VLOOKUP($C978,Services!$B:$I,3,FALSE()),IF($E978="Patty Cash",VLOOKUP($C978,'Patty Cash'!$B:$J,3,FALSE()),"")))),"")</f>
        <v/>
      </c>
      <c r="G978" s="211"/>
      <c r="H978" s="212" t="str">
        <f>IF($E978="","",IF($E978="Inventory",IFERROR(VLOOKUP($C978,Inventory!$B:$H,7,FALSE()),0),IF($E978="Non Inventory",IFERROR(VLOOKUP($C978,'Non Inventory'!$B:$H,7,FALSE()),0),IF($E978="Services",IFERROR(VLOOKUP($C978,Services!$B:$H,7,FALSE()),0),IF($E978="Patty Cash",IFERROR(VLOOKUP($C978,'Patty Cash'!$B:$H,7,FALSE()),0),0)))))</f>
        <v/>
      </c>
      <c r="I978" s="213"/>
      <c r="J978" s="214"/>
      <c r="K978" s="215"/>
      <c r="L978" s="197"/>
      <c r="M978" s="215"/>
      <c r="N978" s="216">
        <f>IFERROR(IF($E978="Inventory",VLOOKUP($C978,Inventory!$B:$I,8,FALSE()),IF($E978="Non Inventory",VLOOKUP($C978,'Non Inventory'!$B:$I,8,FALSE()),IF($E978="Services",VLOOKUP($C978,Services!$B:$I,8,FALSE()),IF($E978="Patty Cash",VLOOKUP($C978,'Patty Cash'!$B:$J,8,FALSE()),0)))),0)</f>
        <v>0</v>
      </c>
      <c r="O978" s="217" t="str">
        <f t="shared" si="15"/>
        <v/>
      </c>
    </row>
    <row r="979" spans="1:15" ht="23.1" customHeight="1">
      <c r="A979" s="206" t="str">
        <f>IF(AND($B979="",$C979=""),"",MAX($A$3:A978)+1)</f>
        <v/>
      </c>
      <c r="B979" s="207"/>
      <c r="C979" s="208"/>
      <c r="D979" s="209" t="str">
        <f>IFERROR(IF($E979="Inventory",VLOOKUP($C979,Inventory!$B:$I,2,FALSE()),IF($E979="Non Inventory",VLOOKUP($C979,'Non Inventory'!$B:$I,2,FALSE()),IF($E979="Services",VLOOKUP($C979,Services!$B:$I,2,FALSE()),IF($E979="Patty Cash",VLOOKUP($C979,'Patty Cash'!$B:$J,2,FALSE()),"")))),"")</f>
        <v/>
      </c>
      <c r="E979" s="246"/>
      <c r="F979" s="210" t="str">
        <f>IFERROR(IF($E979="Inventory",VLOOKUP($C979,Inventory!$B:$I,3,FALSE()),IF($E979="Non Inventory",VLOOKUP($C979,'Non Inventory'!$B:$I,3,FALSE()),IF($E979="Services",VLOOKUP($C979,Services!$B:$I,3,FALSE()),IF($E979="Patty Cash",VLOOKUP($C979,'Patty Cash'!$B:$J,3,FALSE()),"")))),"")</f>
        <v/>
      </c>
      <c r="G979" s="211"/>
      <c r="H979" s="212" t="str">
        <f>IF($E979="","",IF($E979="Inventory",IFERROR(VLOOKUP($C979,Inventory!$B:$H,7,FALSE()),0),IF($E979="Non Inventory",IFERROR(VLOOKUP($C979,'Non Inventory'!$B:$H,7,FALSE()),0),IF($E979="Services",IFERROR(VLOOKUP($C979,Services!$B:$H,7,FALSE()),0),IF($E979="Patty Cash",IFERROR(VLOOKUP($C979,'Patty Cash'!$B:$H,7,FALSE()),0),0)))))</f>
        <v/>
      </c>
      <c r="I979" s="213"/>
      <c r="J979" s="214"/>
      <c r="K979" s="215"/>
      <c r="L979" s="197"/>
      <c r="M979" s="215"/>
      <c r="N979" s="216">
        <f>IFERROR(IF($E979="Inventory",VLOOKUP($C979,Inventory!$B:$I,8,FALSE()),IF($E979="Non Inventory",VLOOKUP($C979,'Non Inventory'!$B:$I,8,FALSE()),IF($E979="Services",VLOOKUP($C979,Services!$B:$I,8,FALSE()),IF($E979="Patty Cash",VLOOKUP($C979,'Patty Cash'!$B:$J,8,FALSE()),0)))),0)</f>
        <v>0</v>
      </c>
      <c r="O979" s="217" t="str">
        <f t="shared" si="15"/>
        <v/>
      </c>
    </row>
    <row r="980" spans="1:15" ht="23.1" customHeight="1">
      <c r="A980" s="206" t="str">
        <f>IF(AND($B980="",$C980=""),"",MAX($A$3:A979)+1)</f>
        <v/>
      </c>
      <c r="B980" s="207"/>
      <c r="C980" s="208"/>
      <c r="D980" s="209" t="str">
        <f>IFERROR(IF($E980="Inventory",VLOOKUP($C980,Inventory!$B:$I,2,FALSE()),IF($E980="Non Inventory",VLOOKUP($C980,'Non Inventory'!$B:$I,2,FALSE()),IF($E980="Services",VLOOKUP($C980,Services!$B:$I,2,FALSE()),IF($E980="Patty Cash",VLOOKUP($C980,'Patty Cash'!$B:$J,2,FALSE()),"")))),"")</f>
        <v/>
      </c>
      <c r="E980" s="246"/>
      <c r="F980" s="210" t="str">
        <f>IFERROR(IF($E980="Inventory",VLOOKUP($C980,Inventory!$B:$I,3,FALSE()),IF($E980="Non Inventory",VLOOKUP($C980,'Non Inventory'!$B:$I,3,FALSE()),IF($E980="Services",VLOOKUP($C980,Services!$B:$I,3,FALSE()),IF($E980="Patty Cash",VLOOKUP($C980,'Patty Cash'!$B:$J,3,FALSE()),"")))),"")</f>
        <v/>
      </c>
      <c r="G980" s="211"/>
      <c r="H980" s="212" t="str">
        <f>IF($E980="","",IF($E980="Inventory",IFERROR(VLOOKUP($C980,Inventory!$B:$H,7,FALSE()),0),IF($E980="Non Inventory",IFERROR(VLOOKUP($C980,'Non Inventory'!$B:$H,7,FALSE()),0),IF($E980="Services",IFERROR(VLOOKUP($C980,Services!$B:$H,7,FALSE()),0),IF($E980="Patty Cash",IFERROR(VLOOKUP($C980,'Patty Cash'!$B:$H,7,FALSE()),0),0)))))</f>
        <v/>
      </c>
      <c r="I980" s="213"/>
      <c r="J980" s="214"/>
      <c r="K980" s="215"/>
      <c r="L980" s="197"/>
      <c r="M980" s="215"/>
      <c r="N980" s="216">
        <f>IFERROR(IF($E980="Inventory",VLOOKUP($C980,Inventory!$B:$I,8,FALSE()),IF($E980="Non Inventory",VLOOKUP($C980,'Non Inventory'!$B:$I,8,FALSE()),IF($E980="Services",VLOOKUP($C980,Services!$B:$I,8,FALSE()),IF($E980="Patty Cash",VLOOKUP($C980,'Patty Cash'!$B:$J,8,FALSE()),0)))),0)</f>
        <v>0</v>
      </c>
      <c r="O980" s="217" t="str">
        <f t="shared" si="15"/>
        <v/>
      </c>
    </row>
    <row r="981" spans="1:15" ht="23.1" customHeight="1">
      <c r="A981" s="206" t="str">
        <f>IF(AND($B981="",$C981=""),"",MAX($A$3:A980)+1)</f>
        <v/>
      </c>
      <c r="B981" s="207"/>
      <c r="C981" s="208"/>
      <c r="D981" s="209" t="str">
        <f>IFERROR(IF($E981="Inventory",VLOOKUP($C981,Inventory!$B:$I,2,FALSE()),IF($E981="Non Inventory",VLOOKUP($C981,'Non Inventory'!$B:$I,2,FALSE()),IF($E981="Services",VLOOKUP($C981,Services!$B:$I,2,FALSE()),IF($E981="Patty Cash",VLOOKUP($C981,'Patty Cash'!$B:$J,2,FALSE()),"")))),"")</f>
        <v/>
      </c>
      <c r="E981" s="246"/>
      <c r="F981" s="210" t="str">
        <f>IFERROR(IF($E981="Inventory",VLOOKUP($C981,Inventory!$B:$I,3,FALSE()),IF($E981="Non Inventory",VLOOKUP($C981,'Non Inventory'!$B:$I,3,FALSE()),IF($E981="Services",VLOOKUP($C981,Services!$B:$I,3,FALSE()),IF($E981="Patty Cash",VLOOKUP($C981,'Patty Cash'!$B:$J,3,FALSE()),"")))),"")</f>
        <v/>
      </c>
      <c r="G981" s="211"/>
      <c r="H981" s="212" t="str">
        <f>IF($E981="","",IF($E981="Inventory",IFERROR(VLOOKUP($C981,Inventory!$B:$H,7,FALSE()),0),IF($E981="Non Inventory",IFERROR(VLOOKUP($C981,'Non Inventory'!$B:$H,7,FALSE()),0),IF($E981="Services",IFERROR(VLOOKUP($C981,Services!$B:$H,7,FALSE()),0),IF($E981="Patty Cash",IFERROR(VLOOKUP($C981,'Patty Cash'!$B:$H,7,FALSE()),0),0)))))</f>
        <v/>
      </c>
      <c r="I981" s="213"/>
      <c r="J981" s="214"/>
      <c r="K981" s="215"/>
      <c r="L981" s="197"/>
      <c r="M981" s="215"/>
      <c r="N981" s="216">
        <f>IFERROR(IF($E981="Inventory",VLOOKUP($C981,Inventory!$B:$I,8,FALSE()),IF($E981="Non Inventory",VLOOKUP($C981,'Non Inventory'!$B:$I,8,FALSE()),IF($E981="Services",VLOOKUP($C981,Services!$B:$I,8,FALSE()),IF($E981="Patty Cash",VLOOKUP($C981,'Patty Cash'!$B:$J,8,FALSE()),0)))),0)</f>
        <v>0</v>
      </c>
      <c r="O981" s="217" t="str">
        <f t="shared" si="15"/>
        <v/>
      </c>
    </row>
    <row r="982" spans="1:15" ht="23.1" customHeight="1">
      <c r="A982" s="206" t="str">
        <f>IF(AND($B982="",$C982=""),"",MAX($A$3:A981)+1)</f>
        <v/>
      </c>
      <c r="B982" s="207"/>
      <c r="C982" s="208"/>
      <c r="D982" s="209" t="str">
        <f>IFERROR(IF($E982="Inventory",VLOOKUP($C982,Inventory!$B:$I,2,FALSE()),IF($E982="Non Inventory",VLOOKUP($C982,'Non Inventory'!$B:$I,2,FALSE()),IF($E982="Services",VLOOKUP($C982,Services!$B:$I,2,FALSE()),IF($E982="Patty Cash",VLOOKUP($C982,'Patty Cash'!$B:$J,2,FALSE()),"")))),"")</f>
        <v/>
      </c>
      <c r="E982" s="246"/>
      <c r="F982" s="210" t="str">
        <f>IFERROR(IF($E982="Inventory",VLOOKUP($C982,Inventory!$B:$I,3,FALSE()),IF($E982="Non Inventory",VLOOKUP($C982,'Non Inventory'!$B:$I,3,FALSE()),IF($E982="Services",VLOOKUP($C982,Services!$B:$I,3,FALSE()),IF($E982="Patty Cash",VLOOKUP($C982,'Patty Cash'!$B:$J,3,FALSE()),"")))),"")</f>
        <v/>
      </c>
      <c r="G982" s="211"/>
      <c r="H982" s="212" t="str">
        <f>IF($E982="","",IF($E982="Inventory",IFERROR(VLOOKUP($C982,Inventory!$B:$H,7,FALSE()),0),IF($E982="Non Inventory",IFERROR(VLOOKUP($C982,'Non Inventory'!$B:$H,7,FALSE()),0),IF($E982="Services",IFERROR(VLOOKUP($C982,Services!$B:$H,7,FALSE()),0),IF($E982="Patty Cash",IFERROR(VLOOKUP($C982,'Patty Cash'!$B:$H,7,FALSE()),0),0)))))</f>
        <v/>
      </c>
      <c r="I982" s="213"/>
      <c r="J982" s="214"/>
      <c r="K982" s="215"/>
      <c r="L982" s="197"/>
      <c r="M982" s="215"/>
      <c r="N982" s="216">
        <f>IFERROR(IF($E982="Inventory",VLOOKUP($C982,Inventory!$B:$I,8,FALSE()),IF($E982="Non Inventory",VLOOKUP($C982,'Non Inventory'!$B:$I,8,FALSE()),IF($E982="Services",VLOOKUP($C982,Services!$B:$I,8,FALSE()),IF($E982="Patty Cash",VLOOKUP($C982,'Patty Cash'!$B:$J,8,FALSE()),0)))),0)</f>
        <v>0</v>
      </c>
      <c r="O982" s="217" t="str">
        <f t="shared" si="15"/>
        <v/>
      </c>
    </row>
    <row r="983" spans="1:15" ht="23.1" customHeight="1">
      <c r="A983" s="206" t="str">
        <f>IF(AND($B983="",$C983=""),"",MAX($A$3:A982)+1)</f>
        <v/>
      </c>
      <c r="B983" s="207"/>
      <c r="C983" s="208"/>
      <c r="D983" s="209" t="str">
        <f>IFERROR(IF($E983="Inventory",VLOOKUP($C983,Inventory!$B:$I,2,FALSE()),IF($E983="Non Inventory",VLOOKUP($C983,'Non Inventory'!$B:$I,2,FALSE()),IF($E983="Services",VLOOKUP($C983,Services!$B:$I,2,FALSE()),IF($E983="Patty Cash",VLOOKUP($C983,'Patty Cash'!$B:$J,2,FALSE()),"")))),"")</f>
        <v/>
      </c>
      <c r="E983" s="246"/>
      <c r="F983" s="210" t="str">
        <f>IFERROR(IF($E983="Inventory",VLOOKUP($C983,Inventory!$B:$I,3,FALSE()),IF($E983="Non Inventory",VLOOKUP($C983,'Non Inventory'!$B:$I,3,FALSE()),IF($E983="Services",VLOOKUP($C983,Services!$B:$I,3,FALSE()),IF($E983="Patty Cash",VLOOKUP($C983,'Patty Cash'!$B:$J,3,FALSE()),"")))),"")</f>
        <v/>
      </c>
      <c r="G983" s="211"/>
      <c r="H983" s="212" t="str">
        <f>IF($E983="","",IF($E983="Inventory",IFERROR(VLOOKUP($C983,Inventory!$B:$H,7,FALSE()),0),IF($E983="Non Inventory",IFERROR(VLOOKUP($C983,'Non Inventory'!$B:$H,7,FALSE()),0),IF($E983="Services",IFERROR(VLOOKUP($C983,Services!$B:$H,7,FALSE()),0),IF($E983="Patty Cash",IFERROR(VLOOKUP($C983,'Patty Cash'!$B:$H,7,FALSE()),0),0)))))</f>
        <v/>
      </c>
      <c r="I983" s="213"/>
      <c r="J983" s="214"/>
      <c r="K983" s="215"/>
      <c r="L983" s="197"/>
      <c r="M983" s="215"/>
      <c r="N983" s="216">
        <f>IFERROR(IF($E983="Inventory",VLOOKUP($C983,Inventory!$B:$I,8,FALSE()),IF($E983="Non Inventory",VLOOKUP($C983,'Non Inventory'!$B:$I,8,FALSE()),IF($E983="Services",VLOOKUP($C983,Services!$B:$I,8,FALSE()),IF($E983="Patty Cash",VLOOKUP($C983,'Patty Cash'!$B:$J,8,FALSE()),0)))),0)</f>
        <v>0</v>
      </c>
      <c r="O983" s="217" t="str">
        <f t="shared" si="15"/>
        <v/>
      </c>
    </row>
    <row r="984" spans="1:15" ht="23.1" customHeight="1">
      <c r="A984" s="206" t="str">
        <f>IF(AND($B984="",$C984=""),"",MAX($A$3:A983)+1)</f>
        <v/>
      </c>
      <c r="B984" s="207"/>
      <c r="C984" s="208"/>
      <c r="D984" s="209" t="str">
        <f>IFERROR(IF($E984="Inventory",VLOOKUP($C984,Inventory!$B:$I,2,FALSE()),IF($E984="Non Inventory",VLOOKUP($C984,'Non Inventory'!$B:$I,2,FALSE()),IF($E984="Services",VLOOKUP($C984,Services!$B:$I,2,FALSE()),IF($E984="Patty Cash",VLOOKUP($C984,'Patty Cash'!$B:$J,2,FALSE()),"")))),"")</f>
        <v/>
      </c>
      <c r="E984" s="246"/>
      <c r="F984" s="210" t="str">
        <f>IFERROR(IF($E984="Inventory",VLOOKUP($C984,Inventory!$B:$I,3,FALSE()),IF($E984="Non Inventory",VLOOKUP($C984,'Non Inventory'!$B:$I,3,FALSE()),IF($E984="Services",VLOOKUP($C984,Services!$B:$I,3,FALSE()),IF($E984="Patty Cash",VLOOKUP($C984,'Patty Cash'!$B:$J,3,FALSE()),"")))),"")</f>
        <v/>
      </c>
      <c r="G984" s="211"/>
      <c r="H984" s="212" t="str">
        <f>IF($E984="","",IF($E984="Inventory",IFERROR(VLOOKUP($C984,Inventory!$B:$H,7,FALSE()),0),IF($E984="Non Inventory",IFERROR(VLOOKUP($C984,'Non Inventory'!$B:$H,7,FALSE()),0),IF($E984="Services",IFERROR(VLOOKUP($C984,Services!$B:$H,7,FALSE()),0),IF($E984="Patty Cash",IFERROR(VLOOKUP($C984,'Patty Cash'!$B:$H,7,FALSE()),0),0)))))</f>
        <v/>
      </c>
      <c r="I984" s="213"/>
      <c r="J984" s="214"/>
      <c r="K984" s="215"/>
      <c r="L984" s="197"/>
      <c r="M984" s="215"/>
      <c r="N984" s="216">
        <f>IFERROR(IF($E984="Inventory",VLOOKUP($C984,Inventory!$B:$I,8,FALSE()),IF($E984="Non Inventory",VLOOKUP($C984,'Non Inventory'!$B:$I,8,FALSE()),IF($E984="Services",VLOOKUP($C984,Services!$B:$I,8,FALSE()),IF($E984="Patty Cash",VLOOKUP($C984,'Patty Cash'!$B:$J,8,FALSE()),0)))),0)</f>
        <v>0</v>
      </c>
      <c r="O984" s="217" t="str">
        <f t="shared" si="15"/>
        <v/>
      </c>
    </row>
    <row r="985" spans="1:15" ht="23.1" customHeight="1">
      <c r="A985" s="206" t="str">
        <f>IF(AND($B985="",$C985=""),"",MAX($A$3:A984)+1)</f>
        <v/>
      </c>
      <c r="B985" s="207"/>
      <c r="C985" s="208"/>
      <c r="D985" s="209" t="str">
        <f>IFERROR(IF($E985="Inventory",VLOOKUP($C985,Inventory!$B:$I,2,FALSE()),IF($E985="Non Inventory",VLOOKUP($C985,'Non Inventory'!$B:$I,2,FALSE()),IF($E985="Services",VLOOKUP($C985,Services!$B:$I,2,FALSE()),IF($E985="Patty Cash",VLOOKUP($C985,'Patty Cash'!$B:$J,2,FALSE()),"")))),"")</f>
        <v/>
      </c>
      <c r="E985" s="246"/>
      <c r="F985" s="210" t="str">
        <f>IFERROR(IF($E985="Inventory",VLOOKUP($C985,Inventory!$B:$I,3,FALSE()),IF($E985="Non Inventory",VLOOKUP($C985,'Non Inventory'!$B:$I,3,FALSE()),IF($E985="Services",VLOOKUP($C985,Services!$B:$I,3,FALSE()),IF($E985="Patty Cash",VLOOKUP($C985,'Patty Cash'!$B:$J,3,FALSE()),"")))),"")</f>
        <v/>
      </c>
      <c r="G985" s="211"/>
      <c r="H985" s="212" t="str">
        <f>IF($E985="","",IF($E985="Inventory",IFERROR(VLOOKUP($C985,Inventory!$B:$H,7,FALSE()),0),IF($E985="Non Inventory",IFERROR(VLOOKUP($C985,'Non Inventory'!$B:$H,7,FALSE()),0),IF($E985="Services",IFERROR(VLOOKUP($C985,Services!$B:$H,7,FALSE()),0),IF($E985="Patty Cash",IFERROR(VLOOKUP($C985,'Patty Cash'!$B:$H,7,FALSE()),0),0)))))</f>
        <v/>
      </c>
      <c r="I985" s="213"/>
      <c r="J985" s="214"/>
      <c r="K985" s="215"/>
      <c r="L985" s="197"/>
      <c r="M985" s="215"/>
      <c r="N985" s="216">
        <f>IFERROR(IF($E985="Inventory",VLOOKUP($C985,Inventory!$B:$I,8,FALSE()),IF($E985="Non Inventory",VLOOKUP($C985,'Non Inventory'!$B:$I,8,FALSE()),IF($E985="Services",VLOOKUP($C985,Services!$B:$I,8,FALSE()),IF($E985="Patty Cash",VLOOKUP($C985,'Patty Cash'!$B:$J,8,FALSE()),0)))),0)</f>
        <v>0</v>
      </c>
      <c r="O985" s="217" t="str">
        <f t="shared" si="15"/>
        <v/>
      </c>
    </row>
    <row r="986" spans="1:15" ht="23.1" customHeight="1">
      <c r="A986" s="206" t="str">
        <f>IF(AND($B986="",$C986=""),"",MAX($A$3:A985)+1)</f>
        <v/>
      </c>
      <c r="B986" s="207"/>
      <c r="C986" s="208"/>
      <c r="D986" s="209" t="str">
        <f>IFERROR(IF($E986="Inventory",VLOOKUP($C986,Inventory!$B:$I,2,FALSE()),IF($E986="Non Inventory",VLOOKUP($C986,'Non Inventory'!$B:$I,2,FALSE()),IF($E986="Services",VLOOKUP($C986,Services!$B:$I,2,FALSE()),IF($E986="Patty Cash",VLOOKUP($C986,'Patty Cash'!$B:$J,2,FALSE()),"")))),"")</f>
        <v/>
      </c>
      <c r="E986" s="246"/>
      <c r="F986" s="210" t="str">
        <f>IFERROR(IF($E986="Inventory",VLOOKUP($C986,Inventory!$B:$I,3,FALSE()),IF($E986="Non Inventory",VLOOKUP($C986,'Non Inventory'!$B:$I,3,FALSE()),IF($E986="Services",VLOOKUP($C986,Services!$B:$I,3,FALSE()),IF($E986="Patty Cash",VLOOKUP($C986,'Patty Cash'!$B:$J,3,FALSE()),"")))),"")</f>
        <v/>
      </c>
      <c r="G986" s="211"/>
      <c r="H986" s="212" t="str">
        <f>IF($E986="","",IF($E986="Inventory",IFERROR(VLOOKUP($C986,Inventory!$B:$H,7,FALSE()),0),IF($E986="Non Inventory",IFERROR(VLOOKUP($C986,'Non Inventory'!$B:$H,7,FALSE()),0),IF($E986="Services",IFERROR(VLOOKUP($C986,Services!$B:$H,7,FALSE()),0),IF($E986="Patty Cash",IFERROR(VLOOKUP($C986,'Patty Cash'!$B:$H,7,FALSE()),0),0)))))</f>
        <v/>
      </c>
      <c r="I986" s="213"/>
      <c r="J986" s="214"/>
      <c r="K986" s="215"/>
      <c r="L986" s="197"/>
      <c r="M986" s="215"/>
      <c r="N986" s="216">
        <f>IFERROR(IF($E986="Inventory",VLOOKUP($C986,Inventory!$B:$I,8,FALSE()),IF($E986="Non Inventory",VLOOKUP($C986,'Non Inventory'!$B:$I,8,FALSE()),IF($E986="Services",VLOOKUP($C986,Services!$B:$I,8,FALSE()),IF($E986="Patty Cash",VLOOKUP($C986,'Patty Cash'!$B:$J,8,FALSE()),0)))),0)</f>
        <v>0</v>
      </c>
      <c r="O986" s="217" t="str">
        <f t="shared" si="15"/>
        <v/>
      </c>
    </row>
    <row r="987" spans="1:15" ht="23.1" customHeight="1">
      <c r="A987" s="206" t="str">
        <f>IF(AND($B987="",$C987=""),"",MAX($A$3:A986)+1)</f>
        <v/>
      </c>
      <c r="B987" s="207"/>
      <c r="C987" s="208"/>
      <c r="D987" s="209" t="str">
        <f>IFERROR(IF($E987="Inventory",VLOOKUP($C987,Inventory!$B:$I,2,FALSE()),IF($E987="Non Inventory",VLOOKUP($C987,'Non Inventory'!$B:$I,2,FALSE()),IF($E987="Services",VLOOKUP($C987,Services!$B:$I,2,FALSE()),IF($E987="Patty Cash",VLOOKUP($C987,'Patty Cash'!$B:$J,2,FALSE()),"")))),"")</f>
        <v/>
      </c>
      <c r="E987" s="246"/>
      <c r="F987" s="210" t="str">
        <f>IFERROR(IF($E987="Inventory",VLOOKUP($C987,Inventory!$B:$I,3,FALSE()),IF($E987="Non Inventory",VLOOKUP($C987,'Non Inventory'!$B:$I,3,FALSE()),IF($E987="Services",VLOOKUP($C987,Services!$B:$I,3,FALSE()),IF($E987="Patty Cash",VLOOKUP($C987,'Patty Cash'!$B:$J,3,FALSE()),"")))),"")</f>
        <v/>
      </c>
      <c r="G987" s="211"/>
      <c r="H987" s="212" t="str">
        <f>IF($E987="","",IF($E987="Inventory",IFERROR(VLOOKUP($C987,Inventory!$B:$H,7,FALSE()),0),IF($E987="Non Inventory",IFERROR(VLOOKUP($C987,'Non Inventory'!$B:$H,7,FALSE()),0),IF($E987="Services",IFERROR(VLOOKUP($C987,Services!$B:$H,7,FALSE()),0),IF($E987="Patty Cash",IFERROR(VLOOKUP($C987,'Patty Cash'!$B:$H,7,FALSE()),0),0)))))</f>
        <v/>
      </c>
      <c r="I987" s="213"/>
      <c r="J987" s="214"/>
      <c r="K987" s="215"/>
      <c r="L987" s="197"/>
      <c r="M987" s="215"/>
      <c r="N987" s="216">
        <f>IFERROR(IF($E987="Inventory",VLOOKUP($C987,Inventory!$B:$I,8,FALSE()),IF($E987="Non Inventory",VLOOKUP($C987,'Non Inventory'!$B:$I,8,FALSE()),IF($E987="Services",VLOOKUP($C987,Services!$B:$I,8,FALSE()),IF($E987="Patty Cash",VLOOKUP($C987,'Patty Cash'!$B:$J,8,FALSE()),0)))),0)</f>
        <v>0</v>
      </c>
      <c r="O987" s="217" t="str">
        <f t="shared" si="15"/>
        <v/>
      </c>
    </row>
    <row r="988" spans="1:15" ht="23.1" customHeight="1">
      <c r="A988" s="206" t="str">
        <f>IF(AND($B988="",$C988=""),"",MAX($A$3:A987)+1)</f>
        <v/>
      </c>
      <c r="B988" s="207"/>
      <c r="C988" s="208"/>
      <c r="D988" s="209" t="str">
        <f>IFERROR(IF($E988="Inventory",VLOOKUP($C988,Inventory!$B:$I,2,FALSE()),IF($E988="Non Inventory",VLOOKUP($C988,'Non Inventory'!$B:$I,2,FALSE()),IF($E988="Services",VLOOKUP($C988,Services!$B:$I,2,FALSE()),IF($E988="Patty Cash",VLOOKUP($C988,'Patty Cash'!$B:$J,2,FALSE()),"")))),"")</f>
        <v/>
      </c>
      <c r="E988" s="246"/>
      <c r="F988" s="210" t="str">
        <f>IFERROR(IF($E988="Inventory",VLOOKUP($C988,Inventory!$B:$I,3,FALSE()),IF($E988="Non Inventory",VLOOKUP($C988,'Non Inventory'!$B:$I,3,FALSE()),IF($E988="Services",VLOOKUP($C988,Services!$B:$I,3,FALSE()),IF($E988="Patty Cash",VLOOKUP($C988,'Patty Cash'!$B:$J,3,FALSE()),"")))),"")</f>
        <v/>
      </c>
      <c r="G988" s="211"/>
      <c r="H988" s="212" t="str">
        <f>IF($E988="","",IF($E988="Inventory",IFERROR(VLOOKUP($C988,Inventory!$B:$H,7,FALSE()),0),IF($E988="Non Inventory",IFERROR(VLOOKUP($C988,'Non Inventory'!$B:$H,7,FALSE()),0),IF($E988="Services",IFERROR(VLOOKUP($C988,Services!$B:$H,7,FALSE()),0),IF($E988="Patty Cash",IFERROR(VLOOKUP($C988,'Patty Cash'!$B:$H,7,FALSE()),0),0)))))</f>
        <v/>
      </c>
      <c r="I988" s="213"/>
      <c r="J988" s="214"/>
      <c r="K988" s="215"/>
      <c r="L988" s="197"/>
      <c r="M988" s="215"/>
      <c r="N988" s="216">
        <f>IFERROR(IF($E988="Inventory",VLOOKUP($C988,Inventory!$B:$I,8,FALSE()),IF($E988="Non Inventory",VLOOKUP($C988,'Non Inventory'!$B:$I,8,FALSE()),IF($E988="Services",VLOOKUP($C988,Services!$B:$I,8,FALSE()),IF($E988="Patty Cash",VLOOKUP($C988,'Patty Cash'!$B:$J,8,FALSE()),0)))),0)</f>
        <v>0</v>
      </c>
      <c r="O988" s="217" t="str">
        <f t="shared" si="15"/>
        <v/>
      </c>
    </row>
    <row r="989" spans="1:15" ht="23.1" customHeight="1">
      <c r="A989" s="206" t="str">
        <f>IF(AND($B989="",$C989=""),"",MAX($A$3:A988)+1)</f>
        <v/>
      </c>
      <c r="B989" s="207"/>
      <c r="C989" s="208"/>
      <c r="D989" s="209" t="str">
        <f>IFERROR(IF($E989="Inventory",VLOOKUP($C989,Inventory!$B:$I,2,FALSE()),IF($E989="Non Inventory",VLOOKUP($C989,'Non Inventory'!$B:$I,2,FALSE()),IF($E989="Services",VLOOKUP($C989,Services!$B:$I,2,FALSE()),IF($E989="Patty Cash",VLOOKUP($C989,'Patty Cash'!$B:$J,2,FALSE()),"")))),"")</f>
        <v/>
      </c>
      <c r="E989" s="246"/>
      <c r="F989" s="210" t="str">
        <f>IFERROR(IF($E989="Inventory",VLOOKUP($C989,Inventory!$B:$I,3,FALSE()),IF($E989="Non Inventory",VLOOKUP($C989,'Non Inventory'!$B:$I,3,FALSE()),IF($E989="Services",VLOOKUP($C989,Services!$B:$I,3,FALSE()),IF($E989="Patty Cash",VLOOKUP($C989,'Patty Cash'!$B:$J,3,FALSE()),"")))),"")</f>
        <v/>
      </c>
      <c r="G989" s="211"/>
      <c r="H989" s="212" t="str">
        <f>IF($E989="","",IF($E989="Inventory",IFERROR(VLOOKUP($C989,Inventory!$B:$H,7,FALSE()),0),IF($E989="Non Inventory",IFERROR(VLOOKUP($C989,'Non Inventory'!$B:$H,7,FALSE()),0),IF($E989="Services",IFERROR(VLOOKUP($C989,Services!$B:$H,7,FALSE()),0),IF($E989="Patty Cash",IFERROR(VLOOKUP($C989,'Patty Cash'!$B:$H,7,FALSE()),0),0)))))</f>
        <v/>
      </c>
      <c r="I989" s="213"/>
      <c r="J989" s="214"/>
      <c r="K989" s="215"/>
      <c r="L989" s="197"/>
      <c r="M989" s="215"/>
      <c r="N989" s="216">
        <f>IFERROR(IF($E989="Inventory",VLOOKUP($C989,Inventory!$B:$I,8,FALSE()),IF($E989="Non Inventory",VLOOKUP($C989,'Non Inventory'!$B:$I,8,FALSE()),IF($E989="Services",VLOOKUP($C989,Services!$B:$I,8,FALSE()),IF($E989="Patty Cash",VLOOKUP($C989,'Patty Cash'!$B:$J,8,FALSE()),0)))),0)</f>
        <v>0</v>
      </c>
      <c r="O989" s="217" t="str">
        <f t="shared" si="15"/>
        <v/>
      </c>
    </row>
    <row r="990" spans="1:15" ht="23.1" customHeight="1">
      <c r="A990" s="206" t="str">
        <f>IF(AND($B990="",$C990=""),"",MAX($A$3:A989)+1)</f>
        <v/>
      </c>
      <c r="B990" s="207"/>
      <c r="C990" s="208"/>
      <c r="D990" s="209" t="str">
        <f>IFERROR(IF($E990="Inventory",VLOOKUP($C990,Inventory!$B:$I,2,FALSE()),IF($E990="Non Inventory",VLOOKUP($C990,'Non Inventory'!$B:$I,2,FALSE()),IF($E990="Services",VLOOKUP($C990,Services!$B:$I,2,FALSE()),IF($E990="Patty Cash",VLOOKUP($C990,'Patty Cash'!$B:$J,2,FALSE()),"")))),"")</f>
        <v/>
      </c>
      <c r="E990" s="246"/>
      <c r="F990" s="210" t="str">
        <f>IFERROR(IF($E990="Inventory",VLOOKUP($C990,Inventory!$B:$I,3,FALSE()),IF($E990="Non Inventory",VLOOKUP($C990,'Non Inventory'!$B:$I,3,FALSE()),IF($E990="Services",VLOOKUP($C990,Services!$B:$I,3,FALSE()),IF($E990="Patty Cash",VLOOKUP($C990,'Patty Cash'!$B:$J,3,FALSE()),"")))),"")</f>
        <v/>
      </c>
      <c r="G990" s="211"/>
      <c r="H990" s="212" t="str">
        <f>IF($E990="","",IF($E990="Inventory",IFERROR(VLOOKUP($C990,Inventory!$B:$H,7,FALSE()),0),IF($E990="Non Inventory",IFERROR(VLOOKUP($C990,'Non Inventory'!$B:$H,7,FALSE()),0),IF($E990="Services",IFERROR(VLOOKUP($C990,Services!$B:$H,7,FALSE()),0),IF($E990="Patty Cash",IFERROR(VLOOKUP($C990,'Patty Cash'!$B:$H,7,FALSE()),0),0)))))</f>
        <v/>
      </c>
      <c r="I990" s="213"/>
      <c r="J990" s="214"/>
      <c r="K990" s="215"/>
      <c r="L990" s="197"/>
      <c r="M990" s="215"/>
      <c r="N990" s="216">
        <f>IFERROR(IF($E990="Inventory",VLOOKUP($C990,Inventory!$B:$I,8,FALSE()),IF($E990="Non Inventory",VLOOKUP($C990,'Non Inventory'!$B:$I,8,FALSE()),IF($E990="Services",VLOOKUP($C990,Services!$B:$I,8,FALSE()),IF($E990="Patty Cash",VLOOKUP($C990,'Patty Cash'!$B:$J,8,FALSE()),0)))),0)</f>
        <v>0</v>
      </c>
      <c r="O990" s="217" t="str">
        <f t="shared" si="15"/>
        <v/>
      </c>
    </row>
    <row r="991" spans="1:15" ht="23.1" customHeight="1">
      <c r="A991" s="206" t="str">
        <f>IF(AND($B991="",$C991=""),"",MAX($A$3:A990)+1)</f>
        <v/>
      </c>
      <c r="B991" s="207"/>
      <c r="C991" s="208"/>
      <c r="D991" s="209" t="str">
        <f>IFERROR(IF($E991="Inventory",VLOOKUP($C991,Inventory!$B:$I,2,FALSE()),IF($E991="Non Inventory",VLOOKUP($C991,'Non Inventory'!$B:$I,2,FALSE()),IF($E991="Services",VLOOKUP($C991,Services!$B:$I,2,FALSE()),IF($E991="Patty Cash",VLOOKUP($C991,'Patty Cash'!$B:$J,2,FALSE()),"")))),"")</f>
        <v/>
      </c>
      <c r="E991" s="246"/>
      <c r="F991" s="210" t="str">
        <f>IFERROR(IF($E991="Inventory",VLOOKUP($C991,Inventory!$B:$I,3,FALSE()),IF($E991="Non Inventory",VLOOKUP($C991,'Non Inventory'!$B:$I,3,FALSE()),IF($E991="Services",VLOOKUP($C991,Services!$B:$I,3,FALSE()),IF($E991="Patty Cash",VLOOKUP($C991,'Patty Cash'!$B:$J,3,FALSE()),"")))),"")</f>
        <v/>
      </c>
      <c r="G991" s="211"/>
      <c r="H991" s="212" t="str">
        <f>IF($E991="","",IF($E991="Inventory",IFERROR(VLOOKUP($C991,Inventory!$B:$H,7,FALSE()),0),IF($E991="Non Inventory",IFERROR(VLOOKUP($C991,'Non Inventory'!$B:$H,7,FALSE()),0),IF($E991="Services",IFERROR(VLOOKUP($C991,Services!$B:$H,7,FALSE()),0),IF($E991="Patty Cash",IFERROR(VLOOKUP($C991,'Patty Cash'!$B:$H,7,FALSE()),0),0)))))</f>
        <v/>
      </c>
      <c r="I991" s="213"/>
      <c r="J991" s="214"/>
      <c r="K991" s="215"/>
      <c r="L991" s="197"/>
      <c r="M991" s="215"/>
      <c r="N991" s="216">
        <f>IFERROR(IF($E991="Inventory",VLOOKUP($C991,Inventory!$B:$I,8,FALSE()),IF($E991="Non Inventory",VLOOKUP($C991,'Non Inventory'!$B:$I,8,FALSE()),IF($E991="Services",VLOOKUP($C991,Services!$B:$I,8,FALSE()),IF($E991="Patty Cash",VLOOKUP($C991,'Patty Cash'!$B:$J,8,FALSE()),0)))),0)</f>
        <v>0</v>
      </c>
      <c r="O991" s="217" t="str">
        <f t="shared" si="15"/>
        <v/>
      </c>
    </row>
    <row r="992" spans="1:15" ht="23.1" customHeight="1">
      <c r="A992" s="206" t="str">
        <f>IF(AND($B992="",$C992=""),"",MAX($A$3:A991)+1)</f>
        <v/>
      </c>
      <c r="B992" s="207"/>
      <c r="C992" s="208"/>
      <c r="D992" s="209" t="str">
        <f>IFERROR(IF($E992="Inventory",VLOOKUP($C992,Inventory!$B:$I,2,FALSE()),IF($E992="Non Inventory",VLOOKUP($C992,'Non Inventory'!$B:$I,2,FALSE()),IF($E992="Services",VLOOKUP($C992,Services!$B:$I,2,FALSE()),IF($E992="Patty Cash",VLOOKUP($C992,'Patty Cash'!$B:$J,2,FALSE()),"")))),"")</f>
        <v/>
      </c>
      <c r="E992" s="246"/>
      <c r="F992" s="210" t="str">
        <f>IFERROR(IF($E992="Inventory",VLOOKUP($C992,Inventory!$B:$I,3,FALSE()),IF($E992="Non Inventory",VLOOKUP($C992,'Non Inventory'!$B:$I,3,FALSE()),IF($E992="Services",VLOOKUP($C992,Services!$B:$I,3,FALSE()),IF($E992="Patty Cash",VLOOKUP($C992,'Patty Cash'!$B:$J,3,FALSE()),"")))),"")</f>
        <v/>
      </c>
      <c r="G992" s="211"/>
      <c r="H992" s="212" t="str">
        <f>IF($E992="","",IF($E992="Inventory",IFERROR(VLOOKUP($C992,Inventory!$B:$H,7,FALSE()),0),IF($E992="Non Inventory",IFERROR(VLOOKUP($C992,'Non Inventory'!$B:$H,7,FALSE()),0),IF($E992="Services",IFERROR(VLOOKUP($C992,Services!$B:$H,7,FALSE()),0),IF($E992="Patty Cash",IFERROR(VLOOKUP($C992,'Patty Cash'!$B:$H,7,FALSE()),0),0)))))</f>
        <v/>
      </c>
      <c r="I992" s="213"/>
      <c r="J992" s="214"/>
      <c r="K992" s="215"/>
      <c r="L992" s="197"/>
      <c r="M992" s="215"/>
      <c r="N992" s="216">
        <f>IFERROR(IF($E992="Inventory",VLOOKUP($C992,Inventory!$B:$I,8,FALSE()),IF($E992="Non Inventory",VLOOKUP($C992,'Non Inventory'!$B:$I,8,FALSE()),IF($E992="Services",VLOOKUP($C992,Services!$B:$I,8,FALSE()),IF($E992="Patty Cash",VLOOKUP($C992,'Patty Cash'!$B:$J,8,FALSE()),0)))),0)</f>
        <v>0</v>
      </c>
      <c r="O992" s="217" t="str">
        <f t="shared" si="15"/>
        <v/>
      </c>
    </row>
    <row r="993" spans="1:15" ht="23.1" customHeight="1">
      <c r="A993" s="206" t="str">
        <f>IF(AND($B993="",$C993=""),"",MAX($A$3:A992)+1)</f>
        <v/>
      </c>
      <c r="B993" s="207"/>
      <c r="C993" s="208"/>
      <c r="D993" s="209" t="str">
        <f>IFERROR(IF($E993="Inventory",VLOOKUP($C993,Inventory!$B:$I,2,FALSE()),IF($E993="Non Inventory",VLOOKUP($C993,'Non Inventory'!$B:$I,2,FALSE()),IF($E993="Services",VLOOKUP($C993,Services!$B:$I,2,FALSE()),IF($E993="Patty Cash",VLOOKUP($C993,'Patty Cash'!$B:$J,2,FALSE()),"")))),"")</f>
        <v/>
      </c>
      <c r="E993" s="246"/>
      <c r="F993" s="210" t="str">
        <f>IFERROR(IF($E993="Inventory",VLOOKUP($C993,Inventory!$B:$I,3,FALSE()),IF($E993="Non Inventory",VLOOKUP($C993,'Non Inventory'!$B:$I,3,FALSE()),IF($E993="Services",VLOOKUP($C993,Services!$B:$I,3,FALSE()),IF($E993="Patty Cash",VLOOKUP($C993,'Patty Cash'!$B:$J,3,FALSE()),"")))),"")</f>
        <v/>
      </c>
      <c r="G993" s="211"/>
      <c r="H993" s="212" t="str">
        <f>IF($E993="","",IF($E993="Inventory",IFERROR(VLOOKUP($C993,Inventory!$B:$H,7,FALSE()),0),IF($E993="Non Inventory",IFERROR(VLOOKUP($C993,'Non Inventory'!$B:$H,7,FALSE()),0),IF($E993="Services",IFERROR(VLOOKUP($C993,Services!$B:$H,7,FALSE()),0),IF($E993="Patty Cash",IFERROR(VLOOKUP($C993,'Patty Cash'!$B:$H,7,FALSE()),0),0)))))</f>
        <v/>
      </c>
      <c r="I993" s="213"/>
      <c r="J993" s="214"/>
      <c r="K993" s="215"/>
      <c r="L993" s="197"/>
      <c r="M993" s="215"/>
      <c r="N993" s="216">
        <f>IFERROR(IF($E993="Inventory",VLOOKUP($C993,Inventory!$B:$I,8,FALSE()),IF($E993="Non Inventory",VLOOKUP($C993,'Non Inventory'!$B:$I,8,FALSE()),IF($E993="Services",VLOOKUP($C993,Services!$B:$I,8,FALSE()),IF($E993="Patty Cash",VLOOKUP($C993,'Patty Cash'!$B:$J,8,FALSE()),0)))),0)</f>
        <v>0</v>
      </c>
      <c r="O993" s="217" t="str">
        <f t="shared" si="15"/>
        <v/>
      </c>
    </row>
    <row r="994" spans="1:15" ht="23.1" customHeight="1">
      <c r="A994" s="206" t="str">
        <f>IF(AND($B994="",$C994=""),"",MAX($A$3:A993)+1)</f>
        <v/>
      </c>
      <c r="B994" s="207"/>
      <c r="C994" s="208"/>
      <c r="D994" s="209" t="str">
        <f>IFERROR(IF($E994="Inventory",VLOOKUP($C994,Inventory!$B:$I,2,FALSE()),IF($E994="Non Inventory",VLOOKUP($C994,'Non Inventory'!$B:$I,2,FALSE()),IF($E994="Services",VLOOKUP($C994,Services!$B:$I,2,FALSE()),IF($E994="Patty Cash",VLOOKUP($C994,'Patty Cash'!$B:$J,2,FALSE()),"")))),"")</f>
        <v/>
      </c>
      <c r="E994" s="246"/>
      <c r="F994" s="210" t="str">
        <f>IFERROR(IF($E994="Inventory",VLOOKUP($C994,Inventory!$B:$I,3,FALSE()),IF($E994="Non Inventory",VLOOKUP($C994,'Non Inventory'!$B:$I,3,FALSE()),IF($E994="Services",VLOOKUP($C994,Services!$B:$I,3,FALSE()),IF($E994="Patty Cash",VLOOKUP($C994,'Patty Cash'!$B:$J,3,FALSE()),"")))),"")</f>
        <v/>
      </c>
      <c r="G994" s="211"/>
      <c r="H994" s="212" t="str">
        <f>IF($E994="","",IF($E994="Inventory",IFERROR(VLOOKUP($C994,Inventory!$B:$H,7,FALSE()),0),IF($E994="Non Inventory",IFERROR(VLOOKUP($C994,'Non Inventory'!$B:$H,7,FALSE()),0),IF($E994="Services",IFERROR(VLOOKUP($C994,Services!$B:$H,7,FALSE()),0),IF($E994="Patty Cash",IFERROR(VLOOKUP($C994,'Patty Cash'!$B:$H,7,FALSE()),0),0)))))</f>
        <v/>
      </c>
      <c r="I994" s="213"/>
      <c r="J994" s="214"/>
      <c r="K994" s="215"/>
      <c r="L994" s="197"/>
      <c r="M994" s="215"/>
      <c r="N994" s="216">
        <f>IFERROR(IF($E994="Inventory",VLOOKUP($C994,Inventory!$B:$I,8,FALSE()),IF($E994="Non Inventory",VLOOKUP($C994,'Non Inventory'!$B:$I,8,FALSE()),IF($E994="Services",VLOOKUP($C994,Services!$B:$I,8,FALSE()),IF($E994="Patty Cash",VLOOKUP($C994,'Patty Cash'!$B:$J,8,FALSE()),0)))),0)</f>
        <v>0</v>
      </c>
      <c r="O994" s="217" t="str">
        <f t="shared" si="15"/>
        <v/>
      </c>
    </row>
    <row r="995" spans="1:15" ht="23.1" customHeight="1">
      <c r="A995" s="206" t="str">
        <f>IF(AND($B995="",$C995=""),"",MAX($A$3:A994)+1)</f>
        <v/>
      </c>
      <c r="B995" s="207"/>
      <c r="C995" s="208"/>
      <c r="D995" s="209" t="str">
        <f>IFERROR(IF($E995="Inventory",VLOOKUP($C995,Inventory!$B:$I,2,FALSE()),IF($E995="Non Inventory",VLOOKUP($C995,'Non Inventory'!$B:$I,2,FALSE()),IF($E995="Services",VLOOKUP($C995,Services!$B:$I,2,FALSE()),IF($E995="Patty Cash",VLOOKUP($C995,'Patty Cash'!$B:$J,2,FALSE()),"")))),"")</f>
        <v/>
      </c>
      <c r="E995" s="246"/>
      <c r="F995" s="218" t="str">
        <f>IFERROR(IF($E995="Inventory",VLOOKUP($C995,Inventory!$B:$I,3,FALSE()),IF($E995="Non Inventory",VLOOKUP($C995,'Non Inventory'!$B:$I,3,FALSE()),IF($E995="Services",VLOOKUP($C995,Services!$B:$I,3,FALSE()),IF($E995="Patty Cash",VLOOKUP($C995,'Patty Cash'!$B:$J,3,FALSE()),"")))),"")</f>
        <v/>
      </c>
      <c r="G995" s="211"/>
      <c r="H995" s="212" t="str">
        <f>IF($E995="","",IF($E995="Inventory",IFERROR(VLOOKUP($C995,Inventory!$B:$H,7,FALSE()),0),IF($E995="Non Inventory",IFERROR(VLOOKUP($C995,'Non Inventory'!$B:$H,7,FALSE()),0),IF($E995="Services",IFERROR(VLOOKUP($C995,Services!$B:$H,7,FALSE()),0),IF($E995="Patty Cash",IFERROR(VLOOKUP($C995,'Patty Cash'!$B:$H,7,FALSE()),0),0)))))</f>
        <v/>
      </c>
      <c r="I995" s="213"/>
      <c r="J995" s="214"/>
      <c r="K995" s="215"/>
      <c r="L995" s="197"/>
      <c r="M995" s="215"/>
      <c r="N995" s="216">
        <f>IFERROR(IF($E995="Inventory",VLOOKUP($C995,Inventory!$B:$I,8,FALSE()),IF($E995="Non Inventory",VLOOKUP($C995,'Non Inventory'!$B:$I,8,FALSE()),IF($E995="Services",VLOOKUP($C995,Services!$B:$I,8,FALSE()),IF($E995="Patty Cash",VLOOKUP($C995,'Patty Cash'!$B:$J,8,FALSE()),0)))),0)</f>
        <v>0</v>
      </c>
      <c r="O995" s="217" t="str">
        <f t="shared" si="15"/>
        <v/>
      </c>
    </row>
    <row r="996" spans="1:15" ht="23.1" customHeight="1">
      <c r="A996" s="206" t="str">
        <f>IF(AND($B996="",$C996=""),"",MAX($A$3:A995)+1)</f>
        <v/>
      </c>
      <c r="B996" s="207"/>
      <c r="C996" s="208"/>
      <c r="D996" s="209" t="str">
        <f>IFERROR(IF($E996="Inventory",VLOOKUP($C996,Inventory!$B:$I,2,FALSE()),IF($E996="Non Inventory",VLOOKUP($C996,'Non Inventory'!$B:$I,2,FALSE()),IF($E996="Services",VLOOKUP($C996,Services!$B:$I,2,FALSE()),IF($E996="Patty Cash",VLOOKUP($C996,'Patty Cash'!$B:$J,2,FALSE()),"")))),"")</f>
        <v/>
      </c>
      <c r="E996" s="246"/>
      <c r="F996" s="218" t="str">
        <f>IFERROR(IF($E996="Inventory",VLOOKUP($C996,Inventory!$B:$I,3,FALSE()),IF($E996="Non Inventory",VLOOKUP($C996,'Non Inventory'!$B:$I,3,FALSE()),IF($E996="Services",VLOOKUP($C996,Services!$B:$I,3,FALSE()),IF($E996="Patty Cash",VLOOKUP($C996,'Patty Cash'!$B:$J,3,FALSE()),"")))),"")</f>
        <v/>
      </c>
      <c r="G996" s="211"/>
      <c r="H996" s="212" t="str">
        <f>IF($E996="","",IF($E996="Inventory",IFERROR(VLOOKUP($C996,Inventory!$B:$H,7,FALSE()),0),IF($E996="Non Inventory",IFERROR(VLOOKUP($C996,'Non Inventory'!$B:$H,7,FALSE()),0),IF($E996="Services",IFERROR(VLOOKUP($C996,Services!$B:$H,7,FALSE()),0),IF($E996="Patty Cash",IFERROR(VLOOKUP($C996,'Patty Cash'!$B:$H,7,FALSE()),0),0)))))</f>
        <v/>
      </c>
      <c r="I996" s="213"/>
      <c r="J996" s="214"/>
      <c r="K996" s="215"/>
      <c r="L996" s="197"/>
      <c r="M996" s="215"/>
      <c r="N996" s="216">
        <f>IFERROR(IF($E996="Inventory",VLOOKUP($C996,Inventory!$B:$I,8,FALSE()),IF($E996="Non Inventory",VLOOKUP($C996,'Non Inventory'!$B:$I,8,FALSE()),IF($E996="Services",VLOOKUP($C996,Services!$B:$I,8,FALSE()),IF($E996="Patty Cash",VLOOKUP($C996,'Patty Cash'!$B:$J,8,FALSE()),0)))),0)</f>
        <v>0</v>
      </c>
      <c r="O996" s="217" t="str">
        <f t="shared" si="15"/>
        <v/>
      </c>
    </row>
    <row r="997" spans="1:15" ht="23.1" customHeight="1">
      <c r="A997" s="206" t="str">
        <f>IF(AND($B997="",$C997=""),"",MAX($A$3:A996)+1)</f>
        <v/>
      </c>
      <c r="B997" s="207"/>
      <c r="C997" s="208"/>
      <c r="D997" s="209" t="str">
        <f>IFERROR(IF($E997="Inventory",VLOOKUP($C997,Inventory!$B:$I,2,FALSE()),IF($E997="Non Inventory",VLOOKUP($C997,'Non Inventory'!$B:$I,2,FALSE()),IF($E997="Services",VLOOKUP($C997,Services!$B:$I,2,FALSE()),IF($E997="Patty Cash",VLOOKUP($C997,'Patty Cash'!$B:$J,2,FALSE()),"")))),"")</f>
        <v/>
      </c>
      <c r="E997" s="246"/>
      <c r="F997" s="218" t="str">
        <f>IFERROR(IF($E997="Inventory",VLOOKUP($C997,Inventory!$B:$I,3,FALSE()),IF($E997="Non Inventory",VLOOKUP($C997,'Non Inventory'!$B:$I,3,FALSE()),IF($E997="Services",VLOOKUP($C997,Services!$B:$I,3,FALSE()),IF($E997="Patty Cash",VLOOKUP($C997,'Patty Cash'!$B:$J,3,FALSE()),"")))),"")</f>
        <v/>
      </c>
      <c r="G997" s="211"/>
      <c r="H997" s="212" t="str">
        <f>IF($E997="","",IF($E997="Inventory",IFERROR(VLOOKUP($C997,Inventory!$B:$H,7,FALSE()),0),IF($E997="Non Inventory",IFERROR(VLOOKUP($C997,'Non Inventory'!$B:$H,7,FALSE()),0),IF($E997="Services",IFERROR(VLOOKUP($C997,Services!$B:$H,7,FALSE()),0),IF($E997="Patty Cash",IFERROR(VLOOKUP($C997,'Patty Cash'!$B:$H,7,FALSE()),0),0)))))</f>
        <v/>
      </c>
      <c r="I997" s="213"/>
      <c r="J997" s="214"/>
      <c r="K997" s="215"/>
      <c r="L997" s="197"/>
      <c r="M997" s="215"/>
      <c r="N997" s="216">
        <f>IFERROR(IF($E997="Inventory",VLOOKUP($C997,Inventory!$B:$I,8,FALSE()),IF($E997="Non Inventory",VLOOKUP($C997,'Non Inventory'!$B:$I,8,FALSE()),IF($E997="Services",VLOOKUP($C997,Services!$B:$I,8,FALSE()),IF($E997="Patty Cash",VLOOKUP($C997,'Patty Cash'!$B:$J,8,FALSE()),0)))),0)</f>
        <v>0</v>
      </c>
      <c r="O997" s="217" t="str">
        <f t="shared" si="15"/>
        <v/>
      </c>
    </row>
    <row r="998" spans="1:15" ht="23.1" customHeight="1">
      <c r="A998" s="219" t="str">
        <f>IF(AND($B998="",$C998=""),"",MAX($A$3:A997)+1)</f>
        <v/>
      </c>
      <c r="B998" s="220"/>
      <c r="C998" s="221"/>
      <c r="D998" s="209" t="str">
        <f>IFERROR(IF($E998="Inventory",VLOOKUP($C998,Inventory!$B:$I,2,FALSE()),IF($E998="Non Inventory",VLOOKUP($C998,'Non Inventory'!$B:$I,2,FALSE()),IF($E998="Services",VLOOKUP($C998,Services!$B:$I,2,FALSE()),IF($E998="Patty Cash",VLOOKUP($C998,'Patty Cash'!$B:$J,2,FALSE()),"")))),"")</f>
        <v/>
      </c>
      <c r="E998" s="247"/>
      <c r="F998" s="222" t="str">
        <f>IFERROR(IF($E998="Inventory",VLOOKUP($C998,Inventory!$B:$I,3,FALSE()),IF($E998="Non Inventory",VLOOKUP($C998,'Non Inventory'!$B:$I,3,FALSE()),IF($E998="Services",VLOOKUP($C998,Services!$B:$I,3,FALSE()),IF($E998="Patty Cash",VLOOKUP($C998,'Patty Cash'!$B:$J,3,FALSE()),"")))),"")</f>
        <v/>
      </c>
      <c r="G998" s="223"/>
      <c r="H998" s="224" t="str">
        <f>IF($E998="","",IF($E998="Inventory",IFERROR(VLOOKUP($C998,Inventory!$B:$H,7,FALSE()),0),IF($E998="Non Inventory",IFERROR(VLOOKUP($C998,'Non Inventory'!$B:$H,7,FALSE()),0),IF($E998="Services",IFERROR(VLOOKUP($C998,Services!$B:$H,7,FALSE()),0),IF($E998="Patty Cash",IFERROR(VLOOKUP($C998,'Patty Cash'!$B:$H,7,FALSE()),0),0)))))</f>
        <v/>
      </c>
      <c r="I998" s="225"/>
      <c r="J998" s="226"/>
      <c r="K998" s="227"/>
      <c r="L998" s="228"/>
      <c r="M998" s="227"/>
      <c r="N998" s="229">
        <f>IFERROR(IF($E998="Inventory",VLOOKUP($C998,Inventory!$B:$I,8,FALSE()),IF($E998="Non Inventory",VLOOKUP($C998,'Non Inventory'!$B:$I,8,FALSE()),IF($E998="Services",VLOOKUP($C998,Services!$B:$I,8,FALSE()),IF($E998="Patty Cash",VLOOKUP($C998,'Patty Cash'!$B:$J,8,FALSE()),0)))),0)</f>
        <v>0</v>
      </c>
      <c r="O998" s="230" t="str">
        <f t="shared" si="15"/>
        <v/>
      </c>
    </row>
  </sheetData>
  <mergeCells count="2">
    <mergeCell ref="A1:O1"/>
    <mergeCell ref="A2:O2"/>
  </mergeCells>
  <conditionalFormatting sqref="E4:E998">
    <cfRule type="expression" dxfId="64" priority="1">
      <formula>$E4="Inventory"</formula>
    </cfRule>
  </conditionalFormatting>
  <conditionalFormatting sqref="E4:E998">
    <cfRule type="expression" dxfId="63" priority="2">
      <formula>$E4="Non Inventory"</formula>
    </cfRule>
  </conditionalFormatting>
  <conditionalFormatting sqref="E4:E998">
    <cfRule type="expression" dxfId="62" priority="3">
      <formula>$E4="General"</formula>
    </cfRule>
  </conditionalFormatting>
  <conditionalFormatting sqref="E4:E998">
    <cfRule type="expression" dxfId="61" priority="4">
      <formula>$E4="Services"</formula>
    </cfRule>
  </conditionalFormatting>
  <conditionalFormatting sqref="E4:E998">
    <cfRule type="expression" dxfId="60" priority="5">
      <formula>$E4="Patty Cash"</formula>
    </cfRule>
  </conditionalFormatting>
  <conditionalFormatting sqref="H4:H998">
    <cfRule type="expression" dxfId="59" priority="6">
      <formula>AND($H4&lt;&gt;"",OR($H4=0,$H4=1))</formula>
    </cfRule>
  </conditionalFormatting>
  <conditionalFormatting sqref="H4:H998">
    <cfRule type="expression" dxfId="58" priority="7">
      <formula>AND($H4&lt;&gt;"",$H4&lt;&gt;0,$H4&lt;&gt;1)</formula>
    </cfRule>
  </conditionalFormatting>
  <dataValidations count="1">
    <dataValidation type="list" allowBlank="1" showInputMessage="1" showErrorMessage="1" sqref="L4:L998" xr:uid="{6CA0A5CE-0531-4C7B-B59C-9EECABD0F691}">
      <formula1>Shift_List</formula1>
    </dataValidation>
  </dataValidations>
  <pageMargins left="0.7" right="0.7" top="0.75" bottom="0.75" header="0.511811023622047" footer="0.511811023622047"/>
  <pageSetup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600-000001000000}">
          <x14:formula1>
            <xm:f>List!$C$5:$C$9</xm:f>
          </x14:formula1>
          <xm:sqref>E4:E998</xm:sqref>
        </x14:dataValidation>
        <x14:dataValidation type="list" allowBlank="1" showInputMessage="1" showErrorMessage="1" xr:uid="{00000000-0002-0000-0600-000002000000}">
          <x14:formula1>
            <xm:f>List!$G$5:$G$32</xm:f>
          </x14:formula1>
          <xm:sqref>K4:K998</xm:sqref>
        </x14:dataValidation>
        <x14:dataValidation type="list" allowBlank="1" showInputMessage="1" showErrorMessage="1" xr:uid="{00000000-0002-0000-0600-000003000000}">
          <x14:formula1>
            <xm:f>List!$F$5:$F$8</xm:f>
          </x14:formula1>
          <xm:sqref>M4:M998</xm:sqref>
        </x14:dataValidation>
        <x14:dataValidation type="list" allowBlank="1" showInputMessage="1" showErrorMessage="1" xr:uid="{00000000-0002-0000-0600-000004000000}">
          <x14:formula1>
            <xm:f>List!$B$5:$B$59</xm:f>
          </x14:formula1>
          <xm:sqref>I4:I998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rgb="FF1F4E78"/>
  </sheetPr>
  <dimension ref="A1:N995"/>
  <sheetViews>
    <sheetView showGridLines="0" tabSelected="1" zoomScaleNormal="100" workbookViewId="0">
      <pane ySplit="3" topLeftCell="A4" activePane="bottomLeft" state="frozen"/>
      <selection pane="bottomLeft" activeCell="D18" sqref="D18"/>
    </sheetView>
  </sheetViews>
  <sheetFormatPr defaultColWidth="9.140625" defaultRowHeight="20.100000000000001" customHeight="1"/>
  <cols>
    <col min="1" max="1" width="8" style="16" customWidth="1"/>
    <col min="2" max="2" width="18.85546875" style="12" bestFit="1" customWidth="1"/>
    <col min="3" max="3" width="13.7109375" style="16" customWidth="1"/>
    <col min="4" max="4" width="51.42578125" style="15" customWidth="1"/>
    <col min="5" max="5" width="18.28515625" style="13" customWidth="1"/>
    <col min="6" max="6" width="11" style="16" customWidth="1"/>
    <col min="7" max="7" width="18.5703125" style="376" bestFit="1" customWidth="1"/>
    <col min="8" max="8" width="15" style="376" bestFit="1" customWidth="1"/>
    <col min="9" max="9" width="15.140625" style="11" bestFit="1" customWidth="1"/>
    <col min="10" max="10" width="10.5703125" style="11" bestFit="1" customWidth="1"/>
    <col min="11" max="11" width="49.140625" style="14" bestFit="1" customWidth="1"/>
    <col min="12" max="12" width="17.42578125" style="14" bestFit="1" customWidth="1"/>
    <col min="13" max="13" width="17.28515625" style="14" bestFit="1" customWidth="1"/>
    <col min="14" max="14" width="27.140625" style="26" bestFit="1" customWidth="1"/>
    <col min="15" max="15" width="9.140625" style="2" customWidth="1"/>
    <col min="16" max="16384" width="9.140625" style="2"/>
  </cols>
  <sheetData>
    <row r="1" spans="1:14" ht="39" customHeight="1" thickTop="1">
      <c r="A1" s="486" t="s">
        <v>1257</v>
      </c>
      <c r="B1" s="487"/>
      <c r="C1" s="487"/>
      <c r="D1" s="487"/>
      <c r="E1" s="487"/>
      <c r="F1" s="487"/>
      <c r="G1" s="487"/>
      <c r="H1" s="487"/>
      <c r="I1" s="487"/>
      <c r="J1" s="487"/>
      <c r="K1" s="487"/>
      <c r="L1" s="487"/>
      <c r="M1" s="487"/>
      <c r="N1" s="488"/>
    </row>
    <row r="2" spans="1:14" ht="20.100000000000001" customHeight="1" thickBot="1">
      <c r="A2" s="489" t="s">
        <v>1</v>
      </c>
      <c r="B2" s="490"/>
      <c r="C2" s="490"/>
      <c r="D2" s="490"/>
      <c r="E2" s="490"/>
      <c r="F2" s="490"/>
      <c r="G2" s="490"/>
      <c r="H2" s="490"/>
      <c r="I2" s="490"/>
      <c r="J2" s="490"/>
      <c r="K2" s="490"/>
      <c r="L2" s="490"/>
      <c r="M2" s="490"/>
      <c r="N2" s="491"/>
    </row>
    <row r="3" spans="1:14" ht="24" customHeight="1" thickBot="1">
      <c r="A3" s="261" t="s">
        <v>1185</v>
      </c>
      <c r="B3" s="261" t="s">
        <v>1258</v>
      </c>
      <c r="C3" s="191" t="s">
        <v>91</v>
      </c>
      <c r="D3" s="192" t="s">
        <v>92</v>
      </c>
      <c r="E3" s="182" t="s">
        <v>5</v>
      </c>
      <c r="F3" s="182" t="s">
        <v>93</v>
      </c>
      <c r="G3" s="372" t="s">
        <v>1259</v>
      </c>
      <c r="H3" s="372" t="s">
        <v>1260</v>
      </c>
      <c r="I3" s="182" t="s">
        <v>98</v>
      </c>
      <c r="J3" s="182" t="s">
        <v>88</v>
      </c>
      <c r="K3" s="182" t="s">
        <v>1261</v>
      </c>
      <c r="L3" s="182" t="s">
        <v>1262</v>
      </c>
      <c r="M3" s="182" t="s">
        <v>1263</v>
      </c>
      <c r="N3" s="182" t="s">
        <v>1264</v>
      </c>
    </row>
    <row r="4" spans="1:14" ht="20.100000000000001" customHeight="1">
      <c r="A4" s="319">
        <f>IF(AND($B4="",$C4=""),"",MAX($A$3:A3)+1)</f>
        <v>1</v>
      </c>
      <c r="B4" s="320">
        <v>46144</v>
      </c>
      <c r="C4" s="321">
        <v>17237</v>
      </c>
      <c r="D4" s="322" t="str">
        <f>IFERROR(IF($E4="Inventory",VLOOKUP($C4,Inventory!$B:$I,2,FALSE()),IF($E4="Non Inventory",VLOOKUP($C4,'Non Inventory'!$B:$I,2,FALSE()),IF($E4="Services",VLOOKUP($C4,Services!$B:$I,2,FALSE()),IF($E4="Patty Cash",VLOOKUP($C4,'Patty Cash'!$B:$J,2,FALSE()),"")))),"")</f>
        <v>Film Puling Belt Size Dia=292mm W=38mm T=6mm (Material NBR)For Ishida Packing Machine</v>
      </c>
      <c r="E4" s="323" t="s">
        <v>6</v>
      </c>
      <c r="F4" s="324" t="str">
        <f>IFERROR(IF($E4="Inventory",VLOOKUP($C4,Inventory!$B:$I,3,FALSE()),IF($E4="Non Inventory",VLOOKUP($C4,'Non Inventory'!$B:$I,3,FALSE()),IF($E4="Services",VLOOKUP($C4,Services!$B:$I,3,FALSE()),IF($E4="Patty Cash",VLOOKUP($C4,'Patty Cash'!$B:$J,3,FALSE()),"")))),"")</f>
        <v>NOS</v>
      </c>
      <c r="G4" s="373">
        <v>3</v>
      </c>
      <c r="H4" s="373">
        <f t="shared" ref="H4:H62" si="0">IF($G4="","",G4)</f>
        <v>3</v>
      </c>
      <c r="I4" s="325">
        <f>IFERROR(IF($E4="Inventory",VLOOKUP($C4,Inventory!$B:$I,8,FALSE()),IF($E4="Non Inventory",VLOOKUP($C4,'Non Inventory'!$B:$I,8,FALSE()),IF($E4="Services",VLOOKUP($C4,Services!$B:$I,8,FALSE()),IF($E4="Patty Cash",VLOOKUP($C4,'Patty Cash'!$B:$J,8,FALSE()),0)))),0)</f>
        <v>9000</v>
      </c>
      <c r="J4" s="325">
        <f t="shared" ref="J4:J62" si="1">IF($H4="","",H4*I4)</f>
        <v>27000</v>
      </c>
      <c r="K4" s="321" t="s">
        <v>1265</v>
      </c>
      <c r="L4" s="321" t="s">
        <v>1196</v>
      </c>
      <c r="M4" s="321" t="s">
        <v>1266</v>
      </c>
      <c r="N4" s="326" t="s">
        <v>1267</v>
      </c>
    </row>
    <row r="5" spans="1:14" s="9" customFormat="1" ht="20.100000000000001" customHeight="1">
      <c r="A5" s="327">
        <f>IF(AND($B5="",$C5=""),"",MAX($A$3:A4)+1)</f>
        <v>2</v>
      </c>
      <c r="B5" s="262">
        <v>46144</v>
      </c>
      <c r="C5" s="253">
        <v>16405</v>
      </c>
      <c r="D5" s="249" t="str">
        <f>IFERROR(IF($E5="Inventory",VLOOKUP($C5,Inventory!$B:$I,2,FALSE()),IF($E5="Non Inventory",VLOOKUP($C5,'Non Inventory'!$B:$I,2,FALSE()),IF($E5="Services",VLOOKUP($C5,Services!$B:$I,2,FALSE()),IF($E5="Patty Cash",VLOOKUP($C5,'Patty Cash'!$B:$J,2,FALSE()),"")))),"")</f>
        <v>Chemical Sona Urea for wast water treatment</v>
      </c>
      <c r="E5" s="250" t="s">
        <v>7</v>
      </c>
      <c r="F5" s="263" t="str">
        <f>IFERROR(IF($E5="Inventory",VLOOKUP($C5,Inventory!$B:$I,3,FALSE()),IF($E5="Non Inventory",VLOOKUP($C5,'Non Inventory'!$B:$I,3,FALSE()),IF($E5="Services",VLOOKUP($C5,Services!$B:$I,3,FALSE()),IF($E5="Patty Cash",VLOOKUP($C5,'Patty Cash'!$B:$J,3,FALSE()),"")))),"")</f>
        <v>KGS</v>
      </c>
      <c r="G5" s="374">
        <v>400</v>
      </c>
      <c r="H5" s="374">
        <f>IF($G5="","",G5)</f>
        <v>400</v>
      </c>
      <c r="I5" s="252">
        <f>IFERROR(IF($E5="Inventory",VLOOKUP($C5,Inventory!$B:$I,8,FALSE()),IF($E5="Non Inventory",VLOOKUP($C5,'Non Inventory'!$B:$I,8,FALSE()),IF($E5="Services",VLOOKUP($C5,Services!$B:$I,8,FALSE()),IF($E5="Patty Cash",VLOOKUP($C5,'Patty Cash'!$B:$J,8,FALSE()),0)))),0)</f>
        <v>172</v>
      </c>
      <c r="J5" s="252">
        <f>IF($H5="","",H5*I5)</f>
        <v>68800</v>
      </c>
      <c r="K5" s="253" t="s">
        <v>1276</v>
      </c>
      <c r="L5" s="253" t="s">
        <v>1196</v>
      </c>
      <c r="M5" s="253" t="s">
        <v>1270</v>
      </c>
      <c r="N5" s="328" t="s">
        <v>1272</v>
      </c>
    </row>
    <row r="6" spans="1:14" s="9" customFormat="1" ht="20.100000000000001" customHeight="1">
      <c r="A6" s="327">
        <f>IF(AND($B6="",$C6=""),"",MAX($A$3:A5)+1)</f>
        <v>3</v>
      </c>
      <c r="B6" s="262">
        <v>46144</v>
      </c>
      <c r="C6" s="253">
        <v>20226</v>
      </c>
      <c r="D6" s="249" t="str">
        <f>IFERROR(IF($E6="Inventory",VLOOKUP($C6,Inventory!$B:$I,2,FALSE()),IF($E6="Non Inventory",VLOOKUP($C6,'Non Inventory'!$B:$I,2,FALSE()),IF($E6="Services",VLOOKUP($C6,Services!$B:$I,2,FALSE()),IF($E6="Patty Cash",VLOOKUP($C6,'Patty Cash'!$B:$J,2,FALSE()),"")))),"")</f>
        <v>DAP Chemical For  Waste Water Treatmnet Plant</v>
      </c>
      <c r="E6" s="250" t="s">
        <v>7</v>
      </c>
      <c r="F6" s="263" t="str">
        <f>IFERROR(IF($E6="Inventory",VLOOKUP($C6,Inventory!$B:$I,3,FALSE()),IF($E6="Non Inventory",VLOOKUP($C6,'Non Inventory'!$B:$I,3,FALSE()),IF($E6="Services",VLOOKUP($C6,Services!$B:$I,3,FALSE()),IF($E6="Patty Cash",VLOOKUP($C6,'Patty Cash'!$B:$J,3,FALSE()),"")))),"")</f>
        <v>KGS</v>
      </c>
      <c r="G6" s="374">
        <v>400</v>
      </c>
      <c r="H6" s="374">
        <f>IF($G6="","",G6)</f>
        <v>400</v>
      </c>
      <c r="I6" s="252">
        <f>IFERROR(IF($E6="Inventory",VLOOKUP($C6,Inventory!$B:$I,8,FALSE()),IF($E6="Non Inventory",VLOOKUP($C6,'Non Inventory'!$B:$I,8,FALSE()),IF($E6="Services",VLOOKUP($C6,Services!$B:$I,8,FALSE()),IF($E6="Patty Cash",VLOOKUP($C6,'Patty Cash'!$B:$J,8,FALSE()),0)))),0)</f>
        <v>375</v>
      </c>
      <c r="J6" s="252">
        <f>IF($H6="","",H6*I6)</f>
        <v>150000</v>
      </c>
      <c r="K6" s="253" t="s">
        <v>1276</v>
      </c>
      <c r="L6" s="253" t="s">
        <v>1196</v>
      </c>
      <c r="M6" s="253" t="s">
        <v>1270</v>
      </c>
      <c r="N6" s="328" t="s">
        <v>1272</v>
      </c>
    </row>
    <row r="7" spans="1:14" s="9" customFormat="1" ht="20.100000000000001" customHeight="1">
      <c r="A7" s="327">
        <f>IF(AND($B7="",$C7=""),"",MAX($A$3:A6)+1)</f>
        <v>4</v>
      </c>
      <c r="B7" s="262">
        <v>46144</v>
      </c>
      <c r="C7" s="253">
        <v>6680</v>
      </c>
      <c r="D7" s="249" t="str">
        <f>IFERROR(IF($E7="Inventory",VLOOKUP($C7,Inventory!$B:$I,2,FALSE()),IF($E7="Non Inventory",VLOOKUP($C7,'Non Inventory'!$B:$I,2,FALSE()),IF($E7="Services",VLOOKUP($C7,Services!$B:$I,2,FALSE()),IF($E7="Patty Cash",VLOOKUP($C7,'Patty Cash'!$B:$J,2,FALSE()),"")))),"")</f>
        <v>Taping Machine Belt With Center Guide Size L-75" X W-2" (CTN.Sealer Machine)</v>
      </c>
      <c r="E7" s="250" t="s">
        <v>6</v>
      </c>
      <c r="F7" s="263" t="str">
        <f>IFERROR(IF($E7="Inventory",VLOOKUP($C7,Inventory!$B:$I,3,FALSE()),IF($E7="Non Inventory",VLOOKUP($C7,'Non Inventory'!$B:$I,3,FALSE()),IF($E7="Services",VLOOKUP($C7,Services!$B:$I,3,FALSE()),IF($E7="Patty Cash",VLOOKUP($C7,'Patty Cash'!$B:$J,3,FALSE()),"")))),"")</f>
        <v>NOS</v>
      </c>
      <c r="G7" s="374">
        <v>2</v>
      </c>
      <c r="H7" s="374">
        <f>IF($G7="","",G7)</f>
        <v>2</v>
      </c>
      <c r="I7" s="252">
        <f>IFERROR(IF($E7="Inventory",VLOOKUP($C7,Inventory!$B:$I,8,FALSE()),IF($E7="Non Inventory",VLOOKUP($C7,'Non Inventory'!$B:$I,8,FALSE()),IF($E7="Services",VLOOKUP($C7,Services!$B:$I,8,FALSE()),IF($E7="Patty Cash",VLOOKUP($C7,'Patty Cash'!$B:$J,8,FALSE()),0)))),0)</f>
        <v>5500</v>
      </c>
      <c r="J7" s="252">
        <f>IF($H7="","",H7*I7)</f>
        <v>11000</v>
      </c>
      <c r="K7" s="253" t="s">
        <v>1276</v>
      </c>
      <c r="L7" s="253" t="s">
        <v>1196</v>
      </c>
      <c r="M7" s="253" t="s">
        <v>1270</v>
      </c>
      <c r="N7" s="328" t="s">
        <v>1272</v>
      </c>
    </row>
    <row r="8" spans="1:14" ht="20.100000000000001" customHeight="1">
      <c r="A8" s="327">
        <f>IF(AND($B8="",$C8=""),"",MAX($A$3:A7)+1)</f>
        <v>5</v>
      </c>
      <c r="B8" s="262">
        <v>46148</v>
      </c>
      <c r="C8" s="253">
        <v>14057</v>
      </c>
      <c r="D8" s="249" t="str">
        <f>IFERROR(IF($E8="Inventory",VLOOKUP($C8,Inventory!$B:$I,2,FALSE()),IF($E8="Non Inventory",VLOOKUP($C8,'Non Inventory'!$B:$I,2,FALSE()),IF($E8="Services",VLOOKUP($C8,Services!$B:$I,2,FALSE()),IF($E8="Patty Cash",VLOOKUP($C8,'Patty Cash'!$B:$J,2,FALSE()),"")))),"")</f>
        <v>Film Pulling Belt Size Dia=318mm W=40mm T=7mm Material NBR (Korea Interpack Packing Machine)</v>
      </c>
      <c r="E8" s="250" t="s">
        <v>6</v>
      </c>
      <c r="F8" s="263" t="str">
        <f>IFERROR(IF($E8="Inventory",VLOOKUP($C8,Inventory!$B:$I,3,FALSE()),IF($E8="Non Inventory",VLOOKUP($C8,'Non Inventory'!$B:$I,3,FALSE()),IF($E8="Services",VLOOKUP($C8,Services!$B:$I,3,FALSE()),IF($E8="Patty Cash",VLOOKUP($C8,'Patty Cash'!$B:$J,3,FALSE()),"")))),"")</f>
        <v>NOS</v>
      </c>
      <c r="G8" s="374">
        <v>6</v>
      </c>
      <c r="H8" s="374">
        <f t="shared" si="0"/>
        <v>6</v>
      </c>
      <c r="I8" s="252">
        <f>IFERROR(IF($E8="Inventory",VLOOKUP($C8,Inventory!$B:$I,8,FALSE()),IF($E8="Non Inventory",VLOOKUP($C8,'Non Inventory'!$B:$I,8,FALSE()),IF($E8="Services",VLOOKUP($C8,Services!$B:$I,8,FALSE()),IF($E8="Patty Cash",VLOOKUP($C8,'Patty Cash'!$B:$J,8,FALSE()),0)))),0)</f>
        <v>10000</v>
      </c>
      <c r="J8" s="252">
        <f t="shared" si="1"/>
        <v>60000</v>
      </c>
      <c r="K8" s="253" t="s">
        <v>1265</v>
      </c>
      <c r="L8" s="253" t="s">
        <v>1196</v>
      </c>
      <c r="M8" s="253" t="s">
        <v>1266</v>
      </c>
      <c r="N8" s="328" t="s">
        <v>1268</v>
      </c>
    </row>
    <row r="9" spans="1:14" ht="20.100000000000001" customHeight="1">
      <c r="A9" s="327">
        <f>IF(AND($B9="",$C9=""),"",MAX($A$3:A8)+1)</f>
        <v>6</v>
      </c>
      <c r="B9" s="262">
        <v>46146</v>
      </c>
      <c r="C9" s="253">
        <v>14715</v>
      </c>
      <c r="D9" s="249" t="str">
        <f>IFERROR(IF($E9="Inventory",VLOOKUP($C9,Inventory!$B:$I,2,FALSE()),IF($E9="Non Inventory",VLOOKUP($C9,'Non Inventory'!$B:$I,2,FALSE()),IF($E9="Services",VLOOKUP($C9,Services!$B:$I,2,FALSE()),IF($E9="Patty Cash",VLOOKUP($C9,'Patty Cash'!$B:$J,2,FALSE()),"")))),"")</f>
        <v>Auto Drain Valve Size 1/2"</v>
      </c>
      <c r="E9" s="250" t="s">
        <v>7</v>
      </c>
      <c r="F9" s="263" t="str">
        <f>IFERROR(IF($E9="Inventory",VLOOKUP($C9,Inventory!$B:$I,3,FALSE()),IF($E9="Non Inventory",VLOOKUP($C9,'Non Inventory'!$B:$I,3,FALSE()),IF($E9="Services",VLOOKUP($C9,Services!$B:$I,3,FALSE()),IF($E9="Patty Cash",VLOOKUP($C9,'Patty Cash'!$B:$J,3,FALSE()),"")))),"")</f>
        <v>NOS</v>
      </c>
      <c r="G9" s="374">
        <v>2</v>
      </c>
      <c r="H9" s="374">
        <f t="shared" si="0"/>
        <v>2</v>
      </c>
      <c r="I9" s="252">
        <f>IFERROR(IF($E9="Inventory",VLOOKUP($C9,Inventory!$B:$I,8,FALSE()),IF($E9="Non Inventory",VLOOKUP($C9,'Non Inventory'!$B:$I,8,FALSE()),IF($E9="Services",VLOOKUP($C9,Services!$B:$I,8,FALSE()),IF($E9="Patty Cash",VLOOKUP($C9,'Patty Cash'!$B:$J,8,FALSE()),0)))),0)</f>
        <v>9000</v>
      </c>
      <c r="J9" s="252">
        <f t="shared" si="1"/>
        <v>18000</v>
      </c>
      <c r="K9" s="253" t="s">
        <v>1269</v>
      </c>
      <c r="L9" s="253" t="s">
        <v>1196</v>
      </c>
      <c r="M9" s="253" t="s">
        <v>1270</v>
      </c>
      <c r="N9" s="328" t="s">
        <v>1268</v>
      </c>
    </row>
    <row r="10" spans="1:14" ht="20.100000000000001" customHeight="1">
      <c r="A10" s="327">
        <f>IF(AND($B10="",$C10=""),"",MAX($A$3:A9)+1)</f>
        <v>7</v>
      </c>
      <c r="B10" s="262">
        <v>46146</v>
      </c>
      <c r="C10" s="253">
        <v>11936</v>
      </c>
      <c r="D10" s="249" t="str">
        <f>IFERROR(IF($E10="Inventory",VLOOKUP($C10,Inventory!$B:$I,2,FALSE()),IF($E10="Non Inventory",VLOOKUP($C10,'Non Inventory'!$B:$I,2,FALSE()),IF($E10="Services",VLOOKUP($C10,Services!$B:$I,2,FALSE()),IF($E10="Patty Cash",VLOOKUP($C10,'Patty Cash'!$B:$J,2,FALSE()),"")))),"")</f>
        <v>Industrial Socket and Plug 32A 5 Pin</v>
      </c>
      <c r="E10" s="250" t="s">
        <v>7</v>
      </c>
      <c r="F10" s="263" t="str">
        <f>IFERROR(IF($E10="Inventory",VLOOKUP($C10,Inventory!$B:$I,3,FALSE()),IF($E10="Non Inventory",VLOOKUP($C10,'Non Inventory'!$B:$I,3,FALSE()),IF($E10="Services",VLOOKUP($C10,Services!$B:$I,3,FALSE()),IF($E10="Patty Cash",VLOOKUP($C10,'Patty Cash'!$B:$J,3,FALSE()),"")))),"")</f>
        <v>NOS</v>
      </c>
      <c r="G10" s="374">
        <v>3</v>
      </c>
      <c r="H10" s="374">
        <f t="shared" si="0"/>
        <v>3</v>
      </c>
      <c r="I10" s="252">
        <f>IFERROR(IF($E10="Inventory",VLOOKUP($C10,Inventory!$B:$I,8,FALSE()),IF($E10="Non Inventory",VLOOKUP($C10,'Non Inventory'!$B:$I,8,FALSE()),IF($E10="Services",VLOOKUP($C10,Services!$B:$I,8,FALSE()),IF($E10="Patty Cash",VLOOKUP($C10,'Patty Cash'!$B:$J,8,FALSE()),0)))),0)</f>
        <v>1900</v>
      </c>
      <c r="J10" s="252">
        <f t="shared" si="1"/>
        <v>5700</v>
      </c>
      <c r="K10" s="253" t="s">
        <v>1269</v>
      </c>
      <c r="L10" s="253" t="s">
        <v>1207</v>
      </c>
      <c r="M10" s="253" t="s">
        <v>1270</v>
      </c>
      <c r="N10" s="328" t="s">
        <v>1268</v>
      </c>
    </row>
    <row r="11" spans="1:14" ht="20.100000000000001" customHeight="1">
      <c r="A11" s="327">
        <f>IF(AND($B11="",$C11=""),"",MAX($A$3:A10)+1)</f>
        <v>8</v>
      </c>
      <c r="B11" s="262">
        <v>46146</v>
      </c>
      <c r="C11" s="253">
        <v>8330</v>
      </c>
      <c r="D11" s="249" t="str">
        <f>IFERROR(IF($E11="Inventory",VLOOKUP($C11,Inventory!$B:$I,2,FALSE()),IF($E11="Non Inventory",VLOOKUP($C11,'Non Inventory'!$B:$I,2,FALSE()),IF($E11="Services",VLOOKUP($C11,Services!$B:$I,2,FALSE()),IF($E11="Patty Cash",VLOOKUP($C11,'Patty Cash'!$B:$J,2,FALSE()),"")))),"")</f>
        <v>Industrial Socket and Plug 16A 3 Pin</v>
      </c>
      <c r="E11" s="250" t="s">
        <v>7</v>
      </c>
      <c r="F11" s="263" t="str">
        <f>IFERROR(IF($E11="Inventory",VLOOKUP($C11,Inventory!$B:$I,3,FALSE()),IF($E11="Non Inventory",VLOOKUP($C11,'Non Inventory'!$B:$I,3,FALSE()),IF($E11="Services",VLOOKUP($C11,Services!$B:$I,3,FALSE()),IF($E11="Patty Cash",VLOOKUP($C11,'Patty Cash'!$B:$J,3,FALSE()),"")))),"")</f>
        <v>SET</v>
      </c>
      <c r="G11" s="374">
        <v>6</v>
      </c>
      <c r="H11" s="374">
        <f t="shared" si="0"/>
        <v>6</v>
      </c>
      <c r="I11" s="252">
        <f>IFERROR(IF($E11="Inventory",VLOOKUP($C11,Inventory!$B:$I,8,FALSE()),IF($E11="Non Inventory",VLOOKUP($C11,'Non Inventory'!$B:$I,8,FALSE()),IF($E11="Services",VLOOKUP($C11,Services!$B:$I,8,FALSE()),IF($E11="Patty Cash",VLOOKUP($C11,'Patty Cash'!$B:$J,8,FALSE()),0)))),0)</f>
        <v>1180</v>
      </c>
      <c r="J11" s="252">
        <f t="shared" si="1"/>
        <v>7080</v>
      </c>
      <c r="K11" s="253" t="s">
        <v>1269</v>
      </c>
      <c r="L11" s="253" t="s">
        <v>1207</v>
      </c>
      <c r="M11" s="253" t="s">
        <v>1270</v>
      </c>
      <c r="N11" s="328" t="s">
        <v>1268</v>
      </c>
    </row>
    <row r="12" spans="1:14" ht="20.100000000000001" customHeight="1">
      <c r="A12" s="327">
        <f>IF(AND($B12="",$C12=""),"",MAX($A$3:A11)+1)</f>
        <v>9</v>
      </c>
      <c r="B12" s="262">
        <v>46146</v>
      </c>
      <c r="C12" s="253">
        <v>3651</v>
      </c>
      <c r="D12" s="249" t="str">
        <f>IFERROR(IF($E12="Inventory",VLOOKUP($C12,Inventory!$B:$I,2,FALSE()),IF($E12="Non Inventory",VLOOKUP($C12,'Non Inventory'!$B:$I,2,FALSE()),IF($E12="Services",VLOOKUP($C12,Services!$B:$I,2,FALSE()),IF($E12="Patty Cash",VLOOKUP($C12,'Patty Cash'!$B:$J,2,FALSE()),"")))),"")</f>
        <v>Cable Flexible, Copper Conductor, 4 core 1 mm², 300/500 volt rating.</v>
      </c>
      <c r="E12" s="250" t="s">
        <v>7</v>
      </c>
      <c r="F12" s="263" t="str">
        <f>IFERROR(IF($E12="Inventory",VLOOKUP($C12,Inventory!$B:$I,3,FALSE()),IF($E12="Non Inventory",VLOOKUP($C12,'Non Inventory'!$B:$I,3,FALSE()),IF($E12="Services",VLOOKUP($C12,Services!$B:$I,3,FALSE()),IF($E12="Patty Cash",VLOOKUP($C12,'Patty Cash'!$B:$J,3,FALSE()),"")))),"")</f>
        <v>MTR</v>
      </c>
      <c r="G12" s="374">
        <v>30</v>
      </c>
      <c r="H12" s="374">
        <f t="shared" si="0"/>
        <v>30</v>
      </c>
      <c r="I12" s="252">
        <f>IFERROR(IF($E12="Inventory",VLOOKUP($C12,Inventory!$B:$I,8,FALSE()),IF($E12="Non Inventory",VLOOKUP($C12,'Non Inventory'!$B:$I,8,FALSE()),IF($E12="Services",VLOOKUP($C12,Services!$B:$I,8,FALSE()),IF($E12="Patty Cash",VLOOKUP($C12,'Patty Cash'!$B:$J,8,FALSE()),0)))),0)</f>
        <v>370</v>
      </c>
      <c r="J12" s="252">
        <f t="shared" si="1"/>
        <v>11100</v>
      </c>
      <c r="K12" s="253" t="s">
        <v>1269</v>
      </c>
      <c r="L12" s="253" t="s">
        <v>1207</v>
      </c>
      <c r="M12" s="253" t="s">
        <v>1270</v>
      </c>
      <c r="N12" s="328" t="s">
        <v>1268</v>
      </c>
    </row>
    <row r="13" spans="1:14" ht="20.100000000000001" customHeight="1">
      <c r="A13" s="327">
        <f>IF(AND($B13="",$C13=""),"",MAX($A$3:A12)+1)</f>
        <v>10</v>
      </c>
      <c r="B13" s="262">
        <v>46146</v>
      </c>
      <c r="C13" s="253">
        <v>6401</v>
      </c>
      <c r="D13" s="249" t="str">
        <f>IFERROR(IF($E13="Inventory",VLOOKUP($C13,Inventory!$B:$I,2,FALSE()),IF($E13="Non Inventory",VLOOKUP($C13,'Non Inventory'!$B:$I,2,FALSE()),IF($E13="Services",VLOOKUP($C13,Services!$B:$I,2,FALSE()),IF($E13="Patty Cash",VLOOKUP($C13,'Patty Cash'!$B:$J,2,FALSE()),"")))),"")</f>
        <v>Cable Flexible PVC/PVC, copper conductor, 4 core 6 mm² 300/500 volt rating</v>
      </c>
      <c r="E13" s="250" t="s">
        <v>7</v>
      </c>
      <c r="F13" s="263" t="str">
        <f>IFERROR(IF($E13="Inventory",VLOOKUP($C13,Inventory!$B:$I,3,FALSE()),IF($E13="Non Inventory",VLOOKUP($C13,'Non Inventory'!$B:$I,3,FALSE()),IF($E13="Services",VLOOKUP($C13,Services!$B:$I,3,FALSE()),IF($E13="Patty Cash",VLOOKUP($C13,'Patty Cash'!$B:$J,3,FALSE()),"")))),"")</f>
        <v>MTR</v>
      </c>
      <c r="G13" s="374">
        <v>30</v>
      </c>
      <c r="H13" s="374">
        <f t="shared" si="0"/>
        <v>30</v>
      </c>
      <c r="I13" s="252">
        <f>IFERROR(IF($E13="Inventory",VLOOKUP($C13,Inventory!$B:$I,8,FALSE()),IF($E13="Non Inventory",VLOOKUP($C13,'Non Inventory'!$B:$I,8,FALSE()),IF($E13="Services",VLOOKUP($C13,Services!$B:$I,8,FALSE()),IF($E13="Patty Cash",VLOOKUP($C13,'Patty Cash'!$B:$J,8,FALSE()),0)))),0)</f>
        <v>1540</v>
      </c>
      <c r="J13" s="252">
        <f t="shared" si="1"/>
        <v>46200</v>
      </c>
      <c r="K13" s="253" t="s">
        <v>1269</v>
      </c>
      <c r="L13" s="253" t="s">
        <v>1207</v>
      </c>
      <c r="M13" s="253" t="s">
        <v>1270</v>
      </c>
      <c r="N13" s="328" t="s">
        <v>1268</v>
      </c>
    </row>
    <row r="14" spans="1:14" ht="20.100000000000001" customHeight="1">
      <c r="A14" s="327">
        <f>IF(AND($B14="",$C14=""),"",MAX($A$3:A13)+1)</f>
        <v>11</v>
      </c>
      <c r="B14" s="262">
        <v>46146</v>
      </c>
      <c r="C14" s="253">
        <v>6216</v>
      </c>
      <c r="D14" s="249" t="str">
        <f>IFERROR(IF($E14="Inventory",VLOOKUP($C14,Inventory!$B:$I,2,FALSE()),IF($E14="Non Inventory",VLOOKUP($C14,'Non Inventory'!$B:$I,2,FALSE()),IF($E14="Services",VLOOKUP($C14,Services!$B:$I,2,FALSE()),IF($E14="Patty Cash",VLOOKUP($C14,'Patty Cash'!$B:$J,2,FALSE()),"")))),"")</f>
        <v>Cable Flexible, Copper Conductor, 3 core 1.5 mm², 300/500 volt rating.</v>
      </c>
      <c r="E14" s="250" t="s">
        <v>7</v>
      </c>
      <c r="F14" s="263" t="str">
        <f>IFERROR(IF($E14="Inventory",VLOOKUP($C14,Inventory!$B:$I,3,FALSE()),IF($E14="Non Inventory",VLOOKUP($C14,'Non Inventory'!$B:$I,3,FALSE()),IF($E14="Services",VLOOKUP($C14,Services!$B:$I,3,FALSE()),IF($E14="Patty Cash",VLOOKUP($C14,'Patty Cash'!$B:$J,3,FALSE()),"")))),"")</f>
        <v>MTR</v>
      </c>
      <c r="G14" s="374">
        <v>30</v>
      </c>
      <c r="H14" s="374">
        <f t="shared" si="0"/>
        <v>30</v>
      </c>
      <c r="I14" s="252">
        <f>IFERROR(IF($E14="Inventory",VLOOKUP($C14,Inventory!$B:$I,8,FALSE()),IF($E14="Non Inventory",VLOOKUP($C14,'Non Inventory'!$B:$I,8,FALSE()),IF($E14="Services",VLOOKUP($C14,Services!$B:$I,8,FALSE()),IF($E14="Patty Cash",VLOOKUP($C14,'Patty Cash'!$B:$J,8,FALSE()),0)))),0)</f>
        <v>390</v>
      </c>
      <c r="J14" s="252">
        <f t="shared" si="1"/>
        <v>11700</v>
      </c>
      <c r="K14" s="253" t="s">
        <v>1269</v>
      </c>
      <c r="L14" s="253" t="s">
        <v>1207</v>
      </c>
      <c r="M14" s="253" t="s">
        <v>1270</v>
      </c>
      <c r="N14" s="328" t="s">
        <v>1268</v>
      </c>
    </row>
    <row r="15" spans="1:14" ht="20.100000000000001" customHeight="1">
      <c r="A15" s="327">
        <f>IF(AND($B15="",$C15=""),"",MAX($A$3:A14)+1)</f>
        <v>12</v>
      </c>
      <c r="B15" s="262">
        <v>46146</v>
      </c>
      <c r="C15" s="253">
        <v>6198</v>
      </c>
      <c r="D15" s="249" t="str">
        <f>IFERROR(IF($E15="Inventory",VLOOKUP($C15,Inventory!$B:$I,2,FALSE()),IF($E15="Non Inventory",VLOOKUP($C15,'Non Inventory'!$B:$I,2,FALSE()),IF($E15="Services",VLOOKUP($C15,Services!$B:$I,2,FALSE()),IF($E15="Patty Cash",VLOOKUP($C15,'Patty Cash'!$B:$J,2,FALSE()),"")))),"")</f>
        <v>Cable Flexible, PVC/PVC Copper Conductor, 4 core 2.5 mm², 300/500 volt rating.</v>
      </c>
      <c r="E15" s="250" t="s">
        <v>7</v>
      </c>
      <c r="F15" s="263" t="str">
        <f>IFERROR(IF($E15="Inventory",VLOOKUP($C15,Inventory!$B:$I,3,FALSE()),IF($E15="Non Inventory",VLOOKUP($C15,'Non Inventory'!$B:$I,3,FALSE()),IF($E15="Services",VLOOKUP($C15,Services!$B:$I,3,FALSE()),IF($E15="Patty Cash",VLOOKUP($C15,'Patty Cash'!$B:$J,3,FALSE()),"")))),"")</f>
        <v>MTR</v>
      </c>
      <c r="G15" s="374">
        <v>30</v>
      </c>
      <c r="H15" s="374">
        <f t="shared" si="0"/>
        <v>30</v>
      </c>
      <c r="I15" s="252">
        <f>IFERROR(IF($E15="Inventory",VLOOKUP($C15,Inventory!$B:$I,8,FALSE()),IF($E15="Non Inventory",VLOOKUP($C15,'Non Inventory'!$B:$I,8,FALSE()),IF($E15="Services",VLOOKUP($C15,Services!$B:$I,8,FALSE()),IF($E15="Patty Cash",VLOOKUP($C15,'Patty Cash'!$B:$J,8,FALSE()),0)))),0)</f>
        <v>730</v>
      </c>
      <c r="J15" s="252">
        <f t="shared" si="1"/>
        <v>21900</v>
      </c>
      <c r="K15" s="253" t="s">
        <v>1269</v>
      </c>
      <c r="L15" s="253" t="s">
        <v>1207</v>
      </c>
      <c r="M15" s="253" t="s">
        <v>1270</v>
      </c>
      <c r="N15" s="328" t="s">
        <v>1268</v>
      </c>
    </row>
    <row r="16" spans="1:14" ht="20.100000000000001" customHeight="1">
      <c r="A16" s="327">
        <f>IF(AND($B16="",$C16=""),"",MAX($A$3:A15)+1)</f>
        <v>13</v>
      </c>
      <c r="B16" s="262">
        <v>46146</v>
      </c>
      <c r="C16" s="253">
        <v>15548</v>
      </c>
      <c r="D16" s="249" t="str">
        <f>IFERROR(IF($E16="Inventory",VLOOKUP($C16,Inventory!$B:$I,2,FALSE()),IF($E16="Non Inventory",VLOOKUP($C16,'Non Inventory'!$B:$I,2,FALSE()),IF($E16="Services",VLOOKUP($C16,Services!$B:$I,2,FALSE()),IF($E16="Patty Cash",VLOOKUP($C16,'Patty Cash'!$B:$J,2,FALSE()),"")))),"")</f>
        <v>Cable Flexible Shielded, Copper Conductor, 4 core 1.5 mm², 300/500 volt rating.</v>
      </c>
      <c r="E16" s="250" t="s">
        <v>7</v>
      </c>
      <c r="F16" s="263" t="str">
        <f>IFERROR(IF($E16="Inventory",VLOOKUP($C16,Inventory!$B:$I,3,FALSE()),IF($E16="Non Inventory",VLOOKUP($C16,'Non Inventory'!$B:$I,3,FALSE()),IF($E16="Services",VLOOKUP($C16,Services!$B:$I,3,FALSE()),IF($E16="Patty Cash",VLOOKUP($C16,'Patty Cash'!$B:$J,3,FALSE()),"")))),"")</f>
        <v>MTR</v>
      </c>
      <c r="G16" s="374">
        <v>30</v>
      </c>
      <c r="H16" s="374">
        <f t="shared" si="0"/>
        <v>30</v>
      </c>
      <c r="I16" s="252">
        <f>IFERROR(IF($E16="Inventory",VLOOKUP($C16,Inventory!$B:$I,8,FALSE()),IF($E16="Non Inventory",VLOOKUP($C16,'Non Inventory'!$B:$I,8,FALSE()),IF($E16="Services",VLOOKUP($C16,Services!$B:$I,8,FALSE()),IF($E16="Patty Cash",VLOOKUP($C16,'Patty Cash'!$B:$J,8,FALSE()),0)))),0)</f>
        <v>580</v>
      </c>
      <c r="J16" s="252">
        <f t="shared" si="1"/>
        <v>17400</v>
      </c>
      <c r="K16" s="253" t="s">
        <v>1269</v>
      </c>
      <c r="L16" s="253" t="s">
        <v>1207</v>
      </c>
      <c r="M16" s="253" t="s">
        <v>1270</v>
      </c>
      <c r="N16" s="328" t="s">
        <v>1268</v>
      </c>
    </row>
    <row r="17" spans="1:14" ht="20.100000000000001" customHeight="1">
      <c r="A17" s="327">
        <f>IF(AND($B17="",$C17=""),"",MAX($A$3:A16)+1)</f>
        <v>14</v>
      </c>
      <c r="B17" s="262">
        <v>46146</v>
      </c>
      <c r="C17" s="253">
        <v>10636</v>
      </c>
      <c r="D17" s="249" t="str">
        <f>IFERROR(IF($E17="Inventory",VLOOKUP($C17,Inventory!$B:$I,2,FALSE()),IF($E17="Non Inventory",VLOOKUP($C17,'Non Inventory'!$B:$I,2,FALSE()),IF($E17="Services",VLOOKUP($C17,Services!$B:$I,2,FALSE()),IF($E17="Patty Cash",VLOOKUP($C17,'Patty Cash'!$B:$J,2,FALSE()),"")))),"")</f>
        <v>HIGH TEMPRETURE SILICON SEALANT TUBE</v>
      </c>
      <c r="E17" s="250" t="s">
        <v>7</v>
      </c>
      <c r="F17" s="263" t="str">
        <f>IFERROR(IF($E17="Inventory",VLOOKUP($C17,Inventory!$B:$I,3,FALSE()),IF($E17="Non Inventory",VLOOKUP($C17,'Non Inventory'!$B:$I,3,FALSE()),IF($E17="Services",VLOOKUP($C17,Services!$B:$I,3,FALSE()),IF($E17="Patty Cash",VLOOKUP($C17,'Patty Cash'!$B:$J,3,FALSE()),"")))),"")</f>
        <v>NOS</v>
      </c>
      <c r="G17" s="374">
        <v>15</v>
      </c>
      <c r="H17" s="374">
        <f t="shared" si="0"/>
        <v>15</v>
      </c>
      <c r="I17" s="252">
        <f>IFERROR(IF($E17="Inventory",VLOOKUP($C17,Inventory!$B:$I,8,FALSE()),IF($E17="Non Inventory",VLOOKUP($C17,'Non Inventory'!$B:$I,8,FALSE()),IF($E17="Services",VLOOKUP($C17,Services!$B:$I,8,FALSE()),IF($E17="Patty Cash",VLOOKUP($C17,'Patty Cash'!$B:$J,8,FALSE()),0)))),0)</f>
        <v>465</v>
      </c>
      <c r="J17" s="252">
        <f t="shared" si="1"/>
        <v>6975</v>
      </c>
      <c r="K17" s="253" t="s">
        <v>1269</v>
      </c>
      <c r="L17" s="253" t="s">
        <v>1207</v>
      </c>
      <c r="M17" s="253" t="s">
        <v>1270</v>
      </c>
      <c r="N17" s="328" t="s">
        <v>1268</v>
      </c>
    </row>
    <row r="18" spans="1:14" ht="20.100000000000001" customHeight="1">
      <c r="A18" s="327">
        <f>IF(AND($B18="",$C18=""),"",MAX($A$3:A17)+1)</f>
        <v>15</v>
      </c>
      <c r="B18" s="262">
        <v>46146</v>
      </c>
      <c r="C18" s="253">
        <v>4922</v>
      </c>
      <c r="D18" s="249" t="str">
        <f>IFERROR(IF($E18="Inventory",VLOOKUP($C18,Inventory!$B:$I,2,FALSE()),IF($E18="Non Inventory",VLOOKUP($C18,'Non Inventory'!$B:$I,2,FALSE()),IF($E18="Services",VLOOKUP($C18,Services!$B:$I,2,FALSE()),IF($E18="Patty Cash",VLOOKUP($C18,'Patty Cash'!$B:$J,2,FALSE()),"")))),"")</f>
        <v>SILICON SEALANT TUBE</v>
      </c>
      <c r="E18" s="250" t="s">
        <v>7</v>
      </c>
      <c r="F18" s="263" t="str">
        <f>IFERROR(IF($E18="Inventory",VLOOKUP($C18,Inventory!$B:$I,3,FALSE()),IF($E18="Non Inventory",VLOOKUP($C18,'Non Inventory'!$B:$I,3,FALSE()),IF($E18="Services",VLOOKUP($C18,Services!$B:$I,3,FALSE()),IF($E18="Patty Cash",VLOOKUP($C18,'Patty Cash'!$B:$J,3,FALSE()),"")))),"")</f>
        <v>NOS</v>
      </c>
      <c r="G18" s="374">
        <v>15</v>
      </c>
      <c r="H18" s="374">
        <f t="shared" si="0"/>
        <v>15</v>
      </c>
      <c r="I18" s="252">
        <f>IFERROR(IF($E18="Inventory",VLOOKUP($C18,Inventory!$B:$I,8,FALSE()),IF($E18="Non Inventory",VLOOKUP($C18,'Non Inventory'!$B:$I,8,FALSE()),IF($E18="Services",VLOOKUP($C18,Services!$B:$I,8,FALSE()),IF($E18="Patty Cash",VLOOKUP($C18,'Patty Cash'!$B:$J,8,FALSE()),0)))),0)</f>
        <v>418</v>
      </c>
      <c r="J18" s="252">
        <f t="shared" si="1"/>
        <v>6270</v>
      </c>
      <c r="K18" s="253" t="s">
        <v>1269</v>
      </c>
      <c r="L18" s="253" t="s">
        <v>1207</v>
      </c>
      <c r="M18" s="253" t="s">
        <v>1270</v>
      </c>
      <c r="N18" s="328" t="s">
        <v>1268</v>
      </c>
    </row>
    <row r="19" spans="1:14" ht="20.100000000000001" customHeight="1">
      <c r="A19" s="327">
        <f>IF(AND($B19="",$C19=""),"",MAX($A$3:A18)+1)</f>
        <v>16</v>
      </c>
      <c r="B19" s="262">
        <v>46146</v>
      </c>
      <c r="C19" s="253">
        <v>1947</v>
      </c>
      <c r="D19" s="249" t="str">
        <f>IFERROR(IF($E19="Inventory",VLOOKUP($C19,Inventory!$B:$I,2,FALSE()),IF($E19="Non Inventory",VLOOKUP($C19,'Non Inventory'!$B:$I,2,FALSE()),IF($E19="Services",VLOOKUP($C19,Services!$B:$I,2,FALSE()),IF($E19="Patty Cash",VLOOKUP($C19,'Patty Cash'!$B:$J,2,FALSE()),"")))),"")</f>
        <v>SOLDING WIRE</v>
      </c>
      <c r="E19" s="250" t="s">
        <v>7</v>
      </c>
      <c r="F19" s="263" t="str">
        <f>IFERROR(IF($E19="Inventory",VLOOKUP($C19,Inventory!$B:$I,3,FALSE()),IF($E19="Non Inventory",VLOOKUP($C19,'Non Inventory'!$B:$I,3,FALSE()),IF($E19="Services",VLOOKUP($C19,Services!$B:$I,3,FALSE()),IF($E19="Patty Cash",VLOOKUP($C19,'Patty Cash'!$B:$J,3,FALSE()),"")))),"")</f>
        <v>NOS</v>
      </c>
      <c r="G19" s="374">
        <v>6</v>
      </c>
      <c r="H19" s="374">
        <f t="shared" si="0"/>
        <v>6</v>
      </c>
      <c r="I19" s="252">
        <f>IFERROR(IF($E19="Inventory",VLOOKUP($C19,Inventory!$B:$I,8,FALSE()),IF($E19="Non Inventory",VLOOKUP($C19,'Non Inventory'!$B:$I,8,FALSE()),IF($E19="Services",VLOOKUP($C19,Services!$B:$I,8,FALSE()),IF($E19="Patty Cash",VLOOKUP($C19,'Patty Cash'!$B:$J,8,FALSE()),0)))),0)</f>
        <v>1250</v>
      </c>
      <c r="J19" s="252">
        <f t="shared" si="1"/>
        <v>7500</v>
      </c>
      <c r="K19" s="253" t="s">
        <v>1269</v>
      </c>
      <c r="L19" s="253" t="s">
        <v>1207</v>
      </c>
      <c r="M19" s="253" t="s">
        <v>1270</v>
      </c>
      <c r="N19" s="328" t="s">
        <v>1268</v>
      </c>
    </row>
    <row r="20" spans="1:14" ht="20.100000000000001" customHeight="1">
      <c r="A20" s="327">
        <f>IF(AND($B20="",$C20=""),"",MAX($A$3:A19)+1)</f>
        <v>17</v>
      </c>
      <c r="B20" s="262">
        <v>46146</v>
      </c>
      <c r="C20" s="253">
        <v>9562</v>
      </c>
      <c r="D20" s="249" t="str">
        <f>IFERROR(IF($E20="Inventory",VLOOKUP($C20,Inventory!$B:$I,2,FALSE()),IF($E20="Non Inventory",VLOOKUP($C20,'Non Inventory'!$B:$I,2,FALSE()),IF($E20="Services",VLOOKUP($C20,Services!$B:$I,2,FALSE()),IF($E20="Patty Cash",VLOOKUP($C20,'Patty Cash'!$B:$J,2,FALSE()),"")))),"")</f>
        <v>Cable Ties Size 18"</v>
      </c>
      <c r="E20" s="250" t="s">
        <v>7</v>
      </c>
      <c r="F20" s="263" t="str">
        <f>IFERROR(IF($E20="Inventory",VLOOKUP($C20,Inventory!$B:$I,3,FALSE()),IF($E20="Non Inventory",VLOOKUP($C20,'Non Inventory'!$B:$I,3,FALSE()),IF($E20="Services",VLOOKUP($C20,Services!$B:$I,3,FALSE()),IF($E20="Patty Cash",VLOOKUP($C20,'Patty Cash'!$B:$J,3,FALSE()),"")))),"")</f>
        <v>NOS</v>
      </c>
      <c r="G20" s="374">
        <v>8</v>
      </c>
      <c r="H20" s="374">
        <f t="shared" si="0"/>
        <v>8</v>
      </c>
      <c r="I20" s="252">
        <f>IFERROR(IF($E20="Inventory",VLOOKUP($C20,Inventory!$B:$I,8,FALSE()),IF($E20="Non Inventory",VLOOKUP($C20,'Non Inventory'!$B:$I,8,FALSE()),IF($E20="Services",VLOOKUP($C20,Services!$B:$I,8,FALSE()),IF($E20="Patty Cash",VLOOKUP($C20,'Patty Cash'!$B:$J,8,FALSE()),0)))),0)</f>
        <v>450</v>
      </c>
      <c r="J20" s="252">
        <f t="shared" si="1"/>
        <v>3600</v>
      </c>
      <c r="K20" s="253" t="s">
        <v>1269</v>
      </c>
      <c r="L20" s="253" t="s">
        <v>1207</v>
      </c>
      <c r="M20" s="253" t="s">
        <v>1270</v>
      </c>
      <c r="N20" s="328" t="s">
        <v>1268</v>
      </c>
    </row>
    <row r="21" spans="1:14" ht="20.100000000000001" customHeight="1">
      <c r="A21" s="327">
        <f>IF(AND($B21="",$C21=""),"",MAX($A$3:A20)+1)</f>
        <v>18</v>
      </c>
      <c r="B21" s="262">
        <v>46146</v>
      </c>
      <c r="C21" s="253">
        <v>9765</v>
      </c>
      <c r="D21" s="249" t="str">
        <f>IFERROR(IF($E21="Inventory",VLOOKUP($C21,Inventory!$B:$I,2,FALSE()),IF($E21="Non Inventory",VLOOKUP($C21,'Non Inventory'!$B:$I,2,FALSE()),IF($E21="Services",VLOOKUP($C21,Services!$B:$I,2,FALSE()),IF($E21="Patty Cash",VLOOKUP($C21,'Patty Cash'!$B:$J,2,FALSE()),"")))),"")</f>
        <v>Buffing Disc 125mm x 16mm x 7mm Max.63 M/S 13.0RPM (Flexovit)</v>
      </c>
      <c r="E21" s="250" t="s">
        <v>7</v>
      </c>
      <c r="F21" s="263" t="str">
        <f>IFERROR(IF($E21="Inventory",VLOOKUP($C21,Inventory!$B:$I,3,FALSE()),IF($E21="Non Inventory",VLOOKUP($C21,'Non Inventory'!$B:$I,3,FALSE()),IF($E21="Services",VLOOKUP($C21,Services!$B:$I,3,FALSE()),IF($E21="Patty Cash",VLOOKUP($C21,'Patty Cash'!$B:$J,3,FALSE()),"")))),"")</f>
        <v>NOS</v>
      </c>
      <c r="G21" s="374">
        <v>15</v>
      </c>
      <c r="H21" s="374">
        <f t="shared" si="0"/>
        <v>15</v>
      </c>
      <c r="I21" s="252">
        <f>IFERROR(IF($E21="Inventory",VLOOKUP($C21,Inventory!$B:$I,8,FALSE()),IF($E21="Non Inventory",VLOOKUP($C21,'Non Inventory'!$B:$I,8,FALSE()),IF($E21="Services",VLOOKUP($C21,Services!$B:$I,8,FALSE()),IF($E21="Patty Cash",VLOOKUP($C21,'Patty Cash'!$B:$J,8,FALSE()),0)))),0)</f>
        <v>280</v>
      </c>
      <c r="J21" s="252">
        <f t="shared" si="1"/>
        <v>4200</v>
      </c>
      <c r="K21" s="253" t="s">
        <v>1269</v>
      </c>
      <c r="L21" s="253" t="s">
        <v>1207</v>
      </c>
      <c r="M21" s="253" t="s">
        <v>1270</v>
      </c>
      <c r="N21" s="328" t="s">
        <v>1268</v>
      </c>
    </row>
    <row r="22" spans="1:14" ht="20.100000000000001" customHeight="1">
      <c r="A22" s="327">
        <f>IF(AND($B22="",$C22=""),"",MAX($A$3:A21)+1)</f>
        <v>19</v>
      </c>
      <c r="B22" s="262">
        <v>46146</v>
      </c>
      <c r="C22" s="253">
        <v>9595</v>
      </c>
      <c r="D22" s="249" t="str">
        <f>IFERROR(IF($E22="Inventory",VLOOKUP($C22,Inventory!$B:$I,2,FALSE()),IF($E22="Non Inventory",VLOOKUP($C22,'Non Inventory'!$B:$I,2,FALSE()),IF($E22="Services",VLOOKUP($C22,Services!$B:$I,2,FALSE()),IF($E22="Patty Cash",VLOOKUP($C22,'Patty Cash'!$B:$J,2,FALSE()),"")))),"")</f>
        <v>Cable Ties Size 14"</v>
      </c>
      <c r="E22" s="250" t="s">
        <v>7</v>
      </c>
      <c r="F22" s="263" t="str">
        <f>IFERROR(IF($E22="Inventory",VLOOKUP($C22,Inventory!$B:$I,3,FALSE()),IF($E22="Non Inventory",VLOOKUP($C22,'Non Inventory'!$B:$I,3,FALSE()),IF($E22="Services",VLOOKUP($C22,Services!$B:$I,3,FALSE()),IF($E22="Patty Cash",VLOOKUP($C22,'Patty Cash'!$B:$J,3,FALSE()),"")))),"")</f>
        <v>NOS</v>
      </c>
      <c r="G22" s="374">
        <v>10</v>
      </c>
      <c r="H22" s="374">
        <f t="shared" si="0"/>
        <v>10</v>
      </c>
      <c r="I22" s="252">
        <f>IFERROR(IF($E22="Inventory",VLOOKUP($C22,Inventory!$B:$I,8,FALSE()),IF($E22="Non Inventory",VLOOKUP($C22,'Non Inventory'!$B:$I,8,FALSE()),IF($E22="Services",VLOOKUP($C22,Services!$B:$I,8,FALSE()),IF($E22="Patty Cash",VLOOKUP($C22,'Patty Cash'!$B:$J,8,FALSE()),0)))),0)</f>
        <v>320</v>
      </c>
      <c r="J22" s="252">
        <f t="shared" si="1"/>
        <v>3200</v>
      </c>
      <c r="K22" s="253" t="s">
        <v>1269</v>
      </c>
      <c r="L22" s="253" t="s">
        <v>1207</v>
      </c>
      <c r="M22" s="253" t="s">
        <v>1270</v>
      </c>
      <c r="N22" s="328" t="s">
        <v>1268</v>
      </c>
    </row>
    <row r="23" spans="1:14" ht="20.100000000000001" customHeight="1">
      <c r="A23" s="327">
        <f>IF(AND($B23="",$C23=""),"",MAX($A$3:A22)+1)</f>
        <v>20</v>
      </c>
      <c r="B23" s="262">
        <v>46146</v>
      </c>
      <c r="C23" s="253">
        <v>4780</v>
      </c>
      <c r="D23" s="249" t="str">
        <f>IFERROR(IF($E23="Inventory",VLOOKUP($C23,Inventory!$B:$I,2,FALSE()),IF($E23="Non Inventory",VLOOKUP($C23,'Non Inventory'!$B:$I,2,FALSE()),IF($E23="Services",VLOOKUP($C23,Services!$B:$I,2,FALSE()),IF($E23="Patty Cash",VLOOKUP($C23,'Patty Cash'!$B:$J,2,FALSE()),"")))),"")</f>
        <v>Cutting Disc 125 mmX1.0 mmx22.3, Grade 74A30TIIBF1367 to EN 12413,12200 rpm.</v>
      </c>
      <c r="E23" s="250" t="s">
        <v>7</v>
      </c>
      <c r="F23" s="263" t="str">
        <f>IFERROR(IF($E23="Inventory",VLOOKUP($C23,Inventory!$B:$I,3,FALSE()),IF($E23="Non Inventory",VLOOKUP($C23,'Non Inventory'!$B:$I,3,FALSE()),IF($E23="Services",VLOOKUP($C23,Services!$B:$I,3,FALSE()),IF($E23="Patty Cash",VLOOKUP($C23,'Patty Cash'!$B:$J,3,FALSE()),"")))),"")</f>
        <v>NOS</v>
      </c>
      <c r="G23" s="374">
        <v>30</v>
      </c>
      <c r="H23" s="374">
        <f t="shared" si="0"/>
        <v>30</v>
      </c>
      <c r="I23" s="252">
        <f>IFERROR(IF($E23="Inventory",VLOOKUP($C23,Inventory!$B:$I,8,FALSE()),IF($E23="Non Inventory",VLOOKUP($C23,'Non Inventory'!$B:$I,8,FALSE()),IF($E23="Services",VLOOKUP($C23,Services!$B:$I,8,FALSE()),IF($E23="Patty Cash",VLOOKUP($C23,'Patty Cash'!$B:$J,8,FALSE()),0)))),0)</f>
        <v>180</v>
      </c>
      <c r="J23" s="252">
        <f t="shared" si="1"/>
        <v>5400</v>
      </c>
      <c r="K23" s="253" t="s">
        <v>1269</v>
      </c>
      <c r="L23" s="253" t="s">
        <v>1207</v>
      </c>
      <c r="M23" s="253" t="s">
        <v>1270</v>
      </c>
      <c r="N23" s="328" t="s">
        <v>1268</v>
      </c>
    </row>
    <row r="24" spans="1:14" ht="20.100000000000001" customHeight="1">
      <c r="A24" s="327">
        <f>IF(AND($B24="",$C24=""),"",MAX($A$3:A23)+1)</f>
        <v>21</v>
      </c>
      <c r="B24" s="262">
        <v>46149</v>
      </c>
      <c r="C24" s="253">
        <v>4859</v>
      </c>
      <c r="D24" s="249" t="str">
        <f>IFERROR(IF($E24="Inventory",VLOOKUP($C24,Inventory!$B:$I,2,FALSE()),IF($E24="Non Inventory",VLOOKUP($C24,'Non Inventory'!$B:$I,2,FALSE()),IF($E24="Services",VLOOKUP($C24,Services!$B:$I,2,FALSE()),IF($E24="Patty Cash",VLOOKUP($C24,'Patty Cash'!$B:$J,2,FALSE()),"")))),"")</f>
        <v>Bearing Hmk 1819 (Ta 1819) P/N# 0942072-07</v>
      </c>
      <c r="E24" s="250" t="s">
        <v>6</v>
      </c>
      <c r="F24" s="263" t="str">
        <f>IFERROR(IF($E24="Inventory",VLOOKUP($C24,Inventory!$B:$I,3,FALSE()),IF($E24="Non Inventory",VLOOKUP($C24,'Non Inventory'!$B:$I,3,FALSE()),IF($E24="Services",VLOOKUP($C24,Services!$B:$I,3,FALSE()),IF($E24="Patty Cash",VLOOKUP($C24,'Patty Cash'!$B:$J,3,FALSE()),"")))),"")</f>
        <v>NOS</v>
      </c>
      <c r="G24" s="374">
        <v>30</v>
      </c>
      <c r="H24" s="374">
        <f t="shared" si="0"/>
        <v>30</v>
      </c>
      <c r="I24" s="252">
        <f>IFERROR(IF($E24="Inventory",VLOOKUP($C24,Inventory!$B:$I,8,FALSE()),IF($E24="Non Inventory",VLOOKUP($C24,'Non Inventory'!$B:$I,8,FALSE()),IF($E24="Services",VLOOKUP($C24,Services!$B:$I,8,FALSE()),IF($E24="Patty Cash",VLOOKUP($C24,'Patty Cash'!$B:$J,8,FALSE()),0)))),0)</f>
        <v>1500</v>
      </c>
      <c r="J24" s="252">
        <f t="shared" si="1"/>
        <v>45000</v>
      </c>
      <c r="K24" s="253" t="s">
        <v>1271</v>
      </c>
      <c r="L24" s="253" t="s">
        <v>1196</v>
      </c>
      <c r="M24" s="253" t="s">
        <v>1266</v>
      </c>
      <c r="N24" s="328" t="s">
        <v>1272</v>
      </c>
    </row>
    <row r="25" spans="1:14" ht="20.100000000000001" customHeight="1">
      <c r="A25" s="327">
        <f>IF(AND($B25="",$C25=""),"",MAX($A$3:A24)+1)</f>
        <v>22</v>
      </c>
      <c r="B25" s="262">
        <v>46153</v>
      </c>
      <c r="C25" s="253">
        <v>16041</v>
      </c>
      <c r="D25" s="249" t="str">
        <f>IFERROR(IF($E25="Inventory",VLOOKUP($C25,Inventory!$B:$I,2,FALSE()),IF($E25="Non Inventory",VLOOKUP($C25,'Non Inventory'!$B:$I,2,FALSE()),IF($E25="Services",VLOOKUP($C25,Services!$B:$I,2,FALSE()),IF($E25="Patty Cash",VLOOKUP($C25,'Patty Cash'!$B:$J,2,FALSE()),"")))),"")</f>
        <v>Photoelectric Sensor Omron E3ZG-T16A-D</v>
      </c>
      <c r="E25" s="250" t="s">
        <v>6</v>
      </c>
      <c r="F25" s="263" t="str">
        <f>IFERROR(IF($E25="Inventory",VLOOKUP($C25,Inventory!$B:$I,3,FALSE()),IF($E25="Non Inventory",VLOOKUP($C25,'Non Inventory'!$B:$I,3,FALSE()),IF($E25="Services",VLOOKUP($C25,Services!$B:$I,3,FALSE()),IF($E25="Patty Cash",VLOOKUP($C25,'Patty Cash'!$B:$J,3,FALSE()),"")))),"")</f>
        <v>NOS</v>
      </c>
      <c r="G25" s="374">
        <v>1</v>
      </c>
      <c r="H25" s="374">
        <f t="shared" si="0"/>
        <v>1</v>
      </c>
      <c r="I25" s="252">
        <f>IFERROR(IF($E25="Inventory",VLOOKUP($C25,Inventory!$B:$I,8,FALSE()),IF($E25="Non Inventory",VLOOKUP($C25,'Non Inventory'!$B:$I,8,FALSE()),IF($E25="Services",VLOOKUP($C25,Services!$B:$I,8,FALSE()),IF($E25="Patty Cash",VLOOKUP($C25,'Patty Cash'!$B:$J,8,FALSE()),0)))),0)</f>
        <v>9000</v>
      </c>
      <c r="J25" s="252">
        <f t="shared" si="1"/>
        <v>9000</v>
      </c>
      <c r="K25" s="253" t="s">
        <v>1273</v>
      </c>
      <c r="L25" s="253" t="s">
        <v>1207</v>
      </c>
      <c r="M25" s="253" t="s">
        <v>1266</v>
      </c>
      <c r="N25" s="329" t="s">
        <v>1394</v>
      </c>
    </row>
    <row r="26" spans="1:14" ht="20.100000000000001" customHeight="1">
      <c r="A26" s="327">
        <f>IF(AND($B26="",$C26=""),"",MAX($A$3:A25)+1)</f>
        <v>23</v>
      </c>
      <c r="B26" s="262">
        <v>46153</v>
      </c>
      <c r="C26" s="253">
        <v>17378</v>
      </c>
      <c r="D26" s="249" t="str">
        <f>IFERROR(IF($E26="Inventory",VLOOKUP($C26,Inventory!$B:$I,2,FALSE()),IF($E26="Non Inventory",VLOOKUP($C26,'Non Inventory'!$B:$I,2,FALSE()),IF($E26="Services",VLOOKUP($C26,Services!$B:$I,2,FALSE()),IF($E26="Patty Cash",VLOOKUP($C26,'Patty Cash'!$B:$J,2,FALSE()),"")))),"")</f>
        <v>Photoelectric Sensor Omron E3ZG-T61A-L</v>
      </c>
      <c r="E26" s="250" t="s">
        <v>6</v>
      </c>
      <c r="F26" s="263" t="str">
        <f>IFERROR(IF($E26="Inventory",VLOOKUP($C26,Inventory!$B:$I,3,FALSE()),IF($E26="Non Inventory",VLOOKUP($C26,'Non Inventory'!$B:$I,3,FALSE()),IF($E26="Services",VLOOKUP($C26,Services!$B:$I,3,FALSE()),IF($E26="Patty Cash",VLOOKUP($C26,'Patty Cash'!$B:$J,3,FALSE()),"")))),"")</f>
        <v>NOS</v>
      </c>
      <c r="G26" s="374">
        <v>1</v>
      </c>
      <c r="H26" s="374">
        <f t="shared" si="0"/>
        <v>1</v>
      </c>
      <c r="I26" s="252">
        <f>IFERROR(IF($E26="Inventory",VLOOKUP($C26,Inventory!$B:$I,8,FALSE()),IF($E26="Non Inventory",VLOOKUP($C26,'Non Inventory'!$B:$I,8,FALSE()),IF($E26="Services",VLOOKUP($C26,Services!$B:$I,8,FALSE()),IF($E26="Patty Cash",VLOOKUP($C26,'Patty Cash'!$B:$J,8,FALSE()),0)))),0)</f>
        <v>9000</v>
      </c>
      <c r="J26" s="252">
        <f t="shared" si="1"/>
        <v>9000</v>
      </c>
      <c r="K26" s="253" t="s">
        <v>1273</v>
      </c>
      <c r="L26" s="253" t="s">
        <v>1207</v>
      </c>
      <c r="M26" s="253" t="s">
        <v>1266</v>
      </c>
      <c r="N26" s="329" t="s">
        <v>1394</v>
      </c>
    </row>
    <row r="27" spans="1:14" ht="20.100000000000001" customHeight="1">
      <c r="A27" s="327">
        <f>IF(AND($B27="",$C27=""),"",MAX($A$3:A26)+1)</f>
        <v>24</v>
      </c>
      <c r="B27" s="262">
        <v>46153</v>
      </c>
      <c r="C27" s="253">
        <v>20079</v>
      </c>
      <c r="D27" s="249" t="str">
        <f>IFERROR(IF($E27="Inventory",VLOOKUP($C27,Inventory!$B:$I,2,FALSE()),IF($E27="Non Inventory",VLOOKUP($C27,'Non Inventory'!$B:$I,2,FALSE()),IF($E27="Services",VLOOKUP($C27,Services!$B:$I,2,FALSE()),IF($E27="Patty Cash",VLOOKUP($C27,'Patty Cash'!$B:$J,2,FALSE()),"")))),"")</f>
        <v>Relay 14 Pin 110V Flat Type 94.74 (Finder/Omron)</v>
      </c>
      <c r="E27" s="250" t="s">
        <v>6</v>
      </c>
      <c r="F27" s="263" t="str">
        <f>IFERROR(IF($E27="Inventory",VLOOKUP($C27,Inventory!$B:$I,3,FALSE()),IF($E27="Non Inventory",VLOOKUP($C27,'Non Inventory'!$B:$I,3,FALSE()),IF($E27="Services",VLOOKUP($C27,Services!$B:$I,3,FALSE()),IF($E27="Patty Cash",VLOOKUP($C27,'Patty Cash'!$B:$J,3,FALSE()),"")))),"")</f>
        <v>NOS</v>
      </c>
      <c r="G27" s="374">
        <v>5</v>
      </c>
      <c r="H27" s="374">
        <f t="shared" si="0"/>
        <v>5</v>
      </c>
      <c r="I27" s="252">
        <f>IFERROR(IF($E27="Inventory",VLOOKUP($C27,Inventory!$B:$I,8,FALSE()),IF($E27="Non Inventory",VLOOKUP($C27,'Non Inventory'!$B:$I,8,FALSE()),IF($E27="Services",VLOOKUP($C27,Services!$B:$I,8,FALSE()),IF($E27="Patty Cash",VLOOKUP($C27,'Patty Cash'!$B:$J,8,FALSE()),0)))),0)</f>
        <v>1400</v>
      </c>
      <c r="J27" s="252">
        <f t="shared" si="1"/>
        <v>7000</v>
      </c>
      <c r="K27" s="253" t="s">
        <v>1273</v>
      </c>
      <c r="L27" s="253" t="s">
        <v>1207</v>
      </c>
      <c r="M27" s="253" t="s">
        <v>1266</v>
      </c>
      <c r="N27" s="329" t="s">
        <v>1394</v>
      </c>
    </row>
    <row r="28" spans="1:14" ht="20.100000000000001" customHeight="1">
      <c r="A28" s="327">
        <f>IF(AND($B28="",$C28=""),"",MAX($A$3:A27)+1)</f>
        <v>25</v>
      </c>
      <c r="B28" s="262">
        <v>46153</v>
      </c>
      <c r="C28" s="253">
        <v>10640</v>
      </c>
      <c r="D28" s="249" t="str">
        <f>IFERROR(IF($E28="Inventory",VLOOKUP($C28,Inventory!$B:$I,2,FALSE()),IF($E28="Non Inventory",VLOOKUP($C28,'Non Inventory'!$B:$I,2,FALSE()),IF($E28="Services",VLOOKUP($C28,Services!$B:$I,2,FALSE()),IF($E28="Patty Cash",VLOOKUP($C28,'Patty Cash'!$B:$J,2,FALSE()),"")))),"")</f>
        <v>Magnetic Contactor 24 Vdc, Model # 3rt26
(Siemens)</v>
      </c>
      <c r="E28" s="250" t="s">
        <v>6</v>
      </c>
      <c r="F28" s="263" t="str">
        <f>IFERROR(IF($E28="Inventory",VLOOKUP($C28,Inventory!$B:$I,3,FALSE()),IF($E28="Non Inventory",VLOOKUP($C28,'Non Inventory'!$B:$I,3,FALSE()),IF($E28="Services",VLOOKUP($C28,Services!$B:$I,3,FALSE()),IF($E28="Patty Cash",VLOOKUP($C28,'Patty Cash'!$B:$J,3,FALSE()),"")))),"")</f>
        <v>NOS</v>
      </c>
      <c r="G28" s="374">
        <v>2</v>
      </c>
      <c r="H28" s="374">
        <f t="shared" si="0"/>
        <v>2</v>
      </c>
      <c r="I28" s="252">
        <f>IFERROR(IF($E28="Inventory",VLOOKUP($C28,Inventory!$B:$I,8,FALSE()),IF($E28="Non Inventory",VLOOKUP($C28,'Non Inventory'!$B:$I,8,FALSE()),IF($E28="Services",VLOOKUP($C28,Services!$B:$I,8,FALSE()),IF($E28="Patty Cash",VLOOKUP($C28,'Patty Cash'!$B:$J,8,FALSE()),0)))),0)</f>
        <v>22000</v>
      </c>
      <c r="J28" s="252">
        <f t="shared" si="1"/>
        <v>44000</v>
      </c>
      <c r="K28" s="253" t="s">
        <v>1273</v>
      </c>
      <c r="L28" s="253" t="s">
        <v>1207</v>
      </c>
      <c r="M28" s="253" t="s">
        <v>1266</v>
      </c>
      <c r="N28" s="329" t="s">
        <v>1394</v>
      </c>
    </row>
    <row r="29" spans="1:14" ht="20.100000000000001" customHeight="1">
      <c r="A29" s="327">
        <f>IF(AND($B29="",$C29=""),"",MAX($A$3:A28)+1)</f>
        <v>26</v>
      </c>
      <c r="B29" s="262">
        <v>46150</v>
      </c>
      <c r="C29" s="253">
        <v>16446</v>
      </c>
      <c r="D29" s="249" t="str">
        <f>IFERROR(IF($E29="Inventory",VLOOKUP($C29,Inventory!$B:$I,2,FALSE()),IF($E29="Non Inventory",VLOOKUP($C29,'Non Inventory'!$B:$I,2,FALSE()),IF($E29="Services",VLOOKUP($C29,Services!$B:$I,2,FALSE()),IF($E29="Patty Cash",VLOOKUP($C29,'Patty Cash'!$B:$J,2,FALSE()),"")))),"")</f>
        <v>Srew For Extruder Power 1.1 KW Size 600 X 2100mm Caoacity 100-300 Kg/h</v>
      </c>
      <c r="E29" s="254" t="s">
        <v>6</v>
      </c>
      <c r="F29" s="263" t="str">
        <f>IFERROR(IF($E29="Inventory",VLOOKUP($C29,Inventory!$B:$I,3,FALSE()),IF($E29="Non Inventory",VLOOKUP($C29,'Non Inventory'!$B:$I,3,FALSE()),IF($E29="Services",VLOOKUP($C29,Services!$B:$I,3,FALSE()),IF($E29="Patty Cash",VLOOKUP($C29,'Patty Cash'!$B:$J,3,FALSE()),"")))),"")</f>
        <v>NOS</v>
      </c>
      <c r="G29" s="374">
        <v>1</v>
      </c>
      <c r="H29" s="374">
        <f t="shared" si="0"/>
        <v>1</v>
      </c>
      <c r="I29" s="252">
        <f>IFERROR(IF($E29="Inventory",VLOOKUP($C29,Inventory!$B:$I,8,FALSE()),IF($E29="Non Inventory",VLOOKUP($C29,'Non Inventory'!$B:$I,8,FALSE()),IF($E29="Services",VLOOKUP($C29,Services!$B:$I,8,FALSE()),IF($E29="Patty Cash",VLOOKUP($C29,'Patty Cash'!$B:$J,8,FALSE()),0)))),0)</f>
        <v>300000</v>
      </c>
      <c r="J29" s="252">
        <f t="shared" si="1"/>
        <v>300000</v>
      </c>
      <c r="K29" s="253" t="s">
        <v>1275</v>
      </c>
      <c r="L29" s="253" t="s">
        <v>1196</v>
      </c>
      <c r="M29" s="253" t="s">
        <v>1266</v>
      </c>
      <c r="N29" s="328" t="s">
        <v>1272</v>
      </c>
    </row>
    <row r="30" spans="1:14" ht="20.100000000000001" customHeight="1">
      <c r="A30" s="327">
        <f>IF(AND($B30="",$C30=""),"",MAX($A$3:A29)+1)</f>
        <v>27</v>
      </c>
      <c r="B30" s="262">
        <v>46150</v>
      </c>
      <c r="C30" s="253">
        <v>20188</v>
      </c>
      <c r="D30" s="249" t="str">
        <f>IFERROR(IF($E30="Inventory",VLOOKUP($C30,Inventory!$B:$I,2,FALSE()),IF($E30="Non Inventory",VLOOKUP($C30,'Non Inventory'!$B:$I,2,FALSE()),IF($E30="Services",VLOOKUP($C30,Services!$B:$I,2,FALSE()),IF($E30="Patty Cash",VLOOKUP($C30,'Patty Cash'!$B:$J,2,FALSE()),"")))),"")</f>
        <v>Barrel Water Body CG470mm ( For Lalesse Plant Extruder )</v>
      </c>
      <c r="E30" s="254" t="s">
        <v>6</v>
      </c>
      <c r="F30" s="263" t="str">
        <f>IFERROR(IF($E30="Inventory",VLOOKUP($C30,Inventory!$B:$I,3,FALSE()),IF($E30="Non Inventory",VLOOKUP($C30,'Non Inventory'!$B:$I,3,FALSE()),IF($E30="Services",VLOOKUP($C30,Services!$B:$I,3,FALSE()),IF($E30="Patty Cash",VLOOKUP($C30,'Patty Cash'!$B:$J,3,FALSE()),"")))),"")</f>
        <v>NOS</v>
      </c>
      <c r="G30" s="374">
        <v>1</v>
      </c>
      <c r="H30" s="374">
        <f t="shared" si="0"/>
        <v>1</v>
      </c>
      <c r="I30" s="252">
        <f>IFERROR(IF($E30="Inventory",VLOOKUP($C30,Inventory!$B:$I,8,FALSE()),IF($E30="Non Inventory",VLOOKUP($C30,'Non Inventory'!$B:$I,8,FALSE()),IF($E30="Services",VLOOKUP($C30,Services!$B:$I,8,FALSE()),IF($E30="Patty Cash",VLOOKUP($C30,'Patty Cash'!$B:$J,8,FALSE()),0)))),0)</f>
        <v>180000</v>
      </c>
      <c r="J30" s="252">
        <f t="shared" si="1"/>
        <v>180000</v>
      </c>
      <c r="K30" s="253" t="s">
        <v>1275</v>
      </c>
      <c r="L30" s="253" t="s">
        <v>1196</v>
      </c>
      <c r="M30" s="253" t="s">
        <v>1266</v>
      </c>
      <c r="N30" s="328" t="s">
        <v>1272</v>
      </c>
    </row>
    <row r="31" spans="1:14" ht="20.100000000000001" customHeight="1">
      <c r="A31" s="327">
        <f>IF(AND($B31="",$C31=""),"",MAX($A$3:A30)+1)</f>
        <v>28</v>
      </c>
      <c r="B31" s="262">
        <v>46157</v>
      </c>
      <c r="C31" s="253">
        <v>25588</v>
      </c>
      <c r="D31" s="249" t="str">
        <f>IFERROR(IF($E31="Inventory",VLOOKUP($C31,Inventory!$B:$I,2,FALSE()),IF($E31="Non Inventory",VLOOKUP($C31,'Non Inventory'!$B:$I,2,FALSE()),IF($E31="Services",VLOOKUP($C31,Services!$B:$I,2,FALSE()),IF($E31="Patty Cash",VLOOKUP($C31,'Patty Cash'!$B:$J,2,FALSE()),"")))),"")</f>
        <v>Pu Conveyor Belt Size 5537mm X 304mm X
2mm (Slanty Batch Fryer)</v>
      </c>
      <c r="E31" s="254" t="s">
        <v>7</v>
      </c>
      <c r="F31" s="263" t="str">
        <f>IFERROR(IF($E31="Inventory",VLOOKUP($C31,Inventory!$B:$I,3,FALSE()),IF($E31="Non Inventory",VLOOKUP($C31,'Non Inventory'!$B:$I,3,FALSE()),IF($E31="Services",VLOOKUP($C31,Services!$B:$I,3,FALSE()),IF($E31="Patty Cash",VLOOKUP($C31,'Patty Cash'!$B:$J,3,FALSE()),"")))),"")</f>
        <v>NOS</v>
      </c>
      <c r="G31" s="374">
        <v>1</v>
      </c>
      <c r="H31" s="374">
        <f t="shared" si="0"/>
        <v>1</v>
      </c>
      <c r="I31" s="252">
        <f>IFERROR(IF($E31="Inventory",VLOOKUP($C31,Inventory!$B:$I,8,FALSE()),IF($E31="Non Inventory",VLOOKUP($C31,'Non Inventory'!$B:$I,8,FALSE()),IF($E31="Services",VLOOKUP($C31,Services!$B:$I,8,FALSE()),IF($E31="Patty Cash",VLOOKUP($C31,'Patty Cash'!$B:$J,8,FALSE()),0)))),0)</f>
        <v>17800</v>
      </c>
      <c r="J31" s="252">
        <f t="shared" si="1"/>
        <v>17800</v>
      </c>
      <c r="K31" s="253" t="s">
        <v>1314</v>
      </c>
      <c r="L31" s="253" t="s">
        <v>1196</v>
      </c>
      <c r="M31" s="253" t="s">
        <v>1266</v>
      </c>
      <c r="N31" s="328" t="s">
        <v>1394</v>
      </c>
    </row>
    <row r="32" spans="1:14" s="7" customFormat="1" ht="20.100000000000001" customHeight="1">
      <c r="A32" s="327">
        <f>IF(AND($B32="",$C32=""),"",MAX($A$3:A31)+1)</f>
        <v>29</v>
      </c>
      <c r="B32" s="262">
        <v>46157</v>
      </c>
      <c r="C32" s="253">
        <v>14658</v>
      </c>
      <c r="D32" s="249" t="str">
        <f>IFERROR(IF($E32="Inventory",VLOOKUP($C32,Inventory!$B:$I,2,FALSE()),IF($E32="Non Inventory",VLOOKUP($C32,'Non Inventory'!$B:$I,2,FALSE()),IF($E32="Services",VLOOKUP($C32,Services!$B:$I,2,FALSE()),IF($E32="Patty Cash",VLOOKUP($C32,'Patty Cash'!$B:$J,2,FALSE()),"")))),"")</f>
        <v>Conveyor Belt Size 12375x254x3mm, Shifter Dis
8", Height 20mm(Lalesse Plant)</v>
      </c>
      <c r="E32" s="254" t="s">
        <v>7</v>
      </c>
      <c r="F32" s="263" t="str">
        <f>IFERROR(IF($E32="Inventory",VLOOKUP($C32,Inventory!$B:$I,3,FALSE()),IF($E32="Non Inventory",VLOOKUP($C32,'Non Inventory'!$B:$I,3,FALSE()),IF($E32="Services",VLOOKUP($C32,Services!$B:$I,3,FALSE()),IF($E32="Patty Cash",VLOOKUP($C32,'Patty Cash'!$B:$J,3,FALSE()),"")))),"")</f>
        <v>NOS</v>
      </c>
      <c r="G32" s="374">
        <v>1</v>
      </c>
      <c r="H32" s="374">
        <f t="shared" si="0"/>
        <v>1</v>
      </c>
      <c r="I32" s="252">
        <f>IFERROR(IF($E32="Inventory",VLOOKUP($C32,Inventory!$B:$I,8,FALSE()),IF($E32="Non Inventory",VLOOKUP($C32,'Non Inventory'!$B:$I,8,FALSE()),IF($E32="Services",VLOOKUP($C32,Services!$B:$I,8,FALSE()),IF($E32="Patty Cash",VLOOKUP($C32,'Patty Cash'!$B:$J,8,FALSE()),0)))),0)</f>
        <v>42318</v>
      </c>
      <c r="J32" s="252">
        <f t="shared" si="1"/>
        <v>42318</v>
      </c>
      <c r="K32" s="253" t="s">
        <v>1314</v>
      </c>
      <c r="L32" s="253" t="s">
        <v>1196</v>
      </c>
      <c r="M32" s="253" t="s">
        <v>1266</v>
      </c>
      <c r="N32" s="328" t="s">
        <v>1394</v>
      </c>
    </row>
    <row r="33" spans="1:14" ht="20.100000000000001" customHeight="1">
      <c r="A33" s="327">
        <f>IF(AND($B33="",$C33=""),"",MAX($A$3:A32)+1)</f>
        <v>30</v>
      </c>
      <c r="B33" s="262">
        <v>46146</v>
      </c>
      <c r="C33" s="253">
        <v>21865</v>
      </c>
      <c r="D33" s="249" t="str">
        <f>IFERROR(IF($E33="Inventory",VLOOKUP($C33,Inventory!$B:$I,2,FALSE()),IF($E33="Non Inventory",VLOOKUP($C33,'Non Inventory'!$B:$I,2,FALSE()),IF($E33="Services",VLOOKUP($C33,Services!$B:$I,2,FALSE()),IF($E33="Patty Cash",VLOOKUP($C33,'Patty Cash'!$B:$J,2,FALSE()),"")))),"")</f>
        <v xml:space="preserve">Serv. Monthly Contract For Sng Plant Operation </v>
      </c>
      <c r="E33" s="255" t="s">
        <v>1280</v>
      </c>
      <c r="F33" s="263" t="str">
        <f>IFERROR(IF($E33="Inventory",VLOOKUP($C33,Inventory!$B:$I,3,FALSE()),IF($E33="Non Inventory",VLOOKUP($C33,'Non Inventory'!$B:$I,3,FALSE()),IF($E33="Services",VLOOKUP($C33,Services!$B:$I,3,FALSE()),IF($E33="Patty Cash",VLOOKUP($C33,'Patty Cash'!$B:$J,3,FALSE()),"")))),"")</f>
        <v>NOS</v>
      </c>
      <c r="G33" s="374">
        <v>1</v>
      </c>
      <c r="H33" s="374">
        <f t="shared" si="0"/>
        <v>1</v>
      </c>
      <c r="I33" s="252">
        <f>IFERROR(IF($E33="Inventory",VLOOKUP($C33,Inventory!$B:$I,8,FALSE()),IF($E33="Non Inventory",VLOOKUP($C33,'Non Inventory'!$B:$I,8,FALSE()),IF($E33="Services",VLOOKUP($C33,Services!$B:$I,8,FALSE()),IF($E33="Patty Cash",VLOOKUP($C33,'Patty Cash'!$B:$J,8,FALSE()),0)))),0)</f>
        <v>220000</v>
      </c>
      <c r="J33" s="252">
        <f t="shared" si="1"/>
        <v>220000</v>
      </c>
      <c r="K33" s="253" t="s">
        <v>1322</v>
      </c>
      <c r="L33" s="253" t="s">
        <v>1320</v>
      </c>
      <c r="M33" s="253" t="s">
        <v>1323</v>
      </c>
      <c r="N33" s="328" t="s">
        <v>1324</v>
      </c>
    </row>
    <row r="34" spans="1:14" ht="20.100000000000001" customHeight="1">
      <c r="A34" s="327">
        <f>IF(AND($B34="",$C34=""),"",MAX($A$3:A33)+1)</f>
        <v>31</v>
      </c>
      <c r="B34" s="262">
        <v>46154</v>
      </c>
      <c r="C34" s="253">
        <v>25519</v>
      </c>
      <c r="D34" s="249" t="str">
        <f>IFERROR(IF($E34="Inventory",VLOOKUP($C34,Inventory!$B:$I,2,FALSE()),IF($E34="Non Inventory",VLOOKUP($C34,'Non Inventory'!$B:$I,2,FALSE()),IF($E34="Services",VLOOKUP($C34,Services!$B:$I,2,FALSE()),IF($E34="Patty Cash",VLOOKUP($C34,'Patty Cash'!$B:$J,2,FALSE()),"")))),"")</f>
        <v>Mechnical Seal Size 40mm</v>
      </c>
      <c r="E34" s="254" t="s">
        <v>7</v>
      </c>
      <c r="F34" s="263" t="str">
        <f>IFERROR(IF($E34="Inventory",VLOOKUP($C34,Inventory!$B:$I,3,FALSE()),IF($E34="Non Inventory",VLOOKUP($C34,'Non Inventory'!$B:$I,3,FALSE()),IF($E34="Services",VLOOKUP($C34,Services!$B:$I,3,FALSE()),IF($E34="Patty Cash",VLOOKUP($C34,'Patty Cash'!$B:$J,3,FALSE()),"")))),"")</f>
        <v>NOS</v>
      </c>
      <c r="G34" s="374">
        <v>1</v>
      </c>
      <c r="H34" s="374">
        <f t="shared" si="0"/>
        <v>1</v>
      </c>
      <c r="I34" s="252">
        <f>IFERROR(IF($E34="Inventory",VLOOKUP($C34,Inventory!$B:$I,8,FALSE()),IF($E34="Non Inventory",VLOOKUP($C34,'Non Inventory'!$B:$I,8,FALSE()),IF($E34="Services",VLOOKUP($C34,Services!$B:$I,8,FALSE()),IF($E34="Patty Cash",VLOOKUP($C34,'Patty Cash'!$B:$J,8,FALSE()),0)))),0)</f>
        <v>9200</v>
      </c>
      <c r="J34" s="252">
        <f t="shared" si="1"/>
        <v>9200</v>
      </c>
      <c r="K34" s="253" t="s">
        <v>1333</v>
      </c>
      <c r="L34" s="253" t="s">
        <v>1196</v>
      </c>
      <c r="M34" s="253" t="s">
        <v>1266</v>
      </c>
      <c r="N34" s="328" t="s">
        <v>1274</v>
      </c>
    </row>
    <row r="35" spans="1:14" ht="20.100000000000001" customHeight="1">
      <c r="A35" s="327">
        <f>IF(AND($B35="",$C35=""),"",MAX($A$3:A34)+1)</f>
        <v>32</v>
      </c>
      <c r="B35" s="262">
        <v>46157</v>
      </c>
      <c r="C35" s="253">
        <v>27500</v>
      </c>
      <c r="D35" s="249" t="str">
        <f>IFERROR(IF($E35="Inventory",VLOOKUP($C35,Inventory!$B:$I,2,FALSE()),IF($E35="Non Inventory",VLOOKUP($C35,'Non Inventory'!$B:$I,2,FALSE()),IF($E35="Services",VLOOKUP($C35,Services!$B:$I,2,FALSE()),IF($E35="Patty Cash",VLOOKUP($C35,'Patty Cash'!$B:$J,2,FALSE()),"")))),"")</f>
        <v>Solenoid Valve With Complete Set Ds 3130 For
Linear Conveyor</v>
      </c>
      <c r="E35" s="254" t="s">
        <v>7</v>
      </c>
      <c r="F35" s="263" t="str">
        <f>IFERROR(IF($E35="Inventory",VLOOKUP($C35,Inventory!$B:$I,3,FALSE()),IF($E35="Non Inventory",VLOOKUP($C35,'Non Inventory'!$B:$I,3,FALSE()),IF($E35="Services",VLOOKUP($C35,Services!$B:$I,3,FALSE()),IF($E35="Patty Cash",VLOOKUP($C35,'Patty Cash'!$B:$J,3,FALSE()),"")))),"")</f>
        <v>NOS</v>
      </c>
      <c r="G35" s="374">
        <v>1</v>
      </c>
      <c r="H35" s="374">
        <f t="shared" si="0"/>
        <v>1</v>
      </c>
      <c r="I35" s="252">
        <f>IFERROR(IF($E35="Inventory",VLOOKUP($C35,Inventory!$B:$I,8,FALSE()),IF($E35="Non Inventory",VLOOKUP($C35,'Non Inventory'!$B:$I,8,FALSE()),IF($E35="Services",VLOOKUP($C35,Services!$B:$I,8,FALSE()),IF($E35="Patty Cash",VLOOKUP($C35,'Patty Cash'!$B:$J,8,FALSE()),0)))),0)</f>
        <v>15000</v>
      </c>
      <c r="J35" s="252">
        <f t="shared" si="1"/>
        <v>15000</v>
      </c>
      <c r="K35" s="253" t="s">
        <v>1269</v>
      </c>
      <c r="L35" s="253" t="s">
        <v>1196</v>
      </c>
      <c r="M35" s="253" t="s">
        <v>1266</v>
      </c>
      <c r="N35" s="328" t="s">
        <v>1357</v>
      </c>
    </row>
    <row r="36" spans="1:14" ht="20.100000000000001" customHeight="1">
      <c r="A36" s="327">
        <f>IF(AND($B36="",$C36=""),"",MAX($A$3:A35)+1)</f>
        <v>33</v>
      </c>
      <c r="B36" s="262">
        <v>46158</v>
      </c>
      <c r="C36" s="253">
        <v>17523</v>
      </c>
      <c r="D36" s="249" t="str">
        <f>IFERROR(IF($E36="Inventory",VLOOKUP($C36,Inventory!$B:$I,2,FALSE()),IF($E36="Non Inventory",VLOOKUP($C36,'Non Inventory'!$B:$I,2,FALSE()),IF($E36="Services",VLOOKUP($C36,Services!$B:$I,2,FALSE()),IF($E36="Patty Cash",VLOOKUP($C36,'Patty Cash'!$B:$J,2,FALSE()),"")))),"")</f>
        <v>S.S Drill Bit Size 3mm</v>
      </c>
      <c r="E36" s="254" t="s">
        <v>7</v>
      </c>
      <c r="F36" s="263" t="str">
        <f>IFERROR(IF($E36="Inventory",VLOOKUP($C36,Inventory!$B:$I,3,FALSE()),IF($E36="Non Inventory",VLOOKUP($C36,'Non Inventory'!$B:$I,3,FALSE()),IF($E36="Services",VLOOKUP($C36,Services!$B:$I,3,FALSE()),IF($E36="Patty Cash",VLOOKUP($C36,'Patty Cash'!$B:$J,3,FALSE()),"")))),"")</f>
        <v>NOS</v>
      </c>
      <c r="G36" s="374">
        <v>6</v>
      </c>
      <c r="H36" s="374">
        <f t="shared" si="0"/>
        <v>6</v>
      </c>
      <c r="I36" s="252">
        <f>IFERROR(IF($E36="Inventory",VLOOKUP($C36,Inventory!$B:$I,8,FALSE()),IF($E36="Non Inventory",VLOOKUP($C36,'Non Inventory'!$B:$I,8,FALSE()),IF($E36="Services",VLOOKUP($C36,Services!$B:$I,8,FALSE()),IF($E36="Patty Cash",VLOOKUP($C36,'Patty Cash'!$B:$J,8,FALSE()),0)))),0)</f>
        <v>300</v>
      </c>
      <c r="J36" s="252">
        <f t="shared" si="1"/>
        <v>1800</v>
      </c>
      <c r="K36" s="253" t="s">
        <v>1276</v>
      </c>
      <c r="L36" s="253" t="s">
        <v>1196</v>
      </c>
      <c r="M36" s="253" t="s">
        <v>1270</v>
      </c>
      <c r="N36" s="328" t="s">
        <v>1398</v>
      </c>
    </row>
    <row r="37" spans="1:14" ht="20.100000000000001" customHeight="1">
      <c r="A37" s="327">
        <f>IF(AND($B37="",$C37=""),"",MAX($A$3:A36)+1)</f>
        <v>34</v>
      </c>
      <c r="B37" s="262">
        <v>46158</v>
      </c>
      <c r="C37" s="253">
        <v>18615</v>
      </c>
      <c r="D37" s="249" t="str">
        <f>IFERROR(IF($E37="Inventory",VLOOKUP($C37,Inventory!$B:$I,2,FALSE()),IF($E37="Non Inventory",VLOOKUP($C37,'Non Inventory'!$B:$I,2,FALSE()),IF($E37="Services",VLOOKUP($C37,Services!$B:$I,2,FALSE()),IF($E37="Patty Cash",VLOOKUP($C37,'Patty Cash'!$B:$J,2,FALSE()),"")))),"")</f>
        <v>S.S Drill Bit Size 4mm</v>
      </c>
      <c r="E37" s="254" t="s">
        <v>7</v>
      </c>
      <c r="F37" s="263" t="str">
        <f>IFERROR(IF($E37="Inventory",VLOOKUP($C37,Inventory!$B:$I,3,FALSE()),IF($E37="Non Inventory",VLOOKUP($C37,'Non Inventory'!$B:$I,3,FALSE()),IF($E37="Services",VLOOKUP($C37,Services!$B:$I,3,FALSE()),IF($E37="Patty Cash",VLOOKUP($C37,'Patty Cash'!$B:$J,3,FALSE()),"")))),"")</f>
        <v>NOS</v>
      </c>
      <c r="G37" s="374">
        <v>6</v>
      </c>
      <c r="H37" s="374">
        <f t="shared" si="0"/>
        <v>6</v>
      </c>
      <c r="I37" s="252">
        <f>IFERROR(IF($E37="Inventory",VLOOKUP($C37,Inventory!$B:$I,8,FALSE()),IF($E37="Non Inventory",VLOOKUP($C37,'Non Inventory'!$B:$I,8,FALSE()),IF($E37="Services",VLOOKUP($C37,Services!$B:$I,8,FALSE()),IF($E37="Patty Cash",VLOOKUP($C37,'Patty Cash'!$B:$J,8,FALSE()),0)))),0)</f>
        <v>360</v>
      </c>
      <c r="J37" s="252">
        <f t="shared" si="1"/>
        <v>2160</v>
      </c>
      <c r="K37" s="253" t="s">
        <v>1276</v>
      </c>
      <c r="L37" s="253" t="s">
        <v>1196</v>
      </c>
      <c r="M37" s="253" t="s">
        <v>1270</v>
      </c>
      <c r="N37" s="328" t="s">
        <v>1398</v>
      </c>
    </row>
    <row r="38" spans="1:14" ht="20.100000000000001" customHeight="1">
      <c r="A38" s="327">
        <f>IF(AND($B38="",$C38=""),"",MAX($A$3:A37)+1)</f>
        <v>35</v>
      </c>
      <c r="B38" s="262">
        <v>46158</v>
      </c>
      <c r="C38" s="253">
        <v>17023</v>
      </c>
      <c r="D38" s="249" t="str">
        <f>IFERROR(IF($E38="Inventory",VLOOKUP($C38,Inventory!$B:$I,2,FALSE()),IF($E38="Non Inventory",VLOOKUP($C38,'Non Inventory'!$B:$I,2,FALSE()),IF($E38="Services",VLOOKUP($C38,Services!$B:$I,2,FALSE()),IF($E38="Patty Cash",VLOOKUP($C38,'Patty Cash'!$B:$J,2,FALSE()),"")))),"")</f>
        <v>S.S Drill Bit Size 6mm</v>
      </c>
      <c r="E38" s="254" t="s">
        <v>7</v>
      </c>
      <c r="F38" s="263" t="str">
        <f>IFERROR(IF($E38="Inventory",VLOOKUP($C38,Inventory!$B:$I,3,FALSE()),IF($E38="Non Inventory",VLOOKUP($C38,'Non Inventory'!$B:$I,3,FALSE()),IF($E38="Services",VLOOKUP($C38,Services!$B:$I,3,FALSE()),IF($E38="Patty Cash",VLOOKUP($C38,'Patty Cash'!$B:$J,3,FALSE()),"")))),"")</f>
        <v>NOS</v>
      </c>
      <c r="G38" s="374">
        <v>6</v>
      </c>
      <c r="H38" s="374">
        <f t="shared" si="0"/>
        <v>6</v>
      </c>
      <c r="I38" s="252">
        <f>IFERROR(IF($E38="Inventory",VLOOKUP($C38,Inventory!$B:$I,8,FALSE()),IF($E38="Non Inventory",VLOOKUP($C38,'Non Inventory'!$B:$I,8,FALSE()),IF($E38="Services",VLOOKUP($C38,Services!$B:$I,8,FALSE()),IF($E38="Patty Cash",VLOOKUP($C38,'Patty Cash'!$B:$J,8,FALSE()),0)))),0)</f>
        <v>550</v>
      </c>
      <c r="J38" s="252">
        <f t="shared" si="1"/>
        <v>3300</v>
      </c>
      <c r="K38" s="253" t="s">
        <v>1276</v>
      </c>
      <c r="L38" s="253" t="s">
        <v>1196</v>
      </c>
      <c r="M38" s="253" t="s">
        <v>1270</v>
      </c>
      <c r="N38" s="328" t="s">
        <v>1398</v>
      </c>
    </row>
    <row r="39" spans="1:14" ht="20.100000000000001" customHeight="1">
      <c r="A39" s="327">
        <f>IF(AND($B39="",$C39=""),"",MAX($A$3:A38)+1)</f>
        <v>36</v>
      </c>
      <c r="B39" s="262">
        <v>46158</v>
      </c>
      <c r="C39" s="253">
        <v>8586</v>
      </c>
      <c r="D39" s="249" t="str">
        <f>IFERROR(IF($E39="Inventory",VLOOKUP($C39,Inventory!$B:$I,2,FALSE()),IF($E39="Non Inventory",VLOOKUP($C39,'Non Inventory'!$B:$I,2,FALSE()),IF($E39="Services",VLOOKUP($C39,Services!$B:$I,2,FALSE()),IF($E39="Patty Cash",VLOOKUP($C39,'Patty Cash'!$B:$J,2,FALSE()),"")))),"")</f>
        <v>S.S Drill Bit Size 5mm</v>
      </c>
      <c r="E39" s="254" t="s">
        <v>7</v>
      </c>
      <c r="F39" s="263" t="str">
        <f>IFERROR(IF($E39="Inventory",VLOOKUP($C39,Inventory!$B:$I,3,FALSE()),IF($E39="Non Inventory",VLOOKUP($C39,'Non Inventory'!$B:$I,3,FALSE()),IF($E39="Services",VLOOKUP($C39,Services!$B:$I,3,FALSE()),IF($E39="Patty Cash",VLOOKUP($C39,'Patty Cash'!$B:$J,3,FALSE()),"")))),"")</f>
        <v>NOS</v>
      </c>
      <c r="G39" s="374">
        <v>6</v>
      </c>
      <c r="H39" s="374">
        <f t="shared" si="0"/>
        <v>6</v>
      </c>
      <c r="I39" s="252">
        <f>IFERROR(IF($E39="Inventory",VLOOKUP($C39,Inventory!$B:$I,8,FALSE()),IF($E39="Non Inventory",VLOOKUP($C39,'Non Inventory'!$B:$I,8,FALSE()),IF($E39="Services",VLOOKUP($C39,Services!$B:$I,8,FALSE()),IF($E39="Patty Cash",VLOOKUP($C39,'Patty Cash'!$B:$J,8,FALSE()),0)))),0)</f>
        <v>380</v>
      </c>
      <c r="J39" s="252">
        <f t="shared" si="1"/>
        <v>2280</v>
      </c>
      <c r="K39" s="253" t="s">
        <v>1276</v>
      </c>
      <c r="L39" s="253" t="s">
        <v>1196</v>
      </c>
      <c r="M39" s="253" t="s">
        <v>1270</v>
      </c>
      <c r="N39" s="328" t="s">
        <v>1398</v>
      </c>
    </row>
    <row r="40" spans="1:14" ht="20.100000000000001" customHeight="1">
      <c r="A40" s="327">
        <f>IF(AND($B40="",$C40=""),"",MAX($A$3:A39)+1)</f>
        <v>37</v>
      </c>
      <c r="B40" s="262">
        <v>46158</v>
      </c>
      <c r="C40" s="253">
        <v>18614</v>
      </c>
      <c r="D40" s="249" t="str">
        <f>IFERROR(IF($E40="Inventory",VLOOKUP($C40,Inventory!$B:$I,2,FALSE()),IF($E40="Non Inventory",VLOOKUP($C40,'Non Inventory'!$B:$I,2,FALSE()),IF($E40="Services",VLOOKUP($C40,Services!$B:$I,2,FALSE()),IF($E40="Patty Cash",VLOOKUP($C40,'Patty Cash'!$B:$J,2,FALSE()),"")))),"")</f>
        <v>S.S Drill Bit Size 2mm</v>
      </c>
      <c r="E40" s="254" t="s">
        <v>7</v>
      </c>
      <c r="F40" s="263" t="str">
        <f>IFERROR(IF($E40="Inventory",VLOOKUP($C40,Inventory!$B:$I,3,FALSE()),IF($E40="Non Inventory",VLOOKUP($C40,'Non Inventory'!$B:$I,3,FALSE()),IF($E40="Services",VLOOKUP($C40,Services!$B:$I,3,FALSE()),IF($E40="Patty Cash",VLOOKUP($C40,'Patty Cash'!$B:$J,3,FALSE()),"")))),"")</f>
        <v>NOS</v>
      </c>
      <c r="G40" s="374">
        <v>6</v>
      </c>
      <c r="H40" s="374">
        <f t="shared" si="0"/>
        <v>6</v>
      </c>
      <c r="I40" s="252">
        <f>IFERROR(IF($E40="Inventory",VLOOKUP($C40,Inventory!$B:$I,8,FALSE()),IF($E40="Non Inventory",VLOOKUP($C40,'Non Inventory'!$B:$I,8,FALSE()),IF($E40="Services",VLOOKUP($C40,Services!$B:$I,8,FALSE()),IF($E40="Patty Cash",VLOOKUP($C40,'Patty Cash'!$B:$J,8,FALSE()),0)))),0)</f>
        <v>275</v>
      </c>
      <c r="J40" s="252">
        <f t="shared" si="1"/>
        <v>1650</v>
      </c>
      <c r="K40" s="253" t="s">
        <v>1276</v>
      </c>
      <c r="L40" s="253" t="s">
        <v>1196</v>
      </c>
      <c r="M40" s="253" t="s">
        <v>1270</v>
      </c>
      <c r="N40" s="328" t="s">
        <v>1398</v>
      </c>
    </row>
    <row r="41" spans="1:14" ht="20.100000000000001" customHeight="1">
      <c r="A41" s="327">
        <f>IF(AND($B41="",$C41=""),"",MAX($A$3:A40)+1)</f>
        <v>38</v>
      </c>
      <c r="B41" s="262">
        <v>46158</v>
      </c>
      <c r="C41" s="253">
        <v>18616</v>
      </c>
      <c r="D41" s="249" t="str">
        <f>IFERROR(IF($E41="Inventory",VLOOKUP($C41,Inventory!$B:$I,2,FALSE()),IF($E41="Non Inventory",VLOOKUP($C41,'Non Inventory'!$B:$I,2,FALSE()),IF($E41="Services",VLOOKUP($C41,Services!$B:$I,2,FALSE()),IF($E41="Patty Cash",VLOOKUP($C41,'Patty Cash'!$B:$J,2,FALSE()),"")))),"")</f>
        <v>S.S Drill Bit Size 8mm</v>
      </c>
      <c r="E41" s="254" t="s">
        <v>7</v>
      </c>
      <c r="F41" s="263" t="str">
        <f>IFERROR(IF($E41="Inventory",VLOOKUP($C41,Inventory!$B:$I,3,FALSE()),IF($E41="Non Inventory",VLOOKUP($C41,'Non Inventory'!$B:$I,3,FALSE()),IF($E41="Services",VLOOKUP($C41,Services!$B:$I,3,FALSE()),IF($E41="Patty Cash",VLOOKUP($C41,'Patty Cash'!$B:$J,3,FALSE()),"")))),"")</f>
        <v>NOS</v>
      </c>
      <c r="G41" s="374">
        <v>3</v>
      </c>
      <c r="H41" s="374">
        <f t="shared" si="0"/>
        <v>3</v>
      </c>
      <c r="I41" s="252">
        <f>IFERROR(IF($E41="Inventory",VLOOKUP($C41,Inventory!$B:$I,8,FALSE()),IF($E41="Non Inventory",VLOOKUP($C41,'Non Inventory'!$B:$I,8,FALSE()),IF($E41="Services",VLOOKUP($C41,Services!$B:$I,8,FALSE()),IF($E41="Patty Cash",VLOOKUP($C41,'Patty Cash'!$B:$J,8,FALSE()),0)))),0)</f>
        <v>1200</v>
      </c>
      <c r="J41" s="252">
        <f t="shared" si="1"/>
        <v>3600</v>
      </c>
      <c r="K41" s="253" t="s">
        <v>1276</v>
      </c>
      <c r="L41" s="253" t="s">
        <v>1196</v>
      </c>
      <c r="M41" s="253" t="s">
        <v>1270</v>
      </c>
      <c r="N41" s="328" t="s">
        <v>1398</v>
      </c>
    </row>
    <row r="42" spans="1:14" ht="20.100000000000001" customHeight="1">
      <c r="A42" s="327">
        <f>IF(AND($B42="",$C42=""),"",MAX($A$3:A41)+1)</f>
        <v>39</v>
      </c>
      <c r="B42" s="262">
        <v>46158</v>
      </c>
      <c r="C42" s="253">
        <v>6957</v>
      </c>
      <c r="D42" s="249" t="str">
        <f>IFERROR(IF($E42="Inventory",VLOOKUP($C42,Inventory!$B:$I,2,FALSE()),IF($E42="Non Inventory",VLOOKUP($C42,'Non Inventory'!$B:$I,2,FALSE()),IF($E42="Services",VLOOKUP($C42,Services!$B:$I,2,FALSE()),IF($E42="Patty Cash",VLOOKUP($C42,'Patty Cash'!$B:$J,2,FALSE()),"")))),"")</f>
        <v>Hand Tap Carbon Steel, Thread Size M3x0.5(
Set Of Three)</v>
      </c>
      <c r="E42" s="254" t="s">
        <v>7</v>
      </c>
      <c r="F42" s="263" t="str">
        <f>IFERROR(IF($E42="Inventory",VLOOKUP($C42,Inventory!$B:$I,3,FALSE()),IF($E42="Non Inventory",VLOOKUP($C42,'Non Inventory'!$B:$I,3,FALSE()),IF($E42="Services",VLOOKUP($C42,Services!$B:$I,3,FALSE()),IF($E42="Patty Cash",VLOOKUP($C42,'Patty Cash'!$B:$J,3,FALSE()),"")))),"")</f>
        <v>NOS</v>
      </c>
      <c r="G42" s="374">
        <v>1</v>
      </c>
      <c r="H42" s="374">
        <f t="shared" si="0"/>
        <v>1</v>
      </c>
      <c r="I42" s="252">
        <f>IFERROR(IF($E42="Inventory",VLOOKUP($C42,Inventory!$B:$I,8,FALSE()),IF($E42="Non Inventory",VLOOKUP($C42,'Non Inventory'!$B:$I,8,FALSE()),IF($E42="Services",VLOOKUP($C42,Services!$B:$I,8,FALSE()),IF($E42="Patty Cash",VLOOKUP($C42,'Patty Cash'!$B:$J,8,FALSE()),0)))),0)</f>
        <v>1100</v>
      </c>
      <c r="J42" s="252">
        <f t="shared" si="1"/>
        <v>1100</v>
      </c>
      <c r="K42" s="253" t="s">
        <v>1276</v>
      </c>
      <c r="L42" s="253" t="s">
        <v>1207</v>
      </c>
      <c r="M42" s="253" t="s">
        <v>1270</v>
      </c>
      <c r="N42" s="328" t="s">
        <v>1398</v>
      </c>
    </row>
    <row r="43" spans="1:14" ht="20.100000000000001" customHeight="1">
      <c r="A43" s="327">
        <f>IF(AND($B43="",$C43=""),"",MAX($A$3:A42)+1)</f>
        <v>40</v>
      </c>
      <c r="B43" s="262">
        <v>46158</v>
      </c>
      <c r="C43" s="253">
        <v>6950</v>
      </c>
      <c r="D43" s="249" t="str">
        <f>IFERROR(IF($E43="Inventory",VLOOKUP($C43,Inventory!$B:$I,2,FALSE()),IF($E43="Non Inventory",VLOOKUP($C43,'Non Inventory'!$B:$I,2,FALSE()),IF($E43="Services",VLOOKUP($C43,Services!$B:$I,2,FALSE()),IF($E43="Patty Cash",VLOOKUP($C43,'Patty Cash'!$B:$J,2,FALSE()),"")))),"")</f>
        <v>Hand Tap Carbon Steel , Thread Size ,
M4x0.70( Set Of Three)</v>
      </c>
      <c r="E43" s="254" t="s">
        <v>7</v>
      </c>
      <c r="F43" s="263" t="str">
        <f>IFERROR(IF($E43="Inventory",VLOOKUP($C43,Inventory!$B:$I,3,FALSE()),IF($E43="Non Inventory",VLOOKUP($C43,'Non Inventory'!$B:$I,3,FALSE()),IF($E43="Services",VLOOKUP($C43,Services!$B:$I,3,FALSE()),IF($E43="Patty Cash",VLOOKUP($C43,'Patty Cash'!$B:$J,3,FALSE()),"")))),"")</f>
        <v>NOS</v>
      </c>
      <c r="G43" s="374">
        <v>1</v>
      </c>
      <c r="H43" s="374">
        <f t="shared" si="0"/>
        <v>1</v>
      </c>
      <c r="I43" s="252">
        <f>IFERROR(IF($E43="Inventory",VLOOKUP($C43,Inventory!$B:$I,8,FALSE()),IF($E43="Non Inventory",VLOOKUP($C43,'Non Inventory'!$B:$I,8,FALSE()),IF($E43="Services",VLOOKUP($C43,Services!$B:$I,8,FALSE()),IF($E43="Patty Cash",VLOOKUP($C43,'Patty Cash'!$B:$J,8,FALSE()),0)))),0)</f>
        <v>1350</v>
      </c>
      <c r="J43" s="252">
        <f t="shared" si="1"/>
        <v>1350</v>
      </c>
      <c r="K43" s="253" t="s">
        <v>1276</v>
      </c>
      <c r="L43" s="253" t="s">
        <v>1207</v>
      </c>
      <c r="M43" s="253" t="s">
        <v>1270</v>
      </c>
      <c r="N43" s="328" t="s">
        <v>1398</v>
      </c>
    </row>
    <row r="44" spans="1:14" ht="20.100000000000001" customHeight="1">
      <c r="A44" s="327">
        <f>IF(AND($B44="",$C44=""),"",MAX($A$3:A43)+1)</f>
        <v>41</v>
      </c>
      <c r="B44" s="262">
        <v>46158</v>
      </c>
      <c r="C44" s="253">
        <v>6951</v>
      </c>
      <c r="D44" s="249" t="str">
        <f>IFERROR(IF($E44="Inventory",VLOOKUP($C44,Inventory!$B:$I,2,FALSE()),IF($E44="Non Inventory",VLOOKUP($C44,'Non Inventory'!$B:$I,2,FALSE()),IF($E44="Services",VLOOKUP($C44,Services!$B:$I,2,FALSE()),IF($E44="Patty Cash",VLOOKUP($C44,'Patty Cash'!$B:$J,2,FALSE()),"")))),"")</f>
        <v>Hand Tap Carbon Steel,Thread Size M5x0.80(
Set Of Three)</v>
      </c>
      <c r="E44" s="254" t="s">
        <v>7</v>
      </c>
      <c r="F44" s="263" t="str">
        <f>IFERROR(IF($E44="Inventory",VLOOKUP($C44,Inventory!$B:$I,3,FALSE()),IF($E44="Non Inventory",VLOOKUP($C44,'Non Inventory'!$B:$I,3,FALSE()),IF($E44="Services",VLOOKUP($C44,Services!$B:$I,3,FALSE()),IF($E44="Patty Cash",VLOOKUP($C44,'Patty Cash'!$B:$J,3,FALSE()),"")))),"")</f>
        <v>NOS</v>
      </c>
      <c r="G44" s="374">
        <v>1</v>
      </c>
      <c r="H44" s="374">
        <f t="shared" si="0"/>
        <v>1</v>
      </c>
      <c r="I44" s="252">
        <f>IFERROR(IF($E44="Inventory",VLOOKUP($C44,Inventory!$B:$I,8,FALSE()),IF($E44="Non Inventory",VLOOKUP($C44,'Non Inventory'!$B:$I,8,FALSE()),IF($E44="Services",VLOOKUP($C44,Services!$B:$I,8,FALSE()),IF($E44="Patty Cash",VLOOKUP($C44,'Patty Cash'!$B:$J,8,FALSE()),0)))),0)</f>
        <v>1550</v>
      </c>
      <c r="J44" s="252">
        <f t="shared" si="1"/>
        <v>1550</v>
      </c>
      <c r="K44" s="253" t="s">
        <v>1276</v>
      </c>
      <c r="L44" s="253" t="s">
        <v>1207</v>
      </c>
      <c r="M44" s="253" t="s">
        <v>1270</v>
      </c>
      <c r="N44" s="328" t="s">
        <v>1398</v>
      </c>
    </row>
    <row r="45" spans="1:14" ht="20.100000000000001" customHeight="1">
      <c r="A45" s="327">
        <f>IF(AND($B45="",$C45=""),"",MAX($A$3:A44)+1)</f>
        <v>42</v>
      </c>
      <c r="B45" s="262">
        <v>46158</v>
      </c>
      <c r="C45" s="253">
        <v>6952</v>
      </c>
      <c r="D45" s="249" t="str">
        <f>IFERROR(IF($E45="Inventory",VLOOKUP($C45,Inventory!$B:$I,2,FALSE()),IF($E45="Non Inventory",VLOOKUP($C45,'Non Inventory'!$B:$I,2,FALSE()),IF($E45="Services",VLOOKUP($C45,Services!$B:$I,2,FALSE()),IF($E45="Patty Cash",VLOOKUP($C45,'Patty Cash'!$B:$J,2,FALSE()),"")))),"")</f>
        <v>Hand Tap Carbon Steel Thread Size
M6x1.0(Set Of Three)</v>
      </c>
      <c r="E45" s="254" t="s">
        <v>7</v>
      </c>
      <c r="F45" s="263" t="str">
        <f>IFERROR(IF($E45="Inventory",VLOOKUP($C45,Inventory!$B:$I,3,FALSE()),IF($E45="Non Inventory",VLOOKUP($C45,'Non Inventory'!$B:$I,3,FALSE()),IF($E45="Services",VLOOKUP($C45,Services!$B:$I,3,FALSE()),IF($E45="Patty Cash",VLOOKUP($C45,'Patty Cash'!$B:$J,3,FALSE()),"")))),"")</f>
        <v>NOS</v>
      </c>
      <c r="G45" s="374">
        <v>1</v>
      </c>
      <c r="H45" s="374">
        <f t="shared" si="0"/>
        <v>1</v>
      </c>
      <c r="I45" s="252">
        <f>IFERROR(IF($E45="Inventory",VLOOKUP($C45,Inventory!$B:$I,8,FALSE()),IF($E45="Non Inventory",VLOOKUP($C45,'Non Inventory'!$B:$I,8,FALSE()),IF($E45="Services",VLOOKUP($C45,Services!$B:$I,8,FALSE()),IF($E45="Patty Cash",VLOOKUP($C45,'Patty Cash'!$B:$J,8,FALSE()),0)))),0)</f>
        <v>2100</v>
      </c>
      <c r="J45" s="252">
        <f t="shared" si="1"/>
        <v>2100</v>
      </c>
      <c r="K45" s="253" t="s">
        <v>1276</v>
      </c>
      <c r="L45" s="253" t="s">
        <v>1207</v>
      </c>
      <c r="M45" s="253" t="s">
        <v>1270</v>
      </c>
      <c r="N45" s="328" t="s">
        <v>1398</v>
      </c>
    </row>
    <row r="46" spans="1:14" ht="20.100000000000001" customHeight="1">
      <c r="A46" s="327">
        <f>IF(AND($B46="",$C46=""),"",MAX($A$3:A45)+1)</f>
        <v>43</v>
      </c>
      <c r="B46" s="262">
        <v>46158</v>
      </c>
      <c r="C46" s="253">
        <v>6953</v>
      </c>
      <c r="D46" s="249" t="str">
        <f>IFERROR(IF($E46="Inventory",VLOOKUP($C46,Inventory!$B:$I,2,FALSE()),IF($E46="Non Inventory",VLOOKUP($C46,'Non Inventory'!$B:$I,2,FALSE()),IF($E46="Services",VLOOKUP($C46,Services!$B:$I,2,FALSE()),IF($E46="Patty Cash",VLOOKUP($C46,'Patty Cash'!$B:$J,2,FALSE()),"")))),"")</f>
        <v>Hand Tapcarbon Steel, Thread Size M8x1.25(
Set Of Three)</v>
      </c>
      <c r="E46" s="254" t="s">
        <v>7</v>
      </c>
      <c r="F46" s="263" t="str">
        <f>IFERROR(IF($E46="Inventory",VLOOKUP($C46,Inventory!$B:$I,3,FALSE()),IF($E46="Non Inventory",VLOOKUP($C46,'Non Inventory'!$B:$I,3,FALSE()),IF($E46="Services",VLOOKUP($C46,Services!$B:$I,3,FALSE()),IF($E46="Patty Cash",VLOOKUP($C46,'Patty Cash'!$B:$J,3,FALSE()),"")))),"")</f>
        <v>NOS</v>
      </c>
      <c r="G46" s="374">
        <v>1</v>
      </c>
      <c r="H46" s="374">
        <f t="shared" si="0"/>
        <v>1</v>
      </c>
      <c r="I46" s="252">
        <f>IFERROR(IF($E46="Inventory",VLOOKUP($C46,Inventory!$B:$I,8,FALSE()),IF($E46="Non Inventory",VLOOKUP($C46,'Non Inventory'!$B:$I,8,FALSE()),IF($E46="Services",VLOOKUP($C46,Services!$B:$I,8,FALSE()),IF($E46="Patty Cash",VLOOKUP($C46,'Patty Cash'!$B:$J,8,FALSE()),0)))),0)</f>
        <v>2275</v>
      </c>
      <c r="J46" s="252">
        <f t="shared" si="1"/>
        <v>2275</v>
      </c>
      <c r="K46" s="253" t="s">
        <v>1276</v>
      </c>
      <c r="L46" s="253" t="s">
        <v>1207</v>
      </c>
      <c r="M46" s="253" t="s">
        <v>1270</v>
      </c>
      <c r="N46" s="328" t="s">
        <v>1398</v>
      </c>
    </row>
    <row r="47" spans="1:14" ht="20.100000000000001" customHeight="1">
      <c r="A47" s="327">
        <f>IF(AND($B47="",$C47=""),"",MAX($A$3:A46)+1)</f>
        <v>44</v>
      </c>
      <c r="B47" s="262">
        <v>46158</v>
      </c>
      <c r="C47" s="253">
        <v>7641</v>
      </c>
      <c r="D47" s="249" t="str">
        <f>IFERROR(IF($E47="Inventory",VLOOKUP($C47,Inventory!$B:$I,2,FALSE()),IF($E47="Non Inventory",VLOOKUP($C47,'Non Inventory'!$B:$I,2,FALSE()),IF($E47="Services",VLOOKUP($C47,Services!$B:$I,2,FALSE()),IF($E47="Patty Cash",VLOOKUP($C47,'Patty Cash'!$B:$J,2,FALSE()),"")))),"")</f>
        <v>Warnish  Hitachi WA236M (For Motor Rewaind)</v>
      </c>
      <c r="E47" s="254" t="s">
        <v>7</v>
      </c>
      <c r="F47" s="263" t="str">
        <f>IFERROR(IF($E47="Inventory",VLOOKUP($C47,Inventory!$B:$I,3,FALSE()),IF($E47="Non Inventory",VLOOKUP($C47,'Non Inventory'!$B:$I,3,FALSE()),IF($E47="Services",VLOOKUP($C47,Services!$B:$I,3,FALSE()),IF($E47="Patty Cash",VLOOKUP($C47,'Patty Cash'!$B:$J,3,FALSE()),"")))),"")</f>
        <v>LTR</v>
      </c>
      <c r="G47" s="374">
        <v>3</v>
      </c>
      <c r="H47" s="374">
        <f t="shared" si="0"/>
        <v>3</v>
      </c>
      <c r="I47" s="252">
        <f>IFERROR(IF($E47="Inventory",VLOOKUP($C47,Inventory!$B:$I,8,FALSE()),IF($E47="Non Inventory",VLOOKUP($C47,'Non Inventory'!$B:$I,8,FALSE()),IF($E47="Services",VLOOKUP($C47,Services!$B:$I,8,FALSE()),IF($E47="Patty Cash",VLOOKUP($C47,'Patty Cash'!$B:$J,8,FALSE()),0)))),0)</f>
        <v>2500</v>
      </c>
      <c r="J47" s="252">
        <f t="shared" si="1"/>
        <v>7500</v>
      </c>
      <c r="K47" s="253" t="s">
        <v>1276</v>
      </c>
      <c r="L47" s="253" t="s">
        <v>1207</v>
      </c>
      <c r="M47" s="253" t="s">
        <v>1270</v>
      </c>
      <c r="N47" s="328" t="s">
        <v>1398</v>
      </c>
    </row>
    <row r="48" spans="1:14" ht="20.100000000000001" customHeight="1">
      <c r="A48" s="327">
        <f>IF(AND($B48="",$C48=""),"",MAX($A$3:A47)+1)</f>
        <v>45</v>
      </c>
      <c r="B48" s="262">
        <v>46158</v>
      </c>
      <c r="C48" s="253">
        <v>8755</v>
      </c>
      <c r="D48" s="249" t="str">
        <f>IFERROR(IF($E48="Inventory",VLOOKUP($C48,Inventory!$B:$I,2,FALSE()),IF($E48="Non Inventory",VLOOKUP($C48,'Non Inventory'!$B:$I,2,FALSE()),IF($E48="Services",VLOOKUP($C48,Services!$B:$I,2,FALSE()),IF($E48="Patty Cash",VLOOKUP($C48,'Patty Cash'!$B:$J,2,FALSE()),"")))),"")</f>
        <v>Wire Seleave Size 1MM</v>
      </c>
      <c r="E48" s="254" t="s">
        <v>7</v>
      </c>
      <c r="F48" s="263" t="str">
        <f>IFERROR(IF($E48="Inventory",VLOOKUP($C48,Inventory!$B:$I,3,FALSE()),IF($E48="Non Inventory",VLOOKUP($C48,'Non Inventory'!$B:$I,3,FALSE()),IF($E48="Services",VLOOKUP($C48,Services!$B:$I,3,FALSE()),IF($E48="Patty Cash",VLOOKUP($C48,'Patty Cash'!$B:$J,3,FALSE()),"")))),"")</f>
        <v>MTR</v>
      </c>
      <c r="G48" s="374">
        <v>100</v>
      </c>
      <c r="H48" s="374">
        <f t="shared" si="0"/>
        <v>100</v>
      </c>
      <c r="I48" s="252">
        <f>IFERROR(IF($E48="Inventory",VLOOKUP($C48,Inventory!$B:$I,8,FALSE()),IF($E48="Non Inventory",VLOOKUP($C48,'Non Inventory'!$B:$I,8,FALSE()),IF($E48="Services",VLOOKUP($C48,Services!$B:$I,8,FALSE()),IF($E48="Patty Cash",VLOOKUP($C48,'Patty Cash'!$B:$J,8,FALSE()),0)))),0)</f>
        <v>7</v>
      </c>
      <c r="J48" s="252">
        <f t="shared" si="1"/>
        <v>700</v>
      </c>
      <c r="K48" s="253" t="s">
        <v>1276</v>
      </c>
      <c r="L48" s="253" t="s">
        <v>1207</v>
      </c>
      <c r="M48" s="253" t="s">
        <v>1270</v>
      </c>
      <c r="N48" s="328" t="s">
        <v>1398</v>
      </c>
    </row>
    <row r="49" spans="1:14" ht="20.100000000000001" customHeight="1">
      <c r="A49" s="327">
        <f>IF(AND($B49="",$C49=""),"",MAX($A$3:A48)+1)</f>
        <v>46</v>
      </c>
      <c r="B49" s="262">
        <v>46158</v>
      </c>
      <c r="C49" s="253">
        <v>21522</v>
      </c>
      <c r="D49" s="249" t="str">
        <f>IFERROR(IF($E49="Inventory",VLOOKUP($C49,Inventory!$B:$I,2,FALSE()),IF($E49="Non Inventory",VLOOKUP($C49,'Non Inventory'!$B:$I,2,FALSE()),IF($E49="Services",VLOOKUP($C49,Services!$B:$I,2,FALSE()),IF($E49="Patty Cash",VLOOKUP($C49,'Patty Cash'!$B:$J,2,FALSE()),"")))),"")</f>
        <v>Remax Paper 10 # (For Motor Rewinding)</v>
      </c>
      <c r="E49" s="254" t="s">
        <v>7</v>
      </c>
      <c r="F49" s="263" t="str">
        <f>IFERROR(IF($E49="Inventory",VLOOKUP($C49,Inventory!$B:$I,3,FALSE()),IF($E49="Non Inventory",VLOOKUP($C49,'Non Inventory'!$B:$I,3,FALSE()),IF($E49="Services",VLOOKUP($C49,Services!$B:$I,3,FALSE()),IF($E49="Patty Cash",VLOOKUP($C49,'Patty Cash'!$B:$J,3,FALSE()),"")))),"")</f>
        <v>KGS</v>
      </c>
      <c r="G49" s="374">
        <v>5</v>
      </c>
      <c r="H49" s="374">
        <f t="shared" si="0"/>
        <v>5</v>
      </c>
      <c r="I49" s="252">
        <f>IFERROR(IF($E49="Inventory",VLOOKUP($C49,Inventory!$B:$I,8,FALSE()),IF($E49="Non Inventory",VLOOKUP($C49,'Non Inventory'!$B:$I,8,FALSE()),IF($E49="Services",VLOOKUP($C49,Services!$B:$I,8,FALSE()),IF($E49="Patty Cash",VLOOKUP($C49,'Patty Cash'!$B:$J,8,FALSE()),0)))),0)</f>
        <v>7800</v>
      </c>
      <c r="J49" s="252">
        <f t="shared" si="1"/>
        <v>39000</v>
      </c>
      <c r="K49" s="253" t="s">
        <v>1276</v>
      </c>
      <c r="L49" s="253" t="s">
        <v>1207</v>
      </c>
      <c r="M49" s="253" t="s">
        <v>1270</v>
      </c>
      <c r="N49" s="328" t="s">
        <v>1398</v>
      </c>
    </row>
    <row r="50" spans="1:14" ht="20.100000000000001" customHeight="1">
      <c r="A50" s="327">
        <f>IF(AND($B50="",$C50=""),"",MAX($A$3:A49)+1)</f>
        <v>47</v>
      </c>
      <c r="B50" s="262">
        <v>46158</v>
      </c>
      <c r="C50" s="253">
        <v>25215</v>
      </c>
      <c r="D50" s="249" t="str">
        <f>IFERROR(IF($E50="Inventory",VLOOKUP($C50,Inventory!$B:$I,2,FALSE()),IF($E50="Non Inventory",VLOOKUP($C50,'Non Inventory'!$B:$I,2,FALSE()),IF($E50="Services",VLOOKUP($C50,Services!$B:$I,2,FALSE()),IF($E50="Patty Cash",VLOOKUP($C50,'Patty Cash'!$B:$J,2,FALSE()),"")))),"")</f>
        <v>Remax Paper 7 # (For Motor Rewinding)</v>
      </c>
      <c r="E50" s="254" t="s">
        <v>7</v>
      </c>
      <c r="F50" s="263" t="str">
        <f>IFERROR(IF($E50="Inventory",VLOOKUP($C50,Inventory!$B:$I,3,FALSE()),IF($E50="Non Inventory",VLOOKUP($C50,'Non Inventory'!$B:$I,3,FALSE()),IF($E50="Services",VLOOKUP($C50,Services!$B:$I,3,FALSE()),IF($E50="Patty Cash",VLOOKUP($C50,'Patty Cash'!$B:$J,3,FALSE()),"")))),"")</f>
        <v>KGS</v>
      </c>
      <c r="G50" s="374">
        <v>2</v>
      </c>
      <c r="H50" s="374">
        <f t="shared" si="0"/>
        <v>2</v>
      </c>
      <c r="I50" s="252">
        <f>IFERROR(IF($E50="Inventory",VLOOKUP($C50,Inventory!$B:$I,8,FALSE()),IF($E50="Non Inventory",VLOOKUP($C50,'Non Inventory'!$B:$I,8,FALSE()),IF($E50="Services",VLOOKUP($C50,Services!$B:$I,8,FALSE()),IF($E50="Patty Cash",VLOOKUP($C50,'Patty Cash'!$B:$J,8,FALSE()),0)))),0)</f>
        <v>9100</v>
      </c>
      <c r="J50" s="252">
        <f t="shared" si="1"/>
        <v>18200</v>
      </c>
      <c r="K50" s="253" t="s">
        <v>1276</v>
      </c>
      <c r="L50" s="253" t="s">
        <v>1207</v>
      </c>
      <c r="M50" s="253" t="s">
        <v>1270</v>
      </c>
      <c r="N50" s="328" t="s">
        <v>1398</v>
      </c>
    </row>
    <row r="51" spans="1:14" ht="20.100000000000001" customHeight="1">
      <c r="A51" s="327">
        <f>IF(AND($B51="",$C51=""),"",MAX($A$3:A50)+1)</f>
        <v>48</v>
      </c>
      <c r="B51" s="262">
        <v>46158</v>
      </c>
      <c r="C51" s="253">
        <v>25480</v>
      </c>
      <c r="D51" s="249" t="str">
        <f>IFERROR(IF($E51="Inventory",VLOOKUP($C51,Inventory!$B:$I,2,FALSE()),IF($E51="Non Inventory",VLOOKUP($C51,'Non Inventory'!$B:$I,2,FALSE()),IF($E51="Services",VLOOKUP($C51,Services!$B:$I,2,FALSE()),IF($E51="Patty Cash",VLOOKUP($C51,'Patty Cash'!$B:$J,2,FALSE()),"")))),"")</f>
        <v>White Polyester Woven Tape Size 1" For Electrical Motor Rewinding</v>
      </c>
      <c r="E51" s="254" t="s">
        <v>7</v>
      </c>
      <c r="F51" s="263" t="str">
        <f>IFERROR(IF($E51="Inventory",VLOOKUP($C51,Inventory!$B:$I,3,FALSE()),IF($E51="Non Inventory",VLOOKUP($C51,'Non Inventory'!$B:$I,3,FALSE()),IF($E51="Services",VLOOKUP($C51,Services!$B:$I,3,FALSE()),IF($E51="Patty Cash",VLOOKUP($C51,'Patty Cash'!$B:$J,3,FALSE()),"")))),"")</f>
        <v>ROL</v>
      </c>
      <c r="G51" s="374">
        <v>6</v>
      </c>
      <c r="H51" s="374">
        <f t="shared" si="0"/>
        <v>6</v>
      </c>
      <c r="I51" s="252">
        <f>IFERROR(IF($E51="Inventory",VLOOKUP($C51,Inventory!$B:$I,8,FALSE()),IF($E51="Non Inventory",VLOOKUP($C51,'Non Inventory'!$B:$I,8,FALSE()),IF($E51="Services",VLOOKUP($C51,Services!$B:$I,8,FALSE()),IF($E51="Patty Cash",VLOOKUP($C51,'Patty Cash'!$B:$J,8,FALSE()),0)))),0)</f>
        <v>380</v>
      </c>
      <c r="J51" s="252">
        <f t="shared" si="1"/>
        <v>2280</v>
      </c>
      <c r="K51" s="253" t="s">
        <v>1276</v>
      </c>
      <c r="L51" s="253" t="s">
        <v>1207</v>
      </c>
      <c r="M51" s="253" t="s">
        <v>1270</v>
      </c>
      <c r="N51" s="328" t="s">
        <v>1398</v>
      </c>
    </row>
    <row r="52" spans="1:14" ht="20.100000000000001" customHeight="1">
      <c r="A52" s="327">
        <f>IF(AND($B52="",$C52=""),"",MAX($A$3:A51)+1)</f>
        <v>49</v>
      </c>
      <c r="B52" s="262">
        <v>46158</v>
      </c>
      <c r="C52" s="253">
        <v>25479</v>
      </c>
      <c r="D52" s="249" t="str">
        <f>IFERROR(IF($E52="Inventory",VLOOKUP($C52,Inventory!$B:$I,2,FALSE()),IF($E52="Non Inventory",VLOOKUP($C52,'Non Inventory'!$B:$I,2,FALSE()),IF($E52="Services",VLOOKUP($C52,Services!$B:$I,2,FALSE()),IF($E52="Patty Cash",VLOOKUP($C52,'Patty Cash'!$B:$J,2,FALSE()),"")))),"")</f>
        <v>White Polyester Woven Tape Size 1/2" For
Electrical Motor Rewinding</v>
      </c>
      <c r="E52" s="254" t="s">
        <v>7</v>
      </c>
      <c r="F52" s="263" t="str">
        <f>IFERROR(IF($E52="Inventory",VLOOKUP($C52,Inventory!$B:$I,3,FALSE()),IF($E52="Non Inventory",VLOOKUP($C52,'Non Inventory'!$B:$I,3,FALSE()),IF($E52="Services",VLOOKUP($C52,Services!$B:$I,3,FALSE()),IF($E52="Patty Cash",VLOOKUP($C52,'Patty Cash'!$B:$J,3,FALSE()),"")))),"")</f>
        <v>ROL</v>
      </c>
      <c r="G52" s="374">
        <v>6</v>
      </c>
      <c r="H52" s="374">
        <f t="shared" si="0"/>
        <v>6</v>
      </c>
      <c r="I52" s="252">
        <f>IFERROR(IF($E52="Inventory",VLOOKUP($C52,Inventory!$B:$I,8,FALSE()),IF($E52="Non Inventory",VLOOKUP($C52,'Non Inventory'!$B:$I,8,FALSE()),IF($E52="Services",VLOOKUP($C52,Services!$B:$I,8,FALSE()),IF($E52="Patty Cash",VLOOKUP($C52,'Patty Cash'!$B:$J,8,FALSE()),0)))),0)</f>
        <v>300</v>
      </c>
      <c r="J52" s="252">
        <f t="shared" si="1"/>
        <v>1800</v>
      </c>
      <c r="K52" s="253" t="s">
        <v>1276</v>
      </c>
      <c r="L52" s="253" t="s">
        <v>1207</v>
      </c>
      <c r="M52" s="253" t="s">
        <v>1270</v>
      </c>
      <c r="N52" s="328" t="s">
        <v>1398</v>
      </c>
    </row>
    <row r="53" spans="1:14" ht="20.100000000000001" customHeight="1">
      <c r="A53" s="327">
        <f>IF(AND($B53="",$C53=""),"",MAX($A$3:A52)+1)</f>
        <v>50</v>
      </c>
      <c r="B53" s="262">
        <v>46158</v>
      </c>
      <c r="C53" s="253">
        <v>15259</v>
      </c>
      <c r="D53" s="249" t="str">
        <f>IFERROR(IF($E53="Inventory",VLOOKUP($C53,Inventory!$B:$I,2,FALSE()),IF($E53="Non Inventory",VLOOKUP($C53,'Non Inventory'!$B:$I,2,FALSE()),IF($E53="Services",VLOOKUP($C53,Services!$B:$I,2,FALSE()),IF($E53="Patty Cash",VLOOKUP($C53,'Patty Cash'!$B:$J,2,FALSE()),"")))),"")</f>
        <v>Heat Pooof Seleave Size 2.5mm</v>
      </c>
      <c r="E53" s="254" t="s">
        <v>7</v>
      </c>
      <c r="F53" s="263" t="str">
        <f>IFERROR(IF($E53="Inventory",VLOOKUP($C53,Inventory!$B:$I,3,FALSE()),IF($E53="Non Inventory",VLOOKUP($C53,'Non Inventory'!$B:$I,3,FALSE()),IF($E53="Services",VLOOKUP($C53,Services!$B:$I,3,FALSE()),IF($E53="Patty Cash",VLOOKUP($C53,'Patty Cash'!$B:$J,3,FALSE()),"")))),"")</f>
        <v>MTR</v>
      </c>
      <c r="G53" s="374">
        <v>20</v>
      </c>
      <c r="H53" s="374">
        <f t="shared" si="0"/>
        <v>20</v>
      </c>
      <c r="I53" s="252">
        <f>IFERROR(IF($E53="Inventory",VLOOKUP($C53,Inventory!$B:$I,8,FALSE()),IF($E53="Non Inventory",VLOOKUP($C53,'Non Inventory'!$B:$I,8,FALSE()),IF($E53="Services",VLOOKUP($C53,Services!$B:$I,8,FALSE()),IF($E53="Patty Cash",VLOOKUP($C53,'Patty Cash'!$B:$J,8,FALSE()),0)))),0)</f>
        <v>22</v>
      </c>
      <c r="J53" s="252">
        <f t="shared" si="1"/>
        <v>440</v>
      </c>
      <c r="K53" s="253" t="s">
        <v>1276</v>
      </c>
      <c r="L53" s="253" t="s">
        <v>1207</v>
      </c>
      <c r="M53" s="253" t="s">
        <v>1270</v>
      </c>
      <c r="N53" s="328" t="s">
        <v>1398</v>
      </c>
    </row>
    <row r="54" spans="1:14" ht="20.100000000000001" customHeight="1">
      <c r="A54" s="327">
        <f>IF(AND($B54="",$C54=""),"",MAX($A$3:A53)+1)</f>
        <v>51</v>
      </c>
      <c r="B54" s="262">
        <v>46158</v>
      </c>
      <c r="C54" s="253">
        <v>8757</v>
      </c>
      <c r="D54" s="249" t="str">
        <f>IFERROR(IF($E54="Inventory",VLOOKUP($C54,Inventory!$B:$I,2,FALSE()),IF($E54="Non Inventory",VLOOKUP($C54,'Non Inventory'!$B:$I,2,FALSE()),IF($E54="Services",VLOOKUP($C54,Services!$B:$I,2,FALSE()),IF($E54="Patty Cash",VLOOKUP($C54,'Patty Cash'!$B:$J,2,FALSE()),"")))),"")</f>
        <v>Wire Seleave Size 3MM</v>
      </c>
      <c r="E54" s="254" t="s">
        <v>7</v>
      </c>
      <c r="F54" s="263" t="str">
        <f>IFERROR(IF($E54="Inventory",VLOOKUP($C54,Inventory!$B:$I,3,FALSE()),IF($E54="Non Inventory",VLOOKUP($C54,'Non Inventory'!$B:$I,3,FALSE()),IF($E54="Services",VLOOKUP($C54,Services!$B:$I,3,FALSE()),IF($E54="Patty Cash",VLOOKUP($C54,'Patty Cash'!$B:$J,3,FALSE()),"")))),"")</f>
        <v>MTR</v>
      </c>
      <c r="G54" s="374">
        <v>20</v>
      </c>
      <c r="H54" s="374">
        <f t="shared" si="0"/>
        <v>20</v>
      </c>
      <c r="I54" s="252">
        <f>IFERROR(IF($E54="Inventory",VLOOKUP($C54,Inventory!$B:$I,8,FALSE()),IF($E54="Non Inventory",VLOOKUP($C54,'Non Inventory'!$B:$I,8,FALSE()),IF($E54="Services",VLOOKUP($C54,Services!$B:$I,8,FALSE()),IF($E54="Patty Cash",VLOOKUP($C54,'Patty Cash'!$B:$J,8,FALSE()),0)))),0)</f>
        <v>13</v>
      </c>
      <c r="J54" s="252">
        <f t="shared" si="1"/>
        <v>260</v>
      </c>
      <c r="K54" s="253" t="s">
        <v>1276</v>
      </c>
      <c r="L54" s="253" t="s">
        <v>1207</v>
      </c>
      <c r="M54" s="253" t="s">
        <v>1270</v>
      </c>
      <c r="N54" s="328" t="s">
        <v>1398</v>
      </c>
    </row>
    <row r="55" spans="1:14" ht="20.100000000000001" customHeight="1">
      <c r="A55" s="327">
        <f>IF(AND($B55="",$C55=""),"",MAX($A$3:A54)+1)</f>
        <v>52</v>
      </c>
      <c r="B55" s="262">
        <v>46158</v>
      </c>
      <c r="C55" s="253">
        <v>10860</v>
      </c>
      <c r="D55" s="249" t="str">
        <f>IFERROR(IF($E55="Inventory",VLOOKUP($C55,Inventory!$B:$I,2,FALSE()),IF($E55="Non Inventory",VLOOKUP($C55,'Non Inventory'!$B:$I,2,FALSE()),IF($E55="Services",VLOOKUP($C55,Services!$B:$I,2,FALSE()),IF($E55="Patty Cash",VLOOKUP($C55,'Patty Cash'!$B:$J,2,FALSE()),"")))),"")</f>
        <v>Heat Pooof Seleave Size 1.5mm</v>
      </c>
      <c r="E55" s="254" t="s">
        <v>7</v>
      </c>
      <c r="F55" s="263" t="str">
        <f>IFERROR(IF($E55="Inventory",VLOOKUP($C55,Inventory!$B:$I,3,FALSE()),IF($E55="Non Inventory",VLOOKUP($C55,'Non Inventory'!$B:$I,3,FALSE()),IF($E55="Services",VLOOKUP($C55,Services!$B:$I,3,FALSE()),IF($E55="Patty Cash",VLOOKUP($C55,'Patty Cash'!$B:$J,3,FALSE()),"")))),"")</f>
        <v>MTR</v>
      </c>
      <c r="G55" s="374">
        <v>20</v>
      </c>
      <c r="H55" s="374">
        <f t="shared" si="0"/>
        <v>20</v>
      </c>
      <c r="I55" s="252">
        <f>IFERROR(IF($E55="Inventory",VLOOKUP($C55,Inventory!$B:$I,8,FALSE()),IF($E55="Non Inventory",VLOOKUP($C55,'Non Inventory'!$B:$I,8,FALSE()),IF($E55="Services",VLOOKUP($C55,Services!$B:$I,8,FALSE()),IF($E55="Patty Cash",VLOOKUP($C55,'Patty Cash'!$B:$J,8,FALSE()),0)))),0)</f>
        <v>22</v>
      </c>
      <c r="J55" s="252">
        <f t="shared" si="1"/>
        <v>440</v>
      </c>
      <c r="K55" s="253" t="s">
        <v>1276</v>
      </c>
      <c r="L55" s="253" t="s">
        <v>1207</v>
      </c>
      <c r="M55" s="253" t="s">
        <v>1270</v>
      </c>
      <c r="N55" s="328" t="s">
        <v>1398</v>
      </c>
    </row>
    <row r="56" spans="1:14" ht="20.100000000000001" customHeight="1">
      <c r="A56" s="327">
        <f>IF(AND($B56="",$C56=""),"",MAX($A$3:A55)+1)</f>
        <v>53</v>
      </c>
      <c r="B56" s="262">
        <v>46144</v>
      </c>
      <c r="C56" s="253">
        <v>27523</v>
      </c>
      <c r="D56" s="249" t="str">
        <f>IFERROR(IF($E56="Inventory",VLOOKUP($C56,Inventory!$B:$I,2,FALSE()),IF($E56="Non Inventory",VLOOKUP($C56,'Non Inventory'!$B:$I,2,FALSE()),IF($E56="Services",VLOOKUP($C56,Services!$B:$I,2,FALSE()),IF($E56="Patty Cash",VLOOKUP($C56,'Patty Cash'!$B:$J,2,FALSE()),"")))),"")</f>
        <v>High Pressure Washer 1800 Watt 140 Bar Brand
(Hyundai Hpw140) -Im</v>
      </c>
      <c r="E56" s="254" t="s">
        <v>7</v>
      </c>
      <c r="F56" s="263" t="str">
        <f>IFERROR(IF($E56="Inventory",VLOOKUP($C56,Inventory!$B:$I,3,FALSE()),IF($E56="Non Inventory",VLOOKUP($C56,'Non Inventory'!$B:$I,3,FALSE()),IF($E56="Services",VLOOKUP($C56,Services!$B:$I,3,FALSE()),IF($E56="Patty Cash",VLOOKUP($C56,'Patty Cash'!$B:$J,3,FALSE()),"")))),"")</f>
        <v>NOS</v>
      </c>
      <c r="G56" s="374">
        <v>1</v>
      </c>
      <c r="H56" s="374">
        <f t="shared" si="0"/>
        <v>1</v>
      </c>
      <c r="I56" s="252">
        <f>IFERROR(IF($E56="Inventory",VLOOKUP($C56,Inventory!$B:$I,8,FALSE()),IF($E56="Non Inventory",VLOOKUP($C56,'Non Inventory'!$B:$I,8,FALSE()),IF($E56="Services",VLOOKUP($C56,Services!$B:$I,8,FALSE()),IF($E56="Patty Cash",VLOOKUP($C56,'Patty Cash'!$B:$J,8,FALSE()),0)))),0)</f>
        <v>33500</v>
      </c>
      <c r="J56" s="252">
        <f t="shared" si="1"/>
        <v>33500</v>
      </c>
      <c r="K56" s="253" t="s">
        <v>1376</v>
      </c>
      <c r="L56" s="253" t="s">
        <v>1196</v>
      </c>
      <c r="M56" s="253" t="s">
        <v>1266</v>
      </c>
      <c r="N56" s="328" t="s">
        <v>1398</v>
      </c>
    </row>
    <row r="57" spans="1:14" ht="20.100000000000001" customHeight="1">
      <c r="A57" s="327">
        <f>IF(AND($B57="",$C57=""),"",MAX($A$3:A56)+1)</f>
        <v>54</v>
      </c>
      <c r="B57" s="262">
        <v>46144</v>
      </c>
      <c r="C57" s="253">
        <v>21845</v>
      </c>
      <c r="D57" s="249" t="str">
        <f>IFERROR(IF($E57="Inventory",VLOOKUP($C57,Inventory!$B:$I,2,FALSE()),IF($E57="Non Inventory",VLOOKUP($C57,'Non Inventory'!$B:$I,2,FALSE()),IF($E57="Services",VLOOKUP($C57,Services!$B:$I,2,FALSE()),IF($E57="Patty Cash",VLOOKUP($C57,'Patty Cash'!$B:$J,2,FALSE()),"")))),"")</f>
        <v>Serv. Waste Water Treatment Plant Annual
Operation &amp; Maintenance Contract</v>
      </c>
      <c r="E57" s="254" t="s">
        <v>1280</v>
      </c>
      <c r="F57" s="263" t="str">
        <f>IFERROR(IF($E57="Inventory",VLOOKUP($C57,Inventory!$B:$I,3,FALSE()),IF($E57="Non Inventory",VLOOKUP($C57,'Non Inventory'!$B:$I,3,FALSE()),IF($E57="Services",VLOOKUP($C57,Services!$B:$I,3,FALSE()),IF($E57="Patty Cash",VLOOKUP($C57,'Patty Cash'!$B:$J,3,FALSE()),"")))),"")</f>
        <v>JOB</v>
      </c>
      <c r="G57" s="374">
        <v>1</v>
      </c>
      <c r="H57" s="374">
        <f t="shared" si="0"/>
        <v>1</v>
      </c>
      <c r="I57" s="252">
        <f>IFERROR(IF($E57="Inventory",VLOOKUP($C57,Inventory!$B:$I,8,FALSE()),IF($E57="Non Inventory",VLOOKUP($C57,'Non Inventory'!$B:$I,8,FALSE()),IF($E57="Services",VLOOKUP($C57,Services!$B:$I,8,FALSE()),IF($E57="Patty Cash",VLOOKUP($C57,'Patty Cash'!$B:$J,8,FALSE()),0)))),0)</f>
        <v>160000</v>
      </c>
      <c r="J57" s="252">
        <f t="shared" si="1"/>
        <v>160000</v>
      </c>
      <c r="K57" s="253" t="s">
        <v>1381</v>
      </c>
      <c r="L57" s="253" t="s">
        <v>1380</v>
      </c>
      <c r="M57" s="253" t="s">
        <v>1323</v>
      </c>
      <c r="N57" s="328" t="s">
        <v>1398</v>
      </c>
    </row>
    <row r="58" spans="1:14" ht="20.100000000000001" customHeight="1">
      <c r="A58" s="327">
        <f>IF(AND($B58="",$C58=""),"",MAX($A$3:A57)+1)</f>
        <v>55</v>
      </c>
      <c r="B58" s="262">
        <v>46158</v>
      </c>
      <c r="C58" s="253">
        <v>8395</v>
      </c>
      <c r="D58" s="249" t="str">
        <f>IFERROR(IF($E58="Inventory",VLOOKUP($C58,Inventory!$B:$I,2,FALSE()),IF($E58="Non Inventory",VLOOKUP($C58,'Non Inventory'!$B:$I,2,FALSE()),IF($E58="Services",VLOOKUP($C58,Services!$B:$I,2,FALSE()),IF($E58="Patty Cash",VLOOKUP($C58,'Patty Cash'!$B:$J,2,FALSE()),"")))),"")</f>
        <v>Distemper White Color (14.56 ltr)</v>
      </c>
      <c r="E58" s="254" t="s">
        <v>7</v>
      </c>
      <c r="F58" s="263" t="str">
        <f>IFERROR(IF($E58="Inventory",VLOOKUP($C58,Inventory!$B:$I,3,FALSE()),IF($E58="Non Inventory",VLOOKUP($C58,'Non Inventory'!$B:$I,3,FALSE()),IF($E58="Services",VLOOKUP($C58,Services!$B:$I,3,FALSE()),IF($E58="Patty Cash",VLOOKUP($C58,'Patty Cash'!$B:$J,3,FALSE()),"")))),"")</f>
        <v>NOS</v>
      </c>
      <c r="G58" s="374">
        <v>1</v>
      </c>
      <c r="H58" s="374">
        <f t="shared" si="0"/>
        <v>1</v>
      </c>
      <c r="I58" s="252">
        <f>IFERROR(IF($E58="Inventory",VLOOKUP($C58,Inventory!$B:$I,8,FALSE()),IF($E58="Non Inventory",VLOOKUP($C58,'Non Inventory'!$B:$I,8,FALSE()),IF($E58="Services",VLOOKUP($C58,Services!$B:$I,8,FALSE()),IF($E58="Patty Cash",VLOOKUP($C58,'Patty Cash'!$B:$J,8,FALSE()),0)))),0)</f>
        <v>7500</v>
      </c>
      <c r="J58" s="252">
        <f t="shared" si="1"/>
        <v>7500</v>
      </c>
      <c r="K58" s="253" t="s">
        <v>1276</v>
      </c>
      <c r="L58" s="253" t="s">
        <v>1196</v>
      </c>
      <c r="M58" s="253" t="s">
        <v>1270</v>
      </c>
      <c r="N58" s="328" t="s">
        <v>1398</v>
      </c>
    </row>
    <row r="59" spans="1:14" ht="20.100000000000001" customHeight="1">
      <c r="A59" s="327">
        <f>IF(AND($B59="",$C59=""),"",MAX($A$3:A58)+1)</f>
        <v>56</v>
      </c>
      <c r="B59" s="262">
        <v>46158</v>
      </c>
      <c r="C59" s="253">
        <v>9834</v>
      </c>
      <c r="D59" s="249" t="str">
        <f>IFERROR(IF($E59="Inventory",VLOOKUP($C59,Inventory!$B:$I,2,FALSE()),IF($E59="Non Inventory",VLOOKUP($C59,'Non Inventory'!$B:$I,2,FALSE()),IF($E59="Services",VLOOKUP($C59,Services!$B:$I,2,FALSE()),IF($E59="Patty Cash",VLOOKUP($C59,'Patty Cash'!$B:$J,2,FALSE()),"")))),"")</f>
        <v>Oil Paint (Smoke Gry) 3.64 Ltr (Relince)</v>
      </c>
      <c r="E59" s="254" t="s">
        <v>7</v>
      </c>
      <c r="F59" s="263" t="str">
        <f>IFERROR(IF($E59="Inventory",VLOOKUP($C59,Inventory!$B:$I,3,FALSE()),IF($E59="Non Inventory",VLOOKUP($C59,'Non Inventory'!$B:$I,3,FALSE()),IF($E59="Services",VLOOKUP($C59,Services!$B:$I,3,FALSE()),IF($E59="Patty Cash",VLOOKUP($C59,'Patty Cash'!$B:$J,3,FALSE()),"")))),"")</f>
        <v>NOS</v>
      </c>
      <c r="G59" s="374">
        <v>4</v>
      </c>
      <c r="H59" s="374">
        <f t="shared" si="0"/>
        <v>4</v>
      </c>
      <c r="I59" s="252">
        <f>IFERROR(IF($E59="Inventory",VLOOKUP($C59,Inventory!$B:$I,8,FALSE()),IF($E59="Non Inventory",VLOOKUP($C59,'Non Inventory'!$B:$I,8,FALSE()),IF($E59="Services",VLOOKUP($C59,Services!$B:$I,8,FALSE()),IF($E59="Patty Cash",VLOOKUP($C59,'Patty Cash'!$B:$J,8,FALSE()),0)))),0)</f>
        <v>4750</v>
      </c>
      <c r="J59" s="252">
        <f t="shared" si="1"/>
        <v>19000</v>
      </c>
      <c r="K59" s="253" t="s">
        <v>1276</v>
      </c>
      <c r="L59" s="253" t="s">
        <v>1196</v>
      </c>
      <c r="M59" s="253" t="s">
        <v>1270</v>
      </c>
      <c r="N59" s="328" t="s">
        <v>1398</v>
      </c>
    </row>
    <row r="60" spans="1:14" ht="20.100000000000001" customHeight="1">
      <c r="A60" s="327">
        <f>IF(AND($B60="",$C60=""),"",MAX($A$3:A59)+1)</f>
        <v>57</v>
      </c>
      <c r="B60" s="262">
        <v>46158</v>
      </c>
      <c r="C60" s="253">
        <v>12360</v>
      </c>
      <c r="D60" s="249" t="str">
        <f>IFERROR(IF($E60="Inventory",VLOOKUP($C60,Inventory!$B:$I,2,FALSE()),IF($E60="Non Inventory",VLOOKUP($C60,'Non Inventory'!$B:$I,2,FALSE()),IF($E60="Services",VLOOKUP($C60,Services!$B:$I,2,FALSE()),IF($E60="Patty Cash",VLOOKUP($C60,'Patty Cash'!$B:$J,2,FALSE()),"")))),"")</f>
        <v>Brush For Paint Size 5"</v>
      </c>
      <c r="E60" s="254" t="s">
        <v>7</v>
      </c>
      <c r="F60" s="263" t="str">
        <f>IFERROR(IF($E60="Inventory",VLOOKUP($C60,Inventory!$B:$I,3,FALSE()),IF($E60="Non Inventory",VLOOKUP($C60,'Non Inventory'!$B:$I,3,FALSE()),IF($E60="Services",VLOOKUP($C60,Services!$B:$I,3,FALSE()),IF($E60="Patty Cash",VLOOKUP($C60,'Patty Cash'!$B:$J,3,FALSE()),"")))),"")</f>
        <v>NOS</v>
      </c>
      <c r="G60" s="374">
        <v>3</v>
      </c>
      <c r="H60" s="374">
        <f t="shared" si="0"/>
        <v>3</v>
      </c>
      <c r="I60" s="252">
        <f>IFERROR(IF($E60="Inventory",VLOOKUP($C60,Inventory!$B:$I,8,FALSE()),IF($E60="Non Inventory",VLOOKUP($C60,'Non Inventory'!$B:$I,8,FALSE()),IF($E60="Services",VLOOKUP($C60,Services!$B:$I,8,FALSE()),IF($E60="Patty Cash",VLOOKUP($C60,'Patty Cash'!$B:$J,8,FALSE()),0)))),0)</f>
        <v>600</v>
      </c>
      <c r="J60" s="252">
        <f t="shared" si="1"/>
        <v>1800</v>
      </c>
      <c r="K60" s="253" t="s">
        <v>1276</v>
      </c>
      <c r="L60" s="253" t="s">
        <v>1196</v>
      </c>
      <c r="M60" s="253" t="s">
        <v>1270</v>
      </c>
      <c r="N60" s="328" t="s">
        <v>1398</v>
      </c>
    </row>
    <row r="61" spans="1:14" ht="20.100000000000001" customHeight="1">
      <c r="A61" s="327">
        <f>IF(AND($B61="",$C61=""),"",MAX($A$3:A60)+1)</f>
        <v>58</v>
      </c>
      <c r="B61" s="262">
        <v>46158</v>
      </c>
      <c r="C61" s="253">
        <v>9310</v>
      </c>
      <c r="D61" s="249" t="str">
        <f>IFERROR(IF($E61="Inventory",VLOOKUP($C61,Inventory!$B:$I,2,FALSE()),IF($E61="Non Inventory",VLOOKUP($C61,'Non Inventory'!$B:$I,2,FALSE()),IF($E61="Services",VLOOKUP($C61,Services!$B:$I,2,FALSE()),IF($E61="Patty Cash",VLOOKUP($C61,'Patty Cash'!$B:$J,2,FALSE()),"")))),"")</f>
        <v>Paint S..E blue  Color 3.64 lit</v>
      </c>
      <c r="E61" s="254" t="s">
        <v>7</v>
      </c>
      <c r="F61" s="263" t="str">
        <f>IFERROR(IF($E61="Inventory",VLOOKUP($C61,Inventory!$B:$I,3,FALSE()),IF($E61="Non Inventory",VLOOKUP($C61,'Non Inventory'!$B:$I,3,FALSE()),IF($E61="Services",VLOOKUP($C61,Services!$B:$I,3,FALSE()),IF($E61="Patty Cash",VLOOKUP($C61,'Patty Cash'!$B:$J,3,FALSE()),"")))),"")</f>
        <v>NOS</v>
      </c>
      <c r="G61" s="374">
        <v>2</v>
      </c>
      <c r="H61" s="374">
        <f t="shared" si="0"/>
        <v>2</v>
      </c>
      <c r="I61" s="252">
        <f>IFERROR(IF($E61="Inventory",VLOOKUP($C61,Inventory!$B:$I,8,FALSE()),IF($E61="Non Inventory",VLOOKUP($C61,'Non Inventory'!$B:$I,8,FALSE()),IF($E61="Services",VLOOKUP($C61,Services!$B:$I,8,FALSE()),IF($E61="Patty Cash",VLOOKUP($C61,'Patty Cash'!$B:$J,8,FALSE()),0)))),0)</f>
        <v>4750</v>
      </c>
      <c r="J61" s="252">
        <f t="shared" si="1"/>
        <v>9500</v>
      </c>
      <c r="K61" s="253" t="s">
        <v>1276</v>
      </c>
      <c r="L61" s="253" t="s">
        <v>1196</v>
      </c>
      <c r="M61" s="253" t="s">
        <v>1270</v>
      </c>
      <c r="N61" s="328" t="s">
        <v>1398</v>
      </c>
    </row>
    <row r="62" spans="1:14" ht="20.100000000000001" customHeight="1">
      <c r="A62" s="327">
        <f>IF(AND($B62="",$C62=""),"",MAX($A$3:A61)+1)</f>
        <v>59</v>
      </c>
      <c r="B62" s="262">
        <v>46158</v>
      </c>
      <c r="C62" s="253">
        <v>12359</v>
      </c>
      <c r="D62" s="249" t="str">
        <f>IFERROR(IF($E62="Inventory",VLOOKUP($C62,Inventory!$B:$I,2,FALSE()),IF($E62="Non Inventory",VLOOKUP($C62,'Non Inventory'!$B:$I,2,FALSE()),IF($E62="Services",VLOOKUP($C62,Services!$B:$I,2,FALSE()),IF($E62="Patty Cash",VLOOKUP($C62,'Patty Cash'!$B:$J,2,FALSE()),"")))),"")</f>
        <v>Brush For Paint Size 3"</v>
      </c>
      <c r="E62" s="254" t="s">
        <v>7</v>
      </c>
      <c r="F62" s="263" t="str">
        <f>IFERROR(IF($E62="Inventory",VLOOKUP($C62,Inventory!$B:$I,3,FALSE()),IF($E62="Non Inventory",VLOOKUP($C62,'Non Inventory'!$B:$I,3,FALSE()),IF($E62="Services",VLOOKUP($C62,Services!$B:$I,3,FALSE()),IF($E62="Patty Cash",VLOOKUP($C62,'Patty Cash'!$B:$J,3,FALSE()),"")))),"")</f>
        <v>NOS</v>
      </c>
      <c r="G62" s="374">
        <v>6</v>
      </c>
      <c r="H62" s="374">
        <f t="shared" si="0"/>
        <v>6</v>
      </c>
      <c r="I62" s="252">
        <f>IFERROR(IF($E62="Inventory",VLOOKUP($C62,Inventory!$B:$I,8,FALSE()),IF($E62="Non Inventory",VLOOKUP($C62,'Non Inventory'!$B:$I,8,FALSE()),IF($E62="Services",VLOOKUP($C62,Services!$B:$I,8,FALSE()),IF($E62="Patty Cash",VLOOKUP($C62,'Patty Cash'!$B:$J,8,FALSE()),0)))),0)</f>
        <v>400</v>
      </c>
      <c r="J62" s="252">
        <f t="shared" si="1"/>
        <v>2400</v>
      </c>
      <c r="K62" s="253" t="s">
        <v>1276</v>
      </c>
      <c r="L62" s="253" t="s">
        <v>1196</v>
      </c>
      <c r="M62" s="253" t="s">
        <v>1270</v>
      </c>
      <c r="N62" s="328" t="s">
        <v>1398</v>
      </c>
    </row>
    <row r="63" spans="1:14" ht="20.100000000000001" customHeight="1">
      <c r="A63" s="327">
        <f>IF(AND($B63="",$C63=""),"",MAX($A$3:A62)+1)</f>
        <v>60</v>
      </c>
      <c r="B63" s="262">
        <v>46158</v>
      </c>
      <c r="C63" s="253">
        <v>12643</v>
      </c>
      <c r="D63" s="249" t="str">
        <f>IFERROR(IF($E63="Inventory",VLOOKUP($C63,Inventory!$B:$I,2,FALSE()),IF($E63="Non Inventory",VLOOKUP($C63,'Non Inventory'!$B:$I,2,FALSE()),IF($E63="Services",VLOOKUP($C63,Services!$B:$I,2,FALSE()),IF($E63="Patty Cash",VLOOKUP($C63,'Patty Cash'!$B:$J,2,FALSE()),"")))),"")</f>
        <v>Oil Paint S.E (Silver) (3.64 Ltr)</v>
      </c>
      <c r="E63" s="254" t="s">
        <v>7</v>
      </c>
      <c r="F63" s="263" t="str">
        <f>IFERROR(IF($E63="Inventory",VLOOKUP($C63,Inventory!$B:$I,3,FALSE()),IF($E63="Non Inventory",VLOOKUP($C63,'Non Inventory'!$B:$I,3,FALSE()),IF($E63="Services",VLOOKUP($C63,Services!$B:$I,3,FALSE()),IF($E63="Patty Cash",VLOOKUP($C63,'Patty Cash'!$B:$J,3,FALSE()),"")))),"")</f>
        <v>NOS</v>
      </c>
      <c r="G63" s="374">
        <v>2</v>
      </c>
      <c r="H63" s="374">
        <f t="shared" ref="H63:H125" si="2">IF($G63="","",G63)</f>
        <v>2</v>
      </c>
      <c r="I63" s="252">
        <f>IFERROR(IF($E63="Inventory",VLOOKUP($C63,Inventory!$B:$I,8,FALSE()),IF($E63="Non Inventory",VLOOKUP($C63,'Non Inventory'!$B:$I,8,FALSE()),IF($E63="Services",VLOOKUP($C63,Services!$B:$I,8,FALSE()),IF($E63="Patty Cash",VLOOKUP($C63,'Patty Cash'!$B:$J,8,FALSE()),0)))),0)</f>
        <v>4750</v>
      </c>
      <c r="J63" s="252">
        <f t="shared" ref="J63:J125" si="3">IF($H63="","",H63*I63)</f>
        <v>9500</v>
      </c>
      <c r="K63" s="253" t="s">
        <v>1276</v>
      </c>
      <c r="L63" s="253" t="s">
        <v>1196</v>
      </c>
      <c r="M63" s="253" t="s">
        <v>1270</v>
      </c>
      <c r="N63" s="328" t="s">
        <v>1398</v>
      </c>
    </row>
    <row r="64" spans="1:14" ht="20.100000000000001" customHeight="1">
      <c r="A64" s="327">
        <f>IF(AND($B64="",$C64=""),"",MAX($A$3:A63)+1)</f>
        <v>61</v>
      </c>
      <c r="B64" s="262">
        <v>46163</v>
      </c>
      <c r="C64" s="253">
        <v>11468</v>
      </c>
      <c r="D64" s="249" t="str">
        <f>IFERROR(IF($E64="Inventory",VLOOKUP($C64,Inventory!$B:$I,2,FALSE()),IF($E64="Non Inventory",VLOOKUP($C64,'Non Inventory'!$B:$I,2,FALSE()),IF($E64="Services",VLOOKUP($C64,Services!$B:$I,2,FALSE()),IF($E64="Patty Cash",VLOOKUP($C64,'Patty Cash'!$B:$J,2,FALSE()),"")))),"")</f>
        <v>Timing Belt S5M P/N #091-8500-04, B250DBS5M-975, Width 25mm</v>
      </c>
      <c r="E64" s="254" t="s">
        <v>6</v>
      </c>
      <c r="F64" s="263" t="str">
        <f>IFERROR(IF($E64="Inventory",VLOOKUP($C64,Inventory!$B:$I,3,FALSE()),IF($E64="Non Inventory",VLOOKUP($C64,'Non Inventory'!$B:$I,3,FALSE()),IF($E64="Services",VLOOKUP($C64,Services!$B:$I,3,FALSE()),IF($E64="Patty Cash",VLOOKUP($C64,'Patty Cash'!$B:$J,3,FALSE()),"")))),"")</f>
        <v>NOS</v>
      </c>
      <c r="G64" s="374">
        <v>10</v>
      </c>
      <c r="H64" s="374">
        <f t="shared" si="2"/>
        <v>10</v>
      </c>
      <c r="I64" s="252">
        <f>IFERROR(IF($E64="Inventory",VLOOKUP($C64,Inventory!$B:$I,8,FALSE()),IF($E64="Non Inventory",VLOOKUP($C64,'Non Inventory'!$B:$I,8,FALSE()),IF($E64="Services",VLOOKUP($C64,Services!$B:$I,8,FALSE()),IF($E64="Patty Cash",VLOOKUP($C64,'Patty Cash'!$B:$J,8,FALSE()),0)))),0)</f>
        <v>3750</v>
      </c>
      <c r="J64" s="252">
        <f t="shared" si="3"/>
        <v>37500</v>
      </c>
      <c r="K64" s="253" t="s">
        <v>1314</v>
      </c>
      <c r="L64" s="253" t="s">
        <v>1196</v>
      </c>
      <c r="M64" s="253" t="s">
        <v>1266</v>
      </c>
      <c r="N64" s="328" t="s">
        <v>1641</v>
      </c>
    </row>
    <row r="65" spans="1:14" ht="20.100000000000001" customHeight="1">
      <c r="A65" s="327">
        <f>IF(AND($B65="",$C65=""),"",MAX($A$3:A64)+1)</f>
        <v>62</v>
      </c>
      <c r="B65" s="262">
        <v>46163</v>
      </c>
      <c r="C65" s="253">
        <v>27573</v>
      </c>
      <c r="D65" s="249" t="str">
        <f>IFERROR(IF($E65="Inventory",VLOOKUP($C65,Inventory!$B:$I,2,FALSE()),IF($E65="Non Inventory",VLOOKUP($C65,'Non Inventory'!$B:$I,2,FALSE()),IF($E65="Services",VLOOKUP($C65,Services!$B:$I,2,FALSE()),IF($E65="Patty Cash",VLOOKUP($C65,'Patty Cash'!$B:$J,2,FALSE()),"")))),"")</f>
        <v>Color Mark Sensor Pl-05n, 10-30 Vdc ( Fotek
Orignal)</v>
      </c>
      <c r="E65" s="254" t="s">
        <v>6</v>
      </c>
      <c r="F65" s="263" t="str">
        <f>IFERROR(IF($E65="Inventory",VLOOKUP($C65,Inventory!$B:$I,3,FALSE()),IF($E65="Non Inventory",VLOOKUP($C65,'Non Inventory'!$B:$I,3,FALSE()),IF($E65="Services",VLOOKUP($C65,Services!$B:$I,3,FALSE()),IF($E65="Patty Cash",VLOOKUP($C65,'Patty Cash'!$B:$J,3,FALSE()),"")))),"")</f>
        <v>NOS</v>
      </c>
      <c r="G65" s="374">
        <v>5</v>
      </c>
      <c r="H65" s="374">
        <f t="shared" si="2"/>
        <v>5</v>
      </c>
      <c r="I65" s="252">
        <f>IFERROR(IF($E65="Inventory",VLOOKUP($C65,Inventory!$B:$I,8,FALSE()),IF($E65="Non Inventory",VLOOKUP($C65,'Non Inventory'!$B:$I,8,FALSE()),IF($E65="Services",VLOOKUP($C65,Services!$B:$I,8,FALSE()),IF($E65="Patty Cash",VLOOKUP($C65,'Patty Cash'!$B:$J,8,FALSE()),0)))),0)</f>
        <v>3500</v>
      </c>
      <c r="J65" s="252">
        <f t="shared" si="3"/>
        <v>17500</v>
      </c>
      <c r="K65" s="253" t="s">
        <v>1273</v>
      </c>
      <c r="L65" s="253" t="s">
        <v>1207</v>
      </c>
      <c r="M65" s="253" t="s">
        <v>1266</v>
      </c>
      <c r="N65" s="328" t="s">
        <v>1641</v>
      </c>
    </row>
    <row r="66" spans="1:14" ht="20.100000000000001" customHeight="1">
      <c r="A66" s="327">
        <f>IF(AND($B66="",$C66=""),"",MAX($A$3:A65)+1)</f>
        <v>63</v>
      </c>
      <c r="B66" s="262">
        <v>46163</v>
      </c>
      <c r="C66" s="253">
        <v>20110</v>
      </c>
      <c r="D66" s="249" t="str">
        <f>IFERROR(IF($E66="Inventory",VLOOKUP($C66,Inventory!$B:$I,2,FALSE()),IF($E66="Non Inventory",VLOOKUP($C66,'Non Inventory'!$B:$I,2,FALSE()),IF($E66="Services",VLOOKUP($C66,Services!$B:$I,2,FALSE()),IF($E66="Patty Cash",VLOOKUP($C66,'Patty Cash'!$B:$J,2,FALSE()),"")))),"")</f>
        <v>Strip Motor Sensor P/N # M77U EE-SX671A (For Ishida Mchine)</v>
      </c>
      <c r="E66" s="254" t="s">
        <v>6</v>
      </c>
      <c r="F66" s="263" t="str">
        <f>IFERROR(IF($E66="Inventory",VLOOKUP($C66,Inventory!$B:$I,3,FALSE()),IF($E66="Non Inventory",VLOOKUP($C66,'Non Inventory'!$B:$I,3,FALSE()),IF($E66="Services",VLOOKUP($C66,Services!$B:$I,3,FALSE()),IF($E66="Patty Cash",VLOOKUP($C66,'Patty Cash'!$B:$J,3,FALSE()),"")))),"")</f>
        <v>NOS</v>
      </c>
      <c r="G66" s="374">
        <v>10</v>
      </c>
      <c r="H66" s="374">
        <f t="shared" si="2"/>
        <v>10</v>
      </c>
      <c r="I66" s="252">
        <f>IFERROR(IF($E66="Inventory",VLOOKUP($C66,Inventory!$B:$I,8,FALSE()),IF($E66="Non Inventory",VLOOKUP($C66,'Non Inventory'!$B:$I,8,FALSE()),IF($E66="Services",VLOOKUP($C66,Services!$B:$I,8,FALSE()),IF($E66="Patty Cash",VLOOKUP($C66,'Patty Cash'!$B:$J,8,FALSE()),0)))),0)</f>
        <v>3500</v>
      </c>
      <c r="J66" s="252">
        <f t="shared" si="3"/>
        <v>35000</v>
      </c>
      <c r="K66" s="253" t="s">
        <v>1273</v>
      </c>
      <c r="L66" s="253" t="s">
        <v>1207</v>
      </c>
      <c r="M66" s="253" t="s">
        <v>1266</v>
      </c>
      <c r="N66" s="328" t="s">
        <v>1641</v>
      </c>
    </row>
    <row r="67" spans="1:14" ht="20.100000000000001" customHeight="1">
      <c r="A67" s="327">
        <f>IF(AND($B67="",$C67=""),"",MAX($A$3:A66)+1)</f>
        <v>64</v>
      </c>
      <c r="B67" s="262">
        <v>46163</v>
      </c>
      <c r="C67" s="253">
        <v>8674</v>
      </c>
      <c r="D67" s="249" t="str">
        <f>IFERROR(IF($E67="Inventory",VLOOKUP($C67,Inventory!$B:$I,2,FALSE()),IF($E67="Non Inventory",VLOOKUP($C67,'Non Inventory'!$B:$I,2,FALSE()),IF($E67="Services",VLOOKUP($C67,Services!$B:$I,2,FALSE()),IF($E67="Patty Cash",VLOOKUP($C67,'Patty Cash'!$B:$J,2,FALSE()),"")))),"")</f>
        <v>Tube Light Rod Cool Daylight 2' TL-D 18W/54-765</v>
      </c>
      <c r="E67" s="254" t="s">
        <v>7</v>
      </c>
      <c r="F67" s="263" t="str">
        <f>IFERROR(IF($E67="Inventory",VLOOKUP($C67,Inventory!$B:$I,3,FALSE()),IF($E67="Non Inventory",VLOOKUP($C67,'Non Inventory'!$B:$I,3,FALSE()),IF($E67="Services",VLOOKUP($C67,Services!$B:$I,3,FALSE()),IF($E67="Patty Cash",VLOOKUP($C67,'Patty Cash'!$B:$J,3,FALSE()),"")))),"")</f>
        <v>NOS</v>
      </c>
      <c r="G67" s="374">
        <v>20</v>
      </c>
      <c r="H67" s="374">
        <f t="shared" si="2"/>
        <v>20</v>
      </c>
      <c r="I67" s="252">
        <f>IFERROR(IF($E67="Inventory",VLOOKUP($C67,Inventory!$B:$I,8,FALSE()),IF($E67="Non Inventory",VLOOKUP($C67,'Non Inventory'!$B:$I,8,FALSE()),IF($E67="Services",VLOOKUP($C67,Services!$B:$I,8,FALSE()),IF($E67="Patty Cash",VLOOKUP($C67,'Patty Cash'!$B:$J,8,FALSE()),0)))),0)</f>
        <v>525</v>
      </c>
      <c r="J67" s="252">
        <f t="shared" si="3"/>
        <v>10500</v>
      </c>
      <c r="K67" s="253" t="s">
        <v>1333</v>
      </c>
      <c r="L67" s="253" t="s">
        <v>1207</v>
      </c>
      <c r="M67" s="253" t="s">
        <v>1266</v>
      </c>
      <c r="N67" s="328" t="s">
        <v>1641</v>
      </c>
    </row>
    <row r="68" spans="1:14" ht="20.100000000000001" customHeight="1">
      <c r="A68" s="327">
        <f>IF(AND($B68="",$C68=""),"",MAX($A$3:A67)+1)</f>
        <v>65</v>
      </c>
      <c r="B68" s="262">
        <v>46163</v>
      </c>
      <c r="C68" s="253">
        <v>7077</v>
      </c>
      <c r="D68" s="249" t="str">
        <f>IFERROR(IF($E68="Inventory",VLOOKUP($C68,Inventory!$B:$I,2,FALSE()),IF($E68="Non Inventory",VLOOKUP($C68,'Non Inventory'!$B:$I,2,FALSE()),IF($E68="Services",VLOOKUP($C68,Services!$B:$I,2,FALSE()),IF($E68="Patty Cash",VLOOKUP($C68,'Patty Cash'!$B:$J,2,FALSE()),"")))),"")</f>
        <v>Starter S-2 (Philps)</v>
      </c>
      <c r="E68" s="254" t="s">
        <v>7</v>
      </c>
      <c r="F68" s="263" t="str">
        <f>IFERROR(IF($E68="Inventory",VLOOKUP($C68,Inventory!$B:$I,3,FALSE()),IF($E68="Non Inventory",VLOOKUP($C68,'Non Inventory'!$B:$I,3,FALSE()),IF($E68="Services",VLOOKUP($C68,Services!$B:$I,3,FALSE()),IF($E68="Patty Cash",VLOOKUP($C68,'Patty Cash'!$B:$J,3,FALSE()),"")))),"")</f>
        <v>NOS</v>
      </c>
      <c r="G68" s="374">
        <v>15</v>
      </c>
      <c r="H68" s="374">
        <f t="shared" si="2"/>
        <v>15</v>
      </c>
      <c r="I68" s="252">
        <f>IFERROR(IF($E68="Inventory",VLOOKUP($C68,Inventory!$B:$I,8,FALSE()),IF($E68="Non Inventory",VLOOKUP($C68,'Non Inventory'!$B:$I,8,FALSE()),IF($E68="Services",VLOOKUP($C68,Services!$B:$I,8,FALSE()),IF($E68="Patty Cash",VLOOKUP($C68,'Patty Cash'!$B:$J,8,FALSE()),0)))),0)</f>
        <v>95</v>
      </c>
      <c r="J68" s="252">
        <f t="shared" si="3"/>
        <v>1425</v>
      </c>
      <c r="K68" s="253" t="s">
        <v>1333</v>
      </c>
      <c r="L68" s="253" t="s">
        <v>1207</v>
      </c>
      <c r="M68" s="253" t="s">
        <v>1266</v>
      </c>
      <c r="N68" s="328" t="s">
        <v>1641</v>
      </c>
    </row>
    <row r="69" spans="1:14" ht="20.100000000000001" customHeight="1">
      <c r="A69" s="327">
        <f>IF(AND($B69="",$C69=""),"",MAX($A$3:A68)+1)</f>
        <v>66</v>
      </c>
      <c r="B69" s="262">
        <v>46163</v>
      </c>
      <c r="C69" s="253">
        <v>4778</v>
      </c>
      <c r="D69" s="249" t="str">
        <f>IFERROR(IF($E69="Inventory",VLOOKUP($C69,Inventory!$B:$I,2,FALSE()),IF($E69="Non Inventory",VLOOKUP($C69,'Non Inventory'!$B:$I,2,FALSE()),IF($E69="Services",VLOOKUP($C69,Services!$B:$I,2,FALSE()),IF($E69="Patty Cash",VLOOKUP($C69,'Patty Cash'!$B:$J,2,FALSE()),"")))),"")</f>
        <v>Samad Bond Larg</v>
      </c>
      <c r="E69" s="254" t="s">
        <v>7</v>
      </c>
      <c r="F69" s="263" t="str">
        <f>IFERROR(IF($E69="Inventory",VLOOKUP($C69,Inventory!$B:$I,3,FALSE()),IF($E69="Non Inventory",VLOOKUP($C69,'Non Inventory'!$B:$I,3,FALSE()),IF($E69="Services",VLOOKUP($C69,Services!$B:$I,3,FALSE()),IF($E69="Patty Cash",VLOOKUP($C69,'Patty Cash'!$B:$J,3,FALSE()),"")))),"")</f>
        <v>NOS</v>
      </c>
      <c r="G69" s="374">
        <v>12</v>
      </c>
      <c r="H69" s="374">
        <f t="shared" si="2"/>
        <v>12</v>
      </c>
      <c r="I69" s="252">
        <f>IFERROR(IF($E69="Inventory",VLOOKUP($C69,Inventory!$B:$I,8,FALSE()),IF($E69="Non Inventory",VLOOKUP($C69,'Non Inventory'!$B:$I,8,FALSE()),IF($E69="Services",VLOOKUP($C69,Services!$B:$I,8,FALSE()),IF($E69="Patty Cash",VLOOKUP($C69,'Patty Cash'!$B:$J,8,FALSE()),0)))),0)</f>
        <v>210</v>
      </c>
      <c r="J69" s="252">
        <f t="shared" si="3"/>
        <v>2520</v>
      </c>
      <c r="K69" s="253" t="s">
        <v>1333</v>
      </c>
      <c r="L69" s="253" t="s">
        <v>1207</v>
      </c>
      <c r="M69" s="253" t="s">
        <v>1266</v>
      </c>
      <c r="N69" s="328" t="s">
        <v>1641</v>
      </c>
    </row>
    <row r="70" spans="1:14" ht="20.100000000000001" customHeight="1">
      <c r="A70" s="327">
        <f>IF(AND($B70="",$C70=""),"",MAX($A$3:A69)+1)</f>
        <v>67</v>
      </c>
      <c r="B70" s="262">
        <v>46163</v>
      </c>
      <c r="C70" s="253">
        <v>5610</v>
      </c>
      <c r="D70" s="249" t="str">
        <f>IFERROR(IF($E70="Inventory",VLOOKUP($C70,Inventory!$B:$I,2,FALSE()),IF($E70="Non Inventory",VLOOKUP($C70,'Non Inventory'!$B:$I,2,FALSE()),IF($E70="Services",VLOOKUP($C70,Services!$B:$I,2,FALSE()),IF($E70="Patty Cash",VLOOKUP($C70,'Patty Cash'!$B:$J,2,FALSE()),"")))),"")</f>
        <v>TWO PIN PLUG LARGE</v>
      </c>
      <c r="E70" s="254" t="s">
        <v>7</v>
      </c>
      <c r="F70" s="263" t="str">
        <f>IFERROR(IF($E70="Inventory",VLOOKUP($C70,Inventory!$B:$I,3,FALSE()),IF($E70="Non Inventory",VLOOKUP($C70,'Non Inventory'!$B:$I,3,FALSE()),IF($E70="Services",VLOOKUP($C70,Services!$B:$I,3,FALSE()),IF($E70="Patty Cash",VLOOKUP($C70,'Patty Cash'!$B:$J,3,FALSE()),"")))),"")</f>
        <v>NOS</v>
      </c>
      <c r="G70" s="374">
        <v>30</v>
      </c>
      <c r="H70" s="374">
        <f t="shared" si="2"/>
        <v>30</v>
      </c>
      <c r="I70" s="252">
        <f>IFERROR(IF($E70="Inventory",VLOOKUP($C70,Inventory!$B:$I,8,FALSE()),IF($E70="Non Inventory",VLOOKUP($C70,'Non Inventory'!$B:$I,8,FALSE()),IF($E70="Services",VLOOKUP($C70,Services!$B:$I,8,FALSE()),IF($E70="Patty Cash",VLOOKUP($C70,'Patty Cash'!$B:$J,8,FALSE()),0)))),0)</f>
        <v>45</v>
      </c>
      <c r="J70" s="252">
        <f t="shared" si="3"/>
        <v>1350</v>
      </c>
      <c r="K70" s="253" t="s">
        <v>1333</v>
      </c>
      <c r="L70" s="253" t="s">
        <v>1207</v>
      </c>
      <c r="M70" s="253" t="s">
        <v>1266</v>
      </c>
      <c r="N70" s="328" t="s">
        <v>1641</v>
      </c>
    </row>
    <row r="71" spans="1:14" ht="20.100000000000001" customHeight="1">
      <c r="A71" s="327">
        <f>IF(AND($B71="",$C71=""),"",MAX($A$3:A70)+1)</f>
        <v>68</v>
      </c>
      <c r="B71" s="262">
        <v>46163</v>
      </c>
      <c r="C71" s="253">
        <v>3233</v>
      </c>
      <c r="D71" s="249" t="str">
        <f>IFERROR(IF($E71="Inventory",VLOOKUP($C71,Inventory!$B:$I,2,FALSE()),IF($E71="Non Inventory",VLOOKUP($C71,'Non Inventory'!$B:$I,2,FALSE()),IF($E71="Services",VLOOKUP($C71,Services!$B:$I,2,FALSE()),IF($E71="Patty Cash",VLOOKUP($C71,'Patty Cash'!$B:$J,2,FALSE()),"")))),"")</f>
        <v>Earth Cable 1.5mm Single Core</v>
      </c>
      <c r="E71" s="254" t="s">
        <v>7</v>
      </c>
      <c r="F71" s="263" t="str">
        <f>IFERROR(IF($E71="Inventory",VLOOKUP($C71,Inventory!$B:$I,3,FALSE()),IF($E71="Non Inventory",VLOOKUP($C71,'Non Inventory'!$B:$I,3,FALSE()),IF($E71="Services",VLOOKUP($C71,Services!$B:$I,3,FALSE()),IF($E71="Patty Cash",VLOOKUP($C71,'Patty Cash'!$B:$J,3,FALSE()),"")))),"")</f>
        <v>MTR</v>
      </c>
      <c r="G71" s="374">
        <v>90</v>
      </c>
      <c r="H71" s="374">
        <f t="shared" si="2"/>
        <v>90</v>
      </c>
      <c r="I71" s="252">
        <f>IFERROR(IF($E71="Inventory",VLOOKUP($C71,Inventory!$B:$I,8,FALSE()),IF($E71="Non Inventory",VLOOKUP($C71,'Non Inventory'!$B:$I,8,FALSE()),IF($E71="Services",VLOOKUP($C71,Services!$B:$I,8,FALSE()),IF($E71="Patty Cash",VLOOKUP($C71,'Patty Cash'!$B:$J,8,FALSE()),0)))),0)</f>
        <v>109</v>
      </c>
      <c r="J71" s="252">
        <f t="shared" si="3"/>
        <v>9810</v>
      </c>
      <c r="K71" s="253" t="s">
        <v>1333</v>
      </c>
      <c r="L71" s="253" t="s">
        <v>1207</v>
      </c>
      <c r="M71" s="253" t="s">
        <v>1266</v>
      </c>
      <c r="N71" s="328" t="s">
        <v>1641</v>
      </c>
    </row>
    <row r="72" spans="1:14" ht="20.100000000000001" customHeight="1">
      <c r="A72" s="327">
        <f>IF(AND($B72="",$C72=""),"",MAX($A$3:A71)+1)</f>
        <v>69</v>
      </c>
      <c r="B72" s="262">
        <v>46163</v>
      </c>
      <c r="C72" s="253">
        <v>2202</v>
      </c>
      <c r="D72" s="249" t="str">
        <f>IFERROR(IF($E72="Inventory",VLOOKUP($C72,Inventory!$B:$I,2,FALSE()),IF($E72="Non Inventory",VLOOKUP($C72,'Non Inventory'!$B:$I,2,FALSE()),IF($E72="Services",VLOOKUP($C72,Services!$B:$I,2,FALSE()),IF($E72="Patty Cash",VLOOKUP($C72,'Patty Cash'!$B:$J,2,FALSE()),"")))),"")</f>
        <v>Earth Cable 2.5mm Single Core</v>
      </c>
      <c r="E72" s="254" t="s">
        <v>7</v>
      </c>
      <c r="F72" s="263" t="str">
        <f>IFERROR(IF($E72="Inventory",VLOOKUP($C72,Inventory!$B:$I,3,FALSE()),IF($E72="Non Inventory",VLOOKUP($C72,'Non Inventory'!$B:$I,3,FALSE()),IF($E72="Services",VLOOKUP($C72,Services!$B:$I,3,FALSE()),IF($E72="Patty Cash",VLOOKUP($C72,'Patty Cash'!$B:$J,3,FALSE()),"")))),"")</f>
        <v>MTR</v>
      </c>
      <c r="G72" s="374">
        <v>90</v>
      </c>
      <c r="H72" s="374">
        <f t="shared" si="2"/>
        <v>90</v>
      </c>
      <c r="I72" s="252">
        <f>IFERROR(IF($E72="Inventory",VLOOKUP($C72,Inventory!$B:$I,8,FALSE()),IF($E72="Non Inventory",VLOOKUP($C72,'Non Inventory'!$B:$I,8,FALSE()),IF($E72="Services",VLOOKUP($C72,Services!$B:$I,8,FALSE()),IF($E72="Patty Cash",VLOOKUP($C72,'Patty Cash'!$B:$J,8,FALSE()),0)))),0)</f>
        <v>177</v>
      </c>
      <c r="J72" s="252">
        <f t="shared" si="3"/>
        <v>15930</v>
      </c>
      <c r="K72" s="253" t="s">
        <v>1333</v>
      </c>
      <c r="L72" s="253" t="s">
        <v>1207</v>
      </c>
      <c r="M72" s="253" t="s">
        <v>1266</v>
      </c>
      <c r="N72" s="328" t="s">
        <v>1641</v>
      </c>
    </row>
    <row r="73" spans="1:14" ht="20.100000000000001" customHeight="1">
      <c r="A73" s="327">
        <f>IF(AND($B73="",$C73=""),"",MAX($A$3:A72)+1)</f>
        <v>70</v>
      </c>
      <c r="B73" s="262">
        <v>46163</v>
      </c>
      <c r="C73" s="253">
        <v>23714</v>
      </c>
      <c r="D73" s="249" t="str">
        <f>IFERROR(IF($E73="Inventory",VLOOKUP($C73,Inventory!$B:$I,2,FALSE()),IF($E73="Non Inventory",VLOOKUP($C73,'Non Inventory'!$B:$I,2,FALSE()),IF($E73="Services",VLOOKUP($C73,Services!$B:$I,2,FALSE()),IF($E73="Patty Cash",VLOOKUP($C73,'Patty Cash'!$B:$J,2,FALSE()),"")))),"")</f>
        <v>Earth Cable 4mm, Single Core Green</v>
      </c>
      <c r="E73" s="254" t="s">
        <v>7</v>
      </c>
      <c r="F73" s="263" t="str">
        <f>IFERROR(IF($E73="Inventory",VLOOKUP($C73,Inventory!$B:$I,3,FALSE()),IF($E73="Non Inventory",VLOOKUP($C73,'Non Inventory'!$B:$I,3,FALSE()),IF($E73="Services",VLOOKUP($C73,Services!$B:$I,3,FALSE()),IF($E73="Patty Cash",VLOOKUP($C73,'Patty Cash'!$B:$J,3,FALSE()),"")))),"")</f>
        <v>MTR</v>
      </c>
      <c r="G73" s="374">
        <v>90</v>
      </c>
      <c r="H73" s="374">
        <f t="shared" si="2"/>
        <v>90</v>
      </c>
      <c r="I73" s="252">
        <f>IFERROR(IF($E73="Inventory",VLOOKUP($C73,Inventory!$B:$I,8,FALSE()),IF($E73="Non Inventory",VLOOKUP($C73,'Non Inventory'!$B:$I,8,FALSE()),IF($E73="Services",VLOOKUP($C73,Services!$B:$I,8,FALSE()),IF($E73="Patty Cash",VLOOKUP($C73,'Patty Cash'!$B:$J,8,FALSE()),0)))),0)</f>
        <v>271</v>
      </c>
      <c r="J73" s="252">
        <f t="shared" si="3"/>
        <v>24390</v>
      </c>
      <c r="K73" s="253" t="s">
        <v>1333</v>
      </c>
      <c r="L73" s="253" t="s">
        <v>1207</v>
      </c>
      <c r="M73" s="253" t="s">
        <v>1266</v>
      </c>
      <c r="N73" s="328" t="s">
        <v>1641</v>
      </c>
    </row>
    <row r="74" spans="1:14" ht="20.100000000000001" customHeight="1">
      <c r="A74" s="327">
        <f>IF(AND($B74="",$C74=""),"",MAX($A$3:A73)+1)</f>
        <v>71</v>
      </c>
      <c r="B74" s="262">
        <v>46163</v>
      </c>
      <c r="C74" s="253">
        <v>10142</v>
      </c>
      <c r="D74" s="249" t="str">
        <f>IFERROR(IF($E74="Inventory",VLOOKUP($C74,Inventory!$B:$I,2,FALSE()),IF($E74="Non Inventory",VLOOKUP($C74,'Non Inventory'!$B:$I,2,FALSE()),IF($E74="Services",VLOOKUP($C74,Services!$B:$I,2,FALSE()),IF($E74="Patty Cash",VLOOKUP($C74,'Patty Cash'!$B:$J,2,FALSE()),"")))),"")</f>
        <v>Panel Fan 220 Valt Size 4"</v>
      </c>
      <c r="E74" s="254" t="s">
        <v>7</v>
      </c>
      <c r="F74" s="263" t="str">
        <f>IFERROR(IF($E74="Inventory",VLOOKUP($C74,Inventory!$B:$I,3,FALSE()),IF($E74="Non Inventory",VLOOKUP($C74,'Non Inventory'!$B:$I,3,FALSE()),IF($E74="Services",VLOOKUP($C74,Services!$B:$I,3,FALSE()),IF($E74="Patty Cash",VLOOKUP($C74,'Patty Cash'!$B:$J,3,FALSE()),"")))),"")</f>
        <v>NOS</v>
      </c>
      <c r="G74" s="374">
        <v>10</v>
      </c>
      <c r="H74" s="374">
        <f t="shared" si="2"/>
        <v>10</v>
      </c>
      <c r="I74" s="252">
        <f>IFERROR(IF($E74="Inventory",VLOOKUP($C74,Inventory!$B:$I,8,FALSE()),IF($E74="Non Inventory",VLOOKUP($C74,'Non Inventory'!$B:$I,8,FALSE()),IF($E74="Services",VLOOKUP($C74,Services!$B:$I,8,FALSE()),IF($E74="Patty Cash",VLOOKUP($C74,'Patty Cash'!$B:$J,8,FALSE()),0)))),0)</f>
        <v>1200</v>
      </c>
      <c r="J74" s="252">
        <f t="shared" si="3"/>
        <v>12000</v>
      </c>
      <c r="K74" s="253" t="s">
        <v>1333</v>
      </c>
      <c r="L74" s="253" t="s">
        <v>1207</v>
      </c>
      <c r="M74" s="253" t="s">
        <v>1266</v>
      </c>
      <c r="N74" s="328" t="s">
        <v>1274</v>
      </c>
    </row>
    <row r="75" spans="1:14" ht="20.100000000000001" customHeight="1">
      <c r="A75" s="327">
        <f>IF(AND($B75="",$C75=""),"",MAX($A$3:A74)+1)</f>
        <v>72</v>
      </c>
      <c r="B75" s="262">
        <v>46163</v>
      </c>
      <c r="C75" s="253">
        <v>6321</v>
      </c>
      <c r="D75" s="249" t="str">
        <f>IFERROR(IF($E75="Inventory",VLOOKUP($C75,Inventory!$B:$I,2,FALSE()),IF($E75="Non Inventory",VLOOKUP($C75,'Non Inventory'!$B:$I,2,FALSE()),IF($E75="Services",VLOOKUP($C75,Services!$B:$I,2,FALSE()),IF($E75="Patty Cash",VLOOKUP($C75,'Patty Cash'!$B:$J,2,FALSE()),"")))),"")</f>
        <v>Cable lugs ( "o" Type).Insulated , Copper,Tin plated,    Size  2.5 mm²</v>
      </c>
      <c r="E75" s="254" t="s">
        <v>7</v>
      </c>
      <c r="F75" s="263" t="str">
        <f>IFERROR(IF($E75="Inventory",VLOOKUP($C75,Inventory!$B:$I,3,FALSE()),IF($E75="Non Inventory",VLOOKUP($C75,'Non Inventory'!$B:$I,3,FALSE()),IF($E75="Services",VLOOKUP($C75,Services!$B:$I,3,FALSE()),IF($E75="Patty Cash",VLOOKUP($C75,'Patty Cash'!$B:$J,3,FALSE()),"")))),"")</f>
        <v>NOS</v>
      </c>
      <c r="G75" s="374">
        <v>100</v>
      </c>
      <c r="H75" s="374">
        <f t="shared" si="2"/>
        <v>100</v>
      </c>
      <c r="I75" s="252">
        <f>IFERROR(IF($E75="Inventory",VLOOKUP($C75,Inventory!$B:$I,8,FALSE()),IF($E75="Non Inventory",VLOOKUP($C75,'Non Inventory'!$B:$I,8,FALSE()),IF($E75="Services",VLOOKUP($C75,Services!$B:$I,8,FALSE()),IF($E75="Patty Cash",VLOOKUP($C75,'Patty Cash'!$B:$J,8,FALSE()),0)))),0)</f>
        <v>4</v>
      </c>
      <c r="J75" s="252">
        <f t="shared" si="3"/>
        <v>400</v>
      </c>
      <c r="K75" s="253" t="s">
        <v>1333</v>
      </c>
      <c r="L75" s="253" t="s">
        <v>1207</v>
      </c>
      <c r="M75" s="253" t="s">
        <v>1266</v>
      </c>
      <c r="N75" s="328" t="s">
        <v>1641</v>
      </c>
    </row>
    <row r="76" spans="1:14" ht="20.100000000000001" customHeight="1">
      <c r="A76" s="327">
        <f>IF(AND($B76="",$C76=""),"",MAX($A$3:A75)+1)</f>
        <v>73</v>
      </c>
      <c r="B76" s="262">
        <v>46163</v>
      </c>
      <c r="C76" s="253">
        <v>9837</v>
      </c>
      <c r="D76" s="249" t="str">
        <f>IFERROR(IF($E76="Inventory",VLOOKUP($C76,Inventory!$B:$I,2,FALSE()),IF($E76="Non Inventory",VLOOKUP($C76,'Non Inventory'!$B:$I,2,FALSE()),IF($E76="Services",VLOOKUP($C76,Services!$B:$I,2,FALSE()),IF($E76="Patty Cash",VLOOKUP($C76,'Patty Cash'!$B:$J,2,FALSE()),"")))),"")</f>
        <v>Heat proof backed tape Width: 1m Brand: TYGAFLOR</v>
      </c>
      <c r="E76" s="254" t="s">
        <v>7</v>
      </c>
      <c r="F76" s="263" t="str">
        <f>IFERROR(IF($E76="Inventory",VLOOKUP($C76,Inventory!$B:$I,3,FALSE()),IF($E76="Non Inventory",VLOOKUP($C76,'Non Inventory'!$B:$I,3,FALSE()),IF($E76="Services",VLOOKUP($C76,Services!$B:$I,3,FALSE()),IF($E76="Patty Cash",VLOOKUP($C76,'Patty Cash'!$B:$J,3,FALSE()),"")))),"")</f>
        <v>FT</v>
      </c>
      <c r="G76" s="374">
        <v>20</v>
      </c>
      <c r="H76" s="374">
        <f t="shared" si="2"/>
        <v>20</v>
      </c>
      <c r="I76" s="252">
        <f>IFERROR(IF($E76="Inventory",VLOOKUP($C76,Inventory!$B:$I,8,FALSE()),IF($E76="Non Inventory",VLOOKUP($C76,'Non Inventory'!$B:$I,8,FALSE()),IF($E76="Services",VLOOKUP($C76,Services!$B:$I,8,FALSE()),IF($E76="Patty Cash",VLOOKUP($C76,'Patty Cash'!$B:$J,8,FALSE()),0)))),0)</f>
        <v>3200</v>
      </c>
      <c r="J76" s="252">
        <f t="shared" si="3"/>
        <v>64000</v>
      </c>
      <c r="K76" s="253" t="s">
        <v>1276</v>
      </c>
      <c r="L76" s="253" t="s">
        <v>1196</v>
      </c>
      <c r="M76" s="253" t="s">
        <v>1266</v>
      </c>
      <c r="N76" s="328" t="s">
        <v>1274</v>
      </c>
    </row>
    <row r="77" spans="1:14" ht="20.100000000000001" customHeight="1">
      <c r="A77" s="327">
        <f>IF(AND($B77="",$C77=""),"",MAX($A$3:A76)+1)</f>
        <v>74</v>
      </c>
      <c r="B77" s="262">
        <v>46164</v>
      </c>
      <c r="C77" s="253">
        <v>27500</v>
      </c>
      <c r="D77" s="249" t="str">
        <f>IFERROR(IF($E77="Inventory",VLOOKUP($C77,Inventory!$B:$I,2,FALSE()),IF($E77="Non Inventory",VLOOKUP($C77,'Non Inventory'!$B:$I,2,FALSE()),IF($E77="Services",VLOOKUP($C77,Services!$B:$I,2,FALSE()),IF($E77="Patty Cash",VLOOKUP($C77,'Patty Cash'!$B:$J,2,FALSE()),"")))),"")</f>
        <v>Solenoid Valve With Complete Set Ds 3130 For
Linear Conveyor</v>
      </c>
      <c r="E77" s="254" t="s">
        <v>6</v>
      </c>
      <c r="F77" s="263" t="str">
        <f>IFERROR(IF($E77="Inventory",VLOOKUP($C77,Inventory!$B:$I,3,FALSE()),IF($E77="Non Inventory",VLOOKUP($C77,'Non Inventory'!$B:$I,3,FALSE()),IF($E77="Services",VLOOKUP($C77,Services!$B:$I,3,FALSE()),IF($E77="Patty Cash",VLOOKUP($C77,'Patty Cash'!$B:$J,3,FALSE()),"")))),"")</f>
        <v>NOS</v>
      </c>
      <c r="G77" s="374">
        <v>3</v>
      </c>
      <c r="H77" s="374">
        <f t="shared" si="2"/>
        <v>3</v>
      </c>
      <c r="I77" s="252">
        <f>IFERROR(IF($E77="Inventory",VLOOKUP($C77,Inventory!$B:$I,8,FALSE()),IF($E77="Non Inventory",VLOOKUP($C77,'Non Inventory'!$B:$I,8,FALSE()),IF($E77="Services",VLOOKUP($C77,Services!$B:$I,8,FALSE()),IF($E77="Patty Cash",VLOOKUP($C77,'Patty Cash'!$B:$J,8,FALSE()),0)))),0)</f>
        <v>15000</v>
      </c>
      <c r="J77" s="252">
        <f t="shared" si="3"/>
        <v>45000</v>
      </c>
      <c r="K77" s="253" t="s">
        <v>1269</v>
      </c>
      <c r="L77" s="253" t="s">
        <v>1196</v>
      </c>
      <c r="M77" s="253" t="s">
        <v>1266</v>
      </c>
      <c r="N77" s="328" t="s">
        <v>1274</v>
      </c>
    </row>
    <row r="78" spans="1:14" ht="20.100000000000001" customHeight="1">
      <c r="A78" s="327">
        <f>IF(AND($B78="",$C78=""),"",MAX($A$3:A77)+1)</f>
        <v>75</v>
      </c>
      <c r="B78" s="262">
        <v>46164</v>
      </c>
      <c r="C78" s="253">
        <v>3474</v>
      </c>
      <c r="D78" s="249" t="str">
        <f>IFERROR(IF($E78="Inventory",VLOOKUP($C78,Inventory!$B:$I,2,FALSE()),IF($E78="Non Inventory",VLOOKUP($C78,'Non Inventory'!$B:$I,2,FALSE()),IF($E78="Services",VLOOKUP($C78,Services!$B:$I,2,FALSE()),IF($E78="Patty Cash",VLOOKUP($C78,'Patty Cash'!$B:$J,2,FALSE()),"")))),"")</f>
        <v>Cable Elec. Single Core,3/29 Copper conductor   PVC insulated.voltage rating 300 volts.</v>
      </c>
      <c r="E78" s="254" t="s">
        <v>7</v>
      </c>
      <c r="F78" s="263" t="str">
        <f>IFERROR(IF($E78="Inventory",VLOOKUP($C78,Inventory!$B:$I,3,FALSE()),IF($E78="Non Inventory",VLOOKUP($C78,'Non Inventory'!$B:$I,3,FALSE()),IF($E78="Services",VLOOKUP($C78,Services!$B:$I,3,FALSE()),IF($E78="Patty Cash",VLOOKUP($C78,'Patty Cash'!$B:$J,3,FALSE()),"")))),"")</f>
        <v>COL</v>
      </c>
      <c r="G78" s="374">
        <v>2</v>
      </c>
      <c r="H78" s="374">
        <f t="shared" si="2"/>
        <v>2</v>
      </c>
      <c r="I78" s="252">
        <f>IFERROR(IF($E78="Inventory",VLOOKUP($C78,Inventory!$B:$I,8,FALSE()),IF($E78="Non Inventory",VLOOKUP($C78,'Non Inventory'!$B:$I,8,FALSE()),IF($E78="Services",VLOOKUP($C78,Services!$B:$I,8,FALSE()),IF($E78="Patty Cash",VLOOKUP($C78,'Patty Cash'!$B:$J,8,FALSE()),0)))),0)</f>
        <v>8500</v>
      </c>
      <c r="J78" s="252">
        <f t="shared" si="3"/>
        <v>17000</v>
      </c>
      <c r="K78" s="253" t="s">
        <v>1269</v>
      </c>
      <c r="L78" s="253" t="s">
        <v>1207</v>
      </c>
      <c r="M78" s="253" t="s">
        <v>1266</v>
      </c>
      <c r="N78" s="328" t="s">
        <v>1641</v>
      </c>
    </row>
    <row r="79" spans="1:14" ht="20.100000000000001" customHeight="1">
      <c r="A79" s="327">
        <f>IF(AND($B79="",$C79=""),"",MAX($A$3:A78)+1)</f>
        <v>76</v>
      </c>
      <c r="B79" s="262">
        <v>46164</v>
      </c>
      <c r="C79" s="253">
        <v>6728</v>
      </c>
      <c r="D79" s="249" t="str">
        <f>IFERROR(IF($E79="Inventory",VLOOKUP($C79,Inventory!$B:$I,2,FALSE()),IF($E79="Non Inventory",VLOOKUP($C79,'Non Inventory'!$B:$I,2,FALSE()),IF($E79="Services",VLOOKUP($C79,Services!$B:$I,2,FALSE()),IF($E79="Patty Cash",VLOOKUP($C79,'Patty Cash'!$B:$J,2,FALSE()),"")))),"")</f>
        <v>Cable Elec. Single Core,7/36 Copper Conductor
Pvc Insulated.Voltage Rating 300 Volts.(Color
Red)</v>
      </c>
      <c r="E79" s="254" t="s">
        <v>7</v>
      </c>
      <c r="F79" s="263" t="str">
        <f>IFERROR(IF($E79="Inventory",VLOOKUP($C79,Inventory!$B:$I,3,FALSE()),IF($E79="Non Inventory",VLOOKUP($C79,'Non Inventory'!$B:$I,3,FALSE()),IF($E79="Services",VLOOKUP($C79,Services!$B:$I,3,FALSE()),IF($E79="Patty Cash",VLOOKUP($C79,'Patty Cash'!$B:$J,3,FALSE()),"")))),"")</f>
        <v>COL</v>
      </c>
      <c r="G79" s="374">
        <v>2</v>
      </c>
      <c r="H79" s="374">
        <f t="shared" si="2"/>
        <v>2</v>
      </c>
      <c r="I79" s="252">
        <f>IFERROR(IF($E79="Inventory",VLOOKUP($C79,Inventory!$B:$I,8,FALSE()),IF($E79="Non Inventory",VLOOKUP($C79,'Non Inventory'!$B:$I,8,FALSE()),IF($E79="Services",VLOOKUP($C79,Services!$B:$I,8,FALSE()),IF($E79="Patty Cash",VLOOKUP($C79,'Patty Cash'!$B:$J,8,FALSE()),0)))),0)</f>
        <v>18800</v>
      </c>
      <c r="J79" s="252">
        <f t="shared" si="3"/>
        <v>37600</v>
      </c>
      <c r="K79" s="253" t="s">
        <v>1269</v>
      </c>
      <c r="L79" s="253" t="s">
        <v>1207</v>
      </c>
      <c r="M79" s="253" t="s">
        <v>1266</v>
      </c>
      <c r="N79" s="328" t="s">
        <v>1641</v>
      </c>
    </row>
    <row r="80" spans="1:14" ht="20.100000000000001" customHeight="1">
      <c r="A80" s="327">
        <f>IF(AND($B80="",$C80=""),"",MAX($A$3:A79)+1)</f>
        <v>77</v>
      </c>
      <c r="B80" s="262">
        <v>46164</v>
      </c>
      <c r="C80" s="253">
        <v>13936</v>
      </c>
      <c r="D80" s="249" t="str">
        <f>IFERROR(IF($E80="Inventory",VLOOKUP($C80,Inventory!$B:$I,2,FALSE()),IF($E80="Non Inventory",VLOOKUP($C80,'Non Inventory'!$B:$I,2,FALSE()),IF($E80="Services",VLOOKUP($C80,Services!$B:$I,2,FALSE()),IF($E80="Patty Cash",VLOOKUP($C80,'Patty Cash'!$B:$J,2,FALSE()),"")))),"")</f>
        <v>Welding Face Shield</v>
      </c>
      <c r="E80" s="254" t="s">
        <v>7</v>
      </c>
      <c r="F80" s="263" t="str">
        <f>IFERROR(IF($E80="Inventory",VLOOKUP($C80,Inventory!$B:$I,3,FALSE()),IF($E80="Non Inventory",VLOOKUP($C80,'Non Inventory'!$B:$I,3,FALSE()),IF($E80="Services",VLOOKUP($C80,Services!$B:$I,3,FALSE()),IF($E80="Patty Cash",VLOOKUP($C80,'Patty Cash'!$B:$J,3,FALSE()),"")))),"")</f>
        <v>NOS</v>
      </c>
      <c r="G80" s="374">
        <v>2</v>
      </c>
      <c r="H80" s="374">
        <f t="shared" si="2"/>
        <v>2</v>
      </c>
      <c r="I80" s="252">
        <f>IFERROR(IF($E80="Inventory",VLOOKUP($C80,Inventory!$B:$I,8,FALSE()),IF($E80="Non Inventory",VLOOKUP($C80,'Non Inventory'!$B:$I,8,FALSE()),IF($E80="Services",VLOOKUP($C80,Services!$B:$I,8,FALSE()),IF($E80="Patty Cash",VLOOKUP($C80,'Patty Cash'!$B:$J,8,FALSE()),0)))),0)</f>
        <v>1150</v>
      </c>
      <c r="J80" s="252">
        <f t="shared" si="3"/>
        <v>2300</v>
      </c>
      <c r="K80" s="253" t="s">
        <v>1269</v>
      </c>
      <c r="L80" s="253" t="s">
        <v>1207</v>
      </c>
      <c r="M80" s="253" t="s">
        <v>1266</v>
      </c>
      <c r="N80" s="328" t="s">
        <v>1641</v>
      </c>
    </row>
    <row r="81" spans="1:14" ht="20.100000000000001" customHeight="1">
      <c r="A81" s="327">
        <f>IF(AND($B81="",$C81=""),"",MAX($A$3:A80)+1)</f>
        <v>78</v>
      </c>
      <c r="B81" s="262">
        <v>46164</v>
      </c>
      <c r="C81" s="253">
        <v>6263</v>
      </c>
      <c r="D81" s="249" t="str">
        <f>IFERROR(IF($E81="Inventory",VLOOKUP($C81,Inventory!$B:$I,2,FALSE()),IF($E81="Non Inventory",VLOOKUP($C81,'Non Inventory'!$B:$I,2,FALSE()),IF($E81="Services",VLOOKUP($C81,Services!$B:$I,2,FALSE()),IF($E81="Patty Cash",VLOOKUP($C81,'Patty Cash'!$B:$J,2,FALSE()),"")))),"")</f>
        <v>Welding Electrode ( for carbon steel) No 12 (2.6  mm) AWS 6013 (7018)</v>
      </c>
      <c r="E81" s="254" t="s">
        <v>7</v>
      </c>
      <c r="F81" s="263" t="str">
        <f>IFERROR(IF($E81="Inventory",VLOOKUP($C81,Inventory!$B:$I,3,FALSE()),IF($E81="Non Inventory",VLOOKUP($C81,'Non Inventory'!$B:$I,3,FALSE()),IF($E81="Services",VLOOKUP($C81,Services!$B:$I,3,FALSE()),IF($E81="Patty Cash",VLOOKUP($C81,'Patty Cash'!$B:$J,3,FALSE()),"")))),"")</f>
        <v>PAK</v>
      </c>
      <c r="G81" s="374">
        <v>6</v>
      </c>
      <c r="H81" s="374">
        <f t="shared" si="2"/>
        <v>6</v>
      </c>
      <c r="I81" s="252">
        <f>IFERROR(IF($E81="Inventory",VLOOKUP($C81,Inventory!$B:$I,8,FALSE()),IF($E81="Non Inventory",VLOOKUP($C81,'Non Inventory'!$B:$I,8,FALSE()),IF($E81="Services",VLOOKUP($C81,Services!$B:$I,8,FALSE()),IF($E81="Patty Cash",VLOOKUP($C81,'Patty Cash'!$B:$J,8,FALSE()),0)))),0)</f>
        <v>1750</v>
      </c>
      <c r="J81" s="252">
        <f t="shared" si="3"/>
        <v>10500</v>
      </c>
      <c r="K81" s="253" t="s">
        <v>1269</v>
      </c>
      <c r="L81" s="253" t="s">
        <v>1207</v>
      </c>
      <c r="M81" s="253" t="s">
        <v>1266</v>
      </c>
      <c r="N81" s="328" t="s">
        <v>1641</v>
      </c>
    </row>
    <row r="82" spans="1:14" ht="20.100000000000001" customHeight="1">
      <c r="A82" s="327">
        <f>IF(AND($B82="",$C82=""),"",MAX($A$3:A81)+1)</f>
        <v>79</v>
      </c>
      <c r="B82" s="262">
        <v>46164</v>
      </c>
      <c r="C82" s="253">
        <v>6320</v>
      </c>
      <c r="D82" s="249" t="str">
        <f>IFERROR(IF($E82="Inventory",VLOOKUP($C82,Inventory!$B:$I,2,FALSE()),IF($E82="Non Inventory",VLOOKUP($C82,'Non Inventory'!$B:$I,2,FALSE()),IF($E82="Services",VLOOKUP($C82,Services!$B:$I,2,FALSE()),IF($E82="Patty Cash",VLOOKUP($C82,'Patty Cash'!$B:$J,2,FALSE()),"")))),"")</f>
        <v>Cable lugs ( "o" Type).Insulated , Copper,Tin plated,    Size  4 mm²</v>
      </c>
      <c r="E82" s="254" t="s">
        <v>7</v>
      </c>
      <c r="F82" s="263" t="str">
        <f>IFERROR(IF($E82="Inventory",VLOOKUP($C82,Inventory!$B:$I,3,FALSE()),IF($E82="Non Inventory",VLOOKUP($C82,'Non Inventory'!$B:$I,3,FALSE()),IF($E82="Services",VLOOKUP($C82,Services!$B:$I,3,FALSE()),IF($E82="Patty Cash",VLOOKUP($C82,'Patty Cash'!$B:$J,3,FALSE()),"")))),"")</f>
        <v>NOS</v>
      </c>
      <c r="G82" s="374">
        <v>100</v>
      </c>
      <c r="H82" s="374">
        <f t="shared" si="2"/>
        <v>100</v>
      </c>
      <c r="I82" s="252">
        <f>IFERROR(IF($E82="Inventory",VLOOKUP($C82,Inventory!$B:$I,8,FALSE()),IF($E82="Non Inventory",VLOOKUP($C82,'Non Inventory'!$B:$I,8,FALSE()),IF($E82="Services",VLOOKUP($C82,Services!$B:$I,8,FALSE()),IF($E82="Patty Cash",VLOOKUP($C82,'Patty Cash'!$B:$J,8,FALSE()),0)))),0)</f>
        <v>7</v>
      </c>
      <c r="J82" s="252">
        <f t="shared" si="3"/>
        <v>700</v>
      </c>
      <c r="K82" s="253" t="s">
        <v>1269</v>
      </c>
      <c r="L82" s="253" t="s">
        <v>1207</v>
      </c>
      <c r="M82" s="253" t="s">
        <v>1266</v>
      </c>
      <c r="N82" s="328" t="s">
        <v>1641</v>
      </c>
    </row>
    <row r="83" spans="1:14" ht="20.100000000000001" customHeight="1">
      <c r="A83" s="327">
        <f>IF(AND($B83="",$C83=""),"",MAX($A$3:A82)+1)</f>
        <v>80</v>
      </c>
      <c r="B83" s="262">
        <v>46164</v>
      </c>
      <c r="C83" s="253">
        <v>12300</v>
      </c>
      <c r="D83" s="249" t="str">
        <f>IFERROR(IF($E83="Inventory",VLOOKUP($C83,Inventory!$B:$I,2,FALSE()),IF($E83="Non Inventory",VLOOKUP($C83,'Non Inventory'!$B:$I,2,FALSE()),IF($E83="Services",VLOOKUP($C83,Services!$B:$I,2,FALSE()),IF($E83="Patty Cash",VLOOKUP($C83,'Patty Cash'!$B:$J,2,FALSE()),"")))),"")</f>
        <v>Welding Gloves</v>
      </c>
      <c r="E83" s="254" t="s">
        <v>7</v>
      </c>
      <c r="F83" s="263" t="str">
        <f>IFERROR(IF($E83="Inventory",VLOOKUP($C83,Inventory!$B:$I,3,FALSE()),IF($E83="Non Inventory",VLOOKUP($C83,'Non Inventory'!$B:$I,3,FALSE()),IF($E83="Services",VLOOKUP($C83,Services!$B:$I,3,FALSE()),IF($E83="Patty Cash",VLOOKUP($C83,'Patty Cash'!$B:$J,3,FALSE()),"")))),"")</f>
        <v>NOS</v>
      </c>
      <c r="G83" s="374">
        <v>6</v>
      </c>
      <c r="H83" s="374">
        <f t="shared" si="2"/>
        <v>6</v>
      </c>
      <c r="I83" s="252">
        <f>IFERROR(IF($E83="Inventory",VLOOKUP($C83,Inventory!$B:$I,8,FALSE()),IF($E83="Non Inventory",VLOOKUP($C83,'Non Inventory'!$B:$I,8,FALSE()),IF($E83="Services",VLOOKUP($C83,Services!$B:$I,8,FALSE()),IF($E83="Patty Cash",VLOOKUP($C83,'Patty Cash'!$B:$J,8,FALSE()),0)))),0)</f>
        <v>450</v>
      </c>
      <c r="J83" s="252">
        <f t="shared" si="3"/>
        <v>2700</v>
      </c>
      <c r="K83" s="253" t="s">
        <v>1269</v>
      </c>
      <c r="L83" s="253" t="s">
        <v>1196</v>
      </c>
      <c r="M83" s="253" t="s">
        <v>1266</v>
      </c>
      <c r="N83" s="328" t="s">
        <v>1641</v>
      </c>
    </row>
    <row r="84" spans="1:14" ht="20.100000000000001" customHeight="1">
      <c r="A84" s="327">
        <f>IF(AND($B84="",$C84=""),"",MAX($A$3:A83)+1)</f>
        <v>81</v>
      </c>
      <c r="B84" s="262">
        <v>46164</v>
      </c>
      <c r="C84" s="253">
        <v>24198</v>
      </c>
      <c r="D84" s="249" t="str">
        <f>IFERROR(IF($E84="Inventory",VLOOKUP($C84,Inventory!$B:$I,2,FALSE()),IF($E84="Non Inventory",VLOOKUP($C84,'Non Inventory'!$B:$I,2,FALSE()),IF($E84="Services",VLOOKUP($C84,Services!$B:$I,2,FALSE()),IF($E84="Patty Cash",VLOOKUP($C84,'Patty Cash'!$B:$J,2,FALSE()),"")))),"")</f>
        <v>Bulb Holder</v>
      </c>
      <c r="E84" s="254" t="s">
        <v>7</v>
      </c>
      <c r="F84" s="263" t="str">
        <f>IFERROR(IF($E84="Inventory",VLOOKUP($C84,Inventory!$B:$I,3,FALSE()),IF($E84="Non Inventory",VLOOKUP($C84,'Non Inventory'!$B:$I,3,FALSE()),IF($E84="Services",VLOOKUP($C84,Services!$B:$I,3,FALSE()),IF($E84="Patty Cash",VLOOKUP($C84,'Patty Cash'!$B:$J,3,FALSE()),"")))),"")</f>
        <v>NOS</v>
      </c>
      <c r="G84" s="374">
        <v>10</v>
      </c>
      <c r="H84" s="374">
        <f t="shared" si="2"/>
        <v>10</v>
      </c>
      <c r="I84" s="252">
        <f>IFERROR(IF($E84="Inventory",VLOOKUP($C84,Inventory!$B:$I,8,FALSE()),IF($E84="Non Inventory",VLOOKUP($C84,'Non Inventory'!$B:$I,8,FALSE()),IF($E84="Services",VLOOKUP($C84,Services!$B:$I,8,FALSE()),IF($E84="Patty Cash",VLOOKUP($C84,'Patty Cash'!$B:$J,8,FALSE()),0)))),0)</f>
        <v>130</v>
      </c>
      <c r="J84" s="252">
        <f t="shared" si="3"/>
        <v>1300</v>
      </c>
      <c r="K84" s="253" t="s">
        <v>1269</v>
      </c>
      <c r="L84" s="253" t="s">
        <v>1196</v>
      </c>
      <c r="M84" s="253" t="s">
        <v>1266</v>
      </c>
      <c r="N84" s="328" t="s">
        <v>1641</v>
      </c>
    </row>
    <row r="85" spans="1:14" ht="20.100000000000001" customHeight="1">
      <c r="A85" s="327">
        <f>IF(AND($B85="",$C85=""),"",MAX($A$3:A84)+1)</f>
        <v>82</v>
      </c>
      <c r="B85" s="262">
        <v>46164</v>
      </c>
      <c r="C85" s="253">
        <v>27558</v>
      </c>
      <c r="D85" s="249" t="str">
        <f>IFERROR(IF($E85="Inventory",VLOOKUP($C85,Inventory!$B:$I,2,FALSE()),IF($E85="Non Inventory",VLOOKUP($C85,'Non Inventory'!$B:$I,2,FALSE()),IF($E85="Services",VLOOKUP($C85,Services!$B:$I,2,FALSE()),IF($E85="Patty Cash",VLOOKUP($C85,'Patty Cash'!$B:$J,2,FALSE()),"")))),"")</f>
        <v>Welding Glass Black</v>
      </c>
      <c r="E85" s="254" t="s">
        <v>7</v>
      </c>
      <c r="F85" s="263" t="str">
        <f>IFERROR(IF($E85="Inventory",VLOOKUP($C85,Inventory!$B:$I,3,FALSE()),IF($E85="Non Inventory",VLOOKUP($C85,'Non Inventory'!$B:$I,3,FALSE()),IF($E85="Services",VLOOKUP($C85,Services!$B:$I,3,FALSE()),IF($E85="Patty Cash",VLOOKUP($C85,'Patty Cash'!$B:$J,3,FALSE()),"")))),"")</f>
        <v>NOS</v>
      </c>
      <c r="G85" s="374">
        <v>10</v>
      </c>
      <c r="H85" s="374">
        <f t="shared" si="2"/>
        <v>10</v>
      </c>
      <c r="I85" s="252">
        <f>IFERROR(IF($E85="Inventory",VLOOKUP($C85,Inventory!$B:$I,8,FALSE()),IF($E85="Non Inventory",VLOOKUP($C85,'Non Inventory'!$B:$I,8,FALSE()),IF($E85="Services",VLOOKUP($C85,Services!$B:$I,8,FALSE()),IF($E85="Patty Cash",VLOOKUP($C85,'Patty Cash'!$B:$J,8,FALSE()),0)))),0)</f>
        <v>55</v>
      </c>
      <c r="J85" s="252">
        <f t="shared" si="3"/>
        <v>550</v>
      </c>
      <c r="K85" s="253" t="s">
        <v>1269</v>
      </c>
      <c r="L85" s="253" t="s">
        <v>1196</v>
      </c>
      <c r="M85" s="253" t="s">
        <v>1266</v>
      </c>
      <c r="N85" s="328" t="s">
        <v>1641</v>
      </c>
    </row>
    <row r="86" spans="1:14" ht="20.100000000000001" customHeight="1">
      <c r="A86" s="327">
        <f>IF(AND($B86="",$C86=""),"",MAX($A$3:A85)+1)</f>
        <v>83</v>
      </c>
      <c r="B86" s="262">
        <v>46164</v>
      </c>
      <c r="C86" s="253">
        <v>21799</v>
      </c>
      <c r="D86" s="249" t="str">
        <f>IFERROR(IF($E86="Inventory",VLOOKUP($C86,Inventory!$B:$I,2,FALSE()),IF($E86="Non Inventory",VLOOKUP($C86,'Non Inventory'!$B:$I,2,FALSE()),IF($E86="Services",VLOOKUP($C86,Services!$B:$I,2,FALSE()),IF($E86="Patty Cash",VLOOKUP($C86,'Patty Cash'!$B:$J,2,FALSE()),"")))),"")</f>
        <v>Serv. Misc. Services Pasta Consultant Service on side Tecalit Short
Cut Pasta Line</v>
      </c>
      <c r="E86" s="254" t="s">
        <v>1280</v>
      </c>
      <c r="F86" s="263" t="str">
        <f>IFERROR(IF($E86="Inventory",VLOOKUP($C86,Inventory!$B:$I,3,FALSE()),IF($E86="Non Inventory",VLOOKUP($C86,'Non Inventory'!$B:$I,3,FALSE()),IF($E86="Services",VLOOKUP($C86,Services!$B:$I,3,FALSE()),IF($E86="Patty Cash",VLOOKUP($C86,'Patty Cash'!$B:$J,3,FALSE()),"")))),"")</f>
        <v>NOS</v>
      </c>
      <c r="G86" s="374">
        <v>1</v>
      </c>
      <c r="H86" s="374">
        <f t="shared" si="2"/>
        <v>1</v>
      </c>
      <c r="I86" s="252">
        <f>IFERROR(IF($E86="Inventory",VLOOKUP($C86,Inventory!$B:$I,8,FALSE()),IF($E86="Non Inventory",VLOOKUP($C86,'Non Inventory'!$B:$I,8,FALSE()),IF($E86="Services",VLOOKUP($C86,Services!$B:$I,8,FALSE()),IF($E86="Patty Cash",VLOOKUP($C86,'Patty Cash'!$B:$J,8,FALSE()),0)))),0)</f>
        <v>378500</v>
      </c>
      <c r="J86" s="252">
        <f t="shared" si="3"/>
        <v>378500</v>
      </c>
      <c r="K86" s="253" t="s">
        <v>1413</v>
      </c>
      <c r="L86" s="253" t="s">
        <v>1196</v>
      </c>
      <c r="M86" s="253" t="s">
        <v>1414</v>
      </c>
      <c r="N86" s="328" t="s">
        <v>1642</v>
      </c>
    </row>
    <row r="87" spans="1:14" ht="20.100000000000001" customHeight="1">
      <c r="A87" s="327">
        <f>IF(AND($B87="",$C87=""),"",MAX($A$3:A86)+1)</f>
        <v>84</v>
      </c>
      <c r="B87" s="262">
        <v>46167</v>
      </c>
      <c r="C87" s="253">
        <v>17237</v>
      </c>
      <c r="D87" s="249" t="str">
        <f>IFERROR(IF($E87="Inventory",VLOOKUP($C87,Inventory!$B:$I,2,FALSE()),IF($E87="Non Inventory",VLOOKUP($C87,'Non Inventory'!$B:$I,2,FALSE()),IF($E87="Services",VLOOKUP($C87,Services!$B:$I,2,FALSE()),IF($E87="Patty Cash",VLOOKUP($C87,'Patty Cash'!$B:$J,2,FALSE()),"")))),"")</f>
        <v>Film Puling Belt Size Dia=292mm W=38mm T=6mm (Material NBR)For Ishida Packing Machine</v>
      </c>
      <c r="E87" s="254" t="s">
        <v>6</v>
      </c>
      <c r="F87" s="263" t="str">
        <f>IFERROR(IF($E87="Inventory",VLOOKUP($C87,Inventory!$B:$I,3,FALSE()),IF($E87="Non Inventory",VLOOKUP($C87,'Non Inventory'!$B:$I,3,FALSE()),IF($E87="Services",VLOOKUP($C87,Services!$B:$I,3,FALSE()),IF($E87="Patty Cash",VLOOKUP($C87,'Patty Cash'!$B:$J,3,FALSE()),"")))),"")</f>
        <v>NOS</v>
      </c>
      <c r="G87" s="374">
        <v>10</v>
      </c>
      <c r="H87" s="374">
        <f t="shared" si="2"/>
        <v>10</v>
      </c>
      <c r="I87" s="252">
        <f>IFERROR(IF($E87="Inventory",VLOOKUP($C87,Inventory!$B:$I,8,FALSE()),IF($E87="Non Inventory",VLOOKUP($C87,'Non Inventory'!$B:$I,8,FALSE()),IF($E87="Services",VLOOKUP($C87,Services!$B:$I,8,FALSE()),IF($E87="Patty Cash",VLOOKUP($C87,'Patty Cash'!$B:$J,8,FALSE()),0)))),0)</f>
        <v>9000</v>
      </c>
      <c r="J87" s="252">
        <f t="shared" si="3"/>
        <v>90000</v>
      </c>
      <c r="K87" s="253" t="s">
        <v>1265</v>
      </c>
      <c r="L87" s="253" t="s">
        <v>1196</v>
      </c>
      <c r="M87" s="253" t="s">
        <v>1266</v>
      </c>
      <c r="N87" s="328" t="s">
        <v>1641</v>
      </c>
    </row>
    <row r="88" spans="1:14" ht="20.100000000000001" customHeight="1">
      <c r="A88" s="327">
        <f>IF(AND($B88="",$C88=""),"",MAX($A$3:A87)+1)</f>
        <v>85</v>
      </c>
      <c r="B88" s="262">
        <v>46167</v>
      </c>
      <c r="C88" s="253">
        <v>17622</v>
      </c>
      <c r="D88" s="249" t="str">
        <f>IFERROR(IF($E88="Inventory",VLOOKUP($C88,Inventory!$B:$I,2,FALSE()),IF($E88="Non Inventory",VLOOKUP($C88,'Non Inventory'!$B:$I,2,FALSE()),IF($E88="Services",VLOOKUP($C88,Services!$B:$I,2,FALSE()),IF($E88="Patty Cash",VLOOKUP($C88,'Patty Cash'!$B:$J,2,FALSE()),"")))),"")</f>
        <v>Horizontal Jaws Pin Size Length 65mm, Dia 15mm, Material S.S (Ishida Machine)</v>
      </c>
      <c r="E88" s="254" t="s">
        <v>6</v>
      </c>
      <c r="F88" s="263" t="str">
        <f>IFERROR(IF($E88="Inventory",VLOOKUP($C88,Inventory!$B:$I,3,FALSE()),IF($E88="Non Inventory",VLOOKUP($C88,'Non Inventory'!$B:$I,3,FALSE()),IF($E88="Services",VLOOKUP($C88,Services!$B:$I,3,FALSE()),IF($E88="Patty Cash",VLOOKUP($C88,'Patty Cash'!$B:$J,3,FALSE()),"")))),"")</f>
        <v>NOS</v>
      </c>
      <c r="G88" s="374">
        <v>15</v>
      </c>
      <c r="H88" s="374">
        <f t="shared" si="2"/>
        <v>15</v>
      </c>
      <c r="I88" s="252">
        <f>IFERROR(IF($E88="Inventory",VLOOKUP($C88,Inventory!$B:$I,8,FALSE()),IF($E88="Non Inventory",VLOOKUP($C88,'Non Inventory'!$B:$I,8,FALSE()),IF($E88="Services",VLOOKUP($C88,Services!$B:$I,8,FALSE()),IF($E88="Patty Cash",VLOOKUP($C88,'Patty Cash'!$B:$J,8,FALSE()),0)))),0)</f>
        <v>2600</v>
      </c>
      <c r="J88" s="252">
        <f t="shared" si="3"/>
        <v>39000</v>
      </c>
      <c r="K88" s="253" t="s">
        <v>1418</v>
      </c>
      <c r="L88" s="253" t="s">
        <v>1196</v>
      </c>
      <c r="M88" s="253" t="s">
        <v>1323</v>
      </c>
      <c r="N88" s="328" t="s">
        <v>1641</v>
      </c>
    </row>
    <row r="89" spans="1:14" ht="20.100000000000001" customHeight="1">
      <c r="A89" s="327">
        <f>IF(AND($B89="",$C89=""),"",MAX($A$3:A88)+1)</f>
        <v>86</v>
      </c>
      <c r="B89" s="262">
        <v>46167</v>
      </c>
      <c r="C89" s="253">
        <v>23014</v>
      </c>
      <c r="D89" s="249" t="str">
        <f>IFERROR(IF($E89="Inventory",VLOOKUP($C89,Inventory!$B:$I,2,FALSE()),IF($E89="Non Inventory",VLOOKUP($C89,'Non Inventory'!$B:$I,2,FALSE()),IF($E89="Services",VLOOKUP($C89,Services!$B:$I,2,FALSE()),IF($E89="Patty Cash",VLOOKUP($C89,'Patty Cash'!$B:$J,2,FALSE()),"")))),"")</f>
        <v>Bronze Nut Size T- 20mm, O/D-45mm, I/D- with Threed 19mm (Ishida Machine Tracking Motor)</v>
      </c>
      <c r="E89" s="254" t="s">
        <v>7</v>
      </c>
      <c r="F89" s="263" t="str">
        <f>IFERROR(IF($E89="Inventory",VLOOKUP($C89,Inventory!$B:$I,3,FALSE()),IF($E89="Non Inventory",VLOOKUP($C89,'Non Inventory'!$B:$I,3,FALSE()),IF($E89="Services",VLOOKUP($C89,Services!$B:$I,3,FALSE()),IF($E89="Patty Cash",VLOOKUP($C89,'Patty Cash'!$B:$J,3,FALSE()),"")))),"")</f>
        <v>NOS</v>
      </c>
      <c r="G89" s="374">
        <v>5</v>
      </c>
      <c r="H89" s="374">
        <f t="shared" si="2"/>
        <v>5</v>
      </c>
      <c r="I89" s="252">
        <f>IFERROR(IF($E89="Inventory",VLOOKUP($C89,Inventory!$B:$I,8,FALSE()),IF($E89="Non Inventory",VLOOKUP($C89,'Non Inventory'!$B:$I,8,FALSE()),IF($E89="Services",VLOOKUP($C89,Services!$B:$I,8,FALSE()),IF($E89="Patty Cash",VLOOKUP($C89,'Patty Cash'!$B:$J,8,FALSE()),0)))),0)</f>
        <v>3000</v>
      </c>
      <c r="J89" s="252">
        <f t="shared" si="3"/>
        <v>15000</v>
      </c>
      <c r="K89" s="253" t="s">
        <v>1418</v>
      </c>
      <c r="L89" s="253" t="s">
        <v>1196</v>
      </c>
      <c r="M89" s="253" t="s">
        <v>1323</v>
      </c>
      <c r="N89" s="328" t="s">
        <v>1641</v>
      </c>
    </row>
    <row r="90" spans="1:14" ht="20.100000000000001" customHeight="1">
      <c r="A90" s="327">
        <f>IF(AND($B90="",$C90=""),"",MAX($A$3:A89)+1)</f>
        <v>87</v>
      </c>
      <c r="B90" s="262">
        <v>46167</v>
      </c>
      <c r="C90" s="253">
        <v>13409</v>
      </c>
      <c r="D90" s="249" t="str">
        <f>IFERROR(IF($E90="Inventory",VLOOKUP($C90,Inventory!$B:$I,2,FALSE()),IF($E90="Non Inventory",VLOOKUP($C90,'Non Inventory'!$B:$I,2,FALSE()),IF($E90="Services",VLOOKUP($C90,Services!$B:$I,2,FALSE()),IF($E90="Patty Cash",VLOOKUP($C90,'Patty Cash'!$B:$J,2,FALSE()),"")))),"")</f>
        <v>Heater 220 Valt, 450 Watt Size L-262mm, Dia-8mm (Ishida Packing Machine)</v>
      </c>
      <c r="E90" s="254" t="s">
        <v>6</v>
      </c>
      <c r="F90" s="263" t="str">
        <f>IFERROR(IF($E90="Inventory",VLOOKUP($C90,Inventory!$B:$I,3,FALSE()),IF($E90="Non Inventory",VLOOKUP($C90,'Non Inventory'!$B:$I,3,FALSE()),IF($E90="Services",VLOOKUP($C90,Services!$B:$I,3,FALSE()),IF($E90="Patty Cash",VLOOKUP($C90,'Patty Cash'!$B:$J,3,FALSE()),"")))),"")</f>
        <v>NOS</v>
      </c>
      <c r="G90" s="374">
        <v>15</v>
      </c>
      <c r="H90" s="374">
        <f t="shared" si="2"/>
        <v>15</v>
      </c>
      <c r="I90" s="252">
        <f>IFERROR(IF($E90="Inventory",VLOOKUP($C90,Inventory!$B:$I,8,FALSE()),IF($E90="Non Inventory",VLOOKUP($C90,'Non Inventory'!$B:$I,8,FALSE()),IF($E90="Services",VLOOKUP($C90,Services!$B:$I,8,FALSE()),IF($E90="Patty Cash",VLOOKUP($C90,'Patty Cash'!$B:$J,8,FALSE()),0)))),0)</f>
        <v>2400</v>
      </c>
      <c r="J90" s="252">
        <f t="shared" si="3"/>
        <v>36000</v>
      </c>
      <c r="K90" s="253" t="s">
        <v>1419</v>
      </c>
      <c r="L90" s="253" t="s">
        <v>1207</v>
      </c>
      <c r="M90" s="253" t="s">
        <v>1266</v>
      </c>
      <c r="N90" s="328" t="s">
        <v>1641</v>
      </c>
    </row>
    <row r="91" spans="1:14" ht="20.100000000000001" customHeight="1">
      <c r="A91" s="327">
        <f>IF(AND($B91="",$C91=""),"",MAX($A$3:A90)+1)</f>
        <v>88</v>
      </c>
      <c r="B91" s="262">
        <v>46167</v>
      </c>
      <c r="C91" s="253">
        <v>17296</v>
      </c>
      <c r="D91" s="249" t="str">
        <f>IFERROR(IF($E91="Inventory",VLOOKUP($C91,Inventory!$B:$I,2,FALSE()),IF($E91="Non Inventory",VLOOKUP($C91,'Non Inventory'!$B:$I,2,FALSE()),IF($E91="Services",VLOOKUP($C91,Services!$B:$I,2,FALSE()),IF($E91="Patty Cash",VLOOKUP($C91,'Patty Cash'!$B:$J,2,FALSE()),"")))),"")</f>
        <v>Cartridge Heater 220 Valt, 700 Watt Size L-320mm, Dia-8mm (Ishida Packing Machine)</v>
      </c>
      <c r="E91" s="254" t="s">
        <v>6</v>
      </c>
      <c r="F91" s="263" t="str">
        <f>IFERROR(IF($E91="Inventory",VLOOKUP($C91,Inventory!$B:$I,3,FALSE()),IF($E91="Non Inventory",VLOOKUP($C91,'Non Inventory'!$B:$I,3,FALSE()),IF($E91="Services",VLOOKUP($C91,Services!$B:$I,3,FALSE()),IF($E91="Patty Cash",VLOOKUP($C91,'Patty Cash'!$B:$J,3,FALSE()),"")))),"")</f>
        <v>NOS</v>
      </c>
      <c r="G91" s="374">
        <v>15</v>
      </c>
      <c r="H91" s="374">
        <f t="shared" si="2"/>
        <v>15</v>
      </c>
      <c r="I91" s="252">
        <f>IFERROR(IF($E91="Inventory",VLOOKUP($C91,Inventory!$B:$I,8,FALSE()),IF($E91="Non Inventory",VLOOKUP($C91,'Non Inventory'!$B:$I,8,FALSE()),IF($E91="Services",VLOOKUP($C91,Services!$B:$I,8,FALSE()),IF($E91="Patty Cash",VLOOKUP($C91,'Patty Cash'!$B:$J,8,FALSE()),0)))),0)</f>
        <v>2000</v>
      </c>
      <c r="J91" s="252">
        <f t="shared" si="3"/>
        <v>30000</v>
      </c>
      <c r="K91" s="253" t="s">
        <v>1419</v>
      </c>
      <c r="L91" s="253" t="s">
        <v>1207</v>
      </c>
      <c r="M91" s="253" t="s">
        <v>1266</v>
      </c>
      <c r="N91" s="328" t="s">
        <v>1641</v>
      </c>
    </row>
    <row r="92" spans="1:14" ht="20.100000000000001" customHeight="1">
      <c r="A92" s="327">
        <f>IF(AND($B92="",$C92=""),"",MAX($A$3:A91)+1)</f>
        <v>89</v>
      </c>
      <c r="B92" s="262">
        <v>46167</v>
      </c>
      <c r="C92" s="253">
        <v>15596</v>
      </c>
      <c r="D92" s="249" t="str">
        <f>IFERROR(IF($E92="Inventory",VLOOKUP($C92,Inventory!$B:$I,2,FALSE()),IF($E92="Non Inventory",VLOOKUP($C92,'Non Inventory'!$B:$I,2,FALSE()),IF($E92="Services",VLOOKUP($C92,Services!$B:$I,2,FALSE()),IF($E92="Patty Cash",VLOOKUP($C92,'Patty Cash'!$B:$J,2,FALSE()),"")))),"")</f>
        <v>Thermocouple K Type Size 3mm X 50mm</v>
      </c>
      <c r="E92" s="254" t="s">
        <v>6</v>
      </c>
      <c r="F92" s="263" t="str">
        <f>IFERROR(IF($E92="Inventory",VLOOKUP($C92,Inventory!$B:$I,3,FALSE()),IF($E92="Non Inventory",VLOOKUP($C92,'Non Inventory'!$B:$I,3,FALSE()),IF($E92="Services",VLOOKUP($C92,Services!$B:$I,3,FALSE()),IF($E92="Patty Cash",VLOOKUP($C92,'Patty Cash'!$B:$J,3,FALSE()),"")))),"")</f>
        <v>NOS</v>
      </c>
      <c r="G92" s="374">
        <v>15</v>
      </c>
      <c r="H92" s="374">
        <f t="shared" si="2"/>
        <v>15</v>
      </c>
      <c r="I92" s="252">
        <f>IFERROR(IF($E92="Inventory",VLOOKUP($C92,Inventory!$B:$I,8,FALSE()),IF($E92="Non Inventory",VLOOKUP($C92,'Non Inventory'!$B:$I,8,FALSE()),IF($E92="Services",VLOOKUP($C92,Services!$B:$I,8,FALSE()),IF($E92="Patty Cash",VLOOKUP($C92,'Patty Cash'!$B:$J,8,FALSE()),0)))),0)</f>
        <v>1500</v>
      </c>
      <c r="J92" s="252">
        <f t="shared" si="3"/>
        <v>22500</v>
      </c>
      <c r="K92" s="253" t="s">
        <v>1419</v>
      </c>
      <c r="L92" s="253" t="s">
        <v>1207</v>
      </c>
      <c r="M92" s="253" t="s">
        <v>1266</v>
      </c>
      <c r="N92" s="328" t="s">
        <v>1641</v>
      </c>
    </row>
    <row r="93" spans="1:14" ht="20.100000000000001" customHeight="1">
      <c r="A93" s="327">
        <f>IF(AND($B93="",$C93=""),"",MAX($A$3:A92)+1)</f>
        <v>90</v>
      </c>
      <c r="B93" s="262">
        <v>46167</v>
      </c>
      <c r="C93" s="253">
        <v>17633</v>
      </c>
      <c r="D93" s="249" t="str">
        <f>IFERROR(IF($E93="Inventory",VLOOKUP($C93,Inventory!$B:$I,2,FALSE()),IF($E93="Non Inventory",VLOOKUP($C93,'Non Inventory'!$B:$I,2,FALSE()),IF($E93="Services",VLOOKUP($C93,Services!$B:$I,2,FALSE()),IF($E93="Patty Cash",VLOOKUP($C93,'Patty Cash'!$B:$J,2,FALSE()),"")))),"")</f>
        <v>Thermocouple K-Type 3 X 120 MM For Ishida Machine</v>
      </c>
      <c r="E93" s="254" t="s">
        <v>6</v>
      </c>
      <c r="F93" s="263" t="str">
        <f>IFERROR(IF($E93="Inventory",VLOOKUP($C93,Inventory!$B:$I,3,FALSE()),IF($E93="Non Inventory",VLOOKUP($C93,'Non Inventory'!$B:$I,3,FALSE()),IF($E93="Services",VLOOKUP($C93,Services!$B:$I,3,FALSE()),IF($E93="Patty Cash",VLOOKUP($C93,'Patty Cash'!$B:$J,3,FALSE()),"")))),"")</f>
        <v>NOS</v>
      </c>
      <c r="G93" s="374">
        <v>10</v>
      </c>
      <c r="H93" s="374">
        <f t="shared" si="2"/>
        <v>10</v>
      </c>
      <c r="I93" s="252">
        <f>IFERROR(IF($E93="Inventory",VLOOKUP($C93,Inventory!$B:$I,8,FALSE()),IF($E93="Non Inventory",VLOOKUP($C93,'Non Inventory'!$B:$I,8,FALSE()),IF($E93="Services",VLOOKUP($C93,Services!$B:$I,8,FALSE()),IF($E93="Patty Cash",VLOOKUP($C93,'Patty Cash'!$B:$J,8,FALSE()),0)))),0)</f>
        <v>2500</v>
      </c>
      <c r="J93" s="252">
        <f t="shared" si="3"/>
        <v>25000</v>
      </c>
      <c r="K93" s="253" t="s">
        <v>1419</v>
      </c>
      <c r="L93" s="253" t="s">
        <v>1207</v>
      </c>
      <c r="M93" s="253" t="s">
        <v>1266</v>
      </c>
      <c r="N93" s="328" t="s">
        <v>1641</v>
      </c>
    </row>
    <row r="94" spans="1:14" ht="20.100000000000001" customHeight="1">
      <c r="A94" s="327">
        <f>IF(AND($B94="",$C94=""),"",MAX($A$3:A93)+1)</f>
        <v>91</v>
      </c>
      <c r="B94" s="262">
        <v>46167</v>
      </c>
      <c r="C94" s="253">
        <v>16796</v>
      </c>
      <c r="D94" s="249" t="str">
        <f>IFERROR(IF($E94="Inventory",VLOOKUP($C94,Inventory!$B:$I,2,FALSE()),IF($E94="Non Inventory",VLOOKUP($C94,'Non Inventory'!$B:$I,2,FALSE()),IF($E94="Services",VLOOKUP($C94,Services!$B:$I,2,FALSE()),IF($E94="Patty Cash",VLOOKUP($C94,'Patty Cash'!$B:$J,2,FALSE()),"")))),"")</f>
        <v>Cartridge Heater Horizontal  220 Valt, 750 Watt Size 10mm x 215mm (Sama Machine Clipsal)</v>
      </c>
      <c r="E94" s="254" t="s">
        <v>6</v>
      </c>
      <c r="F94" s="263" t="str">
        <f>IFERROR(IF($E94="Inventory",VLOOKUP($C94,Inventory!$B:$I,3,FALSE()),IF($E94="Non Inventory",VLOOKUP($C94,'Non Inventory'!$B:$I,3,FALSE()),IF($E94="Services",VLOOKUP($C94,Services!$B:$I,3,FALSE()),IF($E94="Patty Cash",VLOOKUP($C94,'Patty Cash'!$B:$J,3,FALSE()),"")))),"")</f>
        <v>NOS</v>
      </c>
      <c r="G94" s="374">
        <v>10</v>
      </c>
      <c r="H94" s="374">
        <f t="shared" si="2"/>
        <v>10</v>
      </c>
      <c r="I94" s="252">
        <f>IFERROR(IF($E94="Inventory",VLOOKUP($C94,Inventory!$B:$I,8,FALSE()),IF($E94="Non Inventory",VLOOKUP($C94,'Non Inventory'!$B:$I,8,FALSE()),IF($E94="Services",VLOOKUP($C94,Services!$B:$I,8,FALSE()),IF($E94="Patty Cash",VLOOKUP($C94,'Patty Cash'!$B:$J,8,FALSE()),0)))),0)</f>
        <v>1700</v>
      </c>
      <c r="J94" s="252">
        <f t="shared" si="3"/>
        <v>17000</v>
      </c>
      <c r="K94" s="253" t="s">
        <v>1419</v>
      </c>
      <c r="L94" s="253" t="s">
        <v>1207</v>
      </c>
      <c r="M94" s="253" t="s">
        <v>1266</v>
      </c>
      <c r="N94" s="328" t="s">
        <v>1641</v>
      </c>
    </row>
    <row r="95" spans="1:14" ht="20.100000000000001" customHeight="1">
      <c r="A95" s="327">
        <f>IF(AND($B95="",$C95=""),"",MAX($A$3:A94)+1)</f>
        <v>92</v>
      </c>
      <c r="B95" s="262">
        <v>46167</v>
      </c>
      <c r="C95" s="253">
        <v>14863</v>
      </c>
      <c r="D95" s="249" t="str">
        <f>IFERROR(IF($E95="Inventory",VLOOKUP($C95,Inventory!$B:$I,2,FALSE()),IF($E95="Non Inventory",VLOOKUP($C95,'Non Inventory'!$B:$I,2,FALSE()),IF($E95="Services",VLOOKUP($C95,Services!$B:$I,2,FALSE()),IF($E95="Patty Cash",VLOOKUP($C95,'Patty Cash'!$B:$J,2,FALSE()),"")))),"")</f>
        <v>Vibretor Motor Sama Packing Machine</v>
      </c>
      <c r="E95" s="254" t="s">
        <v>7</v>
      </c>
      <c r="F95" s="263" t="str">
        <f>IFERROR(IF($E95="Inventory",VLOOKUP($C95,Inventory!$B:$I,3,FALSE()),IF($E95="Non Inventory",VLOOKUP($C95,'Non Inventory'!$B:$I,3,FALSE()),IF($E95="Services",VLOOKUP($C95,Services!$B:$I,3,FALSE()),IF($E95="Patty Cash",VLOOKUP($C95,'Patty Cash'!$B:$J,3,FALSE()),"")))),"")</f>
        <v>NOS</v>
      </c>
      <c r="G95" s="374">
        <v>10</v>
      </c>
      <c r="H95" s="374">
        <f t="shared" si="2"/>
        <v>10</v>
      </c>
      <c r="I95" s="252">
        <f>IFERROR(IF($E95="Inventory",VLOOKUP($C95,Inventory!$B:$I,8,FALSE()),IF($E95="Non Inventory",VLOOKUP($C95,'Non Inventory'!$B:$I,8,FALSE()),IF($E95="Services",VLOOKUP($C95,Services!$B:$I,8,FALSE()),IF($E95="Patty Cash",VLOOKUP($C95,'Patty Cash'!$B:$J,8,FALSE()),0)))),0)</f>
        <v>6800</v>
      </c>
      <c r="J95" s="252">
        <f t="shared" si="3"/>
        <v>68000</v>
      </c>
      <c r="K95" s="253" t="s">
        <v>1422</v>
      </c>
      <c r="L95" s="253" t="s">
        <v>1196</v>
      </c>
      <c r="M95" s="253" t="s">
        <v>1266</v>
      </c>
      <c r="N95" s="328" t="s">
        <v>1641</v>
      </c>
    </row>
    <row r="96" spans="1:14" ht="20.100000000000001" customHeight="1">
      <c r="A96" s="327">
        <f>IF(AND($B96="",$C96=""),"",MAX($A$3:A95)+1)</f>
        <v>93</v>
      </c>
      <c r="B96" s="262">
        <v>46166</v>
      </c>
      <c r="C96" s="253">
        <v>98370</v>
      </c>
      <c r="D96" s="249" t="str">
        <f>IFERROR(IF($E96="Inventory",VLOOKUP($C96,Inventory!$B:$I,2,FALSE()),IF($E96="Non Inventory",VLOOKUP($C96,'Non Inventory'!$B:$I,2,FALSE()),IF($E96="Services",VLOOKUP($C96,Services!$B:$I,2,FALSE()),IF($E96="Patty Cash",VLOOKUP($C96,'Patty Cash'!$B:$J,2,FALSE()),"")))),"")</f>
        <v>Folder Tape</v>
      </c>
      <c r="E96" s="254" t="s">
        <v>7</v>
      </c>
      <c r="F96" s="263" t="str">
        <f>IFERROR(IF($E96="Inventory",VLOOKUP($C96,Inventory!$B:$I,3,FALSE()),IF($E96="Non Inventory",VLOOKUP($C96,'Non Inventory'!$B:$I,3,FALSE()),IF($E96="Services",VLOOKUP($C96,Services!$B:$I,3,FALSE()),IF($E96="Patty Cash",VLOOKUP($C96,'Patty Cash'!$B:$J,3,FALSE()),"")))),"")</f>
        <v>NOS</v>
      </c>
      <c r="G96" s="374">
        <v>500</v>
      </c>
      <c r="H96" s="374">
        <f t="shared" si="2"/>
        <v>500</v>
      </c>
      <c r="I96" s="252">
        <f>IFERROR(IF($E96="Inventory",VLOOKUP($C96,Inventory!$B:$I,8,FALSE()),IF($E96="Non Inventory",VLOOKUP($C96,'Non Inventory'!$B:$I,8,FALSE()),IF($E96="Services",VLOOKUP($C96,Services!$B:$I,8,FALSE()),IF($E96="Patty Cash",VLOOKUP($C96,'Patty Cash'!$B:$J,8,FALSE()),0)))),0)</f>
        <v>128</v>
      </c>
      <c r="J96" s="252">
        <f t="shared" si="3"/>
        <v>64000</v>
      </c>
      <c r="K96" s="253" t="s">
        <v>1276</v>
      </c>
      <c r="L96" s="253" t="s">
        <v>1196</v>
      </c>
      <c r="M96" s="253" t="s">
        <v>1266</v>
      </c>
      <c r="N96" s="328" t="s">
        <v>1274</v>
      </c>
    </row>
    <row r="97" spans="1:14" ht="20.100000000000001" customHeight="1">
      <c r="A97" s="327">
        <f>IF(AND($B97="",$C97=""),"",MAX($A$3:A96)+1)</f>
        <v>94</v>
      </c>
      <c r="B97" s="262">
        <v>46174</v>
      </c>
      <c r="C97" s="253">
        <v>16516</v>
      </c>
      <c r="D97" s="249" t="str">
        <f>IFERROR(IF($E97="Inventory",VLOOKUP($C97,Inventory!$B:$I,2,FALSE()),IF($E97="Non Inventory",VLOOKUP($C97,'Non Inventory'!$B:$I,2,FALSE()),IF($E97="Services",VLOOKUP($C97,Services!$B:$I,2,FALSE()),IF($E97="Patty Cash",VLOOKUP($C97,'Patty Cash'!$B:$J,2,FALSE()),"")))),"")</f>
        <v>Lube Filter Lf3325</v>
      </c>
      <c r="E97" s="254" t="s">
        <v>7</v>
      </c>
      <c r="F97" s="263" t="str">
        <f>IFERROR(IF($E97="Inventory",VLOOKUP($C97,Inventory!$B:$I,3,FALSE()),IF($E97="Non Inventory",VLOOKUP($C97,'Non Inventory'!$B:$I,3,FALSE()),IF($E97="Services",VLOOKUP($C97,Services!$B:$I,3,FALSE()),IF($E97="Patty Cash",VLOOKUP($C97,'Patty Cash'!$B:$J,3,FALSE()),"")))),"")</f>
        <v>NOS</v>
      </c>
      <c r="G97" s="374">
        <v>5</v>
      </c>
      <c r="H97" s="374">
        <f t="shared" si="2"/>
        <v>5</v>
      </c>
      <c r="I97" s="252">
        <f>IFERROR(IF($E97="Inventory",VLOOKUP($C97,Inventory!$B:$I,8,FALSE()),IF($E97="Non Inventory",VLOOKUP($C97,'Non Inventory'!$B:$I,8,FALSE()),IF($E97="Services",VLOOKUP($C97,Services!$B:$I,8,FALSE()),IF($E97="Patty Cash",VLOOKUP($C97,'Patty Cash'!$B:$J,8,FALSE()),0)))),0)</f>
        <v>8714.0339999999997</v>
      </c>
      <c r="J97" s="252">
        <f t="shared" si="3"/>
        <v>43570.17</v>
      </c>
      <c r="K97" s="253" t="s">
        <v>1451</v>
      </c>
      <c r="L97" s="253" t="s">
        <v>1196</v>
      </c>
      <c r="M97" s="253" t="s">
        <v>1266</v>
      </c>
      <c r="N97" s="328" t="s">
        <v>1641</v>
      </c>
    </row>
    <row r="98" spans="1:14" ht="20.100000000000001" customHeight="1">
      <c r="A98" s="327">
        <f>IF(AND($B98="",$C98=""),"",MAX($A$3:A97)+1)</f>
        <v>95</v>
      </c>
      <c r="B98" s="262">
        <v>46174</v>
      </c>
      <c r="C98" s="253">
        <v>10830</v>
      </c>
      <c r="D98" s="249" t="str">
        <f>IFERROR(IF($E98="Inventory",VLOOKUP($C98,Inventory!$B:$I,2,FALSE()),IF($E98="Non Inventory",VLOOKUP($C98,'Non Inventory'!$B:$I,2,FALSE()),IF($E98="Services",VLOOKUP($C98,Services!$B:$I,2,FALSE()),IF($E98="Patty Cash",VLOOKUP($C98,'Patty Cash'!$B:$J,2,FALSE()),"")))),"")</f>
        <v>Lube Filter P/N# Lf777</v>
      </c>
      <c r="E98" s="254" t="s">
        <v>7</v>
      </c>
      <c r="F98" s="263" t="str">
        <f>IFERROR(IF($E98="Inventory",VLOOKUP($C98,Inventory!$B:$I,3,FALSE()),IF($E98="Non Inventory",VLOOKUP($C98,'Non Inventory'!$B:$I,3,FALSE()),IF($E98="Services",VLOOKUP($C98,Services!$B:$I,3,FALSE()),IF($E98="Patty Cash",VLOOKUP($C98,'Patty Cash'!$B:$J,3,FALSE()),"")))),"")</f>
        <v>NOS</v>
      </c>
      <c r="G98" s="374">
        <v>2</v>
      </c>
      <c r="H98" s="374">
        <f t="shared" si="2"/>
        <v>2</v>
      </c>
      <c r="I98" s="252">
        <f>IFERROR(IF($E98="Inventory",VLOOKUP($C98,Inventory!$B:$I,8,FALSE()),IF($E98="Non Inventory",VLOOKUP($C98,'Non Inventory'!$B:$I,8,FALSE()),IF($E98="Services",VLOOKUP($C98,Services!$B:$I,8,FALSE()),IF($E98="Patty Cash",VLOOKUP($C98,'Patty Cash'!$B:$J,8,FALSE()),0)))),0)</f>
        <v>9028.85</v>
      </c>
      <c r="J98" s="252">
        <f t="shared" si="3"/>
        <v>18057.7</v>
      </c>
      <c r="K98" s="253" t="s">
        <v>1451</v>
      </c>
      <c r="L98" s="253" t="s">
        <v>1196</v>
      </c>
      <c r="M98" s="253" t="s">
        <v>1266</v>
      </c>
      <c r="N98" s="328" t="s">
        <v>1641</v>
      </c>
    </row>
    <row r="99" spans="1:14" ht="20.100000000000001" customHeight="1">
      <c r="A99" s="327">
        <f>IF(AND($B99="",$C99=""),"",MAX($A$3:A98)+1)</f>
        <v>96</v>
      </c>
      <c r="B99" s="262">
        <v>46174</v>
      </c>
      <c r="C99" s="253">
        <v>10831</v>
      </c>
      <c r="D99" s="249" t="str">
        <f>IFERROR(IF($E99="Inventory",VLOOKUP($C99,Inventory!$B:$I,2,FALSE()),IF($E99="Non Inventory",VLOOKUP($C99,'Non Inventory'!$B:$I,2,FALSE()),IF($E99="Services",VLOOKUP($C99,Services!$B:$I,2,FALSE()),IF($E99="Patty Cash",VLOOKUP($C99,'Patty Cash'!$B:$J,2,FALSE()),"")))),"")</f>
        <v>Fuel Filter P/N # Fs19870 Replaced (Fs1006)</v>
      </c>
      <c r="E99" s="254" t="s">
        <v>7</v>
      </c>
      <c r="F99" s="263" t="str">
        <f>IFERROR(IF($E99="Inventory",VLOOKUP($C99,Inventory!$B:$I,3,FALSE()),IF($E99="Non Inventory",VLOOKUP($C99,'Non Inventory'!$B:$I,3,FALSE()),IF($E99="Services",VLOOKUP($C99,Services!$B:$I,3,FALSE()),IF($E99="Patty Cash",VLOOKUP($C99,'Patty Cash'!$B:$J,3,FALSE()),"")))),"")</f>
        <v>NOS</v>
      </c>
      <c r="G99" s="374">
        <v>2</v>
      </c>
      <c r="H99" s="374">
        <f t="shared" si="2"/>
        <v>2</v>
      </c>
      <c r="I99" s="252">
        <f>IFERROR(IF($E99="Inventory",VLOOKUP($C99,Inventory!$B:$I,8,FALSE()),IF($E99="Non Inventory",VLOOKUP($C99,'Non Inventory'!$B:$I,8,FALSE()),IF($E99="Services",VLOOKUP($C99,Services!$B:$I,8,FALSE()),IF($E99="Patty Cash",VLOOKUP($C99,'Patty Cash'!$B:$J,8,FALSE()),0)))),0)</f>
        <v>23739.17</v>
      </c>
      <c r="J99" s="252">
        <f t="shared" si="3"/>
        <v>47478.34</v>
      </c>
      <c r="K99" s="253" t="s">
        <v>1451</v>
      </c>
      <c r="L99" s="253" t="s">
        <v>1196</v>
      </c>
      <c r="M99" s="253" t="s">
        <v>1266</v>
      </c>
      <c r="N99" s="328" t="s">
        <v>1641</v>
      </c>
    </row>
    <row r="100" spans="1:14" ht="20.100000000000001" customHeight="1">
      <c r="A100" s="327">
        <f>IF(AND($B100="",$C100=""),"",MAX($A$3:A99)+1)</f>
        <v>97</v>
      </c>
      <c r="B100" s="262">
        <v>46174</v>
      </c>
      <c r="C100" s="253">
        <v>10832</v>
      </c>
      <c r="D100" s="249" t="str">
        <f>IFERROR(IF($E100="Inventory",VLOOKUP($C100,Inventory!$B:$I,2,FALSE()),IF($E100="Non Inventory",VLOOKUP($C100,'Non Inventory'!$B:$I,2,FALSE()),IF($E100="Services",VLOOKUP($C100,Services!$B:$I,2,FALSE()),IF($E100="Patty Cash",VLOOKUP($C100,'Patty Cash'!$B:$J,2,FALSE()),"")))),"")</f>
        <v>Water Filter P/N # Wf2076</v>
      </c>
      <c r="E100" s="254" t="s">
        <v>7</v>
      </c>
      <c r="F100" s="263" t="str">
        <f>IFERROR(IF($E100="Inventory",VLOOKUP($C100,Inventory!$B:$I,3,FALSE()),IF($E100="Non Inventory",VLOOKUP($C100,'Non Inventory'!$B:$I,3,FALSE()),IF($E100="Services",VLOOKUP($C100,Services!$B:$I,3,FALSE()),IF($E100="Patty Cash",VLOOKUP($C100,'Patty Cash'!$B:$J,3,FALSE()),"")))),"")</f>
        <v>NOS</v>
      </c>
      <c r="G100" s="374">
        <v>2</v>
      </c>
      <c r="H100" s="374">
        <f t="shared" si="2"/>
        <v>2</v>
      </c>
      <c r="I100" s="252">
        <f>IFERROR(IF($E100="Inventory",VLOOKUP($C100,Inventory!$B:$I,8,FALSE()),IF($E100="Non Inventory",VLOOKUP($C100,'Non Inventory'!$B:$I,8,FALSE()),IF($E100="Services",VLOOKUP($C100,Services!$B:$I,8,FALSE()),IF($E100="Patty Cash",VLOOKUP($C100,'Patty Cash'!$B:$J,8,FALSE()),0)))),0)</f>
        <v>7242.96</v>
      </c>
      <c r="J100" s="252">
        <f t="shared" si="3"/>
        <v>14485.92</v>
      </c>
      <c r="K100" s="253" t="s">
        <v>1451</v>
      </c>
      <c r="L100" s="253" t="s">
        <v>1196</v>
      </c>
      <c r="M100" s="253" t="s">
        <v>1266</v>
      </c>
      <c r="N100" s="328" t="s">
        <v>1641</v>
      </c>
    </row>
    <row r="101" spans="1:14" ht="20.100000000000001" customHeight="1">
      <c r="A101" s="327">
        <f>IF(AND($B101="",$C101=""),"",MAX($A$3:A100)+1)</f>
        <v>98</v>
      </c>
      <c r="B101" s="262">
        <v>46174</v>
      </c>
      <c r="C101" s="253">
        <v>10833</v>
      </c>
      <c r="D101" s="249" t="str">
        <f>IFERROR(IF($E101="Inventory",VLOOKUP($C101,Inventory!$B:$I,2,FALSE()),IF($E101="Non Inventory",VLOOKUP($C101,'Non Inventory'!$B:$I,2,FALSE()),IF($E101="Services",VLOOKUP($C101,Services!$B:$I,2,FALSE()),IF($E101="Patty Cash",VLOOKUP($C101,'Patty Cash'!$B:$J,2,FALSE()),"")))),"")</f>
        <v>Air Filter P/N # Af25278</v>
      </c>
      <c r="E101" s="254" t="s">
        <v>7</v>
      </c>
      <c r="F101" s="263" t="str">
        <f>IFERROR(IF($E101="Inventory",VLOOKUP($C101,Inventory!$B:$I,3,FALSE()),IF($E101="Non Inventory",VLOOKUP($C101,'Non Inventory'!$B:$I,3,FALSE()),IF($E101="Services",VLOOKUP($C101,Services!$B:$I,3,FALSE()),IF($E101="Patty Cash",VLOOKUP($C101,'Patty Cash'!$B:$J,3,FALSE()),"")))),"")</f>
        <v>NOS</v>
      </c>
      <c r="G101" s="374">
        <v>2</v>
      </c>
      <c r="H101" s="374">
        <f t="shared" si="2"/>
        <v>2</v>
      </c>
      <c r="I101" s="252">
        <f>IFERROR(IF($E101="Inventory",VLOOKUP($C101,Inventory!$B:$I,8,FALSE()),IF($E101="Non Inventory",VLOOKUP($C101,'Non Inventory'!$B:$I,8,FALSE()),IF($E101="Services",VLOOKUP($C101,Services!$B:$I,8,FALSE()),IF($E101="Patty Cash",VLOOKUP($C101,'Patty Cash'!$B:$J,8,FALSE()),0)))),0)</f>
        <v>38742.99</v>
      </c>
      <c r="J101" s="252">
        <f t="shared" si="3"/>
        <v>77485.98</v>
      </c>
      <c r="K101" s="253" t="s">
        <v>1451</v>
      </c>
      <c r="L101" s="253" t="s">
        <v>1196</v>
      </c>
      <c r="M101" s="253" t="s">
        <v>1266</v>
      </c>
      <c r="N101" s="328" t="s">
        <v>1641</v>
      </c>
    </row>
    <row r="102" spans="1:14" ht="20.100000000000001" customHeight="1">
      <c r="A102" s="327">
        <f>IF(AND($B102="",$C102=""),"",MAX($A$3:A101)+1)</f>
        <v>99</v>
      </c>
      <c r="B102" s="262">
        <v>46174</v>
      </c>
      <c r="C102" s="253">
        <v>23649</v>
      </c>
      <c r="D102" s="249" t="str">
        <f>IFERROR(IF($E102="Inventory",VLOOKUP($C102,Inventory!$B:$I,2,FALSE()),IF($E102="Non Inventory",VLOOKUP($C102,'Non Inventory'!$B:$I,2,FALSE()),IF($E102="Services",VLOOKUP($C102,Services!$B:$I,2,FALSE()),IF($E102="Patty Cash",VLOOKUP($C102,'Patty Cash'!$B:$J,2,FALSE()),"")))),"")</f>
        <v>Premium Blue Oil 7800 Api Ci-4sl (208 L
Drum)(Cummins Diesel Generator Model # Kta-
50)</v>
      </c>
      <c r="E102" s="254" t="s">
        <v>7</v>
      </c>
      <c r="F102" s="263" t="str">
        <f>IFERROR(IF($E102="Inventory",VLOOKUP($C102,Inventory!$B:$I,3,FALSE()),IF($E102="Non Inventory",VLOOKUP($C102,'Non Inventory'!$B:$I,3,FALSE()),IF($E102="Services",VLOOKUP($C102,Services!$B:$I,3,FALSE()),IF($E102="Patty Cash",VLOOKUP($C102,'Patty Cash'!$B:$J,3,FALSE()),"")))),"")</f>
        <v>NOS</v>
      </c>
      <c r="G102" s="374">
        <v>1</v>
      </c>
      <c r="H102" s="374">
        <f t="shared" si="2"/>
        <v>1</v>
      </c>
      <c r="I102" s="252">
        <f>IFERROR(IF($E102="Inventory",VLOOKUP($C102,Inventory!$B:$I,8,FALSE()),IF($E102="Non Inventory",VLOOKUP($C102,'Non Inventory'!$B:$I,8,FALSE()),IF($E102="Services",VLOOKUP($C102,Services!$B:$I,8,FALSE()),IF($E102="Patty Cash",VLOOKUP($C102,'Patty Cash'!$B:$J,8,FALSE()),0)))),0)</f>
        <v>237182.7</v>
      </c>
      <c r="J102" s="252">
        <f t="shared" si="3"/>
        <v>237182.7</v>
      </c>
      <c r="K102" s="253" t="s">
        <v>1451</v>
      </c>
      <c r="L102" s="253" t="s">
        <v>1196</v>
      </c>
      <c r="M102" s="253" t="s">
        <v>1266</v>
      </c>
      <c r="N102" s="328" t="s">
        <v>1641</v>
      </c>
    </row>
    <row r="103" spans="1:14" ht="23.1" customHeight="1">
      <c r="A103" s="327">
        <f>IF(AND($B103="",$C103=""),"",MAX($A$3:A102)+1)</f>
        <v>100</v>
      </c>
      <c r="B103" s="262">
        <v>46144</v>
      </c>
      <c r="C103" s="253" t="s">
        <v>1331</v>
      </c>
      <c r="D103" s="249" t="str">
        <f>IFERROR(IF($E103="Inventory",VLOOKUP($C103,Inventory!$B:$I,2,FALSE()),IF($E103="Non Inventory",VLOOKUP($C103,'Non Inventory'!$B:$I,2,FALSE()),IF($E103="Services",VLOOKUP($C103,Services!$B:$I,2,FALSE()),IF($E103="Patty Cash",VLOOKUP($C103,'Patty Cash'!$B:$J,2,FALSE()),"")))),"")</f>
        <v>S.S Hex Nut,Bolt,Washir 12X75mm (8pcs)</v>
      </c>
      <c r="E103" s="254" t="s">
        <v>1327</v>
      </c>
      <c r="F103" s="263" t="str">
        <f>IFERROR(IF($E103="Inventory",VLOOKUP($C103,Inventory!$B:$I,3,FALSE()),IF($E103="Non Inventory",VLOOKUP($C103,'Non Inventory'!$B:$I,3,FALSE()),IF($E103="Services",VLOOKUP($C103,Services!$B:$I,3,FALSE()),IF($E103="Patty Cash",VLOOKUP($C103,'Patty Cash'!$B:$J,3,FALSE()),"")))),"")</f>
        <v>PCS</v>
      </c>
      <c r="G103" s="374">
        <v>8</v>
      </c>
      <c r="H103" s="374">
        <f t="shared" si="2"/>
        <v>8</v>
      </c>
      <c r="I103" s="252">
        <f>IFERROR(IF($E103="Inventory",VLOOKUP($C103,Inventory!$B:$I,8,FALSE()),IF($E103="Non Inventory",VLOOKUP($C103,'Non Inventory'!$B:$I,8,FALSE()),IF($E103="Services",VLOOKUP($C103,Services!$B:$I,8,FALSE()),IF($E103="Patty Cash",VLOOKUP($C103,'Patty Cash'!$B:$J,8,FALSE()),0)))),0)</f>
        <v>170</v>
      </c>
      <c r="J103" s="252">
        <f t="shared" si="3"/>
        <v>1360</v>
      </c>
      <c r="K103" s="253" t="s">
        <v>1516</v>
      </c>
      <c r="L103" s="253" t="s">
        <v>1196</v>
      </c>
      <c r="M103" s="253" t="s">
        <v>1323</v>
      </c>
      <c r="N103" s="328" t="s">
        <v>1529</v>
      </c>
    </row>
    <row r="104" spans="1:14" ht="23.1" customHeight="1">
      <c r="A104" s="327">
        <f>IF(AND($B104="",$C104=""),"",MAX($A$3:A103)+1)</f>
        <v>101</v>
      </c>
      <c r="B104" s="262">
        <v>46144</v>
      </c>
      <c r="C104" s="253" t="s">
        <v>1343</v>
      </c>
      <c r="D104" s="249" t="str">
        <f>IFERROR(IF($E104="Inventory",VLOOKUP($C104,Inventory!$B:$I,2,FALSE()),IF($E104="Non Inventory",VLOOKUP($C104,'Non Inventory'!$B:$I,2,FALSE()),IF($E104="Services",VLOOKUP($C104,Services!$B:$I,2,FALSE()),IF($E104="Patty Cash",VLOOKUP($C104,'Patty Cash'!$B:$J,2,FALSE()),"")))),"")</f>
        <v>Oxygen Gas Cylinder Refill (1pc)</v>
      </c>
      <c r="E104" s="254" t="s">
        <v>1327</v>
      </c>
      <c r="F104" s="263" t="str">
        <f>IFERROR(IF($E104="Inventory",VLOOKUP($C104,Inventory!$B:$I,3,FALSE()),IF($E104="Non Inventory",VLOOKUP($C104,'Non Inventory'!$B:$I,3,FALSE()),IF($E104="Services",VLOOKUP($C104,Services!$B:$I,3,FALSE()),IF($E104="Patty Cash",VLOOKUP($C104,'Patty Cash'!$B:$J,3,FALSE()),"")))),"")</f>
        <v>PCS</v>
      </c>
      <c r="G104" s="374">
        <v>0.72</v>
      </c>
      <c r="H104" s="374">
        <f t="shared" si="2"/>
        <v>0.72</v>
      </c>
      <c r="I104" s="252">
        <f>IFERROR(IF($E104="Inventory",VLOOKUP($C104,Inventory!$B:$I,8,FALSE()),IF($E104="Non Inventory",VLOOKUP($C104,'Non Inventory'!$B:$I,8,FALSE()),IF($E104="Services",VLOOKUP($C104,Services!$B:$I,8,FALSE()),IF($E104="Patty Cash",VLOOKUP($C104,'Patty Cash'!$B:$J,8,FALSE()),0)))),0)</f>
        <v>400</v>
      </c>
      <c r="J104" s="252">
        <v>300</v>
      </c>
      <c r="K104" s="253" t="s">
        <v>1517</v>
      </c>
      <c r="L104" s="253" t="s">
        <v>1196</v>
      </c>
      <c r="M104" s="253" t="s">
        <v>1323</v>
      </c>
      <c r="N104" s="328" t="s">
        <v>1529</v>
      </c>
    </row>
    <row r="105" spans="1:14" ht="20.100000000000001" customHeight="1">
      <c r="A105" s="327">
        <f>IF(AND($B105="",$C105=""),"",MAX($A$3:A104)+1)</f>
        <v>102</v>
      </c>
      <c r="B105" s="262">
        <v>46144</v>
      </c>
      <c r="C105" s="253" t="s">
        <v>1344</v>
      </c>
      <c r="D105" s="249" t="str">
        <f>IFERROR(IF($E105="Inventory",VLOOKUP($C105,Inventory!$B:$I,2,FALSE()),IF($E105="Non Inventory",VLOOKUP($C105,'Non Inventory'!$B:$I,2,FALSE()),IF($E105="Services",VLOOKUP($C105,Services!$B:$I,2,FALSE()),IF($E105="Patty Cash",VLOOKUP($C105,'Patty Cash'!$B:$J,2,FALSE()),"")))),"")</f>
        <v>Conveyance</v>
      </c>
      <c r="E105" s="254" t="s">
        <v>1327</v>
      </c>
      <c r="F105" s="263" t="str">
        <f>IFERROR(IF($E105="Inventory",VLOOKUP($C105,Inventory!$B:$I,3,FALSE()),IF($E105="Non Inventory",VLOOKUP($C105,'Non Inventory'!$B:$I,3,FALSE()),IF($E105="Services",VLOOKUP($C105,Services!$B:$I,3,FALSE()),IF($E105="Patty Cash",VLOOKUP($C105,'Patty Cash'!$B:$J,3,FALSE()),"")))),"")</f>
        <v>LTR</v>
      </c>
      <c r="G105" s="374">
        <v>0.72114999999999996</v>
      </c>
      <c r="H105" s="374">
        <f t="shared" si="2"/>
        <v>0.72114999999999996</v>
      </c>
      <c r="I105" s="252">
        <f>IFERROR(IF($E105="Inventory",VLOOKUP($C105,Inventory!$B:$I,8,FALSE()),IF($E105="Non Inventory",VLOOKUP($C105,'Non Inventory'!$B:$I,8,FALSE()),IF($E105="Services",VLOOKUP($C105,Services!$B:$I,8,FALSE()),IF($E105="Patty Cash",VLOOKUP($C105,'Patty Cash'!$B:$J,8,FALSE()),0)))),0)</f>
        <v>418</v>
      </c>
      <c r="J105" s="252">
        <f t="shared" si="3"/>
        <v>301.44069999999999</v>
      </c>
      <c r="K105" s="253" t="s">
        <v>1639</v>
      </c>
      <c r="L105" s="253" t="s">
        <v>1196</v>
      </c>
      <c r="M105" s="253" t="s">
        <v>1323</v>
      </c>
      <c r="N105" s="328" t="s">
        <v>1529</v>
      </c>
    </row>
    <row r="106" spans="1:14" ht="20.100000000000001" customHeight="1">
      <c r="A106" s="327">
        <f>IF(AND($B106="",$C106=""),"",MAX($A$3:A105)+1)</f>
        <v>103</v>
      </c>
      <c r="B106" s="262">
        <v>46144</v>
      </c>
      <c r="C106" s="253" t="s">
        <v>1345</v>
      </c>
      <c r="D106" s="249" t="str">
        <f>IFERROR(IF($E106="Inventory",VLOOKUP($C106,Inventory!$B:$I,2,FALSE()),IF($E106="Non Inventory",VLOOKUP($C106,'Non Inventory'!$B:$I,2,FALSE()),IF($E106="Services",VLOOKUP($C106,Services!$B:$I,2,FALSE()),IF($E106="Patty Cash",VLOOKUP($C106,'Patty Cash'!$B:$J,2,FALSE()),"")))),"")</f>
        <v>Brass Welding Rod (5pcs)</v>
      </c>
      <c r="E106" s="254" t="s">
        <v>1327</v>
      </c>
      <c r="F106" s="263" t="str">
        <f>IFERROR(IF($E106="Inventory",VLOOKUP($C106,Inventory!$B:$I,3,FALSE()),IF($E106="Non Inventory",VLOOKUP($C106,'Non Inventory'!$B:$I,3,FALSE()),IF($E106="Services",VLOOKUP($C106,Services!$B:$I,3,FALSE()),IF($E106="Patty Cash",VLOOKUP($C106,'Patty Cash'!$B:$J,3,FALSE()),"")))),"")</f>
        <v>PCS</v>
      </c>
      <c r="G106" s="374">
        <v>0.72</v>
      </c>
      <c r="H106" s="374">
        <f t="shared" si="2"/>
        <v>0.72</v>
      </c>
      <c r="I106" s="252">
        <f>IFERROR(IF($E106="Inventory",VLOOKUP($C106,Inventory!$B:$I,8,FALSE()),IF($E106="Non Inventory",VLOOKUP($C106,'Non Inventory'!$B:$I,8,FALSE()),IF($E106="Services",VLOOKUP($C106,Services!$B:$I,8,FALSE()),IF($E106="Patty Cash",VLOOKUP($C106,'Patty Cash'!$B:$J,8,FALSE()),0)))),0)</f>
        <v>80</v>
      </c>
      <c r="J106" s="252">
        <v>300</v>
      </c>
      <c r="K106" s="253" t="s">
        <v>1519</v>
      </c>
      <c r="L106" s="253" t="s">
        <v>1196</v>
      </c>
      <c r="M106" s="253" t="s">
        <v>1266</v>
      </c>
      <c r="N106" s="328" t="s">
        <v>1529</v>
      </c>
    </row>
    <row r="107" spans="1:14" ht="20.100000000000001" customHeight="1">
      <c r="A107" s="327">
        <f>IF(AND($B107="",$C107=""),"",MAX($A$3:A106)+1)</f>
        <v>104</v>
      </c>
      <c r="B107" s="262">
        <v>46144</v>
      </c>
      <c r="C107" s="253" t="s">
        <v>1346</v>
      </c>
      <c r="D107" s="249" t="str">
        <f>IFERROR(IF($E107="Inventory",VLOOKUP($C107,Inventory!$B:$I,2,FALSE()),IF($E107="Non Inventory",VLOOKUP($C107,'Non Inventory'!$B:$I,2,FALSE()),IF($E107="Services",VLOOKUP($C107,Services!$B:$I,2,FALSE()),IF($E107="Patty Cash",VLOOKUP($C107,'Patty Cash'!$B:$J,2,FALSE()),"")))),"")</f>
        <v>CTC for air Conditioner (3pcs)</v>
      </c>
      <c r="E107" s="254" t="s">
        <v>1327</v>
      </c>
      <c r="F107" s="263" t="str">
        <f>IFERROR(IF($E107="Inventory",VLOOKUP($C107,Inventory!$B:$I,3,FALSE()),IF($E107="Non Inventory",VLOOKUP($C107,'Non Inventory'!$B:$I,3,FALSE()),IF($E107="Services",VLOOKUP($C107,Services!$B:$I,3,FALSE()),IF($E107="Patty Cash",VLOOKUP($C107,'Patty Cash'!$B:$J,3,FALSE()),"")))),"")</f>
        <v>PCS</v>
      </c>
      <c r="G107" s="374">
        <v>5</v>
      </c>
      <c r="H107" s="374">
        <f t="shared" si="2"/>
        <v>5</v>
      </c>
      <c r="I107" s="252">
        <f>IFERROR(IF($E107="Inventory",VLOOKUP($C107,Inventory!$B:$I,8,FALSE()),IF($E107="Non Inventory",VLOOKUP($C107,'Non Inventory'!$B:$I,8,FALSE()),IF($E107="Services",VLOOKUP($C107,Services!$B:$I,8,FALSE()),IF($E107="Patty Cash",VLOOKUP($C107,'Patty Cash'!$B:$J,8,FALSE()),0)))),0)</f>
        <v>120</v>
      </c>
      <c r="J107" s="252">
        <f t="shared" si="3"/>
        <v>600</v>
      </c>
      <c r="K107" s="253" t="s">
        <v>1520</v>
      </c>
      <c r="L107" s="253" t="s">
        <v>1196</v>
      </c>
      <c r="M107" s="253" t="s">
        <v>1266</v>
      </c>
      <c r="N107" s="328" t="s">
        <v>1529</v>
      </c>
    </row>
    <row r="108" spans="1:14" ht="20.100000000000001" customHeight="1">
      <c r="A108" s="327">
        <f>IF(AND($B108="",$C108=""),"",MAX($A$3:A107)+1)</f>
        <v>105</v>
      </c>
      <c r="B108" s="262">
        <v>46144</v>
      </c>
      <c r="C108" s="253" t="s">
        <v>1347</v>
      </c>
      <c r="D108" s="249" t="str">
        <f>IFERROR(IF($E108="Inventory",VLOOKUP($C108,Inventory!$B:$I,2,FALSE()),IF($E108="Non Inventory",VLOOKUP($C108,'Non Inventory'!$B:$I,2,FALSE()),IF($E108="Services",VLOOKUP($C108,Services!$B:$I,2,FALSE()),IF($E108="Patty Cash",VLOOKUP($C108,'Patty Cash'!$B:$J,2,FALSE()),"")))),"")</f>
        <v>Air Conditioner Filter (1pc)</v>
      </c>
      <c r="E108" s="254" t="s">
        <v>1327</v>
      </c>
      <c r="F108" s="263" t="str">
        <f>IFERROR(IF($E108="Inventory",VLOOKUP($C108,Inventory!$B:$I,3,FALSE()),IF($E108="Non Inventory",VLOOKUP($C108,'Non Inventory'!$B:$I,3,FALSE()),IF($E108="Services",VLOOKUP($C108,Services!$B:$I,3,FALSE()),IF($E108="Patty Cash",VLOOKUP($C108,'Patty Cash'!$B:$J,3,FALSE()),"")))),"")</f>
        <v>PCS</v>
      </c>
      <c r="G108" s="374">
        <v>3</v>
      </c>
      <c r="H108" s="374">
        <f t="shared" si="2"/>
        <v>3</v>
      </c>
      <c r="I108" s="252">
        <f>IFERROR(IF($E108="Inventory",VLOOKUP($C108,Inventory!$B:$I,8,FALSE()),IF($E108="Non Inventory",VLOOKUP($C108,'Non Inventory'!$B:$I,8,FALSE()),IF($E108="Services",VLOOKUP($C108,Services!$B:$I,8,FALSE()),IF($E108="Patty Cash",VLOOKUP($C108,'Patty Cash'!$B:$J,8,FALSE()),0)))),0)</f>
        <v>250</v>
      </c>
      <c r="J108" s="252">
        <f t="shared" si="3"/>
        <v>750</v>
      </c>
      <c r="K108" s="253" t="s">
        <v>1520</v>
      </c>
      <c r="L108" s="253" t="s">
        <v>1207</v>
      </c>
      <c r="M108" s="253" t="s">
        <v>1266</v>
      </c>
      <c r="N108" s="328" t="s">
        <v>1529</v>
      </c>
    </row>
    <row r="109" spans="1:14" ht="20.100000000000001" customHeight="1">
      <c r="A109" s="327">
        <f>IF(AND($B109="",$C109=""),"",MAX($A$3:A108)+1)</f>
        <v>106</v>
      </c>
      <c r="B109" s="262">
        <v>46144</v>
      </c>
      <c r="C109" s="253" t="s">
        <v>1348</v>
      </c>
      <c r="D109" s="249" t="str">
        <f>IFERROR(IF($E109="Inventory",VLOOKUP($C109,Inventory!$B:$I,2,FALSE()),IF($E109="Non Inventory",VLOOKUP($C109,'Non Inventory'!$B:$I,2,FALSE()),IF($E109="Services",VLOOKUP($C109,Services!$B:$I,2,FALSE()),IF($E109="Patty Cash",VLOOKUP($C109,'Patty Cash'!$B:$J,2,FALSE()),"")))),"")</f>
        <v>Soldring Wire 50gms (1pc)</v>
      </c>
      <c r="E109" s="254" t="s">
        <v>1327</v>
      </c>
      <c r="F109" s="263" t="str">
        <f>IFERROR(IF($E109="Inventory",VLOOKUP($C109,Inventory!$B:$I,3,FALSE()),IF($E109="Non Inventory",VLOOKUP($C109,'Non Inventory'!$B:$I,3,FALSE()),IF($E109="Services",VLOOKUP($C109,Services!$B:$I,3,FALSE()),IF($E109="Patty Cash",VLOOKUP($C109,'Patty Cash'!$B:$J,3,FALSE()),"")))),"")</f>
        <v>PCS</v>
      </c>
      <c r="G109" s="374">
        <v>1</v>
      </c>
      <c r="H109" s="374">
        <f t="shared" si="2"/>
        <v>1</v>
      </c>
      <c r="I109" s="252">
        <f>IFERROR(IF($E109="Inventory",VLOOKUP($C109,Inventory!$B:$I,8,FALSE()),IF($E109="Non Inventory",VLOOKUP($C109,'Non Inventory'!$B:$I,8,FALSE()),IF($E109="Services",VLOOKUP($C109,Services!$B:$I,8,FALSE()),IF($E109="Patty Cash",VLOOKUP($C109,'Patty Cash'!$B:$J,8,FALSE()),0)))),0)</f>
        <v>305</v>
      </c>
      <c r="J109" s="252">
        <f t="shared" si="3"/>
        <v>305</v>
      </c>
      <c r="K109" s="253" t="s">
        <v>1520</v>
      </c>
      <c r="L109" s="253" t="s">
        <v>1207</v>
      </c>
      <c r="M109" s="253" t="s">
        <v>1266</v>
      </c>
      <c r="N109" s="328" t="s">
        <v>1529</v>
      </c>
    </row>
    <row r="110" spans="1:14" ht="20.100000000000001" customHeight="1">
      <c r="A110" s="327">
        <f>IF(AND($B110="",$C110=""),"",MAX($A$3:A109)+1)</f>
        <v>107</v>
      </c>
      <c r="B110" s="262">
        <v>46144</v>
      </c>
      <c r="C110" s="253" t="s">
        <v>1349</v>
      </c>
      <c r="D110" s="249" t="str">
        <f>IFERROR(IF($E110="Inventory",VLOOKUP($C110,Inventory!$B:$I,2,FALSE()),IF($E110="Non Inventory",VLOOKUP($C110,'Non Inventory'!$B:$I,2,FALSE()),IF($E110="Services",VLOOKUP($C110,Services!$B:$I,2,FALSE()),IF($E110="Patty Cash",VLOOKUP($C110,'Patty Cash'!$B:$J,2,FALSE()),"")))),"")</f>
        <v>Soldring Iron Bit 60watt (2pcs)</v>
      </c>
      <c r="E110" s="254" t="s">
        <v>1327</v>
      </c>
      <c r="F110" s="263" t="str">
        <f>IFERROR(IF($E110="Inventory",VLOOKUP($C110,Inventory!$B:$I,3,FALSE()),IF($E110="Non Inventory",VLOOKUP($C110,'Non Inventory'!$B:$I,3,FALSE()),IF($E110="Services",VLOOKUP($C110,Services!$B:$I,3,FALSE()),IF($E110="Patty Cash",VLOOKUP($C110,'Patty Cash'!$B:$J,3,FALSE()),"")))),"")</f>
        <v>PCS</v>
      </c>
      <c r="G110" s="374">
        <v>1</v>
      </c>
      <c r="H110" s="374">
        <f t="shared" si="2"/>
        <v>1</v>
      </c>
      <c r="I110" s="252">
        <f>IFERROR(IF($E110="Inventory",VLOOKUP($C110,Inventory!$B:$I,8,FALSE()),IF($E110="Non Inventory",VLOOKUP($C110,'Non Inventory'!$B:$I,8,FALSE()),IF($E110="Services",VLOOKUP($C110,Services!$B:$I,8,FALSE()),IF($E110="Patty Cash",VLOOKUP($C110,'Patty Cash'!$B:$J,8,FALSE()),0)))),0)</f>
        <v>150</v>
      </c>
      <c r="J110" s="252">
        <f t="shared" si="3"/>
        <v>150</v>
      </c>
      <c r="K110" s="253" t="s">
        <v>1521</v>
      </c>
      <c r="L110" s="253" t="s">
        <v>1207</v>
      </c>
      <c r="M110" s="253" t="s">
        <v>1266</v>
      </c>
      <c r="N110" s="328" t="s">
        <v>1529</v>
      </c>
    </row>
    <row r="111" spans="1:14" ht="20.100000000000001" customHeight="1">
      <c r="A111" s="327">
        <f>IF(AND($B111="",$C111=""),"",MAX($A$3:A110)+1)</f>
        <v>108</v>
      </c>
      <c r="B111" s="262">
        <v>46144</v>
      </c>
      <c r="C111" s="253" t="s">
        <v>1350</v>
      </c>
      <c r="D111" s="249" t="str">
        <f>IFERROR(IF($E111="Inventory",VLOOKUP($C111,Inventory!$B:$I,2,FALSE()),IF($E111="Non Inventory",VLOOKUP($C111,'Non Inventory'!$B:$I,2,FALSE()),IF($E111="Services",VLOOKUP($C111,Services!$B:$I,2,FALSE()),IF($E111="Patty Cash",VLOOKUP($C111,'Patty Cash'!$B:$J,2,FALSE()),"")))),"")</f>
        <v>Epoxy Resin Set (1set)</v>
      </c>
      <c r="E111" s="254" t="s">
        <v>1327</v>
      </c>
      <c r="F111" s="263" t="str">
        <f>IFERROR(IF($E111="Inventory",VLOOKUP($C111,Inventory!$B:$I,3,FALSE()),IF($E111="Non Inventory",VLOOKUP($C111,'Non Inventory'!$B:$I,3,FALSE()),IF($E111="Services",VLOOKUP($C111,Services!$B:$I,3,FALSE()),IF($E111="Patty Cash",VLOOKUP($C111,'Patty Cash'!$B:$J,3,FALSE()),"")))),"")</f>
        <v>SET</v>
      </c>
      <c r="G111" s="374">
        <v>2</v>
      </c>
      <c r="H111" s="374">
        <f t="shared" si="2"/>
        <v>2</v>
      </c>
      <c r="I111" s="252">
        <f>IFERROR(IF($E111="Inventory",VLOOKUP($C111,Inventory!$B:$I,8,FALSE()),IF($E111="Non Inventory",VLOOKUP($C111,'Non Inventory'!$B:$I,8,FALSE()),IF($E111="Services",VLOOKUP($C111,Services!$B:$I,8,FALSE()),IF($E111="Patty Cash",VLOOKUP($C111,'Patty Cash'!$B:$J,8,FALSE()),0)))),0)</f>
        <v>500</v>
      </c>
      <c r="J111" s="252">
        <f t="shared" si="3"/>
        <v>1000</v>
      </c>
      <c r="K111" s="253" t="s">
        <v>1521</v>
      </c>
      <c r="L111" s="253" t="s">
        <v>1207</v>
      </c>
      <c r="M111" s="253" t="s">
        <v>1266</v>
      </c>
      <c r="N111" s="328" t="s">
        <v>1529</v>
      </c>
    </row>
    <row r="112" spans="1:14" ht="20.100000000000001" customHeight="1">
      <c r="A112" s="327">
        <f>IF(AND($B112="",$C112=""),"",MAX($A$3:A111)+1)</f>
        <v>109</v>
      </c>
      <c r="B112" s="262">
        <v>46147</v>
      </c>
      <c r="C112" s="253" t="s">
        <v>1351</v>
      </c>
      <c r="D112" s="249" t="str">
        <f>IFERROR(IF($E112="Inventory",VLOOKUP($C112,Inventory!$B:$I,2,FALSE()),IF($E112="Non Inventory",VLOOKUP($C112,'Non Inventory'!$B:$I,2,FALSE()),IF($E112="Services",VLOOKUP($C112,Services!$B:$I,2,FALSE()),IF($E112="Patty Cash",VLOOKUP($C112,'Patty Cash'!$B:$J,2,FALSE()),"")))),"")</f>
        <v>Oxygen Gas Cylinder Refill (1pc)</v>
      </c>
      <c r="E112" s="254" t="s">
        <v>1327</v>
      </c>
      <c r="F112" s="263" t="str">
        <f>IFERROR(IF($E112="Inventory",VLOOKUP($C112,Inventory!$B:$I,3,FALSE()),IF($E112="Non Inventory",VLOOKUP($C112,'Non Inventory'!$B:$I,3,FALSE()),IF($E112="Services",VLOOKUP($C112,Services!$B:$I,3,FALSE()),IF($E112="Patty Cash",VLOOKUP($C112,'Patty Cash'!$B:$J,3,FALSE()),"")))),"")</f>
        <v>PCS</v>
      </c>
      <c r="G112" s="374">
        <v>1</v>
      </c>
      <c r="H112" s="374">
        <f t="shared" si="2"/>
        <v>1</v>
      </c>
      <c r="I112" s="252">
        <f>IFERROR(IF($E112="Inventory",VLOOKUP($C112,Inventory!$B:$I,8,FALSE()),IF($E112="Non Inventory",VLOOKUP($C112,'Non Inventory'!$B:$I,8,FALSE()),IF($E112="Services",VLOOKUP($C112,Services!$B:$I,8,FALSE()),IF($E112="Patty Cash",VLOOKUP($C112,'Patty Cash'!$B:$J,8,FALSE()),0)))),0)</f>
        <v>400</v>
      </c>
      <c r="J112" s="252">
        <f t="shared" si="3"/>
        <v>400</v>
      </c>
      <c r="K112" s="253" t="s">
        <v>1522</v>
      </c>
      <c r="L112" s="253" t="s">
        <v>1196</v>
      </c>
      <c r="M112" s="253" t="s">
        <v>1266</v>
      </c>
      <c r="N112" s="328" t="s">
        <v>1529</v>
      </c>
    </row>
    <row r="113" spans="1:14" ht="20.100000000000001" customHeight="1">
      <c r="A113" s="327">
        <f>IF(AND($B113="",$C113=""),"",MAX($A$3:A112)+1)</f>
        <v>110</v>
      </c>
      <c r="B113" s="262">
        <v>46148</v>
      </c>
      <c r="C113" s="253" t="s">
        <v>1352</v>
      </c>
      <c r="D113" s="249" t="str">
        <f>IFERROR(IF($E113="Inventory",VLOOKUP($C113,Inventory!$B:$I,2,FALSE()),IF($E113="Non Inventory",VLOOKUP($C113,'Non Inventory'!$B:$I,2,FALSE()),IF($E113="Services",VLOOKUP($C113,Services!$B:$I,2,FALSE()),IF($E113="Patty Cash",VLOOKUP($C113,'Patty Cash'!$B:$J,2,FALSE()),"")))),"")</f>
        <v>MS Hex nut bolts 18X100mm (2pcs)</v>
      </c>
      <c r="E113" s="254" t="s">
        <v>1327</v>
      </c>
      <c r="F113" s="263" t="str">
        <f>IFERROR(IF($E113="Inventory",VLOOKUP($C113,Inventory!$B:$I,3,FALSE()),IF($E113="Non Inventory",VLOOKUP($C113,'Non Inventory'!$B:$I,3,FALSE()),IF($E113="Services",VLOOKUP($C113,Services!$B:$I,3,FALSE()),IF($E113="Patty Cash",VLOOKUP($C113,'Patty Cash'!$B:$J,3,FALSE()),"")))),"")</f>
        <v>PCS</v>
      </c>
      <c r="G113" s="374">
        <v>1</v>
      </c>
      <c r="H113" s="374">
        <f t="shared" si="2"/>
        <v>1</v>
      </c>
      <c r="I113" s="252">
        <f>IFERROR(IF($E113="Inventory",VLOOKUP($C113,Inventory!$B:$I,8,FALSE()),IF($E113="Non Inventory",VLOOKUP($C113,'Non Inventory'!$B:$I,8,FALSE()),IF($E113="Services",VLOOKUP($C113,Services!$B:$I,8,FALSE()),IF($E113="Patty Cash",VLOOKUP($C113,'Patty Cash'!$B:$J,8,FALSE()),0)))),0)</f>
        <v>310</v>
      </c>
      <c r="J113" s="252">
        <f t="shared" si="3"/>
        <v>310</v>
      </c>
      <c r="K113" s="253" t="s">
        <v>1518</v>
      </c>
      <c r="L113" s="253" t="s">
        <v>1196</v>
      </c>
      <c r="M113" s="253" t="s">
        <v>1266</v>
      </c>
      <c r="N113" s="328" t="s">
        <v>1529</v>
      </c>
    </row>
    <row r="114" spans="1:14" ht="20.100000000000001" customHeight="1">
      <c r="A114" s="327">
        <f>IF(AND($B114="",$C114=""),"",MAX($A$3:A113)+1)</f>
        <v>111</v>
      </c>
      <c r="B114" s="262">
        <v>46148</v>
      </c>
      <c r="C114" s="253" t="s">
        <v>1426</v>
      </c>
      <c r="D114" s="249" t="str">
        <f>IFERROR(IF($E114="Inventory",VLOOKUP($C114,Inventory!$B:$I,2,FALSE()),IF($E114="Non Inventory",VLOOKUP($C114,'Non Inventory'!$B:$I,2,FALSE()),IF($E114="Services",VLOOKUP($C114,Services!$B:$I,2,FALSE()),IF($E114="Patty Cash",VLOOKUP($C114,'Patty Cash'!$B:$J,2,FALSE()),"")))),"")</f>
        <v>Air Conditioner Capillary 0.80 (1pc)</v>
      </c>
      <c r="E114" s="254" t="s">
        <v>1327</v>
      </c>
      <c r="F114" s="263" t="str">
        <f>IFERROR(IF($E114="Inventory",VLOOKUP($C114,Inventory!$B:$I,3,FALSE()),IF($E114="Non Inventory",VLOOKUP($C114,'Non Inventory'!$B:$I,3,FALSE()),IF($E114="Services",VLOOKUP($C114,Services!$B:$I,3,FALSE()),IF($E114="Patty Cash",VLOOKUP($C114,'Patty Cash'!$B:$J,3,FALSE()),"")))),"")</f>
        <v>PCS</v>
      </c>
      <c r="G114" s="374">
        <v>2</v>
      </c>
      <c r="H114" s="374">
        <f t="shared" si="2"/>
        <v>2</v>
      </c>
      <c r="I114" s="252">
        <f>IFERROR(IF($E114="Inventory",VLOOKUP($C114,Inventory!$B:$I,8,FALSE()),IF($E114="Non Inventory",VLOOKUP($C114,'Non Inventory'!$B:$I,8,FALSE()),IF($E114="Services",VLOOKUP($C114,Services!$B:$I,8,FALSE()),IF($E114="Patty Cash",VLOOKUP($C114,'Patty Cash'!$B:$J,8,FALSE()),0)))),0)</f>
        <v>200</v>
      </c>
      <c r="J114" s="252">
        <f t="shared" si="3"/>
        <v>400</v>
      </c>
      <c r="K114" s="253" t="s">
        <v>1523</v>
      </c>
      <c r="L114" s="253" t="s">
        <v>1196</v>
      </c>
      <c r="M114" s="253" t="s">
        <v>1323</v>
      </c>
      <c r="N114" s="328" t="s">
        <v>1529</v>
      </c>
    </row>
    <row r="115" spans="1:14" ht="20.100000000000001" customHeight="1">
      <c r="A115" s="327">
        <f>IF(AND($B115="",$C115=""),"",MAX($A$3:A114)+1)</f>
        <v>112</v>
      </c>
      <c r="B115" s="262">
        <v>46148</v>
      </c>
      <c r="C115" s="253" t="s">
        <v>1427</v>
      </c>
      <c r="D115" s="249" t="str">
        <f>IFERROR(IF($E115="Inventory",VLOOKUP($C115,Inventory!$B:$I,2,FALSE()),IF($E115="Non Inventory",VLOOKUP($C115,'Non Inventory'!$B:$I,2,FALSE()),IF($E115="Services",VLOOKUP($C115,Services!$B:$I,2,FALSE()),IF($E115="Patty Cash",VLOOKUP($C115,'Patty Cash'!$B:$J,2,FALSE()),"")))),"")</f>
        <v>Air Conditioner Filter (1pc)</v>
      </c>
      <c r="E115" s="254" t="s">
        <v>1327</v>
      </c>
      <c r="F115" s="263" t="str">
        <f>IFERROR(IF($E115="Inventory",VLOOKUP($C115,Inventory!$B:$I,3,FALSE()),IF($E115="Non Inventory",VLOOKUP($C115,'Non Inventory'!$B:$I,3,FALSE()),IF($E115="Services",VLOOKUP($C115,Services!$B:$I,3,FALSE()),IF($E115="Patty Cash",VLOOKUP($C115,'Patty Cash'!$B:$J,3,FALSE()),"")))),"")</f>
        <v>PCS</v>
      </c>
      <c r="G115" s="374">
        <v>1</v>
      </c>
      <c r="H115" s="374">
        <f t="shared" si="2"/>
        <v>1</v>
      </c>
      <c r="I115" s="252">
        <f>IFERROR(IF($E115="Inventory",VLOOKUP($C115,Inventory!$B:$I,8,FALSE()),IF($E115="Non Inventory",VLOOKUP($C115,'Non Inventory'!$B:$I,8,FALSE()),IF($E115="Services",VLOOKUP($C115,Services!$B:$I,8,FALSE()),IF($E115="Patty Cash",VLOOKUP($C115,'Patty Cash'!$B:$J,8,FALSE()),0)))),0)</f>
        <v>300</v>
      </c>
      <c r="J115" s="252">
        <f t="shared" si="3"/>
        <v>300</v>
      </c>
      <c r="K115" s="253" t="s">
        <v>1422</v>
      </c>
      <c r="L115" s="253" t="s">
        <v>1196</v>
      </c>
      <c r="M115" s="253" t="s">
        <v>1323</v>
      </c>
      <c r="N115" s="328" t="s">
        <v>1529</v>
      </c>
    </row>
    <row r="116" spans="1:14" ht="20.100000000000001" customHeight="1">
      <c r="A116" s="327">
        <f>IF(AND($B116="",$C116=""),"",MAX($A$3:A115)+1)</f>
        <v>113</v>
      </c>
      <c r="B116" s="262">
        <v>46148</v>
      </c>
      <c r="C116" s="253" t="s">
        <v>1428</v>
      </c>
      <c r="D116" s="249" t="str">
        <f>IFERROR(IF($E116="Inventory",VLOOKUP($C116,Inventory!$B:$I,2,FALSE()),IF($E116="Non Inventory",VLOOKUP($C116,'Non Inventory'!$B:$I,2,FALSE()),IF($E116="Services",VLOOKUP($C116,Services!$B:$I,2,FALSE()),IF($E116="Patty Cash",VLOOKUP($C116,'Patty Cash'!$B:$J,2,FALSE()),"")))),"")</f>
        <v>Conveyance</v>
      </c>
      <c r="E116" s="254" t="s">
        <v>1327</v>
      </c>
      <c r="F116" s="263" t="str">
        <f>IFERROR(IF($E116="Inventory",VLOOKUP($C116,Inventory!$B:$I,3,FALSE()),IF($E116="Non Inventory",VLOOKUP($C116,'Non Inventory'!$B:$I,3,FALSE()),IF($E116="Services",VLOOKUP($C116,Services!$B:$I,3,FALSE()),IF($E116="Patty Cash",VLOOKUP($C116,'Patty Cash'!$B:$J,3,FALSE()),"")))),"")</f>
        <v>LTR</v>
      </c>
      <c r="G116" s="374">
        <v>0.72114999999999996</v>
      </c>
      <c r="H116" s="374">
        <f t="shared" si="2"/>
        <v>0.72114999999999996</v>
      </c>
      <c r="I116" s="252">
        <f>IFERROR(IF($E116="Inventory",VLOOKUP($C116,Inventory!$B:$I,8,FALSE()),IF($E116="Non Inventory",VLOOKUP($C116,'Non Inventory'!$B:$I,8,FALSE()),IF($E116="Services",VLOOKUP($C116,Services!$B:$I,8,FALSE()),IF($E116="Patty Cash",VLOOKUP($C116,'Patty Cash'!$B:$J,8,FALSE()),0)))),0)</f>
        <v>418</v>
      </c>
      <c r="J116" s="252">
        <f t="shared" si="3"/>
        <v>301.44069999999999</v>
      </c>
      <c r="K116" s="253" t="s">
        <v>1520</v>
      </c>
      <c r="L116" s="253" t="s">
        <v>1196</v>
      </c>
      <c r="M116" s="253" t="s">
        <v>1323</v>
      </c>
      <c r="N116" s="328" t="s">
        <v>1529</v>
      </c>
    </row>
    <row r="117" spans="1:14" ht="20.100000000000001" customHeight="1">
      <c r="A117" s="327">
        <f>IF(AND($B117="",$C117=""),"",MAX($A$3:A116)+1)</f>
        <v>114</v>
      </c>
      <c r="B117" s="262">
        <v>46148</v>
      </c>
      <c r="C117" s="253" t="s">
        <v>1429</v>
      </c>
      <c r="D117" s="249" t="str">
        <f>IFERROR(IF($E117="Inventory",VLOOKUP($C117,Inventory!$B:$I,2,FALSE()),IF($E117="Non Inventory",VLOOKUP($C117,'Non Inventory'!$B:$I,2,FALSE()),IF($E117="Services",VLOOKUP($C117,Services!$B:$I,2,FALSE()),IF($E117="Patty Cash",VLOOKUP($C117,'Patty Cash'!$B:$J,2,FALSE()),"")))),"")</f>
        <v>V-Belt B-35 (2pcs)</v>
      </c>
      <c r="E117" s="254" t="s">
        <v>1327</v>
      </c>
      <c r="F117" s="263" t="str">
        <f>IFERROR(IF($E117="Inventory",VLOOKUP($C117,Inventory!$B:$I,3,FALSE()),IF($E117="Non Inventory",VLOOKUP($C117,'Non Inventory'!$B:$I,3,FALSE()),IF($E117="Services",VLOOKUP($C117,Services!$B:$I,3,FALSE()),IF($E117="Patty Cash",VLOOKUP($C117,'Patty Cash'!$B:$J,3,FALSE()),"")))),"")</f>
        <v>PCS</v>
      </c>
      <c r="G117" s="374">
        <v>0.72</v>
      </c>
      <c r="H117" s="374">
        <f t="shared" si="2"/>
        <v>0.72</v>
      </c>
      <c r="I117" s="252">
        <f>IFERROR(IF($E117="Inventory",VLOOKUP($C117,Inventory!$B:$I,8,FALSE()),IF($E117="Non Inventory",VLOOKUP($C117,'Non Inventory'!$B:$I,8,FALSE()),IF($E117="Services",VLOOKUP($C117,Services!$B:$I,8,FALSE()),IF($E117="Patty Cash",VLOOKUP($C117,'Patty Cash'!$B:$J,8,FALSE()),0)))),0)</f>
        <v>280</v>
      </c>
      <c r="J117" s="252">
        <v>300</v>
      </c>
      <c r="K117" s="253" t="s">
        <v>1524</v>
      </c>
      <c r="L117" s="253" t="s">
        <v>1196</v>
      </c>
      <c r="M117" s="253" t="s">
        <v>1323</v>
      </c>
      <c r="N117" s="328" t="s">
        <v>1529</v>
      </c>
    </row>
    <row r="118" spans="1:14" ht="20.100000000000001" customHeight="1">
      <c r="A118" s="327">
        <f>IF(AND($B118="",$C118=""),"",MAX($A$3:A117)+1)</f>
        <v>115</v>
      </c>
      <c r="B118" s="262">
        <v>46151</v>
      </c>
      <c r="C118" s="253" t="s">
        <v>1430</v>
      </c>
      <c r="D118" s="249" t="str">
        <f>IFERROR(IF($E118="Inventory",VLOOKUP($C118,Inventory!$B:$I,2,FALSE()),IF($E118="Non Inventory",VLOOKUP($C118,'Non Inventory'!$B:$I,2,FALSE()),IF($E118="Services",VLOOKUP($C118,Services!$B:$I,2,FALSE()),IF($E118="Patty Cash",VLOOKUP($C118,'Patty Cash'!$B:$J,2,FALSE()),"")))),"")</f>
        <v>Pin Grinder Stone (3pcs)</v>
      </c>
      <c r="E118" s="254" t="s">
        <v>1327</v>
      </c>
      <c r="F118" s="263" t="str">
        <f>IFERROR(IF($E118="Inventory",VLOOKUP($C118,Inventory!$B:$I,3,FALSE()),IF($E118="Non Inventory",VLOOKUP($C118,'Non Inventory'!$B:$I,3,FALSE()),IF($E118="Services",VLOOKUP($C118,Services!$B:$I,3,FALSE()),IF($E118="Patty Cash",VLOOKUP($C118,'Patty Cash'!$B:$J,3,FALSE()),"")))),"")</f>
        <v>PCS</v>
      </c>
      <c r="G118" s="374">
        <v>2</v>
      </c>
      <c r="H118" s="374">
        <f t="shared" si="2"/>
        <v>2</v>
      </c>
      <c r="I118" s="252">
        <f>IFERROR(IF($E118="Inventory",VLOOKUP($C118,Inventory!$B:$I,8,FALSE()),IF($E118="Non Inventory",VLOOKUP($C118,'Non Inventory'!$B:$I,8,FALSE()),IF($E118="Services",VLOOKUP($C118,Services!$B:$I,8,FALSE()),IF($E118="Patty Cash",VLOOKUP($C118,'Patty Cash'!$B:$J,8,FALSE()),0)))),0)</f>
        <v>100</v>
      </c>
      <c r="J118" s="252">
        <f t="shared" si="3"/>
        <v>200</v>
      </c>
      <c r="K118" s="253" t="s">
        <v>1516</v>
      </c>
      <c r="L118" s="253" t="s">
        <v>1196</v>
      </c>
      <c r="M118" s="253" t="s">
        <v>1323</v>
      </c>
      <c r="N118" s="328" t="s">
        <v>1529</v>
      </c>
    </row>
    <row r="119" spans="1:14" ht="20.100000000000001" customHeight="1">
      <c r="A119" s="327">
        <f>IF(AND($B119="",$C119=""),"",MAX($A$3:A118)+1)</f>
        <v>116</v>
      </c>
      <c r="B119" s="262">
        <v>46151</v>
      </c>
      <c r="C119" s="253" t="s">
        <v>1431</v>
      </c>
      <c r="D119" s="249" t="str">
        <f>IFERROR(IF($E119="Inventory",VLOOKUP($C119,Inventory!$B:$I,2,FALSE()),IF($E119="Non Inventory",VLOOKUP($C119,'Non Inventory'!$B:$I,2,FALSE()),IF($E119="Services",VLOOKUP($C119,Services!$B:$I,2,FALSE()),IF($E119="Patty Cash",VLOOKUP($C119,'Patty Cash'!$B:$J,2,FALSE()),"")))),"")</f>
        <v>S.S Nut 20mm (6pcs)</v>
      </c>
      <c r="E119" s="254" t="s">
        <v>1327</v>
      </c>
      <c r="F119" s="263" t="str">
        <f>IFERROR(IF($E119="Inventory",VLOOKUP($C119,Inventory!$B:$I,3,FALSE()),IF($E119="Non Inventory",VLOOKUP($C119,'Non Inventory'!$B:$I,3,FALSE()),IF($E119="Services",VLOOKUP($C119,Services!$B:$I,3,FALSE()),IF($E119="Patty Cash",VLOOKUP($C119,'Patty Cash'!$B:$J,3,FALSE()),"")))),"")</f>
        <v>PCS</v>
      </c>
      <c r="G119" s="374">
        <v>3</v>
      </c>
      <c r="H119" s="374">
        <f t="shared" si="2"/>
        <v>3</v>
      </c>
      <c r="I119" s="252">
        <f>IFERROR(IF($E119="Inventory",VLOOKUP($C119,Inventory!$B:$I,8,FALSE()),IF($E119="Non Inventory",VLOOKUP($C119,'Non Inventory'!$B:$I,8,FALSE()),IF($E119="Services",VLOOKUP($C119,Services!$B:$I,8,FALSE()),IF($E119="Patty Cash",VLOOKUP($C119,'Patty Cash'!$B:$J,8,FALSE()),0)))),0)</f>
        <v>40</v>
      </c>
      <c r="J119" s="252">
        <f t="shared" si="3"/>
        <v>120</v>
      </c>
      <c r="K119" s="253" t="s">
        <v>1516</v>
      </c>
      <c r="L119" s="253" t="s">
        <v>1196</v>
      </c>
      <c r="M119" s="253" t="s">
        <v>1323</v>
      </c>
      <c r="N119" s="328" t="s">
        <v>1529</v>
      </c>
    </row>
    <row r="120" spans="1:14" ht="20.100000000000001" customHeight="1">
      <c r="A120" s="327">
        <f>IF(AND($B120="",$C120=""),"",MAX($A$3:A119)+1)</f>
        <v>117</v>
      </c>
      <c r="B120" s="262">
        <v>46151</v>
      </c>
      <c r="C120" s="253" t="s">
        <v>1432</v>
      </c>
      <c r="D120" s="249" t="str">
        <f>IFERROR(IF($E120="Inventory",VLOOKUP($C120,Inventory!$B:$I,2,FALSE()),IF($E120="Non Inventory",VLOOKUP($C120,'Non Inventory'!$B:$I,2,FALSE()),IF($E120="Services",VLOOKUP($C120,Services!$B:$I,2,FALSE()),IF($E120="Patty Cash",VLOOKUP($C120,'Patty Cash'!$B:$J,2,FALSE()),"")))),"")</f>
        <v>Conveyance</v>
      </c>
      <c r="E120" s="254" t="s">
        <v>1327</v>
      </c>
      <c r="F120" s="263" t="str">
        <f>IFERROR(IF($E120="Inventory",VLOOKUP($C120,Inventory!$B:$I,3,FALSE()),IF($E120="Non Inventory",VLOOKUP($C120,'Non Inventory'!$B:$I,3,FALSE()),IF($E120="Services",VLOOKUP($C120,Services!$B:$I,3,FALSE()),IF($E120="Patty Cash",VLOOKUP($C120,'Patty Cash'!$B:$J,3,FALSE()),"")))),"")</f>
        <v>LTR</v>
      </c>
      <c r="G120" s="374">
        <v>0.72114999999999996</v>
      </c>
      <c r="H120" s="374">
        <f t="shared" si="2"/>
        <v>0.72114999999999996</v>
      </c>
      <c r="I120" s="252">
        <f>IFERROR(IF($E120="Inventory",VLOOKUP($C120,Inventory!$B:$I,8,FALSE()),IF($E120="Non Inventory",VLOOKUP($C120,'Non Inventory'!$B:$I,8,FALSE()),IF($E120="Services",VLOOKUP($C120,Services!$B:$I,8,FALSE()),IF($E120="Patty Cash",VLOOKUP($C120,'Patty Cash'!$B:$J,8,FALSE()),0)))),0)</f>
        <v>418</v>
      </c>
      <c r="J120" s="252">
        <f t="shared" si="3"/>
        <v>301.44069999999999</v>
      </c>
      <c r="K120" s="253" t="s">
        <v>1516</v>
      </c>
      <c r="L120" s="253" t="s">
        <v>1196</v>
      </c>
      <c r="M120" s="253" t="s">
        <v>1323</v>
      </c>
      <c r="N120" s="328" t="s">
        <v>1529</v>
      </c>
    </row>
    <row r="121" spans="1:14" ht="20.100000000000001" customHeight="1">
      <c r="A121" s="327">
        <f>IF(AND($B121="",$C121=""),"",MAX($A$3:A120)+1)</f>
        <v>118</v>
      </c>
      <c r="B121" s="262">
        <v>46151</v>
      </c>
      <c r="C121" s="253" t="s">
        <v>1433</v>
      </c>
      <c r="D121" s="249" t="str">
        <f>IFERROR(IF($E121="Inventory",VLOOKUP($C121,Inventory!$B:$I,2,FALSE()),IF($E121="Non Inventory",VLOOKUP($C121,'Non Inventory'!$B:$I,2,FALSE()),IF($E121="Services",VLOOKUP($C121,Services!$B:$I,2,FALSE()),IF($E121="Patty Cash",VLOOKUP($C121,'Patty Cash'!$B:$J,2,FALSE()),"")))),"")</f>
        <v>S.S Bush Size 3/8'' X 1/2'' (1pc)</v>
      </c>
      <c r="E121" s="254" t="s">
        <v>1327</v>
      </c>
      <c r="F121" s="263" t="str">
        <f>IFERROR(IF($E121="Inventory",VLOOKUP($C121,Inventory!$B:$I,3,FALSE()),IF($E121="Non Inventory",VLOOKUP($C121,'Non Inventory'!$B:$I,3,FALSE()),IF($E121="Services",VLOOKUP($C121,Services!$B:$I,3,FALSE()),IF($E121="Patty Cash",VLOOKUP($C121,'Patty Cash'!$B:$J,3,FALSE()),"")))),"")</f>
        <v>PCS</v>
      </c>
      <c r="G121" s="374">
        <v>0.72</v>
      </c>
      <c r="H121" s="374">
        <f t="shared" si="2"/>
        <v>0.72</v>
      </c>
      <c r="I121" s="252">
        <f>IFERROR(IF($E121="Inventory",VLOOKUP($C121,Inventory!$B:$I,8,FALSE()),IF($E121="Non Inventory",VLOOKUP($C121,'Non Inventory'!$B:$I,8,FALSE()),IF($E121="Services",VLOOKUP($C121,Services!$B:$I,8,FALSE()),IF($E121="Patty Cash",VLOOKUP($C121,'Patty Cash'!$B:$J,8,FALSE()),0)))),0)</f>
        <v>400</v>
      </c>
      <c r="J121" s="252">
        <v>300</v>
      </c>
      <c r="K121" s="253" t="s">
        <v>1517</v>
      </c>
      <c r="L121" s="253" t="s">
        <v>1196</v>
      </c>
      <c r="M121" s="253" t="s">
        <v>1323</v>
      </c>
      <c r="N121" s="328" t="s">
        <v>1529</v>
      </c>
    </row>
    <row r="122" spans="1:14" ht="20.100000000000001" customHeight="1">
      <c r="A122" s="327">
        <f>IF(AND($B122="",$C122=""),"",MAX($A$3:A121)+1)</f>
        <v>119</v>
      </c>
      <c r="B122" s="262">
        <v>46153</v>
      </c>
      <c r="C122" s="253" t="s">
        <v>1434</v>
      </c>
      <c r="D122" s="249" t="str">
        <f>IFERROR(IF($E122="Inventory",VLOOKUP($C122,Inventory!$B:$I,2,FALSE()),IF($E122="Non Inventory",VLOOKUP($C122,'Non Inventory'!$B:$I,2,FALSE()),IF($E122="Services",VLOOKUP($C122,Services!$B:$I,2,FALSE()),IF($E122="Patty Cash",VLOOKUP($C122,'Patty Cash'!$B:$J,2,FALSE()),"")))),"")</f>
        <v>Drill Bit Size 4mm (5pcs)</v>
      </c>
      <c r="E122" s="254" t="s">
        <v>1327</v>
      </c>
      <c r="F122" s="263" t="str">
        <f>IFERROR(IF($E122="Inventory",VLOOKUP($C122,Inventory!$B:$I,3,FALSE()),IF($E122="Non Inventory",VLOOKUP($C122,'Non Inventory'!$B:$I,3,FALSE()),IF($E122="Services",VLOOKUP($C122,Services!$B:$I,3,FALSE()),IF($E122="Patty Cash",VLOOKUP($C122,'Patty Cash'!$B:$J,3,FALSE()),"")))),"")</f>
        <v>PCS</v>
      </c>
      <c r="G122" s="374">
        <v>1</v>
      </c>
      <c r="H122" s="374">
        <f t="shared" si="2"/>
        <v>1</v>
      </c>
      <c r="I122" s="252">
        <f>IFERROR(IF($E122="Inventory",VLOOKUP($C122,Inventory!$B:$I,8,FALSE()),IF($E122="Non Inventory",VLOOKUP($C122,'Non Inventory'!$B:$I,8,FALSE()),IF($E122="Services",VLOOKUP($C122,Services!$B:$I,8,FALSE()),IF($E122="Patty Cash",VLOOKUP($C122,'Patty Cash'!$B:$J,8,FALSE()),0)))),0)</f>
        <v>80</v>
      </c>
      <c r="J122" s="252">
        <f t="shared" si="3"/>
        <v>80</v>
      </c>
      <c r="K122" s="253" t="s">
        <v>1525</v>
      </c>
      <c r="L122" s="253" t="s">
        <v>1196</v>
      </c>
      <c r="M122" s="253" t="s">
        <v>1323</v>
      </c>
      <c r="N122" s="328" t="s">
        <v>1529</v>
      </c>
    </row>
    <row r="123" spans="1:14" ht="20.100000000000001" customHeight="1">
      <c r="A123" s="327">
        <f>IF(AND($B123="",$C123=""),"",MAX($A$3:A122)+1)</f>
        <v>120</v>
      </c>
      <c r="B123" s="262">
        <v>46154</v>
      </c>
      <c r="C123" s="253" t="s">
        <v>1435</v>
      </c>
      <c r="D123" s="249" t="str">
        <f>IFERROR(IF($E123="Inventory",VLOOKUP($C123,Inventory!$B:$I,2,FALSE()),IF($E123="Non Inventory",VLOOKUP($C123,'Non Inventory'!$B:$I,2,FALSE()),IF($E123="Services",VLOOKUP($C123,Services!$B:$I,2,FALSE()),IF($E123="Patty Cash",VLOOKUP($C123,'Patty Cash'!$B:$J,2,FALSE()),"")))),"")</f>
        <v>Conveyance</v>
      </c>
      <c r="E123" s="254" t="s">
        <v>1327</v>
      </c>
      <c r="F123" s="263" t="str">
        <f>IFERROR(IF($E123="Inventory",VLOOKUP($C123,Inventory!$B:$I,3,FALSE()),IF($E123="Non Inventory",VLOOKUP($C123,'Non Inventory'!$B:$I,3,FALSE()),IF($E123="Services",VLOOKUP($C123,Services!$B:$I,3,FALSE()),IF($E123="Patty Cash",VLOOKUP($C123,'Patty Cash'!$B:$J,3,FALSE()),"")))),"")</f>
        <v>LTR</v>
      </c>
      <c r="G123" s="374">
        <v>0.72114999999999996</v>
      </c>
      <c r="H123" s="374">
        <f t="shared" si="2"/>
        <v>0.72114999999999996</v>
      </c>
      <c r="I123" s="252">
        <f>IFERROR(IF($E123="Inventory",VLOOKUP($C123,Inventory!$B:$I,8,FALSE()),IF($E123="Non Inventory",VLOOKUP($C123,'Non Inventory'!$B:$I,8,FALSE()),IF($E123="Services",VLOOKUP($C123,Services!$B:$I,8,FALSE()),IF($E123="Patty Cash",VLOOKUP($C123,'Patty Cash'!$B:$J,8,FALSE()),0)))),0)</f>
        <v>418</v>
      </c>
      <c r="J123" s="252">
        <f t="shared" si="3"/>
        <v>301.44069999999999</v>
      </c>
      <c r="K123" s="253" t="s">
        <v>1526</v>
      </c>
      <c r="L123" s="253" t="s">
        <v>1196</v>
      </c>
      <c r="M123" s="253" t="s">
        <v>1323</v>
      </c>
      <c r="N123" s="328" t="s">
        <v>1529</v>
      </c>
    </row>
    <row r="124" spans="1:14" ht="20.100000000000001" customHeight="1">
      <c r="A124" s="327">
        <f>IF(AND($B124="",$C124=""),"",MAX($A$3:A123)+1)</f>
        <v>121</v>
      </c>
      <c r="B124" s="262">
        <v>46154</v>
      </c>
      <c r="C124" s="253" t="s">
        <v>1436</v>
      </c>
      <c r="D124" s="249" t="str">
        <f>IFERROR(IF($E124="Inventory",VLOOKUP($C124,Inventory!$B:$I,2,FALSE()),IF($E124="Non Inventory",VLOOKUP($C124,'Non Inventory'!$B:$I,2,FALSE()),IF($E124="Services",VLOOKUP($C124,Services!$B:$I,2,FALSE()),IF($E124="Patty Cash",VLOOKUP($C124,'Patty Cash'!$B:$J,2,FALSE()),"")))),"")</f>
        <v>Air Conditioner Service bag (1pc)</v>
      </c>
      <c r="E124" s="254" t="s">
        <v>1327</v>
      </c>
      <c r="F124" s="263" t="str">
        <f>IFERROR(IF($E124="Inventory",VLOOKUP($C124,Inventory!$B:$I,3,FALSE()),IF($E124="Non Inventory",VLOOKUP($C124,'Non Inventory'!$B:$I,3,FALSE()),IF($E124="Services",VLOOKUP($C124,Services!$B:$I,3,FALSE()),IF($E124="Patty Cash",VLOOKUP($C124,'Patty Cash'!$B:$J,3,FALSE()),"")))),"")</f>
        <v>LTR</v>
      </c>
      <c r="G124" s="374">
        <v>0.96</v>
      </c>
      <c r="H124" s="374">
        <f t="shared" si="2"/>
        <v>0.96</v>
      </c>
      <c r="I124" s="252">
        <f>IFERROR(IF($E124="Inventory",VLOOKUP($C124,Inventory!$B:$I,8,FALSE()),IF($E124="Non Inventory",VLOOKUP($C124,'Non Inventory'!$B:$I,8,FALSE()),IF($E124="Services",VLOOKUP($C124,Services!$B:$I,8,FALSE()),IF($E124="Patty Cash",VLOOKUP($C124,'Patty Cash'!$B:$J,8,FALSE()),0)))),0)</f>
        <v>2000</v>
      </c>
      <c r="J124" s="252">
        <v>400</v>
      </c>
      <c r="K124" s="253" t="s">
        <v>1517</v>
      </c>
      <c r="L124" s="253" t="s">
        <v>1196</v>
      </c>
      <c r="M124" s="253" t="s">
        <v>1323</v>
      </c>
      <c r="N124" s="328" t="s">
        <v>1529</v>
      </c>
    </row>
    <row r="125" spans="1:14" ht="20.100000000000001" customHeight="1">
      <c r="A125" s="327">
        <f>IF(AND($B125="",$C125=""),"",MAX($A$3:A124)+1)</f>
        <v>122</v>
      </c>
      <c r="B125" s="262">
        <v>46155</v>
      </c>
      <c r="C125" s="253" t="s">
        <v>1437</v>
      </c>
      <c r="D125" s="249" t="str">
        <f>IFERROR(IF($E125="Inventory",VLOOKUP($C125,Inventory!$B:$I,2,FALSE()),IF($E125="Non Inventory",VLOOKUP($C125,'Non Inventory'!$B:$I,2,FALSE()),IF($E125="Services",VLOOKUP($C125,Services!$B:$I,2,FALSE()),IF($E125="Patty Cash",VLOOKUP($C125,'Patty Cash'!$B:$J,2,FALSE()),"")))),"")</f>
        <v>G.I Union size 1''</v>
      </c>
      <c r="E125" s="254" t="s">
        <v>1327</v>
      </c>
      <c r="F125" s="263" t="str">
        <f>IFERROR(IF($E125="Inventory",VLOOKUP($C125,Inventory!$B:$I,3,FALSE()),IF($E125="Non Inventory",VLOOKUP($C125,'Non Inventory'!$B:$I,3,FALSE()),IF($E125="Services",VLOOKUP($C125,Services!$B:$I,3,FALSE()),IF($E125="Patty Cash",VLOOKUP($C125,'Patty Cash'!$B:$J,3,FALSE()),"")))),"")</f>
        <v>NOS</v>
      </c>
      <c r="G125" s="374">
        <v>1</v>
      </c>
      <c r="H125" s="374">
        <f t="shared" si="2"/>
        <v>1</v>
      </c>
      <c r="I125" s="252">
        <f>IFERROR(IF($E125="Inventory",VLOOKUP($C125,Inventory!$B:$I,8,FALSE()),IF($E125="Non Inventory",VLOOKUP($C125,'Non Inventory'!$B:$I,8,FALSE()),IF($E125="Services",VLOOKUP($C125,Services!$B:$I,8,FALSE()),IF($E125="Patty Cash",VLOOKUP($C125,'Patty Cash'!$B:$J,8,FALSE()),0)))),0)</f>
        <v>500</v>
      </c>
      <c r="J125" s="252">
        <f t="shared" si="3"/>
        <v>500</v>
      </c>
      <c r="K125" s="253" t="s">
        <v>1527</v>
      </c>
      <c r="L125" s="253" t="s">
        <v>1196</v>
      </c>
      <c r="M125" s="253" t="s">
        <v>1323</v>
      </c>
      <c r="N125" s="328" t="s">
        <v>1529</v>
      </c>
    </row>
    <row r="126" spans="1:14" ht="20.100000000000001" customHeight="1">
      <c r="A126" s="327">
        <f>IF(AND($B126="",$C126=""),"",MAX($A$3:A125)+1)</f>
        <v>123</v>
      </c>
      <c r="B126" s="262">
        <v>46158</v>
      </c>
      <c r="C126" s="253" t="s">
        <v>1438</v>
      </c>
      <c r="D126" s="249" t="str">
        <f>IFERROR(IF($E126="Inventory",VLOOKUP($C126,Inventory!$B:$I,2,FALSE()),IF($E126="Non Inventory",VLOOKUP($C126,'Non Inventory'!$B:$I,2,FALSE()),IF($E126="Services",VLOOKUP($C126,Services!$B:$I,2,FALSE()),IF($E126="Patty Cash",VLOOKUP($C126,'Patty Cash'!$B:$J,2,FALSE()),"")))),"")</f>
        <v>G.I Pipe Niple size 1'' X 12''</v>
      </c>
      <c r="E126" s="254" t="s">
        <v>1327</v>
      </c>
      <c r="F126" s="263" t="str">
        <f>IFERROR(IF($E126="Inventory",VLOOKUP($C126,Inventory!$B:$I,3,FALSE()),IF($E126="Non Inventory",VLOOKUP($C126,'Non Inventory'!$B:$I,3,FALSE()),IF($E126="Services",VLOOKUP($C126,Services!$B:$I,3,FALSE()),IF($E126="Patty Cash",VLOOKUP($C126,'Patty Cash'!$B:$J,3,FALSE()),"")))),"")</f>
        <v>NOS</v>
      </c>
      <c r="G126" s="374">
        <v>1</v>
      </c>
      <c r="H126" s="374">
        <f t="shared" ref="H126:H186" si="4">IF($G126="","",G126)</f>
        <v>1</v>
      </c>
      <c r="I126" s="252">
        <f>IFERROR(IF($E126="Inventory",VLOOKUP($C126,Inventory!$B:$I,8,FALSE()),IF($E126="Non Inventory",VLOOKUP($C126,'Non Inventory'!$B:$I,8,FALSE()),IF($E126="Services",VLOOKUP($C126,Services!$B:$I,8,FALSE()),IF($E126="Patty Cash",VLOOKUP($C126,'Patty Cash'!$B:$J,8,FALSE()),0)))),0)</f>
        <v>300</v>
      </c>
      <c r="J126" s="252">
        <f t="shared" ref="J126:J186" si="5">IF($H126="","",H126*I126)</f>
        <v>300</v>
      </c>
      <c r="K126" s="253" t="s">
        <v>1523</v>
      </c>
      <c r="L126" s="253" t="s">
        <v>1196</v>
      </c>
      <c r="M126" s="253" t="s">
        <v>1323</v>
      </c>
      <c r="N126" s="328" t="s">
        <v>1529</v>
      </c>
    </row>
    <row r="127" spans="1:14" ht="20.100000000000001" customHeight="1">
      <c r="A127" s="327">
        <f>IF(AND($B127="",$C127=""),"",MAX($A$3:A126)+1)</f>
        <v>124</v>
      </c>
      <c r="B127" s="262">
        <v>46158</v>
      </c>
      <c r="C127" s="253" t="s">
        <v>1439</v>
      </c>
      <c r="D127" s="249" t="str">
        <f>IFERROR(IF($E127="Inventory",VLOOKUP($C127,Inventory!$B:$I,2,FALSE()),IF($E127="Non Inventory",VLOOKUP($C127,'Non Inventory'!$B:$I,2,FALSE()),IF($E127="Services",VLOOKUP($C127,Services!$B:$I,2,FALSE()),IF($E127="Patty Cash",VLOOKUP($C127,'Patty Cash'!$B:$J,2,FALSE()),"")))),"")</f>
        <v>Measurement Tape 5meter (1pc)</v>
      </c>
      <c r="E127" s="254" t="s">
        <v>1327</v>
      </c>
      <c r="F127" s="263" t="str">
        <f>IFERROR(IF($E127="Inventory",VLOOKUP($C127,Inventory!$B:$I,3,FALSE()),IF($E127="Non Inventory",VLOOKUP($C127,'Non Inventory'!$B:$I,3,FALSE()),IF($E127="Services",VLOOKUP($C127,Services!$B:$I,3,FALSE()),IF($E127="Patty Cash",VLOOKUP($C127,'Patty Cash'!$B:$J,3,FALSE()),"")))),"")</f>
        <v>PCS</v>
      </c>
      <c r="G127" s="374">
        <v>1</v>
      </c>
      <c r="H127" s="374">
        <f t="shared" si="4"/>
        <v>1</v>
      </c>
      <c r="I127" s="252">
        <f>IFERROR(IF($E127="Inventory",VLOOKUP($C127,Inventory!$B:$I,8,FALSE()),IF($E127="Non Inventory",VLOOKUP($C127,'Non Inventory'!$B:$I,8,FALSE()),IF($E127="Services",VLOOKUP($C127,Services!$B:$I,8,FALSE()),IF($E127="Patty Cash",VLOOKUP($C127,'Patty Cash'!$B:$J,8,FALSE()),0)))),0)</f>
        <v>250</v>
      </c>
      <c r="J127" s="252">
        <f t="shared" si="5"/>
        <v>250</v>
      </c>
      <c r="K127" s="253" t="s">
        <v>1523</v>
      </c>
      <c r="L127" s="253" t="s">
        <v>1196</v>
      </c>
      <c r="M127" s="253" t="s">
        <v>1323</v>
      </c>
      <c r="N127" s="328" t="s">
        <v>1529</v>
      </c>
    </row>
    <row r="128" spans="1:14" ht="20.100000000000001" customHeight="1">
      <c r="A128" s="327">
        <f>IF(AND($B128="",$C128=""),"",MAX($A$3:A127)+1)</f>
        <v>125</v>
      </c>
      <c r="B128" s="262">
        <v>46158</v>
      </c>
      <c r="C128" s="253" t="s">
        <v>1440</v>
      </c>
      <c r="D128" s="249" t="str">
        <f>IFERROR(IF($E128="Inventory",VLOOKUP($C128,Inventory!$B:$I,2,FALSE()),IF($E128="Non Inventory",VLOOKUP($C128,'Non Inventory'!$B:$I,2,FALSE()),IF($E128="Services",VLOOKUP($C128,Services!$B:$I,2,FALSE()),IF($E128="Patty Cash",VLOOKUP($C128,'Patty Cash'!$B:$J,2,FALSE()),"")))),"")</f>
        <v>Allen Key L Type 3mm</v>
      </c>
      <c r="E128" s="254" t="s">
        <v>1327</v>
      </c>
      <c r="F128" s="263" t="str">
        <f>IFERROR(IF($E128="Inventory",VLOOKUP($C128,Inventory!$B:$I,3,FALSE()),IF($E128="Non Inventory",VLOOKUP($C128,'Non Inventory'!$B:$I,3,FALSE()),IF($E128="Services",VLOOKUP($C128,Services!$B:$I,3,FALSE()),IF($E128="Patty Cash",VLOOKUP($C128,'Patty Cash'!$B:$J,3,FALSE()),"")))),"")</f>
        <v>NOS</v>
      </c>
      <c r="G128" s="374">
        <v>1</v>
      </c>
      <c r="H128" s="374">
        <f t="shared" si="4"/>
        <v>1</v>
      </c>
      <c r="I128" s="252">
        <f>IFERROR(IF($E128="Inventory",VLOOKUP($C128,Inventory!$B:$I,8,FALSE()),IF($E128="Non Inventory",VLOOKUP($C128,'Non Inventory'!$B:$I,8,FALSE()),IF($E128="Services",VLOOKUP($C128,Services!$B:$I,8,FALSE()),IF($E128="Patty Cash",VLOOKUP($C128,'Patty Cash'!$B:$J,8,FALSE()),0)))),0)</f>
        <v>100</v>
      </c>
      <c r="J128" s="252">
        <f t="shared" si="5"/>
        <v>100</v>
      </c>
      <c r="K128" s="253" t="s">
        <v>1354</v>
      </c>
      <c r="L128" s="253" t="s">
        <v>1196</v>
      </c>
      <c r="M128" s="253" t="s">
        <v>1323</v>
      </c>
      <c r="N128" s="328" t="s">
        <v>1529</v>
      </c>
    </row>
    <row r="129" spans="1:14" ht="20.100000000000001" customHeight="1">
      <c r="A129" s="327">
        <f>IF(AND($B129="",$C129=""),"",MAX($A$3:A128)+1)</f>
        <v>126</v>
      </c>
      <c r="B129" s="262">
        <v>46158</v>
      </c>
      <c r="C129" s="253" t="s">
        <v>1441</v>
      </c>
      <c r="D129" s="249" t="str">
        <f>IFERROR(IF($E129="Inventory",VLOOKUP($C129,Inventory!$B:$I,2,FALSE()),IF($E129="Non Inventory",VLOOKUP($C129,'Non Inventory'!$B:$I,2,FALSE()),IF($E129="Services",VLOOKUP($C129,Services!$B:$I,2,FALSE()),IF($E129="Patty Cash",VLOOKUP($C129,'Patty Cash'!$B:$J,2,FALSE()),"")))),"")</f>
        <v>Conveyance</v>
      </c>
      <c r="E129" s="254" t="s">
        <v>1327</v>
      </c>
      <c r="F129" s="263" t="str">
        <f>IFERROR(IF($E129="Inventory",VLOOKUP($C129,Inventory!$B:$I,3,FALSE()),IF($E129="Non Inventory",VLOOKUP($C129,'Non Inventory'!$B:$I,3,FALSE()),IF($E129="Services",VLOOKUP($C129,Services!$B:$I,3,FALSE()),IF($E129="Patty Cash",VLOOKUP($C129,'Patty Cash'!$B:$J,3,FALSE()),"")))),"")</f>
        <v>LTR</v>
      </c>
      <c r="G129" s="374">
        <v>0.96</v>
      </c>
      <c r="H129" s="374">
        <f t="shared" si="4"/>
        <v>0.96</v>
      </c>
      <c r="I129" s="252">
        <f>IFERROR(IF($E129="Inventory",VLOOKUP($C129,Inventory!$B:$I,8,FALSE()),IF($E129="Non Inventory",VLOOKUP($C129,'Non Inventory'!$B:$I,8,FALSE()),IF($E129="Services",VLOOKUP($C129,Services!$B:$I,8,FALSE()),IF($E129="Patty Cash",VLOOKUP($C129,'Patty Cash'!$B:$J,8,FALSE()),0)))),0)</f>
        <v>418</v>
      </c>
      <c r="J129" s="252">
        <f t="shared" si="5"/>
        <v>401.28</v>
      </c>
      <c r="K129" s="253" t="s">
        <v>1354</v>
      </c>
      <c r="L129" s="253" t="s">
        <v>1196</v>
      </c>
      <c r="M129" s="253" t="s">
        <v>1323</v>
      </c>
      <c r="N129" s="328" t="s">
        <v>1529</v>
      </c>
    </row>
    <row r="130" spans="1:14" ht="20.100000000000001" customHeight="1">
      <c r="A130" s="327">
        <f>IF(AND($B130="",$C130=""),"",MAX($A$3:A129)+1)</f>
        <v>127</v>
      </c>
      <c r="B130" s="262">
        <v>46158</v>
      </c>
      <c r="C130" s="253" t="s">
        <v>1442</v>
      </c>
      <c r="D130" s="249" t="str">
        <f>IFERROR(IF($E130="Inventory",VLOOKUP($C130,Inventory!$B:$I,2,FALSE()),IF($E130="Non Inventory",VLOOKUP($C130,'Non Inventory'!$B:$I,2,FALSE()),IF($E130="Services",VLOOKUP($C130,Services!$B:$I,2,FALSE()),IF($E130="Patty Cash",VLOOKUP($C130,'Patty Cash'!$B:$J,2,FALSE()),"")))),"")</f>
        <v>Welding Gloves (1pair)</v>
      </c>
      <c r="E130" s="254" t="s">
        <v>1327</v>
      </c>
      <c r="F130" s="263" t="str">
        <f>IFERROR(IF($E130="Inventory",VLOOKUP($C130,Inventory!$B:$I,3,FALSE()),IF($E130="Non Inventory",VLOOKUP($C130,'Non Inventory'!$B:$I,3,FALSE()),IF($E130="Services",VLOOKUP($C130,Services!$B:$I,3,FALSE()),IF($E130="Patty Cash",VLOOKUP($C130,'Patty Cash'!$B:$J,3,FALSE()),"")))),"")</f>
        <v>PAIR</v>
      </c>
      <c r="G130" s="374">
        <v>1</v>
      </c>
      <c r="H130" s="374">
        <f t="shared" si="4"/>
        <v>1</v>
      </c>
      <c r="I130" s="252">
        <f>IFERROR(IF($E130="Inventory",VLOOKUP($C130,Inventory!$B:$I,8,FALSE()),IF($E130="Non Inventory",VLOOKUP($C130,'Non Inventory'!$B:$I,8,FALSE()),IF($E130="Services",VLOOKUP($C130,Services!$B:$I,8,FALSE()),IF($E130="Patty Cash",VLOOKUP($C130,'Patty Cash'!$B:$J,8,FALSE()),0)))),0)</f>
        <v>400</v>
      </c>
      <c r="J130" s="252">
        <v>400</v>
      </c>
      <c r="K130" s="253" t="s">
        <v>1354</v>
      </c>
      <c r="L130" s="253" t="s">
        <v>1196</v>
      </c>
      <c r="M130" s="253" t="s">
        <v>1323</v>
      </c>
      <c r="N130" s="328" t="s">
        <v>1529</v>
      </c>
    </row>
    <row r="131" spans="1:14" ht="20.100000000000001" customHeight="1">
      <c r="A131" s="327">
        <f>IF(AND($B131="",$C131=""),"",MAX($A$3:A130)+1)</f>
        <v>128</v>
      </c>
      <c r="B131" s="262">
        <v>46160</v>
      </c>
      <c r="C131" s="253" t="s">
        <v>1443</v>
      </c>
      <c r="D131" s="249" t="str">
        <f>IFERROR(IF($E131="Inventory",VLOOKUP($C131,Inventory!$B:$I,2,FALSE()),IF($E131="Non Inventory",VLOOKUP($C131,'Non Inventory'!$B:$I,2,FALSE()),IF($E131="Services",VLOOKUP($C131,Services!$B:$I,2,FALSE()),IF($E131="Patty Cash",VLOOKUP($C131,'Patty Cash'!$B:$J,2,FALSE()),"")))),"")</f>
        <v>Allen Key L Type 3/16'' (1pc)</v>
      </c>
      <c r="E131" s="254" t="s">
        <v>1327</v>
      </c>
      <c r="F131" s="263" t="str">
        <f>IFERROR(IF($E131="Inventory",VLOOKUP($C131,Inventory!$B:$I,3,FALSE()),IF($E131="Non Inventory",VLOOKUP($C131,'Non Inventory'!$B:$I,3,FALSE()),IF($E131="Services",VLOOKUP($C131,Services!$B:$I,3,FALSE()),IF($E131="Patty Cash",VLOOKUP($C131,'Patty Cash'!$B:$J,3,FALSE()),"")))),"")</f>
        <v>PCS</v>
      </c>
      <c r="G131" s="374">
        <v>1</v>
      </c>
      <c r="H131" s="374">
        <f t="shared" si="4"/>
        <v>1</v>
      </c>
      <c r="I131" s="252">
        <f>IFERROR(IF($E131="Inventory",VLOOKUP($C131,Inventory!$B:$I,8,FALSE()),IF($E131="Non Inventory",VLOOKUP($C131,'Non Inventory'!$B:$I,8,FALSE()),IF($E131="Services",VLOOKUP($C131,Services!$B:$I,8,FALSE()),IF($E131="Patty Cash",VLOOKUP($C131,'Patty Cash'!$B:$J,8,FALSE()),0)))),0)</f>
        <v>170</v>
      </c>
      <c r="J131" s="252">
        <f t="shared" si="5"/>
        <v>170</v>
      </c>
      <c r="K131" s="253" t="s">
        <v>1354</v>
      </c>
      <c r="L131" s="253" t="s">
        <v>1196</v>
      </c>
      <c r="M131" s="253" t="s">
        <v>1266</v>
      </c>
      <c r="N131" s="328" t="s">
        <v>1529</v>
      </c>
    </row>
    <row r="132" spans="1:14" ht="20.100000000000001" customHeight="1">
      <c r="A132" s="327">
        <f>IF(AND($B132="",$C132=""),"",MAX($A$3:A131)+1)</f>
        <v>129</v>
      </c>
      <c r="B132" s="262">
        <v>46160</v>
      </c>
      <c r="C132" s="253" t="s">
        <v>1444</v>
      </c>
      <c r="D132" s="249" t="str">
        <f>IFERROR(IF($E132="Inventory",VLOOKUP($C132,Inventory!$B:$I,2,FALSE()),IF($E132="Non Inventory",VLOOKUP($C132,'Non Inventory'!$B:$I,2,FALSE()),IF($E132="Services",VLOOKUP($C132,Services!$B:$I,2,FALSE()),IF($E132="Patty Cash",VLOOKUP($C132,'Patty Cash'!$B:$J,2,FALSE()),"")))),"")</f>
        <v>Conveyance</v>
      </c>
      <c r="E132" s="254" t="s">
        <v>1327</v>
      </c>
      <c r="F132" s="263" t="str">
        <f>IFERROR(IF($E132="Inventory",VLOOKUP($C132,Inventory!$B:$I,3,FALSE()),IF($E132="Non Inventory",VLOOKUP($C132,'Non Inventory'!$B:$I,3,FALSE()),IF($E132="Services",VLOOKUP($C132,Services!$B:$I,3,FALSE()),IF($E132="Patty Cash",VLOOKUP($C132,'Patty Cash'!$B:$J,3,FALSE()),"")))),"")</f>
        <v>LTR</v>
      </c>
      <c r="G132" s="374">
        <v>0.84099999999999997</v>
      </c>
      <c r="H132" s="374">
        <f t="shared" si="4"/>
        <v>0.84099999999999997</v>
      </c>
      <c r="I132" s="252">
        <f>IFERROR(IF($E132="Inventory",VLOOKUP($C132,Inventory!$B:$I,8,FALSE()),IF($E132="Non Inventory",VLOOKUP($C132,'Non Inventory'!$B:$I,8,FALSE()),IF($E132="Services",VLOOKUP($C132,Services!$B:$I,8,FALSE()),IF($E132="Patty Cash",VLOOKUP($C132,'Patty Cash'!$B:$J,8,FALSE()),0)))),0)</f>
        <v>418</v>
      </c>
      <c r="J132" s="252">
        <f t="shared" si="5"/>
        <v>351.53800000000001</v>
      </c>
      <c r="K132" s="253" t="s">
        <v>1354</v>
      </c>
      <c r="L132" s="253" t="s">
        <v>1196</v>
      </c>
      <c r="M132" s="253" t="s">
        <v>1266</v>
      </c>
      <c r="N132" s="328" t="s">
        <v>1529</v>
      </c>
    </row>
    <row r="133" spans="1:14" ht="20.100000000000001" customHeight="1">
      <c r="A133" s="327">
        <f>IF(AND($B133="",$C133=""),"",MAX($A$3:A132)+1)</f>
        <v>130</v>
      </c>
      <c r="B133" s="262">
        <v>46160</v>
      </c>
      <c r="C133" s="253" t="s">
        <v>1481</v>
      </c>
      <c r="D133" s="249" t="str">
        <f>IFERROR(IF($E133="Inventory",VLOOKUP($C133,Inventory!$B:$I,2,FALSE()),IF($E133="Non Inventory",VLOOKUP($C133,'Non Inventory'!$B:$I,2,FALSE()),IF($E133="Services",VLOOKUP($C133,Services!$B:$I,2,FALSE()),IF($E133="Patty Cash",VLOOKUP($C133,'Patty Cash'!$B:$J,2,FALSE()),"")))),"")</f>
        <v>Oil Seal 35-62-8 (2pcs)</v>
      </c>
      <c r="E133" s="254" t="s">
        <v>1327</v>
      </c>
      <c r="F133" s="263" t="str">
        <f>IFERROR(IF($E133="Inventory",VLOOKUP($C133,Inventory!$B:$I,3,FALSE()),IF($E133="Non Inventory",VLOOKUP($C133,'Non Inventory'!$B:$I,3,FALSE()),IF($E133="Services",VLOOKUP($C133,Services!$B:$I,3,FALSE()),IF($E133="Patty Cash",VLOOKUP($C133,'Patty Cash'!$B:$J,3,FALSE()),"")))),"")</f>
        <v>PCS</v>
      </c>
      <c r="G133" s="374">
        <v>0.84</v>
      </c>
      <c r="H133" s="374">
        <f t="shared" si="4"/>
        <v>0.84</v>
      </c>
      <c r="I133" s="252">
        <f>IFERROR(IF($E133="Inventory",VLOOKUP($C133,Inventory!$B:$I,8,FALSE()),IF($E133="Non Inventory",VLOOKUP($C133,'Non Inventory'!$B:$I,8,FALSE()),IF($E133="Services",VLOOKUP($C133,Services!$B:$I,8,FALSE()),IF($E133="Patty Cash",VLOOKUP($C133,'Patty Cash'!$B:$J,8,FALSE()),0)))),0)</f>
        <v>280</v>
      </c>
      <c r="J133" s="252">
        <v>350</v>
      </c>
      <c r="K133" s="253" t="s">
        <v>1528</v>
      </c>
      <c r="L133" s="253" t="s">
        <v>1196</v>
      </c>
      <c r="M133" s="253" t="s">
        <v>1266</v>
      </c>
      <c r="N133" s="328" t="s">
        <v>1529</v>
      </c>
    </row>
    <row r="134" spans="1:14" ht="20.100000000000001" customHeight="1">
      <c r="A134" s="327">
        <f>IF(AND($B134="",$C134=""),"",MAX($A$3:A133)+1)</f>
        <v>131</v>
      </c>
      <c r="B134" s="262">
        <v>46162</v>
      </c>
      <c r="C134" s="253" t="s">
        <v>1482</v>
      </c>
      <c r="D134" s="249" t="str">
        <f>IFERROR(IF($E134="Inventory",VLOOKUP($C134,Inventory!$B:$I,2,FALSE()),IF($E134="Non Inventory",VLOOKUP($C134,'Non Inventory'!$B:$I,2,FALSE()),IF($E134="Services",VLOOKUP($C134,Services!$B:$I,2,FALSE()),IF($E134="Patty Cash",VLOOKUP($C134,'Patty Cash'!$B:$J,2,FALSE()),"")))),"")</f>
        <v>Measurement Tape 5meter (1pc)</v>
      </c>
      <c r="E134" s="254" t="s">
        <v>1327</v>
      </c>
      <c r="F134" s="263" t="str">
        <f>IFERROR(IF($E134="Inventory",VLOOKUP($C134,Inventory!$B:$I,3,FALSE()),IF($E134="Non Inventory",VLOOKUP($C134,'Non Inventory'!$B:$I,3,FALSE()),IF($E134="Services",VLOOKUP($C134,Services!$B:$I,3,FALSE()),IF($E134="Patty Cash",VLOOKUP($C134,'Patty Cash'!$B:$J,3,FALSE()),"")))),"")</f>
        <v>PCS</v>
      </c>
      <c r="G134" s="374">
        <v>2</v>
      </c>
      <c r="H134" s="374">
        <f t="shared" si="4"/>
        <v>2</v>
      </c>
      <c r="I134" s="252">
        <f>IFERROR(IF($E134="Inventory",VLOOKUP($C134,Inventory!$B:$I,8,FALSE()),IF($E134="Non Inventory",VLOOKUP($C134,'Non Inventory'!$B:$I,8,FALSE()),IF($E134="Services",VLOOKUP($C134,Services!$B:$I,8,FALSE()),IF($E134="Patty Cash",VLOOKUP($C134,'Patty Cash'!$B:$J,8,FALSE()),0)))),0)</f>
        <v>380</v>
      </c>
      <c r="J134" s="252">
        <f t="shared" si="5"/>
        <v>760</v>
      </c>
      <c r="K134" s="253" t="s">
        <v>1354</v>
      </c>
      <c r="L134" s="253" t="s">
        <v>1196</v>
      </c>
      <c r="M134" s="253" t="s">
        <v>1323</v>
      </c>
      <c r="N134" s="328" t="s">
        <v>1529</v>
      </c>
    </row>
    <row r="135" spans="1:14" ht="20.100000000000001" customHeight="1">
      <c r="A135" s="327">
        <f>IF(AND($B135="",$C135=""),"",MAX($A$3:A134)+1)</f>
        <v>132</v>
      </c>
      <c r="B135" s="262">
        <v>46162</v>
      </c>
      <c r="C135" s="253" t="s">
        <v>1483</v>
      </c>
      <c r="D135" s="249" t="str">
        <f>IFERROR(IF($E135="Inventory",VLOOKUP($C135,Inventory!$B:$I,2,FALSE()),IF($E135="Non Inventory",VLOOKUP($C135,'Non Inventory'!$B:$I,2,FALSE()),IF($E135="Services",VLOOKUP($C135,Services!$B:$I,2,FALSE()),IF($E135="Patty Cash",VLOOKUP($C135,'Patty Cash'!$B:$J,2,FALSE()),"")))),"")</f>
        <v>Electric Tester (1pc)</v>
      </c>
      <c r="E135" s="254" t="s">
        <v>1327</v>
      </c>
      <c r="F135" s="263" t="str">
        <f>IFERROR(IF($E135="Inventory",VLOOKUP($C135,Inventory!$B:$I,3,FALSE()),IF($E135="Non Inventory",VLOOKUP($C135,'Non Inventory'!$B:$I,3,FALSE()),IF($E135="Services",VLOOKUP($C135,Services!$B:$I,3,FALSE()),IF($E135="Patty Cash",VLOOKUP($C135,'Patty Cash'!$B:$J,3,FALSE()),"")))),"")</f>
        <v>PCS</v>
      </c>
      <c r="G135" s="374">
        <v>1</v>
      </c>
      <c r="H135" s="374">
        <f t="shared" si="4"/>
        <v>1</v>
      </c>
      <c r="I135" s="252">
        <f>IFERROR(IF($E135="Inventory",VLOOKUP($C135,Inventory!$B:$I,8,FALSE()),IF($E135="Non Inventory",VLOOKUP($C135,'Non Inventory'!$B:$I,8,FALSE()),IF($E135="Services",VLOOKUP($C135,Services!$B:$I,8,FALSE()),IF($E135="Patty Cash",VLOOKUP($C135,'Patty Cash'!$B:$J,8,FALSE()),0)))),0)</f>
        <v>70</v>
      </c>
      <c r="J135" s="252">
        <f t="shared" si="5"/>
        <v>70</v>
      </c>
      <c r="K135" s="253" t="s">
        <v>1354</v>
      </c>
      <c r="L135" s="253" t="s">
        <v>1196</v>
      </c>
      <c r="M135" s="253" t="s">
        <v>1323</v>
      </c>
      <c r="N135" s="328" t="s">
        <v>1529</v>
      </c>
    </row>
    <row r="136" spans="1:14" ht="20.100000000000001" customHeight="1">
      <c r="A136" s="327">
        <f>IF(AND($B136="",$C136=""),"",MAX($A$3:A135)+1)</f>
        <v>133</v>
      </c>
      <c r="B136" s="262">
        <v>46162</v>
      </c>
      <c r="C136" s="253" t="s">
        <v>1484</v>
      </c>
      <c r="D136" s="249" t="str">
        <f>IFERROR(IF($E136="Inventory",VLOOKUP($C136,Inventory!$B:$I,2,FALSE()),IF($E136="Non Inventory",VLOOKUP($C136,'Non Inventory'!$B:$I,2,FALSE()),IF($E136="Services",VLOOKUP($C136,Services!$B:$I,2,FALSE()),IF($E136="Patty Cash",VLOOKUP($C136,'Patty Cash'!$B:$J,2,FALSE()),"")))),"")</f>
        <v>Piano Socket (4pcs)</v>
      </c>
      <c r="E136" s="254" t="s">
        <v>1327</v>
      </c>
      <c r="F136" s="263" t="str">
        <f>IFERROR(IF($E136="Inventory",VLOOKUP($C136,Inventory!$B:$I,3,FALSE()),IF($E136="Non Inventory",VLOOKUP($C136,'Non Inventory'!$B:$I,3,FALSE()),IF($E136="Services",VLOOKUP($C136,Services!$B:$I,3,FALSE()),IF($E136="Patty Cash",VLOOKUP($C136,'Patty Cash'!$B:$J,3,FALSE()),"")))),"")</f>
        <v>PCS</v>
      </c>
      <c r="G136" s="374">
        <v>1</v>
      </c>
      <c r="H136" s="374">
        <f t="shared" si="4"/>
        <v>1</v>
      </c>
      <c r="I136" s="252">
        <f>IFERROR(IF($E136="Inventory",VLOOKUP($C136,Inventory!$B:$I,8,FALSE()),IF($E136="Non Inventory",VLOOKUP($C136,'Non Inventory'!$B:$I,8,FALSE()),IF($E136="Services",VLOOKUP($C136,Services!$B:$I,8,FALSE()),IF($E136="Patty Cash",VLOOKUP($C136,'Patty Cash'!$B:$J,8,FALSE()),0)))),0)</f>
        <v>55</v>
      </c>
      <c r="J136" s="252">
        <f t="shared" si="5"/>
        <v>55</v>
      </c>
      <c r="K136" s="253" t="s">
        <v>1521</v>
      </c>
      <c r="L136" s="253" t="s">
        <v>1207</v>
      </c>
      <c r="M136" s="253" t="s">
        <v>1323</v>
      </c>
      <c r="N136" s="328" t="s">
        <v>1529</v>
      </c>
    </row>
    <row r="137" spans="1:14" ht="20.100000000000001" customHeight="1">
      <c r="A137" s="327">
        <f>IF(AND($B137="",$C137=""),"",MAX($A$3:A136)+1)</f>
        <v>134</v>
      </c>
      <c r="B137" s="262">
        <v>46162</v>
      </c>
      <c r="C137" s="253" t="s">
        <v>1485</v>
      </c>
      <c r="D137" s="249" t="str">
        <f>IFERROR(IF($E137="Inventory",VLOOKUP($C137,Inventory!$B:$I,2,FALSE()),IF($E137="Non Inventory",VLOOKUP($C137,'Non Inventory'!$B:$I,2,FALSE()),IF($E137="Services",VLOOKUP($C137,Services!$B:$I,2,FALSE()),IF($E137="Patty Cash",VLOOKUP($C137,'Patty Cash'!$B:$J,2,FALSE()),"")))),"")</f>
        <v>Conveyance</v>
      </c>
      <c r="E137" s="254" t="s">
        <v>1327</v>
      </c>
      <c r="F137" s="263" t="str">
        <f>IFERROR(IF($E137="Inventory",VLOOKUP($C137,Inventory!$B:$I,3,FALSE()),IF($E137="Non Inventory",VLOOKUP($C137,'Non Inventory'!$B:$I,3,FALSE()),IF($E137="Services",VLOOKUP($C137,Services!$B:$I,3,FALSE()),IF($E137="Patty Cash",VLOOKUP($C137,'Patty Cash'!$B:$J,3,FALSE()),"")))),"")</f>
        <v>LTR</v>
      </c>
      <c r="G137" s="374">
        <v>0.84099999999999997</v>
      </c>
      <c r="H137" s="374">
        <f t="shared" si="4"/>
        <v>0.84099999999999997</v>
      </c>
      <c r="I137" s="252">
        <f>IFERROR(IF($E137="Inventory",VLOOKUP($C137,Inventory!$B:$I,8,FALSE()),IF($E137="Non Inventory",VLOOKUP($C137,'Non Inventory'!$B:$I,8,FALSE()),IF($E137="Services",VLOOKUP($C137,Services!$B:$I,8,FALSE()),IF($E137="Patty Cash",VLOOKUP($C137,'Patty Cash'!$B:$J,8,FALSE()),0)))),0)</f>
        <v>418</v>
      </c>
      <c r="J137" s="252">
        <f t="shared" si="5"/>
        <v>351.53800000000001</v>
      </c>
      <c r="K137" s="253" t="s">
        <v>1521</v>
      </c>
      <c r="L137" s="253" t="s">
        <v>1207</v>
      </c>
      <c r="M137" s="253" t="s">
        <v>1323</v>
      </c>
      <c r="N137" s="328" t="s">
        <v>1529</v>
      </c>
    </row>
    <row r="138" spans="1:14" ht="20.100000000000001" customHeight="1">
      <c r="A138" s="327">
        <f>IF(AND($B138="",$C138=""),"",MAX($A$3:A137)+1)</f>
        <v>135</v>
      </c>
      <c r="B138" s="262">
        <v>46162</v>
      </c>
      <c r="C138" s="253" t="s">
        <v>1486</v>
      </c>
      <c r="D138" s="249" t="str">
        <f>IFERROR(IF($E138="Inventory",VLOOKUP($C138,Inventory!$B:$I,2,FALSE()),IF($E138="Non Inventory",VLOOKUP($C138,'Non Inventory'!$B:$I,2,FALSE()),IF($E138="Services",VLOOKUP($C138,Services!$B:$I,2,FALSE()),IF($E138="Patty Cash",VLOOKUP($C138,'Patty Cash'!$B:$J,2,FALSE()),"")))),"")</f>
        <v>Mechanical Seal 30mm G.2 (1pc)</v>
      </c>
      <c r="E138" s="254" t="s">
        <v>1327</v>
      </c>
      <c r="F138" s="263" t="str">
        <f>IFERROR(IF($E138="Inventory",VLOOKUP($C138,Inventory!$B:$I,3,FALSE()),IF($E138="Non Inventory",VLOOKUP($C138,'Non Inventory'!$B:$I,3,FALSE()),IF($E138="Services",VLOOKUP($C138,Services!$B:$I,3,FALSE()),IF($E138="Patty Cash",VLOOKUP($C138,'Patty Cash'!$B:$J,3,FALSE()),"")))),"")</f>
        <v>PCS</v>
      </c>
      <c r="G138" s="374">
        <v>0.72</v>
      </c>
      <c r="H138" s="374">
        <f t="shared" si="4"/>
        <v>0.72</v>
      </c>
      <c r="I138" s="252">
        <f>IFERROR(IF($E138="Inventory",VLOOKUP($C138,Inventory!$B:$I,8,FALSE()),IF($E138="Non Inventory",VLOOKUP($C138,'Non Inventory'!$B:$I,8,FALSE()),IF($E138="Services",VLOOKUP($C138,Services!$B:$I,8,FALSE()),IF($E138="Patty Cash",VLOOKUP($C138,'Patty Cash'!$B:$J,8,FALSE()),0)))),0)</f>
        <v>1850</v>
      </c>
      <c r="J138" s="252">
        <v>300</v>
      </c>
      <c r="K138" s="253" t="s">
        <v>1524</v>
      </c>
      <c r="L138" s="253" t="s">
        <v>1196</v>
      </c>
      <c r="M138" s="253" t="s">
        <v>1323</v>
      </c>
      <c r="N138" s="328" t="s">
        <v>1529</v>
      </c>
    </row>
    <row r="139" spans="1:14" ht="20.100000000000001" customHeight="1">
      <c r="A139" s="327">
        <f>IF(AND($B139="",$C139=""),"",MAX($A$3:A138)+1)</f>
        <v>136</v>
      </c>
      <c r="B139" s="262">
        <v>46167</v>
      </c>
      <c r="C139" s="253" t="s">
        <v>1487</v>
      </c>
      <c r="D139" s="249" t="str">
        <f>IFERROR(IF($E139="Inventory",VLOOKUP($C139,Inventory!$B:$I,2,FALSE()),IF($E139="Non Inventory",VLOOKUP($C139,'Non Inventory'!$B:$I,2,FALSE()),IF($E139="Services",VLOOKUP($C139,Services!$B:$I,2,FALSE()),IF($E139="Patty Cash",VLOOKUP($C139,'Patty Cash'!$B:$J,2,FALSE()),"")))),"")</f>
        <v>Hydrulic seal 18X26X5 (4pcs)</v>
      </c>
      <c r="E139" s="254" t="s">
        <v>1327</v>
      </c>
      <c r="F139" s="263" t="str">
        <f>IFERROR(IF($E139="Inventory",VLOOKUP($C139,Inventory!$B:$I,3,FALSE()),IF($E139="Non Inventory",VLOOKUP($C139,'Non Inventory'!$B:$I,3,FALSE()),IF($E139="Services",VLOOKUP($C139,Services!$B:$I,3,FALSE()),IF($E139="Patty Cash",VLOOKUP($C139,'Patty Cash'!$B:$J,3,FALSE()),"")))),"")</f>
        <v>PCS</v>
      </c>
      <c r="G139" s="374">
        <v>1</v>
      </c>
      <c r="H139" s="374">
        <f t="shared" si="4"/>
        <v>1</v>
      </c>
      <c r="I139" s="252">
        <f>IFERROR(IF($E139="Inventory",VLOOKUP($C139,Inventory!$B:$I,8,FALSE()),IF($E139="Non Inventory",VLOOKUP($C139,'Non Inventory'!$B:$I,8,FALSE()),IF($E139="Services",VLOOKUP($C139,Services!$B:$I,8,FALSE()),IF($E139="Patty Cash",VLOOKUP($C139,'Patty Cash'!$B:$J,8,FALSE()),0)))),0)</f>
        <v>183</v>
      </c>
      <c r="J139" s="252">
        <f t="shared" si="5"/>
        <v>183</v>
      </c>
      <c r="K139" s="253" t="s">
        <v>1516</v>
      </c>
      <c r="L139" s="253" t="s">
        <v>1196</v>
      </c>
      <c r="M139" s="253" t="s">
        <v>1323</v>
      </c>
      <c r="N139" s="328" t="s">
        <v>1529</v>
      </c>
    </row>
    <row r="140" spans="1:14" ht="20.100000000000001" customHeight="1">
      <c r="A140" s="327">
        <f>IF(AND($B140="",$C140=""),"",MAX($A$3:A139)+1)</f>
        <v>137</v>
      </c>
      <c r="B140" s="262">
        <v>46167</v>
      </c>
      <c r="C140" s="253" t="s">
        <v>1488</v>
      </c>
      <c r="D140" s="249" t="str">
        <f>IFERROR(IF($E140="Inventory",VLOOKUP($C140,Inventory!$B:$I,2,FALSE()),IF($E140="Non Inventory",VLOOKUP($C140,'Non Inventory'!$B:$I,2,FALSE()),IF($E140="Services",VLOOKUP($C140,Services!$B:$I,2,FALSE()),IF($E140="Patty Cash",VLOOKUP($C140,'Patty Cash'!$B:$J,2,FALSE()),"")))),"")</f>
        <v>Hydrulic seal 31.5X41.5 (4pcs)</v>
      </c>
      <c r="E140" s="254" t="s">
        <v>1327</v>
      </c>
      <c r="F140" s="263" t="str">
        <f>IFERROR(IF($E140="Inventory",VLOOKUP($C140,Inventory!$B:$I,3,FALSE()),IF($E140="Non Inventory",VLOOKUP($C140,'Non Inventory'!$B:$I,3,FALSE()),IF($E140="Services",VLOOKUP($C140,Services!$B:$I,3,FALSE()),IF($E140="Patty Cash",VLOOKUP($C140,'Patty Cash'!$B:$J,3,FALSE()),"")))),"")</f>
        <v>PCS</v>
      </c>
      <c r="G140" s="374">
        <v>4</v>
      </c>
      <c r="H140" s="374">
        <f t="shared" si="4"/>
        <v>4</v>
      </c>
      <c r="I140" s="252">
        <f>IFERROR(IF($E140="Inventory",VLOOKUP($C140,Inventory!$B:$I,8,FALSE()),IF($E140="Non Inventory",VLOOKUP($C140,'Non Inventory'!$B:$I,8,FALSE()),IF($E140="Services",VLOOKUP($C140,Services!$B:$I,8,FALSE()),IF($E140="Patty Cash",VLOOKUP($C140,'Patty Cash'!$B:$J,8,FALSE()),0)))),0)</f>
        <v>143</v>
      </c>
      <c r="J140" s="252">
        <f t="shared" si="5"/>
        <v>572</v>
      </c>
      <c r="K140" s="253" t="s">
        <v>1516</v>
      </c>
      <c r="L140" s="253" t="s">
        <v>1196</v>
      </c>
      <c r="M140" s="253" t="s">
        <v>1323</v>
      </c>
      <c r="N140" s="328" t="s">
        <v>1529</v>
      </c>
    </row>
    <row r="141" spans="1:14" ht="20.100000000000001" customHeight="1">
      <c r="A141" s="327">
        <f>IF(AND($B141="",$C141=""),"",MAX($A$3:A140)+1)</f>
        <v>138</v>
      </c>
      <c r="B141" s="262">
        <v>46167</v>
      </c>
      <c r="C141" s="253" t="s">
        <v>1489</v>
      </c>
      <c r="D141" s="249" t="str">
        <f>IFERROR(IF($E141="Inventory",VLOOKUP($C141,Inventory!$B:$I,2,FALSE()),IF($E141="Non Inventory",VLOOKUP($C141,'Non Inventory'!$B:$I,2,FALSE()),IF($E141="Services",VLOOKUP($C141,Services!$B:$I,2,FALSE()),IF($E141="Patty Cash",VLOOKUP($C141,'Patty Cash'!$B:$J,2,FALSE()),"")))),"")</f>
        <v>Conveyance</v>
      </c>
      <c r="E141" s="254" t="s">
        <v>1327</v>
      </c>
      <c r="F141" s="263" t="str">
        <f>IFERROR(IF($E141="Inventory",VLOOKUP($C141,Inventory!$B:$I,3,FALSE()),IF($E141="Non Inventory",VLOOKUP($C141,'Non Inventory'!$B:$I,3,FALSE()),IF($E141="Services",VLOOKUP($C141,Services!$B:$I,3,FALSE()),IF($E141="Patty Cash",VLOOKUP($C141,'Patty Cash'!$B:$J,3,FALSE()),"")))),"")</f>
        <v>LTR</v>
      </c>
      <c r="G141" s="374">
        <v>0.72114999999999996</v>
      </c>
      <c r="H141" s="374">
        <f t="shared" si="4"/>
        <v>0.72114999999999996</v>
      </c>
      <c r="I141" s="252">
        <f>IFERROR(IF($E141="Inventory",VLOOKUP($C141,Inventory!$B:$I,8,FALSE()),IF($E141="Non Inventory",VLOOKUP($C141,'Non Inventory'!$B:$I,8,FALSE()),IF($E141="Services",VLOOKUP($C141,Services!$B:$I,8,FALSE()),IF($E141="Patty Cash",VLOOKUP($C141,'Patty Cash'!$B:$J,8,FALSE()),0)))),0)</f>
        <v>418</v>
      </c>
      <c r="J141" s="252">
        <f t="shared" si="5"/>
        <v>301.44069999999999</v>
      </c>
      <c r="K141" s="253" t="s">
        <v>1516</v>
      </c>
      <c r="L141" s="253" t="s">
        <v>1196</v>
      </c>
      <c r="M141" s="253" t="s">
        <v>1323</v>
      </c>
      <c r="N141" s="328" t="s">
        <v>1529</v>
      </c>
    </row>
    <row r="142" spans="1:14" ht="20.100000000000001" customHeight="1">
      <c r="A142" s="327">
        <f>IF(AND($B142="",$C142=""),"",MAX($A$3:A141)+1)</f>
        <v>139</v>
      </c>
      <c r="B142" s="262">
        <v>46167</v>
      </c>
      <c r="C142" s="253" t="s">
        <v>1490</v>
      </c>
      <c r="D142" s="249" t="str">
        <f>IFERROR(IF($E142="Inventory",VLOOKUP($C142,Inventory!$B:$I,2,FALSE()),IF($E142="Non Inventory",VLOOKUP($C142,'Non Inventory'!$B:$I,2,FALSE()),IF($E142="Services",VLOOKUP($C142,Services!$B:$I,2,FALSE()),IF($E142="Patty Cash",VLOOKUP($C142,'Patty Cash'!$B:$J,2,FALSE()),"")))),"")</f>
        <v xml:space="preserve">Masterd Oil </v>
      </c>
      <c r="E142" s="254" t="s">
        <v>1327</v>
      </c>
      <c r="F142" s="263" t="str">
        <f>IFERROR(IF($E142="Inventory",VLOOKUP($C142,Inventory!$B:$I,3,FALSE()),IF($E142="Non Inventory",VLOOKUP($C142,'Non Inventory'!$B:$I,3,FALSE()),IF($E142="Services",VLOOKUP($C142,Services!$B:$I,3,FALSE()),IF($E142="Patty Cash",VLOOKUP($C142,'Patty Cash'!$B:$J,3,FALSE()),"")))),"")</f>
        <v>NOS</v>
      </c>
      <c r="G142" s="374">
        <v>0.72</v>
      </c>
      <c r="H142" s="374">
        <f t="shared" si="4"/>
        <v>0.72</v>
      </c>
      <c r="I142" s="252">
        <f>IFERROR(IF($E142="Inventory",VLOOKUP($C142,Inventory!$B:$I,8,FALSE()),IF($E142="Non Inventory",VLOOKUP($C142,'Non Inventory'!$B:$I,8,FALSE()),IF($E142="Services",VLOOKUP($C142,Services!$B:$I,8,FALSE()),IF($E142="Patty Cash",VLOOKUP($C142,'Patty Cash'!$B:$J,8,FALSE()),0)))),0)</f>
        <v>250</v>
      </c>
      <c r="J142" s="252">
        <v>300</v>
      </c>
      <c r="K142" s="253" t="s">
        <v>1524</v>
      </c>
      <c r="L142" s="253" t="s">
        <v>1196</v>
      </c>
      <c r="M142" s="253" t="s">
        <v>1323</v>
      </c>
      <c r="N142" s="328" t="s">
        <v>1529</v>
      </c>
    </row>
    <row r="143" spans="1:14" ht="20.100000000000001" customHeight="1">
      <c r="A143" s="327">
        <f>IF(AND($B143="",$C143=""),"",MAX($A$3:A142)+1)</f>
        <v>140</v>
      </c>
      <c r="B143" s="262">
        <v>46176</v>
      </c>
      <c r="C143" s="253">
        <v>27434</v>
      </c>
      <c r="D143" s="249" t="str">
        <f>IFERROR(IF($E143="Inventory",VLOOKUP($C143,Inventory!$B:$I,2,FALSE()),IF($E143="Non Inventory",VLOOKUP($C143,'Non Inventory'!$B:$I,2,FALSE()),IF($E143="Services",VLOOKUP($C143,Services!$B:$I,2,FALSE()),IF($E143="Patty Cash",VLOOKUP($C143,'Patty Cash'!$B:$J,2,FALSE()),"")))),"")</f>
        <v>RO Plant Membrance 4040 (4" X 40") (Make
Vontron China)</v>
      </c>
      <c r="E143" s="254" t="s">
        <v>7</v>
      </c>
      <c r="F143" s="263" t="str">
        <f>IFERROR(IF($E143="Inventory",VLOOKUP($C143,Inventory!$B:$I,3,FALSE()),IF($E143="Non Inventory",VLOOKUP($C143,'Non Inventory'!$B:$I,3,FALSE()),IF($E143="Services",VLOOKUP($C143,Services!$B:$I,3,FALSE()),IF($E143="Patty Cash",VLOOKUP($C143,'Patty Cash'!$B:$J,3,FALSE()),"")))),"")</f>
        <v>NOS</v>
      </c>
      <c r="G143" s="374">
        <v>3</v>
      </c>
      <c r="H143" s="374">
        <f t="shared" si="4"/>
        <v>3</v>
      </c>
      <c r="I143" s="252">
        <f>IFERROR(IF($E143="Inventory",VLOOKUP($C143,Inventory!$B:$I,8,FALSE()),IF($E143="Non Inventory",VLOOKUP($C143,'Non Inventory'!$B:$I,8,FALSE()),IF($E143="Services",VLOOKUP($C143,Services!$B:$I,8,FALSE()),IF($E143="Patty Cash",VLOOKUP($C143,'Patty Cash'!$B:$J,8,FALSE()),0)))),0)</f>
        <v>47000</v>
      </c>
      <c r="J143" s="252">
        <f t="shared" si="5"/>
        <v>141000</v>
      </c>
      <c r="K143" s="253" t="s">
        <v>1534</v>
      </c>
      <c r="L143" s="253" t="s">
        <v>1196</v>
      </c>
      <c r="M143" s="253" t="s">
        <v>1266</v>
      </c>
      <c r="N143" s="328" t="s">
        <v>1274</v>
      </c>
    </row>
    <row r="144" spans="1:14" ht="20.100000000000001" customHeight="1">
      <c r="A144" s="327">
        <f>IF(AND($B144="",$C144=""),"",MAX($A$3:A143)+1)</f>
        <v>141</v>
      </c>
      <c r="B144" s="262">
        <v>46175</v>
      </c>
      <c r="C144" s="253" t="s">
        <v>1535</v>
      </c>
      <c r="D144" s="249" t="str">
        <f>IFERROR(IF($E144="Inventory",VLOOKUP($C144,Inventory!$B:$I,2,FALSE()),IF($E144="Non Inventory",VLOOKUP($C144,'Non Inventory'!$B:$I,2,FALSE()),IF($E144="Services",VLOOKUP($C144,Services!$B:$I,2,FALSE()),IF($E144="Patty Cash",VLOOKUP($C144,'Patty Cash'!$B:$J,2,FALSE()),"")))),"")</f>
        <v xml:space="preserve">Chalk </v>
      </c>
      <c r="E144" s="254" t="s">
        <v>1327</v>
      </c>
      <c r="F144" s="263" t="str">
        <f>IFERROR(IF($E144="Inventory",VLOOKUP($C144,Inventory!$B:$I,3,FALSE()),IF($E144="Non Inventory",VLOOKUP($C144,'Non Inventory'!$B:$I,3,FALSE()),IF($E144="Services",VLOOKUP($C144,Services!$B:$I,3,FALSE()),IF($E144="Patty Cash",VLOOKUP($C144,'Patty Cash'!$B:$J,3,FALSE()),"")))),"")</f>
        <v>BOX</v>
      </c>
      <c r="G144" s="374">
        <v>1</v>
      </c>
      <c r="H144" s="374">
        <f t="shared" si="4"/>
        <v>1</v>
      </c>
      <c r="I144" s="252">
        <f>IFERROR(IF($E144="Inventory",VLOOKUP($C144,Inventory!$B:$I,8,FALSE()),IF($E144="Non Inventory",VLOOKUP($C144,'Non Inventory'!$B:$I,8,FALSE()),IF($E144="Services",VLOOKUP($C144,Services!$B:$I,8,FALSE()),IF($E144="Patty Cash",VLOOKUP($C144,'Patty Cash'!$B:$J,8,FALSE()),0)))),0)</f>
        <v>80</v>
      </c>
      <c r="J144" s="252">
        <f t="shared" si="5"/>
        <v>80</v>
      </c>
      <c r="K144" s="253" t="s">
        <v>1516</v>
      </c>
      <c r="L144" s="253" t="s">
        <v>1196</v>
      </c>
      <c r="M144" s="253" t="s">
        <v>1266</v>
      </c>
      <c r="N144" s="328" t="s">
        <v>1274</v>
      </c>
    </row>
    <row r="145" spans="1:14" ht="20.100000000000001" customHeight="1">
      <c r="A145" s="327">
        <f>IF(AND($B145="",$C145=""),"",MAX($A$3:A144)+1)</f>
        <v>142</v>
      </c>
      <c r="B145" s="262">
        <v>46175</v>
      </c>
      <c r="C145" s="253" t="s">
        <v>1536</v>
      </c>
      <c r="D145" s="249" t="str">
        <f>IFERROR(IF($E145="Inventory",VLOOKUP($C145,Inventory!$B:$I,2,FALSE()),IF($E145="Non Inventory",VLOOKUP($C145,'Non Inventory'!$B:$I,2,FALSE()),IF($E145="Services",VLOOKUP($C145,Services!$B:$I,2,FALSE()),IF($E145="Patty Cash",VLOOKUP($C145,'Patty Cash'!$B:$J,2,FALSE()),"")))),"")</f>
        <v>Conveyance</v>
      </c>
      <c r="E145" s="254" t="s">
        <v>1327</v>
      </c>
      <c r="F145" s="263" t="str">
        <f>IFERROR(IF($E145="Inventory",VLOOKUP($C145,Inventory!$B:$I,3,FALSE()),IF($E145="Non Inventory",VLOOKUP($C145,'Non Inventory'!$B:$I,3,FALSE()),IF($E145="Services",VLOOKUP($C145,Services!$B:$I,3,FALSE()),IF($E145="Patty Cash",VLOOKUP($C145,'Patty Cash'!$B:$J,3,FALSE()),"")))),"")</f>
        <v>LTR</v>
      </c>
      <c r="G145" s="374">
        <v>0.72124999999999995</v>
      </c>
      <c r="H145" s="374">
        <f t="shared" si="4"/>
        <v>0.72124999999999995</v>
      </c>
      <c r="I145" s="252">
        <f>IFERROR(IF($E145="Inventory",VLOOKUP($C145,Inventory!$B:$I,8,FALSE()),IF($E145="Non Inventory",VLOOKUP($C145,'Non Inventory'!$B:$I,8,FALSE()),IF($E145="Services",VLOOKUP($C145,Services!$B:$I,8,FALSE()),IF($E145="Patty Cash",VLOOKUP($C145,'Patty Cash'!$B:$J,8,FALSE()),0)))),0)</f>
        <v>416</v>
      </c>
      <c r="J145" s="252">
        <f t="shared" si="5"/>
        <v>300.03999999999996</v>
      </c>
      <c r="K145" s="253" t="s">
        <v>1639</v>
      </c>
      <c r="L145" s="253" t="s">
        <v>1196</v>
      </c>
      <c r="M145" s="253" t="s">
        <v>1266</v>
      </c>
      <c r="N145" s="328" t="s">
        <v>1274</v>
      </c>
    </row>
    <row r="146" spans="1:14" ht="20.100000000000001" customHeight="1">
      <c r="A146" s="327">
        <f>IF(AND($B146="",$C146=""),"",MAX($A$3:A145)+1)</f>
        <v>143</v>
      </c>
      <c r="B146" s="262">
        <v>46175</v>
      </c>
      <c r="C146" s="253" t="s">
        <v>1537</v>
      </c>
      <c r="D146" s="249" t="str">
        <f>IFERROR(IF($E146="Inventory",VLOOKUP($C146,Inventory!$B:$I,2,FALSE()),IF($E146="Non Inventory",VLOOKUP($C146,'Non Inventory'!$B:$I,2,FALSE()),IF($E146="Services",VLOOKUP($C146,Services!$B:$I,2,FALSE()),IF($E146="Patty Cash",VLOOKUP($C146,'Patty Cash'!$B:$J,2,FALSE()),"")))),"")</f>
        <v xml:space="preserve"> Batteries Water</v>
      </c>
      <c r="E146" s="254" t="s">
        <v>1327</v>
      </c>
      <c r="F146" s="263" t="str">
        <f>IFERROR(IF($E146="Inventory",VLOOKUP($C146,Inventory!$B:$I,3,FALSE()),IF($E146="Non Inventory",VLOOKUP($C146,'Non Inventory'!$B:$I,3,FALSE()),IF($E146="Services",VLOOKUP($C146,Services!$B:$I,3,FALSE()),IF($E146="Patty Cash",VLOOKUP($C146,'Patty Cash'!$B:$J,3,FALSE()),"")))),"")</f>
        <v>NOS</v>
      </c>
      <c r="G146" s="374">
        <v>0.72</v>
      </c>
      <c r="H146" s="374">
        <f t="shared" si="4"/>
        <v>0.72</v>
      </c>
      <c r="I146" s="252">
        <f>IFERROR(IF($E146="Inventory",VLOOKUP($C146,Inventory!$B:$I,8,FALSE()),IF($E146="Non Inventory",VLOOKUP($C146,'Non Inventory'!$B:$I,8,FALSE()),IF($E146="Services",VLOOKUP($C146,Services!$B:$I,8,FALSE()),IF($E146="Patty Cash",VLOOKUP($C146,'Patty Cash'!$B:$J,8,FALSE()),0)))),0)</f>
        <v>150</v>
      </c>
      <c r="J146" s="252">
        <v>300</v>
      </c>
      <c r="K146" s="253" t="s">
        <v>1516</v>
      </c>
      <c r="L146" s="253" t="s">
        <v>1196</v>
      </c>
      <c r="M146" s="253" t="s">
        <v>1266</v>
      </c>
      <c r="N146" s="328" t="s">
        <v>1274</v>
      </c>
    </row>
    <row r="147" spans="1:14" ht="20.100000000000001" customHeight="1">
      <c r="A147" s="327">
        <f>IF(AND($B147="",$C147=""),"",MAX($A$3:A146)+1)</f>
        <v>144</v>
      </c>
      <c r="B147" s="262">
        <v>46175</v>
      </c>
      <c r="C147" s="253" t="s">
        <v>1540</v>
      </c>
      <c r="D147" s="249" t="str">
        <f>IFERROR(IF($E147="Inventory",VLOOKUP($C147,Inventory!$B:$I,2,FALSE()),IF($E147="Non Inventory",VLOOKUP($C147,'Non Inventory'!$B:$I,2,FALSE()),IF($E147="Services",VLOOKUP($C147,Services!$B:$I,2,FALSE()),IF($E147="Patty Cash",VLOOKUP($C147,'Patty Cash'!$B:$J,2,FALSE()),"")))),"")</f>
        <v xml:space="preserve">Spring for Hand Pallet </v>
      </c>
      <c r="E147" s="254" t="s">
        <v>1327</v>
      </c>
      <c r="F147" s="263" t="str">
        <f>IFERROR(IF($E147="Inventory",VLOOKUP($C147,Inventory!$B:$I,3,FALSE()),IF($E147="Non Inventory",VLOOKUP($C147,'Non Inventory'!$B:$I,3,FALSE()),IF($E147="Services",VLOOKUP($C147,Services!$B:$I,3,FALSE()),IF($E147="Patty Cash",VLOOKUP($C147,'Patty Cash'!$B:$J,3,FALSE()),"")))),"")</f>
        <v>NOS</v>
      </c>
      <c r="G147" s="374">
        <v>6</v>
      </c>
      <c r="H147" s="374">
        <f t="shared" si="4"/>
        <v>6</v>
      </c>
      <c r="I147" s="252">
        <f>IFERROR(IF($E147="Inventory",VLOOKUP($C147,Inventory!$B:$I,8,FALSE()),IF($E147="Non Inventory",VLOOKUP($C147,'Non Inventory'!$B:$I,8,FALSE()),IF($E147="Services",VLOOKUP($C147,Services!$B:$I,8,FALSE()),IF($E147="Patty Cash",VLOOKUP($C147,'Patty Cash'!$B:$J,8,FALSE()),0)))),0)</f>
        <v>800</v>
      </c>
      <c r="J147" s="252">
        <f t="shared" si="5"/>
        <v>4800</v>
      </c>
      <c r="K147" s="253" t="s">
        <v>1616</v>
      </c>
      <c r="L147" s="253" t="s">
        <v>1196</v>
      </c>
      <c r="M147" s="253" t="s">
        <v>1266</v>
      </c>
      <c r="N147" s="328" t="s">
        <v>1274</v>
      </c>
    </row>
    <row r="148" spans="1:14" ht="20.100000000000001" customHeight="1">
      <c r="A148" s="327">
        <f>IF(AND($B148="",$C148=""),"",MAX($A$3:A147)+1)</f>
        <v>145</v>
      </c>
      <c r="B148" s="262">
        <v>46176</v>
      </c>
      <c r="C148" s="253" t="s">
        <v>1545</v>
      </c>
      <c r="D148" s="249" t="str">
        <f>IFERROR(IF($E148="Inventory",VLOOKUP($C148,Inventory!$B:$I,2,FALSE()),IF($E148="Non Inventory",VLOOKUP($C148,'Non Inventory'!$B:$I,2,FALSE()),IF($E148="Services",VLOOKUP($C148,Services!$B:$I,2,FALSE()),IF($E148="Patty Cash",VLOOKUP($C148,'Patty Cash'!$B:$J,2,FALSE()),"")))),"")</f>
        <v xml:space="preserve">Rawal Bolts </v>
      </c>
      <c r="E148" s="254" t="s">
        <v>1327</v>
      </c>
      <c r="F148" s="263" t="str">
        <f>IFERROR(IF($E148="Inventory",VLOOKUP($C148,Inventory!$B:$I,3,FALSE()),IF($E148="Non Inventory",VLOOKUP($C148,'Non Inventory'!$B:$I,3,FALSE()),IF($E148="Services",VLOOKUP($C148,Services!$B:$I,3,FALSE()),IF($E148="Patty Cash",VLOOKUP($C148,'Patty Cash'!$B:$J,3,FALSE()),"")))),"")</f>
        <v>NOS</v>
      </c>
      <c r="G148" s="374">
        <v>1</v>
      </c>
      <c r="H148" s="374">
        <f t="shared" si="4"/>
        <v>1</v>
      </c>
      <c r="I148" s="252">
        <f>IFERROR(IF($E148="Inventory",VLOOKUP($C148,Inventory!$B:$I,8,FALSE()),IF($E148="Non Inventory",VLOOKUP($C148,'Non Inventory'!$B:$I,8,FALSE()),IF($E148="Services",VLOOKUP($C148,Services!$B:$I,8,FALSE()),IF($E148="Patty Cash",VLOOKUP($C148,'Patty Cash'!$B:$J,8,FALSE()),0)))),0)</f>
        <v>45</v>
      </c>
      <c r="J148" s="252">
        <f t="shared" si="5"/>
        <v>45</v>
      </c>
      <c r="K148" s="253" t="s">
        <v>1559</v>
      </c>
      <c r="L148" s="253" t="s">
        <v>1196</v>
      </c>
      <c r="M148" s="253" t="s">
        <v>1266</v>
      </c>
      <c r="N148" s="328" t="s">
        <v>1274</v>
      </c>
    </row>
    <row r="149" spans="1:14" ht="20.100000000000001" customHeight="1">
      <c r="A149" s="327">
        <f>IF(AND($B149="",$C149=""),"",MAX($A$3:A148)+1)</f>
        <v>146</v>
      </c>
      <c r="B149" s="262">
        <v>46176</v>
      </c>
      <c r="C149" s="253" t="s">
        <v>1557</v>
      </c>
      <c r="D149" s="249" t="str">
        <f>IFERROR(IF($E149="Inventory",VLOOKUP($C149,Inventory!$B:$I,2,FALSE()),IF($E149="Non Inventory",VLOOKUP($C149,'Non Inventory'!$B:$I,2,FALSE()),IF($E149="Services",VLOOKUP($C149,Services!$B:$I,2,FALSE()),IF($E149="Patty Cash",VLOOKUP($C149,'Patty Cash'!$B:$J,2,FALSE()),"")))),"")</f>
        <v>Conveyance</v>
      </c>
      <c r="E149" s="254" t="s">
        <v>1327</v>
      </c>
      <c r="F149" s="263" t="str">
        <f>IFERROR(IF($E149="Inventory",VLOOKUP($C149,Inventory!$B:$I,3,FALSE()),IF($E149="Non Inventory",VLOOKUP($C149,'Non Inventory'!$B:$I,3,FALSE()),IF($E149="Services",VLOOKUP($C149,Services!$B:$I,3,FALSE()),IF($E149="Patty Cash",VLOOKUP($C149,'Patty Cash'!$B:$J,3,FALSE()),"")))),"")</f>
        <v>LTR</v>
      </c>
      <c r="G149" s="374">
        <v>0.6</v>
      </c>
      <c r="H149" s="374">
        <f t="shared" si="4"/>
        <v>0.6</v>
      </c>
      <c r="I149" s="252">
        <f>IFERROR(IF($E149="Inventory",VLOOKUP($C149,Inventory!$B:$I,8,FALSE()),IF($E149="Non Inventory",VLOOKUP($C149,'Non Inventory'!$B:$I,8,FALSE()),IF($E149="Services",VLOOKUP($C149,Services!$B:$I,8,FALSE()),IF($E149="Patty Cash",VLOOKUP($C149,'Patty Cash'!$B:$J,8,FALSE()),0)))),0)</f>
        <v>416</v>
      </c>
      <c r="J149" s="252">
        <f t="shared" si="5"/>
        <v>249.6</v>
      </c>
      <c r="K149" s="253" t="s">
        <v>1562</v>
      </c>
      <c r="L149" s="253" t="s">
        <v>1196</v>
      </c>
      <c r="M149" s="253" t="s">
        <v>1266</v>
      </c>
      <c r="N149" s="328" t="s">
        <v>1274</v>
      </c>
    </row>
    <row r="150" spans="1:14" ht="20.100000000000001" customHeight="1">
      <c r="A150" s="327">
        <f>IF(AND($B150="",$C150=""),"",MAX($A$3:A149)+1)</f>
        <v>147</v>
      </c>
      <c r="B150" s="262">
        <v>46177</v>
      </c>
      <c r="C150" s="253" t="s">
        <v>1561</v>
      </c>
      <c r="D150" s="249" t="str">
        <f>IFERROR(IF($E150="Inventory",VLOOKUP($C150,Inventory!$B:$I,2,FALSE()),IF($E150="Non Inventory",VLOOKUP($C150,'Non Inventory'!$B:$I,2,FALSE()),IF($E150="Services",VLOOKUP($C150,Services!$B:$I,2,FALSE()),IF($E150="Patty Cash",VLOOKUP($C150,'Patty Cash'!$B:$J,2,FALSE()),"")))),"")</f>
        <v>Dead Plug Size 1/2"</v>
      </c>
      <c r="E150" s="254" t="s">
        <v>1327</v>
      </c>
      <c r="F150" s="263" t="str">
        <f>IFERROR(IF($E150="Inventory",VLOOKUP($C150,Inventory!$B:$I,3,FALSE()),IF($E150="Non Inventory",VLOOKUP($C150,'Non Inventory'!$B:$I,3,FALSE()),IF($E150="Services",VLOOKUP($C150,Services!$B:$I,3,FALSE()),IF($E150="Patty Cash",VLOOKUP($C150,'Patty Cash'!$B:$J,3,FALSE()),"")))),"")</f>
        <v>NOS</v>
      </c>
      <c r="G150" s="374">
        <v>0.6</v>
      </c>
      <c r="H150" s="374">
        <f t="shared" si="4"/>
        <v>0.6</v>
      </c>
      <c r="I150" s="252">
        <f>IFERROR(IF($E150="Inventory",VLOOKUP($C150,Inventory!$B:$I,8,FALSE()),IF($E150="Non Inventory",VLOOKUP($C150,'Non Inventory'!$B:$I,8,FALSE()),IF($E150="Services",VLOOKUP($C150,Services!$B:$I,8,FALSE()),IF($E150="Patty Cash",VLOOKUP($C150,'Patty Cash'!$B:$J,8,FALSE()),0)))),0)</f>
        <v>50</v>
      </c>
      <c r="J150" s="252">
        <f t="shared" si="5"/>
        <v>30</v>
      </c>
      <c r="K150" s="253" t="s">
        <v>1566</v>
      </c>
      <c r="L150" s="253" t="s">
        <v>1196</v>
      </c>
      <c r="M150" s="253" t="s">
        <v>1323</v>
      </c>
      <c r="N150" s="328" t="s">
        <v>1274</v>
      </c>
    </row>
    <row r="151" spans="1:14" ht="20.100000000000001" customHeight="1">
      <c r="A151" s="327">
        <f>IF(AND($B151="",$C151=""),"",MAX($A$3:A150)+1)</f>
        <v>148</v>
      </c>
      <c r="B151" s="262">
        <v>46178</v>
      </c>
      <c r="C151" s="253" t="s">
        <v>1565</v>
      </c>
      <c r="D151" s="249" t="str">
        <f>IFERROR(IF($E151="Inventory",VLOOKUP($C151,Inventory!$B:$I,2,FALSE()),IF($E151="Non Inventory",VLOOKUP($C151,'Non Inventory'!$B:$I,2,FALSE()),IF($E151="Services",VLOOKUP($C151,Services!$B:$I,2,FALSE()),IF($E151="Patty Cash",VLOOKUP($C151,'Patty Cash'!$B:$J,2,FALSE()),"")))),"")</f>
        <v>Dead Plug Size 3/4"</v>
      </c>
      <c r="E151" s="254" t="s">
        <v>1327</v>
      </c>
      <c r="F151" s="263" t="str">
        <f>IFERROR(IF($E151="Inventory",VLOOKUP($C151,Inventory!$B:$I,3,FALSE()),IF($E151="Non Inventory",VLOOKUP($C151,'Non Inventory'!$B:$I,3,FALSE()),IF($E151="Services",VLOOKUP($C151,Services!$B:$I,3,FALSE()),IF($E151="Patty Cash",VLOOKUP($C151,'Patty Cash'!$B:$J,3,FALSE()),"")))),"")</f>
        <v>NOS</v>
      </c>
      <c r="G151" s="374">
        <v>1</v>
      </c>
      <c r="H151" s="374">
        <f t="shared" si="4"/>
        <v>1</v>
      </c>
      <c r="I151" s="252">
        <f>IFERROR(IF($E151="Inventory",VLOOKUP($C151,Inventory!$B:$I,8,FALSE()),IF($E151="Non Inventory",VLOOKUP($C151,'Non Inventory'!$B:$I,8,FALSE()),IF($E151="Services",VLOOKUP($C151,Services!$B:$I,8,FALSE()),IF($E151="Patty Cash",VLOOKUP($C151,'Patty Cash'!$B:$J,8,FALSE()),0)))),0)</f>
        <v>70</v>
      </c>
      <c r="J151" s="252">
        <f t="shared" si="5"/>
        <v>70</v>
      </c>
      <c r="K151" s="253" t="s">
        <v>1566</v>
      </c>
      <c r="L151" s="253" t="s">
        <v>1196</v>
      </c>
      <c r="M151" s="253" t="s">
        <v>1266</v>
      </c>
      <c r="N151" s="328" t="s">
        <v>1274</v>
      </c>
    </row>
    <row r="152" spans="1:14" ht="20.100000000000001" customHeight="1">
      <c r="A152" s="327">
        <f>IF(AND($B152="",$C152=""),"",MAX($A$3:A151)+1)</f>
        <v>149</v>
      </c>
      <c r="B152" s="262">
        <v>46177</v>
      </c>
      <c r="C152" s="253">
        <v>3466</v>
      </c>
      <c r="D152" s="249" t="str">
        <f>IFERROR(IF($E152="Inventory",VLOOKUP($C152,Inventory!$B:$I,2,FALSE()),IF($E152="Non Inventory",VLOOKUP($C152,'Non Inventory'!$B:$I,2,FALSE()),IF($E152="Services",VLOOKUP($C152,Services!$B:$I,2,FALSE()),IF($E152="Patty Cash",VLOOKUP($C152,'Patty Cash'!$B:$J,2,FALSE()),"")))),"")</f>
        <v>Ball Valve , S.S , Full Bore Threaded, Size 1 "</v>
      </c>
      <c r="E152" s="254" t="s">
        <v>7</v>
      </c>
      <c r="F152" s="263" t="str">
        <f>IFERROR(IF($E152="Inventory",VLOOKUP($C152,Inventory!$B:$I,3,FALSE()),IF($E152="Non Inventory",VLOOKUP($C152,'Non Inventory'!$B:$I,3,FALSE()),IF($E152="Services",VLOOKUP($C152,Services!$B:$I,3,FALSE()),IF($E152="Patty Cash",VLOOKUP($C152,'Patty Cash'!$B:$J,3,FALSE()),"")))),"")</f>
        <v>NOS</v>
      </c>
      <c r="G152" s="374">
        <v>3</v>
      </c>
      <c r="H152" s="374">
        <f t="shared" si="4"/>
        <v>3</v>
      </c>
      <c r="I152" s="252">
        <f>IFERROR(IF($E152="Inventory",VLOOKUP($C152,Inventory!$B:$I,8,FALSE()),IF($E152="Non Inventory",VLOOKUP($C152,'Non Inventory'!$B:$I,8,FALSE()),IF($E152="Services",VLOOKUP($C152,Services!$B:$I,8,FALSE()),IF($E152="Patty Cash",VLOOKUP($C152,'Patty Cash'!$B:$J,8,FALSE()),0)))),0)</f>
        <v>879</v>
      </c>
      <c r="J152" s="252">
        <f t="shared" si="5"/>
        <v>2637</v>
      </c>
      <c r="K152" s="253" t="s">
        <v>1276</v>
      </c>
      <c r="L152" s="253" t="s">
        <v>1196</v>
      </c>
      <c r="M152" s="253" t="s">
        <v>1323</v>
      </c>
      <c r="N152" s="328" t="s">
        <v>1274</v>
      </c>
    </row>
    <row r="153" spans="1:14" ht="20.100000000000001" customHeight="1">
      <c r="A153" s="327">
        <f>IF(AND($B153="",$C153=""),"",MAX($A$3:A152)+1)</f>
        <v>150</v>
      </c>
      <c r="B153" s="262">
        <v>46177</v>
      </c>
      <c r="C153" s="253">
        <v>3430</v>
      </c>
      <c r="D153" s="249" t="str">
        <f>IFERROR(IF($E153="Inventory",VLOOKUP($C153,Inventory!$B:$I,2,FALSE()),IF($E153="Non Inventory",VLOOKUP($C153,'Non Inventory'!$B:$I,2,FALSE()),IF($E153="Services",VLOOKUP($C153,Services!$B:$I,2,FALSE()),IF($E153="Patty Cash",VLOOKUP($C153,'Patty Cash'!$B:$J,2,FALSE()),"")))),"")</f>
        <v>Thread Roll</v>
      </c>
      <c r="E153" s="254" t="s">
        <v>7</v>
      </c>
      <c r="F153" s="263" t="str">
        <f>IFERROR(IF($E153="Inventory",VLOOKUP($C153,Inventory!$B:$I,3,FALSE()),IF($E153="Non Inventory",VLOOKUP($C153,'Non Inventory'!$B:$I,3,FALSE()),IF($E153="Services",VLOOKUP($C153,Services!$B:$I,3,FALSE()),IF($E153="Patty Cash",VLOOKUP($C153,'Patty Cash'!$B:$J,3,FALSE()),"")))),"")</f>
        <v>PCS</v>
      </c>
      <c r="G153" s="374">
        <v>40</v>
      </c>
      <c r="H153" s="374">
        <f t="shared" si="4"/>
        <v>40</v>
      </c>
      <c r="I153" s="252">
        <f>IFERROR(IF($E153="Inventory",VLOOKUP($C153,Inventory!$B:$I,8,FALSE()),IF($E153="Non Inventory",VLOOKUP($C153,'Non Inventory'!$B:$I,8,FALSE()),IF($E153="Services",VLOOKUP($C153,Services!$B:$I,8,FALSE()),IF($E153="Patty Cash",VLOOKUP($C153,'Patty Cash'!$B:$J,8,FALSE()),0)))),0)</f>
        <v>220</v>
      </c>
      <c r="J153" s="252">
        <f t="shared" si="5"/>
        <v>8800</v>
      </c>
      <c r="K153" s="253" t="s">
        <v>1269</v>
      </c>
      <c r="L153" s="253" t="s">
        <v>1196</v>
      </c>
      <c r="M153" s="253" t="s">
        <v>1323</v>
      </c>
      <c r="N153" s="328" t="s">
        <v>1641</v>
      </c>
    </row>
    <row r="154" spans="1:14" ht="20.100000000000001" customHeight="1">
      <c r="A154" s="327">
        <f>IF(AND($B154="",$C154=""),"",MAX($A$3:A153)+1)</f>
        <v>151</v>
      </c>
      <c r="B154" s="262">
        <v>46181</v>
      </c>
      <c r="C154" s="253">
        <v>21865</v>
      </c>
      <c r="D154" s="249" t="str">
        <f>IFERROR(IF($E154="Inventory",VLOOKUP($C154,Inventory!$B:$I,2,FALSE()),IF($E154="Non Inventory",VLOOKUP($C154,'Non Inventory'!$B:$I,2,FALSE()),IF($E154="Services",VLOOKUP($C154,Services!$B:$I,2,FALSE()),IF($E154="Patty Cash",VLOOKUP($C154,'Patty Cash'!$B:$J,2,FALSE()),"")))),"")</f>
        <v xml:space="preserve">Serv. Monthly Contract For Sng Plant Operation </v>
      </c>
      <c r="E154" s="254" t="s">
        <v>1280</v>
      </c>
      <c r="F154" s="263" t="str">
        <f>IFERROR(IF($E154="Inventory",VLOOKUP($C154,Inventory!$B:$I,3,FALSE()),IF($E154="Non Inventory",VLOOKUP($C154,'Non Inventory'!$B:$I,3,FALSE()),IF($E154="Services",VLOOKUP($C154,Services!$B:$I,3,FALSE()),IF($E154="Patty Cash",VLOOKUP($C154,'Patty Cash'!$B:$J,3,FALSE()),"")))),"")</f>
        <v>NOS</v>
      </c>
      <c r="G154" s="374">
        <v>1</v>
      </c>
      <c r="H154" s="374">
        <f t="shared" si="4"/>
        <v>1</v>
      </c>
      <c r="I154" s="252">
        <f>IFERROR(IF($E154="Inventory",VLOOKUP($C154,Inventory!$B:$I,8,FALSE()),IF($E154="Non Inventory",VLOOKUP($C154,'Non Inventory'!$B:$I,8,FALSE()),IF($E154="Services",VLOOKUP($C154,Services!$B:$I,8,FALSE()),IF($E154="Patty Cash",VLOOKUP($C154,'Patty Cash'!$B:$J,8,FALSE()),0)))),0)</f>
        <v>220000</v>
      </c>
      <c r="J154" s="252">
        <f t="shared" si="5"/>
        <v>220000</v>
      </c>
      <c r="K154" s="253" t="s">
        <v>1322</v>
      </c>
      <c r="L154" s="253" t="s">
        <v>1196</v>
      </c>
      <c r="M154" s="253" t="s">
        <v>1323</v>
      </c>
      <c r="N154" s="328" t="s">
        <v>1641</v>
      </c>
    </row>
    <row r="155" spans="1:14" ht="20.100000000000001" customHeight="1">
      <c r="A155" s="327">
        <f>IF(AND($B155="",$C155=""),"",MAX($A$3:A154)+1)</f>
        <v>152</v>
      </c>
      <c r="B155" s="262">
        <v>46181</v>
      </c>
      <c r="C155" s="253">
        <v>21845</v>
      </c>
      <c r="D155" s="249" t="str">
        <f>IFERROR(IF($E155="Inventory",VLOOKUP($C155,Inventory!$B:$I,2,FALSE()),IF($E155="Non Inventory",VLOOKUP($C155,'Non Inventory'!$B:$I,2,FALSE()),IF($E155="Services",VLOOKUP($C155,Services!$B:$I,2,FALSE()),IF($E155="Patty Cash",VLOOKUP($C155,'Patty Cash'!$B:$J,2,FALSE()),"")))),"")</f>
        <v>Serv. Waste Water Treatment Plant Annual
Operation &amp; Maintenance Contract</v>
      </c>
      <c r="E155" s="254" t="s">
        <v>1280</v>
      </c>
      <c r="F155" s="263" t="str">
        <f>IFERROR(IF($E155="Inventory",VLOOKUP($C155,Inventory!$B:$I,3,FALSE()),IF($E155="Non Inventory",VLOOKUP($C155,'Non Inventory'!$B:$I,3,FALSE()),IF($E155="Services",VLOOKUP($C155,Services!$B:$I,3,FALSE()),IF($E155="Patty Cash",VLOOKUP($C155,'Patty Cash'!$B:$J,3,FALSE()),"")))),"")</f>
        <v>JOB</v>
      </c>
      <c r="G155" s="374">
        <v>1</v>
      </c>
      <c r="H155" s="374">
        <f t="shared" si="4"/>
        <v>1</v>
      </c>
      <c r="I155" s="252">
        <f>IFERROR(IF($E155="Inventory",VLOOKUP($C155,Inventory!$B:$I,8,FALSE()),IF($E155="Non Inventory",VLOOKUP($C155,'Non Inventory'!$B:$I,8,FALSE()),IF($E155="Services",VLOOKUP($C155,Services!$B:$I,8,FALSE()),IF($E155="Patty Cash",VLOOKUP($C155,'Patty Cash'!$B:$J,8,FALSE()),0)))),0)</f>
        <v>160000</v>
      </c>
      <c r="J155" s="252">
        <f t="shared" si="5"/>
        <v>160000</v>
      </c>
      <c r="K155" s="253" t="s">
        <v>1309</v>
      </c>
      <c r="L155" s="253" t="s">
        <v>1196</v>
      </c>
      <c r="M155" s="253" t="s">
        <v>1323</v>
      </c>
      <c r="N155" s="328" t="s">
        <v>1641</v>
      </c>
    </row>
    <row r="156" spans="1:14" ht="20.100000000000001" customHeight="1">
      <c r="A156" s="327">
        <f>IF(AND($B156="",$C156=""),"",MAX($A$3:A155)+1)</f>
        <v>153</v>
      </c>
      <c r="B156" s="262">
        <v>46181</v>
      </c>
      <c r="C156" s="253" t="s">
        <v>1634</v>
      </c>
      <c r="D156" s="249" t="str">
        <f>IFERROR(IF($E156="Inventory",VLOOKUP($C156,Inventory!$B:$I,2,FALSE()),IF($E156="Non Inventory",VLOOKUP($C156,'Non Inventory'!$B:$I,2,FALSE()),IF($E156="Services",VLOOKUP($C156,Services!$B:$I,2,FALSE()),IF($E156="Patty Cash",VLOOKUP($C156,'Patty Cash'!$B:$J,2,FALSE()),"")))),"")</f>
        <v xml:space="preserve">Magic Varnish </v>
      </c>
      <c r="E156" s="254" t="s">
        <v>1327</v>
      </c>
      <c r="F156" s="263" t="str">
        <f>IFERROR(IF($E156="Inventory",VLOOKUP($C156,Inventory!$B:$I,3,FALSE()),IF($E156="Non Inventory",VLOOKUP($C156,'Non Inventory'!$B:$I,3,FALSE()),IF($E156="Services",VLOOKUP($C156,Services!$B:$I,3,FALSE()),IF($E156="Patty Cash",VLOOKUP($C156,'Patty Cash'!$B:$J,3,FALSE()),"")))),"")</f>
        <v>SET</v>
      </c>
      <c r="G156" s="374">
        <v>1</v>
      </c>
      <c r="H156" s="374">
        <f t="shared" si="4"/>
        <v>1</v>
      </c>
      <c r="I156" s="252">
        <f>IFERROR(IF($E156="Inventory",VLOOKUP($C156,Inventory!$B:$I,8,FALSE()),IF($E156="Non Inventory",VLOOKUP($C156,'Non Inventory'!$B:$I,8,FALSE()),IF($E156="Services",VLOOKUP($C156,Services!$B:$I,8,FALSE()),IF($E156="Patty Cash",VLOOKUP($C156,'Patty Cash'!$B:$J,8,FALSE()),0)))),0)</f>
        <v>250</v>
      </c>
      <c r="J156" s="252">
        <f t="shared" si="5"/>
        <v>250</v>
      </c>
      <c r="K156" s="253" t="s">
        <v>1636</v>
      </c>
      <c r="L156" s="253" t="s">
        <v>1207</v>
      </c>
      <c r="M156" s="253" t="s">
        <v>1323</v>
      </c>
      <c r="N156" s="328" t="s">
        <v>1274</v>
      </c>
    </row>
    <row r="157" spans="1:14" ht="20.100000000000001" customHeight="1">
      <c r="A157" s="327">
        <f>IF(AND($B157="",$C157=""),"",MAX($A$3:A156)+1)</f>
        <v>154</v>
      </c>
      <c r="B157" s="262">
        <v>46181</v>
      </c>
      <c r="C157" s="253" t="s">
        <v>1635</v>
      </c>
      <c r="D157" s="249" t="str">
        <f>IFERROR(IF($E157="Inventory",VLOOKUP($C157,Inventory!$B:$I,2,FALSE()),IF($E157="Non Inventory",VLOOKUP($C157,'Non Inventory'!$B:$I,2,FALSE()),IF($E157="Services",VLOOKUP($C157,Services!$B:$I,2,FALSE()),IF($E157="Patty Cash",VLOOKUP($C157,'Patty Cash'!$B:$J,2,FALSE()),"")))),"")</f>
        <v>Battery Terminals</v>
      </c>
      <c r="E157" s="254" t="s">
        <v>1327</v>
      </c>
      <c r="F157" s="263" t="str">
        <f>IFERROR(IF($E157="Inventory",VLOOKUP($C157,Inventory!$B:$I,3,FALSE()),IF($E157="Non Inventory",VLOOKUP($C157,'Non Inventory'!$B:$I,3,FALSE()),IF($E157="Services",VLOOKUP($C157,Services!$B:$I,3,FALSE()),IF($E157="Patty Cash",VLOOKUP($C157,'Patty Cash'!$B:$J,3,FALSE()),"")))),"")</f>
        <v>NOS</v>
      </c>
      <c r="G157" s="374">
        <v>2</v>
      </c>
      <c r="H157" s="374">
        <f t="shared" si="4"/>
        <v>2</v>
      </c>
      <c r="I157" s="252">
        <f>IFERROR(IF($E157="Inventory",VLOOKUP($C157,Inventory!$B:$I,8,FALSE()),IF($E157="Non Inventory",VLOOKUP($C157,'Non Inventory'!$B:$I,8,FALSE()),IF($E157="Services",VLOOKUP($C157,Services!$B:$I,8,FALSE()),IF($E157="Patty Cash",VLOOKUP($C157,'Patty Cash'!$B:$J,8,FALSE()),0)))),0)</f>
        <v>200</v>
      </c>
      <c r="J157" s="252">
        <f t="shared" si="5"/>
        <v>400</v>
      </c>
      <c r="K157" s="253" t="s">
        <v>1637</v>
      </c>
      <c r="L157" s="253" t="s">
        <v>1207</v>
      </c>
      <c r="M157" s="253" t="s">
        <v>1323</v>
      </c>
      <c r="N157" s="328" t="s">
        <v>1274</v>
      </c>
    </row>
    <row r="158" spans="1:14" ht="20.100000000000001" customHeight="1">
      <c r="A158" s="327">
        <f>IF(AND($B158="",$C158=""),"",MAX($A$3:A157)+1)</f>
        <v>155</v>
      </c>
      <c r="B158" s="262">
        <v>46182</v>
      </c>
      <c r="C158" s="253" t="s">
        <v>1638</v>
      </c>
      <c r="D158" s="249" t="str">
        <f>IFERROR(IF($E158="Inventory",VLOOKUP($C158,Inventory!$B:$I,2,FALSE()),IF($E158="Non Inventory",VLOOKUP($C158,'Non Inventory'!$B:$I,2,FALSE()),IF($E158="Services",VLOOKUP($C158,Services!$B:$I,2,FALSE()),IF($E158="Patty Cash",VLOOKUP($C158,'Patty Cash'!$B:$J,2,FALSE()),"")))),"")</f>
        <v>Conveyance</v>
      </c>
      <c r="E158" s="254" t="s">
        <v>1327</v>
      </c>
      <c r="F158" s="263" t="str">
        <f>IFERROR(IF($E158="Inventory",VLOOKUP($C158,Inventory!$B:$I,3,FALSE()),IF($E158="Non Inventory",VLOOKUP($C158,'Non Inventory'!$B:$I,3,FALSE()),IF($E158="Services",VLOOKUP($C158,Services!$B:$I,3,FALSE()),IF($E158="Patty Cash",VLOOKUP($C158,'Patty Cash'!$B:$J,3,FALSE()),"")))),"")</f>
        <v>LTR</v>
      </c>
      <c r="G158" s="374">
        <v>0.72114999999999996</v>
      </c>
      <c r="H158" s="374">
        <f t="shared" si="4"/>
        <v>0.72114999999999996</v>
      </c>
      <c r="I158" s="252">
        <f>IFERROR(IF($E158="Inventory",VLOOKUP($C158,Inventory!$B:$I,8,FALSE()),IF($E158="Non Inventory",VLOOKUP($C158,'Non Inventory'!$B:$I,8,FALSE()),IF($E158="Services",VLOOKUP($C158,Services!$B:$I,8,FALSE()),IF($E158="Patty Cash",VLOOKUP($C158,'Patty Cash'!$B:$J,8,FALSE()),0)))),0)</f>
        <v>416</v>
      </c>
      <c r="J158" s="252">
        <f t="shared" si="5"/>
        <v>299.9984</v>
      </c>
      <c r="K158" s="253" t="s">
        <v>1639</v>
      </c>
      <c r="L158" s="253" t="s">
        <v>1207</v>
      </c>
      <c r="M158" s="253" t="s">
        <v>1323</v>
      </c>
      <c r="N158" s="328" t="s">
        <v>1274</v>
      </c>
    </row>
    <row r="159" spans="1:14" ht="20.100000000000001" customHeight="1">
      <c r="A159" s="327">
        <f>IF(AND($B159="",$C159=""),"",MAX($A$3:A158)+1)</f>
        <v>156</v>
      </c>
      <c r="B159" s="262">
        <v>46160</v>
      </c>
      <c r="C159" s="253">
        <v>21794</v>
      </c>
      <c r="D159" s="249" t="str">
        <f>IFERROR(IF($E159="Inventory",VLOOKUP($C159,Inventory!$B:$I,2,FALSE()),IF($E159="Non Inventory",VLOOKUP($C159,'Non Inventory'!$B:$I,2,FALSE()),IF($E159="Services",VLOOKUP($C159,Services!$B:$I,2,FALSE()),IF($E159="Patty Cash",VLOOKUP($C159,'Patty Cash'!$B:$J,2,FALSE()),"")))),"")</f>
        <v>Serv. Gear Box Repairing Charges
Gear box of Tecalit Silo repairing complete (new brass gear installed, new bearing &amp; new worm repairing with new oil seals)</v>
      </c>
      <c r="E159" s="254" t="s">
        <v>1280</v>
      </c>
      <c r="F159" s="263" t="str">
        <f>IFERROR(IF($E159="Inventory",VLOOKUP($C159,Inventory!$B:$I,3,FALSE()),IF($E159="Non Inventory",VLOOKUP($C159,'Non Inventory'!$B:$I,3,FALSE()),IF($E159="Services",VLOOKUP($C159,Services!$B:$I,3,FALSE()),IF($E159="Patty Cash",VLOOKUP($C159,'Patty Cash'!$B:$J,3,FALSE()),"")))),"")</f>
        <v>JOB</v>
      </c>
      <c r="G159" s="374">
        <v>3</v>
      </c>
      <c r="H159" s="374">
        <f t="shared" si="4"/>
        <v>3</v>
      </c>
      <c r="I159" s="252">
        <f>IFERROR(IF($E159="Inventory",VLOOKUP($C159,Inventory!$B:$I,8,FALSE()),IF($E159="Non Inventory",VLOOKUP($C159,'Non Inventory'!$B:$I,8,FALSE()),IF($E159="Services",VLOOKUP($C159,Services!$B:$I,8,FALSE()),IF($E159="Patty Cash",VLOOKUP($C159,'Patty Cash'!$B:$J,8,FALSE()),0)))),0)</f>
        <v>8900</v>
      </c>
      <c r="J159" s="252">
        <f t="shared" si="5"/>
        <v>26700</v>
      </c>
      <c r="K159" s="253" t="s">
        <v>1418</v>
      </c>
      <c r="L159" s="253" t="s">
        <v>1196</v>
      </c>
      <c r="M159" s="253" t="s">
        <v>1266</v>
      </c>
      <c r="N159" s="328" t="s">
        <v>1529</v>
      </c>
    </row>
    <row r="160" spans="1:14" ht="20.100000000000001" customHeight="1">
      <c r="A160" s="327">
        <f>IF(AND($B160="",$C160=""),"",MAX($A$3:A159)+1)</f>
        <v>157</v>
      </c>
      <c r="B160" s="207">
        <v>46178</v>
      </c>
      <c r="C160" s="208">
        <v>7770</v>
      </c>
      <c r="D160" s="249" t="str">
        <f>IFERROR(IF($E160="Inventory",VLOOKUP($C160,Inventory!$B:$I,2,FALSE()),IF($E160="Non Inventory",VLOOKUP($C160,'Non Inventory'!$B:$I,2,FALSE()),IF($E160="Services",VLOOKUP($C160,Services!$B:$I,2,FALSE()),IF($E160="Patty Cash",VLOOKUP($C160,'Patty Cash'!$B:$J,2,FALSE()),"")))),"")</f>
        <v>SCREW DRIVER 10" (-)</v>
      </c>
      <c r="E160" s="254" t="s">
        <v>7</v>
      </c>
      <c r="F160" s="263" t="str">
        <f>IFERROR(IF($E160="Inventory",VLOOKUP($C160,Inventory!$B:$I,3,FALSE()),IF($E160="Non Inventory",VLOOKUP($C160,'Non Inventory'!$B:$I,3,FALSE()),IF($E160="Services",VLOOKUP($C160,Services!$B:$I,3,FALSE()),IF($E160="Patty Cash",VLOOKUP($C160,'Patty Cash'!$B:$J,3,FALSE()),"")))),"")</f>
        <v>PCS</v>
      </c>
      <c r="G160" s="374">
        <v>2</v>
      </c>
      <c r="H160" s="374">
        <f t="shared" si="4"/>
        <v>2</v>
      </c>
      <c r="I160" s="252">
        <f>IFERROR(IF($E160="Inventory",VLOOKUP($C160,Inventory!$B:$I,8,FALSE()),IF($E160="Non Inventory",VLOOKUP($C160,'Non Inventory'!$B:$I,8,FALSE()),IF($E160="Services",VLOOKUP($C160,Services!$B:$I,8,FALSE()),IF($E160="Patty Cash",VLOOKUP($C160,'Patty Cash'!$B:$J,8,FALSE()),0)))),0)</f>
        <v>400</v>
      </c>
      <c r="J160" s="252">
        <f t="shared" si="5"/>
        <v>800</v>
      </c>
      <c r="K160" s="253" t="s">
        <v>1376</v>
      </c>
      <c r="L160" s="253" t="s">
        <v>1207</v>
      </c>
      <c r="M160" s="253" t="s">
        <v>1266</v>
      </c>
      <c r="N160" s="328" t="s">
        <v>1274</v>
      </c>
    </row>
    <row r="161" spans="1:14" ht="20.100000000000001" customHeight="1">
      <c r="A161" s="327">
        <f>IF(AND($B161="",$C161=""),"",MAX($A$3:A160)+1)</f>
        <v>158</v>
      </c>
      <c r="B161" s="207">
        <v>46178</v>
      </c>
      <c r="C161" s="208">
        <v>3332</v>
      </c>
      <c r="D161" s="249" t="str">
        <f>IFERROR(IF($E161="Inventory",VLOOKUP($C161,Inventory!$B:$I,2,FALSE()),IF($E161="Non Inventory",VLOOKUP($C161,'Non Inventory'!$B:$I,2,FALSE()),IF($E161="Services",VLOOKUP($C161,Services!$B:$I,2,FALSE()),IF($E161="Patty Cash",VLOOKUP($C161,'Patty Cash'!$B:$J,2,FALSE()),"")))),"")</f>
        <v>Cutter Plier 8"</v>
      </c>
      <c r="E161" s="254" t="s">
        <v>7</v>
      </c>
      <c r="F161" s="263" t="str">
        <f>IFERROR(IF($E161="Inventory",VLOOKUP($C161,Inventory!$B:$I,3,FALSE()),IF($E161="Non Inventory",VLOOKUP($C161,'Non Inventory'!$B:$I,3,FALSE()),IF($E161="Services",VLOOKUP($C161,Services!$B:$I,3,FALSE()),IF($E161="Patty Cash",VLOOKUP($C161,'Patty Cash'!$B:$J,3,FALSE()),"")))),"")</f>
        <v>PCS</v>
      </c>
      <c r="G161" s="374">
        <v>3</v>
      </c>
      <c r="H161" s="374">
        <f t="shared" si="4"/>
        <v>3</v>
      </c>
      <c r="I161" s="252">
        <f>IFERROR(IF($E161="Inventory",VLOOKUP($C161,Inventory!$B:$I,8,FALSE()),IF($E161="Non Inventory",VLOOKUP($C161,'Non Inventory'!$B:$I,8,FALSE()),IF($E161="Services",VLOOKUP($C161,Services!$B:$I,8,FALSE()),IF($E161="Patty Cash",VLOOKUP($C161,'Patty Cash'!$B:$J,8,FALSE()),0)))),0)</f>
        <v>700</v>
      </c>
      <c r="J161" s="252">
        <f t="shared" si="5"/>
        <v>2100</v>
      </c>
      <c r="K161" s="253" t="s">
        <v>1376</v>
      </c>
      <c r="L161" s="253" t="s">
        <v>1207</v>
      </c>
      <c r="M161" s="253" t="s">
        <v>1266</v>
      </c>
      <c r="N161" s="328" t="s">
        <v>1274</v>
      </c>
    </row>
    <row r="162" spans="1:14" ht="20.100000000000001" customHeight="1">
      <c r="A162" s="327">
        <f>IF(AND($B162="",$C162=""),"",MAX($A$3:A161)+1)</f>
        <v>159</v>
      </c>
      <c r="B162" s="207">
        <v>46178</v>
      </c>
      <c r="C162" s="208">
        <v>24243</v>
      </c>
      <c r="D162" s="249" t="str">
        <f>IFERROR(IF($E162="Inventory",VLOOKUP($C162,Inventory!$B:$I,2,FALSE()),IF($E162="Non Inventory",VLOOKUP($C162,'Non Inventory'!$B:$I,2,FALSE()),IF($E162="Services",VLOOKUP($C162,Services!$B:$I,2,FALSE()),IF($E162="Patty Cash",VLOOKUP($C162,'Patty Cash'!$B:$J,2,FALSE()),"")))),"")</f>
        <v>Screw Driver Size 6" -</v>
      </c>
      <c r="E162" s="254" t="s">
        <v>7</v>
      </c>
      <c r="F162" s="263" t="str">
        <f>IFERROR(IF($E162="Inventory",VLOOKUP($C162,Inventory!$B:$I,3,FALSE()),IF($E162="Non Inventory",VLOOKUP($C162,'Non Inventory'!$B:$I,3,FALSE()),IF($E162="Services",VLOOKUP($C162,Services!$B:$I,3,FALSE()),IF($E162="Patty Cash",VLOOKUP($C162,'Patty Cash'!$B:$J,3,FALSE()),"")))),"")</f>
        <v>NOS</v>
      </c>
      <c r="G162" s="374">
        <v>2</v>
      </c>
      <c r="H162" s="374">
        <f t="shared" si="4"/>
        <v>2</v>
      </c>
      <c r="I162" s="252">
        <f>IFERROR(IF($E162="Inventory",VLOOKUP($C162,Inventory!$B:$I,8,FALSE()),IF($E162="Non Inventory",VLOOKUP($C162,'Non Inventory'!$B:$I,8,FALSE()),IF($E162="Services",VLOOKUP($C162,Services!$B:$I,8,FALSE()),IF($E162="Patty Cash",VLOOKUP($C162,'Patty Cash'!$B:$J,8,FALSE()),0)))),0)</f>
        <v>200</v>
      </c>
      <c r="J162" s="252">
        <f t="shared" si="5"/>
        <v>400</v>
      </c>
      <c r="K162" s="253" t="s">
        <v>1376</v>
      </c>
      <c r="L162" s="253" t="s">
        <v>1207</v>
      </c>
      <c r="M162" s="253" t="s">
        <v>1266</v>
      </c>
      <c r="N162" s="328" t="s">
        <v>1274</v>
      </c>
    </row>
    <row r="163" spans="1:14" ht="20.100000000000001" customHeight="1">
      <c r="A163" s="327">
        <f>IF(AND($B163="",$C163=""),"",MAX($A$3:A162)+1)</f>
        <v>160</v>
      </c>
      <c r="B163" s="207">
        <v>46178</v>
      </c>
      <c r="C163" s="208">
        <v>24242</v>
      </c>
      <c r="D163" s="249" t="str">
        <f>IFERROR(IF($E163="Inventory",VLOOKUP($C163,Inventory!$B:$I,2,FALSE()),IF($E163="Non Inventory",VLOOKUP($C163,'Non Inventory'!$B:$I,2,FALSE()),IF($E163="Services",VLOOKUP($C163,Services!$B:$I,2,FALSE()),IF($E163="Patty Cash",VLOOKUP($C163,'Patty Cash'!$B:$J,2,FALSE()),"")))),"")</f>
        <v>Screw Driver Size 6" +</v>
      </c>
      <c r="E163" s="254" t="s">
        <v>7</v>
      </c>
      <c r="F163" s="263" t="str">
        <f>IFERROR(IF($E163="Inventory",VLOOKUP($C163,Inventory!$B:$I,3,FALSE()),IF($E163="Non Inventory",VLOOKUP($C163,'Non Inventory'!$B:$I,3,FALSE()),IF($E163="Services",VLOOKUP($C163,Services!$B:$I,3,FALSE()),IF($E163="Patty Cash",VLOOKUP($C163,'Patty Cash'!$B:$J,3,FALSE()),"")))),"")</f>
        <v>NOS</v>
      </c>
      <c r="G163" s="374">
        <v>2</v>
      </c>
      <c r="H163" s="374">
        <f t="shared" si="4"/>
        <v>2</v>
      </c>
      <c r="I163" s="252">
        <f>IFERROR(IF($E163="Inventory",VLOOKUP($C163,Inventory!$B:$I,8,FALSE()),IF($E163="Non Inventory",VLOOKUP($C163,'Non Inventory'!$B:$I,8,FALSE()),IF($E163="Services",VLOOKUP($C163,Services!$B:$I,8,FALSE()),IF($E163="Patty Cash",VLOOKUP($C163,'Patty Cash'!$B:$J,8,FALSE()),0)))),0)</f>
        <v>200</v>
      </c>
      <c r="J163" s="252">
        <f t="shared" si="5"/>
        <v>400</v>
      </c>
      <c r="K163" s="253" t="s">
        <v>1376</v>
      </c>
      <c r="L163" s="253" t="s">
        <v>1207</v>
      </c>
      <c r="M163" s="253" t="s">
        <v>1266</v>
      </c>
      <c r="N163" s="328" t="s">
        <v>1274</v>
      </c>
    </row>
    <row r="164" spans="1:14" ht="20.100000000000001" customHeight="1">
      <c r="A164" s="327">
        <f>IF(AND($B164="",$C164=""),"",MAX($A$3:A163)+1)</f>
        <v>161</v>
      </c>
      <c r="B164" s="207">
        <v>46178</v>
      </c>
      <c r="C164" s="208">
        <v>8530</v>
      </c>
      <c r="D164" s="249" t="str">
        <f>IFERROR(IF($E164="Inventory",VLOOKUP($C164,Inventory!$B:$I,2,FALSE()),IF($E164="Non Inventory",VLOOKUP($C164,'Non Inventory'!$B:$I,2,FALSE()),IF($E164="Services",VLOOKUP($C164,Services!$B:$I,2,FALSE()),IF($E164="Patty Cash",VLOOKUP($C164,'Patty Cash'!$B:$J,2,FALSE()),"")))),"")</f>
        <v>SCREW DRIVER 10" (+)</v>
      </c>
      <c r="E164" s="254" t="s">
        <v>7</v>
      </c>
      <c r="F164" s="263" t="str">
        <f>IFERROR(IF($E164="Inventory",VLOOKUP($C164,Inventory!$B:$I,3,FALSE()),IF($E164="Non Inventory",VLOOKUP($C164,'Non Inventory'!$B:$I,3,FALSE()),IF($E164="Services",VLOOKUP($C164,Services!$B:$I,3,FALSE()),IF($E164="Patty Cash",VLOOKUP($C164,'Patty Cash'!$B:$J,3,FALSE()),"")))),"")</f>
        <v>NOS</v>
      </c>
      <c r="G164" s="374">
        <v>2</v>
      </c>
      <c r="H164" s="374">
        <f t="shared" si="4"/>
        <v>2</v>
      </c>
      <c r="I164" s="252">
        <f>IFERROR(IF($E164="Inventory",VLOOKUP($C164,Inventory!$B:$I,8,FALSE()),IF($E164="Non Inventory",VLOOKUP($C164,'Non Inventory'!$B:$I,8,FALSE()),IF($E164="Services",VLOOKUP($C164,Services!$B:$I,8,FALSE()),IF($E164="Patty Cash",VLOOKUP($C164,'Patty Cash'!$B:$J,8,FALSE()),0)))),0)</f>
        <v>400</v>
      </c>
      <c r="J164" s="252">
        <f t="shared" si="5"/>
        <v>800</v>
      </c>
      <c r="K164" s="253" t="s">
        <v>1376</v>
      </c>
      <c r="L164" s="253" t="s">
        <v>1207</v>
      </c>
      <c r="M164" s="253" t="s">
        <v>1266</v>
      </c>
      <c r="N164" s="328" t="s">
        <v>1274</v>
      </c>
    </row>
    <row r="165" spans="1:14" ht="20.100000000000001" customHeight="1">
      <c r="A165" s="327">
        <f>IF(AND($B165="",$C165=""),"",MAX($A$3:A164)+1)</f>
        <v>162</v>
      </c>
      <c r="B165" s="207">
        <v>46178</v>
      </c>
      <c r="C165" s="208">
        <v>10014</v>
      </c>
      <c r="D165" s="249" t="str">
        <f>IFERROR(IF($E165="Inventory",VLOOKUP($C165,Inventory!$B:$I,2,FALSE()),IF($E165="Non Inventory",VLOOKUP($C165,'Non Inventory'!$B:$I,2,FALSE()),IF($E165="Services",VLOOKUP($C165,Services!$B:$I,2,FALSE()),IF($E165="Patty Cash",VLOOKUP($C165,'Patty Cash'!$B:$J,2,FALSE()),"")))),"")</f>
        <v>Lock Plier 90° Outer Medium 7"</v>
      </c>
      <c r="E165" s="254" t="s">
        <v>7</v>
      </c>
      <c r="F165" s="263" t="str">
        <f>IFERROR(IF($E165="Inventory",VLOOKUP($C165,Inventory!$B:$I,3,FALSE()),IF($E165="Non Inventory",VLOOKUP($C165,'Non Inventory'!$B:$I,3,FALSE()),IF($E165="Services",VLOOKUP($C165,Services!$B:$I,3,FALSE()),IF($E165="Patty Cash",VLOOKUP($C165,'Patty Cash'!$B:$J,3,FALSE()),"")))),"")</f>
        <v>NOS</v>
      </c>
      <c r="G165" s="374">
        <v>1</v>
      </c>
      <c r="H165" s="374">
        <f t="shared" si="4"/>
        <v>1</v>
      </c>
      <c r="I165" s="252">
        <f>IFERROR(IF($E165="Inventory",VLOOKUP($C165,Inventory!$B:$I,8,FALSE()),IF($E165="Non Inventory",VLOOKUP($C165,'Non Inventory'!$B:$I,8,FALSE()),IF($E165="Services",VLOOKUP($C165,Services!$B:$I,8,FALSE()),IF($E165="Patty Cash",VLOOKUP($C165,'Patty Cash'!$B:$J,8,FALSE()),0)))),0)</f>
        <v>525</v>
      </c>
      <c r="J165" s="252">
        <f t="shared" si="5"/>
        <v>525</v>
      </c>
      <c r="K165" s="253" t="s">
        <v>1376</v>
      </c>
      <c r="L165" s="253" t="s">
        <v>1207</v>
      </c>
      <c r="M165" s="253" t="s">
        <v>1266</v>
      </c>
      <c r="N165" s="328" t="s">
        <v>1274</v>
      </c>
    </row>
    <row r="166" spans="1:14" ht="20.100000000000001" customHeight="1">
      <c r="A166" s="327">
        <f>IF(AND($B166="",$C166=""),"",MAX($A$3:A165)+1)</f>
        <v>163</v>
      </c>
      <c r="B166" s="207">
        <v>46178</v>
      </c>
      <c r="C166" s="208">
        <v>10012</v>
      </c>
      <c r="D166" s="249" t="str">
        <f>IFERROR(IF($E166="Inventory",VLOOKUP($C166,Inventory!$B:$I,2,FALSE()),IF($E166="Non Inventory",VLOOKUP($C166,'Non Inventory'!$B:$I,2,FALSE()),IF($E166="Services",VLOOKUP($C166,Services!$B:$I,2,FALSE()),IF($E166="Patty Cash",VLOOKUP($C166,'Patty Cash'!$B:$J,2,FALSE()),"")))),"")</f>
        <v>Lock Plier 90° Inner Medium 7"</v>
      </c>
      <c r="E166" s="254" t="s">
        <v>7</v>
      </c>
      <c r="F166" s="263" t="str">
        <f>IFERROR(IF($E166="Inventory",VLOOKUP($C166,Inventory!$B:$I,3,FALSE()),IF($E166="Non Inventory",VLOOKUP($C166,'Non Inventory'!$B:$I,3,FALSE()),IF($E166="Services",VLOOKUP($C166,Services!$B:$I,3,FALSE()),IF($E166="Patty Cash",VLOOKUP($C166,'Patty Cash'!$B:$J,3,FALSE()),"")))),"")</f>
        <v>NOS</v>
      </c>
      <c r="G166" s="374">
        <v>1</v>
      </c>
      <c r="H166" s="374">
        <f t="shared" si="4"/>
        <v>1</v>
      </c>
      <c r="I166" s="252">
        <f>IFERROR(IF($E166="Inventory",VLOOKUP($C166,Inventory!$B:$I,8,FALSE()),IF($E166="Non Inventory",VLOOKUP($C166,'Non Inventory'!$B:$I,8,FALSE()),IF($E166="Services",VLOOKUP($C166,Services!$B:$I,8,FALSE()),IF($E166="Patty Cash",VLOOKUP($C166,'Patty Cash'!$B:$J,8,FALSE()),0)))),0)</f>
        <v>525</v>
      </c>
      <c r="J166" s="252">
        <f t="shared" si="5"/>
        <v>525</v>
      </c>
      <c r="K166" s="253" t="s">
        <v>1376</v>
      </c>
      <c r="L166" s="253" t="s">
        <v>1207</v>
      </c>
      <c r="M166" s="253" t="s">
        <v>1266</v>
      </c>
      <c r="N166" s="328" t="s">
        <v>1274</v>
      </c>
    </row>
    <row r="167" spans="1:14" ht="20.100000000000001" customHeight="1">
      <c r="A167" s="327">
        <f>IF(AND($B167="",$C167=""),"",MAX($A$3:A166)+1)</f>
        <v>164</v>
      </c>
      <c r="B167" s="207">
        <v>46178</v>
      </c>
      <c r="C167" s="208">
        <v>25255</v>
      </c>
      <c r="D167" s="249" t="str">
        <f>IFERROR(IF($E167="Inventory",VLOOKUP($C167,Inventory!$B:$I,2,FALSE()),IF($E167="Non Inventory",VLOOKUP($C167,'Non Inventory'!$B:$I,2,FALSE()),IF($E167="Services",VLOOKUP($C167,Services!$B:$I,2,FALSE()),IF($E167="Patty Cash",VLOOKUP($C167,'Patty Cash'!$B:$J,2,FALSE()),"")))),"")</f>
        <v>Allen Key T Handle Size 4mm Big</v>
      </c>
      <c r="E167" s="254" t="s">
        <v>7</v>
      </c>
      <c r="F167" s="263" t="str">
        <f>IFERROR(IF($E167="Inventory",VLOOKUP($C167,Inventory!$B:$I,3,FALSE()),IF($E167="Non Inventory",VLOOKUP($C167,'Non Inventory'!$B:$I,3,FALSE()),IF($E167="Services",VLOOKUP($C167,Services!$B:$I,3,FALSE()),IF($E167="Patty Cash",VLOOKUP($C167,'Patty Cash'!$B:$J,3,FALSE()),"")))),"")</f>
        <v>NOS</v>
      </c>
      <c r="G167" s="374">
        <v>3</v>
      </c>
      <c r="H167" s="374">
        <f t="shared" si="4"/>
        <v>3</v>
      </c>
      <c r="I167" s="252">
        <f>IFERROR(IF($E167="Inventory",VLOOKUP($C167,Inventory!$B:$I,8,FALSE()),IF($E167="Non Inventory",VLOOKUP($C167,'Non Inventory'!$B:$I,8,FALSE()),IF($E167="Services",VLOOKUP($C167,Services!$B:$I,8,FALSE()),IF($E167="Patty Cash",VLOOKUP($C167,'Patty Cash'!$B:$J,8,FALSE()),0)))),0)</f>
        <v>350</v>
      </c>
      <c r="J167" s="252">
        <f t="shared" si="5"/>
        <v>1050</v>
      </c>
      <c r="K167" s="253" t="s">
        <v>1376</v>
      </c>
      <c r="L167" s="253" t="s">
        <v>1207</v>
      </c>
      <c r="M167" s="253" t="s">
        <v>1266</v>
      </c>
      <c r="N167" s="328" t="s">
        <v>1274</v>
      </c>
    </row>
    <row r="168" spans="1:14" ht="20.100000000000001" customHeight="1">
      <c r="A168" s="327">
        <f>IF(AND($B168="",$C168=""),"",MAX($A$3:A167)+1)</f>
        <v>165</v>
      </c>
      <c r="B168" s="207">
        <v>46178</v>
      </c>
      <c r="C168" s="208">
        <v>2208</v>
      </c>
      <c r="D168" s="249" t="str">
        <f>IFERROR(IF($E168="Inventory",VLOOKUP($C168,Inventory!$B:$I,2,FALSE()),IF($E168="Non Inventory",VLOOKUP($C168,'Non Inventory'!$B:$I,2,FALSE()),IF($E168="Services",VLOOKUP($C168,Services!$B:$I,2,FALSE()),IF($E168="Patty Cash",VLOOKUP($C168,'Patty Cash'!$B:$J,2,FALSE()),"")))),"")</f>
        <v>Nose Plier 8"</v>
      </c>
      <c r="E168" s="254" t="s">
        <v>7</v>
      </c>
      <c r="F168" s="263" t="str">
        <f>IFERROR(IF($E168="Inventory",VLOOKUP($C168,Inventory!$B:$I,3,FALSE()),IF($E168="Non Inventory",VLOOKUP($C168,'Non Inventory'!$B:$I,3,FALSE()),IF($E168="Services",VLOOKUP($C168,Services!$B:$I,3,FALSE()),IF($E168="Patty Cash",VLOOKUP($C168,'Patty Cash'!$B:$J,3,FALSE()),"")))),"")</f>
        <v>NOS</v>
      </c>
      <c r="G168" s="374">
        <v>3</v>
      </c>
      <c r="H168" s="374">
        <f t="shared" si="4"/>
        <v>3</v>
      </c>
      <c r="I168" s="252">
        <f>IFERROR(IF($E168="Inventory",VLOOKUP($C168,Inventory!$B:$I,8,FALSE()),IF($E168="Non Inventory",VLOOKUP($C168,'Non Inventory'!$B:$I,8,FALSE()),IF($E168="Services",VLOOKUP($C168,Services!$B:$I,8,FALSE()),IF($E168="Patty Cash",VLOOKUP($C168,'Patty Cash'!$B:$J,8,FALSE()),0)))),0)</f>
        <v>710</v>
      </c>
      <c r="J168" s="252">
        <f t="shared" si="5"/>
        <v>2130</v>
      </c>
      <c r="K168" s="253" t="s">
        <v>1376</v>
      </c>
      <c r="L168" s="253" t="s">
        <v>1207</v>
      </c>
      <c r="M168" s="253" t="s">
        <v>1266</v>
      </c>
      <c r="N168" s="328" t="s">
        <v>1274</v>
      </c>
    </row>
    <row r="169" spans="1:14" ht="20.100000000000001" customHeight="1">
      <c r="A169" s="327">
        <f>IF(AND($B169="",$C169=""),"",MAX($A$3:A168)+1)</f>
        <v>166</v>
      </c>
      <c r="B169" s="207">
        <v>46178</v>
      </c>
      <c r="C169" s="208">
        <v>5916</v>
      </c>
      <c r="D169" s="249" t="str">
        <f>IFERROR(IF($E169="Inventory",VLOOKUP($C169,Inventory!$B:$I,2,FALSE()),IF($E169="Non Inventory",VLOOKUP($C169,'Non Inventory'!$B:$I,2,FALSE()),IF($E169="Services",VLOOKUP($C169,Services!$B:$I,2,FALSE()),IF($E169="Patty Cash",VLOOKUP($C169,'Patty Cash'!$B:$J,2,FALSE()),"")))),"")</f>
        <v>Combination Plier 8"</v>
      </c>
      <c r="E169" s="254" t="s">
        <v>7</v>
      </c>
      <c r="F169" s="263" t="str">
        <f>IFERROR(IF($E169="Inventory",VLOOKUP($C169,Inventory!$B:$I,3,FALSE()),IF($E169="Non Inventory",VLOOKUP($C169,'Non Inventory'!$B:$I,3,FALSE()),IF($E169="Services",VLOOKUP($C169,Services!$B:$I,3,FALSE()),IF($E169="Patty Cash",VLOOKUP($C169,'Patty Cash'!$B:$J,3,FALSE()),"")))),"")</f>
        <v>NOS</v>
      </c>
      <c r="G169" s="374">
        <v>3</v>
      </c>
      <c r="H169" s="374">
        <f t="shared" si="4"/>
        <v>3</v>
      </c>
      <c r="I169" s="252">
        <f>IFERROR(IF($E169="Inventory",VLOOKUP($C169,Inventory!$B:$I,8,FALSE()),IF($E169="Non Inventory",VLOOKUP($C169,'Non Inventory'!$B:$I,8,FALSE()),IF($E169="Services",VLOOKUP($C169,Services!$B:$I,8,FALSE()),IF($E169="Patty Cash",VLOOKUP($C169,'Patty Cash'!$B:$J,8,FALSE()),0)))),0)</f>
        <v>710</v>
      </c>
      <c r="J169" s="252">
        <f t="shared" si="5"/>
        <v>2130</v>
      </c>
      <c r="K169" s="253" t="s">
        <v>1376</v>
      </c>
      <c r="L169" s="253" t="s">
        <v>1207</v>
      </c>
      <c r="M169" s="253" t="s">
        <v>1266</v>
      </c>
      <c r="N169" s="328" t="s">
        <v>1274</v>
      </c>
    </row>
    <row r="170" spans="1:14" ht="20.100000000000001" customHeight="1">
      <c r="A170" s="327">
        <f>IF(AND($B170="",$C170=""),"",MAX($A$3:A169)+1)</f>
        <v>167</v>
      </c>
      <c r="B170" s="207">
        <v>46178</v>
      </c>
      <c r="C170" s="208">
        <v>6044</v>
      </c>
      <c r="D170" s="249" t="str">
        <f>IFERROR(IF($E170="Inventory",VLOOKUP($C170,Inventory!$B:$I,2,FALSE()),IF($E170="Non Inventory",VLOOKUP($C170,'Non Inventory'!$B:$I,2,FALSE()),IF($E170="Services",VLOOKUP($C170,Services!$B:$I,2,FALSE()),IF($E170="Patty Cash",VLOOKUP($C170,'Patty Cash'!$B:$J,2,FALSE()),"")))),"")</f>
        <v>Allen Key Set Star Type</v>
      </c>
      <c r="E170" s="254" t="s">
        <v>7</v>
      </c>
      <c r="F170" s="263" t="str">
        <f>IFERROR(IF($E170="Inventory",VLOOKUP($C170,Inventory!$B:$I,3,FALSE()),IF($E170="Non Inventory",VLOOKUP($C170,'Non Inventory'!$B:$I,3,FALSE()),IF($E170="Services",VLOOKUP($C170,Services!$B:$I,3,FALSE()),IF($E170="Patty Cash",VLOOKUP($C170,'Patty Cash'!$B:$J,3,FALSE()),"")))),"")</f>
        <v>SET</v>
      </c>
      <c r="G170" s="374">
        <v>1</v>
      </c>
      <c r="H170" s="374">
        <f t="shared" si="4"/>
        <v>1</v>
      </c>
      <c r="I170" s="252">
        <f>IFERROR(IF($E170="Inventory",VLOOKUP($C170,Inventory!$B:$I,8,FALSE()),IF($E170="Non Inventory",VLOOKUP($C170,'Non Inventory'!$B:$I,8,FALSE()),IF($E170="Services",VLOOKUP($C170,Services!$B:$I,8,FALSE()),IF($E170="Patty Cash",VLOOKUP($C170,'Patty Cash'!$B:$J,8,FALSE()),0)))),0)</f>
        <v>850</v>
      </c>
      <c r="J170" s="252">
        <f t="shared" si="5"/>
        <v>850</v>
      </c>
      <c r="K170" s="253" t="s">
        <v>1376</v>
      </c>
      <c r="L170" s="253" t="s">
        <v>1207</v>
      </c>
      <c r="M170" s="253" t="s">
        <v>1266</v>
      </c>
      <c r="N170" s="328" t="s">
        <v>1274</v>
      </c>
    </row>
    <row r="171" spans="1:14" ht="20.100000000000001" customHeight="1">
      <c r="A171" s="327">
        <f>IF(AND($B171="",$C171=""),"",MAX($A$3:A170)+1)</f>
        <v>168</v>
      </c>
      <c r="B171" s="207">
        <v>46178</v>
      </c>
      <c r="C171" s="208">
        <v>5104</v>
      </c>
      <c r="D171" s="249" t="str">
        <f>IFERROR(IF($E171="Inventory",VLOOKUP($C171,Inventory!$B:$I,2,FALSE()),IF($E171="Non Inventory",VLOOKUP($C171,'Non Inventory'!$B:$I,2,FALSE()),IF($E171="Services",VLOOKUP($C171,Services!$B:$I,2,FALSE()),IF($E171="Patty Cash",VLOOKUP($C171,'Patty Cash'!$B:$J,2,FALSE()),"")))),"")</f>
        <v>Allen Key Set Inch Size Range 1/16" to 3/8" inch</v>
      </c>
      <c r="E171" s="254" t="s">
        <v>7</v>
      </c>
      <c r="F171" s="263" t="str">
        <f>IFERROR(IF($E171="Inventory",VLOOKUP($C171,Inventory!$B:$I,3,FALSE()),IF($E171="Non Inventory",VLOOKUP($C171,'Non Inventory'!$B:$I,3,FALSE()),IF($E171="Services",VLOOKUP($C171,Services!$B:$I,3,FALSE()),IF($E171="Patty Cash",VLOOKUP($C171,'Patty Cash'!$B:$J,3,FALSE()),"")))),"")</f>
        <v>SET</v>
      </c>
      <c r="G171" s="374">
        <v>1</v>
      </c>
      <c r="H171" s="374">
        <f t="shared" si="4"/>
        <v>1</v>
      </c>
      <c r="I171" s="252">
        <f>IFERROR(IF($E171="Inventory",VLOOKUP($C171,Inventory!$B:$I,8,FALSE()),IF($E171="Non Inventory",VLOOKUP($C171,'Non Inventory'!$B:$I,8,FALSE()),IF($E171="Services",VLOOKUP($C171,Services!$B:$I,8,FALSE()),IF($E171="Patty Cash",VLOOKUP($C171,'Patty Cash'!$B:$J,8,FALSE()),0)))),0)</f>
        <v>975</v>
      </c>
      <c r="J171" s="252">
        <f t="shared" si="5"/>
        <v>975</v>
      </c>
      <c r="K171" s="253" t="s">
        <v>1376</v>
      </c>
      <c r="L171" s="253" t="s">
        <v>1207</v>
      </c>
      <c r="M171" s="253" t="s">
        <v>1266</v>
      </c>
      <c r="N171" s="328" t="s">
        <v>1274</v>
      </c>
    </row>
    <row r="172" spans="1:14" ht="20.100000000000001" customHeight="1">
      <c r="A172" s="327">
        <f>IF(AND($B172="",$C172=""),"",MAX($A$3:A171)+1)</f>
        <v>169</v>
      </c>
      <c r="B172" s="262">
        <v>46183</v>
      </c>
      <c r="C172" s="253" t="s">
        <v>1663</v>
      </c>
      <c r="D172" s="249" t="str">
        <f>IFERROR(IF($E172="Inventory",VLOOKUP($C172,Inventory!$B:$I,2,FALSE()),IF($E172="Non Inventory",VLOOKUP($C172,'Non Inventory'!$B:$I,2,FALSE()),IF($E172="Services",VLOOKUP($C172,Services!$B:$I,2,FALSE()),IF($E172="Patty Cash",VLOOKUP($C172,'Patty Cash'!$B:$J,2,FALSE()),"")))),"")</f>
        <v>Laquar Spray</v>
      </c>
      <c r="E172" s="254" t="s">
        <v>1327</v>
      </c>
      <c r="F172" s="263" t="str">
        <f>IFERROR(IF($E172="Inventory",VLOOKUP($C172,Inventory!$B:$I,3,FALSE()),IF($E172="Non Inventory",VLOOKUP($C172,'Non Inventory'!$B:$I,3,FALSE()),IF($E172="Services",VLOOKUP($C172,Services!$B:$I,3,FALSE()),IF($E172="Patty Cash",VLOOKUP($C172,'Patty Cash'!$B:$J,3,FALSE()),"")))),"")</f>
        <v>NOS</v>
      </c>
      <c r="G172" s="374">
        <v>1</v>
      </c>
      <c r="H172" s="374">
        <f t="shared" si="4"/>
        <v>1</v>
      </c>
      <c r="I172" s="252">
        <f>IFERROR(IF($E172="Inventory",VLOOKUP($C172,Inventory!$B:$I,8,FALSE()),IF($E172="Non Inventory",VLOOKUP($C172,'Non Inventory'!$B:$I,8,FALSE()),IF($E172="Services",VLOOKUP($C172,Services!$B:$I,8,FALSE()),IF($E172="Patty Cash",VLOOKUP($C172,'Patty Cash'!$B:$J,8,FALSE()),0)))),0)</f>
        <v>400</v>
      </c>
      <c r="J172" s="252">
        <f t="shared" si="5"/>
        <v>400</v>
      </c>
      <c r="K172" s="253" t="s">
        <v>1664</v>
      </c>
      <c r="L172" s="253" t="s">
        <v>1207</v>
      </c>
      <c r="M172" s="253" t="s">
        <v>1323</v>
      </c>
      <c r="N172" s="328" t="s">
        <v>1274</v>
      </c>
    </row>
    <row r="173" spans="1:14" ht="20.100000000000001" customHeight="1">
      <c r="A173" s="327">
        <f>IF(AND($B173="",$C173=""),"",MAX($A$3:A172)+1)</f>
        <v>170</v>
      </c>
      <c r="B173" s="262">
        <v>46183</v>
      </c>
      <c r="C173" s="253" t="s">
        <v>1665</v>
      </c>
      <c r="D173" s="249" t="str">
        <f>IFERROR(IF($E173="Inventory",VLOOKUP($C173,Inventory!$B:$I,2,FALSE()),IF($E173="Non Inventory",VLOOKUP($C173,'Non Inventory'!$B:$I,2,FALSE()),IF($E173="Services",VLOOKUP($C173,Services!$B:$I,2,FALSE()),IF($E173="Patty Cash",VLOOKUP($C173,'Patty Cash'!$B:$J,2,FALSE()),"")))),"")</f>
        <v>Conveyance</v>
      </c>
      <c r="E173" s="254" t="s">
        <v>1327</v>
      </c>
      <c r="F173" s="263" t="str">
        <f>IFERROR(IF($E173="Inventory",VLOOKUP($C173,Inventory!$B:$I,3,FALSE()),IF($E173="Non Inventory",VLOOKUP($C173,'Non Inventory'!$B:$I,3,FALSE()),IF($E173="Services",VLOOKUP($C173,Services!$B:$I,3,FALSE()),IF($E173="Patty Cash",VLOOKUP($C173,'Patty Cash'!$B:$J,3,FALSE()),"")))),"")</f>
        <v>LTR</v>
      </c>
      <c r="G173" s="374">
        <v>0.72114999999999996</v>
      </c>
      <c r="H173" s="374">
        <f t="shared" si="4"/>
        <v>0.72114999999999996</v>
      </c>
      <c r="I173" s="252">
        <f>IFERROR(IF($E173="Inventory",VLOOKUP($C173,Inventory!$B:$I,8,FALSE()),IF($E173="Non Inventory",VLOOKUP($C173,'Non Inventory'!$B:$I,8,FALSE()),IF($E173="Services",VLOOKUP($C173,Services!$B:$I,8,FALSE()),IF($E173="Patty Cash",VLOOKUP($C173,'Patty Cash'!$B:$J,8,FALSE()),0)))),0)</f>
        <v>416</v>
      </c>
      <c r="J173" s="252">
        <f t="shared" si="5"/>
        <v>299.9984</v>
      </c>
      <c r="K173" s="253" t="s">
        <v>1562</v>
      </c>
      <c r="L173" s="253" t="s">
        <v>1196</v>
      </c>
      <c r="M173" s="253" t="s">
        <v>1323</v>
      </c>
      <c r="N173" s="328" t="s">
        <v>1274</v>
      </c>
    </row>
    <row r="174" spans="1:14" ht="20.100000000000001" customHeight="1">
      <c r="A174" s="327">
        <f>IF(AND($B174="",$C174=""),"",MAX($A$3:A173)+1)</f>
        <v>171</v>
      </c>
      <c r="B174" s="262">
        <v>46183</v>
      </c>
      <c r="C174" s="253">
        <v>27529</v>
      </c>
      <c r="D174" s="249" t="str">
        <f>IFERROR(IF($E174="Inventory",VLOOKUP($C174,Inventory!$B:$I,2,FALSE()),IF($E174="Non Inventory",VLOOKUP($C174,'Non Inventory'!$B:$I,2,FALSE()),IF($E174="Services",VLOOKUP($C174,Services!$B:$I,2,FALSE()),IF($E174="Patty Cash",VLOOKUP($C174,'Patty Cash'!$B:$J,2,FALSE()),"")))),"")</f>
        <v>Mechanical Seal 20mm</v>
      </c>
      <c r="E174" s="254" t="s">
        <v>7</v>
      </c>
      <c r="F174" s="263" t="str">
        <f>IFERROR(IF($E174="Inventory",VLOOKUP($C174,Inventory!$B:$I,3,FALSE()),IF($E174="Non Inventory",VLOOKUP($C174,'Non Inventory'!$B:$I,3,FALSE()),IF($E174="Services",VLOOKUP($C174,Services!$B:$I,3,FALSE()),IF($E174="Patty Cash",VLOOKUP($C174,'Patty Cash'!$B:$J,3,FALSE()),"")))),"")</f>
        <v>NOS</v>
      </c>
      <c r="G174" s="374">
        <v>1</v>
      </c>
      <c r="H174" s="374">
        <f t="shared" si="4"/>
        <v>1</v>
      </c>
      <c r="I174" s="252">
        <f>IFERROR(IF($E174="Inventory",VLOOKUP($C174,Inventory!$B:$I,8,FALSE()),IF($E174="Non Inventory",VLOOKUP($C174,'Non Inventory'!$B:$I,8,FALSE()),IF($E174="Services",VLOOKUP($C174,Services!$B:$I,8,FALSE()),IF($E174="Patty Cash",VLOOKUP($C174,'Patty Cash'!$B:$J,8,FALSE()),0)))),0)</f>
        <v>15000</v>
      </c>
      <c r="J174" s="252">
        <f t="shared" si="5"/>
        <v>15000</v>
      </c>
      <c r="K174" s="253" t="s">
        <v>1269</v>
      </c>
      <c r="L174" s="253" t="s">
        <v>1196</v>
      </c>
      <c r="M174" s="253" t="s">
        <v>1266</v>
      </c>
      <c r="N174" s="328" t="s">
        <v>1274</v>
      </c>
    </row>
    <row r="175" spans="1:14" ht="20.100000000000001" customHeight="1">
      <c r="A175" s="327">
        <f>IF(AND($B175="",$C175=""),"",MAX($A$3:A174)+1)</f>
        <v>172</v>
      </c>
      <c r="B175" s="262">
        <v>46183</v>
      </c>
      <c r="C175" s="253">
        <v>25266</v>
      </c>
      <c r="D175" s="249" t="str">
        <f>IFERROR(IF($E175="Inventory",VLOOKUP($C175,Inventory!$B:$I,2,FALSE()),IF($E175="Non Inventory",VLOOKUP($C175,'Non Inventory'!$B:$I,2,FALSE()),IF($E175="Services",VLOOKUP($C175,Services!$B:$I,2,FALSE()),IF($E175="Patty Cash",VLOOKUP($C175,'Patty Cash'!$B:$J,2,FALSE()),"")))),"")</f>
        <v>Copper Wire No: 21.5</v>
      </c>
      <c r="E175" s="254" t="s">
        <v>7</v>
      </c>
      <c r="F175" s="263" t="str">
        <f>IFERROR(IF($E175="Inventory",VLOOKUP($C175,Inventory!$B:$I,3,FALSE()),IF($E175="Non Inventory",VLOOKUP($C175,'Non Inventory'!$B:$I,3,FALSE()),IF($E175="Services",VLOOKUP($C175,Services!$B:$I,3,FALSE()),IF($E175="Patty Cash",VLOOKUP($C175,'Patty Cash'!$B:$J,3,FALSE()),"")))),"")</f>
        <v>KGS</v>
      </c>
      <c r="G175" s="374">
        <v>2.5</v>
      </c>
      <c r="H175" s="374">
        <f t="shared" si="4"/>
        <v>2.5</v>
      </c>
      <c r="I175" s="252">
        <f>IFERROR(IF($E175="Inventory",VLOOKUP($C175,Inventory!$B:$I,8,FALSE()),IF($E175="Non Inventory",VLOOKUP($C175,'Non Inventory'!$B:$I,8,FALSE()),IF($E175="Services",VLOOKUP($C175,Services!$B:$I,8,FALSE()),IF($E175="Patty Cash",VLOOKUP($C175,'Patty Cash'!$B:$J,8,FALSE()),0)))),0)</f>
        <v>5700</v>
      </c>
      <c r="J175" s="252">
        <f t="shared" si="5"/>
        <v>14250</v>
      </c>
      <c r="K175" s="253" t="s">
        <v>1276</v>
      </c>
      <c r="L175" s="253" t="s">
        <v>1196</v>
      </c>
      <c r="M175" s="253" t="s">
        <v>1323</v>
      </c>
      <c r="N175" s="328" t="s">
        <v>1274</v>
      </c>
    </row>
    <row r="176" spans="1:14" ht="20.100000000000001" customHeight="1">
      <c r="A176" s="327">
        <f>IF(AND($B176="",$C176=""),"",MAX($A$3:A175)+1)</f>
        <v>173</v>
      </c>
      <c r="B176" s="262">
        <v>46185</v>
      </c>
      <c r="C176" s="253" t="s">
        <v>1751</v>
      </c>
      <c r="D176" s="249" t="str">
        <f>IFERROR(IF($E176="Inventory",VLOOKUP($C176,Inventory!$B:$I,2,FALSE()),IF($E176="Non Inventory",VLOOKUP($C176,'Non Inventory'!$B:$I,2,FALSE()),IF($E176="Services",VLOOKUP($C176,Services!$B:$I,2,FALSE()),IF($E176="Patty Cash",VLOOKUP($C176,'Patty Cash'!$B:$J,2,FALSE()),"")))),"")</f>
        <v xml:space="preserve">S.S Welding Rods </v>
      </c>
      <c r="E176" s="254" t="s">
        <v>1327</v>
      </c>
      <c r="F176" s="263" t="str">
        <f>IFERROR(IF($E176="Inventory",VLOOKUP($C176,Inventory!$B:$I,3,FALSE()),IF($E176="Non Inventory",VLOOKUP($C176,'Non Inventory'!$B:$I,3,FALSE()),IF($E176="Services",VLOOKUP($C176,Services!$B:$I,3,FALSE()),IF($E176="Patty Cash",VLOOKUP($C176,'Patty Cash'!$B:$J,3,FALSE()),"")))),"")</f>
        <v>KG</v>
      </c>
      <c r="G176" s="374">
        <v>0.5</v>
      </c>
      <c r="H176" s="374">
        <f t="shared" si="4"/>
        <v>0.5</v>
      </c>
      <c r="I176" s="252">
        <f>IFERROR(IF($E176="Inventory",VLOOKUP($C176,Inventory!$B:$I,8,FALSE()),IF($E176="Non Inventory",VLOOKUP($C176,'Non Inventory'!$B:$I,8,FALSE()),IF($E176="Services",VLOOKUP($C176,Services!$B:$I,8,FALSE()),IF($E176="Patty Cash",VLOOKUP($C176,'Patty Cash'!$B:$J,8,FALSE()),0)))),0)</f>
        <v>2200</v>
      </c>
      <c r="J176" s="252">
        <f t="shared" si="5"/>
        <v>1100</v>
      </c>
      <c r="K176" s="253" t="s">
        <v>1354</v>
      </c>
      <c r="L176" s="253" t="s">
        <v>1196</v>
      </c>
      <c r="M176" s="253" t="s">
        <v>1266</v>
      </c>
      <c r="N176" s="328" t="s">
        <v>1274</v>
      </c>
    </row>
    <row r="177" spans="1:14" ht="20.100000000000001" customHeight="1">
      <c r="A177" s="327">
        <f>IF(AND($B177="",$C177=""),"",MAX($A$3:A176)+1)</f>
        <v>174</v>
      </c>
      <c r="B177" s="262">
        <v>46185</v>
      </c>
      <c r="C177" s="253" t="s">
        <v>1752</v>
      </c>
      <c r="D177" s="249" t="str">
        <f>IFERROR(IF($E177="Inventory",VLOOKUP($C177,Inventory!$B:$I,2,FALSE()),IF($E177="Non Inventory",VLOOKUP($C177,'Non Inventory'!$B:$I,2,FALSE()),IF($E177="Services",VLOOKUP($C177,Services!$B:$I,2,FALSE()),IF($E177="Patty Cash",VLOOKUP($C177,'Patty Cash'!$B:$J,2,FALSE()),"")))),"")</f>
        <v>Tester</v>
      </c>
      <c r="E177" s="254" t="s">
        <v>1327</v>
      </c>
      <c r="F177" s="263" t="str">
        <f>IFERROR(IF($E177="Inventory",VLOOKUP($C177,Inventory!$B:$I,3,FALSE()),IF($E177="Non Inventory",VLOOKUP($C177,'Non Inventory'!$B:$I,3,FALSE()),IF($E177="Services",VLOOKUP($C177,Services!$B:$I,3,FALSE()),IF($E177="Patty Cash",VLOOKUP($C177,'Patty Cash'!$B:$J,3,FALSE()),"")))),"")</f>
        <v>NOS</v>
      </c>
      <c r="G177" s="374">
        <v>2</v>
      </c>
      <c r="H177" s="374">
        <f t="shared" si="4"/>
        <v>2</v>
      </c>
      <c r="I177" s="252">
        <f>IFERROR(IF($E177="Inventory",VLOOKUP($C177,Inventory!$B:$I,8,FALSE()),IF($E177="Non Inventory",VLOOKUP($C177,'Non Inventory'!$B:$I,8,FALSE()),IF($E177="Services",VLOOKUP($C177,Services!$B:$I,8,FALSE()),IF($E177="Patty Cash",VLOOKUP($C177,'Patty Cash'!$B:$J,8,FALSE()),0)))),0)</f>
        <v>50</v>
      </c>
      <c r="J177" s="252">
        <f t="shared" si="5"/>
        <v>100</v>
      </c>
      <c r="K177" s="253" t="s">
        <v>1354</v>
      </c>
      <c r="L177" s="253" t="s">
        <v>1196</v>
      </c>
      <c r="M177" s="253" t="s">
        <v>1266</v>
      </c>
      <c r="N177" s="328" t="s">
        <v>1274</v>
      </c>
    </row>
    <row r="178" spans="1:14" ht="20.100000000000001" customHeight="1">
      <c r="A178" s="327">
        <f>IF(AND($B178="",$C178=""),"",MAX($A$3:A177)+1)</f>
        <v>175</v>
      </c>
      <c r="B178" s="262">
        <v>46185</v>
      </c>
      <c r="C178" s="253" t="s">
        <v>1753</v>
      </c>
      <c r="D178" s="249" t="str">
        <f>IFERROR(IF($E178="Inventory",VLOOKUP($C178,Inventory!$B:$I,2,FALSE()),IF($E178="Non Inventory",VLOOKUP($C178,'Non Inventory'!$B:$I,2,FALSE()),IF($E178="Services",VLOOKUP($C178,Services!$B:$I,2,FALSE()),IF($E178="Patty Cash",VLOOKUP($C178,'Patty Cash'!$B:$J,2,FALSE()),"")))),"")</f>
        <v>Screw Size 1.1/2</v>
      </c>
      <c r="E178" s="254" t="s">
        <v>1327</v>
      </c>
      <c r="F178" s="263" t="str">
        <f>IFERROR(IF($E178="Inventory",VLOOKUP($C178,Inventory!$B:$I,3,FALSE()),IF($E178="Non Inventory",VLOOKUP($C178,'Non Inventory'!$B:$I,3,FALSE()),IF($E178="Services",VLOOKUP($C178,Services!$B:$I,3,FALSE()),IF($E178="Patty Cash",VLOOKUP($C178,'Patty Cash'!$B:$J,3,FALSE()),"")))),"")</f>
        <v>BOX</v>
      </c>
      <c r="G178" s="374">
        <v>1</v>
      </c>
      <c r="H178" s="374">
        <f t="shared" si="4"/>
        <v>1</v>
      </c>
      <c r="I178" s="252">
        <f>IFERROR(IF($E178="Inventory",VLOOKUP($C178,Inventory!$B:$I,8,FALSE()),IF($E178="Non Inventory",VLOOKUP($C178,'Non Inventory'!$B:$I,8,FALSE()),IF($E178="Services",VLOOKUP($C178,Services!$B:$I,8,FALSE()),IF($E178="Patty Cash",VLOOKUP($C178,'Patty Cash'!$B:$J,8,FALSE()),0)))),0)</f>
        <v>230</v>
      </c>
      <c r="J178" s="252">
        <f t="shared" si="5"/>
        <v>230</v>
      </c>
      <c r="K178" s="253" t="s">
        <v>1521</v>
      </c>
      <c r="L178" s="253" t="s">
        <v>1196</v>
      </c>
      <c r="M178" s="253" t="s">
        <v>1266</v>
      </c>
      <c r="N178" s="328" t="s">
        <v>1274</v>
      </c>
    </row>
    <row r="179" spans="1:14" ht="20.100000000000001" customHeight="1">
      <c r="A179" s="327">
        <f>IF(AND($B179="",$C179=""),"",MAX($A$3:A178)+1)</f>
        <v>176</v>
      </c>
      <c r="B179" s="262">
        <v>46185</v>
      </c>
      <c r="C179" s="253" t="s">
        <v>1754</v>
      </c>
      <c r="D179" s="249" t="str">
        <f>IFERROR(IF($E179="Inventory",VLOOKUP($C179,Inventory!$B:$I,2,FALSE()),IF($E179="Non Inventory",VLOOKUP($C179,'Non Inventory'!$B:$I,2,FALSE()),IF($E179="Services",VLOOKUP($C179,Services!$B:$I,2,FALSE()),IF($E179="Patty Cash",VLOOKUP($C179,'Patty Cash'!$B:$J,2,FALSE()),"")))),"")</f>
        <v>Conveyance</v>
      </c>
      <c r="E179" s="254" t="s">
        <v>1327</v>
      </c>
      <c r="F179" s="263" t="str">
        <f>IFERROR(IF($E179="Inventory",VLOOKUP($C179,Inventory!$B:$I,3,FALSE()),IF($E179="Non Inventory",VLOOKUP($C179,'Non Inventory'!$B:$I,3,FALSE()),IF($E179="Services",VLOOKUP($C179,Services!$B:$I,3,FALSE()),IF($E179="Patty Cash",VLOOKUP($C179,'Patty Cash'!$B:$J,3,FALSE()),"")))),"")</f>
        <v>LTR</v>
      </c>
      <c r="G179" s="374">
        <v>0.79039999999999999</v>
      </c>
      <c r="H179" s="374">
        <f t="shared" si="4"/>
        <v>0.79039999999999999</v>
      </c>
      <c r="I179" s="252">
        <f>IFERROR(IF($E179="Inventory",VLOOKUP($C179,Inventory!$B:$I,8,FALSE()),IF($E179="Non Inventory",VLOOKUP($C179,'Non Inventory'!$B:$I,8,FALSE()),IF($E179="Services",VLOOKUP($C179,Services!$B:$I,8,FALSE()),IF($E179="Patty Cash",VLOOKUP($C179,'Patty Cash'!$B:$J,8,FALSE()),0)))),0)</f>
        <v>379.57</v>
      </c>
      <c r="J179" s="252">
        <f t="shared" si="5"/>
        <v>300.01212800000002</v>
      </c>
      <c r="K179" s="253" t="s">
        <v>1639</v>
      </c>
      <c r="L179" s="253" t="s">
        <v>1196</v>
      </c>
      <c r="M179" s="253" t="s">
        <v>1266</v>
      </c>
      <c r="N179" s="328" t="s">
        <v>1274</v>
      </c>
    </row>
    <row r="180" spans="1:14" ht="20.100000000000001" customHeight="1">
      <c r="A180" s="327">
        <f>IF(AND($B180="",$C180=""),"",MAX($A$3:A179)+1)</f>
        <v>177</v>
      </c>
      <c r="B180" s="262">
        <v>46185</v>
      </c>
      <c r="C180" s="176">
        <v>27529</v>
      </c>
      <c r="D180" s="249" t="str">
        <f>IFERROR(IF($E180="Inventory",VLOOKUP($C180,Inventory!$B:$I,2,FALSE()),IF($E180="Non Inventory",VLOOKUP($C180,'Non Inventory'!$B:$I,2,FALSE()),IF($E180="Services",VLOOKUP($C180,Services!$B:$I,2,FALSE()),IF($E180="Patty Cash",VLOOKUP($C180,'Patty Cash'!$B:$J,2,FALSE()),"")))),"")</f>
        <v>Mechanical Seal 20mm</v>
      </c>
      <c r="E180" s="254" t="s">
        <v>7</v>
      </c>
      <c r="F180" s="263" t="str">
        <f>IFERROR(IF($E180="Inventory",VLOOKUP($C180,Inventory!$B:$I,3,FALSE()),IF($E180="Non Inventory",VLOOKUP($C180,'Non Inventory'!$B:$I,3,FALSE()),IF($E180="Services",VLOOKUP($C180,Services!$B:$I,3,FALSE()),IF($E180="Patty Cash",VLOOKUP($C180,'Patty Cash'!$B:$J,3,FALSE()),"")))),"")</f>
        <v>NOS</v>
      </c>
      <c r="G180" s="374">
        <v>1</v>
      </c>
      <c r="H180" s="374">
        <f t="shared" si="4"/>
        <v>1</v>
      </c>
      <c r="I180" s="252">
        <f>IFERROR(IF($E180="Inventory",VLOOKUP($C180,Inventory!$B:$I,8,FALSE()),IF($E180="Non Inventory",VLOOKUP($C180,'Non Inventory'!$B:$I,8,FALSE()),IF($E180="Services",VLOOKUP($C180,Services!$B:$I,8,FALSE()),IF($E180="Patty Cash",VLOOKUP($C180,'Patty Cash'!$B:$J,8,FALSE()),0)))),0)</f>
        <v>15000</v>
      </c>
      <c r="J180" s="252">
        <f t="shared" si="5"/>
        <v>15000</v>
      </c>
      <c r="K180" s="253" t="s">
        <v>1764</v>
      </c>
      <c r="L180" s="253" t="s">
        <v>1196</v>
      </c>
      <c r="M180" s="253" t="s">
        <v>1323</v>
      </c>
      <c r="N180" s="328" t="s">
        <v>1274</v>
      </c>
    </row>
    <row r="181" spans="1:14" ht="20.100000000000001" customHeight="1">
      <c r="A181" s="327">
        <f>IF(AND($B181="",$C181=""),"",MAX($A$3:A180)+1)</f>
        <v>178</v>
      </c>
      <c r="B181" s="262">
        <v>46185</v>
      </c>
      <c r="C181" s="176">
        <v>16125</v>
      </c>
      <c r="D181" s="249" t="str">
        <f>IFERROR(IF($E181="Inventory",VLOOKUP($C181,Inventory!$B:$I,2,FALSE()),IF($E181="Non Inventory",VLOOKUP($C181,'Non Inventory'!$B:$I,2,FALSE()),IF($E181="Services",VLOOKUP($C181,Services!$B:$I,2,FALSE()),IF($E181="Patty Cash",VLOOKUP($C181,'Patty Cash'!$B:$J,2,FALSE()),"")))),"")</f>
        <v>Oil Filter Ft-Re59754 (135kv Diesel Generator)</v>
      </c>
      <c r="E181" s="254" t="s">
        <v>7</v>
      </c>
      <c r="F181" s="263" t="str">
        <f>IFERROR(IF($E181="Inventory",VLOOKUP($C181,Inventory!$B:$I,3,FALSE()),IF($E181="Non Inventory",VLOOKUP($C181,'Non Inventory'!$B:$I,3,FALSE()),IF($E181="Services",VLOOKUP($C181,Services!$B:$I,3,FALSE()),IF($E181="Patty Cash",VLOOKUP($C181,'Patty Cash'!$B:$J,3,FALSE()),"")))),"")</f>
        <v>NOS</v>
      </c>
      <c r="G181" s="374">
        <v>1</v>
      </c>
      <c r="H181" s="374">
        <f t="shared" si="4"/>
        <v>1</v>
      </c>
      <c r="I181" s="252">
        <f>IFERROR(IF($E181="Inventory",VLOOKUP($C181,Inventory!$B:$I,8,FALSE()),IF($E181="Non Inventory",VLOOKUP($C181,'Non Inventory'!$B:$I,8,FALSE()),IF($E181="Services",VLOOKUP($C181,Services!$B:$I,8,FALSE()),IF($E181="Patty Cash",VLOOKUP($C181,'Patty Cash'!$B:$J,8,FALSE()),0)))),0)</f>
        <v>8400</v>
      </c>
      <c r="J181" s="252">
        <f t="shared" si="5"/>
        <v>8400</v>
      </c>
      <c r="K181" s="253" t="s">
        <v>1764</v>
      </c>
      <c r="L181" s="253" t="s">
        <v>1196</v>
      </c>
      <c r="M181" s="253" t="s">
        <v>1323</v>
      </c>
      <c r="N181" s="328" t="s">
        <v>1274</v>
      </c>
    </row>
    <row r="182" spans="1:14" ht="20.100000000000001" customHeight="1">
      <c r="A182" s="327">
        <f>IF(AND($B182="",$C182=""),"",MAX($A$3:A181)+1)</f>
        <v>179</v>
      </c>
      <c r="B182" s="262">
        <v>46185</v>
      </c>
      <c r="C182" s="176">
        <v>16126</v>
      </c>
      <c r="D182" s="249" t="str">
        <f>IFERROR(IF($E182="Inventory",VLOOKUP($C182,Inventory!$B:$I,2,FALSE()),IF($E182="Non Inventory",VLOOKUP($C182,'Non Inventory'!$B:$I,2,FALSE()),IF($E182="Services",VLOOKUP($C182,Services!$B:$I,2,FALSE()),IF($E182="Patty Cash",VLOOKUP($C182,'Patty Cash'!$B:$J,2,FALSE()),"")))),"")</f>
        <v>Fuel Filter Ft-Re60021 (135kv Diesel Generator)</v>
      </c>
      <c r="E182" s="254" t="s">
        <v>7</v>
      </c>
      <c r="F182" s="263" t="str">
        <f>IFERROR(IF($E182="Inventory",VLOOKUP($C182,Inventory!$B:$I,3,FALSE()),IF($E182="Non Inventory",VLOOKUP($C182,'Non Inventory'!$B:$I,3,FALSE()),IF($E182="Services",VLOOKUP($C182,Services!$B:$I,3,FALSE()),IF($E182="Patty Cash",VLOOKUP($C182,'Patty Cash'!$B:$J,3,FALSE()),"")))),"")</f>
        <v>NOS</v>
      </c>
      <c r="G182" s="374">
        <v>1</v>
      </c>
      <c r="H182" s="374">
        <f t="shared" si="4"/>
        <v>1</v>
      </c>
      <c r="I182" s="252">
        <f>IFERROR(IF($E182="Inventory",VLOOKUP($C182,Inventory!$B:$I,8,FALSE()),IF($E182="Non Inventory",VLOOKUP($C182,'Non Inventory'!$B:$I,8,FALSE()),IF($E182="Services",VLOOKUP($C182,Services!$B:$I,8,FALSE()),IF($E182="Patty Cash",VLOOKUP($C182,'Patty Cash'!$B:$J,8,FALSE()),0)))),0)</f>
        <v>5850</v>
      </c>
      <c r="J182" s="252">
        <f t="shared" si="5"/>
        <v>5850</v>
      </c>
      <c r="K182" s="253" t="s">
        <v>1764</v>
      </c>
      <c r="L182" s="253" t="s">
        <v>1196</v>
      </c>
      <c r="M182" s="253" t="s">
        <v>1323</v>
      </c>
      <c r="N182" s="328" t="s">
        <v>1274</v>
      </c>
    </row>
    <row r="183" spans="1:14" ht="20.100000000000001" customHeight="1">
      <c r="A183" s="327">
        <f>IF(AND($B183="",$C183=""),"",MAX($A$3:A182)+1)</f>
        <v>180</v>
      </c>
      <c r="B183" s="262">
        <v>46185</v>
      </c>
      <c r="C183" s="176">
        <v>16127</v>
      </c>
      <c r="D183" s="249" t="str">
        <f>IFERROR(IF($E183="Inventory",VLOOKUP($C183,Inventory!$B:$I,2,FALSE()),IF($E183="Non Inventory",VLOOKUP($C183,'Non Inventory'!$B:$I,2,FALSE()),IF($E183="Services",VLOOKUP($C183,Services!$B:$I,2,FALSE()),IF($E183="Patty Cash",VLOOKUP($C183,'Patty Cash'!$B:$J,2,FALSE()),"")))),"")</f>
        <v>Air Filter P/N# C-105004 (135kv Diesel Generator)</v>
      </c>
      <c r="E183" s="254" t="s">
        <v>7</v>
      </c>
      <c r="F183" s="263" t="str">
        <f>IFERROR(IF($E183="Inventory",VLOOKUP($C183,Inventory!$B:$I,3,FALSE()),IF($E183="Non Inventory",VLOOKUP($C183,'Non Inventory'!$B:$I,3,FALSE()),IF($E183="Services",VLOOKUP($C183,Services!$B:$I,3,FALSE()),IF($E183="Patty Cash",VLOOKUP($C183,'Patty Cash'!$B:$J,3,FALSE()),"")))),"")</f>
        <v>NOS</v>
      </c>
      <c r="G183" s="374">
        <v>1</v>
      </c>
      <c r="H183" s="374">
        <f t="shared" si="4"/>
        <v>1</v>
      </c>
      <c r="I183" s="252">
        <f>IFERROR(IF($E183="Inventory",VLOOKUP($C183,Inventory!$B:$I,8,FALSE()),IF($E183="Non Inventory",VLOOKUP($C183,'Non Inventory'!$B:$I,8,FALSE()),IF($E183="Services",VLOOKUP($C183,Services!$B:$I,8,FALSE()),IF($E183="Patty Cash",VLOOKUP($C183,'Patty Cash'!$B:$J,8,FALSE()),0)))),0)</f>
        <v>28500</v>
      </c>
      <c r="J183" s="252">
        <f t="shared" si="5"/>
        <v>28500</v>
      </c>
      <c r="K183" s="253" t="s">
        <v>1764</v>
      </c>
      <c r="L183" s="253" t="s">
        <v>1196</v>
      </c>
      <c r="M183" s="253" t="s">
        <v>1323</v>
      </c>
      <c r="N183" s="328" t="s">
        <v>1274</v>
      </c>
    </row>
    <row r="184" spans="1:14" ht="20.100000000000001" customHeight="1">
      <c r="A184" s="327">
        <f>IF(AND($B184="",$C184=""),"",MAX($A$3:A183)+1)</f>
        <v>181</v>
      </c>
      <c r="B184" s="262">
        <v>46185</v>
      </c>
      <c r="C184" s="176">
        <v>3876</v>
      </c>
      <c r="D184" s="249" t="str">
        <f>IFERROR(IF($E184="Inventory",VLOOKUP($C184,Inventory!$B:$I,2,FALSE()),IF($E184="Non Inventory",VLOOKUP($C184,'Non Inventory'!$B:$I,2,FALSE()),IF($E184="Services",VLOOKUP($C184,Services!$B:$I,2,FALSE()),IF($E184="Patty Cash",VLOOKUP($C184,'Patty Cash'!$B:$J,2,FALSE()),"")))),"")</f>
        <v>Generator Engine Oil 15w40</v>
      </c>
      <c r="E184" s="254" t="s">
        <v>7</v>
      </c>
      <c r="F184" s="263" t="str">
        <f>IFERROR(IF($E184="Inventory",VLOOKUP($C184,Inventory!$B:$I,3,FALSE()),IF($E184="Non Inventory",VLOOKUP($C184,'Non Inventory'!$B:$I,3,FALSE()),IF($E184="Services",VLOOKUP($C184,Services!$B:$I,3,FALSE()),IF($E184="Patty Cash",VLOOKUP($C184,'Patty Cash'!$B:$J,3,FALSE()),"")))),"")</f>
        <v>LTR</v>
      </c>
      <c r="G184" s="374">
        <v>20</v>
      </c>
      <c r="H184" s="374">
        <f t="shared" si="4"/>
        <v>20</v>
      </c>
      <c r="I184" s="252">
        <f>IFERROR(IF($E184="Inventory",VLOOKUP($C184,Inventory!$B:$I,8,FALSE()),IF($E184="Non Inventory",VLOOKUP($C184,'Non Inventory'!$B:$I,8,FALSE()),IF($E184="Services",VLOOKUP($C184,Services!$B:$I,8,FALSE()),IF($E184="Patty Cash",VLOOKUP($C184,'Patty Cash'!$B:$J,8,FALSE()),0)))),0)</f>
        <v>1300</v>
      </c>
      <c r="J184" s="252">
        <f t="shared" si="5"/>
        <v>26000</v>
      </c>
      <c r="K184" s="253" t="s">
        <v>1764</v>
      </c>
      <c r="L184" s="253" t="s">
        <v>1196</v>
      </c>
      <c r="M184" s="253" t="s">
        <v>1323</v>
      </c>
      <c r="N184" s="328" t="s">
        <v>1274</v>
      </c>
    </row>
    <row r="185" spans="1:14" ht="20.100000000000001" customHeight="1">
      <c r="A185" s="327">
        <f>IF(AND($B185="",$C185=""),"",MAX($A$3:A184)+1)</f>
        <v>182</v>
      </c>
      <c r="B185" s="262">
        <v>46185</v>
      </c>
      <c r="C185" s="253">
        <v>217990</v>
      </c>
      <c r="D185" s="249" t="str">
        <f>IFERROR(IF($E185="Inventory",VLOOKUP($C185,Inventory!$B:$I,2,FALSE()),IF($E185="Non Inventory",VLOOKUP($C185,'Non Inventory'!$B:$I,2,FALSE()),IF($E185="Services",VLOOKUP($C185,Services!$B:$I,2,FALSE()),IF($E185="Patty Cash",VLOOKUP($C185,'Patty Cash'!$B:$J,2,FALSE()),"")))),"")</f>
        <v>Serv. Misc. Services GENSET 135KVA INSPECTION &amp; SERVICE
CHAGES</v>
      </c>
      <c r="E185" s="254" t="s">
        <v>1280</v>
      </c>
      <c r="F185" s="263" t="str">
        <f>IFERROR(IF($E185="Inventory",VLOOKUP($C185,Inventory!$B:$I,3,FALSE()),IF($E185="Non Inventory",VLOOKUP($C185,'Non Inventory'!$B:$I,3,FALSE()),IF($E185="Services",VLOOKUP($C185,Services!$B:$I,3,FALSE()),IF($E185="Patty Cash",VLOOKUP($C185,'Patty Cash'!$B:$J,3,FALSE()),"")))),"")</f>
        <v>NOS</v>
      </c>
      <c r="G185" s="374">
        <v>1</v>
      </c>
      <c r="H185" s="374">
        <f t="shared" si="4"/>
        <v>1</v>
      </c>
      <c r="I185" s="252">
        <f>IFERROR(IF($E185="Inventory",VLOOKUP($C185,Inventory!$B:$I,8,FALSE()),IF($E185="Non Inventory",VLOOKUP($C185,'Non Inventory'!$B:$I,8,FALSE()),IF($E185="Services",VLOOKUP($C185,Services!$B:$I,8,FALSE()),IF($E185="Patty Cash",VLOOKUP($C185,'Patty Cash'!$B:$J,8,FALSE()),0)))),0)</f>
        <v>18000</v>
      </c>
      <c r="J185" s="252">
        <f t="shared" si="5"/>
        <v>18000</v>
      </c>
      <c r="K185" s="253"/>
      <c r="L185" s="253"/>
      <c r="M185" s="253"/>
      <c r="N185" s="328"/>
    </row>
    <row r="186" spans="1:14" ht="20.100000000000001" customHeight="1">
      <c r="A186" s="327" t="str">
        <f>IF(AND($B186="",$C186=""),"",MAX($A$3:A185)+1)</f>
        <v/>
      </c>
      <c r="B186" s="262"/>
      <c r="C186" s="253"/>
      <c r="D186" s="249" t="str">
        <f>IFERROR(IF($E186="Inventory",VLOOKUP($C186,Inventory!$B:$I,2,FALSE()),IF($E186="Non Inventory",VLOOKUP($C186,'Non Inventory'!$B:$I,2,FALSE()),IF($E186="Services",VLOOKUP($C186,Services!$B:$I,2,FALSE()),IF($E186="Patty Cash",VLOOKUP($C186,'Patty Cash'!$B:$J,2,FALSE()),"")))),"")</f>
        <v/>
      </c>
      <c r="E186" s="254"/>
      <c r="F186" s="263" t="str">
        <f>IFERROR(IF($E186="Inventory",VLOOKUP($C186,Inventory!$B:$I,3,FALSE()),IF($E186="Non Inventory",VLOOKUP($C186,'Non Inventory'!$B:$I,3,FALSE()),IF($E186="Services",VLOOKUP($C186,Services!$B:$I,3,FALSE()),IF($E186="Patty Cash",VLOOKUP($C186,'Patty Cash'!$B:$J,3,FALSE()),"")))),"")</f>
        <v/>
      </c>
      <c r="G186" s="374"/>
      <c r="H186" s="374" t="str">
        <f t="shared" si="4"/>
        <v/>
      </c>
      <c r="I186" s="252">
        <f>IFERROR(IF($E186="Inventory",VLOOKUP($C186,Inventory!$B:$I,8,FALSE()),IF($E186="Non Inventory",VLOOKUP($C186,'Non Inventory'!$B:$I,8,FALSE()),IF($E186="Services",VLOOKUP($C186,Services!$B:$I,8,FALSE()),IF($E186="Patty Cash",VLOOKUP($C186,'Patty Cash'!$B:$J,8,FALSE()),0)))),0)</f>
        <v>0</v>
      </c>
      <c r="J186" s="252" t="str">
        <f t="shared" si="5"/>
        <v/>
      </c>
      <c r="K186" s="253"/>
      <c r="L186" s="253"/>
      <c r="M186" s="253"/>
      <c r="N186" s="328"/>
    </row>
    <row r="187" spans="1:14" ht="20.100000000000001" customHeight="1">
      <c r="A187" s="327" t="str">
        <f>IF(AND($B187="",$C187=""),"",MAX($A$3:A186)+1)</f>
        <v/>
      </c>
      <c r="B187" s="262"/>
      <c r="C187" s="253"/>
      <c r="D187" s="249" t="str">
        <f>IFERROR(IF($E187="Inventory",VLOOKUP($C187,Inventory!$B:$I,2,FALSE()),IF($E187="Non Inventory",VLOOKUP($C187,'Non Inventory'!$B:$I,2,FALSE()),IF($E187="Services",VLOOKUP($C187,Services!$B:$I,2,FALSE()),IF($E187="Patty Cash",VLOOKUP($C187,'Patty Cash'!$B:$J,2,FALSE()),"")))),"")</f>
        <v/>
      </c>
      <c r="E187" s="254"/>
      <c r="F187" s="263" t="str">
        <f>IFERROR(IF($E187="Inventory",VLOOKUP($C187,Inventory!$B:$I,3,FALSE()),IF($E187="Non Inventory",VLOOKUP($C187,'Non Inventory'!$B:$I,3,FALSE()),IF($E187="Services",VLOOKUP($C187,Services!$B:$I,3,FALSE()),IF($E187="Patty Cash",VLOOKUP($C187,'Patty Cash'!$B:$J,3,FALSE()),"")))),"")</f>
        <v/>
      </c>
      <c r="G187" s="374"/>
      <c r="H187" s="374" t="str">
        <f t="shared" ref="H187:H250" si="6">IF($G187="","",G187)</f>
        <v/>
      </c>
      <c r="I187" s="252">
        <f>IFERROR(IF($E187="Inventory",VLOOKUP($C187,Inventory!$B:$I,8,FALSE()),IF($E187="Non Inventory",VLOOKUP($C187,'Non Inventory'!$B:$I,8,FALSE()),IF($E187="Services",VLOOKUP($C187,Services!$B:$I,8,FALSE()),IF($E187="Patty Cash",VLOOKUP($C187,'Patty Cash'!$B:$J,8,FALSE()),0)))),0)</f>
        <v>0</v>
      </c>
      <c r="J187" s="252" t="str">
        <f t="shared" ref="J187:J250" si="7">IF($H187="","",H187*I187)</f>
        <v/>
      </c>
      <c r="K187" s="253"/>
      <c r="L187" s="253"/>
      <c r="M187" s="253"/>
      <c r="N187" s="328"/>
    </row>
    <row r="188" spans="1:14" ht="20.100000000000001" customHeight="1">
      <c r="A188" s="327" t="str">
        <f>IF(AND($B188="",$C188=""),"",MAX($A$3:A187)+1)</f>
        <v/>
      </c>
      <c r="B188" s="262"/>
      <c r="C188" s="253"/>
      <c r="D188" s="249" t="str">
        <f>IFERROR(IF($E188="Inventory",VLOOKUP($C188,Inventory!$B:$I,2,FALSE()),IF($E188="Non Inventory",VLOOKUP($C188,'Non Inventory'!$B:$I,2,FALSE()),IF($E188="Services",VLOOKUP($C188,Services!$B:$I,2,FALSE()),IF($E188="Patty Cash",VLOOKUP($C188,'Patty Cash'!$B:$J,2,FALSE()),"")))),"")</f>
        <v/>
      </c>
      <c r="E188" s="254"/>
      <c r="F188" s="263" t="str">
        <f>IFERROR(IF($E188="Inventory",VLOOKUP($C188,Inventory!$B:$I,3,FALSE()),IF($E188="Non Inventory",VLOOKUP($C188,'Non Inventory'!$B:$I,3,FALSE()),IF($E188="Services",VLOOKUP($C188,Services!$B:$I,3,FALSE()),IF($E188="Patty Cash",VLOOKUP($C188,'Patty Cash'!$B:$J,3,FALSE()),"")))),"")</f>
        <v/>
      </c>
      <c r="G188" s="374"/>
      <c r="H188" s="374" t="str">
        <f t="shared" si="6"/>
        <v/>
      </c>
      <c r="I188" s="252">
        <f>IFERROR(IF($E188="Inventory",VLOOKUP($C188,Inventory!$B:$I,8,FALSE()),IF($E188="Non Inventory",VLOOKUP($C188,'Non Inventory'!$B:$I,8,FALSE()),IF($E188="Services",VLOOKUP($C188,Services!$B:$I,8,FALSE()),IF($E188="Patty Cash",VLOOKUP($C188,'Patty Cash'!$B:$J,8,FALSE()),0)))),0)</f>
        <v>0</v>
      </c>
      <c r="J188" s="252" t="str">
        <f t="shared" si="7"/>
        <v/>
      </c>
      <c r="K188" s="253"/>
      <c r="L188" s="253"/>
      <c r="M188" s="253"/>
      <c r="N188" s="328"/>
    </row>
    <row r="189" spans="1:14" ht="20.100000000000001" customHeight="1">
      <c r="A189" s="327" t="str">
        <f>IF(AND($B189="",$C189=""),"",MAX($A$3:A188)+1)</f>
        <v/>
      </c>
      <c r="B189" s="262"/>
      <c r="C189" s="253"/>
      <c r="D189" s="249" t="str">
        <f>IFERROR(IF($E189="Inventory",VLOOKUP($C189,Inventory!$B:$I,2,FALSE()),IF($E189="Non Inventory",VLOOKUP($C189,'Non Inventory'!$B:$I,2,FALSE()),IF($E189="Services",VLOOKUP($C189,Services!$B:$I,2,FALSE()),IF($E189="Patty Cash",VLOOKUP($C189,'Patty Cash'!$B:$J,2,FALSE()),"")))),"")</f>
        <v/>
      </c>
      <c r="E189" s="254"/>
      <c r="F189" s="263" t="str">
        <f>IFERROR(IF($E189="Inventory",VLOOKUP($C189,Inventory!$B:$I,3,FALSE()),IF($E189="Non Inventory",VLOOKUP($C189,'Non Inventory'!$B:$I,3,FALSE()),IF($E189="Services",VLOOKUP($C189,Services!$B:$I,3,FALSE()),IF($E189="Patty Cash",VLOOKUP($C189,'Patty Cash'!$B:$J,3,FALSE()),"")))),"")</f>
        <v/>
      </c>
      <c r="G189" s="374"/>
      <c r="H189" s="374" t="str">
        <f t="shared" si="6"/>
        <v/>
      </c>
      <c r="I189" s="252">
        <f>IFERROR(IF($E189="Inventory",VLOOKUP($C189,Inventory!$B:$I,8,FALSE()),IF($E189="Non Inventory",VLOOKUP($C189,'Non Inventory'!$B:$I,8,FALSE()),IF($E189="Services",VLOOKUP($C189,Services!$B:$I,8,FALSE()),IF($E189="Patty Cash",VLOOKUP($C189,'Patty Cash'!$B:$J,8,FALSE()),0)))),0)</f>
        <v>0</v>
      </c>
      <c r="J189" s="252" t="str">
        <f t="shared" si="7"/>
        <v/>
      </c>
      <c r="K189" s="253"/>
      <c r="L189" s="253"/>
      <c r="M189" s="253"/>
      <c r="N189" s="328"/>
    </row>
    <row r="190" spans="1:14" ht="20.100000000000001" customHeight="1">
      <c r="A190" s="327" t="str">
        <f>IF(AND($B190="",$C190=""),"",MAX($A$3:A189)+1)</f>
        <v/>
      </c>
      <c r="B190" s="262"/>
      <c r="C190" s="253"/>
      <c r="D190" s="249" t="str">
        <f>IFERROR(IF($E190="Inventory",VLOOKUP($C190,Inventory!$B:$I,2,FALSE()),IF($E190="Non Inventory",VLOOKUP($C190,'Non Inventory'!$B:$I,2,FALSE()),IF($E190="Services",VLOOKUP($C190,Services!$B:$I,2,FALSE()),IF($E190="Patty Cash",VLOOKUP($C190,'Patty Cash'!$B:$J,2,FALSE()),"")))),"")</f>
        <v/>
      </c>
      <c r="E190" s="254"/>
      <c r="F190" s="263" t="str">
        <f>IFERROR(IF($E190="Inventory",VLOOKUP($C190,Inventory!$B:$I,3,FALSE()),IF($E190="Non Inventory",VLOOKUP($C190,'Non Inventory'!$B:$I,3,FALSE()),IF($E190="Services",VLOOKUP($C190,Services!$B:$I,3,FALSE()),IF($E190="Patty Cash",VLOOKUP($C190,'Patty Cash'!$B:$J,3,FALSE()),"")))),"")</f>
        <v/>
      </c>
      <c r="G190" s="374"/>
      <c r="H190" s="374" t="str">
        <f t="shared" si="6"/>
        <v/>
      </c>
      <c r="I190" s="252">
        <f>IFERROR(IF($E190="Inventory",VLOOKUP($C190,Inventory!$B:$I,8,FALSE()),IF($E190="Non Inventory",VLOOKUP($C190,'Non Inventory'!$B:$I,8,FALSE()),IF($E190="Services",VLOOKUP($C190,Services!$B:$I,8,FALSE()),IF($E190="Patty Cash",VLOOKUP($C190,'Patty Cash'!$B:$J,8,FALSE()),0)))),0)</f>
        <v>0</v>
      </c>
      <c r="J190" s="252" t="str">
        <f t="shared" si="7"/>
        <v/>
      </c>
      <c r="K190" s="253"/>
      <c r="L190" s="253"/>
      <c r="M190" s="253"/>
      <c r="N190" s="328"/>
    </row>
    <row r="191" spans="1:14" ht="20.100000000000001" customHeight="1">
      <c r="A191" s="327" t="str">
        <f>IF(AND($B191="",$C191=""),"",MAX($A$3:A190)+1)</f>
        <v/>
      </c>
      <c r="B191" s="262"/>
      <c r="C191" s="253"/>
      <c r="D191" s="249" t="str">
        <f>IFERROR(IF($E191="Inventory",VLOOKUP($C191,Inventory!$B:$I,2,FALSE()),IF($E191="Non Inventory",VLOOKUP($C191,'Non Inventory'!$B:$I,2,FALSE()),IF($E191="Services",VLOOKUP($C191,Services!$B:$I,2,FALSE()),IF($E191="Patty Cash",VLOOKUP($C191,'Patty Cash'!$B:$J,2,FALSE()),"")))),"")</f>
        <v/>
      </c>
      <c r="E191" s="254"/>
      <c r="F191" s="263" t="str">
        <f>IFERROR(IF($E191="Inventory",VLOOKUP($C191,Inventory!$B:$I,3,FALSE()),IF($E191="Non Inventory",VLOOKUP($C191,'Non Inventory'!$B:$I,3,FALSE()),IF($E191="Services",VLOOKUP($C191,Services!$B:$I,3,FALSE()),IF($E191="Patty Cash",VLOOKUP($C191,'Patty Cash'!$B:$J,3,FALSE()),"")))),"")</f>
        <v/>
      </c>
      <c r="G191" s="374"/>
      <c r="H191" s="374" t="str">
        <f t="shared" si="6"/>
        <v/>
      </c>
      <c r="I191" s="252">
        <f>IFERROR(IF($E191="Inventory",VLOOKUP($C191,Inventory!$B:$I,8,FALSE()),IF($E191="Non Inventory",VLOOKUP($C191,'Non Inventory'!$B:$I,8,FALSE()),IF($E191="Services",VLOOKUP($C191,Services!$B:$I,8,FALSE()),IF($E191="Patty Cash",VLOOKUP($C191,'Patty Cash'!$B:$J,8,FALSE()),0)))),0)</f>
        <v>0</v>
      </c>
      <c r="J191" s="252" t="str">
        <f t="shared" si="7"/>
        <v/>
      </c>
      <c r="K191" s="253"/>
      <c r="L191" s="253"/>
      <c r="M191" s="253"/>
      <c r="N191" s="328"/>
    </row>
    <row r="192" spans="1:14" ht="20.100000000000001" customHeight="1">
      <c r="A192" s="327" t="str">
        <f>IF(AND($B192="",$C192=""),"",MAX($A$3:A191)+1)</f>
        <v/>
      </c>
      <c r="B192" s="262"/>
      <c r="C192" s="253"/>
      <c r="D192" s="249" t="str">
        <f>IFERROR(IF($E192="Inventory",VLOOKUP($C192,Inventory!$B:$I,2,FALSE()),IF($E192="Non Inventory",VLOOKUP($C192,'Non Inventory'!$B:$I,2,FALSE()),IF($E192="Services",VLOOKUP($C192,Services!$B:$I,2,FALSE()),IF($E192="Patty Cash",VLOOKUP($C192,'Patty Cash'!$B:$J,2,FALSE()),"")))),"")</f>
        <v/>
      </c>
      <c r="E192" s="254"/>
      <c r="F192" s="263" t="str">
        <f>IFERROR(IF($E192="Inventory",VLOOKUP($C192,Inventory!$B:$I,3,FALSE()),IF($E192="Non Inventory",VLOOKUP($C192,'Non Inventory'!$B:$I,3,FALSE()),IF($E192="Services",VLOOKUP($C192,Services!$B:$I,3,FALSE()),IF($E192="Patty Cash",VLOOKUP($C192,'Patty Cash'!$B:$J,3,FALSE()),"")))),"")</f>
        <v/>
      </c>
      <c r="G192" s="374"/>
      <c r="H192" s="374" t="str">
        <f t="shared" si="6"/>
        <v/>
      </c>
      <c r="I192" s="252">
        <f>IFERROR(IF($E192="Inventory",VLOOKUP($C192,Inventory!$B:$I,8,FALSE()),IF($E192="Non Inventory",VLOOKUP($C192,'Non Inventory'!$B:$I,8,FALSE()),IF($E192="Services",VLOOKUP($C192,Services!$B:$I,8,FALSE()),IF($E192="Patty Cash",VLOOKUP($C192,'Patty Cash'!$B:$J,8,FALSE()),0)))),0)</f>
        <v>0</v>
      </c>
      <c r="J192" s="252" t="str">
        <f t="shared" si="7"/>
        <v/>
      </c>
      <c r="K192" s="253"/>
      <c r="L192" s="253"/>
      <c r="M192" s="253"/>
      <c r="N192" s="328"/>
    </row>
    <row r="193" spans="1:14" ht="20.100000000000001" customHeight="1">
      <c r="A193" s="327" t="str">
        <f>IF(AND($B193="",$C193=""),"",MAX($A$3:A192)+1)</f>
        <v/>
      </c>
      <c r="B193" s="262"/>
      <c r="C193" s="253"/>
      <c r="D193" s="249" t="str">
        <f>IFERROR(IF($E193="Inventory",VLOOKUP($C193,Inventory!$B:$I,2,FALSE()),IF($E193="Non Inventory",VLOOKUP($C193,'Non Inventory'!$B:$I,2,FALSE()),IF($E193="Services",VLOOKUP($C193,Services!$B:$I,2,FALSE()),IF($E193="Patty Cash",VLOOKUP($C193,'Patty Cash'!$B:$J,2,FALSE()),"")))),"")</f>
        <v/>
      </c>
      <c r="E193" s="254"/>
      <c r="F193" s="263" t="str">
        <f>IFERROR(IF($E193="Inventory",VLOOKUP($C193,Inventory!$B:$I,3,FALSE()),IF($E193="Non Inventory",VLOOKUP($C193,'Non Inventory'!$B:$I,3,FALSE()),IF($E193="Services",VLOOKUP($C193,Services!$B:$I,3,FALSE()),IF($E193="Patty Cash",VLOOKUP($C193,'Patty Cash'!$B:$J,3,FALSE()),"")))),"")</f>
        <v/>
      </c>
      <c r="G193" s="374"/>
      <c r="H193" s="374" t="str">
        <f t="shared" si="6"/>
        <v/>
      </c>
      <c r="I193" s="252">
        <f>IFERROR(IF($E193="Inventory",VLOOKUP($C193,Inventory!$B:$I,8,FALSE()),IF($E193="Non Inventory",VLOOKUP($C193,'Non Inventory'!$B:$I,8,FALSE()),IF($E193="Services",VLOOKUP($C193,Services!$B:$I,8,FALSE()),IF($E193="Patty Cash",VLOOKUP($C193,'Patty Cash'!$B:$J,8,FALSE()),0)))),0)</f>
        <v>0</v>
      </c>
      <c r="J193" s="252" t="str">
        <f t="shared" si="7"/>
        <v/>
      </c>
      <c r="K193" s="253"/>
      <c r="L193" s="253"/>
      <c r="M193" s="253"/>
      <c r="N193" s="328"/>
    </row>
    <row r="194" spans="1:14" ht="20.100000000000001" customHeight="1">
      <c r="A194" s="327" t="str">
        <f>IF(AND($B194="",$C194=""),"",MAX($A$3:A193)+1)</f>
        <v/>
      </c>
      <c r="B194" s="262"/>
      <c r="C194" s="253"/>
      <c r="D194" s="249" t="str">
        <f>IFERROR(IF($E194="Inventory",VLOOKUP($C194,Inventory!$B:$I,2,FALSE()),IF($E194="Non Inventory",VLOOKUP($C194,'Non Inventory'!$B:$I,2,FALSE()),IF($E194="Services",VLOOKUP($C194,Services!$B:$I,2,FALSE()),IF($E194="Patty Cash",VLOOKUP($C194,'Patty Cash'!$B:$J,2,FALSE()),"")))),"")</f>
        <v/>
      </c>
      <c r="E194" s="254"/>
      <c r="F194" s="263" t="str">
        <f>IFERROR(IF($E194="Inventory",VLOOKUP($C194,Inventory!$B:$I,3,FALSE()),IF($E194="Non Inventory",VLOOKUP($C194,'Non Inventory'!$B:$I,3,FALSE()),IF($E194="Services",VLOOKUP($C194,Services!$B:$I,3,FALSE()),IF($E194="Patty Cash",VLOOKUP($C194,'Patty Cash'!$B:$J,3,FALSE()),"")))),"")</f>
        <v/>
      </c>
      <c r="G194" s="374"/>
      <c r="H194" s="374" t="str">
        <f t="shared" si="6"/>
        <v/>
      </c>
      <c r="I194" s="252">
        <f>IFERROR(IF($E194="Inventory",VLOOKUP($C194,Inventory!$B:$I,8,FALSE()),IF($E194="Non Inventory",VLOOKUP($C194,'Non Inventory'!$B:$I,8,FALSE()),IF($E194="Services",VLOOKUP($C194,Services!$B:$I,8,FALSE()),IF($E194="Patty Cash",VLOOKUP($C194,'Patty Cash'!$B:$J,8,FALSE()),0)))),0)</f>
        <v>0</v>
      </c>
      <c r="J194" s="252" t="str">
        <f t="shared" si="7"/>
        <v/>
      </c>
      <c r="K194" s="253"/>
      <c r="L194" s="253"/>
      <c r="M194" s="253"/>
      <c r="N194" s="328"/>
    </row>
    <row r="195" spans="1:14" ht="20.100000000000001" customHeight="1">
      <c r="A195" s="327" t="str">
        <f>IF(AND($B195="",$C195=""),"",MAX($A$3:A194)+1)</f>
        <v/>
      </c>
      <c r="B195" s="262"/>
      <c r="C195" s="253"/>
      <c r="D195" s="249" t="str">
        <f>IFERROR(IF($E195="Inventory",VLOOKUP($C195,Inventory!$B:$I,2,FALSE()),IF($E195="Non Inventory",VLOOKUP($C195,'Non Inventory'!$B:$I,2,FALSE()),IF($E195="Services",VLOOKUP($C195,Services!$B:$I,2,FALSE()),IF($E195="Patty Cash",VLOOKUP($C195,'Patty Cash'!$B:$J,2,FALSE()),"")))),"")</f>
        <v/>
      </c>
      <c r="E195" s="254"/>
      <c r="F195" s="263" t="str">
        <f>IFERROR(IF($E195="Inventory",VLOOKUP($C195,Inventory!$B:$I,3,FALSE()),IF($E195="Non Inventory",VLOOKUP($C195,'Non Inventory'!$B:$I,3,FALSE()),IF($E195="Services",VLOOKUP($C195,Services!$B:$I,3,FALSE()),IF($E195="Patty Cash",VLOOKUP($C195,'Patty Cash'!$B:$J,3,FALSE()),"")))),"")</f>
        <v/>
      </c>
      <c r="G195" s="374"/>
      <c r="H195" s="374" t="str">
        <f t="shared" si="6"/>
        <v/>
      </c>
      <c r="I195" s="252">
        <f>IFERROR(IF($E195="Inventory",VLOOKUP($C195,Inventory!$B:$I,8,FALSE()),IF($E195="Non Inventory",VLOOKUP($C195,'Non Inventory'!$B:$I,8,FALSE()),IF($E195="Services",VLOOKUP($C195,Services!$B:$I,8,FALSE()),IF($E195="Patty Cash",VLOOKUP($C195,'Patty Cash'!$B:$J,8,FALSE()),0)))),0)</f>
        <v>0</v>
      </c>
      <c r="J195" s="252" t="str">
        <f t="shared" si="7"/>
        <v/>
      </c>
      <c r="K195" s="253"/>
      <c r="L195" s="253"/>
      <c r="M195" s="253"/>
      <c r="N195" s="328"/>
    </row>
    <row r="196" spans="1:14" ht="20.100000000000001" customHeight="1">
      <c r="A196" s="327" t="str">
        <f>IF(AND($B196="",$C196=""),"",MAX($A$3:A195)+1)</f>
        <v/>
      </c>
      <c r="B196" s="262"/>
      <c r="C196" s="253"/>
      <c r="D196" s="249" t="str">
        <f>IFERROR(IF($E196="Inventory",VLOOKUP($C196,Inventory!$B:$I,2,FALSE()),IF($E196="Non Inventory",VLOOKUP($C196,'Non Inventory'!$B:$I,2,FALSE()),IF($E196="Services",VLOOKUP($C196,Services!$B:$I,2,FALSE()),IF($E196="Patty Cash",VLOOKUP($C196,'Patty Cash'!$B:$J,2,FALSE()),"")))),"")</f>
        <v/>
      </c>
      <c r="E196" s="254"/>
      <c r="F196" s="263" t="str">
        <f>IFERROR(IF($E196="Inventory",VLOOKUP($C196,Inventory!$B:$I,3,FALSE()),IF($E196="Non Inventory",VLOOKUP($C196,'Non Inventory'!$B:$I,3,FALSE()),IF($E196="Services",VLOOKUP($C196,Services!$B:$I,3,FALSE()),IF($E196="Patty Cash",VLOOKUP($C196,'Patty Cash'!$B:$J,3,FALSE()),"")))),"")</f>
        <v/>
      </c>
      <c r="G196" s="374"/>
      <c r="H196" s="374" t="str">
        <f t="shared" si="6"/>
        <v/>
      </c>
      <c r="I196" s="252">
        <f>IFERROR(IF($E196="Inventory",VLOOKUP($C196,Inventory!$B:$I,8,FALSE()),IF($E196="Non Inventory",VLOOKUP($C196,'Non Inventory'!$B:$I,8,FALSE()),IF($E196="Services",VLOOKUP($C196,Services!$B:$I,8,FALSE()),IF($E196="Patty Cash",VLOOKUP($C196,'Patty Cash'!$B:$J,8,FALSE()),0)))),0)</f>
        <v>0</v>
      </c>
      <c r="J196" s="252" t="str">
        <f t="shared" si="7"/>
        <v/>
      </c>
      <c r="K196" s="253"/>
      <c r="L196" s="253"/>
      <c r="M196" s="253"/>
      <c r="N196" s="328"/>
    </row>
    <row r="197" spans="1:14" ht="20.100000000000001" customHeight="1">
      <c r="A197" s="327" t="str">
        <f>IF(AND($B197="",$C197=""),"",MAX($A$3:A196)+1)</f>
        <v/>
      </c>
      <c r="B197" s="262"/>
      <c r="C197" s="253"/>
      <c r="D197" s="249" t="str">
        <f>IFERROR(IF($E197="Inventory",VLOOKUP($C197,Inventory!$B:$I,2,FALSE()),IF($E197="Non Inventory",VLOOKUP($C197,'Non Inventory'!$B:$I,2,FALSE()),IF($E197="Services",VLOOKUP($C197,Services!$B:$I,2,FALSE()),IF($E197="Patty Cash",VLOOKUP($C197,'Patty Cash'!$B:$J,2,FALSE()),"")))),"")</f>
        <v/>
      </c>
      <c r="E197" s="254"/>
      <c r="F197" s="263" t="str">
        <f>IFERROR(IF($E197="Inventory",VLOOKUP($C197,Inventory!$B:$I,3,FALSE()),IF($E197="Non Inventory",VLOOKUP($C197,'Non Inventory'!$B:$I,3,FALSE()),IF($E197="Services",VLOOKUP($C197,Services!$B:$I,3,FALSE()),IF($E197="Patty Cash",VLOOKUP($C197,'Patty Cash'!$B:$J,3,FALSE()),"")))),"")</f>
        <v/>
      </c>
      <c r="G197" s="374"/>
      <c r="H197" s="374" t="str">
        <f t="shared" si="6"/>
        <v/>
      </c>
      <c r="I197" s="252">
        <f>IFERROR(IF($E197="Inventory",VLOOKUP($C197,Inventory!$B:$I,8,FALSE()),IF($E197="Non Inventory",VLOOKUP($C197,'Non Inventory'!$B:$I,8,FALSE()),IF($E197="Services",VLOOKUP($C197,Services!$B:$I,8,FALSE()),IF($E197="Patty Cash",VLOOKUP($C197,'Patty Cash'!$B:$J,8,FALSE()),0)))),0)</f>
        <v>0</v>
      </c>
      <c r="J197" s="252" t="str">
        <f t="shared" si="7"/>
        <v/>
      </c>
      <c r="K197" s="253"/>
      <c r="L197" s="253"/>
      <c r="M197" s="253"/>
      <c r="N197" s="328"/>
    </row>
    <row r="198" spans="1:14" ht="20.100000000000001" customHeight="1">
      <c r="A198" s="327" t="str">
        <f>IF(AND($B198="",$C198=""),"",MAX($A$3:A197)+1)</f>
        <v/>
      </c>
      <c r="B198" s="262"/>
      <c r="C198" s="253"/>
      <c r="D198" s="249" t="str">
        <f>IFERROR(IF($E198="Inventory",VLOOKUP($C198,Inventory!$B:$I,2,FALSE()),IF($E198="Non Inventory",VLOOKUP($C198,'Non Inventory'!$B:$I,2,FALSE()),IF($E198="Services",VLOOKUP($C198,Services!$B:$I,2,FALSE()),IF($E198="Patty Cash",VLOOKUP($C198,'Patty Cash'!$B:$J,2,FALSE()),"")))),"")</f>
        <v/>
      </c>
      <c r="E198" s="254"/>
      <c r="F198" s="263" t="str">
        <f>IFERROR(IF($E198="Inventory",VLOOKUP($C198,Inventory!$B:$I,3,FALSE()),IF($E198="Non Inventory",VLOOKUP($C198,'Non Inventory'!$B:$I,3,FALSE()),IF($E198="Services",VLOOKUP($C198,Services!$B:$I,3,FALSE()),IF($E198="Patty Cash",VLOOKUP($C198,'Patty Cash'!$B:$J,3,FALSE()),"")))),"")</f>
        <v/>
      </c>
      <c r="G198" s="374"/>
      <c r="H198" s="374" t="str">
        <f t="shared" si="6"/>
        <v/>
      </c>
      <c r="I198" s="252">
        <f>IFERROR(IF($E198="Inventory",VLOOKUP($C198,Inventory!$B:$I,8,FALSE()),IF($E198="Non Inventory",VLOOKUP($C198,'Non Inventory'!$B:$I,8,FALSE()),IF($E198="Services",VLOOKUP($C198,Services!$B:$I,8,FALSE()),IF($E198="Patty Cash",VLOOKUP($C198,'Patty Cash'!$B:$J,8,FALSE()),0)))),0)</f>
        <v>0</v>
      </c>
      <c r="J198" s="252" t="str">
        <f t="shared" si="7"/>
        <v/>
      </c>
      <c r="K198" s="253"/>
      <c r="L198" s="253"/>
      <c r="M198" s="253"/>
      <c r="N198" s="328"/>
    </row>
    <row r="199" spans="1:14" ht="20.100000000000001" customHeight="1">
      <c r="A199" s="327" t="str">
        <f>IF(AND($B199="",$C199=""),"",MAX($A$3:A198)+1)</f>
        <v/>
      </c>
      <c r="B199" s="262"/>
      <c r="C199" s="253"/>
      <c r="D199" s="249" t="str">
        <f>IFERROR(IF($E199="Inventory",VLOOKUP($C199,Inventory!$B:$I,2,FALSE()),IF($E199="Non Inventory",VLOOKUP($C199,'Non Inventory'!$B:$I,2,FALSE()),IF($E199="Services",VLOOKUP($C199,Services!$B:$I,2,FALSE()),IF($E199="Patty Cash",VLOOKUP($C199,'Patty Cash'!$B:$J,2,FALSE()),"")))),"")</f>
        <v/>
      </c>
      <c r="E199" s="254"/>
      <c r="F199" s="263" t="str">
        <f>IFERROR(IF($E199="Inventory",VLOOKUP($C199,Inventory!$B:$I,3,FALSE()),IF($E199="Non Inventory",VLOOKUP($C199,'Non Inventory'!$B:$I,3,FALSE()),IF($E199="Services",VLOOKUP($C199,Services!$B:$I,3,FALSE()),IF($E199="Patty Cash",VLOOKUP($C199,'Patty Cash'!$B:$J,3,FALSE()),"")))),"")</f>
        <v/>
      </c>
      <c r="G199" s="374"/>
      <c r="H199" s="374" t="str">
        <f t="shared" si="6"/>
        <v/>
      </c>
      <c r="I199" s="252">
        <f>IFERROR(IF($E199="Inventory",VLOOKUP($C199,Inventory!$B:$I,8,FALSE()),IF($E199="Non Inventory",VLOOKUP($C199,'Non Inventory'!$B:$I,8,FALSE()),IF($E199="Services",VLOOKUP($C199,Services!$B:$I,8,FALSE()),IF($E199="Patty Cash",VLOOKUP($C199,'Patty Cash'!$B:$J,8,FALSE()),0)))),0)</f>
        <v>0</v>
      </c>
      <c r="J199" s="252" t="str">
        <f t="shared" si="7"/>
        <v/>
      </c>
      <c r="K199" s="253"/>
      <c r="L199" s="253"/>
      <c r="M199" s="253"/>
      <c r="N199" s="328"/>
    </row>
    <row r="200" spans="1:14" ht="20.100000000000001" customHeight="1">
      <c r="A200" s="327" t="str">
        <f>IF(AND($B200="",$C200=""),"",MAX($A$3:A199)+1)</f>
        <v/>
      </c>
      <c r="B200" s="262"/>
      <c r="C200" s="253"/>
      <c r="D200" s="249" t="str">
        <f>IFERROR(IF($E200="Inventory",VLOOKUP($C200,Inventory!$B:$I,2,FALSE()),IF($E200="Non Inventory",VLOOKUP($C200,'Non Inventory'!$B:$I,2,FALSE()),IF($E200="Services",VLOOKUP($C200,Services!$B:$I,2,FALSE()),IF($E200="Patty Cash",VLOOKUP($C200,'Patty Cash'!$B:$J,2,FALSE()),"")))),"")</f>
        <v/>
      </c>
      <c r="E200" s="254"/>
      <c r="F200" s="263" t="str">
        <f>IFERROR(IF($E200="Inventory",VLOOKUP($C200,Inventory!$B:$I,3,FALSE()),IF($E200="Non Inventory",VLOOKUP($C200,'Non Inventory'!$B:$I,3,FALSE()),IF($E200="Services",VLOOKUP($C200,Services!$B:$I,3,FALSE()),IF($E200="Patty Cash",VLOOKUP($C200,'Patty Cash'!$B:$J,3,FALSE()),"")))),"")</f>
        <v/>
      </c>
      <c r="G200" s="374"/>
      <c r="H200" s="374" t="str">
        <f t="shared" si="6"/>
        <v/>
      </c>
      <c r="I200" s="252">
        <f>IFERROR(IF($E200="Inventory",VLOOKUP($C200,Inventory!$B:$I,8,FALSE()),IF($E200="Non Inventory",VLOOKUP($C200,'Non Inventory'!$B:$I,8,FALSE()),IF($E200="Services",VLOOKUP($C200,Services!$B:$I,8,FALSE()),IF($E200="Patty Cash",VLOOKUP($C200,'Patty Cash'!$B:$J,8,FALSE()),0)))),0)</f>
        <v>0</v>
      </c>
      <c r="J200" s="252" t="str">
        <f t="shared" si="7"/>
        <v/>
      </c>
      <c r="K200" s="253"/>
      <c r="L200" s="253"/>
      <c r="M200" s="253"/>
      <c r="N200" s="328"/>
    </row>
    <row r="201" spans="1:14" ht="20.100000000000001" customHeight="1">
      <c r="A201" s="327" t="str">
        <f>IF(AND($B201="",$C201=""),"",MAX($A$3:A200)+1)</f>
        <v/>
      </c>
      <c r="B201" s="262"/>
      <c r="C201" s="253"/>
      <c r="D201" s="249" t="str">
        <f>IFERROR(IF($E201="Inventory",VLOOKUP($C201,Inventory!$B:$I,2,FALSE()),IF($E201="Non Inventory",VLOOKUP($C201,'Non Inventory'!$B:$I,2,FALSE()),IF($E201="Services",VLOOKUP($C201,Services!$B:$I,2,FALSE()),IF($E201="Patty Cash",VLOOKUP($C201,'Patty Cash'!$B:$J,2,FALSE()),"")))),"")</f>
        <v/>
      </c>
      <c r="E201" s="254"/>
      <c r="F201" s="263" t="str">
        <f>IFERROR(IF($E201="Inventory",VLOOKUP($C201,Inventory!$B:$I,3,FALSE()),IF($E201="Non Inventory",VLOOKUP($C201,'Non Inventory'!$B:$I,3,FALSE()),IF($E201="Services",VLOOKUP($C201,Services!$B:$I,3,FALSE()),IF($E201="Patty Cash",VLOOKUP($C201,'Patty Cash'!$B:$J,3,FALSE()),"")))),"")</f>
        <v/>
      </c>
      <c r="G201" s="374"/>
      <c r="H201" s="374" t="str">
        <f t="shared" si="6"/>
        <v/>
      </c>
      <c r="I201" s="252">
        <f>IFERROR(IF($E201="Inventory",VLOOKUP($C201,Inventory!$B:$I,8,FALSE()),IF($E201="Non Inventory",VLOOKUP($C201,'Non Inventory'!$B:$I,8,FALSE()),IF($E201="Services",VLOOKUP($C201,Services!$B:$I,8,FALSE()),IF($E201="Patty Cash",VLOOKUP($C201,'Patty Cash'!$B:$J,8,FALSE()),0)))),0)</f>
        <v>0</v>
      </c>
      <c r="J201" s="252" t="str">
        <f t="shared" si="7"/>
        <v/>
      </c>
      <c r="K201" s="253"/>
      <c r="L201" s="253"/>
      <c r="M201" s="253"/>
      <c r="N201" s="328"/>
    </row>
    <row r="202" spans="1:14" ht="20.100000000000001" customHeight="1">
      <c r="A202" s="327" t="str">
        <f>IF(AND($B202="",$C202=""),"",MAX($A$3:A201)+1)</f>
        <v/>
      </c>
      <c r="B202" s="262"/>
      <c r="C202" s="253"/>
      <c r="D202" s="249" t="str">
        <f>IFERROR(IF($E202="Inventory",VLOOKUP($C202,Inventory!$B:$I,2,FALSE()),IF($E202="Non Inventory",VLOOKUP($C202,'Non Inventory'!$B:$I,2,FALSE()),IF($E202="Services",VLOOKUP($C202,Services!$B:$I,2,FALSE()),IF($E202="Patty Cash",VLOOKUP($C202,'Patty Cash'!$B:$J,2,FALSE()),"")))),"")</f>
        <v/>
      </c>
      <c r="E202" s="254"/>
      <c r="F202" s="263" t="str">
        <f>IFERROR(IF($E202="Inventory",VLOOKUP($C202,Inventory!$B:$I,3,FALSE()),IF($E202="Non Inventory",VLOOKUP($C202,'Non Inventory'!$B:$I,3,FALSE()),IF($E202="Services",VLOOKUP($C202,Services!$B:$I,3,FALSE()),IF($E202="Patty Cash",VLOOKUP($C202,'Patty Cash'!$B:$J,3,FALSE()),"")))),"")</f>
        <v/>
      </c>
      <c r="G202" s="374"/>
      <c r="H202" s="374" t="str">
        <f t="shared" si="6"/>
        <v/>
      </c>
      <c r="I202" s="252">
        <f>IFERROR(IF($E202="Inventory",VLOOKUP($C202,Inventory!$B:$I,8,FALSE()),IF($E202="Non Inventory",VLOOKUP($C202,'Non Inventory'!$B:$I,8,FALSE()),IF($E202="Services",VLOOKUP($C202,Services!$B:$I,8,FALSE()),IF($E202="Patty Cash",VLOOKUP($C202,'Patty Cash'!$B:$J,8,FALSE()),0)))),0)</f>
        <v>0</v>
      </c>
      <c r="J202" s="252" t="str">
        <f t="shared" si="7"/>
        <v/>
      </c>
      <c r="K202" s="253"/>
      <c r="L202" s="253"/>
      <c r="M202" s="253"/>
      <c r="N202" s="328"/>
    </row>
    <row r="203" spans="1:14" ht="20.100000000000001" customHeight="1">
      <c r="A203" s="327" t="str">
        <f>IF(AND($B203="",$C203=""),"",MAX($A$3:A202)+1)</f>
        <v/>
      </c>
      <c r="B203" s="262"/>
      <c r="C203" s="253"/>
      <c r="D203" s="249" t="str">
        <f>IFERROR(IF($E203="Inventory",VLOOKUP($C203,Inventory!$B:$I,2,FALSE()),IF($E203="Non Inventory",VLOOKUP($C203,'Non Inventory'!$B:$I,2,FALSE()),IF($E203="Services",VLOOKUP($C203,Services!$B:$I,2,FALSE()),IF($E203="Patty Cash",VLOOKUP($C203,'Patty Cash'!$B:$J,2,FALSE()),"")))),"")</f>
        <v/>
      </c>
      <c r="E203" s="254"/>
      <c r="F203" s="263" t="str">
        <f>IFERROR(IF($E203="Inventory",VLOOKUP($C203,Inventory!$B:$I,3,FALSE()),IF($E203="Non Inventory",VLOOKUP($C203,'Non Inventory'!$B:$I,3,FALSE()),IF($E203="Services",VLOOKUP($C203,Services!$B:$I,3,FALSE()),IF($E203="Patty Cash",VLOOKUP($C203,'Patty Cash'!$B:$J,3,FALSE()),"")))),"")</f>
        <v/>
      </c>
      <c r="G203" s="374"/>
      <c r="H203" s="374" t="str">
        <f t="shared" si="6"/>
        <v/>
      </c>
      <c r="I203" s="252">
        <f>IFERROR(IF($E203="Inventory",VLOOKUP($C203,Inventory!$B:$I,8,FALSE()),IF($E203="Non Inventory",VLOOKUP($C203,'Non Inventory'!$B:$I,8,FALSE()),IF($E203="Services",VLOOKUP($C203,Services!$B:$I,8,FALSE()),IF($E203="Patty Cash",VLOOKUP($C203,'Patty Cash'!$B:$J,8,FALSE()),0)))),0)</f>
        <v>0</v>
      </c>
      <c r="J203" s="252" t="str">
        <f t="shared" si="7"/>
        <v/>
      </c>
      <c r="K203" s="253"/>
      <c r="L203" s="253"/>
      <c r="M203" s="253"/>
      <c r="N203" s="328"/>
    </row>
    <row r="204" spans="1:14" ht="20.100000000000001" customHeight="1">
      <c r="A204" s="327" t="str">
        <f>IF(AND($B204="",$C204=""),"",MAX($A$3:A203)+1)</f>
        <v/>
      </c>
      <c r="B204" s="262"/>
      <c r="C204" s="253"/>
      <c r="D204" s="249" t="str">
        <f>IFERROR(IF($E204="Inventory",VLOOKUP($C204,Inventory!$B:$I,2,FALSE()),IF($E204="Non Inventory",VLOOKUP($C204,'Non Inventory'!$B:$I,2,FALSE()),IF($E204="Services",VLOOKUP($C204,Services!$B:$I,2,FALSE()),IF($E204="Patty Cash",VLOOKUP($C204,'Patty Cash'!$B:$J,2,FALSE()),"")))),"")</f>
        <v/>
      </c>
      <c r="E204" s="254"/>
      <c r="F204" s="263" t="str">
        <f>IFERROR(IF($E204="Inventory",VLOOKUP($C204,Inventory!$B:$I,3,FALSE()),IF($E204="Non Inventory",VLOOKUP($C204,'Non Inventory'!$B:$I,3,FALSE()),IF($E204="Services",VLOOKUP($C204,Services!$B:$I,3,FALSE()),IF($E204="Patty Cash",VLOOKUP($C204,'Patty Cash'!$B:$J,3,FALSE()),"")))),"")</f>
        <v/>
      </c>
      <c r="G204" s="374"/>
      <c r="H204" s="374" t="str">
        <f t="shared" si="6"/>
        <v/>
      </c>
      <c r="I204" s="252">
        <f>IFERROR(IF($E204="Inventory",VLOOKUP($C204,Inventory!$B:$I,8,FALSE()),IF($E204="Non Inventory",VLOOKUP($C204,'Non Inventory'!$B:$I,8,FALSE()),IF($E204="Services",VLOOKUP($C204,Services!$B:$I,8,FALSE()),IF($E204="Patty Cash",VLOOKUP($C204,'Patty Cash'!$B:$J,8,FALSE()),0)))),0)</f>
        <v>0</v>
      </c>
      <c r="J204" s="252" t="str">
        <f t="shared" si="7"/>
        <v/>
      </c>
      <c r="K204" s="253"/>
      <c r="L204" s="253"/>
      <c r="M204" s="253"/>
      <c r="N204" s="328"/>
    </row>
    <row r="205" spans="1:14" ht="20.100000000000001" customHeight="1">
      <c r="A205" s="327" t="str">
        <f>IF(AND($B205="",$C205=""),"",MAX($A$3:A204)+1)</f>
        <v/>
      </c>
      <c r="B205" s="262"/>
      <c r="C205" s="253"/>
      <c r="D205" s="249" t="str">
        <f>IFERROR(IF($E205="Inventory",VLOOKUP($C205,Inventory!$B:$I,2,FALSE()),IF($E205="Non Inventory",VLOOKUP($C205,'Non Inventory'!$B:$I,2,FALSE()),IF($E205="Services",VLOOKUP($C205,Services!$B:$I,2,FALSE()),IF($E205="Patty Cash",VLOOKUP($C205,'Patty Cash'!$B:$J,2,FALSE()),"")))),"")</f>
        <v/>
      </c>
      <c r="E205" s="254"/>
      <c r="F205" s="263" t="str">
        <f>IFERROR(IF($E205="Inventory",VLOOKUP($C205,Inventory!$B:$I,3,FALSE()),IF($E205="Non Inventory",VLOOKUP($C205,'Non Inventory'!$B:$I,3,FALSE()),IF($E205="Services",VLOOKUP($C205,Services!$B:$I,3,FALSE()),IF($E205="Patty Cash",VLOOKUP($C205,'Patty Cash'!$B:$J,3,FALSE()),"")))),"")</f>
        <v/>
      </c>
      <c r="G205" s="374"/>
      <c r="H205" s="374" t="str">
        <f t="shared" si="6"/>
        <v/>
      </c>
      <c r="I205" s="252">
        <f>IFERROR(IF($E205="Inventory",VLOOKUP($C205,Inventory!$B:$I,8,FALSE()),IF($E205="Non Inventory",VLOOKUP($C205,'Non Inventory'!$B:$I,8,FALSE()),IF($E205="Services",VLOOKUP($C205,Services!$B:$I,8,FALSE()),IF($E205="Patty Cash",VLOOKUP($C205,'Patty Cash'!$B:$J,8,FALSE()),0)))),0)</f>
        <v>0</v>
      </c>
      <c r="J205" s="252" t="str">
        <f t="shared" si="7"/>
        <v/>
      </c>
      <c r="K205" s="253"/>
      <c r="L205" s="253"/>
      <c r="M205" s="253"/>
      <c r="N205" s="328"/>
    </row>
    <row r="206" spans="1:14" ht="20.100000000000001" customHeight="1">
      <c r="A206" s="327" t="str">
        <f>IF(AND($B206="",$C206=""),"",MAX($A$3:A205)+1)</f>
        <v/>
      </c>
      <c r="B206" s="262"/>
      <c r="C206" s="253"/>
      <c r="D206" s="249" t="str">
        <f>IFERROR(IF($E206="Inventory",VLOOKUP($C206,Inventory!$B:$I,2,FALSE()),IF($E206="Non Inventory",VLOOKUP($C206,'Non Inventory'!$B:$I,2,FALSE()),IF($E206="Services",VLOOKUP($C206,Services!$B:$I,2,FALSE()),IF($E206="Patty Cash",VLOOKUP($C206,'Patty Cash'!$B:$J,2,FALSE()),"")))),"")</f>
        <v/>
      </c>
      <c r="E206" s="254"/>
      <c r="F206" s="263" t="str">
        <f>IFERROR(IF($E206="Inventory",VLOOKUP($C206,Inventory!$B:$I,3,FALSE()),IF($E206="Non Inventory",VLOOKUP($C206,'Non Inventory'!$B:$I,3,FALSE()),IF($E206="Services",VLOOKUP($C206,Services!$B:$I,3,FALSE()),IF($E206="Patty Cash",VLOOKUP($C206,'Patty Cash'!$B:$J,3,FALSE()),"")))),"")</f>
        <v/>
      </c>
      <c r="G206" s="374"/>
      <c r="H206" s="374" t="str">
        <f t="shared" si="6"/>
        <v/>
      </c>
      <c r="I206" s="252">
        <f>IFERROR(IF($E206="Inventory",VLOOKUP($C206,Inventory!$B:$I,8,FALSE()),IF($E206="Non Inventory",VLOOKUP($C206,'Non Inventory'!$B:$I,8,FALSE()),IF($E206="Services",VLOOKUP($C206,Services!$B:$I,8,FALSE()),IF($E206="Patty Cash",VLOOKUP($C206,'Patty Cash'!$B:$J,8,FALSE()),0)))),0)</f>
        <v>0</v>
      </c>
      <c r="J206" s="252" t="str">
        <f t="shared" si="7"/>
        <v/>
      </c>
      <c r="K206" s="253"/>
      <c r="L206" s="253"/>
      <c r="M206" s="253"/>
      <c r="N206" s="328"/>
    </row>
    <row r="207" spans="1:14" ht="20.100000000000001" customHeight="1">
      <c r="A207" s="327" t="str">
        <f>IF(AND($B207="",$C207=""),"",MAX($A$3:A206)+1)</f>
        <v/>
      </c>
      <c r="B207" s="262"/>
      <c r="C207" s="253"/>
      <c r="D207" s="249" t="str">
        <f>IFERROR(IF($E207="Inventory",VLOOKUP($C207,Inventory!$B:$I,2,FALSE()),IF($E207="Non Inventory",VLOOKUP($C207,'Non Inventory'!$B:$I,2,FALSE()),IF($E207="Services",VLOOKUP($C207,Services!$B:$I,2,FALSE()),IF($E207="Patty Cash",VLOOKUP($C207,'Patty Cash'!$B:$J,2,FALSE()),"")))),"")</f>
        <v/>
      </c>
      <c r="E207" s="254"/>
      <c r="F207" s="263" t="str">
        <f>IFERROR(IF($E207="Inventory",VLOOKUP($C207,Inventory!$B:$I,3,FALSE()),IF($E207="Non Inventory",VLOOKUP($C207,'Non Inventory'!$B:$I,3,FALSE()),IF($E207="Services",VLOOKUP($C207,Services!$B:$I,3,FALSE()),IF($E207="Patty Cash",VLOOKUP($C207,'Patty Cash'!$B:$J,3,FALSE()),"")))),"")</f>
        <v/>
      </c>
      <c r="G207" s="374"/>
      <c r="H207" s="374" t="str">
        <f t="shared" si="6"/>
        <v/>
      </c>
      <c r="I207" s="252">
        <f>IFERROR(IF($E207="Inventory",VLOOKUP($C207,Inventory!$B:$I,8,FALSE()),IF($E207="Non Inventory",VLOOKUP($C207,'Non Inventory'!$B:$I,8,FALSE()),IF($E207="Services",VLOOKUP($C207,Services!$B:$I,8,FALSE()),IF($E207="Patty Cash",VLOOKUP($C207,'Patty Cash'!$B:$J,8,FALSE()),0)))),0)</f>
        <v>0</v>
      </c>
      <c r="J207" s="252" t="str">
        <f t="shared" si="7"/>
        <v/>
      </c>
      <c r="K207" s="253"/>
      <c r="L207" s="253"/>
      <c r="M207" s="253"/>
      <c r="N207" s="328"/>
    </row>
    <row r="208" spans="1:14" ht="20.100000000000001" customHeight="1">
      <c r="A208" s="327" t="str">
        <f>IF(AND($B208="",$C208=""),"",MAX($A$3:A207)+1)</f>
        <v/>
      </c>
      <c r="B208" s="262"/>
      <c r="C208" s="253"/>
      <c r="D208" s="249" t="str">
        <f>IFERROR(IF($E208="Inventory",VLOOKUP($C208,Inventory!$B:$I,2,FALSE()),IF($E208="Non Inventory",VLOOKUP($C208,'Non Inventory'!$B:$I,2,FALSE()),IF($E208="Services",VLOOKUP($C208,Services!$B:$I,2,FALSE()),IF($E208="Patty Cash",VLOOKUP($C208,'Patty Cash'!$B:$J,2,FALSE()),"")))),"")</f>
        <v/>
      </c>
      <c r="E208" s="254"/>
      <c r="F208" s="263" t="str">
        <f>IFERROR(IF($E208="Inventory",VLOOKUP($C208,Inventory!$B:$I,3,FALSE()),IF($E208="Non Inventory",VLOOKUP($C208,'Non Inventory'!$B:$I,3,FALSE()),IF($E208="Services",VLOOKUP($C208,Services!$B:$I,3,FALSE()),IF($E208="Patty Cash",VLOOKUP($C208,'Patty Cash'!$B:$J,3,FALSE()),"")))),"")</f>
        <v/>
      </c>
      <c r="G208" s="374"/>
      <c r="H208" s="374" t="str">
        <f t="shared" si="6"/>
        <v/>
      </c>
      <c r="I208" s="252">
        <f>IFERROR(IF($E208="Inventory",VLOOKUP($C208,Inventory!$B:$I,8,FALSE()),IF($E208="Non Inventory",VLOOKUP($C208,'Non Inventory'!$B:$I,8,FALSE()),IF($E208="Services",VLOOKUP($C208,Services!$B:$I,8,FALSE()),IF($E208="Patty Cash",VLOOKUP($C208,'Patty Cash'!$B:$J,8,FALSE()),0)))),0)</f>
        <v>0</v>
      </c>
      <c r="J208" s="252" t="str">
        <f t="shared" si="7"/>
        <v/>
      </c>
      <c r="K208" s="253"/>
      <c r="L208" s="253"/>
      <c r="M208" s="253"/>
      <c r="N208" s="328"/>
    </row>
    <row r="209" spans="1:14" ht="20.100000000000001" customHeight="1">
      <c r="A209" s="327" t="str">
        <f>IF(AND($B209="",$C209=""),"",MAX($A$3:A208)+1)</f>
        <v/>
      </c>
      <c r="B209" s="262"/>
      <c r="C209" s="253"/>
      <c r="D209" s="249" t="str">
        <f>IFERROR(IF($E209="Inventory",VLOOKUP($C209,Inventory!$B:$I,2,FALSE()),IF($E209="Non Inventory",VLOOKUP($C209,'Non Inventory'!$B:$I,2,FALSE()),IF($E209="Services",VLOOKUP($C209,Services!$B:$I,2,FALSE()),IF($E209="Patty Cash",VLOOKUP($C209,'Patty Cash'!$B:$J,2,FALSE()),"")))),"")</f>
        <v/>
      </c>
      <c r="E209" s="254"/>
      <c r="F209" s="263" t="str">
        <f>IFERROR(IF($E209="Inventory",VLOOKUP($C209,Inventory!$B:$I,3,FALSE()),IF($E209="Non Inventory",VLOOKUP($C209,'Non Inventory'!$B:$I,3,FALSE()),IF($E209="Services",VLOOKUP($C209,Services!$B:$I,3,FALSE()),IF($E209="Patty Cash",VLOOKUP($C209,'Patty Cash'!$B:$J,3,FALSE()),"")))),"")</f>
        <v/>
      </c>
      <c r="G209" s="374"/>
      <c r="H209" s="374" t="str">
        <f t="shared" si="6"/>
        <v/>
      </c>
      <c r="I209" s="252">
        <f>IFERROR(IF($E209="Inventory",VLOOKUP($C209,Inventory!$B:$I,8,FALSE()),IF($E209="Non Inventory",VLOOKUP($C209,'Non Inventory'!$B:$I,8,FALSE()),IF($E209="Services",VLOOKUP($C209,Services!$B:$I,8,FALSE()),IF($E209="Patty Cash",VLOOKUP($C209,'Patty Cash'!$B:$J,8,FALSE()),0)))),0)</f>
        <v>0</v>
      </c>
      <c r="J209" s="252" t="str">
        <f t="shared" si="7"/>
        <v/>
      </c>
      <c r="K209" s="253"/>
      <c r="L209" s="253"/>
      <c r="M209" s="253"/>
      <c r="N209" s="328"/>
    </row>
    <row r="210" spans="1:14" ht="20.100000000000001" customHeight="1">
      <c r="A210" s="327" t="str">
        <f>IF(AND($B210="",$C210=""),"",MAX($A$3:A209)+1)</f>
        <v/>
      </c>
      <c r="B210" s="262"/>
      <c r="C210" s="253"/>
      <c r="D210" s="249" t="str">
        <f>IFERROR(IF($E210="Inventory",VLOOKUP($C210,Inventory!$B:$I,2,FALSE()),IF($E210="Non Inventory",VLOOKUP($C210,'Non Inventory'!$B:$I,2,FALSE()),IF($E210="Services",VLOOKUP($C210,Services!$B:$I,2,FALSE()),IF($E210="Patty Cash",VLOOKUP($C210,'Patty Cash'!$B:$J,2,FALSE()),"")))),"")</f>
        <v/>
      </c>
      <c r="E210" s="254"/>
      <c r="F210" s="263" t="str">
        <f>IFERROR(IF($E210="Inventory",VLOOKUP($C210,Inventory!$B:$I,3,FALSE()),IF($E210="Non Inventory",VLOOKUP($C210,'Non Inventory'!$B:$I,3,FALSE()),IF($E210="Services",VLOOKUP($C210,Services!$B:$I,3,FALSE()),IF($E210="Patty Cash",VLOOKUP($C210,'Patty Cash'!$B:$J,3,FALSE()),"")))),"")</f>
        <v/>
      </c>
      <c r="G210" s="374"/>
      <c r="H210" s="374" t="str">
        <f t="shared" si="6"/>
        <v/>
      </c>
      <c r="I210" s="252">
        <f>IFERROR(IF($E210="Inventory",VLOOKUP($C210,Inventory!$B:$I,8,FALSE()),IF($E210="Non Inventory",VLOOKUP($C210,'Non Inventory'!$B:$I,8,FALSE()),IF($E210="Services",VLOOKUP($C210,Services!$B:$I,8,FALSE()),IF($E210="Patty Cash",VLOOKUP($C210,'Patty Cash'!$B:$J,8,FALSE()),0)))),0)</f>
        <v>0</v>
      </c>
      <c r="J210" s="252" t="str">
        <f t="shared" si="7"/>
        <v/>
      </c>
      <c r="K210" s="253"/>
      <c r="L210" s="253"/>
      <c r="M210" s="253"/>
      <c r="N210" s="328"/>
    </row>
    <row r="211" spans="1:14" ht="20.100000000000001" customHeight="1">
      <c r="A211" s="327" t="str">
        <f>IF(AND($B211="",$C211=""),"",MAX($A$3:A210)+1)</f>
        <v/>
      </c>
      <c r="B211" s="262"/>
      <c r="C211" s="253"/>
      <c r="D211" s="249" t="str">
        <f>IFERROR(IF($E211="Inventory",VLOOKUP($C211,Inventory!$B:$I,2,FALSE()),IF($E211="Non Inventory",VLOOKUP($C211,'Non Inventory'!$B:$I,2,FALSE()),IF($E211="Services",VLOOKUP($C211,Services!$B:$I,2,FALSE()),IF($E211="Patty Cash",VLOOKUP($C211,'Patty Cash'!$B:$J,2,FALSE()),"")))),"")</f>
        <v/>
      </c>
      <c r="E211" s="254"/>
      <c r="F211" s="263" t="str">
        <f>IFERROR(IF($E211="Inventory",VLOOKUP($C211,Inventory!$B:$I,3,FALSE()),IF($E211="Non Inventory",VLOOKUP($C211,'Non Inventory'!$B:$I,3,FALSE()),IF($E211="Services",VLOOKUP($C211,Services!$B:$I,3,FALSE()),IF($E211="Patty Cash",VLOOKUP($C211,'Patty Cash'!$B:$J,3,FALSE()),"")))),"")</f>
        <v/>
      </c>
      <c r="G211" s="374"/>
      <c r="H211" s="374" t="str">
        <f t="shared" si="6"/>
        <v/>
      </c>
      <c r="I211" s="252">
        <f>IFERROR(IF($E211="Inventory",VLOOKUP($C211,Inventory!$B:$I,8,FALSE()),IF($E211="Non Inventory",VLOOKUP($C211,'Non Inventory'!$B:$I,8,FALSE()),IF($E211="Services",VLOOKUP($C211,Services!$B:$I,8,FALSE()),IF($E211="Patty Cash",VLOOKUP($C211,'Patty Cash'!$B:$J,8,FALSE()),0)))),0)</f>
        <v>0</v>
      </c>
      <c r="J211" s="252" t="str">
        <f t="shared" si="7"/>
        <v/>
      </c>
      <c r="K211" s="253"/>
      <c r="L211" s="253"/>
      <c r="M211" s="253"/>
      <c r="N211" s="328"/>
    </row>
    <row r="212" spans="1:14" ht="20.100000000000001" customHeight="1">
      <c r="A212" s="327" t="str">
        <f>IF(AND($B212="",$C212=""),"",MAX($A$3:A211)+1)</f>
        <v/>
      </c>
      <c r="B212" s="262"/>
      <c r="C212" s="253"/>
      <c r="D212" s="249" t="str">
        <f>IFERROR(IF($E212="Inventory",VLOOKUP($C212,Inventory!$B:$I,2,FALSE()),IF($E212="Non Inventory",VLOOKUP($C212,'Non Inventory'!$B:$I,2,FALSE()),IF($E212="Services",VLOOKUP($C212,Services!$B:$I,2,FALSE()),IF($E212="Patty Cash",VLOOKUP($C212,'Patty Cash'!$B:$J,2,FALSE()),"")))),"")</f>
        <v/>
      </c>
      <c r="E212" s="254"/>
      <c r="F212" s="263" t="str">
        <f>IFERROR(IF($E212="Inventory",VLOOKUP($C212,Inventory!$B:$I,3,FALSE()),IF($E212="Non Inventory",VLOOKUP($C212,'Non Inventory'!$B:$I,3,FALSE()),IF($E212="Services",VLOOKUP($C212,Services!$B:$I,3,FALSE()),IF($E212="Patty Cash",VLOOKUP($C212,'Patty Cash'!$B:$J,3,FALSE()),"")))),"")</f>
        <v/>
      </c>
      <c r="G212" s="374"/>
      <c r="H212" s="374" t="str">
        <f t="shared" si="6"/>
        <v/>
      </c>
      <c r="I212" s="252">
        <f>IFERROR(IF($E212="Inventory",VLOOKUP($C212,Inventory!$B:$I,8,FALSE()),IF($E212="Non Inventory",VLOOKUP($C212,'Non Inventory'!$B:$I,8,FALSE()),IF($E212="Services",VLOOKUP($C212,Services!$B:$I,8,FALSE()),IF($E212="Patty Cash",VLOOKUP($C212,'Patty Cash'!$B:$J,8,FALSE()),0)))),0)</f>
        <v>0</v>
      </c>
      <c r="J212" s="252" t="str">
        <f t="shared" si="7"/>
        <v/>
      </c>
      <c r="K212" s="253"/>
      <c r="L212" s="253"/>
      <c r="M212" s="253"/>
      <c r="N212" s="328"/>
    </row>
    <row r="213" spans="1:14" ht="20.100000000000001" customHeight="1">
      <c r="A213" s="327" t="str">
        <f>IF(AND($B213="",$C213=""),"",MAX($A$3:A212)+1)</f>
        <v/>
      </c>
      <c r="B213" s="262"/>
      <c r="C213" s="253"/>
      <c r="D213" s="249" t="str">
        <f>IFERROR(IF($E213="Inventory",VLOOKUP($C213,Inventory!$B:$I,2,FALSE()),IF($E213="Non Inventory",VLOOKUP($C213,'Non Inventory'!$B:$I,2,FALSE()),IF($E213="Services",VLOOKUP($C213,Services!$B:$I,2,FALSE()),IF($E213="Patty Cash",VLOOKUP($C213,'Patty Cash'!$B:$J,2,FALSE()),"")))),"")</f>
        <v/>
      </c>
      <c r="E213" s="254"/>
      <c r="F213" s="263" t="str">
        <f>IFERROR(IF($E213="Inventory",VLOOKUP($C213,Inventory!$B:$I,3,FALSE()),IF($E213="Non Inventory",VLOOKUP($C213,'Non Inventory'!$B:$I,3,FALSE()),IF($E213="Services",VLOOKUP($C213,Services!$B:$I,3,FALSE()),IF($E213="Patty Cash",VLOOKUP($C213,'Patty Cash'!$B:$J,3,FALSE()),"")))),"")</f>
        <v/>
      </c>
      <c r="G213" s="374"/>
      <c r="H213" s="374" t="str">
        <f t="shared" si="6"/>
        <v/>
      </c>
      <c r="I213" s="252">
        <f>IFERROR(IF($E213="Inventory",VLOOKUP($C213,Inventory!$B:$I,8,FALSE()),IF($E213="Non Inventory",VLOOKUP($C213,'Non Inventory'!$B:$I,8,FALSE()),IF($E213="Services",VLOOKUP($C213,Services!$B:$I,8,FALSE()),IF($E213="Patty Cash",VLOOKUP($C213,'Patty Cash'!$B:$J,8,FALSE()),0)))),0)</f>
        <v>0</v>
      </c>
      <c r="J213" s="252" t="str">
        <f t="shared" si="7"/>
        <v/>
      </c>
      <c r="K213" s="253"/>
      <c r="L213" s="253"/>
      <c r="M213" s="253"/>
      <c r="N213" s="328"/>
    </row>
    <row r="214" spans="1:14" ht="20.100000000000001" customHeight="1">
      <c r="A214" s="327" t="str">
        <f>IF(AND($B214="",$C214=""),"",MAX($A$3:A213)+1)</f>
        <v/>
      </c>
      <c r="B214" s="262"/>
      <c r="C214" s="253"/>
      <c r="D214" s="249" t="str">
        <f>IFERROR(IF($E214="Inventory",VLOOKUP($C214,Inventory!$B:$I,2,FALSE()),IF($E214="Non Inventory",VLOOKUP($C214,'Non Inventory'!$B:$I,2,FALSE()),IF($E214="Services",VLOOKUP($C214,Services!$B:$I,2,FALSE()),IF($E214="Patty Cash",VLOOKUP($C214,'Patty Cash'!$B:$J,2,FALSE()),"")))),"")</f>
        <v/>
      </c>
      <c r="E214" s="254"/>
      <c r="F214" s="263" t="str">
        <f>IFERROR(IF($E214="Inventory",VLOOKUP($C214,Inventory!$B:$I,3,FALSE()),IF($E214="Non Inventory",VLOOKUP($C214,'Non Inventory'!$B:$I,3,FALSE()),IF($E214="Services",VLOOKUP($C214,Services!$B:$I,3,FALSE()),IF($E214="Patty Cash",VLOOKUP($C214,'Patty Cash'!$B:$J,3,FALSE()),"")))),"")</f>
        <v/>
      </c>
      <c r="G214" s="374"/>
      <c r="H214" s="374" t="str">
        <f t="shared" si="6"/>
        <v/>
      </c>
      <c r="I214" s="252">
        <f>IFERROR(IF($E214="Inventory",VLOOKUP($C214,Inventory!$B:$I,8,FALSE()),IF($E214="Non Inventory",VLOOKUP($C214,'Non Inventory'!$B:$I,8,FALSE()),IF($E214="Services",VLOOKUP($C214,Services!$B:$I,8,FALSE()),IF($E214="Patty Cash",VLOOKUP($C214,'Patty Cash'!$B:$J,8,FALSE()),0)))),0)</f>
        <v>0</v>
      </c>
      <c r="J214" s="252" t="str">
        <f t="shared" si="7"/>
        <v/>
      </c>
      <c r="K214" s="253"/>
      <c r="L214" s="253"/>
      <c r="M214" s="253"/>
      <c r="N214" s="328"/>
    </row>
    <row r="215" spans="1:14" ht="20.100000000000001" customHeight="1">
      <c r="A215" s="327" t="str">
        <f>IF(AND($B215="",$C215=""),"",MAX($A$3:A214)+1)</f>
        <v/>
      </c>
      <c r="B215" s="262"/>
      <c r="C215" s="253"/>
      <c r="D215" s="249" t="str">
        <f>IFERROR(IF($E215="Inventory",VLOOKUP($C215,Inventory!$B:$I,2,FALSE()),IF($E215="Non Inventory",VLOOKUP($C215,'Non Inventory'!$B:$I,2,FALSE()),IF($E215="Services",VLOOKUP($C215,Services!$B:$I,2,FALSE()),IF($E215="Patty Cash",VLOOKUP($C215,'Patty Cash'!$B:$J,2,FALSE()),"")))),"")</f>
        <v/>
      </c>
      <c r="E215" s="254"/>
      <c r="F215" s="263" t="str">
        <f>IFERROR(IF($E215="Inventory",VLOOKUP($C215,Inventory!$B:$I,3,FALSE()),IF($E215="Non Inventory",VLOOKUP($C215,'Non Inventory'!$B:$I,3,FALSE()),IF($E215="Services",VLOOKUP($C215,Services!$B:$I,3,FALSE()),IF($E215="Patty Cash",VLOOKUP($C215,'Patty Cash'!$B:$J,3,FALSE()),"")))),"")</f>
        <v/>
      </c>
      <c r="G215" s="374"/>
      <c r="H215" s="374" t="str">
        <f t="shared" si="6"/>
        <v/>
      </c>
      <c r="I215" s="252">
        <f>IFERROR(IF($E215="Inventory",VLOOKUP($C215,Inventory!$B:$I,8,FALSE()),IF($E215="Non Inventory",VLOOKUP($C215,'Non Inventory'!$B:$I,8,FALSE()),IF($E215="Services",VLOOKUP($C215,Services!$B:$I,8,FALSE()),IF($E215="Patty Cash",VLOOKUP($C215,'Patty Cash'!$B:$J,8,FALSE()),0)))),0)</f>
        <v>0</v>
      </c>
      <c r="J215" s="252" t="str">
        <f t="shared" si="7"/>
        <v/>
      </c>
      <c r="K215" s="253"/>
      <c r="L215" s="253"/>
      <c r="M215" s="253"/>
      <c r="N215" s="328"/>
    </row>
    <row r="216" spans="1:14" ht="20.100000000000001" customHeight="1">
      <c r="A216" s="327" t="str">
        <f>IF(AND($B216="",$C216=""),"",MAX($A$3:A215)+1)</f>
        <v/>
      </c>
      <c r="B216" s="262"/>
      <c r="C216" s="253"/>
      <c r="D216" s="249" t="str">
        <f>IFERROR(IF($E216="Inventory",VLOOKUP($C216,Inventory!$B:$I,2,FALSE()),IF($E216="Non Inventory",VLOOKUP($C216,'Non Inventory'!$B:$I,2,FALSE()),IF($E216="Services",VLOOKUP($C216,Services!$B:$I,2,FALSE()),IF($E216="Patty Cash",VLOOKUP($C216,'Patty Cash'!$B:$J,2,FALSE()),"")))),"")</f>
        <v/>
      </c>
      <c r="E216" s="254"/>
      <c r="F216" s="263" t="str">
        <f>IFERROR(IF($E216="Inventory",VLOOKUP($C216,Inventory!$B:$I,3,FALSE()),IF($E216="Non Inventory",VLOOKUP($C216,'Non Inventory'!$B:$I,3,FALSE()),IF($E216="Services",VLOOKUP($C216,Services!$B:$I,3,FALSE()),IF($E216="Patty Cash",VLOOKUP($C216,'Patty Cash'!$B:$J,3,FALSE()),"")))),"")</f>
        <v/>
      </c>
      <c r="G216" s="374"/>
      <c r="H216" s="374" t="str">
        <f t="shared" si="6"/>
        <v/>
      </c>
      <c r="I216" s="252">
        <f>IFERROR(IF($E216="Inventory",VLOOKUP($C216,Inventory!$B:$I,8,FALSE()),IF($E216="Non Inventory",VLOOKUP($C216,'Non Inventory'!$B:$I,8,FALSE()),IF($E216="Services",VLOOKUP($C216,Services!$B:$I,8,FALSE()),IF($E216="Patty Cash",VLOOKUP($C216,'Patty Cash'!$B:$J,8,FALSE()),0)))),0)</f>
        <v>0</v>
      </c>
      <c r="J216" s="252" t="str">
        <f t="shared" si="7"/>
        <v/>
      </c>
      <c r="K216" s="253"/>
      <c r="L216" s="253"/>
      <c r="M216" s="253"/>
      <c r="N216" s="328"/>
    </row>
    <row r="217" spans="1:14" ht="20.100000000000001" customHeight="1">
      <c r="A217" s="327" t="str">
        <f>IF(AND($B217="",$C217=""),"",MAX($A$3:A216)+1)</f>
        <v/>
      </c>
      <c r="B217" s="262"/>
      <c r="C217" s="253"/>
      <c r="D217" s="249" t="str">
        <f>IFERROR(IF($E217="Inventory",VLOOKUP($C217,Inventory!$B:$I,2,FALSE()),IF($E217="Non Inventory",VLOOKUP($C217,'Non Inventory'!$B:$I,2,FALSE()),IF($E217="Services",VLOOKUP($C217,Services!$B:$I,2,FALSE()),IF($E217="Patty Cash",VLOOKUP($C217,'Patty Cash'!$B:$J,2,FALSE()),"")))),"")</f>
        <v/>
      </c>
      <c r="E217" s="254"/>
      <c r="F217" s="263" t="str">
        <f>IFERROR(IF($E217="Inventory",VLOOKUP($C217,Inventory!$B:$I,3,FALSE()),IF($E217="Non Inventory",VLOOKUP($C217,'Non Inventory'!$B:$I,3,FALSE()),IF($E217="Services",VLOOKUP($C217,Services!$B:$I,3,FALSE()),IF($E217="Patty Cash",VLOOKUP($C217,'Patty Cash'!$B:$J,3,FALSE()),"")))),"")</f>
        <v/>
      </c>
      <c r="G217" s="374"/>
      <c r="H217" s="374" t="str">
        <f t="shared" si="6"/>
        <v/>
      </c>
      <c r="I217" s="252">
        <f>IFERROR(IF($E217="Inventory",VLOOKUP($C217,Inventory!$B:$I,8,FALSE()),IF($E217="Non Inventory",VLOOKUP($C217,'Non Inventory'!$B:$I,8,FALSE()),IF($E217="Services",VLOOKUP($C217,Services!$B:$I,8,FALSE()),IF($E217="Patty Cash",VLOOKUP($C217,'Patty Cash'!$B:$J,8,FALSE()),0)))),0)</f>
        <v>0</v>
      </c>
      <c r="J217" s="252" t="str">
        <f t="shared" si="7"/>
        <v/>
      </c>
      <c r="K217" s="253"/>
      <c r="L217" s="253"/>
      <c r="M217" s="253"/>
      <c r="N217" s="328"/>
    </row>
    <row r="218" spans="1:14" ht="20.100000000000001" customHeight="1">
      <c r="A218" s="327" t="str">
        <f>IF(AND($B218="",$C218=""),"",MAX($A$3:A217)+1)</f>
        <v/>
      </c>
      <c r="B218" s="262"/>
      <c r="C218" s="253"/>
      <c r="D218" s="249" t="str">
        <f>IFERROR(IF($E218="Inventory",VLOOKUP($C218,Inventory!$B:$I,2,FALSE()),IF($E218="Non Inventory",VLOOKUP($C218,'Non Inventory'!$B:$I,2,FALSE()),IF($E218="Services",VLOOKUP($C218,Services!$B:$I,2,FALSE()),IF($E218="Patty Cash",VLOOKUP($C218,'Patty Cash'!$B:$J,2,FALSE()),"")))),"")</f>
        <v/>
      </c>
      <c r="E218" s="254"/>
      <c r="F218" s="263" t="str">
        <f>IFERROR(IF($E218="Inventory",VLOOKUP($C218,Inventory!$B:$I,3,FALSE()),IF($E218="Non Inventory",VLOOKUP($C218,'Non Inventory'!$B:$I,3,FALSE()),IF($E218="Services",VLOOKUP($C218,Services!$B:$I,3,FALSE()),IF($E218="Patty Cash",VLOOKUP($C218,'Patty Cash'!$B:$J,3,FALSE()),"")))),"")</f>
        <v/>
      </c>
      <c r="G218" s="374"/>
      <c r="H218" s="374" t="str">
        <f t="shared" si="6"/>
        <v/>
      </c>
      <c r="I218" s="252">
        <f>IFERROR(IF($E218="Inventory",VLOOKUP($C218,Inventory!$B:$I,8,FALSE()),IF($E218="Non Inventory",VLOOKUP($C218,'Non Inventory'!$B:$I,8,FALSE()),IF($E218="Services",VLOOKUP($C218,Services!$B:$I,8,FALSE()),IF($E218="Patty Cash",VLOOKUP($C218,'Patty Cash'!$B:$J,8,FALSE()),0)))),0)</f>
        <v>0</v>
      </c>
      <c r="J218" s="252" t="str">
        <f t="shared" si="7"/>
        <v/>
      </c>
      <c r="K218" s="253"/>
      <c r="L218" s="253"/>
      <c r="M218" s="253"/>
      <c r="N218" s="328"/>
    </row>
    <row r="219" spans="1:14" ht="20.100000000000001" customHeight="1">
      <c r="A219" s="327" t="str">
        <f>IF(AND($B219="",$C219=""),"",MAX($A$3:A218)+1)</f>
        <v/>
      </c>
      <c r="B219" s="262"/>
      <c r="C219" s="253"/>
      <c r="D219" s="249" t="str">
        <f>IFERROR(IF($E219="Inventory",VLOOKUP($C219,Inventory!$B:$I,2,FALSE()),IF($E219="Non Inventory",VLOOKUP($C219,'Non Inventory'!$B:$I,2,FALSE()),IF($E219="Services",VLOOKUP($C219,Services!$B:$I,2,FALSE()),IF($E219="Patty Cash",VLOOKUP($C219,'Patty Cash'!$B:$J,2,FALSE()),"")))),"")</f>
        <v/>
      </c>
      <c r="E219" s="254"/>
      <c r="F219" s="263" t="str">
        <f>IFERROR(IF($E219="Inventory",VLOOKUP($C219,Inventory!$B:$I,3,FALSE()),IF($E219="Non Inventory",VLOOKUP($C219,'Non Inventory'!$B:$I,3,FALSE()),IF($E219="Services",VLOOKUP($C219,Services!$B:$I,3,FALSE()),IF($E219="Patty Cash",VLOOKUP($C219,'Patty Cash'!$B:$J,3,FALSE()),"")))),"")</f>
        <v/>
      </c>
      <c r="G219" s="374"/>
      <c r="H219" s="374" t="str">
        <f t="shared" si="6"/>
        <v/>
      </c>
      <c r="I219" s="252">
        <f>IFERROR(IF($E219="Inventory",VLOOKUP($C219,Inventory!$B:$I,8,FALSE()),IF($E219="Non Inventory",VLOOKUP($C219,'Non Inventory'!$B:$I,8,FALSE()),IF($E219="Services",VLOOKUP($C219,Services!$B:$I,8,FALSE()),IF($E219="Patty Cash",VLOOKUP($C219,'Patty Cash'!$B:$J,8,FALSE()),0)))),0)</f>
        <v>0</v>
      </c>
      <c r="J219" s="252" t="str">
        <f t="shared" si="7"/>
        <v/>
      </c>
      <c r="K219" s="253"/>
      <c r="L219" s="253"/>
      <c r="M219" s="253"/>
      <c r="N219" s="328"/>
    </row>
    <row r="220" spans="1:14" ht="20.100000000000001" customHeight="1">
      <c r="A220" s="327" t="str">
        <f>IF(AND($B220="",$C220=""),"",MAX($A$3:A219)+1)</f>
        <v/>
      </c>
      <c r="B220" s="262"/>
      <c r="C220" s="253"/>
      <c r="D220" s="249" t="str">
        <f>IFERROR(IF($E220="Inventory",VLOOKUP($C220,Inventory!$B:$I,2,FALSE()),IF($E220="Non Inventory",VLOOKUP($C220,'Non Inventory'!$B:$I,2,FALSE()),IF($E220="Services",VLOOKUP($C220,Services!$B:$I,2,FALSE()),IF($E220="Patty Cash",VLOOKUP($C220,'Patty Cash'!$B:$J,2,FALSE()),"")))),"")</f>
        <v/>
      </c>
      <c r="E220" s="254"/>
      <c r="F220" s="263" t="str">
        <f>IFERROR(IF($E220="Inventory",VLOOKUP($C220,Inventory!$B:$I,3,FALSE()),IF($E220="Non Inventory",VLOOKUP($C220,'Non Inventory'!$B:$I,3,FALSE()),IF($E220="Services",VLOOKUP($C220,Services!$B:$I,3,FALSE()),IF($E220="Patty Cash",VLOOKUP($C220,'Patty Cash'!$B:$J,3,FALSE()),"")))),"")</f>
        <v/>
      </c>
      <c r="G220" s="374"/>
      <c r="H220" s="374" t="str">
        <f t="shared" si="6"/>
        <v/>
      </c>
      <c r="I220" s="252">
        <f>IFERROR(IF($E220="Inventory",VLOOKUP($C220,Inventory!$B:$I,8,FALSE()),IF($E220="Non Inventory",VLOOKUP($C220,'Non Inventory'!$B:$I,8,FALSE()),IF($E220="Services",VLOOKUP($C220,Services!$B:$I,8,FALSE()),IF($E220="Patty Cash",VLOOKUP($C220,'Patty Cash'!$B:$J,8,FALSE()),0)))),0)</f>
        <v>0</v>
      </c>
      <c r="J220" s="252" t="str">
        <f t="shared" si="7"/>
        <v/>
      </c>
      <c r="K220" s="253"/>
      <c r="L220" s="253"/>
      <c r="M220" s="253"/>
      <c r="N220" s="328"/>
    </row>
    <row r="221" spans="1:14" ht="20.100000000000001" customHeight="1">
      <c r="A221" s="327" t="str">
        <f>IF(AND($B221="",$C221=""),"",MAX($A$3:A220)+1)</f>
        <v/>
      </c>
      <c r="B221" s="262"/>
      <c r="C221" s="253"/>
      <c r="D221" s="249" t="str">
        <f>IFERROR(IF($E221="Inventory",VLOOKUP($C221,Inventory!$B:$I,2,FALSE()),IF($E221="Non Inventory",VLOOKUP($C221,'Non Inventory'!$B:$I,2,FALSE()),IF($E221="Services",VLOOKUP($C221,Services!$B:$I,2,FALSE()),IF($E221="Patty Cash",VLOOKUP($C221,'Patty Cash'!$B:$J,2,FALSE()),"")))),"")</f>
        <v/>
      </c>
      <c r="E221" s="254"/>
      <c r="F221" s="263" t="str">
        <f>IFERROR(IF($E221="Inventory",VLOOKUP($C221,Inventory!$B:$I,3,FALSE()),IF($E221="Non Inventory",VLOOKUP($C221,'Non Inventory'!$B:$I,3,FALSE()),IF($E221="Services",VLOOKUP($C221,Services!$B:$I,3,FALSE()),IF($E221="Patty Cash",VLOOKUP($C221,'Patty Cash'!$B:$J,3,FALSE()),"")))),"")</f>
        <v/>
      </c>
      <c r="G221" s="374"/>
      <c r="H221" s="374" t="str">
        <f t="shared" si="6"/>
        <v/>
      </c>
      <c r="I221" s="252">
        <f>IFERROR(IF($E221="Inventory",VLOOKUP($C221,Inventory!$B:$I,8,FALSE()),IF($E221="Non Inventory",VLOOKUP($C221,'Non Inventory'!$B:$I,8,FALSE()),IF($E221="Services",VLOOKUP($C221,Services!$B:$I,8,FALSE()),IF($E221="Patty Cash",VLOOKUP($C221,'Patty Cash'!$B:$J,8,FALSE()),0)))),0)</f>
        <v>0</v>
      </c>
      <c r="J221" s="252" t="str">
        <f t="shared" si="7"/>
        <v/>
      </c>
      <c r="K221" s="253"/>
      <c r="L221" s="253"/>
      <c r="M221" s="253"/>
      <c r="N221" s="328"/>
    </row>
    <row r="222" spans="1:14" ht="20.100000000000001" customHeight="1">
      <c r="A222" s="327" t="str">
        <f>IF(AND($B222="",$C222=""),"",MAX($A$3:A221)+1)</f>
        <v/>
      </c>
      <c r="B222" s="262"/>
      <c r="C222" s="253"/>
      <c r="D222" s="249" t="str">
        <f>IFERROR(IF($E222="Inventory",VLOOKUP($C222,Inventory!$B:$I,2,FALSE()),IF($E222="Non Inventory",VLOOKUP($C222,'Non Inventory'!$B:$I,2,FALSE()),IF($E222="Services",VLOOKUP($C222,Services!$B:$I,2,FALSE()),IF($E222="Patty Cash",VLOOKUP($C222,'Patty Cash'!$B:$J,2,FALSE()),"")))),"")</f>
        <v/>
      </c>
      <c r="E222" s="254"/>
      <c r="F222" s="263" t="str">
        <f>IFERROR(IF($E222="Inventory",VLOOKUP($C222,Inventory!$B:$I,3,FALSE()),IF($E222="Non Inventory",VLOOKUP($C222,'Non Inventory'!$B:$I,3,FALSE()),IF($E222="Services",VLOOKUP($C222,Services!$B:$I,3,FALSE()),IF($E222="Patty Cash",VLOOKUP($C222,'Patty Cash'!$B:$J,3,FALSE()),"")))),"")</f>
        <v/>
      </c>
      <c r="G222" s="374"/>
      <c r="H222" s="374" t="str">
        <f t="shared" si="6"/>
        <v/>
      </c>
      <c r="I222" s="252">
        <f>IFERROR(IF($E222="Inventory",VLOOKUP($C222,Inventory!$B:$I,8,FALSE()),IF($E222="Non Inventory",VLOOKUP($C222,'Non Inventory'!$B:$I,8,FALSE()),IF($E222="Services",VLOOKUP($C222,Services!$B:$I,8,FALSE()),IF($E222="Patty Cash",VLOOKUP($C222,'Patty Cash'!$B:$J,8,FALSE()),0)))),0)</f>
        <v>0</v>
      </c>
      <c r="J222" s="252" t="str">
        <f t="shared" si="7"/>
        <v/>
      </c>
      <c r="K222" s="253"/>
      <c r="L222" s="253"/>
      <c r="M222" s="253"/>
      <c r="N222" s="328"/>
    </row>
    <row r="223" spans="1:14" ht="20.100000000000001" customHeight="1">
      <c r="A223" s="327" t="str">
        <f>IF(AND($B223="",$C223=""),"",MAX($A$3:A222)+1)</f>
        <v/>
      </c>
      <c r="B223" s="262"/>
      <c r="C223" s="253"/>
      <c r="D223" s="249" t="str">
        <f>IFERROR(IF($E223="Inventory",VLOOKUP($C223,Inventory!$B:$I,2,FALSE()),IF($E223="Non Inventory",VLOOKUP($C223,'Non Inventory'!$B:$I,2,FALSE()),IF($E223="Services",VLOOKUP($C223,Services!$B:$I,2,FALSE()),IF($E223="Patty Cash",VLOOKUP($C223,'Patty Cash'!$B:$J,2,FALSE()),"")))),"")</f>
        <v/>
      </c>
      <c r="E223" s="254"/>
      <c r="F223" s="263" t="str">
        <f>IFERROR(IF($E223="Inventory",VLOOKUP($C223,Inventory!$B:$I,3,FALSE()),IF($E223="Non Inventory",VLOOKUP($C223,'Non Inventory'!$B:$I,3,FALSE()),IF($E223="Services",VLOOKUP($C223,Services!$B:$I,3,FALSE()),IF($E223="Patty Cash",VLOOKUP($C223,'Patty Cash'!$B:$J,3,FALSE()),"")))),"")</f>
        <v/>
      </c>
      <c r="G223" s="374"/>
      <c r="H223" s="374" t="str">
        <f t="shared" si="6"/>
        <v/>
      </c>
      <c r="I223" s="252">
        <f>IFERROR(IF($E223="Inventory",VLOOKUP($C223,Inventory!$B:$I,8,FALSE()),IF($E223="Non Inventory",VLOOKUP($C223,'Non Inventory'!$B:$I,8,FALSE()),IF($E223="Services",VLOOKUP($C223,Services!$B:$I,8,FALSE()),IF($E223="Patty Cash",VLOOKUP($C223,'Patty Cash'!$B:$J,8,FALSE()),0)))),0)</f>
        <v>0</v>
      </c>
      <c r="J223" s="252" t="str">
        <f t="shared" si="7"/>
        <v/>
      </c>
      <c r="K223" s="253"/>
      <c r="L223" s="253"/>
      <c r="M223" s="253"/>
      <c r="N223" s="328"/>
    </row>
    <row r="224" spans="1:14" ht="20.100000000000001" customHeight="1">
      <c r="A224" s="327" t="str">
        <f>IF(AND($B224="",$C224=""),"",MAX($A$3:A223)+1)</f>
        <v/>
      </c>
      <c r="B224" s="262"/>
      <c r="C224" s="253"/>
      <c r="D224" s="249" t="str">
        <f>IFERROR(IF($E224="Inventory",VLOOKUP($C224,Inventory!$B:$I,2,FALSE()),IF($E224="Non Inventory",VLOOKUP($C224,'Non Inventory'!$B:$I,2,FALSE()),IF($E224="Services",VLOOKUP($C224,Services!$B:$I,2,FALSE()),IF($E224="Patty Cash",VLOOKUP($C224,'Patty Cash'!$B:$J,2,FALSE()),"")))),"")</f>
        <v/>
      </c>
      <c r="E224" s="254"/>
      <c r="F224" s="263" t="str">
        <f>IFERROR(IF($E224="Inventory",VLOOKUP($C224,Inventory!$B:$I,3,FALSE()),IF($E224="Non Inventory",VLOOKUP($C224,'Non Inventory'!$B:$I,3,FALSE()),IF($E224="Services",VLOOKUP($C224,Services!$B:$I,3,FALSE()),IF($E224="Patty Cash",VLOOKUP($C224,'Patty Cash'!$B:$J,3,FALSE()),"")))),"")</f>
        <v/>
      </c>
      <c r="G224" s="374"/>
      <c r="H224" s="374" t="str">
        <f t="shared" si="6"/>
        <v/>
      </c>
      <c r="I224" s="252">
        <f>IFERROR(IF($E224="Inventory",VLOOKUP($C224,Inventory!$B:$I,8,FALSE()),IF($E224="Non Inventory",VLOOKUP($C224,'Non Inventory'!$B:$I,8,FALSE()),IF($E224="Services",VLOOKUP($C224,Services!$B:$I,8,FALSE()),IF($E224="Patty Cash",VLOOKUP($C224,'Patty Cash'!$B:$J,8,FALSE()),0)))),0)</f>
        <v>0</v>
      </c>
      <c r="J224" s="252" t="str">
        <f t="shared" si="7"/>
        <v/>
      </c>
      <c r="K224" s="253"/>
      <c r="L224" s="253"/>
      <c r="M224" s="253"/>
      <c r="N224" s="328"/>
    </row>
    <row r="225" spans="1:14" ht="20.100000000000001" customHeight="1">
      <c r="A225" s="327" t="str">
        <f>IF(AND($B225="",$C225=""),"",MAX($A$3:A224)+1)</f>
        <v/>
      </c>
      <c r="B225" s="262"/>
      <c r="C225" s="253"/>
      <c r="D225" s="249" t="str">
        <f>IFERROR(IF($E225="Inventory",VLOOKUP($C225,Inventory!$B:$I,2,FALSE()),IF($E225="Non Inventory",VLOOKUP($C225,'Non Inventory'!$B:$I,2,FALSE()),IF($E225="Services",VLOOKUP($C225,Services!$B:$I,2,FALSE()),IF($E225="Patty Cash",VLOOKUP($C225,'Patty Cash'!$B:$J,2,FALSE()),"")))),"")</f>
        <v/>
      </c>
      <c r="E225" s="254"/>
      <c r="F225" s="263" t="str">
        <f>IFERROR(IF($E225="Inventory",VLOOKUP($C225,Inventory!$B:$I,3,FALSE()),IF($E225="Non Inventory",VLOOKUP($C225,'Non Inventory'!$B:$I,3,FALSE()),IF($E225="Services",VLOOKUP($C225,Services!$B:$I,3,FALSE()),IF($E225="Patty Cash",VLOOKUP($C225,'Patty Cash'!$B:$J,3,FALSE()),"")))),"")</f>
        <v/>
      </c>
      <c r="G225" s="374"/>
      <c r="H225" s="374" t="str">
        <f t="shared" si="6"/>
        <v/>
      </c>
      <c r="I225" s="252">
        <f>IFERROR(IF($E225="Inventory",VLOOKUP($C225,Inventory!$B:$I,8,FALSE()),IF($E225="Non Inventory",VLOOKUP($C225,'Non Inventory'!$B:$I,8,FALSE()),IF($E225="Services",VLOOKUP($C225,Services!$B:$I,8,FALSE()),IF($E225="Patty Cash",VLOOKUP($C225,'Patty Cash'!$B:$J,8,FALSE()),0)))),0)</f>
        <v>0</v>
      </c>
      <c r="J225" s="252" t="str">
        <f t="shared" si="7"/>
        <v/>
      </c>
      <c r="K225" s="253"/>
      <c r="L225" s="253"/>
      <c r="M225" s="253"/>
      <c r="N225" s="328"/>
    </row>
    <row r="226" spans="1:14" ht="20.100000000000001" customHeight="1">
      <c r="A226" s="327" t="str">
        <f>IF(AND($B226="",$C226=""),"",MAX($A$3:A225)+1)</f>
        <v/>
      </c>
      <c r="B226" s="262"/>
      <c r="C226" s="253"/>
      <c r="D226" s="249" t="str">
        <f>IFERROR(IF($E226="Inventory",VLOOKUP($C226,Inventory!$B:$I,2,FALSE()),IF($E226="Non Inventory",VLOOKUP($C226,'Non Inventory'!$B:$I,2,FALSE()),IF($E226="Services",VLOOKUP($C226,Services!$B:$I,2,FALSE()),IF($E226="Patty Cash",VLOOKUP($C226,'Patty Cash'!$B:$J,2,FALSE()),"")))),"")</f>
        <v/>
      </c>
      <c r="E226" s="254"/>
      <c r="F226" s="263" t="str">
        <f>IFERROR(IF($E226="Inventory",VLOOKUP($C226,Inventory!$B:$I,3,FALSE()),IF($E226="Non Inventory",VLOOKUP($C226,'Non Inventory'!$B:$I,3,FALSE()),IF($E226="Services",VLOOKUP($C226,Services!$B:$I,3,FALSE()),IF($E226="Patty Cash",VLOOKUP($C226,'Patty Cash'!$B:$J,3,FALSE()),"")))),"")</f>
        <v/>
      </c>
      <c r="G226" s="374"/>
      <c r="H226" s="374" t="str">
        <f t="shared" si="6"/>
        <v/>
      </c>
      <c r="I226" s="252">
        <f>IFERROR(IF($E226="Inventory",VLOOKUP($C226,Inventory!$B:$I,8,FALSE()),IF($E226="Non Inventory",VLOOKUP($C226,'Non Inventory'!$B:$I,8,FALSE()),IF($E226="Services",VLOOKUP($C226,Services!$B:$I,8,FALSE()),IF($E226="Patty Cash",VLOOKUP($C226,'Patty Cash'!$B:$J,8,FALSE()),0)))),0)</f>
        <v>0</v>
      </c>
      <c r="J226" s="252" t="str">
        <f t="shared" si="7"/>
        <v/>
      </c>
      <c r="K226" s="253"/>
      <c r="L226" s="253"/>
      <c r="M226" s="253"/>
      <c r="N226" s="328"/>
    </row>
    <row r="227" spans="1:14" ht="20.100000000000001" customHeight="1">
      <c r="A227" s="327" t="str">
        <f>IF(AND($B227="",$C227=""),"",MAX($A$3:A226)+1)</f>
        <v/>
      </c>
      <c r="B227" s="262"/>
      <c r="C227" s="253"/>
      <c r="D227" s="249" t="str">
        <f>IFERROR(IF($E227="Inventory",VLOOKUP($C227,Inventory!$B:$I,2,FALSE()),IF($E227="Non Inventory",VLOOKUP($C227,'Non Inventory'!$B:$I,2,FALSE()),IF($E227="Services",VLOOKUP($C227,Services!$B:$I,2,FALSE()),IF($E227="Patty Cash",VLOOKUP($C227,'Patty Cash'!$B:$J,2,FALSE()),"")))),"")</f>
        <v/>
      </c>
      <c r="E227" s="254"/>
      <c r="F227" s="263" t="str">
        <f>IFERROR(IF($E227="Inventory",VLOOKUP($C227,Inventory!$B:$I,3,FALSE()),IF($E227="Non Inventory",VLOOKUP($C227,'Non Inventory'!$B:$I,3,FALSE()),IF($E227="Services",VLOOKUP($C227,Services!$B:$I,3,FALSE()),IF($E227="Patty Cash",VLOOKUP($C227,'Patty Cash'!$B:$J,3,FALSE()),"")))),"")</f>
        <v/>
      </c>
      <c r="G227" s="374"/>
      <c r="H227" s="374" t="str">
        <f t="shared" si="6"/>
        <v/>
      </c>
      <c r="I227" s="252">
        <f>IFERROR(IF($E227="Inventory",VLOOKUP($C227,Inventory!$B:$I,8,FALSE()),IF($E227="Non Inventory",VLOOKUP($C227,'Non Inventory'!$B:$I,8,FALSE()),IF($E227="Services",VLOOKUP($C227,Services!$B:$I,8,FALSE()),IF($E227="Patty Cash",VLOOKUP($C227,'Patty Cash'!$B:$J,8,FALSE()),0)))),0)</f>
        <v>0</v>
      </c>
      <c r="J227" s="252" t="str">
        <f t="shared" si="7"/>
        <v/>
      </c>
      <c r="K227" s="253"/>
      <c r="L227" s="253"/>
      <c r="M227" s="253"/>
      <c r="N227" s="328"/>
    </row>
    <row r="228" spans="1:14" ht="20.100000000000001" customHeight="1">
      <c r="A228" s="327" t="str">
        <f>IF(AND($B228="",$C228=""),"",MAX($A$3:A227)+1)</f>
        <v/>
      </c>
      <c r="B228" s="262"/>
      <c r="C228" s="253"/>
      <c r="D228" s="249" t="str">
        <f>IFERROR(IF($E228="Inventory",VLOOKUP($C228,Inventory!$B:$I,2,FALSE()),IF($E228="Non Inventory",VLOOKUP($C228,'Non Inventory'!$B:$I,2,FALSE()),IF($E228="Services",VLOOKUP($C228,Services!$B:$I,2,FALSE()),IF($E228="Patty Cash",VLOOKUP($C228,'Patty Cash'!$B:$J,2,FALSE()),"")))),"")</f>
        <v/>
      </c>
      <c r="E228" s="254"/>
      <c r="F228" s="263" t="str">
        <f>IFERROR(IF($E228="Inventory",VLOOKUP($C228,Inventory!$B:$I,3,FALSE()),IF($E228="Non Inventory",VLOOKUP($C228,'Non Inventory'!$B:$I,3,FALSE()),IF($E228="Services",VLOOKUP($C228,Services!$B:$I,3,FALSE()),IF($E228="Patty Cash",VLOOKUP($C228,'Patty Cash'!$B:$J,3,FALSE()),"")))),"")</f>
        <v/>
      </c>
      <c r="G228" s="374"/>
      <c r="H228" s="374" t="str">
        <f t="shared" si="6"/>
        <v/>
      </c>
      <c r="I228" s="252">
        <f>IFERROR(IF($E228="Inventory",VLOOKUP($C228,Inventory!$B:$I,8,FALSE()),IF($E228="Non Inventory",VLOOKUP($C228,'Non Inventory'!$B:$I,8,FALSE()),IF($E228="Services",VLOOKUP($C228,Services!$B:$I,8,FALSE()),IF($E228="Patty Cash",VLOOKUP($C228,'Patty Cash'!$B:$J,8,FALSE()),0)))),0)</f>
        <v>0</v>
      </c>
      <c r="J228" s="252" t="str">
        <f t="shared" si="7"/>
        <v/>
      </c>
      <c r="K228" s="253"/>
      <c r="L228" s="253"/>
      <c r="M228" s="253"/>
      <c r="N228" s="328"/>
    </row>
    <row r="229" spans="1:14" ht="20.100000000000001" customHeight="1">
      <c r="A229" s="327" t="str">
        <f>IF(AND($B229="",$C229=""),"",MAX($A$3:A228)+1)</f>
        <v/>
      </c>
      <c r="B229" s="262"/>
      <c r="C229" s="253"/>
      <c r="D229" s="249" t="str">
        <f>IFERROR(IF($E229="Inventory",VLOOKUP($C229,Inventory!$B:$I,2,FALSE()),IF($E229="Non Inventory",VLOOKUP($C229,'Non Inventory'!$B:$I,2,FALSE()),IF($E229="Services",VLOOKUP($C229,Services!$B:$I,2,FALSE()),IF($E229="Patty Cash",VLOOKUP($C229,'Patty Cash'!$B:$J,2,FALSE()),"")))),"")</f>
        <v/>
      </c>
      <c r="E229" s="254"/>
      <c r="F229" s="263" t="str">
        <f>IFERROR(IF($E229="Inventory",VLOOKUP($C229,Inventory!$B:$I,3,FALSE()),IF($E229="Non Inventory",VLOOKUP($C229,'Non Inventory'!$B:$I,3,FALSE()),IF($E229="Services",VLOOKUP($C229,Services!$B:$I,3,FALSE()),IF($E229="Patty Cash",VLOOKUP($C229,'Patty Cash'!$B:$J,3,FALSE()),"")))),"")</f>
        <v/>
      </c>
      <c r="G229" s="374"/>
      <c r="H229" s="374" t="str">
        <f t="shared" si="6"/>
        <v/>
      </c>
      <c r="I229" s="252">
        <f>IFERROR(IF($E229="Inventory",VLOOKUP($C229,Inventory!$B:$I,8,FALSE()),IF($E229="Non Inventory",VLOOKUP($C229,'Non Inventory'!$B:$I,8,FALSE()),IF($E229="Services",VLOOKUP($C229,Services!$B:$I,8,FALSE()),IF($E229="Patty Cash",VLOOKUP($C229,'Patty Cash'!$B:$J,8,FALSE()),0)))),0)</f>
        <v>0</v>
      </c>
      <c r="J229" s="252" t="str">
        <f t="shared" si="7"/>
        <v/>
      </c>
      <c r="K229" s="253"/>
      <c r="L229" s="253"/>
      <c r="M229" s="253"/>
      <c r="N229" s="328"/>
    </row>
    <row r="230" spans="1:14" ht="20.100000000000001" customHeight="1">
      <c r="A230" s="327" t="str">
        <f>IF(AND($B230="",$C230=""),"",MAX($A$3:A229)+1)</f>
        <v/>
      </c>
      <c r="B230" s="262"/>
      <c r="C230" s="253"/>
      <c r="D230" s="249" t="str">
        <f>IFERROR(IF($E230="Inventory",VLOOKUP($C230,Inventory!$B:$I,2,FALSE()),IF($E230="Non Inventory",VLOOKUP($C230,'Non Inventory'!$B:$I,2,FALSE()),IF($E230="Services",VLOOKUP($C230,Services!$B:$I,2,FALSE()),IF($E230="Patty Cash",VLOOKUP($C230,'Patty Cash'!$B:$J,2,FALSE()),"")))),"")</f>
        <v/>
      </c>
      <c r="E230" s="254"/>
      <c r="F230" s="263" t="str">
        <f>IFERROR(IF($E230="Inventory",VLOOKUP($C230,Inventory!$B:$I,3,FALSE()),IF($E230="Non Inventory",VLOOKUP($C230,'Non Inventory'!$B:$I,3,FALSE()),IF($E230="Services",VLOOKUP($C230,Services!$B:$I,3,FALSE()),IF($E230="Patty Cash",VLOOKUP($C230,'Patty Cash'!$B:$J,3,FALSE()),"")))),"")</f>
        <v/>
      </c>
      <c r="G230" s="374"/>
      <c r="H230" s="374" t="str">
        <f t="shared" si="6"/>
        <v/>
      </c>
      <c r="I230" s="252">
        <f>IFERROR(IF($E230="Inventory",VLOOKUP($C230,Inventory!$B:$I,8,FALSE()),IF($E230="Non Inventory",VLOOKUP($C230,'Non Inventory'!$B:$I,8,FALSE()),IF($E230="Services",VLOOKUP($C230,Services!$B:$I,8,FALSE()),IF($E230="Patty Cash",VLOOKUP($C230,'Patty Cash'!$B:$J,8,FALSE()),0)))),0)</f>
        <v>0</v>
      </c>
      <c r="J230" s="252" t="str">
        <f t="shared" si="7"/>
        <v/>
      </c>
      <c r="K230" s="253"/>
      <c r="L230" s="253"/>
      <c r="M230" s="253"/>
      <c r="N230" s="328"/>
    </row>
    <row r="231" spans="1:14" ht="20.100000000000001" customHeight="1">
      <c r="A231" s="327" t="str">
        <f>IF(AND($B231="",$C231=""),"",MAX($A$3:A230)+1)</f>
        <v/>
      </c>
      <c r="B231" s="262"/>
      <c r="C231" s="253"/>
      <c r="D231" s="249" t="str">
        <f>IFERROR(IF($E231="Inventory",VLOOKUP($C231,Inventory!$B:$I,2,FALSE()),IF($E231="Non Inventory",VLOOKUP($C231,'Non Inventory'!$B:$I,2,FALSE()),IF($E231="Services",VLOOKUP($C231,Services!$B:$I,2,FALSE()),IF($E231="Patty Cash",VLOOKUP($C231,'Patty Cash'!$B:$J,2,FALSE()),"")))),"")</f>
        <v/>
      </c>
      <c r="E231" s="254"/>
      <c r="F231" s="263" t="str">
        <f>IFERROR(IF($E231="Inventory",VLOOKUP($C231,Inventory!$B:$I,3,FALSE()),IF($E231="Non Inventory",VLOOKUP($C231,'Non Inventory'!$B:$I,3,FALSE()),IF($E231="Services",VLOOKUP($C231,Services!$B:$I,3,FALSE()),IF($E231="Patty Cash",VLOOKUP($C231,'Patty Cash'!$B:$J,3,FALSE()),"")))),"")</f>
        <v/>
      </c>
      <c r="G231" s="374"/>
      <c r="H231" s="374" t="str">
        <f t="shared" si="6"/>
        <v/>
      </c>
      <c r="I231" s="252">
        <f>IFERROR(IF($E231="Inventory",VLOOKUP($C231,Inventory!$B:$I,8,FALSE()),IF($E231="Non Inventory",VLOOKUP($C231,'Non Inventory'!$B:$I,8,FALSE()),IF($E231="Services",VLOOKUP($C231,Services!$B:$I,8,FALSE()),IF($E231="Patty Cash",VLOOKUP($C231,'Patty Cash'!$B:$J,8,FALSE()),0)))),0)</f>
        <v>0</v>
      </c>
      <c r="J231" s="252" t="str">
        <f t="shared" si="7"/>
        <v/>
      </c>
      <c r="K231" s="253"/>
      <c r="L231" s="253"/>
      <c r="M231" s="253"/>
      <c r="N231" s="328"/>
    </row>
    <row r="232" spans="1:14" ht="20.100000000000001" customHeight="1">
      <c r="A232" s="327" t="str">
        <f>IF(AND($B232="",$C232=""),"",MAX($A$3:A231)+1)</f>
        <v/>
      </c>
      <c r="B232" s="262"/>
      <c r="C232" s="253"/>
      <c r="D232" s="249" t="str">
        <f>IFERROR(IF($E232="Inventory",VLOOKUP($C232,Inventory!$B:$I,2,FALSE()),IF($E232="Non Inventory",VLOOKUP($C232,'Non Inventory'!$B:$I,2,FALSE()),IF($E232="Services",VLOOKUP($C232,Services!$B:$I,2,FALSE()),IF($E232="Patty Cash",VLOOKUP($C232,'Patty Cash'!$B:$J,2,FALSE()),"")))),"")</f>
        <v/>
      </c>
      <c r="E232" s="254"/>
      <c r="F232" s="263" t="str">
        <f>IFERROR(IF($E232="Inventory",VLOOKUP($C232,Inventory!$B:$I,3,FALSE()),IF($E232="Non Inventory",VLOOKUP($C232,'Non Inventory'!$B:$I,3,FALSE()),IF($E232="Services",VLOOKUP($C232,Services!$B:$I,3,FALSE()),IF($E232="Patty Cash",VLOOKUP($C232,'Patty Cash'!$B:$J,3,FALSE()),"")))),"")</f>
        <v/>
      </c>
      <c r="G232" s="374"/>
      <c r="H232" s="374" t="str">
        <f t="shared" si="6"/>
        <v/>
      </c>
      <c r="I232" s="252">
        <f>IFERROR(IF($E232="Inventory",VLOOKUP($C232,Inventory!$B:$I,8,FALSE()),IF($E232="Non Inventory",VLOOKUP($C232,'Non Inventory'!$B:$I,8,FALSE()),IF($E232="Services",VLOOKUP($C232,Services!$B:$I,8,FALSE()),IF($E232="Patty Cash",VLOOKUP($C232,'Patty Cash'!$B:$J,8,FALSE()),0)))),0)</f>
        <v>0</v>
      </c>
      <c r="J232" s="252" t="str">
        <f t="shared" si="7"/>
        <v/>
      </c>
      <c r="K232" s="253"/>
      <c r="L232" s="253"/>
      <c r="M232" s="253"/>
      <c r="N232" s="328"/>
    </row>
    <row r="233" spans="1:14" ht="20.100000000000001" customHeight="1">
      <c r="A233" s="327" t="str">
        <f>IF(AND($B233="",$C233=""),"",MAX($A$3:A232)+1)</f>
        <v/>
      </c>
      <c r="B233" s="262"/>
      <c r="C233" s="253"/>
      <c r="D233" s="249" t="str">
        <f>IFERROR(IF($E233="Inventory",VLOOKUP($C233,Inventory!$B:$I,2,FALSE()),IF($E233="Non Inventory",VLOOKUP($C233,'Non Inventory'!$B:$I,2,FALSE()),IF($E233="Services",VLOOKUP($C233,Services!$B:$I,2,FALSE()),IF($E233="Patty Cash",VLOOKUP($C233,'Patty Cash'!$B:$J,2,FALSE()),"")))),"")</f>
        <v/>
      </c>
      <c r="E233" s="254"/>
      <c r="F233" s="263" t="str">
        <f>IFERROR(IF($E233="Inventory",VLOOKUP($C233,Inventory!$B:$I,3,FALSE()),IF($E233="Non Inventory",VLOOKUP($C233,'Non Inventory'!$B:$I,3,FALSE()),IF($E233="Services",VLOOKUP($C233,Services!$B:$I,3,FALSE()),IF($E233="Patty Cash",VLOOKUP($C233,'Patty Cash'!$B:$J,3,FALSE()),"")))),"")</f>
        <v/>
      </c>
      <c r="G233" s="374"/>
      <c r="H233" s="374" t="str">
        <f t="shared" si="6"/>
        <v/>
      </c>
      <c r="I233" s="252">
        <f>IFERROR(IF($E233="Inventory",VLOOKUP($C233,Inventory!$B:$I,8,FALSE()),IF($E233="Non Inventory",VLOOKUP($C233,'Non Inventory'!$B:$I,8,FALSE()),IF($E233="Services",VLOOKUP($C233,Services!$B:$I,8,FALSE()),IF($E233="Patty Cash",VLOOKUP($C233,'Patty Cash'!$B:$J,8,FALSE()),0)))),0)</f>
        <v>0</v>
      </c>
      <c r="J233" s="252" t="str">
        <f t="shared" si="7"/>
        <v/>
      </c>
      <c r="K233" s="253"/>
      <c r="L233" s="253"/>
      <c r="M233" s="253"/>
      <c r="N233" s="328"/>
    </row>
    <row r="234" spans="1:14" ht="20.100000000000001" customHeight="1">
      <c r="A234" s="327" t="str">
        <f>IF(AND($B234="",$C234=""),"",MAX($A$3:A233)+1)</f>
        <v/>
      </c>
      <c r="B234" s="262"/>
      <c r="C234" s="253"/>
      <c r="D234" s="249" t="str">
        <f>IFERROR(IF($E234="Inventory",VLOOKUP($C234,Inventory!$B:$I,2,FALSE()),IF($E234="Non Inventory",VLOOKUP($C234,'Non Inventory'!$B:$I,2,FALSE()),IF($E234="Services",VLOOKUP($C234,Services!$B:$I,2,FALSE()),IF($E234="Patty Cash",VLOOKUP($C234,'Patty Cash'!$B:$J,2,FALSE()),"")))),"")</f>
        <v/>
      </c>
      <c r="E234" s="254"/>
      <c r="F234" s="263" t="str">
        <f>IFERROR(IF($E234="Inventory",VLOOKUP($C234,Inventory!$B:$I,3,FALSE()),IF($E234="Non Inventory",VLOOKUP($C234,'Non Inventory'!$B:$I,3,FALSE()),IF($E234="Services",VLOOKUP($C234,Services!$B:$I,3,FALSE()),IF($E234="Patty Cash",VLOOKUP($C234,'Patty Cash'!$B:$J,3,FALSE()),"")))),"")</f>
        <v/>
      </c>
      <c r="G234" s="374"/>
      <c r="H234" s="374" t="str">
        <f t="shared" si="6"/>
        <v/>
      </c>
      <c r="I234" s="252">
        <f>IFERROR(IF($E234="Inventory",VLOOKUP($C234,Inventory!$B:$I,8,FALSE()),IF($E234="Non Inventory",VLOOKUP($C234,'Non Inventory'!$B:$I,8,FALSE()),IF($E234="Services",VLOOKUP($C234,Services!$B:$I,8,FALSE()),IF($E234="Patty Cash",VLOOKUP($C234,'Patty Cash'!$B:$J,8,FALSE()),0)))),0)</f>
        <v>0</v>
      </c>
      <c r="J234" s="252" t="str">
        <f t="shared" si="7"/>
        <v/>
      </c>
      <c r="K234" s="253"/>
      <c r="L234" s="253"/>
      <c r="M234" s="253"/>
      <c r="N234" s="328"/>
    </row>
    <row r="235" spans="1:14" ht="20.100000000000001" customHeight="1">
      <c r="A235" s="327" t="str">
        <f>IF(AND($B235="",$C235=""),"",MAX($A$3:A234)+1)</f>
        <v/>
      </c>
      <c r="B235" s="262"/>
      <c r="C235" s="253"/>
      <c r="D235" s="249" t="str">
        <f>IFERROR(IF($E235="Inventory",VLOOKUP($C235,Inventory!$B:$I,2,FALSE()),IF($E235="Non Inventory",VLOOKUP($C235,'Non Inventory'!$B:$I,2,FALSE()),IF($E235="Services",VLOOKUP($C235,Services!$B:$I,2,FALSE()),IF($E235="Patty Cash",VLOOKUP($C235,'Patty Cash'!$B:$J,2,FALSE()),"")))),"")</f>
        <v/>
      </c>
      <c r="E235" s="254"/>
      <c r="F235" s="263" t="str">
        <f>IFERROR(IF($E235="Inventory",VLOOKUP($C235,Inventory!$B:$I,3,FALSE()),IF($E235="Non Inventory",VLOOKUP($C235,'Non Inventory'!$B:$I,3,FALSE()),IF($E235="Services",VLOOKUP($C235,Services!$B:$I,3,FALSE()),IF($E235="Patty Cash",VLOOKUP($C235,'Patty Cash'!$B:$J,3,FALSE()),"")))),"")</f>
        <v/>
      </c>
      <c r="G235" s="374"/>
      <c r="H235" s="374" t="str">
        <f t="shared" si="6"/>
        <v/>
      </c>
      <c r="I235" s="252">
        <f>IFERROR(IF($E235="Inventory",VLOOKUP($C235,Inventory!$B:$I,8,FALSE()),IF($E235="Non Inventory",VLOOKUP($C235,'Non Inventory'!$B:$I,8,FALSE()),IF($E235="Services",VLOOKUP($C235,Services!$B:$I,8,FALSE()),IF($E235="Patty Cash",VLOOKUP($C235,'Patty Cash'!$B:$J,8,FALSE()),0)))),0)</f>
        <v>0</v>
      </c>
      <c r="J235" s="252" t="str">
        <f t="shared" si="7"/>
        <v/>
      </c>
      <c r="K235" s="253"/>
      <c r="L235" s="253"/>
      <c r="M235" s="253"/>
      <c r="N235" s="328"/>
    </row>
    <row r="236" spans="1:14" ht="20.100000000000001" customHeight="1">
      <c r="A236" s="327" t="str">
        <f>IF(AND($B236="",$C236=""),"",MAX($A$3:A235)+1)</f>
        <v/>
      </c>
      <c r="B236" s="262"/>
      <c r="C236" s="253"/>
      <c r="D236" s="249" t="str">
        <f>IFERROR(IF($E236="Inventory",VLOOKUP($C236,Inventory!$B:$I,2,FALSE()),IF($E236="Non Inventory",VLOOKUP($C236,'Non Inventory'!$B:$I,2,FALSE()),IF($E236="Services",VLOOKUP($C236,Services!$B:$I,2,FALSE()),IF($E236="Patty Cash",VLOOKUP($C236,'Patty Cash'!$B:$J,2,FALSE()),"")))),"")</f>
        <v/>
      </c>
      <c r="E236" s="254"/>
      <c r="F236" s="263" t="str">
        <f>IFERROR(IF($E236="Inventory",VLOOKUP($C236,Inventory!$B:$I,3,FALSE()),IF($E236="Non Inventory",VLOOKUP($C236,'Non Inventory'!$B:$I,3,FALSE()),IF($E236="Services",VLOOKUP($C236,Services!$B:$I,3,FALSE()),IF($E236="Patty Cash",VLOOKUP($C236,'Patty Cash'!$B:$J,3,FALSE()),"")))),"")</f>
        <v/>
      </c>
      <c r="G236" s="374"/>
      <c r="H236" s="374" t="str">
        <f t="shared" si="6"/>
        <v/>
      </c>
      <c r="I236" s="252">
        <f>IFERROR(IF($E236="Inventory",VLOOKUP($C236,Inventory!$B:$I,8,FALSE()),IF($E236="Non Inventory",VLOOKUP($C236,'Non Inventory'!$B:$I,8,FALSE()),IF($E236="Services",VLOOKUP($C236,Services!$B:$I,8,FALSE()),IF($E236="Patty Cash",VLOOKUP($C236,'Patty Cash'!$B:$J,8,FALSE()),0)))),0)</f>
        <v>0</v>
      </c>
      <c r="J236" s="252" t="str">
        <f t="shared" si="7"/>
        <v/>
      </c>
      <c r="K236" s="253"/>
      <c r="L236" s="253"/>
      <c r="M236" s="253"/>
      <c r="N236" s="328"/>
    </row>
    <row r="237" spans="1:14" ht="20.100000000000001" customHeight="1">
      <c r="A237" s="327" t="str">
        <f>IF(AND($B237="",$C237=""),"",MAX($A$3:A236)+1)</f>
        <v/>
      </c>
      <c r="B237" s="262"/>
      <c r="C237" s="253"/>
      <c r="D237" s="249" t="str">
        <f>IFERROR(IF($E237="Inventory",VLOOKUP($C237,Inventory!$B:$I,2,FALSE()),IF($E237="Non Inventory",VLOOKUP($C237,'Non Inventory'!$B:$I,2,FALSE()),IF($E237="Services",VLOOKUP($C237,Services!$B:$I,2,FALSE()),IF($E237="Patty Cash",VLOOKUP($C237,'Patty Cash'!$B:$J,2,FALSE()),"")))),"")</f>
        <v/>
      </c>
      <c r="E237" s="254"/>
      <c r="F237" s="263" t="str">
        <f>IFERROR(IF($E237="Inventory",VLOOKUP($C237,Inventory!$B:$I,3,FALSE()),IF($E237="Non Inventory",VLOOKUP($C237,'Non Inventory'!$B:$I,3,FALSE()),IF($E237="Services",VLOOKUP($C237,Services!$B:$I,3,FALSE()),IF($E237="Patty Cash",VLOOKUP($C237,'Patty Cash'!$B:$J,3,FALSE()),"")))),"")</f>
        <v/>
      </c>
      <c r="G237" s="374"/>
      <c r="H237" s="374" t="str">
        <f t="shared" si="6"/>
        <v/>
      </c>
      <c r="I237" s="252">
        <f>IFERROR(IF($E237="Inventory",VLOOKUP($C237,Inventory!$B:$I,8,FALSE()),IF($E237="Non Inventory",VLOOKUP($C237,'Non Inventory'!$B:$I,8,FALSE()),IF($E237="Services",VLOOKUP($C237,Services!$B:$I,8,FALSE()),IF($E237="Patty Cash",VLOOKUP($C237,'Patty Cash'!$B:$J,8,FALSE()),0)))),0)</f>
        <v>0</v>
      </c>
      <c r="J237" s="252" t="str">
        <f t="shared" si="7"/>
        <v/>
      </c>
      <c r="K237" s="253"/>
      <c r="L237" s="253"/>
      <c r="M237" s="253"/>
      <c r="N237" s="328"/>
    </row>
    <row r="238" spans="1:14" ht="20.100000000000001" customHeight="1">
      <c r="A238" s="327" t="str">
        <f>IF(AND($B238="",$C238=""),"",MAX($A$3:A237)+1)</f>
        <v/>
      </c>
      <c r="B238" s="262"/>
      <c r="C238" s="253"/>
      <c r="D238" s="249" t="str">
        <f>IFERROR(IF($E238="Inventory",VLOOKUP($C238,Inventory!$B:$I,2,FALSE()),IF($E238="Non Inventory",VLOOKUP($C238,'Non Inventory'!$B:$I,2,FALSE()),IF($E238="Services",VLOOKUP($C238,Services!$B:$I,2,FALSE()),IF($E238="Patty Cash",VLOOKUP($C238,'Patty Cash'!$B:$J,2,FALSE()),"")))),"")</f>
        <v/>
      </c>
      <c r="E238" s="254"/>
      <c r="F238" s="263" t="str">
        <f>IFERROR(IF($E238="Inventory",VLOOKUP($C238,Inventory!$B:$I,3,FALSE()),IF($E238="Non Inventory",VLOOKUP($C238,'Non Inventory'!$B:$I,3,FALSE()),IF($E238="Services",VLOOKUP($C238,Services!$B:$I,3,FALSE()),IF($E238="Patty Cash",VLOOKUP($C238,'Patty Cash'!$B:$J,3,FALSE()),"")))),"")</f>
        <v/>
      </c>
      <c r="G238" s="374"/>
      <c r="H238" s="374" t="str">
        <f t="shared" si="6"/>
        <v/>
      </c>
      <c r="I238" s="252">
        <f>IFERROR(IF($E238="Inventory",VLOOKUP($C238,Inventory!$B:$I,8,FALSE()),IF($E238="Non Inventory",VLOOKUP($C238,'Non Inventory'!$B:$I,8,FALSE()),IF($E238="Services",VLOOKUP($C238,Services!$B:$I,8,FALSE()),IF($E238="Patty Cash",VLOOKUP($C238,'Patty Cash'!$B:$J,8,FALSE()),0)))),0)</f>
        <v>0</v>
      </c>
      <c r="J238" s="252" t="str">
        <f t="shared" si="7"/>
        <v/>
      </c>
      <c r="K238" s="253"/>
      <c r="L238" s="253"/>
      <c r="M238" s="253"/>
      <c r="N238" s="328"/>
    </row>
    <row r="239" spans="1:14" ht="20.100000000000001" customHeight="1">
      <c r="A239" s="327" t="str">
        <f>IF(AND($B239="",$C239=""),"",MAX($A$3:A238)+1)</f>
        <v/>
      </c>
      <c r="B239" s="262"/>
      <c r="C239" s="253"/>
      <c r="D239" s="249" t="str">
        <f>IFERROR(IF($E239="Inventory",VLOOKUP($C239,Inventory!$B:$I,2,FALSE()),IF($E239="Non Inventory",VLOOKUP($C239,'Non Inventory'!$B:$I,2,FALSE()),IF($E239="Services",VLOOKUP($C239,Services!$B:$I,2,FALSE()),IF($E239="Patty Cash",VLOOKUP($C239,'Patty Cash'!$B:$J,2,FALSE()),"")))),"")</f>
        <v/>
      </c>
      <c r="E239" s="254"/>
      <c r="F239" s="263" t="str">
        <f>IFERROR(IF($E239="Inventory",VLOOKUP($C239,Inventory!$B:$I,3,FALSE()),IF($E239="Non Inventory",VLOOKUP($C239,'Non Inventory'!$B:$I,3,FALSE()),IF($E239="Services",VLOOKUP($C239,Services!$B:$I,3,FALSE()),IF($E239="Patty Cash",VLOOKUP($C239,'Patty Cash'!$B:$J,3,FALSE()),"")))),"")</f>
        <v/>
      </c>
      <c r="G239" s="374"/>
      <c r="H239" s="374" t="str">
        <f t="shared" si="6"/>
        <v/>
      </c>
      <c r="I239" s="252">
        <f>IFERROR(IF($E239="Inventory",VLOOKUP($C239,Inventory!$B:$I,8,FALSE()),IF($E239="Non Inventory",VLOOKUP($C239,'Non Inventory'!$B:$I,8,FALSE()),IF($E239="Services",VLOOKUP($C239,Services!$B:$I,8,FALSE()),IF($E239="Patty Cash",VLOOKUP($C239,'Patty Cash'!$B:$J,8,FALSE()),0)))),0)</f>
        <v>0</v>
      </c>
      <c r="J239" s="252" t="str">
        <f t="shared" si="7"/>
        <v/>
      </c>
      <c r="K239" s="253"/>
      <c r="L239" s="253"/>
      <c r="M239" s="253"/>
      <c r="N239" s="328"/>
    </row>
    <row r="240" spans="1:14" ht="20.100000000000001" customHeight="1">
      <c r="A240" s="327" t="str">
        <f>IF(AND($B240="",$C240=""),"",MAX($A$3:A239)+1)</f>
        <v/>
      </c>
      <c r="B240" s="262"/>
      <c r="C240" s="253"/>
      <c r="D240" s="249" t="str">
        <f>IFERROR(IF($E240="Inventory",VLOOKUP($C240,Inventory!$B:$I,2,FALSE()),IF($E240="Non Inventory",VLOOKUP($C240,'Non Inventory'!$B:$I,2,FALSE()),IF($E240="Services",VLOOKUP($C240,Services!$B:$I,2,FALSE()),IF($E240="Patty Cash",VLOOKUP($C240,'Patty Cash'!$B:$J,2,FALSE()),"")))),"")</f>
        <v/>
      </c>
      <c r="E240" s="254"/>
      <c r="F240" s="263" t="str">
        <f>IFERROR(IF($E240="Inventory",VLOOKUP($C240,Inventory!$B:$I,3,FALSE()),IF($E240="Non Inventory",VLOOKUP($C240,'Non Inventory'!$B:$I,3,FALSE()),IF($E240="Services",VLOOKUP($C240,Services!$B:$I,3,FALSE()),IF($E240="Patty Cash",VLOOKUP($C240,'Patty Cash'!$B:$J,3,FALSE()),"")))),"")</f>
        <v/>
      </c>
      <c r="G240" s="374"/>
      <c r="H240" s="374" t="str">
        <f t="shared" si="6"/>
        <v/>
      </c>
      <c r="I240" s="252">
        <f>IFERROR(IF($E240="Inventory",VLOOKUP($C240,Inventory!$B:$I,8,FALSE()),IF($E240="Non Inventory",VLOOKUP($C240,'Non Inventory'!$B:$I,8,FALSE()),IF($E240="Services",VLOOKUP($C240,Services!$B:$I,8,FALSE()),IF($E240="Patty Cash",VLOOKUP($C240,'Patty Cash'!$B:$J,8,FALSE()),0)))),0)</f>
        <v>0</v>
      </c>
      <c r="J240" s="252" t="str">
        <f t="shared" si="7"/>
        <v/>
      </c>
      <c r="K240" s="253"/>
      <c r="L240" s="253"/>
      <c r="M240" s="253"/>
      <c r="N240" s="328"/>
    </row>
    <row r="241" spans="1:14" ht="20.100000000000001" customHeight="1">
      <c r="A241" s="327" t="str">
        <f>IF(AND($B241="",$C241=""),"",MAX($A$3:A240)+1)</f>
        <v/>
      </c>
      <c r="B241" s="262"/>
      <c r="C241" s="253"/>
      <c r="D241" s="249" t="str">
        <f>IFERROR(IF($E241="Inventory",VLOOKUP($C241,Inventory!$B:$I,2,FALSE()),IF($E241="Non Inventory",VLOOKUP($C241,'Non Inventory'!$B:$I,2,FALSE()),IF($E241="Services",VLOOKUP($C241,Services!$B:$I,2,FALSE()),IF($E241="Patty Cash",VLOOKUP($C241,'Patty Cash'!$B:$J,2,FALSE()),"")))),"")</f>
        <v/>
      </c>
      <c r="E241" s="254"/>
      <c r="F241" s="263" t="str">
        <f>IFERROR(IF($E241="Inventory",VLOOKUP($C241,Inventory!$B:$I,3,FALSE()),IF($E241="Non Inventory",VLOOKUP($C241,'Non Inventory'!$B:$I,3,FALSE()),IF($E241="Services",VLOOKUP($C241,Services!$B:$I,3,FALSE()),IF($E241="Patty Cash",VLOOKUP($C241,'Patty Cash'!$B:$J,3,FALSE()),"")))),"")</f>
        <v/>
      </c>
      <c r="G241" s="374"/>
      <c r="H241" s="374" t="str">
        <f t="shared" si="6"/>
        <v/>
      </c>
      <c r="I241" s="252">
        <f>IFERROR(IF($E241="Inventory",VLOOKUP($C241,Inventory!$B:$I,8,FALSE()),IF($E241="Non Inventory",VLOOKUP($C241,'Non Inventory'!$B:$I,8,FALSE()),IF($E241="Services",VLOOKUP($C241,Services!$B:$I,8,FALSE()),IF($E241="Patty Cash",VLOOKUP($C241,'Patty Cash'!$B:$J,8,FALSE()),0)))),0)</f>
        <v>0</v>
      </c>
      <c r="J241" s="252" t="str">
        <f t="shared" si="7"/>
        <v/>
      </c>
      <c r="K241" s="253"/>
      <c r="L241" s="253"/>
      <c r="M241" s="253"/>
      <c r="N241" s="328"/>
    </row>
    <row r="242" spans="1:14" ht="20.100000000000001" customHeight="1">
      <c r="A242" s="327" t="str">
        <f>IF(AND($B242="",$C242=""),"",MAX($A$3:A241)+1)</f>
        <v/>
      </c>
      <c r="B242" s="262"/>
      <c r="C242" s="253"/>
      <c r="D242" s="249" t="str">
        <f>IFERROR(IF($E242="Inventory",VLOOKUP($C242,Inventory!$B:$I,2,FALSE()),IF($E242="Non Inventory",VLOOKUP($C242,'Non Inventory'!$B:$I,2,FALSE()),IF($E242="Services",VLOOKUP($C242,Services!$B:$I,2,FALSE()),IF($E242="Patty Cash",VLOOKUP($C242,'Patty Cash'!$B:$J,2,FALSE()),"")))),"")</f>
        <v/>
      </c>
      <c r="E242" s="254"/>
      <c r="F242" s="263" t="str">
        <f>IFERROR(IF($E242="Inventory",VLOOKUP($C242,Inventory!$B:$I,3,FALSE()),IF($E242="Non Inventory",VLOOKUP($C242,'Non Inventory'!$B:$I,3,FALSE()),IF($E242="Services",VLOOKUP($C242,Services!$B:$I,3,FALSE()),IF($E242="Patty Cash",VLOOKUP($C242,'Patty Cash'!$B:$J,3,FALSE()),"")))),"")</f>
        <v/>
      </c>
      <c r="G242" s="374"/>
      <c r="H242" s="374" t="str">
        <f t="shared" si="6"/>
        <v/>
      </c>
      <c r="I242" s="252">
        <f>IFERROR(IF($E242="Inventory",VLOOKUP($C242,Inventory!$B:$I,8,FALSE()),IF($E242="Non Inventory",VLOOKUP($C242,'Non Inventory'!$B:$I,8,FALSE()),IF($E242="Services",VLOOKUP($C242,Services!$B:$I,8,FALSE()),IF($E242="Patty Cash",VLOOKUP($C242,'Patty Cash'!$B:$J,8,FALSE()),0)))),0)</f>
        <v>0</v>
      </c>
      <c r="J242" s="252" t="str">
        <f t="shared" si="7"/>
        <v/>
      </c>
      <c r="K242" s="253"/>
      <c r="L242" s="253"/>
      <c r="M242" s="253"/>
      <c r="N242" s="328"/>
    </row>
    <row r="243" spans="1:14" ht="20.100000000000001" customHeight="1">
      <c r="A243" s="327" t="str">
        <f>IF(AND($B243="",$C243=""),"",MAX($A$3:A242)+1)</f>
        <v/>
      </c>
      <c r="B243" s="262"/>
      <c r="C243" s="253"/>
      <c r="D243" s="249" t="str">
        <f>IFERROR(IF($E243="Inventory",VLOOKUP($C243,Inventory!$B:$I,2,FALSE()),IF($E243="Non Inventory",VLOOKUP($C243,'Non Inventory'!$B:$I,2,FALSE()),IF($E243="Services",VLOOKUP($C243,Services!$B:$I,2,FALSE()),IF($E243="Patty Cash",VLOOKUP($C243,'Patty Cash'!$B:$J,2,FALSE()),"")))),"")</f>
        <v/>
      </c>
      <c r="E243" s="254"/>
      <c r="F243" s="263" t="str">
        <f>IFERROR(IF($E243="Inventory",VLOOKUP($C243,Inventory!$B:$I,3,FALSE()),IF($E243="Non Inventory",VLOOKUP($C243,'Non Inventory'!$B:$I,3,FALSE()),IF($E243="Services",VLOOKUP($C243,Services!$B:$I,3,FALSE()),IF($E243="Patty Cash",VLOOKUP($C243,'Patty Cash'!$B:$J,3,FALSE()),"")))),"")</f>
        <v/>
      </c>
      <c r="G243" s="374"/>
      <c r="H243" s="374" t="str">
        <f t="shared" si="6"/>
        <v/>
      </c>
      <c r="I243" s="252">
        <f>IFERROR(IF($E243="Inventory",VLOOKUP($C243,Inventory!$B:$I,8,FALSE()),IF($E243="Non Inventory",VLOOKUP($C243,'Non Inventory'!$B:$I,8,FALSE()),IF($E243="Services",VLOOKUP($C243,Services!$B:$I,8,FALSE()),IF($E243="Patty Cash",VLOOKUP($C243,'Patty Cash'!$B:$J,8,FALSE()),0)))),0)</f>
        <v>0</v>
      </c>
      <c r="J243" s="252" t="str">
        <f t="shared" si="7"/>
        <v/>
      </c>
      <c r="K243" s="253"/>
      <c r="L243" s="253"/>
      <c r="M243" s="253"/>
      <c r="N243" s="328"/>
    </row>
    <row r="244" spans="1:14" ht="20.100000000000001" customHeight="1">
      <c r="A244" s="327" t="str">
        <f>IF(AND($B244="",$C244=""),"",MAX($A$3:A243)+1)</f>
        <v/>
      </c>
      <c r="B244" s="262"/>
      <c r="C244" s="253"/>
      <c r="D244" s="249" t="str">
        <f>IFERROR(IF($E244="Inventory",VLOOKUP($C244,Inventory!$B:$I,2,FALSE()),IF($E244="Non Inventory",VLOOKUP($C244,'Non Inventory'!$B:$I,2,FALSE()),IF($E244="Services",VLOOKUP($C244,Services!$B:$I,2,FALSE()),IF($E244="Patty Cash",VLOOKUP($C244,'Patty Cash'!$B:$J,2,FALSE()),"")))),"")</f>
        <v/>
      </c>
      <c r="E244" s="254"/>
      <c r="F244" s="263" t="str">
        <f>IFERROR(IF($E244="Inventory",VLOOKUP($C244,Inventory!$B:$I,3,FALSE()),IF($E244="Non Inventory",VLOOKUP($C244,'Non Inventory'!$B:$I,3,FALSE()),IF($E244="Services",VLOOKUP($C244,Services!$B:$I,3,FALSE()),IF($E244="Patty Cash",VLOOKUP($C244,'Patty Cash'!$B:$J,3,FALSE()),"")))),"")</f>
        <v/>
      </c>
      <c r="G244" s="374"/>
      <c r="H244" s="374" t="str">
        <f t="shared" si="6"/>
        <v/>
      </c>
      <c r="I244" s="252">
        <f>IFERROR(IF($E244="Inventory",VLOOKUP($C244,Inventory!$B:$I,8,FALSE()),IF($E244="Non Inventory",VLOOKUP($C244,'Non Inventory'!$B:$I,8,FALSE()),IF($E244="Services",VLOOKUP($C244,Services!$B:$I,8,FALSE()),IF($E244="Patty Cash",VLOOKUP($C244,'Patty Cash'!$B:$J,8,FALSE()),0)))),0)</f>
        <v>0</v>
      </c>
      <c r="J244" s="252" t="str">
        <f t="shared" si="7"/>
        <v/>
      </c>
      <c r="K244" s="253"/>
      <c r="L244" s="253"/>
      <c r="M244" s="253"/>
      <c r="N244" s="328"/>
    </row>
    <row r="245" spans="1:14" ht="20.100000000000001" customHeight="1">
      <c r="A245" s="327" t="str">
        <f>IF(AND($B245="",$C245=""),"",MAX($A$3:A244)+1)</f>
        <v/>
      </c>
      <c r="B245" s="262"/>
      <c r="C245" s="253"/>
      <c r="D245" s="249" t="str">
        <f>IFERROR(IF($E245="Inventory",VLOOKUP($C245,Inventory!$B:$I,2,FALSE()),IF($E245="Non Inventory",VLOOKUP($C245,'Non Inventory'!$B:$I,2,FALSE()),IF($E245="Services",VLOOKUP($C245,Services!$B:$I,2,FALSE()),IF($E245="Patty Cash",VLOOKUP($C245,'Patty Cash'!$B:$J,2,FALSE()),"")))),"")</f>
        <v/>
      </c>
      <c r="E245" s="254"/>
      <c r="F245" s="263" t="str">
        <f>IFERROR(IF($E245="Inventory",VLOOKUP($C245,Inventory!$B:$I,3,FALSE()),IF($E245="Non Inventory",VLOOKUP($C245,'Non Inventory'!$B:$I,3,FALSE()),IF($E245="Services",VLOOKUP($C245,Services!$B:$I,3,FALSE()),IF($E245="Patty Cash",VLOOKUP($C245,'Patty Cash'!$B:$J,3,FALSE()),"")))),"")</f>
        <v/>
      </c>
      <c r="G245" s="374"/>
      <c r="H245" s="374" t="str">
        <f t="shared" si="6"/>
        <v/>
      </c>
      <c r="I245" s="252">
        <f>IFERROR(IF($E245="Inventory",VLOOKUP($C245,Inventory!$B:$I,8,FALSE()),IF($E245="Non Inventory",VLOOKUP($C245,'Non Inventory'!$B:$I,8,FALSE()),IF($E245="Services",VLOOKUP($C245,Services!$B:$I,8,FALSE()),IF($E245="Patty Cash",VLOOKUP($C245,'Patty Cash'!$B:$J,8,FALSE()),0)))),0)</f>
        <v>0</v>
      </c>
      <c r="J245" s="252" t="str">
        <f t="shared" si="7"/>
        <v/>
      </c>
      <c r="K245" s="253"/>
      <c r="L245" s="253"/>
      <c r="M245" s="253"/>
      <c r="N245" s="328"/>
    </row>
    <row r="246" spans="1:14" ht="20.100000000000001" customHeight="1">
      <c r="A246" s="327" t="str">
        <f>IF(AND($B246="",$C246=""),"",MAX($A$3:A245)+1)</f>
        <v/>
      </c>
      <c r="B246" s="262"/>
      <c r="C246" s="253"/>
      <c r="D246" s="249" t="str">
        <f>IFERROR(IF($E246="Inventory",VLOOKUP($C246,Inventory!$B:$I,2,FALSE()),IF($E246="Non Inventory",VLOOKUP($C246,'Non Inventory'!$B:$I,2,FALSE()),IF($E246="Services",VLOOKUP($C246,Services!$B:$I,2,FALSE()),IF($E246="Patty Cash",VLOOKUP($C246,'Patty Cash'!$B:$J,2,FALSE()),"")))),"")</f>
        <v/>
      </c>
      <c r="E246" s="254"/>
      <c r="F246" s="263" t="str">
        <f>IFERROR(IF($E246="Inventory",VLOOKUP($C246,Inventory!$B:$I,3,FALSE()),IF($E246="Non Inventory",VLOOKUP($C246,'Non Inventory'!$B:$I,3,FALSE()),IF($E246="Services",VLOOKUP($C246,Services!$B:$I,3,FALSE()),IF($E246="Patty Cash",VLOOKUP($C246,'Patty Cash'!$B:$J,3,FALSE()),"")))),"")</f>
        <v/>
      </c>
      <c r="G246" s="374"/>
      <c r="H246" s="374" t="str">
        <f t="shared" si="6"/>
        <v/>
      </c>
      <c r="I246" s="252">
        <f>IFERROR(IF($E246="Inventory",VLOOKUP($C246,Inventory!$B:$I,8,FALSE()),IF($E246="Non Inventory",VLOOKUP($C246,'Non Inventory'!$B:$I,8,FALSE()),IF($E246="Services",VLOOKUP($C246,Services!$B:$I,8,FALSE()),IF($E246="Patty Cash",VLOOKUP($C246,'Patty Cash'!$B:$J,8,FALSE()),0)))),0)</f>
        <v>0</v>
      </c>
      <c r="J246" s="252" t="str">
        <f t="shared" si="7"/>
        <v/>
      </c>
      <c r="K246" s="253"/>
      <c r="L246" s="253"/>
      <c r="M246" s="253"/>
      <c r="N246" s="328"/>
    </row>
    <row r="247" spans="1:14" ht="20.100000000000001" customHeight="1">
      <c r="A247" s="327" t="str">
        <f>IF(AND($B247="",$C247=""),"",MAX($A$3:A246)+1)</f>
        <v/>
      </c>
      <c r="B247" s="262"/>
      <c r="C247" s="253"/>
      <c r="D247" s="249" t="str">
        <f>IFERROR(IF($E247="Inventory",VLOOKUP($C247,Inventory!$B:$I,2,FALSE()),IF($E247="Non Inventory",VLOOKUP($C247,'Non Inventory'!$B:$I,2,FALSE()),IF($E247="Services",VLOOKUP($C247,Services!$B:$I,2,FALSE()),IF($E247="Patty Cash",VLOOKUP($C247,'Patty Cash'!$B:$J,2,FALSE()),"")))),"")</f>
        <v/>
      </c>
      <c r="E247" s="254"/>
      <c r="F247" s="263" t="str">
        <f>IFERROR(IF($E247="Inventory",VLOOKUP($C247,Inventory!$B:$I,3,FALSE()),IF($E247="Non Inventory",VLOOKUP($C247,'Non Inventory'!$B:$I,3,FALSE()),IF($E247="Services",VLOOKUP($C247,Services!$B:$I,3,FALSE()),IF($E247="Patty Cash",VLOOKUP($C247,'Patty Cash'!$B:$J,3,FALSE()),"")))),"")</f>
        <v/>
      </c>
      <c r="G247" s="374"/>
      <c r="H247" s="374" t="str">
        <f t="shared" si="6"/>
        <v/>
      </c>
      <c r="I247" s="252">
        <f>IFERROR(IF($E247="Inventory",VLOOKUP($C247,Inventory!$B:$I,8,FALSE()),IF($E247="Non Inventory",VLOOKUP($C247,'Non Inventory'!$B:$I,8,FALSE()),IF($E247="Services",VLOOKUP($C247,Services!$B:$I,8,FALSE()),IF($E247="Patty Cash",VLOOKUP($C247,'Patty Cash'!$B:$J,8,FALSE()),0)))),0)</f>
        <v>0</v>
      </c>
      <c r="J247" s="252" t="str">
        <f t="shared" si="7"/>
        <v/>
      </c>
      <c r="K247" s="253"/>
      <c r="L247" s="253"/>
      <c r="M247" s="253"/>
      <c r="N247" s="328"/>
    </row>
    <row r="248" spans="1:14" ht="20.100000000000001" customHeight="1">
      <c r="A248" s="327" t="str">
        <f>IF(AND($B248="",$C248=""),"",MAX($A$3:A247)+1)</f>
        <v/>
      </c>
      <c r="B248" s="262"/>
      <c r="C248" s="253"/>
      <c r="D248" s="249" t="str">
        <f>IFERROR(IF($E248="Inventory",VLOOKUP($C248,Inventory!$B:$I,2,FALSE()),IF($E248="Non Inventory",VLOOKUP($C248,'Non Inventory'!$B:$I,2,FALSE()),IF($E248="Services",VLOOKUP($C248,Services!$B:$I,2,FALSE()),IF($E248="Patty Cash",VLOOKUP($C248,'Patty Cash'!$B:$J,2,FALSE()),"")))),"")</f>
        <v/>
      </c>
      <c r="E248" s="254"/>
      <c r="F248" s="263" t="str">
        <f>IFERROR(IF($E248="Inventory",VLOOKUP($C248,Inventory!$B:$I,3,FALSE()),IF($E248="Non Inventory",VLOOKUP($C248,'Non Inventory'!$B:$I,3,FALSE()),IF($E248="Services",VLOOKUP($C248,Services!$B:$I,3,FALSE()),IF($E248="Patty Cash",VLOOKUP($C248,'Patty Cash'!$B:$J,3,FALSE()),"")))),"")</f>
        <v/>
      </c>
      <c r="G248" s="374"/>
      <c r="H248" s="374" t="str">
        <f t="shared" si="6"/>
        <v/>
      </c>
      <c r="I248" s="252">
        <f>IFERROR(IF($E248="Inventory",VLOOKUP($C248,Inventory!$B:$I,8,FALSE()),IF($E248="Non Inventory",VLOOKUP($C248,'Non Inventory'!$B:$I,8,FALSE()),IF($E248="Services",VLOOKUP($C248,Services!$B:$I,8,FALSE()),IF($E248="Patty Cash",VLOOKUP($C248,'Patty Cash'!$B:$J,8,FALSE()),0)))),0)</f>
        <v>0</v>
      </c>
      <c r="J248" s="252" t="str">
        <f t="shared" si="7"/>
        <v/>
      </c>
      <c r="K248" s="253"/>
      <c r="L248" s="253"/>
      <c r="M248" s="253"/>
      <c r="N248" s="328"/>
    </row>
    <row r="249" spans="1:14" ht="20.100000000000001" customHeight="1">
      <c r="A249" s="327" t="str">
        <f>IF(AND($B249="",$C249=""),"",MAX($A$3:A248)+1)</f>
        <v/>
      </c>
      <c r="B249" s="262"/>
      <c r="C249" s="253"/>
      <c r="D249" s="249" t="str">
        <f>IFERROR(IF($E249="Inventory",VLOOKUP($C249,Inventory!$B:$I,2,FALSE()),IF($E249="Non Inventory",VLOOKUP($C249,'Non Inventory'!$B:$I,2,FALSE()),IF($E249="Services",VLOOKUP($C249,Services!$B:$I,2,FALSE()),IF($E249="Patty Cash",VLOOKUP($C249,'Patty Cash'!$B:$J,2,FALSE()),"")))),"")</f>
        <v/>
      </c>
      <c r="E249" s="254"/>
      <c r="F249" s="263" t="str">
        <f>IFERROR(IF($E249="Inventory",VLOOKUP($C249,Inventory!$B:$I,3,FALSE()),IF($E249="Non Inventory",VLOOKUP($C249,'Non Inventory'!$B:$I,3,FALSE()),IF($E249="Services",VLOOKUP($C249,Services!$B:$I,3,FALSE()),IF($E249="Patty Cash",VLOOKUP($C249,'Patty Cash'!$B:$J,3,FALSE()),"")))),"")</f>
        <v/>
      </c>
      <c r="G249" s="374"/>
      <c r="H249" s="374" t="str">
        <f t="shared" si="6"/>
        <v/>
      </c>
      <c r="I249" s="252">
        <f>IFERROR(IF($E249="Inventory",VLOOKUP($C249,Inventory!$B:$I,8,FALSE()),IF($E249="Non Inventory",VLOOKUP($C249,'Non Inventory'!$B:$I,8,FALSE()),IF($E249="Services",VLOOKUP($C249,Services!$B:$I,8,FALSE()),IF($E249="Patty Cash",VLOOKUP($C249,'Patty Cash'!$B:$J,8,FALSE()),0)))),0)</f>
        <v>0</v>
      </c>
      <c r="J249" s="252" t="str">
        <f t="shared" si="7"/>
        <v/>
      </c>
      <c r="K249" s="253"/>
      <c r="L249" s="253"/>
      <c r="M249" s="253"/>
      <c r="N249" s="328"/>
    </row>
    <row r="250" spans="1:14" ht="20.100000000000001" customHeight="1">
      <c r="A250" s="327" t="str">
        <f>IF(AND($B250="",$C250=""),"",MAX($A$3:A249)+1)</f>
        <v/>
      </c>
      <c r="B250" s="262"/>
      <c r="C250" s="253"/>
      <c r="D250" s="249" t="str">
        <f>IFERROR(IF($E250="Inventory",VLOOKUP($C250,Inventory!$B:$I,2,FALSE()),IF($E250="Non Inventory",VLOOKUP($C250,'Non Inventory'!$B:$I,2,FALSE()),IF($E250="Services",VLOOKUP($C250,Services!$B:$I,2,FALSE()),IF($E250="Patty Cash",VLOOKUP($C250,'Patty Cash'!$B:$J,2,FALSE()),"")))),"")</f>
        <v/>
      </c>
      <c r="E250" s="254"/>
      <c r="F250" s="263" t="str">
        <f>IFERROR(IF($E250="Inventory",VLOOKUP($C250,Inventory!$B:$I,3,FALSE()),IF($E250="Non Inventory",VLOOKUP($C250,'Non Inventory'!$B:$I,3,FALSE()),IF($E250="Services",VLOOKUP($C250,Services!$B:$I,3,FALSE()),IF($E250="Patty Cash",VLOOKUP($C250,'Patty Cash'!$B:$J,3,FALSE()),"")))),"")</f>
        <v/>
      </c>
      <c r="G250" s="374"/>
      <c r="H250" s="374" t="str">
        <f t="shared" si="6"/>
        <v/>
      </c>
      <c r="I250" s="252">
        <f>IFERROR(IF($E250="Inventory",VLOOKUP($C250,Inventory!$B:$I,8,FALSE()),IF($E250="Non Inventory",VLOOKUP($C250,'Non Inventory'!$B:$I,8,FALSE()),IF($E250="Services",VLOOKUP($C250,Services!$B:$I,8,FALSE()),IF($E250="Patty Cash",VLOOKUP($C250,'Patty Cash'!$B:$J,8,FALSE()),0)))),0)</f>
        <v>0</v>
      </c>
      <c r="J250" s="252" t="str">
        <f t="shared" si="7"/>
        <v/>
      </c>
      <c r="K250" s="253"/>
      <c r="L250" s="253"/>
      <c r="M250" s="253"/>
      <c r="N250" s="328"/>
    </row>
    <row r="251" spans="1:14" ht="20.100000000000001" customHeight="1">
      <c r="A251" s="327" t="str">
        <f>IF(AND($B251="",$C251=""),"",MAX($A$3:A250)+1)</f>
        <v/>
      </c>
      <c r="B251" s="262"/>
      <c r="C251" s="253"/>
      <c r="D251" s="249" t="str">
        <f>IFERROR(IF($E251="Inventory",VLOOKUP($C251,Inventory!$B:$I,2,FALSE()),IF($E251="Non Inventory",VLOOKUP($C251,'Non Inventory'!$B:$I,2,FALSE()),IF($E251="Services",VLOOKUP($C251,Services!$B:$I,2,FALSE()),IF($E251="Patty Cash",VLOOKUP($C251,'Patty Cash'!$B:$J,2,FALSE()),"")))),"")</f>
        <v/>
      </c>
      <c r="E251" s="254"/>
      <c r="F251" s="263" t="str">
        <f>IFERROR(IF($E251="Inventory",VLOOKUP($C251,Inventory!$B:$I,3,FALSE()),IF($E251="Non Inventory",VLOOKUP($C251,'Non Inventory'!$B:$I,3,FALSE()),IF($E251="Services",VLOOKUP($C251,Services!$B:$I,3,FALSE()),IF($E251="Patty Cash",VLOOKUP($C251,'Patty Cash'!$B:$J,3,FALSE()),"")))),"")</f>
        <v/>
      </c>
      <c r="G251" s="374"/>
      <c r="H251" s="374" t="str">
        <f t="shared" ref="H251:H314" si="8">IF($G251="","",G251)</f>
        <v/>
      </c>
      <c r="I251" s="252">
        <f>IFERROR(IF($E251="Inventory",VLOOKUP($C251,Inventory!$B:$I,8,FALSE()),IF($E251="Non Inventory",VLOOKUP($C251,'Non Inventory'!$B:$I,8,FALSE()),IF($E251="Services",VLOOKUP($C251,Services!$B:$I,8,FALSE()),IF($E251="Patty Cash",VLOOKUP($C251,'Patty Cash'!$B:$J,8,FALSE()),0)))),0)</f>
        <v>0</v>
      </c>
      <c r="J251" s="252" t="str">
        <f t="shared" ref="J251:J314" si="9">IF($H251="","",H251*I251)</f>
        <v/>
      </c>
      <c r="K251" s="253"/>
      <c r="L251" s="253"/>
      <c r="M251" s="253"/>
      <c r="N251" s="328"/>
    </row>
    <row r="252" spans="1:14" ht="20.100000000000001" customHeight="1">
      <c r="A252" s="327" t="str">
        <f>IF(AND($B252="",$C252=""),"",MAX($A$3:A251)+1)</f>
        <v/>
      </c>
      <c r="B252" s="262"/>
      <c r="C252" s="253"/>
      <c r="D252" s="249" t="str">
        <f>IFERROR(IF($E252="Inventory",VLOOKUP($C252,Inventory!$B:$I,2,FALSE()),IF($E252="Non Inventory",VLOOKUP($C252,'Non Inventory'!$B:$I,2,FALSE()),IF($E252="Services",VLOOKUP($C252,Services!$B:$I,2,FALSE()),IF($E252="Patty Cash",VLOOKUP($C252,'Patty Cash'!$B:$J,2,FALSE()),"")))),"")</f>
        <v/>
      </c>
      <c r="E252" s="254"/>
      <c r="F252" s="263" t="str">
        <f>IFERROR(IF($E252="Inventory",VLOOKUP($C252,Inventory!$B:$I,3,FALSE()),IF($E252="Non Inventory",VLOOKUP($C252,'Non Inventory'!$B:$I,3,FALSE()),IF($E252="Services",VLOOKUP($C252,Services!$B:$I,3,FALSE()),IF($E252="Patty Cash",VLOOKUP($C252,'Patty Cash'!$B:$J,3,FALSE()),"")))),"")</f>
        <v/>
      </c>
      <c r="G252" s="374"/>
      <c r="H252" s="374" t="str">
        <f t="shared" si="8"/>
        <v/>
      </c>
      <c r="I252" s="252">
        <f>IFERROR(IF($E252="Inventory",VLOOKUP($C252,Inventory!$B:$I,8,FALSE()),IF($E252="Non Inventory",VLOOKUP($C252,'Non Inventory'!$B:$I,8,FALSE()),IF($E252="Services",VLOOKUP($C252,Services!$B:$I,8,FALSE()),IF($E252="Patty Cash",VLOOKUP($C252,'Patty Cash'!$B:$J,8,FALSE()),0)))),0)</f>
        <v>0</v>
      </c>
      <c r="J252" s="252" t="str">
        <f t="shared" si="9"/>
        <v/>
      </c>
      <c r="K252" s="253"/>
      <c r="L252" s="253"/>
      <c r="M252" s="253"/>
      <c r="N252" s="328"/>
    </row>
    <row r="253" spans="1:14" ht="20.100000000000001" customHeight="1">
      <c r="A253" s="327" t="str">
        <f>IF(AND($B253="",$C253=""),"",MAX($A$3:A252)+1)</f>
        <v/>
      </c>
      <c r="B253" s="262"/>
      <c r="C253" s="253"/>
      <c r="D253" s="249" t="str">
        <f>IFERROR(IF($E253="Inventory",VLOOKUP($C253,Inventory!$B:$I,2,FALSE()),IF($E253="Non Inventory",VLOOKUP($C253,'Non Inventory'!$B:$I,2,FALSE()),IF($E253="Services",VLOOKUP($C253,Services!$B:$I,2,FALSE()),IF($E253="Patty Cash",VLOOKUP($C253,'Patty Cash'!$B:$J,2,FALSE()),"")))),"")</f>
        <v/>
      </c>
      <c r="E253" s="254"/>
      <c r="F253" s="263" t="str">
        <f>IFERROR(IF($E253="Inventory",VLOOKUP($C253,Inventory!$B:$I,3,FALSE()),IF($E253="Non Inventory",VLOOKUP($C253,'Non Inventory'!$B:$I,3,FALSE()),IF($E253="Services",VLOOKUP($C253,Services!$B:$I,3,FALSE()),IF($E253="Patty Cash",VLOOKUP($C253,'Patty Cash'!$B:$J,3,FALSE()),"")))),"")</f>
        <v/>
      </c>
      <c r="G253" s="374"/>
      <c r="H253" s="374" t="str">
        <f t="shared" si="8"/>
        <v/>
      </c>
      <c r="I253" s="252">
        <f>IFERROR(IF($E253="Inventory",VLOOKUP($C253,Inventory!$B:$I,8,FALSE()),IF($E253="Non Inventory",VLOOKUP($C253,'Non Inventory'!$B:$I,8,FALSE()),IF($E253="Services",VLOOKUP($C253,Services!$B:$I,8,FALSE()),IF($E253="Patty Cash",VLOOKUP($C253,'Patty Cash'!$B:$J,8,FALSE()),0)))),0)</f>
        <v>0</v>
      </c>
      <c r="J253" s="252" t="str">
        <f t="shared" si="9"/>
        <v/>
      </c>
      <c r="K253" s="253"/>
      <c r="L253" s="253"/>
      <c r="M253" s="253"/>
      <c r="N253" s="328"/>
    </row>
    <row r="254" spans="1:14" ht="20.100000000000001" customHeight="1">
      <c r="A254" s="327" t="str">
        <f>IF(AND($B254="",$C254=""),"",MAX($A$3:A253)+1)</f>
        <v/>
      </c>
      <c r="B254" s="262"/>
      <c r="C254" s="253"/>
      <c r="D254" s="249" t="str">
        <f>IFERROR(IF($E254="Inventory",VLOOKUP($C254,Inventory!$B:$I,2,FALSE()),IF($E254="Non Inventory",VLOOKUP($C254,'Non Inventory'!$B:$I,2,FALSE()),IF($E254="Services",VLOOKUP($C254,Services!$B:$I,2,FALSE()),IF($E254="Patty Cash",VLOOKUP($C254,'Patty Cash'!$B:$J,2,FALSE()),"")))),"")</f>
        <v/>
      </c>
      <c r="E254" s="254"/>
      <c r="F254" s="263" t="str">
        <f>IFERROR(IF($E254="Inventory",VLOOKUP($C254,Inventory!$B:$I,3,FALSE()),IF($E254="Non Inventory",VLOOKUP($C254,'Non Inventory'!$B:$I,3,FALSE()),IF($E254="Services",VLOOKUP($C254,Services!$B:$I,3,FALSE()),IF($E254="Patty Cash",VLOOKUP($C254,'Patty Cash'!$B:$J,3,FALSE()),"")))),"")</f>
        <v/>
      </c>
      <c r="G254" s="374"/>
      <c r="H254" s="374" t="str">
        <f t="shared" si="8"/>
        <v/>
      </c>
      <c r="I254" s="252">
        <f>IFERROR(IF($E254="Inventory",VLOOKUP($C254,Inventory!$B:$I,8,FALSE()),IF($E254="Non Inventory",VLOOKUP($C254,'Non Inventory'!$B:$I,8,FALSE()),IF($E254="Services",VLOOKUP($C254,Services!$B:$I,8,FALSE()),IF($E254="Patty Cash",VLOOKUP($C254,'Patty Cash'!$B:$J,8,FALSE()),0)))),0)</f>
        <v>0</v>
      </c>
      <c r="J254" s="252" t="str">
        <f t="shared" si="9"/>
        <v/>
      </c>
      <c r="K254" s="253"/>
      <c r="L254" s="253"/>
      <c r="M254" s="253"/>
      <c r="N254" s="328"/>
    </row>
    <row r="255" spans="1:14" ht="20.100000000000001" customHeight="1">
      <c r="A255" s="327" t="str">
        <f>IF(AND($B255="",$C255=""),"",MAX($A$3:A254)+1)</f>
        <v/>
      </c>
      <c r="B255" s="262"/>
      <c r="C255" s="253"/>
      <c r="D255" s="249" t="str">
        <f>IFERROR(IF($E255="Inventory",VLOOKUP($C255,Inventory!$B:$I,2,FALSE()),IF($E255="Non Inventory",VLOOKUP($C255,'Non Inventory'!$B:$I,2,FALSE()),IF($E255="Services",VLOOKUP($C255,Services!$B:$I,2,FALSE()),IF($E255="Patty Cash",VLOOKUP($C255,'Patty Cash'!$B:$J,2,FALSE()),"")))),"")</f>
        <v/>
      </c>
      <c r="E255" s="254"/>
      <c r="F255" s="263" t="str">
        <f>IFERROR(IF($E255="Inventory",VLOOKUP($C255,Inventory!$B:$I,3,FALSE()),IF($E255="Non Inventory",VLOOKUP($C255,'Non Inventory'!$B:$I,3,FALSE()),IF($E255="Services",VLOOKUP($C255,Services!$B:$I,3,FALSE()),IF($E255="Patty Cash",VLOOKUP($C255,'Patty Cash'!$B:$J,3,FALSE()),"")))),"")</f>
        <v/>
      </c>
      <c r="G255" s="374"/>
      <c r="H255" s="374" t="str">
        <f t="shared" si="8"/>
        <v/>
      </c>
      <c r="I255" s="252">
        <f>IFERROR(IF($E255="Inventory",VLOOKUP($C255,Inventory!$B:$I,8,FALSE()),IF($E255="Non Inventory",VLOOKUP($C255,'Non Inventory'!$B:$I,8,FALSE()),IF($E255="Services",VLOOKUP($C255,Services!$B:$I,8,FALSE()),IF($E255="Patty Cash",VLOOKUP($C255,'Patty Cash'!$B:$J,8,FALSE()),0)))),0)</f>
        <v>0</v>
      </c>
      <c r="J255" s="252" t="str">
        <f t="shared" si="9"/>
        <v/>
      </c>
      <c r="K255" s="253"/>
      <c r="L255" s="253"/>
      <c r="M255" s="253"/>
      <c r="N255" s="328"/>
    </row>
    <row r="256" spans="1:14" ht="20.100000000000001" customHeight="1">
      <c r="A256" s="327" t="str">
        <f>IF(AND($B256="",$C256=""),"",MAX($A$3:A255)+1)</f>
        <v/>
      </c>
      <c r="B256" s="262"/>
      <c r="C256" s="253"/>
      <c r="D256" s="249" t="str">
        <f>IFERROR(IF($E256="Inventory",VLOOKUP($C256,Inventory!$B:$I,2,FALSE()),IF($E256="Non Inventory",VLOOKUP($C256,'Non Inventory'!$B:$I,2,FALSE()),IF($E256="Services",VLOOKUP($C256,Services!$B:$I,2,FALSE()),IF($E256="Patty Cash",VLOOKUP($C256,'Patty Cash'!$B:$J,2,FALSE()),"")))),"")</f>
        <v/>
      </c>
      <c r="E256" s="254"/>
      <c r="F256" s="263" t="str">
        <f>IFERROR(IF($E256="Inventory",VLOOKUP($C256,Inventory!$B:$I,3,FALSE()),IF($E256="Non Inventory",VLOOKUP($C256,'Non Inventory'!$B:$I,3,FALSE()),IF($E256="Services",VLOOKUP($C256,Services!$B:$I,3,FALSE()),IF($E256="Patty Cash",VLOOKUP($C256,'Patty Cash'!$B:$J,3,FALSE()),"")))),"")</f>
        <v/>
      </c>
      <c r="G256" s="374"/>
      <c r="H256" s="374" t="str">
        <f t="shared" si="8"/>
        <v/>
      </c>
      <c r="I256" s="252">
        <f>IFERROR(IF($E256="Inventory",VLOOKUP($C256,Inventory!$B:$I,8,FALSE()),IF($E256="Non Inventory",VLOOKUP($C256,'Non Inventory'!$B:$I,8,FALSE()),IF($E256="Services",VLOOKUP($C256,Services!$B:$I,8,FALSE()),IF($E256="Patty Cash",VLOOKUP($C256,'Patty Cash'!$B:$J,8,FALSE()),0)))),0)</f>
        <v>0</v>
      </c>
      <c r="J256" s="252" t="str">
        <f t="shared" si="9"/>
        <v/>
      </c>
      <c r="K256" s="253"/>
      <c r="L256" s="253"/>
      <c r="M256" s="253"/>
      <c r="N256" s="328"/>
    </row>
    <row r="257" spans="1:14" ht="20.100000000000001" customHeight="1">
      <c r="A257" s="327" t="str">
        <f>IF(AND($B257="",$C257=""),"",MAX($A$3:A256)+1)</f>
        <v/>
      </c>
      <c r="B257" s="262"/>
      <c r="C257" s="253"/>
      <c r="D257" s="249" t="str">
        <f>IFERROR(IF($E257="Inventory",VLOOKUP($C257,Inventory!$B:$I,2,FALSE()),IF($E257="Non Inventory",VLOOKUP($C257,'Non Inventory'!$B:$I,2,FALSE()),IF($E257="Services",VLOOKUP($C257,Services!$B:$I,2,FALSE()),IF($E257="Patty Cash",VLOOKUP($C257,'Patty Cash'!$B:$J,2,FALSE()),"")))),"")</f>
        <v/>
      </c>
      <c r="E257" s="254"/>
      <c r="F257" s="263" t="str">
        <f>IFERROR(IF($E257="Inventory",VLOOKUP($C257,Inventory!$B:$I,3,FALSE()),IF($E257="Non Inventory",VLOOKUP($C257,'Non Inventory'!$B:$I,3,FALSE()),IF($E257="Services",VLOOKUP($C257,Services!$B:$I,3,FALSE()),IF($E257="Patty Cash",VLOOKUP($C257,'Patty Cash'!$B:$J,3,FALSE()),"")))),"")</f>
        <v/>
      </c>
      <c r="G257" s="374"/>
      <c r="H257" s="374" t="str">
        <f t="shared" si="8"/>
        <v/>
      </c>
      <c r="I257" s="252">
        <f>IFERROR(IF($E257="Inventory",VLOOKUP($C257,Inventory!$B:$I,8,FALSE()),IF($E257="Non Inventory",VLOOKUP($C257,'Non Inventory'!$B:$I,8,FALSE()),IF($E257="Services",VLOOKUP($C257,Services!$B:$I,8,FALSE()),IF($E257="Patty Cash",VLOOKUP($C257,'Patty Cash'!$B:$J,8,FALSE()),0)))),0)</f>
        <v>0</v>
      </c>
      <c r="J257" s="252" t="str">
        <f t="shared" si="9"/>
        <v/>
      </c>
      <c r="K257" s="253"/>
      <c r="L257" s="253"/>
      <c r="M257" s="253"/>
      <c r="N257" s="328"/>
    </row>
    <row r="258" spans="1:14" ht="20.100000000000001" customHeight="1">
      <c r="A258" s="327" t="str">
        <f>IF(AND($B258="",$C258=""),"",MAX($A$3:A257)+1)</f>
        <v/>
      </c>
      <c r="B258" s="262"/>
      <c r="C258" s="253"/>
      <c r="D258" s="249" t="str">
        <f>IFERROR(IF($E258="Inventory",VLOOKUP($C258,Inventory!$B:$I,2,FALSE()),IF($E258="Non Inventory",VLOOKUP($C258,'Non Inventory'!$B:$I,2,FALSE()),IF($E258="Services",VLOOKUP($C258,Services!$B:$I,2,FALSE()),IF($E258="Patty Cash",VLOOKUP($C258,'Patty Cash'!$B:$J,2,FALSE()),"")))),"")</f>
        <v/>
      </c>
      <c r="E258" s="254"/>
      <c r="F258" s="263" t="str">
        <f>IFERROR(IF($E258="Inventory",VLOOKUP($C258,Inventory!$B:$I,3,FALSE()),IF($E258="Non Inventory",VLOOKUP($C258,'Non Inventory'!$B:$I,3,FALSE()),IF($E258="Services",VLOOKUP($C258,Services!$B:$I,3,FALSE()),IF($E258="Patty Cash",VLOOKUP($C258,'Patty Cash'!$B:$J,3,FALSE()),"")))),"")</f>
        <v/>
      </c>
      <c r="G258" s="374"/>
      <c r="H258" s="374" t="str">
        <f t="shared" si="8"/>
        <v/>
      </c>
      <c r="I258" s="252">
        <f>IFERROR(IF($E258="Inventory",VLOOKUP($C258,Inventory!$B:$I,8,FALSE()),IF($E258="Non Inventory",VLOOKUP($C258,'Non Inventory'!$B:$I,8,FALSE()),IF($E258="Services",VLOOKUP($C258,Services!$B:$I,8,FALSE()),IF($E258="Patty Cash",VLOOKUP($C258,'Patty Cash'!$B:$J,8,FALSE()),0)))),0)</f>
        <v>0</v>
      </c>
      <c r="J258" s="252" t="str">
        <f t="shared" si="9"/>
        <v/>
      </c>
      <c r="K258" s="253"/>
      <c r="L258" s="253"/>
      <c r="M258" s="253"/>
      <c r="N258" s="328"/>
    </row>
    <row r="259" spans="1:14" ht="20.100000000000001" customHeight="1">
      <c r="A259" s="327" t="str">
        <f>IF(AND($B259="",$C259=""),"",MAX($A$3:A258)+1)</f>
        <v/>
      </c>
      <c r="B259" s="262"/>
      <c r="C259" s="253"/>
      <c r="D259" s="249" t="str">
        <f>IFERROR(IF($E259="Inventory",VLOOKUP($C259,Inventory!$B:$I,2,FALSE()),IF($E259="Non Inventory",VLOOKUP($C259,'Non Inventory'!$B:$I,2,FALSE()),IF($E259="Services",VLOOKUP($C259,Services!$B:$I,2,FALSE()),IF($E259="Patty Cash",VLOOKUP($C259,'Patty Cash'!$B:$J,2,FALSE()),"")))),"")</f>
        <v/>
      </c>
      <c r="E259" s="254"/>
      <c r="F259" s="263" t="str">
        <f>IFERROR(IF($E259="Inventory",VLOOKUP($C259,Inventory!$B:$I,3,FALSE()),IF($E259="Non Inventory",VLOOKUP($C259,'Non Inventory'!$B:$I,3,FALSE()),IF($E259="Services",VLOOKUP($C259,Services!$B:$I,3,FALSE()),IF($E259="Patty Cash",VLOOKUP($C259,'Patty Cash'!$B:$J,3,FALSE()),"")))),"")</f>
        <v/>
      </c>
      <c r="G259" s="374"/>
      <c r="H259" s="374" t="str">
        <f t="shared" si="8"/>
        <v/>
      </c>
      <c r="I259" s="252">
        <f>IFERROR(IF($E259="Inventory",VLOOKUP($C259,Inventory!$B:$I,8,FALSE()),IF($E259="Non Inventory",VLOOKUP($C259,'Non Inventory'!$B:$I,8,FALSE()),IF($E259="Services",VLOOKUP($C259,Services!$B:$I,8,FALSE()),IF($E259="Patty Cash",VLOOKUP($C259,'Patty Cash'!$B:$J,8,FALSE()),0)))),0)</f>
        <v>0</v>
      </c>
      <c r="J259" s="252" t="str">
        <f t="shared" si="9"/>
        <v/>
      </c>
      <c r="K259" s="253"/>
      <c r="L259" s="253"/>
      <c r="M259" s="253"/>
      <c r="N259" s="328"/>
    </row>
    <row r="260" spans="1:14" ht="20.100000000000001" customHeight="1">
      <c r="A260" s="327" t="str">
        <f>IF(AND($B260="",$C260=""),"",MAX($A$3:A259)+1)</f>
        <v/>
      </c>
      <c r="B260" s="262"/>
      <c r="C260" s="253"/>
      <c r="D260" s="249" t="str">
        <f>IFERROR(IF($E260="Inventory",VLOOKUP($C260,Inventory!$B:$I,2,FALSE()),IF($E260="Non Inventory",VLOOKUP($C260,'Non Inventory'!$B:$I,2,FALSE()),IF($E260="Services",VLOOKUP($C260,Services!$B:$I,2,FALSE()),IF($E260="Patty Cash",VLOOKUP($C260,'Patty Cash'!$B:$J,2,FALSE()),"")))),"")</f>
        <v/>
      </c>
      <c r="E260" s="254"/>
      <c r="F260" s="263" t="str">
        <f>IFERROR(IF($E260="Inventory",VLOOKUP($C260,Inventory!$B:$I,3,FALSE()),IF($E260="Non Inventory",VLOOKUP($C260,'Non Inventory'!$B:$I,3,FALSE()),IF($E260="Services",VLOOKUP($C260,Services!$B:$I,3,FALSE()),IF($E260="Patty Cash",VLOOKUP($C260,'Patty Cash'!$B:$J,3,FALSE()),"")))),"")</f>
        <v/>
      </c>
      <c r="G260" s="374"/>
      <c r="H260" s="374" t="str">
        <f t="shared" si="8"/>
        <v/>
      </c>
      <c r="I260" s="252">
        <f>IFERROR(IF($E260="Inventory",VLOOKUP($C260,Inventory!$B:$I,8,FALSE()),IF($E260="Non Inventory",VLOOKUP($C260,'Non Inventory'!$B:$I,8,FALSE()),IF($E260="Services",VLOOKUP($C260,Services!$B:$I,8,FALSE()),IF($E260="Patty Cash",VLOOKUP($C260,'Patty Cash'!$B:$J,8,FALSE()),0)))),0)</f>
        <v>0</v>
      </c>
      <c r="J260" s="252" t="str">
        <f t="shared" si="9"/>
        <v/>
      </c>
      <c r="K260" s="253"/>
      <c r="L260" s="253"/>
      <c r="M260" s="253"/>
      <c r="N260" s="328"/>
    </row>
    <row r="261" spans="1:14" ht="20.100000000000001" customHeight="1">
      <c r="A261" s="327" t="str">
        <f>IF(AND($B261="",$C261=""),"",MAX($A$3:A260)+1)</f>
        <v/>
      </c>
      <c r="B261" s="262"/>
      <c r="C261" s="253"/>
      <c r="D261" s="249" t="str">
        <f>IFERROR(IF($E261="Inventory",VLOOKUP($C261,Inventory!$B:$I,2,FALSE()),IF($E261="Non Inventory",VLOOKUP($C261,'Non Inventory'!$B:$I,2,FALSE()),IF($E261="Services",VLOOKUP($C261,Services!$B:$I,2,FALSE()),IF($E261="Patty Cash",VLOOKUP($C261,'Patty Cash'!$B:$J,2,FALSE()),"")))),"")</f>
        <v/>
      </c>
      <c r="E261" s="254"/>
      <c r="F261" s="263" t="str">
        <f>IFERROR(IF($E261="Inventory",VLOOKUP($C261,Inventory!$B:$I,3,FALSE()),IF($E261="Non Inventory",VLOOKUP($C261,'Non Inventory'!$B:$I,3,FALSE()),IF($E261="Services",VLOOKUP($C261,Services!$B:$I,3,FALSE()),IF($E261="Patty Cash",VLOOKUP($C261,'Patty Cash'!$B:$J,3,FALSE()),"")))),"")</f>
        <v/>
      </c>
      <c r="G261" s="374"/>
      <c r="H261" s="374" t="str">
        <f t="shared" si="8"/>
        <v/>
      </c>
      <c r="I261" s="252">
        <f>IFERROR(IF($E261="Inventory",VLOOKUP($C261,Inventory!$B:$I,8,FALSE()),IF($E261="Non Inventory",VLOOKUP($C261,'Non Inventory'!$B:$I,8,FALSE()),IF($E261="Services",VLOOKUP($C261,Services!$B:$I,8,FALSE()),IF($E261="Patty Cash",VLOOKUP($C261,'Patty Cash'!$B:$J,8,FALSE()),0)))),0)</f>
        <v>0</v>
      </c>
      <c r="J261" s="252" t="str">
        <f t="shared" si="9"/>
        <v/>
      </c>
      <c r="K261" s="253"/>
      <c r="L261" s="253"/>
      <c r="M261" s="253"/>
      <c r="N261" s="328"/>
    </row>
    <row r="262" spans="1:14" ht="20.100000000000001" customHeight="1">
      <c r="A262" s="327" t="str">
        <f>IF(AND($B262="",$C262=""),"",MAX($A$3:A261)+1)</f>
        <v/>
      </c>
      <c r="B262" s="262"/>
      <c r="C262" s="253"/>
      <c r="D262" s="249" t="str">
        <f>IFERROR(IF($E262="Inventory",VLOOKUP($C262,Inventory!$B:$I,2,FALSE()),IF($E262="Non Inventory",VLOOKUP($C262,'Non Inventory'!$B:$I,2,FALSE()),IF($E262="Services",VLOOKUP($C262,Services!$B:$I,2,FALSE()),IF($E262="Patty Cash",VLOOKUP($C262,'Patty Cash'!$B:$J,2,FALSE()),"")))),"")</f>
        <v/>
      </c>
      <c r="E262" s="254"/>
      <c r="F262" s="263" t="str">
        <f>IFERROR(IF($E262="Inventory",VLOOKUP($C262,Inventory!$B:$I,3,FALSE()),IF($E262="Non Inventory",VLOOKUP($C262,'Non Inventory'!$B:$I,3,FALSE()),IF($E262="Services",VLOOKUP($C262,Services!$B:$I,3,FALSE()),IF($E262="Patty Cash",VLOOKUP($C262,'Patty Cash'!$B:$J,3,FALSE()),"")))),"")</f>
        <v/>
      </c>
      <c r="G262" s="374"/>
      <c r="H262" s="374" t="str">
        <f t="shared" si="8"/>
        <v/>
      </c>
      <c r="I262" s="252">
        <f>IFERROR(IF($E262="Inventory",VLOOKUP($C262,Inventory!$B:$I,8,FALSE()),IF($E262="Non Inventory",VLOOKUP($C262,'Non Inventory'!$B:$I,8,FALSE()),IF($E262="Services",VLOOKUP($C262,Services!$B:$I,8,FALSE()),IF($E262="Patty Cash",VLOOKUP($C262,'Patty Cash'!$B:$J,8,FALSE()),0)))),0)</f>
        <v>0</v>
      </c>
      <c r="J262" s="252" t="str">
        <f t="shared" si="9"/>
        <v/>
      </c>
      <c r="K262" s="253"/>
      <c r="L262" s="253"/>
      <c r="M262" s="253"/>
      <c r="N262" s="328"/>
    </row>
    <row r="263" spans="1:14" ht="20.100000000000001" customHeight="1">
      <c r="A263" s="327" t="str">
        <f>IF(AND($B263="",$C263=""),"",MAX($A$3:A262)+1)</f>
        <v/>
      </c>
      <c r="B263" s="262"/>
      <c r="C263" s="253"/>
      <c r="D263" s="249" t="str">
        <f>IFERROR(IF($E263="Inventory",VLOOKUP($C263,Inventory!$B:$I,2,FALSE()),IF($E263="Non Inventory",VLOOKUP($C263,'Non Inventory'!$B:$I,2,FALSE()),IF($E263="Services",VLOOKUP($C263,Services!$B:$I,2,FALSE()),IF($E263="Patty Cash",VLOOKUP($C263,'Patty Cash'!$B:$J,2,FALSE()),"")))),"")</f>
        <v/>
      </c>
      <c r="E263" s="254"/>
      <c r="F263" s="263" t="str">
        <f>IFERROR(IF($E263="Inventory",VLOOKUP($C263,Inventory!$B:$I,3,FALSE()),IF($E263="Non Inventory",VLOOKUP($C263,'Non Inventory'!$B:$I,3,FALSE()),IF($E263="Services",VLOOKUP($C263,Services!$B:$I,3,FALSE()),IF($E263="Patty Cash",VLOOKUP($C263,'Patty Cash'!$B:$J,3,FALSE()),"")))),"")</f>
        <v/>
      </c>
      <c r="G263" s="374"/>
      <c r="H263" s="374" t="str">
        <f t="shared" si="8"/>
        <v/>
      </c>
      <c r="I263" s="252">
        <f>IFERROR(IF($E263="Inventory",VLOOKUP($C263,Inventory!$B:$I,8,FALSE()),IF($E263="Non Inventory",VLOOKUP($C263,'Non Inventory'!$B:$I,8,FALSE()),IF($E263="Services",VLOOKUP($C263,Services!$B:$I,8,FALSE()),IF($E263="Patty Cash",VLOOKUP($C263,'Patty Cash'!$B:$J,8,FALSE()),0)))),0)</f>
        <v>0</v>
      </c>
      <c r="J263" s="252" t="str">
        <f t="shared" si="9"/>
        <v/>
      </c>
      <c r="K263" s="253"/>
      <c r="L263" s="253"/>
      <c r="M263" s="253"/>
      <c r="N263" s="328"/>
    </row>
    <row r="264" spans="1:14" ht="20.100000000000001" customHeight="1">
      <c r="A264" s="327" t="str">
        <f>IF(AND($B264="",$C264=""),"",MAX($A$3:A263)+1)</f>
        <v/>
      </c>
      <c r="B264" s="262"/>
      <c r="C264" s="253"/>
      <c r="D264" s="249" t="str">
        <f>IFERROR(IF($E264="Inventory",VLOOKUP($C264,Inventory!$B:$I,2,FALSE()),IF($E264="Non Inventory",VLOOKUP($C264,'Non Inventory'!$B:$I,2,FALSE()),IF($E264="Services",VLOOKUP($C264,Services!$B:$I,2,FALSE()),IF($E264="Patty Cash",VLOOKUP($C264,'Patty Cash'!$B:$J,2,FALSE()),"")))),"")</f>
        <v/>
      </c>
      <c r="E264" s="254"/>
      <c r="F264" s="263" t="str">
        <f>IFERROR(IF($E264="Inventory",VLOOKUP($C264,Inventory!$B:$I,3,FALSE()),IF($E264="Non Inventory",VLOOKUP($C264,'Non Inventory'!$B:$I,3,FALSE()),IF($E264="Services",VLOOKUP($C264,Services!$B:$I,3,FALSE()),IF($E264="Patty Cash",VLOOKUP($C264,'Patty Cash'!$B:$J,3,FALSE()),"")))),"")</f>
        <v/>
      </c>
      <c r="G264" s="374"/>
      <c r="H264" s="374" t="str">
        <f t="shared" si="8"/>
        <v/>
      </c>
      <c r="I264" s="252">
        <f>IFERROR(IF($E264="Inventory",VLOOKUP($C264,Inventory!$B:$I,8,FALSE()),IF($E264="Non Inventory",VLOOKUP($C264,'Non Inventory'!$B:$I,8,FALSE()),IF($E264="Services",VLOOKUP($C264,Services!$B:$I,8,FALSE()),IF($E264="Patty Cash",VLOOKUP($C264,'Patty Cash'!$B:$J,8,FALSE()),0)))),0)</f>
        <v>0</v>
      </c>
      <c r="J264" s="252" t="str">
        <f t="shared" si="9"/>
        <v/>
      </c>
      <c r="K264" s="253"/>
      <c r="L264" s="253"/>
      <c r="M264" s="253"/>
      <c r="N264" s="328"/>
    </row>
    <row r="265" spans="1:14" ht="20.100000000000001" customHeight="1">
      <c r="A265" s="327" t="str">
        <f>IF(AND($B265="",$C265=""),"",MAX($A$3:A264)+1)</f>
        <v/>
      </c>
      <c r="B265" s="262"/>
      <c r="C265" s="253"/>
      <c r="D265" s="249" t="str">
        <f>IFERROR(IF($E265="Inventory",VLOOKUP($C265,Inventory!$B:$I,2,FALSE()),IF($E265="Non Inventory",VLOOKUP($C265,'Non Inventory'!$B:$I,2,FALSE()),IF($E265="Services",VLOOKUP($C265,Services!$B:$I,2,FALSE()),IF($E265="Patty Cash",VLOOKUP($C265,'Patty Cash'!$B:$J,2,FALSE()),"")))),"")</f>
        <v/>
      </c>
      <c r="E265" s="254"/>
      <c r="F265" s="263" t="str">
        <f>IFERROR(IF($E265="Inventory",VLOOKUP($C265,Inventory!$B:$I,3,FALSE()),IF($E265="Non Inventory",VLOOKUP($C265,'Non Inventory'!$B:$I,3,FALSE()),IF($E265="Services",VLOOKUP($C265,Services!$B:$I,3,FALSE()),IF($E265="Patty Cash",VLOOKUP($C265,'Patty Cash'!$B:$J,3,FALSE()),"")))),"")</f>
        <v/>
      </c>
      <c r="G265" s="374"/>
      <c r="H265" s="374" t="str">
        <f t="shared" si="8"/>
        <v/>
      </c>
      <c r="I265" s="252">
        <f>IFERROR(IF($E265="Inventory",VLOOKUP($C265,Inventory!$B:$I,8,FALSE()),IF($E265="Non Inventory",VLOOKUP($C265,'Non Inventory'!$B:$I,8,FALSE()),IF($E265="Services",VLOOKUP($C265,Services!$B:$I,8,FALSE()),IF($E265="Patty Cash",VLOOKUP($C265,'Patty Cash'!$B:$J,8,FALSE()),0)))),0)</f>
        <v>0</v>
      </c>
      <c r="J265" s="252" t="str">
        <f t="shared" si="9"/>
        <v/>
      </c>
      <c r="K265" s="253"/>
      <c r="L265" s="253"/>
      <c r="M265" s="253"/>
      <c r="N265" s="328"/>
    </row>
    <row r="266" spans="1:14" ht="20.100000000000001" customHeight="1">
      <c r="A266" s="327" t="str">
        <f>IF(AND($B266="",$C266=""),"",MAX($A$3:A265)+1)</f>
        <v/>
      </c>
      <c r="B266" s="262"/>
      <c r="C266" s="253"/>
      <c r="D266" s="249" t="str">
        <f>IFERROR(IF($E266="Inventory",VLOOKUP($C266,Inventory!$B:$I,2,FALSE()),IF($E266="Non Inventory",VLOOKUP($C266,'Non Inventory'!$B:$I,2,FALSE()),IF($E266="Services",VLOOKUP($C266,Services!$B:$I,2,FALSE()),IF($E266="Patty Cash",VLOOKUP($C266,'Patty Cash'!$B:$J,2,FALSE()),"")))),"")</f>
        <v/>
      </c>
      <c r="E266" s="254"/>
      <c r="F266" s="263" t="str">
        <f>IFERROR(IF($E266="Inventory",VLOOKUP($C266,Inventory!$B:$I,3,FALSE()),IF($E266="Non Inventory",VLOOKUP($C266,'Non Inventory'!$B:$I,3,FALSE()),IF($E266="Services",VLOOKUP($C266,Services!$B:$I,3,FALSE()),IF($E266="Patty Cash",VLOOKUP($C266,'Patty Cash'!$B:$J,3,FALSE()),"")))),"")</f>
        <v/>
      </c>
      <c r="G266" s="374"/>
      <c r="H266" s="374" t="str">
        <f t="shared" si="8"/>
        <v/>
      </c>
      <c r="I266" s="252">
        <f>IFERROR(IF($E266="Inventory",VLOOKUP($C266,Inventory!$B:$I,8,FALSE()),IF($E266="Non Inventory",VLOOKUP($C266,'Non Inventory'!$B:$I,8,FALSE()),IF($E266="Services",VLOOKUP($C266,Services!$B:$I,8,FALSE()),IF($E266="Patty Cash",VLOOKUP($C266,'Patty Cash'!$B:$J,8,FALSE()),0)))),0)</f>
        <v>0</v>
      </c>
      <c r="J266" s="252" t="str">
        <f t="shared" si="9"/>
        <v/>
      </c>
      <c r="K266" s="253"/>
      <c r="L266" s="253"/>
      <c r="M266" s="253"/>
      <c r="N266" s="328"/>
    </row>
    <row r="267" spans="1:14" ht="20.100000000000001" customHeight="1">
      <c r="A267" s="327" t="str">
        <f>IF(AND($B267="",$C267=""),"",MAX($A$3:A266)+1)</f>
        <v/>
      </c>
      <c r="B267" s="262"/>
      <c r="C267" s="253"/>
      <c r="D267" s="249" t="str">
        <f>IFERROR(IF($E267="Inventory",VLOOKUP($C267,Inventory!$B:$I,2,FALSE()),IF($E267="Non Inventory",VLOOKUP($C267,'Non Inventory'!$B:$I,2,FALSE()),IF($E267="Services",VLOOKUP($C267,Services!$B:$I,2,FALSE()),IF($E267="Patty Cash",VLOOKUP($C267,'Patty Cash'!$B:$J,2,FALSE()),"")))),"")</f>
        <v/>
      </c>
      <c r="E267" s="254"/>
      <c r="F267" s="263" t="str">
        <f>IFERROR(IF($E267="Inventory",VLOOKUP($C267,Inventory!$B:$I,3,FALSE()),IF($E267="Non Inventory",VLOOKUP($C267,'Non Inventory'!$B:$I,3,FALSE()),IF($E267="Services",VLOOKUP($C267,Services!$B:$I,3,FALSE()),IF($E267="Patty Cash",VLOOKUP($C267,'Patty Cash'!$B:$J,3,FALSE()),"")))),"")</f>
        <v/>
      </c>
      <c r="G267" s="374"/>
      <c r="H267" s="374" t="str">
        <f t="shared" si="8"/>
        <v/>
      </c>
      <c r="I267" s="252">
        <f>IFERROR(IF($E267="Inventory",VLOOKUP($C267,Inventory!$B:$I,8,FALSE()),IF($E267="Non Inventory",VLOOKUP($C267,'Non Inventory'!$B:$I,8,FALSE()),IF($E267="Services",VLOOKUP($C267,Services!$B:$I,8,FALSE()),IF($E267="Patty Cash",VLOOKUP($C267,'Patty Cash'!$B:$J,8,FALSE()),0)))),0)</f>
        <v>0</v>
      </c>
      <c r="J267" s="252" t="str">
        <f t="shared" si="9"/>
        <v/>
      </c>
      <c r="K267" s="253"/>
      <c r="L267" s="253"/>
      <c r="M267" s="253"/>
      <c r="N267" s="328"/>
    </row>
    <row r="268" spans="1:14" ht="20.100000000000001" customHeight="1">
      <c r="A268" s="327" t="str">
        <f>IF(AND($B268="",$C268=""),"",MAX($A$3:A267)+1)</f>
        <v/>
      </c>
      <c r="B268" s="262"/>
      <c r="C268" s="253"/>
      <c r="D268" s="249" t="str">
        <f>IFERROR(IF($E268="Inventory",VLOOKUP($C268,Inventory!$B:$I,2,FALSE()),IF($E268="Non Inventory",VLOOKUP($C268,'Non Inventory'!$B:$I,2,FALSE()),IF($E268="Services",VLOOKUP($C268,Services!$B:$I,2,FALSE()),IF($E268="Patty Cash",VLOOKUP($C268,'Patty Cash'!$B:$J,2,FALSE()),"")))),"")</f>
        <v/>
      </c>
      <c r="E268" s="254"/>
      <c r="F268" s="263" t="str">
        <f>IFERROR(IF($E268="Inventory",VLOOKUP($C268,Inventory!$B:$I,3,FALSE()),IF($E268="Non Inventory",VLOOKUP($C268,'Non Inventory'!$B:$I,3,FALSE()),IF($E268="Services",VLOOKUP($C268,Services!$B:$I,3,FALSE()),IF($E268="Patty Cash",VLOOKUP($C268,'Patty Cash'!$B:$J,3,FALSE()),"")))),"")</f>
        <v/>
      </c>
      <c r="G268" s="374"/>
      <c r="H268" s="374" t="str">
        <f t="shared" si="8"/>
        <v/>
      </c>
      <c r="I268" s="252">
        <f>IFERROR(IF($E268="Inventory",VLOOKUP($C268,Inventory!$B:$I,8,FALSE()),IF($E268="Non Inventory",VLOOKUP($C268,'Non Inventory'!$B:$I,8,FALSE()),IF($E268="Services",VLOOKUP($C268,Services!$B:$I,8,FALSE()),IF($E268="Patty Cash",VLOOKUP($C268,'Patty Cash'!$B:$J,8,FALSE()),0)))),0)</f>
        <v>0</v>
      </c>
      <c r="J268" s="252" t="str">
        <f t="shared" si="9"/>
        <v/>
      </c>
      <c r="K268" s="253"/>
      <c r="L268" s="253"/>
      <c r="M268" s="253"/>
      <c r="N268" s="328"/>
    </row>
    <row r="269" spans="1:14" ht="20.100000000000001" customHeight="1">
      <c r="A269" s="327" t="str">
        <f>IF(AND($B269="",$C269=""),"",MAX($A$3:A268)+1)</f>
        <v/>
      </c>
      <c r="B269" s="262"/>
      <c r="C269" s="253"/>
      <c r="D269" s="249" t="str">
        <f>IFERROR(IF($E269="Inventory",VLOOKUP($C269,Inventory!$B:$I,2,FALSE()),IF($E269="Non Inventory",VLOOKUP($C269,'Non Inventory'!$B:$I,2,FALSE()),IF($E269="Services",VLOOKUP($C269,Services!$B:$I,2,FALSE()),IF($E269="Patty Cash",VLOOKUP($C269,'Patty Cash'!$B:$J,2,FALSE()),"")))),"")</f>
        <v/>
      </c>
      <c r="E269" s="254"/>
      <c r="F269" s="263" t="str">
        <f>IFERROR(IF($E269="Inventory",VLOOKUP($C269,Inventory!$B:$I,3,FALSE()),IF($E269="Non Inventory",VLOOKUP($C269,'Non Inventory'!$B:$I,3,FALSE()),IF($E269="Services",VLOOKUP($C269,Services!$B:$I,3,FALSE()),IF($E269="Patty Cash",VLOOKUP($C269,'Patty Cash'!$B:$J,3,FALSE()),"")))),"")</f>
        <v/>
      </c>
      <c r="G269" s="374"/>
      <c r="H269" s="374" t="str">
        <f t="shared" si="8"/>
        <v/>
      </c>
      <c r="I269" s="252">
        <f>IFERROR(IF($E269="Inventory",VLOOKUP($C269,Inventory!$B:$I,8,FALSE()),IF($E269="Non Inventory",VLOOKUP($C269,'Non Inventory'!$B:$I,8,FALSE()),IF($E269="Services",VLOOKUP($C269,Services!$B:$I,8,FALSE()),IF($E269="Patty Cash",VLOOKUP($C269,'Patty Cash'!$B:$J,8,FALSE()),0)))),0)</f>
        <v>0</v>
      </c>
      <c r="J269" s="252" t="str">
        <f t="shared" si="9"/>
        <v/>
      </c>
      <c r="K269" s="253"/>
      <c r="L269" s="253"/>
      <c r="M269" s="253"/>
      <c r="N269" s="328"/>
    </row>
    <row r="270" spans="1:14" ht="20.100000000000001" customHeight="1">
      <c r="A270" s="327" t="str">
        <f>IF(AND($B270="",$C270=""),"",MAX($A$3:A269)+1)</f>
        <v/>
      </c>
      <c r="B270" s="262"/>
      <c r="C270" s="253"/>
      <c r="D270" s="249" t="str">
        <f>IFERROR(IF($E270="Inventory",VLOOKUP($C270,Inventory!$B:$I,2,FALSE()),IF($E270="Non Inventory",VLOOKUP($C270,'Non Inventory'!$B:$I,2,FALSE()),IF($E270="Services",VLOOKUP($C270,Services!$B:$I,2,FALSE()),IF($E270="Patty Cash",VLOOKUP($C270,'Patty Cash'!$B:$J,2,FALSE()),"")))),"")</f>
        <v/>
      </c>
      <c r="E270" s="254"/>
      <c r="F270" s="263" t="str">
        <f>IFERROR(IF($E270="Inventory",VLOOKUP($C270,Inventory!$B:$I,3,FALSE()),IF($E270="Non Inventory",VLOOKUP($C270,'Non Inventory'!$B:$I,3,FALSE()),IF($E270="Services",VLOOKUP($C270,Services!$B:$I,3,FALSE()),IF($E270="Patty Cash",VLOOKUP($C270,'Patty Cash'!$B:$J,3,FALSE()),"")))),"")</f>
        <v/>
      </c>
      <c r="G270" s="374"/>
      <c r="H270" s="374" t="str">
        <f t="shared" si="8"/>
        <v/>
      </c>
      <c r="I270" s="252">
        <f>IFERROR(IF($E270="Inventory",VLOOKUP($C270,Inventory!$B:$I,8,FALSE()),IF($E270="Non Inventory",VLOOKUP($C270,'Non Inventory'!$B:$I,8,FALSE()),IF($E270="Services",VLOOKUP($C270,Services!$B:$I,8,FALSE()),IF($E270="Patty Cash",VLOOKUP($C270,'Patty Cash'!$B:$J,8,FALSE()),0)))),0)</f>
        <v>0</v>
      </c>
      <c r="J270" s="252" t="str">
        <f t="shared" si="9"/>
        <v/>
      </c>
      <c r="K270" s="253"/>
      <c r="L270" s="253"/>
      <c r="M270" s="253"/>
      <c r="N270" s="328"/>
    </row>
    <row r="271" spans="1:14" ht="20.100000000000001" customHeight="1">
      <c r="A271" s="327" t="str">
        <f>IF(AND($B271="",$C271=""),"",MAX($A$3:A270)+1)</f>
        <v/>
      </c>
      <c r="B271" s="262"/>
      <c r="C271" s="253"/>
      <c r="D271" s="249" t="str">
        <f>IFERROR(IF($E271="Inventory",VLOOKUP($C271,Inventory!$B:$I,2,FALSE()),IF($E271="Non Inventory",VLOOKUP($C271,'Non Inventory'!$B:$I,2,FALSE()),IF($E271="Services",VLOOKUP($C271,Services!$B:$I,2,FALSE()),IF($E271="Patty Cash",VLOOKUP($C271,'Patty Cash'!$B:$J,2,FALSE()),"")))),"")</f>
        <v/>
      </c>
      <c r="E271" s="254"/>
      <c r="F271" s="263" t="str">
        <f>IFERROR(IF($E271="Inventory",VLOOKUP($C271,Inventory!$B:$I,3,FALSE()),IF($E271="Non Inventory",VLOOKUP($C271,'Non Inventory'!$B:$I,3,FALSE()),IF($E271="Services",VLOOKUP($C271,Services!$B:$I,3,FALSE()),IF($E271="Patty Cash",VLOOKUP($C271,'Patty Cash'!$B:$J,3,FALSE()),"")))),"")</f>
        <v/>
      </c>
      <c r="G271" s="374"/>
      <c r="H271" s="374" t="str">
        <f t="shared" si="8"/>
        <v/>
      </c>
      <c r="I271" s="252">
        <f>IFERROR(IF($E271="Inventory",VLOOKUP($C271,Inventory!$B:$I,8,FALSE()),IF($E271="Non Inventory",VLOOKUP($C271,'Non Inventory'!$B:$I,8,FALSE()),IF($E271="Services",VLOOKUP($C271,Services!$B:$I,8,FALSE()),IF($E271="Patty Cash",VLOOKUP($C271,'Patty Cash'!$B:$J,8,FALSE()),0)))),0)</f>
        <v>0</v>
      </c>
      <c r="J271" s="252" t="str">
        <f t="shared" si="9"/>
        <v/>
      </c>
      <c r="K271" s="253"/>
      <c r="L271" s="253"/>
      <c r="M271" s="253"/>
      <c r="N271" s="328"/>
    </row>
    <row r="272" spans="1:14" ht="20.100000000000001" customHeight="1">
      <c r="A272" s="327" t="str">
        <f>IF(AND($B272="",$C272=""),"",MAX($A$3:A271)+1)</f>
        <v/>
      </c>
      <c r="B272" s="262"/>
      <c r="C272" s="253"/>
      <c r="D272" s="249" t="str">
        <f>IFERROR(IF($E272="Inventory",VLOOKUP($C272,Inventory!$B:$I,2,FALSE()),IF($E272="Non Inventory",VLOOKUP($C272,'Non Inventory'!$B:$I,2,FALSE()),IF($E272="Services",VLOOKUP($C272,Services!$B:$I,2,FALSE()),IF($E272="Patty Cash",VLOOKUP($C272,'Patty Cash'!$B:$J,2,FALSE()),"")))),"")</f>
        <v/>
      </c>
      <c r="E272" s="254"/>
      <c r="F272" s="263" t="str">
        <f>IFERROR(IF($E272="Inventory",VLOOKUP($C272,Inventory!$B:$I,3,FALSE()),IF($E272="Non Inventory",VLOOKUP($C272,'Non Inventory'!$B:$I,3,FALSE()),IF($E272="Services",VLOOKUP($C272,Services!$B:$I,3,FALSE()),IF($E272="Patty Cash",VLOOKUP($C272,'Patty Cash'!$B:$J,3,FALSE()),"")))),"")</f>
        <v/>
      </c>
      <c r="G272" s="374"/>
      <c r="H272" s="374" t="str">
        <f t="shared" si="8"/>
        <v/>
      </c>
      <c r="I272" s="252">
        <f>IFERROR(IF($E272="Inventory",VLOOKUP($C272,Inventory!$B:$I,8,FALSE()),IF($E272="Non Inventory",VLOOKUP($C272,'Non Inventory'!$B:$I,8,FALSE()),IF($E272="Services",VLOOKUP($C272,Services!$B:$I,8,FALSE()),IF($E272="Patty Cash",VLOOKUP($C272,'Patty Cash'!$B:$J,8,FALSE()),0)))),0)</f>
        <v>0</v>
      </c>
      <c r="J272" s="252" t="str">
        <f t="shared" si="9"/>
        <v/>
      </c>
      <c r="K272" s="253"/>
      <c r="L272" s="253"/>
      <c r="M272" s="253"/>
      <c r="N272" s="328"/>
    </row>
    <row r="273" spans="1:14" ht="20.100000000000001" customHeight="1">
      <c r="A273" s="327" t="str">
        <f>IF(AND($B273="",$C273=""),"",MAX($A$3:A272)+1)</f>
        <v/>
      </c>
      <c r="B273" s="262"/>
      <c r="C273" s="253"/>
      <c r="D273" s="249" t="str">
        <f>IFERROR(IF($E273="Inventory",VLOOKUP($C273,Inventory!$B:$I,2,FALSE()),IF($E273="Non Inventory",VLOOKUP($C273,'Non Inventory'!$B:$I,2,FALSE()),IF($E273="Services",VLOOKUP($C273,Services!$B:$I,2,FALSE()),IF($E273="Patty Cash",VLOOKUP($C273,'Patty Cash'!$B:$J,2,FALSE()),"")))),"")</f>
        <v/>
      </c>
      <c r="E273" s="254"/>
      <c r="F273" s="263" t="str">
        <f>IFERROR(IF($E273="Inventory",VLOOKUP($C273,Inventory!$B:$I,3,FALSE()),IF($E273="Non Inventory",VLOOKUP($C273,'Non Inventory'!$B:$I,3,FALSE()),IF($E273="Services",VLOOKUP($C273,Services!$B:$I,3,FALSE()),IF($E273="Patty Cash",VLOOKUP($C273,'Patty Cash'!$B:$J,3,FALSE()),"")))),"")</f>
        <v/>
      </c>
      <c r="G273" s="374"/>
      <c r="H273" s="374" t="str">
        <f t="shared" si="8"/>
        <v/>
      </c>
      <c r="I273" s="252">
        <f>IFERROR(IF($E273="Inventory",VLOOKUP($C273,Inventory!$B:$I,8,FALSE()),IF($E273="Non Inventory",VLOOKUP($C273,'Non Inventory'!$B:$I,8,FALSE()),IF($E273="Services",VLOOKUP($C273,Services!$B:$I,8,FALSE()),IF($E273="Patty Cash",VLOOKUP($C273,'Patty Cash'!$B:$J,8,FALSE()),0)))),0)</f>
        <v>0</v>
      </c>
      <c r="J273" s="252" t="str">
        <f t="shared" si="9"/>
        <v/>
      </c>
      <c r="K273" s="253"/>
      <c r="L273" s="253"/>
      <c r="M273" s="253"/>
      <c r="N273" s="328"/>
    </row>
    <row r="274" spans="1:14" ht="20.100000000000001" customHeight="1">
      <c r="A274" s="327" t="str">
        <f>IF(AND($B274="",$C274=""),"",MAX($A$3:A273)+1)</f>
        <v/>
      </c>
      <c r="B274" s="262"/>
      <c r="C274" s="253"/>
      <c r="D274" s="249" t="str">
        <f>IFERROR(IF($E274="Inventory",VLOOKUP($C274,Inventory!$B:$I,2,FALSE()),IF($E274="Non Inventory",VLOOKUP($C274,'Non Inventory'!$B:$I,2,FALSE()),IF($E274="Services",VLOOKUP($C274,Services!$B:$I,2,FALSE()),IF($E274="Patty Cash",VLOOKUP($C274,'Patty Cash'!$B:$J,2,FALSE()),"")))),"")</f>
        <v/>
      </c>
      <c r="E274" s="254"/>
      <c r="F274" s="263" t="str">
        <f>IFERROR(IF($E274="Inventory",VLOOKUP($C274,Inventory!$B:$I,3,FALSE()),IF($E274="Non Inventory",VLOOKUP($C274,'Non Inventory'!$B:$I,3,FALSE()),IF($E274="Services",VLOOKUP($C274,Services!$B:$I,3,FALSE()),IF($E274="Patty Cash",VLOOKUP($C274,'Patty Cash'!$B:$J,3,FALSE()),"")))),"")</f>
        <v/>
      </c>
      <c r="G274" s="374"/>
      <c r="H274" s="374" t="str">
        <f t="shared" si="8"/>
        <v/>
      </c>
      <c r="I274" s="252">
        <f>IFERROR(IF($E274="Inventory",VLOOKUP($C274,Inventory!$B:$I,8,FALSE()),IF($E274="Non Inventory",VLOOKUP($C274,'Non Inventory'!$B:$I,8,FALSE()),IF($E274="Services",VLOOKUP($C274,Services!$B:$I,8,FALSE()),IF($E274="Patty Cash",VLOOKUP($C274,'Patty Cash'!$B:$J,8,FALSE()),0)))),0)</f>
        <v>0</v>
      </c>
      <c r="J274" s="252" t="str">
        <f t="shared" si="9"/>
        <v/>
      </c>
      <c r="K274" s="253"/>
      <c r="L274" s="253"/>
      <c r="M274" s="253"/>
      <c r="N274" s="328"/>
    </row>
    <row r="275" spans="1:14" ht="20.100000000000001" customHeight="1">
      <c r="A275" s="327" t="str">
        <f>IF(AND($B275="",$C275=""),"",MAX($A$3:A274)+1)</f>
        <v/>
      </c>
      <c r="B275" s="262"/>
      <c r="C275" s="253"/>
      <c r="D275" s="249" t="str">
        <f>IFERROR(IF($E275="Inventory",VLOOKUP($C275,Inventory!$B:$I,2,FALSE()),IF($E275="Non Inventory",VLOOKUP($C275,'Non Inventory'!$B:$I,2,FALSE()),IF($E275="Services",VLOOKUP($C275,Services!$B:$I,2,FALSE()),IF($E275="Patty Cash",VLOOKUP($C275,'Patty Cash'!$B:$J,2,FALSE()),"")))),"")</f>
        <v/>
      </c>
      <c r="E275" s="254"/>
      <c r="F275" s="263" t="str">
        <f>IFERROR(IF($E275="Inventory",VLOOKUP($C275,Inventory!$B:$I,3,FALSE()),IF($E275="Non Inventory",VLOOKUP($C275,'Non Inventory'!$B:$I,3,FALSE()),IF($E275="Services",VLOOKUP($C275,Services!$B:$I,3,FALSE()),IF($E275="Patty Cash",VLOOKUP($C275,'Patty Cash'!$B:$J,3,FALSE()),"")))),"")</f>
        <v/>
      </c>
      <c r="G275" s="374"/>
      <c r="H275" s="374" t="str">
        <f t="shared" si="8"/>
        <v/>
      </c>
      <c r="I275" s="252">
        <f>IFERROR(IF($E275="Inventory",VLOOKUP($C275,Inventory!$B:$I,8,FALSE()),IF($E275="Non Inventory",VLOOKUP($C275,'Non Inventory'!$B:$I,8,FALSE()),IF($E275="Services",VLOOKUP($C275,Services!$B:$I,8,FALSE()),IF($E275="Patty Cash",VLOOKUP($C275,'Patty Cash'!$B:$J,8,FALSE()),0)))),0)</f>
        <v>0</v>
      </c>
      <c r="J275" s="252" t="str">
        <f t="shared" si="9"/>
        <v/>
      </c>
      <c r="K275" s="253"/>
      <c r="L275" s="253"/>
      <c r="M275" s="253"/>
      <c r="N275" s="328"/>
    </row>
    <row r="276" spans="1:14" ht="20.100000000000001" customHeight="1">
      <c r="A276" s="327" t="str">
        <f>IF(AND($B276="",$C276=""),"",MAX($A$3:A275)+1)</f>
        <v/>
      </c>
      <c r="B276" s="262"/>
      <c r="C276" s="253"/>
      <c r="D276" s="249" t="str">
        <f>IFERROR(IF($E276="Inventory",VLOOKUP($C276,Inventory!$B:$I,2,FALSE()),IF($E276="Non Inventory",VLOOKUP($C276,'Non Inventory'!$B:$I,2,FALSE()),IF($E276="Services",VLOOKUP($C276,Services!$B:$I,2,FALSE()),IF($E276="Patty Cash",VLOOKUP($C276,'Patty Cash'!$B:$J,2,FALSE()),"")))),"")</f>
        <v/>
      </c>
      <c r="E276" s="254"/>
      <c r="F276" s="263" t="str">
        <f>IFERROR(IF($E276="Inventory",VLOOKUP($C276,Inventory!$B:$I,3,FALSE()),IF($E276="Non Inventory",VLOOKUP($C276,'Non Inventory'!$B:$I,3,FALSE()),IF($E276="Services",VLOOKUP($C276,Services!$B:$I,3,FALSE()),IF($E276="Patty Cash",VLOOKUP($C276,'Patty Cash'!$B:$J,3,FALSE()),"")))),"")</f>
        <v/>
      </c>
      <c r="G276" s="374"/>
      <c r="H276" s="374" t="str">
        <f t="shared" si="8"/>
        <v/>
      </c>
      <c r="I276" s="252">
        <f>IFERROR(IF($E276="Inventory",VLOOKUP($C276,Inventory!$B:$I,8,FALSE()),IF($E276="Non Inventory",VLOOKUP($C276,'Non Inventory'!$B:$I,8,FALSE()),IF($E276="Services",VLOOKUP($C276,Services!$B:$I,8,FALSE()),IF($E276="Patty Cash",VLOOKUP($C276,'Patty Cash'!$B:$J,8,FALSE()),0)))),0)</f>
        <v>0</v>
      </c>
      <c r="J276" s="252" t="str">
        <f t="shared" si="9"/>
        <v/>
      </c>
      <c r="K276" s="253"/>
      <c r="L276" s="253"/>
      <c r="M276" s="253"/>
      <c r="N276" s="328"/>
    </row>
    <row r="277" spans="1:14" ht="20.100000000000001" customHeight="1">
      <c r="A277" s="327" t="str">
        <f>IF(AND($B277="",$C277=""),"",MAX($A$3:A276)+1)</f>
        <v/>
      </c>
      <c r="B277" s="262"/>
      <c r="C277" s="253"/>
      <c r="D277" s="249" t="str">
        <f>IFERROR(IF($E277="Inventory",VLOOKUP($C277,Inventory!$B:$I,2,FALSE()),IF($E277="Non Inventory",VLOOKUP($C277,'Non Inventory'!$B:$I,2,FALSE()),IF($E277="Services",VLOOKUP($C277,Services!$B:$I,2,FALSE()),IF($E277="Patty Cash",VLOOKUP($C277,'Patty Cash'!$B:$J,2,FALSE()),"")))),"")</f>
        <v/>
      </c>
      <c r="E277" s="254"/>
      <c r="F277" s="263" t="str">
        <f>IFERROR(IF($E277="Inventory",VLOOKUP($C277,Inventory!$B:$I,3,FALSE()),IF($E277="Non Inventory",VLOOKUP($C277,'Non Inventory'!$B:$I,3,FALSE()),IF($E277="Services",VLOOKUP($C277,Services!$B:$I,3,FALSE()),IF($E277="Patty Cash",VLOOKUP($C277,'Patty Cash'!$B:$J,3,FALSE()),"")))),"")</f>
        <v/>
      </c>
      <c r="G277" s="374"/>
      <c r="H277" s="374" t="str">
        <f t="shared" si="8"/>
        <v/>
      </c>
      <c r="I277" s="252">
        <f>IFERROR(IF($E277="Inventory",VLOOKUP($C277,Inventory!$B:$I,8,FALSE()),IF($E277="Non Inventory",VLOOKUP($C277,'Non Inventory'!$B:$I,8,FALSE()),IF($E277="Services",VLOOKUP($C277,Services!$B:$I,8,FALSE()),IF($E277="Patty Cash",VLOOKUP($C277,'Patty Cash'!$B:$J,8,FALSE()),0)))),0)</f>
        <v>0</v>
      </c>
      <c r="J277" s="252" t="str">
        <f t="shared" si="9"/>
        <v/>
      </c>
      <c r="K277" s="253"/>
      <c r="L277" s="253"/>
      <c r="M277" s="253"/>
      <c r="N277" s="328"/>
    </row>
    <row r="278" spans="1:14" ht="20.100000000000001" customHeight="1">
      <c r="A278" s="327" t="str">
        <f>IF(AND($B278="",$C278=""),"",MAX($A$3:A277)+1)</f>
        <v/>
      </c>
      <c r="B278" s="262"/>
      <c r="C278" s="253"/>
      <c r="D278" s="249" t="str">
        <f>IFERROR(IF($E278="Inventory",VLOOKUP($C278,Inventory!$B:$I,2,FALSE()),IF($E278="Non Inventory",VLOOKUP($C278,'Non Inventory'!$B:$I,2,FALSE()),IF($E278="Services",VLOOKUP($C278,Services!$B:$I,2,FALSE()),IF($E278="Patty Cash",VLOOKUP($C278,'Patty Cash'!$B:$J,2,FALSE()),"")))),"")</f>
        <v/>
      </c>
      <c r="E278" s="254"/>
      <c r="F278" s="263" t="str">
        <f>IFERROR(IF($E278="Inventory",VLOOKUP($C278,Inventory!$B:$I,3,FALSE()),IF($E278="Non Inventory",VLOOKUP($C278,'Non Inventory'!$B:$I,3,FALSE()),IF($E278="Services",VLOOKUP($C278,Services!$B:$I,3,FALSE()),IF($E278="Patty Cash",VLOOKUP($C278,'Patty Cash'!$B:$J,3,FALSE()),"")))),"")</f>
        <v/>
      </c>
      <c r="G278" s="374"/>
      <c r="H278" s="374" t="str">
        <f t="shared" si="8"/>
        <v/>
      </c>
      <c r="I278" s="252">
        <f>IFERROR(IF($E278="Inventory",VLOOKUP($C278,Inventory!$B:$I,8,FALSE()),IF($E278="Non Inventory",VLOOKUP($C278,'Non Inventory'!$B:$I,8,FALSE()),IF($E278="Services",VLOOKUP($C278,Services!$B:$I,8,FALSE()),IF($E278="Patty Cash",VLOOKUP($C278,'Patty Cash'!$B:$J,8,FALSE()),0)))),0)</f>
        <v>0</v>
      </c>
      <c r="J278" s="252" t="str">
        <f t="shared" si="9"/>
        <v/>
      </c>
      <c r="K278" s="253"/>
      <c r="L278" s="253"/>
      <c r="M278" s="253"/>
      <c r="N278" s="328"/>
    </row>
    <row r="279" spans="1:14" ht="20.100000000000001" customHeight="1">
      <c r="A279" s="327" t="str">
        <f>IF(AND($B279="",$C279=""),"",MAX($A$3:A278)+1)</f>
        <v/>
      </c>
      <c r="B279" s="262"/>
      <c r="C279" s="253"/>
      <c r="D279" s="249" t="str">
        <f>IFERROR(IF($E279="Inventory",VLOOKUP($C279,Inventory!$B:$I,2,FALSE()),IF($E279="Non Inventory",VLOOKUP($C279,'Non Inventory'!$B:$I,2,FALSE()),IF($E279="Services",VLOOKUP($C279,Services!$B:$I,2,FALSE()),IF($E279="Patty Cash",VLOOKUP($C279,'Patty Cash'!$B:$J,2,FALSE()),"")))),"")</f>
        <v/>
      </c>
      <c r="E279" s="254"/>
      <c r="F279" s="263" t="str">
        <f>IFERROR(IF($E279="Inventory",VLOOKUP($C279,Inventory!$B:$I,3,FALSE()),IF($E279="Non Inventory",VLOOKUP($C279,'Non Inventory'!$B:$I,3,FALSE()),IF($E279="Services",VLOOKUP($C279,Services!$B:$I,3,FALSE()),IF($E279="Patty Cash",VLOOKUP($C279,'Patty Cash'!$B:$J,3,FALSE()),"")))),"")</f>
        <v/>
      </c>
      <c r="G279" s="374"/>
      <c r="H279" s="374" t="str">
        <f t="shared" si="8"/>
        <v/>
      </c>
      <c r="I279" s="252">
        <f>IFERROR(IF($E279="Inventory",VLOOKUP($C279,Inventory!$B:$I,8,FALSE()),IF($E279="Non Inventory",VLOOKUP($C279,'Non Inventory'!$B:$I,8,FALSE()),IF($E279="Services",VLOOKUP($C279,Services!$B:$I,8,FALSE()),IF($E279="Patty Cash",VLOOKUP($C279,'Patty Cash'!$B:$J,8,FALSE()),0)))),0)</f>
        <v>0</v>
      </c>
      <c r="J279" s="252" t="str">
        <f t="shared" si="9"/>
        <v/>
      </c>
      <c r="K279" s="253"/>
      <c r="L279" s="253"/>
      <c r="M279" s="253"/>
      <c r="N279" s="328"/>
    </row>
    <row r="280" spans="1:14" ht="20.100000000000001" customHeight="1">
      <c r="A280" s="327" t="str">
        <f>IF(AND($B280="",$C280=""),"",MAX($A$3:A279)+1)</f>
        <v/>
      </c>
      <c r="B280" s="262"/>
      <c r="C280" s="253"/>
      <c r="D280" s="249" t="str">
        <f>IFERROR(IF($E280="Inventory",VLOOKUP($C280,Inventory!$B:$I,2,FALSE()),IF($E280="Non Inventory",VLOOKUP($C280,'Non Inventory'!$B:$I,2,FALSE()),IF($E280="Services",VLOOKUP($C280,Services!$B:$I,2,FALSE()),IF($E280="Patty Cash",VLOOKUP($C280,'Patty Cash'!$B:$J,2,FALSE()),"")))),"")</f>
        <v/>
      </c>
      <c r="E280" s="254"/>
      <c r="F280" s="263" t="str">
        <f>IFERROR(IF($E280="Inventory",VLOOKUP($C280,Inventory!$B:$I,3,FALSE()),IF($E280="Non Inventory",VLOOKUP($C280,'Non Inventory'!$B:$I,3,FALSE()),IF($E280="Services",VLOOKUP($C280,Services!$B:$I,3,FALSE()),IF($E280="Patty Cash",VLOOKUP($C280,'Patty Cash'!$B:$J,3,FALSE()),"")))),"")</f>
        <v/>
      </c>
      <c r="G280" s="374"/>
      <c r="H280" s="374" t="str">
        <f t="shared" si="8"/>
        <v/>
      </c>
      <c r="I280" s="252">
        <f>IFERROR(IF($E280="Inventory",VLOOKUP($C280,Inventory!$B:$I,8,FALSE()),IF($E280="Non Inventory",VLOOKUP($C280,'Non Inventory'!$B:$I,8,FALSE()),IF($E280="Services",VLOOKUP($C280,Services!$B:$I,8,FALSE()),IF($E280="Patty Cash",VLOOKUP($C280,'Patty Cash'!$B:$J,8,FALSE()),0)))),0)</f>
        <v>0</v>
      </c>
      <c r="J280" s="252" t="str">
        <f t="shared" si="9"/>
        <v/>
      </c>
      <c r="K280" s="253"/>
      <c r="L280" s="253"/>
      <c r="M280" s="253"/>
      <c r="N280" s="328"/>
    </row>
    <row r="281" spans="1:14" ht="20.100000000000001" customHeight="1">
      <c r="A281" s="327" t="str">
        <f>IF(AND($B281="",$C281=""),"",MAX($A$3:A280)+1)</f>
        <v/>
      </c>
      <c r="B281" s="262"/>
      <c r="C281" s="253"/>
      <c r="D281" s="249" t="str">
        <f>IFERROR(IF($E281="Inventory",VLOOKUP($C281,Inventory!$B:$I,2,FALSE()),IF($E281="Non Inventory",VLOOKUP($C281,'Non Inventory'!$B:$I,2,FALSE()),IF($E281="Services",VLOOKUP($C281,Services!$B:$I,2,FALSE()),IF($E281="Patty Cash",VLOOKUP($C281,'Patty Cash'!$B:$J,2,FALSE()),"")))),"")</f>
        <v/>
      </c>
      <c r="E281" s="254"/>
      <c r="F281" s="263" t="str">
        <f>IFERROR(IF($E281="Inventory",VLOOKUP($C281,Inventory!$B:$I,3,FALSE()),IF($E281="Non Inventory",VLOOKUP($C281,'Non Inventory'!$B:$I,3,FALSE()),IF($E281="Services",VLOOKUP($C281,Services!$B:$I,3,FALSE()),IF($E281="Patty Cash",VLOOKUP($C281,'Patty Cash'!$B:$J,3,FALSE()),"")))),"")</f>
        <v/>
      </c>
      <c r="G281" s="374"/>
      <c r="H281" s="374" t="str">
        <f t="shared" si="8"/>
        <v/>
      </c>
      <c r="I281" s="252">
        <f>IFERROR(IF($E281="Inventory",VLOOKUP($C281,Inventory!$B:$I,8,FALSE()),IF($E281="Non Inventory",VLOOKUP($C281,'Non Inventory'!$B:$I,8,FALSE()),IF($E281="Services",VLOOKUP($C281,Services!$B:$I,8,FALSE()),IF($E281="Patty Cash",VLOOKUP($C281,'Patty Cash'!$B:$J,8,FALSE()),0)))),0)</f>
        <v>0</v>
      </c>
      <c r="J281" s="252" t="str">
        <f t="shared" si="9"/>
        <v/>
      </c>
      <c r="K281" s="253"/>
      <c r="L281" s="253"/>
      <c r="M281" s="253"/>
      <c r="N281" s="328"/>
    </row>
    <row r="282" spans="1:14" ht="20.100000000000001" customHeight="1">
      <c r="A282" s="327" t="str">
        <f>IF(AND($B282="",$C282=""),"",MAX($A$3:A281)+1)</f>
        <v/>
      </c>
      <c r="B282" s="262"/>
      <c r="C282" s="253"/>
      <c r="D282" s="249" t="str">
        <f>IFERROR(IF($E282="Inventory",VLOOKUP($C282,Inventory!$B:$I,2,FALSE()),IF($E282="Non Inventory",VLOOKUP($C282,'Non Inventory'!$B:$I,2,FALSE()),IF($E282="Services",VLOOKUP($C282,Services!$B:$I,2,FALSE()),IF($E282="Patty Cash",VLOOKUP($C282,'Patty Cash'!$B:$J,2,FALSE()),"")))),"")</f>
        <v/>
      </c>
      <c r="E282" s="254"/>
      <c r="F282" s="263" t="str">
        <f>IFERROR(IF($E282="Inventory",VLOOKUP($C282,Inventory!$B:$I,3,FALSE()),IF($E282="Non Inventory",VLOOKUP($C282,'Non Inventory'!$B:$I,3,FALSE()),IF($E282="Services",VLOOKUP($C282,Services!$B:$I,3,FALSE()),IF($E282="Patty Cash",VLOOKUP($C282,'Patty Cash'!$B:$J,3,FALSE()),"")))),"")</f>
        <v/>
      </c>
      <c r="G282" s="374"/>
      <c r="H282" s="374" t="str">
        <f t="shared" si="8"/>
        <v/>
      </c>
      <c r="I282" s="252">
        <f>IFERROR(IF($E282="Inventory",VLOOKUP($C282,Inventory!$B:$I,8,FALSE()),IF($E282="Non Inventory",VLOOKUP($C282,'Non Inventory'!$B:$I,8,FALSE()),IF($E282="Services",VLOOKUP($C282,Services!$B:$I,8,FALSE()),IF($E282="Patty Cash",VLOOKUP($C282,'Patty Cash'!$B:$J,8,FALSE()),0)))),0)</f>
        <v>0</v>
      </c>
      <c r="J282" s="252" t="str">
        <f t="shared" si="9"/>
        <v/>
      </c>
      <c r="K282" s="253"/>
      <c r="L282" s="253"/>
      <c r="M282" s="253"/>
      <c r="N282" s="328"/>
    </row>
    <row r="283" spans="1:14" ht="20.100000000000001" customHeight="1">
      <c r="A283" s="327" t="str">
        <f>IF(AND($B283="",$C283=""),"",MAX($A$3:A282)+1)</f>
        <v/>
      </c>
      <c r="B283" s="262"/>
      <c r="C283" s="253"/>
      <c r="D283" s="249" t="str">
        <f>IFERROR(IF($E283="Inventory",VLOOKUP($C283,Inventory!$B:$I,2,FALSE()),IF($E283="Non Inventory",VLOOKUP($C283,'Non Inventory'!$B:$I,2,FALSE()),IF($E283="Services",VLOOKUP($C283,Services!$B:$I,2,FALSE()),IF($E283="Patty Cash",VLOOKUP($C283,'Patty Cash'!$B:$J,2,FALSE()),"")))),"")</f>
        <v/>
      </c>
      <c r="E283" s="254"/>
      <c r="F283" s="263" t="str">
        <f>IFERROR(IF($E283="Inventory",VLOOKUP($C283,Inventory!$B:$I,3,FALSE()),IF($E283="Non Inventory",VLOOKUP($C283,'Non Inventory'!$B:$I,3,FALSE()),IF($E283="Services",VLOOKUP($C283,Services!$B:$I,3,FALSE()),IF($E283="Patty Cash",VLOOKUP($C283,'Patty Cash'!$B:$J,3,FALSE()),"")))),"")</f>
        <v/>
      </c>
      <c r="G283" s="374"/>
      <c r="H283" s="374" t="str">
        <f t="shared" si="8"/>
        <v/>
      </c>
      <c r="I283" s="252">
        <f>IFERROR(IF($E283="Inventory",VLOOKUP($C283,Inventory!$B:$I,8,FALSE()),IF($E283="Non Inventory",VLOOKUP($C283,'Non Inventory'!$B:$I,8,FALSE()),IF($E283="Services",VLOOKUP($C283,Services!$B:$I,8,FALSE()),IF($E283="Patty Cash",VLOOKUP($C283,'Patty Cash'!$B:$J,8,FALSE()),0)))),0)</f>
        <v>0</v>
      </c>
      <c r="J283" s="252" t="str">
        <f t="shared" si="9"/>
        <v/>
      </c>
      <c r="K283" s="253"/>
      <c r="L283" s="253"/>
      <c r="M283" s="253"/>
      <c r="N283" s="328"/>
    </row>
    <row r="284" spans="1:14" ht="20.100000000000001" customHeight="1">
      <c r="A284" s="327" t="str">
        <f>IF(AND($B284="",$C284=""),"",MAX($A$3:A283)+1)</f>
        <v/>
      </c>
      <c r="B284" s="262"/>
      <c r="C284" s="253"/>
      <c r="D284" s="249" t="str">
        <f>IFERROR(IF($E284="Inventory",VLOOKUP($C284,Inventory!$B:$I,2,FALSE()),IF($E284="Non Inventory",VLOOKUP($C284,'Non Inventory'!$B:$I,2,FALSE()),IF($E284="Services",VLOOKUP($C284,Services!$B:$I,2,FALSE()),IF($E284="Patty Cash",VLOOKUP($C284,'Patty Cash'!$B:$J,2,FALSE()),"")))),"")</f>
        <v/>
      </c>
      <c r="E284" s="254"/>
      <c r="F284" s="263" t="str">
        <f>IFERROR(IF($E284="Inventory",VLOOKUP($C284,Inventory!$B:$I,3,FALSE()),IF($E284="Non Inventory",VLOOKUP($C284,'Non Inventory'!$B:$I,3,FALSE()),IF($E284="Services",VLOOKUP($C284,Services!$B:$I,3,FALSE()),IF($E284="Patty Cash",VLOOKUP($C284,'Patty Cash'!$B:$J,3,FALSE()),"")))),"")</f>
        <v/>
      </c>
      <c r="G284" s="374"/>
      <c r="H284" s="374" t="str">
        <f t="shared" si="8"/>
        <v/>
      </c>
      <c r="I284" s="252">
        <f>IFERROR(IF($E284="Inventory",VLOOKUP($C284,Inventory!$B:$I,8,FALSE()),IF($E284="Non Inventory",VLOOKUP($C284,'Non Inventory'!$B:$I,8,FALSE()),IF($E284="Services",VLOOKUP($C284,Services!$B:$I,8,FALSE()),IF($E284="Patty Cash",VLOOKUP($C284,'Patty Cash'!$B:$J,8,FALSE()),0)))),0)</f>
        <v>0</v>
      </c>
      <c r="J284" s="252" t="str">
        <f t="shared" si="9"/>
        <v/>
      </c>
      <c r="K284" s="253"/>
      <c r="L284" s="253"/>
      <c r="M284" s="253"/>
      <c r="N284" s="328"/>
    </row>
    <row r="285" spans="1:14" ht="20.100000000000001" customHeight="1">
      <c r="A285" s="327" t="str">
        <f>IF(AND($B285="",$C285=""),"",MAX($A$3:A284)+1)</f>
        <v/>
      </c>
      <c r="B285" s="262"/>
      <c r="C285" s="253"/>
      <c r="D285" s="249" t="str">
        <f>IFERROR(IF($E285="Inventory",VLOOKUP($C285,Inventory!$B:$I,2,FALSE()),IF($E285="Non Inventory",VLOOKUP($C285,'Non Inventory'!$B:$I,2,FALSE()),IF($E285="Services",VLOOKUP($C285,Services!$B:$I,2,FALSE()),IF($E285="Patty Cash",VLOOKUP($C285,'Patty Cash'!$B:$J,2,FALSE()),"")))),"")</f>
        <v/>
      </c>
      <c r="E285" s="254"/>
      <c r="F285" s="263" t="str">
        <f>IFERROR(IF($E285="Inventory",VLOOKUP($C285,Inventory!$B:$I,3,FALSE()),IF($E285="Non Inventory",VLOOKUP($C285,'Non Inventory'!$B:$I,3,FALSE()),IF($E285="Services",VLOOKUP($C285,Services!$B:$I,3,FALSE()),IF($E285="Patty Cash",VLOOKUP($C285,'Patty Cash'!$B:$J,3,FALSE()),"")))),"")</f>
        <v/>
      </c>
      <c r="G285" s="374"/>
      <c r="H285" s="374" t="str">
        <f t="shared" si="8"/>
        <v/>
      </c>
      <c r="I285" s="252">
        <f>IFERROR(IF($E285="Inventory",VLOOKUP($C285,Inventory!$B:$I,8,FALSE()),IF($E285="Non Inventory",VLOOKUP($C285,'Non Inventory'!$B:$I,8,FALSE()),IF($E285="Services",VLOOKUP($C285,Services!$B:$I,8,FALSE()),IF($E285="Patty Cash",VLOOKUP($C285,'Patty Cash'!$B:$J,8,FALSE()),0)))),0)</f>
        <v>0</v>
      </c>
      <c r="J285" s="252" t="str">
        <f t="shared" si="9"/>
        <v/>
      </c>
      <c r="K285" s="253"/>
      <c r="L285" s="253"/>
      <c r="M285" s="253"/>
      <c r="N285" s="328"/>
    </row>
    <row r="286" spans="1:14" ht="20.100000000000001" customHeight="1">
      <c r="A286" s="327" t="str">
        <f>IF(AND($B286="",$C286=""),"",MAX($A$3:A285)+1)</f>
        <v/>
      </c>
      <c r="B286" s="262"/>
      <c r="C286" s="253"/>
      <c r="D286" s="249" t="str">
        <f>IFERROR(IF($E286="Inventory",VLOOKUP($C286,Inventory!$B:$I,2,FALSE()),IF($E286="Non Inventory",VLOOKUP($C286,'Non Inventory'!$B:$I,2,FALSE()),IF($E286="Services",VLOOKUP($C286,Services!$B:$I,2,FALSE()),IF($E286="Patty Cash",VLOOKUP($C286,'Patty Cash'!$B:$J,2,FALSE()),"")))),"")</f>
        <v/>
      </c>
      <c r="E286" s="254"/>
      <c r="F286" s="263" t="str">
        <f>IFERROR(IF($E286="Inventory",VLOOKUP($C286,Inventory!$B:$I,3,FALSE()),IF($E286="Non Inventory",VLOOKUP($C286,'Non Inventory'!$B:$I,3,FALSE()),IF($E286="Services",VLOOKUP($C286,Services!$B:$I,3,FALSE()),IF($E286="Patty Cash",VLOOKUP($C286,'Patty Cash'!$B:$J,3,FALSE()),"")))),"")</f>
        <v/>
      </c>
      <c r="G286" s="374"/>
      <c r="H286" s="374" t="str">
        <f t="shared" si="8"/>
        <v/>
      </c>
      <c r="I286" s="252">
        <f>IFERROR(IF($E286="Inventory",VLOOKUP($C286,Inventory!$B:$I,8,FALSE()),IF($E286="Non Inventory",VLOOKUP($C286,'Non Inventory'!$B:$I,8,FALSE()),IF($E286="Services",VLOOKUP($C286,Services!$B:$I,8,FALSE()),IF($E286="Patty Cash",VLOOKUP($C286,'Patty Cash'!$B:$J,8,FALSE()),0)))),0)</f>
        <v>0</v>
      </c>
      <c r="J286" s="252" t="str">
        <f t="shared" si="9"/>
        <v/>
      </c>
      <c r="K286" s="253"/>
      <c r="L286" s="253"/>
      <c r="M286" s="253"/>
      <c r="N286" s="328"/>
    </row>
    <row r="287" spans="1:14" ht="20.100000000000001" customHeight="1">
      <c r="A287" s="327" t="str">
        <f>IF(AND($B287="",$C287=""),"",MAX($A$3:A286)+1)</f>
        <v/>
      </c>
      <c r="B287" s="262"/>
      <c r="C287" s="253"/>
      <c r="D287" s="249" t="str">
        <f>IFERROR(IF($E287="Inventory",VLOOKUP($C287,Inventory!$B:$I,2,FALSE()),IF($E287="Non Inventory",VLOOKUP($C287,'Non Inventory'!$B:$I,2,FALSE()),IF($E287="Services",VLOOKUP($C287,Services!$B:$I,2,FALSE()),IF($E287="Patty Cash",VLOOKUP($C287,'Patty Cash'!$B:$J,2,FALSE()),"")))),"")</f>
        <v/>
      </c>
      <c r="E287" s="254"/>
      <c r="F287" s="263" t="str">
        <f>IFERROR(IF($E287="Inventory",VLOOKUP($C287,Inventory!$B:$I,3,FALSE()),IF($E287="Non Inventory",VLOOKUP($C287,'Non Inventory'!$B:$I,3,FALSE()),IF($E287="Services",VLOOKUP($C287,Services!$B:$I,3,FALSE()),IF($E287="Patty Cash",VLOOKUP($C287,'Patty Cash'!$B:$J,3,FALSE()),"")))),"")</f>
        <v/>
      </c>
      <c r="G287" s="374"/>
      <c r="H287" s="374" t="str">
        <f t="shared" si="8"/>
        <v/>
      </c>
      <c r="I287" s="252">
        <f>IFERROR(IF($E287="Inventory",VLOOKUP($C287,Inventory!$B:$I,8,FALSE()),IF($E287="Non Inventory",VLOOKUP($C287,'Non Inventory'!$B:$I,8,FALSE()),IF($E287="Services",VLOOKUP($C287,Services!$B:$I,8,FALSE()),IF($E287="Patty Cash",VLOOKUP($C287,'Patty Cash'!$B:$J,8,FALSE()),0)))),0)</f>
        <v>0</v>
      </c>
      <c r="J287" s="252" t="str">
        <f t="shared" si="9"/>
        <v/>
      </c>
      <c r="K287" s="253"/>
      <c r="L287" s="253"/>
      <c r="M287" s="253"/>
      <c r="N287" s="328"/>
    </row>
    <row r="288" spans="1:14" ht="20.100000000000001" customHeight="1">
      <c r="A288" s="327" t="str">
        <f>IF(AND($B288="",$C288=""),"",MAX($A$3:A287)+1)</f>
        <v/>
      </c>
      <c r="B288" s="262"/>
      <c r="C288" s="253"/>
      <c r="D288" s="249" t="str">
        <f>IFERROR(IF($E288="Inventory",VLOOKUP($C288,Inventory!$B:$I,2,FALSE()),IF($E288="Non Inventory",VLOOKUP($C288,'Non Inventory'!$B:$I,2,FALSE()),IF($E288="Services",VLOOKUP($C288,Services!$B:$I,2,FALSE()),IF($E288="Patty Cash",VLOOKUP($C288,'Patty Cash'!$B:$J,2,FALSE()),"")))),"")</f>
        <v/>
      </c>
      <c r="E288" s="254"/>
      <c r="F288" s="263" t="str">
        <f>IFERROR(IF($E288="Inventory",VLOOKUP($C288,Inventory!$B:$I,3,FALSE()),IF($E288="Non Inventory",VLOOKUP($C288,'Non Inventory'!$B:$I,3,FALSE()),IF($E288="Services",VLOOKUP($C288,Services!$B:$I,3,FALSE()),IF($E288="Patty Cash",VLOOKUP($C288,'Patty Cash'!$B:$J,3,FALSE()),"")))),"")</f>
        <v/>
      </c>
      <c r="G288" s="374"/>
      <c r="H288" s="374" t="str">
        <f t="shared" si="8"/>
        <v/>
      </c>
      <c r="I288" s="252">
        <f>IFERROR(IF($E288="Inventory",VLOOKUP($C288,Inventory!$B:$I,8,FALSE()),IF($E288="Non Inventory",VLOOKUP($C288,'Non Inventory'!$B:$I,8,FALSE()),IF($E288="Services",VLOOKUP($C288,Services!$B:$I,8,FALSE()),IF($E288="Patty Cash",VLOOKUP($C288,'Patty Cash'!$B:$J,8,FALSE()),0)))),0)</f>
        <v>0</v>
      </c>
      <c r="J288" s="252" t="str">
        <f t="shared" si="9"/>
        <v/>
      </c>
      <c r="K288" s="253"/>
      <c r="L288" s="253"/>
      <c r="M288" s="253"/>
      <c r="N288" s="328"/>
    </row>
    <row r="289" spans="1:14" ht="20.100000000000001" customHeight="1">
      <c r="A289" s="327" t="str">
        <f>IF(AND($B289="",$C289=""),"",MAX($A$3:A288)+1)</f>
        <v/>
      </c>
      <c r="B289" s="262"/>
      <c r="C289" s="253"/>
      <c r="D289" s="249" t="str">
        <f>IFERROR(IF($E289="Inventory",VLOOKUP($C289,Inventory!$B:$I,2,FALSE()),IF($E289="Non Inventory",VLOOKUP($C289,'Non Inventory'!$B:$I,2,FALSE()),IF($E289="Services",VLOOKUP($C289,Services!$B:$I,2,FALSE()),IF($E289="Patty Cash",VLOOKUP($C289,'Patty Cash'!$B:$J,2,FALSE()),"")))),"")</f>
        <v/>
      </c>
      <c r="E289" s="254"/>
      <c r="F289" s="263" t="str">
        <f>IFERROR(IF($E289="Inventory",VLOOKUP($C289,Inventory!$B:$I,3,FALSE()),IF($E289="Non Inventory",VLOOKUP($C289,'Non Inventory'!$B:$I,3,FALSE()),IF($E289="Services",VLOOKUP($C289,Services!$B:$I,3,FALSE()),IF($E289="Patty Cash",VLOOKUP($C289,'Patty Cash'!$B:$J,3,FALSE()),"")))),"")</f>
        <v/>
      </c>
      <c r="G289" s="374"/>
      <c r="H289" s="374" t="str">
        <f t="shared" si="8"/>
        <v/>
      </c>
      <c r="I289" s="252">
        <f>IFERROR(IF($E289="Inventory",VLOOKUP($C289,Inventory!$B:$I,8,FALSE()),IF($E289="Non Inventory",VLOOKUP($C289,'Non Inventory'!$B:$I,8,FALSE()),IF($E289="Services",VLOOKUP($C289,Services!$B:$I,8,FALSE()),IF($E289="Patty Cash",VLOOKUP($C289,'Patty Cash'!$B:$J,8,FALSE()),0)))),0)</f>
        <v>0</v>
      </c>
      <c r="J289" s="252" t="str">
        <f t="shared" si="9"/>
        <v/>
      </c>
      <c r="K289" s="253"/>
      <c r="L289" s="253"/>
      <c r="M289" s="253"/>
      <c r="N289" s="328"/>
    </row>
    <row r="290" spans="1:14" ht="20.100000000000001" customHeight="1">
      <c r="A290" s="327" t="str">
        <f>IF(AND($B290="",$C290=""),"",MAX($A$3:A289)+1)</f>
        <v/>
      </c>
      <c r="B290" s="262"/>
      <c r="C290" s="253"/>
      <c r="D290" s="249" t="str">
        <f>IFERROR(IF($E290="Inventory",VLOOKUP($C290,Inventory!$B:$I,2,FALSE()),IF($E290="Non Inventory",VLOOKUP($C290,'Non Inventory'!$B:$I,2,FALSE()),IF($E290="Services",VLOOKUP($C290,Services!$B:$I,2,FALSE()),IF($E290="Patty Cash",VLOOKUP($C290,'Patty Cash'!$B:$J,2,FALSE()),"")))),"")</f>
        <v/>
      </c>
      <c r="E290" s="254"/>
      <c r="F290" s="263" t="str">
        <f>IFERROR(IF($E290="Inventory",VLOOKUP($C290,Inventory!$B:$I,3,FALSE()),IF($E290="Non Inventory",VLOOKUP($C290,'Non Inventory'!$B:$I,3,FALSE()),IF($E290="Services",VLOOKUP($C290,Services!$B:$I,3,FALSE()),IF($E290="Patty Cash",VLOOKUP($C290,'Patty Cash'!$B:$J,3,FALSE()),"")))),"")</f>
        <v/>
      </c>
      <c r="G290" s="374"/>
      <c r="H290" s="374" t="str">
        <f t="shared" si="8"/>
        <v/>
      </c>
      <c r="I290" s="252">
        <f>IFERROR(IF($E290="Inventory",VLOOKUP($C290,Inventory!$B:$I,8,FALSE()),IF($E290="Non Inventory",VLOOKUP($C290,'Non Inventory'!$B:$I,8,FALSE()),IF($E290="Services",VLOOKUP($C290,Services!$B:$I,8,FALSE()),IF($E290="Patty Cash",VLOOKUP($C290,'Patty Cash'!$B:$J,8,FALSE()),0)))),0)</f>
        <v>0</v>
      </c>
      <c r="J290" s="252" t="str">
        <f t="shared" si="9"/>
        <v/>
      </c>
      <c r="K290" s="253"/>
      <c r="L290" s="253"/>
      <c r="M290" s="253"/>
      <c r="N290" s="328"/>
    </row>
    <row r="291" spans="1:14" ht="20.100000000000001" customHeight="1">
      <c r="A291" s="327" t="str">
        <f>IF(AND($B291="",$C291=""),"",MAX($A$3:A290)+1)</f>
        <v/>
      </c>
      <c r="B291" s="262"/>
      <c r="C291" s="253"/>
      <c r="D291" s="249" t="str">
        <f>IFERROR(IF($E291="Inventory",VLOOKUP($C291,Inventory!$B:$I,2,FALSE()),IF($E291="Non Inventory",VLOOKUP($C291,'Non Inventory'!$B:$I,2,FALSE()),IF($E291="Services",VLOOKUP($C291,Services!$B:$I,2,FALSE()),IF($E291="Patty Cash",VLOOKUP($C291,'Patty Cash'!$B:$J,2,FALSE()),"")))),"")</f>
        <v/>
      </c>
      <c r="E291" s="254"/>
      <c r="F291" s="263" t="str">
        <f>IFERROR(IF($E291="Inventory",VLOOKUP($C291,Inventory!$B:$I,3,FALSE()),IF($E291="Non Inventory",VLOOKUP($C291,'Non Inventory'!$B:$I,3,FALSE()),IF($E291="Services",VLOOKUP($C291,Services!$B:$I,3,FALSE()),IF($E291="Patty Cash",VLOOKUP($C291,'Patty Cash'!$B:$J,3,FALSE()),"")))),"")</f>
        <v/>
      </c>
      <c r="G291" s="374"/>
      <c r="H291" s="374" t="str">
        <f t="shared" si="8"/>
        <v/>
      </c>
      <c r="I291" s="252">
        <f>IFERROR(IF($E291="Inventory",VLOOKUP($C291,Inventory!$B:$I,8,FALSE()),IF($E291="Non Inventory",VLOOKUP($C291,'Non Inventory'!$B:$I,8,FALSE()),IF($E291="Services",VLOOKUP($C291,Services!$B:$I,8,FALSE()),IF($E291="Patty Cash",VLOOKUP($C291,'Patty Cash'!$B:$J,8,FALSE()),0)))),0)</f>
        <v>0</v>
      </c>
      <c r="J291" s="252" t="str">
        <f t="shared" si="9"/>
        <v/>
      </c>
      <c r="K291" s="253"/>
      <c r="L291" s="253"/>
      <c r="M291" s="253"/>
      <c r="N291" s="328"/>
    </row>
    <row r="292" spans="1:14" ht="20.100000000000001" customHeight="1">
      <c r="A292" s="327" t="str">
        <f>IF(AND($B292="",$C292=""),"",MAX($A$3:A291)+1)</f>
        <v/>
      </c>
      <c r="B292" s="262"/>
      <c r="C292" s="253"/>
      <c r="D292" s="249" t="str">
        <f>IFERROR(IF($E292="Inventory",VLOOKUP($C292,Inventory!$B:$I,2,FALSE()),IF($E292="Non Inventory",VLOOKUP($C292,'Non Inventory'!$B:$I,2,FALSE()),IF($E292="Services",VLOOKUP($C292,Services!$B:$I,2,FALSE()),IF($E292="Patty Cash",VLOOKUP($C292,'Patty Cash'!$B:$J,2,FALSE()),"")))),"")</f>
        <v/>
      </c>
      <c r="E292" s="254"/>
      <c r="F292" s="263" t="str">
        <f>IFERROR(IF($E292="Inventory",VLOOKUP($C292,Inventory!$B:$I,3,FALSE()),IF($E292="Non Inventory",VLOOKUP($C292,'Non Inventory'!$B:$I,3,FALSE()),IF($E292="Services",VLOOKUP($C292,Services!$B:$I,3,FALSE()),IF($E292="Patty Cash",VLOOKUP($C292,'Patty Cash'!$B:$J,3,FALSE()),"")))),"")</f>
        <v/>
      </c>
      <c r="G292" s="374"/>
      <c r="H292" s="374" t="str">
        <f t="shared" si="8"/>
        <v/>
      </c>
      <c r="I292" s="252">
        <f>IFERROR(IF($E292="Inventory",VLOOKUP($C292,Inventory!$B:$I,8,FALSE()),IF($E292="Non Inventory",VLOOKUP($C292,'Non Inventory'!$B:$I,8,FALSE()),IF($E292="Services",VLOOKUP($C292,Services!$B:$I,8,FALSE()),IF($E292="Patty Cash",VLOOKUP($C292,'Patty Cash'!$B:$J,8,FALSE()),0)))),0)</f>
        <v>0</v>
      </c>
      <c r="J292" s="252" t="str">
        <f t="shared" si="9"/>
        <v/>
      </c>
      <c r="K292" s="253"/>
      <c r="L292" s="253"/>
      <c r="M292" s="253"/>
      <c r="N292" s="328"/>
    </row>
    <row r="293" spans="1:14" ht="20.100000000000001" customHeight="1">
      <c r="A293" s="327" t="str">
        <f>IF(AND($B293="",$C293=""),"",MAX($A$3:A292)+1)</f>
        <v/>
      </c>
      <c r="B293" s="262"/>
      <c r="C293" s="253"/>
      <c r="D293" s="249" t="str">
        <f>IFERROR(IF($E293="Inventory",VLOOKUP($C293,Inventory!$B:$I,2,FALSE()),IF($E293="Non Inventory",VLOOKUP($C293,'Non Inventory'!$B:$I,2,FALSE()),IF($E293="Services",VLOOKUP($C293,Services!$B:$I,2,FALSE()),IF($E293="Patty Cash",VLOOKUP($C293,'Patty Cash'!$B:$J,2,FALSE()),"")))),"")</f>
        <v/>
      </c>
      <c r="E293" s="254"/>
      <c r="F293" s="263" t="str">
        <f>IFERROR(IF($E293="Inventory",VLOOKUP($C293,Inventory!$B:$I,3,FALSE()),IF($E293="Non Inventory",VLOOKUP($C293,'Non Inventory'!$B:$I,3,FALSE()),IF($E293="Services",VLOOKUP($C293,Services!$B:$I,3,FALSE()),IF($E293="Patty Cash",VLOOKUP($C293,'Patty Cash'!$B:$J,3,FALSE()),"")))),"")</f>
        <v/>
      </c>
      <c r="G293" s="374"/>
      <c r="H293" s="374" t="str">
        <f t="shared" si="8"/>
        <v/>
      </c>
      <c r="I293" s="252">
        <f>IFERROR(IF($E293="Inventory",VLOOKUP($C293,Inventory!$B:$I,8,FALSE()),IF($E293="Non Inventory",VLOOKUP($C293,'Non Inventory'!$B:$I,8,FALSE()),IF($E293="Services",VLOOKUP($C293,Services!$B:$I,8,FALSE()),IF($E293="Patty Cash",VLOOKUP($C293,'Patty Cash'!$B:$J,8,FALSE()),0)))),0)</f>
        <v>0</v>
      </c>
      <c r="J293" s="252" t="str">
        <f t="shared" si="9"/>
        <v/>
      </c>
      <c r="K293" s="253"/>
      <c r="L293" s="253"/>
      <c r="M293" s="253"/>
      <c r="N293" s="328"/>
    </row>
    <row r="294" spans="1:14" ht="20.100000000000001" customHeight="1">
      <c r="A294" s="327" t="str">
        <f>IF(AND($B294="",$C294=""),"",MAX($A$3:A293)+1)</f>
        <v/>
      </c>
      <c r="B294" s="262"/>
      <c r="C294" s="253"/>
      <c r="D294" s="249" t="str">
        <f>IFERROR(IF($E294="Inventory",VLOOKUP($C294,Inventory!$B:$I,2,FALSE()),IF($E294="Non Inventory",VLOOKUP($C294,'Non Inventory'!$B:$I,2,FALSE()),IF($E294="Services",VLOOKUP($C294,Services!$B:$I,2,FALSE()),IF($E294="Patty Cash",VLOOKUP($C294,'Patty Cash'!$B:$J,2,FALSE()),"")))),"")</f>
        <v/>
      </c>
      <c r="E294" s="254"/>
      <c r="F294" s="263" t="str">
        <f>IFERROR(IF($E294="Inventory",VLOOKUP($C294,Inventory!$B:$I,3,FALSE()),IF($E294="Non Inventory",VLOOKUP($C294,'Non Inventory'!$B:$I,3,FALSE()),IF($E294="Services",VLOOKUP($C294,Services!$B:$I,3,FALSE()),IF($E294="Patty Cash",VLOOKUP($C294,'Patty Cash'!$B:$J,3,FALSE()),"")))),"")</f>
        <v/>
      </c>
      <c r="G294" s="374"/>
      <c r="H294" s="374" t="str">
        <f t="shared" si="8"/>
        <v/>
      </c>
      <c r="I294" s="252">
        <f>IFERROR(IF($E294="Inventory",VLOOKUP($C294,Inventory!$B:$I,8,FALSE()),IF($E294="Non Inventory",VLOOKUP($C294,'Non Inventory'!$B:$I,8,FALSE()),IF($E294="Services",VLOOKUP($C294,Services!$B:$I,8,FALSE()),IF($E294="Patty Cash",VLOOKUP($C294,'Patty Cash'!$B:$J,8,FALSE()),0)))),0)</f>
        <v>0</v>
      </c>
      <c r="J294" s="252" t="str">
        <f t="shared" si="9"/>
        <v/>
      </c>
      <c r="K294" s="253"/>
      <c r="L294" s="253"/>
      <c r="M294" s="253"/>
      <c r="N294" s="328"/>
    </row>
    <row r="295" spans="1:14" ht="20.100000000000001" customHeight="1">
      <c r="A295" s="327" t="str">
        <f>IF(AND($B295="",$C295=""),"",MAX($A$3:A294)+1)</f>
        <v/>
      </c>
      <c r="B295" s="262"/>
      <c r="C295" s="253"/>
      <c r="D295" s="249" t="str">
        <f>IFERROR(IF($E295="Inventory",VLOOKUP($C295,Inventory!$B:$I,2,FALSE()),IF($E295="Non Inventory",VLOOKUP($C295,'Non Inventory'!$B:$I,2,FALSE()),IF($E295="Services",VLOOKUP($C295,Services!$B:$I,2,FALSE()),IF($E295="Patty Cash",VLOOKUP($C295,'Patty Cash'!$B:$J,2,FALSE()),"")))),"")</f>
        <v/>
      </c>
      <c r="E295" s="254"/>
      <c r="F295" s="263" t="str">
        <f>IFERROR(IF($E295="Inventory",VLOOKUP($C295,Inventory!$B:$I,3,FALSE()),IF($E295="Non Inventory",VLOOKUP($C295,'Non Inventory'!$B:$I,3,FALSE()),IF($E295="Services",VLOOKUP($C295,Services!$B:$I,3,FALSE()),IF($E295="Patty Cash",VLOOKUP($C295,'Patty Cash'!$B:$J,3,FALSE()),"")))),"")</f>
        <v/>
      </c>
      <c r="G295" s="374"/>
      <c r="H295" s="374" t="str">
        <f t="shared" si="8"/>
        <v/>
      </c>
      <c r="I295" s="252">
        <f>IFERROR(IF($E295="Inventory",VLOOKUP($C295,Inventory!$B:$I,8,FALSE()),IF($E295="Non Inventory",VLOOKUP($C295,'Non Inventory'!$B:$I,8,FALSE()),IF($E295="Services",VLOOKUP($C295,Services!$B:$I,8,FALSE()),IF($E295="Patty Cash",VLOOKUP($C295,'Patty Cash'!$B:$J,8,FALSE()),0)))),0)</f>
        <v>0</v>
      </c>
      <c r="J295" s="252" t="str">
        <f t="shared" si="9"/>
        <v/>
      </c>
      <c r="K295" s="253"/>
      <c r="L295" s="253"/>
      <c r="M295" s="253"/>
      <c r="N295" s="328"/>
    </row>
    <row r="296" spans="1:14" ht="20.100000000000001" customHeight="1">
      <c r="A296" s="327" t="str">
        <f>IF(AND($B296="",$C296=""),"",MAX($A$3:A295)+1)</f>
        <v/>
      </c>
      <c r="B296" s="262"/>
      <c r="C296" s="253"/>
      <c r="D296" s="249" t="str">
        <f>IFERROR(IF($E296="Inventory",VLOOKUP($C296,Inventory!$B:$I,2,FALSE()),IF($E296="Non Inventory",VLOOKUP($C296,'Non Inventory'!$B:$I,2,FALSE()),IF($E296="Services",VLOOKUP($C296,Services!$B:$I,2,FALSE()),IF($E296="Patty Cash",VLOOKUP($C296,'Patty Cash'!$B:$J,2,FALSE()),"")))),"")</f>
        <v/>
      </c>
      <c r="E296" s="254"/>
      <c r="F296" s="263" t="str">
        <f>IFERROR(IF($E296="Inventory",VLOOKUP($C296,Inventory!$B:$I,3,FALSE()),IF($E296="Non Inventory",VLOOKUP($C296,'Non Inventory'!$B:$I,3,FALSE()),IF($E296="Services",VLOOKUP($C296,Services!$B:$I,3,FALSE()),IF($E296="Patty Cash",VLOOKUP($C296,'Patty Cash'!$B:$J,3,FALSE()),"")))),"")</f>
        <v/>
      </c>
      <c r="G296" s="374"/>
      <c r="H296" s="374" t="str">
        <f t="shared" si="8"/>
        <v/>
      </c>
      <c r="I296" s="252">
        <f>IFERROR(IF($E296="Inventory",VLOOKUP($C296,Inventory!$B:$I,8,FALSE()),IF($E296="Non Inventory",VLOOKUP($C296,'Non Inventory'!$B:$I,8,FALSE()),IF($E296="Services",VLOOKUP($C296,Services!$B:$I,8,FALSE()),IF($E296="Patty Cash",VLOOKUP($C296,'Patty Cash'!$B:$J,8,FALSE()),0)))),0)</f>
        <v>0</v>
      </c>
      <c r="J296" s="252" t="str">
        <f t="shared" si="9"/>
        <v/>
      </c>
      <c r="K296" s="253"/>
      <c r="L296" s="253"/>
      <c r="M296" s="253"/>
      <c r="N296" s="328"/>
    </row>
    <row r="297" spans="1:14" ht="20.100000000000001" customHeight="1">
      <c r="A297" s="327" t="str">
        <f>IF(AND($B297="",$C297=""),"",MAX($A$3:A296)+1)</f>
        <v/>
      </c>
      <c r="B297" s="262"/>
      <c r="C297" s="253"/>
      <c r="D297" s="249" t="str">
        <f>IFERROR(IF($E297="Inventory",VLOOKUP($C297,Inventory!$B:$I,2,FALSE()),IF($E297="Non Inventory",VLOOKUP($C297,'Non Inventory'!$B:$I,2,FALSE()),IF($E297="Services",VLOOKUP($C297,Services!$B:$I,2,FALSE()),IF($E297="Patty Cash",VLOOKUP($C297,'Patty Cash'!$B:$J,2,FALSE()),"")))),"")</f>
        <v/>
      </c>
      <c r="E297" s="254"/>
      <c r="F297" s="263" t="str">
        <f>IFERROR(IF($E297="Inventory",VLOOKUP($C297,Inventory!$B:$I,3,FALSE()),IF($E297="Non Inventory",VLOOKUP($C297,'Non Inventory'!$B:$I,3,FALSE()),IF($E297="Services",VLOOKUP($C297,Services!$B:$I,3,FALSE()),IF($E297="Patty Cash",VLOOKUP($C297,'Patty Cash'!$B:$J,3,FALSE()),"")))),"")</f>
        <v/>
      </c>
      <c r="G297" s="374"/>
      <c r="H297" s="374" t="str">
        <f t="shared" si="8"/>
        <v/>
      </c>
      <c r="I297" s="252">
        <f>IFERROR(IF($E297="Inventory",VLOOKUP($C297,Inventory!$B:$I,8,FALSE()),IF($E297="Non Inventory",VLOOKUP($C297,'Non Inventory'!$B:$I,8,FALSE()),IF($E297="Services",VLOOKUP($C297,Services!$B:$I,8,FALSE()),IF($E297="Patty Cash",VLOOKUP($C297,'Patty Cash'!$B:$J,8,FALSE()),0)))),0)</f>
        <v>0</v>
      </c>
      <c r="J297" s="252" t="str">
        <f t="shared" si="9"/>
        <v/>
      </c>
      <c r="K297" s="253"/>
      <c r="L297" s="253"/>
      <c r="M297" s="253"/>
      <c r="N297" s="328"/>
    </row>
    <row r="298" spans="1:14" ht="20.100000000000001" customHeight="1">
      <c r="A298" s="327" t="str">
        <f>IF(AND($B298="",$C298=""),"",MAX($A$3:A297)+1)</f>
        <v/>
      </c>
      <c r="B298" s="262"/>
      <c r="C298" s="253"/>
      <c r="D298" s="249" t="str">
        <f>IFERROR(IF($E298="Inventory",VLOOKUP($C298,Inventory!$B:$I,2,FALSE()),IF($E298="Non Inventory",VLOOKUP($C298,'Non Inventory'!$B:$I,2,FALSE()),IF($E298="Services",VLOOKUP($C298,Services!$B:$I,2,FALSE()),IF($E298="Patty Cash",VLOOKUP($C298,'Patty Cash'!$B:$J,2,FALSE()),"")))),"")</f>
        <v/>
      </c>
      <c r="E298" s="254"/>
      <c r="F298" s="263" t="str">
        <f>IFERROR(IF($E298="Inventory",VLOOKUP($C298,Inventory!$B:$I,3,FALSE()),IF($E298="Non Inventory",VLOOKUP($C298,'Non Inventory'!$B:$I,3,FALSE()),IF($E298="Services",VLOOKUP($C298,Services!$B:$I,3,FALSE()),IF($E298="Patty Cash",VLOOKUP($C298,'Patty Cash'!$B:$J,3,FALSE()),"")))),"")</f>
        <v/>
      </c>
      <c r="G298" s="374"/>
      <c r="H298" s="374" t="str">
        <f t="shared" si="8"/>
        <v/>
      </c>
      <c r="I298" s="252">
        <f>IFERROR(IF($E298="Inventory",VLOOKUP($C298,Inventory!$B:$I,8,FALSE()),IF($E298="Non Inventory",VLOOKUP($C298,'Non Inventory'!$B:$I,8,FALSE()),IF($E298="Services",VLOOKUP($C298,Services!$B:$I,8,FALSE()),IF($E298="Patty Cash",VLOOKUP($C298,'Patty Cash'!$B:$J,8,FALSE()),0)))),0)</f>
        <v>0</v>
      </c>
      <c r="J298" s="252" t="str">
        <f t="shared" si="9"/>
        <v/>
      </c>
      <c r="K298" s="253"/>
      <c r="L298" s="253"/>
      <c r="M298" s="253"/>
      <c r="N298" s="328"/>
    </row>
    <row r="299" spans="1:14" ht="20.100000000000001" customHeight="1">
      <c r="A299" s="327" t="str">
        <f>IF(AND($B299="",$C299=""),"",MAX($A$3:A298)+1)</f>
        <v/>
      </c>
      <c r="B299" s="262"/>
      <c r="C299" s="253"/>
      <c r="D299" s="249" t="str">
        <f>IFERROR(IF($E299="Inventory",VLOOKUP($C299,Inventory!$B:$I,2,FALSE()),IF($E299="Non Inventory",VLOOKUP($C299,'Non Inventory'!$B:$I,2,FALSE()),IF($E299="Services",VLOOKUP($C299,Services!$B:$I,2,FALSE()),IF($E299="Patty Cash",VLOOKUP($C299,'Patty Cash'!$B:$J,2,FALSE()),"")))),"")</f>
        <v/>
      </c>
      <c r="E299" s="254"/>
      <c r="F299" s="263" t="str">
        <f>IFERROR(IF($E299="Inventory",VLOOKUP($C299,Inventory!$B:$I,3,FALSE()),IF($E299="Non Inventory",VLOOKUP($C299,'Non Inventory'!$B:$I,3,FALSE()),IF($E299="Services",VLOOKUP($C299,Services!$B:$I,3,FALSE()),IF($E299="Patty Cash",VLOOKUP($C299,'Patty Cash'!$B:$J,3,FALSE()),"")))),"")</f>
        <v/>
      </c>
      <c r="G299" s="374"/>
      <c r="H299" s="374" t="str">
        <f t="shared" si="8"/>
        <v/>
      </c>
      <c r="I299" s="252">
        <f>IFERROR(IF($E299="Inventory",VLOOKUP($C299,Inventory!$B:$I,8,FALSE()),IF($E299="Non Inventory",VLOOKUP($C299,'Non Inventory'!$B:$I,8,FALSE()),IF($E299="Services",VLOOKUP($C299,Services!$B:$I,8,FALSE()),IF($E299="Patty Cash",VLOOKUP($C299,'Patty Cash'!$B:$J,8,FALSE()),0)))),0)</f>
        <v>0</v>
      </c>
      <c r="J299" s="252" t="str">
        <f t="shared" si="9"/>
        <v/>
      </c>
      <c r="K299" s="253"/>
      <c r="L299" s="253"/>
      <c r="M299" s="253"/>
      <c r="N299" s="328"/>
    </row>
    <row r="300" spans="1:14" ht="20.100000000000001" customHeight="1">
      <c r="A300" s="327" t="str">
        <f>IF(AND($B300="",$C300=""),"",MAX($A$3:A299)+1)</f>
        <v/>
      </c>
      <c r="B300" s="262"/>
      <c r="C300" s="253"/>
      <c r="D300" s="249" t="str">
        <f>IFERROR(IF($E300="Inventory",VLOOKUP($C300,Inventory!$B:$I,2,FALSE()),IF($E300="Non Inventory",VLOOKUP($C300,'Non Inventory'!$B:$I,2,FALSE()),IF($E300="Services",VLOOKUP($C300,Services!$B:$I,2,FALSE()),IF($E300="Patty Cash",VLOOKUP($C300,'Patty Cash'!$B:$J,2,FALSE()),"")))),"")</f>
        <v/>
      </c>
      <c r="E300" s="254"/>
      <c r="F300" s="263" t="str">
        <f>IFERROR(IF($E300="Inventory",VLOOKUP($C300,Inventory!$B:$I,3,FALSE()),IF($E300="Non Inventory",VLOOKUP($C300,'Non Inventory'!$B:$I,3,FALSE()),IF($E300="Services",VLOOKUP($C300,Services!$B:$I,3,FALSE()),IF($E300="Patty Cash",VLOOKUP($C300,'Patty Cash'!$B:$J,3,FALSE()),"")))),"")</f>
        <v/>
      </c>
      <c r="G300" s="374"/>
      <c r="H300" s="374" t="str">
        <f t="shared" si="8"/>
        <v/>
      </c>
      <c r="I300" s="252">
        <f>IFERROR(IF($E300="Inventory",VLOOKUP($C300,Inventory!$B:$I,8,FALSE()),IF($E300="Non Inventory",VLOOKUP($C300,'Non Inventory'!$B:$I,8,FALSE()),IF($E300="Services",VLOOKUP($C300,Services!$B:$I,8,FALSE()),IF($E300="Patty Cash",VLOOKUP($C300,'Patty Cash'!$B:$J,8,FALSE()),0)))),0)</f>
        <v>0</v>
      </c>
      <c r="J300" s="252" t="str">
        <f t="shared" si="9"/>
        <v/>
      </c>
      <c r="K300" s="253"/>
      <c r="L300" s="253"/>
      <c r="M300" s="253"/>
      <c r="N300" s="328"/>
    </row>
    <row r="301" spans="1:14" ht="20.100000000000001" customHeight="1">
      <c r="A301" s="327" t="str">
        <f>IF(AND($B301="",$C301=""),"",MAX($A$3:A300)+1)</f>
        <v/>
      </c>
      <c r="B301" s="262"/>
      <c r="C301" s="253"/>
      <c r="D301" s="249" t="str">
        <f>IFERROR(IF($E301="Inventory",VLOOKUP($C301,Inventory!$B:$I,2,FALSE()),IF($E301="Non Inventory",VLOOKUP($C301,'Non Inventory'!$B:$I,2,FALSE()),IF($E301="Services",VLOOKUP($C301,Services!$B:$I,2,FALSE()),IF($E301="Patty Cash",VLOOKUP($C301,'Patty Cash'!$B:$J,2,FALSE()),"")))),"")</f>
        <v/>
      </c>
      <c r="E301" s="254"/>
      <c r="F301" s="263" t="str">
        <f>IFERROR(IF($E301="Inventory",VLOOKUP($C301,Inventory!$B:$I,3,FALSE()),IF($E301="Non Inventory",VLOOKUP($C301,'Non Inventory'!$B:$I,3,FALSE()),IF($E301="Services",VLOOKUP($C301,Services!$B:$I,3,FALSE()),IF($E301="Patty Cash",VLOOKUP($C301,'Patty Cash'!$B:$J,3,FALSE()),"")))),"")</f>
        <v/>
      </c>
      <c r="G301" s="374"/>
      <c r="H301" s="374" t="str">
        <f t="shared" si="8"/>
        <v/>
      </c>
      <c r="I301" s="252">
        <f>IFERROR(IF($E301="Inventory",VLOOKUP($C301,Inventory!$B:$I,8,FALSE()),IF($E301="Non Inventory",VLOOKUP($C301,'Non Inventory'!$B:$I,8,FALSE()),IF($E301="Services",VLOOKUP($C301,Services!$B:$I,8,FALSE()),IF($E301="Patty Cash",VLOOKUP($C301,'Patty Cash'!$B:$J,8,FALSE()),0)))),0)</f>
        <v>0</v>
      </c>
      <c r="J301" s="252" t="str">
        <f t="shared" si="9"/>
        <v/>
      </c>
      <c r="K301" s="253"/>
      <c r="L301" s="253"/>
      <c r="M301" s="253"/>
      <c r="N301" s="328"/>
    </row>
    <row r="302" spans="1:14" ht="20.100000000000001" customHeight="1">
      <c r="A302" s="327" t="str">
        <f>IF(AND($B302="",$C302=""),"",MAX($A$3:A301)+1)</f>
        <v/>
      </c>
      <c r="B302" s="262"/>
      <c r="C302" s="253"/>
      <c r="D302" s="249" t="str">
        <f>IFERROR(IF($E302="Inventory",VLOOKUP($C302,Inventory!$B:$I,2,FALSE()),IF($E302="Non Inventory",VLOOKUP($C302,'Non Inventory'!$B:$I,2,FALSE()),IF($E302="Services",VLOOKUP($C302,Services!$B:$I,2,FALSE()),IF($E302="Patty Cash",VLOOKUP($C302,'Patty Cash'!$B:$J,2,FALSE()),"")))),"")</f>
        <v/>
      </c>
      <c r="E302" s="254"/>
      <c r="F302" s="263" t="str">
        <f>IFERROR(IF($E302="Inventory",VLOOKUP($C302,Inventory!$B:$I,3,FALSE()),IF($E302="Non Inventory",VLOOKUP($C302,'Non Inventory'!$B:$I,3,FALSE()),IF($E302="Services",VLOOKUP($C302,Services!$B:$I,3,FALSE()),IF($E302="Patty Cash",VLOOKUP($C302,'Patty Cash'!$B:$J,3,FALSE()),"")))),"")</f>
        <v/>
      </c>
      <c r="G302" s="374"/>
      <c r="H302" s="374" t="str">
        <f t="shared" si="8"/>
        <v/>
      </c>
      <c r="I302" s="252">
        <f>IFERROR(IF($E302="Inventory",VLOOKUP($C302,Inventory!$B:$I,8,FALSE()),IF($E302="Non Inventory",VLOOKUP($C302,'Non Inventory'!$B:$I,8,FALSE()),IF($E302="Services",VLOOKUP($C302,Services!$B:$I,8,FALSE()),IF($E302="Patty Cash",VLOOKUP($C302,'Patty Cash'!$B:$J,8,FALSE()),0)))),0)</f>
        <v>0</v>
      </c>
      <c r="J302" s="252" t="str">
        <f t="shared" si="9"/>
        <v/>
      </c>
      <c r="K302" s="253"/>
      <c r="L302" s="253"/>
      <c r="M302" s="253"/>
      <c r="N302" s="328"/>
    </row>
    <row r="303" spans="1:14" ht="20.100000000000001" customHeight="1">
      <c r="A303" s="327" t="str">
        <f>IF(AND($B303="",$C303=""),"",MAX($A$3:A302)+1)</f>
        <v/>
      </c>
      <c r="B303" s="262"/>
      <c r="C303" s="253"/>
      <c r="D303" s="249" t="str">
        <f>IFERROR(IF($E303="Inventory",VLOOKUP($C303,Inventory!$B:$I,2,FALSE()),IF($E303="Non Inventory",VLOOKUP($C303,'Non Inventory'!$B:$I,2,FALSE()),IF($E303="Services",VLOOKUP($C303,Services!$B:$I,2,FALSE()),IF($E303="Patty Cash",VLOOKUP($C303,'Patty Cash'!$B:$J,2,FALSE()),"")))),"")</f>
        <v/>
      </c>
      <c r="E303" s="254"/>
      <c r="F303" s="263" t="str">
        <f>IFERROR(IF($E303="Inventory",VLOOKUP($C303,Inventory!$B:$I,3,FALSE()),IF($E303="Non Inventory",VLOOKUP($C303,'Non Inventory'!$B:$I,3,FALSE()),IF($E303="Services",VLOOKUP($C303,Services!$B:$I,3,FALSE()),IF($E303="Patty Cash",VLOOKUP($C303,'Patty Cash'!$B:$J,3,FALSE()),"")))),"")</f>
        <v/>
      </c>
      <c r="G303" s="374"/>
      <c r="H303" s="374" t="str">
        <f t="shared" si="8"/>
        <v/>
      </c>
      <c r="I303" s="252">
        <f>IFERROR(IF($E303="Inventory",VLOOKUP($C303,Inventory!$B:$I,8,FALSE()),IF($E303="Non Inventory",VLOOKUP($C303,'Non Inventory'!$B:$I,8,FALSE()),IF($E303="Services",VLOOKUP($C303,Services!$B:$I,8,FALSE()),IF($E303="Patty Cash",VLOOKUP($C303,'Patty Cash'!$B:$J,8,FALSE()),0)))),0)</f>
        <v>0</v>
      </c>
      <c r="J303" s="252" t="str">
        <f t="shared" si="9"/>
        <v/>
      </c>
      <c r="K303" s="253"/>
      <c r="L303" s="253"/>
      <c r="M303" s="253"/>
      <c r="N303" s="328"/>
    </row>
    <row r="304" spans="1:14" ht="20.100000000000001" customHeight="1">
      <c r="A304" s="327" t="str">
        <f>IF(AND($B304="",$C304=""),"",MAX($A$3:A303)+1)</f>
        <v/>
      </c>
      <c r="B304" s="262"/>
      <c r="C304" s="253"/>
      <c r="D304" s="249" t="str">
        <f>IFERROR(IF($E304="Inventory",VLOOKUP($C304,Inventory!$B:$I,2,FALSE()),IF($E304="Non Inventory",VLOOKUP($C304,'Non Inventory'!$B:$I,2,FALSE()),IF($E304="Services",VLOOKUP($C304,Services!$B:$I,2,FALSE()),IF($E304="Patty Cash",VLOOKUP($C304,'Patty Cash'!$B:$J,2,FALSE()),"")))),"")</f>
        <v/>
      </c>
      <c r="E304" s="254"/>
      <c r="F304" s="263" t="str">
        <f>IFERROR(IF($E304="Inventory",VLOOKUP($C304,Inventory!$B:$I,3,FALSE()),IF($E304="Non Inventory",VLOOKUP($C304,'Non Inventory'!$B:$I,3,FALSE()),IF($E304="Services",VLOOKUP($C304,Services!$B:$I,3,FALSE()),IF($E304="Patty Cash",VLOOKUP($C304,'Patty Cash'!$B:$J,3,FALSE()),"")))),"")</f>
        <v/>
      </c>
      <c r="G304" s="374"/>
      <c r="H304" s="374" t="str">
        <f t="shared" si="8"/>
        <v/>
      </c>
      <c r="I304" s="252">
        <f>IFERROR(IF($E304="Inventory",VLOOKUP($C304,Inventory!$B:$I,8,FALSE()),IF($E304="Non Inventory",VLOOKUP($C304,'Non Inventory'!$B:$I,8,FALSE()),IF($E304="Services",VLOOKUP($C304,Services!$B:$I,8,FALSE()),IF($E304="Patty Cash",VLOOKUP($C304,'Patty Cash'!$B:$J,8,FALSE()),0)))),0)</f>
        <v>0</v>
      </c>
      <c r="J304" s="252" t="str">
        <f t="shared" si="9"/>
        <v/>
      </c>
      <c r="K304" s="253"/>
      <c r="L304" s="253"/>
      <c r="M304" s="253"/>
      <c r="N304" s="328"/>
    </row>
    <row r="305" spans="1:14" ht="20.100000000000001" customHeight="1">
      <c r="A305" s="327" t="str">
        <f>IF(AND($B305="",$C305=""),"",MAX($A$3:A304)+1)</f>
        <v/>
      </c>
      <c r="B305" s="262"/>
      <c r="C305" s="253"/>
      <c r="D305" s="249" t="str">
        <f>IFERROR(IF($E305="Inventory",VLOOKUP($C305,Inventory!$B:$I,2,FALSE()),IF($E305="Non Inventory",VLOOKUP($C305,'Non Inventory'!$B:$I,2,FALSE()),IF($E305="Services",VLOOKUP($C305,Services!$B:$I,2,FALSE()),IF($E305="Patty Cash",VLOOKUP($C305,'Patty Cash'!$B:$J,2,FALSE()),"")))),"")</f>
        <v/>
      </c>
      <c r="E305" s="254"/>
      <c r="F305" s="263" t="str">
        <f>IFERROR(IF($E305="Inventory",VLOOKUP($C305,Inventory!$B:$I,3,FALSE()),IF($E305="Non Inventory",VLOOKUP($C305,'Non Inventory'!$B:$I,3,FALSE()),IF($E305="Services",VLOOKUP($C305,Services!$B:$I,3,FALSE()),IF($E305="Patty Cash",VLOOKUP($C305,'Patty Cash'!$B:$J,3,FALSE()),"")))),"")</f>
        <v/>
      </c>
      <c r="G305" s="374"/>
      <c r="H305" s="374" t="str">
        <f t="shared" si="8"/>
        <v/>
      </c>
      <c r="I305" s="252">
        <f>IFERROR(IF($E305="Inventory",VLOOKUP($C305,Inventory!$B:$I,8,FALSE()),IF($E305="Non Inventory",VLOOKUP($C305,'Non Inventory'!$B:$I,8,FALSE()),IF($E305="Services",VLOOKUP($C305,Services!$B:$I,8,FALSE()),IF($E305="Patty Cash",VLOOKUP($C305,'Patty Cash'!$B:$J,8,FALSE()),0)))),0)</f>
        <v>0</v>
      </c>
      <c r="J305" s="252" t="str">
        <f t="shared" si="9"/>
        <v/>
      </c>
      <c r="K305" s="253"/>
      <c r="L305" s="253"/>
      <c r="M305" s="253"/>
      <c r="N305" s="328"/>
    </row>
    <row r="306" spans="1:14" ht="20.100000000000001" customHeight="1">
      <c r="A306" s="327" t="str">
        <f>IF(AND($B306="",$C306=""),"",MAX($A$3:A305)+1)</f>
        <v/>
      </c>
      <c r="B306" s="262"/>
      <c r="C306" s="253"/>
      <c r="D306" s="249" t="str">
        <f>IFERROR(IF($E306="Inventory",VLOOKUP($C306,Inventory!$B:$I,2,FALSE()),IF($E306="Non Inventory",VLOOKUP($C306,'Non Inventory'!$B:$I,2,FALSE()),IF($E306="Services",VLOOKUP($C306,Services!$B:$I,2,FALSE()),IF($E306="Patty Cash",VLOOKUP($C306,'Patty Cash'!$B:$J,2,FALSE()),"")))),"")</f>
        <v/>
      </c>
      <c r="E306" s="254"/>
      <c r="F306" s="263" t="str">
        <f>IFERROR(IF($E306="Inventory",VLOOKUP($C306,Inventory!$B:$I,3,FALSE()),IF($E306="Non Inventory",VLOOKUP($C306,'Non Inventory'!$B:$I,3,FALSE()),IF($E306="Services",VLOOKUP($C306,Services!$B:$I,3,FALSE()),IF($E306="Patty Cash",VLOOKUP($C306,'Patty Cash'!$B:$J,3,FALSE()),"")))),"")</f>
        <v/>
      </c>
      <c r="G306" s="374"/>
      <c r="H306" s="374" t="str">
        <f t="shared" si="8"/>
        <v/>
      </c>
      <c r="I306" s="252">
        <f>IFERROR(IF($E306="Inventory",VLOOKUP($C306,Inventory!$B:$I,8,FALSE()),IF($E306="Non Inventory",VLOOKUP($C306,'Non Inventory'!$B:$I,8,FALSE()),IF($E306="Services",VLOOKUP($C306,Services!$B:$I,8,FALSE()),IF($E306="Patty Cash",VLOOKUP($C306,'Patty Cash'!$B:$J,8,FALSE()),0)))),0)</f>
        <v>0</v>
      </c>
      <c r="J306" s="252" t="str">
        <f t="shared" si="9"/>
        <v/>
      </c>
      <c r="K306" s="253"/>
      <c r="L306" s="253"/>
      <c r="M306" s="253"/>
      <c r="N306" s="328"/>
    </row>
    <row r="307" spans="1:14" ht="20.100000000000001" customHeight="1">
      <c r="A307" s="327" t="str">
        <f>IF(AND($B307="",$C307=""),"",MAX($A$3:A306)+1)</f>
        <v/>
      </c>
      <c r="B307" s="262"/>
      <c r="C307" s="253"/>
      <c r="D307" s="249" t="str">
        <f>IFERROR(IF($E307="Inventory",VLOOKUP($C307,Inventory!$B:$I,2,FALSE()),IF($E307="Non Inventory",VLOOKUP($C307,'Non Inventory'!$B:$I,2,FALSE()),IF($E307="Services",VLOOKUP($C307,Services!$B:$I,2,FALSE()),IF($E307="Patty Cash",VLOOKUP($C307,'Patty Cash'!$B:$J,2,FALSE()),"")))),"")</f>
        <v/>
      </c>
      <c r="E307" s="254"/>
      <c r="F307" s="263" t="str">
        <f>IFERROR(IF($E307="Inventory",VLOOKUP($C307,Inventory!$B:$I,3,FALSE()),IF($E307="Non Inventory",VLOOKUP($C307,'Non Inventory'!$B:$I,3,FALSE()),IF($E307="Services",VLOOKUP($C307,Services!$B:$I,3,FALSE()),IF($E307="Patty Cash",VLOOKUP($C307,'Patty Cash'!$B:$J,3,FALSE()),"")))),"")</f>
        <v/>
      </c>
      <c r="G307" s="374"/>
      <c r="H307" s="374" t="str">
        <f t="shared" si="8"/>
        <v/>
      </c>
      <c r="I307" s="252">
        <f>IFERROR(IF($E307="Inventory",VLOOKUP($C307,Inventory!$B:$I,8,FALSE()),IF($E307="Non Inventory",VLOOKUP($C307,'Non Inventory'!$B:$I,8,FALSE()),IF($E307="Services",VLOOKUP($C307,Services!$B:$I,8,FALSE()),IF($E307="Patty Cash",VLOOKUP($C307,'Patty Cash'!$B:$J,8,FALSE()),0)))),0)</f>
        <v>0</v>
      </c>
      <c r="J307" s="252" t="str">
        <f t="shared" si="9"/>
        <v/>
      </c>
      <c r="K307" s="253"/>
      <c r="L307" s="253"/>
      <c r="M307" s="253"/>
      <c r="N307" s="328"/>
    </row>
    <row r="308" spans="1:14" ht="20.100000000000001" customHeight="1">
      <c r="A308" s="327" t="str">
        <f>IF(AND($B308="",$C308=""),"",MAX($A$3:A307)+1)</f>
        <v/>
      </c>
      <c r="B308" s="262"/>
      <c r="C308" s="253"/>
      <c r="D308" s="249" t="str">
        <f>IFERROR(IF($E308="Inventory",VLOOKUP($C308,Inventory!$B:$I,2,FALSE()),IF($E308="Non Inventory",VLOOKUP($C308,'Non Inventory'!$B:$I,2,FALSE()),IF($E308="Services",VLOOKUP($C308,Services!$B:$I,2,FALSE()),IF($E308="Patty Cash",VLOOKUP($C308,'Patty Cash'!$B:$J,2,FALSE()),"")))),"")</f>
        <v/>
      </c>
      <c r="E308" s="254"/>
      <c r="F308" s="263" t="str">
        <f>IFERROR(IF($E308="Inventory",VLOOKUP($C308,Inventory!$B:$I,3,FALSE()),IF($E308="Non Inventory",VLOOKUP($C308,'Non Inventory'!$B:$I,3,FALSE()),IF($E308="Services",VLOOKUP($C308,Services!$B:$I,3,FALSE()),IF($E308="Patty Cash",VLOOKUP($C308,'Patty Cash'!$B:$J,3,FALSE()),"")))),"")</f>
        <v/>
      </c>
      <c r="G308" s="374"/>
      <c r="H308" s="374" t="str">
        <f t="shared" si="8"/>
        <v/>
      </c>
      <c r="I308" s="252">
        <f>IFERROR(IF($E308="Inventory",VLOOKUP($C308,Inventory!$B:$I,8,FALSE()),IF($E308="Non Inventory",VLOOKUP($C308,'Non Inventory'!$B:$I,8,FALSE()),IF($E308="Services",VLOOKUP($C308,Services!$B:$I,8,FALSE()),IF($E308="Patty Cash",VLOOKUP($C308,'Patty Cash'!$B:$J,8,FALSE()),0)))),0)</f>
        <v>0</v>
      </c>
      <c r="J308" s="252" t="str">
        <f t="shared" si="9"/>
        <v/>
      </c>
      <c r="K308" s="253"/>
      <c r="L308" s="253"/>
      <c r="M308" s="253"/>
      <c r="N308" s="328"/>
    </row>
    <row r="309" spans="1:14" ht="20.100000000000001" customHeight="1">
      <c r="A309" s="327" t="str">
        <f>IF(AND($B309="",$C309=""),"",MAX($A$3:A308)+1)</f>
        <v/>
      </c>
      <c r="B309" s="262"/>
      <c r="C309" s="253"/>
      <c r="D309" s="249" t="str">
        <f>IFERROR(IF($E309="Inventory",VLOOKUP($C309,Inventory!$B:$I,2,FALSE()),IF($E309="Non Inventory",VLOOKUP($C309,'Non Inventory'!$B:$I,2,FALSE()),IF($E309="Services",VLOOKUP($C309,Services!$B:$I,2,FALSE()),IF($E309="Patty Cash",VLOOKUP($C309,'Patty Cash'!$B:$J,2,FALSE()),"")))),"")</f>
        <v/>
      </c>
      <c r="E309" s="254"/>
      <c r="F309" s="263" t="str">
        <f>IFERROR(IF($E309="Inventory",VLOOKUP($C309,Inventory!$B:$I,3,FALSE()),IF($E309="Non Inventory",VLOOKUP($C309,'Non Inventory'!$B:$I,3,FALSE()),IF($E309="Services",VLOOKUP($C309,Services!$B:$I,3,FALSE()),IF($E309="Patty Cash",VLOOKUP($C309,'Patty Cash'!$B:$J,3,FALSE()),"")))),"")</f>
        <v/>
      </c>
      <c r="G309" s="374"/>
      <c r="H309" s="374" t="str">
        <f t="shared" si="8"/>
        <v/>
      </c>
      <c r="I309" s="252">
        <f>IFERROR(IF($E309="Inventory",VLOOKUP($C309,Inventory!$B:$I,8,FALSE()),IF($E309="Non Inventory",VLOOKUP($C309,'Non Inventory'!$B:$I,8,FALSE()),IF($E309="Services",VLOOKUP($C309,Services!$B:$I,8,FALSE()),IF($E309="Patty Cash",VLOOKUP($C309,'Patty Cash'!$B:$J,8,FALSE()),0)))),0)</f>
        <v>0</v>
      </c>
      <c r="J309" s="252" t="str">
        <f t="shared" si="9"/>
        <v/>
      </c>
      <c r="K309" s="253"/>
      <c r="L309" s="253"/>
      <c r="M309" s="253"/>
      <c r="N309" s="328"/>
    </row>
    <row r="310" spans="1:14" ht="20.100000000000001" customHeight="1">
      <c r="A310" s="327" t="str">
        <f>IF(AND($B310="",$C310=""),"",MAX($A$3:A309)+1)</f>
        <v/>
      </c>
      <c r="B310" s="262"/>
      <c r="C310" s="253"/>
      <c r="D310" s="249" t="str">
        <f>IFERROR(IF($E310="Inventory",VLOOKUP($C310,Inventory!$B:$I,2,FALSE()),IF($E310="Non Inventory",VLOOKUP($C310,'Non Inventory'!$B:$I,2,FALSE()),IF($E310="Services",VLOOKUP($C310,Services!$B:$I,2,FALSE()),IF($E310="Patty Cash",VLOOKUP($C310,'Patty Cash'!$B:$J,2,FALSE()),"")))),"")</f>
        <v/>
      </c>
      <c r="E310" s="254"/>
      <c r="F310" s="263" t="str">
        <f>IFERROR(IF($E310="Inventory",VLOOKUP($C310,Inventory!$B:$I,3,FALSE()),IF($E310="Non Inventory",VLOOKUP($C310,'Non Inventory'!$B:$I,3,FALSE()),IF($E310="Services",VLOOKUP($C310,Services!$B:$I,3,FALSE()),IF($E310="Patty Cash",VLOOKUP($C310,'Patty Cash'!$B:$J,3,FALSE()),"")))),"")</f>
        <v/>
      </c>
      <c r="G310" s="374"/>
      <c r="H310" s="374" t="str">
        <f t="shared" si="8"/>
        <v/>
      </c>
      <c r="I310" s="252">
        <f>IFERROR(IF($E310="Inventory",VLOOKUP($C310,Inventory!$B:$I,8,FALSE()),IF($E310="Non Inventory",VLOOKUP($C310,'Non Inventory'!$B:$I,8,FALSE()),IF($E310="Services",VLOOKUP($C310,Services!$B:$I,8,FALSE()),IF($E310="Patty Cash",VLOOKUP($C310,'Patty Cash'!$B:$J,8,FALSE()),0)))),0)</f>
        <v>0</v>
      </c>
      <c r="J310" s="252" t="str">
        <f t="shared" si="9"/>
        <v/>
      </c>
      <c r="K310" s="253"/>
      <c r="L310" s="253"/>
      <c r="M310" s="253"/>
      <c r="N310" s="328"/>
    </row>
    <row r="311" spans="1:14" ht="20.100000000000001" customHeight="1">
      <c r="A311" s="327" t="str">
        <f>IF(AND($B311="",$C311=""),"",MAX($A$3:A310)+1)</f>
        <v/>
      </c>
      <c r="B311" s="262"/>
      <c r="C311" s="253"/>
      <c r="D311" s="249" t="str">
        <f>IFERROR(IF($E311="Inventory",VLOOKUP($C311,Inventory!$B:$I,2,FALSE()),IF($E311="Non Inventory",VLOOKUP($C311,'Non Inventory'!$B:$I,2,FALSE()),IF($E311="Services",VLOOKUP($C311,Services!$B:$I,2,FALSE()),IF($E311="Patty Cash",VLOOKUP($C311,'Patty Cash'!$B:$J,2,FALSE()),"")))),"")</f>
        <v/>
      </c>
      <c r="E311" s="254"/>
      <c r="F311" s="263" t="str">
        <f>IFERROR(IF($E311="Inventory",VLOOKUP($C311,Inventory!$B:$I,3,FALSE()),IF($E311="Non Inventory",VLOOKUP($C311,'Non Inventory'!$B:$I,3,FALSE()),IF($E311="Services",VLOOKUP($C311,Services!$B:$I,3,FALSE()),IF($E311="Patty Cash",VLOOKUP($C311,'Patty Cash'!$B:$J,3,FALSE()),"")))),"")</f>
        <v/>
      </c>
      <c r="G311" s="374"/>
      <c r="H311" s="374" t="str">
        <f t="shared" si="8"/>
        <v/>
      </c>
      <c r="I311" s="252">
        <f>IFERROR(IF($E311="Inventory",VLOOKUP($C311,Inventory!$B:$I,8,FALSE()),IF($E311="Non Inventory",VLOOKUP($C311,'Non Inventory'!$B:$I,8,FALSE()),IF($E311="Services",VLOOKUP($C311,Services!$B:$I,8,FALSE()),IF($E311="Patty Cash",VLOOKUP($C311,'Patty Cash'!$B:$J,8,FALSE()),0)))),0)</f>
        <v>0</v>
      </c>
      <c r="J311" s="252" t="str">
        <f t="shared" si="9"/>
        <v/>
      </c>
      <c r="K311" s="253"/>
      <c r="L311" s="253"/>
      <c r="M311" s="253"/>
      <c r="N311" s="328"/>
    </row>
    <row r="312" spans="1:14" ht="20.100000000000001" customHeight="1">
      <c r="A312" s="327" t="str">
        <f>IF(AND($B312="",$C312=""),"",MAX($A$3:A311)+1)</f>
        <v/>
      </c>
      <c r="B312" s="262"/>
      <c r="C312" s="253"/>
      <c r="D312" s="249" t="str">
        <f>IFERROR(IF($E312="Inventory",VLOOKUP($C312,Inventory!$B:$I,2,FALSE()),IF($E312="Non Inventory",VLOOKUP($C312,'Non Inventory'!$B:$I,2,FALSE()),IF($E312="Services",VLOOKUP($C312,Services!$B:$I,2,FALSE()),IF($E312="Patty Cash",VLOOKUP($C312,'Patty Cash'!$B:$J,2,FALSE()),"")))),"")</f>
        <v/>
      </c>
      <c r="E312" s="254"/>
      <c r="F312" s="263" t="str">
        <f>IFERROR(IF($E312="Inventory",VLOOKUP($C312,Inventory!$B:$I,3,FALSE()),IF($E312="Non Inventory",VLOOKUP($C312,'Non Inventory'!$B:$I,3,FALSE()),IF($E312="Services",VLOOKUP($C312,Services!$B:$I,3,FALSE()),IF($E312="Patty Cash",VLOOKUP($C312,'Patty Cash'!$B:$J,3,FALSE()),"")))),"")</f>
        <v/>
      </c>
      <c r="G312" s="374"/>
      <c r="H312" s="374" t="str">
        <f t="shared" si="8"/>
        <v/>
      </c>
      <c r="I312" s="252">
        <f>IFERROR(IF($E312="Inventory",VLOOKUP($C312,Inventory!$B:$I,8,FALSE()),IF($E312="Non Inventory",VLOOKUP($C312,'Non Inventory'!$B:$I,8,FALSE()),IF($E312="Services",VLOOKUP($C312,Services!$B:$I,8,FALSE()),IF($E312="Patty Cash",VLOOKUP($C312,'Patty Cash'!$B:$J,8,FALSE()),0)))),0)</f>
        <v>0</v>
      </c>
      <c r="J312" s="252" t="str">
        <f t="shared" si="9"/>
        <v/>
      </c>
      <c r="K312" s="253"/>
      <c r="L312" s="253"/>
      <c r="M312" s="253"/>
      <c r="N312" s="328"/>
    </row>
    <row r="313" spans="1:14" ht="20.100000000000001" customHeight="1">
      <c r="A313" s="327" t="str">
        <f>IF(AND($B313="",$C313=""),"",MAX($A$3:A312)+1)</f>
        <v/>
      </c>
      <c r="B313" s="262"/>
      <c r="C313" s="253"/>
      <c r="D313" s="249" t="str">
        <f>IFERROR(IF($E313="Inventory",VLOOKUP($C313,Inventory!$B:$I,2,FALSE()),IF($E313="Non Inventory",VLOOKUP($C313,'Non Inventory'!$B:$I,2,FALSE()),IF($E313="Services",VLOOKUP($C313,Services!$B:$I,2,FALSE()),IF($E313="Patty Cash",VLOOKUP($C313,'Patty Cash'!$B:$J,2,FALSE()),"")))),"")</f>
        <v/>
      </c>
      <c r="E313" s="254"/>
      <c r="F313" s="263" t="str">
        <f>IFERROR(IF($E313="Inventory",VLOOKUP($C313,Inventory!$B:$I,3,FALSE()),IF($E313="Non Inventory",VLOOKUP($C313,'Non Inventory'!$B:$I,3,FALSE()),IF($E313="Services",VLOOKUP($C313,Services!$B:$I,3,FALSE()),IF($E313="Patty Cash",VLOOKUP($C313,'Patty Cash'!$B:$J,3,FALSE()),"")))),"")</f>
        <v/>
      </c>
      <c r="G313" s="374"/>
      <c r="H313" s="374" t="str">
        <f t="shared" si="8"/>
        <v/>
      </c>
      <c r="I313" s="252">
        <f>IFERROR(IF($E313="Inventory",VLOOKUP($C313,Inventory!$B:$I,8,FALSE()),IF($E313="Non Inventory",VLOOKUP($C313,'Non Inventory'!$B:$I,8,FALSE()),IF($E313="Services",VLOOKUP($C313,Services!$B:$I,8,FALSE()),IF($E313="Patty Cash",VLOOKUP($C313,'Patty Cash'!$B:$J,8,FALSE()),0)))),0)</f>
        <v>0</v>
      </c>
      <c r="J313" s="252" t="str">
        <f t="shared" si="9"/>
        <v/>
      </c>
      <c r="K313" s="253"/>
      <c r="L313" s="253"/>
      <c r="M313" s="253"/>
      <c r="N313" s="328"/>
    </row>
    <row r="314" spans="1:14" ht="20.100000000000001" customHeight="1">
      <c r="A314" s="327" t="str">
        <f>IF(AND($B314="",$C314=""),"",MAX($A$3:A313)+1)</f>
        <v/>
      </c>
      <c r="B314" s="262"/>
      <c r="C314" s="253"/>
      <c r="D314" s="249" t="str">
        <f>IFERROR(IF($E314="Inventory",VLOOKUP($C314,Inventory!$B:$I,2,FALSE()),IF($E314="Non Inventory",VLOOKUP($C314,'Non Inventory'!$B:$I,2,FALSE()),IF($E314="Services",VLOOKUP($C314,Services!$B:$I,2,FALSE()),IF($E314="Patty Cash",VLOOKUP($C314,'Patty Cash'!$B:$J,2,FALSE()),"")))),"")</f>
        <v/>
      </c>
      <c r="E314" s="254"/>
      <c r="F314" s="263" t="str">
        <f>IFERROR(IF($E314="Inventory",VLOOKUP($C314,Inventory!$B:$I,3,FALSE()),IF($E314="Non Inventory",VLOOKUP($C314,'Non Inventory'!$B:$I,3,FALSE()),IF($E314="Services",VLOOKUP($C314,Services!$B:$I,3,FALSE()),IF($E314="Patty Cash",VLOOKUP($C314,'Patty Cash'!$B:$J,3,FALSE()),"")))),"")</f>
        <v/>
      </c>
      <c r="G314" s="374"/>
      <c r="H314" s="374" t="str">
        <f t="shared" si="8"/>
        <v/>
      </c>
      <c r="I314" s="252">
        <f>IFERROR(IF($E314="Inventory",VLOOKUP($C314,Inventory!$B:$I,8,FALSE()),IF($E314="Non Inventory",VLOOKUP($C314,'Non Inventory'!$B:$I,8,FALSE()),IF($E314="Services",VLOOKUP($C314,Services!$B:$I,8,FALSE()),IF($E314="Patty Cash",VLOOKUP($C314,'Patty Cash'!$B:$J,8,FALSE()),0)))),0)</f>
        <v>0</v>
      </c>
      <c r="J314" s="252" t="str">
        <f t="shared" si="9"/>
        <v/>
      </c>
      <c r="K314" s="253"/>
      <c r="L314" s="253"/>
      <c r="M314" s="253"/>
      <c r="N314" s="328"/>
    </row>
    <row r="315" spans="1:14" ht="20.100000000000001" customHeight="1">
      <c r="A315" s="327" t="str">
        <f>IF(AND($B315="",$C315=""),"",MAX($A$3:A314)+1)</f>
        <v/>
      </c>
      <c r="B315" s="262"/>
      <c r="C315" s="253"/>
      <c r="D315" s="249" t="str">
        <f>IFERROR(IF($E315="Inventory",VLOOKUP($C315,Inventory!$B:$I,2,FALSE()),IF($E315="Non Inventory",VLOOKUP($C315,'Non Inventory'!$B:$I,2,FALSE()),IF($E315="Services",VLOOKUP($C315,Services!$B:$I,2,FALSE()),IF($E315="Patty Cash",VLOOKUP($C315,'Patty Cash'!$B:$J,2,FALSE()),"")))),"")</f>
        <v/>
      </c>
      <c r="E315" s="254"/>
      <c r="F315" s="263" t="str">
        <f>IFERROR(IF($E315="Inventory",VLOOKUP($C315,Inventory!$B:$I,3,FALSE()),IF($E315="Non Inventory",VLOOKUP($C315,'Non Inventory'!$B:$I,3,FALSE()),IF($E315="Services",VLOOKUP($C315,Services!$B:$I,3,FALSE()),IF($E315="Patty Cash",VLOOKUP($C315,'Patty Cash'!$B:$J,3,FALSE()),"")))),"")</f>
        <v/>
      </c>
      <c r="G315" s="374"/>
      <c r="H315" s="374" t="str">
        <f t="shared" ref="H315:H378" si="10">IF($G315="","",G315)</f>
        <v/>
      </c>
      <c r="I315" s="252">
        <f>IFERROR(IF($E315="Inventory",VLOOKUP($C315,Inventory!$B:$I,8,FALSE()),IF($E315="Non Inventory",VLOOKUP($C315,'Non Inventory'!$B:$I,8,FALSE()),IF($E315="Services",VLOOKUP($C315,Services!$B:$I,8,FALSE()),IF($E315="Patty Cash",VLOOKUP($C315,'Patty Cash'!$B:$J,8,FALSE()),0)))),0)</f>
        <v>0</v>
      </c>
      <c r="J315" s="252" t="str">
        <f t="shared" ref="J315:J378" si="11">IF($H315="","",H315*I315)</f>
        <v/>
      </c>
      <c r="K315" s="253"/>
      <c r="L315" s="253"/>
      <c r="M315" s="253"/>
      <c r="N315" s="328"/>
    </row>
    <row r="316" spans="1:14" ht="20.100000000000001" customHeight="1">
      <c r="A316" s="327" t="str">
        <f>IF(AND($B316="",$C316=""),"",MAX($A$3:A315)+1)</f>
        <v/>
      </c>
      <c r="B316" s="262"/>
      <c r="C316" s="253"/>
      <c r="D316" s="249" t="str">
        <f>IFERROR(IF($E316="Inventory",VLOOKUP($C316,Inventory!$B:$I,2,FALSE()),IF($E316="Non Inventory",VLOOKUP($C316,'Non Inventory'!$B:$I,2,FALSE()),IF($E316="Services",VLOOKUP($C316,Services!$B:$I,2,FALSE()),IF($E316="Patty Cash",VLOOKUP($C316,'Patty Cash'!$B:$J,2,FALSE()),"")))),"")</f>
        <v/>
      </c>
      <c r="E316" s="254"/>
      <c r="F316" s="263" t="str">
        <f>IFERROR(IF($E316="Inventory",VLOOKUP($C316,Inventory!$B:$I,3,FALSE()),IF($E316="Non Inventory",VLOOKUP($C316,'Non Inventory'!$B:$I,3,FALSE()),IF($E316="Services",VLOOKUP($C316,Services!$B:$I,3,FALSE()),IF($E316="Patty Cash",VLOOKUP($C316,'Patty Cash'!$B:$J,3,FALSE()),"")))),"")</f>
        <v/>
      </c>
      <c r="G316" s="374"/>
      <c r="H316" s="374" t="str">
        <f t="shared" si="10"/>
        <v/>
      </c>
      <c r="I316" s="252">
        <f>IFERROR(IF($E316="Inventory",VLOOKUP($C316,Inventory!$B:$I,8,FALSE()),IF($E316="Non Inventory",VLOOKUP($C316,'Non Inventory'!$B:$I,8,FALSE()),IF($E316="Services",VLOOKUP($C316,Services!$B:$I,8,FALSE()),IF($E316="Patty Cash",VLOOKUP($C316,'Patty Cash'!$B:$J,8,FALSE()),0)))),0)</f>
        <v>0</v>
      </c>
      <c r="J316" s="252" t="str">
        <f t="shared" si="11"/>
        <v/>
      </c>
      <c r="K316" s="253"/>
      <c r="L316" s="253"/>
      <c r="M316" s="253"/>
      <c r="N316" s="328"/>
    </row>
    <row r="317" spans="1:14" ht="20.100000000000001" customHeight="1">
      <c r="A317" s="327" t="str">
        <f>IF(AND($B317="",$C317=""),"",MAX($A$3:A316)+1)</f>
        <v/>
      </c>
      <c r="B317" s="262"/>
      <c r="C317" s="253"/>
      <c r="D317" s="249" t="str">
        <f>IFERROR(IF($E317="Inventory",VLOOKUP($C317,Inventory!$B:$I,2,FALSE()),IF($E317="Non Inventory",VLOOKUP($C317,'Non Inventory'!$B:$I,2,FALSE()),IF($E317="Services",VLOOKUP($C317,Services!$B:$I,2,FALSE()),IF($E317="Patty Cash",VLOOKUP($C317,'Patty Cash'!$B:$J,2,FALSE()),"")))),"")</f>
        <v/>
      </c>
      <c r="E317" s="254"/>
      <c r="F317" s="263" t="str">
        <f>IFERROR(IF($E317="Inventory",VLOOKUP($C317,Inventory!$B:$I,3,FALSE()),IF($E317="Non Inventory",VLOOKUP($C317,'Non Inventory'!$B:$I,3,FALSE()),IF($E317="Services",VLOOKUP($C317,Services!$B:$I,3,FALSE()),IF($E317="Patty Cash",VLOOKUP($C317,'Patty Cash'!$B:$J,3,FALSE()),"")))),"")</f>
        <v/>
      </c>
      <c r="G317" s="374"/>
      <c r="H317" s="374" t="str">
        <f t="shared" si="10"/>
        <v/>
      </c>
      <c r="I317" s="252">
        <f>IFERROR(IF($E317="Inventory",VLOOKUP($C317,Inventory!$B:$I,8,FALSE()),IF($E317="Non Inventory",VLOOKUP($C317,'Non Inventory'!$B:$I,8,FALSE()),IF($E317="Services",VLOOKUP($C317,Services!$B:$I,8,FALSE()),IF($E317="Patty Cash",VLOOKUP($C317,'Patty Cash'!$B:$J,8,FALSE()),0)))),0)</f>
        <v>0</v>
      </c>
      <c r="J317" s="252" t="str">
        <f t="shared" si="11"/>
        <v/>
      </c>
      <c r="K317" s="253"/>
      <c r="L317" s="253"/>
      <c r="M317" s="253"/>
      <c r="N317" s="328"/>
    </row>
    <row r="318" spans="1:14" ht="20.100000000000001" customHeight="1">
      <c r="A318" s="327" t="str">
        <f>IF(AND($B318="",$C318=""),"",MAX($A$3:A317)+1)</f>
        <v/>
      </c>
      <c r="B318" s="262"/>
      <c r="C318" s="253"/>
      <c r="D318" s="249" t="str">
        <f>IFERROR(IF($E318="Inventory",VLOOKUP($C318,Inventory!$B:$I,2,FALSE()),IF($E318="Non Inventory",VLOOKUP($C318,'Non Inventory'!$B:$I,2,FALSE()),IF($E318="Services",VLOOKUP($C318,Services!$B:$I,2,FALSE()),IF($E318="Patty Cash",VLOOKUP($C318,'Patty Cash'!$B:$J,2,FALSE()),"")))),"")</f>
        <v/>
      </c>
      <c r="E318" s="254"/>
      <c r="F318" s="263" t="str">
        <f>IFERROR(IF($E318="Inventory",VLOOKUP($C318,Inventory!$B:$I,3,FALSE()),IF($E318="Non Inventory",VLOOKUP($C318,'Non Inventory'!$B:$I,3,FALSE()),IF($E318="Services",VLOOKUP($C318,Services!$B:$I,3,FALSE()),IF($E318="Patty Cash",VLOOKUP($C318,'Patty Cash'!$B:$J,3,FALSE()),"")))),"")</f>
        <v/>
      </c>
      <c r="G318" s="374"/>
      <c r="H318" s="374" t="str">
        <f t="shared" si="10"/>
        <v/>
      </c>
      <c r="I318" s="252">
        <f>IFERROR(IF($E318="Inventory",VLOOKUP($C318,Inventory!$B:$I,8,FALSE()),IF($E318="Non Inventory",VLOOKUP($C318,'Non Inventory'!$B:$I,8,FALSE()),IF($E318="Services",VLOOKUP($C318,Services!$B:$I,8,FALSE()),IF($E318="Patty Cash",VLOOKUP($C318,'Patty Cash'!$B:$J,8,FALSE()),0)))),0)</f>
        <v>0</v>
      </c>
      <c r="J318" s="252" t="str">
        <f t="shared" si="11"/>
        <v/>
      </c>
      <c r="K318" s="253"/>
      <c r="L318" s="253"/>
      <c r="M318" s="253"/>
      <c r="N318" s="328"/>
    </row>
    <row r="319" spans="1:14" ht="20.100000000000001" customHeight="1">
      <c r="A319" s="327" t="str">
        <f>IF(AND($B319="",$C319=""),"",MAX($A$3:A318)+1)</f>
        <v/>
      </c>
      <c r="B319" s="262"/>
      <c r="C319" s="253"/>
      <c r="D319" s="249" t="str">
        <f>IFERROR(IF($E319="Inventory",VLOOKUP($C319,Inventory!$B:$I,2,FALSE()),IF($E319="Non Inventory",VLOOKUP($C319,'Non Inventory'!$B:$I,2,FALSE()),IF($E319="Services",VLOOKUP($C319,Services!$B:$I,2,FALSE()),IF($E319="Patty Cash",VLOOKUP($C319,'Patty Cash'!$B:$J,2,FALSE()),"")))),"")</f>
        <v/>
      </c>
      <c r="E319" s="254"/>
      <c r="F319" s="263" t="str">
        <f>IFERROR(IF($E319="Inventory",VLOOKUP($C319,Inventory!$B:$I,3,FALSE()),IF($E319="Non Inventory",VLOOKUP($C319,'Non Inventory'!$B:$I,3,FALSE()),IF($E319="Services",VLOOKUP($C319,Services!$B:$I,3,FALSE()),IF($E319="Patty Cash",VLOOKUP($C319,'Patty Cash'!$B:$J,3,FALSE()),"")))),"")</f>
        <v/>
      </c>
      <c r="G319" s="374"/>
      <c r="H319" s="374" t="str">
        <f t="shared" si="10"/>
        <v/>
      </c>
      <c r="I319" s="252">
        <f>IFERROR(IF($E319="Inventory",VLOOKUP($C319,Inventory!$B:$I,8,FALSE()),IF($E319="Non Inventory",VLOOKUP($C319,'Non Inventory'!$B:$I,8,FALSE()),IF($E319="Services",VLOOKUP($C319,Services!$B:$I,8,FALSE()),IF($E319="Patty Cash",VLOOKUP($C319,'Patty Cash'!$B:$J,8,FALSE()),0)))),0)</f>
        <v>0</v>
      </c>
      <c r="J319" s="252" t="str">
        <f t="shared" si="11"/>
        <v/>
      </c>
      <c r="K319" s="253"/>
      <c r="L319" s="253"/>
      <c r="M319" s="253"/>
      <c r="N319" s="328"/>
    </row>
    <row r="320" spans="1:14" ht="20.100000000000001" customHeight="1">
      <c r="A320" s="327" t="str">
        <f>IF(AND($B320="",$C320=""),"",MAX($A$3:A319)+1)</f>
        <v/>
      </c>
      <c r="B320" s="262"/>
      <c r="C320" s="253"/>
      <c r="D320" s="249" t="str">
        <f>IFERROR(IF($E320="Inventory",VLOOKUP($C320,Inventory!$B:$I,2,FALSE()),IF($E320="Non Inventory",VLOOKUP($C320,'Non Inventory'!$B:$I,2,FALSE()),IF($E320="Services",VLOOKUP($C320,Services!$B:$I,2,FALSE()),IF($E320="Patty Cash",VLOOKUP($C320,'Patty Cash'!$B:$J,2,FALSE()),"")))),"")</f>
        <v/>
      </c>
      <c r="E320" s="254"/>
      <c r="F320" s="263" t="str">
        <f>IFERROR(IF($E320="Inventory",VLOOKUP($C320,Inventory!$B:$I,3,FALSE()),IF($E320="Non Inventory",VLOOKUP($C320,'Non Inventory'!$B:$I,3,FALSE()),IF($E320="Services",VLOOKUP($C320,Services!$B:$I,3,FALSE()),IF($E320="Patty Cash",VLOOKUP($C320,'Patty Cash'!$B:$J,3,FALSE()),"")))),"")</f>
        <v/>
      </c>
      <c r="G320" s="374"/>
      <c r="H320" s="374" t="str">
        <f t="shared" si="10"/>
        <v/>
      </c>
      <c r="I320" s="252">
        <f>IFERROR(IF($E320="Inventory",VLOOKUP($C320,Inventory!$B:$I,8,FALSE()),IF($E320="Non Inventory",VLOOKUP($C320,'Non Inventory'!$B:$I,8,FALSE()),IF($E320="Services",VLOOKUP($C320,Services!$B:$I,8,FALSE()),IF($E320="Patty Cash",VLOOKUP($C320,'Patty Cash'!$B:$J,8,FALSE()),0)))),0)</f>
        <v>0</v>
      </c>
      <c r="J320" s="252" t="str">
        <f t="shared" si="11"/>
        <v/>
      </c>
      <c r="K320" s="253"/>
      <c r="L320" s="253"/>
      <c r="M320" s="253"/>
      <c r="N320" s="328"/>
    </row>
    <row r="321" spans="1:14" ht="20.100000000000001" customHeight="1">
      <c r="A321" s="327" t="str">
        <f>IF(AND($B321="",$C321=""),"",MAX($A$3:A320)+1)</f>
        <v/>
      </c>
      <c r="B321" s="262"/>
      <c r="C321" s="253"/>
      <c r="D321" s="249" t="str">
        <f>IFERROR(IF($E321="Inventory",VLOOKUP($C321,Inventory!$B:$I,2,FALSE()),IF($E321="Non Inventory",VLOOKUP($C321,'Non Inventory'!$B:$I,2,FALSE()),IF($E321="Services",VLOOKUP($C321,Services!$B:$I,2,FALSE()),IF($E321="Patty Cash",VLOOKUP($C321,'Patty Cash'!$B:$J,2,FALSE()),"")))),"")</f>
        <v/>
      </c>
      <c r="E321" s="254"/>
      <c r="F321" s="263" t="str">
        <f>IFERROR(IF($E321="Inventory",VLOOKUP($C321,Inventory!$B:$I,3,FALSE()),IF($E321="Non Inventory",VLOOKUP($C321,'Non Inventory'!$B:$I,3,FALSE()),IF($E321="Services",VLOOKUP($C321,Services!$B:$I,3,FALSE()),IF($E321="Patty Cash",VLOOKUP($C321,'Patty Cash'!$B:$J,3,FALSE()),"")))),"")</f>
        <v/>
      </c>
      <c r="G321" s="374"/>
      <c r="H321" s="374" t="str">
        <f t="shared" si="10"/>
        <v/>
      </c>
      <c r="I321" s="252">
        <f>IFERROR(IF($E321="Inventory",VLOOKUP($C321,Inventory!$B:$I,8,FALSE()),IF($E321="Non Inventory",VLOOKUP($C321,'Non Inventory'!$B:$I,8,FALSE()),IF($E321="Services",VLOOKUP($C321,Services!$B:$I,8,FALSE()),IF($E321="Patty Cash",VLOOKUP($C321,'Patty Cash'!$B:$J,8,FALSE()),0)))),0)</f>
        <v>0</v>
      </c>
      <c r="J321" s="252" t="str">
        <f t="shared" si="11"/>
        <v/>
      </c>
      <c r="K321" s="253"/>
      <c r="L321" s="253"/>
      <c r="M321" s="253"/>
      <c r="N321" s="328"/>
    </row>
    <row r="322" spans="1:14" ht="20.100000000000001" customHeight="1">
      <c r="A322" s="327" t="str">
        <f>IF(AND($B322="",$C322=""),"",MAX($A$3:A321)+1)</f>
        <v/>
      </c>
      <c r="B322" s="262"/>
      <c r="C322" s="253"/>
      <c r="D322" s="249" t="str">
        <f>IFERROR(IF($E322="Inventory",VLOOKUP($C322,Inventory!$B:$I,2,FALSE()),IF($E322="Non Inventory",VLOOKUP($C322,'Non Inventory'!$B:$I,2,FALSE()),IF($E322="Services",VLOOKUP($C322,Services!$B:$I,2,FALSE()),IF($E322="Patty Cash",VLOOKUP($C322,'Patty Cash'!$B:$J,2,FALSE()),"")))),"")</f>
        <v/>
      </c>
      <c r="E322" s="254"/>
      <c r="F322" s="263" t="str">
        <f>IFERROR(IF($E322="Inventory",VLOOKUP($C322,Inventory!$B:$I,3,FALSE()),IF($E322="Non Inventory",VLOOKUP($C322,'Non Inventory'!$B:$I,3,FALSE()),IF($E322="Services",VLOOKUP($C322,Services!$B:$I,3,FALSE()),IF($E322="Patty Cash",VLOOKUP($C322,'Patty Cash'!$B:$J,3,FALSE()),"")))),"")</f>
        <v/>
      </c>
      <c r="G322" s="374"/>
      <c r="H322" s="374" t="str">
        <f t="shared" si="10"/>
        <v/>
      </c>
      <c r="I322" s="252">
        <f>IFERROR(IF($E322="Inventory",VLOOKUP($C322,Inventory!$B:$I,8,FALSE()),IF($E322="Non Inventory",VLOOKUP($C322,'Non Inventory'!$B:$I,8,FALSE()),IF($E322="Services",VLOOKUP($C322,Services!$B:$I,8,FALSE()),IF($E322="Patty Cash",VLOOKUP($C322,'Patty Cash'!$B:$J,8,FALSE()),0)))),0)</f>
        <v>0</v>
      </c>
      <c r="J322" s="252" t="str">
        <f t="shared" si="11"/>
        <v/>
      </c>
      <c r="K322" s="253"/>
      <c r="L322" s="253"/>
      <c r="M322" s="253"/>
      <c r="N322" s="328"/>
    </row>
    <row r="323" spans="1:14" ht="20.100000000000001" customHeight="1">
      <c r="A323" s="327" t="str">
        <f>IF(AND($B323="",$C323=""),"",MAX($A$3:A322)+1)</f>
        <v/>
      </c>
      <c r="B323" s="262"/>
      <c r="C323" s="253"/>
      <c r="D323" s="249" t="str">
        <f>IFERROR(IF($E323="Inventory",VLOOKUP($C323,Inventory!$B:$I,2,FALSE()),IF($E323="Non Inventory",VLOOKUP($C323,'Non Inventory'!$B:$I,2,FALSE()),IF($E323="Services",VLOOKUP($C323,Services!$B:$I,2,FALSE()),IF($E323="Patty Cash",VLOOKUP($C323,'Patty Cash'!$B:$J,2,FALSE()),"")))),"")</f>
        <v/>
      </c>
      <c r="E323" s="254"/>
      <c r="F323" s="263" t="str">
        <f>IFERROR(IF($E323="Inventory",VLOOKUP($C323,Inventory!$B:$I,3,FALSE()),IF($E323="Non Inventory",VLOOKUP($C323,'Non Inventory'!$B:$I,3,FALSE()),IF($E323="Services",VLOOKUP($C323,Services!$B:$I,3,FALSE()),IF($E323="Patty Cash",VLOOKUP($C323,'Patty Cash'!$B:$J,3,FALSE()),"")))),"")</f>
        <v/>
      </c>
      <c r="G323" s="374"/>
      <c r="H323" s="374" t="str">
        <f t="shared" si="10"/>
        <v/>
      </c>
      <c r="I323" s="252">
        <f>IFERROR(IF($E323="Inventory",VLOOKUP($C323,Inventory!$B:$I,8,FALSE()),IF($E323="Non Inventory",VLOOKUP($C323,'Non Inventory'!$B:$I,8,FALSE()),IF($E323="Services",VLOOKUP($C323,Services!$B:$I,8,FALSE()),IF($E323="Patty Cash",VLOOKUP($C323,'Patty Cash'!$B:$J,8,FALSE()),0)))),0)</f>
        <v>0</v>
      </c>
      <c r="J323" s="252" t="str">
        <f t="shared" si="11"/>
        <v/>
      </c>
      <c r="K323" s="253"/>
      <c r="L323" s="253"/>
      <c r="M323" s="253"/>
      <c r="N323" s="328"/>
    </row>
    <row r="324" spans="1:14" ht="20.100000000000001" customHeight="1">
      <c r="A324" s="327" t="str">
        <f>IF(AND($B324="",$C324=""),"",MAX($A$3:A323)+1)</f>
        <v/>
      </c>
      <c r="B324" s="262"/>
      <c r="C324" s="253"/>
      <c r="D324" s="249" t="str">
        <f>IFERROR(IF($E324="Inventory",VLOOKUP($C324,Inventory!$B:$I,2,FALSE()),IF($E324="Non Inventory",VLOOKUP($C324,'Non Inventory'!$B:$I,2,FALSE()),IF($E324="Services",VLOOKUP($C324,Services!$B:$I,2,FALSE()),IF($E324="Patty Cash",VLOOKUP($C324,'Patty Cash'!$B:$J,2,FALSE()),"")))),"")</f>
        <v/>
      </c>
      <c r="E324" s="254"/>
      <c r="F324" s="263" t="str">
        <f>IFERROR(IF($E324="Inventory",VLOOKUP($C324,Inventory!$B:$I,3,FALSE()),IF($E324="Non Inventory",VLOOKUP($C324,'Non Inventory'!$B:$I,3,FALSE()),IF($E324="Services",VLOOKUP($C324,Services!$B:$I,3,FALSE()),IF($E324="Patty Cash",VLOOKUP($C324,'Patty Cash'!$B:$J,3,FALSE()),"")))),"")</f>
        <v/>
      </c>
      <c r="G324" s="374"/>
      <c r="H324" s="374" t="str">
        <f t="shared" si="10"/>
        <v/>
      </c>
      <c r="I324" s="252">
        <f>IFERROR(IF($E324="Inventory",VLOOKUP($C324,Inventory!$B:$I,8,FALSE()),IF($E324="Non Inventory",VLOOKUP($C324,'Non Inventory'!$B:$I,8,FALSE()),IF($E324="Services",VLOOKUP($C324,Services!$B:$I,8,FALSE()),IF($E324="Patty Cash",VLOOKUP($C324,'Patty Cash'!$B:$J,8,FALSE()),0)))),0)</f>
        <v>0</v>
      </c>
      <c r="J324" s="252" t="str">
        <f t="shared" si="11"/>
        <v/>
      </c>
      <c r="K324" s="253"/>
      <c r="L324" s="253"/>
      <c r="M324" s="253"/>
      <c r="N324" s="328"/>
    </row>
    <row r="325" spans="1:14" ht="20.100000000000001" customHeight="1">
      <c r="A325" s="327" t="str">
        <f>IF(AND($B325="",$C325=""),"",MAX($A$3:A324)+1)</f>
        <v/>
      </c>
      <c r="B325" s="262"/>
      <c r="C325" s="253"/>
      <c r="D325" s="249" t="str">
        <f>IFERROR(IF($E325="Inventory",VLOOKUP($C325,Inventory!$B:$I,2,FALSE()),IF($E325="Non Inventory",VLOOKUP($C325,'Non Inventory'!$B:$I,2,FALSE()),IF($E325="Services",VLOOKUP($C325,Services!$B:$I,2,FALSE()),IF($E325="Patty Cash",VLOOKUP($C325,'Patty Cash'!$B:$J,2,FALSE()),"")))),"")</f>
        <v/>
      </c>
      <c r="E325" s="254"/>
      <c r="F325" s="263" t="str">
        <f>IFERROR(IF($E325="Inventory",VLOOKUP($C325,Inventory!$B:$I,3,FALSE()),IF($E325="Non Inventory",VLOOKUP($C325,'Non Inventory'!$B:$I,3,FALSE()),IF($E325="Services",VLOOKUP($C325,Services!$B:$I,3,FALSE()),IF($E325="Patty Cash",VLOOKUP($C325,'Patty Cash'!$B:$J,3,FALSE()),"")))),"")</f>
        <v/>
      </c>
      <c r="G325" s="374"/>
      <c r="H325" s="374" t="str">
        <f t="shared" si="10"/>
        <v/>
      </c>
      <c r="I325" s="252">
        <f>IFERROR(IF($E325="Inventory",VLOOKUP($C325,Inventory!$B:$I,8,FALSE()),IF($E325="Non Inventory",VLOOKUP($C325,'Non Inventory'!$B:$I,8,FALSE()),IF($E325="Services",VLOOKUP($C325,Services!$B:$I,8,FALSE()),IF($E325="Patty Cash",VLOOKUP($C325,'Patty Cash'!$B:$J,8,FALSE()),0)))),0)</f>
        <v>0</v>
      </c>
      <c r="J325" s="252" t="str">
        <f t="shared" si="11"/>
        <v/>
      </c>
      <c r="K325" s="253"/>
      <c r="L325" s="253"/>
      <c r="M325" s="253"/>
      <c r="N325" s="328"/>
    </row>
    <row r="326" spans="1:14" ht="20.100000000000001" customHeight="1">
      <c r="A326" s="327" t="str">
        <f>IF(AND($B326="",$C326=""),"",MAX($A$3:A325)+1)</f>
        <v/>
      </c>
      <c r="B326" s="262"/>
      <c r="C326" s="253"/>
      <c r="D326" s="249" t="str">
        <f>IFERROR(IF($E326="Inventory",VLOOKUP($C326,Inventory!$B:$I,2,FALSE()),IF($E326="Non Inventory",VLOOKUP($C326,'Non Inventory'!$B:$I,2,FALSE()),IF($E326="Services",VLOOKUP($C326,Services!$B:$I,2,FALSE()),IF($E326="Patty Cash",VLOOKUP($C326,'Patty Cash'!$B:$J,2,FALSE()),"")))),"")</f>
        <v/>
      </c>
      <c r="E326" s="254"/>
      <c r="F326" s="263" t="str">
        <f>IFERROR(IF($E326="Inventory",VLOOKUP($C326,Inventory!$B:$I,3,FALSE()),IF($E326="Non Inventory",VLOOKUP($C326,'Non Inventory'!$B:$I,3,FALSE()),IF($E326="Services",VLOOKUP($C326,Services!$B:$I,3,FALSE()),IF($E326="Patty Cash",VLOOKUP($C326,'Patty Cash'!$B:$J,3,FALSE()),"")))),"")</f>
        <v/>
      </c>
      <c r="G326" s="374"/>
      <c r="H326" s="374" t="str">
        <f t="shared" si="10"/>
        <v/>
      </c>
      <c r="I326" s="252">
        <f>IFERROR(IF($E326="Inventory",VLOOKUP($C326,Inventory!$B:$I,8,FALSE()),IF($E326="Non Inventory",VLOOKUP($C326,'Non Inventory'!$B:$I,8,FALSE()),IF($E326="Services",VLOOKUP($C326,Services!$B:$I,8,FALSE()),IF($E326="Patty Cash",VLOOKUP($C326,'Patty Cash'!$B:$J,8,FALSE()),0)))),0)</f>
        <v>0</v>
      </c>
      <c r="J326" s="252" t="str">
        <f t="shared" si="11"/>
        <v/>
      </c>
      <c r="K326" s="253"/>
      <c r="L326" s="253"/>
      <c r="M326" s="253"/>
      <c r="N326" s="328"/>
    </row>
    <row r="327" spans="1:14" ht="20.100000000000001" customHeight="1">
      <c r="A327" s="327" t="str">
        <f>IF(AND($B327="",$C327=""),"",MAX($A$3:A326)+1)</f>
        <v/>
      </c>
      <c r="B327" s="262"/>
      <c r="C327" s="253"/>
      <c r="D327" s="249" t="str">
        <f>IFERROR(IF($E327="Inventory",VLOOKUP($C327,Inventory!$B:$I,2,FALSE()),IF($E327="Non Inventory",VLOOKUP($C327,'Non Inventory'!$B:$I,2,FALSE()),IF($E327="Services",VLOOKUP($C327,Services!$B:$I,2,FALSE()),IF($E327="Patty Cash",VLOOKUP($C327,'Patty Cash'!$B:$J,2,FALSE()),"")))),"")</f>
        <v/>
      </c>
      <c r="E327" s="254"/>
      <c r="F327" s="263" t="str">
        <f>IFERROR(IF($E327="Inventory",VLOOKUP($C327,Inventory!$B:$I,3,FALSE()),IF($E327="Non Inventory",VLOOKUP($C327,'Non Inventory'!$B:$I,3,FALSE()),IF($E327="Services",VLOOKUP($C327,Services!$B:$I,3,FALSE()),IF($E327="Patty Cash",VLOOKUP($C327,'Patty Cash'!$B:$J,3,FALSE()),"")))),"")</f>
        <v/>
      </c>
      <c r="G327" s="374"/>
      <c r="H327" s="374" t="str">
        <f t="shared" si="10"/>
        <v/>
      </c>
      <c r="I327" s="252">
        <f>IFERROR(IF($E327="Inventory",VLOOKUP($C327,Inventory!$B:$I,8,FALSE()),IF($E327="Non Inventory",VLOOKUP($C327,'Non Inventory'!$B:$I,8,FALSE()),IF($E327="Services",VLOOKUP($C327,Services!$B:$I,8,FALSE()),IF($E327="Patty Cash",VLOOKUP($C327,'Patty Cash'!$B:$J,8,FALSE()),0)))),0)</f>
        <v>0</v>
      </c>
      <c r="J327" s="252" t="str">
        <f t="shared" si="11"/>
        <v/>
      </c>
      <c r="K327" s="253"/>
      <c r="L327" s="253"/>
      <c r="M327" s="253"/>
      <c r="N327" s="328"/>
    </row>
    <row r="328" spans="1:14" ht="20.100000000000001" customHeight="1">
      <c r="A328" s="327" t="str">
        <f>IF(AND($B328="",$C328=""),"",MAX($A$3:A327)+1)</f>
        <v/>
      </c>
      <c r="B328" s="262"/>
      <c r="C328" s="253"/>
      <c r="D328" s="249" t="str">
        <f>IFERROR(IF($E328="Inventory",VLOOKUP($C328,Inventory!$B:$I,2,FALSE()),IF($E328="Non Inventory",VLOOKUP($C328,'Non Inventory'!$B:$I,2,FALSE()),IF($E328="Services",VLOOKUP($C328,Services!$B:$I,2,FALSE()),IF($E328="Patty Cash",VLOOKUP($C328,'Patty Cash'!$B:$J,2,FALSE()),"")))),"")</f>
        <v/>
      </c>
      <c r="E328" s="254"/>
      <c r="F328" s="263" t="str">
        <f>IFERROR(IF($E328="Inventory",VLOOKUP($C328,Inventory!$B:$I,3,FALSE()),IF($E328="Non Inventory",VLOOKUP($C328,'Non Inventory'!$B:$I,3,FALSE()),IF($E328="Services",VLOOKUP($C328,Services!$B:$I,3,FALSE()),IF($E328="Patty Cash",VLOOKUP($C328,'Patty Cash'!$B:$J,3,FALSE()),"")))),"")</f>
        <v/>
      </c>
      <c r="G328" s="374"/>
      <c r="H328" s="374" t="str">
        <f t="shared" si="10"/>
        <v/>
      </c>
      <c r="I328" s="252">
        <f>IFERROR(IF($E328="Inventory",VLOOKUP($C328,Inventory!$B:$I,8,FALSE()),IF($E328="Non Inventory",VLOOKUP($C328,'Non Inventory'!$B:$I,8,FALSE()),IF($E328="Services",VLOOKUP($C328,Services!$B:$I,8,FALSE()),IF($E328="Patty Cash",VLOOKUP($C328,'Patty Cash'!$B:$J,8,FALSE()),0)))),0)</f>
        <v>0</v>
      </c>
      <c r="J328" s="252" t="str">
        <f t="shared" si="11"/>
        <v/>
      </c>
      <c r="K328" s="253"/>
      <c r="L328" s="253"/>
      <c r="M328" s="253"/>
      <c r="N328" s="328"/>
    </row>
    <row r="329" spans="1:14" ht="20.100000000000001" customHeight="1">
      <c r="A329" s="327" t="str">
        <f>IF(AND($B329="",$C329=""),"",MAX($A$3:A328)+1)</f>
        <v/>
      </c>
      <c r="B329" s="262"/>
      <c r="C329" s="253"/>
      <c r="D329" s="249" t="str">
        <f>IFERROR(IF($E329="Inventory",VLOOKUP($C329,Inventory!$B:$I,2,FALSE()),IF($E329="Non Inventory",VLOOKUP($C329,'Non Inventory'!$B:$I,2,FALSE()),IF($E329="Services",VLOOKUP($C329,Services!$B:$I,2,FALSE()),IF($E329="Patty Cash",VLOOKUP($C329,'Patty Cash'!$B:$J,2,FALSE()),"")))),"")</f>
        <v/>
      </c>
      <c r="E329" s="254"/>
      <c r="F329" s="263" t="str">
        <f>IFERROR(IF($E329="Inventory",VLOOKUP($C329,Inventory!$B:$I,3,FALSE()),IF($E329="Non Inventory",VLOOKUP($C329,'Non Inventory'!$B:$I,3,FALSE()),IF($E329="Services",VLOOKUP($C329,Services!$B:$I,3,FALSE()),IF($E329="Patty Cash",VLOOKUP($C329,'Patty Cash'!$B:$J,3,FALSE()),"")))),"")</f>
        <v/>
      </c>
      <c r="G329" s="374"/>
      <c r="H329" s="374" t="str">
        <f t="shared" si="10"/>
        <v/>
      </c>
      <c r="I329" s="252">
        <f>IFERROR(IF($E329="Inventory",VLOOKUP($C329,Inventory!$B:$I,8,FALSE()),IF($E329="Non Inventory",VLOOKUP($C329,'Non Inventory'!$B:$I,8,FALSE()),IF($E329="Services",VLOOKUP($C329,Services!$B:$I,8,FALSE()),IF($E329="Patty Cash",VLOOKUP($C329,'Patty Cash'!$B:$J,8,FALSE()),0)))),0)</f>
        <v>0</v>
      </c>
      <c r="J329" s="252" t="str">
        <f t="shared" si="11"/>
        <v/>
      </c>
      <c r="K329" s="253"/>
      <c r="L329" s="253"/>
      <c r="M329" s="253"/>
      <c r="N329" s="328"/>
    </row>
    <row r="330" spans="1:14" ht="20.100000000000001" customHeight="1">
      <c r="A330" s="327" t="str">
        <f>IF(AND($B330="",$C330=""),"",MAX($A$3:A329)+1)</f>
        <v/>
      </c>
      <c r="B330" s="262"/>
      <c r="C330" s="253"/>
      <c r="D330" s="249" t="str">
        <f>IFERROR(IF($E330="Inventory",VLOOKUP($C330,Inventory!$B:$I,2,FALSE()),IF($E330="Non Inventory",VLOOKUP($C330,'Non Inventory'!$B:$I,2,FALSE()),IF($E330="Services",VLOOKUP($C330,Services!$B:$I,2,FALSE()),IF($E330="Patty Cash",VLOOKUP($C330,'Patty Cash'!$B:$J,2,FALSE()),"")))),"")</f>
        <v/>
      </c>
      <c r="E330" s="254"/>
      <c r="F330" s="263" t="str">
        <f>IFERROR(IF($E330="Inventory",VLOOKUP($C330,Inventory!$B:$I,3,FALSE()),IF($E330="Non Inventory",VLOOKUP($C330,'Non Inventory'!$B:$I,3,FALSE()),IF($E330="Services",VLOOKUP($C330,Services!$B:$I,3,FALSE()),IF($E330="Patty Cash",VLOOKUP($C330,'Patty Cash'!$B:$J,3,FALSE()),"")))),"")</f>
        <v/>
      </c>
      <c r="G330" s="374"/>
      <c r="H330" s="374" t="str">
        <f t="shared" si="10"/>
        <v/>
      </c>
      <c r="I330" s="252">
        <f>IFERROR(IF($E330="Inventory",VLOOKUP($C330,Inventory!$B:$I,8,FALSE()),IF($E330="Non Inventory",VLOOKUP($C330,'Non Inventory'!$B:$I,8,FALSE()),IF($E330="Services",VLOOKUP($C330,Services!$B:$I,8,FALSE()),IF($E330="Patty Cash",VLOOKUP($C330,'Patty Cash'!$B:$J,8,FALSE()),0)))),0)</f>
        <v>0</v>
      </c>
      <c r="J330" s="252" t="str">
        <f t="shared" si="11"/>
        <v/>
      </c>
      <c r="K330" s="253"/>
      <c r="L330" s="253"/>
      <c r="M330" s="253"/>
      <c r="N330" s="328"/>
    </row>
    <row r="331" spans="1:14" ht="20.100000000000001" customHeight="1">
      <c r="A331" s="327" t="str">
        <f>IF(AND($B331="",$C331=""),"",MAX($A$3:A330)+1)</f>
        <v/>
      </c>
      <c r="B331" s="262"/>
      <c r="C331" s="253"/>
      <c r="D331" s="249" t="str">
        <f>IFERROR(IF($E331="Inventory",VLOOKUP($C331,Inventory!$B:$I,2,FALSE()),IF($E331="Non Inventory",VLOOKUP($C331,'Non Inventory'!$B:$I,2,FALSE()),IF($E331="Services",VLOOKUP($C331,Services!$B:$I,2,FALSE()),IF($E331="Patty Cash",VLOOKUP($C331,'Patty Cash'!$B:$J,2,FALSE()),"")))),"")</f>
        <v/>
      </c>
      <c r="E331" s="254"/>
      <c r="F331" s="263" t="str">
        <f>IFERROR(IF($E331="Inventory",VLOOKUP($C331,Inventory!$B:$I,3,FALSE()),IF($E331="Non Inventory",VLOOKUP($C331,'Non Inventory'!$B:$I,3,FALSE()),IF($E331="Services",VLOOKUP($C331,Services!$B:$I,3,FALSE()),IF($E331="Patty Cash",VLOOKUP($C331,'Patty Cash'!$B:$J,3,FALSE()),"")))),"")</f>
        <v/>
      </c>
      <c r="G331" s="374"/>
      <c r="H331" s="374" t="str">
        <f t="shared" si="10"/>
        <v/>
      </c>
      <c r="I331" s="252">
        <f>IFERROR(IF($E331="Inventory",VLOOKUP($C331,Inventory!$B:$I,8,FALSE()),IF($E331="Non Inventory",VLOOKUP($C331,'Non Inventory'!$B:$I,8,FALSE()),IF($E331="Services",VLOOKUP($C331,Services!$B:$I,8,FALSE()),IF($E331="Patty Cash",VLOOKUP($C331,'Patty Cash'!$B:$J,8,FALSE()),0)))),0)</f>
        <v>0</v>
      </c>
      <c r="J331" s="252" t="str">
        <f t="shared" si="11"/>
        <v/>
      </c>
      <c r="K331" s="253"/>
      <c r="L331" s="253"/>
      <c r="M331" s="253"/>
      <c r="N331" s="328"/>
    </row>
    <row r="332" spans="1:14" ht="20.100000000000001" customHeight="1">
      <c r="A332" s="327" t="str">
        <f>IF(AND($B332="",$C332=""),"",MAX($A$3:A331)+1)</f>
        <v/>
      </c>
      <c r="B332" s="262"/>
      <c r="C332" s="253"/>
      <c r="D332" s="249" t="str">
        <f>IFERROR(IF($E332="Inventory",VLOOKUP($C332,Inventory!$B:$I,2,FALSE()),IF($E332="Non Inventory",VLOOKUP($C332,'Non Inventory'!$B:$I,2,FALSE()),IF($E332="Services",VLOOKUP($C332,Services!$B:$I,2,FALSE()),IF($E332="Patty Cash",VLOOKUP($C332,'Patty Cash'!$B:$J,2,FALSE()),"")))),"")</f>
        <v/>
      </c>
      <c r="E332" s="254"/>
      <c r="F332" s="263" t="str">
        <f>IFERROR(IF($E332="Inventory",VLOOKUP($C332,Inventory!$B:$I,3,FALSE()),IF($E332="Non Inventory",VLOOKUP($C332,'Non Inventory'!$B:$I,3,FALSE()),IF($E332="Services",VLOOKUP($C332,Services!$B:$I,3,FALSE()),IF($E332="Patty Cash",VLOOKUP($C332,'Patty Cash'!$B:$J,3,FALSE()),"")))),"")</f>
        <v/>
      </c>
      <c r="G332" s="374"/>
      <c r="H332" s="374" t="str">
        <f t="shared" si="10"/>
        <v/>
      </c>
      <c r="I332" s="252">
        <f>IFERROR(IF($E332="Inventory",VLOOKUP($C332,Inventory!$B:$I,8,FALSE()),IF($E332="Non Inventory",VLOOKUP($C332,'Non Inventory'!$B:$I,8,FALSE()),IF($E332="Services",VLOOKUP($C332,Services!$B:$I,8,FALSE()),IF($E332="Patty Cash",VLOOKUP($C332,'Patty Cash'!$B:$J,8,FALSE()),0)))),0)</f>
        <v>0</v>
      </c>
      <c r="J332" s="252" t="str">
        <f t="shared" si="11"/>
        <v/>
      </c>
      <c r="K332" s="253"/>
      <c r="L332" s="253"/>
      <c r="M332" s="253"/>
      <c r="N332" s="328"/>
    </row>
    <row r="333" spans="1:14" ht="20.100000000000001" customHeight="1">
      <c r="A333" s="327" t="str">
        <f>IF(AND($B333="",$C333=""),"",MAX($A$3:A332)+1)</f>
        <v/>
      </c>
      <c r="B333" s="262"/>
      <c r="C333" s="253"/>
      <c r="D333" s="249" t="str">
        <f>IFERROR(IF($E333="Inventory",VLOOKUP($C333,Inventory!$B:$I,2,FALSE()),IF($E333="Non Inventory",VLOOKUP($C333,'Non Inventory'!$B:$I,2,FALSE()),IF($E333="Services",VLOOKUP($C333,Services!$B:$I,2,FALSE()),IF($E333="Patty Cash",VLOOKUP($C333,'Patty Cash'!$B:$J,2,FALSE()),"")))),"")</f>
        <v/>
      </c>
      <c r="E333" s="254"/>
      <c r="F333" s="263" t="str">
        <f>IFERROR(IF($E333="Inventory",VLOOKUP($C333,Inventory!$B:$I,3,FALSE()),IF($E333="Non Inventory",VLOOKUP($C333,'Non Inventory'!$B:$I,3,FALSE()),IF($E333="Services",VLOOKUP($C333,Services!$B:$I,3,FALSE()),IF($E333="Patty Cash",VLOOKUP($C333,'Patty Cash'!$B:$J,3,FALSE()),"")))),"")</f>
        <v/>
      </c>
      <c r="G333" s="374"/>
      <c r="H333" s="374" t="str">
        <f t="shared" si="10"/>
        <v/>
      </c>
      <c r="I333" s="252">
        <f>IFERROR(IF($E333="Inventory",VLOOKUP($C333,Inventory!$B:$I,8,FALSE()),IF($E333="Non Inventory",VLOOKUP($C333,'Non Inventory'!$B:$I,8,FALSE()),IF($E333="Services",VLOOKUP($C333,Services!$B:$I,8,FALSE()),IF($E333="Patty Cash",VLOOKUP($C333,'Patty Cash'!$B:$J,8,FALSE()),0)))),0)</f>
        <v>0</v>
      </c>
      <c r="J333" s="252" t="str">
        <f t="shared" si="11"/>
        <v/>
      </c>
      <c r="K333" s="253"/>
      <c r="L333" s="253"/>
      <c r="M333" s="253"/>
      <c r="N333" s="328"/>
    </row>
    <row r="334" spans="1:14" ht="20.100000000000001" customHeight="1">
      <c r="A334" s="327" t="str">
        <f>IF(AND($B334="",$C334=""),"",MAX($A$3:A333)+1)</f>
        <v/>
      </c>
      <c r="B334" s="262"/>
      <c r="C334" s="253"/>
      <c r="D334" s="249" t="str">
        <f>IFERROR(IF($E334="Inventory",VLOOKUP($C334,Inventory!$B:$I,2,FALSE()),IF($E334="Non Inventory",VLOOKUP($C334,'Non Inventory'!$B:$I,2,FALSE()),IF($E334="Services",VLOOKUP($C334,Services!$B:$I,2,FALSE()),IF($E334="Patty Cash",VLOOKUP($C334,'Patty Cash'!$B:$J,2,FALSE()),"")))),"")</f>
        <v/>
      </c>
      <c r="E334" s="254"/>
      <c r="F334" s="263" t="str">
        <f>IFERROR(IF($E334="Inventory",VLOOKUP($C334,Inventory!$B:$I,3,FALSE()),IF($E334="Non Inventory",VLOOKUP($C334,'Non Inventory'!$B:$I,3,FALSE()),IF($E334="Services",VLOOKUP($C334,Services!$B:$I,3,FALSE()),IF($E334="Patty Cash",VLOOKUP($C334,'Patty Cash'!$B:$J,3,FALSE()),"")))),"")</f>
        <v/>
      </c>
      <c r="G334" s="374"/>
      <c r="H334" s="374" t="str">
        <f t="shared" si="10"/>
        <v/>
      </c>
      <c r="I334" s="252">
        <f>IFERROR(IF($E334="Inventory",VLOOKUP($C334,Inventory!$B:$I,8,FALSE()),IF($E334="Non Inventory",VLOOKUP($C334,'Non Inventory'!$B:$I,8,FALSE()),IF($E334="Services",VLOOKUP($C334,Services!$B:$I,8,FALSE()),IF($E334="Patty Cash",VLOOKUP($C334,'Patty Cash'!$B:$J,8,FALSE()),0)))),0)</f>
        <v>0</v>
      </c>
      <c r="J334" s="252" t="str">
        <f t="shared" si="11"/>
        <v/>
      </c>
      <c r="K334" s="253"/>
      <c r="L334" s="253"/>
      <c r="M334" s="253"/>
      <c r="N334" s="328"/>
    </row>
    <row r="335" spans="1:14" ht="20.100000000000001" customHeight="1">
      <c r="A335" s="327" t="str">
        <f>IF(AND($B335="",$C335=""),"",MAX($A$3:A334)+1)</f>
        <v/>
      </c>
      <c r="B335" s="262"/>
      <c r="C335" s="253"/>
      <c r="D335" s="249" t="str">
        <f>IFERROR(IF($E335="Inventory",VLOOKUP($C335,Inventory!$B:$I,2,FALSE()),IF($E335="Non Inventory",VLOOKUP($C335,'Non Inventory'!$B:$I,2,FALSE()),IF($E335="Services",VLOOKUP($C335,Services!$B:$I,2,FALSE()),IF($E335="Patty Cash",VLOOKUP($C335,'Patty Cash'!$B:$J,2,FALSE()),"")))),"")</f>
        <v/>
      </c>
      <c r="E335" s="254"/>
      <c r="F335" s="263" t="str">
        <f>IFERROR(IF($E335="Inventory",VLOOKUP($C335,Inventory!$B:$I,3,FALSE()),IF($E335="Non Inventory",VLOOKUP($C335,'Non Inventory'!$B:$I,3,FALSE()),IF($E335="Services",VLOOKUP($C335,Services!$B:$I,3,FALSE()),IF($E335="Patty Cash",VLOOKUP($C335,'Patty Cash'!$B:$J,3,FALSE()),"")))),"")</f>
        <v/>
      </c>
      <c r="G335" s="374"/>
      <c r="H335" s="374" t="str">
        <f t="shared" si="10"/>
        <v/>
      </c>
      <c r="I335" s="252">
        <f>IFERROR(IF($E335="Inventory",VLOOKUP($C335,Inventory!$B:$I,8,FALSE()),IF($E335="Non Inventory",VLOOKUP($C335,'Non Inventory'!$B:$I,8,FALSE()),IF($E335="Services",VLOOKUP($C335,Services!$B:$I,8,FALSE()),IF($E335="Patty Cash",VLOOKUP($C335,'Patty Cash'!$B:$J,8,FALSE()),0)))),0)</f>
        <v>0</v>
      </c>
      <c r="J335" s="252" t="str">
        <f t="shared" si="11"/>
        <v/>
      </c>
      <c r="K335" s="253"/>
      <c r="L335" s="253"/>
      <c r="M335" s="253"/>
      <c r="N335" s="328"/>
    </row>
    <row r="336" spans="1:14" ht="20.100000000000001" customHeight="1">
      <c r="A336" s="327" t="str">
        <f>IF(AND($B336="",$C336=""),"",MAX($A$3:A335)+1)</f>
        <v/>
      </c>
      <c r="B336" s="262"/>
      <c r="C336" s="253"/>
      <c r="D336" s="249" t="str">
        <f>IFERROR(IF($E336="Inventory",VLOOKUP($C336,Inventory!$B:$I,2,FALSE()),IF($E336="Non Inventory",VLOOKUP($C336,'Non Inventory'!$B:$I,2,FALSE()),IF($E336="Services",VLOOKUP($C336,Services!$B:$I,2,FALSE()),IF($E336="Patty Cash",VLOOKUP($C336,'Patty Cash'!$B:$J,2,FALSE()),"")))),"")</f>
        <v/>
      </c>
      <c r="E336" s="254"/>
      <c r="F336" s="263" t="str">
        <f>IFERROR(IF($E336="Inventory",VLOOKUP($C336,Inventory!$B:$I,3,FALSE()),IF($E336="Non Inventory",VLOOKUP($C336,'Non Inventory'!$B:$I,3,FALSE()),IF($E336="Services",VLOOKUP($C336,Services!$B:$I,3,FALSE()),IF($E336="Patty Cash",VLOOKUP($C336,'Patty Cash'!$B:$J,3,FALSE()),"")))),"")</f>
        <v/>
      </c>
      <c r="G336" s="374"/>
      <c r="H336" s="374" t="str">
        <f t="shared" si="10"/>
        <v/>
      </c>
      <c r="I336" s="252">
        <f>IFERROR(IF($E336="Inventory",VLOOKUP($C336,Inventory!$B:$I,8,FALSE()),IF($E336="Non Inventory",VLOOKUP($C336,'Non Inventory'!$B:$I,8,FALSE()),IF($E336="Services",VLOOKUP($C336,Services!$B:$I,8,FALSE()),IF($E336="Patty Cash",VLOOKUP($C336,'Patty Cash'!$B:$J,8,FALSE()),0)))),0)</f>
        <v>0</v>
      </c>
      <c r="J336" s="252" t="str">
        <f t="shared" si="11"/>
        <v/>
      </c>
      <c r="K336" s="253"/>
      <c r="L336" s="253"/>
      <c r="M336" s="253"/>
      <c r="N336" s="328"/>
    </row>
    <row r="337" spans="1:14" ht="20.100000000000001" customHeight="1">
      <c r="A337" s="327" t="str">
        <f>IF(AND($B337="",$C337=""),"",MAX($A$3:A336)+1)</f>
        <v/>
      </c>
      <c r="B337" s="262"/>
      <c r="C337" s="253"/>
      <c r="D337" s="249" t="str">
        <f>IFERROR(IF($E337="Inventory",VLOOKUP($C337,Inventory!$B:$I,2,FALSE()),IF($E337="Non Inventory",VLOOKUP($C337,'Non Inventory'!$B:$I,2,FALSE()),IF($E337="Services",VLOOKUP($C337,Services!$B:$I,2,FALSE()),IF($E337="Patty Cash",VLOOKUP($C337,'Patty Cash'!$B:$J,2,FALSE()),"")))),"")</f>
        <v/>
      </c>
      <c r="E337" s="254"/>
      <c r="F337" s="263" t="str">
        <f>IFERROR(IF($E337="Inventory",VLOOKUP($C337,Inventory!$B:$I,3,FALSE()),IF($E337="Non Inventory",VLOOKUP($C337,'Non Inventory'!$B:$I,3,FALSE()),IF($E337="Services",VLOOKUP($C337,Services!$B:$I,3,FALSE()),IF($E337="Patty Cash",VLOOKUP($C337,'Patty Cash'!$B:$J,3,FALSE()),"")))),"")</f>
        <v/>
      </c>
      <c r="G337" s="374"/>
      <c r="H337" s="374" t="str">
        <f t="shared" si="10"/>
        <v/>
      </c>
      <c r="I337" s="252">
        <f>IFERROR(IF($E337="Inventory",VLOOKUP($C337,Inventory!$B:$I,8,FALSE()),IF($E337="Non Inventory",VLOOKUP($C337,'Non Inventory'!$B:$I,8,FALSE()),IF($E337="Services",VLOOKUP($C337,Services!$B:$I,8,FALSE()),IF($E337="Patty Cash",VLOOKUP($C337,'Patty Cash'!$B:$J,8,FALSE()),0)))),0)</f>
        <v>0</v>
      </c>
      <c r="J337" s="252" t="str">
        <f t="shared" si="11"/>
        <v/>
      </c>
      <c r="K337" s="253"/>
      <c r="L337" s="253"/>
      <c r="M337" s="253"/>
      <c r="N337" s="328"/>
    </row>
    <row r="338" spans="1:14" ht="20.100000000000001" customHeight="1">
      <c r="A338" s="327" t="str">
        <f>IF(AND($B338="",$C338=""),"",MAX($A$3:A337)+1)</f>
        <v/>
      </c>
      <c r="B338" s="262"/>
      <c r="C338" s="253"/>
      <c r="D338" s="249" t="str">
        <f>IFERROR(IF($E338="Inventory",VLOOKUP($C338,Inventory!$B:$I,2,FALSE()),IF($E338="Non Inventory",VLOOKUP($C338,'Non Inventory'!$B:$I,2,FALSE()),IF($E338="Services",VLOOKUP($C338,Services!$B:$I,2,FALSE()),IF($E338="Patty Cash",VLOOKUP($C338,'Patty Cash'!$B:$J,2,FALSE()),"")))),"")</f>
        <v/>
      </c>
      <c r="E338" s="254"/>
      <c r="F338" s="263" t="str">
        <f>IFERROR(IF($E338="Inventory",VLOOKUP($C338,Inventory!$B:$I,3,FALSE()),IF($E338="Non Inventory",VLOOKUP($C338,'Non Inventory'!$B:$I,3,FALSE()),IF($E338="Services",VLOOKUP($C338,Services!$B:$I,3,FALSE()),IF($E338="Patty Cash",VLOOKUP($C338,'Patty Cash'!$B:$J,3,FALSE()),"")))),"")</f>
        <v/>
      </c>
      <c r="G338" s="374"/>
      <c r="H338" s="374" t="str">
        <f t="shared" si="10"/>
        <v/>
      </c>
      <c r="I338" s="252">
        <f>IFERROR(IF($E338="Inventory",VLOOKUP($C338,Inventory!$B:$I,8,FALSE()),IF($E338="Non Inventory",VLOOKUP($C338,'Non Inventory'!$B:$I,8,FALSE()),IF($E338="Services",VLOOKUP($C338,Services!$B:$I,8,FALSE()),IF($E338="Patty Cash",VLOOKUP($C338,'Patty Cash'!$B:$J,8,FALSE()),0)))),0)</f>
        <v>0</v>
      </c>
      <c r="J338" s="252" t="str">
        <f t="shared" si="11"/>
        <v/>
      </c>
      <c r="K338" s="253"/>
      <c r="L338" s="253"/>
      <c r="M338" s="253"/>
      <c r="N338" s="328"/>
    </row>
    <row r="339" spans="1:14" ht="20.100000000000001" customHeight="1">
      <c r="A339" s="327" t="str">
        <f>IF(AND($B339="",$C339=""),"",MAX($A$3:A338)+1)</f>
        <v/>
      </c>
      <c r="B339" s="262"/>
      <c r="C339" s="253"/>
      <c r="D339" s="249" t="str">
        <f>IFERROR(IF($E339="Inventory",VLOOKUP($C339,Inventory!$B:$I,2,FALSE()),IF($E339="Non Inventory",VLOOKUP($C339,'Non Inventory'!$B:$I,2,FALSE()),IF($E339="Services",VLOOKUP($C339,Services!$B:$I,2,FALSE()),IF($E339="Patty Cash",VLOOKUP($C339,'Patty Cash'!$B:$J,2,FALSE()),"")))),"")</f>
        <v/>
      </c>
      <c r="E339" s="254"/>
      <c r="F339" s="263" t="str">
        <f>IFERROR(IF($E339="Inventory",VLOOKUP($C339,Inventory!$B:$I,3,FALSE()),IF($E339="Non Inventory",VLOOKUP($C339,'Non Inventory'!$B:$I,3,FALSE()),IF($E339="Services",VLOOKUP($C339,Services!$B:$I,3,FALSE()),IF($E339="Patty Cash",VLOOKUP($C339,'Patty Cash'!$B:$J,3,FALSE()),"")))),"")</f>
        <v/>
      </c>
      <c r="G339" s="374"/>
      <c r="H339" s="374" t="str">
        <f t="shared" si="10"/>
        <v/>
      </c>
      <c r="I339" s="252">
        <f>IFERROR(IF($E339="Inventory",VLOOKUP($C339,Inventory!$B:$I,8,FALSE()),IF($E339="Non Inventory",VLOOKUP($C339,'Non Inventory'!$B:$I,8,FALSE()),IF($E339="Services",VLOOKUP($C339,Services!$B:$I,8,FALSE()),IF($E339="Patty Cash",VLOOKUP($C339,'Patty Cash'!$B:$J,8,FALSE()),0)))),0)</f>
        <v>0</v>
      </c>
      <c r="J339" s="252" t="str">
        <f t="shared" si="11"/>
        <v/>
      </c>
      <c r="K339" s="253"/>
      <c r="L339" s="253"/>
      <c r="M339" s="253"/>
      <c r="N339" s="328"/>
    </row>
    <row r="340" spans="1:14" ht="20.100000000000001" customHeight="1">
      <c r="A340" s="327" t="str">
        <f>IF(AND($B340="",$C340=""),"",MAX($A$3:A339)+1)</f>
        <v/>
      </c>
      <c r="B340" s="262"/>
      <c r="C340" s="253"/>
      <c r="D340" s="249" t="str">
        <f>IFERROR(IF($E340="Inventory",VLOOKUP($C340,Inventory!$B:$I,2,FALSE()),IF($E340="Non Inventory",VLOOKUP($C340,'Non Inventory'!$B:$I,2,FALSE()),IF($E340="Services",VLOOKUP($C340,Services!$B:$I,2,FALSE()),IF($E340="Patty Cash",VLOOKUP($C340,'Patty Cash'!$B:$J,2,FALSE()),"")))),"")</f>
        <v/>
      </c>
      <c r="E340" s="254"/>
      <c r="F340" s="263" t="str">
        <f>IFERROR(IF($E340="Inventory",VLOOKUP($C340,Inventory!$B:$I,3,FALSE()),IF($E340="Non Inventory",VLOOKUP($C340,'Non Inventory'!$B:$I,3,FALSE()),IF($E340="Services",VLOOKUP($C340,Services!$B:$I,3,FALSE()),IF($E340="Patty Cash",VLOOKUP($C340,'Patty Cash'!$B:$J,3,FALSE()),"")))),"")</f>
        <v/>
      </c>
      <c r="G340" s="374"/>
      <c r="H340" s="374" t="str">
        <f t="shared" si="10"/>
        <v/>
      </c>
      <c r="I340" s="252">
        <f>IFERROR(IF($E340="Inventory",VLOOKUP($C340,Inventory!$B:$I,8,FALSE()),IF($E340="Non Inventory",VLOOKUP($C340,'Non Inventory'!$B:$I,8,FALSE()),IF($E340="Services",VLOOKUP($C340,Services!$B:$I,8,FALSE()),IF($E340="Patty Cash",VLOOKUP($C340,'Patty Cash'!$B:$J,8,FALSE()),0)))),0)</f>
        <v>0</v>
      </c>
      <c r="J340" s="252" t="str">
        <f t="shared" si="11"/>
        <v/>
      </c>
      <c r="K340" s="253"/>
      <c r="L340" s="253"/>
      <c r="M340" s="253"/>
      <c r="N340" s="328"/>
    </row>
    <row r="341" spans="1:14" ht="20.100000000000001" customHeight="1">
      <c r="A341" s="327" t="str">
        <f>IF(AND($B341="",$C341=""),"",MAX($A$3:A340)+1)</f>
        <v/>
      </c>
      <c r="B341" s="262"/>
      <c r="C341" s="253"/>
      <c r="D341" s="249" t="str">
        <f>IFERROR(IF($E341="Inventory",VLOOKUP($C341,Inventory!$B:$I,2,FALSE()),IF($E341="Non Inventory",VLOOKUP($C341,'Non Inventory'!$B:$I,2,FALSE()),IF($E341="Services",VLOOKUP($C341,Services!$B:$I,2,FALSE()),IF($E341="Patty Cash",VLOOKUP($C341,'Patty Cash'!$B:$J,2,FALSE()),"")))),"")</f>
        <v/>
      </c>
      <c r="E341" s="254"/>
      <c r="F341" s="263" t="str">
        <f>IFERROR(IF($E341="Inventory",VLOOKUP($C341,Inventory!$B:$I,3,FALSE()),IF($E341="Non Inventory",VLOOKUP($C341,'Non Inventory'!$B:$I,3,FALSE()),IF($E341="Services",VLOOKUP($C341,Services!$B:$I,3,FALSE()),IF($E341="Patty Cash",VLOOKUP($C341,'Patty Cash'!$B:$J,3,FALSE()),"")))),"")</f>
        <v/>
      </c>
      <c r="G341" s="374"/>
      <c r="H341" s="374" t="str">
        <f t="shared" si="10"/>
        <v/>
      </c>
      <c r="I341" s="252">
        <f>IFERROR(IF($E341="Inventory",VLOOKUP($C341,Inventory!$B:$I,8,FALSE()),IF($E341="Non Inventory",VLOOKUP($C341,'Non Inventory'!$B:$I,8,FALSE()),IF($E341="Services",VLOOKUP($C341,Services!$B:$I,8,FALSE()),IF($E341="Patty Cash",VLOOKUP($C341,'Patty Cash'!$B:$J,8,FALSE()),0)))),0)</f>
        <v>0</v>
      </c>
      <c r="J341" s="252" t="str">
        <f t="shared" si="11"/>
        <v/>
      </c>
      <c r="K341" s="253"/>
      <c r="L341" s="253"/>
      <c r="M341" s="253"/>
      <c r="N341" s="328"/>
    </row>
    <row r="342" spans="1:14" ht="20.100000000000001" customHeight="1">
      <c r="A342" s="327" t="str">
        <f>IF(AND($B342="",$C342=""),"",MAX($A$3:A341)+1)</f>
        <v/>
      </c>
      <c r="B342" s="262"/>
      <c r="C342" s="253"/>
      <c r="D342" s="249" t="str">
        <f>IFERROR(IF($E342="Inventory",VLOOKUP($C342,Inventory!$B:$I,2,FALSE()),IF($E342="Non Inventory",VLOOKUP($C342,'Non Inventory'!$B:$I,2,FALSE()),IF($E342="Services",VLOOKUP($C342,Services!$B:$I,2,FALSE()),IF($E342="Patty Cash",VLOOKUP($C342,'Patty Cash'!$B:$J,2,FALSE()),"")))),"")</f>
        <v/>
      </c>
      <c r="E342" s="254"/>
      <c r="F342" s="263" t="str">
        <f>IFERROR(IF($E342="Inventory",VLOOKUP($C342,Inventory!$B:$I,3,FALSE()),IF($E342="Non Inventory",VLOOKUP($C342,'Non Inventory'!$B:$I,3,FALSE()),IF($E342="Services",VLOOKUP($C342,Services!$B:$I,3,FALSE()),IF($E342="Patty Cash",VLOOKUP($C342,'Patty Cash'!$B:$J,3,FALSE()),"")))),"")</f>
        <v/>
      </c>
      <c r="G342" s="374"/>
      <c r="H342" s="374" t="str">
        <f t="shared" si="10"/>
        <v/>
      </c>
      <c r="I342" s="252">
        <f>IFERROR(IF($E342="Inventory",VLOOKUP($C342,Inventory!$B:$I,8,FALSE()),IF($E342="Non Inventory",VLOOKUP($C342,'Non Inventory'!$B:$I,8,FALSE()),IF($E342="Services",VLOOKUP($C342,Services!$B:$I,8,FALSE()),IF($E342="Patty Cash",VLOOKUP($C342,'Patty Cash'!$B:$J,8,FALSE()),0)))),0)</f>
        <v>0</v>
      </c>
      <c r="J342" s="252" t="str">
        <f t="shared" si="11"/>
        <v/>
      </c>
      <c r="K342" s="253"/>
      <c r="L342" s="253"/>
      <c r="M342" s="253"/>
      <c r="N342" s="328"/>
    </row>
    <row r="343" spans="1:14" ht="20.100000000000001" customHeight="1">
      <c r="A343" s="327" t="str">
        <f>IF(AND($B343="",$C343=""),"",MAX($A$3:A342)+1)</f>
        <v/>
      </c>
      <c r="B343" s="262"/>
      <c r="C343" s="253"/>
      <c r="D343" s="249" t="str">
        <f>IFERROR(IF($E343="Inventory",VLOOKUP($C343,Inventory!$B:$I,2,FALSE()),IF($E343="Non Inventory",VLOOKUP($C343,'Non Inventory'!$B:$I,2,FALSE()),IF($E343="Services",VLOOKUP($C343,Services!$B:$I,2,FALSE()),IF($E343="Patty Cash",VLOOKUP($C343,'Patty Cash'!$B:$J,2,FALSE()),"")))),"")</f>
        <v/>
      </c>
      <c r="E343" s="254"/>
      <c r="F343" s="263" t="str">
        <f>IFERROR(IF($E343="Inventory",VLOOKUP($C343,Inventory!$B:$I,3,FALSE()),IF($E343="Non Inventory",VLOOKUP($C343,'Non Inventory'!$B:$I,3,FALSE()),IF($E343="Services",VLOOKUP($C343,Services!$B:$I,3,FALSE()),IF($E343="Patty Cash",VLOOKUP($C343,'Patty Cash'!$B:$J,3,FALSE()),"")))),"")</f>
        <v/>
      </c>
      <c r="G343" s="374"/>
      <c r="H343" s="374" t="str">
        <f t="shared" si="10"/>
        <v/>
      </c>
      <c r="I343" s="252">
        <f>IFERROR(IF($E343="Inventory",VLOOKUP($C343,Inventory!$B:$I,8,FALSE()),IF($E343="Non Inventory",VLOOKUP($C343,'Non Inventory'!$B:$I,8,FALSE()),IF($E343="Services",VLOOKUP($C343,Services!$B:$I,8,FALSE()),IF($E343="Patty Cash",VLOOKUP($C343,'Patty Cash'!$B:$J,8,FALSE()),0)))),0)</f>
        <v>0</v>
      </c>
      <c r="J343" s="252" t="str">
        <f t="shared" si="11"/>
        <v/>
      </c>
      <c r="K343" s="253"/>
      <c r="L343" s="253"/>
      <c r="M343" s="253"/>
      <c r="N343" s="328"/>
    </row>
    <row r="344" spans="1:14" ht="20.100000000000001" customHeight="1">
      <c r="A344" s="327" t="str">
        <f>IF(AND($B344="",$C344=""),"",MAX($A$3:A343)+1)</f>
        <v/>
      </c>
      <c r="B344" s="262"/>
      <c r="C344" s="253"/>
      <c r="D344" s="249" t="str">
        <f>IFERROR(IF($E344="Inventory",VLOOKUP($C344,Inventory!$B:$I,2,FALSE()),IF($E344="Non Inventory",VLOOKUP($C344,'Non Inventory'!$B:$I,2,FALSE()),IF($E344="Services",VLOOKUP($C344,Services!$B:$I,2,FALSE()),IF($E344="Patty Cash",VLOOKUP($C344,'Patty Cash'!$B:$J,2,FALSE()),"")))),"")</f>
        <v/>
      </c>
      <c r="E344" s="254"/>
      <c r="F344" s="263" t="str">
        <f>IFERROR(IF($E344="Inventory",VLOOKUP($C344,Inventory!$B:$I,3,FALSE()),IF($E344="Non Inventory",VLOOKUP($C344,'Non Inventory'!$B:$I,3,FALSE()),IF($E344="Services",VLOOKUP($C344,Services!$B:$I,3,FALSE()),IF($E344="Patty Cash",VLOOKUP($C344,'Patty Cash'!$B:$J,3,FALSE()),"")))),"")</f>
        <v/>
      </c>
      <c r="G344" s="374"/>
      <c r="H344" s="374" t="str">
        <f t="shared" si="10"/>
        <v/>
      </c>
      <c r="I344" s="252">
        <f>IFERROR(IF($E344="Inventory",VLOOKUP($C344,Inventory!$B:$I,8,FALSE()),IF($E344="Non Inventory",VLOOKUP($C344,'Non Inventory'!$B:$I,8,FALSE()),IF($E344="Services",VLOOKUP($C344,Services!$B:$I,8,FALSE()),IF($E344="Patty Cash",VLOOKUP($C344,'Patty Cash'!$B:$J,8,FALSE()),0)))),0)</f>
        <v>0</v>
      </c>
      <c r="J344" s="252" t="str">
        <f t="shared" si="11"/>
        <v/>
      </c>
      <c r="K344" s="253"/>
      <c r="L344" s="253"/>
      <c r="M344" s="253"/>
      <c r="N344" s="328"/>
    </row>
    <row r="345" spans="1:14" ht="20.100000000000001" customHeight="1">
      <c r="A345" s="327" t="str">
        <f>IF(AND($B345="",$C345=""),"",MAX($A$3:A344)+1)</f>
        <v/>
      </c>
      <c r="B345" s="262"/>
      <c r="C345" s="253"/>
      <c r="D345" s="249" t="str">
        <f>IFERROR(IF($E345="Inventory",VLOOKUP($C345,Inventory!$B:$I,2,FALSE()),IF($E345="Non Inventory",VLOOKUP($C345,'Non Inventory'!$B:$I,2,FALSE()),IF($E345="Services",VLOOKUP($C345,Services!$B:$I,2,FALSE()),IF($E345="Patty Cash",VLOOKUP($C345,'Patty Cash'!$B:$J,2,FALSE()),"")))),"")</f>
        <v/>
      </c>
      <c r="E345" s="254"/>
      <c r="F345" s="263" t="str">
        <f>IFERROR(IF($E345="Inventory",VLOOKUP($C345,Inventory!$B:$I,3,FALSE()),IF($E345="Non Inventory",VLOOKUP($C345,'Non Inventory'!$B:$I,3,FALSE()),IF($E345="Services",VLOOKUP($C345,Services!$B:$I,3,FALSE()),IF($E345="Patty Cash",VLOOKUP($C345,'Patty Cash'!$B:$J,3,FALSE()),"")))),"")</f>
        <v/>
      </c>
      <c r="G345" s="374"/>
      <c r="H345" s="374" t="str">
        <f t="shared" si="10"/>
        <v/>
      </c>
      <c r="I345" s="252">
        <f>IFERROR(IF($E345="Inventory",VLOOKUP($C345,Inventory!$B:$I,8,FALSE()),IF($E345="Non Inventory",VLOOKUP($C345,'Non Inventory'!$B:$I,8,FALSE()),IF($E345="Services",VLOOKUP($C345,Services!$B:$I,8,FALSE()),IF($E345="Patty Cash",VLOOKUP($C345,'Patty Cash'!$B:$J,8,FALSE()),0)))),0)</f>
        <v>0</v>
      </c>
      <c r="J345" s="252" t="str">
        <f t="shared" si="11"/>
        <v/>
      </c>
      <c r="K345" s="253"/>
      <c r="L345" s="253"/>
      <c r="M345" s="253"/>
      <c r="N345" s="328"/>
    </row>
    <row r="346" spans="1:14" ht="20.100000000000001" customHeight="1">
      <c r="A346" s="327" t="str">
        <f>IF(AND($B346="",$C346=""),"",MAX($A$3:A345)+1)</f>
        <v/>
      </c>
      <c r="B346" s="262"/>
      <c r="C346" s="253"/>
      <c r="D346" s="249" t="str">
        <f>IFERROR(IF($E346="Inventory",VLOOKUP($C346,Inventory!$B:$I,2,FALSE()),IF($E346="Non Inventory",VLOOKUP($C346,'Non Inventory'!$B:$I,2,FALSE()),IF($E346="Services",VLOOKUP($C346,Services!$B:$I,2,FALSE()),IF($E346="Patty Cash",VLOOKUP($C346,'Patty Cash'!$B:$J,2,FALSE()),"")))),"")</f>
        <v/>
      </c>
      <c r="E346" s="254"/>
      <c r="F346" s="263" t="str">
        <f>IFERROR(IF($E346="Inventory",VLOOKUP($C346,Inventory!$B:$I,3,FALSE()),IF($E346="Non Inventory",VLOOKUP($C346,'Non Inventory'!$B:$I,3,FALSE()),IF($E346="Services",VLOOKUP($C346,Services!$B:$I,3,FALSE()),IF($E346="Patty Cash",VLOOKUP($C346,'Patty Cash'!$B:$J,3,FALSE()),"")))),"")</f>
        <v/>
      </c>
      <c r="G346" s="374"/>
      <c r="H346" s="374" t="str">
        <f t="shared" si="10"/>
        <v/>
      </c>
      <c r="I346" s="252">
        <f>IFERROR(IF($E346="Inventory",VLOOKUP($C346,Inventory!$B:$I,8,FALSE()),IF($E346="Non Inventory",VLOOKUP($C346,'Non Inventory'!$B:$I,8,FALSE()),IF($E346="Services",VLOOKUP($C346,Services!$B:$I,8,FALSE()),IF($E346="Patty Cash",VLOOKUP($C346,'Patty Cash'!$B:$J,8,FALSE()),0)))),0)</f>
        <v>0</v>
      </c>
      <c r="J346" s="252" t="str">
        <f t="shared" si="11"/>
        <v/>
      </c>
      <c r="K346" s="253"/>
      <c r="L346" s="253"/>
      <c r="M346" s="253"/>
      <c r="N346" s="328"/>
    </row>
    <row r="347" spans="1:14" ht="20.100000000000001" customHeight="1">
      <c r="A347" s="327" t="str">
        <f>IF(AND($B347="",$C347=""),"",MAX($A$3:A346)+1)</f>
        <v/>
      </c>
      <c r="B347" s="262"/>
      <c r="C347" s="253"/>
      <c r="D347" s="249" t="str">
        <f>IFERROR(IF($E347="Inventory",VLOOKUP($C347,Inventory!$B:$I,2,FALSE()),IF($E347="Non Inventory",VLOOKUP($C347,'Non Inventory'!$B:$I,2,FALSE()),IF($E347="Services",VLOOKUP($C347,Services!$B:$I,2,FALSE()),IF($E347="Patty Cash",VLOOKUP($C347,'Patty Cash'!$B:$J,2,FALSE()),"")))),"")</f>
        <v/>
      </c>
      <c r="E347" s="254"/>
      <c r="F347" s="263" t="str">
        <f>IFERROR(IF($E347="Inventory",VLOOKUP($C347,Inventory!$B:$I,3,FALSE()),IF($E347="Non Inventory",VLOOKUP($C347,'Non Inventory'!$B:$I,3,FALSE()),IF($E347="Services",VLOOKUP($C347,Services!$B:$I,3,FALSE()),IF($E347="Patty Cash",VLOOKUP($C347,'Patty Cash'!$B:$J,3,FALSE()),"")))),"")</f>
        <v/>
      </c>
      <c r="G347" s="374"/>
      <c r="H347" s="374" t="str">
        <f t="shared" si="10"/>
        <v/>
      </c>
      <c r="I347" s="252">
        <f>IFERROR(IF($E347="Inventory",VLOOKUP($C347,Inventory!$B:$I,8,FALSE()),IF($E347="Non Inventory",VLOOKUP($C347,'Non Inventory'!$B:$I,8,FALSE()),IF($E347="Services",VLOOKUP($C347,Services!$B:$I,8,FALSE()),IF($E347="Patty Cash",VLOOKUP($C347,'Patty Cash'!$B:$J,8,FALSE()),0)))),0)</f>
        <v>0</v>
      </c>
      <c r="J347" s="252" t="str">
        <f t="shared" si="11"/>
        <v/>
      </c>
      <c r="K347" s="253"/>
      <c r="L347" s="253"/>
      <c r="M347" s="253"/>
      <c r="N347" s="328"/>
    </row>
    <row r="348" spans="1:14" ht="20.100000000000001" customHeight="1">
      <c r="A348" s="327" t="str">
        <f>IF(AND($B348="",$C348=""),"",MAX($A$3:A347)+1)</f>
        <v/>
      </c>
      <c r="B348" s="262"/>
      <c r="C348" s="253"/>
      <c r="D348" s="249" t="str">
        <f>IFERROR(IF($E348="Inventory",VLOOKUP($C348,Inventory!$B:$I,2,FALSE()),IF($E348="Non Inventory",VLOOKUP($C348,'Non Inventory'!$B:$I,2,FALSE()),IF($E348="Services",VLOOKUP($C348,Services!$B:$I,2,FALSE()),IF($E348="Patty Cash",VLOOKUP($C348,'Patty Cash'!$B:$J,2,FALSE()),"")))),"")</f>
        <v/>
      </c>
      <c r="E348" s="254"/>
      <c r="F348" s="263" t="str">
        <f>IFERROR(IF($E348="Inventory",VLOOKUP($C348,Inventory!$B:$I,3,FALSE()),IF($E348="Non Inventory",VLOOKUP($C348,'Non Inventory'!$B:$I,3,FALSE()),IF($E348="Services",VLOOKUP($C348,Services!$B:$I,3,FALSE()),IF($E348="Patty Cash",VLOOKUP($C348,'Patty Cash'!$B:$J,3,FALSE()),"")))),"")</f>
        <v/>
      </c>
      <c r="G348" s="374"/>
      <c r="H348" s="374" t="str">
        <f t="shared" si="10"/>
        <v/>
      </c>
      <c r="I348" s="252">
        <f>IFERROR(IF($E348="Inventory",VLOOKUP($C348,Inventory!$B:$I,8,FALSE()),IF($E348="Non Inventory",VLOOKUP($C348,'Non Inventory'!$B:$I,8,FALSE()),IF($E348="Services",VLOOKUP($C348,Services!$B:$I,8,FALSE()),IF($E348="Patty Cash",VLOOKUP($C348,'Patty Cash'!$B:$J,8,FALSE()),0)))),0)</f>
        <v>0</v>
      </c>
      <c r="J348" s="252" t="str">
        <f t="shared" si="11"/>
        <v/>
      </c>
      <c r="K348" s="253"/>
      <c r="L348" s="253"/>
      <c r="M348" s="253"/>
      <c r="N348" s="328"/>
    </row>
    <row r="349" spans="1:14" ht="20.100000000000001" customHeight="1">
      <c r="A349" s="327" t="str">
        <f>IF(AND($B349="",$C349=""),"",MAX($A$3:A348)+1)</f>
        <v/>
      </c>
      <c r="B349" s="262"/>
      <c r="C349" s="253"/>
      <c r="D349" s="249" t="str">
        <f>IFERROR(IF($E349="Inventory",VLOOKUP($C349,Inventory!$B:$I,2,FALSE()),IF($E349="Non Inventory",VLOOKUP($C349,'Non Inventory'!$B:$I,2,FALSE()),IF($E349="Services",VLOOKUP($C349,Services!$B:$I,2,FALSE()),IF($E349="Patty Cash",VLOOKUP($C349,'Patty Cash'!$B:$J,2,FALSE()),"")))),"")</f>
        <v/>
      </c>
      <c r="E349" s="254"/>
      <c r="F349" s="263" t="str">
        <f>IFERROR(IF($E349="Inventory",VLOOKUP($C349,Inventory!$B:$I,3,FALSE()),IF($E349="Non Inventory",VLOOKUP($C349,'Non Inventory'!$B:$I,3,FALSE()),IF($E349="Services",VLOOKUP($C349,Services!$B:$I,3,FALSE()),IF($E349="Patty Cash",VLOOKUP($C349,'Patty Cash'!$B:$J,3,FALSE()),"")))),"")</f>
        <v/>
      </c>
      <c r="G349" s="374"/>
      <c r="H349" s="374" t="str">
        <f t="shared" si="10"/>
        <v/>
      </c>
      <c r="I349" s="252">
        <f>IFERROR(IF($E349="Inventory",VLOOKUP($C349,Inventory!$B:$I,8,FALSE()),IF($E349="Non Inventory",VLOOKUP($C349,'Non Inventory'!$B:$I,8,FALSE()),IF($E349="Services",VLOOKUP($C349,Services!$B:$I,8,FALSE()),IF($E349="Patty Cash",VLOOKUP($C349,'Patty Cash'!$B:$J,8,FALSE()),0)))),0)</f>
        <v>0</v>
      </c>
      <c r="J349" s="252" t="str">
        <f t="shared" si="11"/>
        <v/>
      </c>
      <c r="K349" s="253"/>
      <c r="L349" s="253"/>
      <c r="M349" s="253"/>
      <c r="N349" s="328"/>
    </row>
    <row r="350" spans="1:14" ht="20.100000000000001" customHeight="1">
      <c r="A350" s="327" t="str">
        <f>IF(AND($B350="",$C350=""),"",MAX($A$3:A349)+1)</f>
        <v/>
      </c>
      <c r="B350" s="262"/>
      <c r="C350" s="253"/>
      <c r="D350" s="249" t="str">
        <f>IFERROR(IF($E350="Inventory",VLOOKUP($C350,Inventory!$B:$I,2,FALSE()),IF($E350="Non Inventory",VLOOKUP($C350,'Non Inventory'!$B:$I,2,FALSE()),IF($E350="Services",VLOOKUP($C350,Services!$B:$I,2,FALSE()),IF($E350="Patty Cash",VLOOKUP($C350,'Patty Cash'!$B:$J,2,FALSE()),"")))),"")</f>
        <v/>
      </c>
      <c r="E350" s="254"/>
      <c r="F350" s="263" t="str">
        <f>IFERROR(IF($E350="Inventory",VLOOKUP($C350,Inventory!$B:$I,3,FALSE()),IF($E350="Non Inventory",VLOOKUP($C350,'Non Inventory'!$B:$I,3,FALSE()),IF($E350="Services",VLOOKUP($C350,Services!$B:$I,3,FALSE()),IF($E350="Patty Cash",VLOOKUP($C350,'Patty Cash'!$B:$J,3,FALSE()),"")))),"")</f>
        <v/>
      </c>
      <c r="G350" s="374"/>
      <c r="H350" s="374" t="str">
        <f t="shared" si="10"/>
        <v/>
      </c>
      <c r="I350" s="252">
        <f>IFERROR(IF($E350="Inventory",VLOOKUP($C350,Inventory!$B:$I,8,FALSE()),IF($E350="Non Inventory",VLOOKUP($C350,'Non Inventory'!$B:$I,8,FALSE()),IF($E350="Services",VLOOKUP($C350,Services!$B:$I,8,FALSE()),IF($E350="Patty Cash",VLOOKUP($C350,'Patty Cash'!$B:$J,8,FALSE()),0)))),0)</f>
        <v>0</v>
      </c>
      <c r="J350" s="252" t="str">
        <f t="shared" si="11"/>
        <v/>
      </c>
      <c r="K350" s="253"/>
      <c r="L350" s="253"/>
      <c r="M350" s="253"/>
      <c r="N350" s="328"/>
    </row>
    <row r="351" spans="1:14" ht="20.100000000000001" customHeight="1">
      <c r="A351" s="327" t="str">
        <f>IF(AND($B351="",$C351=""),"",MAX($A$3:A350)+1)</f>
        <v/>
      </c>
      <c r="B351" s="262"/>
      <c r="C351" s="253"/>
      <c r="D351" s="249" t="str">
        <f>IFERROR(IF($E351="Inventory",VLOOKUP($C351,Inventory!$B:$I,2,FALSE()),IF($E351="Non Inventory",VLOOKUP($C351,'Non Inventory'!$B:$I,2,FALSE()),IF($E351="Services",VLOOKUP($C351,Services!$B:$I,2,FALSE()),IF($E351="Patty Cash",VLOOKUP($C351,'Patty Cash'!$B:$J,2,FALSE()),"")))),"")</f>
        <v/>
      </c>
      <c r="E351" s="254"/>
      <c r="F351" s="263" t="str">
        <f>IFERROR(IF($E351="Inventory",VLOOKUP($C351,Inventory!$B:$I,3,FALSE()),IF($E351="Non Inventory",VLOOKUP($C351,'Non Inventory'!$B:$I,3,FALSE()),IF($E351="Services",VLOOKUP($C351,Services!$B:$I,3,FALSE()),IF($E351="Patty Cash",VLOOKUP($C351,'Patty Cash'!$B:$J,3,FALSE()),"")))),"")</f>
        <v/>
      </c>
      <c r="G351" s="374"/>
      <c r="H351" s="374" t="str">
        <f t="shared" si="10"/>
        <v/>
      </c>
      <c r="I351" s="252">
        <f>IFERROR(IF($E351="Inventory",VLOOKUP($C351,Inventory!$B:$I,8,FALSE()),IF($E351="Non Inventory",VLOOKUP($C351,'Non Inventory'!$B:$I,8,FALSE()),IF($E351="Services",VLOOKUP($C351,Services!$B:$I,8,FALSE()),IF($E351="Patty Cash",VLOOKUP($C351,'Patty Cash'!$B:$J,8,FALSE()),0)))),0)</f>
        <v>0</v>
      </c>
      <c r="J351" s="252" t="str">
        <f t="shared" si="11"/>
        <v/>
      </c>
      <c r="K351" s="253"/>
      <c r="L351" s="253"/>
      <c r="M351" s="253"/>
      <c r="N351" s="328"/>
    </row>
    <row r="352" spans="1:14" ht="20.100000000000001" customHeight="1">
      <c r="A352" s="327" t="str">
        <f>IF(AND($B352="",$C352=""),"",MAX($A$3:A351)+1)</f>
        <v/>
      </c>
      <c r="B352" s="262"/>
      <c r="C352" s="253"/>
      <c r="D352" s="249" t="str">
        <f>IFERROR(IF($E352="Inventory",VLOOKUP($C352,Inventory!$B:$I,2,FALSE()),IF($E352="Non Inventory",VLOOKUP($C352,'Non Inventory'!$B:$I,2,FALSE()),IF($E352="Services",VLOOKUP($C352,Services!$B:$I,2,FALSE()),IF($E352="Patty Cash",VLOOKUP($C352,'Patty Cash'!$B:$J,2,FALSE()),"")))),"")</f>
        <v/>
      </c>
      <c r="E352" s="254"/>
      <c r="F352" s="263" t="str">
        <f>IFERROR(IF($E352="Inventory",VLOOKUP($C352,Inventory!$B:$I,3,FALSE()),IF($E352="Non Inventory",VLOOKUP($C352,'Non Inventory'!$B:$I,3,FALSE()),IF($E352="Services",VLOOKUP($C352,Services!$B:$I,3,FALSE()),IF($E352="Patty Cash",VLOOKUP($C352,'Patty Cash'!$B:$J,3,FALSE()),"")))),"")</f>
        <v/>
      </c>
      <c r="G352" s="374"/>
      <c r="H352" s="374" t="str">
        <f t="shared" si="10"/>
        <v/>
      </c>
      <c r="I352" s="252">
        <f>IFERROR(IF($E352="Inventory",VLOOKUP($C352,Inventory!$B:$I,8,FALSE()),IF($E352="Non Inventory",VLOOKUP($C352,'Non Inventory'!$B:$I,8,FALSE()),IF($E352="Services",VLOOKUP($C352,Services!$B:$I,8,FALSE()),IF($E352="Patty Cash",VLOOKUP($C352,'Patty Cash'!$B:$J,8,FALSE()),0)))),0)</f>
        <v>0</v>
      </c>
      <c r="J352" s="252" t="str">
        <f t="shared" si="11"/>
        <v/>
      </c>
      <c r="K352" s="253"/>
      <c r="L352" s="253"/>
      <c r="M352" s="253"/>
      <c r="N352" s="328"/>
    </row>
    <row r="353" spans="1:14" ht="20.100000000000001" customHeight="1">
      <c r="A353" s="327" t="str">
        <f>IF(AND($B353="",$C353=""),"",MAX($A$3:A352)+1)</f>
        <v/>
      </c>
      <c r="B353" s="262"/>
      <c r="C353" s="253"/>
      <c r="D353" s="249" t="str">
        <f>IFERROR(IF($E353="Inventory",VLOOKUP($C353,Inventory!$B:$I,2,FALSE()),IF($E353="Non Inventory",VLOOKUP($C353,'Non Inventory'!$B:$I,2,FALSE()),IF($E353="Services",VLOOKUP($C353,Services!$B:$I,2,FALSE()),IF($E353="Patty Cash",VLOOKUP($C353,'Patty Cash'!$B:$J,2,FALSE()),"")))),"")</f>
        <v/>
      </c>
      <c r="E353" s="254"/>
      <c r="F353" s="263" t="str">
        <f>IFERROR(IF($E353="Inventory",VLOOKUP($C353,Inventory!$B:$I,3,FALSE()),IF($E353="Non Inventory",VLOOKUP($C353,'Non Inventory'!$B:$I,3,FALSE()),IF($E353="Services",VLOOKUP($C353,Services!$B:$I,3,FALSE()),IF($E353="Patty Cash",VLOOKUP($C353,'Patty Cash'!$B:$J,3,FALSE()),"")))),"")</f>
        <v/>
      </c>
      <c r="G353" s="374"/>
      <c r="H353" s="374" t="str">
        <f t="shared" si="10"/>
        <v/>
      </c>
      <c r="I353" s="252">
        <f>IFERROR(IF($E353="Inventory",VLOOKUP($C353,Inventory!$B:$I,8,FALSE()),IF($E353="Non Inventory",VLOOKUP($C353,'Non Inventory'!$B:$I,8,FALSE()),IF($E353="Services",VLOOKUP($C353,Services!$B:$I,8,FALSE()),IF($E353="Patty Cash",VLOOKUP($C353,'Patty Cash'!$B:$J,8,FALSE()),0)))),0)</f>
        <v>0</v>
      </c>
      <c r="J353" s="252" t="str">
        <f t="shared" si="11"/>
        <v/>
      </c>
      <c r="K353" s="253"/>
      <c r="L353" s="253"/>
      <c r="M353" s="253"/>
      <c r="N353" s="328"/>
    </row>
    <row r="354" spans="1:14" ht="20.100000000000001" customHeight="1">
      <c r="A354" s="327" t="str">
        <f>IF(AND($B354="",$C354=""),"",MAX($A$3:A353)+1)</f>
        <v/>
      </c>
      <c r="B354" s="262"/>
      <c r="C354" s="253"/>
      <c r="D354" s="249" t="str">
        <f>IFERROR(IF($E354="Inventory",VLOOKUP($C354,Inventory!$B:$I,2,FALSE()),IF($E354="Non Inventory",VLOOKUP($C354,'Non Inventory'!$B:$I,2,FALSE()),IF($E354="Services",VLOOKUP($C354,Services!$B:$I,2,FALSE()),IF($E354="Patty Cash",VLOOKUP($C354,'Patty Cash'!$B:$J,2,FALSE()),"")))),"")</f>
        <v/>
      </c>
      <c r="E354" s="254"/>
      <c r="F354" s="263" t="str">
        <f>IFERROR(IF($E354="Inventory",VLOOKUP($C354,Inventory!$B:$I,3,FALSE()),IF($E354="Non Inventory",VLOOKUP($C354,'Non Inventory'!$B:$I,3,FALSE()),IF($E354="Services",VLOOKUP($C354,Services!$B:$I,3,FALSE()),IF($E354="Patty Cash",VLOOKUP($C354,'Patty Cash'!$B:$J,3,FALSE()),"")))),"")</f>
        <v/>
      </c>
      <c r="G354" s="374"/>
      <c r="H354" s="374" t="str">
        <f t="shared" si="10"/>
        <v/>
      </c>
      <c r="I354" s="252">
        <f>IFERROR(IF($E354="Inventory",VLOOKUP($C354,Inventory!$B:$I,8,FALSE()),IF($E354="Non Inventory",VLOOKUP($C354,'Non Inventory'!$B:$I,8,FALSE()),IF($E354="Services",VLOOKUP($C354,Services!$B:$I,8,FALSE()),IF($E354="Patty Cash",VLOOKUP($C354,'Patty Cash'!$B:$J,8,FALSE()),0)))),0)</f>
        <v>0</v>
      </c>
      <c r="J354" s="252" t="str">
        <f t="shared" si="11"/>
        <v/>
      </c>
      <c r="K354" s="253"/>
      <c r="L354" s="253"/>
      <c r="M354" s="253"/>
      <c r="N354" s="328"/>
    </row>
    <row r="355" spans="1:14" ht="20.100000000000001" customHeight="1">
      <c r="A355" s="327" t="str">
        <f>IF(AND($B355="",$C355=""),"",MAX($A$3:A354)+1)</f>
        <v/>
      </c>
      <c r="B355" s="262"/>
      <c r="C355" s="253"/>
      <c r="D355" s="249" t="str">
        <f>IFERROR(IF($E355="Inventory",VLOOKUP($C355,Inventory!$B:$I,2,FALSE()),IF($E355="Non Inventory",VLOOKUP($C355,'Non Inventory'!$B:$I,2,FALSE()),IF($E355="Services",VLOOKUP($C355,Services!$B:$I,2,FALSE()),IF($E355="Patty Cash",VLOOKUP($C355,'Patty Cash'!$B:$J,2,FALSE()),"")))),"")</f>
        <v/>
      </c>
      <c r="E355" s="254"/>
      <c r="F355" s="263" t="str">
        <f>IFERROR(IF($E355="Inventory",VLOOKUP($C355,Inventory!$B:$I,3,FALSE()),IF($E355="Non Inventory",VLOOKUP($C355,'Non Inventory'!$B:$I,3,FALSE()),IF($E355="Services",VLOOKUP($C355,Services!$B:$I,3,FALSE()),IF($E355="Patty Cash",VLOOKUP($C355,'Patty Cash'!$B:$J,3,FALSE()),"")))),"")</f>
        <v/>
      </c>
      <c r="G355" s="374"/>
      <c r="H355" s="374" t="str">
        <f t="shared" si="10"/>
        <v/>
      </c>
      <c r="I355" s="252">
        <f>IFERROR(IF($E355="Inventory",VLOOKUP($C355,Inventory!$B:$I,8,FALSE()),IF($E355="Non Inventory",VLOOKUP($C355,'Non Inventory'!$B:$I,8,FALSE()),IF($E355="Services",VLOOKUP($C355,Services!$B:$I,8,FALSE()),IF($E355="Patty Cash",VLOOKUP($C355,'Patty Cash'!$B:$J,8,FALSE()),0)))),0)</f>
        <v>0</v>
      </c>
      <c r="J355" s="252" t="str">
        <f t="shared" si="11"/>
        <v/>
      </c>
      <c r="K355" s="253"/>
      <c r="L355" s="253"/>
      <c r="M355" s="253"/>
      <c r="N355" s="328"/>
    </row>
    <row r="356" spans="1:14" ht="20.100000000000001" customHeight="1">
      <c r="A356" s="327" t="str">
        <f>IF(AND($B356="",$C356=""),"",MAX($A$3:A355)+1)</f>
        <v/>
      </c>
      <c r="B356" s="262"/>
      <c r="C356" s="253"/>
      <c r="D356" s="249" t="str">
        <f>IFERROR(IF($E356="Inventory",VLOOKUP($C356,Inventory!$B:$I,2,FALSE()),IF($E356="Non Inventory",VLOOKUP($C356,'Non Inventory'!$B:$I,2,FALSE()),IF($E356="Services",VLOOKUP($C356,Services!$B:$I,2,FALSE()),IF($E356="Patty Cash",VLOOKUP($C356,'Patty Cash'!$B:$J,2,FALSE()),"")))),"")</f>
        <v/>
      </c>
      <c r="E356" s="254"/>
      <c r="F356" s="263" t="str">
        <f>IFERROR(IF($E356="Inventory",VLOOKUP($C356,Inventory!$B:$I,3,FALSE()),IF($E356="Non Inventory",VLOOKUP($C356,'Non Inventory'!$B:$I,3,FALSE()),IF($E356="Services",VLOOKUP($C356,Services!$B:$I,3,FALSE()),IF($E356="Patty Cash",VLOOKUP($C356,'Patty Cash'!$B:$J,3,FALSE()),"")))),"")</f>
        <v/>
      </c>
      <c r="G356" s="374"/>
      <c r="H356" s="374" t="str">
        <f t="shared" si="10"/>
        <v/>
      </c>
      <c r="I356" s="252">
        <f>IFERROR(IF($E356="Inventory",VLOOKUP($C356,Inventory!$B:$I,8,FALSE()),IF($E356="Non Inventory",VLOOKUP($C356,'Non Inventory'!$B:$I,8,FALSE()),IF($E356="Services",VLOOKUP($C356,Services!$B:$I,8,FALSE()),IF($E356="Patty Cash",VLOOKUP($C356,'Patty Cash'!$B:$J,8,FALSE()),0)))),0)</f>
        <v>0</v>
      </c>
      <c r="J356" s="252" t="str">
        <f t="shared" si="11"/>
        <v/>
      </c>
      <c r="K356" s="253"/>
      <c r="L356" s="253"/>
      <c r="M356" s="253"/>
      <c r="N356" s="328"/>
    </row>
    <row r="357" spans="1:14" ht="20.100000000000001" customHeight="1">
      <c r="A357" s="327" t="str">
        <f>IF(AND($B357="",$C357=""),"",MAX($A$3:A356)+1)</f>
        <v/>
      </c>
      <c r="B357" s="262"/>
      <c r="C357" s="253"/>
      <c r="D357" s="249" t="str">
        <f>IFERROR(IF($E357="Inventory",VLOOKUP($C357,Inventory!$B:$I,2,FALSE()),IF($E357="Non Inventory",VLOOKUP($C357,'Non Inventory'!$B:$I,2,FALSE()),IF($E357="Services",VLOOKUP($C357,Services!$B:$I,2,FALSE()),IF($E357="Patty Cash",VLOOKUP($C357,'Patty Cash'!$B:$J,2,FALSE()),"")))),"")</f>
        <v/>
      </c>
      <c r="E357" s="254"/>
      <c r="F357" s="263" t="str">
        <f>IFERROR(IF($E357="Inventory",VLOOKUP($C357,Inventory!$B:$I,3,FALSE()),IF($E357="Non Inventory",VLOOKUP($C357,'Non Inventory'!$B:$I,3,FALSE()),IF($E357="Services",VLOOKUP($C357,Services!$B:$I,3,FALSE()),IF($E357="Patty Cash",VLOOKUP($C357,'Patty Cash'!$B:$J,3,FALSE()),"")))),"")</f>
        <v/>
      </c>
      <c r="G357" s="374"/>
      <c r="H357" s="374" t="str">
        <f t="shared" si="10"/>
        <v/>
      </c>
      <c r="I357" s="252">
        <f>IFERROR(IF($E357="Inventory",VLOOKUP($C357,Inventory!$B:$I,8,FALSE()),IF($E357="Non Inventory",VLOOKUP($C357,'Non Inventory'!$B:$I,8,FALSE()),IF($E357="Services",VLOOKUP($C357,Services!$B:$I,8,FALSE()),IF($E357="Patty Cash",VLOOKUP($C357,'Patty Cash'!$B:$J,8,FALSE()),0)))),0)</f>
        <v>0</v>
      </c>
      <c r="J357" s="252" t="str">
        <f t="shared" si="11"/>
        <v/>
      </c>
      <c r="K357" s="253"/>
      <c r="L357" s="253"/>
      <c r="M357" s="253"/>
      <c r="N357" s="328"/>
    </row>
    <row r="358" spans="1:14" ht="20.100000000000001" customHeight="1">
      <c r="A358" s="327" t="str">
        <f>IF(AND($B358="",$C358=""),"",MAX($A$3:A357)+1)</f>
        <v/>
      </c>
      <c r="B358" s="262"/>
      <c r="C358" s="253"/>
      <c r="D358" s="249" t="str">
        <f>IFERROR(IF($E358="Inventory",VLOOKUP($C358,Inventory!$B:$I,2,FALSE()),IF($E358="Non Inventory",VLOOKUP($C358,'Non Inventory'!$B:$I,2,FALSE()),IF($E358="Services",VLOOKUP($C358,Services!$B:$I,2,FALSE()),IF($E358="Patty Cash",VLOOKUP($C358,'Patty Cash'!$B:$J,2,FALSE()),"")))),"")</f>
        <v/>
      </c>
      <c r="E358" s="254"/>
      <c r="F358" s="263" t="str">
        <f>IFERROR(IF($E358="Inventory",VLOOKUP($C358,Inventory!$B:$I,3,FALSE()),IF($E358="Non Inventory",VLOOKUP($C358,'Non Inventory'!$B:$I,3,FALSE()),IF($E358="Services",VLOOKUP($C358,Services!$B:$I,3,FALSE()),IF($E358="Patty Cash",VLOOKUP($C358,'Patty Cash'!$B:$J,3,FALSE()),"")))),"")</f>
        <v/>
      </c>
      <c r="G358" s="374"/>
      <c r="H358" s="374" t="str">
        <f t="shared" si="10"/>
        <v/>
      </c>
      <c r="I358" s="252">
        <f>IFERROR(IF($E358="Inventory",VLOOKUP($C358,Inventory!$B:$I,8,FALSE()),IF($E358="Non Inventory",VLOOKUP($C358,'Non Inventory'!$B:$I,8,FALSE()),IF($E358="Services",VLOOKUP($C358,Services!$B:$I,8,FALSE()),IF($E358="Patty Cash",VLOOKUP($C358,'Patty Cash'!$B:$J,8,FALSE()),0)))),0)</f>
        <v>0</v>
      </c>
      <c r="J358" s="252" t="str">
        <f t="shared" si="11"/>
        <v/>
      </c>
      <c r="K358" s="253"/>
      <c r="L358" s="253"/>
      <c r="M358" s="253"/>
      <c r="N358" s="328"/>
    </row>
    <row r="359" spans="1:14" ht="20.100000000000001" customHeight="1">
      <c r="A359" s="327" t="str">
        <f>IF(AND($B359="",$C359=""),"",MAX($A$3:A358)+1)</f>
        <v/>
      </c>
      <c r="B359" s="262"/>
      <c r="C359" s="253"/>
      <c r="D359" s="249" t="str">
        <f>IFERROR(IF($E359="Inventory",VLOOKUP($C359,Inventory!$B:$I,2,FALSE()),IF($E359="Non Inventory",VLOOKUP($C359,'Non Inventory'!$B:$I,2,FALSE()),IF($E359="Services",VLOOKUP($C359,Services!$B:$I,2,FALSE()),IF($E359="Patty Cash",VLOOKUP($C359,'Patty Cash'!$B:$J,2,FALSE()),"")))),"")</f>
        <v/>
      </c>
      <c r="E359" s="254"/>
      <c r="F359" s="263" t="str">
        <f>IFERROR(IF($E359="Inventory",VLOOKUP($C359,Inventory!$B:$I,3,FALSE()),IF($E359="Non Inventory",VLOOKUP($C359,'Non Inventory'!$B:$I,3,FALSE()),IF($E359="Services",VLOOKUP($C359,Services!$B:$I,3,FALSE()),IF($E359="Patty Cash",VLOOKUP($C359,'Patty Cash'!$B:$J,3,FALSE()),"")))),"")</f>
        <v/>
      </c>
      <c r="G359" s="374"/>
      <c r="H359" s="374" t="str">
        <f t="shared" si="10"/>
        <v/>
      </c>
      <c r="I359" s="252">
        <f>IFERROR(IF($E359="Inventory",VLOOKUP($C359,Inventory!$B:$I,8,FALSE()),IF($E359="Non Inventory",VLOOKUP($C359,'Non Inventory'!$B:$I,8,FALSE()),IF($E359="Services",VLOOKUP($C359,Services!$B:$I,8,FALSE()),IF($E359="Patty Cash",VLOOKUP($C359,'Patty Cash'!$B:$J,8,FALSE()),0)))),0)</f>
        <v>0</v>
      </c>
      <c r="J359" s="252" t="str">
        <f t="shared" si="11"/>
        <v/>
      </c>
      <c r="K359" s="253"/>
      <c r="L359" s="253"/>
      <c r="M359" s="253"/>
      <c r="N359" s="328"/>
    </row>
    <row r="360" spans="1:14" ht="20.100000000000001" customHeight="1">
      <c r="A360" s="327" t="str">
        <f>IF(AND($B360="",$C360=""),"",MAX($A$3:A359)+1)</f>
        <v/>
      </c>
      <c r="B360" s="262"/>
      <c r="C360" s="253"/>
      <c r="D360" s="249" t="str">
        <f>IFERROR(IF($E360="Inventory",VLOOKUP($C360,Inventory!$B:$I,2,FALSE()),IF($E360="Non Inventory",VLOOKUP($C360,'Non Inventory'!$B:$I,2,FALSE()),IF($E360="Services",VLOOKUP($C360,Services!$B:$I,2,FALSE()),IF($E360="Patty Cash",VLOOKUP($C360,'Patty Cash'!$B:$J,2,FALSE()),"")))),"")</f>
        <v/>
      </c>
      <c r="E360" s="254"/>
      <c r="F360" s="263" t="str">
        <f>IFERROR(IF($E360="Inventory",VLOOKUP($C360,Inventory!$B:$I,3,FALSE()),IF($E360="Non Inventory",VLOOKUP($C360,'Non Inventory'!$B:$I,3,FALSE()),IF($E360="Services",VLOOKUP($C360,Services!$B:$I,3,FALSE()),IF($E360="Patty Cash",VLOOKUP($C360,'Patty Cash'!$B:$J,3,FALSE()),"")))),"")</f>
        <v/>
      </c>
      <c r="G360" s="374"/>
      <c r="H360" s="374" t="str">
        <f t="shared" si="10"/>
        <v/>
      </c>
      <c r="I360" s="252">
        <f>IFERROR(IF($E360="Inventory",VLOOKUP($C360,Inventory!$B:$I,8,FALSE()),IF($E360="Non Inventory",VLOOKUP($C360,'Non Inventory'!$B:$I,8,FALSE()),IF($E360="Services",VLOOKUP($C360,Services!$B:$I,8,FALSE()),IF($E360="Patty Cash",VLOOKUP($C360,'Patty Cash'!$B:$J,8,FALSE()),0)))),0)</f>
        <v>0</v>
      </c>
      <c r="J360" s="252" t="str">
        <f t="shared" si="11"/>
        <v/>
      </c>
      <c r="K360" s="253"/>
      <c r="L360" s="253"/>
      <c r="M360" s="253"/>
      <c r="N360" s="328"/>
    </row>
    <row r="361" spans="1:14" ht="20.100000000000001" customHeight="1">
      <c r="A361" s="327" t="str">
        <f>IF(AND($B361="",$C361=""),"",MAX($A$3:A360)+1)</f>
        <v/>
      </c>
      <c r="B361" s="262"/>
      <c r="C361" s="253"/>
      <c r="D361" s="249" t="str">
        <f>IFERROR(IF($E361="Inventory",VLOOKUP($C361,Inventory!$B:$I,2,FALSE()),IF($E361="Non Inventory",VLOOKUP($C361,'Non Inventory'!$B:$I,2,FALSE()),IF($E361="Services",VLOOKUP($C361,Services!$B:$I,2,FALSE()),IF($E361="Patty Cash",VLOOKUP($C361,'Patty Cash'!$B:$J,2,FALSE()),"")))),"")</f>
        <v/>
      </c>
      <c r="E361" s="254"/>
      <c r="F361" s="263" t="str">
        <f>IFERROR(IF($E361="Inventory",VLOOKUP($C361,Inventory!$B:$I,3,FALSE()),IF($E361="Non Inventory",VLOOKUP($C361,'Non Inventory'!$B:$I,3,FALSE()),IF($E361="Services",VLOOKUP($C361,Services!$B:$I,3,FALSE()),IF($E361="Patty Cash",VLOOKUP($C361,'Patty Cash'!$B:$J,3,FALSE()),"")))),"")</f>
        <v/>
      </c>
      <c r="G361" s="374"/>
      <c r="H361" s="374" t="str">
        <f t="shared" si="10"/>
        <v/>
      </c>
      <c r="I361" s="252">
        <f>IFERROR(IF($E361="Inventory",VLOOKUP($C361,Inventory!$B:$I,8,FALSE()),IF($E361="Non Inventory",VLOOKUP($C361,'Non Inventory'!$B:$I,8,FALSE()),IF($E361="Services",VLOOKUP($C361,Services!$B:$I,8,FALSE()),IF($E361="Patty Cash",VLOOKUP($C361,'Patty Cash'!$B:$J,8,FALSE()),0)))),0)</f>
        <v>0</v>
      </c>
      <c r="J361" s="252" t="str">
        <f t="shared" si="11"/>
        <v/>
      </c>
      <c r="K361" s="253"/>
      <c r="L361" s="253"/>
      <c r="M361" s="253"/>
      <c r="N361" s="328"/>
    </row>
    <row r="362" spans="1:14" ht="20.100000000000001" customHeight="1">
      <c r="A362" s="327" t="str">
        <f>IF(AND($B362="",$C362=""),"",MAX($A$3:A361)+1)</f>
        <v/>
      </c>
      <c r="B362" s="262"/>
      <c r="C362" s="253"/>
      <c r="D362" s="249" t="str">
        <f>IFERROR(IF($E362="Inventory",VLOOKUP($C362,Inventory!$B:$I,2,FALSE()),IF($E362="Non Inventory",VLOOKUP($C362,'Non Inventory'!$B:$I,2,FALSE()),IF($E362="Services",VLOOKUP($C362,Services!$B:$I,2,FALSE()),IF($E362="Patty Cash",VLOOKUP($C362,'Patty Cash'!$B:$J,2,FALSE()),"")))),"")</f>
        <v/>
      </c>
      <c r="E362" s="254"/>
      <c r="F362" s="263" t="str">
        <f>IFERROR(IF($E362="Inventory",VLOOKUP($C362,Inventory!$B:$I,3,FALSE()),IF($E362="Non Inventory",VLOOKUP($C362,'Non Inventory'!$B:$I,3,FALSE()),IF($E362="Services",VLOOKUP($C362,Services!$B:$I,3,FALSE()),IF($E362="Patty Cash",VLOOKUP($C362,'Patty Cash'!$B:$J,3,FALSE()),"")))),"")</f>
        <v/>
      </c>
      <c r="G362" s="374"/>
      <c r="H362" s="374" t="str">
        <f t="shared" si="10"/>
        <v/>
      </c>
      <c r="I362" s="252">
        <f>IFERROR(IF($E362="Inventory",VLOOKUP($C362,Inventory!$B:$I,8,FALSE()),IF($E362="Non Inventory",VLOOKUP($C362,'Non Inventory'!$B:$I,8,FALSE()),IF($E362="Services",VLOOKUP($C362,Services!$B:$I,8,FALSE()),IF($E362="Patty Cash",VLOOKUP($C362,'Patty Cash'!$B:$J,8,FALSE()),0)))),0)</f>
        <v>0</v>
      </c>
      <c r="J362" s="252" t="str">
        <f t="shared" si="11"/>
        <v/>
      </c>
      <c r="K362" s="253"/>
      <c r="L362" s="253"/>
      <c r="M362" s="253"/>
      <c r="N362" s="328"/>
    </row>
    <row r="363" spans="1:14" ht="20.100000000000001" customHeight="1">
      <c r="A363" s="327" t="str">
        <f>IF(AND($B363="",$C363=""),"",MAX($A$3:A362)+1)</f>
        <v/>
      </c>
      <c r="B363" s="262"/>
      <c r="C363" s="253"/>
      <c r="D363" s="249" t="str">
        <f>IFERROR(IF($E363="Inventory",VLOOKUP($C363,Inventory!$B:$I,2,FALSE()),IF($E363="Non Inventory",VLOOKUP($C363,'Non Inventory'!$B:$I,2,FALSE()),IF($E363="Services",VLOOKUP($C363,Services!$B:$I,2,FALSE()),IF($E363="Patty Cash",VLOOKUP($C363,'Patty Cash'!$B:$J,2,FALSE()),"")))),"")</f>
        <v/>
      </c>
      <c r="E363" s="254"/>
      <c r="F363" s="263" t="str">
        <f>IFERROR(IF($E363="Inventory",VLOOKUP($C363,Inventory!$B:$I,3,FALSE()),IF($E363="Non Inventory",VLOOKUP($C363,'Non Inventory'!$B:$I,3,FALSE()),IF($E363="Services",VLOOKUP($C363,Services!$B:$I,3,FALSE()),IF($E363="Patty Cash",VLOOKUP($C363,'Patty Cash'!$B:$J,3,FALSE()),"")))),"")</f>
        <v/>
      </c>
      <c r="G363" s="374"/>
      <c r="H363" s="374" t="str">
        <f t="shared" si="10"/>
        <v/>
      </c>
      <c r="I363" s="252">
        <f>IFERROR(IF($E363="Inventory",VLOOKUP($C363,Inventory!$B:$I,8,FALSE()),IF($E363="Non Inventory",VLOOKUP($C363,'Non Inventory'!$B:$I,8,FALSE()),IF($E363="Services",VLOOKUP($C363,Services!$B:$I,8,FALSE()),IF($E363="Patty Cash",VLOOKUP($C363,'Patty Cash'!$B:$J,8,FALSE()),0)))),0)</f>
        <v>0</v>
      </c>
      <c r="J363" s="252" t="str">
        <f t="shared" si="11"/>
        <v/>
      </c>
      <c r="K363" s="253"/>
      <c r="L363" s="253"/>
      <c r="M363" s="253"/>
      <c r="N363" s="328"/>
    </row>
    <row r="364" spans="1:14" ht="20.100000000000001" customHeight="1">
      <c r="A364" s="327" t="str">
        <f>IF(AND($B364="",$C364=""),"",MAX($A$3:A363)+1)</f>
        <v/>
      </c>
      <c r="B364" s="262"/>
      <c r="C364" s="253"/>
      <c r="D364" s="249" t="str">
        <f>IFERROR(IF($E364="Inventory",VLOOKUP($C364,Inventory!$B:$I,2,FALSE()),IF($E364="Non Inventory",VLOOKUP($C364,'Non Inventory'!$B:$I,2,FALSE()),IF($E364="Services",VLOOKUP($C364,Services!$B:$I,2,FALSE()),IF($E364="Patty Cash",VLOOKUP($C364,'Patty Cash'!$B:$J,2,FALSE()),"")))),"")</f>
        <v/>
      </c>
      <c r="E364" s="254"/>
      <c r="F364" s="263" t="str">
        <f>IFERROR(IF($E364="Inventory",VLOOKUP($C364,Inventory!$B:$I,3,FALSE()),IF($E364="Non Inventory",VLOOKUP($C364,'Non Inventory'!$B:$I,3,FALSE()),IF($E364="Services",VLOOKUP($C364,Services!$B:$I,3,FALSE()),IF($E364="Patty Cash",VLOOKUP($C364,'Patty Cash'!$B:$J,3,FALSE()),"")))),"")</f>
        <v/>
      </c>
      <c r="G364" s="374"/>
      <c r="H364" s="374" t="str">
        <f t="shared" si="10"/>
        <v/>
      </c>
      <c r="I364" s="252">
        <f>IFERROR(IF($E364="Inventory",VLOOKUP($C364,Inventory!$B:$I,8,FALSE()),IF($E364="Non Inventory",VLOOKUP($C364,'Non Inventory'!$B:$I,8,FALSE()),IF($E364="Services",VLOOKUP($C364,Services!$B:$I,8,FALSE()),IF($E364="Patty Cash",VLOOKUP($C364,'Patty Cash'!$B:$J,8,FALSE()),0)))),0)</f>
        <v>0</v>
      </c>
      <c r="J364" s="252" t="str">
        <f t="shared" si="11"/>
        <v/>
      </c>
      <c r="K364" s="253"/>
      <c r="L364" s="253"/>
      <c r="M364" s="253"/>
      <c r="N364" s="328"/>
    </row>
    <row r="365" spans="1:14" ht="20.100000000000001" customHeight="1">
      <c r="A365" s="327" t="str">
        <f>IF(AND($B365="",$C365=""),"",MAX($A$3:A364)+1)</f>
        <v/>
      </c>
      <c r="B365" s="262"/>
      <c r="C365" s="253"/>
      <c r="D365" s="249" t="str">
        <f>IFERROR(IF($E365="Inventory",VLOOKUP($C365,Inventory!$B:$I,2,FALSE()),IF($E365="Non Inventory",VLOOKUP($C365,'Non Inventory'!$B:$I,2,FALSE()),IF($E365="Services",VLOOKUP($C365,Services!$B:$I,2,FALSE()),IF($E365="Patty Cash",VLOOKUP($C365,'Patty Cash'!$B:$J,2,FALSE()),"")))),"")</f>
        <v/>
      </c>
      <c r="E365" s="254"/>
      <c r="F365" s="263" t="str">
        <f>IFERROR(IF($E365="Inventory",VLOOKUP($C365,Inventory!$B:$I,3,FALSE()),IF($E365="Non Inventory",VLOOKUP($C365,'Non Inventory'!$B:$I,3,FALSE()),IF($E365="Services",VLOOKUP($C365,Services!$B:$I,3,FALSE()),IF($E365="Patty Cash",VLOOKUP($C365,'Patty Cash'!$B:$J,3,FALSE()),"")))),"")</f>
        <v/>
      </c>
      <c r="G365" s="374"/>
      <c r="H365" s="374" t="str">
        <f t="shared" si="10"/>
        <v/>
      </c>
      <c r="I365" s="252">
        <f>IFERROR(IF($E365="Inventory",VLOOKUP($C365,Inventory!$B:$I,8,FALSE()),IF($E365="Non Inventory",VLOOKUP($C365,'Non Inventory'!$B:$I,8,FALSE()),IF($E365="Services",VLOOKUP($C365,Services!$B:$I,8,FALSE()),IF($E365="Patty Cash",VLOOKUP($C365,'Patty Cash'!$B:$J,8,FALSE()),0)))),0)</f>
        <v>0</v>
      </c>
      <c r="J365" s="252" t="str">
        <f t="shared" si="11"/>
        <v/>
      </c>
      <c r="K365" s="253"/>
      <c r="L365" s="253"/>
      <c r="M365" s="253"/>
      <c r="N365" s="328"/>
    </row>
    <row r="366" spans="1:14" ht="20.100000000000001" customHeight="1">
      <c r="A366" s="327" t="str">
        <f>IF(AND($B366="",$C366=""),"",MAX($A$3:A365)+1)</f>
        <v/>
      </c>
      <c r="B366" s="262"/>
      <c r="C366" s="253"/>
      <c r="D366" s="249" t="str">
        <f>IFERROR(IF($E366="Inventory",VLOOKUP($C366,Inventory!$B:$I,2,FALSE()),IF($E366="Non Inventory",VLOOKUP($C366,'Non Inventory'!$B:$I,2,FALSE()),IF($E366="Services",VLOOKUP($C366,Services!$B:$I,2,FALSE()),IF($E366="Patty Cash",VLOOKUP($C366,'Patty Cash'!$B:$J,2,FALSE()),"")))),"")</f>
        <v/>
      </c>
      <c r="E366" s="254"/>
      <c r="F366" s="263" t="str">
        <f>IFERROR(IF($E366="Inventory",VLOOKUP($C366,Inventory!$B:$I,3,FALSE()),IF($E366="Non Inventory",VLOOKUP($C366,'Non Inventory'!$B:$I,3,FALSE()),IF($E366="Services",VLOOKUP($C366,Services!$B:$I,3,FALSE()),IF($E366="Patty Cash",VLOOKUP($C366,'Patty Cash'!$B:$J,3,FALSE()),"")))),"")</f>
        <v/>
      </c>
      <c r="G366" s="374"/>
      <c r="H366" s="374" t="str">
        <f t="shared" si="10"/>
        <v/>
      </c>
      <c r="I366" s="252">
        <f>IFERROR(IF($E366="Inventory",VLOOKUP($C366,Inventory!$B:$I,8,FALSE()),IF($E366="Non Inventory",VLOOKUP($C366,'Non Inventory'!$B:$I,8,FALSE()),IF($E366="Services",VLOOKUP($C366,Services!$B:$I,8,FALSE()),IF($E366="Patty Cash",VLOOKUP($C366,'Patty Cash'!$B:$J,8,FALSE()),0)))),0)</f>
        <v>0</v>
      </c>
      <c r="J366" s="252" t="str">
        <f t="shared" si="11"/>
        <v/>
      </c>
      <c r="K366" s="253"/>
      <c r="L366" s="253"/>
      <c r="M366" s="253"/>
      <c r="N366" s="328"/>
    </row>
    <row r="367" spans="1:14" ht="20.100000000000001" customHeight="1">
      <c r="A367" s="327" t="str">
        <f>IF(AND($B367="",$C367=""),"",MAX($A$3:A366)+1)</f>
        <v/>
      </c>
      <c r="B367" s="262"/>
      <c r="C367" s="253"/>
      <c r="D367" s="249" t="str">
        <f>IFERROR(IF($E367="Inventory",VLOOKUP($C367,Inventory!$B:$I,2,FALSE()),IF($E367="Non Inventory",VLOOKUP($C367,'Non Inventory'!$B:$I,2,FALSE()),IF($E367="Services",VLOOKUP($C367,Services!$B:$I,2,FALSE()),IF($E367="Patty Cash",VLOOKUP($C367,'Patty Cash'!$B:$J,2,FALSE()),"")))),"")</f>
        <v/>
      </c>
      <c r="E367" s="254"/>
      <c r="F367" s="263" t="str">
        <f>IFERROR(IF($E367="Inventory",VLOOKUP($C367,Inventory!$B:$I,3,FALSE()),IF($E367="Non Inventory",VLOOKUP($C367,'Non Inventory'!$B:$I,3,FALSE()),IF($E367="Services",VLOOKUP($C367,Services!$B:$I,3,FALSE()),IF($E367="Patty Cash",VLOOKUP($C367,'Patty Cash'!$B:$J,3,FALSE()),"")))),"")</f>
        <v/>
      </c>
      <c r="G367" s="374"/>
      <c r="H367" s="374" t="str">
        <f t="shared" si="10"/>
        <v/>
      </c>
      <c r="I367" s="252">
        <f>IFERROR(IF($E367="Inventory",VLOOKUP($C367,Inventory!$B:$I,8,FALSE()),IF($E367="Non Inventory",VLOOKUP($C367,'Non Inventory'!$B:$I,8,FALSE()),IF($E367="Services",VLOOKUP($C367,Services!$B:$I,8,FALSE()),IF($E367="Patty Cash",VLOOKUP($C367,'Patty Cash'!$B:$J,8,FALSE()),0)))),0)</f>
        <v>0</v>
      </c>
      <c r="J367" s="252" t="str">
        <f t="shared" si="11"/>
        <v/>
      </c>
      <c r="K367" s="253"/>
      <c r="L367" s="253"/>
      <c r="M367" s="253"/>
      <c r="N367" s="328"/>
    </row>
    <row r="368" spans="1:14" ht="20.100000000000001" customHeight="1">
      <c r="A368" s="327" t="str">
        <f>IF(AND($B368="",$C368=""),"",MAX($A$3:A367)+1)</f>
        <v/>
      </c>
      <c r="B368" s="262"/>
      <c r="C368" s="253"/>
      <c r="D368" s="249" t="str">
        <f>IFERROR(IF($E368="Inventory",VLOOKUP($C368,Inventory!$B:$I,2,FALSE()),IF($E368="Non Inventory",VLOOKUP($C368,'Non Inventory'!$B:$I,2,FALSE()),IF($E368="Services",VLOOKUP($C368,Services!$B:$I,2,FALSE()),IF($E368="Patty Cash",VLOOKUP($C368,'Patty Cash'!$B:$J,2,FALSE()),"")))),"")</f>
        <v/>
      </c>
      <c r="E368" s="254"/>
      <c r="F368" s="263" t="str">
        <f>IFERROR(IF($E368="Inventory",VLOOKUP($C368,Inventory!$B:$I,3,FALSE()),IF($E368="Non Inventory",VLOOKUP($C368,'Non Inventory'!$B:$I,3,FALSE()),IF($E368="Services",VLOOKUP($C368,Services!$B:$I,3,FALSE()),IF($E368="Patty Cash",VLOOKUP($C368,'Patty Cash'!$B:$J,3,FALSE()),"")))),"")</f>
        <v/>
      </c>
      <c r="G368" s="374"/>
      <c r="H368" s="374" t="str">
        <f t="shared" si="10"/>
        <v/>
      </c>
      <c r="I368" s="252">
        <f>IFERROR(IF($E368="Inventory",VLOOKUP($C368,Inventory!$B:$I,8,FALSE()),IF($E368="Non Inventory",VLOOKUP($C368,'Non Inventory'!$B:$I,8,FALSE()),IF($E368="Services",VLOOKUP($C368,Services!$B:$I,8,FALSE()),IF($E368="Patty Cash",VLOOKUP($C368,'Patty Cash'!$B:$J,8,FALSE()),0)))),0)</f>
        <v>0</v>
      </c>
      <c r="J368" s="252" t="str">
        <f t="shared" si="11"/>
        <v/>
      </c>
      <c r="K368" s="253"/>
      <c r="L368" s="253"/>
      <c r="M368" s="253"/>
      <c r="N368" s="328"/>
    </row>
    <row r="369" spans="1:14" ht="20.100000000000001" customHeight="1">
      <c r="A369" s="327" t="str">
        <f>IF(AND($B369="",$C369=""),"",MAX($A$3:A368)+1)</f>
        <v/>
      </c>
      <c r="B369" s="262"/>
      <c r="C369" s="253"/>
      <c r="D369" s="249" t="str">
        <f>IFERROR(IF($E369="Inventory",VLOOKUP($C369,Inventory!$B:$I,2,FALSE()),IF($E369="Non Inventory",VLOOKUP($C369,'Non Inventory'!$B:$I,2,FALSE()),IF($E369="Services",VLOOKUP($C369,Services!$B:$I,2,FALSE()),IF($E369="Patty Cash",VLOOKUP($C369,'Patty Cash'!$B:$J,2,FALSE()),"")))),"")</f>
        <v/>
      </c>
      <c r="E369" s="254"/>
      <c r="F369" s="263" t="str">
        <f>IFERROR(IF($E369="Inventory",VLOOKUP($C369,Inventory!$B:$I,3,FALSE()),IF($E369="Non Inventory",VLOOKUP($C369,'Non Inventory'!$B:$I,3,FALSE()),IF($E369="Services",VLOOKUP($C369,Services!$B:$I,3,FALSE()),IF($E369="Patty Cash",VLOOKUP($C369,'Patty Cash'!$B:$J,3,FALSE()),"")))),"")</f>
        <v/>
      </c>
      <c r="G369" s="374"/>
      <c r="H369" s="374" t="str">
        <f t="shared" si="10"/>
        <v/>
      </c>
      <c r="I369" s="252">
        <f>IFERROR(IF($E369="Inventory",VLOOKUP($C369,Inventory!$B:$I,8,FALSE()),IF($E369="Non Inventory",VLOOKUP($C369,'Non Inventory'!$B:$I,8,FALSE()),IF($E369="Services",VLOOKUP($C369,Services!$B:$I,8,FALSE()),IF($E369="Patty Cash",VLOOKUP($C369,'Patty Cash'!$B:$J,8,FALSE()),0)))),0)</f>
        <v>0</v>
      </c>
      <c r="J369" s="252" t="str">
        <f t="shared" si="11"/>
        <v/>
      </c>
      <c r="K369" s="253"/>
      <c r="L369" s="253"/>
      <c r="M369" s="253"/>
      <c r="N369" s="328"/>
    </row>
    <row r="370" spans="1:14" ht="20.100000000000001" customHeight="1">
      <c r="A370" s="327" t="str">
        <f>IF(AND($B370="",$C370=""),"",MAX($A$3:A369)+1)</f>
        <v/>
      </c>
      <c r="B370" s="262"/>
      <c r="C370" s="253"/>
      <c r="D370" s="249" t="str">
        <f>IFERROR(IF($E370="Inventory",VLOOKUP($C370,Inventory!$B:$I,2,FALSE()),IF($E370="Non Inventory",VLOOKUP($C370,'Non Inventory'!$B:$I,2,FALSE()),IF($E370="Services",VLOOKUP($C370,Services!$B:$I,2,FALSE()),IF($E370="Patty Cash",VLOOKUP($C370,'Patty Cash'!$B:$J,2,FALSE()),"")))),"")</f>
        <v/>
      </c>
      <c r="E370" s="254"/>
      <c r="F370" s="263" t="str">
        <f>IFERROR(IF($E370="Inventory",VLOOKUP($C370,Inventory!$B:$I,3,FALSE()),IF($E370="Non Inventory",VLOOKUP($C370,'Non Inventory'!$B:$I,3,FALSE()),IF($E370="Services",VLOOKUP($C370,Services!$B:$I,3,FALSE()),IF($E370="Patty Cash",VLOOKUP($C370,'Patty Cash'!$B:$J,3,FALSE()),"")))),"")</f>
        <v/>
      </c>
      <c r="G370" s="374"/>
      <c r="H370" s="374" t="str">
        <f t="shared" si="10"/>
        <v/>
      </c>
      <c r="I370" s="252">
        <f>IFERROR(IF($E370="Inventory",VLOOKUP($C370,Inventory!$B:$I,8,FALSE()),IF($E370="Non Inventory",VLOOKUP($C370,'Non Inventory'!$B:$I,8,FALSE()),IF($E370="Services",VLOOKUP($C370,Services!$B:$I,8,FALSE()),IF($E370="Patty Cash",VLOOKUP($C370,'Patty Cash'!$B:$J,8,FALSE()),0)))),0)</f>
        <v>0</v>
      </c>
      <c r="J370" s="252" t="str">
        <f t="shared" si="11"/>
        <v/>
      </c>
      <c r="K370" s="253"/>
      <c r="L370" s="253"/>
      <c r="M370" s="253"/>
      <c r="N370" s="328"/>
    </row>
    <row r="371" spans="1:14" ht="20.100000000000001" customHeight="1">
      <c r="A371" s="327" t="str">
        <f>IF(AND($B371="",$C371=""),"",MAX($A$3:A370)+1)</f>
        <v/>
      </c>
      <c r="B371" s="262"/>
      <c r="C371" s="253"/>
      <c r="D371" s="249" t="str">
        <f>IFERROR(IF($E371="Inventory",VLOOKUP($C371,Inventory!$B:$I,2,FALSE()),IF($E371="Non Inventory",VLOOKUP($C371,'Non Inventory'!$B:$I,2,FALSE()),IF($E371="Services",VLOOKUP($C371,Services!$B:$I,2,FALSE()),IF($E371="Patty Cash",VLOOKUP($C371,'Patty Cash'!$B:$J,2,FALSE()),"")))),"")</f>
        <v/>
      </c>
      <c r="E371" s="254"/>
      <c r="F371" s="263" t="str">
        <f>IFERROR(IF($E371="Inventory",VLOOKUP($C371,Inventory!$B:$I,3,FALSE()),IF($E371="Non Inventory",VLOOKUP($C371,'Non Inventory'!$B:$I,3,FALSE()),IF($E371="Services",VLOOKUP($C371,Services!$B:$I,3,FALSE()),IF($E371="Patty Cash",VLOOKUP($C371,'Patty Cash'!$B:$J,3,FALSE()),"")))),"")</f>
        <v/>
      </c>
      <c r="G371" s="374"/>
      <c r="H371" s="374" t="str">
        <f t="shared" si="10"/>
        <v/>
      </c>
      <c r="I371" s="252">
        <f>IFERROR(IF($E371="Inventory",VLOOKUP($C371,Inventory!$B:$I,8,FALSE()),IF($E371="Non Inventory",VLOOKUP($C371,'Non Inventory'!$B:$I,8,FALSE()),IF($E371="Services",VLOOKUP($C371,Services!$B:$I,8,FALSE()),IF($E371="Patty Cash",VLOOKUP($C371,'Patty Cash'!$B:$J,8,FALSE()),0)))),0)</f>
        <v>0</v>
      </c>
      <c r="J371" s="252" t="str">
        <f t="shared" si="11"/>
        <v/>
      </c>
      <c r="K371" s="253"/>
      <c r="L371" s="253"/>
      <c r="M371" s="253"/>
      <c r="N371" s="328"/>
    </row>
    <row r="372" spans="1:14" ht="20.100000000000001" customHeight="1">
      <c r="A372" s="327" t="str">
        <f>IF(AND($B372="",$C372=""),"",MAX($A$3:A371)+1)</f>
        <v/>
      </c>
      <c r="B372" s="262"/>
      <c r="C372" s="253"/>
      <c r="D372" s="249" t="str">
        <f>IFERROR(IF($E372="Inventory",VLOOKUP($C372,Inventory!$B:$I,2,FALSE()),IF($E372="Non Inventory",VLOOKUP($C372,'Non Inventory'!$B:$I,2,FALSE()),IF($E372="Services",VLOOKUP($C372,Services!$B:$I,2,FALSE()),IF($E372="Patty Cash",VLOOKUP($C372,'Patty Cash'!$B:$J,2,FALSE()),"")))),"")</f>
        <v/>
      </c>
      <c r="E372" s="254"/>
      <c r="F372" s="263" t="str">
        <f>IFERROR(IF($E372="Inventory",VLOOKUP($C372,Inventory!$B:$I,3,FALSE()),IF($E372="Non Inventory",VLOOKUP($C372,'Non Inventory'!$B:$I,3,FALSE()),IF($E372="Services",VLOOKUP($C372,Services!$B:$I,3,FALSE()),IF($E372="Patty Cash",VLOOKUP($C372,'Patty Cash'!$B:$J,3,FALSE()),"")))),"")</f>
        <v/>
      </c>
      <c r="G372" s="374"/>
      <c r="H372" s="374" t="str">
        <f t="shared" si="10"/>
        <v/>
      </c>
      <c r="I372" s="252">
        <f>IFERROR(IF($E372="Inventory",VLOOKUP($C372,Inventory!$B:$I,8,FALSE()),IF($E372="Non Inventory",VLOOKUP($C372,'Non Inventory'!$B:$I,8,FALSE()),IF($E372="Services",VLOOKUP($C372,Services!$B:$I,8,FALSE()),IF($E372="Patty Cash",VLOOKUP($C372,'Patty Cash'!$B:$J,8,FALSE()),0)))),0)</f>
        <v>0</v>
      </c>
      <c r="J372" s="252" t="str">
        <f t="shared" si="11"/>
        <v/>
      </c>
      <c r="K372" s="253"/>
      <c r="L372" s="253"/>
      <c r="M372" s="253"/>
      <c r="N372" s="328"/>
    </row>
    <row r="373" spans="1:14" ht="20.100000000000001" customHeight="1">
      <c r="A373" s="327" t="str">
        <f>IF(AND($B373="",$C373=""),"",MAX($A$3:A372)+1)</f>
        <v/>
      </c>
      <c r="B373" s="262"/>
      <c r="C373" s="253"/>
      <c r="D373" s="249" t="str">
        <f>IFERROR(IF($E373="Inventory",VLOOKUP($C373,Inventory!$B:$I,2,FALSE()),IF($E373="Non Inventory",VLOOKUP($C373,'Non Inventory'!$B:$I,2,FALSE()),IF($E373="Services",VLOOKUP($C373,Services!$B:$I,2,FALSE()),IF($E373="Patty Cash",VLOOKUP($C373,'Patty Cash'!$B:$J,2,FALSE()),"")))),"")</f>
        <v/>
      </c>
      <c r="E373" s="254"/>
      <c r="F373" s="263" t="str">
        <f>IFERROR(IF($E373="Inventory",VLOOKUP($C373,Inventory!$B:$I,3,FALSE()),IF($E373="Non Inventory",VLOOKUP($C373,'Non Inventory'!$B:$I,3,FALSE()),IF($E373="Services",VLOOKUP($C373,Services!$B:$I,3,FALSE()),IF($E373="Patty Cash",VLOOKUP($C373,'Patty Cash'!$B:$J,3,FALSE()),"")))),"")</f>
        <v/>
      </c>
      <c r="G373" s="374"/>
      <c r="H373" s="374" t="str">
        <f t="shared" si="10"/>
        <v/>
      </c>
      <c r="I373" s="252">
        <f>IFERROR(IF($E373="Inventory",VLOOKUP($C373,Inventory!$B:$I,8,FALSE()),IF($E373="Non Inventory",VLOOKUP($C373,'Non Inventory'!$B:$I,8,FALSE()),IF($E373="Services",VLOOKUP($C373,Services!$B:$I,8,FALSE()),IF($E373="Patty Cash",VLOOKUP($C373,'Patty Cash'!$B:$J,8,FALSE()),0)))),0)</f>
        <v>0</v>
      </c>
      <c r="J373" s="252" t="str">
        <f t="shared" si="11"/>
        <v/>
      </c>
      <c r="K373" s="253"/>
      <c r="L373" s="253"/>
      <c r="M373" s="253"/>
      <c r="N373" s="328"/>
    </row>
    <row r="374" spans="1:14" ht="20.100000000000001" customHeight="1">
      <c r="A374" s="327" t="str">
        <f>IF(AND($B374="",$C374=""),"",MAX($A$3:A373)+1)</f>
        <v/>
      </c>
      <c r="B374" s="262"/>
      <c r="C374" s="253"/>
      <c r="D374" s="249" t="str">
        <f>IFERROR(IF($E374="Inventory",VLOOKUP($C374,Inventory!$B:$I,2,FALSE()),IF($E374="Non Inventory",VLOOKUP($C374,'Non Inventory'!$B:$I,2,FALSE()),IF($E374="Services",VLOOKUP($C374,Services!$B:$I,2,FALSE()),IF($E374="Patty Cash",VLOOKUP($C374,'Patty Cash'!$B:$J,2,FALSE()),"")))),"")</f>
        <v/>
      </c>
      <c r="E374" s="254"/>
      <c r="F374" s="263" t="str">
        <f>IFERROR(IF($E374="Inventory",VLOOKUP($C374,Inventory!$B:$I,3,FALSE()),IF($E374="Non Inventory",VLOOKUP($C374,'Non Inventory'!$B:$I,3,FALSE()),IF($E374="Services",VLOOKUP($C374,Services!$B:$I,3,FALSE()),IF($E374="Patty Cash",VLOOKUP($C374,'Patty Cash'!$B:$J,3,FALSE()),"")))),"")</f>
        <v/>
      </c>
      <c r="G374" s="374"/>
      <c r="H374" s="374" t="str">
        <f t="shared" si="10"/>
        <v/>
      </c>
      <c r="I374" s="252">
        <f>IFERROR(IF($E374="Inventory",VLOOKUP($C374,Inventory!$B:$I,8,FALSE()),IF($E374="Non Inventory",VLOOKUP($C374,'Non Inventory'!$B:$I,8,FALSE()),IF($E374="Services",VLOOKUP($C374,Services!$B:$I,8,FALSE()),IF($E374="Patty Cash",VLOOKUP($C374,'Patty Cash'!$B:$J,8,FALSE()),0)))),0)</f>
        <v>0</v>
      </c>
      <c r="J374" s="252" t="str">
        <f t="shared" si="11"/>
        <v/>
      </c>
      <c r="K374" s="253"/>
      <c r="L374" s="253"/>
      <c r="M374" s="253"/>
      <c r="N374" s="328"/>
    </row>
    <row r="375" spans="1:14" ht="20.100000000000001" customHeight="1">
      <c r="A375" s="327" t="str">
        <f>IF(AND($B375="",$C375=""),"",MAX($A$3:A374)+1)</f>
        <v/>
      </c>
      <c r="B375" s="262"/>
      <c r="C375" s="253"/>
      <c r="D375" s="249" t="str">
        <f>IFERROR(IF($E375="Inventory",VLOOKUP($C375,Inventory!$B:$I,2,FALSE()),IF($E375="Non Inventory",VLOOKUP($C375,'Non Inventory'!$B:$I,2,FALSE()),IF($E375="Services",VLOOKUP($C375,Services!$B:$I,2,FALSE()),IF($E375="Patty Cash",VLOOKUP($C375,'Patty Cash'!$B:$J,2,FALSE()),"")))),"")</f>
        <v/>
      </c>
      <c r="E375" s="254"/>
      <c r="F375" s="263" t="str">
        <f>IFERROR(IF($E375="Inventory",VLOOKUP($C375,Inventory!$B:$I,3,FALSE()),IF($E375="Non Inventory",VLOOKUP($C375,'Non Inventory'!$B:$I,3,FALSE()),IF($E375="Services",VLOOKUP($C375,Services!$B:$I,3,FALSE()),IF($E375="Patty Cash",VLOOKUP($C375,'Patty Cash'!$B:$J,3,FALSE()),"")))),"")</f>
        <v/>
      </c>
      <c r="G375" s="374"/>
      <c r="H375" s="374" t="str">
        <f t="shared" si="10"/>
        <v/>
      </c>
      <c r="I375" s="252">
        <f>IFERROR(IF($E375="Inventory",VLOOKUP($C375,Inventory!$B:$I,8,FALSE()),IF($E375="Non Inventory",VLOOKUP($C375,'Non Inventory'!$B:$I,8,FALSE()),IF($E375="Services",VLOOKUP($C375,Services!$B:$I,8,FALSE()),IF($E375="Patty Cash",VLOOKUP($C375,'Patty Cash'!$B:$J,8,FALSE()),0)))),0)</f>
        <v>0</v>
      </c>
      <c r="J375" s="252" t="str">
        <f t="shared" si="11"/>
        <v/>
      </c>
      <c r="K375" s="253"/>
      <c r="L375" s="253"/>
      <c r="M375" s="253"/>
      <c r="N375" s="328"/>
    </row>
    <row r="376" spans="1:14" ht="20.100000000000001" customHeight="1">
      <c r="A376" s="327" t="str">
        <f>IF(AND($B376="",$C376=""),"",MAX($A$3:A375)+1)</f>
        <v/>
      </c>
      <c r="B376" s="262"/>
      <c r="C376" s="253"/>
      <c r="D376" s="249" t="str">
        <f>IFERROR(IF($E376="Inventory",VLOOKUP($C376,Inventory!$B:$I,2,FALSE()),IF($E376="Non Inventory",VLOOKUP($C376,'Non Inventory'!$B:$I,2,FALSE()),IF($E376="Services",VLOOKUP($C376,Services!$B:$I,2,FALSE()),IF($E376="Patty Cash",VLOOKUP($C376,'Patty Cash'!$B:$J,2,FALSE()),"")))),"")</f>
        <v/>
      </c>
      <c r="E376" s="254"/>
      <c r="F376" s="263" t="str">
        <f>IFERROR(IF($E376="Inventory",VLOOKUP($C376,Inventory!$B:$I,3,FALSE()),IF($E376="Non Inventory",VLOOKUP($C376,'Non Inventory'!$B:$I,3,FALSE()),IF($E376="Services",VLOOKUP($C376,Services!$B:$I,3,FALSE()),IF($E376="Patty Cash",VLOOKUP($C376,'Patty Cash'!$B:$J,3,FALSE()),"")))),"")</f>
        <v/>
      </c>
      <c r="G376" s="374"/>
      <c r="H376" s="374" t="str">
        <f t="shared" si="10"/>
        <v/>
      </c>
      <c r="I376" s="252">
        <f>IFERROR(IF($E376="Inventory",VLOOKUP($C376,Inventory!$B:$I,8,FALSE()),IF($E376="Non Inventory",VLOOKUP($C376,'Non Inventory'!$B:$I,8,FALSE()),IF($E376="Services",VLOOKUP($C376,Services!$B:$I,8,FALSE()),IF($E376="Patty Cash",VLOOKUP($C376,'Patty Cash'!$B:$J,8,FALSE()),0)))),0)</f>
        <v>0</v>
      </c>
      <c r="J376" s="252" t="str">
        <f t="shared" si="11"/>
        <v/>
      </c>
      <c r="K376" s="253"/>
      <c r="L376" s="253"/>
      <c r="M376" s="253"/>
      <c r="N376" s="328"/>
    </row>
    <row r="377" spans="1:14" ht="20.100000000000001" customHeight="1">
      <c r="A377" s="327" t="str">
        <f>IF(AND($B377="",$C377=""),"",MAX($A$3:A376)+1)</f>
        <v/>
      </c>
      <c r="B377" s="262"/>
      <c r="C377" s="253"/>
      <c r="D377" s="249" t="str">
        <f>IFERROR(IF($E377="Inventory",VLOOKUP($C377,Inventory!$B:$I,2,FALSE()),IF($E377="Non Inventory",VLOOKUP($C377,'Non Inventory'!$B:$I,2,FALSE()),IF($E377="Services",VLOOKUP($C377,Services!$B:$I,2,FALSE()),IF($E377="Patty Cash",VLOOKUP($C377,'Patty Cash'!$B:$J,2,FALSE()),"")))),"")</f>
        <v/>
      </c>
      <c r="E377" s="254"/>
      <c r="F377" s="263" t="str">
        <f>IFERROR(IF($E377="Inventory",VLOOKUP($C377,Inventory!$B:$I,3,FALSE()),IF($E377="Non Inventory",VLOOKUP($C377,'Non Inventory'!$B:$I,3,FALSE()),IF($E377="Services",VLOOKUP($C377,Services!$B:$I,3,FALSE()),IF($E377="Patty Cash",VLOOKUP($C377,'Patty Cash'!$B:$J,3,FALSE()),"")))),"")</f>
        <v/>
      </c>
      <c r="G377" s="374"/>
      <c r="H377" s="374" t="str">
        <f t="shared" si="10"/>
        <v/>
      </c>
      <c r="I377" s="252">
        <f>IFERROR(IF($E377="Inventory",VLOOKUP($C377,Inventory!$B:$I,8,FALSE()),IF($E377="Non Inventory",VLOOKUP($C377,'Non Inventory'!$B:$I,8,FALSE()),IF($E377="Services",VLOOKUP($C377,Services!$B:$I,8,FALSE()),IF($E377="Patty Cash",VLOOKUP($C377,'Patty Cash'!$B:$J,8,FALSE()),0)))),0)</f>
        <v>0</v>
      </c>
      <c r="J377" s="252" t="str">
        <f t="shared" si="11"/>
        <v/>
      </c>
      <c r="K377" s="253"/>
      <c r="L377" s="253"/>
      <c r="M377" s="253"/>
      <c r="N377" s="328"/>
    </row>
    <row r="378" spans="1:14" ht="20.100000000000001" customHeight="1">
      <c r="A378" s="327" t="str">
        <f>IF(AND($B378="",$C378=""),"",MAX($A$3:A377)+1)</f>
        <v/>
      </c>
      <c r="B378" s="262"/>
      <c r="C378" s="253"/>
      <c r="D378" s="249" t="str">
        <f>IFERROR(IF($E378="Inventory",VLOOKUP($C378,Inventory!$B:$I,2,FALSE()),IF($E378="Non Inventory",VLOOKUP($C378,'Non Inventory'!$B:$I,2,FALSE()),IF($E378="Services",VLOOKUP($C378,Services!$B:$I,2,FALSE()),IF($E378="Patty Cash",VLOOKUP($C378,'Patty Cash'!$B:$J,2,FALSE()),"")))),"")</f>
        <v/>
      </c>
      <c r="E378" s="254"/>
      <c r="F378" s="263" t="str">
        <f>IFERROR(IF($E378="Inventory",VLOOKUP($C378,Inventory!$B:$I,3,FALSE()),IF($E378="Non Inventory",VLOOKUP($C378,'Non Inventory'!$B:$I,3,FALSE()),IF($E378="Services",VLOOKUP($C378,Services!$B:$I,3,FALSE()),IF($E378="Patty Cash",VLOOKUP($C378,'Patty Cash'!$B:$J,3,FALSE()),"")))),"")</f>
        <v/>
      </c>
      <c r="G378" s="374"/>
      <c r="H378" s="374" t="str">
        <f t="shared" si="10"/>
        <v/>
      </c>
      <c r="I378" s="252">
        <f>IFERROR(IF($E378="Inventory",VLOOKUP($C378,Inventory!$B:$I,8,FALSE()),IF($E378="Non Inventory",VLOOKUP($C378,'Non Inventory'!$B:$I,8,FALSE()),IF($E378="Services",VLOOKUP($C378,Services!$B:$I,8,FALSE()),IF($E378="Patty Cash",VLOOKUP($C378,'Patty Cash'!$B:$J,8,FALSE()),0)))),0)</f>
        <v>0</v>
      </c>
      <c r="J378" s="252" t="str">
        <f t="shared" si="11"/>
        <v/>
      </c>
      <c r="K378" s="253"/>
      <c r="L378" s="253"/>
      <c r="M378" s="253"/>
      <c r="N378" s="328"/>
    </row>
    <row r="379" spans="1:14" ht="20.100000000000001" customHeight="1">
      <c r="A379" s="327" t="str">
        <f>IF(AND($B379="",$C379=""),"",MAX($A$3:A378)+1)</f>
        <v/>
      </c>
      <c r="B379" s="262"/>
      <c r="C379" s="253"/>
      <c r="D379" s="249" t="str">
        <f>IFERROR(IF($E379="Inventory",VLOOKUP($C379,Inventory!$B:$I,2,FALSE()),IF($E379="Non Inventory",VLOOKUP($C379,'Non Inventory'!$B:$I,2,FALSE()),IF($E379="Services",VLOOKUP($C379,Services!$B:$I,2,FALSE()),IF($E379="Patty Cash",VLOOKUP($C379,'Patty Cash'!$B:$J,2,FALSE()),"")))),"")</f>
        <v/>
      </c>
      <c r="E379" s="254"/>
      <c r="F379" s="263" t="str">
        <f>IFERROR(IF($E379="Inventory",VLOOKUP($C379,Inventory!$B:$I,3,FALSE()),IF($E379="Non Inventory",VLOOKUP($C379,'Non Inventory'!$B:$I,3,FALSE()),IF($E379="Services",VLOOKUP($C379,Services!$B:$I,3,FALSE()),IF($E379="Patty Cash",VLOOKUP($C379,'Patty Cash'!$B:$J,3,FALSE()),"")))),"")</f>
        <v/>
      </c>
      <c r="G379" s="374"/>
      <c r="H379" s="374" t="str">
        <f t="shared" ref="H379:H442" si="12">IF($G379="","",G379)</f>
        <v/>
      </c>
      <c r="I379" s="252">
        <f>IFERROR(IF($E379="Inventory",VLOOKUP($C379,Inventory!$B:$I,8,FALSE()),IF($E379="Non Inventory",VLOOKUP($C379,'Non Inventory'!$B:$I,8,FALSE()),IF($E379="Services",VLOOKUP($C379,Services!$B:$I,8,FALSE()),IF($E379="Patty Cash",VLOOKUP($C379,'Patty Cash'!$B:$J,8,FALSE()),0)))),0)</f>
        <v>0</v>
      </c>
      <c r="J379" s="252" t="str">
        <f t="shared" ref="J379:J442" si="13">IF($H379="","",H379*I379)</f>
        <v/>
      </c>
      <c r="K379" s="253"/>
      <c r="L379" s="253"/>
      <c r="M379" s="253"/>
      <c r="N379" s="328"/>
    </row>
    <row r="380" spans="1:14" ht="20.100000000000001" customHeight="1">
      <c r="A380" s="327" t="str">
        <f>IF(AND($B380="",$C380=""),"",MAX($A$3:A379)+1)</f>
        <v/>
      </c>
      <c r="B380" s="262"/>
      <c r="C380" s="253"/>
      <c r="D380" s="249" t="str">
        <f>IFERROR(IF($E380="Inventory",VLOOKUP($C380,Inventory!$B:$I,2,FALSE()),IF($E380="Non Inventory",VLOOKUP($C380,'Non Inventory'!$B:$I,2,FALSE()),IF($E380="Services",VLOOKUP($C380,Services!$B:$I,2,FALSE()),IF($E380="Patty Cash",VLOOKUP($C380,'Patty Cash'!$B:$J,2,FALSE()),"")))),"")</f>
        <v/>
      </c>
      <c r="E380" s="254"/>
      <c r="F380" s="263" t="str">
        <f>IFERROR(IF($E380="Inventory",VLOOKUP($C380,Inventory!$B:$I,3,FALSE()),IF($E380="Non Inventory",VLOOKUP($C380,'Non Inventory'!$B:$I,3,FALSE()),IF($E380="Services",VLOOKUP($C380,Services!$B:$I,3,FALSE()),IF($E380="Patty Cash",VLOOKUP($C380,'Patty Cash'!$B:$J,3,FALSE()),"")))),"")</f>
        <v/>
      </c>
      <c r="G380" s="374"/>
      <c r="H380" s="374" t="str">
        <f t="shared" si="12"/>
        <v/>
      </c>
      <c r="I380" s="252">
        <f>IFERROR(IF($E380="Inventory",VLOOKUP($C380,Inventory!$B:$I,8,FALSE()),IF($E380="Non Inventory",VLOOKUP($C380,'Non Inventory'!$B:$I,8,FALSE()),IF($E380="Services",VLOOKUP($C380,Services!$B:$I,8,FALSE()),IF($E380="Patty Cash",VLOOKUP($C380,'Patty Cash'!$B:$J,8,FALSE()),0)))),0)</f>
        <v>0</v>
      </c>
      <c r="J380" s="252" t="str">
        <f t="shared" si="13"/>
        <v/>
      </c>
      <c r="K380" s="253"/>
      <c r="L380" s="253"/>
      <c r="M380" s="253"/>
      <c r="N380" s="328"/>
    </row>
    <row r="381" spans="1:14" ht="20.100000000000001" customHeight="1">
      <c r="A381" s="327" t="str">
        <f>IF(AND($B381="",$C381=""),"",MAX($A$3:A380)+1)</f>
        <v/>
      </c>
      <c r="B381" s="262"/>
      <c r="C381" s="253"/>
      <c r="D381" s="249" t="str">
        <f>IFERROR(IF($E381="Inventory",VLOOKUP($C381,Inventory!$B:$I,2,FALSE()),IF($E381="Non Inventory",VLOOKUP($C381,'Non Inventory'!$B:$I,2,FALSE()),IF($E381="Services",VLOOKUP($C381,Services!$B:$I,2,FALSE()),IF($E381="Patty Cash",VLOOKUP($C381,'Patty Cash'!$B:$J,2,FALSE()),"")))),"")</f>
        <v/>
      </c>
      <c r="E381" s="254"/>
      <c r="F381" s="263" t="str">
        <f>IFERROR(IF($E381="Inventory",VLOOKUP($C381,Inventory!$B:$I,3,FALSE()),IF($E381="Non Inventory",VLOOKUP($C381,'Non Inventory'!$B:$I,3,FALSE()),IF($E381="Services",VLOOKUP($C381,Services!$B:$I,3,FALSE()),IF($E381="Patty Cash",VLOOKUP($C381,'Patty Cash'!$B:$J,3,FALSE()),"")))),"")</f>
        <v/>
      </c>
      <c r="G381" s="374"/>
      <c r="H381" s="374" t="str">
        <f t="shared" si="12"/>
        <v/>
      </c>
      <c r="I381" s="252">
        <f>IFERROR(IF($E381="Inventory",VLOOKUP($C381,Inventory!$B:$I,8,FALSE()),IF($E381="Non Inventory",VLOOKUP($C381,'Non Inventory'!$B:$I,8,FALSE()),IF($E381="Services",VLOOKUP($C381,Services!$B:$I,8,FALSE()),IF($E381="Patty Cash",VLOOKUP($C381,'Patty Cash'!$B:$J,8,FALSE()),0)))),0)</f>
        <v>0</v>
      </c>
      <c r="J381" s="252" t="str">
        <f t="shared" si="13"/>
        <v/>
      </c>
      <c r="K381" s="253"/>
      <c r="L381" s="253"/>
      <c r="M381" s="253"/>
      <c r="N381" s="328"/>
    </row>
    <row r="382" spans="1:14" ht="20.100000000000001" customHeight="1">
      <c r="A382" s="327" t="str">
        <f>IF(AND($B382="",$C382=""),"",MAX($A$3:A381)+1)</f>
        <v/>
      </c>
      <c r="B382" s="262"/>
      <c r="C382" s="253"/>
      <c r="D382" s="249" t="str">
        <f>IFERROR(IF($E382="Inventory",VLOOKUP($C382,Inventory!$B:$I,2,FALSE()),IF($E382="Non Inventory",VLOOKUP($C382,'Non Inventory'!$B:$I,2,FALSE()),IF($E382="Services",VLOOKUP($C382,Services!$B:$I,2,FALSE()),IF($E382="Patty Cash",VLOOKUP($C382,'Patty Cash'!$B:$J,2,FALSE()),"")))),"")</f>
        <v/>
      </c>
      <c r="E382" s="254"/>
      <c r="F382" s="263" t="str">
        <f>IFERROR(IF($E382="Inventory",VLOOKUP($C382,Inventory!$B:$I,3,FALSE()),IF($E382="Non Inventory",VLOOKUP($C382,'Non Inventory'!$B:$I,3,FALSE()),IF($E382="Services",VLOOKUP($C382,Services!$B:$I,3,FALSE()),IF($E382="Patty Cash",VLOOKUP($C382,'Patty Cash'!$B:$J,3,FALSE()),"")))),"")</f>
        <v/>
      </c>
      <c r="G382" s="374"/>
      <c r="H382" s="374" t="str">
        <f t="shared" si="12"/>
        <v/>
      </c>
      <c r="I382" s="252">
        <f>IFERROR(IF($E382="Inventory",VLOOKUP($C382,Inventory!$B:$I,8,FALSE()),IF($E382="Non Inventory",VLOOKUP($C382,'Non Inventory'!$B:$I,8,FALSE()),IF($E382="Services",VLOOKUP($C382,Services!$B:$I,8,FALSE()),IF($E382="Patty Cash",VLOOKUP($C382,'Patty Cash'!$B:$J,8,FALSE()),0)))),0)</f>
        <v>0</v>
      </c>
      <c r="J382" s="252" t="str">
        <f t="shared" si="13"/>
        <v/>
      </c>
      <c r="K382" s="253"/>
      <c r="L382" s="253"/>
      <c r="M382" s="253"/>
      <c r="N382" s="328"/>
    </row>
    <row r="383" spans="1:14" ht="20.100000000000001" customHeight="1">
      <c r="A383" s="327" t="str">
        <f>IF(AND($B383="",$C383=""),"",MAX($A$3:A382)+1)</f>
        <v/>
      </c>
      <c r="B383" s="262"/>
      <c r="C383" s="253"/>
      <c r="D383" s="249" t="str">
        <f>IFERROR(IF($E383="Inventory",VLOOKUP($C383,Inventory!$B:$I,2,FALSE()),IF($E383="Non Inventory",VLOOKUP($C383,'Non Inventory'!$B:$I,2,FALSE()),IF($E383="Services",VLOOKUP($C383,Services!$B:$I,2,FALSE()),IF($E383="Patty Cash",VLOOKUP($C383,'Patty Cash'!$B:$J,2,FALSE()),"")))),"")</f>
        <v/>
      </c>
      <c r="E383" s="254"/>
      <c r="F383" s="263" t="str">
        <f>IFERROR(IF($E383="Inventory",VLOOKUP($C383,Inventory!$B:$I,3,FALSE()),IF($E383="Non Inventory",VLOOKUP($C383,'Non Inventory'!$B:$I,3,FALSE()),IF($E383="Services",VLOOKUP($C383,Services!$B:$I,3,FALSE()),IF($E383="Patty Cash",VLOOKUP($C383,'Patty Cash'!$B:$J,3,FALSE()),"")))),"")</f>
        <v/>
      </c>
      <c r="G383" s="374"/>
      <c r="H383" s="374" t="str">
        <f t="shared" si="12"/>
        <v/>
      </c>
      <c r="I383" s="252">
        <f>IFERROR(IF($E383="Inventory",VLOOKUP($C383,Inventory!$B:$I,8,FALSE()),IF($E383="Non Inventory",VLOOKUP($C383,'Non Inventory'!$B:$I,8,FALSE()),IF($E383="Services",VLOOKUP($C383,Services!$B:$I,8,FALSE()),IF($E383="Patty Cash",VLOOKUP($C383,'Patty Cash'!$B:$J,8,FALSE()),0)))),0)</f>
        <v>0</v>
      </c>
      <c r="J383" s="252" t="str">
        <f t="shared" si="13"/>
        <v/>
      </c>
      <c r="K383" s="253"/>
      <c r="L383" s="253"/>
      <c r="M383" s="253"/>
      <c r="N383" s="328"/>
    </row>
    <row r="384" spans="1:14" ht="20.100000000000001" customHeight="1">
      <c r="A384" s="327" t="str">
        <f>IF(AND($B384="",$C384=""),"",MAX($A$3:A383)+1)</f>
        <v/>
      </c>
      <c r="B384" s="262"/>
      <c r="C384" s="253"/>
      <c r="D384" s="249" t="str">
        <f>IFERROR(IF($E384="Inventory",VLOOKUP($C384,Inventory!$B:$I,2,FALSE()),IF($E384="Non Inventory",VLOOKUP($C384,'Non Inventory'!$B:$I,2,FALSE()),IF($E384="Services",VLOOKUP($C384,Services!$B:$I,2,FALSE()),IF($E384="Patty Cash",VLOOKUP($C384,'Patty Cash'!$B:$J,2,FALSE()),"")))),"")</f>
        <v/>
      </c>
      <c r="E384" s="254"/>
      <c r="F384" s="263" t="str">
        <f>IFERROR(IF($E384="Inventory",VLOOKUP($C384,Inventory!$B:$I,3,FALSE()),IF($E384="Non Inventory",VLOOKUP($C384,'Non Inventory'!$B:$I,3,FALSE()),IF($E384="Services",VLOOKUP($C384,Services!$B:$I,3,FALSE()),IF($E384="Patty Cash",VLOOKUP($C384,'Patty Cash'!$B:$J,3,FALSE()),"")))),"")</f>
        <v/>
      </c>
      <c r="G384" s="374"/>
      <c r="H384" s="374" t="str">
        <f t="shared" si="12"/>
        <v/>
      </c>
      <c r="I384" s="252">
        <f>IFERROR(IF($E384="Inventory",VLOOKUP($C384,Inventory!$B:$I,8,FALSE()),IF($E384="Non Inventory",VLOOKUP($C384,'Non Inventory'!$B:$I,8,FALSE()),IF($E384="Services",VLOOKUP($C384,Services!$B:$I,8,FALSE()),IF($E384="Patty Cash",VLOOKUP($C384,'Patty Cash'!$B:$J,8,FALSE()),0)))),0)</f>
        <v>0</v>
      </c>
      <c r="J384" s="252" t="str">
        <f t="shared" si="13"/>
        <v/>
      </c>
      <c r="K384" s="253"/>
      <c r="L384" s="253"/>
      <c r="M384" s="253"/>
      <c r="N384" s="328"/>
    </row>
    <row r="385" spans="1:14" ht="20.100000000000001" customHeight="1">
      <c r="A385" s="327" t="str">
        <f>IF(AND($B385="",$C385=""),"",MAX($A$3:A384)+1)</f>
        <v/>
      </c>
      <c r="B385" s="262"/>
      <c r="C385" s="253"/>
      <c r="D385" s="249" t="str">
        <f>IFERROR(IF($E385="Inventory",VLOOKUP($C385,Inventory!$B:$I,2,FALSE()),IF($E385="Non Inventory",VLOOKUP($C385,'Non Inventory'!$B:$I,2,FALSE()),IF($E385="Services",VLOOKUP($C385,Services!$B:$I,2,FALSE()),IF($E385="Patty Cash",VLOOKUP($C385,'Patty Cash'!$B:$J,2,FALSE()),"")))),"")</f>
        <v/>
      </c>
      <c r="E385" s="254"/>
      <c r="F385" s="263" t="str">
        <f>IFERROR(IF($E385="Inventory",VLOOKUP($C385,Inventory!$B:$I,3,FALSE()),IF($E385="Non Inventory",VLOOKUP($C385,'Non Inventory'!$B:$I,3,FALSE()),IF($E385="Services",VLOOKUP($C385,Services!$B:$I,3,FALSE()),IF($E385="Patty Cash",VLOOKUP($C385,'Patty Cash'!$B:$J,3,FALSE()),"")))),"")</f>
        <v/>
      </c>
      <c r="G385" s="374"/>
      <c r="H385" s="374" t="str">
        <f t="shared" si="12"/>
        <v/>
      </c>
      <c r="I385" s="252">
        <f>IFERROR(IF($E385="Inventory",VLOOKUP($C385,Inventory!$B:$I,8,FALSE()),IF($E385="Non Inventory",VLOOKUP($C385,'Non Inventory'!$B:$I,8,FALSE()),IF($E385="Services",VLOOKUP($C385,Services!$B:$I,8,FALSE()),IF($E385="Patty Cash",VLOOKUP($C385,'Patty Cash'!$B:$J,8,FALSE()),0)))),0)</f>
        <v>0</v>
      </c>
      <c r="J385" s="252" t="str">
        <f t="shared" si="13"/>
        <v/>
      </c>
      <c r="K385" s="253"/>
      <c r="L385" s="253"/>
      <c r="M385" s="253"/>
      <c r="N385" s="328"/>
    </row>
    <row r="386" spans="1:14" ht="20.100000000000001" customHeight="1">
      <c r="A386" s="327" t="str">
        <f>IF(AND($B386="",$C386=""),"",MAX($A$3:A385)+1)</f>
        <v/>
      </c>
      <c r="B386" s="262"/>
      <c r="C386" s="253"/>
      <c r="D386" s="249" t="str">
        <f>IFERROR(IF($E386="Inventory",VLOOKUP($C386,Inventory!$B:$I,2,FALSE()),IF($E386="Non Inventory",VLOOKUP($C386,'Non Inventory'!$B:$I,2,FALSE()),IF($E386="Services",VLOOKUP($C386,Services!$B:$I,2,FALSE()),IF($E386="Patty Cash",VLOOKUP($C386,'Patty Cash'!$B:$J,2,FALSE()),"")))),"")</f>
        <v/>
      </c>
      <c r="E386" s="254"/>
      <c r="F386" s="263" t="str">
        <f>IFERROR(IF($E386="Inventory",VLOOKUP($C386,Inventory!$B:$I,3,FALSE()),IF($E386="Non Inventory",VLOOKUP($C386,'Non Inventory'!$B:$I,3,FALSE()),IF($E386="Services",VLOOKUP($C386,Services!$B:$I,3,FALSE()),IF($E386="Patty Cash",VLOOKUP($C386,'Patty Cash'!$B:$J,3,FALSE()),"")))),"")</f>
        <v/>
      </c>
      <c r="G386" s="374"/>
      <c r="H386" s="374" t="str">
        <f t="shared" si="12"/>
        <v/>
      </c>
      <c r="I386" s="252">
        <f>IFERROR(IF($E386="Inventory",VLOOKUP($C386,Inventory!$B:$I,8,FALSE()),IF($E386="Non Inventory",VLOOKUP($C386,'Non Inventory'!$B:$I,8,FALSE()),IF($E386="Services",VLOOKUP($C386,Services!$B:$I,8,FALSE()),IF($E386="Patty Cash",VLOOKUP($C386,'Patty Cash'!$B:$J,8,FALSE()),0)))),0)</f>
        <v>0</v>
      </c>
      <c r="J386" s="252" t="str">
        <f t="shared" si="13"/>
        <v/>
      </c>
      <c r="K386" s="253"/>
      <c r="L386" s="253"/>
      <c r="M386" s="253"/>
      <c r="N386" s="328"/>
    </row>
    <row r="387" spans="1:14" ht="20.100000000000001" customHeight="1">
      <c r="A387" s="327" t="str">
        <f>IF(AND($B387="",$C387=""),"",MAX($A$3:A386)+1)</f>
        <v/>
      </c>
      <c r="B387" s="262"/>
      <c r="C387" s="253"/>
      <c r="D387" s="249" t="str">
        <f>IFERROR(IF($E387="Inventory",VLOOKUP($C387,Inventory!$B:$I,2,FALSE()),IF($E387="Non Inventory",VLOOKUP($C387,'Non Inventory'!$B:$I,2,FALSE()),IF($E387="Services",VLOOKUP($C387,Services!$B:$I,2,FALSE()),IF($E387="Patty Cash",VLOOKUP($C387,'Patty Cash'!$B:$J,2,FALSE()),"")))),"")</f>
        <v/>
      </c>
      <c r="E387" s="254"/>
      <c r="F387" s="263" t="str">
        <f>IFERROR(IF($E387="Inventory",VLOOKUP($C387,Inventory!$B:$I,3,FALSE()),IF($E387="Non Inventory",VLOOKUP($C387,'Non Inventory'!$B:$I,3,FALSE()),IF($E387="Services",VLOOKUP($C387,Services!$B:$I,3,FALSE()),IF($E387="Patty Cash",VLOOKUP($C387,'Patty Cash'!$B:$J,3,FALSE()),"")))),"")</f>
        <v/>
      </c>
      <c r="G387" s="374"/>
      <c r="H387" s="374" t="str">
        <f t="shared" si="12"/>
        <v/>
      </c>
      <c r="I387" s="252">
        <f>IFERROR(IF($E387="Inventory",VLOOKUP($C387,Inventory!$B:$I,8,FALSE()),IF($E387="Non Inventory",VLOOKUP($C387,'Non Inventory'!$B:$I,8,FALSE()),IF($E387="Services",VLOOKUP($C387,Services!$B:$I,8,FALSE()),IF($E387="Patty Cash",VLOOKUP($C387,'Patty Cash'!$B:$J,8,FALSE()),0)))),0)</f>
        <v>0</v>
      </c>
      <c r="J387" s="252" t="str">
        <f t="shared" si="13"/>
        <v/>
      </c>
      <c r="K387" s="253"/>
      <c r="L387" s="253"/>
      <c r="M387" s="253"/>
      <c r="N387" s="328"/>
    </row>
    <row r="388" spans="1:14" ht="20.100000000000001" customHeight="1">
      <c r="A388" s="327" t="str">
        <f>IF(AND($B388="",$C388=""),"",MAX($A$3:A387)+1)</f>
        <v/>
      </c>
      <c r="B388" s="262"/>
      <c r="C388" s="253"/>
      <c r="D388" s="249" t="str">
        <f>IFERROR(IF($E388="Inventory",VLOOKUP($C388,Inventory!$B:$I,2,FALSE()),IF($E388="Non Inventory",VLOOKUP($C388,'Non Inventory'!$B:$I,2,FALSE()),IF($E388="Services",VLOOKUP($C388,Services!$B:$I,2,FALSE()),IF($E388="Patty Cash",VLOOKUP($C388,'Patty Cash'!$B:$J,2,FALSE()),"")))),"")</f>
        <v/>
      </c>
      <c r="E388" s="254"/>
      <c r="F388" s="263" t="str">
        <f>IFERROR(IF($E388="Inventory",VLOOKUP($C388,Inventory!$B:$I,3,FALSE()),IF($E388="Non Inventory",VLOOKUP($C388,'Non Inventory'!$B:$I,3,FALSE()),IF($E388="Services",VLOOKUP($C388,Services!$B:$I,3,FALSE()),IF($E388="Patty Cash",VLOOKUP($C388,'Patty Cash'!$B:$J,3,FALSE()),"")))),"")</f>
        <v/>
      </c>
      <c r="G388" s="374"/>
      <c r="H388" s="374" t="str">
        <f t="shared" si="12"/>
        <v/>
      </c>
      <c r="I388" s="252">
        <f>IFERROR(IF($E388="Inventory",VLOOKUP($C388,Inventory!$B:$I,8,FALSE()),IF($E388="Non Inventory",VLOOKUP($C388,'Non Inventory'!$B:$I,8,FALSE()),IF($E388="Services",VLOOKUP($C388,Services!$B:$I,8,FALSE()),IF($E388="Patty Cash",VLOOKUP($C388,'Patty Cash'!$B:$J,8,FALSE()),0)))),0)</f>
        <v>0</v>
      </c>
      <c r="J388" s="252" t="str">
        <f t="shared" si="13"/>
        <v/>
      </c>
      <c r="K388" s="253"/>
      <c r="L388" s="253"/>
      <c r="M388" s="253"/>
      <c r="N388" s="328"/>
    </row>
    <row r="389" spans="1:14" ht="20.100000000000001" customHeight="1">
      <c r="A389" s="327" t="str">
        <f>IF(AND($B389="",$C389=""),"",MAX($A$3:A388)+1)</f>
        <v/>
      </c>
      <c r="B389" s="262"/>
      <c r="C389" s="253"/>
      <c r="D389" s="249" t="str">
        <f>IFERROR(IF($E389="Inventory",VLOOKUP($C389,Inventory!$B:$I,2,FALSE()),IF($E389="Non Inventory",VLOOKUP($C389,'Non Inventory'!$B:$I,2,FALSE()),IF($E389="Services",VLOOKUP($C389,Services!$B:$I,2,FALSE()),IF($E389="Patty Cash",VLOOKUP($C389,'Patty Cash'!$B:$J,2,FALSE()),"")))),"")</f>
        <v/>
      </c>
      <c r="E389" s="254"/>
      <c r="F389" s="263" t="str">
        <f>IFERROR(IF($E389="Inventory",VLOOKUP($C389,Inventory!$B:$I,3,FALSE()),IF($E389="Non Inventory",VLOOKUP($C389,'Non Inventory'!$B:$I,3,FALSE()),IF($E389="Services",VLOOKUP($C389,Services!$B:$I,3,FALSE()),IF($E389="Patty Cash",VLOOKUP($C389,'Patty Cash'!$B:$J,3,FALSE()),"")))),"")</f>
        <v/>
      </c>
      <c r="G389" s="374"/>
      <c r="H389" s="374" t="str">
        <f t="shared" si="12"/>
        <v/>
      </c>
      <c r="I389" s="252">
        <f>IFERROR(IF($E389="Inventory",VLOOKUP($C389,Inventory!$B:$I,8,FALSE()),IF($E389="Non Inventory",VLOOKUP($C389,'Non Inventory'!$B:$I,8,FALSE()),IF($E389="Services",VLOOKUP($C389,Services!$B:$I,8,FALSE()),IF($E389="Patty Cash",VLOOKUP($C389,'Patty Cash'!$B:$J,8,FALSE()),0)))),0)</f>
        <v>0</v>
      </c>
      <c r="J389" s="252" t="str">
        <f t="shared" si="13"/>
        <v/>
      </c>
      <c r="K389" s="253"/>
      <c r="L389" s="253"/>
      <c r="M389" s="253"/>
      <c r="N389" s="328"/>
    </row>
    <row r="390" spans="1:14" ht="20.100000000000001" customHeight="1">
      <c r="A390" s="327" t="str">
        <f>IF(AND($B390="",$C390=""),"",MAX($A$3:A389)+1)</f>
        <v/>
      </c>
      <c r="B390" s="262"/>
      <c r="C390" s="253"/>
      <c r="D390" s="249" t="str">
        <f>IFERROR(IF($E390="Inventory",VLOOKUP($C390,Inventory!$B:$I,2,FALSE()),IF($E390="Non Inventory",VLOOKUP($C390,'Non Inventory'!$B:$I,2,FALSE()),IF($E390="Services",VLOOKUP($C390,Services!$B:$I,2,FALSE()),IF($E390="Patty Cash",VLOOKUP($C390,'Patty Cash'!$B:$J,2,FALSE()),"")))),"")</f>
        <v/>
      </c>
      <c r="E390" s="254"/>
      <c r="F390" s="263" t="str">
        <f>IFERROR(IF($E390="Inventory",VLOOKUP($C390,Inventory!$B:$I,3,FALSE()),IF($E390="Non Inventory",VLOOKUP($C390,'Non Inventory'!$B:$I,3,FALSE()),IF($E390="Services",VLOOKUP($C390,Services!$B:$I,3,FALSE()),IF($E390="Patty Cash",VLOOKUP($C390,'Patty Cash'!$B:$J,3,FALSE()),"")))),"")</f>
        <v/>
      </c>
      <c r="G390" s="374"/>
      <c r="H390" s="374" t="str">
        <f t="shared" si="12"/>
        <v/>
      </c>
      <c r="I390" s="252">
        <f>IFERROR(IF($E390="Inventory",VLOOKUP($C390,Inventory!$B:$I,8,FALSE()),IF($E390="Non Inventory",VLOOKUP($C390,'Non Inventory'!$B:$I,8,FALSE()),IF($E390="Services",VLOOKUP($C390,Services!$B:$I,8,FALSE()),IF($E390="Patty Cash",VLOOKUP($C390,'Patty Cash'!$B:$J,8,FALSE()),0)))),0)</f>
        <v>0</v>
      </c>
      <c r="J390" s="252" t="str">
        <f t="shared" si="13"/>
        <v/>
      </c>
      <c r="K390" s="253"/>
      <c r="L390" s="253"/>
      <c r="M390" s="253"/>
      <c r="N390" s="328"/>
    </row>
    <row r="391" spans="1:14" ht="20.100000000000001" customHeight="1">
      <c r="A391" s="327" t="str">
        <f>IF(AND($B391="",$C391=""),"",MAX($A$3:A390)+1)</f>
        <v/>
      </c>
      <c r="B391" s="262"/>
      <c r="C391" s="253"/>
      <c r="D391" s="249" t="str">
        <f>IFERROR(IF($E391="Inventory",VLOOKUP($C391,Inventory!$B:$I,2,FALSE()),IF($E391="Non Inventory",VLOOKUP($C391,'Non Inventory'!$B:$I,2,FALSE()),IF($E391="Services",VLOOKUP($C391,Services!$B:$I,2,FALSE()),IF($E391="Patty Cash",VLOOKUP($C391,'Patty Cash'!$B:$J,2,FALSE()),"")))),"")</f>
        <v/>
      </c>
      <c r="E391" s="254"/>
      <c r="F391" s="263" t="str">
        <f>IFERROR(IF($E391="Inventory",VLOOKUP($C391,Inventory!$B:$I,3,FALSE()),IF($E391="Non Inventory",VLOOKUP($C391,'Non Inventory'!$B:$I,3,FALSE()),IF($E391="Services",VLOOKUP($C391,Services!$B:$I,3,FALSE()),IF($E391="Patty Cash",VLOOKUP($C391,'Patty Cash'!$B:$J,3,FALSE()),"")))),"")</f>
        <v/>
      </c>
      <c r="G391" s="374"/>
      <c r="H391" s="374" t="str">
        <f t="shared" si="12"/>
        <v/>
      </c>
      <c r="I391" s="252">
        <f>IFERROR(IF($E391="Inventory",VLOOKUP($C391,Inventory!$B:$I,8,FALSE()),IF($E391="Non Inventory",VLOOKUP($C391,'Non Inventory'!$B:$I,8,FALSE()),IF($E391="Services",VLOOKUP($C391,Services!$B:$I,8,FALSE()),IF($E391="Patty Cash",VLOOKUP($C391,'Patty Cash'!$B:$J,8,FALSE()),0)))),0)</f>
        <v>0</v>
      </c>
      <c r="J391" s="252" t="str">
        <f t="shared" si="13"/>
        <v/>
      </c>
      <c r="K391" s="253"/>
      <c r="L391" s="253"/>
      <c r="M391" s="253"/>
      <c r="N391" s="328"/>
    </row>
    <row r="392" spans="1:14" ht="20.100000000000001" customHeight="1">
      <c r="A392" s="327" t="str">
        <f>IF(AND($B392="",$C392=""),"",MAX($A$3:A391)+1)</f>
        <v/>
      </c>
      <c r="B392" s="262"/>
      <c r="C392" s="253"/>
      <c r="D392" s="249" t="str">
        <f>IFERROR(IF($E392="Inventory",VLOOKUP($C392,Inventory!$B:$I,2,FALSE()),IF($E392="Non Inventory",VLOOKUP($C392,'Non Inventory'!$B:$I,2,FALSE()),IF($E392="Services",VLOOKUP($C392,Services!$B:$I,2,FALSE()),IF($E392="Patty Cash",VLOOKUP($C392,'Patty Cash'!$B:$J,2,FALSE()),"")))),"")</f>
        <v/>
      </c>
      <c r="E392" s="254"/>
      <c r="F392" s="263" t="str">
        <f>IFERROR(IF($E392="Inventory",VLOOKUP($C392,Inventory!$B:$I,3,FALSE()),IF($E392="Non Inventory",VLOOKUP($C392,'Non Inventory'!$B:$I,3,FALSE()),IF($E392="Services",VLOOKUP($C392,Services!$B:$I,3,FALSE()),IF($E392="Patty Cash",VLOOKUP($C392,'Patty Cash'!$B:$J,3,FALSE()),"")))),"")</f>
        <v/>
      </c>
      <c r="G392" s="374"/>
      <c r="H392" s="374" t="str">
        <f t="shared" si="12"/>
        <v/>
      </c>
      <c r="I392" s="252">
        <f>IFERROR(IF($E392="Inventory",VLOOKUP($C392,Inventory!$B:$I,8,FALSE()),IF($E392="Non Inventory",VLOOKUP($C392,'Non Inventory'!$B:$I,8,FALSE()),IF($E392="Services",VLOOKUP($C392,Services!$B:$I,8,FALSE()),IF($E392="Patty Cash",VLOOKUP($C392,'Patty Cash'!$B:$J,8,FALSE()),0)))),0)</f>
        <v>0</v>
      </c>
      <c r="J392" s="252" t="str">
        <f t="shared" si="13"/>
        <v/>
      </c>
      <c r="K392" s="253"/>
      <c r="L392" s="253"/>
      <c r="M392" s="253"/>
      <c r="N392" s="328"/>
    </row>
    <row r="393" spans="1:14" ht="20.100000000000001" customHeight="1">
      <c r="A393" s="327" t="str">
        <f>IF(AND($B393="",$C393=""),"",MAX($A$3:A392)+1)</f>
        <v/>
      </c>
      <c r="B393" s="262"/>
      <c r="C393" s="253"/>
      <c r="D393" s="249" t="str">
        <f>IFERROR(IF($E393="Inventory",VLOOKUP($C393,Inventory!$B:$I,2,FALSE()),IF($E393="Non Inventory",VLOOKUP($C393,'Non Inventory'!$B:$I,2,FALSE()),IF($E393="Services",VLOOKUP($C393,Services!$B:$I,2,FALSE()),IF($E393="Patty Cash",VLOOKUP($C393,'Patty Cash'!$B:$J,2,FALSE()),"")))),"")</f>
        <v/>
      </c>
      <c r="E393" s="254"/>
      <c r="F393" s="263" t="str">
        <f>IFERROR(IF($E393="Inventory",VLOOKUP($C393,Inventory!$B:$I,3,FALSE()),IF($E393="Non Inventory",VLOOKUP($C393,'Non Inventory'!$B:$I,3,FALSE()),IF($E393="Services",VLOOKUP($C393,Services!$B:$I,3,FALSE()),IF($E393="Patty Cash",VLOOKUP($C393,'Patty Cash'!$B:$J,3,FALSE()),"")))),"")</f>
        <v/>
      </c>
      <c r="G393" s="374"/>
      <c r="H393" s="374" t="str">
        <f t="shared" si="12"/>
        <v/>
      </c>
      <c r="I393" s="252">
        <f>IFERROR(IF($E393="Inventory",VLOOKUP($C393,Inventory!$B:$I,8,FALSE()),IF($E393="Non Inventory",VLOOKUP($C393,'Non Inventory'!$B:$I,8,FALSE()),IF($E393="Services",VLOOKUP($C393,Services!$B:$I,8,FALSE()),IF($E393="Patty Cash",VLOOKUP($C393,'Patty Cash'!$B:$J,8,FALSE()),0)))),0)</f>
        <v>0</v>
      </c>
      <c r="J393" s="252" t="str">
        <f t="shared" si="13"/>
        <v/>
      </c>
      <c r="K393" s="253"/>
      <c r="L393" s="253"/>
      <c r="M393" s="253"/>
      <c r="N393" s="328"/>
    </row>
    <row r="394" spans="1:14" ht="20.100000000000001" customHeight="1">
      <c r="A394" s="327" t="str">
        <f>IF(AND($B394="",$C394=""),"",MAX($A$3:A393)+1)</f>
        <v/>
      </c>
      <c r="B394" s="262"/>
      <c r="C394" s="253"/>
      <c r="D394" s="249" t="str">
        <f>IFERROR(IF($E394="Inventory",VLOOKUP($C394,Inventory!$B:$I,2,FALSE()),IF($E394="Non Inventory",VLOOKUP($C394,'Non Inventory'!$B:$I,2,FALSE()),IF($E394="Services",VLOOKUP($C394,Services!$B:$I,2,FALSE()),IF($E394="Patty Cash",VLOOKUP($C394,'Patty Cash'!$B:$J,2,FALSE()),"")))),"")</f>
        <v/>
      </c>
      <c r="E394" s="254"/>
      <c r="F394" s="263" t="str">
        <f>IFERROR(IF($E394="Inventory",VLOOKUP($C394,Inventory!$B:$I,3,FALSE()),IF($E394="Non Inventory",VLOOKUP($C394,'Non Inventory'!$B:$I,3,FALSE()),IF($E394="Services",VLOOKUP($C394,Services!$B:$I,3,FALSE()),IF($E394="Patty Cash",VLOOKUP($C394,'Patty Cash'!$B:$J,3,FALSE()),"")))),"")</f>
        <v/>
      </c>
      <c r="G394" s="374"/>
      <c r="H394" s="374" t="str">
        <f t="shared" si="12"/>
        <v/>
      </c>
      <c r="I394" s="252">
        <f>IFERROR(IF($E394="Inventory",VLOOKUP($C394,Inventory!$B:$I,8,FALSE()),IF($E394="Non Inventory",VLOOKUP($C394,'Non Inventory'!$B:$I,8,FALSE()),IF($E394="Services",VLOOKUP($C394,Services!$B:$I,8,FALSE()),IF($E394="Patty Cash",VLOOKUP($C394,'Patty Cash'!$B:$J,8,FALSE()),0)))),0)</f>
        <v>0</v>
      </c>
      <c r="J394" s="252" t="str">
        <f t="shared" si="13"/>
        <v/>
      </c>
      <c r="K394" s="253"/>
      <c r="L394" s="253"/>
      <c r="M394" s="253"/>
      <c r="N394" s="328"/>
    </row>
    <row r="395" spans="1:14" ht="20.100000000000001" customHeight="1">
      <c r="A395" s="327" t="str">
        <f>IF(AND($B395="",$C395=""),"",MAX($A$3:A394)+1)</f>
        <v/>
      </c>
      <c r="B395" s="262"/>
      <c r="C395" s="253"/>
      <c r="D395" s="249" t="str">
        <f>IFERROR(IF($E395="Inventory",VLOOKUP($C395,Inventory!$B:$I,2,FALSE()),IF($E395="Non Inventory",VLOOKUP($C395,'Non Inventory'!$B:$I,2,FALSE()),IF($E395="Services",VLOOKUP($C395,Services!$B:$I,2,FALSE()),IF($E395="Patty Cash",VLOOKUP($C395,'Patty Cash'!$B:$J,2,FALSE()),"")))),"")</f>
        <v/>
      </c>
      <c r="E395" s="254"/>
      <c r="F395" s="263" t="str">
        <f>IFERROR(IF($E395="Inventory",VLOOKUP($C395,Inventory!$B:$I,3,FALSE()),IF($E395="Non Inventory",VLOOKUP($C395,'Non Inventory'!$B:$I,3,FALSE()),IF($E395="Services",VLOOKUP($C395,Services!$B:$I,3,FALSE()),IF($E395="Patty Cash",VLOOKUP($C395,'Patty Cash'!$B:$J,3,FALSE()),"")))),"")</f>
        <v/>
      </c>
      <c r="G395" s="374"/>
      <c r="H395" s="374" t="str">
        <f t="shared" si="12"/>
        <v/>
      </c>
      <c r="I395" s="252">
        <f>IFERROR(IF($E395="Inventory",VLOOKUP($C395,Inventory!$B:$I,8,FALSE()),IF($E395="Non Inventory",VLOOKUP($C395,'Non Inventory'!$B:$I,8,FALSE()),IF($E395="Services",VLOOKUP($C395,Services!$B:$I,8,FALSE()),IF($E395="Patty Cash",VLOOKUP($C395,'Patty Cash'!$B:$J,8,FALSE()),0)))),0)</f>
        <v>0</v>
      </c>
      <c r="J395" s="252" t="str">
        <f t="shared" si="13"/>
        <v/>
      </c>
      <c r="K395" s="253"/>
      <c r="L395" s="253"/>
      <c r="M395" s="253"/>
      <c r="N395" s="328"/>
    </row>
    <row r="396" spans="1:14" ht="20.100000000000001" customHeight="1">
      <c r="A396" s="327" t="str">
        <f>IF(AND($B396="",$C396=""),"",MAX($A$3:A395)+1)</f>
        <v/>
      </c>
      <c r="B396" s="262"/>
      <c r="C396" s="253"/>
      <c r="D396" s="249" t="str">
        <f>IFERROR(IF($E396="Inventory",VLOOKUP($C396,Inventory!$B:$I,2,FALSE()),IF($E396="Non Inventory",VLOOKUP($C396,'Non Inventory'!$B:$I,2,FALSE()),IF($E396="Services",VLOOKUP($C396,Services!$B:$I,2,FALSE()),IF($E396="Patty Cash",VLOOKUP($C396,'Patty Cash'!$B:$J,2,FALSE()),"")))),"")</f>
        <v/>
      </c>
      <c r="E396" s="254"/>
      <c r="F396" s="263" t="str">
        <f>IFERROR(IF($E396="Inventory",VLOOKUP($C396,Inventory!$B:$I,3,FALSE()),IF($E396="Non Inventory",VLOOKUP($C396,'Non Inventory'!$B:$I,3,FALSE()),IF($E396="Services",VLOOKUP($C396,Services!$B:$I,3,FALSE()),IF($E396="Patty Cash",VLOOKUP($C396,'Patty Cash'!$B:$J,3,FALSE()),"")))),"")</f>
        <v/>
      </c>
      <c r="G396" s="374"/>
      <c r="H396" s="374" t="str">
        <f t="shared" si="12"/>
        <v/>
      </c>
      <c r="I396" s="252">
        <f>IFERROR(IF($E396="Inventory",VLOOKUP($C396,Inventory!$B:$I,8,FALSE()),IF($E396="Non Inventory",VLOOKUP($C396,'Non Inventory'!$B:$I,8,FALSE()),IF($E396="Services",VLOOKUP($C396,Services!$B:$I,8,FALSE()),IF($E396="Patty Cash",VLOOKUP($C396,'Patty Cash'!$B:$J,8,FALSE()),0)))),0)</f>
        <v>0</v>
      </c>
      <c r="J396" s="252" t="str">
        <f t="shared" si="13"/>
        <v/>
      </c>
      <c r="K396" s="253"/>
      <c r="L396" s="253"/>
      <c r="M396" s="253"/>
      <c r="N396" s="328"/>
    </row>
    <row r="397" spans="1:14" ht="20.100000000000001" customHeight="1">
      <c r="A397" s="327" t="str">
        <f>IF(AND($B397="",$C397=""),"",MAX($A$3:A396)+1)</f>
        <v/>
      </c>
      <c r="B397" s="262"/>
      <c r="C397" s="253"/>
      <c r="D397" s="249" t="str">
        <f>IFERROR(IF($E397="Inventory",VLOOKUP($C397,Inventory!$B:$I,2,FALSE()),IF($E397="Non Inventory",VLOOKUP($C397,'Non Inventory'!$B:$I,2,FALSE()),IF($E397="Services",VLOOKUP($C397,Services!$B:$I,2,FALSE()),IF($E397="Patty Cash",VLOOKUP($C397,'Patty Cash'!$B:$J,2,FALSE()),"")))),"")</f>
        <v/>
      </c>
      <c r="E397" s="254"/>
      <c r="F397" s="263" t="str">
        <f>IFERROR(IF($E397="Inventory",VLOOKUP($C397,Inventory!$B:$I,3,FALSE()),IF($E397="Non Inventory",VLOOKUP($C397,'Non Inventory'!$B:$I,3,FALSE()),IF($E397="Services",VLOOKUP($C397,Services!$B:$I,3,FALSE()),IF($E397="Patty Cash",VLOOKUP($C397,'Patty Cash'!$B:$J,3,FALSE()),"")))),"")</f>
        <v/>
      </c>
      <c r="G397" s="374"/>
      <c r="H397" s="374" t="str">
        <f t="shared" si="12"/>
        <v/>
      </c>
      <c r="I397" s="252">
        <f>IFERROR(IF($E397="Inventory",VLOOKUP($C397,Inventory!$B:$I,8,FALSE()),IF($E397="Non Inventory",VLOOKUP($C397,'Non Inventory'!$B:$I,8,FALSE()),IF($E397="Services",VLOOKUP($C397,Services!$B:$I,8,FALSE()),IF($E397="Patty Cash",VLOOKUP($C397,'Patty Cash'!$B:$J,8,FALSE()),0)))),0)</f>
        <v>0</v>
      </c>
      <c r="J397" s="252" t="str">
        <f t="shared" si="13"/>
        <v/>
      </c>
      <c r="K397" s="253"/>
      <c r="L397" s="253"/>
      <c r="M397" s="253"/>
      <c r="N397" s="328"/>
    </row>
    <row r="398" spans="1:14" ht="20.100000000000001" customHeight="1">
      <c r="A398" s="327" t="str">
        <f>IF(AND($B398="",$C398=""),"",MAX($A$3:A397)+1)</f>
        <v/>
      </c>
      <c r="B398" s="262"/>
      <c r="C398" s="253"/>
      <c r="D398" s="249" t="str">
        <f>IFERROR(IF($E398="Inventory",VLOOKUP($C398,Inventory!$B:$I,2,FALSE()),IF($E398="Non Inventory",VLOOKUP($C398,'Non Inventory'!$B:$I,2,FALSE()),IF($E398="Services",VLOOKUP($C398,Services!$B:$I,2,FALSE()),IF($E398="Patty Cash",VLOOKUP($C398,'Patty Cash'!$B:$J,2,FALSE()),"")))),"")</f>
        <v/>
      </c>
      <c r="E398" s="254"/>
      <c r="F398" s="263" t="str">
        <f>IFERROR(IF($E398="Inventory",VLOOKUP($C398,Inventory!$B:$I,3,FALSE()),IF($E398="Non Inventory",VLOOKUP($C398,'Non Inventory'!$B:$I,3,FALSE()),IF($E398="Services",VLOOKUP($C398,Services!$B:$I,3,FALSE()),IF($E398="Patty Cash",VLOOKUP($C398,'Patty Cash'!$B:$J,3,FALSE()),"")))),"")</f>
        <v/>
      </c>
      <c r="G398" s="374"/>
      <c r="H398" s="374" t="str">
        <f t="shared" si="12"/>
        <v/>
      </c>
      <c r="I398" s="252">
        <f>IFERROR(IF($E398="Inventory",VLOOKUP($C398,Inventory!$B:$I,8,FALSE()),IF($E398="Non Inventory",VLOOKUP($C398,'Non Inventory'!$B:$I,8,FALSE()),IF($E398="Services",VLOOKUP($C398,Services!$B:$I,8,FALSE()),IF($E398="Patty Cash",VLOOKUP($C398,'Patty Cash'!$B:$J,8,FALSE()),0)))),0)</f>
        <v>0</v>
      </c>
      <c r="J398" s="252" t="str">
        <f t="shared" si="13"/>
        <v/>
      </c>
      <c r="K398" s="253"/>
      <c r="L398" s="253"/>
      <c r="M398" s="253"/>
      <c r="N398" s="328"/>
    </row>
    <row r="399" spans="1:14" ht="20.100000000000001" customHeight="1">
      <c r="A399" s="327" t="str">
        <f>IF(AND($B399="",$C399=""),"",MAX($A$3:A398)+1)</f>
        <v/>
      </c>
      <c r="B399" s="262"/>
      <c r="C399" s="253"/>
      <c r="D399" s="249" t="str">
        <f>IFERROR(IF($E399="Inventory",VLOOKUP($C399,Inventory!$B:$I,2,FALSE()),IF($E399="Non Inventory",VLOOKUP($C399,'Non Inventory'!$B:$I,2,FALSE()),IF($E399="Services",VLOOKUP($C399,Services!$B:$I,2,FALSE()),IF($E399="Patty Cash",VLOOKUP($C399,'Patty Cash'!$B:$J,2,FALSE()),"")))),"")</f>
        <v/>
      </c>
      <c r="E399" s="254"/>
      <c r="F399" s="263" t="str">
        <f>IFERROR(IF($E399="Inventory",VLOOKUP($C399,Inventory!$B:$I,3,FALSE()),IF($E399="Non Inventory",VLOOKUP($C399,'Non Inventory'!$B:$I,3,FALSE()),IF($E399="Services",VLOOKUP($C399,Services!$B:$I,3,FALSE()),IF($E399="Patty Cash",VLOOKUP($C399,'Patty Cash'!$B:$J,3,FALSE()),"")))),"")</f>
        <v/>
      </c>
      <c r="G399" s="374"/>
      <c r="H399" s="374" t="str">
        <f t="shared" si="12"/>
        <v/>
      </c>
      <c r="I399" s="252">
        <f>IFERROR(IF($E399="Inventory",VLOOKUP($C399,Inventory!$B:$I,8,FALSE()),IF($E399="Non Inventory",VLOOKUP($C399,'Non Inventory'!$B:$I,8,FALSE()),IF($E399="Services",VLOOKUP($C399,Services!$B:$I,8,FALSE()),IF($E399="Patty Cash",VLOOKUP($C399,'Patty Cash'!$B:$J,8,FALSE()),0)))),0)</f>
        <v>0</v>
      </c>
      <c r="J399" s="252" t="str">
        <f t="shared" si="13"/>
        <v/>
      </c>
      <c r="K399" s="253"/>
      <c r="L399" s="253"/>
      <c r="M399" s="253"/>
      <c r="N399" s="328"/>
    </row>
    <row r="400" spans="1:14" ht="20.100000000000001" customHeight="1">
      <c r="A400" s="327" t="str">
        <f>IF(AND($B400="",$C400=""),"",MAX($A$3:A399)+1)</f>
        <v/>
      </c>
      <c r="B400" s="262"/>
      <c r="C400" s="253"/>
      <c r="D400" s="249" t="str">
        <f>IFERROR(IF($E400="Inventory",VLOOKUP($C400,Inventory!$B:$I,2,FALSE()),IF($E400="Non Inventory",VLOOKUP($C400,'Non Inventory'!$B:$I,2,FALSE()),IF($E400="Services",VLOOKUP($C400,Services!$B:$I,2,FALSE()),IF($E400="Patty Cash",VLOOKUP($C400,'Patty Cash'!$B:$J,2,FALSE()),"")))),"")</f>
        <v/>
      </c>
      <c r="E400" s="254"/>
      <c r="F400" s="263" t="str">
        <f>IFERROR(IF($E400="Inventory",VLOOKUP($C400,Inventory!$B:$I,3,FALSE()),IF($E400="Non Inventory",VLOOKUP($C400,'Non Inventory'!$B:$I,3,FALSE()),IF($E400="Services",VLOOKUP($C400,Services!$B:$I,3,FALSE()),IF($E400="Patty Cash",VLOOKUP($C400,'Patty Cash'!$B:$J,3,FALSE()),"")))),"")</f>
        <v/>
      </c>
      <c r="G400" s="374"/>
      <c r="H400" s="374" t="str">
        <f t="shared" si="12"/>
        <v/>
      </c>
      <c r="I400" s="252">
        <f>IFERROR(IF($E400="Inventory",VLOOKUP($C400,Inventory!$B:$I,8,FALSE()),IF($E400="Non Inventory",VLOOKUP($C400,'Non Inventory'!$B:$I,8,FALSE()),IF($E400="Services",VLOOKUP($C400,Services!$B:$I,8,FALSE()),IF($E400="Patty Cash",VLOOKUP($C400,'Patty Cash'!$B:$J,8,FALSE()),0)))),0)</f>
        <v>0</v>
      </c>
      <c r="J400" s="252" t="str">
        <f t="shared" si="13"/>
        <v/>
      </c>
      <c r="K400" s="253"/>
      <c r="L400" s="253"/>
      <c r="M400" s="253"/>
      <c r="N400" s="328"/>
    </row>
    <row r="401" spans="1:14" ht="20.100000000000001" customHeight="1">
      <c r="A401" s="327" t="str">
        <f>IF(AND($B401="",$C401=""),"",MAX($A$3:A400)+1)</f>
        <v/>
      </c>
      <c r="B401" s="262"/>
      <c r="C401" s="253"/>
      <c r="D401" s="249" t="str">
        <f>IFERROR(IF($E401="Inventory",VLOOKUP($C401,Inventory!$B:$I,2,FALSE()),IF($E401="Non Inventory",VLOOKUP($C401,'Non Inventory'!$B:$I,2,FALSE()),IF($E401="Services",VLOOKUP($C401,Services!$B:$I,2,FALSE()),IF($E401="Patty Cash",VLOOKUP($C401,'Patty Cash'!$B:$J,2,FALSE()),"")))),"")</f>
        <v/>
      </c>
      <c r="E401" s="254"/>
      <c r="F401" s="263" t="str">
        <f>IFERROR(IF($E401="Inventory",VLOOKUP($C401,Inventory!$B:$I,3,FALSE()),IF($E401="Non Inventory",VLOOKUP($C401,'Non Inventory'!$B:$I,3,FALSE()),IF($E401="Services",VLOOKUP($C401,Services!$B:$I,3,FALSE()),IF($E401="Patty Cash",VLOOKUP($C401,'Patty Cash'!$B:$J,3,FALSE()),"")))),"")</f>
        <v/>
      </c>
      <c r="G401" s="374"/>
      <c r="H401" s="374" t="str">
        <f t="shared" si="12"/>
        <v/>
      </c>
      <c r="I401" s="252">
        <f>IFERROR(IF($E401="Inventory",VLOOKUP($C401,Inventory!$B:$I,8,FALSE()),IF($E401="Non Inventory",VLOOKUP($C401,'Non Inventory'!$B:$I,8,FALSE()),IF($E401="Services",VLOOKUP($C401,Services!$B:$I,8,FALSE()),IF($E401="Patty Cash",VLOOKUP($C401,'Patty Cash'!$B:$J,8,FALSE()),0)))),0)</f>
        <v>0</v>
      </c>
      <c r="J401" s="252" t="str">
        <f t="shared" si="13"/>
        <v/>
      </c>
      <c r="K401" s="253"/>
      <c r="L401" s="253"/>
      <c r="M401" s="253"/>
      <c r="N401" s="328"/>
    </row>
    <row r="402" spans="1:14" ht="20.100000000000001" customHeight="1">
      <c r="A402" s="327" t="str">
        <f>IF(AND($B402="",$C402=""),"",MAX($A$3:A401)+1)</f>
        <v/>
      </c>
      <c r="B402" s="262"/>
      <c r="C402" s="253"/>
      <c r="D402" s="249" t="str">
        <f>IFERROR(IF($E402="Inventory",VLOOKUP($C402,Inventory!$B:$I,2,FALSE()),IF($E402="Non Inventory",VLOOKUP($C402,'Non Inventory'!$B:$I,2,FALSE()),IF($E402="Services",VLOOKUP($C402,Services!$B:$I,2,FALSE()),IF($E402="Patty Cash",VLOOKUP($C402,'Patty Cash'!$B:$J,2,FALSE()),"")))),"")</f>
        <v/>
      </c>
      <c r="E402" s="254"/>
      <c r="F402" s="263" t="str">
        <f>IFERROR(IF($E402="Inventory",VLOOKUP($C402,Inventory!$B:$I,3,FALSE()),IF($E402="Non Inventory",VLOOKUP($C402,'Non Inventory'!$B:$I,3,FALSE()),IF($E402="Services",VLOOKUP($C402,Services!$B:$I,3,FALSE()),IF($E402="Patty Cash",VLOOKUP($C402,'Patty Cash'!$B:$J,3,FALSE()),"")))),"")</f>
        <v/>
      </c>
      <c r="G402" s="374"/>
      <c r="H402" s="374" t="str">
        <f t="shared" si="12"/>
        <v/>
      </c>
      <c r="I402" s="252">
        <f>IFERROR(IF($E402="Inventory",VLOOKUP($C402,Inventory!$B:$I,8,FALSE()),IF($E402="Non Inventory",VLOOKUP($C402,'Non Inventory'!$B:$I,8,FALSE()),IF($E402="Services",VLOOKUP($C402,Services!$B:$I,8,FALSE()),IF($E402="Patty Cash",VLOOKUP($C402,'Patty Cash'!$B:$J,8,FALSE()),0)))),0)</f>
        <v>0</v>
      </c>
      <c r="J402" s="252" t="str">
        <f t="shared" si="13"/>
        <v/>
      </c>
      <c r="K402" s="253"/>
      <c r="L402" s="253"/>
      <c r="M402" s="253"/>
      <c r="N402" s="328"/>
    </row>
    <row r="403" spans="1:14" ht="20.100000000000001" customHeight="1">
      <c r="A403" s="327" t="str">
        <f>IF(AND($B403="",$C403=""),"",MAX($A$3:A402)+1)</f>
        <v/>
      </c>
      <c r="B403" s="262"/>
      <c r="C403" s="253"/>
      <c r="D403" s="249" t="str">
        <f>IFERROR(IF($E403="Inventory",VLOOKUP($C403,Inventory!$B:$I,2,FALSE()),IF($E403="Non Inventory",VLOOKUP($C403,'Non Inventory'!$B:$I,2,FALSE()),IF($E403="Services",VLOOKUP($C403,Services!$B:$I,2,FALSE()),IF($E403="Patty Cash",VLOOKUP($C403,'Patty Cash'!$B:$J,2,FALSE()),"")))),"")</f>
        <v/>
      </c>
      <c r="E403" s="254"/>
      <c r="F403" s="263" t="str">
        <f>IFERROR(IF($E403="Inventory",VLOOKUP($C403,Inventory!$B:$I,3,FALSE()),IF($E403="Non Inventory",VLOOKUP($C403,'Non Inventory'!$B:$I,3,FALSE()),IF($E403="Services",VLOOKUP($C403,Services!$B:$I,3,FALSE()),IF($E403="Patty Cash",VLOOKUP($C403,'Patty Cash'!$B:$J,3,FALSE()),"")))),"")</f>
        <v/>
      </c>
      <c r="G403" s="374"/>
      <c r="H403" s="374" t="str">
        <f t="shared" si="12"/>
        <v/>
      </c>
      <c r="I403" s="252">
        <f>IFERROR(IF($E403="Inventory",VLOOKUP($C403,Inventory!$B:$I,8,FALSE()),IF($E403="Non Inventory",VLOOKUP($C403,'Non Inventory'!$B:$I,8,FALSE()),IF($E403="Services",VLOOKUP($C403,Services!$B:$I,8,FALSE()),IF($E403="Patty Cash",VLOOKUP($C403,'Patty Cash'!$B:$J,8,FALSE()),0)))),0)</f>
        <v>0</v>
      </c>
      <c r="J403" s="252" t="str">
        <f t="shared" si="13"/>
        <v/>
      </c>
      <c r="K403" s="253"/>
      <c r="L403" s="253"/>
      <c r="M403" s="253"/>
      <c r="N403" s="328"/>
    </row>
    <row r="404" spans="1:14" ht="20.100000000000001" customHeight="1">
      <c r="A404" s="327" t="str">
        <f>IF(AND($B404="",$C404=""),"",MAX($A$3:A403)+1)</f>
        <v/>
      </c>
      <c r="B404" s="262"/>
      <c r="C404" s="253"/>
      <c r="D404" s="249" t="str">
        <f>IFERROR(IF($E404="Inventory",VLOOKUP($C404,Inventory!$B:$I,2,FALSE()),IF($E404="Non Inventory",VLOOKUP($C404,'Non Inventory'!$B:$I,2,FALSE()),IF($E404="Services",VLOOKUP($C404,Services!$B:$I,2,FALSE()),IF($E404="Patty Cash",VLOOKUP($C404,'Patty Cash'!$B:$J,2,FALSE()),"")))),"")</f>
        <v/>
      </c>
      <c r="E404" s="254"/>
      <c r="F404" s="263" t="str">
        <f>IFERROR(IF($E404="Inventory",VLOOKUP($C404,Inventory!$B:$I,3,FALSE()),IF($E404="Non Inventory",VLOOKUP($C404,'Non Inventory'!$B:$I,3,FALSE()),IF($E404="Services",VLOOKUP($C404,Services!$B:$I,3,FALSE()),IF($E404="Patty Cash",VLOOKUP($C404,'Patty Cash'!$B:$J,3,FALSE()),"")))),"")</f>
        <v/>
      </c>
      <c r="G404" s="374"/>
      <c r="H404" s="374" t="str">
        <f t="shared" si="12"/>
        <v/>
      </c>
      <c r="I404" s="252">
        <f>IFERROR(IF($E404="Inventory",VLOOKUP($C404,Inventory!$B:$I,8,FALSE()),IF($E404="Non Inventory",VLOOKUP($C404,'Non Inventory'!$B:$I,8,FALSE()),IF($E404="Services",VLOOKUP($C404,Services!$B:$I,8,FALSE()),IF($E404="Patty Cash",VLOOKUP($C404,'Patty Cash'!$B:$J,8,FALSE()),0)))),0)</f>
        <v>0</v>
      </c>
      <c r="J404" s="252" t="str">
        <f t="shared" si="13"/>
        <v/>
      </c>
      <c r="K404" s="253"/>
      <c r="L404" s="253"/>
      <c r="M404" s="253"/>
      <c r="N404" s="328"/>
    </row>
    <row r="405" spans="1:14" ht="20.100000000000001" customHeight="1">
      <c r="A405" s="327" t="str">
        <f>IF(AND($B405="",$C405=""),"",MAX($A$3:A404)+1)</f>
        <v/>
      </c>
      <c r="B405" s="262"/>
      <c r="C405" s="253"/>
      <c r="D405" s="249" t="str">
        <f>IFERROR(IF($E405="Inventory",VLOOKUP($C405,Inventory!$B:$I,2,FALSE()),IF($E405="Non Inventory",VLOOKUP($C405,'Non Inventory'!$B:$I,2,FALSE()),IF($E405="Services",VLOOKUP($C405,Services!$B:$I,2,FALSE()),IF($E405="Patty Cash",VLOOKUP($C405,'Patty Cash'!$B:$J,2,FALSE()),"")))),"")</f>
        <v/>
      </c>
      <c r="E405" s="254"/>
      <c r="F405" s="263" t="str">
        <f>IFERROR(IF($E405="Inventory",VLOOKUP($C405,Inventory!$B:$I,3,FALSE()),IF($E405="Non Inventory",VLOOKUP($C405,'Non Inventory'!$B:$I,3,FALSE()),IF($E405="Services",VLOOKUP($C405,Services!$B:$I,3,FALSE()),IF($E405="Patty Cash",VLOOKUP($C405,'Patty Cash'!$B:$J,3,FALSE()),"")))),"")</f>
        <v/>
      </c>
      <c r="G405" s="374"/>
      <c r="H405" s="374" t="str">
        <f t="shared" si="12"/>
        <v/>
      </c>
      <c r="I405" s="252">
        <f>IFERROR(IF($E405="Inventory",VLOOKUP($C405,Inventory!$B:$I,8,FALSE()),IF($E405="Non Inventory",VLOOKUP($C405,'Non Inventory'!$B:$I,8,FALSE()),IF($E405="Services",VLOOKUP($C405,Services!$B:$I,8,FALSE()),IF($E405="Patty Cash",VLOOKUP($C405,'Patty Cash'!$B:$J,8,FALSE()),0)))),0)</f>
        <v>0</v>
      </c>
      <c r="J405" s="252" t="str">
        <f t="shared" si="13"/>
        <v/>
      </c>
      <c r="K405" s="253"/>
      <c r="L405" s="253"/>
      <c r="M405" s="253"/>
      <c r="N405" s="328"/>
    </row>
    <row r="406" spans="1:14" ht="20.100000000000001" customHeight="1">
      <c r="A406" s="327" t="str">
        <f>IF(AND($B406="",$C406=""),"",MAX($A$3:A405)+1)</f>
        <v/>
      </c>
      <c r="B406" s="262"/>
      <c r="C406" s="253"/>
      <c r="D406" s="249" t="str">
        <f>IFERROR(IF($E406="Inventory",VLOOKUP($C406,Inventory!$B:$I,2,FALSE()),IF($E406="Non Inventory",VLOOKUP($C406,'Non Inventory'!$B:$I,2,FALSE()),IF($E406="Services",VLOOKUP($C406,Services!$B:$I,2,FALSE()),IF($E406="Patty Cash",VLOOKUP($C406,'Patty Cash'!$B:$J,2,FALSE()),"")))),"")</f>
        <v/>
      </c>
      <c r="E406" s="254"/>
      <c r="F406" s="263" t="str">
        <f>IFERROR(IF($E406="Inventory",VLOOKUP($C406,Inventory!$B:$I,3,FALSE()),IF($E406="Non Inventory",VLOOKUP($C406,'Non Inventory'!$B:$I,3,FALSE()),IF($E406="Services",VLOOKUP($C406,Services!$B:$I,3,FALSE()),IF($E406="Patty Cash",VLOOKUP($C406,'Patty Cash'!$B:$J,3,FALSE()),"")))),"")</f>
        <v/>
      </c>
      <c r="G406" s="374"/>
      <c r="H406" s="374" t="str">
        <f t="shared" si="12"/>
        <v/>
      </c>
      <c r="I406" s="252">
        <f>IFERROR(IF($E406="Inventory",VLOOKUP($C406,Inventory!$B:$I,8,FALSE()),IF($E406="Non Inventory",VLOOKUP($C406,'Non Inventory'!$B:$I,8,FALSE()),IF($E406="Services",VLOOKUP($C406,Services!$B:$I,8,FALSE()),IF($E406="Patty Cash",VLOOKUP($C406,'Patty Cash'!$B:$J,8,FALSE()),0)))),0)</f>
        <v>0</v>
      </c>
      <c r="J406" s="252" t="str">
        <f t="shared" si="13"/>
        <v/>
      </c>
      <c r="K406" s="253"/>
      <c r="L406" s="253"/>
      <c r="M406" s="253"/>
      <c r="N406" s="328"/>
    </row>
    <row r="407" spans="1:14" ht="20.100000000000001" customHeight="1">
      <c r="A407" s="327" t="str">
        <f>IF(AND($B407="",$C407=""),"",MAX($A$3:A406)+1)</f>
        <v/>
      </c>
      <c r="B407" s="262"/>
      <c r="C407" s="253"/>
      <c r="D407" s="249" t="str">
        <f>IFERROR(IF($E407="Inventory",VLOOKUP($C407,Inventory!$B:$I,2,FALSE()),IF($E407="Non Inventory",VLOOKUP($C407,'Non Inventory'!$B:$I,2,FALSE()),IF($E407="Services",VLOOKUP($C407,Services!$B:$I,2,FALSE()),IF($E407="Patty Cash",VLOOKUP($C407,'Patty Cash'!$B:$J,2,FALSE()),"")))),"")</f>
        <v/>
      </c>
      <c r="E407" s="254"/>
      <c r="F407" s="263" t="str">
        <f>IFERROR(IF($E407="Inventory",VLOOKUP($C407,Inventory!$B:$I,3,FALSE()),IF($E407="Non Inventory",VLOOKUP($C407,'Non Inventory'!$B:$I,3,FALSE()),IF($E407="Services",VLOOKUP($C407,Services!$B:$I,3,FALSE()),IF($E407="Patty Cash",VLOOKUP($C407,'Patty Cash'!$B:$J,3,FALSE()),"")))),"")</f>
        <v/>
      </c>
      <c r="G407" s="374"/>
      <c r="H407" s="374" t="str">
        <f t="shared" si="12"/>
        <v/>
      </c>
      <c r="I407" s="252">
        <f>IFERROR(IF($E407="Inventory",VLOOKUP($C407,Inventory!$B:$I,8,FALSE()),IF($E407="Non Inventory",VLOOKUP($C407,'Non Inventory'!$B:$I,8,FALSE()),IF($E407="Services",VLOOKUP($C407,Services!$B:$I,8,FALSE()),IF($E407="Patty Cash",VLOOKUP($C407,'Patty Cash'!$B:$J,8,FALSE()),0)))),0)</f>
        <v>0</v>
      </c>
      <c r="J407" s="252" t="str">
        <f t="shared" si="13"/>
        <v/>
      </c>
      <c r="K407" s="253"/>
      <c r="L407" s="253"/>
      <c r="M407" s="253"/>
      <c r="N407" s="328"/>
    </row>
    <row r="408" spans="1:14" ht="20.100000000000001" customHeight="1">
      <c r="A408" s="327" t="str">
        <f>IF(AND($B408="",$C408=""),"",MAX($A$3:A407)+1)</f>
        <v/>
      </c>
      <c r="B408" s="262"/>
      <c r="C408" s="253"/>
      <c r="D408" s="249" t="str">
        <f>IFERROR(IF($E408="Inventory",VLOOKUP($C408,Inventory!$B:$I,2,FALSE()),IF($E408="Non Inventory",VLOOKUP($C408,'Non Inventory'!$B:$I,2,FALSE()),IF($E408="Services",VLOOKUP($C408,Services!$B:$I,2,FALSE()),IF($E408="Patty Cash",VLOOKUP($C408,'Patty Cash'!$B:$J,2,FALSE()),"")))),"")</f>
        <v/>
      </c>
      <c r="E408" s="254"/>
      <c r="F408" s="263" t="str">
        <f>IFERROR(IF($E408="Inventory",VLOOKUP($C408,Inventory!$B:$I,3,FALSE()),IF($E408="Non Inventory",VLOOKUP($C408,'Non Inventory'!$B:$I,3,FALSE()),IF($E408="Services",VLOOKUP($C408,Services!$B:$I,3,FALSE()),IF($E408="Patty Cash",VLOOKUP($C408,'Patty Cash'!$B:$J,3,FALSE()),"")))),"")</f>
        <v/>
      </c>
      <c r="G408" s="374"/>
      <c r="H408" s="374" t="str">
        <f t="shared" si="12"/>
        <v/>
      </c>
      <c r="I408" s="252">
        <f>IFERROR(IF($E408="Inventory",VLOOKUP($C408,Inventory!$B:$I,8,FALSE()),IF($E408="Non Inventory",VLOOKUP($C408,'Non Inventory'!$B:$I,8,FALSE()),IF($E408="Services",VLOOKUP($C408,Services!$B:$I,8,FALSE()),IF($E408="Patty Cash",VLOOKUP($C408,'Patty Cash'!$B:$J,8,FALSE()),0)))),0)</f>
        <v>0</v>
      </c>
      <c r="J408" s="252" t="str">
        <f t="shared" si="13"/>
        <v/>
      </c>
      <c r="K408" s="253"/>
      <c r="L408" s="253"/>
      <c r="M408" s="253"/>
      <c r="N408" s="328"/>
    </row>
    <row r="409" spans="1:14" ht="20.100000000000001" customHeight="1">
      <c r="A409" s="327" t="str">
        <f>IF(AND($B409="",$C409=""),"",MAX($A$3:A408)+1)</f>
        <v/>
      </c>
      <c r="B409" s="262"/>
      <c r="C409" s="253"/>
      <c r="D409" s="249" t="str">
        <f>IFERROR(IF($E409="Inventory",VLOOKUP($C409,Inventory!$B:$I,2,FALSE()),IF($E409="Non Inventory",VLOOKUP($C409,'Non Inventory'!$B:$I,2,FALSE()),IF($E409="Services",VLOOKUP($C409,Services!$B:$I,2,FALSE()),IF($E409="Patty Cash",VLOOKUP($C409,'Patty Cash'!$B:$J,2,FALSE()),"")))),"")</f>
        <v/>
      </c>
      <c r="E409" s="254"/>
      <c r="F409" s="263" t="str">
        <f>IFERROR(IF($E409="Inventory",VLOOKUP($C409,Inventory!$B:$I,3,FALSE()),IF($E409="Non Inventory",VLOOKUP($C409,'Non Inventory'!$B:$I,3,FALSE()),IF($E409="Services",VLOOKUP($C409,Services!$B:$I,3,FALSE()),IF($E409="Patty Cash",VLOOKUP($C409,'Patty Cash'!$B:$J,3,FALSE()),"")))),"")</f>
        <v/>
      </c>
      <c r="G409" s="374"/>
      <c r="H409" s="374" t="str">
        <f t="shared" si="12"/>
        <v/>
      </c>
      <c r="I409" s="252">
        <f>IFERROR(IF($E409="Inventory",VLOOKUP($C409,Inventory!$B:$I,8,FALSE()),IF($E409="Non Inventory",VLOOKUP($C409,'Non Inventory'!$B:$I,8,FALSE()),IF($E409="Services",VLOOKUP($C409,Services!$B:$I,8,FALSE()),IF($E409="Patty Cash",VLOOKUP($C409,'Patty Cash'!$B:$J,8,FALSE()),0)))),0)</f>
        <v>0</v>
      </c>
      <c r="J409" s="252" t="str">
        <f t="shared" si="13"/>
        <v/>
      </c>
      <c r="K409" s="253"/>
      <c r="L409" s="253"/>
      <c r="M409" s="253"/>
      <c r="N409" s="328"/>
    </row>
    <row r="410" spans="1:14" ht="20.100000000000001" customHeight="1">
      <c r="A410" s="327" t="str">
        <f>IF(AND($B410="",$C410=""),"",MAX($A$3:A409)+1)</f>
        <v/>
      </c>
      <c r="B410" s="262"/>
      <c r="C410" s="253"/>
      <c r="D410" s="249" t="str">
        <f>IFERROR(IF($E410="Inventory",VLOOKUP($C410,Inventory!$B:$I,2,FALSE()),IF($E410="Non Inventory",VLOOKUP($C410,'Non Inventory'!$B:$I,2,FALSE()),IF($E410="Services",VLOOKUP($C410,Services!$B:$I,2,FALSE()),IF($E410="Patty Cash",VLOOKUP($C410,'Patty Cash'!$B:$J,2,FALSE()),"")))),"")</f>
        <v/>
      </c>
      <c r="E410" s="254"/>
      <c r="F410" s="263" t="str">
        <f>IFERROR(IF($E410="Inventory",VLOOKUP($C410,Inventory!$B:$I,3,FALSE()),IF($E410="Non Inventory",VLOOKUP($C410,'Non Inventory'!$B:$I,3,FALSE()),IF($E410="Services",VLOOKUP($C410,Services!$B:$I,3,FALSE()),IF($E410="Patty Cash",VLOOKUP($C410,'Patty Cash'!$B:$J,3,FALSE()),"")))),"")</f>
        <v/>
      </c>
      <c r="G410" s="374"/>
      <c r="H410" s="374" t="str">
        <f t="shared" si="12"/>
        <v/>
      </c>
      <c r="I410" s="252">
        <f>IFERROR(IF($E410="Inventory",VLOOKUP($C410,Inventory!$B:$I,8,FALSE()),IF($E410="Non Inventory",VLOOKUP($C410,'Non Inventory'!$B:$I,8,FALSE()),IF($E410="Services",VLOOKUP($C410,Services!$B:$I,8,FALSE()),IF($E410="Patty Cash",VLOOKUP($C410,'Patty Cash'!$B:$J,8,FALSE()),0)))),0)</f>
        <v>0</v>
      </c>
      <c r="J410" s="252" t="str">
        <f t="shared" si="13"/>
        <v/>
      </c>
      <c r="K410" s="253"/>
      <c r="L410" s="253"/>
      <c r="M410" s="253"/>
      <c r="N410" s="328"/>
    </row>
    <row r="411" spans="1:14" ht="20.100000000000001" customHeight="1">
      <c r="A411" s="327" t="str">
        <f>IF(AND($B411="",$C411=""),"",MAX($A$3:A410)+1)</f>
        <v/>
      </c>
      <c r="B411" s="262"/>
      <c r="C411" s="253"/>
      <c r="D411" s="249" t="str">
        <f>IFERROR(IF($E411="Inventory",VLOOKUP($C411,Inventory!$B:$I,2,FALSE()),IF($E411="Non Inventory",VLOOKUP($C411,'Non Inventory'!$B:$I,2,FALSE()),IF($E411="Services",VLOOKUP($C411,Services!$B:$I,2,FALSE()),IF($E411="Patty Cash",VLOOKUP($C411,'Patty Cash'!$B:$J,2,FALSE()),"")))),"")</f>
        <v/>
      </c>
      <c r="E411" s="254"/>
      <c r="F411" s="263" t="str">
        <f>IFERROR(IF($E411="Inventory",VLOOKUP($C411,Inventory!$B:$I,3,FALSE()),IF($E411="Non Inventory",VLOOKUP($C411,'Non Inventory'!$B:$I,3,FALSE()),IF($E411="Services",VLOOKUP($C411,Services!$B:$I,3,FALSE()),IF($E411="Patty Cash",VLOOKUP($C411,'Patty Cash'!$B:$J,3,FALSE()),"")))),"")</f>
        <v/>
      </c>
      <c r="G411" s="374"/>
      <c r="H411" s="374" t="str">
        <f t="shared" si="12"/>
        <v/>
      </c>
      <c r="I411" s="252">
        <f>IFERROR(IF($E411="Inventory",VLOOKUP($C411,Inventory!$B:$I,8,FALSE()),IF($E411="Non Inventory",VLOOKUP($C411,'Non Inventory'!$B:$I,8,FALSE()),IF($E411="Services",VLOOKUP($C411,Services!$B:$I,8,FALSE()),IF($E411="Patty Cash",VLOOKUP($C411,'Patty Cash'!$B:$J,8,FALSE()),0)))),0)</f>
        <v>0</v>
      </c>
      <c r="J411" s="252" t="str">
        <f t="shared" si="13"/>
        <v/>
      </c>
      <c r="K411" s="253"/>
      <c r="L411" s="253"/>
      <c r="M411" s="253"/>
      <c r="N411" s="328"/>
    </row>
    <row r="412" spans="1:14" ht="20.100000000000001" customHeight="1">
      <c r="A412" s="327" t="str">
        <f>IF(AND($B412="",$C412=""),"",MAX($A$3:A411)+1)</f>
        <v/>
      </c>
      <c r="B412" s="262"/>
      <c r="C412" s="253"/>
      <c r="D412" s="249" t="str">
        <f>IFERROR(IF($E412="Inventory",VLOOKUP($C412,Inventory!$B:$I,2,FALSE()),IF($E412="Non Inventory",VLOOKUP($C412,'Non Inventory'!$B:$I,2,FALSE()),IF($E412="Services",VLOOKUP($C412,Services!$B:$I,2,FALSE()),IF($E412="Patty Cash",VLOOKUP($C412,'Patty Cash'!$B:$J,2,FALSE()),"")))),"")</f>
        <v/>
      </c>
      <c r="E412" s="254"/>
      <c r="F412" s="263" t="str">
        <f>IFERROR(IF($E412="Inventory",VLOOKUP($C412,Inventory!$B:$I,3,FALSE()),IF($E412="Non Inventory",VLOOKUP($C412,'Non Inventory'!$B:$I,3,FALSE()),IF($E412="Services",VLOOKUP($C412,Services!$B:$I,3,FALSE()),IF($E412="Patty Cash",VLOOKUP($C412,'Patty Cash'!$B:$J,3,FALSE()),"")))),"")</f>
        <v/>
      </c>
      <c r="G412" s="374"/>
      <c r="H412" s="374" t="str">
        <f t="shared" si="12"/>
        <v/>
      </c>
      <c r="I412" s="252">
        <f>IFERROR(IF($E412="Inventory",VLOOKUP($C412,Inventory!$B:$I,8,FALSE()),IF($E412="Non Inventory",VLOOKUP($C412,'Non Inventory'!$B:$I,8,FALSE()),IF($E412="Services",VLOOKUP($C412,Services!$B:$I,8,FALSE()),IF($E412="Patty Cash",VLOOKUP($C412,'Patty Cash'!$B:$J,8,FALSE()),0)))),0)</f>
        <v>0</v>
      </c>
      <c r="J412" s="252" t="str">
        <f t="shared" si="13"/>
        <v/>
      </c>
      <c r="K412" s="253"/>
      <c r="L412" s="253"/>
      <c r="M412" s="253"/>
      <c r="N412" s="328"/>
    </row>
    <row r="413" spans="1:14" ht="20.100000000000001" customHeight="1">
      <c r="A413" s="327" t="str">
        <f>IF(AND($B413="",$C413=""),"",MAX($A$3:A412)+1)</f>
        <v/>
      </c>
      <c r="B413" s="262"/>
      <c r="C413" s="253"/>
      <c r="D413" s="249" t="str">
        <f>IFERROR(IF($E413="Inventory",VLOOKUP($C413,Inventory!$B:$I,2,FALSE()),IF($E413="Non Inventory",VLOOKUP($C413,'Non Inventory'!$B:$I,2,FALSE()),IF($E413="Services",VLOOKUP($C413,Services!$B:$I,2,FALSE()),IF($E413="Patty Cash",VLOOKUP($C413,'Patty Cash'!$B:$J,2,FALSE()),"")))),"")</f>
        <v/>
      </c>
      <c r="E413" s="254"/>
      <c r="F413" s="263" t="str">
        <f>IFERROR(IF($E413="Inventory",VLOOKUP($C413,Inventory!$B:$I,3,FALSE()),IF($E413="Non Inventory",VLOOKUP($C413,'Non Inventory'!$B:$I,3,FALSE()),IF($E413="Services",VLOOKUP($C413,Services!$B:$I,3,FALSE()),IF($E413="Patty Cash",VLOOKUP($C413,'Patty Cash'!$B:$J,3,FALSE()),"")))),"")</f>
        <v/>
      </c>
      <c r="G413" s="374"/>
      <c r="H413" s="374" t="str">
        <f t="shared" si="12"/>
        <v/>
      </c>
      <c r="I413" s="252">
        <f>IFERROR(IF($E413="Inventory",VLOOKUP($C413,Inventory!$B:$I,8,FALSE()),IF($E413="Non Inventory",VLOOKUP($C413,'Non Inventory'!$B:$I,8,FALSE()),IF($E413="Services",VLOOKUP($C413,Services!$B:$I,8,FALSE()),IF($E413="Patty Cash",VLOOKUP($C413,'Patty Cash'!$B:$J,8,FALSE()),0)))),0)</f>
        <v>0</v>
      </c>
      <c r="J413" s="252" t="str">
        <f t="shared" si="13"/>
        <v/>
      </c>
      <c r="K413" s="253"/>
      <c r="L413" s="253"/>
      <c r="M413" s="253"/>
      <c r="N413" s="328"/>
    </row>
    <row r="414" spans="1:14" ht="20.100000000000001" customHeight="1">
      <c r="A414" s="327" t="str">
        <f>IF(AND($B414="",$C414=""),"",MAX($A$3:A413)+1)</f>
        <v/>
      </c>
      <c r="B414" s="262"/>
      <c r="C414" s="253"/>
      <c r="D414" s="249" t="str">
        <f>IFERROR(IF($E414="Inventory",VLOOKUP($C414,Inventory!$B:$I,2,FALSE()),IF($E414="Non Inventory",VLOOKUP($C414,'Non Inventory'!$B:$I,2,FALSE()),IF($E414="Services",VLOOKUP($C414,Services!$B:$I,2,FALSE()),IF($E414="Patty Cash",VLOOKUP($C414,'Patty Cash'!$B:$J,2,FALSE()),"")))),"")</f>
        <v/>
      </c>
      <c r="E414" s="254"/>
      <c r="F414" s="263" t="str">
        <f>IFERROR(IF($E414="Inventory",VLOOKUP($C414,Inventory!$B:$I,3,FALSE()),IF($E414="Non Inventory",VLOOKUP($C414,'Non Inventory'!$B:$I,3,FALSE()),IF($E414="Services",VLOOKUP($C414,Services!$B:$I,3,FALSE()),IF($E414="Patty Cash",VLOOKUP($C414,'Patty Cash'!$B:$J,3,FALSE()),"")))),"")</f>
        <v/>
      </c>
      <c r="G414" s="374"/>
      <c r="H414" s="374" t="str">
        <f t="shared" si="12"/>
        <v/>
      </c>
      <c r="I414" s="252">
        <f>IFERROR(IF($E414="Inventory",VLOOKUP($C414,Inventory!$B:$I,8,FALSE()),IF($E414="Non Inventory",VLOOKUP($C414,'Non Inventory'!$B:$I,8,FALSE()),IF($E414="Services",VLOOKUP($C414,Services!$B:$I,8,FALSE()),IF($E414="Patty Cash",VLOOKUP($C414,'Patty Cash'!$B:$J,8,FALSE()),0)))),0)</f>
        <v>0</v>
      </c>
      <c r="J414" s="252" t="str">
        <f t="shared" si="13"/>
        <v/>
      </c>
      <c r="K414" s="253"/>
      <c r="L414" s="253"/>
      <c r="M414" s="253"/>
      <c r="N414" s="328"/>
    </row>
    <row r="415" spans="1:14" ht="20.100000000000001" customHeight="1">
      <c r="A415" s="327" t="str">
        <f>IF(AND($B415="",$C415=""),"",MAX($A$3:A414)+1)</f>
        <v/>
      </c>
      <c r="B415" s="262"/>
      <c r="C415" s="253"/>
      <c r="D415" s="249" t="str">
        <f>IFERROR(IF($E415="Inventory",VLOOKUP($C415,Inventory!$B:$I,2,FALSE()),IF($E415="Non Inventory",VLOOKUP($C415,'Non Inventory'!$B:$I,2,FALSE()),IF($E415="Services",VLOOKUP($C415,Services!$B:$I,2,FALSE()),IF($E415="Patty Cash",VLOOKUP($C415,'Patty Cash'!$B:$J,2,FALSE()),"")))),"")</f>
        <v/>
      </c>
      <c r="E415" s="254"/>
      <c r="F415" s="263" t="str">
        <f>IFERROR(IF($E415="Inventory",VLOOKUP($C415,Inventory!$B:$I,3,FALSE()),IF($E415="Non Inventory",VLOOKUP($C415,'Non Inventory'!$B:$I,3,FALSE()),IF($E415="Services",VLOOKUP($C415,Services!$B:$I,3,FALSE()),IF($E415="Patty Cash",VLOOKUP($C415,'Patty Cash'!$B:$J,3,FALSE()),"")))),"")</f>
        <v/>
      </c>
      <c r="G415" s="374"/>
      <c r="H415" s="374" t="str">
        <f t="shared" si="12"/>
        <v/>
      </c>
      <c r="I415" s="252">
        <f>IFERROR(IF($E415="Inventory",VLOOKUP($C415,Inventory!$B:$I,8,FALSE()),IF($E415="Non Inventory",VLOOKUP($C415,'Non Inventory'!$B:$I,8,FALSE()),IF($E415="Services",VLOOKUP($C415,Services!$B:$I,8,FALSE()),IF($E415="Patty Cash",VLOOKUP($C415,'Patty Cash'!$B:$J,8,FALSE()),0)))),0)</f>
        <v>0</v>
      </c>
      <c r="J415" s="252" t="str">
        <f t="shared" si="13"/>
        <v/>
      </c>
      <c r="K415" s="253"/>
      <c r="L415" s="253"/>
      <c r="M415" s="253"/>
      <c r="N415" s="328"/>
    </row>
    <row r="416" spans="1:14" ht="20.100000000000001" customHeight="1">
      <c r="A416" s="327" t="str">
        <f>IF(AND($B416="",$C416=""),"",MAX($A$3:A415)+1)</f>
        <v/>
      </c>
      <c r="B416" s="262"/>
      <c r="C416" s="253"/>
      <c r="D416" s="249" t="str">
        <f>IFERROR(IF($E416="Inventory",VLOOKUP($C416,Inventory!$B:$I,2,FALSE()),IF($E416="Non Inventory",VLOOKUP($C416,'Non Inventory'!$B:$I,2,FALSE()),IF($E416="Services",VLOOKUP($C416,Services!$B:$I,2,FALSE()),IF($E416="Patty Cash",VLOOKUP($C416,'Patty Cash'!$B:$J,2,FALSE()),"")))),"")</f>
        <v/>
      </c>
      <c r="E416" s="254"/>
      <c r="F416" s="263" t="str">
        <f>IFERROR(IF($E416="Inventory",VLOOKUP($C416,Inventory!$B:$I,3,FALSE()),IF($E416="Non Inventory",VLOOKUP($C416,'Non Inventory'!$B:$I,3,FALSE()),IF($E416="Services",VLOOKUP($C416,Services!$B:$I,3,FALSE()),IF($E416="Patty Cash",VLOOKUP($C416,'Patty Cash'!$B:$J,3,FALSE()),"")))),"")</f>
        <v/>
      </c>
      <c r="G416" s="374"/>
      <c r="H416" s="374" t="str">
        <f t="shared" si="12"/>
        <v/>
      </c>
      <c r="I416" s="252">
        <f>IFERROR(IF($E416="Inventory",VLOOKUP($C416,Inventory!$B:$I,8,FALSE()),IF($E416="Non Inventory",VLOOKUP($C416,'Non Inventory'!$B:$I,8,FALSE()),IF($E416="Services",VLOOKUP($C416,Services!$B:$I,8,FALSE()),IF($E416="Patty Cash",VLOOKUP($C416,'Patty Cash'!$B:$J,8,FALSE()),0)))),0)</f>
        <v>0</v>
      </c>
      <c r="J416" s="252" t="str">
        <f t="shared" si="13"/>
        <v/>
      </c>
      <c r="K416" s="253"/>
      <c r="L416" s="253"/>
      <c r="M416" s="253"/>
      <c r="N416" s="328"/>
    </row>
    <row r="417" spans="1:14" ht="20.100000000000001" customHeight="1">
      <c r="A417" s="327" t="str">
        <f>IF(AND($B417="",$C417=""),"",MAX($A$3:A416)+1)</f>
        <v/>
      </c>
      <c r="B417" s="262"/>
      <c r="C417" s="253"/>
      <c r="D417" s="249" t="str">
        <f>IFERROR(IF($E417="Inventory",VLOOKUP($C417,Inventory!$B:$I,2,FALSE()),IF($E417="Non Inventory",VLOOKUP($C417,'Non Inventory'!$B:$I,2,FALSE()),IF($E417="Services",VLOOKUP($C417,Services!$B:$I,2,FALSE()),IF($E417="Patty Cash",VLOOKUP($C417,'Patty Cash'!$B:$J,2,FALSE()),"")))),"")</f>
        <v/>
      </c>
      <c r="E417" s="254"/>
      <c r="F417" s="263" t="str">
        <f>IFERROR(IF($E417="Inventory",VLOOKUP($C417,Inventory!$B:$I,3,FALSE()),IF($E417="Non Inventory",VLOOKUP($C417,'Non Inventory'!$B:$I,3,FALSE()),IF($E417="Services",VLOOKUP($C417,Services!$B:$I,3,FALSE()),IF($E417="Patty Cash",VLOOKUP($C417,'Patty Cash'!$B:$J,3,FALSE()),"")))),"")</f>
        <v/>
      </c>
      <c r="G417" s="374"/>
      <c r="H417" s="374" t="str">
        <f t="shared" si="12"/>
        <v/>
      </c>
      <c r="I417" s="252">
        <f>IFERROR(IF($E417="Inventory",VLOOKUP($C417,Inventory!$B:$I,8,FALSE()),IF($E417="Non Inventory",VLOOKUP($C417,'Non Inventory'!$B:$I,8,FALSE()),IF($E417="Services",VLOOKUP($C417,Services!$B:$I,8,FALSE()),IF($E417="Patty Cash",VLOOKUP($C417,'Patty Cash'!$B:$J,8,FALSE()),0)))),0)</f>
        <v>0</v>
      </c>
      <c r="J417" s="252" t="str">
        <f t="shared" si="13"/>
        <v/>
      </c>
      <c r="K417" s="253"/>
      <c r="L417" s="253"/>
      <c r="M417" s="253"/>
      <c r="N417" s="328"/>
    </row>
    <row r="418" spans="1:14" ht="20.100000000000001" customHeight="1">
      <c r="A418" s="327" t="str">
        <f>IF(AND($B418="",$C418=""),"",MAX($A$3:A417)+1)</f>
        <v/>
      </c>
      <c r="B418" s="262"/>
      <c r="C418" s="253"/>
      <c r="D418" s="249" t="str">
        <f>IFERROR(IF($E418="Inventory",VLOOKUP($C418,Inventory!$B:$I,2,FALSE()),IF($E418="Non Inventory",VLOOKUP($C418,'Non Inventory'!$B:$I,2,FALSE()),IF($E418="Services",VLOOKUP($C418,Services!$B:$I,2,FALSE()),IF($E418="Patty Cash",VLOOKUP($C418,'Patty Cash'!$B:$J,2,FALSE()),"")))),"")</f>
        <v/>
      </c>
      <c r="E418" s="254"/>
      <c r="F418" s="263" t="str">
        <f>IFERROR(IF($E418="Inventory",VLOOKUP($C418,Inventory!$B:$I,3,FALSE()),IF($E418="Non Inventory",VLOOKUP($C418,'Non Inventory'!$B:$I,3,FALSE()),IF($E418="Services",VLOOKUP($C418,Services!$B:$I,3,FALSE()),IF($E418="Patty Cash",VLOOKUP($C418,'Patty Cash'!$B:$J,3,FALSE()),"")))),"")</f>
        <v/>
      </c>
      <c r="G418" s="374"/>
      <c r="H418" s="374" t="str">
        <f t="shared" si="12"/>
        <v/>
      </c>
      <c r="I418" s="252">
        <f>IFERROR(IF($E418="Inventory",VLOOKUP($C418,Inventory!$B:$I,8,FALSE()),IF($E418="Non Inventory",VLOOKUP($C418,'Non Inventory'!$B:$I,8,FALSE()),IF($E418="Services",VLOOKUP($C418,Services!$B:$I,8,FALSE()),IF($E418="Patty Cash",VLOOKUP($C418,'Patty Cash'!$B:$J,8,FALSE()),0)))),0)</f>
        <v>0</v>
      </c>
      <c r="J418" s="252" t="str">
        <f t="shared" si="13"/>
        <v/>
      </c>
      <c r="K418" s="253"/>
      <c r="L418" s="253"/>
      <c r="M418" s="253"/>
      <c r="N418" s="328"/>
    </row>
    <row r="419" spans="1:14" ht="20.100000000000001" customHeight="1">
      <c r="A419" s="327" t="str">
        <f>IF(AND($B419="",$C419=""),"",MAX($A$3:A418)+1)</f>
        <v/>
      </c>
      <c r="B419" s="262"/>
      <c r="C419" s="253"/>
      <c r="D419" s="249" t="str">
        <f>IFERROR(IF($E419="Inventory",VLOOKUP($C419,Inventory!$B:$I,2,FALSE()),IF($E419="Non Inventory",VLOOKUP($C419,'Non Inventory'!$B:$I,2,FALSE()),IF($E419="Services",VLOOKUP($C419,Services!$B:$I,2,FALSE()),IF($E419="Patty Cash",VLOOKUP($C419,'Patty Cash'!$B:$J,2,FALSE()),"")))),"")</f>
        <v/>
      </c>
      <c r="E419" s="254"/>
      <c r="F419" s="263" t="str">
        <f>IFERROR(IF($E419="Inventory",VLOOKUP($C419,Inventory!$B:$I,3,FALSE()),IF($E419="Non Inventory",VLOOKUP($C419,'Non Inventory'!$B:$I,3,FALSE()),IF($E419="Services",VLOOKUP($C419,Services!$B:$I,3,FALSE()),IF($E419="Patty Cash",VLOOKUP($C419,'Patty Cash'!$B:$J,3,FALSE()),"")))),"")</f>
        <v/>
      </c>
      <c r="G419" s="374"/>
      <c r="H419" s="374" t="str">
        <f t="shared" si="12"/>
        <v/>
      </c>
      <c r="I419" s="252">
        <f>IFERROR(IF($E419="Inventory",VLOOKUP($C419,Inventory!$B:$I,8,FALSE()),IF($E419="Non Inventory",VLOOKUP($C419,'Non Inventory'!$B:$I,8,FALSE()),IF($E419="Services",VLOOKUP($C419,Services!$B:$I,8,FALSE()),IF($E419="Patty Cash",VLOOKUP($C419,'Patty Cash'!$B:$J,8,FALSE()),0)))),0)</f>
        <v>0</v>
      </c>
      <c r="J419" s="252" t="str">
        <f t="shared" si="13"/>
        <v/>
      </c>
      <c r="K419" s="253"/>
      <c r="L419" s="253"/>
      <c r="M419" s="253"/>
      <c r="N419" s="328"/>
    </row>
    <row r="420" spans="1:14" ht="20.100000000000001" customHeight="1">
      <c r="A420" s="327" t="str">
        <f>IF(AND($B420="",$C420=""),"",MAX($A$3:A419)+1)</f>
        <v/>
      </c>
      <c r="B420" s="262"/>
      <c r="C420" s="253"/>
      <c r="D420" s="249" t="str">
        <f>IFERROR(IF($E420="Inventory",VLOOKUP($C420,Inventory!$B:$I,2,FALSE()),IF($E420="Non Inventory",VLOOKUP($C420,'Non Inventory'!$B:$I,2,FALSE()),IF($E420="Services",VLOOKUP($C420,Services!$B:$I,2,FALSE()),IF($E420="Patty Cash",VLOOKUP($C420,'Patty Cash'!$B:$J,2,FALSE()),"")))),"")</f>
        <v/>
      </c>
      <c r="E420" s="254"/>
      <c r="F420" s="263" t="str">
        <f>IFERROR(IF($E420="Inventory",VLOOKUP($C420,Inventory!$B:$I,3,FALSE()),IF($E420="Non Inventory",VLOOKUP($C420,'Non Inventory'!$B:$I,3,FALSE()),IF($E420="Services",VLOOKUP($C420,Services!$B:$I,3,FALSE()),IF($E420="Patty Cash",VLOOKUP($C420,'Patty Cash'!$B:$J,3,FALSE()),"")))),"")</f>
        <v/>
      </c>
      <c r="G420" s="374"/>
      <c r="H420" s="374" t="str">
        <f t="shared" si="12"/>
        <v/>
      </c>
      <c r="I420" s="252">
        <f>IFERROR(IF($E420="Inventory",VLOOKUP($C420,Inventory!$B:$I,8,FALSE()),IF($E420="Non Inventory",VLOOKUP($C420,'Non Inventory'!$B:$I,8,FALSE()),IF($E420="Services",VLOOKUP($C420,Services!$B:$I,8,FALSE()),IF($E420="Patty Cash",VLOOKUP($C420,'Patty Cash'!$B:$J,8,FALSE()),0)))),0)</f>
        <v>0</v>
      </c>
      <c r="J420" s="252" t="str">
        <f t="shared" si="13"/>
        <v/>
      </c>
      <c r="K420" s="253"/>
      <c r="L420" s="253"/>
      <c r="M420" s="253"/>
      <c r="N420" s="328"/>
    </row>
    <row r="421" spans="1:14" ht="20.100000000000001" customHeight="1">
      <c r="A421" s="327" t="str">
        <f>IF(AND($B421="",$C421=""),"",MAX($A$3:A420)+1)</f>
        <v/>
      </c>
      <c r="B421" s="262"/>
      <c r="C421" s="253"/>
      <c r="D421" s="249" t="str">
        <f>IFERROR(IF($E421="Inventory",VLOOKUP($C421,Inventory!$B:$I,2,FALSE()),IF($E421="Non Inventory",VLOOKUP($C421,'Non Inventory'!$B:$I,2,FALSE()),IF($E421="Services",VLOOKUP($C421,Services!$B:$I,2,FALSE()),IF($E421="Patty Cash",VLOOKUP($C421,'Patty Cash'!$B:$J,2,FALSE()),"")))),"")</f>
        <v/>
      </c>
      <c r="E421" s="254"/>
      <c r="F421" s="263" t="str">
        <f>IFERROR(IF($E421="Inventory",VLOOKUP($C421,Inventory!$B:$I,3,FALSE()),IF($E421="Non Inventory",VLOOKUP($C421,'Non Inventory'!$B:$I,3,FALSE()),IF($E421="Services",VLOOKUP($C421,Services!$B:$I,3,FALSE()),IF($E421="Patty Cash",VLOOKUP($C421,'Patty Cash'!$B:$J,3,FALSE()),"")))),"")</f>
        <v/>
      </c>
      <c r="G421" s="374"/>
      <c r="H421" s="374" t="str">
        <f t="shared" si="12"/>
        <v/>
      </c>
      <c r="I421" s="252">
        <f>IFERROR(IF($E421="Inventory",VLOOKUP($C421,Inventory!$B:$I,8,FALSE()),IF($E421="Non Inventory",VLOOKUP($C421,'Non Inventory'!$B:$I,8,FALSE()),IF($E421="Services",VLOOKUP($C421,Services!$B:$I,8,FALSE()),IF($E421="Patty Cash",VLOOKUP($C421,'Patty Cash'!$B:$J,8,FALSE()),0)))),0)</f>
        <v>0</v>
      </c>
      <c r="J421" s="252" t="str">
        <f t="shared" si="13"/>
        <v/>
      </c>
      <c r="K421" s="253"/>
      <c r="L421" s="253"/>
      <c r="M421" s="253"/>
      <c r="N421" s="328"/>
    </row>
    <row r="422" spans="1:14" ht="20.100000000000001" customHeight="1">
      <c r="A422" s="327" t="str">
        <f>IF(AND($B422="",$C422=""),"",MAX($A$3:A421)+1)</f>
        <v/>
      </c>
      <c r="B422" s="262"/>
      <c r="C422" s="253"/>
      <c r="D422" s="249" t="str">
        <f>IFERROR(IF($E422="Inventory",VLOOKUP($C422,Inventory!$B:$I,2,FALSE()),IF($E422="Non Inventory",VLOOKUP($C422,'Non Inventory'!$B:$I,2,FALSE()),IF($E422="Services",VLOOKUP($C422,Services!$B:$I,2,FALSE()),IF($E422="Patty Cash",VLOOKUP($C422,'Patty Cash'!$B:$J,2,FALSE()),"")))),"")</f>
        <v/>
      </c>
      <c r="E422" s="254"/>
      <c r="F422" s="263" t="str">
        <f>IFERROR(IF($E422="Inventory",VLOOKUP($C422,Inventory!$B:$I,3,FALSE()),IF($E422="Non Inventory",VLOOKUP($C422,'Non Inventory'!$B:$I,3,FALSE()),IF($E422="Services",VLOOKUP($C422,Services!$B:$I,3,FALSE()),IF($E422="Patty Cash",VLOOKUP($C422,'Patty Cash'!$B:$J,3,FALSE()),"")))),"")</f>
        <v/>
      </c>
      <c r="G422" s="374"/>
      <c r="H422" s="374" t="str">
        <f t="shared" si="12"/>
        <v/>
      </c>
      <c r="I422" s="252">
        <f>IFERROR(IF($E422="Inventory",VLOOKUP($C422,Inventory!$B:$I,8,FALSE()),IF($E422="Non Inventory",VLOOKUP($C422,'Non Inventory'!$B:$I,8,FALSE()),IF($E422="Services",VLOOKUP($C422,Services!$B:$I,8,FALSE()),IF($E422="Patty Cash",VLOOKUP($C422,'Patty Cash'!$B:$J,8,FALSE()),0)))),0)</f>
        <v>0</v>
      </c>
      <c r="J422" s="252" t="str">
        <f t="shared" si="13"/>
        <v/>
      </c>
      <c r="K422" s="253"/>
      <c r="L422" s="253"/>
      <c r="M422" s="253"/>
      <c r="N422" s="328"/>
    </row>
    <row r="423" spans="1:14" ht="20.100000000000001" customHeight="1">
      <c r="A423" s="327" t="str">
        <f>IF(AND($B423="",$C423=""),"",MAX($A$3:A422)+1)</f>
        <v/>
      </c>
      <c r="B423" s="262"/>
      <c r="C423" s="253"/>
      <c r="D423" s="249" t="str">
        <f>IFERROR(IF($E423="Inventory",VLOOKUP($C423,Inventory!$B:$I,2,FALSE()),IF($E423="Non Inventory",VLOOKUP($C423,'Non Inventory'!$B:$I,2,FALSE()),IF($E423="Services",VLOOKUP($C423,Services!$B:$I,2,FALSE()),IF($E423="Patty Cash",VLOOKUP($C423,'Patty Cash'!$B:$J,2,FALSE()),"")))),"")</f>
        <v/>
      </c>
      <c r="E423" s="254"/>
      <c r="F423" s="263" t="str">
        <f>IFERROR(IF($E423="Inventory",VLOOKUP($C423,Inventory!$B:$I,3,FALSE()),IF($E423="Non Inventory",VLOOKUP($C423,'Non Inventory'!$B:$I,3,FALSE()),IF($E423="Services",VLOOKUP($C423,Services!$B:$I,3,FALSE()),IF($E423="Patty Cash",VLOOKUP($C423,'Patty Cash'!$B:$J,3,FALSE()),"")))),"")</f>
        <v/>
      </c>
      <c r="G423" s="374"/>
      <c r="H423" s="374" t="str">
        <f t="shared" si="12"/>
        <v/>
      </c>
      <c r="I423" s="252">
        <f>IFERROR(IF($E423="Inventory",VLOOKUP($C423,Inventory!$B:$I,8,FALSE()),IF($E423="Non Inventory",VLOOKUP($C423,'Non Inventory'!$B:$I,8,FALSE()),IF($E423="Services",VLOOKUP($C423,Services!$B:$I,8,FALSE()),IF($E423="Patty Cash",VLOOKUP($C423,'Patty Cash'!$B:$J,8,FALSE()),0)))),0)</f>
        <v>0</v>
      </c>
      <c r="J423" s="252" t="str">
        <f t="shared" si="13"/>
        <v/>
      </c>
      <c r="K423" s="253"/>
      <c r="L423" s="253"/>
      <c r="M423" s="253"/>
      <c r="N423" s="328"/>
    </row>
    <row r="424" spans="1:14" ht="20.100000000000001" customHeight="1">
      <c r="A424" s="327" t="str">
        <f>IF(AND($B424="",$C424=""),"",MAX($A$3:A423)+1)</f>
        <v/>
      </c>
      <c r="B424" s="262"/>
      <c r="C424" s="253"/>
      <c r="D424" s="249" t="str">
        <f>IFERROR(IF($E424="Inventory",VLOOKUP($C424,Inventory!$B:$I,2,FALSE()),IF($E424="Non Inventory",VLOOKUP($C424,'Non Inventory'!$B:$I,2,FALSE()),IF($E424="Services",VLOOKUP($C424,Services!$B:$I,2,FALSE()),IF($E424="Patty Cash",VLOOKUP($C424,'Patty Cash'!$B:$J,2,FALSE()),"")))),"")</f>
        <v/>
      </c>
      <c r="E424" s="254"/>
      <c r="F424" s="263" t="str">
        <f>IFERROR(IF($E424="Inventory",VLOOKUP($C424,Inventory!$B:$I,3,FALSE()),IF($E424="Non Inventory",VLOOKUP($C424,'Non Inventory'!$B:$I,3,FALSE()),IF($E424="Services",VLOOKUP($C424,Services!$B:$I,3,FALSE()),IF($E424="Patty Cash",VLOOKUP($C424,'Patty Cash'!$B:$J,3,FALSE()),"")))),"")</f>
        <v/>
      </c>
      <c r="G424" s="374"/>
      <c r="H424" s="374" t="str">
        <f t="shared" si="12"/>
        <v/>
      </c>
      <c r="I424" s="252">
        <f>IFERROR(IF($E424="Inventory",VLOOKUP($C424,Inventory!$B:$I,8,FALSE()),IF($E424="Non Inventory",VLOOKUP($C424,'Non Inventory'!$B:$I,8,FALSE()),IF($E424="Services",VLOOKUP($C424,Services!$B:$I,8,FALSE()),IF($E424="Patty Cash",VLOOKUP($C424,'Patty Cash'!$B:$J,8,FALSE()),0)))),0)</f>
        <v>0</v>
      </c>
      <c r="J424" s="252" t="str">
        <f t="shared" si="13"/>
        <v/>
      </c>
      <c r="K424" s="253"/>
      <c r="L424" s="253"/>
      <c r="M424" s="253"/>
      <c r="N424" s="328"/>
    </row>
    <row r="425" spans="1:14" ht="20.100000000000001" customHeight="1">
      <c r="A425" s="327" t="str">
        <f>IF(AND($B425="",$C425=""),"",MAX($A$3:A424)+1)</f>
        <v/>
      </c>
      <c r="B425" s="262"/>
      <c r="C425" s="253"/>
      <c r="D425" s="249" t="str">
        <f>IFERROR(IF($E425="Inventory",VLOOKUP($C425,Inventory!$B:$I,2,FALSE()),IF($E425="Non Inventory",VLOOKUP($C425,'Non Inventory'!$B:$I,2,FALSE()),IF($E425="Services",VLOOKUP($C425,Services!$B:$I,2,FALSE()),IF($E425="Patty Cash",VLOOKUP($C425,'Patty Cash'!$B:$J,2,FALSE()),"")))),"")</f>
        <v/>
      </c>
      <c r="E425" s="254"/>
      <c r="F425" s="263" t="str">
        <f>IFERROR(IF($E425="Inventory",VLOOKUP($C425,Inventory!$B:$I,3,FALSE()),IF($E425="Non Inventory",VLOOKUP($C425,'Non Inventory'!$B:$I,3,FALSE()),IF($E425="Services",VLOOKUP($C425,Services!$B:$I,3,FALSE()),IF($E425="Patty Cash",VLOOKUP($C425,'Patty Cash'!$B:$J,3,FALSE()),"")))),"")</f>
        <v/>
      </c>
      <c r="G425" s="374"/>
      <c r="H425" s="374" t="str">
        <f t="shared" si="12"/>
        <v/>
      </c>
      <c r="I425" s="252">
        <f>IFERROR(IF($E425="Inventory",VLOOKUP($C425,Inventory!$B:$I,8,FALSE()),IF($E425="Non Inventory",VLOOKUP($C425,'Non Inventory'!$B:$I,8,FALSE()),IF($E425="Services",VLOOKUP($C425,Services!$B:$I,8,FALSE()),IF($E425="Patty Cash",VLOOKUP($C425,'Patty Cash'!$B:$J,8,FALSE()),0)))),0)</f>
        <v>0</v>
      </c>
      <c r="J425" s="252" t="str">
        <f t="shared" si="13"/>
        <v/>
      </c>
      <c r="K425" s="253"/>
      <c r="L425" s="253"/>
      <c r="M425" s="253"/>
      <c r="N425" s="328"/>
    </row>
    <row r="426" spans="1:14" ht="20.100000000000001" customHeight="1">
      <c r="A426" s="327" t="str">
        <f>IF(AND($B426="",$C426=""),"",MAX($A$3:A425)+1)</f>
        <v/>
      </c>
      <c r="B426" s="262"/>
      <c r="C426" s="253"/>
      <c r="D426" s="249" t="str">
        <f>IFERROR(IF($E426="Inventory",VLOOKUP($C426,Inventory!$B:$I,2,FALSE()),IF($E426="Non Inventory",VLOOKUP($C426,'Non Inventory'!$B:$I,2,FALSE()),IF($E426="Services",VLOOKUP($C426,Services!$B:$I,2,FALSE()),IF($E426="Patty Cash",VLOOKUP($C426,'Patty Cash'!$B:$J,2,FALSE()),"")))),"")</f>
        <v/>
      </c>
      <c r="E426" s="254"/>
      <c r="F426" s="263" t="str">
        <f>IFERROR(IF($E426="Inventory",VLOOKUP($C426,Inventory!$B:$I,3,FALSE()),IF($E426="Non Inventory",VLOOKUP($C426,'Non Inventory'!$B:$I,3,FALSE()),IF($E426="Services",VLOOKUP($C426,Services!$B:$I,3,FALSE()),IF($E426="Patty Cash",VLOOKUP($C426,'Patty Cash'!$B:$J,3,FALSE()),"")))),"")</f>
        <v/>
      </c>
      <c r="G426" s="374"/>
      <c r="H426" s="374" t="str">
        <f t="shared" si="12"/>
        <v/>
      </c>
      <c r="I426" s="252">
        <f>IFERROR(IF($E426="Inventory",VLOOKUP($C426,Inventory!$B:$I,8,FALSE()),IF($E426="Non Inventory",VLOOKUP($C426,'Non Inventory'!$B:$I,8,FALSE()),IF($E426="Services",VLOOKUP($C426,Services!$B:$I,8,FALSE()),IF($E426="Patty Cash",VLOOKUP($C426,'Patty Cash'!$B:$J,8,FALSE()),0)))),0)</f>
        <v>0</v>
      </c>
      <c r="J426" s="252" t="str">
        <f t="shared" si="13"/>
        <v/>
      </c>
      <c r="K426" s="253"/>
      <c r="L426" s="253"/>
      <c r="M426" s="253"/>
      <c r="N426" s="328"/>
    </row>
    <row r="427" spans="1:14" ht="20.100000000000001" customHeight="1">
      <c r="A427" s="327" t="str">
        <f>IF(AND($B427="",$C427=""),"",MAX($A$3:A426)+1)</f>
        <v/>
      </c>
      <c r="B427" s="262"/>
      <c r="C427" s="253"/>
      <c r="D427" s="249" t="str">
        <f>IFERROR(IF($E427="Inventory",VLOOKUP($C427,Inventory!$B:$I,2,FALSE()),IF($E427="Non Inventory",VLOOKUP($C427,'Non Inventory'!$B:$I,2,FALSE()),IF($E427="Services",VLOOKUP($C427,Services!$B:$I,2,FALSE()),IF($E427="Patty Cash",VLOOKUP($C427,'Patty Cash'!$B:$J,2,FALSE()),"")))),"")</f>
        <v/>
      </c>
      <c r="E427" s="254"/>
      <c r="F427" s="263" t="str">
        <f>IFERROR(IF($E427="Inventory",VLOOKUP($C427,Inventory!$B:$I,3,FALSE()),IF($E427="Non Inventory",VLOOKUP($C427,'Non Inventory'!$B:$I,3,FALSE()),IF($E427="Services",VLOOKUP($C427,Services!$B:$I,3,FALSE()),IF($E427="Patty Cash",VLOOKUP($C427,'Patty Cash'!$B:$J,3,FALSE()),"")))),"")</f>
        <v/>
      </c>
      <c r="G427" s="374"/>
      <c r="H427" s="374" t="str">
        <f t="shared" si="12"/>
        <v/>
      </c>
      <c r="I427" s="252">
        <f>IFERROR(IF($E427="Inventory",VLOOKUP($C427,Inventory!$B:$I,8,FALSE()),IF($E427="Non Inventory",VLOOKUP($C427,'Non Inventory'!$B:$I,8,FALSE()),IF($E427="Services",VLOOKUP($C427,Services!$B:$I,8,FALSE()),IF($E427="Patty Cash",VLOOKUP($C427,'Patty Cash'!$B:$J,8,FALSE()),0)))),0)</f>
        <v>0</v>
      </c>
      <c r="J427" s="252" t="str">
        <f t="shared" si="13"/>
        <v/>
      </c>
      <c r="K427" s="253"/>
      <c r="L427" s="253"/>
      <c r="M427" s="253"/>
      <c r="N427" s="328"/>
    </row>
    <row r="428" spans="1:14" ht="20.100000000000001" customHeight="1">
      <c r="A428" s="327" t="str">
        <f>IF(AND($B428="",$C428=""),"",MAX($A$3:A427)+1)</f>
        <v/>
      </c>
      <c r="B428" s="262"/>
      <c r="C428" s="253"/>
      <c r="D428" s="249" t="str">
        <f>IFERROR(IF($E428="Inventory",VLOOKUP($C428,Inventory!$B:$I,2,FALSE()),IF($E428="Non Inventory",VLOOKUP($C428,'Non Inventory'!$B:$I,2,FALSE()),IF($E428="Services",VLOOKUP($C428,Services!$B:$I,2,FALSE()),IF($E428="Patty Cash",VLOOKUP($C428,'Patty Cash'!$B:$J,2,FALSE()),"")))),"")</f>
        <v/>
      </c>
      <c r="E428" s="254"/>
      <c r="F428" s="263" t="str">
        <f>IFERROR(IF($E428="Inventory",VLOOKUP($C428,Inventory!$B:$I,3,FALSE()),IF($E428="Non Inventory",VLOOKUP($C428,'Non Inventory'!$B:$I,3,FALSE()),IF($E428="Services",VLOOKUP($C428,Services!$B:$I,3,FALSE()),IF($E428="Patty Cash",VLOOKUP($C428,'Patty Cash'!$B:$J,3,FALSE()),"")))),"")</f>
        <v/>
      </c>
      <c r="G428" s="374"/>
      <c r="H428" s="374" t="str">
        <f t="shared" si="12"/>
        <v/>
      </c>
      <c r="I428" s="252">
        <f>IFERROR(IF($E428="Inventory",VLOOKUP($C428,Inventory!$B:$I,8,FALSE()),IF($E428="Non Inventory",VLOOKUP($C428,'Non Inventory'!$B:$I,8,FALSE()),IF($E428="Services",VLOOKUP($C428,Services!$B:$I,8,FALSE()),IF($E428="Patty Cash",VLOOKUP($C428,'Patty Cash'!$B:$J,8,FALSE()),0)))),0)</f>
        <v>0</v>
      </c>
      <c r="J428" s="252" t="str">
        <f t="shared" si="13"/>
        <v/>
      </c>
      <c r="K428" s="253"/>
      <c r="L428" s="253"/>
      <c r="M428" s="253"/>
      <c r="N428" s="328"/>
    </row>
    <row r="429" spans="1:14" ht="20.100000000000001" customHeight="1">
      <c r="A429" s="327" t="str">
        <f>IF(AND($B429="",$C429=""),"",MAX($A$3:A428)+1)</f>
        <v/>
      </c>
      <c r="B429" s="262"/>
      <c r="C429" s="253"/>
      <c r="D429" s="249" t="str">
        <f>IFERROR(IF($E429="Inventory",VLOOKUP($C429,Inventory!$B:$I,2,FALSE()),IF($E429="Non Inventory",VLOOKUP($C429,'Non Inventory'!$B:$I,2,FALSE()),IF($E429="Services",VLOOKUP($C429,Services!$B:$I,2,FALSE()),IF($E429="Patty Cash",VLOOKUP($C429,'Patty Cash'!$B:$J,2,FALSE()),"")))),"")</f>
        <v/>
      </c>
      <c r="E429" s="254"/>
      <c r="F429" s="263" t="str">
        <f>IFERROR(IF($E429="Inventory",VLOOKUP($C429,Inventory!$B:$I,3,FALSE()),IF($E429="Non Inventory",VLOOKUP($C429,'Non Inventory'!$B:$I,3,FALSE()),IF($E429="Services",VLOOKUP($C429,Services!$B:$I,3,FALSE()),IF($E429="Patty Cash",VLOOKUP($C429,'Patty Cash'!$B:$J,3,FALSE()),"")))),"")</f>
        <v/>
      </c>
      <c r="G429" s="374"/>
      <c r="H429" s="374" t="str">
        <f t="shared" si="12"/>
        <v/>
      </c>
      <c r="I429" s="252">
        <f>IFERROR(IF($E429="Inventory",VLOOKUP($C429,Inventory!$B:$I,8,FALSE()),IF($E429="Non Inventory",VLOOKUP($C429,'Non Inventory'!$B:$I,8,FALSE()),IF($E429="Services",VLOOKUP($C429,Services!$B:$I,8,FALSE()),IF($E429="Patty Cash",VLOOKUP($C429,'Patty Cash'!$B:$J,8,FALSE()),0)))),0)</f>
        <v>0</v>
      </c>
      <c r="J429" s="252" t="str">
        <f t="shared" si="13"/>
        <v/>
      </c>
      <c r="K429" s="253"/>
      <c r="L429" s="253"/>
      <c r="M429" s="253"/>
      <c r="N429" s="328"/>
    </row>
    <row r="430" spans="1:14" ht="20.100000000000001" customHeight="1">
      <c r="A430" s="327" t="str">
        <f>IF(AND($B430="",$C430=""),"",MAX($A$3:A429)+1)</f>
        <v/>
      </c>
      <c r="B430" s="262"/>
      <c r="C430" s="253"/>
      <c r="D430" s="249" t="str">
        <f>IFERROR(IF($E430="Inventory",VLOOKUP($C430,Inventory!$B:$I,2,FALSE()),IF($E430="Non Inventory",VLOOKUP($C430,'Non Inventory'!$B:$I,2,FALSE()),IF($E430="Services",VLOOKUP($C430,Services!$B:$I,2,FALSE()),IF($E430="Patty Cash",VLOOKUP($C430,'Patty Cash'!$B:$J,2,FALSE()),"")))),"")</f>
        <v/>
      </c>
      <c r="E430" s="254"/>
      <c r="F430" s="263" t="str">
        <f>IFERROR(IF($E430="Inventory",VLOOKUP($C430,Inventory!$B:$I,3,FALSE()),IF($E430="Non Inventory",VLOOKUP($C430,'Non Inventory'!$B:$I,3,FALSE()),IF($E430="Services",VLOOKUP($C430,Services!$B:$I,3,FALSE()),IF($E430="Patty Cash",VLOOKUP($C430,'Patty Cash'!$B:$J,3,FALSE()),"")))),"")</f>
        <v/>
      </c>
      <c r="G430" s="374"/>
      <c r="H430" s="374" t="str">
        <f t="shared" si="12"/>
        <v/>
      </c>
      <c r="I430" s="252">
        <f>IFERROR(IF($E430="Inventory",VLOOKUP($C430,Inventory!$B:$I,8,FALSE()),IF($E430="Non Inventory",VLOOKUP($C430,'Non Inventory'!$B:$I,8,FALSE()),IF($E430="Services",VLOOKUP($C430,Services!$B:$I,8,FALSE()),IF($E430="Patty Cash",VLOOKUP($C430,'Patty Cash'!$B:$J,8,FALSE()),0)))),0)</f>
        <v>0</v>
      </c>
      <c r="J430" s="252" t="str">
        <f t="shared" si="13"/>
        <v/>
      </c>
      <c r="K430" s="253"/>
      <c r="L430" s="253"/>
      <c r="M430" s="253"/>
      <c r="N430" s="328"/>
    </row>
    <row r="431" spans="1:14" ht="20.100000000000001" customHeight="1">
      <c r="A431" s="327" t="str">
        <f>IF(AND($B431="",$C431=""),"",MAX($A$3:A430)+1)</f>
        <v/>
      </c>
      <c r="B431" s="262"/>
      <c r="C431" s="253"/>
      <c r="D431" s="249" t="str">
        <f>IFERROR(IF($E431="Inventory",VLOOKUP($C431,Inventory!$B:$I,2,FALSE()),IF($E431="Non Inventory",VLOOKUP($C431,'Non Inventory'!$B:$I,2,FALSE()),IF($E431="Services",VLOOKUP($C431,Services!$B:$I,2,FALSE()),IF($E431="Patty Cash",VLOOKUP($C431,'Patty Cash'!$B:$J,2,FALSE()),"")))),"")</f>
        <v/>
      </c>
      <c r="E431" s="254"/>
      <c r="F431" s="263" t="str">
        <f>IFERROR(IF($E431="Inventory",VLOOKUP($C431,Inventory!$B:$I,3,FALSE()),IF($E431="Non Inventory",VLOOKUP($C431,'Non Inventory'!$B:$I,3,FALSE()),IF($E431="Services",VLOOKUP($C431,Services!$B:$I,3,FALSE()),IF($E431="Patty Cash",VLOOKUP($C431,'Patty Cash'!$B:$J,3,FALSE()),"")))),"")</f>
        <v/>
      </c>
      <c r="G431" s="374"/>
      <c r="H431" s="374" t="str">
        <f t="shared" si="12"/>
        <v/>
      </c>
      <c r="I431" s="252">
        <f>IFERROR(IF($E431="Inventory",VLOOKUP($C431,Inventory!$B:$I,8,FALSE()),IF($E431="Non Inventory",VLOOKUP($C431,'Non Inventory'!$B:$I,8,FALSE()),IF($E431="Services",VLOOKUP($C431,Services!$B:$I,8,FALSE()),IF($E431="Patty Cash",VLOOKUP($C431,'Patty Cash'!$B:$J,8,FALSE()),0)))),0)</f>
        <v>0</v>
      </c>
      <c r="J431" s="252" t="str">
        <f t="shared" si="13"/>
        <v/>
      </c>
      <c r="K431" s="253"/>
      <c r="L431" s="253"/>
      <c r="M431" s="253"/>
      <c r="N431" s="328"/>
    </row>
    <row r="432" spans="1:14" ht="20.100000000000001" customHeight="1">
      <c r="A432" s="327" t="str">
        <f>IF(AND($B432="",$C432=""),"",MAX($A$3:A431)+1)</f>
        <v/>
      </c>
      <c r="B432" s="262"/>
      <c r="C432" s="253"/>
      <c r="D432" s="249" t="str">
        <f>IFERROR(IF($E432="Inventory",VLOOKUP($C432,Inventory!$B:$I,2,FALSE()),IF($E432="Non Inventory",VLOOKUP($C432,'Non Inventory'!$B:$I,2,FALSE()),IF($E432="Services",VLOOKUP($C432,Services!$B:$I,2,FALSE()),IF($E432="Patty Cash",VLOOKUP($C432,'Patty Cash'!$B:$J,2,FALSE()),"")))),"")</f>
        <v/>
      </c>
      <c r="E432" s="254"/>
      <c r="F432" s="263" t="str">
        <f>IFERROR(IF($E432="Inventory",VLOOKUP($C432,Inventory!$B:$I,3,FALSE()),IF($E432="Non Inventory",VLOOKUP($C432,'Non Inventory'!$B:$I,3,FALSE()),IF($E432="Services",VLOOKUP($C432,Services!$B:$I,3,FALSE()),IF($E432="Patty Cash",VLOOKUP($C432,'Patty Cash'!$B:$J,3,FALSE()),"")))),"")</f>
        <v/>
      </c>
      <c r="G432" s="374"/>
      <c r="H432" s="374" t="str">
        <f t="shared" si="12"/>
        <v/>
      </c>
      <c r="I432" s="252">
        <f>IFERROR(IF($E432="Inventory",VLOOKUP($C432,Inventory!$B:$I,8,FALSE()),IF($E432="Non Inventory",VLOOKUP($C432,'Non Inventory'!$B:$I,8,FALSE()),IF($E432="Services",VLOOKUP($C432,Services!$B:$I,8,FALSE()),IF($E432="Patty Cash",VLOOKUP($C432,'Patty Cash'!$B:$J,8,FALSE()),0)))),0)</f>
        <v>0</v>
      </c>
      <c r="J432" s="252" t="str">
        <f t="shared" si="13"/>
        <v/>
      </c>
      <c r="K432" s="253"/>
      <c r="L432" s="253"/>
      <c r="M432" s="253"/>
      <c r="N432" s="328"/>
    </row>
    <row r="433" spans="1:14" ht="20.100000000000001" customHeight="1">
      <c r="A433" s="327" t="str">
        <f>IF(AND($B433="",$C433=""),"",MAX($A$3:A432)+1)</f>
        <v/>
      </c>
      <c r="B433" s="262"/>
      <c r="C433" s="253"/>
      <c r="D433" s="249" t="str">
        <f>IFERROR(IF($E433="Inventory",VLOOKUP($C433,Inventory!$B:$I,2,FALSE()),IF($E433="Non Inventory",VLOOKUP($C433,'Non Inventory'!$B:$I,2,FALSE()),IF($E433="Services",VLOOKUP($C433,Services!$B:$I,2,FALSE()),IF($E433="Patty Cash",VLOOKUP($C433,'Patty Cash'!$B:$J,2,FALSE()),"")))),"")</f>
        <v/>
      </c>
      <c r="E433" s="254"/>
      <c r="F433" s="263" t="str">
        <f>IFERROR(IF($E433="Inventory",VLOOKUP($C433,Inventory!$B:$I,3,FALSE()),IF($E433="Non Inventory",VLOOKUP($C433,'Non Inventory'!$B:$I,3,FALSE()),IF($E433="Services",VLOOKUP($C433,Services!$B:$I,3,FALSE()),IF($E433="Patty Cash",VLOOKUP($C433,'Patty Cash'!$B:$J,3,FALSE()),"")))),"")</f>
        <v/>
      </c>
      <c r="G433" s="374"/>
      <c r="H433" s="374" t="str">
        <f t="shared" si="12"/>
        <v/>
      </c>
      <c r="I433" s="252">
        <f>IFERROR(IF($E433="Inventory",VLOOKUP($C433,Inventory!$B:$I,8,FALSE()),IF($E433="Non Inventory",VLOOKUP($C433,'Non Inventory'!$B:$I,8,FALSE()),IF($E433="Services",VLOOKUP($C433,Services!$B:$I,8,FALSE()),IF($E433="Patty Cash",VLOOKUP($C433,'Patty Cash'!$B:$J,8,FALSE()),0)))),0)</f>
        <v>0</v>
      </c>
      <c r="J433" s="252" t="str">
        <f t="shared" si="13"/>
        <v/>
      </c>
      <c r="K433" s="253"/>
      <c r="L433" s="253"/>
      <c r="M433" s="253"/>
      <c r="N433" s="328"/>
    </row>
    <row r="434" spans="1:14" ht="20.100000000000001" customHeight="1">
      <c r="A434" s="327" t="str">
        <f>IF(AND($B434="",$C434=""),"",MAX($A$3:A433)+1)</f>
        <v/>
      </c>
      <c r="B434" s="262"/>
      <c r="C434" s="253"/>
      <c r="D434" s="249" t="str">
        <f>IFERROR(IF($E434="Inventory",VLOOKUP($C434,Inventory!$B:$I,2,FALSE()),IF($E434="Non Inventory",VLOOKUP($C434,'Non Inventory'!$B:$I,2,FALSE()),IF($E434="Services",VLOOKUP($C434,Services!$B:$I,2,FALSE()),IF($E434="Patty Cash",VLOOKUP($C434,'Patty Cash'!$B:$J,2,FALSE()),"")))),"")</f>
        <v/>
      </c>
      <c r="E434" s="254"/>
      <c r="F434" s="263" t="str">
        <f>IFERROR(IF($E434="Inventory",VLOOKUP($C434,Inventory!$B:$I,3,FALSE()),IF($E434="Non Inventory",VLOOKUP($C434,'Non Inventory'!$B:$I,3,FALSE()),IF($E434="Services",VLOOKUP($C434,Services!$B:$I,3,FALSE()),IF($E434="Patty Cash",VLOOKUP($C434,'Patty Cash'!$B:$J,3,FALSE()),"")))),"")</f>
        <v/>
      </c>
      <c r="G434" s="374"/>
      <c r="H434" s="374" t="str">
        <f t="shared" si="12"/>
        <v/>
      </c>
      <c r="I434" s="252">
        <f>IFERROR(IF($E434="Inventory",VLOOKUP($C434,Inventory!$B:$I,8,FALSE()),IF($E434="Non Inventory",VLOOKUP($C434,'Non Inventory'!$B:$I,8,FALSE()),IF($E434="Services",VLOOKUP($C434,Services!$B:$I,8,FALSE()),IF($E434="Patty Cash",VLOOKUP($C434,'Patty Cash'!$B:$J,8,FALSE()),0)))),0)</f>
        <v>0</v>
      </c>
      <c r="J434" s="252" t="str">
        <f t="shared" si="13"/>
        <v/>
      </c>
      <c r="K434" s="253"/>
      <c r="L434" s="253"/>
      <c r="M434" s="253"/>
      <c r="N434" s="328"/>
    </row>
    <row r="435" spans="1:14" ht="20.100000000000001" customHeight="1">
      <c r="A435" s="327" t="str">
        <f>IF(AND($B435="",$C435=""),"",MAX($A$3:A434)+1)</f>
        <v/>
      </c>
      <c r="B435" s="262"/>
      <c r="C435" s="253"/>
      <c r="D435" s="249" t="str">
        <f>IFERROR(IF($E435="Inventory",VLOOKUP($C435,Inventory!$B:$I,2,FALSE()),IF($E435="Non Inventory",VLOOKUP($C435,'Non Inventory'!$B:$I,2,FALSE()),IF($E435="Services",VLOOKUP($C435,Services!$B:$I,2,FALSE()),IF($E435="Patty Cash",VLOOKUP($C435,'Patty Cash'!$B:$J,2,FALSE()),"")))),"")</f>
        <v/>
      </c>
      <c r="E435" s="254"/>
      <c r="F435" s="263" t="str">
        <f>IFERROR(IF($E435="Inventory",VLOOKUP($C435,Inventory!$B:$I,3,FALSE()),IF($E435="Non Inventory",VLOOKUP($C435,'Non Inventory'!$B:$I,3,FALSE()),IF($E435="Services",VLOOKUP($C435,Services!$B:$I,3,FALSE()),IF($E435="Patty Cash",VLOOKUP($C435,'Patty Cash'!$B:$J,3,FALSE()),"")))),"")</f>
        <v/>
      </c>
      <c r="G435" s="374"/>
      <c r="H435" s="374" t="str">
        <f t="shared" si="12"/>
        <v/>
      </c>
      <c r="I435" s="252">
        <f>IFERROR(IF($E435="Inventory",VLOOKUP($C435,Inventory!$B:$I,8,FALSE()),IF($E435="Non Inventory",VLOOKUP($C435,'Non Inventory'!$B:$I,8,FALSE()),IF($E435="Services",VLOOKUP($C435,Services!$B:$I,8,FALSE()),IF($E435="Patty Cash",VLOOKUP($C435,'Patty Cash'!$B:$J,8,FALSE()),0)))),0)</f>
        <v>0</v>
      </c>
      <c r="J435" s="252" t="str">
        <f t="shared" si="13"/>
        <v/>
      </c>
      <c r="K435" s="253"/>
      <c r="L435" s="253"/>
      <c r="M435" s="253"/>
      <c r="N435" s="328"/>
    </row>
    <row r="436" spans="1:14" ht="20.100000000000001" customHeight="1">
      <c r="A436" s="327" t="str">
        <f>IF(AND($B436="",$C436=""),"",MAX($A$3:A435)+1)</f>
        <v/>
      </c>
      <c r="B436" s="262"/>
      <c r="C436" s="253"/>
      <c r="D436" s="249" t="str">
        <f>IFERROR(IF($E436="Inventory",VLOOKUP($C436,Inventory!$B:$I,2,FALSE()),IF($E436="Non Inventory",VLOOKUP($C436,'Non Inventory'!$B:$I,2,FALSE()),IF($E436="Services",VLOOKUP($C436,Services!$B:$I,2,FALSE()),IF($E436="Patty Cash",VLOOKUP($C436,'Patty Cash'!$B:$J,2,FALSE()),"")))),"")</f>
        <v/>
      </c>
      <c r="E436" s="254"/>
      <c r="F436" s="263" t="str">
        <f>IFERROR(IF($E436="Inventory",VLOOKUP($C436,Inventory!$B:$I,3,FALSE()),IF($E436="Non Inventory",VLOOKUP($C436,'Non Inventory'!$B:$I,3,FALSE()),IF($E436="Services",VLOOKUP($C436,Services!$B:$I,3,FALSE()),IF($E436="Patty Cash",VLOOKUP($C436,'Patty Cash'!$B:$J,3,FALSE()),"")))),"")</f>
        <v/>
      </c>
      <c r="G436" s="374"/>
      <c r="H436" s="374" t="str">
        <f t="shared" si="12"/>
        <v/>
      </c>
      <c r="I436" s="252">
        <f>IFERROR(IF($E436="Inventory",VLOOKUP($C436,Inventory!$B:$I,8,FALSE()),IF($E436="Non Inventory",VLOOKUP($C436,'Non Inventory'!$B:$I,8,FALSE()),IF($E436="Services",VLOOKUP($C436,Services!$B:$I,8,FALSE()),IF($E436="Patty Cash",VLOOKUP($C436,'Patty Cash'!$B:$J,8,FALSE()),0)))),0)</f>
        <v>0</v>
      </c>
      <c r="J436" s="252" t="str">
        <f t="shared" si="13"/>
        <v/>
      </c>
      <c r="K436" s="253"/>
      <c r="L436" s="253"/>
      <c r="M436" s="253"/>
      <c r="N436" s="328"/>
    </row>
    <row r="437" spans="1:14" ht="20.100000000000001" customHeight="1">
      <c r="A437" s="327" t="str">
        <f>IF(AND($B437="",$C437=""),"",MAX($A$3:A436)+1)</f>
        <v/>
      </c>
      <c r="B437" s="262"/>
      <c r="C437" s="253"/>
      <c r="D437" s="249" t="str">
        <f>IFERROR(IF($E437="Inventory",VLOOKUP($C437,Inventory!$B:$I,2,FALSE()),IF($E437="Non Inventory",VLOOKUP($C437,'Non Inventory'!$B:$I,2,FALSE()),IF($E437="Services",VLOOKUP($C437,Services!$B:$I,2,FALSE()),IF($E437="Patty Cash",VLOOKUP($C437,'Patty Cash'!$B:$J,2,FALSE()),"")))),"")</f>
        <v/>
      </c>
      <c r="E437" s="254"/>
      <c r="F437" s="263" t="str">
        <f>IFERROR(IF($E437="Inventory",VLOOKUP($C437,Inventory!$B:$I,3,FALSE()),IF($E437="Non Inventory",VLOOKUP($C437,'Non Inventory'!$B:$I,3,FALSE()),IF($E437="Services",VLOOKUP($C437,Services!$B:$I,3,FALSE()),IF($E437="Patty Cash",VLOOKUP($C437,'Patty Cash'!$B:$J,3,FALSE()),"")))),"")</f>
        <v/>
      </c>
      <c r="G437" s="374"/>
      <c r="H437" s="374" t="str">
        <f t="shared" si="12"/>
        <v/>
      </c>
      <c r="I437" s="252">
        <f>IFERROR(IF($E437="Inventory",VLOOKUP($C437,Inventory!$B:$I,8,FALSE()),IF($E437="Non Inventory",VLOOKUP($C437,'Non Inventory'!$B:$I,8,FALSE()),IF($E437="Services",VLOOKUP($C437,Services!$B:$I,8,FALSE()),IF($E437="Patty Cash",VLOOKUP($C437,'Patty Cash'!$B:$J,8,FALSE()),0)))),0)</f>
        <v>0</v>
      </c>
      <c r="J437" s="252" t="str">
        <f t="shared" si="13"/>
        <v/>
      </c>
      <c r="K437" s="253"/>
      <c r="L437" s="253"/>
      <c r="M437" s="253"/>
      <c r="N437" s="328"/>
    </row>
    <row r="438" spans="1:14" ht="20.100000000000001" customHeight="1">
      <c r="A438" s="327" t="str">
        <f>IF(AND($B438="",$C438=""),"",MAX($A$3:A437)+1)</f>
        <v/>
      </c>
      <c r="B438" s="262"/>
      <c r="C438" s="253"/>
      <c r="D438" s="249" t="str">
        <f>IFERROR(IF($E438="Inventory",VLOOKUP($C438,Inventory!$B:$I,2,FALSE()),IF($E438="Non Inventory",VLOOKUP($C438,'Non Inventory'!$B:$I,2,FALSE()),IF($E438="Services",VLOOKUP($C438,Services!$B:$I,2,FALSE()),IF($E438="Patty Cash",VLOOKUP($C438,'Patty Cash'!$B:$J,2,FALSE()),"")))),"")</f>
        <v/>
      </c>
      <c r="E438" s="254"/>
      <c r="F438" s="263" t="str">
        <f>IFERROR(IF($E438="Inventory",VLOOKUP($C438,Inventory!$B:$I,3,FALSE()),IF($E438="Non Inventory",VLOOKUP($C438,'Non Inventory'!$B:$I,3,FALSE()),IF($E438="Services",VLOOKUP($C438,Services!$B:$I,3,FALSE()),IF($E438="Patty Cash",VLOOKUP($C438,'Patty Cash'!$B:$J,3,FALSE()),"")))),"")</f>
        <v/>
      </c>
      <c r="G438" s="374"/>
      <c r="H438" s="374" t="str">
        <f t="shared" si="12"/>
        <v/>
      </c>
      <c r="I438" s="252">
        <f>IFERROR(IF($E438="Inventory",VLOOKUP($C438,Inventory!$B:$I,8,FALSE()),IF($E438="Non Inventory",VLOOKUP($C438,'Non Inventory'!$B:$I,8,FALSE()),IF($E438="Services",VLOOKUP($C438,Services!$B:$I,8,FALSE()),IF($E438="Patty Cash",VLOOKUP($C438,'Patty Cash'!$B:$J,8,FALSE()),0)))),0)</f>
        <v>0</v>
      </c>
      <c r="J438" s="252" t="str">
        <f t="shared" si="13"/>
        <v/>
      </c>
      <c r="K438" s="253"/>
      <c r="L438" s="253"/>
      <c r="M438" s="253"/>
      <c r="N438" s="328"/>
    </row>
    <row r="439" spans="1:14" ht="20.100000000000001" customHeight="1">
      <c r="A439" s="327" t="str">
        <f>IF(AND($B439="",$C439=""),"",MAX($A$3:A438)+1)</f>
        <v/>
      </c>
      <c r="B439" s="262"/>
      <c r="C439" s="253"/>
      <c r="D439" s="249" t="str">
        <f>IFERROR(IF($E439="Inventory",VLOOKUP($C439,Inventory!$B:$I,2,FALSE()),IF($E439="Non Inventory",VLOOKUP($C439,'Non Inventory'!$B:$I,2,FALSE()),IF($E439="Services",VLOOKUP($C439,Services!$B:$I,2,FALSE()),IF($E439="Patty Cash",VLOOKUP($C439,'Patty Cash'!$B:$J,2,FALSE()),"")))),"")</f>
        <v/>
      </c>
      <c r="E439" s="254"/>
      <c r="F439" s="263" t="str">
        <f>IFERROR(IF($E439="Inventory",VLOOKUP($C439,Inventory!$B:$I,3,FALSE()),IF($E439="Non Inventory",VLOOKUP($C439,'Non Inventory'!$B:$I,3,FALSE()),IF($E439="Services",VLOOKUP($C439,Services!$B:$I,3,FALSE()),IF($E439="Patty Cash",VLOOKUP($C439,'Patty Cash'!$B:$J,3,FALSE()),"")))),"")</f>
        <v/>
      </c>
      <c r="G439" s="374"/>
      <c r="H439" s="374" t="str">
        <f t="shared" si="12"/>
        <v/>
      </c>
      <c r="I439" s="252">
        <f>IFERROR(IF($E439="Inventory",VLOOKUP($C439,Inventory!$B:$I,8,FALSE()),IF($E439="Non Inventory",VLOOKUP($C439,'Non Inventory'!$B:$I,8,FALSE()),IF($E439="Services",VLOOKUP($C439,Services!$B:$I,8,FALSE()),IF($E439="Patty Cash",VLOOKUP($C439,'Patty Cash'!$B:$J,8,FALSE()),0)))),0)</f>
        <v>0</v>
      </c>
      <c r="J439" s="252" t="str">
        <f t="shared" si="13"/>
        <v/>
      </c>
      <c r="K439" s="253"/>
      <c r="L439" s="253"/>
      <c r="M439" s="253"/>
      <c r="N439" s="328"/>
    </row>
    <row r="440" spans="1:14" ht="20.100000000000001" customHeight="1">
      <c r="A440" s="327" t="str">
        <f>IF(AND($B440="",$C440=""),"",MAX($A$3:A439)+1)</f>
        <v/>
      </c>
      <c r="B440" s="262"/>
      <c r="C440" s="253"/>
      <c r="D440" s="249" t="str">
        <f>IFERROR(IF($E440="Inventory",VLOOKUP($C440,Inventory!$B:$I,2,FALSE()),IF($E440="Non Inventory",VLOOKUP($C440,'Non Inventory'!$B:$I,2,FALSE()),IF($E440="Services",VLOOKUP($C440,Services!$B:$I,2,FALSE()),IF($E440="Patty Cash",VLOOKUP($C440,'Patty Cash'!$B:$J,2,FALSE()),"")))),"")</f>
        <v/>
      </c>
      <c r="E440" s="254"/>
      <c r="F440" s="263" t="str">
        <f>IFERROR(IF($E440="Inventory",VLOOKUP($C440,Inventory!$B:$I,3,FALSE()),IF($E440="Non Inventory",VLOOKUP($C440,'Non Inventory'!$B:$I,3,FALSE()),IF($E440="Services",VLOOKUP($C440,Services!$B:$I,3,FALSE()),IF($E440="Patty Cash",VLOOKUP($C440,'Patty Cash'!$B:$J,3,FALSE()),"")))),"")</f>
        <v/>
      </c>
      <c r="G440" s="374"/>
      <c r="H440" s="374" t="str">
        <f t="shared" si="12"/>
        <v/>
      </c>
      <c r="I440" s="252">
        <f>IFERROR(IF($E440="Inventory",VLOOKUP($C440,Inventory!$B:$I,8,FALSE()),IF($E440="Non Inventory",VLOOKUP($C440,'Non Inventory'!$B:$I,8,FALSE()),IF($E440="Services",VLOOKUP($C440,Services!$B:$I,8,FALSE()),IF($E440="Patty Cash",VLOOKUP($C440,'Patty Cash'!$B:$J,8,FALSE()),0)))),0)</f>
        <v>0</v>
      </c>
      <c r="J440" s="252" t="str">
        <f t="shared" si="13"/>
        <v/>
      </c>
      <c r="K440" s="253"/>
      <c r="L440" s="253"/>
      <c r="M440" s="253"/>
      <c r="N440" s="328"/>
    </row>
    <row r="441" spans="1:14" ht="20.100000000000001" customHeight="1">
      <c r="A441" s="327" t="str">
        <f>IF(AND($B441="",$C441=""),"",MAX($A$3:A440)+1)</f>
        <v/>
      </c>
      <c r="B441" s="262"/>
      <c r="C441" s="253"/>
      <c r="D441" s="249" t="str">
        <f>IFERROR(IF($E441="Inventory",VLOOKUP($C441,Inventory!$B:$I,2,FALSE()),IF($E441="Non Inventory",VLOOKUP($C441,'Non Inventory'!$B:$I,2,FALSE()),IF($E441="Services",VLOOKUP($C441,Services!$B:$I,2,FALSE()),IF($E441="Patty Cash",VLOOKUP($C441,'Patty Cash'!$B:$J,2,FALSE()),"")))),"")</f>
        <v/>
      </c>
      <c r="E441" s="254"/>
      <c r="F441" s="263" t="str">
        <f>IFERROR(IF($E441="Inventory",VLOOKUP($C441,Inventory!$B:$I,3,FALSE()),IF($E441="Non Inventory",VLOOKUP($C441,'Non Inventory'!$B:$I,3,FALSE()),IF($E441="Services",VLOOKUP($C441,Services!$B:$I,3,FALSE()),IF($E441="Patty Cash",VLOOKUP($C441,'Patty Cash'!$B:$J,3,FALSE()),"")))),"")</f>
        <v/>
      </c>
      <c r="G441" s="374"/>
      <c r="H441" s="374" t="str">
        <f t="shared" si="12"/>
        <v/>
      </c>
      <c r="I441" s="252">
        <f>IFERROR(IF($E441="Inventory",VLOOKUP($C441,Inventory!$B:$I,8,FALSE()),IF($E441="Non Inventory",VLOOKUP($C441,'Non Inventory'!$B:$I,8,FALSE()),IF($E441="Services",VLOOKUP($C441,Services!$B:$I,8,FALSE()),IF($E441="Patty Cash",VLOOKUP($C441,'Patty Cash'!$B:$J,8,FALSE()),0)))),0)</f>
        <v>0</v>
      </c>
      <c r="J441" s="252" t="str">
        <f t="shared" si="13"/>
        <v/>
      </c>
      <c r="K441" s="253"/>
      <c r="L441" s="253"/>
      <c r="M441" s="253"/>
      <c r="N441" s="328"/>
    </row>
    <row r="442" spans="1:14" ht="20.100000000000001" customHeight="1">
      <c r="A442" s="327" t="str">
        <f>IF(AND($B442="",$C442=""),"",MAX($A$3:A441)+1)</f>
        <v/>
      </c>
      <c r="B442" s="262"/>
      <c r="C442" s="253"/>
      <c r="D442" s="249" t="str">
        <f>IFERROR(IF($E442="Inventory",VLOOKUP($C442,Inventory!$B:$I,2,FALSE()),IF($E442="Non Inventory",VLOOKUP($C442,'Non Inventory'!$B:$I,2,FALSE()),IF($E442="Services",VLOOKUP($C442,Services!$B:$I,2,FALSE()),IF($E442="Patty Cash",VLOOKUP($C442,'Patty Cash'!$B:$J,2,FALSE()),"")))),"")</f>
        <v/>
      </c>
      <c r="E442" s="254"/>
      <c r="F442" s="263" t="str">
        <f>IFERROR(IF($E442="Inventory",VLOOKUP($C442,Inventory!$B:$I,3,FALSE()),IF($E442="Non Inventory",VLOOKUP($C442,'Non Inventory'!$B:$I,3,FALSE()),IF($E442="Services",VLOOKUP($C442,Services!$B:$I,3,FALSE()),IF($E442="Patty Cash",VLOOKUP($C442,'Patty Cash'!$B:$J,3,FALSE()),"")))),"")</f>
        <v/>
      </c>
      <c r="G442" s="374"/>
      <c r="H442" s="374" t="str">
        <f t="shared" si="12"/>
        <v/>
      </c>
      <c r="I442" s="252">
        <f>IFERROR(IF($E442="Inventory",VLOOKUP($C442,Inventory!$B:$I,8,FALSE()),IF($E442="Non Inventory",VLOOKUP($C442,'Non Inventory'!$B:$I,8,FALSE()),IF($E442="Services",VLOOKUP($C442,Services!$B:$I,8,FALSE()),IF($E442="Patty Cash",VLOOKUP($C442,'Patty Cash'!$B:$J,8,FALSE()),0)))),0)</f>
        <v>0</v>
      </c>
      <c r="J442" s="252" t="str">
        <f t="shared" si="13"/>
        <v/>
      </c>
      <c r="K442" s="253"/>
      <c r="L442" s="253"/>
      <c r="M442" s="253"/>
      <c r="N442" s="328"/>
    </row>
    <row r="443" spans="1:14" ht="20.100000000000001" customHeight="1">
      <c r="A443" s="327" t="str">
        <f>IF(AND($B443="",$C443=""),"",MAX($A$3:A442)+1)</f>
        <v/>
      </c>
      <c r="B443" s="262"/>
      <c r="C443" s="253"/>
      <c r="D443" s="249" t="str">
        <f>IFERROR(IF($E443="Inventory",VLOOKUP($C443,Inventory!$B:$I,2,FALSE()),IF($E443="Non Inventory",VLOOKUP($C443,'Non Inventory'!$B:$I,2,FALSE()),IF($E443="Services",VLOOKUP($C443,Services!$B:$I,2,FALSE()),IF($E443="Patty Cash",VLOOKUP($C443,'Patty Cash'!$B:$J,2,FALSE()),"")))),"")</f>
        <v/>
      </c>
      <c r="E443" s="254"/>
      <c r="F443" s="263" t="str">
        <f>IFERROR(IF($E443="Inventory",VLOOKUP($C443,Inventory!$B:$I,3,FALSE()),IF($E443="Non Inventory",VLOOKUP($C443,'Non Inventory'!$B:$I,3,FALSE()),IF($E443="Services",VLOOKUP($C443,Services!$B:$I,3,FALSE()),IF($E443="Patty Cash",VLOOKUP($C443,'Patty Cash'!$B:$J,3,FALSE()),"")))),"")</f>
        <v/>
      </c>
      <c r="G443" s="374"/>
      <c r="H443" s="374" t="str">
        <f t="shared" ref="H443:H506" si="14">IF($G443="","",G443)</f>
        <v/>
      </c>
      <c r="I443" s="252">
        <f>IFERROR(IF($E443="Inventory",VLOOKUP($C443,Inventory!$B:$I,8,FALSE()),IF($E443="Non Inventory",VLOOKUP($C443,'Non Inventory'!$B:$I,8,FALSE()),IF($E443="Services",VLOOKUP($C443,Services!$B:$I,8,FALSE()),IF($E443="Patty Cash",VLOOKUP($C443,'Patty Cash'!$B:$J,8,FALSE()),0)))),0)</f>
        <v>0</v>
      </c>
      <c r="J443" s="252" t="str">
        <f t="shared" ref="J443:J506" si="15">IF($H443="","",H443*I443)</f>
        <v/>
      </c>
      <c r="K443" s="253"/>
      <c r="L443" s="253"/>
      <c r="M443" s="253"/>
      <c r="N443" s="328"/>
    </row>
    <row r="444" spans="1:14" ht="20.100000000000001" customHeight="1">
      <c r="A444" s="327" t="str">
        <f>IF(AND($B444="",$C444=""),"",MAX($A$3:A443)+1)</f>
        <v/>
      </c>
      <c r="B444" s="262"/>
      <c r="C444" s="253"/>
      <c r="D444" s="249" t="str">
        <f>IFERROR(IF($E444="Inventory",VLOOKUP($C444,Inventory!$B:$I,2,FALSE()),IF($E444="Non Inventory",VLOOKUP($C444,'Non Inventory'!$B:$I,2,FALSE()),IF($E444="Services",VLOOKUP($C444,Services!$B:$I,2,FALSE()),IF($E444="Patty Cash",VLOOKUP($C444,'Patty Cash'!$B:$J,2,FALSE()),"")))),"")</f>
        <v/>
      </c>
      <c r="E444" s="254"/>
      <c r="F444" s="263" t="str">
        <f>IFERROR(IF($E444="Inventory",VLOOKUP($C444,Inventory!$B:$I,3,FALSE()),IF($E444="Non Inventory",VLOOKUP($C444,'Non Inventory'!$B:$I,3,FALSE()),IF($E444="Services",VLOOKUP($C444,Services!$B:$I,3,FALSE()),IF($E444="Patty Cash",VLOOKUP($C444,'Patty Cash'!$B:$J,3,FALSE()),"")))),"")</f>
        <v/>
      </c>
      <c r="G444" s="374"/>
      <c r="H444" s="374" t="str">
        <f t="shared" si="14"/>
        <v/>
      </c>
      <c r="I444" s="252">
        <f>IFERROR(IF($E444="Inventory",VLOOKUP($C444,Inventory!$B:$I,8,FALSE()),IF($E444="Non Inventory",VLOOKUP($C444,'Non Inventory'!$B:$I,8,FALSE()),IF($E444="Services",VLOOKUP($C444,Services!$B:$I,8,FALSE()),IF($E444="Patty Cash",VLOOKUP($C444,'Patty Cash'!$B:$J,8,FALSE()),0)))),0)</f>
        <v>0</v>
      </c>
      <c r="J444" s="252" t="str">
        <f t="shared" si="15"/>
        <v/>
      </c>
      <c r="K444" s="253"/>
      <c r="L444" s="253"/>
      <c r="M444" s="253"/>
      <c r="N444" s="328"/>
    </row>
    <row r="445" spans="1:14" ht="20.100000000000001" customHeight="1">
      <c r="A445" s="327" t="str">
        <f>IF(AND($B445="",$C445=""),"",MAX($A$3:A444)+1)</f>
        <v/>
      </c>
      <c r="B445" s="262"/>
      <c r="C445" s="253"/>
      <c r="D445" s="249" t="str">
        <f>IFERROR(IF($E445="Inventory",VLOOKUP($C445,Inventory!$B:$I,2,FALSE()),IF($E445="Non Inventory",VLOOKUP($C445,'Non Inventory'!$B:$I,2,FALSE()),IF($E445="Services",VLOOKUP($C445,Services!$B:$I,2,FALSE()),IF($E445="Patty Cash",VLOOKUP($C445,'Patty Cash'!$B:$J,2,FALSE()),"")))),"")</f>
        <v/>
      </c>
      <c r="E445" s="254"/>
      <c r="F445" s="263" t="str">
        <f>IFERROR(IF($E445="Inventory",VLOOKUP($C445,Inventory!$B:$I,3,FALSE()),IF($E445="Non Inventory",VLOOKUP($C445,'Non Inventory'!$B:$I,3,FALSE()),IF($E445="Services",VLOOKUP($C445,Services!$B:$I,3,FALSE()),IF($E445="Patty Cash",VLOOKUP($C445,'Patty Cash'!$B:$J,3,FALSE()),"")))),"")</f>
        <v/>
      </c>
      <c r="G445" s="374"/>
      <c r="H445" s="374" t="str">
        <f t="shared" si="14"/>
        <v/>
      </c>
      <c r="I445" s="252">
        <f>IFERROR(IF($E445="Inventory",VLOOKUP($C445,Inventory!$B:$I,8,FALSE()),IF($E445="Non Inventory",VLOOKUP($C445,'Non Inventory'!$B:$I,8,FALSE()),IF($E445="Services",VLOOKUP($C445,Services!$B:$I,8,FALSE()),IF($E445="Patty Cash",VLOOKUP($C445,'Patty Cash'!$B:$J,8,FALSE()),0)))),0)</f>
        <v>0</v>
      </c>
      <c r="J445" s="252" t="str">
        <f t="shared" si="15"/>
        <v/>
      </c>
      <c r="K445" s="253"/>
      <c r="L445" s="253"/>
      <c r="M445" s="253"/>
      <c r="N445" s="328"/>
    </row>
    <row r="446" spans="1:14" ht="20.100000000000001" customHeight="1">
      <c r="A446" s="327" t="str">
        <f>IF(AND($B446="",$C446=""),"",MAX($A$3:A445)+1)</f>
        <v/>
      </c>
      <c r="B446" s="262"/>
      <c r="C446" s="253"/>
      <c r="D446" s="249" t="str">
        <f>IFERROR(IF($E446="Inventory",VLOOKUP($C446,Inventory!$B:$I,2,FALSE()),IF($E446="Non Inventory",VLOOKUP($C446,'Non Inventory'!$B:$I,2,FALSE()),IF($E446="Services",VLOOKUP($C446,Services!$B:$I,2,FALSE()),IF($E446="Patty Cash",VLOOKUP($C446,'Patty Cash'!$B:$J,2,FALSE()),"")))),"")</f>
        <v/>
      </c>
      <c r="E446" s="254"/>
      <c r="F446" s="263" t="str">
        <f>IFERROR(IF($E446="Inventory",VLOOKUP($C446,Inventory!$B:$I,3,FALSE()),IF($E446="Non Inventory",VLOOKUP($C446,'Non Inventory'!$B:$I,3,FALSE()),IF($E446="Services",VLOOKUP($C446,Services!$B:$I,3,FALSE()),IF($E446="Patty Cash",VLOOKUP($C446,'Patty Cash'!$B:$J,3,FALSE()),"")))),"")</f>
        <v/>
      </c>
      <c r="G446" s="374"/>
      <c r="H446" s="374" t="str">
        <f t="shared" si="14"/>
        <v/>
      </c>
      <c r="I446" s="252">
        <f>IFERROR(IF($E446="Inventory",VLOOKUP($C446,Inventory!$B:$I,8,FALSE()),IF($E446="Non Inventory",VLOOKUP($C446,'Non Inventory'!$B:$I,8,FALSE()),IF($E446="Services",VLOOKUP($C446,Services!$B:$I,8,FALSE()),IF($E446="Patty Cash",VLOOKUP($C446,'Patty Cash'!$B:$J,8,FALSE()),0)))),0)</f>
        <v>0</v>
      </c>
      <c r="J446" s="252" t="str">
        <f t="shared" si="15"/>
        <v/>
      </c>
      <c r="K446" s="253"/>
      <c r="L446" s="253"/>
      <c r="M446" s="253"/>
      <c r="N446" s="328"/>
    </row>
    <row r="447" spans="1:14" ht="20.100000000000001" customHeight="1">
      <c r="A447" s="327" t="str">
        <f>IF(AND($B447="",$C447=""),"",MAX($A$3:A446)+1)</f>
        <v/>
      </c>
      <c r="B447" s="262"/>
      <c r="C447" s="253"/>
      <c r="D447" s="249" t="str">
        <f>IFERROR(IF($E447="Inventory",VLOOKUP($C447,Inventory!$B:$I,2,FALSE()),IF($E447="Non Inventory",VLOOKUP($C447,'Non Inventory'!$B:$I,2,FALSE()),IF($E447="Services",VLOOKUP($C447,Services!$B:$I,2,FALSE()),IF($E447="Patty Cash",VLOOKUP($C447,'Patty Cash'!$B:$J,2,FALSE()),"")))),"")</f>
        <v/>
      </c>
      <c r="E447" s="254"/>
      <c r="F447" s="263" t="str">
        <f>IFERROR(IF($E447="Inventory",VLOOKUP($C447,Inventory!$B:$I,3,FALSE()),IF($E447="Non Inventory",VLOOKUP($C447,'Non Inventory'!$B:$I,3,FALSE()),IF($E447="Services",VLOOKUP($C447,Services!$B:$I,3,FALSE()),IF($E447="Patty Cash",VLOOKUP($C447,'Patty Cash'!$B:$J,3,FALSE()),"")))),"")</f>
        <v/>
      </c>
      <c r="G447" s="374"/>
      <c r="H447" s="374" t="str">
        <f t="shared" si="14"/>
        <v/>
      </c>
      <c r="I447" s="252">
        <f>IFERROR(IF($E447="Inventory",VLOOKUP($C447,Inventory!$B:$I,8,FALSE()),IF($E447="Non Inventory",VLOOKUP($C447,'Non Inventory'!$B:$I,8,FALSE()),IF($E447="Services",VLOOKUP($C447,Services!$B:$I,8,FALSE()),IF($E447="Patty Cash",VLOOKUP($C447,'Patty Cash'!$B:$J,8,FALSE()),0)))),0)</f>
        <v>0</v>
      </c>
      <c r="J447" s="252" t="str">
        <f t="shared" si="15"/>
        <v/>
      </c>
      <c r="K447" s="253"/>
      <c r="L447" s="253"/>
      <c r="M447" s="253"/>
      <c r="N447" s="328"/>
    </row>
    <row r="448" spans="1:14" ht="20.100000000000001" customHeight="1">
      <c r="A448" s="327" t="str">
        <f>IF(AND($B448="",$C448=""),"",MAX($A$3:A447)+1)</f>
        <v/>
      </c>
      <c r="B448" s="262"/>
      <c r="C448" s="253"/>
      <c r="D448" s="249" t="str">
        <f>IFERROR(IF($E448="Inventory",VLOOKUP($C448,Inventory!$B:$I,2,FALSE()),IF($E448="Non Inventory",VLOOKUP($C448,'Non Inventory'!$B:$I,2,FALSE()),IF($E448="Services",VLOOKUP($C448,Services!$B:$I,2,FALSE()),IF($E448="Patty Cash",VLOOKUP($C448,'Patty Cash'!$B:$J,2,FALSE()),"")))),"")</f>
        <v/>
      </c>
      <c r="E448" s="254"/>
      <c r="F448" s="263" t="str">
        <f>IFERROR(IF($E448="Inventory",VLOOKUP($C448,Inventory!$B:$I,3,FALSE()),IF($E448="Non Inventory",VLOOKUP($C448,'Non Inventory'!$B:$I,3,FALSE()),IF($E448="Services",VLOOKUP($C448,Services!$B:$I,3,FALSE()),IF($E448="Patty Cash",VLOOKUP($C448,'Patty Cash'!$B:$J,3,FALSE()),"")))),"")</f>
        <v/>
      </c>
      <c r="G448" s="374"/>
      <c r="H448" s="374" t="str">
        <f t="shared" si="14"/>
        <v/>
      </c>
      <c r="I448" s="252">
        <f>IFERROR(IF($E448="Inventory",VLOOKUP($C448,Inventory!$B:$I,8,FALSE()),IF($E448="Non Inventory",VLOOKUP($C448,'Non Inventory'!$B:$I,8,FALSE()),IF($E448="Services",VLOOKUP($C448,Services!$B:$I,8,FALSE()),IF($E448="Patty Cash",VLOOKUP($C448,'Patty Cash'!$B:$J,8,FALSE()),0)))),0)</f>
        <v>0</v>
      </c>
      <c r="J448" s="252" t="str">
        <f t="shared" si="15"/>
        <v/>
      </c>
      <c r="K448" s="253"/>
      <c r="L448" s="253"/>
      <c r="M448" s="253"/>
      <c r="N448" s="328"/>
    </row>
    <row r="449" spans="1:14" ht="20.100000000000001" customHeight="1">
      <c r="A449" s="327" t="str">
        <f>IF(AND($B449="",$C449=""),"",MAX($A$3:A448)+1)</f>
        <v/>
      </c>
      <c r="B449" s="262"/>
      <c r="C449" s="253"/>
      <c r="D449" s="249" t="str">
        <f>IFERROR(IF($E449="Inventory",VLOOKUP($C449,Inventory!$B:$I,2,FALSE()),IF($E449="Non Inventory",VLOOKUP($C449,'Non Inventory'!$B:$I,2,FALSE()),IF($E449="Services",VLOOKUP($C449,Services!$B:$I,2,FALSE()),IF($E449="Patty Cash",VLOOKUP($C449,'Patty Cash'!$B:$J,2,FALSE()),"")))),"")</f>
        <v/>
      </c>
      <c r="E449" s="254"/>
      <c r="F449" s="263" t="str">
        <f>IFERROR(IF($E449="Inventory",VLOOKUP($C449,Inventory!$B:$I,3,FALSE()),IF($E449="Non Inventory",VLOOKUP($C449,'Non Inventory'!$B:$I,3,FALSE()),IF($E449="Services",VLOOKUP($C449,Services!$B:$I,3,FALSE()),IF($E449="Patty Cash",VLOOKUP($C449,'Patty Cash'!$B:$J,3,FALSE()),"")))),"")</f>
        <v/>
      </c>
      <c r="G449" s="374"/>
      <c r="H449" s="374" t="str">
        <f t="shared" si="14"/>
        <v/>
      </c>
      <c r="I449" s="252">
        <f>IFERROR(IF($E449="Inventory",VLOOKUP($C449,Inventory!$B:$I,8,FALSE()),IF($E449="Non Inventory",VLOOKUP($C449,'Non Inventory'!$B:$I,8,FALSE()),IF($E449="Services",VLOOKUP($C449,Services!$B:$I,8,FALSE()),IF($E449="Patty Cash",VLOOKUP($C449,'Patty Cash'!$B:$J,8,FALSE()),0)))),0)</f>
        <v>0</v>
      </c>
      <c r="J449" s="252" t="str">
        <f t="shared" si="15"/>
        <v/>
      </c>
      <c r="K449" s="253"/>
      <c r="L449" s="253"/>
      <c r="M449" s="253"/>
      <c r="N449" s="328"/>
    </row>
    <row r="450" spans="1:14" ht="20.100000000000001" customHeight="1">
      <c r="A450" s="327" t="str">
        <f>IF(AND($B450="",$C450=""),"",MAX($A$3:A449)+1)</f>
        <v/>
      </c>
      <c r="B450" s="262"/>
      <c r="C450" s="253"/>
      <c r="D450" s="249" t="str">
        <f>IFERROR(IF($E450="Inventory",VLOOKUP($C450,Inventory!$B:$I,2,FALSE()),IF($E450="Non Inventory",VLOOKUP($C450,'Non Inventory'!$B:$I,2,FALSE()),IF($E450="Services",VLOOKUP($C450,Services!$B:$I,2,FALSE()),IF($E450="Patty Cash",VLOOKUP($C450,'Patty Cash'!$B:$J,2,FALSE()),"")))),"")</f>
        <v/>
      </c>
      <c r="E450" s="254"/>
      <c r="F450" s="263" t="str">
        <f>IFERROR(IF($E450="Inventory",VLOOKUP($C450,Inventory!$B:$I,3,FALSE()),IF($E450="Non Inventory",VLOOKUP($C450,'Non Inventory'!$B:$I,3,FALSE()),IF($E450="Services",VLOOKUP($C450,Services!$B:$I,3,FALSE()),IF($E450="Patty Cash",VLOOKUP($C450,'Patty Cash'!$B:$J,3,FALSE()),"")))),"")</f>
        <v/>
      </c>
      <c r="G450" s="374"/>
      <c r="H450" s="374" t="str">
        <f t="shared" si="14"/>
        <v/>
      </c>
      <c r="I450" s="252">
        <f>IFERROR(IF($E450="Inventory",VLOOKUP($C450,Inventory!$B:$I,8,FALSE()),IF($E450="Non Inventory",VLOOKUP($C450,'Non Inventory'!$B:$I,8,FALSE()),IF($E450="Services",VLOOKUP($C450,Services!$B:$I,8,FALSE()),IF($E450="Patty Cash",VLOOKUP($C450,'Patty Cash'!$B:$J,8,FALSE()),0)))),0)</f>
        <v>0</v>
      </c>
      <c r="J450" s="252" t="str">
        <f t="shared" si="15"/>
        <v/>
      </c>
      <c r="K450" s="253"/>
      <c r="L450" s="253"/>
      <c r="M450" s="253"/>
      <c r="N450" s="328"/>
    </row>
    <row r="451" spans="1:14" ht="20.100000000000001" customHeight="1">
      <c r="A451" s="327" t="str">
        <f>IF(AND($B451="",$C451=""),"",MAX($A$3:A450)+1)</f>
        <v/>
      </c>
      <c r="B451" s="262"/>
      <c r="C451" s="253"/>
      <c r="D451" s="249" t="str">
        <f>IFERROR(IF($E451="Inventory",VLOOKUP($C451,Inventory!$B:$I,2,FALSE()),IF($E451="Non Inventory",VLOOKUP($C451,'Non Inventory'!$B:$I,2,FALSE()),IF($E451="Services",VLOOKUP($C451,Services!$B:$I,2,FALSE()),IF($E451="Patty Cash",VLOOKUP($C451,'Patty Cash'!$B:$J,2,FALSE()),"")))),"")</f>
        <v/>
      </c>
      <c r="E451" s="254"/>
      <c r="F451" s="263" t="str">
        <f>IFERROR(IF($E451="Inventory",VLOOKUP($C451,Inventory!$B:$I,3,FALSE()),IF($E451="Non Inventory",VLOOKUP($C451,'Non Inventory'!$B:$I,3,FALSE()),IF($E451="Services",VLOOKUP($C451,Services!$B:$I,3,FALSE()),IF($E451="Patty Cash",VLOOKUP($C451,'Patty Cash'!$B:$J,3,FALSE()),"")))),"")</f>
        <v/>
      </c>
      <c r="G451" s="374"/>
      <c r="H451" s="374" t="str">
        <f t="shared" si="14"/>
        <v/>
      </c>
      <c r="I451" s="252">
        <f>IFERROR(IF($E451="Inventory",VLOOKUP($C451,Inventory!$B:$I,8,FALSE()),IF($E451="Non Inventory",VLOOKUP($C451,'Non Inventory'!$B:$I,8,FALSE()),IF($E451="Services",VLOOKUP($C451,Services!$B:$I,8,FALSE()),IF($E451="Patty Cash",VLOOKUP($C451,'Patty Cash'!$B:$J,8,FALSE()),0)))),0)</f>
        <v>0</v>
      </c>
      <c r="J451" s="252" t="str">
        <f t="shared" si="15"/>
        <v/>
      </c>
      <c r="K451" s="253"/>
      <c r="L451" s="253"/>
      <c r="M451" s="253"/>
      <c r="N451" s="328"/>
    </row>
    <row r="452" spans="1:14" ht="20.100000000000001" customHeight="1">
      <c r="A452" s="327" t="str">
        <f>IF(AND($B452="",$C452=""),"",MAX($A$3:A451)+1)</f>
        <v/>
      </c>
      <c r="B452" s="262"/>
      <c r="C452" s="253"/>
      <c r="D452" s="249" t="str">
        <f>IFERROR(IF($E452="Inventory",VLOOKUP($C452,Inventory!$B:$I,2,FALSE()),IF($E452="Non Inventory",VLOOKUP($C452,'Non Inventory'!$B:$I,2,FALSE()),IF($E452="Services",VLOOKUP($C452,Services!$B:$I,2,FALSE()),IF($E452="Patty Cash",VLOOKUP($C452,'Patty Cash'!$B:$J,2,FALSE()),"")))),"")</f>
        <v/>
      </c>
      <c r="E452" s="254"/>
      <c r="F452" s="263" t="str">
        <f>IFERROR(IF($E452="Inventory",VLOOKUP($C452,Inventory!$B:$I,3,FALSE()),IF($E452="Non Inventory",VLOOKUP($C452,'Non Inventory'!$B:$I,3,FALSE()),IF($E452="Services",VLOOKUP($C452,Services!$B:$I,3,FALSE()),IF($E452="Patty Cash",VLOOKUP($C452,'Patty Cash'!$B:$J,3,FALSE()),"")))),"")</f>
        <v/>
      </c>
      <c r="G452" s="374"/>
      <c r="H452" s="374" t="str">
        <f t="shared" si="14"/>
        <v/>
      </c>
      <c r="I452" s="252">
        <f>IFERROR(IF($E452="Inventory",VLOOKUP($C452,Inventory!$B:$I,8,FALSE()),IF($E452="Non Inventory",VLOOKUP($C452,'Non Inventory'!$B:$I,8,FALSE()),IF($E452="Services",VLOOKUP($C452,Services!$B:$I,8,FALSE()),IF($E452="Patty Cash",VLOOKUP($C452,'Patty Cash'!$B:$J,8,FALSE()),0)))),0)</f>
        <v>0</v>
      </c>
      <c r="J452" s="252" t="str">
        <f t="shared" si="15"/>
        <v/>
      </c>
      <c r="K452" s="253"/>
      <c r="L452" s="253"/>
      <c r="M452" s="253"/>
      <c r="N452" s="328"/>
    </row>
    <row r="453" spans="1:14" ht="20.100000000000001" customHeight="1">
      <c r="A453" s="327" t="str">
        <f>IF(AND($B453="",$C453=""),"",MAX($A$3:A452)+1)</f>
        <v/>
      </c>
      <c r="B453" s="262"/>
      <c r="C453" s="253"/>
      <c r="D453" s="249" t="str">
        <f>IFERROR(IF($E453="Inventory",VLOOKUP($C453,Inventory!$B:$I,2,FALSE()),IF($E453="Non Inventory",VLOOKUP($C453,'Non Inventory'!$B:$I,2,FALSE()),IF($E453="Services",VLOOKUP($C453,Services!$B:$I,2,FALSE()),IF($E453="Patty Cash",VLOOKUP($C453,'Patty Cash'!$B:$J,2,FALSE()),"")))),"")</f>
        <v/>
      </c>
      <c r="E453" s="254"/>
      <c r="F453" s="263" t="str">
        <f>IFERROR(IF($E453="Inventory",VLOOKUP($C453,Inventory!$B:$I,3,FALSE()),IF($E453="Non Inventory",VLOOKUP($C453,'Non Inventory'!$B:$I,3,FALSE()),IF($E453="Services",VLOOKUP($C453,Services!$B:$I,3,FALSE()),IF($E453="Patty Cash",VLOOKUP($C453,'Patty Cash'!$B:$J,3,FALSE()),"")))),"")</f>
        <v/>
      </c>
      <c r="G453" s="374"/>
      <c r="H453" s="374" t="str">
        <f t="shared" si="14"/>
        <v/>
      </c>
      <c r="I453" s="252">
        <f>IFERROR(IF($E453="Inventory",VLOOKUP($C453,Inventory!$B:$I,8,FALSE()),IF($E453="Non Inventory",VLOOKUP($C453,'Non Inventory'!$B:$I,8,FALSE()),IF($E453="Services",VLOOKUP($C453,Services!$B:$I,8,FALSE()),IF($E453="Patty Cash",VLOOKUP($C453,'Patty Cash'!$B:$J,8,FALSE()),0)))),0)</f>
        <v>0</v>
      </c>
      <c r="J453" s="252" t="str">
        <f t="shared" si="15"/>
        <v/>
      </c>
      <c r="K453" s="253"/>
      <c r="L453" s="253"/>
      <c r="M453" s="253"/>
      <c r="N453" s="328"/>
    </row>
    <row r="454" spans="1:14" ht="20.100000000000001" customHeight="1">
      <c r="A454" s="327" t="str">
        <f>IF(AND($B454="",$C454=""),"",MAX($A$3:A453)+1)</f>
        <v/>
      </c>
      <c r="B454" s="262"/>
      <c r="C454" s="253"/>
      <c r="D454" s="249" t="str">
        <f>IFERROR(IF($E454="Inventory",VLOOKUP($C454,Inventory!$B:$I,2,FALSE()),IF($E454="Non Inventory",VLOOKUP($C454,'Non Inventory'!$B:$I,2,FALSE()),IF($E454="Services",VLOOKUP($C454,Services!$B:$I,2,FALSE()),IF($E454="Patty Cash",VLOOKUP($C454,'Patty Cash'!$B:$J,2,FALSE()),"")))),"")</f>
        <v/>
      </c>
      <c r="E454" s="254"/>
      <c r="F454" s="263" t="str">
        <f>IFERROR(IF($E454="Inventory",VLOOKUP($C454,Inventory!$B:$I,3,FALSE()),IF($E454="Non Inventory",VLOOKUP($C454,'Non Inventory'!$B:$I,3,FALSE()),IF($E454="Services",VLOOKUP($C454,Services!$B:$I,3,FALSE()),IF($E454="Patty Cash",VLOOKUP($C454,'Patty Cash'!$B:$J,3,FALSE()),"")))),"")</f>
        <v/>
      </c>
      <c r="G454" s="374"/>
      <c r="H454" s="374" t="str">
        <f t="shared" si="14"/>
        <v/>
      </c>
      <c r="I454" s="252">
        <f>IFERROR(IF($E454="Inventory",VLOOKUP($C454,Inventory!$B:$I,8,FALSE()),IF($E454="Non Inventory",VLOOKUP($C454,'Non Inventory'!$B:$I,8,FALSE()),IF($E454="Services",VLOOKUP($C454,Services!$B:$I,8,FALSE()),IF($E454="Patty Cash",VLOOKUP($C454,'Patty Cash'!$B:$J,8,FALSE()),0)))),0)</f>
        <v>0</v>
      </c>
      <c r="J454" s="252" t="str">
        <f t="shared" si="15"/>
        <v/>
      </c>
      <c r="K454" s="253"/>
      <c r="L454" s="253"/>
      <c r="M454" s="253"/>
      <c r="N454" s="328"/>
    </row>
    <row r="455" spans="1:14" ht="20.100000000000001" customHeight="1">
      <c r="A455" s="327" t="str">
        <f>IF(AND($B455="",$C455=""),"",MAX($A$3:A454)+1)</f>
        <v/>
      </c>
      <c r="B455" s="262"/>
      <c r="C455" s="253"/>
      <c r="D455" s="249" t="str">
        <f>IFERROR(IF($E455="Inventory",VLOOKUP($C455,Inventory!$B:$I,2,FALSE()),IF($E455="Non Inventory",VLOOKUP($C455,'Non Inventory'!$B:$I,2,FALSE()),IF($E455="Services",VLOOKUP($C455,Services!$B:$I,2,FALSE()),IF($E455="Patty Cash",VLOOKUP($C455,'Patty Cash'!$B:$J,2,FALSE()),"")))),"")</f>
        <v/>
      </c>
      <c r="E455" s="254"/>
      <c r="F455" s="263" t="str">
        <f>IFERROR(IF($E455="Inventory",VLOOKUP($C455,Inventory!$B:$I,3,FALSE()),IF($E455="Non Inventory",VLOOKUP($C455,'Non Inventory'!$B:$I,3,FALSE()),IF($E455="Services",VLOOKUP($C455,Services!$B:$I,3,FALSE()),IF($E455="Patty Cash",VLOOKUP($C455,'Patty Cash'!$B:$J,3,FALSE()),"")))),"")</f>
        <v/>
      </c>
      <c r="G455" s="374"/>
      <c r="H455" s="374" t="str">
        <f t="shared" si="14"/>
        <v/>
      </c>
      <c r="I455" s="252">
        <f>IFERROR(IF($E455="Inventory",VLOOKUP($C455,Inventory!$B:$I,8,FALSE()),IF($E455="Non Inventory",VLOOKUP($C455,'Non Inventory'!$B:$I,8,FALSE()),IF($E455="Services",VLOOKUP($C455,Services!$B:$I,8,FALSE()),IF($E455="Patty Cash",VLOOKUP($C455,'Patty Cash'!$B:$J,8,FALSE()),0)))),0)</f>
        <v>0</v>
      </c>
      <c r="J455" s="252" t="str">
        <f t="shared" si="15"/>
        <v/>
      </c>
      <c r="K455" s="253"/>
      <c r="L455" s="253"/>
      <c r="M455" s="253"/>
      <c r="N455" s="328"/>
    </row>
    <row r="456" spans="1:14" ht="20.100000000000001" customHeight="1">
      <c r="A456" s="327" t="str">
        <f>IF(AND($B456="",$C456=""),"",MAX($A$3:A455)+1)</f>
        <v/>
      </c>
      <c r="B456" s="262"/>
      <c r="C456" s="253"/>
      <c r="D456" s="249" t="str">
        <f>IFERROR(IF($E456="Inventory",VLOOKUP($C456,Inventory!$B:$I,2,FALSE()),IF($E456="Non Inventory",VLOOKUP($C456,'Non Inventory'!$B:$I,2,FALSE()),IF($E456="Services",VLOOKUP($C456,Services!$B:$I,2,FALSE()),IF($E456="Patty Cash",VLOOKUP($C456,'Patty Cash'!$B:$J,2,FALSE()),"")))),"")</f>
        <v/>
      </c>
      <c r="E456" s="254"/>
      <c r="F456" s="263" t="str">
        <f>IFERROR(IF($E456="Inventory",VLOOKUP($C456,Inventory!$B:$I,3,FALSE()),IF($E456="Non Inventory",VLOOKUP($C456,'Non Inventory'!$B:$I,3,FALSE()),IF($E456="Services",VLOOKUP($C456,Services!$B:$I,3,FALSE()),IF($E456="Patty Cash",VLOOKUP($C456,'Patty Cash'!$B:$J,3,FALSE()),"")))),"")</f>
        <v/>
      </c>
      <c r="G456" s="374"/>
      <c r="H456" s="374" t="str">
        <f t="shared" si="14"/>
        <v/>
      </c>
      <c r="I456" s="252">
        <f>IFERROR(IF($E456="Inventory",VLOOKUP($C456,Inventory!$B:$I,8,FALSE()),IF($E456="Non Inventory",VLOOKUP($C456,'Non Inventory'!$B:$I,8,FALSE()),IF($E456="Services",VLOOKUP($C456,Services!$B:$I,8,FALSE()),IF($E456="Patty Cash",VLOOKUP($C456,'Patty Cash'!$B:$J,8,FALSE()),0)))),0)</f>
        <v>0</v>
      </c>
      <c r="J456" s="252" t="str">
        <f t="shared" si="15"/>
        <v/>
      </c>
      <c r="K456" s="253"/>
      <c r="L456" s="253"/>
      <c r="M456" s="253"/>
      <c r="N456" s="328"/>
    </row>
    <row r="457" spans="1:14" ht="20.100000000000001" customHeight="1">
      <c r="A457" s="327" t="str">
        <f>IF(AND($B457="",$C457=""),"",MAX($A$3:A456)+1)</f>
        <v/>
      </c>
      <c r="B457" s="262"/>
      <c r="C457" s="253"/>
      <c r="D457" s="249" t="str">
        <f>IFERROR(IF($E457="Inventory",VLOOKUP($C457,Inventory!$B:$I,2,FALSE()),IF($E457="Non Inventory",VLOOKUP($C457,'Non Inventory'!$B:$I,2,FALSE()),IF($E457="Services",VLOOKUP($C457,Services!$B:$I,2,FALSE()),IF($E457="Patty Cash",VLOOKUP($C457,'Patty Cash'!$B:$J,2,FALSE()),"")))),"")</f>
        <v/>
      </c>
      <c r="E457" s="254"/>
      <c r="F457" s="263" t="str">
        <f>IFERROR(IF($E457="Inventory",VLOOKUP($C457,Inventory!$B:$I,3,FALSE()),IF($E457="Non Inventory",VLOOKUP($C457,'Non Inventory'!$B:$I,3,FALSE()),IF($E457="Services",VLOOKUP($C457,Services!$B:$I,3,FALSE()),IF($E457="Patty Cash",VLOOKUP($C457,'Patty Cash'!$B:$J,3,FALSE()),"")))),"")</f>
        <v/>
      </c>
      <c r="G457" s="374"/>
      <c r="H457" s="374" t="str">
        <f t="shared" si="14"/>
        <v/>
      </c>
      <c r="I457" s="252">
        <f>IFERROR(IF($E457="Inventory",VLOOKUP($C457,Inventory!$B:$I,8,FALSE()),IF($E457="Non Inventory",VLOOKUP($C457,'Non Inventory'!$B:$I,8,FALSE()),IF($E457="Services",VLOOKUP($C457,Services!$B:$I,8,FALSE()),IF($E457="Patty Cash",VLOOKUP($C457,'Patty Cash'!$B:$J,8,FALSE()),0)))),0)</f>
        <v>0</v>
      </c>
      <c r="J457" s="252" t="str">
        <f t="shared" si="15"/>
        <v/>
      </c>
      <c r="K457" s="253"/>
      <c r="L457" s="253"/>
      <c r="M457" s="253"/>
      <c r="N457" s="328"/>
    </row>
    <row r="458" spans="1:14" ht="20.100000000000001" customHeight="1">
      <c r="A458" s="327" t="str">
        <f>IF(AND($B458="",$C458=""),"",MAX($A$3:A457)+1)</f>
        <v/>
      </c>
      <c r="B458" s="262"/>
      <c r="C458" s="253"/>
      <c r="D458" s="249" t="str">
        <f>IFERROR(IF($E458="Inventory",VLOOKUP($C458,Inventory!$B:$I,2,FALSE()),IF($E458="Non Inventory",VLOOKUP($C458,'Non Inventory'!$B:$I,2,FALSE()),IF($E458="Services",VLOOKUP($C458,Services!$B:$I,2,FALSE()),IF($E458="Patty Cash",VLOOKUP($C458,'Patty Cash'!$B:$J,2,FALSE()),"")))),"")</f>
        <v/>
      </c>
      <c r="E458" s="254"/>
      <c r="F458" s="263" t="str">
        <f>IFERROR(IF($E458="Inventory",VLOOKUP($C458,Inventory!$B:$I,3,FALSE()),IF($E458="Non Inventory",VLOOKUP($C458,'Non Inventory'!$B:$I,3,FALSE()),IF($E458="Services",VLOOKUP($C458,Services!$B:$I,3,FALSE()),IF($E458="Patty Cash",VLOOKUP($C458,'Patty Cash'!$B:$J,3,FALSE()),"")))),"")</f>
        <v/>
      </c>
      <c r="G458" s="374"/>
      <c r="H458" s="374" t="str">
        <f t="shared" si="14"/>
        <v/>
      </c>
      <c r="I458" s="252">
        <f>IFERROR(IF($E458="Inventory",VLOOKUP($C458,Inventory!$B:$I,8,FALSE()),IF($E458="Non Inventory",VLOOKUP($C458,'Non Inventory'!$B:$I,8,FALSE()),IF($E458="Services",VLOOKUP($C458,Services!$B:$I,8,FALSE()),IF($E458="Patty Cash",VLOOKUP($C458,'Patty Cash'!$B:$J,8,FALSE()),0)))),0)</f>
        <v>0</v>
      </c>
      <c r="J458" s="252" t="str">
        <f t="shared" si="15"/>
        <v/>
      </c>
      <c r="K458" s="253"/>
      <c r="L458" s="253"/>
      <c r="M458" s="253"/>
      <c r="N458" s="328"/>
    </row>
    <row r="459" spans="1:14" ht="20.100000000000001" customHeight="1">
      <c r="A459" s="327" t="str">
        <f>IF(AND($B459="",$C459=""),"",MAX($A$3:A458)+1)</f>
        <v/>
      </c>
      <c r="B459" s="262"/>
      <c r="C459" s="253"/>
      <c r="D459" s="249" t="str">
        <f>IFERROR(IF($E459="Inventory",VLOOKUP($C459,Inventory!$B:$I,2,FALSE()),IF($E459="Non Inventory",VLOOKUP($C459,'Non Inventory'!$B:$I,2,FALSE()),IF($E459="Services",VLOOKUP($C459,Services!$B:$I,2,FALSE()),IF($E459="Patty Cash",VLOOKUP($C459,'Patty Cash'!$B:$J,2,FALSE()),"")))),"")</f>
        <v/>
      </c>
      <c r="E459" s="254"/>
      <c r="F459" s="263" t="str">
        <f>IFERROR(IF($E459="Inventory",VLOOKUP($C459,Inventory!$B:$I,3,FALSE()),IF($E459="Non Inventory",VLOOKUP($C459,'Non Inventory'!$B:$I,3,FALSE()),IF($E459="Services",VLOOKUP($C459,Services!$B:$I,3,FALSE()),IF($E459="Patty Cash",VLOOKUP($C459,'Patty Cash'!$B:$J,3,FALSE()),"")))),"")</f>
        <v/>
      </c>
      <c r="G459" s="374"/>
      <c r="H459" s="374" t="str">
        <f t="shared" si="14"/>
        <v/>
      </c>
      <c r="I459" s="252">
        <f>IFERROR(IF($E459="Inventory",VLOOKUP($C459,Inventory!$B:$I,8,FALSE()),IF($E459="Non Inventory",VLOOKUP($C459,'Non Inventory'!$B:$I,8,FALSE()),IF($E459="Services",VLOOKUP($C459,Services!$B:$I,8,FALSE()),IF($E459="Patty Cash",VLOOKUP($C459,'Patty Cash'!$B:$J,8,FALSE()),0)))),0)</f>
        <v>0</v>
      </c>
      <c r="J459" s="252" t="str">
        <f t="shared" si="15"/>
        <v/>
      </c>
      <c r="K459" s="253"/>
      <c r="L459" s="253"/>
      <c r="M459" s="253"/>
      <c r="N459" s="328"/>
    </row>
    <row r="460" spans="1:14" ht="20.100000000000001" customHeight="1">
      <c r="A460" s="327" t="str">
        <f>IF(AND($B460="",$C460=""),"",MAX($A$3:A459)+1)</f>
        <v/>
      </c>
      <c r="B460" s="262"/>
      <c r="C460" s="253"/>
      <c r="D460" s="249" t="str">
        <f>IFERROR(IF($E460="Inventory",VLOOKUP($C460,Inventory!$B:$I,2,FALSE()),IF($E460="Non Inventory",VLOOKUP($C460,'Non Inventory'!$B:$I,2,FALSE()),IF($E460="Services",VLOOKUP($C460,Services!$B:$I,2,FALSE()),IF($E460="Patty Cash",VLOOKUP($C460,'Patty Cash'!$B:$J,2,FALSE()),"")))),"")</f>
        <v/>
      </c>
      <c r="E460" s="254"/>
      <c r="F460" s="263" t="str">
        <f>IFERROR(IF($E460="Inventory",VLOOKUP($C460,Inventory!$B:$I,3,FALSE()),IF($E460="Non Inventory",VLOOKUP($C460,'Non Inventory'!$B:$I,3,FALSE()),IF($E460="Services",VLOOKUP($C460,Services!$B:$I,3,FALSE()),IF($E460="Patty Cash",VLOOKUP($C460,'Patty Cash'!$B:$J,3,FALSE()),"")))),"")</f>
        <v/>
      </c>
      <c r="G460" s="374"/>
      <c r="H460" s="374" t="str">
        <f t="shared" si="14"/>
        <v/>
      </c>
      <c r="I460" s="252">
        <f>IFERROR(IF($E460="Inventory",VLOOKUP($C460,Inventory!$B:$I,8,FALSE()),IF($E460="Non Inventory",VLOOKUP($C460,'Non Inventory'!$B:$I,8,FALSE()),IF($E460="Services",VLOOKUP($C460,Services!$B:$I,8,FALSE()),IF($E460="Patty Cash",VLOOKUP($C460,'Patty Cash'!$B:$J,8,FALSE()),0)))),0)</f>
        <v>0</v>
      </c>
      <c r="J460" s="252" t="str">
        <f t="shared" si="15"/>
        <v/>
      </c>
      <c r="K460" s="253"/>
      <c r="L460" s="253"/>
      <c r="M460" s="253"/>
      <c r="N460" s="328"/>
    </row>
    <row r="461" spans="1:14" ht="20.100000000000001" customHeight="1">
      <c r="A461" s="327" t="str">
        <f>IF(AND($B461="",$C461=""),"",MAX($A$3:A460)+1)</f>
        <v/>
      </c>
      <c r="B461" s="262"/>
      <c r="C461" s="253"/>
      <c r="D461" s="249" t="str">
        <f>IFERROR(IF($E461="Inventory",VLOOKUP($C461,Inventory!$B:$I,2,FALSE()),IF($E461="Non Inventory",VLOOKUP($C461,'Non Inventory'!$B:$I,2,FALSE()),IF($E461="Services",VLOOKUP($C461,Services!$B:$I,2,FALSE()),IF($E461="Patty Cash",VLOOKUP($C461,'Patty Cash'!$B:$J,2,FALSE()),"")))),"")</f>
        <v/>
      </c>
      <c r="E461" s="254"/>
      <c r="F461" s="263" t="str">
        <f>IFERROR(IF($E461="Inventory",VLOOKUP($C461,Inventory!$B:$I,3,FALSE()),IF($E461="Non Inventory",VLOOKUP($C461,'Non Inventory'!$B:$I,3,FALSE()),IF($E461="Services",VLOOKUP($C461,Services!$B:$I,3,FALSE()),IF($E461="Patty Cash",VLOOKUP($C461,'Patty Cash'!$B:$J,3,FALSE()),"")))),"")</f>
        <v/>
      </c>
      <c r="G461" s="374"/>
      <c r="H461" s="374" t="str">
        <f t="shared" si="14"/>
        <v/>
      </c>
      <c r="I461" s="252">
        <f>IFERROR(IF($E461="Inventory",VLOOKUP($C461,Inventory!$B:$I,8,FALSE()),IF($E461="Non Inventory",VLOOKUP($C461,'Non Inventory'!$B:$I,8,FALSE()),IF($E461="Services",VLOOKUP($C461,Services!$B:$I,8,FALSE()),IF($E461="Patty Cash",VLOOKUP($C461,'Patty Cash'!$B:$J,8,FALSE()),0)))),0)</f>
        <v>0</v>
      </c>
      <c r="J461" s="252" t="str">
        <f t="shared" si="15"/>
        <v/>
      </c>
      <c r="K461" s="253"/>
      <c r="L461" s="253"/>
      <c r="M461" s="253"/>
      <c r="N461" s="328"/>
    </row>
    <row r="462" spans="1:14" ht="20.100000000000001" customHeight="1">
      <c r="A462" s="327" t="str">
        <f>IF(AND($B462="",$C462=""),"",MAX($A$3:A461)+1)</f>
        <v/>
      </c>
      <c r="B462" s="262"/>
      <c r="C462" s="253"/>
      <c r="D462" s="249" t="str">
        <f>IFERROR(IF($E462="Inventory",VLOOKUP($C462,Inventory!$B:$I,2,FALSE()),IF($E462="Non Inventory",VLOOKUP($C462,'Non Inventory'!$B:$I,2,FALSE()),IF($E462="Services",VLOOKUP($C462,Services!$B:$I,2,FALSE()),IF($E462="Patty Cash",VLOOKUP($C462,'Patty Cash'!$B:$J,2,FALSE()),"")))),"")</f>
        <v/>
      </c>
      <c r="E462" s="254"/>
      <c r="F462" s="263" t="str">
        <f>IFERROR(IF($E462="Inventory",VLOOKUP($C462,Inventory!$B:$I,3,FALSE()),IF($E462="Non Inventory",VLOOKUP($C462,'Non Inventory'!$B:$I,3,FALSE()),IF($E462="Services",VLOOKUP($C462,Services!$B:$I,3,FALSE()),IF($E462="Patty Cash",VLOOKUP($C462,'Patty Cash'!$B:$J,3,FALSE()),"")))),"")</f>
        <v/>
      </c>
      <c r="G462" s="374"/>
      <c r="H462" s="374" t="str">
        <f t="shared" si="14"/>
        <v/>
      </c>
      <c r="I462" s="252">
        <f>IFERROR(IF($E462="Inventory",VLOOKUP($C462,Inventory!$B:$I,8,FALSE()),IF($E462="Non Inventory",VLOOKUP($C462,'Non Inventory'!$B:$I,8,FALSE()),IF($E462="Services",VLOOKUP($C462,Services!$B:$I,8,FALSE()),IF($E462="Patty Cash",VLOOKUP($C462,'Patty Cash'!$B:$J,8,FALSE()),0)))),0)</f>
        <v>0</v>
      </c>
      <c r="J462" s="252" t="str">
        <f t="shared" si="15"/>
        <v/>
      </c>
      <c r="K462" s="253"/>
      <c r="L462" s="253"/>
      <c r="M462" s="253"/>
      <c r="N462" s="328"/>
    </row>
    <row r="463" spans="1:14" ht="20.100000000000001" customHeight="1">
      <c r="A463" s="327" t="str">
        <f>IF(AND($B463="",$C463=""),"",MAX($A$3:A462)+1)</f>
        <v/>
      </c>
      <c r="B463" s="262"/>
      <c r="C463" s="253"/>
      <c r="D463" s="249" t="str">
        <f>IFERROR(IF($E463="Inventory",VLOOKUP($C463,Inventory!$B:$I,2,FALSE()),IF($E463="Non Inventory",VLOOKUP($C463,'Non Inventory'!$B:$I,2,FALSE()),IF($E463="Services",VLOOKUP($C463,Services!$B:$I,2,FALSE()),IF($E463="Patty Cash",VLOOKUP($C463,'Patty Cash'!$B:$J,2,FALSE()),"")))),"")</f>
        <v/>
      </c>
      <c r="E463" s="254"/>
      <c r="F463" s="263" t="str">
        <f>IFERROR(IF($E463="Inventory",VLOOKUP($C463,Inventory!$B:$I,3,FALSE()),IF($E463="Non Inventory",VLOOKUP($C463,'Non Inventory'!$B:$I,3,FALSE()),IF($E463="Services",VLOOKUP($C463,Services!$B:$I,3,FALSE()),IF($E463="Patty Cash",VLOOKUP($C463,'Patty Cash'!$B:$J,3,FALSE()),"")))),"")</f>
        <v/>
      </c>
      <c r="G463" s="374"/>
      <c r="H463" s="374" t="str">
        <f t="shared" si="14"/>
        <v/>
      </c>
      <c r="I463" s="252">
        <f>IFERROR(IF($E463="Inventory",VLOOKUP($C463,Inventory!$B:$I,8,FALSE()),IF($E463="Non Inventory",VLOOKUP($C463,'Non Inventory'!$B:$I,8,FALSE()),IF($E463="Services",VLOOKUP($C463,Services!$B:$I,8,FALSE()),IF($E463="Patty Cash",VLOOKUP($C463,'Patty Cash'!$B:$J,8,FALSE()),0)))),0)</f>
        <v>0</v>
      </c>
      <c r="J463" s="252" t="str">
        <f t="shared" si="15"/>
        <v/>
      </c>
      <c r="K463" s="253"/>
      <c r="L463" s="253"/>
      <c r="M463" s="253"/>
      <c r="N463" s="328"/>
    </row>
    <row r="464" spans="1:14" ht="20.100000000000001" customHeight="1">
      <c r="A464" s="327" t="str">
        <f>IF(AND($B464="",$C464=""),"",MAX($A$3:A463)+1)</f>
        <v/>
      </c>
      <c r="B464" s="262"/>
      <c r="C464" s="253"/>
      <c r="D464" s="249" t="str">
        <f>IFERROR(IF($E464="Inventory",VLOOKUP($C464,Inventory!$B:$I,2,FALSE()),IF($E464="Non Inventory",VLOOKUP($C464,'Non Inventory'!$B:$I,2,FALSE()),IF($E464="Services",VLOOKUP($C464,Services!$B:$I,2,FALSE()),IF($E464="Patty Cash",VLOOKUP($C464,'Patty Cash'!$B:$J,2,FALSE()),"")))),"")</f>
        <v/>
      </c>
      <c r="E464" s="254"/>
      <c r="F464" s="263" t="str">
        <f>IFERROR(IF($E464="Inventory",VLOOKUP($C464,Inventory!$B:$I,3,FALSE()),IF($E464="Non Inventory",VLOOKUP($C464,'Non Inventory'!$B:$I,3,FALSE()),IF($E464="Services",VLOOKUP($C464,Services!$B:$I,3,FALSE()),IF($E464="Patty Cash",VLOOKUP($C464,'Patty Cash'!$B:$J,3,FALSE()),"")))),"")</f>
        <v/>
      </c>
      <c r="G464" s="374"/>
      <c r="H464" s="374" t="str">
        <f t="shared" si="14"/>
        <v/>
      </c>
      <c r="I464" s="252">
        <f>IFERROR(IF($E464="Inventory",VLOOKUP($C464,Inventory!$B:$I,8,FALSE()),IF($E464="Non Inventory",VLOOKUP($C464,'Non Inventory'!$B:$I,8,FALSE()),IF($E464="Services",VLOOKUP($C464,Services!$B:$I,8,FALSE()),IF($E464="Patty Cash",VLOOKUP($C464,'Patty Cash'!$B:$J,8,FALSE()),0)))),0)</f>
        <v>0</v>
      </c>
      <c r="J464" s="252" t="str">
        <f t="shared" si="15"/>
        <v/>
      </c>
      <c r="K464" s="253"/>
      <c r="L464" s="253"/>
      <c r="M464" s="253"/>
      <c r="N464" s="328"/>
    </row>
    <row r="465" spans="1:14" ht="20.100000000000001" customHeight="1">
      <c r="A465" s="327" t="str">
        <f>IF(AND($B465="",$C465=""),"",MAX($A$3:A464)+1)</f>
        <v/>
      </c>
      <c r="B465" s="262"/>
      <c r="C465" s="253"/>
      <c r="D465" s="249" t="str">
        <f>IFERROR(IF($E465="Inventory",VLOOKUP($C465,Inventory!$B:$I,2,FALSE()),IF($E465="Non Inventory",VLOOKUP($C465,'Non Inventory'!$B:$I,2,FALSE()),IF($E465="Services",VLOOKUP($C465,Services!$B:$I,2,FALSE()),IF($E465="Patty Cash",VLOOKUP($C465,'Patty Cash'!$B:$J,2,FALSE()),"")))),"")</f>
        <v/>
      </c>
      <c r="E465" s="254"/>
      <c r="F465" s="263" t="str">
        <f>IFERROR(IF($E465="Inventory",VLOOKUP($C465,Inventory!$B:$I,3,FALSE()),IF($E465="Non Inventory",VLOOKUP($C465,'Non Inventory'!$B:$I,3,FALSE()),IF($E465="Services",VLOOKUP($C465,Services!$B:$I,3,FALSE()),IF($E465="Patty Cash",VLOOKUP($C465,'Patty Cash'!$B:$J,3,FALSE()),"")))),"")</f>
        <v/>
      </c>
      <c r="G465" s="374"/>
      <c r="H465" s="374" t="str">
        <f t="shared" si="14"/>
        <v/>
      </c>
      <c r="I465" s="252">
        <f>IFERROR(IF($E465="Inventory",VLOOKUP($C465,Inventory!$B:$I,8,FALSE()),IF($E465="Non Inventory",VLOOKUP($C465,'Non Inventory'!$B:$I,8,FALSE()),IF($E465="Services",VLOOKUP($C465,Services!$B:$I,8,FALSE()),IF($E465="Patty Cash",VLOOKUP($C465,'Patty Cash'!$B:$J,8,FALSE()),0)))),0)</f>
        <v>0</v>
      </c>
      <c r="J465" s="252" t="str">
        <f t="shared" si="15"/>
        <v/>
      </c>
      <c r="K465" s="253"/>
      <c r="L465" s="253"/>
      <c r="M465" s="253"/>
      <c r="N465" s="328"/>
    </row>
    <row r="466" spans="1:14" ht="20.100000000000001" customHeight="1">
      <c r="A466" s="327" t="str">
        <f>IF(AND($B466="",$C466=""),"",MAX($A$3:A465)+1)</f>
        <v/>
      </c>
      <c r="B466" s="262"/>
      <c r="C466" s="253"/>
      <c r="D466" s="249" t="str">
        <f>IFERROR(IF($E466="Inventory",VLOOKUP($C466,Inventory!$B:$I,2,FALSE()),IF($E466="Non Inventory",VLOOKUP($C466,'Non Inventory'!$B:$I,2,FALSE()),IF($E466="Services",VLOOKUP($C466,Services!$B:$I,2,FALSE()),IF($E466="Patty Cash",VLOOKUP($C466,'Patty Cash'!$B:$J,2,FALSE()),"")))),"")</f>
        <v/>
      </c>
      <c r="E466" s="254"/>
      <c r="F466" s="263" t="str">
        <f>IFERROR(IF($E466="Inventory",VLOOKUP($C466,Inventory!$B:$I,3,FALSE()),IF($E466="Non Inventory",VLOOKUP($C466,'Non Inventory'!$B:$I,3,FALSE()),IF($E466="Services",VLOOKUP($C466,Services!$B:$I,3,FALSE()),IF($E466="Patty Cash",VLOOKUP($C466,'Patty Cash'!$B:$J,3,FALSE()),"")))),"")</f>
        <v/>
      </c>
      <c r="G466" s="374"/>
      <c r="H466" s="374" t="str">
        <f t="shared" si="14"/>
        <v/>
      </c>
      <c r="I466" s="252">
        <f>IFERROR(IF($E466="Inventory",VLOOKUP($C466,Inventory!$B:$I,8,FALSE()),IF($E466="Non Inventory",VLOOKUP($C466,'Non Inventory'!$B:$I,8,FALSE()),IF($E466="Services",VLOOKUP($C466,Services!$B:$I,8,FALSE()),IF($E466="Patty Cash",VLOOKUP($C466,'Patty Cash'!$B:$J,8,FALSE()),0)))),0)</f>
        <v>0</v>
      </c>
      <c r="J466" s="252" t="str">
        <f t="shared" si="15"/>
        <v/>
      </c>
      <c r="K466" s="253"/>
      <c r="L466" s="253"/>
      <c r="M466" s="253"/>
      <c r="N466" s="328"/>
    </row>
    <row r="467" spans="1:14" ht="20.100000000000001" customHeight="1">
      <c r="A467" s="327" t="str">
        <f>IF(AND($B467="",$C467=""),"",MAX($A$3:A466)+1)</f>
        <v/>
      </c>
      <c r="B467" s="262"/>
      <c r="C467" s="253"/>
      <c r="D467" s="249" t="str">
        <f>IFERROR(IF($E467="Inventory",VLOOKUP($C467,Inventory!$B:$I,2,FALSE()),IF($E467="Non Inventory",VLOOKUP($C467,'Non Inventory'!$B:$I,2,FALSE()),IF($E467="Services",VLOOKUP($C467,Services!$B:$I,2,FALSE()),IF($E467="Patty Cash",VLOOKUP($C467,'Patty Cash'!$B:$J,2,FALSE()),"")))),"")</f>
        <v/>
      </c>
      <c r="E467" s="254"/>
      <c r="F467" s="263" t="str">
        <f>IFERROR(IF($E467="Inventory",VLOOKUP($C467,Inventory!$B:$I,3,FALSE()),IF($E467="Non Inventory",VLOOKUP($C467,'Non Inventory'!$B:$I,3,FALSE()),IF($E467="Services",VLOOKUP($C467,Services!$B:$I,3,FALSE()),IF($E467="Patty Cash",VLOOKUP($C467,'Patty Cash'!$B:$J,3,FALSE()),"")))),"")</f>
        <v/>
      </c>
      <c r="G467" s="374"/>
      <c r="H467" s="374" t="str">
        <f t="shared" si="14"/>
        <v/>
      </c>
      <c r="I467" s="252">
        <f>IFERROR(IF($E467="Inventory",VLOOKUP($C467,Inventory!$B:$I,8,FALSE()),IF($E467="Non Inventory",VLOOKUP($C467,'Non Inventory'!$B:$I,8,FALSE()),IF($E467="Services",VLOOKUP($C467,Services!$B:$I,8,FALSE()),IF($E467="Patty Cash",VLOOKUP($C467,'Patty Cash'!$B:$J,8,FALSE()),0)))),0)</f>
        <v>0</v>
      </c>
      <c r="J467" s="252" t="str">
        <f t="shared" si="15"/>
        <v/>
      </c>
      <c r="K467" s="253"/>
      <c r="L467" s="253"/>
      <c r="M467" s="253"/>
      <c r="N467" s="328"/>
    </row>
    <row r="468" spans="1:14" ht="20.100000000000001" customHeight="1">
      <c r="A468" s="327" t="str">
        <f>IF(AND($B468="",$C468=""),"",MAX($A$3:A467)+1)</f>
        <v/>
      </c>
      <c r="B468" s="262"/>
      <c r="C468" s="253"/>
      <c r="D468" s="249" t="str">
        <f>IFERROR(IF($E468="Inventory",VLOOKUP($C468,Inventory!$B:$I,2,FALSE()),IF($E468="Non Inventory",VLOOKUP($C468,'Non Inventory'!$B:$I,2,FALSE()),IF($E468="Services",VLOOKUP($C468,Services!$B:$I,2,FALSE()),IF($E468="Patty Cash",VLOOKUP($C468,'Patty Cash'!$B:$J,2,FALSE()),"")))),"")</f>
        <v/>
      </c>
      <c r="E468" s="254"/>
      <c r="F468" s="263" t="str">
        <f>IFERROR(IF($E468="Inventory",VLOOKUP($C468,Inventory!$B:$I,3,FALSE()),IF($E468="Non Inventory",VLOOKUP($C468,'Non Inventory'!$B:$I,3,FALSE()),IF($E468="Services",VLOOKUP($C468,Services!$B:$I,3,FALSE()),IF($E468="Patty Cash",VLOOKUP($C468,'Patty Cash'!$B:$J,3,FALSE()),"")))),"")</f>
        <v/>
      </c>
      <c r="G468" s="374"/>
      <c r="H468" s="374" t="str">
        <f t="shared" si="14"/>
        <v/>
      </c>
      <c r="I468" s="252">
        <f>IFERROR(IF($E468="Inventory",VLOOKUP($C468,Inventory!$B:$I,8,FALSE()),IF($E468="Non Inventory",VLOOKUP($C468,'Non Inventory'!$B:$I,8,FALSE()),IF($E468="Services",VLOOKUP($C468,Services!$B:$I,8,FALSE()),IF($E468="Patty Cash",VLOOKUP($C468,'Patty Cash'!$B:$J,8,FALSE()),0)))),0)</f>
        <v>0</v>
      </c>
      <c r="J468" s="252" t="str">
        <f t="shared" si="15"/>
        <v/>
      </c>
      <c r="K468" s="253"/>
      <c r="L468" s="253"/>
      <c r="M468" s="253"/>
      <c r="N468" s="328"/>
    </row>
    <row r="469" spans="1:14" ht="20.100000000000001" customHeight="1">
      <c r="A469" s="327" t="str">
        <f>IF(AND($B469="",$C469=""),"",MAX($A$3:A468)+1)</f>
        <v/>
      </c>
      <c r="B469" s="262"/>
      <c r="C469" s="253"/>
      <c r="D469" s="249" t="str">
        <f>IFERROR(IF($E469="Inventory",VLOOKUP($C469,Inventory!$B:$I,2,FALSE()),IF($E469="Non Inventory",VLOOKUP($C469,'Non Inventory'!$B:$I,2,FALSE()),IF($E469="Services",VLOOKUP($C469,Services!$B:$I,2,FALSE()),IF($E469="Patty Cash",VLOOKUP($C469,'Patty Cash'!$B:$J,2,FALSE()),"")))),"")</f>
        <v/>
      </c>
      <c r="E469" s="254"/>
      <c r="F469" s="263" t="str">
        <f>IFERROR(IF($E469="Inventory",VLOOKUP($C469,Inventory!$B:$I,3,FALSE()),IF($E469="Non Inventory",VLOOKUP($C469,'Non Inventory'!$B:$I,3,FALSE()),IF($E469="Services",VLOOKUP($C469,Services!$B:$I,3,FALSE()),IF($E469="Patty Cash",VLOOKUP($C469,'Patty Cash'!$B:$J,3,FALSE()),"")))),"")</f>
        <v/>
      </c>
      <c r="G469" s="374"/>
      <c r="H469" s="374" t="str">
        <f t="shared" si="14"/>
        <v/>
      </c>
      <c r="I469" s="252">
        <f>IFERROR(IF($E469="Inventory",VLOOKUP($C469,Inventory!$B:$I,8,FALSE()),IF($E469="Non Inventory",VLOOKUP($C469,'Non Inventory'!$B:$I,8,FALSE()),IF($E469="Services",VLOOKUP($C469,Services!$B:$I,8,FALSE()),IF($E469="Patty Cash",VLOOKUP($C469,'Patty Cash'!$B:$J,8,FALSE()),0)))),0)</f>
        <v>0</v>
      </c>
      <c r="J469" s="252" t="str">
        <f t="shared" si="15"/>
        <v/>
      </c>
      <c r="K469" s="253"/>
      <c r="L469" s="253"/>
      <c r="M469" s="253"/>
      <c r="N469" s="328"/>
    </row>
    <row r="470" spans="1:14" ht="20.100000000000001" customHeight="1">
      <c r="A470" s="327" t="str">
        <f>IF(AND($B470="",$C470=""),"",MAX($A$3:A469)+1)</f>
        <v/>
      </c>
      <c r="B470" s="262"/>
      <c r="C470" s="253"/>
      <c r="D470" s="249" t="str">
        <f>IFERROR(IF($E470="Inventory",VLOOKUP($C470,Inventory!$B:$I,2,FALSE()),IF($E470="Non Inventory",VLOOKUP($C470,'Non Inventory'!$B:$I,2,FALSE()),IF($E470="Services",VLOOKUP($C470,Services!$B:$I,2,FALSE()),IF($E470="Patty Cash",VLOOKUP($C470,'Patty Cash'!$B:$J,2,FALSE()),"")))),"")</f>
        <v/>
      </c>
      <c r="E470" s="254"/>
      <c r="F470" s="263" t="str">
        <f>IFERROR(IF($E470="Inventory",VLOOKUP($C470,Inventory!$B:$I,3,FALSE()),IF($E470="Non Inventory",VLOOKUP($C470,'Non Inventory'!$B:$I,3,FALSE()),IF($E470="Services",VLOOKUP($C470,Services!$B:$I,3,FALSE()),IF($E470="Patty Cash",VLOOKUP($C470,'Patty Cash'!$B:$J,3,FALSE()),"")))),"")</f>
        <v/>
      </c>
      <c r="G470" s="374"/>
      <c r="H470" s="374" t="str">
        <f t="shared" si="14"/>
        <v/>
      </c>
      <c r="I470" s="252">
        <f>IFERROR(IF($E470="Inventory",VLOOKUP($C470,Inventory!$B:$I,8,FALSE()),IF($E470="Non Inventory",VLOOKUP($C470,'Non Inventory'!$B:$I,8,FALSE()),IF($E470="Services",VLOOKUP($C470,Services!$B:$I,8,FALSE()),IF($E470="Patty Cash",VLOOKUP($C470,'Patty Cash'!$B:$J,8,FALSE()),0)))),0)</f>
        <v>0</v>
      </c>
      <c r="J470" s="252" t="str">
        <f t="shared" si="15"/>
        <v/>
      </c>
      <c r="K470" s="253"/>
      <c r="L470" s="253"/>
      <c r="M470" s="253"/>
      <c r="N470" s="328"/>
    </row>
    <row r="471" spans="1:14" ht="20.100000000000001" customHeight="1">
      <c r="A471" s="327" t="str">
        <f>IF(AND($B471="",$C471=""),"",MAX($A$3:A470)+1)</f>
        <v/>
      </c>
      <c r="B471" s="262"/>
      <c r="C471" s="253"/>
      <c r="D471" s="249" t="str">
        <f>IFERROR(IF($E471="Inventory",VLOOKUP($C471,Inventory!$B:$I,2,FALSE()),IF($E471="Non Inventory",VLOOKUP($C471,'Non Inventory'!$B:$I,2,FALSE()),IF($E471="Services",VLOOKUP($C471,Services!$B:$I,2,FALSE()),IF($E471="Patty Cash",VLOOKUP($C471,'Patty Cash'!$B:$J,2,FALSE()),"")))),"")</f>
        <v/>
      </c>
      <c r="E471" s="254"/>
      <c r="F471" s="263" t="str">
        <f>IFERROR(IF($E471="Inventory",VLOOKUP($C471,Inventory!$B:$I,3,FALSE()),IF($E471="Non Inventory",VLOOKUP($C471,'Non Inventory'!$B:$I,3,FALSE()),IF($E471="Services",VLOOKUP($C471,Services!$B:$I,3,FALSE()),IF($E471="Patty Cash",VLOOKUP($C471,'Patty Cash'!$B:$J,3,FALSE()),"")))),"")</f>
        <v/>
      </c>
      <c r="G471" s="374"/>
      <c r="H471" s="374" t="str">
        <f t="shared" si="14"/>
        <v/>
      </c>
      <c r="I471" s="252">
        <f>IFERROR(IF($E471="Inventory",VLOOKUP($C471,Inventory!$B:$I,8,FALSE()),IF($E471="Non Inventory",VLOOKUP($C471,'Non Inventory'!$B:$I,8,FALSE()),IF($E471="Services",VLOOKUP($C471,Services!$B:$I,8,FALSE()),IF($E471="Patty Cash",VLOOKUP($C471,'Patty Cash'!$B:$J,8,FALSE()),0)))),0)</f>
        <v>0</v>
      </c>
      <c r="J471" s="252" t="str">
        <f t="shared" si="15"/>
        <v/>
      </c>
      <c r="K471" s="253"/>
      <c r="L471" s="253"/>
      <c r="M471" s="253"/>
      <c r="N471" s="328"/>
    </row>
    <row r="472" spans="1:14" ht="20.100000000000001" customHeight="1">
      <c r="A472" s="327" t="str">
        <f>IF(AND($B472="",$C472=""),"",MAX($A$3:A471)+1)</f>
        <v/>
      </c>
      <c r="B472" s="262"/>
      <c r="C472" s="253"/>
      <c r="D472" s="249" t="str">
        <f>IFERROR(IF($E472="Inventory",VLOOKUP($C472,Inventory!$B:$I,2,FALSE()),IF($E472="Non Inventory",VLOOKUP($C472,'Non Inventory'!$B:$I,2,FALSE()),IF($E472="Services",VLOOKUP($C472,Services!$B:$I,2,FALSE()),IF($E472="Patty Cash",VLOOKUP($C472,'Patty Cash'!$B:$J,2,FALSE()),"")))),"")</f>
        <v/>
      </c>
      <c r="E472" s="254"/>
      <c r="F472" s="263" t="str">
        <f>IFERROR(IF($E472="Inventory",VLOOKUP($C472,Inventory!$B:$I,3,FALSE()),IF($E472="Non Inventory",VLOOKUP($C472,'Non Inventory'!$B:$I,3,FALSE()),IF($E472="Services",VLOOKUP($C472,Services!$B:$I,3,FALSE()),IF($E472="Patty Cash",VLOOKUP($C472,'Patty Cash'!$B:$J,3,FALSE()),"")))),"")</f>
        <v/>
      </c>
      <c r="G472" s="374"/>
      <c r="H472" s="374" t="str">
        <f t="shared" si="14"/>
        <v/>
      </c>
      <c r="I472" s="252">
        <f>IFERROR(IF($E472="Inventory",VLOOKUP($C472,Inventory!$B:$I,8,FALSE()),IF($E472="Non Inventory",VLOOKUP($C472,'Non Inventory'!$B:$I,8,FALSE()),IF($E472="Services",VLOOKUP($C472,Services!$B:$I,8,FALSE()),IF($E472="Patty Cash",VLOOKUP($C472,'Patty Cash'!$B:$J,8,FALSE()),0)))),0)</f>
        <v>0</v>
      </c>
      <c r="J472" s="252" t="str">
        <f t="shared" si="15"/>
        <v/>
      </c>
      <c r="K472" s="253"/>
      <c r="L472" s="253"/>
      <c r="M472" s="253"/>
      <c r="N472" s="328"/>
    </row>
    <row r="473" spans="1:14" ht="20.100000000000001" customHeight="1">
      <c r="A473" s="327" t="str">
        <f>IF(AND($B473="",$C473=""),"",MAX($A$3:A472)+1)</f>
        <v/>
      </c>
      <c r="B473" s="262"/>
      <c r="C473" s="253"/>
      <c r="D473" s="249" t="str">
        <f>IFERROR(IF($E473="Inventory",VLOOKUP($C473,Inventory!$B:$I,2,FALSE()),IF($E473="Non Inventory",VLOOKUP($C473,'Non Inventory'!$B:$I,2,FALSE()),IF($E473="Services",VLOOKUP($C473,Services!$B:$I,2,FALSE()),IF($E473="Patty Cash",VLOOKUP($C473,'Patty Cash'!$B:$J,2,FALSE()),"")))),"")</f>
        <v/>
      </c>
      <c r="E473" s="254"/>
      <c r="F473" s="263" t="str">
        <f>IFERROR(IF($E473="Inventory",VLOOKUP($C473,Inventory!$B:$I,3,FALSE()),IF($E473="Non Inventory",VLOOKUP($C473,'Non Inventory'!$B:$I,3,FALSE()),IF($E473="Services",VLOOKUP($C473,Services!$B:$I,3,FALSE()),IF($E473="Patty Cash",VLOOKUP($C473,'Patty Cash'!$B:$J,3,FALSE()),"")))),"")</f>
        <v/>
      </c>
      <c r="G473" s="374"/>
      <c r="H473" s="374" t="str">
        <f t="shared" si="14"/>
        <v/>
      </c>
      <c r="I473" s="252">
        <f>IFERROR(IF($E473="Inventory",VLOOKUP($C473,Inventory!$B:$I,8,FALSE()),IF($E473="Non Inventory",VLOOKUP($C473,'Non Inventory'!$B:$I,8,FALSE()),IF($E473="Services",VLOOKUP($C473,Services!$B:$I,8,FALSE()),IF($E473="Patty Cash",VLOOKUP($C473,'Patty Cash'!$B:$J,8,FALSE()),0)))),0)</f>
        <v>0</v>
      </c>
      <c r="J473" s="252" t="str">
        <f t="shared" si="15"/>
        <v/>
      </c>
      <c r="K473" s="253"/>
      <c r="L473" s="253"/>
      <c r="M473" s="253"/>
      <c r="N473" s="328"/>
    </row>
    <row r="474" spans="1:14" ht="20.100000000000001" customHeight="1">
      <c r="A474" s="327" t="str">
        <f>IF(AND($B474="",$C474=""),"",MAX($A$3:A473)+1)</f>
        <v/>
      </c>
      <c r="B474" s="262"/>
      <c r="C474" s="253"/>
      <c r="D474" s="249" t="str">
        <f>IFERROR(IF($E474="Inventory",VLOOKUP($C474,Inventory!$B:$I,2,FALSE()),IF($E474="Non Inventory",VLOOKUP($C474,'Non Inventory'!$B:$I,2,FALSE()),IF($E474="Services",VLOOKUP($C474,Services!$B:$I,2,FALSE()),IF($E474="Patty Cash",VLOOKUP($C474,'Patty Cash'!$B:$J,2,FALSE()),"")))),"")</f>
        <v/>
      </c>
      <c r="E474" s="254"/>
      <c r="F474" s="263" t="str">
        <f>IFERROR(IF($E474="Inventory",VLOOKUP($C474,Inventory!$B:$I,3,FALSE()),IF($E474="Non Inventory",VLOOKUP($C474,'Non Inventory'!$B:$I,3,FALSE()),IF($E474="Services",VLOOKUP($C474,Services!$B:$I,3,FALSE()),IF($E474="Patty Cash",VLOOKUP($C474,'Patty Cash'!$B:$J,3,FALSE()),"")))),"")</f>
        <v/>
      </c>
      <c r="G474" s="374"/>
      <c r="H474" s="374" t="str">
        <f t="shared" si="14"/>
        <v/>
      </c>
      <c r="I474" s="252">
        <f>IFERROR(IF($E474="Inventory",VLOOKUP($C474,Inventory!$B:$I,8,FALSE()),IF($E474="Non Inventory",VLOOKUP($C474,'Non Inventory'!$B:$I,8,FALSE()),IF($E474="Services",VLOOKUP($C474,Services!$B:$I,8,FALSE()),IF($E474="Patty Cash",VLOOKUP($C474,'Patty Cash'!$B:$J,8,FALSE()),0)))),0)</f>
        <v>0</v>
      </c>
      <c r="J474" s="252" t="str">
        <f t="shared" si="15"/>
        <v/>
      </c>
      <c r="K474" s="253"/>
      <c r="L474" s="253"/>
      <c r="M474" s="253"/>
      <c r="N474" s="328"/>
    </row>
    <row r="475" spans="1:14" ht="20.100000000000001" customHeight="1">
      <c r="A475" s="327" t="str">
        <f>IF(AND($B475="",$C475=""),"",MAX($A$3:A474)+1)</f>
        <v/>
      </c>
      <c r="B475" s="262"/>
      <c r="C475" s="253"/>
      <c r="D475" s="249" t="str">
        <f>IFERROR(IF($E475="Inventory",VLOOKUP($C475,Inventory!$B:$I,2,FALSE()),IF($E475="Non Inventory",VLOOKUP($C475,'Non Inventory'!$B:$I,2,FALSE()),IF($E475="Services",VLOOKUP($C475,Services!$B:$I,2,FALSE()),IF($E475="Patty Cash",VLOOKUP($C475,'Patty Cash'!$B:$J,2,FALSE()),"")))),"")</f>
        <v/>
      </c>
      <c r="E475" s="254"/>
      <c r="F475" s="263" t="str">
        <f>IFERROR(IF($E475="Inventory",VLOOKUP($C475,Inventory!$B:$I,3,FALSE()),IF($E475="Non Inventory",VLOOKUP($C475,'Non Inventory'!$B:$I,3,FALSE()),IF($E475="Services",VLOOKUP($C475,Services!$B:$I,3,FALSE()),IF($E475="Patty Cash",VLOOKUP($C475,'Patty Cash'!$B:$J,3,FALSE()),"")))),"")</f>
        <v/>
      </c>
      <c r="G475" s="374"/>
      <c r="H475" s="374" t="str">
        <f t="shared" si="14"/>
        <v/>
      </c>
      <c r="I475" s="252">
        <f>IFERROR(IF($E475="Inventory",VLOOKUP($C475,Inventory!$B:$I,8,FALSE()),IF($E475="Non Inventory",VLOOKUP($C475,'Non Inventory'!$B:$I,8,FALSE()),IF($E475="Services",VLOOKUP($C475,Services!$B:$I,8,FALSE()),IF($E475="Patty Cash",VLOOKUP($C475,'Patty Cash'!$B:$J,8,FALSE()),0)))),0)</f>
        <v>0</v>
      </c>
      <c r="J475" s="252" t="str">
        <f t="shared" si="15"/>
        <v/>
      </c>
      <c r="K475" s="253"/>
      <c r="L475" s="253"/>
      <c r="M475" s="253"/>
      <c r="N475" s="328"/>
    </row>
    <row r="476" spans="1:14" ht="20.100000000000001" customHeight="1">
      <c r="A476" s="327" t="str">
        <f>IF(AND($B476="",$C476=""),"",MAX($A$3:A475)+1)</f>
        <v/>
      </c>
      <c r="B476" s="262"/>
      <c r="C476" s="253"/>
      <c r="D476" s="249" t="str">
        <f>IFERROR(IF($E476="Inventory",VLOOKUP($C476,Inventory!$B:$I,2,FALSE()),IF($E476="Non Inventory",VLOOKUP($C476,'Non Inventory'!$B:$I,2,FALSE()),IF($E476="Services",VLOOKUP($C476,Services!$B:$I,2,FALSE()),IF($E476="Patty Cash",VLOOKUP($C476,'Patty Cash'!$B:$J,2,FALSE()),"")))),"")</f>
        <v/>
      </c>
      <c r="E476" s="254"/>
      <c r="F476" s="263" t="str">
        <f>IFERROR(IF($E476="Inventory",VLOOKUP($C476,Inventory!$B:$I,3,FALSE()),IF($E476="Non Inventory",VLOOKUP($C476,'Non Inventory'!$B:$I,3,FALSE()),IF($E476="Services",VLOOKUP($C476,Services!$B:$I,3,FALSE()),IF($E476="Patty Cash",VLOOKUP($C476,'Patty Cash'!$B:$J,3,FALSE()),"")))),"")</f>
        <v/>
      </c>
      <c r="G476" s="374"/>
      <c r="H476" s="374" t="str">
        <f t="shared" si="14"/>
        <v/>
      </c>
      <c r="I476" s="252">
        <f>IFERROR(IF($E476="Inventory",VLOOKUP($C476,Inventory!$B:$I,8,FALSE()),IF($E476="Non Inventory",VLOOKUP($C476,'Non Inventory'!$B:$I,8,FALSE()),IF($E476="Services",VLOOKUP($C476,Services!$B:$I,8,FALSE()),IF($E476="Patty Cash",VLOOKUP($C476,'Patty Cash'!$B:$J,8,FALSE()),0)))),0)</f>
        <v>0</v>
      </c>
      <c r="J476" s="252" t="str">
        <f t="shared" si="15"/>
        <v/>
      </c>
      <c r="K476" s="253"/>
      <c r="L476" s="253"/>
      <c r="M476" s="253"/>
      <c r="N476" s="328"/>
    </row>
    <row r="477" spans="1:14" ht="20.100000000000001" customHeight="1">
      <c r="A477" s="327" t="str">
        <f>IF(AND($B477="",$C477=""),"",MAX($A$3:A476)+1)</f>
        <v/>
      </c>
      <c r="B477" s="262"/>
      <c r="C477" s="253"/>
      <c r="D477" s="249" t="str">
        <f>IFERROR(IF($E477="Inventory",VLOOKUP($C477,Inventory!$B:$I,2,FALSE()),IF($E477="Non Inventory",VLOOKUP($C477,'Non Inventory'!$B:$I,2,FALSE()),IF($E477="Services",VLOOKUP($C477,Services!$B:$I,2,FALSE()),IF($E477="Patty Cash",VLOOKUP($C477,'Patty Cash'!$B:$J,2,FALSE()),"")))),"")</f>
        <v/>
      </c>
      <c r="E477" s="254"/>
      <c r="F477" s="263" t="str">
        <f>IFERROR(IF($E477="Inventory",VLOOKUP($C477,Inventory!$B:$I,3,FALSE()),IF($E477="Non Inventory",VLOOKUP($C477,'Non Inventory'!$B:$I,3,FALSE()),IF($E477="Services",VLOOKUP($C477,Services!$B:$I,3,FALSE()),IF($E477="Patty Cash",VLOOKUP($C477,'Patty Cash'!$B:$J,3,FALSE()),"")))),"")</f>
        <v/>
      </c>
      <c r="G477" s="374"/>
      <c r="H477" s="374" t="str">
        <f t="shared" si="14"/>
        <v/>
      </c>
      <c r="I477" s="252">
        <f>IFERROR(IF($E477="Inventory",VLOOKUP($C477,Inventory!$B:$I,8,FALSE()),IF($E477="Non Inventory",VLOOKUP($C477,'Non Inventory'!$B:$I,8,FALSE()),IF($E477="Services",VLOOKUP($C477,Services!$B:$I,8,FALSE()),IF($E477="Patty Cash",VLOOKUP($C477,'Patty Cash'!$B:$J,8,FALSE()),0)))),0)</f>
        <v>0</v>
      </c>
      <c r="J477" s="252" t="str">
        <f t="shared" si="15"/>
        <v/>
      </c>
      <c r="K477" s="253"/>
      <c r="L477" s="253"/>
      <c r="M477" s="253"/>
      <c r="N477" s="328"/>
    </row>
    <row r="478" spans="1:14" ht="20.100000000000001" customHeight="1">
      <c r="A478" s="327" t="str">
        <f>IF(AND($B478="",$C478=""),"",MAX($A$3:A477)+1)</f>
        <v/>
      </c>
      <c r="B478" s="262"/>
      <c r="C478" s="253"/>
      <c r="D478" s="249" t="str">
        <f>IFERROR(IF($E478="Inventory",VLOOKUP($C478,Inventory!$B:$I,2,FALSE()),IF($E478="Non Inventory",VLOOKUP($C478,'Non Inventory'!$B:$I,2,FALSE()),IF($E478="Services",VLOOKUP($C478,Services!$B:$I,2,FALSE()),IF($E478="Patty Cash",VLOOKUP($C478,'Patty Cash'!$B:$J,2,FALSE()),"")))),"")</f>
        <v/>
      </c>
      <c r="E478" s="254"/>
      <c r="F478" s="263" t="str">
        <f>IFERROR(IF($E478="Inventory",VLOOKUP($C478,Inventory!$B:$I,3,FALSE()),IF($E478="Non Inventory",VLOOKUP($C478,'Non Inventory'!$B:$I,3,FALSE()),IF($E478="Services",VLOOKUP($C478,Services!$B:$I,3,FALSE()),IF($E478="Patty Cash",VLOOKUP($C478,'Patty Cash'!$B:$J,3,FALSE()),"")))),"")</f>
        <v/>
      </c>
      <c r="G478" s="374"/>
      <c r="H478" s="374" t="str">
        <f t="shared" si="14"/>
        <v/>
      </c>
      <c r="I478" s="252">
        <f>IFERROR(IF($E478="Inventory",VLOOKUP($C478,Inventory!$B:$I,8,FALSE()),IF($E478="Non Inventory",VLOOKUP($C478,'Non Inventory'!$B:$I,8,FALSE()),IF($E478="Services",VLOOKUP($C478,Services!$B:$I,8,FALSE()),IF($E478="Patty Cash",VLOOKUP($C478,'Patty Cash'!$B:$J,8,FALSE()),0)))),0)</f>
        <v>0</v>
      </c>
      <c r="J478" s="252" t="str">
        <f t="shared" si="15"/>
        <v/>
      </c>
      <c r="K478" s="253"/>
      <c r="L478" s="253"/>
      <c r="M478" s="253"/>
      <c r="N478" s="328"/>
    </row>
    <row r="479" spans="1:14" ht="20.100000000000001" customHeight="1">
      <c r="A479" s="327" t="str">
        <f>IF(AND($B479="",$C479=""),"",MAX($A$3:A478)+1)</f>
        <v/>
      </c>
      <c r="B479" s="262"/>
      <c r="C479" s="253"/>
      <c r="D479" s="249" t="str">
        <f>IFERROR(IF($E479="Inventory",VLOOKUP($C479,Inventory!$B:$I,2,FALSE()),IF($E479="Non Inventory",VLOOKUP($C479,'Non Inventory'!$B:$I,2,FALSE()),IF($E479="Services",VLOOKUP($C479,Services!$B:$I,2,FALSE()),IF($E479="Patty Cash",VLOOKUP($C479,'Patty Cash'!$B:$J,2,FALSE()),"")))),"")</f>
        <v/>
      </c>
      <c r="E479" s="254"/>
      <c r="F479" s="263" t="str">
        <f>IFERROR(IF($E479="Inventory",VLOOKUP($C479,Inventory!$B:$I,3,FALSE()),IF($E479="Non Inventory",VLOOKUP($C479,'Non Inventory'!$B:$I,3,FALSE()),IF($E479="Services",VLOOKUP($C479,Services!$B:$I,3,FALSE()),IF($E479="Patty Cash",VLOOKUP($C479,'Patty Cash'!$B:$J,3,FALSE()),"")))),"")</f>
        <v/>
      </c>
      <c r="G479" s="374"/>
      <c r="H479" s="374" t="str">
        <f t="shared" si="14"/>
        <v/>
      </c>
      <c r="I479" s="252">
        <f>IFERROR(IF($E479="Inventory",VLOOKUP($C479,Inventory!$B:$I,8,FALSE()),IF($E479="Non Inventory",VLOOKUP($C479,'Non Inventory'!$B:$I,8,FALSE()),IF($E479="Services",VLOOKUP($C479,Services!$B:$I,8,FALSE()),IF($E479="Patty Cash",VLOOKUP($C479,'Patty Cash'!$B:$J,8,FALSE()),0)))),0)</f>
        <v>0</v>
      </c>
      <c r="J479" s="252" t="str">
        <f t="shared" si="15"/>
        <v/>
      </c>
      <c r="K479" s="253"/>
      <c r="L479" s="253"/>
      <c r="M479" s="253"/>
      <c r="N479" s="328"/>
    </row>
    <row r="480" spans="1:14" ht="20.100000000000001" customHeight="1">
      <c r="A480" s="327" t="str">
        <f>IF(AND($B480="",$C480=""),"",MAX($A$3:A479)+1)</f>
        <v/>
      </c>
      <c r="B480" s="262"/>
      <c r="C480" s="253"/>
      <c r="D480" s="249" t="str">
        <f>IFERROR(IF($E480="Inventory",VLOOKUP($C480,Inventory!$B:$I,2,FALSE()),IF($E480="Non Inventory",VLOOKUP($C480,'Non Inventory'!$B:$I,2,FALSE()),IF($E480="Services",VLOOKUP($C480,Services!$B:$I,2,FALSE()),IF($E480="Patty Cash",VLOOKUP($C480,'Patty Cash'!$B:$J,2,FALSE()),"")))),"")</f>
        <v/>
      </c>
      <c r="E480" s="254"/>
      <c r="F480" s="263" t="str">
        <f>IFERROR(IF($E480="Inventory",VLOOKUP($C480,Inventory!$B:$I,3,FALSE()),IF($E480="Non Inventory",VLOOKUP($C480,'Non Inventory'!$B:$I,3,FALSE()),IF($E480="Services",VLOOKUP($C480,Services!$B:$I,3,FALSE()),IF($E480="Patty Cash",VLOOKUP($C480,'Patty Cash'!$B:$J,3,FALSE()),"")))),"")</f>
        <v/>
      </c>
      <c r="G480" s="374"/>
      <c r="H480" s="374" t="str">
        <f t="shared" si="14"/>
        <v/>
      </c>
      <c r="I480" s="252">
        <f>IFERROR(IF($E480="Inventory",VLOOKUP($C480,Inventory!$B:$I,8,FALSE()),IF($E480="Non Inventory",VLOOKUP($C480,'Non Inventory'!$B:$I,8,FALSE()),IF($E480="Services",VLOOKUP($C480,Services!$B:$I,8,FALSE()),IF($E480="Patty Cash",VLOOKUP($C480,'Patty Cash'!$B:$J,8,FALSE()),0)))),0)</f>
        <v>0</v>
      </c>
      <c r="J480" s="252" t="str">
        <f t="shared" si="15"/>
        <v/>
      </c>
      <c r="K480" s="253"/>
      <c r="L480" s="253"/>
      <c r="M480" s="253"/>
      <c r="N480" s="328"/>
    </row>
    <row r="481" spans="1:14" ht="20.100000000000001" customHeight="1">
      <c r="A481" s="327" t="str">
        <f>IF(AND($B481="",$C481=""),"",MAX($A$3:A480)+1)</f>
        <v/>
      </c>
      <c r="B481" s="262"/>
      <c r="C481" s="253"/>
      <c r="D481" s="249" t="str">
        <f>IFERROR(IF($E481="Inventory",VLOOKUP($C481,Inventory!$B:$I,2,FALSE()),IF($E481="Non Inventory",VLOOKUP($C481,'Non Inventory'!$B:$I,2,FALSE()),IF($E481="Services",VLOOKUP($C481,Services!$B:$I,2,FALSE()),IF($E481="Patty Cash",VLOOKUP($C481,'Patty Cash'!$B:$J,2,FALSE()),"")))),"")</f>
        <v/>
      </c>
      <c r="E481" s="254"/>
      <c r="F481" s="263" t="str">
        <f>IFERROR(IF($E481="Inventory",VLOOKUP($C481,Inventory!$B:$I,3,FALSE()),IF($E481="Non Inventory",VLOOKUP($C481,'Non Inventory'!$B:$I,3,FALSE()),IF($E481="Services",VLOOKUP($C481,Services!$B:$I,3,FALSE()),IF($E481="Patty Cash",VLOOKUP($C481,'Patty Cash'!$B:$J,3,FALSE()),"")))),"")</f>
        <v/>
      </c>
      <c r="G481" s="374"/>
      <c r="H481" s="374" t="str">
        <f t="shared" si="14"/>
        <v/>
      </c>
      <c r="I481" s="252">
        <f>IFERROR(IF($E481="Inventory",VLOOKUP($C481,Inventory!$B:$I,8,FALSE()),IF($E481="Non Inventory",VLOOKUP($C481,'Non Inventory'!$B:$I,8,FALSE()),IF($E481="Services",VLOOKUP($C481,Services!$B:$I,8,FALSE()),IF($E481="Patty Cash",VLOOKUP($C481,'Patty Cash'!$B:$J,8,FALSE()),0)))),0)</f>
        <v>0</v>
      </c>
      <c r="J481" s="252" t="str">
        <f t="shared" si="15"/>
        <v/>
      </c>
      <c r="K481" s="253"/>
      <c r="L481" s="253"/>
      <c r="M481" s="253"/>
      <c r="N481" s="328"/>
    </row>
    <row r="482" spans="1:14" ht="20.100000000000001" customHeight="1">
      <c r="A482" s="327" t="str">
        <f>IF(AND($B482="",$C482=""),"",MAX($A$3:A481)+1)</f>
        <v/>
      </c>
      <c r="B482" s="262"/>
      <c r="C482" s="253"/>
      <c r="D482" s="249" t="str">
        <f>IFERROR(IF($E482="Inventory",VLOOKUP($C482,Inventory!$B:$I,2,FALSE()),IF($E482="Non Inventory",VLOOKUP($C482,'Non Inventory'!$B:$I,2,FALSE()),IF($E482="Services",VLOOKUP($C482,Services!$B:$I,2,FALSE()),IF($E482="Patty Cash",VLOOKUP($C482,'Patty Cash'!$B:$J,2,FALSE()),"")))),"")</f>
        <v/>
      </c>
      <c r="E482" s="254"/>
      <c r="F482" s="263" t="str">
        <f>IFERROR(IF($E482="Inventory",VLOOKUP($C482,Inventory!$B:$I,3,FALSE()),IF($E482="Non Inventory",VLOOKUP($C482,'Non Inventory'!$B:$I,3,FALSE()),IF($E482="Services",VLOOKUP($C482,Services!$B:$I,3,FALSE()),IF($E482="Patty Cash",VLOOKUP($C482,'Patty Cash'!$B:$J,3,FALSE()),"")))),"")</f>
        <v/>
      </c>
      <c r="G482" s="374"/>
      <c r="H482" s="374" t="str">
        <f t="shared" si="14"/>
        <v/>
      </c>
      <c r="I482" s="252">
        <f>IFERROR(IF($E482="Inventory",VLOOKUP($C482,Inventory!$B:$I,8,FALSE()),IF($E482="Non Inventory",VLOOKUP($C482,'Non Inventory'!$B:$I,8,FALSE()),IF($E482="Services",VLOOKUP($C482,Services!$B:$I,8,FALSE()),IF($E482="Patty Cash",VLOOKUP($C482,'Patty Cash'!$B:$J,8,FALSE()),0)))),0)</f>
        <v>0</v>
      </c>
      <c r="J482" s="252" t="str">
        <f t="shared" si="15"/>
        <v/>
      </c>
      <c r="K482" s="253"/>
      <c r="L482" s="253"/>
      <c r="M482" s="253"/>
      <c r="N482" s="328"/>
    </row>
    <row r="483" spans="1:14" ht="20.100000000000001" customHeight="1">
      <c r="A483" s="327" t="str">
        <f>IF(AND($B483="",$C483=""),"",MAX($A$3:A482)+1)</f>
        <v/>
      </c>
      <c r="B483" s="262"/>
      <c r="C483" s="253"/>
      <c r="D483" s="249" t="str">
        <f>IFERROR(IF($E483="Inventory",VLOOKUP($C483,Inventory!$B:$I,2,FALSE()),IF($E483="Non Inventory",VLOOKUP($C483,'Non Inventory'!$B:$I,2,FALSE()),IF($E483="Services",VLOOKUP($C483,Services!$B:$I,2,FALSE()),IF($E483="Patty Cash",VLOOKUP($C483,'Patty Cash'!$B:$J,2,FALSE()),"")))),"")</f>
        <v/>
      </c>
      <c r="E483" s="254"/>
      <c r="F483" s="263" t="str">
        <f>IFERROR(IF($E483="Inventory",VLOOKUP($C483,Inventory!$B:$I,3,FALSE()),IF($E483="Non Inventory",VLOOKUP($C483,'Non Inventory'!$B:$I,3,FALSE()),IF($E483="Services",VLOOKUP($C483,Services!$B:$I,3,FALSE()),IF($E483="Patty Cash",VLOOKUP($C483,'Patty Cash'!$B:$J,3,FALSE()),"")))),"")</f>
        <v/>
      </c>
      <c r="G483" s="374"/>
      <c r="H483" s="374" t="str">
        <f t="shared" si="14"/>
        <v/>
      </c>
      <c r="I483" s="252">
        <f>IFERROR(IF($E483="Inventory",VLOOKUP($C483,Inventory!$B:$I,8,FALSE()),IF($E483="Non Inventory",VLOOKUP($C483,'Non Inventory'!$B:$I,8,FALSE()),IF($E483="Services",VLOOKUP($C483,Services!$B:$I,8,FALSE()),IF($E483="Patty Cash",VLOOKUP($C483,'Patty Cash'!$B:$J,8,FALSE()),0)))),0)</f>
        <v>0</v>
      </c>
      <c r="J483" s="252" t="str">
        <f t="shared" si="15"/>
        <v/>
      </c>
      <c r="K483" s="253"/>
      <c r="L483" s="253"/>
      <c r="M483" s="253"/>
      <c r="N483" s="328"/>
    </row>
    <row r="484" spans="1:14" ht="20.100000000000001" customHeight="1">
      <c r="A484" s="327" t="str">
        <f>IF(AND($B484="",$C484=""),"",MAX($A$3:A483)+1)</f>
        <v/>
      </c>
      <c r="B484" s="262"/>
      <c r="C484" s="253"/>
      <c r="D484" s="249" t="str">
        <f>IFERROR(IF($E484="Inventory",VLOOKUP($C484,Inventory!$B:$I,2,FALSE()),IF($E484="Non Inventory",VLOOKUP($C484,'Non Inventory'!$B:$I,2,FALSE()),IF($E484="Services",VLOOKUP($C484,Services!$B:$I,2,FALSE()),IF($E484="Patty Cash",VLOOKUP($C484,'Patty Cash'!$B:$J,2,FALSE()),"")))),"")</f>
        <v/>
      </c>
      <c r="E484" s="254"/>
      <c r="F484" s="263" t="str">
        <f>IFERROR(IF($E484="Inventory",VLOOKUP($C484,Inventory!$B:$I,3,FALSE()),IF($E484="Non Inventory",VLOOKUP($C484,'Non Inventory'!$B:$I,3,FALSE()),IF($E484="Services",VLOOKUP($C484,Services!$B:$I,3,FALSE()),IF($E484="Patty Cash",VLOOKUP($C484,'Patty Cash'!$B:$J,3,FALSE()),"")))),"")</f>
        <v/>
      </c>
      <c r="G484" s="374"/>
      <c r="H484" s="374" t="str">
        <f t="shared" si="14"/>
        <v/>
      </c>
      <c r="I484" s="252">
        <f>IFERROR(IF($E484="Inventory",VLOOKUP($C484,Inventory!$B:$I,8,FALSE()),IF($E484="Non Inventory",VLOOKUP($C484,'Non Inventory'!$B:$I,8,FALSE()),IF($E484="Services",VLOOKUP($C484,Services!$B:$I,8,FALSE()),IF($E484="Patty Cash",VLOOKUP($C484,'Patty Cash'!$B:$J,8,FALSE()),0)))),0)</f>
        <v>0</v>
      </c>
      <c r="J484" s="252" t="str">
        <f t="shared" si="15"/>
        <v/>
      </c>
      <c r="K484" s="253"/>
      <c r="L484" s="253"/>
      <c r="M484" s="253"/>
      <c r="N484" s="328"/>
    </row>
    <row r="485" spans="1:14" ht="20.100000000000001" customHeight="1">
      <c r="A485" s="327" t="str">
        <f>IF(AND($B485="",$C485=""),"",MAX($A$3:A484)+1)</f>
        <v/>
      </c>
      <c r="B485" s="262"/>
      <c r="C485" s="253"/>
      <c r="D485" s="249" t="str">
        <f>IFERROR(IF($E485="Inventory",VLOOKUP($C485,Inventory!$B:$I,2,FALSE()),IF($E485="Non Inventory",VLOOKUP($C485,'Non Inventory'!$B:$I,2,FALSE()),IF($E485="Services",VLOOKUP($C485,Services!$B:$I,2,FALSE()),IF($E485="Patty Cash",VLOOKUP($C485,'Patty Cash'!$B:$J,2,FALSE()),"")))),"")</f>
        <v/>
      </c>
      <c r="E485" s="254"/>
      <c r="F485" s="263" t="str">
        <f>IFERROR(IF($E485="Inventory",VLOOKUP($C485,Inventory!$B:$I,3,FALSE()),IF($E485="Non Inventory",VLOOKUP($C485,'Non Inventory'!$B:$I,3,FALSE()),IF($E485="Services",VLOOKUP($C485,Services!$B:$I,3,FALSE()),IF($E485="Patty Cash",VLOOKUP($C485,'Patty Cash'!$B:$J,3,FALSE()),"")))),"")</f>
        <v/>
      </c>
      <c r="G485" s="374"/>
      <c r="H485" s="374" t="str">
        <f t="shared" si="14"/>
        <v/>
      </c>
      <c r="I485" s="252">
        <f>IFERROR(IF($E485="Inventory",VLOOKUP($C485,Inventory!$B:$I,8,FALSE()),IF($E485="Non Inventory",VLOOKUP($C485,'Non Inventory'!$B:$I,8,FALSE()),IF($E485="Services",VLOOKUP($C485,Services!$B:$I,8,FALSE()),IF($E485="Patty Cash",VLOOKUP($C485,'Patty Cash'!$B:$J,8,FALSE()),0)))),0)</f>
        <v>0</v>
      </c>
      <c r="J485" s="252" t="str">
        <f t="shared" si="15"/>
        <v/>
      </c>
      <c r="K485" s="253"/>
      <c r="L485" s="253"/>
      <c r="M485" s="253"/>
      <c r="N485" s="328"/>
    </row>
    <row r="486" spans="1:14" ht="20.100000000000001" customHeight="1">
      <c r="A486" s="327" t="str">
        <f>IF(AND($B486="",$C486=""),"",MAX($A$3:A485)+1)</f>
        <v/>
      </c>
      <c r="B486" s="262"/>
      <c r="C486" s="253"/>
      <c r="D486" s="249" t="str">
        <f>IFERROR(IF($E486="Inventory",VLOOKUP($C486,Inventory!$B:$I,2,FALSE()),IF($E486="Non Inventory",VLOOKUP($C486,'Non Inventory'!$B:$I,2,FALSE()),IF($E486="Services",VLOOKUP($C486,Services!$B:$I,2,FALSE()),IF($E486="Patty Cash",VLOOKUP($C486,'Patty Cash'!$B:$J,2,FALSE()),"")))),"")</f>
        <v/>
      </c>
      <c r="E486" s="254"/>
      <c r="F486" s="263" t="str">
        <f>IFERROR(IF($E486="Inventory",VLOOKUP($C486,Inventory!$B:$I,3,FALSE()),IF($E486="Non Inventory",VLOOKUP($C486,'Non Inventory'!$B:$I,3,FALSE()),IF($E486="Services",VLOOKUP($C486,Services!$B:$I,3,FALSE()),IF($E486="Patty Cash",VLOOKUP($C486,'Patty Cash'!$B:$J,3,FALSE()),"")))),"")</f>
        <v/>
      </c>
      <c r="G486" s="374"/>
      <c r="H486" s="374" t="str">
        <f t="shared" si="14"/>
        <v/>
      </c>
      <c r="I486" s="252">
        <f>IFERROR(IF($E486="Inventory",VLOOKUP($C486,Inventory!$B:$I,8,FALSE()),IF($E486="Non Inventory",VLOOKUP($C486,'Non Inventory'!$B:$I,8,FALSE()),IF($E486="Services",VLOOKUP($C486,Services!$B:$I,8,FALSE()),IF($E486="Patty Cash",VLOOKUP($C486,'Patty Cash'!$B:$J,8,FALSE()),0)))),0)</f>
        <v>0</v>
      </c>
      <c r="J486" s="252" t="str">
        <f t="shared" si="15"/>
        <v/>
      </c>
      <c r="K486" s="253"/>
      <c r="L486" s="253"/>
      <c r="M486" s="253"/>
      <c r="N486" s="328"/>
    </row>
    <row r="487" spans="1:14" ht="20.100000000000001" customHeight="1">
      <c r="A487" s="327" t="str">
        <f>IF(AND($B487="",$C487=""),"",MAX($A$3:A486)+1)</f>
        <v/>
      </c>
      <c r="B487" s="262"/>
      <c r="C487" s="253"/>
      <c r="D487" s="249" t="str">
        <f>IFERROR(IF($E487="Inventory",VLOOKUP($C487,Inventory!$B:$I,2,FALSE()),IF($E487="Non Inventory",VLOOKUP($C487,'Non Inventory'!$B:$I,2,FALSE()),IF($E487="Services",VLOOKUP($C487,Services!$B:$I,2,FALSE()),IF($E487="Patty Cash",VLOOKUP($C487,'Patty Cash'!$B:$J,2,FALSE()),"")))),"")</f>
        <v/>
      </c>
      <c r="E487" s="254"/>
      <c r="F487" s="263" t="str">
        <f>IFERROR(IF($E487="Inventory",VLOOKUP($C487,Inventory!$B:$I,3,FALSE()),IF($E487="Non Inventory",VLOOKUP($C487,'Non Inventory'!$B:$I,3,FALSE()),IF($E487="Services",VLOOKUP($C487,Services!$B:$I,3,FALSE()),IF($E487="Patty Cash",VLOOKUP($C487,'Patty Cash'!$B:$J,3,FALSE()),"")))),"")</f>
        <v/>
      </c>
      <c r="G487" s="374"/>
      <c r="H487" s="374" t="str">
        <f t="shared" si="14"/>
        <v/>
      </c>
      <c r="I487" s="252">
        <f>IFERROR(IF($E487="Inventory",VLOOKUP($C487,Inventory!$B:$I,8,FALSE()),IF($E487="Non Inventory",VLOOKUP($C487,'Non Inventory'!$B:$I,8,FALSE()),IF($E487="Services",VLOOKUP($C487,Services!$B:$I,8,FALSE()),IF($E487="Patty Cash",VLOOKUP($C487,'Patty Cash'!$B:$J,8,FALSE()),0)))),0)</f>
        <v>0</v>
      </c>
      <c r="J487" s="252" t="str">
        <f t="shared" si="15"/>
        <v/>
      </c>
      <c r="K487" s="253"/>
      <c r="L487" s="253"/>
      <c r="M487" s="253"/>
      <c r="N487" s="328"/>
    </row>
    <row r="488" spans="1:14" ht="20.100000000000001" customHeight="1">
      <c r="A488" s="327" t="str">
        <f>IF(AND($B488="",$C488=""),"",MAX($A$3:A487)+1)</f>
        <v/>
      </c>
      <c r="B488" s="262"/>
      <c r="C488" s="253"/>
      <c r="D488" s="249" t="str">
        <f>IFERROR(IF($E488="Inventory",VLOOKUP($C488,Inventory!$B:$I,2,FALSE()),IF($E488="Non Inventory",VLOOKUP($C488,'Non Inventory'!$B:$I,2,FALSE()),IF($E488="Services",VLOOKUP($C488,Services!$B:$I,2,FALSE()),IF($E488="Patty Cash",VLOOKUP($C488,'Patty Cash'!$B:$J,2,FALSE()),"")))),"")</f>
        <v/>
      </c>
      <c r="E488" s="254"/>
      <c r="F488" s="263" t="str">
        <f>IFERROR(IF($E488="Inventory",VLOOKUP($C488,Inventory!$B:$I,3,FALSE()),IF($E488="Non Inventory",VLOOKUP($C488,'Non Inventory'!$B:$I,3,FALSE()),IF($E488="Services",VLOOKUP($C488,Services!$B:$I,3,FALSE()),IF($E488="Patty Cash",VLOOKUP($C488,'Patty Cash'!$B:$J,3,FALSE()),"")))),"")</f>
        <v/>
      </c>
      <c r="G488" s="374"/>
      <c r="H488" s="374" t="str">
        <f t="shared" si="14"/>
        <v/>
      </c>
      <c r="I488" s="252">
        <f>IFERROR(IF($E488="Inventory",VLOOKUP($C488,Inventory!$B:$I,8,FALSE()),IF($E488="Non Inventory",VLOOKUP($C488,'Non Inventory'!$B:$I,8,FALSE()),IF($E488="Services",VLOOKUP($C488,Services!$B:$I,8,FALSE()),IF($E488="Patty Cash",VLOOKUP($C488,'Patty Cash'!$B:$J,8,FALSE()),0)))),0)</f>
        <v>0</v>
      </c>
      <c r="J488" s="252" t="str">
        <f t="shared" si="15"/>
        <v/>
      </c>
      <c r="K488" s="253"/>
      <c r="L488" s="253"/>
      <c r="M488" s="253"/>
      <c r="N488" s="328"/>
    </row>
    <row r="489" spans="1:14" ht="20.100000000000001" customHeight="1">
      <c r="A489" s="327" t="str">
        <f>IF(AND($B489="",$C489=""),"",MAX($A$3:A488)+1)</f>
        <v/>
      </c>
      <c r="B489" s="262"/>
      <c r="C489" s="253"/>
      <c r="D489" s="249" t="str">
        <f>IFERROR(IF($E489="Inventory",VLOOKUP($C489,Inventory!$B:$I,2,FALSE()),IF($E489="Non Inventory",VLOOKUP($C489,'Non Inventory'!$B:$I,2,FALSE()),IF($E489="Services",VLOOKUP($C489,Services!$B:$I,2,FALSE()),IF($E489="Patty Cash",VLOOKUP($C489,'Patty Cash'!$B:$J,2,FALSE()),"")))),"")</f>
        <v/>
      </c>
      <c r="E489" s="254"/>
      <c r="F489" s="263" t="str">
        <f>IFERROR(IF($E489="Inventory",VLOOKUP($C489,Inventory!$B:$I,3,FALSE()),IF($E489="Non Inventory",VLOOKUP($C489,'Non Inventory'!$B:$I,3,FALSE()),IF($E489="Services",VLOOKUP($C489,Services!$B:$I,3,FALSE()),IF($E489="Patty Cash",VLOOKUP($C489,'Patty Cash'!$B:$J,3,FALSE()),"")))),"")</f>
        <v/>
      </c>
      <c r="G489" s="374"/>
      <c r="H489" s="374" t="str">
        <f t="shared" si="14"/>
        <v/>
      </c>
      <c r="I489" s="252">
        <f>IFERROR(IF($E489="Inventory",VLOOKUP($C489,Inventory!$B:$I,8,FALSE()),IF($E489="Non Inventory",VLOOKUP($C489,'Non Inventory'!$B:$I,8,FALSE()),IF($E489="Services",VLOOKUP($C489,Services!$B:$I,8,FALSE()),IF($E489="Patty Cash",VLOOKUP($C489,'Patty Cash'!$B:$J,8,FALSE()),0)))),0)</f>
        <v>0</v>
      </c>
      <c r="J489" s="252" t="str">
        <f t="shared" si="15"/>
        <v/>
      </c>
      <c r="K489" s="253"/>
      <c r="L489" s="253"/>
      <c r="M489" s="253"/>
      <c r="N489" s="328"/>
    </row>
    <row r="490" spans="1:14" ht="20.100000000000001" customHeight="1">
      <c r="A490" s="327" t="str">
        <f>IF(AND($B490="",$C490=""),"",MAX($A$3:A489)+1)</f>
        <v/>
      </c>
      <c r="B490" s="262"/>
      <c r="C490" s="253"/>
      <c r="D490" s="249" t="str">
        <f>IFERROR(IF($E490="Inventory",VLOOKUP($C490,Inventory!$B:$I,2,FALSE()),IF($E490="Non Inventory",VLOOKUP($C490,'Non Inventory'!$B:$I,2,FALSE()),IF($E490="Services",VLOOKUP($C490,Services!$B:$I,2,FALSE()),IF($E490="Patty Cash",VLOOKUP($C490,'Patty Cash'!$B:$J,2,FALSE()),"")))),"")</f>
        <v/>
      </c>
      <c r="E490" s="254"/>
      <c r="F490" s="263" t="str">
        <f>IFERROR(IF($E490="Inventory",VLOOKUP($C490,Inventory!$B:$I,3,FALSE()),IF($E490="Non Inventory",VLOOKUP($C490,'Non Inventory'!$B:$I,3,FALSE()),IF($E490="Services",VLOOKUP($C490,Services!$B:$I,3,FALSE()),IF($E490="Patty Cash",VLOOKUP($C490,'Patty Cash'!$B:$J,3,FALSE()),"")))),"")</f>
        <v/>
      </c>
      <c r="G490" s="374"/>
      <c r="H490" s="374" t="str">
        <f t="shared" si="14"/>
        <v/>
      </c>
      <c r="I490" s="252">
        <f>IFERROR(IF($E490="Inventory",VLOOKUP($C490,Inventory!$B:$I,8,FALSE()),IF($E490="Non Inventory",VLOOKUP($C490,'Non Inventory'!$B:$I,8,FALSE()),IF($E490="Services",VLOOKUP($C490,Services!$B:$I,8,FALSE()),IF($E490="Patty Cash",VLOOKUP($C490,'Patty Cash'!$B:$J,8,FALSE()),0)))),0)</f>
        <v>0</v>
      </c>
      <c r="J490" s="252" t="str">
        <f t="shared" si="15"/>
        <v/>
      </c>
      <c r="K490" s="253"/>
      <c r="L490" s="253"/>
      <c r="M490" s="253"/>
      <c r="N490" s="328"/>
    </row>
    <row r="491" spans="1:14" ht="20.100000000000001" customHeight="1">
      <c r="A491" s="327" t="str">
        <f>IF(AND($B491="",$C491=""),"",MAX($A$3:A490)+1)</f>
        <v/>
      </c>
      <c r="B491" s="262"/>
      <c r="C491" s="253"/>
      <c r="D491" s="249" t="str">
        <f>IFERROR(IF($E491="Inventory",VLOOKUP($C491,Inventory!$B:$I,2,FALSE()),IF($E491="Non Inventory",VLOOKUP($C491,'Non Inventory'!$B:$I,2,FALSE()),IF($E491="Services",VLOOKUP($C491,Services!$B:$I,2,FALSE()),IF($E491="Patty Cash",VLOOKUP($C491,'Patty Cash'!$B:$J,2,FALSE()),"")))),"")</f>
        <v/>
      </c>
      <c r="E491" s="254"/>
      <c r="F491" s="263" t="str">
        <f>IFERROR(IF($E491="Inventory",VLOOKUP($C491,Inventory!$B:$I,3,FALSE()),IF($E491="Non Inventory",VLOOKUP($C491,'Non Inventory'!$B:$I,3,FALSE()),IF($E491="Services",VLOOKUP($C491,Services!$B:$I,3,FALSE()),IF($E491="Patty Cash",VLOOKUP($C491,'Patty Cash'!$B:$J,3,FALSE()),"")))),"")</f>
        <v/>
      </c>
      <c r="G491" s="374"/>
      <c r="H491" s="374" t="str">
        <f t="shared" si="14"/>
        <v/>
      </c>
      <c r="I491" s="252">
        <f>IFERROR(IF($E491="Inventory",VLOOKUP($C491,Inventory!$B:$I,8,FALSE()),IF($E491="Non Inventory",VLOOKUP($C491,'Non Inventory'!$B:$I,8,FALSE()),IF($E491="Services",VLOOKUP($C491,Services!$B:$I,8,FALSE()),IF($E491="Patty Cash",VLOOKUP($C491,'Patty Cash'!$B:$J,8,FALSE()),0)))),0)</f>
        <v>0</v>
      </c>
      <c r="J491" s="252" t="str">
        <f t="shared" si="15"/>
        <v/>
      </c>
      <c r="K491" s="253"/>
      <c r="L491" s="253"/>
      <c r="M491" s="253"/>
      <c r="N491" s="328"/>
    </row>
    <row r="492" spans="1:14" ht="20.100000000000001" customHeight="1">
      <c r="A492" s="327" t="str">
        <f>IF(AND($B492="",$C492=""),"",MAX($A$3:A491)+1)</f>
        <v/>
      </c>
      <c r="B492" s="262"/>
      <c r="C492" s="253"/>
      <c r="D492" s="249" t="str">
        <f>IFERROR(IF($E492="Inventory",VLOOKUP($C492,Inventory!$B:$I,2,FALSE()),IF($E492="Non Inventory",VLOOKUP($C492,'Non Inventory'!$B:$I,2,FALSE()),IF($E492="Services",VLOOKUP($C492,Services!$B:$I,2,FALSE()),IF($E492="Patty Cash",VLOOKUP($C492,'Patty Cash'!$B:$J,2,FALSE()),"")))),"")</f>
        <v/>
      </c>
      <c r="E492" s="254"/>
      <c r="F492" s="263" t="str">
        <f>IFERROR(IF($E492="Inventory",VLOOKUP($C492,Inventory!$B:$I,3,FALSE()),IF($E492="Non Inventory",VLOOKUP($C492,'Non Inventory'!$B:$I,3,FALSE()),IF($E492="Services",VLOOKUP($C492,Services!$B:$I,3,FALSE()),IF($E492="Patty Cash",VLOOKUP($C492,'Patty Cash'!$B:$J,3,FALSE()),"")))),"")</f>
        <v/>
      </c>
      <c r="G492" s="374"/>
      <c r="H492" s="374" t="str">
        <f t="shared" si="14"/>
        <v/>
      </c>
      <c r="I492" s="252">
        <f>IFERROR(IF($E492="Inventory",VLOOKUP($C492,Inventory!$B:$I,8,FALSE()),IF($E492="Non Inventory",VLOOKUP($C492,'Non Inventory'!$B:$I,8,FALSE()),IF($E492="Services",VLOOKUP($C492,Services!$B:$I,8,FALSE()),IF($E492="Patty Cash",VLOOKUP($C492,'Patty Cash'!$B:$J,8,FALSE()),0)))),0)</f>
        <v>0</v>
      </c>
      <c r="J492" s="252" t="str">
        <f t="shared" si="15"/>
        <v/>
      </c>
      <c r="K492" s="253"/>
      <c r="L492" s="253"/>
      <c r="M492" s="253"/>
      <c r="N492" s="328"/>
    </row>
    <row r="493" spans="1:14" ht="20.100000000000001" customHeight="1">
      <c r="A493" s="327" t="str">
        <f>IF(AND($B493="",$C493=""),"",MAX($A$3:A492)+1)</f>
        <v/>
      </c>
      <c r="B493" s="262"/>
      <c r="C493" s="253"/>
      <c r="D493" s="249" t="str">
        <f>IFERROR(IF($E493="Inventory",VLOOKUP($C493,Inventory!$B:$I,2,FALSE()),IF($E493="Non Inventory",VLOOKUP($C493,'Non Inventory'!$B:$I,2,FALSE()),IF($E493="Services",VLOOKUP($C493,Services!$B:$I,2,FALSE()),IF($E493="Patty Cash",VLOOKUP($C493,'Patty Cash'!$B:$J,2,FALSE()),"")))),"")</f>
        <v/>
      </c>
      <c r="E493" s="254"/>
      <c r="F493" s="263" t="str">
        <f>IFERROR(IF($E493="Inventory",VLOOKUP($C493,Inventory!$B:$I,3,FALSE()),IF($E493="Non Inventory",VLOOKUP($C493,'Non Inventory'!$B:$I,3,FALSE()),IF($E493="Services",VLOOKUP($C493,Services!$B:$I,3,FALSE()),IF($E493="Patty Cash",VLOOKUP($C493,'Patty Cash'!$B:$J,3,FALSE()),"")))),"")</f>
        <v/>
      </c>
      <c r="G493" s="374"/>
      <c r="H493" s="374" t="str">
        <f t="shared" si="14"/>
        <v/>
      </c>
      <c r="I493" s="252">
        <f>IFERROR(IF($E493="Inventory",VLOOKUP($C493,Inventory!$B:$I,8,FALSE()),IF($E493="Non Inventory",VLOOKUP($C493,'Non Inventory'!$B:$I,8,FALSE()),IF($E493="Services",VLOOKUP($C493,Services!$B:$I,8,FALSE()),IF($E493="Patty Cash",VLOOKUP($C493,'Patty Cash'!$B:$J,8,FALSE()),0)))),0)</f>
        <v>0</v>
      </c>
      <c r="J493" s="252" t="str">
        <f t="shared" si="15"/>
        <v/>
      </c>
      <c r="K493" s="253"/>
      <c r="L493" s="253"/>
      <c r="M493" s="253"/>
      <c r="N493" s="328"/>
    </row>
    <row r="494" spans="1:14" ht="20.100000000000001" customHeight="1">
      <c r="A494" s="327" t="str">
        <f>IF(AND($B494="",$C494=""),"",MAX($A$3:A493)+1)</f>
        <v/>
      </c>
      <c r="B494" s="262"/>
      <c r="C494" s="253"/>
      <c r="D494" s="249" t="str">
        <f>IFERROR(IF($E494="Inventory",VLOOKUP($C494,Inventory!$B:$I,2,FALSE()),IF($E494="Non Inventory",VLOOKUP($C494,'Non Inventory'!$B:$I,2,FALSE()),IF($E494="Services",VLOOKUP($C494,Services!$B:$I,2,FALSE()),IF($E494="Patty Cash",VLOOKUP($C494,'Patty Cash'!$B:$J,2,FALSE()),"")))),"")</f>
        <v/>
      </c>
      <c r="E494" s="254"/>
      <c r="F494" s="263" t="str">
        <f>IFERROR(IF($E494="Inventory",VLOOKUP($C494,Inventory!$B:$I,3,FALSE()),IF($E494="Non Inventory",VLOOKUP($C494,'Non Inventory'!$B:$I,3,FALSE()),IF($E494="Services",VLOOKUP($C494,Services!$B:$I,3,FALSE()),IF($E494="Patty Cash",VLOOKUP($C494,'Patty Cash'!$B:$J,3,FALSE()),"")))),"")</f>
        <v/>
      </c>
      <c r="G494" s="374"/>
      <c r="H494" s="374" t="str">
        <f t="shared" si="14"/>
        <v/>
      </c>
      <c r="I494" s="252">
        <f>IFERROR(IF($E494="Inventory",VLOOKUP($C494,Inventory!$B:$I,8,FALSE()),IF($E494="Non Inventory",VLOOKUP($C494,'Non Inventory'!$B:$I,8,FALSE()),IF($E494="Services",VLOOKUP($C494,Services!$B:$I,8,FALSE()),IF($E494="Patty Cash",VLOOKUP($C494,'Patty Cash'!$B:$J,8,FALSE()),0)))),0)</f>
        <v>0</v>
      </c>
      <c r="J494" s="252" t="str">
        <f t="shared" si="15"/>
        <v/>
      </c>
      <c r="K494" s="253"/>
      <c r="L494" s="253"/>
      <c r="M494" s="253"/>
      <c r="N494" s="328"/>
    </row>
    <row r="495" spans="1:14" ht="20.100000000000001" customHeight="1">
      <c r="A495" s="327" t="str">
        <f>IF(AND($B495="",$C495=""),"",MAX($A$3:A494)+1)</f>
        <v/>
      </c>
      <c r="B495" s="262"/>
      <c r="C495" s="253"/>
      <c r="D495" s="249" t="str">
        <f>IFERROR(IF($E495="Inventory",VLOOKUP($C495,Inventory!$B:$I,2,FALSE()),IF($E495="Non Inventory",VLOOKUP($C495,'Non Inventory'!$B:$I,2,FALSE()),IF($E495="Services",VLOOKUP($C495,Services!$B:$I,2,FALSE()),IF($E495="Patty Cash",VLOOKUP($C495,'Patty Cash'!$B:$J,2,FALSE()),"")))),"")</f>
        <v/>
      </c>
      <c r="E495" s="254"/>
      <c r="F495" s="263" t="str">
        <f>IFERROR(IF($E495="Inventory",VLOOKUP($C495,Inventory!$B:$I,3,FALSE()),IF($E495="Non Inventory",VLOOKUP($C495,'Non Inventory'!$B:$I,3,FALSE()),IF($E495="Services",VLOOKUP($C495,Services!$B:$I,3,FALSE()),IF($E495="Patty Cash",VLOOKUP($C495,'Patty Cash'!$B:$J,3,FALSE()),"")))),"")</f>
        <v/>
      </c>
      <c r="G495" s="374"/>
      <c r="H495" s="374" t="str">
        <f t="shared" si="14"/>
        <v/>
      </c>
      <c r="I495" s="252">
        <f>IFERROR(IF($E495="Inventory",VLOOKUP($C495,Inventory!$B:$I,8,FALSE()),IF($E495="Non Inventory",VLOOKUP($C495,'Non Inventory'!$B:$I,8,FALSE()),IF($E495="Services",VLOOKUP($C495,Services!$B:$I,8,FALSE()),IF($E495="Patty Cash",VLOOKUP($C495,'Patty Cash'!$B:$J,8,FALSE()),0)))),0)</f>
        <v>0</v>
      </c>
      <c r="J495" s="252" t="str">
        <f t="shared" si="15"/>
        <v/>
      </c>
      <c r="K495" s="253"/>
      <c r="L495" s="253"/>
      <c r="M495" s="253"/>
      <c r="N495" s="328"/>
    </row>
    <row r="496" spans="1:14" ht="20.100000000000001" customHeight="1">
      <c r="A496" s="327" t="str">
        <f>IF(AND($B496="",$C496=""),"",MAX($A$3:A495)+1)</f>
        <v/>
      </c>
      <c r="B496" s="262"/>
      <c r="C496" s="253"/>
      <c r="D496" s="249" t="str">
        <f>IFERROR(IF($E496="Inventory",VLOOKUP($C496,Inventory!$B:$I,2,FALSE()),IF($E496="Non Inventory",VLOOKUP($C496,'Non Inventory'!$B:$I,2,FALSE()),IF($E496="Services",VLOOKUP($C496,Services!$B:$I,2,FALSE()),IF($E496="Patty Cash",VLOOKUP($C496,'Patty Cash'!$B:$J,2,FALSE()),"")))),"")</f>
        <v/>
      </c>
      <c r="E496" s="254"/>
      <c r="F496" s="263" t="str">
        <f>IFERROR(IF($E496="Inventory",VLOOKUP($C496,Inventory!$B:$I,3,FALSE()),IF($E496="Non Inventory",VLOOKUP($C496,'Non Inventory'!$B:$I,3,FALSE()),IF($E496="Services",VLOOKUP($C496,Services!$B:$I,3,FALSE()),IF($E496="Patty Cash",VLOOKUP($C496,'Patty Cash'!$B:$J,3,FALSE()),"")))),"")</f>
        <v/>
      </c>
      <c r="G496" s="374"/>
      <c r="H496" s="374" t="str">
        <f t="shared" si="14"/>
        <v/>
      </c>
      <c r="I496" s="252">
        <f>IFERROR(IF($E496="Inventory",VLOOKUP($C496,Inventory!$B:$I,8,FALSE()),IF($E496="Non Inventory",VLOOKUP($C496,'Non Inventory'!$B:$I,8,FALSE()),IF($E496="Services",VLOOKUP($C496,Services!$B:$I,8,FALSE()),IF($E496="Patty Cash",VLOOKUP($C496,'Patty Cash'!$B:$J,8,FALSE()),0)))),0)</f>
        <v>0</v>
      </c>
      <c r="J496" s="252" t="str">
        <f t="shared" si="15"/>
        <v/>
      </c>
      <c r="K496" s="253"/>
      <c r="L496" s="253"/>
      <c r="M496" s="253"/>
      <c r="N496" s="328"/>
    </row>
    <row r="497" spans="1:14" ht="20.100000000000001" customHeight="1">
      <c r="A497" s="327" t="str">
        <f>IF(AND($B497="",$C497=""),"",MAX($A$3:A496)+1)</f>
        <v/>
      </c>
      <c r="B497" s="262"/>
      <c r="C497" s="253"/>
      <c r="D497" s="249" t="str">
        <f>IFERROR(IF($E497="Inventory",VLOOKUP($C497,Inventory!$B:$I,2,FALSE()),IF($E497="Non Inventory",VLOOKUP($C497,'Non Inventory'!$B:$I,2,FALSE()),IF($E497="Services",VLOOKUP($C497,Services!$B:$I,2,FALSE()),IF($E497="Patty Cash",VLOOKUP($C497,'Patty Cash'!$B:$J,2,FALSE()),"")))),"")</f>
        <v/>
      </c>
      <c r="E497" s="254"/>
      <c r="F497" s="263" t="str">
        <f>IFERROR(IF($E497="Inventory",VLOOKUP($C497,Inventory!$B:$I,3,FALSE()),IF($E497="Non Inventory",VLOOKUP($C497,'Non Inventory'!$B:$I,3,FALSE()),IF($E497="Services",VLOOKUP($C497,Services!$B:$I,3,FALSE()),IF($E497="Patty Cash",VLOOKUP($C497,'Patty Cash'!$B:$J,3,FALSE()),"")))),"")</f>
        <v/>
      </c>
      <c r="G497" s="374"/>
      <c r="H497" s="374" t="str">
        <f t="shared" si="14"/>
        <v/>
      </c>
      <c r="I497" s="252">
        <f>IFERROR(IF($E497="Inventory",VLOOKUP($C497,Inventory!$B:$I,8,FALSE()),IF($E497="Non Inventory",VLOOKUP($C497,'Non Inventory'!$B:$I,8,FALSE()),IF($E497="Services",VLOOKUP($C497,Services!$B:$I,8,FALSE()),IF($E497="Patty Cash",VLOOKUP($C497,'Patty Cash'!$B:$J,8,FALSE()),0)))),0)</f>
        <v>0</v>
      </c>
      <c r="J497" s="252" t="str">
        <f t="shared" si="15"/>
        <v/>
      </c>
      <c r="K497" s="253"/>
      <c r="L497" s="253"/>
      <c r="M497" s="253"/>
      <c r="N497" s="328"/>
    </row>
    <row r="498" spans="1:14" ht="20.100000000000001" customHeight="1">
      <c r="A498" s="327" t="str">
        <f>IF(AND($B498="",$C498=""),"",MAX($A$3:A497)+1)</f>
        <v/>
      </c>
      <c r="B498" s="262"/>
      <c r="C498" s="253"/>
      <c r="D498" s="249" t="str">
        <f>IFERROR(IF($E498="Inventory",VLOOKUP($C498,Inventory!$B:$I,2,FALSE()),IF($E498="Non Inventory",VLOOKUP($C498,'Non Inventory'!$B:$I,2,FALSE()),IF($E498="Services",VLOOKUP($C498,Services!$B:$I,2,FALSE()),IF($E498="Patty Cash",VLOOKUP($C498,'Patty Cash'!$B:$J,2,FALSE()),"")))),"")</f>
        <v/>
      </c>
      <c r="E498" s="254"/>
      <c r="F498" s="263" t="str">
        <f>IFERROR(IF($E498="Inventory",VLOOKUP($C498,Inventory!$B:$I,3,FALSE()),IF($E498="Non Inventory",VLOOKUP($C498,'Non Inventory'!$B:$I,3,FALSE()),IF($E498="Services",VLOOKUP($C498,Services!$B:$I,3,FALSE()),IF($E498="Patty Cash",VLOOKUP($C498,'Patty Cash'!$B:$J,3,FALSE()),"")))),"")</f>
        <v/>
      </c>
      <c r="G498" s="374"/>
      <c r="H498" s="374" t="str">
        <f t="shared" si="14"/>
        <v/>
      </c>
      <c r="I498" s="252">
        <f>IFERROR(IF($E498="Inventory",VLOOKUP($C498,Inventory!$B:$I,8,FALSE()),IF($E498="Non Inventory",VLOOKUP($C498,'Non Inventory'!$B:$I,8,FALSE()),IF($E498="Services",VLOOKUP($C498,Services!$B:$I,8,FALSE()),IF($E498="Patty Cash",VLOOKUP($C498,'Patty Cash'!$B:$J,8,FALSE()),0)))),0)</f>
        <v>0</v>
      </c>
      <c r="J498" s="252" t="str">
        <f t="shared" si="15"/>
        <v/>
      </c>
      <c r="K498" s="253"/>
      <c r="L498" s="253"/>
      <c r="M498" s="253"/>
      <c r="N498" s="328"/>
    </row>
    <row r="499" spans="1:14" ht="20.100000000000001" customHeight="1">
      <c r="A499" s="327" t="str">
        <f>IF(AND($B499="",$C499=""),"",MAX($A$3:A498)+1)</f>
        <v/>
      </c>
      <c r="B499" s="262"/>
      <c r="C499" s="253"/>
      <c r="D499" s="249" t="str">
        <f>IFERROR(IF($E499="Inventory",VLOOKUP($C499,Inventory!$B:$I,2,FALSE()),IF($E499="Non Inventory",VLOOKUP($C499,'Non Inventory'!$B:$I,2,FALSE()),IF($E499="Services",VLOOKUP($C499,Services!$B:$I,2,FALSE()),IF($E499="Patty Cash",VLOOKUP($C499,'Patty Cash'!$B:$J,2,FALSE()),"")))),"")</f>
        <v/>
      </c>
      <c r="E499" s="254"/>
      <c r="F499" s="263" t="str">
        <f>IFERROR(IF($E499="Inventory",VLOOKUP($C499,Inventory!$B:$I,3,FALSE()),IF($E499="Non Inventory",VLOOKUP($C499,'Non Inventory'!$B:$I,3,FALSE()),IF($E499="Services",VLOOKUP($C499,Services!$B:$I,3,FALSE()),IF($E499="Patty Cash",VLOOKUP($C499,'Patty Cash'!$B:$J,3,FALSE()),"")))),"")</f>
        <v/>
      </c>
      <c r="G499" s="374"/>
      <c r="H499" s="374" t="str">
        <f t="shared" si="14"/>
        <v/>
      </c>
      <c r="I499" s="252">
        <f>IFERROR(IF($E499="Inventory",VLOOKUP($C499,Inventory!$B:$I,8,FALSE()),IF($E499="Non Inventory",VLOOKUP($C499,'Non Inventory'!$B:$I,8,FALSE()),IF($E499="Services",VLOOKUP($C499,Services!$B:$I,8,FALSE()),IF($E499="Patty Cash",VLOOKUP($C499,'Patty Cash'!$B:$J,8,FALSE()),0)))),0)</f>
        <v>0</v>
      </c>
      <c r="J499" s="252" t="str">
        <f t="shared" si="15"/>
        <v/>
      </c>
      <c r="K499" s="253"/>
      <c r="L499" s="253"/>
      <c r="M499" s="253"/>
      <c r="N499" s="328"/>
    </row>
    <row r="500" spans="1:14" ht="20.100000000000001" customHeight="1">
      <c r="A500" s="327" t="str">
        <f>IF(AND($B500="",$C500=""),"",MAX($A$3:A499)+1)</f>
        <v/>
      </c>
      <c r="B500" s="262"/>
      <c r="C500" s="253"/>
      <c r="D500" s="249" t="str">
        <f>IFERROR(IF($E500="Inventory",VLOOKUP($C500,Inventory!$B:$I,2,FALSE()),IF($E500="Non Inventory",VLOOKUP($C500,'Non Inventory'!$B:$I,2,FALSE()),IF($E500="Services",VLOOKUP($C500,Services!$B:$I,2,FALSE()),IF($E500="Patty Cash",VLOOKUP($C500,'Patty Cash'!$B:$J,2,FALSE()),"")))),"")</f>
        <v/>
      </c>
      <c r="E500" s="254"/>
      <c r="F500" s="263" t="str">
        <f>IFERROR(IF($E500="Inventory",VLOOKUP($C500,Inventory!$B:$I,3,FALSE()),IF($E500="Non Inventory",VLOOKUP($C500,'Non Inventory'!$B:$I,3,FALSE()),IF($E500="Services",VLOOKUP($C500,Services!$B:$I,3,FALSE()),IF($E500="Patty Cash",VLOOKUP($C500,'Patty Cash'!$B:$J,3,FALSE()),"")))),"")</f>
        <v/>
      </c>
      <c r="G500" s="374"/>
      <c r="H500" s="374" t="str">
        <f t="shared" si="14"/>
        <v/>
      </c>
      <c r="I500" s="252">
        <f>IFERROR(IF($E500="Inventory",VLOOKUP($C500,Inventory!$B:$I,8,FALSE()),IF($E500="Non Inventory",VLOOKUP($C500,'Non Inventory'!$B:$I,8,FALSE()),IF($E500="Services",VLOOKUP($C500,Services!$B:$I,8,FALSE()),IF($E500="Patty Cash",VLOOKUP($C500,'Patty Cash'!$B:$J,8,FALSE()),0)))),0)</f>
        <v>0</v>
      </c>
      <c r="J500" s="252" t="str">
        <f t="shared" si="15"/>
        <v/>
      </c>
      <c r="K500" s="253"/>
      <c r="L500" s="253"/>
      <c r="M500" s="253"/>
      <c r="N500" s="328"/>
    </row>
    <row r="501" spans="1:14" ht="20.100000000000001" customHeight="1">
      <c r="A501" s="327" t="str">
        <f>IF(AND($B501="",$C501=""),"",MAX($A$3:A500)+1)</f>
        <v/>
      </c>
      <c r="B501" s="262"/>
      <c r="C501" s="253"/>
      <c r="D501" s="249" t="str">
        <f>IFERROR(IF($E501="Inventory",VLOOKUP($C501,Inventory!$B:$I,2,FALSE()),IF($E501="Non Inventory",VLOOKUP($C501,'Non Inventory'!$B:$I,2,FALSE()),IF($E501="Services",VLOOKUP($C501,Services!$B:$I,2,FALSE()),IF($E501="Patty Cash",VLOOKUP($C501,'Patty Cash'!$B:$J,2,FALSE()),"")))),"")</f>
        <v/>
      </c>
      <c r="E501" s="254"/>
      <c r="F501" s="263" t="str">
        <f>IFERROR(IF($E501="Inventory",VLOOKUP($C501,Inventory!$B:$I,3,FALSE()),IF($E501="Non Inventory",VLOOKUP($C501,'Non Inventory'!$B:$I,3,FALSE()),IF($E501="Services",VLOOKUP($C501,Services!$B:$I,3,FALSE()),IF($E501="Patty Cash",VLOOKUP($C501,'Patty Cash'!$B:$J,3,FALSE()),"")))),"")</f>
        <v/>
      </c>
      <c r="G501" s="374"/>
      <c r="H501" s="374" t="str">
        <f t="shared" si="14"/>
        <v/>
      </c>
      <c r="I501" s="252">
        <f>IFERROR(IF($E501="Inventory",VLOOKUP($C501,Inventory!$B:$I,8,FALSE()),IF($E501="Non Inventory",VLOOKUP($C501,'Non Inventory'!$B:$I,8,FALSE()),IF($E501="Services",VLOOKUP($C501,Services!$B:$I,8,FALSE()),IF($E501="Patty Cash",VLOOKUP($C501,'Patty Cash'!$B:$J,8,FALSE()),0)))),0)</f>
        <v>0</v>
      </c>
      <c r="J501" s="252" t="str">
        <f t="shared" si="15"/>
        <v/>
      </c>
      <c r="K501" s="253"/>
      <c r="L501" s="253"/>
      <c r="M501" s="253"/>
      <c r="N501" s="328"/>
    </row>
    <row r="502" spans="1:14" ht="20.100000000000001" customHeight="1">
      <c r="A502" s="327" t="str">
        <f>IF(AND($B502="",$C502=""),"",MAX($A$3:A501)+1)</f>
        <v/>
      </c>
      <c r="B502" s="262"/>
      <c r="C502" s="253"/>
      <c r="D502" s="249" t="str">
        <f>IFERROR(IF($E502="Inventory",VLOOKUP($C502,Inventory!$B:$I,2,FALSE()),IF($E502="Non Inventory",VLOOKUP($C502,'Non Inventory'!$B:$I,2,FALSE()),IF($E502="Services",VLOOKUP($C502,Services!$B:$I,2,FALSE()),IF($E502="Patty Cash",VLOOKUP($C502,'Patty Cash'!$B:$J,2,FALSE()),"")))),"")</f>
        <v/>
      </c>
      <c r="E502" s="254"/>
      <c r="F502" s="263" t="str">
        <f>IFERROR(IF($E502="Inventory",VLOOKUP($C502,Inventory!$B:$I,3,FALSE()),IF($E502="Non Inventory",VLOOKUP($C502,'Non Inventory'!$B:$I,3,FALSE()),IF($E502="Services",VLOOKUP($C502,Services!$B:$I,3,FALSE()),IF($E502="Patty Cash",VLOOKUP($C502,'Patty Cash'!$B:$J,3,FALSE()),"")))),"")</f>
        <v/>
      </c>
      <c r="G502" s="374"/>
      <c r="H502" s="374" t="str">
        <f t="shared" si="14"/>
        <v/>
      </c>
      <c r="I502" s="252">
        <f>IFERROR(IF($E502="Inventory",VLOOKUP($C502,Inventory!$B:$I,8,FALSE()),IF($E502="Non Inventory",VLOOKUP($C502,'Non Inventory'!$B:$I,8,FALSE()),IF($E502="Services",VLOOKUP($C502,Services!$B:$I,8,FALSE()),IF($E502="Patty Cash",VLOOKUP($C502,'Patty Cash'!$B:$J,8,FALSE()),0)))),0)</f>
        <v>0</v>
      </c>
      <c r="J502" s="252" t="str">
        <f t="shared" si="15"/>
        <v/>
      </c>
      <c r="K502" s="253"/>
      <c r="L502" s="253"/>
      <c r="M502" s="253"/>
      <c r="N502" s="328"/>
    </row>
    <row r="503" spans="1:14" ht="20.100000000000001" customHeight="1">
      <c r="A503" s="327" t="str">
        <f>IF(AND($B503="",$C503=""),"",MAX($A$3:A502)+1)</f>
        <v/>
      </c>
      <c r="B503" s="262"/>
      <c r="C503" s="253"/>
      <c r="D503" s="249" t="str">
        <f>IFERROR(IF($E503="Inventory",VLOOKUP($C503,Inventory!$B:$I,2,FALSE()),IF($E503="Non Inventory",VLOOKUP($C503,'Non Inventory'!$B:$I,2,FALSE()),IF($E503="Services",VLOOKUP($C503,Services!$B:$I,2,FALSE()),IF($E503="Patty Cash",VLOOKUP($C503,'Patty Cash'!$B:$J,2,FALSE()),"")))),"")</f>
        <v/>
      </c>
      <c r="E503" s="254"/>
      <c r="F503" s="263" t="str">
        <f>IFERROR(IF($E503="Inventory",VLOOKUP($C503,Inventory!$B:$I,3,FALSE()),IF($E503="Non Inventory",VLOOKUP($C503,'Non Inventory'!$B:$I,3,FALSE()),IF($E503="Services",VLOOKUP($C503,Services!$B:$I,3,FALSE()),IF($E503="Patty Cash",VLOOKUP($C503,'Patty Cash'!$B:$J,3,FALSE()),"")))),"")</f>
        <v/>
      </c>
      <c r="G503" s="374"/>
      <c r="H503" s="374" t="str">
        <f t="shared" si="14"/>
        <v/>
      </c>
      <c r="I503" s="252">
        <f>IFERROR(IF($E503="Inventory",VLOOKUP($C503,Inventory!$B:$I,8,FALSE()),IF($E503="Non Inventory",VLOOKUP($C503,'Non Inventory'!$B:$I,8,FALSE()),IF($E503="Services",VLOOKUP($C503,Services!$B:$I,8,FALSE()),IF($E503="Patty Cash",VLOOKUP($C503,'Patty Cash'!$B:$J,8,FALSE()),0)))),0)</f>
        <v>0</v>
      </c>
      <c r="J503" s="252" t="str">
        <f t="shared" si="15"/>
        <v/>
      </c>
      <c r="K503" s="253"/>
      <c r="L503" s="253"/>
      <c r="M503" s="253"/>
      <c r="N503" s="328"/>
    </row>
    <row r="504" spans="1:14" ht="20.100000000000001" customHeight="1">
      <c r="A504" s="327" t="str">
        <f>IF(AND($B504="",$C504=""),"",MAX($A$3:A503)+1)</f>
        <v/>
      </c>
      <c r="B504" s="262"/>
      <c r="C504" s="253"/>
      <c r="D504" s="249" t="str">
        <f>IFERROR(IF($E504="Inventory",VLOOKUP($C504,Inventory!$B:$I,2,FALSE()),IF($E504="Non Inventory",VLOOKUP($C504,'Non Inventory'!$B:$I,2,FALSE()),IF($E504="Services",VLOOKUP($C504,Services!$B:$I,2,FALSE()),IF($E504="Patty Cash",VLOOKUP($C504,'Patty Cash'!$B:$J,2,FALSE()),"")))),"")</f>
        <v/>
      </c>
      <c r="E504" s="254"/>
      <c r="F504" s="263" t="str">
        <f>IFERROR(IF($E504="Inventory",VLOOKUP($C504,Inventory!$B:$I,3,FALSE()),IF($E504="Non Inventory",VLOOKUP($C504,'Non Inventory'!$B:$I,3,FALSE()),IF($E504="Services",VLOOKUP($C504,Services!$B:$I,3,FALSE()),IF($E504="Patty Cash",VLOOKUP($C504,'Patty Cash'!$B:$J,3,FALSE()),"")))),"")</f>
        <v/>
      </c>
      <c r="G504" s="374"/>
      <c r="H504" s="374" t="str">
        <f t="shared" si="14"/>
        <v/>
      </c>
      <c r="I504" s="252">
        <f>IFERROR(IF($E504="Inventory",VLOOKUP($C504,Inventory!$B:$I,8,FALSE()),IF($E504="Non Inventory",VLOOKUP($C504,'Non Inventory'!$B:$I,8,FALSE()),IF($E504="Services",VLOOKUP($C504,Services!$B:$I,8,FALSE()),IF($E504="Patty Cash",VLOOKUP($C504,'Patty Cash'!$B:$J,8,FALSE()),0)))),0)</f>
        <v>0</v>
      </c>
      <c r="J504" s="252" t="str">
        <f t="shared" si="15"/>
        <v/>
      </c>
      <c r="K504" s="253"/>
      <c r="L504" s="253"/>
      <c r="M504" s="253"/>
      <c r="N504" s="328"/>
    </row>
    <row r="505" spans="1:14" ht="20.100000000000001" customHeight="1">
      <c r="A505" s="327" t="str">
        <f>IF(AND($B505="",$C505=""),"",MAX($A$3:A504)+1)</f>
        <v/>
      </c>
      <c r="B505" s="262"/>
      <c r="C505" s="253"/>
      <c r="D505" s="249" t="str">
        <f>IFERROR(IF($E505="Inventory",VLOOKUP($C505,Inventory!$B:$I,2,FALSE()),IF($E505="Non Inventory",VLOOKUP($C505,'Non Inventory'!$B:$I,2,FALSE()),IF($E505="Services",VLOOKUP($C505,Services!$B:$I,2,FALSE()),IF($E505="Patty Cash",VLOOKUP($C505,'Patty Cash'!$B:$J,2,FALSE()),"")))),"")</f>
        <v/>
      </c>
      <c r="E505" s="254"/>
      <c r="F505" s="263" t="str">
        <f>IFERROR(IF($E505="Inventory",VLOOKUP($C505,Inventory!$B:$I,3,FALSE()),IF($E505="Non Inventory",VLOOKUP($C505,'Non Inventory'!$B:$I,3,FALSE()),IF($E505="Services",VLOOKUP($C505,Services!$B:$I,3,FALSE()),IF($E505="Patty Cash",VLOOKUP($C505,'Patty Cash'!$B:$J,3,FALSE()),"")))),"")</f>
        <v/>
      </c>
      <c r="G505" s="374"/>
      <c r="H505" s="374" t="str">
        <f t="shared" si="14"/>
        <v/>
      </c>
      <c r="I505" s="252">
        <f>IFERROR(IF($E505="Inventory",VLOOKUP($C505,Inventory!$B:$I,8,FALSE()),IF($E505="Non Inventory",VLOOKUP($C505,'Non Inventory'!$B:$I,8,FALSE()),IF($E505="Services",VLOOKUP($C505,Services!$B:$I,8,FALSE()),IF($E505="Patty Cash",VLOOKUP($C505,'Patty Cash'!$B:$J,8,FALSE()),0)))),0)</f>
        <v>0</v>
      </c>
      <c r="J505" s="252" t="str">
        <f t="shared" si="15"/>
        <v/>
      </c>
      <c r="K505" s="253"/>
      <c r="L505" s="253"/>
      <c r="M505" s="253"/>
      <c r="N505" s="328"/>
    </row>
    <row r="506" spans="1:14" ht="20.100000000000001" customHeight="1">
      <c r="A506" s="327" t="str">
        <f>IF(AND($B506="",$C506=""),"",MAX($A$3:A505)+1)</f>
        <v/>
      </c>
      <c r="B506" s="262"/>
      <c r="C506" s="253"/>
      <c r="D506" s="249" t="str">
        <f>IFERROR(IF($E506="Inventory",VLOOKUP($C506,Inventory!$B:$I,2,FALSE()),IF($E506="Non Inventory",VLOOKUP($C506,'Non Inventory'!$B:$I,2,FALSE()),IF($E506="Services",VLOOKUP($C506,Services!$B:$I,2,FALSE()),IF($E506="Patty Cash",VLOOKUP($C506,'Patty Cash'!$B:$J,2,FALSE()),"")))),"")</f>
        <v/>
      </c>
      <c r="E506" s="254"/>
      <c r="F506" s="263" t="str">
        <f>IFERROR(IF($E506="Inventory",VLOOKUP($C506,Inventory!$B:$I,3,FALSE()),IF($E506="Non Inventory",VLOOKUP($C506,'Non Inventory'!$B:$I,3,FALSE()),IF($E506="Services",VLOOKUP($C506,Services!$B:$I,3,FALSE()),IF($E506="Patty Cash",VLOOKUP($C506,'Patty Cash'!$B:$J,3,FALSE()),"")))),"")</f>
        <v/>
      </c>
      <c r="G506" s="374"/>
      <c r="H506" s="374" t="str">
        <f t="shared" si="14"/>
        <v/>
      </c>
      <c r="I506" s="252">
        <f>IFERROR(IF($E506="Inventory",VLOOKUP($C506,Inventory!$B:$I,8,FALSE()),IF($E506="Non Inventory",VLOOKUP($C506,'Non Inventory'!$B:$I,8,FALSE()),IF($E506="Services",VLOOKUP($C506,Services!$B:$I,8,FALSE()),IF($E506="Patty Cash",VLOOKUP($C506,'Patty Cash'!$B:$J,8,FALSE()),0)))),0)</f>
        <v>0</v>
      </c>
      <c r="J506" s="252" t="str">
        <f t="shared" si="15"/>
        <v/>
      </c>
      <c r="K506" s="253"/>
      <c r="L506" s="253"/>
      <c r="M506" s="253"/>
      <c r="N506" s="328"/>
    </row>
    <row r="507" spans="1:14" ht="20.100000000000001" customHeight="1">
      <c r="A507" s="327" t="str">
        <f>IF(AND($B507="",$C507=""),"",MAX($A$3:A506)+1)</f>
        <v/>
      </c>
      <c r="B507" s="262"/>
      <c r="C507" s="253"/>
      <c r="D507" s="249" t="str">
        <f>IFERROR(IF($E507="Inventory",VLOOKUP($C507,Inventory!$B:$I,2,FALSE()),IF($E507="Non Inventory",VLOOKUP($C507,'Non Inventory'!$B:$I,2,FALSE()),IF($E507="Services",VLOOKUP($C507,Services!$B:$I,2,FALSE()),IF($E507="Patty Cash",VLOOKUP($C507,'Patty Cash'!$B:$J,2,FALSE()),"")))),"")</f>
        <v/>
      </c>
      <c r="E507" s="254"/>
      <c r="F507" s="263" t="str">
        <f>IFERROR(IF($E507="Inventory",VLOOKUP($C507,Inventory!$B:$I,3,FALSE()),IF($E507="Non Inventory",VLOOKUP($C507,'Non Inventory'!$B:$I,3,FALSE()),IF($E507="Services",VLOOKUP($C507,Services!$B:$I,3,FALSE()),IF($E507="Patty Cash",VLOOKUP($C507,'Patty Cash'!$B:$J,3,FALSE()),"")))),"")</f>
        <v/>
      </c>
      <c r="G507" s="374"/>
      <c r="H507" s="374" t="str">
        <f t="shared" ref="H507:H570" si="16">IF($G507="","",G507)</f>
        <v/>
      </c>
      <c r="I507" s="252">
        <f>IFERROR(IF($E507="Inventory",VLOOKUP($C507,Inventory!$B:$I,8,FALSE()),IF($E507="Non Inventory",VLOOKUP($C507,'Non Inventory'!$B:$I,8,FALSE()),IF($E507="Services",VLOOKUP($C507,Services!$B:$I,8,FALSE()),IF($E507="Patty Cash",VLOOKUP($C507,'Patty Cash'!$B:$J,8,FALSE()),0)))),0)</f>
        <v>0</v>
      </c>
      <c r="J507" s="252" t="str">
        <f t="shared" ref="J507:J570" si="17">IF($H507="","",H507*I507)</f>
        <v/>
      </c>
      <c r="K507" s="253"/>
      <c r="L507" s="253"/>
      <c r="M507" s="253"/>
      <c r="N507" s="328"/>
    </row>
    <row r="508" spans="1:14" ht="20.100000000000001" customHeight="1">
      <c r="A508" s="327" t="str">
        <f>IF(AND($B508="",$C508=""),"",MAX($A$3:A507)+1)</f>
        <v/>
      </c>
      <c r="B508" s="262"/>
      <c r="C508" s="253"/>
      <c r="D508" s="249" t="str">
        <f>IFERROR(IF($E508="Inventory",VLOOKUP($C508,Inventory!$B:$I,2,FALSE()),IF($E508="Non Inventory",VLOOKUP($C508,'Non Inventory'!$B:$I,2,FALSE()),IF($E508="Services",VLOOKUP($C508,Services!$B:$I,2,FALSE()),IF($E508="Patty Cash",VLOOKUP($C508,'Patty Cash'!$B:$J,2,FALSE()),"")))),"")</f>
        <v/>
      </c>
      <c r="E508" s="254"/>
      <c r="F508" s="263" t="str">
        <f>IFERROR(IF($E508="Inventory",VLOOKUP($C508,Inventory!$B:$I,3,FALSE()),IF($E508="Non Inventory",VLOOKUP($C508,'Non Inventory'!$B:$I,3,FALSE()),IF($E508="Services",VLOOKUP($C508,Services!$B:$I,3,FALSE()),IF($E508="Patty Cash",VLOOKUP($C508,'Patty Cash'!$B:$J,3,FALSE()),"")))),"")</f>
        <v/>
      </c>
      <c r="G508" s="374"/>
      <c r="H508" s="374" t="str">
        <f t="shared" si="16"/>
        <v/>
      </c>
      <c r="I508" s="252">
        <f>IFERROR(IF($E508="Inventory",VLOOKUP($C508,Inventory!$B:$I,8,FALSE()),IF($E508="Non Inventory",VLOOKUP($C508,'Non Inventory'!$B:$I,8,FALSE()),IF($E508="Services",VLOOKUP($C508,Services!$B:$I,8,FALSE()),IF($E508="Patty Cash",VLOOKUP($C508,'Patty Cash'!$B:$J,8,FALSE()),0)))),0)</f>
        <v>0</v>
      </c>
      <c r="J508" s="252" t="str">
        <f t="shared" si="17"/>
        <v/>
      </c>
      <c r="K508" s="253"/>
      <c r="L508" s="253"/>
      <c r="M508" s="253"/>
      <c r="N508" s="328"/>
    </row>
    <row r="509" spans="1:14" ht="20.100000000000001" customHeight="1">
      <c r="A509" s="327" t="str">
        <f>IF(AND($B509="",$C509=""),"",MAX($A$3:A508)+1)</f>
        <v/>
      </c>
      <c r="B509" s="262"/>
      <c r="C509" s="253"/>
      <c r="D509" s="249" t="str">
        <f>IFERROR(IF($E509="Inventory",VLOOKUP($C509,Inventory!$B:$I,2,FALSE()),IF($E509="Non Inventory",VLOOKUP($C509,'Non Inventory'!$B:$I,2,FALSE()),IF($E509="Services",VLOOKUP($C509,Services!$B:$I,2,FALSE()),IF($E509="Patty Cash",VLOOKUP($C509,'Patty Cash'!$B:$J,2,FALSE()),"")))),"")</f>
        <v/>
      </c>
      <c r="E509" s="254"/>
      <c r="F509" s="263" t="str">
        <f>IFERROR(IF($E509="Inventory",VLOOKUP($C509,Inventory!$B:$I,3,FALSE()),IF($E509="Non Inventory",VLOOKUP($C509,'Non Inventory'!$B:$I,3,FALSE()),IF($E509="Services",VLOOKUP($C509,Services!$B:$I,3,FALSE()),IF($E509="Patty Cash",VLOOKUP($C509,'Patty Cash'!$B:$J,3,FALSE()),"")))),"")</f>
        <v/>
      </c>
      <c r="G509" s="374"/>
      <c r="H509" s="374" t="str">
        <f t="shared" si="16"/>
        <v/>
      </c>
      <c r="I509" s="252">
        <f>IFERROR(IF($E509="Inventory",VLOOKUP($C509,Inventory!$B:$I,8,FALSE()),IF($E509="Non Inventory",VLOOKUP($C509,'Non Inventory'!$B:$I,8,FALSE()),IF($E509="Services",VLOOKUP($C509,Services!$B:$I,8,FALSE()),IF($E509="Patty Cash",VLOOKUP($C509,'Patty Cash'!$B:$J,8,FALSE()),0)))),0)</f>
        <v>0</v>
      </c>
      <c r="J509" s="252" t="str">
        <f t="shared" si="17"/>
        <v/>
      </c>
      <c r="K509" s="253"/>
      <c r="L509" s="253"/>
      <c r="M509" s="253"/>
      <c r="N509" s="328"/>
    </row>
    <row r="510" spans="1:14" ht="20.100000000000001" customHeight="1">
      <c r="A510" s="327" t="str">
        <f>IF(AND($B510="",$C510=""),"",MAX($A$3:A509)+1)</f>
        <v/>
      </c>
      <c r="B510" s="262"/>
      <c r="C510" s="253"/>
      <c r="D510" s="249" t="str">
        <f>IFERROR(IF($E510="Inventory",VLOOKUP($C510,Inventory!$B:$I,2,FALSE()),IF($E510="Non Inventory",VLOOKUP($C510,'Non Inventory'!$B:$I,2,FALSE()),IF($E510="Services",VLOOKUP($C510,Services!$B:$I,2,FALSE()),IF($E510="Patty Cash",VLOOKUP($C510,'Patty Cash'!$B:$J,2,FALSE()),"")))),"")</f>
        <v/>
      </c>
      <c r="E510" s="254"/>
      <c r="F510" s="263" t="str">
        <f>IFERROR(IF($E510="Inventory",VLOOKUP($C510,Inventory!$B:$I,3,FALSE()),IF($E510="Non Inventory",VLOOKUP($C510,'Non Inventory'!$B:$I,3,FALSE()),IF($E510="Services",VLOOKUP($C510,Services!$B:$I,3,FALSE()),IF($E510="Patty Cash",VLOOKUP($C510,'Patty Cash'!$B:$J,3,FALSE()),"")))),"")</f>
        <v/>
      </c>
      <c r="G510" s="374"/>
      <c r="H510" s="374" t="str">
        <f t="shared" si="16"/>
        <v/>
      </c>
      <c r="I510" s="252">
        <f>IFERROR(IF($E510="Inventory",VLOOKUP($C510,Inventory!$B:$I,8,FALSE()),IF($E510="Non Inventory",VLOOKUP($C510,'Non Inventory'!$B:$I,8,FALSE()),IF($E510="Services",VLOOKUP($C510,Services!$B:$I,8,FALSE()),IF($E510="Patty Cash",VLOOKUP($C510,'Patty Cash'!$B:$J,8,FALSE()),0)))),0)</f>
        <v>0</v>
      </c>
      <c r="J510" s="252" t="str">
        <f t="shared" si="17"/>
        <v/>
      </c>
      <c r="K510" s="253"/>
      <c r="L510" s="253"/>
      <c r="M510" s="253"/>
      <c r="N510" s="328"/>
    </row>
    <row r="511" spans="1:14" ht="20.100000000000001" customHeight="1">
      <c r="A511" s="327" t="str">
        <f>IF(AND($B511="",$C511=""),"",MAX($A$3:A510)+1)</f>
        <v/>
      </c>
      <c r="B511" s="262"/>
      <c r="C511" s="253"/>
      <c r="D511" s="249" t="str">
        <f>IFERROR(IF($E511="Inventory",VLOOKUP($C511,Inventory!$B:$I,2,FALSE()),IF($E511="Non Inventory",VLOOKUP($C511,'Non Inventory'!$B:$I,2,FALSE()),IF($E511="Services",VLOOKUP($C511,Services!$B:$I,2,FALSE()),IF($E511="Patty Cash",VLOOKUP($C511,'Patty Cash'!$B:$J,2,FALSE()),"")))),"")</f>
        <v/>
      </c>
      <c r="E511" s="254"/>
      <c r="F511" s="263" t="str">
        <f>IFERROR(IF($E511="Inventory",VLOOKUP($C511,Inventory!$B:$I,3,FALSE()),IF($E511="Non Inventory",VLOOKUP($C511,'Non Inventory'!$B:$I,3,FALSE()),IF($E511="Services",VLOOKUP($C511,Services!$B:$I,3,FALSE()),IF($E511="Patty Cash",VLOOKUP($C511,'Patty Cash'!$B:$J,3,FALSE()),"")))),"")</f>
        <v/>
      </c>
      <c r="G511" s="374"/>
      <c r="H511" s="374" t="str">
        <f t="shared" si="16"/>
        <v/>
      </c>
      <c r="I511" s="252">
        <f>IFERROR(IF($E511="Inventory",VLOOKUP($C511,Inventory!$B:$I,8,FALSE()),IF($E511="Non Inventory",VLOOKUP($C511,'Non Inventory'!$B:$I,8,FALSE()),IF($E511="Services",VLOOKUP($C511,Services!$B:$I,8,FALSE()),IF($E511="Patty Cash",VLOOKUP($C511,'Patty Cash'!$B:$J,8,FALSE()),0)))),0)</f>
        <v>0</v>
      </c>
      <c r="J511" s="252" t="str">
        <f t="shared" si="17"/>
        <v/>
      </c>
      <c r="K511" s="253"/>
      <c r="L511" s="253"/>
      <c r="M511" s="253"/>
      <c r="N511" s="328"/>
    </row>
    <row r="512" spans="1:14" ht="20.100000000000001" customHeight="1">
      <c r="A512" s="327" t="str">
        <f>IF(AND($B512="",$C512=""),"",MAX($A$3:A511)+1)</f>
        <v/>
      </c>
      <c r="B512" s="262"/>
      <c r="C512" s="253"/>
      <c r="D512" s="249" t="str">
        <f>IFERROR(IF($E512="Inventory",VLOOKUP($C512,Inventory!$B:$I,2,FALSE()),IF($E512="Non Inventory",VLOOKUP($C512,'Non Inventory'!$B:$I,2,FALSE()),IF($E512="Services",VLOOKUP($C512,Services!$B:$I,2,FALSE()),IF($E512="Patty Cash",VLOOKUP($C512,'Patty Cash'!$B:$J,2,FALSE()),"")))),"")</f>
        <v/>
      </c>
      <c r="E512" s="254"/>
      <c r="F512" s="263" t="str">
        <f>IFERROR(IF($E512="Inventory",VLOOKUP($C512,Inventory!$B:$I,3,FALSE()),IF($E512="Non Inventory",VLOOKUP($C512,'Non Inventory'!$B:$I,3,FALSE()),IF($E512="Services",VLOOKUP($C512,Services!$B:$I,3,FALSE()),IF($E512="Patty Cash",VLOOKUP($C512,'Patty Cash'!$B:$J,3,FALSE()),"")))),"")</f>
        <v/>
      </c>
      <c r="G512" s="374"/>
      <c r="H512" s="374" t="str">
        <f t="shared" si="16"/>
        <v/>
      </c>
      <c r="I512" s="252">
        <f>IFERROR(IF($E512="Inventory",VLOOKUP($C512,Inventory!$B:$I,8,FALSE()),IF($E512="Non Inventory",VLOOKUP($C512,'Non Inventory'!$B:$I,8,FALSE()),IF($E512="Services",VLOOKUP($C512,Services!$B:$I,8,FALSE()),IF($E512="Patty Cash",VLOOKUP($C512,'Patty Cash'!$B:$J,8,FALSE()),0)))),0)</f>
        <v>0</v>
      </c>
      <c r="J512" s="252" t="str">
        <f t="shared" si="17"/>
        <v/>
      </c>
      <c r="K512" s="253"/>
      <c r="L512" s="253"/>
      <c r="M512" s="253"/>
      <c r="N512" s="328"/>
    </row>
    <row r="513" spans="1:14" ht="20.100000000000001" customHeight="1">
      <c r="A513" s="327" t="str">
        <f>IF(AND($B513="",$C513=""),"",MAX($A$3:A512)+1)</f>
        <v/>
      </c>
      <c r="B513" s="262"/>
      <c r="C513" s="253"/>
      <c r="D513" s="249" t="str">
        <f>IFERROR(IF($E513="Inventory",VLOOKUP($C513,Inventory!$B:$I,2,FALSE()),IF($E513="Non Inventory",VLOOKUP($C513,'Non Inventory'!$B:$I,2,FALSE()),IF($E513="Services",VLOOKUP($C513,Services!$B:$I,2,FALSE()),IF($E513="Patty Cash",VLOOKUP($C513,'Patty Cash'!$B:$J,2,FALSE()),"")))),"")</f>
        <v/>
      </c>
      <c r="E513" s="254"/>
      <c r="F513" s="263" t="str">
        <f>IFERROR(IF($E513="Inventory",VLOOKUP($C513,Inventory!$B:$I,3,FALSE()),IF($E513="Non Inventory",VLOOKUP($C513,'Non Inventory'!$B:$I,3,FALSE()),IF($E513="Services",VLOOKUP($C513,Services!$B:$I,3,FALSE()),IF($E513="Patty Cash",VLOOKUP($C513,'Patty Cash'!$B:$J,3,FALSE()),"")))),"")</f>
        <v/>
      </c>
      <c r="G513" s="374"/>
      <c r="H513" s="374" t="str">
        <f t="shared" si="16"/>
        <v/>
      </c>
      <c r="I513" s="252">
        <f>IFERROR(IF($E513="Inventory",VLOOKUP($C513,Inventory!$B:$I,8,FALSE()),IF($E513="Non Inventory",VLOOKUP($C513,'Non Inventory'!$B:$I,8,FALSE()),IF($E513="Services",VLOOKUP($C513,Services!$B:$I,8,FALSE()),IF($E513="Patty Cash",VLOOKUP($C513,'Patty Cash'!$B:$J,8,FALSE()),0)))),0)</f>
        <v>0</v>
      </c>
      <c r="J513" s="252" t="str">
        <f t="shared" si="17"/>
        <v/>
      </c>
      <c r="K513" s="253"/>
      <c r="L513" s="253"/>
      <c r="M513" s="253"/>
      <c r="N513" s="328"/>
    </row>
    <row r="514" spans="1:14" ht="20.100000000000001" customHeight="1">
      <c r="A514" s="327" t="str">
        <f>IF(AND($B514="",$C514=""),"",MAX($A$3:A513)+1)</f>
        <v/>
      </c>
      <c r="B514" s="262"/>
      <c r="C514" s="253"/>
      <c r="D514" s="249" t="str">
        <f>IFERROR(IF($E514="Inventory",VLOOKUP($C514,Inventory!$B:$I,2,FALSE()),IF($E514="Non Inventory",VLOOKUP($C514,'Non Inventory'!$B:$I,2,FALSE()),IF($E514="Services",VLOOKUP($C514,Services!$B:$I,2,FALSE()),IF($E514="Patty Cash",VLOOKUP($C514,'Patty Cash'!$B:$J,2,FALSE()),"")))),"")</f>
        <v/>
      </c>
      <c r="E514" s="254"/>
      <c r="F514" s="263" t="str">
        <f>IFERROR(IF($E514="Inventory",VLOOKUP($C514,Inventory!$B:$I,3,FALSE()),IF($E514="Non Inventory",VLOOKUP($C514,'Non Inventory'!$B:$I,3,FALSE()),IF($E514="Services",VLOOKUP($C514,Services!$B:$I,3,FALSE()),IF($E514="Patty Cash",VLOOKUP($C514,'Patty Cash'!$B:$J,3,FALSE()),"")))),"")</f>
        <v/>
      </c>
      <c r="G514" s="374"/>
      <c r="H514" s="374" t="str">
        <f t="shared" si="16"/>
        <v/>
      </c>
      <c r="I514" s="252">
        <f>IFERROR(IF($E514="Inventory",VLOOKUP($C514,Inventory!$B:$I,8,FALSE()),IF($E514="Non Inventory",VLOOKUP($C514,'Non Inventory'!$B:$I,8,FALSE()),IF($E514="Services",VLOOKUP($C514,Services!$B:$I,8,FALSE()),IF($E514="Patty Cash",VLOOKUP($C514,'Patty Cash'!$B:$J,8,FALSE()),0)))),0)</f>
        <v>0</v>
      </c>
      <c r="J514" s="252" t="str">
        <f t="shared" si="17"/>
        <v/>
      </c>
      <c r="K514" s="253"/>
      <c r="L514" s="253"/>
      <c r="M514" s="253"/>
      <c r="N514" s="328"/>
    </row>
    <row r="515" spans="1:14" ht="20.100000000000001" customHeight="1">
      <c r="A515" s="327" t="str">
        <f>IF(AND($B515="",$C515=""),"",MAX($A$3:A514)+1)</f>
        <v/>
      </c>
      <c r="B515" s="262"/>
      <c r="C515" s="253"/>
      <c r="D515" s="249" t="str">
        <f>IFERROR(IF($E515="Inventory",VLOOKUP($C515,Inventory!$B:$I,2,FALSE()),IF($E515="Non Inventory",VLOOKUP($C515,'Non Inventory'!$B:$I,2,FALSE()),IF($E515="Services",VLOOKUP($C515,Services!$B:$I,2,FALSE()),IF($E515="Patty Cash",VLOOKUP($C515,'Patty Cash'!$B:$J,2,FALSE()),"")))),"")</f>
        <v/>
      </c>
      <c r="E515" s="254"/>
      <c r="F515" s="263" t="str">
        <f>IFERROR(IF($E515="Inventory",VLOOKUP($C515,Inventory!$B:$I,3,FALSE()),IF($E515="Non Inventory",VLOOKUP($C515,'Non Inventory'!$B:$I,3,FALSE()),IF($E515="Services",VLOOKUP($C515,Services!$B:$I,3,FALSE()),IF($E515="Patty Cash",VLOOKUP($C515,'Patty Cash'!$B:$J,3,FALSE()),"")))),"")</f>
        <v/>
      </c>
      <c r="G515" s="374"/>
      <c r="H515" s="374" t="str">
        <f t="shared" si="16"/>
        <v/>
      </c>
      <c r="I515" s="252">
        <f>IFERROR(IF($E515="Inventory",VLOOKUP($C515,Inventory!$B:$I,8,FALSE()),IF($E515="Non Inventory",VLOOKUP($C515,'Non Inventory'!$B:$I,8,FALSE()),IF($E515="Services",VLOOKUP($C515,Services!$B:$I,8,FALSE()),IF($E515="Patty Cash",VLOOKUP($C515,'Patty Cash'!$B:$J,8,FALSE()),0)))),0)</f>
        <v>0</v>
      </c>
      <c r="J515" s="252" t="str">
        <f t="shared" si="17"/>
        <v/>
      </c>
      <c r="K515" s="253"/>
      <c r="L515" s="253"/>
      <c r="M515" s="253"/>
      <c r="N515" s="328"/>
    </row>
    <row r="516" spans="1:14" ht="20.100000000000001" customHeight="1">
      <c r="A516" s="327" t="str">
        <f>IF(AND($B516="",$C516=""),"",MAX($A$3:A515)+1)</f>
        <v/>
      </c>
      <c r="B516" s="262"/>
      <c r="C516" s="253"/>
      <c r="D516" s="249" t="str">
        <f>IFERROR(IF($E516="Inventory",VLOOKUP($C516,Inventory!$B:$I,2,FALSE()),IF($E516="Non Inventory",VLOOKUP($C516,'Non Inventory'!$B:$I,2,FALSE()),IF($E516="Services",VLOOKUP($C516,Services!$B:$I,2,FALSE()),IF($E516="Patty Cash",VLOOKUP($C516,'Patty Cash'!$B:$J,2,FALSE()),"")))),"")</f>
        <v/>
      </c>
      <c r="E516" s="254"/>
      <c r="F516" s="263" t="str">
        <f>IFERROR(IF($E516="Inventory",VLOOKUP($C516,Inventory!$B:$I,3,FALSE()),IF($E516="Non Inventory",VLOOKUP($C516,'Non Inventory'!$B:$I,3,FALSE()),IF($E516="Services",VLOOKUP($C516,Services!$B:$I,3,FALSE()),IF($E516="Patty Cash",VLOOKUP($C516,'Patty Cash'!$B:$J,3,FALSE()),"")))),"")</f>
        <v/>
      </c>
      <c r="G516" s="374"/>
      <c r="H516" s="374" t="str">
        <f t="shared" si="16"/>
        <v/>
      </c>
      <c r="I516" s="252">
        <f>IFERROR(IF($E516="Inventory",VLOOKUP($C516,Inventory!$B:$I,8,FALSE()),IF($E516="Non Inventory",VLOOKUP($C516,'Non Inventory'!$B:$I,8,FALSE()),IF($E516="Services",VLOOKUP($C516,Services!$B:$I,8,FALSE()),IF($E516="Patty Cash",VLOOKUP($C516,'Patty Cash'!$B:$J,8,FALSE()),0)))),0)</f>
        <v>0</v>
      </c>
      <c r="J516" s="252" t="str">
        <f t="shared" si="17"/>
        <v/>
      </c>
      <c r="K516" s="253"/>
      <c r="L516" s="253"/>
      <c r="M516" s="253"/>
      <c r="N516" s="328"/>
    </row>
    <row r="517" spans="1:14" ht="20.100000000000001" customHeight="1">
      <c r="A517" s="327" t="str">
        <f>IF(AND($B517="",$C517=""),"",MAX($A$3:A516)+1)</f>
        <v/>
      </c>
      <c r="B517" s="262"/>
      <c r="C517" s="253"/>
      <c r="D517" s="249" t="str">
        <f>IFERROR(IF($E517="Inventory",VLOOKUP($C517,Inventory!$B:$I,2,FALSE()),IF($E517="Non Inventory",VLOOKUP($C517,'Non Inventory'!$B:$I,2,FALSE()),IF($E517="Services",VLOOKUP($C517,Services!$B:$I,2,FALSE()),IF($E517="Patty Cash",VLOOKUP($C517,'Patty Cash'!$B:$J,2,FALSE()),"")))),"")</f>
        <v/>
      </c>
      <c r="E517" s="254"/>
      <c r="F517" s="263" t="str">
        <f>IFERROR(IF($E517="Inventory",VLOOKUP($C517,Inventory!$B:$I,3,FALSE()),IF($E517="Non Inventory",VLOOKUP($C517,'Non Inventory'!$B:$I,3,FALSE()),IF($E517="Services",VLOOKUP($C517,Services!$B:$I,3,FALSE()),IF($E517="Patty Cash",VLOOKUP($C517,'Patty Cash'!$B:$J,3,FALSE()),"")))),"")</f>
        <v/>
      </c>
      <c r="G517" s="374"/>
      <c r="H517" s="374" t="str">
        <f t="shared" si="16"/>
        <v/>
      </c>
      <c r="I517" s="252">
        <f>IFERROR(IF($E517="Inventory",VLOOKUP($C517,Inventory!$B:$I,8,FALSE()),IF($E517="Non Inventory",VLOOKUP($C517,'Non Inventory'!$B:$I,8,FALSE()),IF($E517="Services",VLOOKUP($C517,Services!$B:$I,8,FALSE()),IF($E517="Patty Cash",VLOOKUP($C517,'Patty Cash'!$B:$J,8,FALSE()),0)))),0)</f>
        <v>0</v>
      </c>
      <c r="J517" s="252" t="str">
        <f t="shared" si="17"/>
        <v/>
      </c>
      <c r="K517" s="253"/>
      <c r="L517" s="253"/>
      <c r="M517" s="253"/>
      <c r="N517" s="328"/>
    </row>
    <row r="518" spans="1:14" ht="20.100000000000001" customHeight="1">
      <c r="A518" s="327" t="str">
        <f>IF(AND($B518="",$C518=""),"",MAX($A$3:A517)+1)</f>
        <v/>
      </c>
      <c r="B518" s="262"/>
      <c r="C518" s="253"/>
      <c r="D518" s="249" t="str">
        <f>IFERROR(IF($E518="Inventory",VLOOKUP($C518,Inventory!$B:$I,2,FALSE()),IF($E518="Non Inventory",VLOOKUP($C518,'Non Inventory'!$B:$I,2,FALSE()),IF($E518="Services",VLOOKUP($C518,Services!$B:$I,2,FALSE()),IF($E518="Patty Cash",VLOOKUP($C518,'Patty Cash'!$B:$J,2,FALSE()),"")))),"")</f>
        <v/>
      </c>
      <c r="E518" s="254"/>
      <c r="F518" s="263" t="str">
        <f>IFERROR(IF($E518="Inventory",VLOOKUP($C518,Inventory!$B:$I,3,FALSE()),IF($E518="Non Inventory",VLOOKUP($C518,'Non Inventory'!$B:$I,3,FALSE()),IF($E518="Services",VLOOKUP($C518,Services!$B:$I,3,FALSE()),IF($E518="Patty Cash",VLOOKUP($C518,'Patty Cash'!$B:$J,3,FALSE()),"")))),"")</f>
        <v/>
      </c>
      <c r="G518" s="374"/>
      <c r="H518" s="374" t="str">
        <f t="shared" si="16"/>
        <v/>
      </c>
      <c r="I518" s="252">
        <f>IFERROR(IF($E518="Inventory",VLOOKUP($C518,Inventory!$B:$I,8,FALSE()),IF($E518="Non Inventory",VLOOKUP($C518,'Non Inventory'!$B:$I,8,FALSE()),IF($E518="Services",VLOOKUP($C518,Services!$B:$I,8,FALSE()),IF($E518="Patty Cash",VLOOKUP($C518,'Patty Cash'!$B:$J,8,FALSE()),0)))),0)</f>
        <v>0</v>
      </c>
      <c r="J518" s="252" t="str">
        <f t="shared" si="17"/>
        <v/>
      </c>
      <c r="K518" s="253"/>
      <c r="L518" s="253"/>
      <c r="M518" s="253"/>
      <c r="N518" s="328"/>
    </row>
    <row r="519" spans="1:14" ht="20.100000000000001" customHeight="1">
      <c r="A519" s="327" t="str">
        <f>IF(AND($B519="",$C519=""),"",MAX($A$3:A518)+1)</f>
        <v/>
      </c>
      <c r="B519" s="262"/>
      <c r="C519" s="253"/>
      <c r="D519" s="249" t="str">
        <f>IFERROR(IF($E519="Inventory",VLOOKUP($C519,Inventory!$B:$I,2,FALSE()),IF($E519="Non Inventory",VLOOKUP($C519,'Non Inventory'!$B:$I,2,FALSE()),IF($E519="Services",VLOOKUP($C519,Services!$B:$I,2,FALSE()),IF($E519="Patty Cash",VLOOKUP($C519,'Patty Cash'!$B:$J,2,FALSE()),"")))),"")</f>
        <v/>
      </c>
      <c r="E519" s="254"/>
      <c r="F519" s="263" t="str">
        <f>IFERROR(IF($E519="Inventory",VLOOKUP($C519,Inventory!$B:$I,3,FALSE()),IF($E519="Non Inventory",VLOOKUP($C519,'Non Inventory'!$B:$I,3,FALSE()),IF($E519="Services",VLOOKUP($C519,Services!$B:$I,3,FALSE()),IF($E519="Patty Cash",VLOOKUP($C519,'Patty Cash'!$B:$J,3,FALSE()),"")))),"")</f>
        <v/>
      </c>
      <c r="G519" s="374"/>
      <c r="H519" s="374" t="str">
        <f t="shared" si="16"/>
        <v/>
      </c>
      <c r="I519" s="252">
        <f>IFERROR(IF($E519="Inventory",VLOOKUP($C519,Inventory!$B:$I,8,FALSE()),IF($E519="Non Inventory",VLOOKUP($C519,'Non Inventory'!$B:$I,8,FALSE()),IF($E519="Services",VLOOKUP($C519,Services!$B:$I,8,FALSE()),IF($E519="Patty Cash",VLOOKUP($C519,'Patty Cash'!$B:$J,8,FALSE()),0)))),0)</f>
        <v>0</v>
      </c>
      <c r="J519" s="252" t="str">
        <f t="shared" si="17"/>
        <v/>
      </c>
      <c r="K519" s="253"/>
      <c r="L519" s="253"/>
      <c r="M519" s="253"/>
      <c r="N519" s="328"/>
    </row>
    <row r="520" spans="1:14" ht="20.100000000000001" customHeight="1">
      <c r="A520" s="327" t="str">
        <f>IF(AND($B520="",$C520=""),"",MAX($A$3:A519)+1)</f>
        <v/>
      </c>
      <c r="B520" s="262"/>
      <c r="C520" s="253"/>
      <c r="D520" s="249" t="str">
        <f>IFERROR(IF($E520="Inventory",VLOOKUP($C520,Inventory!$B:$I,2,FALSE()),IF($E520="Non Inventory",VLOOKUP($C520,'Non Inventory'!$B:$I,2,FALSE()),IF($E520="Services",VLOOKUP($C520,Services!$B:$I,2,FALSE()),IF($E520="Patty Cash",VLOOKUP($C520,'Patty Cash'!$B:$J,2,FALSE()),"")))),"")</f>
        <v/>
      </c>
      <c r="E520" s="254"/>
      <c r="F520" s="263" t="str">
        <f>IFERROR(IF($E520="Inventory",VLOOKUP($C520,Inventory!$B:$I,3,FALSE()),IF($E520="Non Inventory",VLOOKUP($C520,'Non Inventory'!$B:$I,3,FALSE()),IF($E520="Services",VLOOKUP($C520,Services!$B:$I,3,FALSE()),IF($E520="Patty Cash",VLOOKUP($C520,'Patty Cash'!$B:$J,3,FALSE()),"")))),"")</f>
        <v/>
      </c>
      <c r="G520" s="374"/>
      <c r="H520" s="374" t="str">
        <f t="shared" si="16"/>
        <v/>
      </c>
      <c r="I520" s="252">
        <f>IFERROR(IF($E520="Inventory",VLOOKUP($C520,Inventory!$B:$I,8,FALSE()),IF($E520="Non Inventory",VLOOKUP($C520,'Non Inventory'!$B:$I,8,FALSE()),IF($E520="Services",VLOOKUP($C520,Services!$B:$I,8,FALSE()),IF($E520="Patty Cash",VLOOKUP($C520,'Patty Cash'!$B:$J,8,FALSE()),0)))),0)</f>
        <v>0</v>
      </c>
      <c r="J520" s="252" t="str">
        <f t="shared" si="17"/>
        <v/>
      </c>
      <c r="K520" s="253"/>
      <c r="L520" s="253"/>
      <c r="M520" s="253"/>
      <c r="N520" s="328"/>
    </row>
    <row r="521" spans="1:14" ht="20.100000000000001" customHeight="1">
      <c r="A521" s="327" t="str">
        <f>IF(AND($B521="",$C521=""),"",MAX($A$3:A520)+1)</f>
        <v/>
      </c>
      <c r="B521" s="262"/>
      <c r="C521" s="253"/>
      <c r="D521" s="249" t="str">
        <f>IFERROR(IF($E521="Inventory",VLOOKUP($C521,Inventory!$B:$I,2,FALSE()),IF($E521="Non Inventory",VLOOKUP($C521,'Non Inventory'!$B:$I,2,FALSE()),IF($E521="Services",VLOOKUP($C521,Services!$B:$I,2,FALSE()),IF($E521="Patty Cash",VLOOKUP($C521,'Patty Cash'!$B:$J,2,FALSE()),"")))),"")</f>
        <v/>
      </c>
      <c r="E521" s="254"/>
      <c r="F521" s="263" t="str">
        <f>IFERROR(IF($E521="Inventory",VLOOKUP($C521,Inventory!$B:$I,3,FALSE()),IF($E521="Non Inventory",VLOOKUP($C521,'Non Inventory'!$B:$I,3,FALSE()),IF($E521="Services",VLOOKUP($C521,Services!$B:$I,3,FALSE()),IF($E521="Patty Cash",VLOOKUP($C521,'Patty Cash'!$B:$J,3,FALSE()),"")))),"")</f>
        <v/>
      </c>
      <c r="G521" s="374"/>
      <c r="H521" s="374" t="str">
        <f t="shared" si="16"/>
        <v/>
      </c>
      <c r="I521" s="252">
        <f>IFERROR(IF($E521="Inventory",VLOOKUP($C521,Inventory!$B:$I,8,FALSE()),IF($E521="Non Inventory",VLOOKUP($C521,'Non Inventory'!$B:$I,8,FALSE()),IF($E521="Services",VLOOKUP($C521,Services!$B:$I,8,FALSE()),IF($E521="Patty Cash",VLOOKUP($C521,'Patty Cash'!$B:$J,8,FALSE()),0)))),0)</f>
        <v>0</v>
      </c>
      <c r="J521" s="252" t="str">
        <f t="shared" si="17"/>
        <v/>
      </c>
      <c r="K521" s="253"/>
      <c r="L521" s="253"/>
      <c r="M521" s="253"/>
      <c r="N521" s="328"/>
    </row>
    <row r="522" spans="1:14" ht="20.100000000000001" customHeight="1">
      <c r="A522" s="327" t="str">
        <f>IF(AND($B522="",$C522=""),"",MAX($A$3:A521)+1)</f>
        <v/>
      </c>
      <c r="B522" s="262"/>
      <c r="C522" s="253"/>
      <c r="D522" s="249" t="str">
        <f>IFERROR(IF($E522="Inventory",VLOOKUP($C522,Inventory!$B:$I,2,FALSE()),IF($E522="Non Inventory",VLOOKUP($C522,'Non Inventory'!$B:$I,2,FALSE()),IF($E522="Services",VLOOKUP($C522,Services!$B:$I,2,FALSE()),IF($E522="Patty Cash",VLOOKUP($C522,'Patty Cash'!$B:$J,2,FALSE()),"")))),"")</f>
        <v/>
      </c>
      <c r="E522" s="254"/>
      <c r="F522" s="263" t="str">
        <f>IFERROR(IF($E522="Inventory",VLOOKUP($C522,Inventory!$B:$I,3,FALSE()),IF($E522="Non Inventory",VLOOKUP($C522,'Non Inventory'!$B:$I,3,FALSE()),IF($E522="Services",VLOOKUP($C522,Services!$B:$I,3,FALSE()),IF($E522="Patty Cash",VLOOKUP($C522,'Patty Cash'!$B:$J,3,FALSE()),"")))),"")</f>
        <v/>
      </c>
      <c r="G522" s="374"/>
      <c r="H522" s="374" t="str">
        <f t="shared" si="16"/>
        <v/>
      </c>
      <c r="I522" s="252">
        <f>IFERROR(IF($E522="Inventory",VLOOKUP($C522,Inventory!$B:$I,8,FALSE()),IF($E522="Non Inventory",VLOOKUP($C522,'Non Inventory'!$B:$I,8,FALSE()),IF($E522="Services",VLOOKUP($C522,Services!$B:$I,8,FALSE()),IF($E522="Patty Cash",VLOOKUP($C522,'Patty Cash'!$B:$J,8,FALSE()),0)))),0)</f>
        <v>0</v>
      </c>
      <c r="J522" s="252" t="str">
        <f t="shared" si="17"/>
        <v/>
      </c>
      <c r="K522" s="253"/>
      <c r="L522" s="253"/>
      <c r="M522" s="253"/>
      <c r="N522" s="328"/>
    </row>
    <row r="523" spans="1:14" ht="20.100000000000001" customHeight="1">
      <c r="A523" s="327" t="str">
        <f>IF(AND($B523="",$C523=""),"",MAX($A$3:A522)+1)</f>
        <v/>
      </c>
      <c r="B523" s="262"/>
      <c r="C523" s="253"/>
      <c r="D523" s="249" t="str">
        <f>IFERROR(IF($E523="Inventory",VLOOKUP($C523,Inventory!$B:$I,2,FALSE()),IF($E523="Non Inventory",VLOOKUP($C523,'Non Inventory'!$B:$I,2,FALSE()),IF($E523="Services",VLOOKUP($C523,Services!$B:$I,2,FALSE()),IF($E523="Patty Cash",VLOOKUP($C523,'Patty Cash'!$B:$J,2,FALSE()),"")))),"")</f>
        <v/>
      </c>
      <c r="E523" s="254"/>
      <c r="F523" s="263" t="str">
        <f>IFERROR(IF($E523="Inventory",VLOOKUP($C523,Inventory!$B:$I,3,FALSE()),IF($E523="Non Inventory",VLOOKUP($C523,'Non Inventory'!$B:$I,3,FALSE()),IF($E523="Services",VLOOKUP($C523,Services!$B:$I,3,FALSE()),IF($E523="Patty Cash",VLOOKUP($C523,'Patty Cash'!$B:$J,3,FALSE()),"")))),"")</f>
        <v/>
      </c>
      <c r="G523" s="374"/>
      <c r="H523" s="374" t="str">
        <f t="shared" si="16"/>
        <v/>
      </c>
      <c r="I523" s="252">
        <f>IFERROR(IF($E523="Inventory",VLOOKUP($C523,Inventory!$B:$I,8,FALSE()),IF($E523="Non Inventory",VLOOKUP($C523,'Non Inventory'!$B:$I,8,FALSE()),IF($E523="Services",VLOOKUP($C523,Services!$B:$I,8,FALSE()),IF($E523="Patty Cash",VLOOKUP($C523,'Patty Cash'!$B:$J,8,FALSE()),0)))),0)</f>
        <v>0</v>
      </c>
      <c r="J523" s="252" t="str">
        <f t="shared" si="17"/>
        <v/>
      </c>
      <c r="K523" s="253"/>
      <c r="L523" s="253"/>
      <c r="M523" s="253"/>
      <c r="N523" s="328"/>
    </row>
    <row r="524" spans="1:14" ht="20.100000000000001" customHeight="1">
      <c r="A524" s="327" t="str">
        <f>IF(AND($B524="",$C524=""),"",MAX($A$3:A523)+1)</f>
        <v/>
      </c>
      <c r="B524" s="262"/>
      <c r="C524" s="253"/>
      <c r="D524" s="249" t="str">
        <f>IFERROR(IF($E524="Inventory",VLOOKUP($C524,Inventory!$B:$I,2,FALSE()),IF($E524="Non Inventory",VLOOKUP($C524,'Non Inventory'!$B:$I,2,FALSE()),IF($E524="Services",VLOOKUP($C524,Services!$B:$I,2,FALSE()),IF($E524="Patty Cash",VLOOKUP($C524,'Patty Cash'!$B:$J,2,FALSE()),"")))),"")</f>
        <v/>
      </c>
      <c r="E524" s="254"/>
      <c r="F524" s="263" t="str">
        <f>IFERROR(IF($E524="Inventory",VLOOKUP($C524,Inventory!$B:$I,3,FALSE()),IF($E524="Non Inventory",VLOOKUP($C524,'Non Inventory'!$B:$I,3,FALSE()),IF($E524="Services",VLOOKUP($C524,Services!$B:$I,3,FALSE()),IF($E524="Patty Cash",VLOOKUP($C524,'Patty Cash'!$B:$J,3,FALSE()),"")))),"")</f>
        <v/>
      </c>
      <c r="G524" s="374"/>
      <c r="H524" s="374" t="str">
        <f t="shared" si="16"/>
        <v/>
      </c>
      <c r="I524" s="252">
        <f>IFERROR(IF($E524="Inventory",VLOOKUP($C524,Inventory!$B:$I,8,FALSE()),IF($E524="Non Inventory",VLOOKUP($C524,'Non Inventory'!$B:$I,8,FALSE()),IF($E524="Services",VLOOKUP($C524,Services!$B:$I,8,FALSE()),IF($E524="Patty Cash",VLOOKUP($C524,'Patty Cash'!$B:$J,8,FALSE()),0)))),0)</f>
        <v>0</v>
      </c>
      <c r="J524" s="252" t="str">
        <f t="shared" si="17"/>
        <v/>
      </c>
      <c r="K524" s="253"/>
      <c r="L524" s="253"/>
      <c r="M524" s="253"/>
      <c r="N524" s="328"/>
    </row>
    <row r="525" spans="1:14" ht="20.100000000000001" customHeight="1">
      <c r="A525" s="327" t="str">
        <f>IF(AND($B525="",$C525=""),"",MAX($A$3:A524)+1)</f>
        <v/>
      </c>
      <c r="B525" s="262"/>
      <c r="C525" s="253"/>
      <c r="D525" s="249" t="str">
        <f>IFERROR(IF($E525="Inventory",VLOOKUP($C525,Inventory!$B:$I,2,FALSE()),IF($E525="Non Inventory",VLOOKUP($C525,'Non Inventory'!$B:$I,2,FALSE()),IF($E525="Services",VLOOKUP($C525,Services!$B:$I,2,FALSE()),IF($E525="Patty Cash",VLOOKUP($C525,'Patty Cash'!$B:$J,2,FALSE()),"")))),"")</f>
        <v/>
      </c>
      <c r="E525" s="254"/>
      <c r="F525" s="263" t="str">
        <f>IFERROR(IF($E525="Inventory",VLOOKUP($C525,Inventory!$B:$I,3,FALSE()),IF($E525="Non Inventory",VLOOKUP($C525,'Non Inventory'!$B:$I,3,FALSE()),IF($E525="Services",VLOOKUP($C525,Services!$B:$I,3,FALSE()),IF($E525="Patty Cash",VLOOKUP($C525,'Patty Cash'!$B:$J,3,FALSE()),"")))),"")</f>
        <v/>
      </c>
      <c r="G525" s="374"/>
      <c r="H525" s="374" t="str">
        <f t="shared" si="16"/>
        <v/>
      </c>
      <c r="I525" s="252">
        <f>IFERROR(IF($E525="Inventory",VLOOKUP($C525,Inventory!$B:$I,8,FALSE()),IF($E525="Non Inventory",VLOOKUP($C525,'Non Inventory'!$B:$I,8,FALSE()),IF($E525="Services",VLOOKUP($C525,Services!$B:$I,8,FALSE()),IF($E525="Patty Cash",VLOOKUP($C525,'Patty Cash'!$B:$J,8,FALSE()),0)))),0)</f>
        <v>0</v>
      </c>
      <c r="J525" s="252" t="str">
        <f t="shared" si="17"/>
        <v/>
      </c>
      <c r="K525" s="253"/>
      <c r="L525" s="253"/>
      <c r="M525" s="253"/>
      <c r="N525" s="328"/>
    </row>
    <row r="526" spans="1:14" ht="20.100000000000001" customHeight="1">
      <c r="A526" s="327" t="str">
        <f>IF(AND($B526="",$C526=""),"",MAX($A$3:A525)+1)</f>
        <v/>
      </c>
      <c r="B526" s="262"/>
      <c r="C526" s="253"/>
      <c r="D526" s="249" t="str">
        <f>IFERROR(IF($E526="Inventory",VLOOKUP($C526,Inventory!$B:$I,2,FALSE()),IF($E526="Non Inventory",VLOOKUP($C526,'Non Inventory'!$B:$I,2,FALSE()),IF($E526="Services",VLOOKUP($C526,Services!$B:$I,2,FALSE()),IF($E526="Patty Cash",VLOOKUP($C526,'Patty Cash'!$B:$J,2,FALSE()),"")))),"")</f>
        <v/>
      </c>
      <c r="E526" s="254"/>
      <c r="F526" s="263" t="str">
        <f>IFERROR(IF($E526="Inventory",VLOOKUP($C526,Inventory!$B:$I,3,FALSE()),IF($E526="Non Inventory",VLOOKUP($C526,'Non Inventory'!$B:$I,3,FALSE()),IF($E526="Services",VLOOKUP($C526,Services!$B:$I,3,FALSE()),IF($E526="Patty Cash",VLOOKUP($C526,'Patty Cash'!$B:$J,3,FALSE()),"")))),"")</f>
        <v/>
      </c>
      <c r="G526" s="374"/>
      <c r="H526" s="374" t="str">
        <f t="shared" si="16"/>
        <v/>
      </c>
      <c r="I526" s="252">
        <f>IFERROR(IF($E526="Inventory",VLOOKUP($C526,Inventory!$B:$I,8,FALSE()),IF($E526="Non Inventory",VLOOKUP($C526,'Non Inventory'!$B:$I,8,FALSE()),IF($E526="Services",VLOOKUP($C526,Services!$B:$I,8,FALSE()),IF($E526="Patty Cash",VLOOKUP($C526,'Patty Cash'!$B:$J,8,FALSE()),0)))),0)</f>
        <v>0</v>
      </c>
      <c r="J526" s="252" t="str">
        <f t="shared" si="17"/>
        <v/>
      </c>
      <c r="K526" s="253"/>
      <c r="L526" s="253"/>
      <c r="M526" s="253"/>
      <c r="N526" s="328"/>
    </row>
    <row r="527" spans="1:14" ht="20.100000000000001" customHeight="1">
      <c r="A527" s="327" t="str">
        <f>IF(AND($B527="",$C527=""),"",MAX($A$3:A526)+1)</f>
        <v/>
      </c>
      <c r="B527" s="262"/>
      <c r="C527" s="253"/>
      <c r="D527" s="249" t="str">
        <f>IFERROR(IF($E527="Inventory",VLOOKUP($C527,Inventory!$B:$I,2,FALSE()),IF($E527="Non Inventory",VLOOKUP($C527,'Non Inventory'!$B:$I,2,FALSE()),IF($E527="Services",VLOOKUP($C527,Services!$B:$I,2,FALSE()),IF($E527="Patty Cash",VLOOKUP($C527,'Patty Cash'!$B:$J,2,FALSE()),"")))),"")</f>
        <v/>
      </c>
      <c r="E527" s="254"/>
      <c r="F527" s="263" t="str">
        <f>IFERROR(IF($E527="Inventory",VLOOKUP($C527,Inventory!$B:$I,3,FALSE()),IF($E527="Non Inventory",VLOOKUP($C527,'Non Inventory'!$B:$I,3,FALSE()),IF($E527="Services",VLOOKUP($C527,Services!$B:$I,3,FALSE()),IF($E527="Patty Cash",VLOOKUP($C527,'Patty Cash'!$B:$J,3,FALSE()),"")))),"")</f>
        <v/>
      </c>
      <c r="G527" s="374"/>
      <c r="H527" s="374" t="str">
        <f t="shared" si="16"/>
        <v/>
      </c>
      <c r="I527" s="252">
        <f>IFERROR(IF($E527="Inventory",VLOOKUP($C527,Inventory!$B:$I,8,FALSE()),IF($E527="Non Inventory",VLOOKUP($C527,'Non Inventory'!$B:$I,8,FALSE()),IF($E527="Services",VLOOKUP($C527,Services!$B:$I,8,FALSE()),IF($E527="Patty Cash",VLOOKUP($C527,'Patty Cash'!$B:$J,8,FALSE()),0)))),0)</f>
        <v>0</v>
      </c>
      <c r="J527" s="252" t="str">
        <f t="shared" si="17"/>
        <v/>
      </c>
      <c r="K527" s="253"/>
      <c r="L527" s="253"/>
      <c r="M527" s="253"/>
      <c r="N527" s="328"/>
    </row>
    <row r="528" spans="1:14" ht="20.100000000000001" customHeight="1">
      <c r="A528" s="327" t="str">
        <f>IF(AND($B528="",$C528=""),"",MAX($A$3:A527)+1)</f>
        <v/>
      </c>
      <c r="B528" s="262"/>
      <c r="C528" s="253"/>
      <c r="D528" s="249" t="str">
        <f>IFERROR(IF($E528="Inventory",VLOOKUP($C528,Inventory!$B:$I,2,FALSE()),IF($E528="Non Inventory",VLOOKUP($C528,'Non Inventory'!$B:$I,2,FALSE()),IF($E528="Services",VLOOKUP($C528,Services!$B:$I,2,FALSE()),IF($E528="Patty Cash",VLOOKUP($C528,'Patty Cash'!$B:$J,2,FALSE()),"")))),"")</f>
        <v/>
      </c>
      <c r="E528" s="254"/>
      <c r="F528" s="263" t="str">
        <f>IFERROR(IF($E528="Inventory",VLOOKUP($C528,Inventory!$B:$I,3,FALSE()),IF($E528="Non Inventory",VLOOKUP($C528,'Non Inventory'!$B:$I,3,FALSE()),IF($E528="Services",VLOOKUP($C528,Services!$B:$I,3,FALSE()),IF($E528="Patty Cash",VLOOKUP($C528,'Patty Cash'!$B:$J,3,FALSE()),"")))),"")</f>
        <v/>
      </c>
      <c r="G528" s="374"/>
      <c r="H528" s="374" t="str">
        <f t="shared" si="16"/>
        <v/>
      </c>
      <c r="I528" s="252">
        <f>IFERROR(IF($E528="Inventory",VLOOKUP($C528,Inventory!$B:$I,8,FALSE()),IF($E528="Non Inventory",VLOOKUP($C528,'Non Inventory'!$B:$I,8,FALSE()),IF($E528="Services",VLOOKUP($C528,Services!$B:$I,8,FALSE()),IF($E528="Patty Cash",VLOOKUP($C528,'Patty Cash'!$B:$J,8,FALSE()),0)))),0)</f>
        <v>0</v>
      </c>
      <c r="J528" s="252" t="str">
        <f t="shared" si="17"/>
        <v/>
      </c>
      <c r="K528" s="253"/>
      <c r="L528" s="253"/>
      <c r="M528" s="253"/>
      <c r="N528" s="328"/>
    </row>
    <row r="529" spans="1:14" ht="20.100000000000001" customHeight="1">
      <c r="A529" s="327" t="str">
        <f>IF(AND($B529="",$C529=""),"",MAX($A$3:A528)+1)</f>
        <v/>
      </c>
      <c r="B529" s="262"/>
      <c r="C529" s="253"/>
      <c r="D529" s="249" t="str">
        <f>IFERROR(IF($E529="Inventory",VLOOKUP($C529,Inventory!$B:$I,2,FALSE()),IF($E529="Non Inventory",VLOOKUP($C529,'Non Inventory'!$B:$I,2,FALSE()),IF($E529="Services",VLOOKUP($C529,Services!$B:$I,2,FALSE()),IF($E529="Patty Cash",VLOOKUP($C529,'Patty Cash'!$B:$J,2,FALSE()),"")))),"")</f>
        <v/>
      </c>
      <c r="E529" s="254"/>
      <c r="F529" s="263" t="str">
        <f>IFERROR(IF($E529="Inventory",VLOOKUP($C529,Inventory!$B:$I,3,FALSE()),IF($E529="Non Inventory",VLOOKUP($C529,'Non Inventory'!$B:$I,3,FALSE()),IF($E529="Services",VLOOKUP($C529,Services!$B:$I,3,FALSE()),IF($E529="Patty Cash",VLOOKUP($C529,'Patty Cash'!$B:$J,3,FALSE()),"")))),"")</f>
        <v/>
      </c>
      <c r="G529" s="374"/>
      <c r="H529" s="374" t="str">
        <f t="shared" si="16"/>
        <v/>
      </c>
      <c r="I529" s="252">
        <f>IFERROR(IF($E529="Inventory",VLOOKUP($C529,Inventory!$B:$I,8,FALSE()),IF($E529="Non Inventory",VLOOKUP($C529,'Non Inventory'!$B:$I,8,FALSE()),IF($E529="Services",VLOOKUP($C529,Services!$B:$I,8,FALSE()),IF($E529="Patty Cash",VLOOKUP($C529,'Patty Cash'!$B:$J,8,FALSE()),0)))),0)</f>
        <v>0</v>
      </c>
      <c r="J529" s="252" t="str">
        <f t="shared" si="17"/>
        <v/>
      </c>
      <c r="K529" s="253"/>
      <c r="L529" s="253"/>
      <c r="M529" s="253"/>
      <c r="N529" s="328"/>
    </row>
    <row r="530" spans="1:14" ht="20.100000000000001" customHeight="1">
      <c r="A530" s="327" t="str">
        <f>IF(AND($B530="",$C530=""),"",MAX($A$3:A529)+1)</f>
        <v/>
      </c>
      <c r="B530" s="262"/>
      <c r="C530" s="253"/>
      <c r="D530" s="249" t="str">
        <f>IFERROR(IF($E530="Inventory",VLOOKUP($C530,Inventory!$B:$I,2,FALSE()),IF($E530="Non Inventory",VLOOKUP($C530,'Non Inventory'!$B:$I,2,FALSE()),IF($E530="Services",VLOOKUP($C530,Services!$B:$I,2,FALSE()),IF($E530="Patty Cash",VLOOKUP($C530,'Patty Cash'!$B:$J,2,FALSE()),"")))),"")</f>
        <v/>
      </c>
      <c r="E530" s="254"/>
      <c r="F530" s="263" t="str">
        <f>IFERROR(IF($E530="Inventory",VLOOKUP($C530,Inventory!$B:$I,3,FALSE()),IF($E530="Non Inventory",VLOOKUP($C530,'Non Inventory'!$B:$I,3,FALSE()),IF($E530="Services",VLOOKUP($C530,Services!$B:$I,3,FALSE()),IF($E530="Patty Cash",VLOOKUP($C530,'Patty Cash'!$B:$J,3,FALSE()),"")))),"")</f>
        <v/>
      </c>
      <c r="G530" s="374"/>
      <c r="H530" s="374" t="str">
        <f t="shared" si="16"/>
        <v/>
      </c>
      <c r="I530" s="252">
        <f>IFERROR(IF($E530="Inventory",VLOOKUP($C530,Inventory!$B:$I,8,FALSE()),IF($E530="Non Inventory",VLOOKUP($C530,'Non Inventory'!$B:$I,8,FALSE()),IF($E530="Services",VLOOKUP($C530,Services!$B:$I,8,FALSE()),IF($E530="Patty Cash",VLOOKUP($C530,'Patty Cash'!$B:$J,8,FALSE()),0)))),0)</f>
        <v>0</v>
      </c>
      <c r="J530" s="252" t="str">
        <f t="shared" si="17"/>
        <v/>
      </c>
      <c r="K530" s="253"/>
      <c r="L530" s="253"/>
      <c r="M530" s="253"/>
      <c r="N530" s="328"/>
    </row>
    <row r="531" spans="1:14" ht="20.100000000000001" customHeight="1">
      <c r="A531" s="327" t="str">
        <f>IF(AND($B531="",$C531=""),"",MAX($A$3:A530)+1)</f>
        <v/>
      </c>
      <c r="B531" s="262"/>
      <c r="C531" s="253"/>
      <c r="D531" s="249" t="str">
        <f>IFERROR(IF($E531="Inventory",VLOOKUP($C531,Inventory!$B:$I,2,FALSE()),IF($E531="Non Inventory",VLOOKUP($C531,'Non Inventory'!$B:$I,2,FALSE()),IF($E531="Services",VLOOKUP($C531,Services!$B:$I,2,FALSE()),IF($E531="Patty Cash",VLOOKUP($C531,'Patty Cash'!$B:$J,2,FALSE()),"")))),"")</f>
        <v/>
      </c>
      <c r="E531" s="254"/>
      <c r="F531" s="263" t="str">
        <f>IFERROR(IF($E531="Inventory",VLOOKUP($C531,Inventory!$B:$I,3,FALSE()),IF($E531="Non Inventory",VLOOKUP($C531,'Non Inventory'!$B:$I,3,FALSE()),IF($E531="Services",VLOOKUP($C531,Services!$B:$I,3,FALSE()),IF($E531="Patty Cash",VLOOKUP($C531,'Patty Cash'!$B:$J,3,FALSE()),"")))),"")</f>
        <v/>
      </c>
      <c r="G531" s="374"/>
      <c r="H531" s="374" t="str">
        <f t="shared" si="16"/>
        <v/>
      </c>
      <c r="I531" s="252">
        <f>IFERROR(IF($E531="Inventory",VLOOKUP($C531,Inventory!$B:$I,8,FALSE()),IF($E531="Non Inventory",VLOOKUP($C531,'Non Inventory'!$B:$I,8,FALSE()),IF($E531="Services",VLOOKUP($C531,Services!$B:$I,8,FALSE()),IF($E531="Patty Cash",VLOOKUP($C531,'Patty Cash'!$B:$J,8,FALSE()),0)))),0)</f>
        <v>0</v>
      </c>
      <c r="J531" s="252" t="str">
        <f t="shared" si="17"/>
        <v/>
      </c>
      <c r="K531" s="253"/>
      <c r="L531" s="253"/>
      <c r="M531" s="253"/>
      <c r="N531" s="328"/>
    </row>
    <row r="532" spans="1:14" ht="20.100000000000001" customHeight="1">
      <c r="A532" s="327" t="str">
        <f>IF(AND($B532="",$C532=""),"",MAX($A$3:A531)+1)</f>
        <v/>
      </c>
      <c r="B532" s="262"/>
      <c r="C532" s="253"/>
      <c r="D532" s="249" t="str">
        <f>IFERROR(IF($E532="Inventory",VLOOKUP($C532,Inventory!$B:$I,2,FALSE()),IF($E532="Non Inventory",VLOOKUP($C532,'Non Inventory'!$B:$I,2,FALSE()),IF($E532="Services",VLOOKUP($C532,Services!$B:$I,2,FALSE()),IF($E532="Patty Cash",VLOOKUP($C532,'Patty Cash'!$B:$J,2,FALSE()),"")))),"")</f>
        <v/>
      </c>
      <c r="E532" s="254"/>
      <c r="F532" s="263" t="str">
        <f>IFERROR(IF($E532="Inventory",VLOOKUP($C532,Inventory!$B:$I,3,FALSE()),IF($E532="Non Inventory",VLOOKUP($C532,'Non Inventory'!$B:$I,3,FALSE()),IF($E532="Services",VLOOKUP($C532,Services!$B:$I,3,FALSE()),IF($E532="Patty Cash",VLOOKUP($C532,'Patty Cash'!$B:$J,3,FALSE()),"")))),"")</f>
        <v/>
      </c>
      <c r="G532" s="374"/>
      <c r="H532" s="374" t="str">
        <f t="shared" si="16"/>
        <v/>
      </c>
      <c r="I532" s="252">
        <f>IFERROR(IF($E532="Inventory",VLOOKUP($C532,Inventory!$B:$I,8,FALSE()),IF($E532="Non Inventory",VLOOKUP($C532,'Non Inventory'!$B:$I,8,FALSE()),IF($E532="Services",VLOOKUP($C532,Services!$B:$I,8,FALSE()),IF($E532="Patty Cash",VLOOKUP($C532,'Patty Cash'!$B:$J,8,FALSE()),0)))),0)</f>
        <v>0</v>
      </c>
      <c r="J532" s="252" t="str">
        <f t="shared" si="17"/>
        <v/>
      </c>
      <c r="K532" s="253"/>
      <c r="L532" s="253"/>
      <c r="M532" s="253"/>
      <c r="N532" s="328"/>
    </row>
    <row r="533" spans="1:14" ht="20.100000000000001" customHeight="1">
      <c r="A533" s="327" t="str">
        <f>IF(AND($B533="",$C533=""),"",MAX($A$3:A532)+1)</f>
        <v/>
      </c>
      <c r="B533" s="262"/>
      <c r="C533" s="253"/>
      <c r="D533" s="249" t="str">
        <f>IFERROR(IF($E533="Inventory",VLOOKUP($C533,Inventory!$B:$I,2,FALSE()),IF($E533="Non Inventory",VLOOKUP($C533,'Non Inventory'!$B:$I,2,FALSE()),IF($E533="Services",VLOOKUP($C533,Services!$B:$I,2,FALSE()),IF($E533="Patty Cash",VLOOKUP($C533,'Patty Cash'!$B:$J,2,FALSE()),"")))),"")</f>
        <v/>
      </c>
      <c r="E533" s="254"/>
      <c r="F533" s="263" t="str">
        <f>IFERROR(IF($E533="Inventory",VLOOKUP($C533,Inventory!$B:$I,3,FALSE()),IF($E533="Non Inventory",VLOOKUP($C533,'Non Inventory'!$B:$I,3,FALSE()),IF($E533="Services",VLOOKUP($C533,Services!$B:$I,3,FALSE()),IF($E533="Patty Cash",VLOOKUP($C533,'Patty Cash'!$B:$J,3,FALSE()),"")))),"")</f>
        <v/>
      </c>
      <c r="G533" s="374"/>
      <c r="H533" s="374" t="str">
        <f t="shared" si="16"/>
        <v/>
      </c>
      <c r="I533" s="252">
        <f>IFERROR(IF($E533="Inventory",VLOOKUP($C533,Inventory!$B:$I,8,FALSE()),IF($E533="Non Inventory",VLOOKUP($C533,'Non Inventory'!$B:$I,8,FALSE()),IF($E533="Services",VLOOKUP($C533,Services!$B:$I,8,FALSE()),IF($E533="Patty Cash",VLOOKUP($C533,'Patty Cash'!$B:$J,8,FALSE()),0)))),0)</f>
        <v>0</v>
      </c>
      <c r="J533" s="252" t="str">
        <f t="shared" si="17"/>
        <v/>
      </c>
      <c r="K533" s="253"/>
      <c r="L533" s="253"/>
      <c r="M533" s="253"/>
      <c r="N533" s="328"/>
    </row>
    <row r="534" spans="1:14" ht="20.100000000000001" customHeight="1">
      <c r="A534" s="327" t="str">
        <f>IF(AND($B534="",$C534=""),"",MAX($A$3:A533)+1)</f>
        <v/>
      </c>
      <c r="B534" s="262"/>
      <c r="C534" s="253"/>
      <c r="D534" s="249" t="str">
        <f>IFERROR(IF($E534="Inventory",VLOOKUP($C534,Inventory!$B:$I,2,FALSE()),IF($E534="Non Inventory",VLOOKUP($C534,'Non Inventory'!$B:$I,2,FALSE()),IF($E534="Services",VLOOKUP($C534,Services!$B:$I,2,FALSE()),IF($E534="Patty Cash",VLOOKUP($C534,'Patty Cash'!$B:$J,2,FALSE()),"")))),"")</f>
        <v/>
      </c>
      <c r="E534" s="254"/>
      <c r="F534" s="263" t="str">
        <f>IFERROR(IF($E534="Inventory",VLOOKUP($C534,Inventory!$B:$I,3,FALSE()),IF($E534="Non Inventory",VLOOKUP($C534,'Non Inventory'!$B:$I,3,FALSE()),IF($E534="Services",VLOOKUP($C534,Services!$B:$I,3,FALSE()),IF($E534="Patty Cash",VLOOKUP($C534,'Patty Cash'!$B:$J,3,FALSE()),"")))),"")</f>
        <v/>
      </c>
      <c r="G534" s="374"/>
      <c r="H534" s="374" t="str">
        <f t="shared" si="16"/>
        <v/>
      </c>
      <c r="I534" s="252">
        <f>IFERROR(IF($E534="Inventory",VLOOKUP($C534,Inventory!$B:$I,8,FALSE()),IF($E534="Non Inventory",VLOOKUP($C534,'Non Inventory'!$B:$I,8,FALSE()),IF($E534="Services",VLOOKUP($C534,Services!$B:$I,8,FALSE()),IF($E534="Patty Cash",VLOOKUP($C534,'Patty Cash'!$B:$J,8,FALSE()),0)))),0)</f>
        <v>0</v>
      </c>
      <c r="J534" s="252" t="str">
        <f t="shared" si="17"/>
        <v/>
      </c>
      <c r="K534" s="253"/>
      <c r="L534" s="253"/>
      <c r="M534" s="253"/>
      <c r="N534" s="328"/>
    </row>
    <row r="535" spans="1:14" ht="20.100000000000001" customHeight="1">
      <c r="A535" s="327" t="str">
        <f>IF(AND($B535="",$C535=""),"",MAX($A$3:A534)+1)</f>
        <v/>
      </c>
      <c r="B535" s="262"/>
      <c r="C535" s="253"/>
      <c r="D535" s="249" t="str">
        <f>IFERROR(IF($E535="Inventory",VLOOKUP($C535,Inventory!$B:$I,2,FALSE()),IF($E535="Non Inventory",VLOOKUP($C535,'Non Inventory'!$B:$I,2,FALSE()),IF($E535="Services",VLOOKUP($C535,Services!$B:$I,2,FALSE()),IF($E535="Patty Cash",VLOOKUP($C535,'Patty Cash'!$B:$J,2,FALSE()),"")))),"")</f>
        <v/>
      </c>
      <c r="E535" s="254"/>
      <c r="F535" s="263" t="str">
        <f>IFERROR(IF($E535="Inventory",VLOOKUP($C535,Inventory!$B:$I,3,FALSE()),IF($E535="Non Inventory",VLOOKUP($C535,'Non Inventory'!$B:$I,3,FALSE()),IF($E535="Services",VLOOKUP($C535,Services!$B:$I,3,FALSE()),IF($E535="Patty Cash",VLOOKUP($C535,'Patty Cash'!$B:$J,3,FALSE()),"")))),"")</f>
        <v/>
      </c>
      <c r="G535" s="374"/>
      <c r="H535" s="374" t="str">
        <f t="shared" si="16"/>
        <v/>
      </c>
      <c r="I535" s="252">
        <f>IFERROR(IF($E535="Inventory",VLOOKUP($C535,Inventory!$B:$I,8,FALSE()),IF($E535="Non Inventory",VLOOKUP($C535,'Non Inventory'!$B:$I,8,FALSE()),IF($E535="Services",VLOOKUP($C535,Services!$B:$I,8,FALSE()),IF($E535="Patty Cash",VLOOKUP($C535,'Patty Cash'!$B:$J,8,FALSE()),0)))),0)</f>
        <v>0</v>
      </c>
      <c r="J535" s="252" t="str">
        <f t="shared" si="17"/>
        <v/>
      </c>
      <c r="K535" s="253"/>
      <c r="L535" s="253"/>
      <c r="M535" s="253"/>
      <c r="N535" s="328"/>
    </row>
    <row r="536" spans="1:14" ht="20.100000000000001" customHeight="1">
      <c r="A536" s="327" t="str">
        <f>IF(AND($B536="",$C536=""),"",MAX($A$3:A535)+1)</f>
        <v/>
      </c>
      <c r="B536" s="262"/>
      <c r="C536" s="253"/>
      <c r="D536" s="249" t="str">
        <f>IFERROR(IF($E536="Inventory",VLOOKUP($C536,Inventory!$B:$I,2,FALSE()),IF($E536="Non Inventory",VLOOKUP($C536,'Non Inventory'!$B:$I,2,FALSE()),IF($E536="Services",VLOOKUP($C536,Services!$B:$I,2,FALSE()),IF($E536="Patty Cash",VLOOKUP($C536,'Patty Cash'!$B:$J,2,FALSE()),"")))),"")</f>
        <v/>
      </c>
      <c r="E536" s="254"/>
      <c r="F536" s="263" t="str">
        <f>IFERROR(IF($E536="Inventory",VLOOKUP($C536,Inventory!$B:$I,3,FALSE()),IF($E536="Non Inventory",VLOOKUP($C536,'Non Inventory'!$B:$I,3,FALSE()),IF($E536="Services",VLOOKUP($C536,Services!$B:$I,3,FALSE()),IF($E536="Patty Cash",VLOOKUP($C536,'Patty Cash'!$B:$J,3,FALSE()),"")))),"")</f>
        <v/>
      </c>
      <c r="G536" s="374"/>
      <c r="H536" s="374" t="str">
        <f t="shared" si="16"/>
        <v/>
      </c>
      <c r="I536" s="252">
        <f>IFERROR(IF($E536="Inventory",VLOOKUP($C536,Inventory!$B:$I,8,FALSE()),IF($E536="Non Inventory",VLOOKUP($C536,'Non Inventory'!$B:$I,8,FALSE()),IF($E536="Services",VLOOKUP($C536,Services!$B:$I,8,FALSE()),IF($E536="Patty Cash",VLOOKUP($C536,'Patty Cash'!$B:$J,8,FALSE()),0)))),0)</f>
        <v>0</v>
      </c>
      <c r="J536" s="252" t="str">
        <f t="shared" si="17"/>
        <v/>
      </c>
      <c r="K536" s="253"/>
      <c r="L536" s="253"/>
      <c r="M536" s="253"/>
      <c r="N536" s="328"/>
    </row>
    <row r="537" spans="1:14" ht="20.100000000000001" customHeight="1">
      <c r="A537" s="327" t="str">
        <f>IF(AND($B537="",$C537=""),"",MAX($A$3:A536)+1)</f>
        <v/>
      </c>
      <c r="B537" s="262"/>
      <c r="C537" s="253"/>
      <c r="D537" s="249" t="str">
        <f>IFERROR(IF($E537="Inventory",VLOOKUP($C537,Inventory!$B:$I,2,FALSE()),IF($E537="Non Inventory",VLOOKUP($C537,'Non Inventory'!$B:$I,2,FALSE()),IF($E537="Services",VLOOKUP($C537,Services!$B:$I,2,FALSE()),IF($E537="Patty Cash",VLOOKUP($C537,'Patty Cash'!$B:$J,2,FALSE()),"")))),"")</f>
        <v/>
      </c>
      <c r="E537" s="254"/>
      <c r="F537" s="263" t="str">
        <f>IFERROR(IF($E537="Inventory",VLOOKUP($C537,Inventory!$B:$I,3,FALSE()),IF($E537="Non Inventory",VLOOKUP($C537,'Non Inventory'!$B:$I,3,FALSE()),IF($E537="Services",VLOOKUP($C537,Services!$B:$I,3,FALSE()),IF($E537="Patty Cash",VLOOKUP($C537,'Patty Cash'!$B:$J,3,FALSE()),"")))),"")</f>
        <v/>
      </c>
      <c r="G537" s="374"/>
      <c r="H537" s="374" t="str">
        <f t="shared" si="16"/>
        <v/>
      </c>
      <c r="I537" s="252">
        <f>IFERROR(IF($E537="Inventory",VLOOKUP($C537,Inventory!$B:$I,8,FALSE()),IF($E537="Non Inventory",VLOOKUP($C537,'Non Inventory'!$B:$I,8,FALSE()),IF($E537="Services",VLOOKUP($C537,Services!$B:$I,8,FALSE()),IF($E537="Patty Cash",VLOOKUP($C537,'Patty Cash'!$B:$J,8,FALSE()),0)))),0)</f>
        <v>0</v>
      </c>
      <c r="J537" s="252" t="str">
        <f t="shared" si="17"/>
        <v/>
      </c>
      <c r="K537" s="253"/>
      <c r="L537" s="253"/>
      <c r="M537" s="253"/>
      <c r="N537" s="328"/>
    </row>
    <row r="538" spans="1:14" ht="20.100000000000001" customHeight="1">
      <c r="A538" s="327" t="str">
        <f>IF(AND($B538="",$C538=""),"",MAX($A$3:A537)+1)</f>
        <v/>
      </c>
      <c r="B538" s="262"/>
      <c r="C538" s="253"/>
      <c r="D538" s="249" t="str">
        <f>IFERROR(IF($E538="Inventory",VLOOKUP($C538,Inventory!$B:$I,2,FALSE()),IF($E538="Non Inventory",VLOOKUP($C538,'Non Inventory'!$B:$I,2,FALSE()),IF($E538="Services",VLOOKUP($C538,Services!$B:$I,2,FALSE()),IF($E538="Patty Cash",VLOOKUP($C538,'Patty Cash'!$B:$J,2,FALSE()),"")))),"")</f>
        <v/>
      </c>
      <c r="E538" s="254"/>
      <c r="F538" s="263" t="str">
        <f>IFERROR(IF($E538="Inventory",VLOOKUP($C538,Inventory!$B:$I,3,FALSE()),IF($E538="Non Inventory",VLOOKUP($C538,'Non Inventory'!$B:$I,3,FALSE()),IF($E538="Services",VLOOKUP($C538,Services!$B:$I,3,FALSE()),IF($E538="Patty Cash",VLOOKUP($C538,'Patty Cash'!$B:$J,3,FALSE()),"")))),"")</f>
        <v/>
      </c>
      <c r="G538" s="374"/>
      <c r="H538" s="374" t="str">
        <f t="shared" si="16"/>
        <v/>
      </c>
      <c r="I538" s="252">
        <f>IFERROR(IF($E538="Inventory",VLOOKUP($C538,Inventory!$B:$I,8,FALSE()),IF($E538="Non Inventory",VLOOKUP($C538,'Non Inventory'!$B:$I,8,FALSE()),IF($E538="Services",VLOOKUP($C538,Services!$B:$I,8,FALSE()),IF($E538="Patty Cash",VLOOKUP($C538,'Patty Cash'!$B:$J,8,FALSE()),0)))),0)</f>
        <v>0</v>
      </c>
      <c r="J538" s="252" t="str">
        <f t="shared" si="17"/>
        <v/>
      </c>
      <c r="K538" s="253"/>
      <c r="L538" s="253"/>
      <c r="M538" s="253"/>
      <c r="N538" s="328"/>
    </row>
    <row r="539" spans="1:14" ht="20.100000000000001" customHeight="1">
      <c r="A539" s="327" t="str">
        <f>IF(AND($B539="",$C539=""),"",MAX($A$3:A538)+1)</f>
        <v/>
      </c>
      <c r="B539" s="262"/>
      <c r="C539" s="253"/>
      <c r="D539" s="249" t="str">
        <f>IFERROR(IF($E539="Inventory",VLOOKUP($C539,Inventory!$B:$I,2,FALSE()),IF($E539="Non Inventory",VLOOKUP($C539,'Non Inventory'!$B:$I,2,FALSE()),IF($E539="Services",VLOOKUP($C539,Services!$B:$I,2,FALSE()),IF($E539="Patty Cash",VLOOKUP($C539,'Patty Cash'!$B:$J,2,FALSE()),"")))),"")</f>
        <v/>
      </c>
      <c r="E539" s="254"/>
      <c r="F539" s="263" t="str">
        <f>IFERROR(IF($E539="Inventory",VLOOKUP($C539,Inventory!$B:$I,3,FALSE()),IF($E539="Non Inventory",VLOOKUP($C539,'Non Inventory'!$B:$I,3,FALSE()),IF($E539="Services",VLOOKUP($C539,Services!$B:$I,3,FALSE()),IF($E539="Patty Cash",VLOOKUP($C539,'Patty Cash'!$B:$J,3,FALSE()),"")))),"")</f>
        <v/>
      </c>
      <c r="G539" s="374"/>
      <c r="H539" s="374" t="str">
        <f t="shared" si="16"/>
        <v/>
      </c>
      <c r="I539" s="252">
        <f>IFERROR(IF($E539="Inventory",VLOOKUP($C539,Inventory!$B:$I,8,FALSE()),IF($E539="Non Inventory",VLOOKUP($C539,'Non Inventory'!$B:$I,8,FALSE()),IF($E539="Services",VLOOKUP($C539,Services!$B:$I,8,FALSE()),IF($E539="Patty Cash",VLOOKUP($C539,'Patty Cash'!$B:$J,8,FALSE()),0)))),0)</f>
        <v>0</v>
      </c>
      <c r="J539" s="252" t="str">
        <f t="shared" si="17"/>
        <v/>
      </c>
      <c r="K539" s="253"/>
      <c r="L539" s="253"/>
      <c r="M539" s="253"/>
      <c r="N539" s="328"/>
    </row>
    <row r="540" spans="1:14" ht="20.100000000000001" customHeight="1">
      <c r="A540" s="327" t="str">
        <f>IF(AND($B540="",$C540=""),"",MAX($A$3:A539)+1)</f>
        <v/>
      </c>
      <c r="B540" s="262"/>
      <c r="C540" s="253"/>
      <c r="D540" s="249" t="str">
        <f>IFERROR(IF($E540="Inventory",VLOOKUP($C540,Inventory!$B:$I,2,FALSE()),IF($E540="Non Inventory",VLOOKUP($C540,'Non Inventory'!$B:$I,2,FALSE()),IF($E540="Services",VLOOKUP($C540,Services!$B:$I,2,FALSE()),IF($E540="Patty Cash",VLOOKUP($C540,'Patty Cash'!$B:$J,2,FALSE()),"")))),"")</f>
        <v/>
      </c>
      <c r="E540" s="254"/>
      <c r="F540" s="263" t="str">
        <f>IFERROR(IF($E540="Inventory",VLOOKUP($C540,Inventory!$B:$I,3,FALSE()),IF($E540="Non Inventory",VLOOKUP($C540,'Non Inventory'!$B:$I,3,FALSE()),IF($E540="Services",VLOOKUP($C540,Services!$B:$I,3,FALSE()),IF($E540="Patty Cash",VLOOKUP($C540,'Patty Cash'!$B:$J,3,FALSE()),"")))),"")</f>
        <v/>
      </c>
      <c r="G540" s="374"/>
      <c r="H540" s="374" t="str">
        <f t="shared" si="16"/>
        <v/>
      </c>
      <c r="I540" s="252">
        <f>IFERROR(IF($E540="Inventory",VLOOKUP($C540,Inventory!$B:$I,8,FALSE()),IF($E540="Non Inventory",VLOOKUP($C540,'Non Inventory'!$B:$I,8,FALSE()),IF($E540="Services",VLOOKUP($C540,Services!$B:$I,8,FALSE()),IF($E540="Patty Cash",VLOOKUP($C540,'Patty Cash'!$B:$J,8,FALSE()),0)))),0)</f>
        <v>0</v>
      </c>
      <c r="J540" s="252" t="str">
        <f t="shared" si="17"/>
        <v/>
      </c>
      <c r="K540" s="253"/>
      <c r="L540" s="253"/>
      <c r="M540" s="253"/>
      <c r="N540" s="328"/>
    </row>
    <row r="541" spans="1:14" ht="20.100000000000001" customHeight="1">
      <c r="A541" s="327" t="str">
        <f>IF(AND($B541="",$C541=""),"",MAX($A$3:A540)+1)</f>
        <v/>
      </c>
      <c r="B541" s="262"/>
      <c r="C541" s="253"/>
      <c r="D541" s="249" t="str">
        <f>IFERROR(IF($E541="Inventory",VLOOKUP($C541,Inventory!$B:$I,2,FALSE()),IF($E541="Non Inventory",VLOOKUP($C541,'Non Inventory'!$B:$I,2,FALSE()),IF($E541="Services",VLOOKUP($C541,Services!$B:$I,2,FALSE()),IF($E541="Patty Cash",VLOOKUP($C541,'Patty Cash'!$B:$J,2,FALSE()),"")))),"")</f>
        <v/>
      </c>
      <c r="E541" s="254"/>
      <c r="F541" s="263" t="str">
        <f>IFERROR(IF($E541="Inventory",VLOOKUP($C541,Inventory!$B:$I,3,FALSE()),IF($E541="Non Inventory",VLOOKUP($C541,'Non Inventory'!$B:$I,3,FALSE()),IF($E541="Services",VLOOKUP($C541,Services!$B:$I,3,FALSE()),IF($E541="Patty Cash",VLOOKUP($C541,'Patty Cash'!$B:$J,3,FALSE()),"")))),"")</f>
        <v/>
      </c>
      <c r="G541" s="374"/>
      <c r="H541" s="374" t="str">
        <f t="shared" si="16"/>
        <v/>
      </c>
      <c r="I541" s="252">
        <f>IFERROR(IF($E541="Inventory",VLOOKUP($C541,Inventory!$B:$I,8,FALSE()),IF($E541="Non Inventory",VLOOKUP($C541,'Non Inventory'!$B:$I,8,FALSE()),IF($E541="Services",VLOOKUP($C541,Services!$B:$I,8,FALSE()),IF($E541="Patty Cash",VLOOKUP($C541,'Patty Cash'!$B:$J,8,FALSE()),0)))),0)</f>
        <v>0</v>
      </c>
      <c r="J541" s="252" t="str">
        <f t="shared" si="17"/>
        <v/>
      </c>
      <c r="K541" s="253"/>
      <c r="L541" s="253"/>
      <c r="M541" s="253"/>
      <c r="N541" s="328"/>
    </row>
    <row r="542" spans="1:14" ht="20.100000000000001" customHeight="1">
      <c r="A542" s="327" t="str">
        <f>IF(AND($B542="",$C542=""),"",MAX($A$3:A541)+1)</f>
        <v/>
      </c>
      <c r="B542" s="262"/>
      <c r="C542" s="253"/>
      <c r="D542" s="249" t="str">
        <f>IFERROR(IF($E542="Inventory",VLOOKUP($C542,Inventory!$B:$I,2,FALSE()),IF($E542="Non Inventory",VLOOKUP($C542,'Non Inventory'!$B:$I,2,FALSE()),IF($E542="Services",VLOOKUP($C542,Services!$B:$I,2,FALSE()),IF($E542="Patty Cash",VLOOKUP($C542,'Patty Cash'!$B:$J,2,FALSE()),"")))),"")</f>
        <v/>
      </c>
      <c r="E542" s="254"/>
      <c r="F542" s="263" t="str">
        <f>IFERROR(IF($E542="Inventory",VLOOKUP($C542,Inventory!$B:$I,3,FALSE()),IF($E542="Non Inventory",VLOOKUP($C542,'Non Inventory'!$B:$I,3,FALSE()),IF($E542="Services",VLOOKUP($C542,Services!$B:$I,3,FALSE()),IF($E542="Patty Cash",VLOOKUP($C542,'Patty Cash'!$B:$J,3,FALSE()),"")))),"")</f>
        <v/>
      </c>
      <c r="G542" s="374"/>
      <c r="H542" s="374" t="str">
        <f t="shared" si="16"/>
        <v/>
      </c>
      <c r="I542" s="252">
        <f>IFERROR(IF($E542="Inventory",VLOOKUP($C542,Inventory!$B:$I,8,FALSE()),IF($E542="Non Inventory",VLOOKUP($C542,'Non Inventory'!$B:$I,8,FALSE()),IF($E542="Services",VLOOKUP($C542,Services!$B:$I,8,FALSE()),IF($E542="Patty Cash",VLOOKUP($C542,'Patty Cash'!$B:$J,8,FALSE()),0)))),0)</f>
        <v>0</v>
      </c>
      <c r="J542" s="252" t="str">
        <f t="shared" si="17"/>
        <v/>
      </c>
      <c r="K542" s="253"/>
      <c r="L542" s="253"/>
      <c r="M542" s="253"/>
      <c r="N542" s="328"/>
    </row>
    <row r="543" spans="1:14" ht="20.100000000000001" customHeight="1">
      <c r="A543" s="327" t="str">
        <f>IF(AND($B543="",$C543=""),"",MAX($A$3:A542)+1)</f>
        <v/>
      </c>
      <c r="B543" s="262"/>
      <c r="C543" s="253"/>
      <c r="D543" s="249" t="str">
        <f>IFERROR(IF($E543="Inventory",VLOOKUP($C543,Inventory!$B:$I,2,FALSE()),IF($E543="Non Inventory",VLOOKUP($C543,'Non Inventory'!$B:$I,2,FALSE()),IF($E543="Services",VLOOKUP($C543,Services!$B:$I,2,FALSE()),IF($E543="Patty Cash",VLOOKUP($C543,'Patty Cash'!$B:$J,2,FALSE()),"")))),"")</f>
        <v/>
      </c>
      <c r="E543" s="254"/>
      <c r="F543" s="263" t="str">
        <f>IFERROR(IF($E543="Inventory",VLOOKUP($C543,Inventory!$B:$I,3,FALSE()),IF($E543="Non Inventory",VLOOKUP($C543,'Non Inventory'!$B:$I,3,FALSE()),IF($E543="Services",VLOOKUP($C543,Services!$B:$I,3,FALSE()),IF($E543="Patty Cash",VLOOKUP($C543,'Patty Cash'!$B:$J,3,FALSE()),"")))),"")</f>
        <v/>
      </c>
      <c r="G543" s="374"/>
      <c r="H543" s="374" t="str">
        <f t="shared" si="16"/>
        <v/>
      </c>
      <c r="I543" s="252">
        <f>IFERROR(IF($E543="Inventory",VLOOKUP($C543,Inventory!$B:$I,8,FALSE()),IF($E543="Non Inventory",VLOOKUP($C543,'Non Inventory'!$B:$I,8,FALSE()),IF($E543="Services",VLOOKUP($C543,Services!$B:$I,8,FALSE()),IF($E543="Patty Cash",VLOOKUP($C543,'Patty Cash'!$B:$J,8,FALSE()),0)))),0)</f>
        <v>0</v>
      </c>
      <c r="J543" s="252" t="str">
        <f t="shared" si="17"/>
        <v/>
      </c>
      <c r="K543" s="253"/>
      <c r="L543" s="253"/>
      <c r="M543" s="253"/>
      <c r="N543" s="328"/>
    </row>
    <row r="544" spans="1:14" ht="20.100000000000001" customHeight="1">
      <c r="A544" s="327" t="str">
        <f>IF(AND($B544="",$C544=""),"",MAX($A$3:A543)+1)</f>
        <v/>
      </c>
      <c r="B544" s="262"/>
      <c r="C544" s="253"/>
      <c r="D544" s="249" t="str">
        <f>IFERROR(IF($E544="Inventory",VLOOKUP($C544,Inventory!$B:$I,2,FALSE()),IF($E544="Non Inventory",VLOOKUP($C544,'Non Inventory'!$B:$I,2,FALSE()),IF($E544="Services",VLOOKUP($C544,Services!$B:$I,2,FALSE()),IF($E544="Patty Cash",VLOOKUP($C544,'Patty Cash'!$B:$J,2,FALSE()),"")))),"")</f>
        <v/>
      </c>
      <c r="E544" s="254"/>
      <c r="F544" s="263" t="str">
        <f>IFERROR(IF($E544="Inventory",VLOOKUP($C544,Inventory!$B:$I,3,FALSE()),IF($E544="Non Inventory",VLOOKUP($C544,'Non Inventory'!$B:$I,3,FALSE()),IF($E544="Services",VLOOKUP($C544,Services!$B:$I,3,FALSE()),IF($E544="Patty Cash",VLOOKUP($C544,'Patty Cash'!$B:$J,3,FALSE()),"")))),"")</f>
        <v/>
      </c>
      <c r="G544" s="374"/>
      <c r="H544" s="374" t="str">
        <f t="shared" si="16"/>
        <v/>
      </c>
      <c r="I544" s="252">
        <f>IFERROR(IF($E544="Inventory",VLOOKUP($C544,Inventory!$B:$I,8,FALSE()),IF($E544="Non Inventory",VLOOKUP($C544,'Non Inventory'!$B:$I,8,FALSE()),IF($E544="Services",VLOOKUP($C544,Services!$B:$I,8,FALSE()),IF($E544="Patty Cash",VLOOKUP($C544,'Patty Cash'!$B:$J,8,FALSE()),0)))),0)</f>
        <v>0</v>
      </c>
      <c r="J544" s="252" t="str">
        <f t="shared" si="17"/>
        <v/>
      </c>
      <c r="K544" s="253"/>
      <c r="L544" s="253"/>
      <c r="M544" s="253"/>
      <c r="N544" s="328"/>
    </row>
    <row r="545" spans="1:14" ht="20.100000000000001" customHeight="1">
      <c r="A545" s="327" t="str">
        <f>IF(AND($B545="",$C545=""),"",MAX($A$3:A544)+1)</f>
        <v/>
      </c>
      <c r="B545" s="262"/>
      <c r="C545" s="253"/>
      <c r="D545" s="249" t="str">
        <f>IFERROR(IF($E545="Inventory",VLOOKUP($C545,Inventory!$B:$I,2,FALSE()),IF($E545="Non Inventory",VLOOKUP($C545,'Non Inventory'!$B:$I,2,FALSE()),IF($E545="Services",VLOOKUP($C545,Services!$B:$I,2,FALSE()),IF($E545="Patty Cash",VLOOKUP($C545,'Patty Cash'!$B:$J,2,FALSE()),"")))),"")</f>
        <v/>
      </c>
      <c r="E545" s="254"/>
      <c r="F545" s="263" t="str">
        <f>IFERROR(IF($E545="Inventory",VLOOKUP($C545,Inventory!$B:$I,3,FALSE()),IF($E545="Non Inventory",VLOOKUP($C545,'Non Inventory'!$B:$I,3,FALSE()),IF($E545="Services",VLOOKUP($C545,Services!$B:$I,3,FALSE()),IF($E545="Patty Cash",VLOOKUP($C545,'Patty Cash'!$B:$J,3,FALSE()),"")))),"")</f>
        <v/>
      </c>
      <c r="G545" s="374"/>
      <c r="H545" s="374" t="str">
        <f t="shared" si="16"/>
        <v/>
      </c>
      <c r="I545" s="252">
        <f>IFERROR(IF($E545="Inventory",VLOOKUP($C545,Inventory!$B:$I,8,FALSE()),IF($E545="Non Inventory",VLOOKUP($C545,'Non Inventory'!$B:$I,8,FALSE()),IF($E545="Services",VLOOKUP($C545,Services!$B:$I,8,FALSE()),IF($E545="Patty Cash",VLOOKUP($C545,'Patty Cash'!$B:$J,8,FALSE()),0)))),0)</f>
        <v>0</v>
      </c>
      <c r="J545" s="252" t="str">
        <f t="shared" si="17"/>
        <v/>
      </c>
      <c r="K545" s="253"/>
      <c r="L545" s="253"/>
      <c r="M545" s="253"/>
      <c r="N545" s="328"/>
    </row>
    <row r="546" spans="1:14" ht="20.100000000000001" customHeight="1">
      <c r="A546" s="327" t="str">
        <f>IF(AND($B546="",$C546=""),"",MAX($A$3:A545)+1)</f>
        <v/>
      </c>
      <c r="B546" s="262"/>
      <c r="C546" s="253"/>
      <c r="D546" s="249" t="str">
        <f>IFERROR(IF($E546="Inventory",VLOOKUP($C546,Inventory!$B:$I,2,FALSE()),IF($E546="Non Inventory",VLOOKUP($C546,'Non Inventory'!$B:$I,2,FALSE()),IF($E546="Services",VLOOKUP($C546,Services!$B:$I,2,FALSE()),IF($E546="Patty Cash",VLOOKUP($C546,'Patty Cash'!$B:$J,2,FALSE()),"")))),"")</f>
        <v/>
      </c>
      <c r="E546" s="254"/>
      <c r="F546" s="263" t="str">
        <f>IFERROR(IF($E546="Inventory",VLOOKUP($C546,Inventory!$B:$I,3,FALSE()),IF($E546="Non Inventory",VLOOKUP($C546,'Non Inventory'!$B:$I,3,FALSE()),IF($E546="Services",VLOOKUP($C546,Services!$B:$I,3,FALSE()),IF($E546="Patty Cash",VLOOKUP($C546,'Patty Cash'!$B:$J,3,FALSE()),"")))),"")</f>
        <v/>
      </c>
      <c r="G546" s="374"/>
      <c r="H546" s="374" t="str">
        <f t="shared" si="16"/>
        <v/>
      </c>
      <c r="I546" s="252">
        <f>IFERROR(IF($E546="Inventory",VLOOKUP($C546,Inventory!$B:$I,8,FALSE()),IF($E546="Non Inventory",VLOOKUP($C546,'Non Inventory'!$B:$I,8,FALSE()),IF($E546="Services",VLOOKUP($C546,Services!$B:$I,8,FALSE()),IF($E546="Patty Cash",VLOOKUP($C546,'Patty Cash'!$B:$J,8,FALSE()),0)))),0)</f>
        <v>0</v>
      </c>
      <c r="J546" s="252" t="str">
        <f t="shared" si="17"/>
        <v/>
      </c>
      <c r="K546" s="253"/>
      <c r="L546" s="253"/>
      <c r="M546" s="253"/>
      <c r="N546" s="328"/>
    </row>
    <row r="547" spans="1:14" ht="20.100000000000001" customHeight="1">
      <c r="A547" s="327" t="str">
        <f>IF(AND($B547="",$C547=""),"",MAX($A$3:A546)+1)</f>
        <v/>
      </c>
      <c r="B547" s="262"/>
      <c r="C547" s="253"/>
      <c r="D547" s="249" t="str">
        <f>IFERROR(IF($E547="Inventory",VLOOKUP($C547,Inventory!$B:$I,2,FALSE()),IF($E547="Non Inventory",VLOOKUP($C547,'Non Inventory'!$B:$I,2,FALSE()),IF($E547="Services",VLOOKUP($C547,Services!$B:$I,2,FALSE()),IF($E547="Patty Cash",VLOOKUP($C547,'Patty Cash'!$B:$J,2,FALSE()),"")))),"")</f>
        <v/>
      </c>
      <c r="E547" s="254"/>
      <c r="F547" s="263" t="str">
        <f>IFERROR(IF($E547="Inventory",VLOOKUP($C547,Inventory!$B:$I,3,FALSE()),IF($E547="Non Inventory",VLOOKUP($C547,'Non Inventory'!$B:$I,3,FALSE()),IF($E547="Services",VLOOKUP($C547,Services!$B:$I,3,FALSE()),IF($E547="Patty Cash",VLOOKUP($C547,'Patty Cash'!$B:$J,3,FALSE()),"")))),"")</f>
        <v/>
      </c>
      <c r="G547" s="374"/>
      <c r="H547" s="374" t="str">
        <f t="shared" si="16"/>
        <v/>
      </c>
      <c r="I547" s="252">
        <f>IFERROR(IF($E547="Inventory",VLOOKUP($C547,Inventory!$B:$I,8,FALSE()),IF($E547="Non Inventory",VLOOKUP($C547,'Non Inventory'!$B:$I,8,FALSE()),IF($E547="Services",VLOOKUP($C547,Services!$B:$I,8,FALSE()),IF($E547="Patty Cash",VLOOKUP($C547,'Patty Cash'!$B:$J,8,FALSE()),0)))),0)</f>
        <v>0</v>
      </c>
      <c r="J547" s="252" t="str">
        <f t="shared" si="17"/>
        <v/>
      </c>
      <c r="K547" s="253"/>
      <c r="L547" s="253"/>
      <c r="M547" s="253"/>
      <c r="N547" s="328"/>
    </row>
    <row r="548" spans="1:14" ht="20.100000000000001" customHeight="1">
      <c r="A548" s="327" t="str">
        <f>IF(AND($B548="",$C548=""),"",MAX($A$3:A547)+1)</f>
        <v/>
      </c>
      <c r="B548" s="262"/>
      <c r="C548" s="253"/>
      <c r="D548" s="249" t="str">
        <f>IFERROR(IF($E548="Inventory",VLOOKUP($C548,Inventory!$B:$I,2,FALSE()),IF($E548="Non Inventory",VLOOKUP($C548,'Non Inventory'!$B:$I,2,FALSE()),IF($E548="Services",VLOOKUP($C548,Services!$B:$I,2,FALSE()),IF($E548="Patty Cash",VLOOKUP($C548,'Patty Cash'!$B:$J,2,FALSE()),"")))),"")</f>
        <v/>
      </c>
      <c r="E548" s="254"/>
      <c r="F548" s="263" t="str">
        <f>IFERROR(IF($E548="Inventory",VLOOKUP($C548,Inventory!$B:$I,3,FALSE()),IF($E548="Non Inventory",VLOOKUP($C548,'Non Inventory'!$B:$I,3,FALSE()),IF($E548="Services",VLOOKUP($C548,Services!$B:$I,3,FALSE()),IF($E548="Patty Cash",VLOOKUP($C548,'Patty Cash'!$B:$J,3,FALSE()),"")))),"")</f>
        <v/>
      </c>
      <c r="G548" s="374"/>
      <c r="H548" s="374" t="str">
        <f t="shared" si="16"/>
        <v/>
      </c>
      <c r="I548" s="252">
        <f>IFERROR(IF($E548="Inventory",VLOOKUP($C548,Inventory!$B:$I,8,FALSE()),IF($E548="Non Inventory",VLOOKUP($C548,'Non Inventory'!$B:$I,8,FALSE()),IF($E548="Services",VLOOKUP($C548,Services!$B:$I,8,FALSE()),IF($E548="Patty Cash",VLOOKUP($C548,'Patty Cash'!$B:$J,8,FALSE()),0)))),0)</f>
        <v>0</v>
      </c>
      <c r="J548" s="252" t="str">
        <f t="shared" si="17"/>
        <v/>
      </c>
      <c r="K548" s="253"/>
      <c r="L548" s="253"/>
      <c r="M548" s="253"/>
      <c r="N548" s="328"/>
    </row>
    <row r="549" spans="1:14" ht="20.100000000000001" customHeight="1">
      <c r="A549" s="327" t="str">
        <f>IF(AND($B549="",$C549=""),"",MAX($A$3:A548)+1)</f>
        <v/>
      </c>
      <c r="B549" s="262"/>
      <c r="C549" s="253"/>
      <c r="D549" s="249" t="str">
        <f>IFERROR(IF($E549="Inventory",VLOOKUP($C549,Inventory!$B:$I,2,FALSE()),IF($E549="Non Inventory",VLOOKUP($C549,'Non Inventory'!$B:$I,2,FALSE()),IF($E549="Services",VLOOKUP($C549,Services!$B:$I,2,FALSE()),IF($E549="Patty Cash",VLOOKUP($C549,'Patty Cash'!$B:$J,2,FALSE()),"")))),"")</f>
        <v/>
      </c>
      <c r="E549" s="254"/>
      <c r="F549" s="263" t="str">
        <f>IFERROR(IF($E549="Inventory",VLOOKUP($C549,Inventory!$B:$I,3,FALSE()),IF($E549="Non Inventory",VLOOKUP($C549,'Non Inventory'!$B:$I,3,FALSE()),IF($E549="Services",VLOOKUP($C549,Services!$B:$I,3,FALSE()),IF($E549="Patty Cash",VLOOKUP($C549,'Patty Cash'!$B:$J,3,FALSE()),"")))),"")</f>
        <v/>
      </c>
      <c r="G549" s="374"/>
      <c r="H549" s="374" t="str">
        <f t="shared" si="16"/>
        <v/>
      </c>
      <c r="I549" s="252">
        <f>IFERROR(IF($E549="Inventory",VLOOKUP($C549,Inventory!$B:$I,8,FALSE()),IF($E549="Non Inventory",VLOOKUP($C549,'Non Inventory'!$B:$I,8,FALSE()),IF($E549="Services",VLOOKUP($C549,Services!$B:$I,8,FALSE()),IF($E549="Patty Cash",VLOOKUP($C549,'Patty Cash'!$B:$J,8,FALSE()),0)))),0)</f>
        <v>0</v>
      </c>
      <c r="J549" s="252" t="str">
        <f t="shared" si="17"/>
        <v/>
      </c>
      <c r="K549" s="253"/>
      <c r="L549" s="253"/>
      <c r="M549" s="253"/>
      <c r="N549" s="328"/>
    </row>
    <row r="550" spans="1:14" ht="20.100000000000001" customHeight="1">
      <c r="A550" s="327" t="str">
        <f>IF(AND($B550="",$C550=""),"",MAX($A$3:A549)+1)</f>
        <v/>
      </c>
      <c r="B550" s="262"/>
      <c r="C550" s="253"/>
      <c r="D550" s="249" t="str">
        <f>IFERROR(IF($E550="Inventory",VLOOKUP($C550,Inventory!$B:$I,2,FALSE()),IF($E550="Non Inventory",VLOOKUP($C550,'Non Inventory'!$B:$I,2,FALSE()),IF($E550="Services",VLOOKUP($C550,Services!$B:$I,2,FALSE()),IF($E550="Patty Cash",VLOOKUP($C550,'Patty Cash'!$B:$J,2,FALSE()),"")))),"")</f>
        <v/>
      </c>
      <c r="E550" s="254"/>
      <c r="F550" s="263" t="str">
        <f>IFERROR(IF($E550="Inventory",VLOOKUP($C550,Inventory!$B:$I,3,FALSE()),IF($E550="Non Inventory",VLOOKUP($C550,'Non Inventory'!$B:$I,3,FALSE()),IF($E550="Services",VLOOKUP($C550,Services!$B:$I,3,FALSE()),IF($E550="Patty Cash",VLOOKUP($C550,'Patty Cash'!$B:$J,3,FALSE()),"")))),"")</f>
        <v/>
      </c>
      <c r="G550" s="374"/>
      <c r="H550" s="374" t="str">
        <f t="shared" si="16"/>
        <v/>
      </c>
      <c r="I550" s="252">
        <f>IFERROR(IF($E550="Inventory",VLOOKUP($C550,Inventory!$B:$I,8,FALSE()),IF($E550="Non Inventory",VLOOKUP($C550,'Non Inventory'!$B:$I,8,FALSE()),IF($E550="Services",VLOOKUP($C550,Services!$B:$I,8,FALSE()),IF($E550="Patty Cash",VLOOKUP($C550,'Patty Cash'!$B:$J,8,FALSE()),0)))),0)</f>
        <v>0</v>
      </c>
      <c r="J550" s="252" t="str">
        <f t="shared" si="17"/>
        <v/>
      </c>
      <c r="K550" s="253"/>
      <c r="L550" s="253"/>
      <c r="M550" s="253"/>
      <c r="N550" s="328"/>
    </row>
    <row r="551" spans="1:14" ht="20.100000000000001" customHeight="1">
      <c r="A551" s="327" t="str">
        <f>IF(AND($B551="",$C551=""),"",MAX($A$3:A550)+1)</f>
        <v/>
      </c>
      <c r="B551" s="262"/>
      <c r="C551" s="253"/>
      <c r="D551" s="249" t="str">
        <f>IFERROR(IF($E551="Inventory",VLOOKUP($C551,Inventory!$B:$I,2,FALSE()),IF($E551="Non Inventory",VLOOKUP($C551,'Non Inventory'!$B:$I,2,FALSE()),IF($E551="Services",VLOOKUP($C551,Services!$B:$I,2,FALSE()),IF($E551="Patty Cash",VLOOKUP($C551,'Patty Cash'!$B:$J,2,FALSE()),"")))),"")</f>
        <v/>
      </c>
      <c r="E551" s="254"/>
      <c r="F551" s="263" t="str">
        <f>IFERROR(IF($E551="Inventory",VLOOKUP($C551,Inventory!$B:$I,3,FALSE()),IF($E551="Non Inventory",VLOOKUP($C551,'Non Inventory'!$B:$I,3,FALSE()),IF($E551="Services",VLOOKUP($C551,Services!$B:$I,3,FALSE()),IF($E551="Patty Cash",VLOOKUP($C551,'Patty Cash'!$B:$J,3,FALSE()),"")))),"")</f>
        <v/>
      </c>
      <c r="G551" s="374"/>
      <c r="H551" s="374" t="str">
        <f t="shared" si="16"/>
        <v/>
      </c>
      <c r="I551" s="252">
        <f>IFERROR(IF($E551="Inventory",VLOOKUP($C551,Inventory!$B:$I,8,FALSE()),IF($E551="Non Inventory",VLOOKUP($C551,'Non Inventory'!$B:$I,8,FALSE()),IF($E551="Services",VLOOKUP($C551,Services!$B:$I,8,FALSE()),IF($E551="Patty Cash",VLOOKUP($C551,'Patty Cash'!$B:$J,8,FALSE()),0)))),0)</f>
        <v>0</v>
      </c>
      <c r="J551" s="252" t="str">
        <f t="shared" si="17"/>
        <v/>
      </c>
      <c r="K551" s="253"/>
      <c r="L551" s="253"/>
      <c r="M551" s="253"/>
      <c r="N551" s="328"/>
    </row>
    <row r="552" spans="1:14" ht="20.100000000000001" customHeight="1">
      <c r="A552" s="327" t="str">
        <f>IF(AND($B552="",$C552=""),"",MAX($A$3:A551)+1)</f>
        <v/>
      </c>
      <c r="B552" s="262"/>
      <c r="C552" s="253"/>
      <c r="D552" s="249" t="str">
        <f>IFERROR(IF($E552="Inventory",VLOOKUP($C552,Inventory!$B:$I,2,FALSE()),IF($E552="Non Inventory",VLOOKUP($C552,'Non Inventory'!$B:$I,2,FALSE()),IF($E552="Services",VLOOKUP($C552,Services!$B:$I,2,FALSE()),IF($E552="Patty Cash",VLOOKUP($C552,'Patty Cash'!$B:$J,2,FALSE()),"")))),"")</f>
        <v/>
      </c>
      <c r="E552" s="254"/>
      <c r="F552" s="263" t="str">
        <f>IFERROR(IF($E552="Inventory",VLOOKUP($C552,Inventory!$B:$I,3,FALSE()),IF($E552="Non Inventory",VLOOKUP($C552,'Non Inventory'!$B:$I,3,FALSE()),IF($E552="Services",VLOOKUP($C552,Services!$B:$I,3,FALSE()),IF($E552="Patty Cash",VLOOKUP($C552,'Patty Cash'!$B:$J,3,FALSE()),"")))),"")</f>
        <v/>
      </c>
      <c r="G552" s="374"/>
      <c r="H552" s="374" t="str">
        <f t="shared" si="16"/>
        <v/>
      </c>
      <c r="I552" s="252">
        <f>IFERROR(IF($E552="Inventory",VLOOKUP($C552,Inventory!$B:$I,8,FALSE()),IF($E552="Non Inventory",VLOOKUP($C552,'Non Inventory'!$B:$I,8,FALSE()),IF($E552="Services",VLOOKUP($C552,Services!$B:$I,8,FALSE()),IF($E552="Patty Cash",VLOOKUP($C552,'Patty Cash'!$B:$J,8,FALSE()),0)))),0)</f>
        <v>0</v>
      </c>
      <c r="J552" s="252" t="str">
        <f t="shared" si="17"/>
        <v/>
      </c>
      <c r="K552" s="253"/>
      <c r="L552" s="253"/>
      <c r="M552" s="253"/>
      <c r="N552" s="328"/>
    </row>
    <row r="553" spans="1:14" ht="20.100000000000001" customHeight="1">
      <c r="A553" s="327" t="str">
        <f>IF(AND($B553="",$C553=""),"",MAX($A$3:A552)+1)</f>
        <v/>
      </c>
      <c r="B553" s="262"/>
      <c r="C553" s="253"/>
      <c r="D553" s="249" t="str">
        <f>IFERROR(IF($E553="Inventory",VLOOKUP($C553,Inventory!$B:$I,2,FALSE()),IF($E553="Non Inventory",VLOOKUP($C553,'Non Inventory'!$B:$I,2,FALSE()),IF($E553="Services",VLOOKUP($C553,Services!$B:$I,2,FALSE()),IF($E553="Patty Cash",VLOOKUP($C553,'Patty Cash'!$B:$J,2,FALSE()),"")))),"")</f>
        <v/>
      </c>
      <c r="E553" s="254"/>
      <c r="F553" s="263" t="str">
        <f>IFERROR(IF($E553="Inventory",VLOOKUP($C553,Inventory!$B:$I,3,FALSE()),IF($E553="Non Inventory",VLOOKUP($C553,'Non Inventory'!$B:$I,3,FALSE()),IF($E553="Services",VLOOKUP($C553,Services!$B:$I,3,FALSE()),IF($E553="Patty Cash",VLOOKUP($C553,'Patty Cash'!$B:$J,3,FALSE()),"")))),"")</f>
        <v/>
      </c>
      <c r="G553" s="374"/>
      <c r="H553" s="374" t="str">
        <f t="shared" si="16"/>
        <v/>
      </c>
      <c r="I553" s="252">
        <f>IFERROR(IF($E553="Inventory",VLOOKUP($C553,Inventory!$B:$I,8,FALSE()),IF($E553="Non Inventory",VLOOKUP($C553,'Non Inventory'!$B:$I,8,FALSE()),IF($E553="Services",VLOOKUP($C553,Services!$B:$I,8,FALSE()),IF($E553="Patty Cash",VLOOKUP($C553,'Patty Cash'!$B:$J,8,FALSE()),0)))),0)</f>
        <v>0</v>
      </c>
      <c r="J553" s="252" t="str">
        <f t="shared" si="17"/>
        <v/>
      </c>
      <c r="K553" s="253"/>
      <c r="L553" s="253"/>
      <c r="M553" s="253"/>
      <c r="N553" s="328"/>
    </row>
    <row r="554" spans="1:14" ht="20.100000000000001" customHeight="1">
      <c r="A554" s="327" t="str">
        <f>IF(AND($B554="",$C554=""),"",MAX($A$3:A553)+1)</f>
        <v/>
      </c>
      <c r="B554" s="262"/>
      <c r="C554" s="253"/>
      <c r="D554" s="249" t="str">
        <f>IFERROR(IF($E554="Inventory",VLOOKUP($C554,Inventory!$B:$I,2,FALSE()),IF($E554="Non Inventory",VLOOKUP($C554,'Non Inventory'!$B:$I,2,FALSE()),IF($E554="Services",VLOOKUP($C554,Services!$B:$I,2,FALSE()),IF($E554="Patty Cash",VLOOKUP($C554,'Patty Cash'!$B:$J,2,FALSE()),"")))),"")</f>
        <v/>
      </c>
      <c r="E554" s="254"/>
      <c r="F554" s="263" t="str">
        <f>IFERROR(IF($E554="Inventory",VLOOKUP($C554,Inventory!$B:$I,3,FALSE()),IF($E554="Non Inventory",VLOOKUP($C554,'Non Inventory'!$B:$I,3,FALSE()),IF($E554="Services",VLOOKUP($C554,Services!$B:$I,3,FALSE()),IF($E554="Patty Cash",VLOOKUP($C554,'Patty Cash'!$B:$J,3,FALSE()),"")))),"")</f>
        <v/>
      </c>
      <c r="G554" s="374"/>
      <c r="H554" s="374" t="str">
        <f t="shared" si="16"/>
        <v/>
      </c>
      <c r="I554" s="252">
        <f>IFERROR(IF($E554="Inventory",VLOOKUP($C554,Inventory!$B:$I,8,FALSE()),IF($E554="Non Inventory",VLOOKUP($C554,'Non Inventory'!$B:$I,8,FALSE()),IF($E554="Services",VLOOKUP($C554,Services!$B:$I,8,FALSE()),IF($E554="Patty Cash",VLOOKUP($C554,'Patty Cash'!$B:$J,8,FALSE()),0)))),0)</f>
        <v>0</v>
      </c>
      <c r="J554" s="252" t="str">
        <f t="shared" si="17"/>
        <v/>
      </c>
      <c r="K554" s="253"/>
      <c r="L554" s="253"/>
      <c r="M554" s="253"/>
      <c r="N554" s="328"/>
    </row>
    <row r="555" spans="1:14" ht="20.100000000000001" customHeight="1">
      <c r="A555" s="327" t="str">
        <f>IF(AND($B555="",$C555=""),"",MAX($A$3:A554)+1)</f>
        <v/>
      </c>
      <c r="B555" s="262"/>
      <c r="C555" s="253"/>
      <c r="D555" s="249" t="str">
        <f>IFERROR(IF($E555="Inventory",VLOOKUP($C555,Inventory!$B:$I,2,FALSE()),IF($E555="Non Inventory",VLOOKUP($C555,'Non Inventory'!$B:$I,2,FALSE()),IF($E555="Services",VLOOKUP($C555,Services!$B:$I,2,FALSE()),IF($E555="Patty Cash",VLOOKUP($C555,'Patty Cash'!$B:$J,2,FALSE()),"")))),"")</f>
        <v/>
      </c>
      <c r="E555" s="254"/>
      <c r="F555" s="263" t="str">
        <f>IFERROR(IF($E555="Inventory",VLOOKUP($C555,Inventory!$B:$I,3,FALSE()),IF($E555="Non Inventory",VLOOKUP($C555,'Non Inventory'!$B:$I,3,FALSE()),IF($E555="Services",VLOOKUP($C555,Services!$B:$I,3,FALSE()),IF($E555="Patty Cash",VLOOKUP($C555,'Patty Cash'!$B:$J,3,FALSE()),"")))),"")</f>
        <v/>
      </c>
      <c r="G555" s="374"/>
      <c r="H555" s="374" t="str">
        <f t="shared" si="16"/>
        <v/>
      </c>
      <c r="I555" s="252">
        <f>IFERROR(IF($E555="Inventory",VLOOKUP($C555,Inventory!$B:$I,8,FALSE()),IF($E555="Non Inventory",VLOOKUP($C555,'Non Inventory'!$B:$I,8,FALSE()),IF($E555="Services",VLOOKUP($C555,Services!$B:$I,8,FALSE()),IF($E555="Patty Cash",VLOOKUP($C555,'Patty Cash'!$B:$J,8,FALSE()),0)))),0)</f>
        <v>0</v>
      </c>
      <c r="J555" s="252" t="str">
        <f t="shared" si="17"/>
        <v/>
      </c>
      <c r="K555" s="253"/>
      <c r="L555" s="253"/>
      <c r="M555" s="253"/>
      <c r="N555" s="328"/>
    </row>
    <row r="556" spans="1:14" ht="20.100000000000001" customHeight="1">
      <c r="A556" s="327" t="str">
        <f>IF(AND($B556="",$C556=""),"",MAX($A$3:A555)+1)</f>
        <v/>
      </c>
      <c r="B556" s="262"/>
      <c r="C556" s="253"/>
      <c r="D556" s="249" t="str">
        <f>IFERROR(IF($E556="Inventory",VLOOKUP($C556,Inventory!$B:$I,2,FALSE()),IF($E556="Non Inventory",VLOOKUP($C556,'Non Inventory'!$B:$I,2,FALSE()),IF($E556="Services",VLOOKUP($C556,Services!$B:$I,2,FALSE()),IF($E556="Patty Cash",VLOOKUP($C556,'Patty Cash'!$B:$J,2,FALSE()),"")))),"")</f>
        <v/>
      </c>
      <c r="E556" s="254"/>
      <c r="F556" s="263" t="str">
        <f>IFERROR(IF($E556="Inventory",VLOOKUP($C556,Inventory!$B:$I,3,FALSE()),IF($E556="Non Inventory",VLOOKUP($C556,'Non Inventory'!$B:$I,3,FALSE()),IF($E556="Services",VLOOKUP($C556,Services!$B:$I,3,FALSE()),IF($E556="Patty Cash",VLOOKUP($C556,'Patty Cash'!$B:$J,3,FALSE()),"")))),"")</f>
        <v/>
      </c>
      <c r="G556" s="374"/>
      <c r="H556" s="374" t="str">
        <f t="shared" si="16"/>
        <v/>
      </c>
      <c r="I556" s="252">
        <f>IFERROR(IF($E556="Inventory",VLOOKUP($C556,Inventory!$B:$I,8,FALSE()),IF($E556="Non Inventory",VLOOKUP($C556,'Non Inventory'!$B:$I,8,FALSE()),IF($E556="Services",VLOOKUP($C556,Services!$B:$I,8,FALSE()),IF($E556="Patty Cash",VLOOKUP($C556,'Patty Cash'!$B:$J,8,FALSE()),0)))),0)</f>
        <v>0</v>
      </c>
      <c r="J556" s="252" t="str">
        <f t="shared" si="17"/>
        <v/>
      </c>
      <c r="K556" s="253"/>
      <c r="L556" s="253"/>
      <c r="M556" s="253"/>
      <c r="N556" s="328"/>
    </row>
    <row r="557" spans="1:14" ht="20.100000000000001" customHeight="1">
      <c r="A557" s="327" t="str">
        <f>IF(AND($B557="",$C557=""),"",MAX($A$3:A556)+1)</f>
        <v/>
      </c>
      <c r="B557" s="262"/>
      <c r="C557" s="253"/>
      <c r="D557" s="249" t="str">
        <f>IFERROR(IF($E557="Inventory",VLOOKUP($C557,Inventory!$B:$I,2,FALSE()),IF($E557="Non Inventory",VLOOKUP($C557,'Non Inventory'!$B:$I,2,FALSE()),IF($E557="Services",VLOOKUP($C557,Services!$B:$I,2,FALSE()),IF($E557="Patty Cash",VLOOKUP($C557,'Patty Cash'!$B:$J,2,FALSE()),"")))),"")</f>
        <v/>
      </c>
      <c r="E557" s="254"/>
      <c r="F557" s="263" t="str">
        <f>IFERROR(IF($E557="Inventory",VLOOKUP($C557,Inventory!$B:$I,3,FALSE()),IF($E557="Non Inventory",VLOOKUP($C557,'Non Inventory'!$B:$I,3,FALSE()),IF($E557="Services",VLOOKUP($C557,Services!$B:$I,3,FALSE()),IF($E557="Patty Cash",VLOOKUP($C557,'Patty Cash'!$B:$J,3,FALSE()),"")))),"")</f>
        <v/>
      </c>
      <c r="G557" s="374"/>
      <c r="H557" s="374" t="str">
        <f t="shared" si="16"/>
        <v/>
      </c>
      <c r="I557" s="252">
        <f>IFERROR(IF($E557="Inventory",VLOOKUP($C557,Inventory!$B:$I,8,FALSE()),IF($E557="Non Inventory",VLOOKUP($C557,'Non Inventory'!$B:$I,8,FALSE()),IF($E557="Services",VLOOKUP($C557,Services!$B:$I,8,FALSE()),IF($E557="Patty Cash",VLOOKUP($C557,'Patty Cash'!$B:$J,8,FALSE()),0)))),0)</f>
        <v>0</v>
      </c>
      <c r="J557" s="252" t="str">
        <f t="shared" si="17"/>
        <v/>
      </c>
      <c r="K557" s="253"/>
      <c r="L557" s="253"/>
      <c r="M557" s="253"/>
      <c r="N557" s="328"/>
    </row>
    <row r="558" spans="1:14" ht="20.100000000000001" customHeight="1">
      <c r="A558" s="327" t="str">
        <f>IF(AND($B558="",$C558=""),"",MAX($A$3:A557)+1)</f>
        <v/>
      </c>
      <c r="B558" s="262"/>
      <c r="C558" s="253"/>
      <c r="D558" s="249" t="str">
        <f>IFERROR(IF($E558="Inventory",VLOOKUP($C558,Inventory!$B:$I,2,FALSE()),IF($E558="Non Inventory",VLOOKUP($C558,'Non Inventory'!$B:$I,2,FALSE()),IF($E558="Services",VLOOKUP($C558,Services!$B:$I,2,FALSE()),IF($E558="Patty Cash",VLOOKUP($C558,'Patty Cash'!$B:$J,2,FALSE()),"")))),"")</f>
        <v/>
      </c>
      <c r="E558" s="254"/>
      <c r="F558" s="263" t="str">
        <f>IFERROR(IF($E558="Inventory",VLOOKUP($C558,Inventory!$B:$I,3,FALSE()),IF($E558="Non Inventory",VLOOKUP($C558,'Non Inventory'!$B:$I,3,FALSE()),IF($E558="Services",VLOOKUP($C558,Services!$B:$I,3,FALSE()),IF($E558="Patty Cash",VLOOKUP($C558,'Patty Cash'!$B:$J,3,FALSE()),"")))),"")</f>
        <v/>
      </c>
      <c r="G558" s="374"/>
      <c r="H558" s="374" t="str">
        <f t="shared" si="16"/>
        <v/>
      </c>
      <c r="I558" s="252">
        <f>IFERROR(IF($E558="Inventory",VLOOKUP($C558,Inventory!$B:$I,8,FALSE()),IF($E558="Non Inventory",VLOOKUP($C558,'Non Inventory'!$B:$I,8,FALSE()),IF($E558="Services",VLOOKUP($C558,Services!$B:$I,8,FALSE()),IF($E558="Patty Cash",VLOOKUP($C558,'Patty Cash'!$B:$J,8,FALSE()),0)))),0)</f>
        <v>0</v>
      </c>
      <c r="J558" s="252" t="str">
        <f t="shared" si="17"/>
        <v/>
      </c>
      <c r="K558" s="253"/>
      <c r="L558" s="253"/>
      <c r="M558" s="253"/>
      <c r="N558" s="328"/>
    </row>
    <row r="559" spans="1:14" ht="20.100000000000001" customHeight="1">
      <c r="A559" s="327" t="str">
        <f>IF(AND($B559="",$C559=""),"",MAX($A$3:A558)+1)</f>
        <v/>
      </c>
      <c r="B559" s="262"/>
      <c r="C559" s="253"/>
      <c r="D559" s="249" t="str">
        <f>IFERROR(IF($E559="Inventory",VLOOKUP($C559,Inventory!$B:$I,2,FALSE()),IF($E559="Non Inventory",VLOOKUP($C559,'Non Inventory'!$B:$I,2,FALSE()),IF($E559="Services",VLOOKUP($C559,Services!$B:$I,2,FALSE()),IF($E559="Patty Cash",VLOOKUP($C559,'Patty Cash'!$B:$J,2,FALSE()),"")))),"")</f>
        <v/>
      </c>
      <c r="E559" s="254"/>
      <c r="F559" s="263" t="str">
        <f>IFERROR(IF($E559="Inventory",VLOOKUP($C559,Inventory!$B:$I,3,FALSE()),IF($E559="Non Inventory",VLOOKUP($C559,'Non Inventory'!$B:$I,3,FALSE()),IF($E559="Services",VLOOKUP($C559,Services!$B:$I,3,FALSE()),IF($E559="Patty Cash",VLOOKUP($C559,'Patty Cash'!$B:$J,3,FALSE()),"")))),"")</f>
        <v/>
      </c>
      <c r="G559" s="374"/>
      <c r="H559" s="374" t="str">
        <f t="shared" si="16"/>
        <v/>
      </c>
      <c r="I559" s="252">
        <f>IFERROR(IF($E559="Inventory",VLOOKUP($C559,Inventory!$B:$I,8,FALSE()),IF($E559="Non Inventory",VLOOKUP($C559,'Non Inventory'!$B:$I,8,FALSE()),IF($E559="Services",VLOOKUP($C559,Services!$B:$I,8,FALSE()),IF($E559="Patty Cash",VLOOKUP($C559,'Patty Cash'!$B:$J,8,FALSE()),0)))),0)</f>
        <v>0</v>
      </c>
      <c r="J559" s="252" t="str">
        <f t="shared" si="17"/>
        <v/>
      </c>
      <c r="K559" s="253"/>
      <c r="L559" s="253"/>
      <c r="M559" s="253"/>
      <c r="N559" s="328"/>
    </row>
    <row r="560" spans="1:14" ht="20.100000000000001" customHeight="1">
      <c r="A560" s="327" t="str">
        <f>IF(AND($B560="",$C560=""),"",MAX($A$3:A559)+1)</f>
        <v/>
      </c>
      <c r="B560" s="262"/>
      <c r="C560" s="253"/>
      <c r="D560" s="249" t="str">
        <f>IFERROR(IF($E560="Inventory",VLOOKUP($C560,Inventory!$B:$I,2,FALSE()),IF($E560="Non Inventory",VLOOKUP($C560,'Non Inventory'!$B:$I,2,FALSE()),IF($E560="Services",VLOOKUP($C560,Services!$B:$I,2,FALSE()),IF($E560="Patty Cash",VLOOKUP($C560,'Patty Cash'!$B:$J,2,FALSE()),"")))),"")</f>
        <v/>
      </c>
      <c r="E560" s="254"/>
      <c r="F560" s="263" t="str">
        <f>IFERROR(IF($E560="Inventory",VLOOKUP($C560,Inventory!$B:$I,3,FALSE()),IF($E560="Non Inventory",VLOOKUP($C560,'Non Inventory'!$B:$I,3,FALSE()),IF($E560="Services",VLOOKUP($C560,Services!$B:$I,3,FALSE()),IF($E560="Patty Cash",VLOOKUP($C560,'Patty Cash'!$B:$J,3,FALSE()),"")))),"")</f>
        <v/>
      </c>
      <c r="G560" s="374"/>
      <c r="H560" s="374" t="str">
        <f t="shared" si="16"/>
        <v/>
      </c>
      <c r="I560" s="252">
        <f>IFERROR(IF($E560="Inventory",VLOOKUP($C560,Inventory!$B:$I,8,FALSE()),IF($E560="Non Inventory",VLOOKUP($C560,'Non Inventory'!$B:$I,8,FALSE()),IF($E560="Services",VLOOKUP($C560,Services!$B:$I,8,FALSE()),IF($E560="Patty Cash",VLOOKUP($C560,'Patty Cash'!$B:$J,8,FALSE()),0)))),0)</f>
        <v>0</v>
      </c>
      <c r="J560" s="252" t="str">
        <f t="shared" si="17"/>
        <v/>
      </c>
      <c r="K560" s="253"/>
      <c r="L560" s="253"/>
      <c r="M560" s="253"/>
      <c r="N560" s="328"/>
    </row>
    <row r="561" spans="1:14" ht="20.100000000000001" customHeight="1">
      <c r="A561" s="327" t="str">
        <f>IF(AND($B561="",$C561=""),"",MAX($A$3:A560)+1)</f>
        <v/>
      </c>
      <c r="B561" s="262"/>
      <c r="C561" s="253"/>
      <c r="D561" s="249" t="str">
        <f>IFERROR(IF($E561="Inventory",VLOOKUP($C561,Inventory!$B:$I,2,FALSE()),IF($E561="Non Inventory",VLOOKUP($C561,'Non Inventory'!$B:$I,2,FALSE()),IF($E561="Services",VLOOKUP($C561,Services!$B:$I,2,FALSE()),IF($E561="Patty Cash",VLOOKUP($C561,'Patty Cash'!$B:$J,2,FALSE()),"")))),"")</f>
        <v/>
      </c>
      <c r="E561" s="254"/>
      <c r="F561" s="263" t="str">
        <f>IFERROR(IF($E561="Inventory",VLOOKUP($C561,Inventory!$B:$I,3,FALSE()),IF($E561="Non Inventory",VLOOKUP($C561,'Non Inventory'!$B:$I,3,FALSE()),IF($E561="Services",VLOOKUP($C561,Services!$B:$I,3,FALSE()),IF($E561="Patty Cash",VLOOKUP($C561,'Patty Cash'!$B:$J,3,FALSE()),"")))),"")</f>
        <v/>
      </c>
      <c r="G561" s="374"/>
      <c r="H561" s="374" t="str">
        <f t="shared" si="16"/>
        <v/>
      </c>
      <c r="I561" s="252">
        <f>IFERROR(IF($E561="Inventory",VLOOKUP($C561,Inventory!$B:$I,8,FALSE()),IF($E561="Non Inventory",VLOOKUP($C561,'Non Inventory'!$B:$I,8,FALSE()),IF($E561="Services",VLOOKUP($C561,Services!$B:$I,8,FALSE()),IF($E561="Patty Cash",VLOOKUP($C561,'Patty Cash'!$B:$J,8,FALSE()),0)))),0)</f>
        <v>0</v>
      </c>
      <c r="J561" s="252" t="str">
        <f t="shared" si="17"/>
        <v/>
      </c>
      <c r="K561" s="253"/>
      <c r="L561" s="253"/>
      <c r="M561" s="253"/>
      <c r="N561" s="328"/>
    </row>
    <row r="562" spans="1:14" ht="20.100000000000001" customHeight="1">
      <c r="A562" s="327" t="str">
        <f>IF(AND($B562="",$C562=""),"",MAX($A$3:A561)+1)</f>
        <v/>
      </c>
      <c r="B562" s="262"/>
      <c r="C562" s="253"/>
      <c r="D562" s="249" t="str">
        <f>IFERROR(IF($E562="Inventory",VLOOKUP($C562,Inventory!$B:$I,2,FALSE()),IF($E562="Non Inventory",VLOOKUP($C562,'Non Inventory'!$B:$I,2,FALSE()),IF($E562="Services",VLOOKUP($C562,Services!$B:$I,2,FALSE()),IF($E562="Patty Cash",VLOOKUP($C562,'Patty Cash'!$B:$J,2,FALSE()),"")))),"")</f>
        <v/>
      </c>
      <c r="E562" s="254"/>
      <c r="F562" s="263" t="str">
        <f>IFERROR(IF($E562="Inventory",VLOOKUP($C562,Inventory!$B:$I,3,FALSE()),IF($E562="Non Inventory",VLOOKUP($C562,'Non Inventory'!$B:$I,3,FALSE()),IF($E562="Services",VLOOKUP($C562,Services!$B:$I,3,FALSE()),IF($E562="Patty Cash",VLOOKUP($C562,'Patty Cash'!$B:$J,3,FALSE()),"")))),"")</f>
        <v/>
      </c>
      <c r="G562" s="374"/>
      <c r="H562" s="374" t="str">
        <f t="shared" si="16"/>
        <v/>
      </c>
      <c r="I562" s="252">
        <f>IFERROR(IF($E562="Inventory",VLOOKUP($C562,Inventory!$B:$I,8,FALSE()),IF($E562="Non Inventory",VLOOKUP($C562,'Non Inventory'!$B:$I,8,FALSE()),IF($E562="Services",VLOOKUP($C562,Services!$B:$I,8,FALSE()),IF($E562="Patty Cash",VLOOKUP($C562,'Patty Cash'!$B:$J,8,FALSE()),0)))),0)</f>
        <v>0</v>
      </c>
      <c r="J562" s="252" t="str">
        <f t="shared" si="17"/>
        <v/>
      </c>
      <c r="K562" s="253"/>
      <c r="L562" s="253"/>
      <c r="M562" s="253"/>
      <c r="N562" s="328"/>
    </row>
    <row r="563" spans="1:14" ht="20.100000000000001" customHeight="1">
      <c r="A563" s="327" t="str">
        <f>IF(AND($B563="",$C563=""),"",MAX($A$3:A562)+1)</f>
        <v/>
      </c>
      <c r="B563" s="262"/>
      <c r="C563" s="253"/>
      <c r="D563" s="249" t="str">
        <f>IFERROR(IF($E563="Inventory",VLOOKUP($C563,Inventory!$B:$I,2,FALSE()),IF($E563="Non Inventory",VLOOKUP($C563,'Non Inventory'!$B:$I,2,FALSE()),IF($E563="Services",VLOOKUP($C563,Services!$B:$I,2,FALSE()),IF($E563="Patty Cash",VLOOKUP($C563,'Patty Cash'!$B:$J,2,FALSE()),"")))),"")</f>
        <v/>
      </c>
      <c r="E563" s="254"/>
      <c r="F563" s="263" t="str">
        <f>IFERROR(IF($E563="Inventory",VLOOKUP($C563,Inventory!$B:$I,3,FALSE()),IF($E563="Non Inventory",VLOOKUP($C563,'Non Inventory'!$B:$I,3,FALSE()),IF($E563="Services",VLOOKUP($C563,Services!$B:$I,3,FALSE()),IF($E563="Patty Cash",VLOOKUP($C563,'Patty Cash'!$B:$J,3,FALSE()),"")))),"")</f>
        <v/>
      </c>
      <c r="G563" s="374"/>
      <c r="H563" s="374" t="str">
        <f t="shared" si="16"/>
        <v/>
      </c>
      <c r="I563" s="252">
        <f>IFERROR(IF($E563="Inventory",VLOOKUP($C563,Inventory!$B:$I,8,FALSE()),IF($E563="Non Inventory",VLOOKUP($C563,'Non Inventory'!$B:$I,8,FALSE()),IF($E563="Services",VLOOKUP($C563,Services!$B:$I,8,FALSE()),IF($E563="Patty Cash",VLOOKUP($C563,'Patty Cash'!$B:$J,8,FALSE()),0)))),0)</f>
        <v>0</v>
      </c>
      <c r="J563" s="252" t="str">
        <f t="shared" si="17"/>
        <v/>
      </c>
      <c r="K563" s="253"/>
      <c r="L563" s="253"/>
      <c r="M563" s="253"/>
      <c r="N563" s="328"/>
    </row>
    <row r="564" spans="1:14" ht="20.100000000000001" customHeight="1">
      <c r="A564" s="327" t="str">
        <f>IF(AND($B564="",$C564=""),"",MAX($A$3:A563)+1)</f>
        <v/>
      </c>
      <c r="B564" s="262"/>
      <c r="C564" s="253"/>
      <c r="D564" s="249" t="str">
        <f>IFERROR(IF($E564="Inventory",VLOOKUP($C564,Inventory!$B:$I,2,FALSE()),IF($E564="Non Inventory",VLOOKUP($C564,'Non Inventory'!$B:$I,2,FALSE()),IF($E564="Services",VLOOKUP($C564,Services!$B:$I,2,FALSE()),IF($E564="Patty Cash",VLOOKUP($C564,'Patty Cash'!$B:$J,2,FALSE()),"")))),"")</f>
        <v/>
      </c>
      <c r="E564" s="254"/>
      <c r="F564" s="263" t="str">
        <f>IFERROR(IF($E564="Inventory",VLOOKUP($C564,Inventory!$B:$I,3,FALSE()),IF($E564="Non Inventory",VLOOKUP($C564,'Non Inventory'!$B:$I,3,FALSE()),IF($E564="Services",VLOOKUP($C564,Services!$B:$I,3,FALSE()),IF($E564="Patty Cash",VLOOKUP($C564,'Patty Cash'!$B:$J,3,FALSE()),"")))),"")</f>
        <v/>
      </c>
      <c r="G564" s="374"/>
      <c r="H564" s="374" t="str">
        <f t="shared" si="16"/>
        <v/>
      </c>
      <c r="I564" s="252">
        <f>IFERROR(IF($E564="Inventory",VLOOKUP($C564,Inventory!$B:$I,8,FALSE()),IF($E564="Non Inventory",VLOOKUP($C564,'Non Inventory'!$B:$I,8,FALSE()),IF($E564="Services",VLOOKUP($C564,Services!$B:$I,8,FALSE()),IF($E564="Patty Cash",VLOOKUP($C564,'Patty Cash'!$B:$J,8,FALSE()),0)))),0)</f>
        <v>0</v>
      </c>
      <c r="J564" s="252" t="str">
        <f t="shared" si="17"/>
        <v/>
      </c>
      <c r="K564" s="253"/>
      <c r="L564" s="253"/>
      <c r="M564" s="253"/>
      <c r="N564" s="328"/>
    </row>
    <row r="565" spans="1:14" ht="20.100000000000001" customHeight="1">
      <c r="A565" s="327" t="str">
        <f>IF(AND($B565="",$C565=""),"",MAX($A$3:A564)+1)</f>
        <v/>
      </c>
      <c r="B565" s="262"/>
      <c r="C565" s="253"/>
      <c r="D565" s="249" t="str">
        <f>IFERROR(IF($E565="Inventory",VLOOKUP($C565,Inventory!$B:$I,2,FALSE()),IF($E565="Non Inventory",VLOOKUP($C565,'Non Inventory'!$B:$I,2,FALSE()),IF($E565="Services",VLOOKUP($C565,Services!$B:$I,2,FALSE()),IF($E565="Patty Cash",VLOOKUP($C565,'Patty Cash'!$B:$J,2,FALSE()),"")))),"")</f>
        <v/>
      </c>
      <c r="E565" s="254"/>
      <c r="F565" s="263" t="str">
        <f>IFERROR(IF($E565="Inventory",VLOOKUP($C565,Inventory!$B:$I,3,FALSE()),IF($E565="Non Inventory",VLOOKUP($C565,'Non Inventory'!$B:$I,3,FALSE()),IF($E565="Services",VLOOKUP($C565,Services!$B:$I,3,FALSE()),IF($E565="Patty Cash",VLOOKUP($C565,'Patty Cash'!$B:$J,3,FALSE()),"")))),"")</f>
        <v/>
      </c>
      <c r="G565" s="374"/>
      <c r="H565" s="374" t="str">
        <f t="shared" si="16"/>
        <v/>
      </c>
      <c r="I565" s="252">
        <f>IFERROR(IF($E565="Inventory",VLOOKUP($C565,Inventory!$B:$I,8,FALSE()),IF($E565="Non Inventory",VLOOKUP($C565,'Non Inventory'!$B:$I,8,FALSE()),IF($E565="Services",VLOOKUP($C565,Services!$B:$I,8,FALSE()),IF($E565="Patty Cash",VLOOKUP($C565,'Patty Cash'!$B:$J,8,FALSE()),0)))),0)</f>
        <v>0</v>
      </c>
      <c r="J565" s="252" t="str">
        <f t="shared" si="17"/>
        <v/>
      </c>
      <c r="K565" s="253"/>
      <c r="L565" s="253"/>
      <c r="M565" s="253"/>
      <c r="N565" s="328"/>
    </row>
    <row r="566" spans="1:14" ht="20.100000000000001" customHeight="1">
      <c r="A566" s="327" t="str">
        <f>IF(AND($B566="",$C566=""),"",MAX($A$3:A565)+1)</f>
        <v/>
      </c>
      <c r="B566" s="262"/>
      <c r="C566" s="253"/>
      <c r="D566" s="249" t="str">
        <f>IFERROR(IF($E566="Inventory",VLOOKUP($C566,Inventory!$B:$I,2,FALSE()),IF($E566="Non Inventory",VLOOKUP($C566,'Non Inventory'!$B:$I,2,FALSE()),IF($E566="Services",VLOOKUP($C566,Services!$B:$I,2,FALSE()),IF($E566="Patty Cash",VLOOKUP($C566,'Patty Cash'!$B:$J,2,FALSE()),"")))),"")</f>
        <v/>
      </c>
      <c r="E566" s="254"/>
      <c r="F566" s="263" t="str">
        <f>IFERROR(IF($E566="Inventory",VLOOKUP($C566,Inventory!$B:$I,3,FALSE()),IF($E566="Non Inventory",VLOOKUP($C566,'Non Inventory'!$B:$I,3,FALSE()),IF($E566="Services",VLOOKUP($C566,Services!$B:$I,3,FALSE()),IF($E566="Patty Cash",VLOOKUP($C566,'Patty Cash'!$B:$J,3,FALSE()),"")))),"")</f>
        <v/>
      </c>
      <c r="G566" s="374"/>
      <c r="H566" s="374" t="str">
        <f t="shared" si="16"/>
        <v/>
      </c>
      <c r="I566" s="252">
        <f>IFERROR(IF($E566="Inventory",VLOOKUP($C566,Inventory!$B:$I,8,FALSE()),IF($E566="Non Inventory",VLOOKUP($C566,'Non Inventory'!$B:$I,8,FALSE()),IF($E566="Services",VLOOKUP($C566,Services!$B:$I,8,FALSE()),IF($E566="Patty Cash",VLOOKUP($C566,'Patty Cash'!$B:$J,8,FALSE()),0)))),0)</f>
        <v>0</v>
      </c>
      <c r="J566" s="252" t="str">
        <f t="shared" si="17"/>
        <v/>
      </c>
      <c r="K566" s="253"/>
      <c r="L566" s="253"/>
      <c r="M566" s="253"/>
      <c r="N566" s="328"/>
    </row>
    <row r="567" spans="1:14" ht="20.100000000000001" customHeight="1">
      <c r="A567" s="327" t="str">
        <f>IF(AND($B567="",$C567=""),"",MAX($A$3:A566)+1)</f>
        <v/>
      </c>
      <c r="B567" s="262"/>
      <c r="C567" s="253"/>
      <c r="D567" s="249" t="str">
        <f>IFERROR(IF($E567="Inventory",VLOOKUP($C567,Inventory!$B:$I,2,FALSE()),IF($E567="Non Inventory",VLOOKUP($C567,'Non Inventory'!$B:$I,2,FALSE()),IF($E567="Services",VLOOKUP($C567,Services!$B:$I,2,FALSE()),IF($E567="Patty Cash",VLOOKUP($C567,'Patty Cash'!$B:$J,2,FALSE()),"")))),"")</f>
        <v/>
      </c>
      <c r="E567" s="254"/>
      <c r="F567" s="263" t="str">
        <f>IFERROR(IF($E567="Inventory",VLOOKUP($C567,Inventory!$B:$I,3,FALSE()),IF($E567="Non Inventory",VLOOKUP($C567,'Non Inventory'!$B:$I,3,FALSE()),IF($E567="Services",VLOOKUP($C567,Services!$B:$I,3,FALSE()),IF($E567="Patty Cash",VLOOKUP($C567,'Patty Cash'!$B:$J,3,FALSE()),"")))),"")</f>
        <v/>
      </c>
      <c r="G567" s="374"/>
      <c r="H567" s="374" t="str">
        <f t="shared" si="16"/>
        <v/>
      </c>
      <c r="I567" s="252">
        <f>IFERROR(IF($E567="Inventory",VLOOKUP($C567,Inventory!$B:$I,8,FALSE()),IF($E567="Non Inventory",VLOOKUP($C567,'Non Inventory'!$B:$I,8,FALSE()),IF($E567="Services",VLOOKUP($C567,Services!$B:$I,8,FALSE()),IF($E567="Patty Cash",VLOOKUP($C567,'Patty Cash'!$B:$J,8,FALSE()),0)))),0)</f>
        <v>0</v>
      </c>
      <c r="J567" s="252" t="str">
        <f t="shared" si="17"/>
        <v/>
      </c>
      <c r="K567" s="253"/>
      <c r="L567" s="253"/>
      <c r="M567" s="253"/>
      <c r="N567" s="328"/>
    </row>
    <row r="568" spans="1:14" ht="20.100000000000001" customHeight="1">
      <c r="A568" s="327" t="str">
        <f>IF(AND($B568="",$C568=""),"",MAX($A$3:A567)+1)</f>
        <v/>
      </c>
      <c r="B568" s="262"/>
      <c r="C568" s="253"/>
      <c r="D568" s="249" t="str">
        <f>IFERROR(IF($E568="Inventory",VLOOKUP($C568,Inventory!$B:$I,2,FALSE()),IF($E568="Non Inventory",VLOOKUP($C568,'Non Inventory'!$B:$I,2,FALSE()),IF($E568="Services",VLOOKUP($C568,Services!$B:$I,2,FALSE()),IF($E568="Patty Cash",VLOOKUP($C568,'Patty Cash'!$B:$J,2,FALSE()),"")))),"")</f>
        <v/>
      </c>
      <c r="E568" s="254"/>
      <c r="F568" s="263" t="str">
        <f>IFERROR(IF($E568="Inventory",VLOOKUP($C568,Inventory!$B:$I,3,FALSE()),IF($E568="Non Inventory",VLOOKUP($C568,'Non Inventory'!$B:$I,3,FALSE()),IF($E568="Services",VLOOKUP($C568,Services!$B:$I,3,FALSE()),IF($E568="Patty Cash",VLOOKUP($C568,'Patty Cash'!$B:$J,3,FALSE()),"")))),"")</f>
        <v/>
      </c>
      <c r="G568" s="374"/>
      <c r="H568" s="374" t="str">
        <f t="shared" si="16"/>
        <v/>
      </c>
      <c r="I568" s="252">
        <f>IFERROR(IF($E568="Inventory",VLOOKUP($C568,Inventory!$B:$I,8,FALSE()),IF($E568="Non Inventory",VLOOKUP($C568,'Non Inventory'!$B:$I,8,FALSE()),IF($E568="Services",VLOOKUP($C568,Services!$B:$I,8,FALSE()),IF($E568="Patty Cash",VLOOKUP($C568,'Patty Cash'!$B:$J,8,FALSE()),0)))),0)</f>
        <v>0</v>
      </c>
      <c r="J568" s="252" t="str">
        <f t="shared" si="17"/>
        <v/>
      </c>
      <c r="K568" s="253"/>
      <c r="L568" s="253"/>
      <c r="M568" s="253"/>
      <c r="N568" s="328"/>
    </row>
    <row r="569" spans="1:14" ht="20.100000000000001" customHeight="1">
      <c r="A569" s="327" t="str">
        <f>IF(AND($B569="",$C569=""),"",MAX($A$3:A568)+1)</f>
        <v/>
      </c>
      <c r="B569" s="262"/>
      <c r="C569" s="253"/>
      <c r="D569" s="249" t="str">
        <f>IFERROR(IF($E569="Inventory",VLOOKUP($C569,Inventory!$B:$I,2,FALSE()),IF($E569="Non Inventory",VLOOKUP($C569,'Non Inventory'!$B:$I,2,FALSE()),IF($E569="Services",VLOOKUP($C569,Services!$B:$I,2,FALSE()),IF($E569="Patty Cash",VLOOKUP($C569,'Patty Cash'!$B:$J,2,FALSE()),"")))),"")</f>
        <v/>
      </c>
      <c r="E569" s="254"/>
      <c r="F569" s="263" t="str">
        <f>IFERROR(IF($E569="Inventory",VLOOKUP($C569,Inventory!$B:$I,3,FALSE()),IF($E569="Non Inventory",VLOOKUP($C569,'Non Inventory'!$B:$I,3,FALSE()),IF($E569="Services",VLOOKUP($C569,Services!$B:$I,3,FALSE()),IF($E569="Patty Cash",VLOOKUP($C569,'Patty Cash'!$B:$J,3,FALSE()),"")))),"")</f>
        <v/>
      </c>
      <c r="G569" s="374"/>
      <c r="H569" s="374" t="str">
        <f t="shared" si="16"/>
        <v/>
      </c>
      <c r="I569" s="252">
        <f>IFERROR(IF($E569="Inventory",VLOOKUP($C569,Inventory!$B:$I,8,FALSE()),IF($E569="Non Inventory",VLOOKUP($C569,'Non Inventory'!$B:$I,8,FALSE()),IF($E569="Services",VLOOKUP($C569,Services!$B:$I,8,FALSE()),IF($E569="Patty Cash",VLOOKUP($C569,'Patty Cash'!$B:$J,8,FALSE()),0)))),0)</f>
        <v>0</v>
      </c>
      <c r="J569" s="252" t="str">
        <f t="shared" si="17"/>
        <v/>
      </c>
      <c r="K569" s="253"/>
      <c r="L569" s="253"/>
      <c r="M569" s="253"/>
      <c r="N569" s="328"/>
    </row>
    <row r="570" spans="1:14" ht="20.100000000000001" customHeight="1">
      <c r="A570" s="327" t="str">
        <f>IF(AND($B570="",$C570=""),"",MAX($A$3:A569)+1)</f>
        <v/>
      </c>
      <c r="B570" s="262"/>
      <c r="C570" s="253"/>
      <c r="D570" s="249" t="str">
        <f>IFERROR(IF($E570="Inventory",VLOOKUP($C570,Inventory!$B:$I,2,FALSE()),IF($E570="Non Inventory",VLOOKUP($C570,'Non Inventory'!$B:$I,2,FALSE()),IF($E570="Services",VLOOKUP($C570,Services!$B:$I,2,FALSE()),IF($E570="Patty Cash",VLOOKUP($C570,'Patty Cash'!$B:$J,2,FALSE()),"")))),"")</f>
        <v/>
      </c>
      <c r="E570" s="254"/>
      <c r="F570" s="263" t="str">
        <f>IFERROR(IF($E570="Inventory",VLOOKUP($C570,Inventory!$B:$I,3,FALSE()),IF($E570="Non Inventory",VLOOKUP($C570,'Non Inventory'!$B:$I,3,FALSE()),IF($E570="Services",VLOOKUP($C570,Services!$B:$I,3,FALSE()),IF($E570="Patty Cash",VLOOKUP($C570,'Patty Cash'!$B:$J,3,FALSE()),"")))),"")</f>
        <v/>
      </c>
      <c r="G570" s="374"/>
      <c r="H570" s="374" t="str">
        <f t="shared" si="16"/>
        <v/>
      </c>
      <c r="I570" s="252">
        <f>IFERROR(IF($E570="Inventory",VLOOKUP($C570,Inventory!$B:$I,8,FALSE()),IF($E570="Non Inventory",VLOOKUP($C570,'Non Inventory'!$B:$I,8,FALSE()),IF($E570="Services",VLOOKUP($C570,Services!$B:$I,8,FALSE()),IF($E570="Patty Cash",VLOOKUP($C570,'Patty Cash'!$B:$J,8,FALSE()),0)))),0)</f>
        <v>0</v>
      </c>
      <c r="J570" s="252" t="str">
        <f t="shared" si="17"/>
        <v/>
      </c>
      <c r="K570" s="253"/>
      <c r="L570" s="253"/>
      <c r="M570" s="253"/>
      <c r="N570" s="328"/>
    </row>
    <row r="571" spans="1:14" ht="20.100000000000001" customHeight="1">
      <c r="A571" s="327" t="str">
        <f>IF(AND($B571="",$C571=""),"",MAX($A$3:A570)+1)</f>
        <v/>
      </c>
      <c r="B571" s="262"/>
      <c r="C571" s="253"/>
      <c r="D571" s="249" t="str">
        <f>IFERROR(IF($E571="Inventory",VLOOKUP($C571,Inventory!$B:$I,2,FALSE()),IF($E571="Non Inventory",VLOOKUP($C571,'Non Inventory'!$B:$I,2,FALSE()),IF($E571="Services",VLOOKUP($C571,Services!$B:$I,2,FALSE()),IF($E571="Patty Cash",VLOOKUP($C571,'Patty Cash'!$B:$J,2,FALSE()),"")))),"")</f>
        <v/>
      </c>
      <c r="E571" s="254"/>
      <c r="F571" s="263" t="str">
        <f>IFERROR(IF($E571="Inventory",VLOOKUP($C571,Inventory!$B:$I,3,FALSE()),IF($E571="Non Inventory",VLOOKUP($C571,'Non Inventory'!$B:$I,3,FALSE()),IF($E571="Services",VLOOKUP($C571,Services!$B:$I,3,FALSE()),IF($E571="Patty Cash",VLOOKUP($C571,'Patty Cash'!$B:$J,3,FALSE()),"")))),"")</f>
        <v/>
      </c>
      <c r="G571" s="374"/>
      <c r="H571" s="374" t="str">
        <f t="shared" ref="H571:H634" si="18">IF($G571="","",G571)</f>
        <v/>
      </c>
      <c r="I571" s="252">
        <f>IFERROR(IF($E571="Inventory",VLOOKUP($C571,Inventory!$B:$I,8,FALSE()),IF($E571="Non Inventory",VLOOKUP($C571,'Non Inventory'!$B:$I,8,FALSE()),IF($E571="Services",VLOOKUP($C571,Services!$B:$I,8,FALSE()),IF($E571="Patty Cash",VLOOKUP($C571,'Patty Cash'!$B:$J,8,FALSE()),0)))),0)</f>
        <v>0</v>
      </c>
      <c r="J571" s="252" t="str">
        <f t="shared" ref="J571:J634" si="19">IF($H571="","",H571*I571)</f>
        <v/>
      </c>
      <c r="K571" s="253"/>
      <c r="L571" s="253"/>
      <c r="M571" s="253"/>
      <c r="N571" s="328"/>
    </row>
    <row r="572" spans="1:14" ht="20.100000000000001" customHeight="1">
      <c r="A572" s="327" t="str">
        <f>IF(AND($B572="",$C572=""),"",MAX($A$3:A571)+1)</f>
        <v/>
      </c>
      <c r="B572" s="262"/>
      <c r="C572" s="253"/>
      <c r="D572" s="249" t="str">
        <f>IFERROR(IF($E572="Inventory",VLOOKUP($C572,Inventory!$B:$I,2,FALSE()),IF($E572="Non Inventory",VLOOKUP($C572,'Non Inventory'!$B:$I,2,FALSE()),IF($E572="Services",VLOOKUP($C572,Services!$B:$I,2,FALSE()),IF($E572="Patty Cash",VLOOKUP($C572,'Patty Cash'!$B:$J,2,FALSE()),"")))),"")</f>
        <v/>
      </c>
      <c r="E572" s="254"/>
      <c r="F572" s="263" t="str">
        <f>IFERROR(IF($E572="Inventory",VLOOKUP($C572,Inventory!$B:$I,3,FALSE()),IF($E572="Non Inventory",VLOOKUP($C572,'Non Inventory'!$B:$I,3,FALSE()),IF($E572="Services",VLOOKUP($C572,Services!$B:$I,3,FALSE()),IF($E572="Patty Cash",VLOOKUP($C572,'Patty Cash'!$B:$J,3,FALSE()),"")))),"")</f>
        <v/>
      </c>
      <c r="G572" s="374"/>
      <c r="H572" s="374" t="str">
        <f t="shared" si="18"/>
        <v/>
      </c>
      <c r="I572" s="252">
        <f>IFERROR(IF($E572="Inventory",VLOOKUP($C572,Inventory!$B:$I,8,FALSE()),IF($E572="Non Inventory",VLOOKUP($C572,'Non Inventory'!$B:$I,8,FALSE()),IF($E572="Services",VLOOKUP($C572,Services!$B:$I,8,FALSE()),IF($E572="Patty Cash",VLOOKUP($C572,'Patty Cash'!$B:$J,8,FALSE()),0)))),0)</f>
        <v>0</v>
      </c>
      <c r="J572" s="252" t="str">
        <f t="shared" si="19"/>
        <v/>
      </c>
      <c r="K572" s="253"/>
      <c r="L572" s="253"/>
      <c r="M572" s="253"/>
      <c r="N572" s="328"/>
    </row>
    <row r="573" spans="1:14" ht="20.100000000000001" customHeight="1">
      <c r="A573" s="327" t="str">
        <f>IF(AND($B573="",$C573=""),"",MAX($A$3:A572)+1)</f>
        <v/>
      </c>
      <c r="B573" s="262"/>
      <c r="C573" s="253"/>
      <c r="D573" s="249" t="str">
        <f>IFERROR(IF($E573="Inventory",VLOOKUP($C573,Inventory!$B:$I,2,FALSE()),IF($E573="Non Inventory",VLOOKUP($C573,'Non Inventory'!$B:$I,2,FALSE()),IF($E573="Services",VLOOKUP($C573,Services!$B:$I,2,FALSE()),IF($E573="Patty Cash",VLOOKUP($C573,'Patty Cash'!$B:$J,2,FALSE()),"")))),"")</f>
        <v/>
      </c>
      <c r="E573" s="254"/>
      <c r="F573" s="263" t="str">
        <f>IFERROR(IF($E573="Inventory",VLOOKUP($C573,Inventory!$B:$I,3,FALSE()),IF($E573="Non Inventory",VLOOKUP($C573,'Non Inventory'!$B:$I,3,FALSE()),IF($E573="Services",VLOOKUP($C573,Services!$B:$I,3,FALSE()),IF($E573="Patty Cash",VLOOKUP($C573,'Patty Cash'!$B:$J,3,FALSE()),"")))),"")</f>
        <v/>
      </c>
      <c r="G573" s="374"/>
      <c r="H573" s="374" t="str">
        <f t="shared" si="18"/>
        <v/>
      </c>
      <c r="I573" s="252">
        <f>IFERROR(IF($E573="Inventory",VLOOKUP($C573,Inventory!$B:$I,8,FALSE()),IF($E573="Non Inventory",VLOOKUP($C573,'Non Inventory'!$B:$I,8,FALSE()),IF($E573="Services",VLOOKUP($C573,Services!$B:$I,8,FALSE()),IF($E573="Patty Cash",VLOOKUP($C573,'Patty Cash'!$B:$J,8,FALSE()),0)))),0)</f>
        <v>0</v>
      </c>
      <c r="J573" s="252" t="str">
        <f t="shared" si="19"/>
        <v/>
      </c>
      <c r="K573" s="253"/>
      <c r="L573" s="253"/>
      <c r="M573" s="253"/>
      <c r="N573" s="328"/>
    </row>
    <row r="574" spans="1:14" ht="20.100000000000001" customHeight="1">
      <c r="A574" s="327" t="str">
        <f>IF(AND($B574="",$C574=""),"",MAX($A$3:A573)+1)</f>
        <v/>
      </c>
      <c r="B574" s="262"/>
      <c r="C574" s="253"/>
      <c r="D574" s="249" t="str">
        <f>IFERROR(IF($E574="Inventory",VLOOKUP($C574,Inventory!$B:$I,2,FALSE()),IF($E574="Non Inventory",VLOOKUP($C574,'Non Inventory'!$B:$I,2,FALSE()),IF($E574="Services",VLOOKUP($C574,Services!$B:$I,2,FALSE()),IF($E574="Patty Cash",VLOOKUP($C574,'Patty Cash'!$B:$J,2,FALSE()),"")))),"")</f>
        <v/>
      </c>
      <c r="E574" s="254"/>
      <c r="F574" s="263" t="str">
        <f>IFERROR(IF($E574="Inventory",VLOOKUP($C574,Inventory!$B:$I,3,FALSE()),IF($E574="Non Inventory",VLOOKUP($C574,'Non Inventory'!$B:$I,3,FALSE()),IF($E574="Services",VLOOKUP($C574,Services!$B:$I,3,FALSE()),IF($E574="Patty Cash",VLOOKUP($C574,'Patty Cash'!$B:$J,3,FALSE()),"")))),"")</f>
        <v/>
      </c>
      <c r="G574" s="374"/>
      <c r="H574" s="374" t="str">
        <f t="shared" si="18"/>
        <v/>
      </c>
      <c r="I574" s="252">
        <f>IFERROR(IF($E574="Inventory",VLOOKUP($C574,Inventory!$B:$I,8,FALSE()),IF($E574="Non Inventory",VLOOKUP($C574,'Non Inventory'!$B:$I,8,FALSE()),IF($E574="Services",VLOOKUP($C574,Services!$B:$I,8,FALSE()),IF($E574="Patty Cash",VLOOKUP($C574,'Patty Cash'!$B:$J,8,FALSE()),0)))),0)</f>
        <v>0</v>
      </c>
      <c r="J574" s="252" t="str">
        <f t="shared" si="19"/>
        <v/>
      </c>
      <c r="K574" s="253"/>
      <c r="L574" s="253"/>
      <c r="M574" s="253"/>
      <c r="N574" s="328"/>
    </row>
    <row r="575" spans="1:14" ht="20.100000000000001" customHeight="1">
      <c r="A575" s="327" t="str">
        <f>IF(AND($B575="",$C575=""),"",MAX($A$3:A574)+1)</f>
        <v/>
      </c>
      <c r="B575" s="262"/>
      <c r="C575" s="253"/>
      <c r="D575" s="249" t="str">
        <f>IFERROR(IF($E575="Inventory",VLOOKUP($C575,Inventory!$B:$I,2,FALSE()),IF($E575="Non Inventory",VLOOKUP($C575,'Non Inventory'!$B:$I,2,FALSE()),IF($E575="Services",VLOOKUP($C575,Services!$B:$I,2,FALSE()),IF($E575="Patty Cash",VLOOKUP($C575,'Patty Cash'!$B:$J,2,FALSE()),"")))),"")</f>
        <v/>
      </c>
      <c r="E575" s="254"/>
      <c r="F575" s="263" t="str">
        <f>IFERROR(IF($E575="Inventory",VLOOKUP($C575,Inventory!$B:$I,3,FALSE()),IF($E575="Non Inventory",VLOOKUP($C575,'Non Inventory'!$B:$I,3,FALSE()),IF($E575="Services",VLOOKUP($C575,Services!$B:$I,3,FALSE()),IF($E575="Patty Cash",VLOOKUP($C575,'Patty Cash'!$B:$J,3,FALSE()),"")))),"")</f>
        <v/>
      </c>
      <c r="G575" s="374"/>
      <c r="H575" s="374" t="str">
        <f t="shared" si="18"/>
        <v/>
      </c>
      <c r="I575" s="252">
        <f>IFERROR(IF($E575="Inventory",VLOOKUP($C575,Inventory!$B:$I,8,FALSE()),IF($E575="Non Inventory",VLOOKUP($C575,'Non Inventory'!$B:$I,8,FALSE()),IF($E575="Services",VLOOKUP($C575,Services!$B:$I,8,FALSE()),IF($E575="Patty Cash",VLOOKUP($C575,'Patty Cash'!$B:$J,8,FALSE()),0)))),0)</f>
        <v>0</v>
      </c>
      <c r="J575" s="252" t="str">
        <f t="shared" si="19"/>
        <v/>
      </c>
      <c r="K575" s="253"/>
      <c r="L575" s="253"/>
      <c r="M575" s="253"/>
      <c r="N575" s="328"/>
    </row>
    <row r="576" spans="1:14" ht="20.100000000000001" customHeight="1">
      <c r="A576" s="327" t="str">
        <f>IF(AND($B576="",$C576=""),"",MAX($A$3:A575)+1)</f>
        <v/>
      </c>
      <c r="B576" s="262"/>
      <c r="C576" s="253"/>
      <c r="D576" s="249" t="str">
        <f>IFERROR(IF($E576="Inventory",VLOOKUP($C576,Inventory!$B:$I,2,FALSE()),IF($E576="Non Inventory",VLOOKUP($C576,'Non Inventory'!$B:$I,2,FALSE()),IF($E576="Services",VLOOKUP($C576,Services!$B:$I,2,FALSE()),IF($E576="Patty Cash",VLOOKUP($C576,'Patty Cash'!$B:$J,2,FALSE()),"")))),"")</f>
        <v/>
      </c>
      <c r="E576" s="254"/>
      <c r="F576" s="263" t="str">
        <f>IFERROR(IF($E576="Inventory",VLOOKUP($C576,Inventory!$B:$I,3,FALSE()),IF($E576="Non Inventory",VLOOKUP($C576,'Non Inventory'!$B:$I,3,FALSE()),IF($E576="Services",VLOOKUP($C576,Services!$B:$I,3,FALSE()),IF($E576="Patty Cash",VLOOKUP($C576,'Patty Cash'!$B:$J,3,FALSE()),"")))),"")</f>
        <v/>
      </c>
      <c r="G576" s="374"/>
      <c r="H576" s="374" t="str">
        <f t="shared" si="18"/>
        <v/>
      </c>
      <c r="I576" s="252">
        <f>IFERROR(IF($E576="Inventory",VLOOKUP($C576,Inventory!$B:$I,8,FALSE()),IF($E576="Non Inventory",VLOOKUP($C576,'Non Inventory'!$B:$I,8,FALSE()),IF($E576="Services",VLOOKUP($C576,Services!$B:$I,8,FALSE()),IF($E576="Patty Cash",VLOOKUP($C576,'Patty Cash'!$B:$J,8,FALSE()),0)))),0)</f>
        <v>0</v>
      </c>
      <c r="J576" s="252" t="str">
        <f t="shared" si="19"/>
        <v/>
      </c>
      <c r="K576" s="253"/>
      <c r="L576" s="253"/>
      <c r="M576" s="253"/>
      <c r="N576" s="328"/>
    </row>
    <row r="577" spans="1:14" ht="20.100000000000001" customHeight="1">
      <c r="A577" s="327" t="str">
        <f>IF(AND($B577="",$C577=""),"",MAX($A$3:A576)+1)</f>
        <v/>
      </c>
      <c r="B577" s="262"/>
      <c r="C577" s="253"/>
      <c r="D577" s="249" t="str">
        <f>IFERROR(IF($E577="Inventory",VLOOKUP($C577,Inventory!$B:$I,2,FALSE()),IF($E577="Non Inventory",VLOOKUP($C577,'Non Inventory'!$B:$I,2,FALSE()),IF($E577="Services",VLOOKUP($C577,Services!$B:$I,2,FALSE()),IF($E577="Patty Cash",VLOOKUP($C577,'Patty Cash'!$B:$J,2,FALSE()),"")))),"")</f>
        <v/>
      </c>
      <c r="E577" s="254"/>
      <c r="F577" s="263" t="str">
        <f>IFERROR(IF($E577="Inventory",VLOOKUP($C577,Inventory!$B:$I,3,FALSE()),IF($E577="Non Inventory",VLOOKUP($C577,'Non Inventory'!$B:$I,3,FALSE()),IF($E577="Services",VLOOKUP($C577,Services!$B:$I,3,FALSE()),IF($E577="Patty Cash",VLOOKUP($C577,'Patty Cash'!$B:$J,3,FALSE()),"")))),"")</f>
        <v/>
      </c>
      <c r="G577" s="374"/>
      <c r="H577" s="374" t="str">
        <f t="shared" si="18"/>
        <v/>
      </c>
      <c r="I577" s="252">
        <f>IFERROR(IF($E577="Inventory",VLOOKUP($C577,Inventory!$B:$I,8,FALSE()),IF($E577="Non Inventory",VLOOKUP($C577,'Non Inventory'!$B:$I,8,FALSE()),IF($E577="Services",VLOOKUP($C577,Services!$B:$I,8,FALSE()),IF($E577="Patty Cash",VLOOKUP($C577,'Patty Cash'!$B:$J,8,FALSE()),0)))),0)</f>
        <v>0</v>
      </c>
      <c r="J577" s="252" t="str">
        <f t="shared" si="19"/>
        <v/>
      </c>
      <c r="K577" s="253"/>
      <c r="L577" s="253"/>
      <c r="M577" s="253"/>
      <c r="N577" s="328"/>
    </row>
    <row r="578" spans="1:14" ht="20.100000000000001" customHeight="1">
      <c r="A578" s="327" t="str">
        <f>IF(AND($B578="",$C578=""),"",MAX($A$3:A577)+1)</f>
        <v/>
      </c>
      <c r="B578" s="262"/>
      <c r="C578" s="253"/>
      <c r="D578" s="249" t="str">
        <f>IFERROR(IF($E578="Inventory",VLOOKUP($C578,Inventory!$B:$I,2,FALSE()),IF($E578="Non Inventory",VLOOKUP($C578,'Non Inventory'!$B:$I,2,FALSE()),IF($E578="Services",VLOOKUP($C578,Services!$B:$I,2,FALSE()),IF($E578="Patty Cash",VLOOKUP($C578,'Patty Cash'!$B:$J,2,FALSE()),"")))),"")</f>
        <v/>
      </c>
      <c r="E578" s="254"/>
      <c r="F578" s="263" t="str">
        <f>IFERROR(IF($E578="Inventory",VLOOKUP($C578,Inventory!$B:$I,3,FALSE()),IF($E578="Non Inventory",VLOOKUP($C578,'Non Inventory'!$B:$I,3,FALSE()),IF($E578="Services",VLOOKUP($C578,Services!$B:$I,3,FALSE()),IF($E578="Patty Cash",VLOOKUP($C578,'Patty Cash'!$B:$J,3,FALSE()),"")))),"")</f>
        <v/>
      </c>
      <c r="G578" s="374"/>
      <c r="H578" s="374" t="str">
        <f t="shared" si="18"/>
        <v/>
      </c>
      <c r="I578" s="252">
        <f>IFERROR(IF($E578="Inventory",VLOOKUP($C578,Inventory!$B:$I,8,FALSE()),IF($E578="Non Inventory",VLOOKUP($C578,'Non Inventory'!$B:$I,8,FALSE()),IF($E578="Services",VLOOKUP($C578,Services!$B:$I,8,FALSE()),IF($E578="Patty Cash",VLOOKUP($C578,'Patty Cash'!$B:$J,8,FALSE()),0)))),0)</f>
        <v>0</v>
      </c>
      <c r="J578" s="252" t="str">
        <f t="shared" si="19"/>
        <v/>
      </c>
      <c r="K578" s="253"/>
      <c r="L578" s="253"/>
      <c r="M578" s="253"/>
      <c r="N578" s="328"/>
    </row>
    <row r="579" spans="1:14" ht="20.100000000000001" customHeight="1">
      <c r="A579" s="327" t="str">
        <f>IF(AND($B579="",$C579=""),"",MAX($A$3:A578)+1)</f>
        <v/>
      </c>
      <c r="B579" s="262"/>
      <c r="C579" s="253"/>
      <c r="D579" s="249" t="str">
        <f>IFERROR(IF($E579="Inventory",VLOOKUP($C579,Inventory!$B:$I,2,FALSE()),IF($E579="Non Inventory",VLOOKUP($C579,'Non Inventory'!$B:$I,2,FALSE()),IF($E579="Services",VLOOKUP($C579,Services!$B:$I,2,FALSE()),IF($E579="Patty Cash",VLOOKUP($C579,'Patty Cash'!$B:$J,2,FALSE()),"")))),"")</f>
        <v/>
      </c>
      <c r="E579" s="254"/>
      <c r="F579" s="263" t="str">
        <f>IFERROR(IF($E579="Inventory",VLOOKUP($C579,Inventory!$B:$I,3,FALSE()),IF($E579="Non Inventory",VLOOKUP($C579,'Non Inventory'!$B:$I,3,FALSE()),IF($E579="Services",VLOOKUP($C579,Services!$B:$I,3,FALSE()),IF($E579="Patty Cash",VLOOKUP($C579,'Patty Cash'!$B:$J,3,FALSE()),"")))),"")</f>
        <v/>
      </c>
      <c r="G579" s="374"/>
      <c r="H579" s="374" t="str">
        <f t="shared" si="18"/>
        <v/>
      </c>
      <c r="I579" s="252">
        <f>IFERROR(IF($E579="Inventory",VLOOKUP($C579,Inventory!$B:$I,8,FALSE()),IF($E579="Non Inventory",VLOOKUP($C579,'Non Inventory'!$B:$I,8,FALSE()),IF($E579="Services",VLOOKUP($C579,Services!$B:$I,8,FALSE()),IF($E579="Patty Cash",VLOOKUP($C579,'Patty Cash'!$B:$J,8,FALSE()),0)))),0)</f>
        <v>0</v>
      </c>
      <c r="J579" s="252" t="str">
        <f t="shared" si="19"/>
        <v/>
      </c>
      <c r="K579" s="253"/>
      <c r="L579" s="253"/>
      <c r="M579" s="253"/>
      <c r="N579" s="328"/>
    </row>
    <row r="580" spans="1:14" ht="20.100000000000001" customHeight="1">
      <c r="A580" s="327" t="str">
        <f>IF(AND($B580="",$C580=""),"",MAX($A$3:A579)+1)</f>
        <v/>
      </c>
      <c r="B580" s="262"/>
      <c r="C580" s="253"/>
      <c r="D580" s="249" t="str">
        <f>IFERROR(IF($E580="Inventory",VLOOKUP($C580,Inventory!$B:$I,2,FALSE()),IF($E580="Non Inventory",VLOOKUP($C580,'Non Inventory'!$B:$I,2,FALSE()),IF($E580="Services",VLOOKUP($C580,Services!$B:$I,2,FALSE()),IF($E580="Patty Cash",VLOOKUP($C580,'Patty Cash'!$B:$J,2,FALSE()),"")))),"")</f>
        <v/>
      </c>
      <c r="E580" s="254"/>
      <c r="F580" s="263" t="str">
        <f>IFERROR(IF($E580="Inventory",VLOOKUP($C580,Inventory!$B:$I,3,FALSE()),IF($E580="Non Inventory",VLOOKUP($C580,'Non Inventory'!$B:$I,3,FALSE()),IF($E580="Services",VLOOKUP($C580,Services!$B:$I,3,FALSE()),IF($E580="Patty Cash",VLOOKUP($C580,'Patty Cash'!$B:$J,3,FALSE()),"")))),"")</f>
        <v/>
      </c>
      <c r="G580" s="374"/>
      <c r="H580" s="374" t="str">
        <f t="shared" si="18"/>
        <v/>
      </c>
      <c r="I580" s="252">
        <f>IFERROR(IF($E580="Inventory",VLOOKUP($C580,Inventory!$B:$I,8,FALSE()),IF($E580="Non Inventory",VLOOKUP($C580,'Non Inventory'!$B:$I,8,FALSE()),IF($E580="Services",VLOOKUP($C580,Services!$B:$I,8,FALSE()),IF($E580="Patty Cash",VLOOKUP($C580,'Patty Cash'!$B:$J,8,FALSE()),0)))),0)</f>
        <v>0</v>
      </c>
      <c r="J580" s="252" t="str">
        <f t="shared" si="19"/>
        <v/>
      </c>
      <c r="K580" s="253"/>
      <c r="L580" s="253"/>
      <c r="M580" s="253"/>
      <c r="N580" s="328"/>
    </row>
    <row r="581" spans="1:14" ht="20.100000000000001" customHeight="1">
      <c r="A581" s="327" t="str">
        <f>IF(AND($B581="",$C581=""),"",MAX($A$3:A580)+1)</f>
        <v/>
      </c>
      <c r="B581" s="262"/>
      <c r="C581" s="253"/>
      <c r="D581" s="249" t="str">
        <f>IFERROR(IF($E581="Inventory",VLOOKUP($C581,Inventory!$B:$I,2,FALSE()),IF($E581="Non Inventory",VLOOKUP($C581,'Non Inventory'!$B:$I,2,FALSE()),IF($E581="Services",VLOOKUP($C581,Services!$B:$I,2,FALSE()),IF($E581="Patty Cash",VLOOKUP($C581,'Patty Cash'!$B:$J,2,FALSE()),"")))),"")</f>
        <v/>
      </c>
      <c r="E581" s="254"/>
      <c r="F581" s="263" t="str">
        <f>IFERROR(IF($E581="Inventory",VLOOKUP($C581,Inventory!$B:$I,3,FALSE()),IF($E581="Non Inventory",VLOOKUP($C581,'Non Inventory'!$B:$I,3,FALSE()),IF($E581="Services",VLOOKUP($C581,Services!$B:$I,3,FALSE()),IF($E581="Patty Cash",VLOOKUP($C581,'Patty Cash'!$B:$J,3,FALSE()),"")))),"")</f>
        <v/>
      </c>
      <c r="G581" s="374"/>
      <c r="H581" s="374" t="str">
        <f t="shared" si="18"/>
        <v/>
      </c>
      <c r="I581" s="252">
        <f>IFERROR(IF($E581="Inventory",VLOOKUP($C581,Inventory!$B:$I,8,FALSE()),IF($E581="Non Inventory",VLOOKUP($C581,'Non Inventory'!$B:$I,8,FALSE()),IF($E581="Services",VLOOKUP($C581,Services!$B:$I,8,FALSE()),IF($E581="Patty Cash",VLOOKUP($C581,'Patty Cash'!$B:$J,8,FALSE()),0)))),0)</f>
        <v>0</v>
      </c>
      <c r="J581" s="252" t="str">
        <f t="shared" si="19"/>
        <v/>
      </c>
      <c r="K581" s="253"/>
      <c r="L581" s="253"/>
      <c r="M581" s="253"/>
      <c r="N581" s="328"/>
    </row>
    <row r="582" spans="1:14" ht="20.100000000000001" customHeight="1">
      <c r="A582" s="327" t="str">
        <f>IF(AND($B582="",$C582=""),"",MAX($A$3:A581)+1)</f>
        <v/>
      </c>
      <c r="B582" s="262"/>
      <c r="C582" s="253"/>
      <c r="D582" s="249" t="str">
        <f>IFERROR(IF($E582="Inventory",VLOOKUP($C582,Inventory!$B:$I,2,FALSE()),IF($E582="Non Inventory",VLOOKUP($C582,'Non Inventory'!$B:$I,2,FALSE()),IF($E582="Services",VLOOKUP($C582,Services!$B:$I,2,FALSE()),IF($E582="Patty Cash",VLOOKUP($C582,'Patty Cash'!$B:$J,2,FALSE()),"")))),"")</f>
        <v/>
      </c>
      <c r="E582" s="254"/>
      <c r="F582" s="263" t="str">
        <f>IFERROR(IF($E582="Inventory",VLOOKUP($C582,Inventory!$B:$I,3,FALSE()),IF($E582="Non Inventory",VLOOKUP($C582,'Non Inventory'!$B:$I,3,FALSE()),IF($E582="Services",VLOOKUP($C582,Services!$B:$I,3,FALSE()),IF($E582="Patty Cash",VLOOKUP($C582,'Patty Cash'!$B:$J,3,FALSE()),"")))),"")</f>
        <v/>
      </c>
      <c r="G582" s="374"/>
      <c r="H582" s="374" t="str">
        <f t="shared" si="18"/>
        <v/>
      </c>
      <c r="I582" s="252">
        <f>IFERROR(IF($E582="Inventory",VLOOKUP($C582,Inventory!$B:$I,8,FALSE()),IF($E582="Non Inventory",VLOOKUP($C582,'Non Inventory'!$B:$I,8,FALSE()),IF($E582="Services",VLOOKUP($C582,Services!$B:$I,8,FALSE()),IF($E582="Patty Cash",VLOOKUP($C582,'Patty Cash'!$B:$J,8,FALSE()),0)))),0)</f>
        <v>0</v>
      </c>
      <c r="J582" s="252" t="str">
        <f t="shared" si="19"/>
        <v/>
      </c>
      <c r="K582" s="253"/>
      <c r="L582" s="253"/>
      <c r="M582" s="253"/>
      <c r="N582" s="328"/>
    </row>
    <row r="583" spans="1:14" ht="20.100000000000001" customHeight="1">
      <c r="A583" s="327" t="str">
        <f>IF(AND($B583="",$C583=""),"",MAX($A$3:A582)+1)</f>
        <v/>
      </c>
      <c r="B583" s="262"/>
      <c r="C583" s="253"/>
      <c r="D583" s="249" t="str">
        <f>IFERROR(IF($E583="Inventory",VLOOKUP($C583,Inventory!$B:$I,2,FALSE()),IF($E583="Non Inventory",VLOOKUP($C583,'Non Inventory'!$B:$I,2,FALSE()),IF($E583="Services",VLOOKUP($C583,Services!$B:$I,2,FALSE()),IF($E583="Patty Cash",VLOOKUP($C583,'Patty Cash'!$B:$J,2,FALSE()),"")))),"")</f>
        <v/>
      </c>
      <c r="E583" s="254"/>
      <c r="F583" s="263" t="str">
        <f>IFERROR(IF($E583="Inventory",VLOOKUP($C583,Inventory!$B:$I,3,FALSE()),IF($E583="Non Inventory",VLOOKUP($C583,'Non Inventory'!$B:$I,3,FALSE()),IF($E583="Services",VLOOKUP($C583,Services!$B:$I,3,FALSE()),IF($E583="Patty Cash",VLOOKUP($C583,'Patty Cash'!$B:$J,3,FALSE()),"")))),"")</f>
        <v/>
      </c>
      <c r="G583" s="374"/>
      <c r="H583" s="374" t="str">
        <f t="shared" si="18"/>
        <v/>
      </c>
      <c r="I583" s="252">
        <f>IFERROR(IF($E583="Inventory",VLOOKUP($C583,Inventory!$B:$I,8,FALSE()),IF($E583="Non Inventory",VLOOKUP($C583,'Non Inventory'!$B:$I,8,FALSE()),IF($E583="Services",VLOOKUP($C583,Services!$B:$I,8,FALSE()),IF($E583="Patty Cash",VLOOKUP($C583,'Patty Cash'!$B:$J,8,FALSE()),0)))),0)</f>
        <v>0</v>
      </c>
      <c r="J583" s="252" t="str">
        <f t="shared" si="19"/>
        <v/>
      </c>
      <c r="K583" s="253"/>
      <c r="L583" s="253"/>
      <c r="M583" s="253"/>
      <c r="N583" s="328"/>
    </row>
    <row r="584" spans="1:14" ht="20.100000000000001" customHeight="1">
      <c r="A584" s="327" t="str">
        <f>IF(AND($B584="",$C584=""),"",MAX($A$3:A583)+1)</f>
        <v/>
      </c>
      <c r="B584" s="262"/>
      <c r="C584" s="253"/>
      <c r="D584" s="249" t="str">
        <f>IFERROR(IF($E584="Inventory",VLOOKUP($C584,Inventory!$B:$I,2,FALSE()),IF($E584="Non Inventory",VLOOKUP($C584,'Non Inventory'!$B:$I,2,FALSE()),IF($E584="Services",VLOOKUP($C584,Services!$B:$I,2,FALSE()),IF($E584="Patty Cash",VLOOKUP($C584,'Patty Cash'!$B:$J,2,FALSE()),"")))),"")</f>
        <v/>
      </c>
      <c r="E584" s="254"/>
      <c r="F584" s="263" t="str">
        <f>IFERROR(IF($E584="Inventory",VLOOKUP($C584,Inventory!$B:$I,3,FALSE()),IF($E584="Non Inventory",VLOOKUP($C584,'Non Inventory'!$B:$I,3,FALSE()),IF($E584="Services",VLOOKUP($C584,Services!$B:$I,3,FALSE()),IF($E584="Patty Cash",VLOOKUP($C584,'Patty Cash'!$B:$J,3,FALSE()),"")))),"")</f>
        <v/>
      </c>
      <c r="G584" s="374"/>
      <c r="H584" s="374" t="str">
        <f t="shared" si="18"/>
        <v/>
      </c>
      <c r="I584" s="252">
        <f>IFERROR(IF($E584="Inventory",VLOOKUP($C584,Inventory!$B:$I,8,FALSE()),IF($E584="Non Inventory",VLOOKUP($C584,'Non Inventory'!$B:$I,8,FALSE()),IF($E584="Services",VLOOKUP($C584,Services!$B:$I,8,FALSE()),IF($E584="Patty Cash",VLOOKUP($C584,'Patty Cash'!$B:$J,8,FALSE()),0)))),0)</f>
        <v>0</v>
      </c>
      <c r="J584" s="252" t="str">
        <f t="shared" si="19"/>
        <v/>
      </c>
      <c r="K584" s="253"/>
      <c r="L584" s="253"/>
      <c r="M584" s="253"/>
      <c r="N584" s="328"/>
    </row>
    <row r="585" spans="1:14" ht="20.100000000000001" customHeight="1">
      <c r="A585" s="327" t="str">
        <f>IF(AND($B585="",$C585=""),"",MAX($A$3:A584)+1)</f>
        <v/>
      </c>
      <c r="B585" s="262"/>
      <c r="C585" s="253"/>
      <c r="D585" s="249" t="str">
        <f>IFERROR(IF($E585="Inventory",VLOOKUP($C585,Inventory!$B:$I,2,FALSE()),IF($E585="Non Inventory",VLOOKUP($C585,'Non Inventory'!$B:$I,2,FALSE()),IF($E585="Services",VLOOKUP($C585,Services!$B:$I,2,FALSE()),IF($E585="Patty Cash",VLOOKUP($C585,'Patty Cash'!$B:$J,2,FALSE()),"")))),"")</f>
        <v/>
      </c>
      <c r="E585" s="254"/>
      <c r="F585" s="263" t="str">
        <f>IFERROR(IF($E585="Inventory",VLOOKUP($C585,Inventory!$B:$I,3,FALSE()),IF($E585="Non Inventory",VLOOKUP($C585,'Non Inventory'!$B:$I,3,FALSE()),IF($E585="Services",VLOOKUP($C585,Services!$B:$I,3,FALSE()),IF($E585="Patty Cash",VLOOKUP($C585,'Patty Cash'!$B:$J,3,FALSE()),"")))),"")</f>
        <v/>
      </c>
      <c r="G585" s="374"/>
      <c r="H585" s="374" t="str">
        <f t="shared" si="18"/>
        <v/>
      </c>
      <c r="I585" s="252">
        <f>IFERROR(IF($E585="Inventory",VLOOKUP($C585,Inventory!$B:$I,8,FALSE()),IF($E585="Non Inventory",VLOOKUP($C585,'Non Inventory'!$B:$I,8,FALSE()),IF($E585="Services",VLOOKUP($C585,Services!$B:$I,8,FALSE()),IF($E585="Patty Cash",VLOOKUP($C585,'Patty Cash'!$B:$J,8,FALSE()),0)))),0)</f>
        <v>0</v>
      </c>
      <c r="J585" s="252" t="str">
        <f t="shared" si="19"/>
        <v/>
      </c>
      <c r="K585" s="253"/>
      <c r="L585" s="253"/>
      <c r="M585" s="253"/>
      <c r="N585" s="328"/>
    </row>
    <row r="586" spans="1:14" ht="20.100000000000001" customHeight="1">
      <c r="A586" s="327" t="str">
        <f>IF(AND($B586="",$C586=""),"",MAX($A$3:A585)+1)</f>
        <v/>
      </c>
      <c r="B586" s="262"/>
      <c r="C586" s="253"/>
      <c r="D586" s="249" t="str">
        <f>IFERROR(IF($E586="Inventory",VLOOKUP($C586,Inventory!$B:$I,2,FALSE()),IF($E586="Non Inventory",VLOOKUP($C586,'Non Inventory'!$B:$I,2,FALSE()),IF($E586="Services",VLOOKUP($C586,Services!$B:$I,2,FALSE()),IF($E586="Patty Cash",VLOOKUP($C586,'Patty Cash'!$B:$J,2,FALSE()),"")))),"")</f>
        <v/>
      </c>
      <c r="E586" s="254"/>
      <c r="F586" s="263" t="str">
        <f>IFERROR(IF($E586="Inventory",VLOOKUP($C586,Inventory!$B:$I,3,FALSE()),IF($E586="Non Inventory",VLOOKUP($C586,'Non Inventory'!$B:$I,3,FALSE()),IF($E586="Services",VLOOKUP($C586,Services!$B:$I,3,FALSE()),IF($E586="Patty Cash",VLOOKUP($C586,'Patty Cash'!$B:$J,3,FALSE()),"")))),"")</f>
        <v/>
      </c>
      <c r="G586" s="374"/>
      <c r="H586" s="374" t="str">
        <f t="shared" si="18"/>
        <v/>
      </c>
      <c r="I586" s="252">
        <f>IFERROR(IF($E586="Inventory",VLOOKUP($C586,Inventory!$B:$I,8,FALSE()),IF($E586="Non Inventory",VLOOKUP($C586,'Non Inventory'!$B:$I,8,FALSE()),IF($E586="Services",VLOOKUP($C586,Services!$B:$I,8,FALSE()),IF($E586="Patty Cash",VLOOKUP($C586,'Patty Cash'!$B:$J,8,FALSE()),0)))),0)</f>
        <v>0</v>
      </c>
      <c r="J586" s="252" t="str">
        <f t="shared" si="19"/>
        <v/>
      </c>
      <c r="K586" s="253"/>
      <c r="L586" s="253"/>
      <c r="M586" s="253"/>
      <c r="N586" s="328"/>
    </row>
    <row r="587" spans="1:14" ht="20.100000000000001" customHeight="1">
      <c r="A587" s="327" t="str">
        <f>IF(AND($B587="",$C587=""),"",MAX($A$3:A586)+1)</f>
        <v/>
      </c>
      <c r="B587" s="262"/>
      <c r="C587" s="253"/>
      <c r="D587" s="249" t="str">
        <f>IFERROR(IF($E587="Inventory",VLOOKUP($C587,Inventory!$B:$I,2,FALSE()),IF($E587="Non Inventory",VLOOKUP($C587,'Non Inventory'!$B:$I,2,FALSE()),IF($E587="Services",VLOOKUP($C587,Services!$B:$I,2,FALSE()),IF($E587="Patty Cash",VLOOKUP($C587,'Patty Cash'!$B:$J,2,FALSE()),"")))),"")</f>
        <v/>
      </c>
      <c r="E587" s="254"/>
      <c r="F587" s="263" t="str">
        <f>IFERROR(IF($E587="Inventory",VLOOKUP($C587,Inventory!$B:$I,3,FALSE()),IF($E587="Non Inventory",VLOOKUP($C587,'Non Inventory'!$B:$I,3,FALSE()),IF($E587="Services",VLOOKUP($C587,Services!$B:$I,3,FALSE()),IF($E587="Patty Cash",VLOOKUP($C587,'Patty Cash'!$B:$J,3,FALSE()),"")))),"")</f>
        <v/>
      </c>
      <c r="G587" s="374"/>
      <c r="H587" s="374" t="str">
        <f t="shared" si="18"/>
        <v/>
      </c>
      <c r="I587" s="252">
        <f>IFERROR(IF($E587="Inventory",VLOOKUP($C587,Inventory!$B:$I,8,FALSE()),IF($E587="Non Inventory",VLOOKUP($C587,'Non Inventory'!$B:$I,8,FALSE()),IF($E587="Services",VLOOKUP($C587,Services!$B:$I,8,FALSE()),IF($E587="Patty Cash",VLOOKUP($C587,'Patty Cash'!$B:$J,8,FALSE()),0)))),0)</f>
        <v>0</v>
      </c>
      <c r="J587" s="252" t="str">
        <f t="shared" si="19"/>
        <v/>
      </c>
      <c r="K587" s="253"/>
      <c r="L587" s="253"/>
      <c r="M587" s="253"/>
      <c r="N587" s="328"/>
    </row>
    <row r="588" spans="1:14" ht="20.100000000000001" customHeight="1">
      <c r="A588" s="327" t="str">
        <f>IF(AND($B588="",$C588=""),"",MAX($A$3:A587)+1)</f>
        <v/>
      </c>
      <c r="B588" s="262"/>
      <c r="C588" s="253"/>
      <c r="D588" s="249" t="str">
        <f>IFERROR(IF($E588="Inventory",VLOOKUP($C588,Inventory!$B:$I,2,FALSE()),IF($E588="Non Inventory",VLOOKUP($C588,'Non Inventory'!$B:$I,2,FALSE()),IF($E588="Services",VLOOKUP($C588,Services!$B:$I,2,FALSE()),IF($E588="Patty Cash",VLOOKUP($C588,'Patty Cash'!$B:$J,2,FALSE()),"")))),"")</f>
        <v/>
      </c>
      <c r="E588" s="254"/>
      <c r="F588" s="263" t="str">
        <f>IFERROR(IF($E588="Inventory",VLOOKUP($C588,Inventory!$B:$I,3,FALSE()),IF($E588="Non Inventory",VLOOKUP($C588,'Non Inventory'!$B:$I,3,FALSE()),IF($E588="Services",VLOOKUP($C588,Services!$B:$I,3,FALSE()),IF($E588="Patty Cash",VLOOKUP($C588,'Patty Cash'!$B:$J,3,FALSE()),"")))),"")</f>
        <v/>
      </c>
      <c r="G588" s="374"/>
      <c r="H588" s="374" t="str">
        <f t="shared" si="18"/>
        <v/>
      </c>
      <c r="I588" s="252">
        <f>IFERROR(IF($E588="Inventory",VLOOKUP($C588,Inventory!$B:$I,8,FALSE()),IF($E588="Non Inventory",VLOOKUP($C588,'Non Inventory'!$B:$I,8,FALSE()),IF($E588="Services",VLOOKUP($C588,Services!$B:$I,8,FALSE()),IF($E588="Patty Cash",VLOOKUP($C588,'Patty Cash'!$B:$J,8,FALSE()),0)))),0)</f>
        <v>0</v>
      </c>
      <c r="J588" s="252" t="str">
        <f t="shared" si="19"/>
        <v/>
      </c>
      <c r="K588" s="253"/>
      <c r="L588" s="253"/>
      <c r="M588" s="253"/>
      <c r="N588" s="328"/>
    </row>
    <row r="589" spans="1:14" ht="20.100000000000001" customHeight="1">
      <c r="A589" s="327" t="str">
        <f>IF(AND($B589="",$C589=""),"",MAX($A$3:A588)+1)</f>
        <v/>
      </c>
      <c r="B589" s="262"/>
      <c r="C589" s="253"/>
      <c r="D589" s="249" t="str">
        <f>IFERROR(IF($E589="Inventory",VLOOKUP($C589,Inventory!$B:$I,2,FALSE()),IF($E589="Non Inventory",VLOOKUP($C589,'Non Inventory'!$B:$I,2,FALSE()),IF($E589="Services",VLOOKUP($C589,Services!$B:$I,2,FALSE()),IF($E589="Patty Cash",VLOOKUP($C589,'Patty Cash'!$B:$J,2,FALSE()),"")))),"")</f>
        <v/>
      </c>
      <c r="E589" s="254"/>
      <c r="F589" s="263" t="str">
        <f>IFERROR(IF($E589="Inventory",VLOOKUP($C589,Inventory!$B:$I,3,FALSE()),IF($E589="Non Inventory",VLOOKUP($C589,'Non Inventory'!$B:$I,3,FALSE()),IF($E589="Services",VLOOKUP($C589,Services!$B:$I,3,FALSE()),IF($E589="Patty Cash",VLOOKUP($C589,'Patty Cash'!$B:$J,3,FALSE()),"")))),"")</f>
        <v/>
      </c>
      <c r="G589" s="374"/>
      <c r="H589" s="374" t="str">
        <f t="shared" si="18"/>
        <v/>
      </c>
      <c r="I589" s="252">
        <f>IFERROR(IF($E589="Inventory",VLOOKUP($C589,Inventory!$B:$I,8,FALSE()),IF($E589="Non Inventory",VLOOKUP($C589,'Non Inventory'!$B:$I,8,FALSE()),IF($E589="Services",VLOOKUP($C589,Services!$B:$I,8,FALSE()),IF($E589="Patty Cash",VLOOKUP($C589,'Patty Cash'!$B:$J,8,FALSE()),0)))),0)</f>
        <v>0</v>
      </c>
      <c r="J589" s="252" t="str">
        <f t="shared" si="19"/>
        <v/>
      </c>
      <c r="K589" s="253"/>
      <c r="L589" s="253"/>
      <c r="M589" s="253"/>
      <c r="N589" s="328"/>
    </row>
    <row r="590" spans="1:14" ht="20.100000000000001" customHeight="1">
      <c r="A590" s="327" t="str">
        <f>IF(AND($B590="",$C590=""),"",MAX($A$3:A589)+1)</f>
        <v/>
      </c>
      <c r="B590" s="262"/>
      <c r="C590" s="253"/>
      <c r="D590" s="249" t="str">
        <f>IFERROR(IF($E590="Inventory",VLOOKUP($C590,Inventory!$B:$I,2,FALSE()),IF($E590="Non Inventory",VLOOKUP($C590,'Non Inventory'!$B:$I,2,FALSE()),IF($E590="Services",VLOOKUP($C590,Services!$B:$I,2,FALSE()),IF($E590="Patty Cash",VLOOKUP($C590,'Patty Cash'!$B:$J,2,FALSE()),"")))),"")</f>
        <v/>
      </c>
      <c r="E590" s="254"/>
      <c r="F590" s="263" t="str">
        <f>IFERROR(IF($E590="Inventory",VLOOKUP($C590,Inventory!$B:$I,3,FALSE()),IF($E590="Non Inventory",VLOOKUP($C590,'Non Inventory'!$B:$I,3,FALSE()),IF($E590="Services",VLOOKUP($C590,Services!$B:$I,3,FALSE()),IF($E590="Patty Cash",VLOOKUP($C590,'Patty Cash'!$B:$J,3,FALSE()),"")))),"")</f>
        <v/>
      </c>
      <c r="G590" s="374"/>
      <c r="H590" s="374" t="str">
        <f t="shared" si="18"/>
        <v/>
      </c>
      <c r="I590" s="252">
        <f>IFERROR(IF($E590="Inventory",VLOOKUP($C590,Inventory!$B:$I,8,FALSE()),IF($E590="Non Inventory",VLOOKUP($C590,'Non Inventory'!$B:$I,8,FALSE()),IF($E590="Services",VLOOKUP($C590,Services!$B:$I,8,FALSE()),IF($E590="Patty Cash",VLOOKUP($C590,'Patty Cash'!$B:$J,8,FALSE()),0)))),0)</f>
        <v>0</v>
      </c>
      <c r="J590" s="252" t="str">
        <f t="shared" si="19"/>
        <v/>
      </c>
      <c r="K590" s="253"/>
      <c r="L590" s="253"/>
      <c r="M590" s="253"/>
      <c r="N590" s="328"/>
    </row>
    <row r="591" spans="1:14" ht="20.100000000000001" customHeight="1">
      <c r="A591" s="327" t="str">
        <f>IF(AND($B591="",$C591=""),"",MAX($A$3:A590)+1)</f>
        <v/>
      </c>
      <c r="B591" s="262"/>
      <c r="C591" s="253"/>
      <c r="D591" s="249" t="str">
        <f>IFERROR(IF($E591="Inventory",VLOOKUP($C591,Inventory!$B:$I,2,FALSE()),IF($E591="Non Inventory",VLOOKUP($C591,'Non Inventory'!$B:$I,2,FALSE()),IF($E591="Services",VLOOKUP($C591,Services!$B:$I,2,FALSE()),IF($E591="Patty Cash",VLOOKUP($C591,'Patty Cash'!$B:$J,2,FALSE()),"")))),"")</f>
        <v/>
      </c>
      <c r="E591" s="254"/>
      <c r="F591" s="263" t="str">
        <f>IFERROR(IF($E591="Inventory",VLOOKUP($C591,Inventory!$B:$I,3,FALSE()),IF($E591="Non Inventory",VLOOKUP($C591,'Non Inventory'!$B:$I,3,FALSE()),IF($E591="Services",VLOOKUP($C591,Services!$B:$I,3,FALSE()),IF($E591="Patty Cash",VLOOKUP($C591,'Patty Cash'!$B:$J,3,FALSE()),"")))),"")</f>
        <v/>
      </c>
      <c r="G591" s="374"/>
      <c r="H591" s="374" t="str">
        <f t="shared" si="18"/>
        <v/>
      </c>
      <c r="I591" s="252">
        <f>IFERROR(IF($E591="Inventory",VLOOKUP($C591,Inventory!$B:$I,8,FALSE()),IF($E591="Non Inventory",VLOOKUP($C591,'Non Inventory'!$B:$I,8,FALSE()),IF($E591="Services",VLOOKUP($C591,Services!$B:$I,8,FALSE()),IF($E591="Patty Cash",VLOOKUP($C591,'Patty Cash'!$B:$J,8,FALSE()),0)))),0)</f>
        <v>0</v>
      </c>
      <c r="J591" s="252" t="str">
        <f t="shared" si="19"/>
        <v/>
      </c>
      <c r="K591" s="253"/>
      <c r="L591" s="253"/>
      <c r="M591" s="253"/>
      <c r="N591" s="328"/>
    </row>
    <row r="592" spans="1:14" ht="20.100000000000001" customHeight="1">
      <c r="A592" s="327" t="str">
        <f>IF(AND($B592="",$C592=""),"",MAX($A$3:A591)+1)</f>
        <v/>
      </c>
      <c r="B592" s="262"/>
      <c r="C592" s="253"/>
      <c r="D592" s="249" t="str">
        <f>IFERROR(IF($E592="Inventory",VLOOKUP($C592,Inventory!$B:$I,2,FALSE()),IF($E592="Non Inventory",VLOOKUP($C592,'Non Inventory'!$B:$I,2,FALSE()),IF($E592="Services",VLOOKUP($C592,Services!$B:$I,2,FALSE()),IF($E592="Patty Cash",VLOOKUP($C592,'Patty Cash'!$B:$J,2,FALSE()),"")))),"")</f>
        <v/>
      </c>
      <c r="E592" s="254"/>
      <c r="F592" s="263" t="str">
        <f>IFERROR(IF($E592="Inventory",VLOOKUP($C592,Inventory!$B:$I,3,FALSE()),IF($E592="Non Inventory",VLOOKUP($C592,'Non Inventory'!$B:$I,3,FALSE()),IF($E592="Services",VLOOKUP($C592,Services!$B:$I,3,FALSE()),IF($E592="Patty Cash",VLOOKUP($C592,'Patty Cash'!$B:$J,3,FALSE()),"")))),"")</f>
        <v/>
      </c>
      <c r="G592" s="374"/>
      <c r="H592" s="374" t="str">
        <f t="shared" si="18"/>
        <v/>
      </c>
      <c r="I592" s="252">
        <f>IFERROR(IF($E592="Inventory",VLOOKUP($C592,Inventory!$B:$I,8,FALSE()),IF($E592="Non Inventory",VLOOKUP($C592,'Non Inventory'!$B:$I,8,FALSE()),IF($E592="Services",VLOOKUP($C592,Services!$B:$I,8,FALSE()),IF($E592="Patty Cash",VLOOKUP($C592,'Patty Cash'!$B:$J,8,FALSE()),0)))),0)</f>
        <v>0</v>
      </c>
      <c r="J592" s="252" t="str">
        <f t="shared" si="19"/>
        <v/>
      </c>
      <c r="K592" s="253"/>
      <c r="L592" s="253"/>
      <c r="M592" s="253"/>
      <c r="N592" s="328"/>
    </row>
    <row r="593" spans="1:14" ht="20.100000000000001" customHeight="1">
      <c r="A593" s="327" t="str">
        <f>IF(AND($B593="",$C593=""),"",MAX($A$3:A592)+1)</f>
        <v/>
      </c>
      <c r="B593" s="262"/>
      <c r="C593" s="253"/>
      <c r="D593" s="249" t="str">
        <f>IFERROR(IF($E593="Inventory",VLOOKUP($C593,Inventory!$B:$I,2,FALSE()),IF($E593="Non Inventory",VLOOKUP($C593,'Non Inventory'!$B:$I,2,FALSE()),IF($E593="Services",VLOOKUP($C593,Services!$B:$I,2,FALSE()),IF($E593="Patty Cash",VLOOKUP($C593,'Patty Cash'!$B:$J,2,FALSE()),"")))),"")</f>
        <v/>
      </c>
      <c r="E593" s="254"/>
      <c r="F593" s="263" t="str">
        <f>IFERROR(IF($E593="Inventory",VLOOKUP($C593,Inventory!$B:$I,3,FALSE()),IF($E593="Non Inventory",VLOOKUP($C593,'Non Inventory'!$B:$I,3,FALSE()),IF($E593="Services",VLOOKUP($C593,Services!$B:$I,3,FALSE()),IF($E593="Patty Cash",VLOOKUP($C593,'Patty Cash'!$B:$J,3,FALSE()),"")))),"")</f>
        <v/>
      </c>
      <c r="G593" s="374"/>
      <c r="H593" s="374" t="str">
        <f t="shared" si="18"/>
        <v/>
      </c>
      <c r="I593" s="252">
        <f>IFERROR(IF($E593="Inventory",VLOOKUP($C593,Inventory!$B:$I,8,FALSE()),IF($E593="Non Inventory",VLOOKUP($C593,'Non Inventory'!$B:$I,8,FALSE()),IF($E593="Services",VLOOKUP($C593,Services!$B:$I,8,FALSE()),IF($E593="Patty Cash",VLOOKUP($C593,'Patty Cash'!$B:$J,8,FALSE()),0)))),0)</f>
        <v>0</v>
      </c>
      <c r="J593" s="252" t="str">
        <f t="shared" si="19"/>
        <v/>
      </c>
      <c r="K593" s="253"/>
      <c r="L593" s="253"/>
      <c r="M593" s="253"/>
      <c r="N593" s="328"/>
    </row>
    <row r="594" spans="1:14" ht="20.100000000000001" customHeight="1">
      <c r="A594" s="327" t="str">
        <f>IF(AND($B594="",$C594=""),"",MAX($A$3:A593)+1)</f>
        <v/>
      </c>
      <c r="B594" s="262"/>
      <c r="C594" s="253"/>
      <c r="D594" s="249" t="str">
        <f>IFERROR(IF($E594="Inventory",VLOOKUP($C594,Inventory!$B:$I,2,FALSE()),IF($E594="Non Inventory",VLOOKUP($C594,'Non Inventory'!$B:$I,2,FALSE()),IF($E594="Services",VLOOKUP($C594,Services!$B:$I,2,FALSE()),IF($E594="Patty Cash",VLOOKUP($C594,'Patty Cash'!$B:$J,2,FALSE()),"")))),"")</f>
        <v/>
      </c>
      <c r="E594" s="254"/>
      <c r="F594" s="263" t="str">
        <f>IFERROR(IF($E594="Inventory",VLOOKUP($C594,Inventory!$B:$I,3,FALSE()),IF($E594="Non Inventory",VLOOKUP($C594,'Non Inventory'!$B:$I,3,FALSE()),IF($E594="Services",VLOOKUP($C594,Services!$B:$I,3,FALSE()),IF($E594="Patty Cash",VLOOKUP($C594,'Patty Cash'!$B:$J,3,FALSE()),"")))),"")</f>
        <v/>
      </c>
      <c r="G594" s="374"/>
      <c r="H594" s="374" t="str">
        <f t="shared" si="18"/>
        <v/>
      </c>
      <c r="I594" s="252">
        <f>IFERROR(IF($E594="Inventory",VLOOKUP($C594,Inventory!$B:$I,8,FALSE()),IF($E594="Non Inventory",VLOOKUP($C594,'Non Inventory'!$B:$I,8,FALSE()),IF($E594="Services",VLOOKUP($C594,Services!$B:$I,8,FALSE()),IF($E594="Patty Cash",VLOOKUP($C594,'Patty Cash'!$B:$J,8,FALSE()),0)))),0)</f>
        <v>0</v>
      </c>
      <c r="J594" s="252" t="str">
        <f t="shared" si="19"/>
        <v/>
      </c>
      <c r="K594" s="253"/>
      <c r="L594" s="253"/>
      <c r="M594" s="253"/>
      <c r="N594" s="328"/>
    </row>
    <row r="595" spans="1:14" ht="20.100000000000001" customHeight="1">
      <c r="A595" s="327" t="str">
        <f>IF(AND($B595="",$C595=""),"",MAX($A$3:A594)+1)</f>
        <v/>
      </c>
      <c r="B595" s="262"/>
      <c r="C595" s="253"/>
      <c r="D595" s="249" t="str">
        <f>IFERROR(IF($E595="Inventory",VLOOKUP($C595,Inventory!$B:$I,2,FALSE()),IF($E595="Non Inventory",VLOOKUP($C595,'Non Inventory'!$B:$I,2,FALSE()),IF($E595="Services",VLOOKUP($C595,Services!$B:$I,2,FALSE()),IF($E595="Patty Cash",VLOOKUP($C595,'Patty Cash'!$B:$J,2,FALSE()),"")))),"")</f>
        <v/>
      </c>
      <c r="E595" s="254"/>
      <c r="F595" s="263" t="str">
        <f>IFERROR(IF($E595="Inventory",VLOOKUP($C595,Inventory!$B:$I,3,FALSE()),IF($E595="Non Inventory",VLOOKUP($C595,'Non Inventory'!$B:$I,3,FALSE()),IF($E595="Services",VLOOKUP($C595,Services!$B:$I,3,FALSE()),IF($E595="Patty Cash",VLOOKUP($C595,'Patty Cash'!$B:$J,3,FALSE()),"")))),"")</f>
        <v/>
      </c>
      <c r="G595" s="374"/>
      <c r="H595" s="374" t="str">
        <f t="shared" si="18"/>
        <v/>
      </c>
      <c r="I595" s="252">
        <f>IFERROR(IF($E595="Inventory",VLOOKUP($C595,Inventory!$B:$I,8,FALSE()),IF($E595="Non Inventory",VLOOKUP($C595,'Non Inventory'!$B:$I,8,FALSE()),IF($E595="Services",VLOOKUP($C595,Services!$B:$I,8,FALSE()),IF($E595="Patty Cash",VLOOKUP($C595,'Patty Cash'!$B:$J,8,FALSE()),0)))),0)</f>
        <v>0</v>
      </c>
      <c r="J595" s="252" t="str">
        <f t="shared" si="19"/>
        <v/>
      </c>
      <c r="K595" s="253"/>
      <c r="L595" s="253"/>
      <c r="M595" s="253"/>
      <c r="N595" s="328"/>
    </row>
    <row r="596" spans="1:14" ht="20.100000000000001" customHeight="1">
      <c r="A596" s="327" t="str">
        <f>IF(AND($B596="",$C596=""),"",MAX($A$3:A595)+1)</f>
        <v/>
      </c>
      <c r="B596" s="262"/>
      <c r="C596" s="253"/>
      <c r="D596" s="249" t="str">
        <f>IFERROR(IF($E596="Inventory",VLOOKUP($C596,Inventory!$B:$I,2,FALSE()),IF($E596="Non Inventory",VLOOKUP($C596,'Non Inventory'!$B:$I,2,FALSE()),IF($E596="Services",VLOOKUP($C596,Services!$B:$I,2,FALSE()),IF($E596="Patty Cash",VLOOKUP($C596,'Patty Cash'!$B:$J,2,FALSE()),"")))),"")</f>
        <v/>
      </c>
      <c r="E596" s="254"/>
      <c r="F596" s="263" t="str">
        <f>IFERROR(IF($E596="Inventory",VLOOKUP($C596,Inventory!$B:$I,3,FALSE()),IF($E596="Non Inventory",VLOOKUP($C596,'Non Inventory'!$B:$I,3,FALSE()),IF($E596="Services",VLOOKUP($C596,Services!$B:$I,3,FALSE()),IF($E596="Patty Cash",VLOOKUP($C596,'Patty Cash'!$B:$J,3,FALSE()),"")))),"")</f>
        <v/>
      </c>
      <c r="G596" s="374"/>
      <c r="H596" s="374" t="str">
        <f t="shared" si="18"/>
        <v/>
      </c>
      <c r="I596" s="252">
        <f>IFERROR(IF($E596="Inventory",VLOOKUP($C596,Inventory!$B:$I,8,FALSE()),IF($E596="Non Inventory",VLOOKUP($C596,'Non Inventory'!$B:$I,8,FALSE()),IF($E596="Services",VLOOKUP($C596,Services!$B:$I,8,FALSE()),IF($E596="Patty Cash",VLOOKUP($C596,'Patty Cash'!$B:$J,8,FALSE()),0)))),0)</f>
        <v>0</v>
      </c>
      <c r="J596" s="252" t="str">
        <f t="shared" si="19"/>
        <v/>
      </c>
      <c r="K596" s="253"/>
      <c r="L596" s="253"/>
      <c r="M596" s="253"/>
      <c r="N596" s="328"/>
    </row>
    <row r="597" spans="1:14" ht="20.100000000000001" customHeight="1">
      <c r="A597" s="327" t="str">
        <f>IF(AND($B597="",$C597=""),"",MAX($A$3:A596)+1)</f>
        <v/>
      </c>
      <c r="B597" s="262"/>
      <c r="C597" s="253"/>
      <c r="D597" s="249" t="str">
        <f>IFERROR(IF($E597="Inventory",VLOOKUP($C597,Inventory!$B:$I,2,FALSE()),IF($E597="Non Inventory",VLOOKUP($C597,'Non Inventory'!$B:$I,2,FALSE()),IF($E597="Services",VLOOKUP($C597,Services!$B:$I,2,FALSE()),IF($E597="Patty Cash",VLOOKUP($C597,'Patty Cash'!$B:$J,2,FALSE()),"")))),"")</f>
        <v/>
      </c>
      <c r="E597" s="254"/>
      <c r="F597" s="263" t="str">
        <f>IFERROR(IF($E597="Inventory",VLOOKUP($C597,Inventory!$B:$I,3,FALSE()),IF($E597="Non Inventory",VLOOKUP($C597,'Non Inventory'!$B:$I,3,FALSE()),IF($E597="Services",VLOOKUP($C597,Services!$B:$I,3,FALSE()),IF($E597="Patty Cash",VLOOKUP($C597,'Patty Cash'!$B:$J,3,FALSE()),"")))),"")</f>
        <v/>
      </c>
      <c r="G597" s="374"/>
      <c r="H597" s="374" t="str">
        <f t="shared" si="18"/>
        <v/>
      </c>
      <c r="I597" s="252">
        <f>IFERROR(IF($E597="Inventory",VLOOKUP($C597,Inventory!$B:$I,8,FALSE()),IF($E597="Non Inventory",VLOOKUP($C597,'Non Inventory'!$B:$I,8,FALSE()),IF($E597="Services",VLOOKUP($C597,Services!$B:$I,8,FALSE()),IF($E597="Patty Cash",VLOOKUP($C597,'Patty Cash'!$B:$J,8,FALSE()),0)))),0)</f>
        <v>0</v>
      </c>
      <c r="J597" s="252" t="str">
        <f t="shared" si="19"/>
        <v/>
      </c>
      <c r="K597" s="253"/>
      <c r="L597" s="253"/>
      <c r="M597" s="253"/>
      <c r="N597" s="328"/>
    </row>
    <row r="598" spans="1:14" ht="20.100000000000001" customHeight="1">
      <c r="A598" s="327" t="str">
        <f>IF(AND($B598="",$C598=""),"",MAX($A$3:A597)+1)</f>
        <v/>
      </c>
      <c r="B598" s="262"/>
      <c r="C598" s="253"/>
      <c r="D598" s="249" t="str">
        <f>IFERROR(IF($E598="Inventory",VLOOKUP($C598,Inventory!$B:$I,2,FALSE()),IF($E598="Non Inventory",VLOOKUP($C598,'Non Inventory'!$B:$I,2,FALSE()),IF($E598="Services",VLOOKUP($C598,Services!$B:$I,2,FALSE()),IF($E598="Patty Cash",VLOOKUP($C598,'Patty Cash'!$B:$J,2,FALSE()),"")))),"")</f>
        <v/>
      </c>
      <c r="E598" s="254"/>
      <c r="F598" s="263" t="str">
        <f>IFERROR(IF($E598="Inventory",VLOOKUP($C598,Inventory!$B:$I,3,FALSE()),IF($E598="Non Inventory",VLOOKUP($C598,'Non Inventory'!$B:$I,3,FALSE()),IF($E598="Services",VLOOKUP($C598,Services!$B:$I,3,FALSE()),IF($E598="Patty Cash",VLOOKUP($C598,'Patty Cash'!$B:$J,3,FALSE()),"")))),"")</f>
        <v/>
      </c>
      <c r="G598" s="374"/>
      <c r="H598" s="374" t="str">
        <f t="shared" si="18"/>
        <v/>
      </c>
      <c r="I598" s="252">
        <f>IFERROR(IF($E598="Inventory",VLOOKUP($C598,Inventory!$B:$I,8,FALSE()),IF($E598="Non Inventory",VLOOKUP($C598,'Non Inventory'!$B:$I,8,FALSE()),IF($E598="Services",VLOOKUP($C598,Services!$B:$I,8,FALSE()),IF($E598="Patty Cash",VLOOKUP($C598,'Patty Cash'!$B:$J,8,FALSE()),0)))),0)</f>
        <v>0</v>
      </c>
      <c r="J598" s="252" t="str">
        <f t="shared" si="19"/>
        <v/>
      </c>
      <c r="K598" s="253"/>
      <c r="L598" s="253"/>
      <c r="M598" s="253"/>
      <c r="N598" s="328"/>
    </row>
    <row r="599" spans="1:14" ht="20.100000000000001" customHeight="1">
      <c r="A599" s="327" t="str">
        <f>IF(AND($B599="",$C599=""),"",MAX($A$3:A598)+1)</f>
        <v/>
      </c>
      <c r="B599" s="262"/>
      <c r="C599" s="253"/>
      <c r="D599" s="249" t="str">
        <f>IFERROR(IF($E599="Inventory",VLOOKUP($C599,Inventory!$B:$I,2,FALSE()),IF($E599="Non Inventory",VLOOKUP($C599,'Non Inventory'!$B:$I,2,FALSE()),IF($E599="Services",VLOOKUP($C599,Services!$B:$I,2,FALSE()),IF($E599="Patty Cash",VLOOKUP($C599,'Patty Cash'!$B:$J,2,FALSE()),"")))),"")</f>
        <v/>
      </c>
      <c r="E599" s="254"/>
      <c r="F599" s="263" t="str">
        <f>IFERROR(IF($E599="Inventory",VLOOKUP($C599,Inventory!$B:$I,3,FALSE()),IF($E599="Non Inventory",VLOOKUP($C599,'Non Inventory'!$B:$I,3,FALSE()),IF($E599="Services",VLOOKUP($C599,Services!$B:$I,3,FALSE()),IF($E599="Patty Cash",VLOOKUP($C599,'Patty Cash'!$B:$J,3,FALSE()),"")))),"")</f>
        <v/>
      </c>
      <c r="G599" s="374"/>
      <c r="H599" s="374" t="str">
        <f t="shared" si="18"/>
        <v/>
      </c>
      <c r="I599" s="252">
        <f>IFERROR(IF($E599="Inventory",VLOOKUP($C599,Inventory!$B:$I,8,FALSE()),IF($E599="Non Inventory",VLOOKUP($C599,'Non Inventory'!$B:$I,8,FALSE()),IF($E599="Services",VLOOKUP($C599,Services!$B:$I,8,FALSE()),IF($E599="Patty Cash",VLOOKUP($C599,'Patty Cash'!$B:$J,8,FALSE()),0)))),0)</f>
        <v>0</v>
      </c>
      <c r="J599" s="252" t="str">
        <f t="shared" si="19"/>
        <v/>
      </c>
      <c r="K599" s="253"/>
      <c r="L599" s="253"/>
      <c r="M599" s="253"/>
      <c r="N599" s="328"/>
    </row>
    <row r="600" spans="1:14" ht="20.100000000000001" customHeight="1">
      <c r="A600" s="327" t="str">
        <f>IF(AND($B600="",$C600=""),"",MAX($A$3:A599)+1)</f>
        <v/>
      </c>
      <c r="B600" s="262"/>
      <c r="C600" s="253"/>
      <c r="D600" s="249" t="str">
        <f>IFERROR(IF($E600="Inventory",VLOOKUP($C600,Inventory!$B:$I,2,FALSE()),IF($E600="Non Inventory",VLOOKUP($C600,'Non Inventory'!$B:$I,2,FALSE()),IF($E600="Services",VLOOKUP($C600,Services!$B:$I,2,FALSE()),IF($E600="Patty Cash",VLOOKUP($C600,'Patty Cash'!$B:$J,2,FALSE()),"")))),"")</f>
        <v/>
      </c>
      <c r="E600" s="254"/>
      <c r="F600" s="263" t="str">
        <f>IFERROR(IF($E600="Inventory",VLOOKUP($C600,Inventory!$B:$I,3,FALSE()),IF($E600="Non Inventory",VLOOKUP($C600,'Non Inventory'!$B:$I,3,FALSE()),IF($E600="Services",VLOOKUP($C600,Services!$B:$I,3,FALSE()),IF($E600="Patty Cash",VLOOKUP($C600,'Patty Cash'!$B:$J,3,FALSE()),"")))),"")</f>
        <v/>
      </c>
      <c r="G600" s="374"/>
      <c r="H600" s="374" t="str">
        <f t="shared" si="18"/>
        <v/>
      </c>
      <c r="I600" s="252">
        <f>IFERROR(IF($E600="Inventory",VLOOKUP($C600,Inventory!$B:$I,8,FALSE()),IF($E600="Non Inventory",VLOOKUP($C600,'Non Inventory'!$B:$I,8,FALSE()),IF($E600="Services",VLOOKUP($C600,Services!$B:$I,8,FALSE()),IF($E600="Patty Cash",VLOOKUP($C600,'Patty Cash'!$B:$J,8,FALSE()),0)))),0)</f>
        <v>0</v>
      </c>
      <c r="J600" s="252" t="str">
        <f t="shared" si="19"/>
        <v/>
      </c>
      <c r="K600" s="253"/>
      <c r="L600" s="253"/>
      <c r="M600" s="253"/>
      <c r="N600" s="328"/>
    </row>
    <row r="601" spans="1:14" ht="20.100000000000001" customHeight="1">
      <c r="A601" s="327" t="str">
        <f>IF(AND($B601="",$C601=""),"",MAX($A$3:A600)+1)</f>
        <v/>
      </c>
      <c r="B601" s="262"/>
      <c r="C601" s="253"/>
      <c r="D601" s="249" t="str">
        <f>IFERROR(IF($E601="Inventory",VLOOKUP($C601,Inventory!$B:$I,2,FALSE()),IF($E601="Non Inventory",VLOOKUP($C601,'Non Inventory'!$B:$I,2,FALSE()),IF($E601="Services",VLOOKUP($C601,Services!$B:$I,2,FALSE()),IF($E601="Patty Cash",VLOOKUP($C601,'Patty Cash'!$B:$J,2,FALSE()),"")))),"")</f>
        <v/>
      </c>
      <c r="E601" s="254"/>
      <c r="F601" s="263" t="str">
        <f>IFERROR(IF($E601="Inventory",VLOOKUP($C601,Inventory!$B:$I,3,FALSE()),IF($E601="Non Inventory",VLOOKUP($C601,'Non Inventory'!$B:$I,3,FALSE()),IF($E601="Services",VLOOKUP($C601,Services!$B:$I,3,FALSE()),IF($E601="Patty Cash",VLOOKUP($C601,'Patty Cash'!$B:$J,3,FALSE()),"")))),"")</f>
        <v/>
      </c>
      <c r="G601" s="374"/>
      <c r="H601" s="374" t="str">
        <f t="shared" si="18"/>
        <v/>
      </c>
      <c r="I601" s="252">
        <f>IFERROR(IF($E601="Inventory",VLOOKUP($C601,Inventory!$B:$I,8,FALSE()),IF($E601="Non Inventory",VLOOKUP($C601,'Non Inventory'!$B:$I,8,FALSE()),IF($E601="Services",VLOOKUP($C601,Services!$B:$I,8,FALSE()),IF($E601="Patty Cash",VLOOKUP($C601,'Patty Cash'!$B:$J,8,FALSE()),0)))),0)</f>
        <v>0</v>
      </c>
      <c r="J601" s="252" t="str">
        <f t="shared" si="19"/>
        <v/>
      </c>
      <c r="K601" s="253"/>
      <c r="L601" s="253"/>
      <c r="M601" s="253"/>
      <c r="N601" s="328"/>
    </row>
    <row r="602" spans="1:14" ht="20.100000000000001" customHeight="1">
      <c r="A602" s="327" t="str">
        <f>IF(AND($B602="",$C602=""),"",MAX($A$3:A601)+1)</f>
        <v/>
      </c>
      <c r="B602" s="262"/>
      <c r="C602" s="253"/>
      <c r="D602" s="249" t="str">
        <f>IFERROR(IF($E602="Inventory",VLOOKUP($C602,Inventory!$B:$I,2,FALSE()),IF($E602="Non Inventory",VLOOKUP($C602,'Non Inventory'!$B:$I,2,FALSE()),IF($E602="Services",VLOOKUP($C602,Services!$B:$I,2,FALSE()),IF($E602="Patty Cash",VLOOKUP($C602,'Patty Cash'!$B:$J,2,FALSE()),"")))),"")</f>
        <v/>
      </c>
      <c r="E602" s="254"/>
      <c r="F602" s="263" t="str">
        <f>IFERROR(IF($E602="Inventory",VLOOKUP($C602,Inventory!$B:$I,3,FALSE()),IF($E602="Non Inventory",VLOOKUP($C602,'Non Inventory'!$B:$I,3,FALSE()),IF($E602="Services",VLOOKUP($C602,Services!$B:$I,3,FALSE()),IF($E602="Patty Cash",VLOOKUP($C602,'Patty Cash'!$B:$J,3,FALSE()),"")))),"")</f>
        <v/>
      </c>
      <c r="G602" s="374"/>
      <c r="H602" s="374" t="str">
        <f t="shared" si="18"/>
        <v/>
      </c>
      <c r="I602" s="252">
        <f>IFERROR(IF($E602="Inventory",VLOOKUP($C602,Inventory!$B:$I,8,FALSE()),IF($E602="Non Inventory",VLOOKUP($C602,'Non Inventory'!$B:$I,8,FALSE()),IF($E602="Services",VLOOKUP($C602,Services!$B:$I,8,FALSE()),IF($E602="Patty Cash",VLOOKUP($C602,'Patty Cash'!$B:$J,8,FALSE()),0)))),0)</f>
        <v>0</v>
      </c>
      <c r="J602" s="252" t="str">
        <f t="shared" si="19"/>
        <v/>
      </c>
      <c r="K602" s="253"/>
      <c r="L602" s="253"/>
      <c r="M602" s="253"/>
      <c r="N602" s="328"/>
    </row>
    <row r="603" spans="1:14" ht="20.100000000000001" customHeight="1">
      <c r="A603" s="327" t="str">
        <f>IF(AND($B603="",$C603=""),"",MAX($A$3:A602)+1)</f>
        <v/>
      </c>
      <c r="B603" s="262"/>
      <c r="C603" s="253"/>
      <c r="D603" s="249" t="str">
        <f>IFERROR(IF($E603="Inventory",VLOOKUP($C603,Inventory!$B:$I,2,FALSE()),IF($E603="Non Inventory",VLOOKUP($C603,'Non Inventory'!$B:$I,2,FALSE()),IF($E603="Services",VLOOKUP($C603,Services!$B:$I,2,FALSE()),IF($E603="Patty Cash",VLOOKUP($C603,'Patty Cash'!$B:$J,2,FALSE()),"")))),"")</f>
        <v/>
      </c>
      <c r="E603" s="254"/>
      <c r="F603" s="263" t="str">
        <f>IFERROR(IF($E603="Inventory",VLOOKUP($C603,Inventory!$B:$I,3,FALSE()),IF($E603="Non Inventory",VLOOKUP($C603,'Non Inventory'!$B:$I,3,FALSE()),IF($E603="Services",VLOOKUP($C603,Services!$B:$I,3,FALSE()),IF($E603="Patty Cash",VLOOKUP($C603,'Patty Cash'!$B:$J,3,FALSE()),"")))),"")</f>
        <v/>
      </c>
      <c r="G603" s="374"/>
      <c r="H603" s="374" t="str">
        <f t="shared" si="18"/>
        <v/>
      </c>
      <c r="I603" s="252">
        <f>IFERROR(IF($E603="Inventory",VLOOKUP($C603,Inventory!$B:$I,8,FALSE()),IF($E603="Non Inventory",VLOOKUP($C603,'Non Inventory'!$B:$I,8,FALSE()),IF($E603="Services",VLOOKUP($C603,Services!$B:$I,8,FALSE()),IF($E603="Patty Cash",VLOOKUP($C603,'Patty Cash'!$B:$J,8,FALSE()),0)))),0)</f>
        <v>0</v>
      </c>
      <c r="J603" s="252" t="str">
        <f t="shared" si="19"/>
        <v/>
      </c>
      <c r="K603" s="253"/>
      <c r="L603" s="253"/>
      <c r="M603" s="253"/>
      <c r="N603" s="328"/>
    </row>
    <row r="604" spans="1:14" ht="20.100000000000001" customHeight="1">
      <c r="A604" s="327" t="str">
        <f>IF(AND($B604="",$C604=""),"",MAX($A$3:A603)+1)</f>
        <v/>
      </c>
      <c r="B604" s="262"/>
      <c r="C604" s="253"/>
      <c r="D604" s="249" t="str">
        <f>IFERROR(IF($E604="Inventory",VLOOKUP($C604,Inventory!$B:$I,2,FALSE()),IF($E604="Non Inventory",VLOOKUP($C604,'Non Inventory'!$B:$I,2,FALSE()),IF($E604="Services",VLOOKUP($C604,Services!$B:$I,2,FALSE()),IF($E604="Patty Cash",VLOOKUP($C604,'Patty Cash'!$B:$J,2,FALSE()),"")))),"")</f>
        <v/>
      </c>
      <c r="E604" s="254"/>
      <c r="F604" s="263" t="str">
        <f>IFERROR(IF($E604="Inventory",VLOOKUP($C604,Inventory!$B:$I,3,FALSE()),IF($E604="Non Inventory",VLOOKUP($C604,'Non Inventory'!$B:$I,3,FALSE()),IF($E604="Services",VLOOKUP($C604,Services!$B:$I,3,FALSE()),IF($E604="Patty Cash",VLOOKUP($C604,'Patty Cash'!$B:$J,3,FALSE()),"")))),"")</f>
        <v/>
      </c>
      <c r="G604" s="374"/>
      <c r="H604" s="374" t="str">
        <f t="shared" si="18"/>
        <v/>
      </c>
      <c r="I604" s="252">
        <f>IFERROR(IF($E604="Inventory",VLOOKUP($C604,Inventory!$B:$I,8,FALSE()),IF($E604="Non Inventory",VLOOKUP($C604,'Non Inventory'!$B:$I,8,FALSE()),IF($E604="Services",VLOOKUP($C604,Services!$B:$I,8,FALSE()),IF($E604="Patty Cash",VLOOKUP($C604,'Patty Cash'!$B:$J,8,FALSE()),0)))),0)</f>
        <v>0</v>
      </c>
      <c r="J604" s="252" t="str">
        <f t="shared" si="19"/>
        <v/>
      </c>
      <c r="K604" s="253"/>
      <c r="L604" s="253"/>
      <c r="M604" s="253"/>
      <c r="N604" s="328"/>
    </row>
    <row r="605" spans="1:14" ht="20.100000000000001" customHeight="1">
      <c r="A605" s="327" t="str">
        <f>IF(AND($B605="",$C605=""),"",MAX($A$3:A604)+1)</f>
        <v/>
      </c>
      <c r="B605" s="262"/>
      <c r="C605" s="253"/>
      <c r="D605" s="249" t="str">
        <f>IFERROR(IF($E605="Inventory",VLOOKUP($C605,Inventory!$B:$I,2,FALSE()),IF($E605="Non Inventory",VLOOKUP($C605,'Non Inventory'!$B:$I,2,FALSE()),IF($E605="Services",VLOOKUP($C605,Services!$B:$I,2,FALSE()),IF($E605="Patty Cash",VLOOKUP($C605,'Patty Cash'!$B:$J,2,FALSE()),"")))),"")</f>
        <v/>
      </c>
      <c r="E605" s="254"/>
      <c r="F605" s="263" t="str">
        <f>IFERROR(IF($E605="Inventory",VLOOKUP($C605,Inventory!$B:$I,3,FALSE()),IF($E605="Non Inventory",VLOOKUP($C605,'Non Inventory'!$B:$I,3,FALSE()),IF($E605="Services",VLOOKUP($C605,Services!$B:$I,3,FALSE()),IF($E605="Patty Cash",VLOOKUP($C605,'Patty Cash'!$B:$J,3,FALSE()),"")))),"")</f>
        <v/>
      </c>
      <c r="G605" s="374"/>
      <c r="H605" s="374" t="str">
        <f t="shared" si="18"/>
        <v/>
      </c>
      <c r="I605" s="252">
        <f>IFERROR(IF($E605="Inventory",VLOOKUP($C605,Inventory!$B:$I,8,FALSE()),IF($E605="Non Inventory",VLOOKUP($C605,'Non Inventory'!$B:$I,8,FALSE()),IF($E605="Services",VLOOKUP($C605,Services!$B:$I,8,FALSE()),IF($E605="Patty Cash",VLOOKUP($C605,'Patty Cash'!$B:$J,8,FALSE()),0)))),0)</f>
        <v>0</v>
      </c>
      <c r="J605" s="252" t="str">
        <f t="shared" si="19"/>
        <v/>
      </c>
      <c r="K605" s="253"/>
      <c r="L605" s="253"/>
      <c r="M605" s="253"/>
      <c r="N605" s="328"/>
    </row>
    <row r="606" spans="1:14" ht="20.100000000000001" customHeight="1">
      <c r="A606" s="327" t="str">
        <f>IF(AND($B606="",$C606=""),"",MAX($A$3:A605)+1)</f>
        <v/>
      </c>
      <c r="B606" s="262"/>
      <c r="C606" s="253"/>
      <c r="D606" s="249" t="str">
        <f>IFERROR(IF($E606="Inventory",VLOOKUP($C606,Inventory!$B:$I,2,FALSE()),IF($E606="Non Inventory",VLOOKUP($C606,'Non Inventory'!$B:$I,2,FALSE()),IF($E606="Services",VLOOKUP($C606,Services!$B:$I,2,FALSE()),IF($E606="Patty Cash",VLOOKUP($C606,'Patty Cash'!$B:$J,2,FALSE()),"")))),"")</f>
        <v/>
      </c>
      <c r="E606" s="254"/>
      <c r="F606" s="263" t="str">
        <f>IFERROR(IF($E606="Inventory",VLOOKUP($C606,Inventory!$B:$I,3,FALSE()),IF($E606="Non Inventory",VLOOKUP($C606,'Non Inventory'!$B:$I,3,FALSE()),IF($E606="Services",VLOOKUP($C606,Services!$B:$I,3,FALSE()),IF($E606="Patty Cash",VLOOKUP($C606,'Patty Cash'!$B:$J,3,FALSE()),"")))),"")</f>
        <v/>
      </c>
      <c r="G606" s="374"/>
      <c r="H606" s="374" t="str">
        <f t="shared" si="18"/>
        <v/>
      </c>
      <c r="I606" s="252">
        <f>IFERROR(IF($E606="Inventory",VLOOKUP($C606,Inventory!$B:$I,8,FALSE()),IF($E606="Non Inventory",VLOOKUP($C606,'Non Inventory'!$B:$I,8,FALSE()),IF($E606="Services",VLOOKUP($C606,Services!$B:$I,8,FALSE()),IF($E606="Patty Cash",VLOOKUP($C606,'Patty Cash'!$B:$J,8,FALSE()),0)))),0)</f>
        <v>0</v>
      </c>
      <c r="J606" s="252" t="str">
        <f t="shared" si="19"/>
        <v/>
      </c>
      <c r="K606" s="253"/>
      <c r="L606" s="253"/>
      <c r="M606" s="253"/>
      <c r="N606" s="328"/>
    </row>
    <row r="607" spans="1:14" ht="20.100000000000001" customHeight="1">
      <c r="A607" s="327" t="str">
        <f>IF(AND($B607="",$C607=""),"",MAX($A$3:A606)+1)</f>
        <v/>
      </c>
      <c r="B607" s="262"/>
      <c r="C607" s="253"/>
      <c r="D607" s="249" t="str">
        <f>IFERROR(IF($E607="Inventory",VLOOKUP($C607,Inventory!$B:$I,2,FALSE()),IF($E607="Non Inventory",VLOOKUP($C607,'Non Inventory'!$B:$I,2,FALSE()),IF($E607="Services",VLOOKUP($C607,Services!$B:$I,2,FALSE()),IF($E607="Patty Cash",VLOOKUP($C607,'Patty Cash'!$B:$J,2,FALSE()),"")))),"")</f>
        <v/>
      </c>
      <c r="E607" s="254"/>
      <c r="F607" s="263" t="str">
        <f>IFERROR(IF($E607="Inventory",VLOOKUP($C607,Inventory!$B:$I,3,FALSE()),IF($E607="Non Inventory",VLOOKUP($C607,'Non Inventory'!$B:$I,3,FALSE()),IF($E607="Services",VLOOKUP($C607,Services!$B:$I,3,FALSE()),IF($E607="Patty Cash",VLOOKUP($C607,'Patty Cash'!$B:$J,3,FALSE()),"")))),"")</f>
        <v/>
      </c>
      <c r="G607" s="374"/>
      <c r="H607" s="374" t="str">
        <f t="shared" si="18"/>
        <v/>
      </c>
      <c r="I607" s="252">
        <f>IFERROR(IF($E607="Inventory",VLOOKUP($C607,Inventory!$B:$I,8,FALSE()),IF($E607="Non Inventory",VLOOKUP($C607,'Non Inventory'!$B:$I,8,FALSE()),IF($E607="Services",VLOOKUP($C607,Services!$B:$I,8,FALSE()),IF($E607="Patty Cash",VLOOKUP($C607,'Patty Cash'!$B:$J,8,FALSE()),0)))),0)</f>
        <v>0</v>
      </c>
      <c r="J607" s="252" t="str">
        <f t="shared" si="19"/>
        <v/>
      </c>
      <c r="K607" s="253"/>
      <c r="L607" s="253"/>
      <c r="M607" s="253"/>
      <c r="N607" s="328"/>
    </row>
    <row r="608" spans="1:14" ht="20.100000000000001" customHeight="1">
      <c r="A608" s="327" t="str">
        <f>IF(AND($B608="",$C608=""),"",MAX($A$3:A607)+1)</f>
        <v/>
      </c>
      <c r="B608" s="262"/>
      <c r="C608" s="253"/>
      <c r="D608" s="249" t="str">
        <f>IFERROR(IF($E608="Inventory",VLOOKUP($C608,Inventory!$B:$I,2,FALSE()),IF($E608="Non Inventory",VLOOKUP($C608,'Non Inventory'!$B:$I,2,FALSE()),IF($E608="Services",VLOOKUP($C608,Services!$B:$I,2,FALSE()),IF($E608="Patty Cash",VLOOKUP($C608,'Patty Cash'!$B:$J,2,FALSE()),"")))),"")</f>
        <v/>
      </c>
      <c r="E608" s="254"/>
      <c r="F608" s="263" t="str">
        <f>IFERROR(IF($E608="Inventory",VLOOKUP($C608,Inventory!$B:$I,3,FALSE()),IF($E608="Non Inventory",VLOOKUP($C608,'Non Inventory'!$B:$I,3,FALSE()),IF($E608="Services",VLOOKUP($C608,Services!$B:$I,3,FALSE()),IF($E608="Patty Cash",VLOOKUP($C608,'Patty Cash'!$B:$J,3,FALSE()),"")))),"")</f>
        <v/>
      </c>
      <c r="G608" s="374"/>
      <c r="H608" s="374" t="str">
        <f t="shared" si="18"/>
        <v/>
      </c>
      <c r="I608" s="252">
        <f>IFERROR(IF($E608="Inventory",VLOOKUP($C608,Inventory!$B:$I,8,FALSE()),IF($E608="Non Inventory",VLOOKUP($C608,'Non Inventory'!$B:$I,8,FALSE()),IF($E608="Services",VLOOKUP($C608,Services!$B:$I,8,FALSE()),IF($E608="Patty Cash",VLOOKUP($C608,'Patty Cash'!$B:$J,8,FALSE()),0)))),0)</f>
        <v>0</v>
      </c>
      <c r="J608" s="252" t="str">
        <f t="shared" si="19"/>
        <v/>
      </c>
      <c r="K608" s="253"/>
      <c r="L608" s="253"/>
      <c r="M608" s="253"/>
      <c r="N608" s="328"/>
    </row>
    <row r="609" spans="1:14" ht="20.100000000000001" customHeight="1">
      <c r="A609" s="327" t="str">
        <f>IF(AND($B609="",$C609=""),"",MAX($A$3:A608)+1)</f>
        <v/>
      </c>
      <c r="B609" s="262"/>
      <c r="C609" s="253"/>
      <c r="D609" s="249" t="str">
        <f>IFERROR(IF($E609="Inventory",VLOOKUP($C609,Inventory!$B:$I,2,FALSE()),IF($E609="Non Inventory",VLOOKUP($C609,'Non Inventory'!$B:$I,2,FALSE()),IF($E609="Services",VLOOKUP($C609,Services!$B:$I,2,FALSE()),IF($E609="Patty Cash",VLOOKUP($C609,'Patty Cash'!$B:$J,2,FALSE()),"")))),"")</f>
        <v/>
      </c>
      <c r="E609" s="254"/>
      <c r="F609" s="263" t="str">
        <f>IFERROR(IF($E609="Inventory",VLOOKUP($C609,Inventory!$B:$I,3,FALSE()),IF($E609="Non Inventory",VLOOKUP($C609,'Non Inventory'!$B:$I,3,FALSE()),IF($E609="Services",VLOOKUP($C609,Services!$B:$I,3,FALSE()),IF($E609="Patty Cash",VLOOKUP($C609,'Patty Cash'!$B:$J,3,FALSE()),"")))),"")</f>
        <v/>
      </c>
      <c r="G609" s="374"/>
      <c r="H609" s="374" t="str">
        <f t="shared" si="18"/>
        <v/>
      </c>
      <c r="I609" s="252">
        <f>IFERROR(IF($E609="Inventory",VLOOKUP($C609,Inventory!$B:$I,8,FALSE()),IF($E609="Non Inventory",VLOOKUP($C609,'Non Inventory'!$B:$I,8,FALSE()),IF($E609="Services",VLOOKUP($C609,Services!$B:$I,8,FALSE()),IF($E609="Patty Cash",VLOOKUP($C609,'Patty Cash'!$B:$J,8,FALSE()),0)))),0)</f>
        <v>0</v>
      </c>
      <c r="J609" s="252" t="str">
        <f t="shared" si="19"/>
        <v/>
      </c>
      <c r="K609" s="253"/>
      <c r="L609" s="253"/>
      <c r="M609" s="253"/>
      <c r="N609" s="328"/>
    </row>
    <row r="610" spans="1:14" ht="20.100000000000001" customHeight="1">
      <c r="A610" s="327" t="str">
        <f>IF(AND($B610="",$C610=""),"",MAX($A$3:A609)+1)</f>
        <v/>
      </c>
      <c r="B610" s="262"/>
      <c r="C610" s="253"/>
      <c r="D610" s="249" t="str">
        <f>IFERROR(IF($E610="Inventory",VLOOKUP($C610,Inventory!$B:$I,2,FALSE()),IF($E610="Non Inventory",VLOOKUP($C610,'Non Inventory'!$B:$I,2,FALSE()),IF($E610="Services",VLOOKUP($C610,Services!$B:$I,2,FALSE()),IF($E610="Patty Cash",VLOOKUP($C610,'Patty Cash'!$B:$J,2,FALSE()),"")))),"")</f>
        <v/>
      </c>
      <c r="E610" s="254"/>
      <c r="F610" s="263" t="str">
        <f>IFERROR(IF($E610="Inventory",VLOOKUP($C610,Inventory!$B:$I,3,FALSE()),IF($E610="Non Inventory",VLOOKUP($C610,'Non Inventory'!$B:$I,3,FALSE()),IF($E610="Services",VLOOKUP($C610,Services!$B:$I,3,FALSE()),IF($E610="Patty Cash",VLOOKUP($C610,'Patty Cash'!$B:$J,3,FALSE()),"")))),"")</f>
        <v/>
      </c>
      <c r="G610" s="374"/>
      <c r="H610" s="374" t="str">
        <f t="shared" si="18"/>
        <v/>
      </c>
      <c r="I610" s="252">
        <f>IFERROR(IF($E610="Inventory",VLOOKUP($C610,Inventory!$B:$I,8,FALSE()),IF($E610="Non Inventory",VLOOKUP($C610,'Non Inventory'!$B:$I,8,FALSE()),IF($E610="Services",VLOOKUP($C610,Services!$B:$I,8,FALSE()),IF($E610="Patty Cash",VLOOKUP($C610,'Patty Cash'!$B:$J,8,FALSE()),0)))),0)</f>
        <v>0</v>
      </c>
      <c r="J610" s="252" t="str">
        <f t="shared" si="19"/>
        <v/>
      </c>
      <c r="K610" s="253"/>
      <c r="L610" s="253"/>
      <c r="M610" s="253"/>
      <c r="N610" s="328"/>
    </row>
    <row r="611" spans="1:14" ht="20.100000000000001" customHeight="1">
      <c r="A611" s="327" t="str">
        <f>IF(AND($B611="",$C611=""),"",MAX($A$3:A610)+1)</f>
        <v/>
      </c>
      <c r="B611" s="262"/>
      <c r="C611" s="253"/>
      <c r="D611" s="249" t="str">
        <f>IFERROR(IF($E611="Inventory",VLOOKUP($C611,Inventory!$B:$I,2,FALSE()),IF($E611="Non Inventory",VLOOKUP($C611,'Non Inventory'!$B:$I,2,FALSE()),IF($E611="Services",VLOOKUP($C611,Services!$B:$I,2,FALSE()),IF($E611="Patty Cash",VLOOKUP($C611,'Patty Cash'!$B:$J,2,FALSE()),"")))),"")</f>
        <v/>
      </c>
      <c r="E611" s="254"/>
      <c r="F611" s="263" t="str">
        <f>IFERROR(IF($E611="Inventory",VLOOKUP($C611,Inventory!$B:$I,3,FALSE()),IF($E611="Non Inventory",VLOOKUP($C611,'Non Inventory'!$B:$I,3,FALSE()),IF($E611="Services",VLOOKUP($C611,Services!$B:$I,3,FALSE()),IF($E611="Patty Cash",VLOOKUP($C611,'Patty Cash'!$B:$J,3,FALSE()),"")))),"")</f>
        <v/>
      </c>
      <c r="G611" s="374"/>
      <c r="H611" s="374" t="str">
        <f t="shared" si="18"/>
        <v/>
      </c>
      <c r="I611" s="252">
        <f>IFERROR(IF($E611="Inventory",VLOOKUP($C611,Inventory!$B:$I,8,FALSE()),IF($E611="Non Inventory",VLOOKUP($C611,'Non Inventory'!$B:$I,8,FALSE()),IF($E611="Services",VLOOKUP($C611,Services!$B:$I,8,FALSE()),IF($E611="Patty Cash",VLOOKUP($C611,'Patty Cash'!$B:$J,8,FALSE()),0)))),0)</f>
        <v>0</v>
      </c>
      <c r="J611" s="252" t="str">
        <f t="shared" si="19"/>
        <v/>
      </c>
      <c r="K611" s="253"/>
      <c r="L611" s="253"/>
      <c r="M611" s="253"/>
      <c r="N611" s="328"/>
    </row>
    <row r="612" spans="1:14" ht="20.100000000000001" customHeight="1">
      <c r="A612" s="327" t="str">
        <f>IF(AND($B612="",$C612=""),"",MAX($A$3:A611)+1)</f>
        <v/>
      </c>
      <c r="B612" s="262"/>
      <c r="C612" s="253"/>
      <c r="D612" s="249" t="str">
        <f>IFERROR(IF($E612="Inventory",VLOOKUP($C612,Inventory!$B:$I,2,FALSE()),IF($E612="Non Inventory",VLOOKUP($C612,'Non Inventory'!$B:$I,2,FALSE()),IF($E612="Services",VLOOKUP($C612,Services!$B:$I,2,FALSE()),IF($E612="Patty Cash",VLOOKUP($C612,'Patty Cash'!$B:$J,2,FALSE()),"")))),"")</f>
        <v/>
      </c>
      <c r="E612" s="254"/>
      <c r="F612" s="263" t="str">
        <f>IFERROR(IF($E612="Inventory",VLOOKUP($C612,Inventory!$B:$I,3,FALSE()),IF($E612="Non Inventory",VLOOKUP($C612,'Non Inventory'!$B:$I,3,FALSE()),IF($E612="Services",VLOOKUP($C612,Services!$B:$I,3,FALSE()),IF($E612="Patty Cash",VLOOKUP($C612,'Patty Cash'!$B:$J,3,FALSE()),"")))),"")</f>
        <v/>
      </c>
      <c r="G612" s="374"/>
      <c r="H612" s="374" t="str">
        <f t="shared" si="18"/>
        <v/>
      </c>
      <c r="I612" s="252">
        <f>IFERROR(IF($E612="Inventory",VLOOKUP($C612,Inventory!$B:$I,8,FALSE()),IF($E612="Non Inventory",VLOOKUP($C612,'Non Inventory'!$B:$I,8,FALSE()),IF($E612="Services",VLOOKUP($C612,Services!$B:$I,8,FALSE()),IF($E612="Patty Cash",VLOOKUP($C612,'Patty Cash'!$B:$J,8,FALSE()),0)))),0)</f>
        <v>0</v>
      </c>
      <c r="J612" s="252" t="str">
        <f t="shared" si="19"/>
        <v/>
      </c>
      <c r="K612" s="253"/>
      <c r="L612" s="253"/>
      <c r="M612" s="253"/>
      <c r="N612" s="328"/>
    </row>
    <row r="613" spans="1:14" ht="20.100000000000001" customHeight="1">
      <c r="A613" s="327" t="str">
        <f>IF(AND($B613="",$C613=""),"",MAX($A$3:A612)+1)</f>
        <v/>
      </c>
      <c r="B613" s="262"/>
      <c r="C613" s="253"/>
      <c r="D613" s="249" t="str">
        <f>IFERROR(IF($E613="Inventory",VLOOKUP($C613,Inventory!$B:$I,2,FALSE()),IF($E613="Non Inventory",VLOOKUP($C613,'Non Inventory'!$B:$I,2,FALSE()),IF($E613="Services",VLOOKUP($C613,Services!$B:$I,2,FALSE()),IF($E613="Patty Cash",VLOOKUP($C613,'Patty Cash'!$B:$J,2,FALSE()),"")))),"")</f>
        <v/>
      </c>
      <c r="E613" s="254"/>
      <c r="F613" s="263" t="str">
        <f>IFERROR(IF($E613="Inventory",VLOOKUP($C613,Inventory!$B:$I,3,FALSE()),IF($E613="Non Inventory",VLOOKUP($C613,'Non Inventory'!$B:$I,3,FALSE()),IF($E613="Services",VLOOKUP($C613,Services!$B:$I,3,FALSE()),IF($E613="Patty Cash",VLOOKUP($C613,'Patty Cash'!$B:$J,3,FALSE()),"")))),"")</f>
        <v/>
      </c>
      <c r="G613" s="374"/>
      <c r="H613" s="374" t="str">
        <f t="shared" si="18"/>
        <v/>
      </c>
      <c r="I613" s="252">
        <f>IFERROR(IF($E613="Inventory",VLOOKUP($C613,Inventory!$B:$I,8,FALSE()),IF($E613="Non Inventory",VLOOKUP($C613,'Non Inventory'!$B:$I,8,FALSE()),IF($E613="Services",VLOOKUP($C613,Services!$B:$I,8,FALSE()),IF($E613="Patty Cash",VLOOKUP($C613,'Patty Cash'!$B:$J,8,FALSE()),0)))),0)</f>
        <v>0</v>
      </c>
      <c r="J613" s="252" t="str">
        <f t="shared" si="19"/>
        <v/>
      </c>
      <c r="K613" s="253"/>
      <c r="L613" s="253"/>
      <c r="M613" s="253"/>
      <c r="N613" s="328"/>
    </row>
    <row r="614" spans="1:14" ht="20.100000000000001" customHeight="1">
      <c r="A614" s="327" t="str">
        <f>IF(AND($B614="",$C614=""),"",MAX($A$3:A613)+1)</f>
        <v/>
      </c>
      <c r="B614" s="262"/>
      <c r="C614" s="253"/>
      <c r="D614" s="249" t="str">
        <f>IFERROR(IF($E614="Inventory",VLOOKUP($C614,Inventory!$B:$I,2,FALSE()),IF($E614="Non Inventory",VLOOKUP($C614,'Non Inventory'!$B:$I,2,FALSE()),IF($E614="Services",VLOOKUP($C614,Services!$B:$I,2,FALSE()),IF($E614="Patty Cash",VLOOKUP($C614,'Patty Cash'!$B:$J,2,FALSE()),"")))),"")</f>
        <v/>
      </c>
      <c r="E614" s="254"/>
      <c r="F614" s="263" t="str">
        <f>IFERROR(IF($E614="Inventory",VLOOKUP($C614,Inventory!$B:$I,3,FALSE()),IF($E614="Non Inventory",VLOOKUP($C614,'Non Inventory'!$B:$I,3,FALSE()),IF($E614="Services",VLOOKUP($C614,Services!$B:$I,3,FALSE()),IF($E614="Patty Cash",VLOOKUP($C614,'Patty Cash'!$B:$J,3,FALSE()),"")))),"")</f>
        <v/>
      </c>
      <c r="G614" s="374"/>
      <c r="H614" s="374" t="str">
        <f t="shared" si="18"/>
        <v/>
      </c>
      <c r="I614" s="252">
        <f>IFERROR(IF($E614="Inventory",VLOOKUP($C614,Inventory!$B:$I,8,FALSE()),IF($E614="Non Inventory",VLOOKUP($C614,'Non Inventory'!$B:$I,8,FALSE()),IF($E614="Services",VLOOKUP($C614,Services!$B:$I,8,FALSE()),IF($E614="Patty Cash",VLOOKUP($C614,'Patty Cash'!$B:$J,8,FALSE()),0)))),0)</f>
        <v>0</v>
      </c>
      <c r="J614" s="252" t="str">
        <f t="shared" si="19"/>
        <v/>
      </c>
      <c r="K614" s="253"/>
      <c r="L614" s="253"/>
      <c r="M614" s="253"/>
      <c r="N614" s="328"/>
    </row>
    <row r="615" spans="1:14" ht="20.100000000000001" customHeight="1">
      <c r="A615" s="327" t="str">
        <f>IF(AND($B615="",$C615=""),"",MAX($A$3:A614)+1)</f>
        <v/>
      </c>
      <c r="B615" s="262"/>
      <c r="C615" s="253"/>
      <c r="D615" s="249" t="str">
        <f>IFERROR(IF($E615="Inventory",VLOOKUP($C615,Inventory!$B:$I,2,FALSE()),IF($E615="Non Inventory",VLOOKUP($C615,'Non Inventory'!$B:$I,2,FALSE()),IF($E615="Services",VLOOKUP($C615,Services!$B:$I,2,FALSE()),IF($E615="Patty Cash",VLOOKUP($C615,'Patty Cash'!$B:$J,2,FALSE()),"")))),"")</f>
        <v/>
      </c>
      <c r="E615" s="254"/>
      <c r="F615" s="263" t="str">
        <f>IFERROR(IF($E615="Inventory",VLOOKUP($C615,Inventory!$B:$I,3,FALSE()),IF($E615="Non Inventory",VLOOKUP($C615,'Non Inventory'!$B:$I,3,FALSE()),IF($E615="Services",VLOOKUP($C615,Services!$B:$I,3,FALSE()),IF($E615="Patty Cash",VLOOKUP($C615,'Patty Cash'!$B:$J,3,FALSE()),"")))),"")</f>
        <v/>
      </c>
      <c r="G615" s="374"/>
      <c r="H615" s="374" t="str">
        <f t="shared" si="18"/>
        <v/>
      </c>
      <c r="I615" s="252">
        <f>IFERROR(IF($E615="Inventory",VLOOKUP($C615,Inventory!$B:$I,8,FALSE()),IF($E615="Non Inventory",VLOOKUP($C615,'Non Inventory'!$B:$I,8,FALSE()),IF($E615="Services",VLOOKUP($C615,Services!$B:$I,8,FALSE()),IF($E615="Patty Cash",VLOOKUP($C615,'Patty Cash'!$B:$J,8,FALSE()),0)))),0)</f>
        <v>0</v>
      </c>
      <c r="J615" s="252" t="str">
        <f t="shared" si="19"/>
        <v/>
      </c>
      <c r="K615" s="253"/>
      <c r="L615" s="253"/>
      <c r="M615" s="253"/>
      <c r="N615" s="328"/>
    </row>
    <row r="616" spans="1:14" ht="20.100000000000001" customHeight="1">
      <c r="A616" s="327" t="str">
        <f>IF(AND($B616="",$C616=""),"",MAX($A$3:A615)+1)</f>
        <v/>
      </c>
      <c r="B616" s="262"/>
      <c r="C616" s="253"/>
      <c r="D616" s="249" t="str">
        <f>IFERROR(IF($E616="Inventory",VLOOKUP($C616,Inventory!$B:$I,2,FALSE()),IF($E616="Non Inventory",VLOOKUP($C616,'Non Inventory'!$B:$I,2,FALSE()),IF($E616="Services",VLOOKUP($C616,Services!$B:$I,2,FALSE()),IF($E616="Patty Cash",VLOOKUP($C616,'Patty Cash'!$B:$J,2,FALSE()),"")))),"")</f>
        <v/>
      </c>
      <c r="E616" s="254"/>
      <c r="F616" s="263" t="str">
        <f>IFERROR(IF($E616="Inventory",VLOOKUP($C616,Inventory!$B:$I,3,FALSE()),IF($E616="Non Inventory",VLOOKUP($C616,'Non Inventory'!$B:$I,3,FALSE()),IF($E616="Services",VLOOKUP($C616,Services!$B:$I,3,FALSE()),IF($E616="Patty Cash",VLOOKUP($C616,'Patty Cash'!$B:$J,3,FALSE()),"")))),"")</f>
        <v/>
      </c>
      <c r="G616" s="374"/>
      <c r="H616" s="374" t="str">
        <f t="shared" si="18"/>
        <v/>
      </c>
      <c r="I616" s="252">
        <f>IFERROR(IF($E616="Inventory",VLOOKUP($C616,Inventory!$B:$I,8,FALSE()),IF($E616="Non Inventory",VLOOKUP($C616,'Non Inventory'!$B:$I,8,FALSE()),IF($E616="Services",VLOOKUP($C616,Services!$B:$I,8,FALSE()),IF($E616="Patty Cash",VLOOKUP($C616,'Patty Cash'!$B:$J,8,FALSE()),0)))),0)</f>
        <v>0</v>
      </c>
      <c r="J616" s="252" t="str">
        <f t="shared" si="19"/>
        <v/>
      </c>
      <c r="K616" s="253"/>
      <c r="L616" s="253"/>
      <c r="M616" s="253"/>
      <c r="N616" s="328"/>
    </row>
    <row r="617" spans="1:14" ht="20.100000000000001" customHeight="1">
      <c r="A617" s="327" t="str">
        <f>IF(AND($B617="",$C617=""),"",MAX($A$3:A616)+1)</f>
        <v/>
      </c>
      <c r="B617" s="262"/>
      <c r="C617" s="253"/>
      <c r="D617" s="249" t="str">
        <f>IFERROR(IF($E617="Inventory",VLOOKUP($C617,Inventory!$B:$I,2,FALSE()),IF($E617="Non Inventory",VLOOKUP($C617,'Non Inventory'!$B:$I,2,FALSE()),IF($E617="Services",VLOOKUP($C617,Services!$B:$I,2,FALSE()),IF($E617="Patty Cash",VLOOKUP($C617,'Patty Cash'!$B:$J,2,FALSE()),"")))),"")</f>
        <v/>
      </c>
      <c r="E617" s="254"/>
      <c r="F617" s="263" t="str">
        <f>IFERROR(IF($E617="Inventory",VLOOKUP($C617,Inventory!$B:$I,3,FALSE()),IF($E617="Non Inventory",VLOOKUP($C617,'Non Inventory'!$B:$I,3,FALSE()),IF($E617="Services",VLOOKUP($C617,Services!$B:$I,3,FALSE()),IF($E617="Patty Cash",VLOOKUP($C617,'Patty Cash'!$B:$J,3,FALSE()),"")))),"")</f>
        <v/>
      </c>
      <c r="G617" s="374"/>
      <c r="H617" s="374" t="str">
        <f t="shared" si="18"/>
        <v/>
      </c>
      <c r="I617" s="252">
        <f>IFERROR(IF($E617="Inventory",VLOOKUP($C617,Inventory!$B:$I,8,FALSE()),IF($E617="Non Inventory",VLOOKUP($C617,'Non Inventory'!$B:$I,8,FALSE()),IF($E617="Services",VLOOKUP($C617,Services!$B:$I,8,FALSE()),IF($E617="Patty Cash",VLOOKUP($C617,'Patty Cash'!$B:$J,8,FALSE()),0)))),0)</f>
        <v>0</v>
      </c>
      <c r="J617" s="252" t="str">
        <f t="shared" si="19"/>
        <v/>
      </c>
      <c r="K617" s="253"/>
      <c r="L617" s="253"/>
      <c r="M617" s="253"/>
      <c r="N617" s="328"/>
    </row>
    <row r="618" spans="1:14" ht="20.100000000000001" customHeight="1">
      <c r="A618" s="327" t="str">
        <f>IF(AND($B618="",$C618=""),"",MAX($A$3:A617)+1)</f>
        <v/>
      </c>
      <c r="B618" s="262"/>
      <c r="C618" s="253"/>
      <c r="D618" s="249" t="str">
        <f>IFERROR(IF($E618="Inventory",VLOOKUP($C618,Inventory!$B:$I,2,FALSE()),IF($E618="Non Inventory",VLOOKUP($C618,'Non Inventory'!$B:$I,2,FALSE()),IF($E618="Services",VLOOKUP($C618,Services!$B:$I,2,FALSE()),IF($E618="Patty Cash",VLOOKUP($C618,'Patty Cash'!$B:$J,2,FALSE()),"")))),"")</f>
        <v/>
      </c>
      <c r="E618" s="254"/>
      <c r="F618" s="263" t="str">
        <f>IFERROR(IF($E618="Inventory",VLOOKUP($C618,Inventory!$B:$I,3,FALSE()),IF($E618="Non Inventory",VLOOKUP($C618,'Non Inventory'!$B:$I,3,FALSE()),IF($E618="Services",VLOOKUP($C618,Services!$B:$I,3,FALSE()),IF($E618="Patty Cash",VLOOKUP($C618,'Patty Cash'!$B:$J,3,FALSE()),"")))),"")</f>
        <v/>
      </c>
      <c r="G618" s="374"/>
      <c r="H618" s="374" t="str">
        <f t="shared" si="18"/>
        <v/>
      </c>
      <c r="I618" s="252">
        <f>IFERROR(IF($E618="Inventory",VLOOKUP($C618,Inventory!$B:$I,8,FALSE()),IF($E618="Non Inventory",VLOOKUP($C618,'Non Inventory'!$B:$I,8,FALSE()),IF($E618="Services",VLOOKUP($C618,Services!$B:$I,8,FALSE()),IF($E618="Patty Cash",VLOOKUP($C618,'Patty Cash'!$B:$J,8,FALSE()),0)))),0)</f>
        <v>0</v>
      </c>
      <c r="J618" s="252" t="str">
        <f t="shared" si="19"/>
        <v/>
      </c>
      <c r="K618" s="253"/>
      <c r="L618" s="253"/>
      <c r="M618" s="253"/>
      <c r="N618" s="328"/>
    </row>
    <row r="619" spans="1:14" ht="20.100000000000001" customHeight="1">
      <c r="A619" s="327" t="str">
        <f>IF(AND($B619="",$C619=""),"",MAX($A$3:A618)+1)</f>
        <v/>
      </c>
      <c r="B619" s="262"/>
      <c r="C619" s="253"/>
      <c r="D619" s="249" t="str">
        <f>IFERROR(IF($E619="Inventory",VLOOKUP($C619,Inventory!$B:$I,2,FALSE()),IF($E619="Non Inventory",VLOOKUP($C619,'Non Inventory'!$B:$I,2,FALSE()),IF($E619="Services",VLOOKUP($C619,Services!$B:$I,2,FALSE()),IF($E619="Patty Cash",VLOOKUP($C619,'Patty Cash'!$B:$J,2,FALSE()),"")))),"")</f>
        <v/>
      </c>
      <c r="E619" s="254"/>
      <c r="F619" s="263" t="str">
        <f>IFERROR(IF($E619="Inventory",VLOOKUP($C619,Inventory!$B:$I,3,FALSE()),IF($E619="Non Inventory",VLOOKUP($C619,'Non Inventory'!$B:$I,3,FALSE()),IF($E619="Services",VLOOKUP($C619,Services!$B:$I,3,FALSE()),IF($E619="Patty Cash",VLOOKUP($C619,'Patty Cash'!$B:$J,3,FALSE()),"")))),"")</f>
        <v/>
      </c>
      <c r="G619" s="374"/>
      <c r="H619" s="374" t="str">
        <f t="shared" si="18"/>
        <v/>
      </c>
      <c r="I619" s="252">
        <f>IFERROR(IF($E619="Inventory",VLOOKUP($C619,Inventory!$B:$I,8,FALSE()),IF($E619="Non Inventory",VLOOKUP($C619,'Non Inventory'!$B:$I,8,FALSE()),IF($E619="Services",VLOOKUP($C619,Services!$B:$I,8,FALSE()),IF($E619="Patty Cash",VLOOKUP($C619,'Patty Cash'!$B:$J,8,FALSE()),0)))),0)</f>
        <v>0</v>
      </c>
      <c r="J619" s="252" t="str">
        <f t="shared" si="19"/>
        <v/>
      </c>
      <c r="K619" s="253"/>
      <c r="L619" s="253"/>
      <c r="M619" s="253"/>
      <c r="N619" s="328"/>
    </row>
    <row r="620" spans="1:14" ht="20.100000000000001" customHeight="1">
      <c r="A620" s="327" t="str">
        <f>IF(AND($B620="",$C620=""),"",MAX($A$3:A619)+1)</f>
        <v/>
      </c>
      <c r="B620" s="262"/>
      <c r="C620" s="253"/>
      <c r="D620" s="249" t="str">
        <f>IFERROR(IF($E620="Inventory",VLOOKUP($C620,Inventory!$B:$I,2,FALSE()),IF($E620="Non Inventory",VLOOKUP($C620,'Non Inventory'!$B:$I,2,FALSE()),IF($E620="Services",VLOOKUP($C620,Services!$B:$I,2,FALSE()),IF($E620="Patty Cash",VLOOKUP($C620,'Patty Cash'!$B:$J,2,FALSE()),"")))),"")</f>
        <v/>
      </c>
      <c r="E620" s="254"/>
      <c r="F620" s="263" t="str">
        <f>IFERROR(IF($E620="Inventory",VLOOKUP($C620,Inventory!$B:$I,3,FALSE()),IF($E620="Non Inventory",VLOOKUP($C620,'Non Inventory'!$B:$I,3,FALSE()),IF($E620="Services",VLOOKUP($C620,Services!$B:$I,3,FALSE()),IF($E620="Patty Cash",VLOOKUP($C620,'Patty Cash'!$B:$J,3,FALSE()),"")))),"")</f>
        <v/>
      </c>
      <c r="G620" s="374"/>
      <c r="H620" s="374" t="str">
        <f t="shared" si="18"/>
        <v/>
      </c>
      <c r="I620" s="252">
        <f>IFERROR(IF($E620="Inventory",VLOOKUP($C620,Inventory!$B:$I,8,FALSE()),IF($E620="Non Inventory",VLOOKUP($C620,'Non Inventory'!$B:$I,8,FALSE()),IF($E620="Services",VLOOKUP($C620,Services!$B:$I,8,FALSE()),IF($E620="Patty Cash",VLOOKUP($C620,'Patty Cash'!$B:$J,8,FALSE()),0)))),0)</f>
        <v>0</v>
      </c>
      <c r="J620" s="252" t="str">
        <f t="shared" si="19"/>
        <v/>
      </c>
      <c r="K620" s="253"/>
      <c r="L620" s="253"/>
      <c r="M620" s="253"/>
      <c r="N620" s="328"/>
    </row>
    <row r="621" spans="1:14" ht="20.100000000000001" customHeight="1">
      <c r="A621" s="327" t="str">
        <f>IF(AND($B621="",$C621=""),"",MAX($A$3:A620)+1)</f>
        <v/>
      </c>
      <c r="B621" s="262"/>
      <c r="C621" s="253"/>
      <c r="D621" s="249" t="str">
        <f>IFERROR(IF($E621="Inventory",VLOOKUP($C621,Inventory!$B:$I,2,FALSE()),IF($E621="Non Inventory",VLOOKUP($C621,'Non Inventory'!$B:$I,2,FALSE()),IF($E621="Services",VLOOKUP($C621,Services!$B:$I,2,FALSE()),IF($E621="Patty Cash",VLOOKUP($C621,'Patty Cash'!$B:$J,2,FALSE()),"")))),"")</f>
        <v/>
      </c>
      <c r="E621" s="254"/>
      <c r="F621" s="263" t="str">
        <f>IFERROR(IF($E621="Inventory",VLOOKUP($C621,Inventory!$B:$I,3,FALSE()),IF($E621="Non Inventory",VLOOKUP($C621,'Non Inventory'!$B:$I,3,FALSE()),IF($E621="Services",VLOOKUP($C621,Services!$B:$I,3,FALSE()),IF($E621="Patty Cash",VLOOKUP($C621,'Patty Cash'!$B:$J,3,FALSE()),"")))),"")</f>
        <v/>
      </c>
      <c r="G621" s="374"/>
      <c r="H621" s="374" t="str">
        <f t="shared" si="18"/>
        <v/>
      </c>
      <c r="I621" s="252">
        <f>IFERROR(IF($E621="Inventory",VLOOKUP($C621,Inventory!$B:$I,8,FALSE()),IF($E621="Non Inventory",VLOOKUP($C621,'Non Inventory'!$B:$I,8,FALSE()),IF($E621="Services",VLOOKUP($C621,Services!$B:$I,8,FALSE()),IF($E621="Patty Cash",VLOOKUP($C621,'Patty Cash'!$B:$J,8,FALSE()),0)))),0)</f>
        <v>0</v>
      </c>
      <c r="J621" s="252" t="str">
        <f t="shared" si="19"/>
        <v/>
      </c>
      <c r="K621" s="253"/>
      <c r="L621" s="253"/>
      <c r="M621" s="253"/>
      <c r="N621" s="328"/>
    </row>
    <row r="622" spans="1:14" ht="20.100000000000001" customHeight="1">
      <c r="A622" s="327" t="str">
        <f>IF(AND($B622="",$C622=""),"",MAX($A$3:A621)+1)</f>
        <v/>
      </c>
      <c r="B622" s="262"/>
      <c r="C622" s="253"/>
      <c r="D622" s="249" t="str">
        <f>IFERROR(IF($E622="Inventory",VLOOKUP($C622,Inventory!$B:$I,2,FALSE()),IF($E622="Non Inventory",VLOOKUP($C622,'Non Inventory'!$B:$I,2,FALSE()),IF($E622="Services",VLOOKUP($C622,Services!$B:$I,2,FALSE()),IF($E622="Patty Cash",VLOOKUP($C622,'Patty Cash'!$B:$J,2,FALSE()),"")))),"")</f>
        <v/>
      </c>
      <c r="E622" s="254"/>
      <c r="F622" s="263" t="str">
        <f>IFERROR(IF($E622="Inventory",VLOOKUP($C622,Inventory!$B:$I,3,FALSE()),IF($E622="Non Inventory",VLOOKUP($C622,'Non Inventory'!$B:$I,3,FALSE()),IF($E622="Services",VLOOKUP($C622,Services!$B:$I,3,FALSE()),IF($E622="Patty Cash",VLOOKUP($C622,'Patty Cash'!$B:$J,3,FALSE()),"")))),"")</f>
        <v/>
      </c>
      <c r="G622" s="374"/>
      <c r="H622" s="374" t="str">
        <f t="shared" si="18"/>
        <v/>
      </c>
      <c r="I622" s="252">
        <f>IFERROR(IF($E622="Inventory",VLOOKUP($C622,Inventory!$B:$I,8,FALSE()),IF($E622="Non Inventory",VLOOKUP($C622,'Non Inventory'!$B:$I,8,FALSE()),IF($E622="Services",VLOOKUP($C622,Services!$B:$I,8,FALSE()),IF($E622="Patty Cash",VLOOKUP($C622,'Patty Cash'!$B:$J,8,FALSE()),0)))),0)</f>
        <v>0</v>
      </c>
      <c r="J622" s="252" t="str">
        <f t="shared" si="19"/>
        <v/>
      </c>
      <c r="K622" s="253"/>
      <c r="L622" s="253"/>
      <c r="M622" s="253"/>
      <c r="N622" s="328"/>
    </row>
    <row r="623" spans="1:14" ht="20.100000000000001" customHeight="1">
      <c r="A623" s="327" t="str">
        <f>IF(AND($B623="",$C623=""),"",MAX($A$3:A622)+1)</f>
        <v/>
      </c>
      <c r="B623" s="262"/>
      <c r="C623" s="253"/>
      <c r="D623" s="249" t="str">
        <f>IFERROR(IF($E623="Inventory",VLOOKUP($C623,Inventory!$B:$I,2,FALSE()),IF($E623="Non Inventory",VLOOKUP($C623,'Non Inventory'!$B:$I,2,FALSE()),IF($E623="Services",VLOOKUP($C623,Services!$B:$I,2,FALSE()),IF($E623="Patty Cash",VLOOKUP($C623,'Patty Cash'!$B:$J,2,FALSE()),"")))),"")</f>
        <v/>
      </c>
      <c r="E623" s="254"/>
      <c r="F623" s="263" t="str">
        <f>IFERROR(IF($E623="Inventory",VLOOKUP($C623,Inventory!$B:$I,3,FALSE()),IF($E623="Non Inventory",VLOOKUP($C623,'Non Inventory'!$B:$I,3,FALSE()),IF($E623="Services",VLOOKUP($C623,Services!$B:$I,3,FALSE()),IF($E623="Patty Cash",VLOOKUP($C623,'Patty Cash'!$B:$J,3,FALSE()),"")))),"")</f>
        <v/>
      </c>
      <c r="G623" s="374"/>
      <c r="H623" s="374" t="str">
        <f t="shared" si="18"/>
        <v/>
      </c>
      <c r="I623" s="252">
        <f>IFERROR(IF($E623="Inventory",VLOOKUP($C623,Inventory!$B:$I,8,FALSE()),IF($E623="Non Inventory",VLOOKUP($C623,'Non Inventory'!$B:$I,8,FALSE()),IF($E623="Services",VLOOKUP($C623,Services!$B:$I,8,FALSE()),IF($E623="Patty Cash",VLOOKUP($C623,'Patty Cash'!$B:$J,8,FALSE()),0)))),0)</f>
        <v>0</v>
      </c>
      <c r="J623" s="252" t="str">
        <f t="shared" si="19"/>
        <v/>
      </c>
      <c r="K623" s="253"/>
      <c r="L623" s="253"/>
      <c r="M623" s="253"/>
      <c r="N623" s="328"/>
    </row>
    <row r="624" spans="1:14" ht="20.100000000000001" customHeight="1">
      <c r="A624" s="327" t="str">
        <f>IF(AND($B624="",$C624=""),"",MAX($A$3:A623)+1)</f>
        <v/>
      </c>
      <c r="B624" s="262"/>
      <c r="C624" s="253"/>
      <c r="D624" s="249" t="str">
        <f>IFERROR(IF($E624="Inventory",VLOOKUP($C624,Inventory!$B:$I,2,FALSE()),IF($E624="Non Inventory",VLOOKUP($C624,'Non Inventory'!$B:$I,2,FALSE()),IF($E624="Services",VLOOKUP($C624,Services!$B:$I,2,FALSE()),IF($E624="Patty Cash",VLOOKUP($C624,'Patty Cash'!$B:$J,2,FALSE()),"")))),"")</f>
        <v/>
      </c>
      <c r="E624" s="254"/>
      <c r="F624" s="263" t="str">
        <f>IFERROR(IF($E624="Inventory",VLOOKUP($C624,Inventory!$B:$I,3,FALSE()),IF($E624="Non Inventory",VLOOKUP($C624,'Non Inventory'!$B:$I,3,FALSE()),IF($E624="Services",VLOOKUP($C624,Services!$B:$I,3,FALSE()),IF($E624="Patty Cash",VLOOKUP($C624,'Patty Cash'!$B:$J,3,FALSE()),"")))),"")</f>
        <v/>
      </c>
      <c r="G624" s="374"/>
      <c r="H624" s="374" t="str">
        <f t="shared" si="18"/>
        <v/>
      </c>
      <c r="I624" s="252">
        <f>IFERROR(IF($E624="Inventory",VLOOKUP($C624,Inventory!$B:$I,8,FALSE()),IF($E624="Non Inventory",VLOOKUP($C624,'Non Inventory'!$B:$I,8,FALSE()),IF($E624="Services",VLOOKUP($C624,Services!$B:$I,8,FALSE()),IF($E624="Patty Cash",VLOOKUP($C624,'Patty Cash'!$B:$J,8,FALSE()),0)))),0)</f>
        <v>0</v>
      </c>
      <c r="J624" s="252" t="str">
        <f t="shared" si="19"/>
        <v/>
      </c>
      <c r="K624" s="253"/>
      <c r="L624" s="253"/>
      <c r="M624" s="253"/>
      <c r="N624" s="328"/>
    </row>
    <row r="625" spans="1:14" ht="20.100000000000001" customHeight="1">
      <c r="A625" s="327" t="str">
        <f>IF(AND($B625="",$C625=""),"",MAX($A$3:A624)+1)</f>
        <v/>
      </c>
      <c r="B625" s="262"/>
      <c r="C625" s="253"/>
      <c r="D625" s="249" t="str">
        <f>IFERROR(IF($E625="Inventory",VLOOKUP($C625,Inventory!$B:$I,2,FALSE()),IF($E625="Non Inventory",VLOOKUP($C625,'Non Inventory'!$B:$I,2,FALSE()),IF($E625="Services",VLOOKUP($C625,Services!$B:$I,2,FALSE()),IF($E625="Patty Cash",VLOOKUP($C625,'Patty Cash'!$B:$J,2,FALSE()),"")))),"")</f>
        <v/>
      </c>
      <c r="E625" s="254"/>
      <c r="F625" s="263" t="str">
        <f>IFERROR(IF($E625="Inventory",VLOOKUP($C625,Inventory!$B:$I,3,FALSE()),IF($E625="Non Inventory",VLOOKUP($C625,'Non Inventory'!$B:$I,3,FALSE()),IF($E625="Services",VLOOKUP($C625,Services!$B:$I,3,FALSE()),IF($E625="Patty Cash",VLOOKUP($C625,'Patty Cash'!$B:$J,3,FALSE()),"")))),"")</f>
        <v/>
      </c>
      <c r="G625" s="374"/>
      <c r="H625" s="374" t="str">
        <f t="shared" si="18"/>
        <v/>
      </c>
      <c r="I625" s="252">
        <f>IFERROR(IF($E625="Inventory",VLOOKUP($C625,Inventory!$B:$I,8,FALSE()),IF($E625="Non Inventory",VLOOKUP($C625,'Non Inventory'!$B:$I,8,FALSE()),IF($E625="Services",VLOOKUP($C625,Services!$B:$I,8,FALSE()),IF($E625="Patty Cash",VLOOKUP($C625,'Patty Cash'!$B:$J,8,FALSE()),0)))),0)</f>
        <v>0</v>
      </c>
      <c r="J625" s="252" t="str">
        <f t="shared" si="19"/>
        <v/>
      </c>
      <c r="K625" s="253"/>
      <c r="L625" s="253"/>
      <c r="M625" s="253"/>
      <c r="N625" s="328"/>
    </row>
    <row r="626" spans="1:14" ht="20.100000000000001" customHeight="1">
      <c r="A626" s="327" t="str">
        <f>IF(AND($B626="",$C626=""),"",MAX($A$3:A625)+1)</f>
        <v/>
      </c>
      <c r="B626" s="262"/>
      <c r="C626" s="253"/>
      <c r="D626" s="249" t="str">
        <f>IFERROR(IF($E626="Inventory",VLOOKUP($C626,Inventory!$B:$I,2,FALSE()),IF($E626="Non Inventory",VLOOKUP($C626,'Non Inventory'!$B:$I,2,FALSE()),IF($E626="Services",VLOOKUP($C626,Services!$B:$I,2,FALSE()),IF($E626="Patty Cash",VLOOKUP($C626,'Patty Cash'!$B:$J,2,FALSE()),"")))),"")</f>
        <v/>
      </c>
      <c r="E626" s="254"/>
      <c r="F626" s="263" t="str">
        <f>IFERROR(IF($E626="Inventory",VLOOKUP($C626,Inventory!$B:$I,3,FALSE()),IF($E626="Non Inventory",VLOOKUP($C626,'Non Inventory'!$B:$I,3,FALSE()),IF($E626="Services",VLOOKUP($C626,Services!$B:$I,3,FALSE()),IF($E626="Patty Cash",VLOOKUP($C626,'Patty Cash'!$B:$J,3,FALSE()),"")))),"")</f>
        <v/>
      </c>
      <c r="G626" s="374"/>
      <c r="H626" s="374" t="str">
        <f t="shared" si="18"/>
        <v/>
      </c>
      <c r="I626" s="252">
        <f>IFERROR(IF($E626="Inventory",VLOOKUP($C626,Inventory!$B:$I,8,FALSE()),IF($E626="Non Inventory",VLOOKUP($C626,'Non Inventory'!$B:$I,8,FALSE()),IF($E626="Services",VLOOKUP($C626,Services!$B:$I,8,FALSE()),IF($E626="Patty Cash",VLOOKUP($C626,'Patty Cash'!$B:$J,8,FALSE()),0)))),0)</f>
        <v>0</v>
      </c>
      <c r="J626" s="252" t="str">
        <f t="shared" si="19"/>
        <v/>
      </c>
      <c r="K626" s="253"/>
      <c r="L626" s="253"/>
      <c r="M626" s="253"/>
      <c r="N626" s="328"/>
    </row>
    <row r="627" spans="1:14" ht="20.100000000000001" customHeight="1">
      <c r="A627" s="327" t="str">
        <f>IF(AND($B627="",$C627=""),"",MAX($A$3:A626)+1)</f>
        <v/>
      </c>
      <c r="B627" s="262"/>
      <c r="C627" s="253"/>
      <c r="D627" s="249" t="str">
        <f>IFERROR(IF($E627="Inventory",VLOOKUP($C627,Inventory!$B:$I,2,FALSE()),IF($E627="Non Inventory",VLOOKUP($C627,'Non Inventory'!$B:$I,2,FALSE()),IF($E627="Services",VLOOKUP($C627,Services!$B:$I,2,FALSE()),IF($E627="Patty Cash",VLOOKUP($C627,'Patty Cash'!$B:$J,2,FALSE()),"")))),"")</f>
        <v/>
      </c>
      <c r="E627" s="254"/>
      <c r="F627" s="263" t="str">
        <f>IFERROR(IF($E627="Inventory",VLOOKUP($C627,Inventory!$B:$I,3,FALSE()),IF($E627="Non Inventory",VLOOKUP($C627,'Non Inventory'!$B:$I,3,FALSE()),IF($E627="Services",VLOOKUP($C627,Services!$B:$I,3,FALSE()),IF($E627="Patty Cash",VLOOKUP($C627,'Patty Cash'!$B:$J,3,FALSE()),"")))),"")</f>
        <v/>
      </c>
      <c r="G627" s="374"/>
      <c r="H627" s="374" t="str">
        <f t="shared" si="18"/>
        <v/>
      </c>
      <c r="I627" s="252">
        <f>IFERROR(IF($E627="Inventory",VLOOKUP($C627,Inventory!$B:$I,8,FALSE()),IF($E627="Non Inventory",VLOOKUP($C627,'Non Inventory'!$B:$I,8,FALSE()),IF($E627="Services",VLOOKUP($C627,Services!$B:$I,8,FALSE()),IF($E627="Patty Cash",VLOOKUP($C627,'Patty Cash'!$B:$J,8,FALSE()),0)))),0)</f>
        <v>0</v>
      </c>
      <c r="J627" s="252" t="str">
        <f t="shared" si="19"/>
        <v/>
      </c>
      <c r="K627" s="253"/>
      <c r="L627" s="253"/>
      <c r="M627" s="253"/>
      <c r="N627" s="328"/>
    </row>
    <row r="628" spans="1:14" ht="20.100000000000001" customHeight="1">
      <c r="A628" s="327" t="str">
        <f>IF(AND($B628="",$C628=""),"",MAX($A$3:A627)+1)</f>
        <v/>
      </c>
      <c r="B628" s="262"/>
      <c r="C628" s="253"/>
      <c r="D628" s="249" t="str">
        <f>IFERROR(IF($E628="Inventory",VLOOKUP($C628,Inventory!$B:$I,2,FALSE()),IF($E628="Non Inventory",VLOOKUP($C628,'Non Inventory'!$B:$I,2,FALSE()),IF($E628="Services",VLOOKUP($C628,Services!$B:$I,2,FALSE()),IF($E628="Patty Cash",VLOOKUP($C628,'Patty Cash'!$B:$J,2,FALSE()),"")))),"")</f>
        <v/>
      </c>
      <c r="E628" s="254"/>
      <c r="F628" s="263" t="str">
        <f>IFERROR(IF($E628="Inventory",VLOOKUP($C628,Inventory!$B:$I,3,FALSE()),IF($E628="Non Inventory",VLOOKUP($C628,'Non Inventory'!$B:$I,3,FALSE()),IF($E628="Services",VLOOKUP($C628,Services!$B:$I,3,FALSE()),IF($E628="Patty Cash",VLOOKUP($C628,'Patty Cash'!$B:$J,3,FALSE()),"")))),"")</f>
        <v/>
      </c>
      <c r="G628" s="374"/>
      <c r="H628" s="374" t="str">
        <f t="shared" si="18"/>
        <v/>
      </c>
      <c r="I628" s="252">
        <f>IFERROR(IF($E628="Inventory",VLOOKUP($C628,Inventory!$B:$I,8,FALSE()),IF($E628="Non Inventory",VLOOKUP($C628,'Non Inventory'!$B:$I,8,FALSE()),IF($E628="Services",VLOOKUP($C628,Services!$B:$I,8,FALSE()),IF($E628="Patty Cash",VLOOKUP($C628,'Patty Cash'!$B:$J,8,FALSE()),0)))),0)</f>
        <v>0</v>
      </c>
      <c r="J628" s="252" t="str">
        <f t="shared" si="19"/>
        <v/>
      </c>
      <c r="K628" s="253"/>
      <c r="L628" s="253"/>
      <c r="M628" s="253"/>
      <c r="N628" s="328"/>
    </row>
    <row r="629" spans="1:14" ht="20.100000000000001" customHeight="1">
      <c r="A629" s="327" t="str">
        <f>IF(AND($B629="",$C629=""),"",MAX($A$3:A628)+1)</f>
        <v/>
      </c>
      <c r="B629" s="262"/>
      <c r="C629" s="253"/>
      <c r="D629" s="249" t="str">
        <f>IFERROR(IF($E629="Inventory",VLOOKUP($C629,Inventory!$B:$I,2,FALSE()),IF($E629="Non Inventory",VLOOKUP($C629,'Non Inventory'!$B:$I,2,FALSE()),IF($E629="Services",VLOOKUP($C629,Services!$B:$I,2,FALSE()),IF($E629="Patty Cash",VLOOKUP($C629,'Patty Cash'!$B:$J,2,FALSE()),"")))),"")</f>
        <v/>
      </c>
      <c r="E629" s="254"/>
      <c r="F629" s="263" t="str">
        <f>IFERROR(IF($E629="Inventory",VLOOKUP($C629,Inventory!$B:$I,3,FALSE()),IF($E629="Non Inventory",VLOOKUP($C629,'Non Inventory'!$B:$I,3,FALSE()),IF($E629="Services",VLOOKUP($C629,Services!$B:$I,3,FALSE()),IF($E629="Patty Cash",VLOOKUP($C629,'Patty Cash'!$B:$J,3,FALSE()),"")))),"")</f>
        <v/>
      </c>
      <c r="G629" s="374"/>
      <c r="H629" s="374" t="str">
        <f t="shared" si="18"/>
        <v/>
      </c>
      <c r="I629" s="252">
        <f>IFERROR(IF($E629="Inventory",VLOOKUP($C629,Inventory!$B:$I,8,FALSE()),IF($E629="Non Inventory",VLOOKUP($C629,'Non Inventory'!$B:$I,8,FALSE()),IF($E629="Services",VLOOKUP($C629,Services!$B:$I,8,FALSE()),IF($E629="Patty Cash",VLOOKUP($C629,'Patty Cash'!$B:$J,8,FALSE()),0)))),0)</f>
        <v>0</v>
      </c>
      <c r="J629" s="252" t="str">
        <f t="shared" si="19"/>
        <v/>
      </c>
      <c r="K629" s="253"/>
      <c r="L629" s="253"/>
      <c r="M629" s="253"/>
      <c r="N629" s="328"/>
    </row>
    <row r="630" spans="1:14" ht="20.100000000000001" customHeight="1">
      <c r="A630" s="327" t="str">
        <f>IF(AND($B630="",$C630=""),"",MAX($A$3:A629)+1)</f>
        <v/>
      </c>
      <c r="B630" s="262"/>
      <c r="C630" s="253"/>
      <c r="D630" s="249" t="str">
        <f>IFERROR(IF($E630="Inventory",VLOOKUP($C630,Inventory!$B:$I,2,FALSE()),IF($E630="Non Inventory",VLOOKUP($C630,'Non Inventory'!$B:$I,2,FALSE()),IF($E630="Services",VLOOKUP($C630,Services!$B:$I,2,FALSE()),IF($E630="Patty Cash",VLOOKUP($C630,'Patty Cash'!$B:$J,2,FALSE()),"")))),"")</f>
        <v/>
      </c>
      <c r="E630" s="254"/>
      <c r="F630" s="263" t="str">
        <f>IFERROR(IF($E630="Inventory",VLOOKUP($C630,Inventory!$B:$I,3,FALSE()),IF($E630="Non Inventory",VLOOKUP($C630,'Non Inventory'!$B:$I,3,FALSE()),IF($E630="Services",VLOOKUP($C630,Services!$B:$I,3,FALSE()),IF($E630="Patty Cash",VLOOKUP($C630,'Patty Cash'!$B:$J,3,FALSE()),"")))),"")</f>
        <v/>
      </c>
      <c r="G630" s="374"/>
      <c r="H630" s="374" t="str">
        <f t="shared" si="18"/>
        <v/>
      </c>
      <c r="I630" s="252">
        <f>IFERROR(IF($E630="Inventory",VLOOKUP($C630,Inventory!$B:$I,8,FALSE()),IF($E630="Non Inventory",VLOOKUP($C630,'Non Inventory'!$B:$I,8,FALSE()),IF($E630="Services",VLOOKUP($C630,Services!$B:$I,8,FALSE()),IF($E630="Patty Cash",VLOOKUP($C630,'Patty Cash'!$B:$J,8,FALSE()),0)))),0)</f>
        <v>0</v>
      </c>
      <c r="J630" s="252" t="str">
        <f t="shared" si="19"/>
        <v/>
      </c>
      <c r="K630" s="253"/>
      <c r="L630" s="253"/>
      <c r="M630" s="253"/>
      <c r="N630" s="328"/>
    </row>
    <row r="631" spans="1:14" ht="20.100000000000001" customHeight="1">
      <c r="A631" s="327" t="str">
        <f>IF(AND($B631="",$C631=""),"",MAX($A$3:A630)+1)</f>
        <v/>
      </c>
      <c r="B631" s="262"/>
      <c r="C631" s="253"/>
      <c r="D631" s="249" t="str">
        <f>IFERROR(IF($E631="Inventory",VLOOKUP($C631,Inventory!$B:$I,2,FALSE()),IF($E631="Non Inventory",VLOOKUP($C631,'Non Inventory'!$B:$I,2,FALSE()),IF($E631="Services",VLOOKUP($C631,Services!$B:$I,2,FALSE()),IF($E631="Patty Cash",VLOOKUP($C631,'Patty Cash'!$B:$J,2,FALSE()),"")))),"")</f>
        <v/>
      </c>
      <c r="E631" s="254"/>
      <c r="F631" s="263" t="str">
        <f>IFERROR(IF($E631="Inventory",VLOOKUP($C631,Inventory!$B:$I,3,FALSE()),IF($E631="Non Inventory",VLOOKUP($C631,'Non Inventory'!$B:$I,3,FALSE()),IF($E631="Services",VLOOKUP($C631,Services!$B:$I,3,FALSE()),IF($E631="Patty Cash",VLOOKUP($C631,'Patty Cash'!$B:$J,3,FALSE()),"")))),"")</f>
        <v/>
      </c>
      <c r="G631" s="374"/>
      <c r="H631" s="374" t="str">
        <f t="shared" si="18"/>
        <v/>
      </c>
      <c r="I631" s="252">
        <f>IFERROR(IF($E631="Inventory",VLOOKUP($C631,Inventory!$B:$I,8,FALSE()),IF($E631="Non Inventory",VLOOKUP($C631,'Non Inventory'!$B:$I,8,FALSE()),IF($E631="Services",VLOOKUP($C631,Services!$B:$I,8,FALSE()),IF($E631="Patty Cash",VLOOKUP($C631,'Patty Cash'!$B:$J,8,FALSE()),0)))),0)</f>
        <v>0</v>
      </c>
      <c r="J631" s="252" t="str">
        <f t="shared" si="19"/>
        <v/>
      </c>
      <c r="K631" s="253"/>
      <c r="L631" s="253"/>
      <c r="M631" s="253"/>
      <c r="N631" s="328"/>
    </row>
    <row r="632" spans="1:14" ht="20.100000000000001" customHeight="1">
      <c r="A632" s="327" t="str">
        <f>IF(AND($B632="",$C632=""),"",MAX($A$3:A631)+1)</f>
        <v/>
      </c>
      <c r="B632" s="262"/>
      <c r="C632" s="253"/>
      <c r="D632" s="249" t="str">
        <f>IFERROR(IF($E632="Inventory",VLOOKUP($C632,Inventory!$B:$I,2,FALSE()),IF($E632="Non Inventory",VLOOKUP($C632,'Non Inventory'!$B:$I,2,FALSE()),IF($E632="Services",VLOOKUP($C632,Services!$B:$I,2,FALSE()),IF($E632="Patty Cash",VLOOKUP($C632,'Patty Cash'!$B:$J,2,FALSE()),"")))),"")</f>
        <v/>
      </c>
      <c r="E632" s="254"/>
      <c r="F632" s="263" t="str">
        <f>IFERROR(IF($E632="Inventory",VLOOKUP($C632,Inventory!$B:$I,3,FALSE()),IF($E632="Non Inventory",VLOOKUP($C632,'Non Inventory'!$B:$I,3,FALSE()),IF($E632="Services",VLOOKUP($C632,Services!$B:$I,3,FALSE()),IF($E632="Patty Cash",VLOOKUP($C632,'Patty Cash'!$B:$J,3,FALSE()),"")))),"")</f>
        <v/>
      </c>
      <c r="G632" s="374"/>
      <c r="H632" s="374" t="str">
        <f t="shared" si="18"/>
        <v/>
      </c>
      <c r="I632" s="252">
        <f>IFERROR(IF($E632="Inventory",VLOOKUP($C632,Inventory!$B:$I,8,FALSE()),IF($E632="Non Inventory",VLOOKUP($C632,'Non Inventory'!$B:$I,8,FALSE()),IF($E632="Services",VLOOKUP($C632,Services!$B:$I,8,FALSE()),IF($E632="Patty Cash",VLOOKUP($C632,'Patty Cash'!$B:$J,8,FALSE()),0)))),0)</f>
        <v>0</v>
      </c>
      <c r="J632" s="252" t="str">
        <f t="shared" si="19"/>
        <v/>
      </c>
      <c r="K632" s="253"/>
      <c r="L632" s="253"/>
      <c r="M632" s="253"/>
      <c r="N632" s="328"/>
    </row>
    <row r="633" spans="1:14" ht="20.100000000000001" customHeight="1">
      <c r="A633" s="327" t="str">
        <f>IF(AND($B633="",$C633=""),"",MAX($A$3:A632)+1)</f>
        <v/>
      </c>
      <c r="B633" s="262"/>
      <c r="C633" s="253"/>
      <c r="D633" s="249" t="str">
        <f>IFERROR(IF($E633="Inventory",VLOOKUP($C633,Inventory!$B:$I,2,FALSE()),IF($E633="Non Inventory",VLOOKUP($C633,'Non Inventory'!$B:$I,2,FALSE()),IF($E633="Services",VLOOKUP($C633,Services!$B:$I,2,FALSE()),IF($E633="Patty Cash",VLOOKUP($C633,'Patty Cash'!$B:$J,2,FALSE()),"")))),"")</f>
        <v/>
      </c>
      <c r="E633" s="254"/>
      <c r="F633" s="263" t="str">
        <f>IFERROR(IF($E633="Inventory",VLOOKUP($C633,Inventory!$B:$I,3,FALSE()),IF($E633="Non Inventory",VLOOKUP($C633,'Non Inventory'!$B:$I,3,FALSE()),IF($E633="Services",VLOOKUP($C633,Services!$B:$I,3,FALSE()),IF($E633="Patty Cash",VLOOKUP($C633,'Patty Cash'!$B:$J,3,FALSE()),"")))),"")</f>
        <v/>
      </c>
      <c r="G633" s="374"/>
      <c r="H633" s="374" t="str">
        <f t="shared" si="18"/>
        <v/>
      </c>
      <c r="I633" s="252">
        <f>IFERROR(IF($E633="Inventory",VLOOKUP($C633,Inventory!$B:$I,8,FALSE()),IF($E633="Non Inventory",VLOOKUP($C633,'Non Inventory'!$B:$I,8,FALSE()),IF($E633="Services",VLOOKUP($C633,Services!$B:$I,8,FALSE()),IF($E633="Patty Cash",VLOOKUP($C633,'Patty Cash'!$B:$J,8,FALSE()),0)))),0)</f>
        <v>0</v>
      </c>
      <c r="J633" s="252" t="str">
        <f t="shared" si="19"/>
        <v/>
      </c>
      <c r="K633" s="253"/>
      <c r="L633" s="253"/>
      <c r="M633" s="253"/>
      <c r="N633" s="328"/>
    </row>
    <row r="634" spans="1:14" ht="20.100000000000001" customHeight="1">
      <c r="A634" s="327" t="str">
        <f>IF(AND($B634="",$C634=""),"",MAX($A$3:A633)+1)</f>
        <v/>
      </c>
      <c r="B634" s="262"/>
      <c r="C634" s="253"/>
      <c r="D634" s="249" t="str">
        <f>IFERROR(IF($E634="Inventory",VLOOKUP($C634,Inventory!$B:$I,2,FALSE()),IF($E634="Non Inventory",VLOOKUP($C634,'Non Inventory'!$B:$I,2,FALSE()),IF($E634="Services",VLOOKUP($C634,Services!$B:$I,2,FALSE()),IF($E634="Patty Cash",VLOOKUP($C634,'Patty Cash'!$B:$J,2,FALSE()),"")))),"")</f>
        <v/>
      </c>
      <c r="E634" s="254"/>
      <c r="F634" s="263" t="str">
        <f>IFERROR(IF($E634="Inventory",VLOOKUP($C634,Inventory!$B:$I,3,FALSE()),IF($E634="Non Inventory",VLOOKUP($C634,'Non Inventory'!$B:$I,3,FALSE()),IF($E634="Services",VLOOKUP($C634,Services!$B:$I,3,FALSE()),IF($E634="Patty Cash",VLOOKUP($C634,'Patty Cash'!$B:$J,3,FALSE()),"")))),"")</f>
        <v/>
      </c>
      <c r="G634" s="374"/>
      <c r="H634" s="374" t="str">
        <f t="shared" si="18"/>
        <v/>
      </c>
      <c r="I634" s="252">
        <f>IFERROR(IF($E634="Inventory",VLOOKUP($C634,Inventory!$B:$I,8,FALSE()),IF($E634="Non Inventory",VLOOKUP($C634,'Non Inventory'!$B:$I,8,FALSE()),IF($E634="Services",VLOOKUP($C634,Services!$B:$I,8,FALSE()),IF($E634="Patty Cash",VLOOKUP($C634,'Patty Cash'!$B:$J,8,FALSE()),0)))),0)</f>
        <v>0</v>
      </c>
      <c r="J634" s="252" t="str">
        <f t="shared" si="19"/>
        <v/>
      </c>
      <c r="K634" s="253"/>
      <c r="L634" s="253"/>
      <c r="M634" s="253"/>
      <c r="N634" s="328"/>
    </row>
    <row r="635" spans="1:14" ht="20.100000000000001" customHeight="1">
      <c r="A635" s="327" t="str">
        <f>IF(AND($B635="",$C635=""),"",MAX($A$3:A634)+1)</f>
        <v/>
      </c>
      <c r="B635" s="262"/>
      <c r="C635" s="253"/>
      <c r="D635" s="249" t="str">
        <f>IFERROR(IF($E635="Inventory",VLOOKUP($C635,Inventory!$B:$I,2,FALSE()),IF($E635="Non Inventory",VLOOKUP($C635,'Non Inventory'!$B:$I,2,FALSE()),IF($E635="Services",VLOOKUP($C635,Services!$B:$I,2,FALSE()),IF($E635="Patty Cash",VLOOKUP($C635,'Patty Cash'!$B:$J,2,FALSE()),"")))),"")</f>
        <v/>
      </c>
      <c r="E635" s="254"/>
      <c r="F635" s="263" t="str">
        <f>IFERROR(IF($E635="Inventory",VLOOKUP($C635,Inventory!$B:$I,3,FALSE()),IF($E635="Non Inventory",VLOOKUP($C635,'Non Inventory'!$B:$I,3,FALSE()),IF($E635="Services",VLOOKUP($C635,Services!$B:$I,3,FALSE()),IF($E635="Patty Cash",VLOOKUP($C635,'Patty Cash'!$B:$J,3,FALSE()),"")))),"")</f>
        <v/>
      </c>
      <c r="G635" s="374"/>
      <c r="H635" s="374" t="str">
        <f t="shared" ref="H635:H698" si="20">IF($G635="","",G635)</f>
        <v/>
      </c>
      <c r="I635" s="252">
        <f>IFERROR(IF($E635="Inventory",VLOOKUP($C635,Inventory!$B:$I,8,FALSE()),IF($E635="Non Inventory",VLOOKUP($C635,'Non Inventory'!$B:$I,8,FALSE()),IF($E635="Services",VLOOKUP($C635,Services!$B:$I,8,FALSE()),IF($E635="Patty Cash",VLOOKUP($C635,'Patty Cash'!$B:$J,8,FALSE()),0)))),0)</f>
        <v>0</v>
      </c>
      <c r="J635" s="252" t="str">
        <f t="shared" ref="J635:J698" si="21">IF($H635="","",H635*I635)</f>
        <v/>
      </c>
      <c r="K635" s="253"/>
      <c r="L635" s="253"/>
      <c r="M635" s="253"/>
      <c r="N635" s="328"/>
    </row>
    <row r="636" spans="1:14" ht="20.100000000000001" customHeight="1">
      <c r="A636" s="327" t="str">
        <f>IF(AND($B636="",$C636=""),"",MAX($A$3:A635)+1)</f>
        <v/>
      </c>
      <c r="B636" s="262"/>
      <c r="C636" s="253"/>
      <c r="D636" s="249" t="str">
        <f>IFERROR(IF($E636="Inventory",VLOOKUP($C636,Inventory!$B:$I,2,FALSE()),IF($E636="Non Inventory",VLOOKUP($C636,'Non Inventory'!$B:$I,2,FALSE()),IF($E636="Services",VLOOKUP($C636,Services!$B:$I,2,FALSE()),IF($E636="Patty Cash",VLOOKUP($C636,'Patty Cash'!$B:$J,2,FALSE()),"")))),"")</f>
        <v/>
      </c>
      <c r="E636" s="254"/>
      <c r="F636" s="263" t="str">
        <f>IFERROR(IF($E636="Inventory",VLOOKUP($C636,Inventory!$B:$I,3,FALSE()),IF($E636="Non Inventory",VLOOKUP($C636,'Non Inventory'!$B:$I,3,FALSE()),IF($E636="Services",VLOOKUP($C636,Services!$B:$I,3,FALSE()),IF($E636="Patty Cash",VLOOKUP($C636,'Patty Cash'!$B:$J,3,FALSE()),"")))),"")</f>
        <v/>
      </c>
      <c r="G636" s="374"/>
      <c r="H636" s="374" t="str">
        <f t="shared" si="20"/>
        <v/>
      </c>
      <c r="I636" s="252">
        <f>IFERROR(IF($E636="Inventory",VLOOKUP($C636,Inventory!$B:$I,8,FALSE()),IF($E636="Non Inventory",VLOOKUP($C636,'Non Inventory'!$B:$I,8,FALSE()),IF($E636="Services",VLOOKUP($C636,Services!$B:$I,8,FALSE()),IF($E636="Patty Cash",VLOOKUP($C636,'Patty Cash'!$B:$J,8,FALSE()),0)))),0)</f>
        <v>0</v>
      </c>
      <c r="J636" s="252" t="str">
        <f t="shared" si="21"/>
        <v/>
      </c>
      <c r="K636" s="253"/>
      <c r="L636" s="253"/>
      <c r="M636" s="253"/>
      <c r="N636" s="328"/>
    </row>
    <row r="637" spans="1:14" ht="20.100000000000001" customHeight="1">
      <c r="A637" s="327" t="str">
        <f>IF(AND($B637="",$C637=""),"",MAX($A$3:A636)+1)</f>
        <v/>
      </c>
      <c r="B637" s="262"/>
      <c r="C637" s="253"/>
      <c r="D637" s="249" t="str">
        <f>IFERROR(IF($E637="Inventory",VLOOKUP($C637,Inventory!$B:$I,2,FALSE()),IF($E637="Non Inventory",VLOOKUP($C637,'Non Inventory'!$B:$I,2,FALSE()),IF($E637="Services",VLOOKUP($C637,Services!$B:$I,2,FALSE()),IF($E637="Patty Cash",VLOOKUP($C637,'Patty Cash'!$B:$J,2,FALSE()),"")))),"")</f>
        <v/>
      </c>
      <c r="E637" s="254"/>
      <c r="F637" s="263" t="str">
        <f>IFERROR(IF($E637="Inventory",VLOOKUP($C637,Inventory!$B:$I,3,FALSE()),IF($E637="Non Inventory",VLOOKUP($C637,'Non Inventory'!$B:$I,3,FALSE()),IF($E637="Services",VLOOKUP($C637,Services!$B:$I,3,FALSE()),IF($E637="Patty Cash",VLOOKUP($C637,'Patty Cash'!$B:$J,3,FALSE()),"")))),"")</f>
        <v/>
      </c>
      <c r="G637" s="374"/>
      <c r="H637" s="374" t="str">
        <f t="shared" si="20"/>
        <v/>
      </c>
      <c r="I637" s="252">
        <f>IFERROR(IF($E637="Inventory",VLOOKUP($C637,Inventory!$B:$I,8,FALSE()),IF($E637="Non Inventory",VLOOKUP($C637,'Non Inventory'!$B:$I,8,FALSE()),IF($E637="Services",VLOOKUP($C637,Services!$B:$I,8,FALSE()),IF($E637="Patty Cash",VLOOKUP($C637,'Patty Cash'!$B:$J,8,FALSE()),0)))),0)</f>
        <v>0</v>
      </c>
      <c r="J637" s="252" t="str">
        <f t="shared" si="21"/>
        <v/>
      </c>
      <c r="K637" s="253"/>
      <c r="L637" s="253"/>
      <c r="M637" s="253"/>
      <c r="N637" s="328"/>
    </row>
    <row r="638" spans="1:14" ht="20.100000000000001" customHeight="1">
      <c r="A638" s="327" t="str">
        <f>IF(AND($B638="",$C638=""),"",MAX($A$3:A637)+1)</f>
        <v/>
      </c>
      <c r="B638" s="262"/>
      <c r="C638" s="253"/>
      <c r="D638" s="249" t="str">
        <f>IFERROR(IF($E638="Inventory",VLOOKUP($C638,Inventory!$B:$I,2,FALSE()),IF($E638="Non Inventory",VLOOKUP($C638,'Non Inventory'!$B:$I,2,FALSE()),IF($E638="Services",VLOOKUP($C638,Services!$B:$I,2,FALSE()),IF($E638="Patty Cash",VLOOKUP($C638,'Patty Cash'!$B:$J,2,FALSE()),"")))),"")</f>
        <v/>
      </c>
      <c r="E638" s="254"/>
      <c r="F638" s="263" t="str">
        <f>IFERROR(IF($E638="Inventory",VLOOKUP($C638,Inventory!$B:$I,3,FALSE()),IF($E638="Non Inventory",VLOOKUP($C638,'Non Inventory'!$B:$I,3,FALSE()),IF($E638="Services",VLOOKUP($C638,Services!$B:$I,3,FALSE()),IF($E638="Patty Cash",VLOOKUP($C638,'Patty Cash'!$B:$J,3,FALSE()),"")))),"")</f>
        <v/>
      </c>
      <c r="G638" s="374"/>
      <c r="H638" s="374" t="str">
        <f t="shared" si="20"/>
        <v/>
      </c>
      <c r="I638" s="252">
        <f>IFERROR(IF($E638="Inventory",VLOOKUP($C638,Inventory!$B:$I,8,FALSE()),IF($E638="Non Inventory",VLOOKUP($C638,'Non Inventory'!$B:$I,8,FALSE()),IF($E638="Services",VLOOKUP($C638,Services!$B:$I,8,FALSE()),IF($E638="Patty Cash",VLOOKUP($C638,'Patty Cash'!$B:$J,8,FALSE()),0)))),0)</f>
        <v>0</v>
      </c>
      <c r="J638" s="252" t="str">
        <f t="shared" si="21"/>
        <v/>
      </c>
      <c r="K638" s="253"/>
      <c r="L638" s="253"/>
      <c r="M638" s="253"/>
      <c r="N638" s="328"/>
    </row>
    <row r="639" spans="1:14" ht="20.100000000000001" customHeight="1">
      <c r="A639" s="327" t="str">
        <f>IF(AND($B639="",$C639=""),"",MAX($A$3:A638)+1)</f>
        <v/>
      </c>
      <c r="B639" s="262"/>
      <c r="C639" s="253"/>
      <c r="D639" s="249" t="str">
        <f>IFERROR(IF($E639="Inventory",VLOOKUP($C639,Inventory!$B:$I,2,FALSE()),IF($E639="Non Inventory",VLOOKUP($C639,'Non Inventory'!$B:$I,2,FALSE()),IF($E639="Services",VLOOKUP($C639,Services!$B:$I,2,FALSE()),IF($E639="Patty Cash",VLOOKUP($C639,'Patty Cash'!$B:$J,2,FALSE()),"")))),"")</f>
        <v/>
      </c>
      <c r="E639" s="254"/>
      <c r="F639" s="263" t="str">
        <f>IFERROR(IF($E639="Inventory",VLOOKUP($C639,Inventory!$B:$I,3,FALSE()),IF($E639="Non Inventory",VLOOKUP($C639,'Non Inventory'!$B:$I,3,FALSE()),IF($E639="Services",VLOOKUP($C639,Services!$B:$I,3,FALSE()),IF($E639="Patty Cash",VLOOKUP($C639,'Patty Cash'!$B:$J,3,FALSE()),"")))),"")</f>
        <v/>
      </c>
      <c r="G639" s="374"/>
      <c r="H639" s="374" t="str">
        <f t="shared" si="20"/>
        <v/>
      </c>
      <c r="I639" s="252">
        <f>IFERROR(IF($E639="Inventory",VLOOKUP($C639,Inventory!$B:$I,8,FALSE()),IF($E639="Non Inventory",VLOOKUP($C639,'Non Inventory'!$B:$I,8,FALSE()),IF($E639="Services",VLOOKUP($C639,Services!$B:$I,8,FALSE()),IF($E639="Patty Cash",VLOOKUP($C639,'Patty Cash'!$B:$J,8,FALSE()),0)))),0)</f>
        <v>0</v>
      </c>
      <c r="J639" s="252" t="str">
        <f t="shared" si="21"/>
        <v/>
      </c>
      <c r="K639" s="253"/>
      <c r="L639" s="253"/>
      <c r="M639" s="253"/>
      <c r="N639" s="328"/>
    </row>
    <row r="640" spans="1:14" ht="20.100000000000001" customHeight="1">
      <c r="A640" s="327" t="str">
        <f>IF(AND($B640="",$C640=""),"",MAX($A$3:A639)+1)</f>
        <v/>
      </c>
      <c r="B640" s="262"/>
      <c r="C640" s="253"/>
      <c r="D640" s="249" t="str">
        <f>IFERROR(IF($E640="Inventory",VLOOKUP($C640,Inventory!$B:$I,2,FALSE()),IF($E640="Non Inventory",VLOOKUP($C640,'Non Inventory'!$B:$I,2,FALSE()),IF($E640="Services",VLOOKUP($C640,Services!$B:$I,2,FALSE()),IF($E640="Patty Cash",VLOOKUP($C640,'Patty Cash'!$B:$J,2,FALSE()),"")))),"")</f>
        <v/>
      </c>
      <c r="E640" s="254"/>
      <c r="F640" s="263" t="str">
        <f>IFERROR(IF($E640="Inventory",VLOOKUP($C640,Inventory!$B:$I,3,FALSE()),IF($E640="Non Inventory",VLOOKUP($C640,'Non Inventory'!$B:$I,3,FALSE()),IF($E640="Services",VLOOKUP($C640,Services!$B:$I,3,FALSE()),IF($E640="Patty Cash",VLOOKUP($C640,'Patty Cash'!$B:$J,3,FALSE()),"")))),"")</f>
        <v/>
      </c>
      <c r="G640" s="374"/>
      <c r="H640" s="374" t="str">
        <f t="shared" si="20"/>
        <v/>
      </c>
      <c r="I640" s="252">
        <f>IFERROR(IF($E640="Inventory",VLOOKUP($C640,Inventory!$B:$I,8,FALSE()),IF($E640="Non Inventory",VLOOKUP($C640,'Non Inventory'!$B:$I,8,FALSE()),IF($E640="Services",VLOOKUP($C640,Services!$B:$I,8,FALSE()),IF($E640="Patty Cash",VLOOKUP($C640,'Patty Cash'!$B:$J,8,FALSE()),0)))),0)</f>
        <v>0</v>
      </c>
      <c r="J640" s="252" t="str">
        <f t="shared" si="21"/>
        <v/>
      </c>
      <c r="K640" s="253"/>
      <c r="L640" s="253"/>
      <c r="M640" s="253"/>
      <c r="N640" s="328"/>
    </row>
    <row r="641" spans="1:14" ht="20.100000000000001" customHeight="1">
      <c r="A641" s="327" t="str">
        <f>IF(AND($B641="",$C641=""),"",MAX($A$3:A640)+1)</f>
        <v/>
      </c>
      <c r="B641" s="262"/>
      <c r="C641" s="253"/>
      <c r="D641" s="249" t="str">
        <f>IFERROR(IF($E641="Inventory",VLOOKUP($C641,Inventory!$B:$I,2,FALSE()),IF($E641="Non Inventory",VLOOKUP($C641,'Non Inventory'!$B:$I,2,FALSE()),IF($E641="Services",VLOOKUP($C641,Services!$B:$I,2,FALSE()),IF($E641="Patty Cash",VLOOKUP($C641,'Patty Cash'!$B:$J,2,FALSE()),"")))),"")</f>
        <v/>
      </c>
      <c r="E641" s="254"/>
      <c r="F641" s="263" t="str">
        <f>IFERROR(IF($E641="Inventory",VLOOKUP($C641,Inventory!$B:$I,3,FALSE()),IF($E641="Non Inventory",VLOOKUP($C641,'Non Inventory'!$B:$I,3,FALSE()),IF($E641="Services",VLOOKUP($C641,Services!$B:$I,3,FALSE()),IF($E641="Patty Cash",VLOOKUP($C641,'Patty Cash'!$B:$J,3,FALSE()),"")))),"")</f>
        <v/>
      </c>
      <c r="G641" s="374"/>
      <c r="H641" s="374" t="str">
        <f t="shared" si="20"/>
        <v/>
      </c>
      <c r="I641" s="252">
        <f>IFERROR(IF($E641="Inventory",VLOOKUP($C641,Inventory!$B:$I,8,FALSE()),IF($E641="Non Inventory",VLOOKUP($C641,'Non Inventory'!$B:$I,8,FALSE()),IF($E641="Services",VLOOKUP($C641,Services!$B:$I,8,FALSE()),IF($E641="Patty Cash",VLOOKUP($C641,'Patty Cash'!$B:$J,8,FALSE()),0)))),0)</f>
        <v>0</v>
      </c>
      <c r="J641" s="252" t="str">
        <f t="shared" si="21"/>
        <v/>
      </c>
      <c r="K641" s="253"/>
      <c r="L641" s="253"/>
      <c r="M641" s="253"/>
      <c r="N641" s="328"/>
    </row>
    <row r="642" spans="1:14" ht="20.100000000000001" customHeight="1">
      <c r="A642" s="327" t="str">
        <f>IF(AND($B642="",$C642=""),"",MAX($A$3:A641)+1)</f>
        <v/>
      </c>
      <c r="B642" s="262"/>
      <c r="C642" s="253"/>
      <c r="D642" s="249" t="str">
        <f>IFERROR(IF($E642="Inventory",VLOOKUP($C642,Inventory!$B:$I,2,FALSE()),IF($E642="Non Inventory",VLOOKUP($C642,'Non Inventory'!$B:$I,2,FALSE()),IF($E642="Services",VLOOKUP($C642,Services!$B:$I,2,FALSE()),IF($E642="Patty Cash",VLOOKUP($C642,'Patty Cash'!$B:$J,2,FALSE()),"")))),"")</f>
        <v/>
      </c>
      <c r="E642" s="254"/>
      <c r="F642" s="263" t="str">
        <f>IFERROR(IF($E642="Inventory",VLOOKUP($C642,Inventory!$B:$I,3,FALSE()),IF($E642="Non Inventory",VLOOKUP($C642,'Non Inventory'!$B:$I,3,FALSE()),IF($E642="Services",VLOOKUP($C642,Services!$B:$I,3,FALSE()),IF($E642="Patty Cash",VLOOKUP($C642,'Patty Cash'!$B:$J,3,FALSE()),"")))),"")</f>
        <v/>
      </c>
      <c r="G642" s="374"/>
      <c r="H642" s="374" t="str">
        <f t="shared" si="20"/>
        <v/>
      </c>
      <c r="I642" s="252">
        <f>IFERROR(IF($E642="Inventory",VLOOKUP($C642,Inventory!$B:$I,8,FALSE()),IF($E642="Non Inventory",VLOOKUP($C642,'Non Inventory'!$B:$I,8,FALSE()),IF($E642="Services",VLOOKUP($C642,Services!$B:$I,8,FALSE()),IF($E642="Patty Cash",VLOOKUP($C642,'Patty Cash'!$B:$J,8,FALSE()),0)))),0)</f>
        <v>0</v>
      </c>
      <c r="J642" s="252" t="str">
        <f t="shared" si="21"/>
        <v/>
      </c>
      <c r="K642" s="253"/>
      <c r="L642" s="253"/>
      <c r="M642" s="253"/>
      <c r="N642" s="328"/>
    </row>
    <row r="643" spans="1:14" ht="20.100000000000001" customHeight="1">
      <c r="A643" s="327" t="str">
        <f>IF(AND($B643="",$C643=""),"",MAX($A$3:A642)+1)</f>
        <v/>
      </c>
      <c r="B643" s="262"/>
      <c r="C643" s="253"/>
      <c r="D643" s="249" t="str">
        <f>IFERROR(IF($E643="Inventory",VLOOKUP($C643,Inventory!$B:$I,2,FALSE()),IF($E643="Non Inventory",VLOOKUP($C643,'Non Inventory'!$B:$I,2,FALSE()),IF($E643="Services",VLOOKUP($C643,Services!$B:$I,2,FALSE()),IF($E643="Patty Cash",VLOOKUP($C643,'Patty Cash'!$B:$J,2,FALSE()),"")))),"")</f>
        <v/>
      </c>
      <c r="E643" s="254"/>
      <c r="F643" s="263" t="str">
        <f>IFERROR(IF($E643="Inventory",VLOOKUP($C643,Inventory!$B:$I,3,FALSE()),IF($E643="Non Inventory",VLOOKUP($C643,'Non Inventory'!$B:$I,3,FALSE()),IF($E643="Services",VLOOKUP($C643,Services!$B:$I,3,FALSE()),IF($E643="Patty Cash",VLOOKUP($C643,'Patty Cash'!$B:$J,3,FALSE()),"")))),"")</f>
        <v/>
      </c>
      <c r="G643" s="374"/>
      <c r="H643" s="374" t="str">
        <f t="shared" si="20"/>
        <v/>
      </c>
      <c r="I643" s="252">
        <f>IFERROR(IF($E643="Inventory",VLOOKUP($C643,Inventory!$B:$I,8,FALSE()),IF($E643="Non Inventory",VLOOKUP($C643,'Non Inventory'!$B:$I,8,FALSE()),IF($E643="Services",VLOOKUP($C643,Services!$B:$I,8,FALSE()),IF($E643="Patty Cash",VLOOKUP($C643,'Patty Cash'!$B:$J,8,FALSE()),0)))),0)</f>
        <v>0</v>
      </c>
      <c r="J643" s="252" t="str">
        <f t="shared" si="21"/>
        <v/>
      </c>
      <c r="K643" s="253"/>
      <c r="L643" s="253"/>
      <c r="M643" s="253"/>
      <c r="N643" s="328"/>
    </row>
    <row r="644" spans="1:14" ht="20.100000000000001" customHeight="1">
      <c r="A644" s="327" t="str">
        <f>IF(AND($B644="",$C644=""),"",MAX($A$3:A643)+1)</f>
        <v/>
      </c>
      <c r="B644" s="262"/>
      <c r="C644" s="253"/>
      <c r="D644" s="249" t="str">
        <f>IFERROR(IF($E644="Inventory",VLOOKUP($C644,Inventory!$B:$I,2,FALSE()),IF($E644="Non Inventory",VLOOKUP($C644,'Non Inventory'!$B:$I,2,FALSE()),IF($E644="Services",VLOOKUP($C644,Services!$B:$I,2,FALSE()),IF($E644="Patty Cash",VLOOKUP($C644,'Patty Cash'!$B:$J,2,FALSE()),"")))),"")</f>
        <v/>
      </c>
      <c r="E644" s="254"/>
      <c r="F644" s="263" t="str">
        <f>IFERROR(IF($E644="Inventory",VLOOKUP($C644,Inventory!$B:$I,3,FALSE()),IF($E644="Non Inventory",VLOOKUP($C644,'Non Inventory'!$B:$I,3,FALSE()),IF($E644="Services",VLOOKUP($C644,Services!$B:$I,3,FALSE()),IF($E644="Patty Cash",VLOOKUP($C644,'Patty Cash'!$B:$J,3,FALSE()),"")))),"")</f>
        <v/>
      </c>
      <c r="G644" s="374"/>
      <c r="H644" s="374" t="str">
        <f t="shared" si="20"/>
        <v/>
      </c>
      <c r="I644" s="252">
        <f>IFERROR(IF($E644="Inventory",VLOOKUP($C644,Inventory!$B:$I,8,FALSE()),IF($E644="Non Inventory",VLOOKUP($C644,'Non Inventory'!$B:$I,8,FALSE()),IF($E644="Services",VLOOKUP($C644,Services!$B:$I,8,FALSE()),IF($E644="Patty Cash",VLOOKUP($C644,'Patty Cash'!$B:$J,8,FALSE()),0)))),0)</f>
        <v>0</v>
      </c>
      <c r="J644" s="252" t="str">
        <f t="shared" si="21"/>
        <v/>
      </c>
      <c r="K644" s="253"/>
      <c r="L644" s="253"/>
      <c r="M644" s="253"/>
      <c r="N644" s="328"/>
    </row>
    <row r="645" spans="1:14" ht="20.100000000000001" customHeight="1">
      <c r="A645" s="327" t="str">
        <f>IF(AND($B645="",$C645=""),"",MAX($A$3:A644)+1)</f>
        <v/>
      </c>
      <c r="B645" s="262"/>
      <c r="C645" s="253"/>
      <c r="D645" s="249" t="str">
        <f>IFERROR(IF($E645="Inventory",VLOOKUP($C645,Inventory!$B:$I,2,FALSE()),IF($E645="Non Inventory",VLOOKUP($C645,'Non Inventory'!$B:$I,2,FALSE()),IF($E645="Services",VLOOKUP($C645,Services!$B:$I,2,FALSE()),IF($E645="Patty Cash",VLOOKUP($C645,'Patty Cash'!$B:$J,2,FALSE()),"")))),"")</f>
        <v/>
      </c>
      <c r="E645" s="254"/>
      <c r="F645" s="263" t="str">
        <f>IFERROR(IF($E645="Inventory",VLOOKUP($C645,Inventory!$B:$I,3,FALSE()),IF($E645="Non Inventory",VLOOKUP($C645,'Non Inventory'!$B:$I,3,FALSE()),IF($E645="Services",VLOOKUP($C645,Services!$B:$I,3,FALSE()),IF($E645="Patty Cash",VLOOKUP($C645,'Patty Cash'!$B:$J,3,FALSE()),"")))),"")</f>
        <v/>
      </c>
      <c r="G645" s="374"/>
      <c r="H645" s="374" t="str">
        <f t="shared" si="20"/>
        <v/>
      </c>
      <c r="I645" s="252">
        <f>IFERROR(IF($E645="Inventory",VLOOKUP($C645,Inventory!$B:$I,8,FALSE()),IF($E645="Non Inventory",VLOOKUP($C645,'Non Inventory'!$B:$I,8,FALSE()),IF($E645="Services",VLOOKUP($C645,Services!$B:$I,8,FALSE()),IF($E645="Patty Cash",VLOOKUP($C645,'Patty Cash'!$B:$J,8,FALSE()),0)))),0)</f>
        <v>0</v>
      </c>
      <c r="J645" s="252" t="str">
        <f t="shared" si="21"/>
        <v/>
      </c>
      <c r="K645" s="253"/>
      <c r="L645" s="253"/>
      <c r="M645" s="253"/>
      <c r="N645" s="328"/>
    </row>
    <row r="646" spans="1:14" ht="20.100000000000001" customHeight="1">
      <c r="A646" s="327" t="str">
        <f>IF(AND($B646="",$C646=""),"",MAX($A$3:A645)+1)</f>
        <v/>
      </c>
      <c r="B646" s="262"/>
      <c r="C646" s="253"/>
      <c r="D646" s="249" t="str">
        <f>IFERROR(IF($E646="Inventory",VLOOKUP($C646,Inventory!$B:$I,2,FALSE()),IF($E646="Non Inventory",VLOOKUP($C646,'Non Inventory'!$B:$I,2,FALSE()),IF($E646="Services",VLOOKUP($C646,Services!$B:$I,2,FALSE()),IF($E646="Patty Cash",VLOOKUP($C646,'Patty Cash'!$B:$J,2,FALSE()),"")))),"")</f>
        <v/>
      </c>
      <c r="E646" s="254"/>
      <c r="F646" s="263" t="str">
        <f>IFERROR(IF($E646="Inventory",VLOOKUP($C646,Inventory!$B:$I,3,FALSE()),IF($E646="Non Inventory",VLOOKUP($C646,'Non Inventory'!$B:$I,3,FALSE()),IF($E646="Services",VLOOKUP($C646,Services!$B:$I,3,FALSE()),IF($E646="Patty Cash",VLOOKUP($C646,'Patty Cash'!$B:$J,3,FALSE()),"")))),"")</f>
        <v/>
      </c>
      <c r="G646" s="374"/>
      <c r="H646" s="374" t="str">
        <f t="shared" si="20"/>
        <v/>
      </c>
      <c r="I646" s="252">
        <f>IFERROR(IF($E646="Inventory",VLOOKUP($C646,Inventory!$B:$I,8,FALSE()),IF($E646="Non Inventory",VLOOKUP($C646,'Non Inventory'!$B:$I,8,FALSE()),IF($E646="Services",VLOOKUP($C646,Services!$B:$I,8,FALSE()),IF($E646="Patty Cash",VLOOKUP($C646,'Patty Cash'!$B:$J,8,FALSE()),0)))),0)</f>
        <v>0</v>
      </c>
      <c r="J646" s="252" t="str">
        <f t="shared" si="21"/>
        <v/>
      </c>
      <c r="K646" s="253"/>
      <c r="L646" s="253"/>
      <c r="M646" s="253"/>
      <c r="N646" s="328"/>
    </row>
    <row r="647" spans="1:14" ht="20.100000000000001" customHeight="1">
      <c r="A647" s="327" t="str">
        <f>IF(AND($B647="",$C647=""),"",MAX($A$3:A646)+1)</f>
        <v/>
      </c>
      <c r="B647" s="262"/>
      <c r="C647" s="253"/>
      <c r="D647" s="249" t="str">
        <f>IFERROR(IF($E647="Inventory",VLOOKUP($C647,Inventory!$B:$I,2,FALSE()),IF($E647="Non Inventory",VLOOKUP($C647,'Non Inventory'!$B:$I,2,FALSE()),IF($E647="Services",VLOOKUP($C647,Services!$B:$I,2,FALSE()),IF($E647="Patty Cash",VLOOKUP($C647,'Patty Cash'!$B:$J,2,FALSE()),"")))),"")</f>
        <v/>
      </c>
      <c r="E647" s="254"/>
      <c r="F647" s="263" t="str">
        <f>IFERROR(IF($E647="Inventory",VLOOKUP($C647,Inventory!$B:$I,3,FALSE()),IF($E647="Non Inventory",VLOOKUP($C647,'Non Inventory'!$B:$I,3,FALSE()),IF($E647="Services",VLOOKUP($C647,Services!$B:$I,3,FALSE()),IF($E647="Patty Cash",VLOOKUP($C647,'Patty Cash'!$B:$J,3,FALSE()),"")))),"")</f>
        <v/>
      </c>
      <c r="G647" s="374"/>
      <c r="H647" s="374" t="str">
        <f t="shared" si="20"/>
        <v/>
      </c>
      <c r="I647" s="252">
        <f>IFERROR(IF($E647="Inventory",VLOOKUP($C647,Inventory!$B:$I,8,FALSE()),IF($E647="Non Inventory",VLOOKUP($C647,'Non Inventory'!$B:$I,8,FALSE()),IF($E647="Services",VLOOKUP($C647,Services!$B:$I,8,FALSE()),IF($E647="Patty Cash",VLOOKUP($C647,'Patty Cash'!$B:$J,8,FALSE()),0)))),0)</f>
        <v>0</v>
      </c>
      <c r="J647" s="252" t="str">
        <f t="shared" si="21"/>
        <v/>
      </c>
      <c r="K647" s="253"/>
      <c r="L647" s="253"/>
      <c r="M647" s="253"/>
      <c r="N647" s="328"/>
    </row>
    <row r="648" spans="1:14" ht="20.100000000000001" customHeight="1">
      <c r="A648" s="327" t="str">
        <f>IF(AND($B648="",$C648=""),"",MAX($A$3:A647)+1)</f>
        <v/>
      </c>
      <c r="B648" s="262"/>
      <c r="C648" s="253"/>
      <c r="D648" s="249" t="str">
        <f>IFERROR(IF($E648="Inventory",VLOOKUP($C648,Inventory!$B:$I,2,FALSE()),IF($E648="Non Inventory",VLOOKUP($C648,'Non Inventory'!$B:$I,2,FALSE()),IF($E648="Services",VLOOKUP($C648,Services!$B:$I,2,FALSE()),IF($E648="Patty Cash",VLOOKUP($C648,'Patty Cash'!$B:$J,2,FALSE()),"")))),"")</f>
        <v/>
      </c>
      <c r="E648" s="254"/>
      <c r="F648" s="263" t="str">
        <f>IFERROR(IF($E648="Inventory",VLOOKUP($C648,Inventory!$B:$I,3,FALSE()),IF($E648="Non Inventory",VLOOKUP($C648,'Non Inventory'!$B:$I,3,FALSE()),IF($E648="Services",VLOOKUP($C648,Services!$B:$I,3,FALSE()),IF($E648="Patty Cash",VLOOKUP($C648,'Patty Cash'!$B:$J,3,FALSE()),"")))),"")</f>
        <v/>
      </c>
      <c r="G648" s="374"/>
      <c r="H648" s="374" t="str">
        <f t="shared" si="20"/>
        <v/>
      </c>
      <c r="I648" s="252">
        <f>IFERROR(IF($E648="Inventory",VLOOKUP($C648,Inventory!$B:$I,8,FALSE()),IF($E648="Non Inventory",VLOOKUP($C648,'Non Inventory'!$B:$I,8,FALSE()),IF($E648="Services",VLOOKUP($C648,Services!$B:$I,8,FALSE()),IF($E648="Patty Cash",VLOOKUP($C648,'Patty Cash'!$B:$J,8,FALSE()),0)))),0)</f>
        <v>0</v>
      </c>
      <c r="J648" s="252" t="str">
        <f t="shared" si="21"/>
        <v/>
      </c>
      <c r="K648" s="253"/>
      <c r="L648" s="253"/>
      <c r="M648" s="253"/>
      <c r="N648" s="328"/>
    </row>
    <row r="649" spans="1:14" ht="20.100000000000001" customHeight="1">
      <c r="A649" s="327" t="str">
        <f>IF(AND($B649="",$C649=""),"",MAX($A$3:A648)+1)</f>
        <v/>
      </c>
      <c r="B649" s="262"/>
      <c r="C649" s="253"/>
      <c r="D649" s="249" t="str">
        <f>IFERROR(IF($E649="Inventory",VLOOKUP($C649,Inventory!$B:$I,2,FALSE()),IF($E649="Non Inventory",VLOOKUP($C649,'Non Inventory'!$B:$I,2,FALSE()),IF($E649="Services",VLOOKUP($C649,Services!$B:$I,2,FALSE()),IF($E649="Patty Cash",VLOOKUP($C649,'Patty Cash'!$B:$J,2,FALSE()),"")))),"")</f>
        <v/>
      </c>
      <c r="E649" s="254"/>
      <c r="F649" s="263" t="str">
        <f>IFERROR(IF($E649="Inventory",VLOOKUP($C649,Inventory!$B:$I,3,FALSE()),IF($E649="Non Inventory",VLOOKUP($C649,'Non Inventory'!$B:$I,3,FALSE()),IF($E649="Services",VLOOKUP($C649,Services!$B:$I,3,FALSE()),IF($E649="Patty Cash",VLOOKUP($C649,'Patty Cash'!$B:$J,3,FALSE()),"")))),"")</f>
        <v/>
      </c>
      <c r="G649" s="374"/>
      <c r="H649" s="374" t="str">
        <f t="shared" si="20"/>
        <v/>
      </c>
      <c r="I649" s="252">
        <f>IFERROR(IF($E649="Inventory",VLOOKUP($C649,Inventory!$B:$I,8,FALSE()),IF($E649="Non Inventory",VLOOKUP($C649,'Non Inventory'!$B:$I,8,FALSE()),IF($E649="Services",VLOOKUP($C649,Services!$B:$I,8,FALSE()),IF($E649="Patty Cash",VLOOKUP($C649,'Patty Cash'!$B:$J,8,FALSE()),0)))),0)</f>
        <v>0</v>
      </c>
      <c r="J649" s="252" t="str">
        <f t="shared" si="21"/>
        <v/>
      </c>
      <c r="K649" s="253"/>
      <c r="L649" s="253"/>
      <c r="M649" s="253"/>
      <c r="N649" s="328"/>
    </row>
    <row r="650" spans="1:14" ht="20.100000000000001" customHeight="1">
      <c r="A650" s="327" t="str">
        <f>IF(AND($B650="",$C650=""),"",MAX($A$3:A649)+1)</f>
        <v/>
      </c>
      <c r="B650" s="262"/>
      <c r="C650" s="253"/>
      <c r="D650" s="249" t="str">
        <f>IFERROR(IF($E650="Inventory",VLOOKUP($C650,Inventory!$B:$I,2,FALSE()),IF($E650="Non Inventory",VLOOKUP($C650,'Non Inventory'!$B:$I,2,FALSE()),IF($E650="Services",VLOOKUP($C650,Services!$B:$I,2,FALSE()),IF($E650="Patty Cash",VLOOKUP($C650,'Patty Cash'!$B:$J,2,FALSE()),"")))),"")</f>
        <v/>
      </c>
      <c r="E650" s="254"/>
      <c r="F650" s="263" t="str">
        <f>IFERROR(IF($E650="Inventory",VLOOKUP($C650,Inventory!$B:$I,3,FALSE()),IF($E650="Non Inventory",VLOOKUP($C650,'Non Inventory'!$B:$I,3,FALSE()),IF($E650="Services",VLOOKUP($C650,Services!$B:$I,3,FALSE()),IF($E650="Patty Cash",VLOOKUP($C650,'Patty Cash'!$B:$J,3,FALSE()),"")))),"")</f>
        <v/>
      </c>
      <c r="G650" s="374"/>
      <c r="H650" s="374" t="str">
        <f t="shared" si="20"/>
        <v/>
      </c>
      <c r="I650" s="252">
        <f>IFERROR(IF($E650="Inventory",VLOOKUP($C650,Inventory!$B:$I,8,FALSE()),IF($E650="Non Inventory",VLOOKUP($C650,'Non Inventory'!$B:$I,8,FALSE()),IF($E650="Services",VLOOKUP($C650,Services!$B:$I,8,FALSE()),IF($E650="Patty Cash",VLOOKUP($C650,'Patty Cash'!$B:$J,8,FALSE()),0)))),0)</f>
        <v>0</v>
      </c>
      <c r="J650" s="252" t="str">
        <f t="shared" si="21"/>
        <v/>
      </c>
      <c r="K650" s="253"/>
      <c r="L650" s="253"/>
      <c r="M650" s="253"/>
      <c r="N650" s="328"/>
    </row>
    <row r="651" spans="1:14" ht="20.100000000000001" customHeight="1">
      <c r="A651" s="327" t="str">
        <f>IF(AND($B651="",$C651=""),"",MAX($A$3:A650)+1)</f>
        <v/>
      </c>
      <c r="B651" s="262"/>
      <c r="C651" s="253"/>
      <c r="D651" s="249" t="str">
        <f>IFERROR(IF($E651="Inventory",VLOOKUP($C651,Inventory!$B:$I,2,FALSE()),IF($E651="Non Inventory",VLOOKUP($C651,'Non Inventory'!$B:$I,2,FALSE()),IF($E651="Services",VLOOKUP($C651,Services!$B:$I,2,FALSE()),IF($E651="Patty Cash",VLOOKUP($C651,'Patty Cash'!$B:$J,2,FALSE()),"")))),"")</f>
        <v/>
      </c>
      <c r="E651" s="254"/>
      <c r="F651" s="263" t="str">
        <f>IFERROR(IF($E651="Inventory",VLOOKUP($C651,Inventory!$B:$I,3,FALSE()),IF($E651="Non Inventory",VLOOKUP($C651,'Non Inventory'!$B:$I,3,FALSE()),IF($E651="Services",VLOOKUP($C651,Services!$B:$I,3,FALSE()),IF($E651="Patty Cash",VLOOKUP($C651,'Patty Cash'!$B:$J,3,FALSE()),"")))),"")</f>
        <v/>
      </c>
      <c r="G651" s="374"/>
      <c r="H651" s="374" t="str">
        <f t="shared" si="20"/>
        <v/>
      </c>
      <c r="I651" s="252">
        <f>IFERROR(IF($E651="Inventory",VLOOKUP($C651,Inventory!$B:$I,8,FALSE()),IF($E651="Non Inventory",VLOOKUP($C651,'Non Inventory'!$B:$I,8,FALSE()),IF($E651="Services",VLOOKUP($C651,Services!$B:$I,8,FALSE()),IF($E651="Patty Cash",VLOOKUP($C651,'Patty Cash'!$B:$J,8,FALSE()),0)))),0)</f>
        <v>0</v>
      </c>
      <c r="J651" s="252" t="str">
        <f t="shared" si="21"/>
        <v/>
      </c>
      <c r="K651" s="253"/>
      <c r="L651" s="253"/>
      <c r="M651" s="253"/>
      <c r="N651" s="328"/>
    </row>
    <row r="652" spans="1:14" ht="20.100000000000001" customHeight="1">
      <c r="A652" s="327" t="str">
        <f>IF(AND($B652="",$C652=""),"",MAX($A$3:A651)+1)</f>
        <v/>
      </c>
      <c r="B652" s="262"/>
      <c r="C652" s="253"/>
      <c r="D652" s="249" t="str">
        <f>IFERROR(IF($E652="Inventory",VLOOKUP($C652,Inventory!$B:$I,2,FALSE()),IF($E652="Non Inventory",VLOOKUP($C652,'Non Inventory'!$B:$I,2,FALSE()),IF($E652="Services",VLOOKUP($C652,Services!$B:$I,2,FALSE()),IF($E652="Patty Cash",VLOOKUP($C652,'Patty Cash'!$B:$J,2,FALSE()),"")))),"")</f>
        <v/>
      </c>
      <c r="E652" s="254"/>
      <c r="F652" s="263" t="str">
        <f>IFERROR(IF($E652="Inventory",VLOOKUP($C652,Inventory!$B:$I,3,FALSE()),IF($E652="Non Inventory",VLOOKUP($C652,'Non Inventory'!$B:$I,3,FALSE()),IF($E652="Services",VLOOKUP($C652,Services!$B:$I,3,FALSE()),IF($E652="Patty Cash",VLOOKUP($C652,'Patty Cash'!$B:$J,3,FALSE()),"")))),"")</f>
        <v/>
      </c>
      <c r="G652" s="374"/>
      <c r="H652" s="374" t="str">
        <f t="shared" si="20"/>
        <v/>
      </c>
      <c r="I652" s="252">
        <f>IFERROR(IF($E652="Inventory",VLOOKUP($C652,Inventory!$B:$I,8,FALSE()),IF($E652="Non Inventory",VLOOKUP($C652,'Non Inventory'!$B:$I,8,FALSE()),IF($E652="Services",VLOOKUP($C652,Services!$B:$I,8,FALSE()),IF($E652="Patty Cash",VLOOKUP($C652,'Patty Cash'!$B:$J,8,FALSE()),0)))),0)</f>
        <v>0</v>
      </c>
      <c r="J652" s="252" t="str">
        <f t="shared" si="21"/>
        <v/>
      </c>
      <c r="K652" s="253"/>
      <c r="L652" s="253"/>
      <c r="M652" s="253"/>
      <c r="N652" s="328"/>
    </row>
    <row r="653" spans="1:14" ht="20.100000000000001" customHeight="1">
      <c r="A653" s="327" t="str">
        <f>IF(AND($B653="",$C653=""),"",MAX($A$3:A652)+1)</f>
        <v/>
      </c>
      <c r="B653" s="262"/>
      <c r="C653" s="253"/>
      <c r="D653" s="249" t="str">
        <f>IFERROR(IF($E653="Inventory",VLOOKUP($C653,Inventory!$B:$I,2,FALSE()),IF($E653="Non Inventory",VLOOKUP($C653,'Non Inventory'!$B:$I,2,FALSE()),IF($E653="Services",VLOOKUP($C653,Services!$B:$I,2,FALSE()),IF($E653="Patty Cash",VLOOKUP($C653,'Patty Cash'!$B:$J,2,FALSE()),"")))),"")</f>
        <v/>
      </c>
      <c r="E653" s="254"/>
      <c r="F653" s="263" t="str">
        <f>IFERROR(IF($E653="Inventory",VLOOKUP($C653,Inventory!$B:$I,3,FALSE()),IF($E653="Non Inventory",VLOOKUP($C653,'Non Inventory'!$B:$I,3,FALSE()),IF($E653="Services",VLOOKUP($C653,Services!$B:$I,3,FALSE()),IF($E653="Patty Cash",VLOOKUP($C653,'Patty Cash'!$B:$J,3,FALSE()),"")))),"")</f>
        <v/>
      </c>
      <c r="G653" s="374"/>
      <c r="H653" s="374" t="str">
        <f t="shared" si="20"/>
        <v/>
      </c>
      <c r="I653" s="252">
        <f>IFERROR(IF($E653="Inventory",VLOOKUP($C653,Inventory!$B:$I,8,FALSE()),IF($E653="Non Inventory",VLOOKUP($C653,'Non Inventory'!$B:$I,8,FALSE()),IF($E653="Services",VLOOKUP($C653,Services!$B:$I,8,FALSE()),IF($E653="Patty Cash",VLOOKUP($C653,'Patty Cash'!$B:$J,8,FALSE()),0)))),0)</f>
        <v>0</v>
      </c>
      <c r="J653" s="252" t="str">
        <f t="shared" si="21"/>
        <v/>
      </c>
      <c r="K653" s="253"/>
      <c r="L653" s="253"/>
      <c r="M653" s="253"/>
      <c r="N653" s="328"/>
    </row>
    <row r="654" spans="1:14" ht="20.100000000000001" customHeight="1">
      <c r="A654" s="327" t="str">
        <f>IF(AND($B654="",$C654=""),"",MAX($A$3:A653)+1)</f>
        <v/>
      </c>
      <c r="B654" s="262"/>
      <c r="C654" s="253"/>
      <c r="D654" s="249" t="str">
        <f>IFERROR(IF($E654="Inventory",VLOOKUP($C654,Inventory!$B:$I,2,FALSE()),IF($E654="Non Inventory",VLOOKUP($C654,'Non Inventory'!$B:$I,2,FALSE()),IF($E654="Services",VLOOKUP($C654,Services!$B:$I,2,FALSE()),IF($E654="Patty Cash",VLOOKUP($C654,'Patty Cash'!$B:$J,2,FALSE()),"")))),"")</f>
        <v/>
      </c>
      <c r="E654" s="254"/>
      <c r="F654" s="263" t="str">
        <f>IFERROR(IF($E654="Inventory",VLOOKUP($C654,Inventory!$B:$I,3,FALSE()),IF($E654="Non Inventory",VLOOKUP($C654,'Non Inventory'!$B:$I,3,FALSE()),IF($E654="Services",VLOOKUP($C654,Services!$B:$I,3,FALSE()),IF($E654="Patty Cash",VLOOKUP($C654,'Patty Cash'!$B:$J,3,FALSE()),"")))),"")</f>
        <v/>
      </c>
      <c r="G654" s="374"/>
      <c r="H654" s="374" t="str">
        <f t="shared" si="20"/>
        <v/>
      </c>
      <c r="I654" s="252">
        <f>IFERROR(IF($E654="Inventory",VLOOKUP($C654,Inventory!$B:$I,8,FALSE()),IF($E654="Non Inventory",VLOOKUP($C654,'Non Inventory'!$B:$I,8,FALSE()),IF($E654="Services",VLOOKUP($C654,Services!$B:$I,8,FALSE()),IF($E654="Patty Cash",VLOOKUP($C654,'Patty Cash'!$B:$J,8,FALSE()),0)))),0)</f>
        <v>0</v>
      </c>
      <c r="J654" s="252" t="str">
        <f t="shared" si="21"/>
        <v/>
      </c>
      <c r="K654" s="253"/>
      <c r="L654" s="253"/>
      <c r="M654" s="253"/>
      <c r="N654" s="328"/>
    </row>
    <row r="655" spans="1:14" ht="20.100000000000001" customHeight="1">
      <c r="A655" s="327" t="str">
        <f>IF(AND($B655="",$C655=""),"",MAX($A$3:A654)+1)</f>
        <v/>
      </c>
      <c r="B655" s="262"/>
      <c r="C655" s="253"/>
      <c r="D655" s="249" t="str">
        <f>IFERROR(IF($E655="Inventory",VLOOKUP($C655,Inventory!$B:$I,2,FALSE()),IF($E655="Non Inventory",VLOOKUP($C655,'Non Inventory'!$B:$I,2,FALSE()),IF($E655="Services",VLOOKUP($C655,Services!$B:$I,2,FALSE()),IF($E655="Patty Cash",VLOOKUP($C655,'Patty Cash'!$B:$J,2,FALSE()),"")))),"")</f>
        <v/>
      </c>
      <c r="E655" s="254"/>
      <c r="F655" s="263" t="str">
        <f>IFERROR(IF($E655="Inventory",VLOOKUP($C655,Inventory!$B:$I,3,FALSE()),IF($E655="Non Inventory",VLOOKUP($C655,'Non Inventory'!$B:$I,3,FALSE()),IF($E655="Services",VLOOKUP($C655,Services!$B:$I,3,FALSE()),IF($E655="Patty Cash",VLOOKUP($C655,'Patty Cash'!$B:$J,3,FALSE()),"")))),"")</f>
        <v/>
      </c>
      <c r="G655" s="374"/>
      <c r="H655" s="374" t="str">
        <f t="shared" si="20"/>
        <v/>
      </c>
      <c r="I655" s="252">
        <f>IFERROR(IF($E655="Inventory",VLOOKUP($C655,Inventory!$B:$I,8,FALSE()),IF($E655="Non Inventory",VLOOKUP($C655,'Non Inventory'!$B:$I,8,FALSE()),IF($E655="Services",VLOOKUP($C655,Services!$B:$I,8,FALSE()),IF($E655="Patty Cash",VLOOKUP($C655,'Patty Cash'!$B:$J,8,FALSE()),0)))),0)</f>
        <v>0</v>
      </c>
      <c r="J655" s="252" t="str">
        <f t="shared" si="21"/>
        <v/>
      </c>
      <c r="K655" s="253"/>
      <c r="L655" s="253"/>
      <c r="M655" s="253"/>
      <c r="N655" s="328"/>
    </row>
    <row r="656" spans="1:14" ht="20.100000000000001" customHeight="1">
      <c r="A656" s="327" t="str">
        <f>IF(AND($B656="",$C656=""),"",MAX($A$3:A655)+1)</f>
        <v/>
      </c>
      <c r="B656" s="262"/>
      <c r="C656" s="253"/>
      <c r="D656" s="249" t="str">
        <f>IFERROR(IF($E656="Inventory",VLOOKUP($C656,Inventory!$B:$I,2,FALSE()),IF($E656="Non Inventory",VLOOKUP($C656,'Non Inventory'!$B:$I,2,FALSE()),IF($E656="Services",VLOOKUP($C656,Services!$B:$I,2,FALSE()),IF($E656="Patty Cash",VLOOKUP($C656,'Patty Cash'!$B:$J,2,FALSE()),"")))),"")</f>
        <v/>
      </c>
      <c r="E656" s="254"/>
      <c r="F656" s="263" t="str">
        <f>IFERROR(IF($E656="Inventory",VLOOKUP($C656,Inventory!$B:$I,3,FALSE()),IF($E656="Non Inventory",VLOOKUP($C656,'Non Inventory'!$B:$I,3,FALSE()),IF($E656="Services",VLOOKUP($C656,Services!$B:$I,3,FALSE()),IF($E656="Patty Cash",VLOOKUP($C656,'Patty Cash'!$B:$J,3,FALSE()),"")))),"")</f>
        <v/>
      </c>
      <c r="G656" s="374"/>
      <c r="H656" s="374" t="str">
        <f t="shared" si="20"/>
        <v/>
      </c>
      <c r="I656" s="252">
        <f>IFERROR(IF($E656="Inventory",VLOOKUP($C656,Inventory!$B:$I,8,FALSE()),IF($E656="Non Inventory",VLOOKUP($C656,'Non Inventory'!$B:$I,8,FALSE()),IF($E656="Services",VLOOKUP($C656,Services!$B:$I,8,FALSE()),IF($E656="Patty Cash",VLOOKUP($C656,'Patty Cash'!$B:$J,8,FALSE()),0)))),0)</f>
        <v>0</v>
      </c>
      <c r="J656" s="252" t="str">
        <f t="shared" si="21"/>
        <v/>
      </c>
      <c r="K656" s="253"/>
      <c r="L656" s="253"/>
      <c r="M656" s="253"/>
      <c r="N656" s="328"/>
    </row>
    <row r="657" spans="1:14" ht="20.100000000000001" customHeight="1">
      <c r="A657" s="327" t="str">
        <f>IF(AND($B657="",$C657=""),"",MAX($A$3:A656)+1)</f>
        <v/>
      </c>
      <c r="B657" s="262"/>
      <c r="C657" s="253"/>
      <c r="D657" s="249" t="str">
        <f>IFERROR(IF($E657="Inventory",VLOOKUP($C657,Inventory!$B:$I,2,FALSE()),IF($E657="Non Inventory",VLOOKUP($C657,'Non Inventory'!$B:$I,2,FALSE()),IF($E657="Services",VLOOKUP($C657,Services!$B:$I,2,FALSE()),IF($E657="Patty Cash",VLOOKUP($C657,'Patty Cash'!$B:$J,2,FALSE()),"")))),"")</f>
        <v/>
      </c>
      <c r="E657" s="254"/>
      <c r="F657" s="263" t="str">
        <f>IFERROR(IF($E657="Inventory",VLOOKUP($C657,Inventory!$B:$I,3,FALSE()),IF($E657="Non Inventory",VLOOKUP($C657,'Non Inventory'!$B:$I,3,FALSE()),IF($E657="Services",VLOOKUP($C657,Services!$B:$I,3,FALSE()),IF($E657="Patty Cash",VLOOKUP($C657,'Patty Cash'!$B:$J,3,FALSE()),"")))),"")</f>
        <v/>
      </c>
      <c r="G657" s="374"/>
      <c r="H657" s="374" t="str">
        <f t="shared" si="20"/>
        <v/>
      </c>
      <c r="I657" s="252">
        <f>IFERROR(IF($E657="Inventory",VLOOKUP($C657,Inventory!$B:$I,8,FALSE()),IF($E657="Non Inventory",VLOOKUP($C657,'Non Inventory'!$B:$I,8,FALSE()),IF($E657="Services",VLOOKUP($C657,Services!$B:$I,8,FALSE()),IF($E657="Patty Cash",VLOOKUP($C657,'Patty Cash'!$B:$J,8,FALSE()),0)))),0)</f>
        <v>0</v>
      </c>
      <c r="J657" s="252" t="str">
        <f t="shared" si="21"/>
        <v/>
      </c>
      <c r="K657" s="253"/>
      <c r="L657" s="253"/>
      <c r="M657" s="253"/>
      <c r="N657" s="328"/>
    </row>
    <row r="658" spans="1:14" ht="20.100000000000001" customHeight="1">
      <c r="A658" s="327" t="str">
        <f>IF(AND($B658="",$C658=""),"",MAX($A$3:A657)+1)</f>
        <v/>
      </c>
      <c r="B658" s="262"/>
      <c r="C658" s="253"/>
      <c r="D658" s="249" t="str">
        <f>IFERROR(IF($E658="Inventory",VLOOKUP($C658,Inventory!$B:$I,2,FALSE()),IF($E658="Non Inventory",VLOOKUP($C658,'Non Inventory'!$B:$I,2,FALSE()),IF($E658="Services",VLOOKUP($C658,Services!$B:$I,2,FALSE()),IF($E658="Patty Cash",VLOOKUP($C658,'Patty Cash'!$B:$J,2,FALSE()),"")))),"")</f>
        <v/>
      </c>
      <c r="E658" s="254"/>
      <c r="F658" s="263" t="str">
        <f>IFERROR(IF($E658="Inventory",VLOOKUP($C658,Inventory!$B:$I,3,FALSE()),IF($E658="Non Inventory",VLOOKUP($C658,'Non Inventory'!$B:$I,3,FALSE()),IF($E658="Services",VLOOKUP($C658,Services!$B:$I,3,FALSE()),IF($E658="Patty Cash",VLOOKUP($C658,'Patty Cash'!$B:$J,3,FALSE()),"")))),"")</f>
        <v/>
      </c>
      <c r="G658" s="374"/>
      <c r="H658" s="374" t="str">
        <f t="shared" si="20"/>
        <v/>
      </c>
      <c r="I658" s="252">
        <f>IFERROR(IF($E658="Inventory",VLOOKUP($C658,Inventory!$B:$I,8,FALSE()),IF($E658="Non Inventory",VLOOKUP($C658,'Non Inventory'!$B:$I,8,FALSE()),IF($E658="Services",VLOOKUP($C658,Services!$B:$I,8,FALSE()),IF($E658="Patty Cash",VLOOKUP($C658,'Patty Cash'!$B:$J,8,FALSE()),0)))),0)</f>
        <v>0</v>
      </c>
      <c r="J658" s="252" t="str">
        <f t="shared" si="21"/>
        <v/>
      </c>
      <c r="K658" s="253"/>
      <c r="L658" s="253"/>
      <c r="M658" s="253"/>
      <c r="N658" s="328"/>
    </row>
    <row r="659" spans="1:14" ht="20.100000000000001" customHeight="1">
      <c r="A659" s="327" t="str">
        <f>IF(AND($B659="",$C659=""),"",MAX($A$3:A658)+1)</f>
        <v/>
      </c>
      <c r="B659" s="262"/>
      <c r="C659" s="253"/>
      <c r="D659" s="249" t="str">
        <f>IFERROR(IF($E659="Inventory",VLOOKUP($C659,Inventory!$B:$I,2,FALSE()),IF($E659="Non Inventory",VLOOKUP($C659,'Non Inventory'!$B:$I,2,FALSE()),IF($E659="Services",VLOOKUP($C659,Services!$B:$I,2,FALSE()),IF($E659="Patty Cash",VLOOKUP($C659,'Patty Cash'!$B:$J,2,FALSE()),"")))),"")</f>
        <v/>
      </c>
      <c r="E659" s="254"/>
      <c r="F659" s="263" t="str">
        <f>IFERROR(IF($E659="Inventory",VLOOKUP($C659,Inventory!$B:$I,3,FALSE()),IF($E659="Non Inventory",VLOOKUP($C659,'Non Inventory'!$B:$I,3,FALSE()),IF($E659="Services",VLOOKUP($C659,Services!$B:$I,3,FALSE()),IF($E659="Patty Cash",VLOOKUP($C659,'Patty Cash'!$B:$J,3,FALSE()),"")))),"")</f>
        <v/>
      </c>
      <c r="G659" s="374"/>
      <c r="H659" s="374" t="str">
        <f t="shared" si="20"/>
        <v/>
      </c>
      <c r="I659" s="252">
        <f>IFERROR(IF($E659="Inventory",VLOOKUP($C659,Inventory!$B:$I,8,FALSE()),IF($E659="Non Inventory",VLOOKUP($C659,'Non Inventory'!$B:$I,8,FALSE()),IF($E659="Services",VLOOKUP($C659,Services!$B:$I,8,FALSE()),IF($E659="Patty Cash",VLOOKUP($C659,'Patty Cash'!$B:$J,8,FALSE()),0)))),0)</f>
        <v>0</v>
      </c>
      <c r="J659" s="252" t="str">
        <f t="shared" si="21"/>
        <v/>
      </c>
      <c r="K659" s="253"/>
      <c r="L659" s="253"/>
      <c r="M659" s="253"/>
      <c r="N659" s="328"/>
    </row>
    <row r="660" spans="1:14" ht="20.100000000000001" customHeight="1">
      <c r="A660" s="327" t="str">
        <f>IF(AND($B660="",$C660=""),"",MAX($A$3:A659)+1)</f>
        <v/>
      </c>
      <c r="B660" s="262"/>
      <c r="C660" s="253"/>
      <c r="D660" s="249" t="str">
        <f>IFERROR(IF($E660="Inventory",VLOOKUP($C660,Inventory!$B:$I,2,FALSE()),IF($E660="Non Inventory",VLOOKUP($C660,'Non Inventory'!$B:$I,2,FALSE()),IF($E660="Services",VLOOKUP($C660,Services!$B:$I,2,FALSE()),IF($E660="Patty Cash",VLOOKUP($C660,'Patty Cash'!$B:$J,2,FALSE()),"")))),"")</f>
        <v/>
      </c>
      <c r="E660" s="254"/>
      <c r="F660" s="263" t="str">
        <f>IFERROR(IF($E660="Inventory",VLOOKUP($C660,Inventory!$B:$I,3,FALSE()),IF($E660="Non Inventory",VLOOKUP($C660,'Non Inventory'!$B:$I,3,FALSE()),IF($E660="Services",VLOOKUP($C660,Services!$B:$I,3,FALSE()),IF($E660="Patty Cash",VLOOKUP($C660,'Patty Cash'!$B:$J,3,FALSE()),"")))),"")</f>
        <v/>
      </c>
      <c r="G660" s="374"/>
      <c r="H660" s="374" t="str">
        <f t="shared" si="20"/>
        <v/>
      </c>
      <c r="I660" s="252">
        <f>IFERROR(IF($E660="Inventory",VLOOKUP($C660,Inventory!$B:$I,8,FALSE()),IF($E660="Non Inventory",VLOOKUP($C660,'Non Inventory'!$B:$I,8,FALSE()),IF($E660="Services",VLOOKUP($C660,Services!$B:$I,8,FALSE()),IF($E660="Patty Cash",VLOOKUP($C660,'Patty Cash'!$B:$J,8,FALSE()),0)))),0)</f>
        <v>0</v>
      </c>
      <c r="J660" s="252" t="str">
        <f t="shared" si="21"/>
        <v/>
      </c>
      <c r="K660" s="253"/>
      <c r="L660" s="253"/>
      <c r="M660" s="253"/>
      <c r="N660" s="328"/>
    </row>
    <row r="661" spans="1:14" ht="20.100000000000001" customHeight="1">
      <c r="A661" s="327" t="str">
        <f>IF(AND($B661="",$C661=""),"",MAX($A$3:A660)+1)</f>
        <v/>
      </c>
      <c r="B661" s="262"/>
      <c r="C661" s="253"/>
      <c r="D661" s="249" t="str">
        <f>IFERROR(IF($E661="Inventory",VLOOKUP($C661,Inventory!$B:$I,2,FALSE()),IF($E661="Non Inventory",VLOOKUP($C661,'Non Inventory'!$B:$I,2,FALSE()),IF($E661="Services",VLOOKUP($C661,Services!$B:$I,2,FALSE()),IF($E661="Patty Cash",VLOOKUP($C661,'Patty Cash'!$B:$J,2,FALSE()),"")))),"")</f>
        <v/>
      </c>
      <c r="E661" s="254"/>
      <c r="F661" s="263" t="str">
        <f>IFERROR(IF($E661="Inventory",VLOOKUP($C661,Inventory!$B:$I,3,FALSE()),IF($E661="Non Inventory",VLOOKUP($C661,'Non Inventory'!$B:$I,3,FALSE()),IF($E661="Services",VLOOKUP($C661,Services!$B:$I,3,FALSE()),IF($E661="Patty Cash",VLOOKUP($C661,'Patty Cash'!$B:$J,3,FALSE()),"")))),"")</f>
        <v/>
      </c>
      <c r="G661" s="374"/>
      <c r="H661" s="374" t="str">
        <f t="shared" si="20"/>
        <v/>
      </c>
      <c r="I661" s="252">
        <f>IFERROR(IF($E661="Inventory",VLOOKUP($C661,Inventory!$B:$I,8,FALSE()),IF($E661="Non Inventory",VLOOKUP($C661,'Non Inventory'!$B:$I,8,FALSE()),IF($E661="Services",VLOOKUP($C661,Services!$B:$I,8,FALSE()),IF($E661="Patty Cash",VLOOKUP($C661,'Patty Cash'!$B:$J,8,FALSE()),0)))),0)</f>
        <v>0</v>
      </c>
      <c r="J661" s="252" t="str">
        <f t="shared" si="21"/>
        <v/>
      </c>
      <c r="K661" s="253"/>
      <c r="L661" s="253"/>
      <c r="M661" s="253"/>
      <c r="N661" s="328"/>
    </row>
    <row r="662" spans="1:14" ht="20.100000000000001" customHeight="1">
      <c r="A662" s="327" t="str">
        <f>IF(AND($B662="",$C662=""),"",MAX($A$3:A661)+1)</f>
        <v/>
      </c>
      <c r="B662" s="262"/>
      <c r="C662" s="253"/>
      <c r="D662" s="249" t="str">
        <f>IFERROR(IF($E662="Inventory",VLOOKUP($C662,Inventory!$B:$I,2,FALSE()),IF($E662="Non Inventory",VLOOKUP($C662,'Non Inventory'!$B:$I,2,FALSE()),IF($E662="Services",VLOOKUP($C662,Services!$B:$I,2,FALSE()),IF($E662="Patty Cash",VLOOKUP($C662,'Patty Cash'!$B:$J,2,FALSE()),"")))),"")</f>
        <v/>
      </c>
      <c r="E662" s="254"/>
      <c r="F662" s="263" t="str">
        <f>IFERROR(IF($E662="Inventory",VLOOKUP($C662,Inventory!$B:$I,3,FALSE()),IF($E662="Non Inventory",VLOOKUP($C662,'Non Inventory'!$B:$I,3,FALSE()),IF($E662="Services",VLOOKUP($C662,Services!$B:$I,3,FALSE()),IF($E662="Patty Cash",VLOOKUP($C662,'Patty Cash'!$B:$J,3,FALSE()),"")))),"")</f>
        <v/>
      </c>
      <c r="G662" s="374"/>
      <c r="H662" s="374" t="str">
        <f t="shared" si="20"/>
        <v/>
      </c>
      <c r="I662" s="252">
        <f>IFERROR(IF($E662="Inventory",VLOOKUP($C662,Inventory!$B:$I,8,FALSE()),IF($E662="Non Inventory",VLOOKUP($C662,'Non Inventory'!$B:$I,8,FALSE()),IF($E662="Services",VLOOKUP($C662,Services!$B:$I,8,FALSE()),IF($E662="Patty Cash",VLOOKUP($C662,'Patty Cash'!$B:$J,8,FALSE()),0)))),0)</f>
        <v>0</v>
      </c>
      <c r="J662" s="252" t="str">
        <f t="shared" si="21"/>
        <v/>
      </c>
      <c r="K662" s="253"/>
      <c r="L662" s="253"/>
      <c r="M662" s="253"/>
      <c r="N662" s="328"/>
    </row>
    <row r="663" spans="1:14" ht="20.100000000000001" customHeight="1">
      <c r="A663" s="327" t="str">
        <f>IF(AND($B663="",$C663=""),"",MAX($A$3:A662)+1)</f>
        <v/>
      </c>
      <c r="B663" s="262"/>
      <c r="C663" s="253"/>
      <c r="D663" s="249" t="str">
        <f>IFERROR(IF($E663="Inventory",VLOOKUP($C663,Inventory!$B:$I,2,FALSE()),IF($E663="Non Inventory",VLOOKUP($C663,'Non Inventory'!$B:$I,2,FALSE()),IF($E663="Services",VLOOKUP($C663,Services!$B:$I,2,FALSE()),IF($E663="Patty Cash",VLOOKUP($C663,'Patty Cash'!$B:$J,2,FALSE()),"")))),"")</f>
        <v/>
      </c>
      <c r="E663" s="254"/>
      <c r="F663" s="263" t="str">
        <f>IFERROR(IF($E663="Inventory",VLOOKUP($C663,Inventory!$B:$I,3,FALSE()),IF($E663="Non Inventory",VLOOKUP($C663,'Non Inventory'!$B:$I,3,FALSE()),IF($E663="Services",VLOOKUP($C663,Services!$B:$I,3,FALSE()),IF($E663="Patty Cash",VLOOKUP($C663,'Patty Cash'!$B:$J,3,FALSE()),"")))),"")</f>
        <v/>
      </c>
      <c r="G663" s="374"/>
      <c r="H663" s="374" t="str">
        <f t="shared" si="20"/>
        <v/>
      </c>
      <c r="I663" s="252">
        <f>IFERROR(IF($E663="Inventory",VLOOKUP($C663,Inventory!$B:$I,8,FALSE()),IF($E663="Non Inventory",VLOOKUP($C663,'Non Inventory'!$B:$I,8,FALSE()),IF($E663="Services",VLOOKUP($C663,Services!$B:$I,8,FALSE()),IF($E663="Patty Cash",VLOOKUP($C663,'Patty Cash'!$B:$J,8,FALSE()),0)))),0)</f>
        <v>0</v>
      </c>
      <c r="J663" s="252" t="str">
        <f t="shared" si="21"/>
        <v/>
      </c>
      <c r="K663" s="253"/>
      <c r="L663" s="253"/>
      <c r="M663" s="253"/>
      <c r="N663" s="328"/>
    </row>
    <row r="664" spans="1:14" ht="20.100000000000001" customHeight="1">
      <c r="A664" s="327" t="str">
        <f>IF(AND($B664="",$C664=""),"",MAX($A$3:A663)+1)</f>
        <v/>
      </c>
      <c r="B664" s="262"/>
      <c r="C664" s="253"/>
      <c r="D664" s="249" t="str">
        <f>IFERROR(IF($E664="Inventory",VLOOKUP($C664,Inventory!$B:$I,2,FALSE()),IF($E664="Non Inventory",VLOOKUP($C664,'Non Inventory'!$B:$I,2,FALSE()),IF($E664="Services",VLOOKUP($C664,Services!$B:$I,2,FALSE()),IF($E664="Patty Cash",VLOOKUP($C664,'Patty Cash'!$B:$J,2,FALSE()),"")))),"")</f>
        <v/>
      </c>
      <c r="E664" s="254"/>
      <c r="F664" s="263" t="str">
        <f>IFERROR(IF($E664="Inventory",VLOOKUP($C664,Inventory!$B:$I,3,FALSE()),IF($E664="Non Inventory",VLOOKUP($C664,'Non Inventory'!$B:$I,3,FALSE()),IF($E664="Services",VLOOKUP($C664,Services!$B:$I,3,FALSE()),IF($E664="Patty Cash",VLOOKUP($C664,'Patty Cash'!$B:$J,3,FALSE()),"")))),"")</f>
        <v/>
      </c>
      <c r="G664" s="374"/>
      <c r="H664" s="374" t="str">
        <f t="shared" si="20"/>
        <v/>
      </c>
      <c r="I664" s="252">
        <f>IFERROR(IF($E664="Inventory",VLOOKUP($C664,Inventory!$B:$I,8,FALSE()),IF($E664="Non Inventory",VLOOKUP($C664,'Non Inventory'!$B:$I,8,FALSE()),IF($E664="Services",VLOOKUP($C664,Services!$B:$I,8,FALSE()),IF($E664="Patty Cash",VLOOKUP($C664,'Patty Cash'!$B:$J,8,FALSE()),0)))),0)</f>
        <v>0</v>
      </c>
      <c r="J664" s="252" t="str">
        <f t="shared" si="21"/>
        <v/>
      </c>
      <c r="K664" s="253"/>
      <c r="L664" s="253"/>
      <c r="M664" s="253"/>
      <c r="N664" s="328"/>
    </row>
    <row r="665" spans="1:14" ht="20.100000000000001" customHeight="1">
      <c r="A665" s="327" t="str">
        <f>IF(AND($B665="",$C665=""),"",MAX($A$3:A664)+1)</f>
        <v/>
      </c>
      <c r="B665" s="262"/>
      <c r="C665" s="253"/>
      <c r="D665" s="249" t="str">
        <f>IFERROR(IF($E665="Inventory",VLOOKUP($C665,Inventory!$B:$I,2,FALSE()),IF($E665="Non Inventory",VLOOKUP($C665,'Non Inventory'!$B:$I,2,FALSE()),IF($E665="Services",VLOOKUP($C665,Services!$B:$I,2,FALSE()),IF($E665="Patty Cash",VLOOKUP($C665,'Patty Cash'!$B:$J,2,FALSE()),"")))),"")</f>
        <v/>
      </c>
      <c r="E665" s="254"/>
      <c r="F665" s="263" t="str">
        <f>IFERROR(IF($E665="Inventory",VLOOKUP($C665,Inventory!$B:$I,3,FALSE()),IF($E665="Non Inventory",VLOOKUP($C665,'Non Inventory'!$B:$I,3,FALSE()),IF($E665="Services",VLOOKUP($C665,Services!$B:$I,3,FALSE()),IF($E665="Patty Cash",VLOOKUP($C665,'Patty Cash'!$B:$J,3,FALSE()),"")))),"")</f>
        <v/>
      </c>
      <c r="G665" s="374"/>
      <c r="H665" s="374" t="str">
        <f t="shared" si="20"/>
        <v/>
      </c>
      <c r="I665" s="252">
        <f>IFERROR(IF($E665="Inventory",VLOOKUP($C665,Inventory!$B:$I,8,FALSE()),IF($E665="Non Inventory",VLOOKUP($C665,'Non Inventory'!$B:$I,8,FALSE()),IF($E665="Services",VLOOKUP($C665,Services!$B:$I,8,FALSE()),IF($E665="Patty Cash",VLOOKUP($C665,'Patty Cash'!$B:$J,8,FALSE()),0)))),0)</f>
        <v>0</v>
      </c>
      <c r="J665" s="252" t="str">
        <f t="shared" si="21"/>
        <v/>
      </c>
      <c r="K665" s="253"/>
      <c r="L665" s="253"/>
      <c r="M665" s="253"/>
      <c r="N665" s="328"/>
    </row>
    <row r="666" spans="1:14" ht="20.100000000000001" customHeight="1">
      <c r="A666" s="327" t="str">
        <f>IF(AND($B666="",$C666=""),"",MAX($A$3:A665)+1)</f>
        <v/>
      </c>
      <c r="B666" s="262"/>
      <c r="C666" s="253"/>
      <c r="D666" s="249" t="str">
        <f>IFERROR(IF($E666="Inventory",VLOOKUP($C666,Inventory!$B:$I,2,FALSE()),IF($E666="Non Inventory",VLOOKUP($C666,'Non Inventory'!$B:$I,2,FALSE()),IF($E666="Services",VLOOKUP($C666,Services!$B:$I,2,FALSE()),IF($E666="Patty Cash",VLOOKUP($C666,'Patty Cash'!$B:$J,2,FALSE()),"")))),"")</f>
        <v/>
      </c>
      <c r="E666" s="254"/>
      <c r="F666" s="263" t="str">
        <f>IFERROR(IF($E666="Inventory",VLOOKUP($C666,Inventory!$B:$I,3,FALSE()),IF($E666="Non Inventory",VLOOKUP($C666,'Non Inventory'!$B:$I,3,FALSE()),IF($E666="Services",VLOOKUP($C666,Services!$B:$I,3,FALSE()),IF($E666="Patty Cash",VLOOKUP($C666,'Patty Cash'!$B:$J,3,FALSE()),"")))),"")</f>
        <v/>
      </c>
      <c r="G666" s="374"/>
      <c r="H666" s="374" t="str">
        <f t="shared" si="20"/>
        <v/>
      </c>
      <c r="I666" s="252">
        <f>IFERROR(IF($E666="Inventory",VLOOKUP($C666,Inventory!$B:$I,8,FALSE()),IF($E666="Non Inventory",VLOOKUP($C666,'Non Inventory'!$B:$I,8,FALSE()),IF($E666="Services",VLOOKUP($C666,Services!$B:$I,8,FALSE()),IF($E666="Patty Cash",VLOOKUP($C666,'Patty Cash'!$B:$J,8,FALSE()),0)))),0)</f>
        <v>0</v>
      </c>
      <c r="J666" s="252" t="str">
        <f t="shared" si="21"/>
        <v/>
      </c>
      <c r="K666" s="253"/>
      <c r="L666" s="253"/>
      <c r="M666" s="253"/>
      <c r="N666" s="328"/>
    </row>
    <row r="667" spans="1:14" ht="20.100000000000001" customHeight="1">
      <c r="A667" s="327" t="str">
        <f>IF(AND($B667="",$C667=""),"",MAX($A$3:A666)+1)</f>
        <v/>
      </c>
      <c r="B667" s="262"/>
      <c r="C667" s="253"/>
      <c r="D667" s="249" t="str">
        <f>IFERROR(IF($E667="Inventory",VLOOKUP($C667,Inventory!$B:$I,2,FALSE()),IF($E667="Non Inventory",VLOOKUP($C667,'Non Inventory'!$B:$I,2,FALSE()),IF($E667="Services",VLOOKUP($C667,Services!$B:$I,2,FALSE()),IF($E667="Patty Cash",VLOOKUP($C667,'Patty Cash'!$B:$J,2,FALSE()),"")))),"")</f>
        <v/>
      </c>
      <c r="E667" s="254"/>
      <c r="F667" s="263" t="str">
        <f>IFERROR(IF($E667="Inventory",VLOOKUP($C667,Inventory!$B:$I,3,FALSE()),IF($E667="Non Inventory",VLOOKUP($C667,'Non Inventory'!$B:$I,3,FALSE()),IF($E667="Services",VLOOKUP($C667,Services!$B:$I,3,FALSE()),IF($E667="Patty Cash",VLOOKUP($C667,'Patty Cash'!$B:$J,3,FALSE()),"")))),"")</f>
        <v/>
      </c>
      <c r="G667" s="374"/>
      <c r="H667" s="374" t="str">
        <f t="shared" si="20"/>
        <v/>
      </c>
      <c r="I667" s="252">
        <f>IFERROR(IF($E667="Inventory",VLOOKUP($C667,Inventory!$B:$I,8,FALSE()),IF($E667="Non Inventory",VLOOKUP($C667,'Non Inventory'!$B:$I,8,FALSE()),IF($E667="Services",VLOOKUP($C667,Services!$B:$I,8,FALSE()),IF($E667="Patty Cash",VLOOKUP($C667,'Patty Cash'!$B:$J,8,FALSE()),0)))),0)</f>
        <v>0</v>
      </c>
      <c r="J667" s="252" t="str">
        <f t="shared" si="21"/>
        <v/>
      </c>
      <c r="K667" s="253"/>
      <c r="L667" s="253"/>
      <c r="M667" s="253"/>
      <c r="N667" s="328"/>
    </row>
    <row r="668" spans="1:14" ht="20.100000000000001" customHeight="1">
      <c r="A668" s="327" t="str">
        <f>IF(AND($B668="",$C668=""),"",MAX($A$3:A667)+1)</f>
        <v/>
      </c>
      <c r="B668" s="262"/>
      <c r="C668" s="253"/>
      <c r="D668" s="249" t="str">
        <f>IFERROR(IF($E668="Inventory",VLOOKUP($C668,Inventory!$B:$I,2,FALSE()),IF($E668="Non Inventory",VLOOKUP($C668,'Non Inventory'!$B:$I,2,FALSE()),IF($E668="Services",VLOOKUP($C668,Services!$B:$I,2,FALSE()),IF($E668="Patty Cash",VLOOKUP($C668,'Patty Cash'!$B:$J,2,FALSE()),"")))),"")</f>
        <v/>
      </c>
      <c r="E668" s="254"/>
      <c r="F668" s="263" t="str">
        <f>IFERROR(IF($E668="Inventory",VLOOKUP($C668,Inventory!$B:$I,3,FALSE()),IF($E668="Non Inventory",VLOOKUP($C668,'Non Inventory'!$B:$I,3,FALSE()),IF($E668="Services",VLOOKUP($C668,Services!$B:$I,3,FALSE()),IF($E668="Patty Cash",VLOOKUP($C668,'Patty Cash'!$B:$J,3,FALSE()),"")))),"")</f>
        <v/>
      </c>
      <c r="G668" s="374"/>
      <c r="H668" s="374" t="str">
        <f t="shared" si="20"/>
        <v/>
      </c>
      <c r="I668" s="252">
        <f>IFERROR(IF($E668="Inventory",VLOOKUP($C668,Inventory!$B:$I,8,FALSE()),IF($E668="Non Inventory",VLOOKUP($C668,'Non Inventory'!$B:$I,8,FALSE()),IF($E668="Services",VLOOKUP($C668,Services!$B:$I,8,FALSE()),IF($E668="Patty Cash",VLOOKUP($C668,'Patty Cash'!$B:$J,8,FALSE()),0)))),0)</f>
        <v>0</v>
      </c>
      <c r="J668" s="252" t="str">
        <f t="shared" si="21"/>
        <v/>
      </c>
      <c r="K668" s="253"/>
      <c r="L668" s="253"/>
      <c r="M668" s="253"/>
      <c r="N668" s="328"/>
    </row>
    <row r="669" spans="1:14" ht="20.100000000000001" customHeight="1">
      <c r="A669" s="327" t="str">
        <f>IF(AND($B669="",$C669=""),"",MAX($A$3:A668)+1)</f>
        <v/>
      </c>
      <c r="B669" s="262"/>
      <c r="C669" s="253"/>
      <c r="D669" s="249" t="str">
        <f>IFERROR(IF($E669="Inventory",VLOOKUP($C669,Inventory!$B:$I,2,FALSE()),IF($E669="Non Inventory",VLOOKUP($C669,'Non Inventory'!$B:$I,2,FALSE()),IF($E669="Services",VLOOKUP($C669,Services!$B:$I,2,FALSE()),IF($E669="Patty Cash",VLOOKUP($C669,'Patty Cash'!$B:$J,2,FALSE()),"")))),"")</f>
        <v/>
      </c>
      <c r="E669" s="254"/>
      <c r="F669" s="263" t="str">
        <f>IFERROR(IF($E669="Inventory",VLOOKUP($C669,Inventory!$B:$I,3,FALSE()),IF($E669="Non Inventory",VLOOKUP($C669,'Non Inventory'!$B:$I,3,FALSE()),IF($E669="Services",VLOOKUP($C669,Services!$B:$I,3,FALSE()),IF($E669="Patty Cash",VLOOKUP($C669,'Patty Cash'!$B:$J,3,FALSE()),"")))),"")</f>
        <v/>
      </c>
      <c r="G669" s="374"/>
      <c r="H669" s="374" t="str">
        <f t="shared" si="20"/>
        <v/>
      </c>
      <c r="I669" s="252">
        <f>IFERROR(IF($E669="Inventory",VLOOKUP($C669,Inventory!$B:$I,8,FALSE()),IF($E669="Non Inventory",VLOOKUP($C669,'Non Inventory'!$B:$I,8,FALSE()),IF($E669="Services",VLOOKUP($C669,Services!$B:$I,8,FALSE()),IF($E669="Patty Cash",VLOOKUP($C669,'Patty Cash'!$B:$J,8,FALSE()),0)))),0)</f>
        <v>0</v>
      </c>
      <c r="J669" s="252" t="str">
        <f t="shared" si="21"/>
        <v/>
      </c>
      <c r="K669" s="253"/>
      <c r="L669" s="253"/>
      <c r="M669" s="253"/>
      <c r="N669" s="328"/>
    </row>
    <row r="670" spans="1:14" ht="20.100000000000001" customHeight="1">
      <c r="A670" s="327" t="str">
        <f>IF(AND($B670="",$C670=""),"",MAX($A$3:A669)+1)</f>
        <v/>
      </c>
      <c r="B670" s="262"/>
      <c r="C670" s="253"/>
      <c r="D670" s="249" t="str">
        <f>IFERROR(IF($E670="Inventory",VLOOKUP($C670,Inventory!$B:$I,2,FALSE()),IF($E670="Non Inventory",VLOOKUP($C670,'Non Inventory'!$B:$I,2,FALSE()),IF($E670="Services",VLOOKUP($C670,Services!$B:$I,2,FALSE()),IF($E670="Patty Cash",VLOOKUP($C670,'Patty Cash'!$B:$J,2,FALSE()),"")))),"")</f>
        <v/>
      </c>
      <c r="E670" s="254"/>
      <c r="F670" s="263" t="str">
        <f>IFERROR(IF($E670="Inventory",VLOOKUP($C670,Inventory!$B:$I,3,FALSE()),IF($E670="Non Inventory",VLOOKUP($C670,'Non Inventory'!$B:$I,3,FALSE()),IF($E670="Services",VLOOKUP($C670,Services!$B:$I,3,FALSE()),IF($E670="Patty Cash",VLOOKUP($C670,'Patty Cash'!$B:$J,3,FALSE()),"")))),"")</f>
        <v/>
      </c>
      <c r="G670" s="374"/>
      <c r="H670" s="374" t="str">
        <f t="shared" si="20"/>
        <v/>
      </c>
      <c r="I670" s="252">
        <f>IFERROR(IF($E670="Inventory",VLOOKUP($C670,Inventory!$B:$I,8,FALSE()),IF($E670="Non Inventory",VLOOKUP($C670,'Non Inventory'!$B:$I,8,FALSE()),IF($E670="Services",VLOOKUP($C670,Services!$B:$I,8,FALSE()),IF($E670="Patty Cash",VLOOKUP($C670,'Patty Cash'!$B:$J,8,FALSE()),0)))),0)</f>
        <v>0</v>
      </c>
      <c r="J670" s="252" t="str">
        <f t="shared" si="21"/>
        <v/>
      </c>
      <c r="K670" s="253"/>
      <c r="L670" s="253"/>
      <c r="M670" s="253"/>
      <c r="N670" s="328"/>
    </row>
    <row r="671" spans="1:14" ht="20.100000000000001" customHeight="1">
      <c r="A671" s="327" t="str">
        <f>IF(AND($B671="",$C671=""),"",MAX($A$3:A670)+1)</f>
        <v/>
      </c>
      <c r="B671" s="262"/>
      <c r="C671" s="253"/>
      <c r="D671" s="249" t="str">
        <f>IFERROR(IF($E671="Inventory",VLOOKUP($C671,Inventory!$B:$I,2,FALSE()),IF($E671="Non Inventory",VLOOKUP($C671,'Non Inventory'!$B:$I,2,FALSE()),IF($E671="Services",VLOOKUP($C671,Services!$B:$I,2,FALSE()),IF($E671="Patty Cash",VLOOKUP($C671,'Patty Cash'!$B:$J,2,FALSE()),"")))),"")</f>
        <v/>
      </c>
      <c r="E671" s="254"/>
      <c r="F671" s="263" t="str">
        <f>IFERROR(IF($E671="Inventory",VLOOKUP($C671,Inventory!$B:$I,3,FALSE()),IF($E671="Non Inventory",VLOOKUP($C671,'Non Inventory'!$B:$I,3,FALSE()),IF($E671="Services",VLOOKUP($C671,Services!$B:$I,3,FALSE()),IF($E671="Patty Cash",VLOOKUP($C671,'Patty Cash'!$B:$J,3,FALSE()),"")))),"")</f>
        <v/>
      </c>
      <c r="G671" s="374"/>
      <c r="H671" s="374" t="str">
        <f t="shared" si="20"/>
        <v/>
      </c>
      <c r="I671" s="252">
        <f>IFERROR(IF($E671="Inventory",VLOOKUP($C671,Inventory!$B:$I,8,FALSE()),IF($E671="Non Inventory",VLOOKUP($C671,'Non Inventory'!$B:$I,8,FALSE()),IF($E671="Services",VLOOKUP($C671,Services!$B:$I,8,FALSE()),IF($E671="Patty Cash",VLOOKUP($C671,'Patty Cash'!$B:$J,8,FALSE()),0)))),0)</f>
        <v>0</v>
      </c>
      <c r="J671" s="252" t="str">
        <f t="shared" si="21"/>
        <v/>
      </c>
      <c r="K671" s="253"/>
      <c r="L671" s="253"/>
      <c r="M671" s="253"/>
      <c r="N671" s="328"/>
    </row>
    <row r="672" spans="1:14" ht="20.100000000000001" customHeight="1">
      <c r="A672" s="327" t="str">
        <f>IF(AND($B672="",$C672=""),"",MAX($A$3:A671)+1)</f>
        <v/>
      </c>
      <c r="B672" s="262"/>
      <c r="C672" s="253"/>
      <c r="D672" s="249" t="str">
        <f>IFERROR(IF($E672="Inventory",VLOOKUP($C672,Inventory!$B:$I,2,FALSE()),IF($E672="Non Inventory",VLOOKUP($C672,'Non Inventory'!$B:$I,2,FALSE()),IF($E672="Services",VLOOKUP($C672,Services!$B:$I,2,FALSE()),IF($E672="Patty Cash",VLOOKUP($C672,'Patty Cash'!$B:$J,2,FALSE()),"")))),"")</f>
        <v/>
      </c>
      <c r="E672" s="254"/>
      <c r="F672" s="263" t="str">
        <f>IFERROR(IF($E672="Inventory",VLOOKUP($C672,Inventory!$B:$I,3,FALSE()),IF($E672="Non Inventory",VLOOKUP($C672,'Non Inventory'!$B:$I,3,FALSE()),IF($E672="Services",VLOOKUP($C672,Services!$B:$I,3,FALSE()),IF($E672="Patty Cash",VLOOKUP($C672,'Patty Cash'!$B:$J,3,FALSE()),"")))),"")</f>
        <v/>
      </c>
      <c r="G672" s="374"/>
      <c r="H672" s="374" t="str">
        <f t="shared" si="20"/>
        <v/>
      </c>
      <c r="I672" s="252">
        <f>IFERROR(IF($E672="Inventory",VLOOKUP($C672,Inventory!$B:$I,8,FALSE()),IF($E672="Non Inventory",VLOOKUP($C672,'Non Inventory'!$B:$I,8,FALSE()),IF($E672="Services",VLOOKUP($C672,Services!$B:$I,8,FALSE()),IF($E672="Patty Cash",VLOOKUP($C672,'Patty Cash'!$B:$J,8,FALSE()),0)))),0)</f>
        <v>0</v>
      </c>
      <c r="J672" s="252" t="str">
        <f t="shared" si="21"/>
        <v/>
      </c>
      <c r="K672" s="253"/>
      <c r="L672" s="253"/>
      <c r="M672" s="253"/>
      <c r="N672" s="328"/>
    </row>
    <row r="673" spans="1:14" ht="20.100000000000001" customHeight="1">
      <c r="A673" s="327" t="str">
        <f>IF(AND($B673="",$C673=""),"",MAX($A$3:A672)+1)</f>
        <v/>
      </c>
      <c r="B673" s="262"/>
      <c r="C673" s="253"/>
      <c r="D673" s="249" t="str">
        <f>IFERROR(IF($E673="Inventory",VLOOKUP($C673,Inventory!$B:$I,2,FALSE()),IF($E673="Non Inventory",VLOOKUP($C673,'Non Inventory'!$B:$I,2,FALSE()),IF($E673="Services",VLOOKUP($C673,Services!$B:$I,2,FALSE()),IF($E673="Patty Cash",VLOOKUP($C673,'Patty Cash'!$B:$J,2,FALSE()),"")))),"")</f>
        <v/>
      </c>
      <c r="E673" s="254"/>
      <c r="F673" s="263" t="str">
        <f>IFERROR(IF($E673="Inventory",VLOOKUP($C673,Inventory!$B:$I,3,FALSE()),IF($E673="Non Inventory",VLOOKUP($C673,'Non Inventory'!$B:$I,3,FALSE()),IF($E673="Services",VLOOKUP($C673,Services!$B:$I,3,FALSE()),IF($E673="Patty Cash",VLOOKUP($C673,'Patty Cash'!$B:$J,3,FALSE()),"")))),"")</f>
        <v/>
      </c>
      <c r="G673" s="374"/>
      <c r="H673" s="374" t="str">
        <f t="shared" si="20"/>
        <v/>
      </c>
      <c r="I673" s="252">
        <f>IFERROR(IF($E673="Inventory",VLOOKUP($C673,Inventory!$B:$I,8,FALSE()),IF($E673="Non Inventory",VLOOKUP($C673,'Non Inventory'!$B:$I,8,FALSE()),IF($E673="Services",VLOOKUP($C673,Services!$B:$I,8,FALSE()),IF($E673="Patty Cash",VLOOKUP($C673,'Patty Cash'!$B:$J,8,FALSE()),0)))),0)</f>
        <v>0</v>
      </c>
      <c r="J673" s="252" t="str">
        <f t="shared" si="21"/>
        <v/>
      </c>
      <c r="K673" s="253"/>
      <c r="L673" s="253"/>
      <c r="M673" s="253"/>
      <c r="N673" s="328"/>
    </row>
    <row r="674" spans="1:14" ht="20.100000000000001" customHeight="1">
      <c r="A674" s="327" t="str">
        <f>IF(AND($B674="",$C674=""),"",MAX($A$3:A673)+1)</f>
        <v/>
      </c>
      <c r="B674" s="262"/>
      <c r="C674" s="253"/>
      <c r="D674" s="249" t="str">
        <f>IFERROR(IF($E674="Inventory",VLOOKUP($C674,Inventory!$B:$I,2,FALSE()),IF($E674="Non Inventory",VLOOKUP($C674,'Non Inventory'!$B:$I,2,FALSE()),IF($E674="Services",VLOOKUP($C674,Services!$B:$I,2,FALSE()),IF($E674="Patty Cash",VLOOKUP($C674,'Patty Cash'!$B:$J,2,FALSE()),"")))),"")</f>
        <v/>
      </c>
      <c r="E674" s="254"/>
      <c r="F674" s="263" t="str">
        <f>IFERROR(IF($E674="Inventory",VLOOKUP($C674,Inventory!$B:$I,3,FALSE()),IF($E674="Non Inventory",VLOOKUP($C674,'Non Inventory'!$B:$I,3,FALSE()),IF($E674="Services",VLOOKUP($C674,Services!$B:$I,3,FALSE()),IF($E674="Patty Cash",VLOOKUP($C674,'Patty Cash'!$B:$J,3,FALSE()),"")))),"")</f>
        <v/>
      </c>
      <c r="G674" s="374"/>
      <c r="H674" s="374" t="str">
        <f t="shared" si="20"/>
        <v/>
      </c>
      <c r="I674" s="252">
        <f>IFERROR(IF($E674="Inventory",VLOOKUP($C674,Inventory!$B:$I,8,FALSE()),IF($E674="Non Inventory",VLOOKUP($C674,'Non Inventory'!$B:$I,8,FALSE()),IF($E674="Services",VLOOKUP($C674,Services!$B:$I,8,FALSE()),IF($E674="Patty Cash",VLOOKUP($C674,'Patty Cash'!$B:$J,8,FALSE()),0)))),0)</f>
        <v>0</v>
      </c>
      <c r="J674" s="252" t="str">
        <f t="shared" si="21"/>
        <v/>
      </c>
      <c r="K674" s="253"/>
      <c r="L674" s="253"/>
      <c r="M674" s="253"/>
      <c r="N674" s="328"/>
    </row>
    <row r="675" spans="1:14" ht="20.100000000000001" customHeight="1">
      <c r="A675" s="327" t="str">
        <f>IF(AND($B675="",$C675=""),"",MAX($A$3:A674)+1)</f>
        <v/>
      </c>
      <c r="B675" s="262"/>
      <c r="C675" s="253"/>
      <c r="D675" s="249" t="str">
        <f>IFERROR(IF($E675="Inventory",VLOOKUP($C675,Inventory!$B:$I,2,FALSE()),IF($E675="Non Inventory",VLOOKUP($C675,'Non Inventory'!$B:$I,2,FALSE()),IF($E675="Services",VLOOKUP($C675,Services!$B:$I,2,FALSE()),IF($E675="Patty Cash",VLOOKUP($C675,'Patty Cash'!$B:$J,2,FALSE()),"")))),"")</f>
        <v/>
      </c>
      <c r="E675" s="254"/>
      <c r="F675" s="263" t="str">
        <f>IFERROR(IF($E675="Inventory",VLOOKUP($C675,Inventory!$B:$I,3,FALSE()),IF($E675="Non Inventory",VLOOKUP($C675,'Non Inventory'!$B:$I,3,FALSE()),IF($E675="Services",VLOOKUP($C675,Services!$B:$I,3,FALSE()),IF($E675="Patty Cash",VLOOKUP($C675,'Patty Cash'!$B:$J,3,FALSE()),"")))),"")</f>
        <v/>
      </c>
      <c r="G675" s="374"/>
      <c r="H675" s="374" t="str">
        <f t="shared" si="20"/>
        <v/>
      </c>
      <c r="I675" s="252">
        <f>IFERROR(IF($E675="Inventory",VLOOKUP($C675,Inventory!$B:$I,8,FALSE()),IF($E675="Non Inventory",VLOOKUP($C675,'Non Inventory'!$B:$I,8,FALSE()),IF($E675="Services",VLOOKUP($C675,Services!$B:$I,8,FALSE()),IF($E675="Patty Cash",VLOOKUP($C675,'Patty Cash'!$B:$J,8,FALSE()),0)))),0)</f>
        <v>0</v>
      </c>
      <c r="J675" s="252" t="str">
        <f t="shared" si="21"/>
        <v/>
      </c>
      <c r="K675" s="253"/>
      <c r="L675" s="253"/>
      <c r="M675" s="253"/>
      <c r="N675" s="328"/>
    </row>
    <row r="676" spans="1:14" ht="20.100000000000001" customHeight="1">
      <c r="A676" s="327" t="str">
        <f>IF(AND($B676="",$C676=""),"",MAX($A$3:A675)+1)</f>
        <v/>
      </c>
      <c r="B676" s="262"/>
      <c r="C676" s="253"/>
      <c r="D676" s="249" t="str">
        <f>IFERROR(IF($E676="Inventory",VLOOKUP($C676,Inventory!$B:$I,2,FALSE()),IF($E676="Non Inventory",VLOOKUP($C676,'Non Inventory'!$B:$I,2,FALSE()),IF($E676="Services",VLOOKUP($C676,Services!$B:$I,2,FALSE()),IF($E676="Patty Cash",VLOOKUP($C676,'Patty Cash'!$B:$J,2,FALSE()),"")))),"")</f>
        <v/>
      </c>
      <c r="E676" s="254"/>
      <c r="F676" s="263" t="str">
        <f>IFERROR(IF($E676="Inventory",VLOOKUP($C676,Inventory!$B:$I,3,FALSE()),IF($E676="Non Inventory",VLOOKUP($C676,'Non Inventory'!$B:$I,3,FALSE()),IF($E676="Services",VLOOKUP($C676,Services!$B:$I,3,FALSE()),IF($E676="Patty Cash",VLOOKUP($C676,'Patty Cash'!$B:$J,3,FALSE()),"")))),"")</f>
        <v/>
      </c>
      <c r="G676" s="374"/>
      <c r="H676" s="374" t="str">
        <f t="shared" si="20"/>
        <v/>
      </c>
      <c r="I676" s="252">
        <f>IFERROR(IF($E676="Inventory",VLOOKUP($C676,Inventory!$B:$I,8,FALSE()),IF($E676="Non Inventory",VLOOKUP($C676,'Non Inventory'!$B:$I,8,FALSE()),IF($E676="Services",VLOOKUP($C676,Services!$B:$I,8,FALSE()),IF($E676="Patty Cash",VLOOKUP($C676,'Patty Cash'!$B:$J,8,FALSE()),0)))),0)</f>
        <v>0</v>
      </c>
      <c r="J676" s="252" t="str">
        <f t="shared" si="21"/>
        <v/>
      </c>
      <c r="K676" s="253"/>
      <c r="L676" s="253"/>
      <c r="M676" s="253"/>
      <c r="N676" s="328"/>
    </row>
    <row r="677" spans="1:14" ht="20.100000000000001" customHeight="1">
      <c r="A677" s="327" t="str">
        <f>IF(AND($B677="",$C677=""),"",MAX($A$3:A676)+1)</f>
        <v/>
      </c>
      <c r="B677" s="262"/>
      <c r="C677" s="253"/>
      <c r="D677" s="249" t="str">
        <f>IFERROR(IF($E677="Inventory",VLOOKUP($C677,Inventory!$B:$I,2,FALSE()),IF($E677="Non Inventory",VLOOKUP($C677,'Non Inventory'!$B:$I,2,FALSE()),IF($E677="Services",VLOOKUP($C677,Services!$B:$I,2,FALSE()),IF($E677="Patty Cash",VLOOKUP($C677,'Patty Cash'!$B:$J,2,FALSE()),"")))),"")</f>
        <v/>
      </c>
      <c r="E677" s="254"/>
      <c r="F677" s="263" t="str">
        <f>IFERROR(IF($E677="Inventory",VLOOKUP($C677,Inventory!$B:$I,3,FALSE()),IF($E677="Non Inventory",VLOOKUP($C677,'Non Inventory'!$B:$I,3,FALSE()),IF($E677="Services",VLOOKUP($C677,Services!$B:$I,3,FALSE()),IF($E677="Patty Cash",VLOOKUP($C677,'Patty Cash'!$B:$J,3,FALSE()),"")))),"")</f>
        <v/>
      </c>
      <c r="G677" s="374"/>
      <c r="H677" s="374" t="str">
        <f t="shared" si="20"/>
        <v/>
      </c>
      <c r="I677" s="252">
        <f>IFERROR(IF($E677="Inventory",VLOOKUP($C677,Inventory!$B:$I,8,FALSE()),IF($E677="Non Inventory",VLOOKUP($C677,'Non Inventory'!$B:$I,8,FALSE()),IF($E677="Services",VLOOKUP($C677,Services!$B:$I,8,FALSE()),IF($E677="Patty Cash",VLOOKUP($C677,'Patty Cash'!$B:$J,8,FALSE()),0)))),0)</f>
        <v>0</v>
      </c>
      <c r="J677" s="252" t="str">
        <f t="shared" si="21"/>
        <v/>
      </c>
      <c r="K677" s="253"/>
      <c r="L677" s="253"/>
      <c r="M677" s="253"/>
      <c r="N677" s="328"/>
    </row>
    <row r="678" spans="1:14" ht="20.100000000000001" customHeight="1">
      <c r="A678" s="327" t="str">
        <f>IF(AND($B678="",$C678=""),"",MAX($A$3:A677)+1)</f>
        <v/>
      </c>
      <c r="B678" s="262"/>
      <c r="C678" s="253"/>
      <c r="D678" s="249" t="str">
        <f>IFERROR(IF($E678="Inventory",VLOOKUP($C678,Inventory!$B:$I,2,FALSE()),IF($E678="Non Inventory",VLOOKUP($C678,'Non Inventory'!$B:$I,2,FALSE()),IF($E678="Services",VLOOKUP($C678,Services!$B:$I,2,FALSE()),IF($E678="Patty Cash",VLOOKUP($C678,'Patty Cash'!$B:$J,2,FALSE()),"")))),"")</f>
        <v/>
      </c>
      <c r="E678" s="254"/>
      <c r="F678" s="263" t="str">
        <f>IFERROR(IF($E678="Inventory",VLOOKUP($C678,Inventory!$B:$I,3,FALSE()),IF($E678="Non Inventory",VLOOKUP($C678,'Non Inventory'!$B:$I,3,FALSE()),IF($E678="Services",VLOOKUP($C678,Services!$B:$I,3,FALSE()),IF($E678="Patty Cash",VLOOKUP($C678,'Patty Cash'!$B:$J,3,FALSE()),"")))),"")</f>
        <v/>
      </c>
      <c r="G678" s="374"/>
      <c r="H678" s="374" t="str">
        <f t="shared" si="20"/>
        <v/>
      </c>
      <c r="I678" s="252">
        <f>IFERROR(IF($E678="Inventory",VLOOKUP($C678,Inventory!$B:$I,8,FALSE()),IF($E678="Non Inventory",VLOOKUP($C678,'Non Inventory'!$B:$I,8,FALSE()),IF($E678="Services",VLOOKUP($C678,Services!$B:$I,8,FALSE()),IF($E678="Patty Cash",VLOOKUP($C678,'Patty Cash'!$B:$J,8,FALSE()),0)))),0)</f>
        <v>0</v>
      </c>
      <c r="J678" s="252" t="str">
        <f t="shared" si="21"/>
        <v/>
      </c>
      <c r="K678" s="253"/>
      <c r="L678" s="253"/>
      <c r="M678" s="253"/>
      <c r="N678" s="328"/>
    </row>
    <row r="679" spans="1:14" ht="20.100000000000001" customHeight="1">
      <c r="A679" s="327" t="str">
        <f>IF(AND($B679="",$C679=""),"",MAX($A$3:A678)+1)</f>
        <v/>
      </c>
      <c r="B679" s="262"/>
      <c r="C679" s="253"/>
      <c r="D679" s="249" t="str">
        <f>IFERROR(IF($E679="Inventory",VLOOKUP($C679,Inventory!$B:$I,2,FALSE()),IF($E679="Non Inventory",VLOOKUP($C679,'Non Inventory'!$B:$I,2,FALSE()),IF($E679="Services",VLOOKUP($C679,Services!$B:$I,2,FALSE()),IF($E679="Patty Cash",VLOOKUP($C679,'Patty Cash'!$B:$J,2,FALSE()),"")))),"")</f>
        <v/>
      </c>
      <c r="E679" s="254"/>
      <c r="F679" s="263" t="str">
        <f>IFERROR(IF($E679="Inventory",VLOOKUP($C679,Inventory!$B:$I,3,FALSE()),IF($E679="Non Inventory",VLOOKUP($C679,'Non Inventory'!$B:$I,3,FALSE()),IF($E679="Services",VLOOKUP($C679,Services!$B:$I,3,FALSE()),IF($E679="Patty Cash",VLOOKUP($C679,'Patty Cash'!$B:$J,3,FALSE()),"")))),"")</f>
        <v/>
      </c>
      <c r="G679" s="374"/>
      <c r="H679" s="374" t="str">
        <f t="shared" si="20"/>
        <v/>
      </c>
      <c r="I679" s="252">
        <f>IFERROR(IF($E679="Inventory",VLOOKUP($C679,Inventory!$B:$I,8,FALSE()),IF($E679="Non Inventory",VLOOKUP($C679,'Non Inventory'!$B:$I,8,FALSE()),IF($E679="Services",VLOOKUP($C679,Services!$B:$I,8,FALSE()),IF($E679="Patty Cash",VLOOKUP($C679,'Patty Cash'!$B:$J,8,FALSE()),0)))),0)</f>
        <v>0</v>
      </c>
      <c r="J679" s="252" t="str">
        <f t="shared" si="21"/>
        <v/>
      </c>
      <c r="K679" s="253"/>
      <c r="L679" s="253"/>
      <c r="M679" s="253"/>
      <c r="N679" s="328"/>
    </row>
    <row r="680" spans="1:14" ht="20.100000000000001" customHeight="1">
      <c r="A680" s="327" t="str">
        <f>IF(AND($B680="",$C680=""),"",MAX($A$3:A679)+1)</f>
        <v/>
      </c>
      <c r="B680" s="262"/>
      <c r="C680" s="253"/>
      <c r="D680" s="249" t="str">
        <f>IFERROR(IF($E680="Inventory",VLOOKUP($C680,Inventory!$B:$I,2,FALSE()),IF($E680="Non Inventory",VLOOKUP($C680,'Non Inventory'!$B:$I,2,FALSE()),IF($E680="Services",VLOOKUP($C680,Services!$B:$I,2,FALSE()),IF($E680="Patty Cash",VLOOKUP($C680,'Patty Cash'!$B:$J,2,FALSE()),"")))),"")</f>
        <v/>
      </c>
      <c r="E680" s="254"/>
      <c r="F680" s="263" t="str">
        <f>IFERROR(IF($E680="Inventory",VLOOKUP($C680,Inventory!$B:$I,3,FALSE()),IF($E680="Non Inventory",VLOOKUP($C680,'Non Inventory'!$B:$I,3,FALSE()),IF($E680="Services",VLOOKUP($C680,Services!$B:$I,3,FALSE()),IF($E680="Patty Cash",VLOOKUP($C680,'Patty Cash'!$B:$J,3,FALSE()),"")))),"")</f>
        <v/>
      </c>
      <c r="G680" s="374"/>
      <c r="H680" s="374" t="str">
        <f t="shared" si="20"/>
        <v/>
      </c>
      <c r="I680" s="252">
        <f>IFERROR(IF($E680="Inventory",VLOOKUP($C680,Inventory!$B:$I,8,FALSE()),IF($E680="Non Inventory",VLOOKUP($C680,'Non Inventory'!$B:$I,8,FALSE()),IF($E680="Services",VLOOKUP($C680,Services!$B:$I,8,FALSE()),IF($E680="Patty Cash",VLOOKUP($C680,'Patty Cash'!$B:$J,8,FALSE()),0)))),0)</f>
        <v>0</v>
      </c>
      <c r="J680" s="252" t="str">
        <f t="shared" si="21"/>
        <v/>
      </c>
      <c r="K680" s="253"/>
      <c r="L680" s="253"/>
      <c r="M680" s="253"/>
      <c r="N680" s="328"/>
    </row>
    <row r="681" spans="1:14" ht="20.100000000000001" customHeight="1">
      <c r="A681" s="327" t="str">
        <f>IF(AND($B681="",$C681=""),"",MAX($A$3:A680)+1)</f>
        <v/>
      </c>
      <c r="B681" s="262"/>
      <c r="C681" s="253"/>
      <c r="D681" s="249" t="str">
        <f>IFERROR(IF($E681="Inventory",VLOOKUP($C681,Inventory!$B:$I,2,FALSE()),IF($E681="Non Inventory",VLOOKUP($C681,'Non Inventory'!$B:$I,2,FALSE()),IF($E681="Services",VLOOKUP($C681,Services!$B:$I,2,FALSE()),IF($E681="Patty Cash",VLOOKUP($C681,'Patty Cash'!$B:$J,2,FALSE()),"")))),"")</f>
        <v/>
      </c>
      <c r="E681" s="254"/>
      <c r="F681" s="263" t="str">
        <f>IFERROR(IF($E681="Inventory",VLOOKUP($C681,Inventory!$B:$I,3,FALSE()),IF($E681="Non Inventory",VLOOKUP($C681,'Non Inventory'!$B:$I,3,FALSE()),IF($E681="Services",VLOOKUP($C681,Services!$B:$I,3,FALSE()),IF($E681="Patty Cash",VLOOKUP($C681,'Patty Cash'!$B:$J,3,FALSE()),"")))),"")</f>
        <v/>
      </c>
      <c r="G681" s="374"/>
      <c r="H681" s="374" t="str">
        <f t="shared" si="20"/>
        <v/>
      </c>
      <c r="I681" s="252">
        <f>IFERROR(IF($E681="Inventory",VLOOKUP($C681,Inventory!$B:$I,8,FALSE()),IF($E681="Non Inventory",VLOOKUP($C681,'Non Inventory'!$B:$I,8,FALSE()),IF($E681="Services",VLOOKUP($C681,Services!$B:$I,8,FALSE()),IF($E681="Patty Cash",VLOOKUP($C681,'Patty Cash'!$B:$J,8,FALSE()),0)))),0)</f>
        <v>0</v>
      </c>
      <c r="J681" s="252" t="str">
        <f t="shared" si="21"/>
        <v/>
      </c>
      <c r="K681" s="253"/>
      <c r="L681" s="253"/>
      <c r="M681" s="253"/>
      <c r="N681" s="328"/>
    </row>
    <row r="682" spans="1:14" ht="20.100000000000001" customHeight="1">
      <c r="A682" s="327" t="str">
        <f>IF(AND($B682="",$C682=""),"",MAX($A$3:A681)+1)</f>
        <v/>
      </c>
      <c r="B682" s="262"/>
      <c r="C682" s="253"/>
      <c r="D682" s="249" t="str">
        <f>IFERROR(IF($E682="Inventory",VLOOKUP($C682,Inventory!$B:$I,2,FALSE()),IF($E682="Non Inventory",VLOOKUP($C682,'Non Inventory'!$B:$I,2,FALSE()),IF($E682="Services",VLOOKUP($C682,Services!$B:$I,2,FALSE()),IF($E682="Patty Cash",VLOOKUP($C682,'Patty Cash'!$B:$J,2,FALSE()),"")))),"")</f>
        <v/>
      </c>
      <c r="E682" s="254"/>
      <c r="F682" s="263" t="str">
        <f>IFERROR(IF($E682="Inventory",VLOOKUP($C682,Inventory!$B:$I,3,FALSE()),IF($E682="Non Inventory",VLOOKUP($C682,'Non Inventory'!$B:$I,3,FALSE()),IF($E682="Services",VLOOKUP($C682,Services!$B:$I,3,FALSE()),IF($E682="Patty Cash",VLOOKUP($C682,'Patty Cash'!$B:$J,3,FALSE()),"")))),"")</f>
        <v/>
      </c>
      <c r="G682" s="374"/>
      <c r="H682" s="374" t="str">
        <f t="shared" si="20"/>
        <v/>
      </c>
      <c r="I682" s="252">
        <f>IFERROR(IF($E682="Inventory",VLOOKUP($C682,Inventory!$B:$I,8,FALSE()),IF($E682="Non Inventory",VLOOKUP($C682,'Non Inventory'!$B:$I,8,FALSE()),IF($E682="Services",VLOOKUP($C682,Services!$B:$I,8,FALSE()),IF($E682="Patty Cash",VLOOKUP($C682,'Patty Cash'!$B:$J,8,FALSE()),0)))),0)</f>
        <v>0</v>
      </c>
      <c r="J682" s="252" t="str">
        <f t="shared" si="21"/>
        <v/>
      </c>
      <c r="K682" s="253"/>
      <c r="L682" s="253"/>
      <c r="M682" s="253"/>
      <c r="N682" s="328"/>
    </row>
    <row r="683" spans="1:14" ht="20.100000000000001" customHeight="1">
      <c r="A683" s="327" t="str">
        <f>IF(AND($B683="",$C683=""),"",MAX($A$3:A682)+1)</f>
        <v/>
      </c>
      <c r="B683" s="262"/>
      <c r="C683" s="253"/>
      <c r="D683" s="249" t="str">
        <f>IFERROR(IF($E683="Inventory",VLOOKUP($C683,Inventory!$B:$I,2,FALSE()),IF($E683="Non Inventory",VLOOKUP($C683,'Non Inventory'!$B:$I,2,FALSE()),IF($E683="Services",VLOOKUP($C683,Services!$B:$I,2,FALSE()),IF($E683="Patty Cash",VLOOKUP($C683,'Patty Cash'!$B:$J,2,FALSE()),"")))),"")</f>
        <v/>
      </c>
      <c r="E683" s="254"/>
      <c r="F683" s="263" t="str">
        <f>IFERROR(IF($E683="Inventory",VLOOKUP($C683,Inventory!$B:$I,3,FALSE()),IF($E683="Non Inventory",VLOOKUP($C683,'Non Inventory'!$B:$I,3,FALSE()),IF($E683="Services",VLOOKUP($C683,Services!$B:$I,3,FALSE()),IF($E683="Patty Cash",VLOOKUP($C683,'Patty Cash'!$B:$J,3,FALSE()),"")))),"")</f>
        <v/>
      </c>
      <c r="G683" s="374"/>
      <c r="H683" s="374" t="str">
        <f t="shared" si="20"/>
        <v/>
      </c>
      <c r="I683" s="252">
        <f>IFERROR(IF($E683="Inventory",VLOOKUP($C683,Inventory!$B:$I,8,FALSE()),IF($E683="Non Inventory",VLOOKUP($C683,'Non Inventory'!$B:$I,8,FALSE()),IF($E683="Services",VLOOKUP($C683,Services!$B:$I,8,FALSE()),IF($E683="Patty Cash",VLOOKUP($C683,'Patty Cash'!$B:$J,8,FALSE()),0)))),0)</f>
        <v>0</v>
      </c>
      <c r="J683" s="252" t="str">
        <f t="shared" si="21"/>
        <v/>
      </c>
      <c r="K683" s="253"/>
      <c r="L683" s="253"/>
      <c r="M683" s="253"/>
      <c r="N683" s="328"/>
    </row>
    <row r="684" spans="1:14" ht="20.100000000000001" customHeight="1">
      <c r="A684" s="327" t="str">
        <f>IF(AND($B684="",$C684=""),"",MAX($A$3:A683)+1)</f>
        <v/>
      </c>
      <c r="B684" s="262"/>
      <c r="C684" s="253"/>
      <c r="D684" s="249" t="str">
        <f>IFERROR(IF($E684="Inventory",VLOOKUP($C684,Inventory!$B:$I,2,FALSE()),IF($E684="Non Inventory",VLOOKUP($C684,'Non Inventory'!$B:$I,2,FALSE()),IF($E684="Services",VLOOKUP($C684,Services!$B:$I,2,FALSE()),IF($E684="Patty Cash",VLOOKUP($C684,'Patty Cash'!$B:$J,2,FALSE()),"")))),"")</f>
        <v/>
      </c>
      <c r="E684" s="254"/>
      <c r="F684" s="263" t="str">
        <f>IFERROR(IF($E684="Inventory",VLOOKUP($C684,Inventory!$B:$I,3,FALSE()),IF($E684="Non Inventory",VLOOKUP($C684,'Non Inventory'!$B:$I,3,FALSE()),IF($E684="Services",VLOOKUP($C684,Services!$B:$I,3,FALSE()),IF($E684="Patty Cash",VLOOKUP($C684,'Patty Cash'!$B:$J,3,FALSE()),"")))),"")</f>
        <v/>
      </c>
      <c r="G684" s="374"/>
      <c r="H684" s="374" t="str">
        <f t="shared" si="20"/>
        <v/>
      </c>
      <c r="I684" s="252">
        <f>IFERROR(IF($E684="Inventory",VLOOKUP($C684,Inventory!$B:$I,8,FALSE()),IF($E684="Non Inventory",VLOOKUP($C684,'Non Inventory'!$B:$I,8,FALSE()),IF($E684="Services",VLOOKUP($C684,Services!$B:$I,8,FALSE()),IF($E684="Patty Cash",VLOOKUP($C684,'Patty Cash'!$B:$J,8,FALSE()),0)))),0)</f>
        <v>0</v>
      </c>
      <c r="J684" s="252" t="str">
        <f t="shared" si="21"/>
        <v/>
      </c>
      <c r="K684" s="253"/>
      <c r="L684" s="253"/>
      <c r="M684" s="253"/>
      <c r="N684" s="328"/>
    </row>
    <row r="685" spans="1:14" ht="20.100000000000001" customHeight="1">
      <c r="A685" s="327" t="str">
        <f>IF(AND($B685="",$C685=""),"",MAX($A$3:A684)+1)</f>
        <v/>
      </c>
      <c r="B685" s="262"/>
      <c r="C685" s="253"/>
      <c r="D685" s="249" t="str">
        <f>IFERROR(IF($E685="Inventory",VLOOKUP($C685,Inventory!$B:$I,2,FALSE()),IF($E685="Non Inventory",VLOOKUP($C685,'Non Inventory'!$B:$I,2,FALSE()),IF($E685="Services",VLOOKUP($C685,Services!$B:$I,2,FALSE()),IF($E685="Patty Cash",VLOOKUP($C685,'Patty Cash'!$B:$J,2,FALSE()),"")))),"")</f>
        <v/>
      </c>
      <c r="E685" s="254"/>
      <c r="F685" s="263" t="str">
        <f>IFERROR(IF($E685="Inventory",VLOOKUP($C685,Inventory!$B:$I,3,FALSE()),IF($E685="Non Inventory",VLOOKUP($C685,'Non Inventory'!$B:$I,3,FALSE()),IF($E685="Services",VLOOKUP($C685,Services!$B:$I,3,FALSE()),IF($E685="Patty Cash",VLOOKUP($C685,'Patty Cash'!$B:$J,3,FALSE()),"")))),"")</f>
        <v/>
      </c>
      <c r="G685" s="374"/>
      <c r="H685" s="374" t="str">
        <f t="shared" si="20"/>
        <v/>
      </c>
      <c r="I685" s="252">
        <f>IFERROR(IF($E685="Inventory",VLOOKUP($C685,Inventory!$B:$I,8,FALSE()),IF($E685="Non Inventory",VLOOKUP($C685,'Non Inventory'!$B:$I,8,FALSE()),IF($E685="Services",VLOOKUP($C685,Services!$B:$I,8,FALSE()),IF($E685="Patty Cash",VLOOKUP($C685,'Patty Cash'!$B:$J,8,FALSE()),0)))),0)</f>
        <v>0</v>
      </c>
      <c r="J685" s="252" t="str">
        <f t="shared" si="21"/>
        <v/>
      </c>
      <c r="K685" s="253"/>
      <c r="L685" s="253"/>
      <c r="M685" s="253"/>
      <c r="N685" s="328"/>
    </row>
    <row r="686" spans="1:14" ht="20.100000000000001" customHeight="1">
      <c r="A686" s="327" t="str">
        <f>IF(AND($B686="",$C686=""),"",MAX($A$3:A685)+1)</f>
        <v/>
      </c>
      <c r="B686" s="262"/>
      <c r="C686" s="253"/>
      <c r="D686" s="249" t="str">
        <f>IFERROR(IF($E686="Inventory",VLOOKUP($C686,Inventory!$B:$I,2,FALSE()),IF($E686="Non Inventory",VLOOKUP($C686,'Non Inventory'!$B:$I,2,FALSE()),IF($E686="Services",VLOOKUP($C686,Services!$B:$I,2,FALSE()),IF($E686="Patty Cash",VLOOKUP($C686,'Patty Cash'!$B:$J,2,FALSE()),"")))),"")</f>
        <v/>
      </c>
      <c r="E686" s="254"/>
      <c r="F686" s="263" t="str">
        <f>IFERROR(IF($E686="Inventory",VLOOKUP($C686,Inventory!$B:$I,3,FALSE()),IF($E686="Non Inventory",VLOOKUP($C686,'Non Inventory'!$B:$I,3,FALSE()),IF($E686="Services",VLOOKUP($C686,Services!$B:$I,3,FALSE()),IF($E686="Patty Cash",VLOOKUP($C686,'Patty Cash'!$B:$J,3,FALSE()),"")))),"")</f>
        <v/>
      </c>
      <c r="G686" s="374"/>
      <c r="H686" s="374" t="str">
        <f t="shared" si="20"/>
        <v/>
      </c>
      <c r="I686" s="252">
        <f>IFERROR(IF($E686="Inventory",VLOOKUP($C686,Inventory!$B:$I,8,FALSE()),IF($E686="Non Inventory",VLOOKUP($C686,'Non Inventory'!$B:$I,8,FALSE()),IF($E686="Services",VLOOKUP($C686,Services!$B:$I,8,FALSE()),IF($E686="Patty Cash",VLOOKUP($C686,'Patty Cash'!$B:$J,8,FALSE()),0)))),0)</f>
        <v>0</v>
      </c>
      <c r="J686" s="252" t="str">
        <f t="shared" si="21"/>
        <v/>
      </c>
      <c r="K686" s="253"/>
      <c r="L686" s="253"/>
      <c r="M686" s="253"/>
      <c r="N686" s="328"/>
    </row>
    <row r="687" spans="1:14" ht="20.100000000000001" customHeight="1">
      <c r="A687" s="327" t="str">
        <f>IF(AND($B687="",$C687=""),"",MAX($A$3:A686)+1)</f>
        <v/>
      </c>
      <c r="B687" s="262"/>
      <c r="C687" s="253"/>
      <c r="D687" s="249" t="str">
        <f>IFERROR(IF($E687="Inventory",VLOOKUP($C687,Inventory!$B:$I,2,FALSE()),IF($E687="Non Inventory",VLOOKUP($C687,'Non Inventory'!$B:$I,2,FALSE()),IF($E687="Services",VLOOKUP($C687,Services!$B:$I,2,FALSE()),IF($E687="Patty Cash",VLOOKUP($C687,'Patty Cash'!$B:$J,2,FALSE()),"")))),"")</f>
        <v/>
      </c>
      <c r="E687" s="254"/>
      <c r="F687" s="263" t="str">
        <f>IFERROR(IF($E687="Inventory",VLOOKUP($C687,Inventory!$B:$I,3,FALSE()),IF($E687="Non Inventory",VLOOKUP($C687,'Non Inventory'!$B:$I,3,FALSE()),IF($E687="Services",VLOOKUP($C687,Services!$B:$I,3,FALSE()),IF($E687="Patty Cash",VLOOKUP($C687,'Patty Cash'!$B:$J,3,FALSE()),"")))),"")</f>
        <v/>
      </c>
      <c r="G687" s="374"/>
      <c r="H687" s="374" t="str">
        <f t="shared" si="20"/>
        <v/>
      </c>
      <c r="I687" s="252">
        <f>IFERROR(IF($E687="Inventory",VLOOKUP($C687,Inventory!$B:$I,8,FALSE()),IF($E687="Non Inventory",VLOOKUP($C687,'Non Inventory'!$B:$I,8,FALSE()),IF($E687="Services",VLOOKUP($C687,Services!$B:$I,8,FALSE()),IF($E687="Patty Cash",VLOOKUP($C687,'Patty Cash'!$B:$J,8,FALSE()),0)))),0)</f>
        <v>0</v>
      </c>
      <c r="J687" s="252" t="str">
        <f t="shared" si="21"/>
        <v/>
      </c>
      <c r="K687" s="253"/>
      <c r="L687" s="253"/>
      <c r="M687" s="253"/>
      <c r="N687" s="328"/>
    </row>
    <row r="688" spans="1:14" ht="20.100000000000001" customHeight="1">
      <c r="A688" s="327" t="str">
        <f>IF(AND($B688="",$C688=""),"",MAX($A$3:A687)+1)</f>
        <v/>
      </c>
      <c r="B688" s="262"/>
      <c r="C688" s="253"/>
      <c r="D688" s="249" t="str">
        <f>IFERROR(IF($E688="Inventory",VLOOKUP($C688,Inventory!$B:$I,2,FALSE()),IF($E688="Non Inventory",VLOOKUP($C688,'Non Inventory'!$B:$I,2,FALSE()),IF($E688="Services",VLOOKUP($C688,Services!$B:$I,2,FALSE()),IF($E688="Patty Cash",VLOOKUP($C688,'Patty Cash'!$B:$J,2,FALSE()),"")))),"")</f>
        <v/>
      </c>
      <c r="E688" s="254"/>
      <c r="F688" s="263" t="str">
        <f>IFERROR(IF($E688="Inventory",VLOOKUP($C688,Inventory!$B:$I,3,FALSE()),IF($E688="Non Inventory",VLOOKUP($C688,'Non Inventory'!$B:$I,3,FALSE()),IF($E688="Services",VLOOKUP($C688,Services!$B:$I,3,FALSE()),IF($E688="Patty Cash",VLOOKUP($C688,'Patty Cash'!$B:$J,3,FALSE()),"")))),"")</f>
        <v/>
      </c>
      <c r="G688" s="374"/>
      <c r="H688" s="374" t="str">
        <f t="shared" si="20"/>
        <v/>
      </c>
      <c r="I688" s="252">
        <f>IFERROR(IF($E688="Inventory",VLOOKUP($C688,Inventory!$B:$I,8,FALSE()),IF($E688="Non Inventory",VLOOKUP($C688,'Non Inventory'!$B:$I,8,FALSE()),IF($E688="Services",VLOOKUP($C688,Services!$B:$I,8,FALSE()),IF($E688="Patty Cash",VLOOKUP($C688,'Patty Cash'!$B:$J,8,FALSE()),0)))),0)</f>
        <v>0</v>
      </c>
      <c r="J688" s="252" t="str">
        <f t="shared" si="21"/>
        <v/>
      </c>
      <c r="K688" s="253"/>
      <c r="L688" s="253"/>
      <c r="M688" s="253"/>
      <c r="N688" s="328"/>
    </row>
    <row r="689" spans="1:14" ht="20.100000000000001" customHeight="1">
      <c r="A689" s="327" t="str">
        <f>IF(AND($B689="",$C689=""),"",MAX($A$3:A688)+1)</f>
        <v/>
      </c>
      <c r="B689" s="262"/>
      <c r="C689" s="253"/>
      <c r="D689" s="249" t="str">
        <f>IFERROR(IF($E689="Inventory",VLOOKUP($C689,Inventory!$B:$I,2,FALSE()),IF($E689="Non Inventory",VLOOKUP($C689,'Non Inventory'!$B:$I,2,FALSE()),IF($E689="Services",VLOOKUP($C689,Services!$B:$I,2,FALSE()),IF($E689="Patty Cash",VLOOKUP($C689,'Patty Cash'!$B:$J,2,FALSE()),"")))),"")</f>
        <v/>
      </c>
      <c r="E689" s="254"/>
      <c r="F689" s="263" t="str">
        <f>IFERROR(IF($E689="Inventory",VLOOKUP($C689,Inventory!$B:$I,3,FALSE()),IF($E689="Non Inventory",VLOOKUP($C689,'Non Inventory'!$B:$I,3,FALSE()),IF($E689="Services",VLOOKUP($C689,Services!$B:$I,3,FALSE()),IF($E689="Patty Cash",VLOOKUP($C689,'Patty Cash'!$B:$J,3,FALSE()),"")))),"")</f>
        <v/>
      </c>
      <c r="G689" s="374"/>
      <c r="H689" s="374" t="str">
        <f t="shared" si="20"/>
        <v/>
      </c>
      <c r="I689" s="252">
        <f>IFERROR(IF($E689="Inventory",VLOOKUP($C689,Inventory!$B:$I,8,FALSE()),IF($E689="Non Inventory",VLOOKUP($C689,'Non Inventory'!$B:$I,8,FALSE()),IF($E689="Services",VLOOKUP($C689,Services!$B:$I,8,FALSE()),IF($E689="Patty Cash",VLOOKUP($C689,'Patty Cash'!$B:$J,8,FALSE()),0)))),0)</f>
        <v>0</v>
      </c>
      <c r="J689" s="252" t="str">
        <f t="shared" si="21"/>
        <v/>
      </c>
      <c r="K689" s="253"/>
      <c r="L689" s="253"/>
      <c r="M689" s="253"/>
      <c r="N689" s="328"/>
    </row>
    <row r="690" spans="1:14" ht="20.100000000000001" customHeight="1">
      <c r="A690" s="327" t="str">
        <f>IF(AND($B690="",$C690=""),"",MAX($A$3:A689)+1)</f>
        <v/>
      </c>
      <c r="B690" s="262"/>
      <c r="C690" s="253"/>
      <c r="D690" s="249" t="str">
        <f>IFERROR(IF($E690="Inventory",VLOOKUP($C690,Inventory!$B:$I,2,FALSE()),IF($E690="Non Inventory",VLOOKUP($C690,'Non Inventory'!$B:$I,2,FALSE()),IF($E690="Services",VLOOKUP($C690,Services!$B:$I,2,FALSE()),IF($E690="Patty Cash",VLOOKUP($C690,'Patty Cash'!$B:$J,2,FALSE()),"")))),"")</f>
        <v/>
      </c>
      <c r="E690" s="254"/>
      <c r="F690" s="263" t="str">
        <f>IFERROR(IF($E690="Inventory",VLOOKUP($C690,Inventory!$B:$I,3,FALSE()),IF($E690="Non Inventory",VLOOKUP($C690,'Non Inventory'!$B:$I,3,FALSE()),IF($E690="Services",VLOOKUP($C690,Services!$B:$I,3,FALSE()),IF($E690="Patty Cash",VLOOKUP($C690,'Patty Cash'!$B:$J,3,FALSE()),"")))),"")</f>
        <v/>
      </c>
      <c r="G690" s="374"/>
      <c r="H690" s="374" t="str">
        <f t="shared" si="20"/>
        <v/>
      </c>
      <c r="I690" s="252">
        <f>IFERROR(IF($E690="Inventory",VLOOKUP($C690,Inventory!$B:$I,8,FALSE()),IF($E690="Non Inventory",VLOOKUP($C690,'Non Inventory'!$B:$I,8,FALSE()),IF($E690="Services",VLOOKUP($C690,Services!$B:$I,8,FALSE()),IF($E690="Patty Cash",VLOOKUP($C690,'Patty Cash'!$B:$J,8,FALSE()),0)))),0)</f>
        <v>0</v>
      </c>
      <c r="J690" s="252" t="str">
        <f t="shared" si="21"/>
        <v/>
      </c>
      <c r="K690" s="253"/>
      <c r="L690" s="253"/>
      <c r="M690" s="253"/>
      <c r="N690" s="328"/>
    </row>
    <row r="691" spans="1:14" ht="20.100000000000001" customHeight="1">
      <c r="A691" s="327" t="str">
        <f>IF(AND($B691="",$C691=""),"",MAX($A$3:A690)+1)</f>
        <v/>
      </c>
      <c r="B691" s="262"/>
      <c r="C691" s="253"/>
      <c r="D691" s="249" t="str">
        <f>IFERROR(IF($E691="Inventory",VLOOKUP($C691,Inventory!$B:$I,2,FALSE()),IF($E691="Non Inventory",VLOOKUP($C691,'Non Inventory'!$B:$I,2,FALSE()),IF($E691="Services",VLOOKUP($C691,Services!$B:$I,2,FALSE()),IF($E691="Patty Cash",VLOOKUP($C691,'Patty Cash'!$B:$J,2,FALSE()),"")))),"")</f>
        <v/>
      </c>
      <c r="E691" s="254"/>
      <c r="F691" s="263" t="str">
        <f>IFERROR(IF($E691="Inventory",VLOOKUP($C691,Inventory!$B:$I,3,FALSE()),IF($E691="Non Inventory",VLOOKUP($C691,'Non Inventory'!$B:$I,3,FALSE()),IF($E691="Services",VLOOKUP($C691,Services!$B:$I,3,FALSE()),IF($E691="Patty Cash",VLOOKUP($C691,'Patty Cash'!$B:$J,3,FALSE()),"")))),"")</f>
        <v/>
      </c>
      <c r="G691" s="374"/>
      <c r="H691" s="374" t="str">
        <f t="shared" si="20"/>
        <v/>
      </c>
      <c r="I691" s="252">
        <f>IFERROR(IF($E691="Inventory",VLOOKUP($C691,Inventory!$B:$I,8,FALSE()),IF($E691="Non Inventory",VLOOKUP($C691,'Non Inventory'!$B:$I,8,FALSE()),IF($E691="Services",VLOOKUP($C691,Services!$B:$I,8,FALSE()),IF($E691="Patty Cash",VLOOKUP($C691,'Patty Cash'!$B:$J,8,FALSE()),0)))),0)</f>
        <v>0</v>
      </c>
      <c r="J691" s="252" t="str">
        <f t="shared" si="21"/>
        <v/>
      </c>
      <c r="K691" s="253"/>
      <c r="L691" s="253"/>
      <c r="M691" s="253"/>
      <c r="N691" s="328"/>
    </row>
    <row r="692" spans="1:14" ht="20.100000000000001" customHeight="1">
      <c r="A692" s="327" t="str">
        <f>IF(AND($B692="",$C692=""),"",MAX($A$3:A691)+1)</f>
        <v/>
      </c>
      <c r="B692" s="262"/>
      <c r="C692" s="253"/>
      <c r="D692" s="249" t="str">
        <f>IFERROR(IF($E692="Inventory",VLOOKUP($C692,Inventory!$B:$I,2,FALSE()),IF($E692="Non Inventory",VLOOKUP($C692,'Non Inventory'!$B:$I,2,FALSE()),IF($E692="Services",VLOOKUP($C692,Services!$B:$I,2,FALSE()),IF($E692="Patty Cash",VLOOKUP($C692,'Patty Cash'!$B:$J,2,FALSE()),"")))),"")</f>
        <v/>
      </c>
      <c r="E692" s="254"/>
      <c r="F692" s="263" t="str">
        <f>IFERROR(IF($E692="Inventory",VLOOKUP($C692,Inventory!$B:$I,3,FALSE()),IF($E692="Non Inventory",VLOOKUP($C692,'Non Inventory'!$B:$I,3,FALSE()),IF($E692="Services",VLOOKUP($C692,Services!$B:$I,3,FALSE()),IF($E692="Patty Cash",VLOOKUP($C692,'Patty Cash'!$B:$J,3,FALSE()),"")))),"")</f>
        <v/>
      </c>
      <c r="G692" s="374"/>
      <c r="H692" s="374" t="str">
        <f t="shared" si="20"/>
        <v/>
      </c>
      <c r="I692" s="252">
        <f>IFERROR(IF($E692="Inventory",VLOOKUP($C692,Inventory!$B:$I,8,FALSE()),IF($E692="Non Inventory",VLOOKUP($C692,'Non Inventory'!$B:$I,8,FALSE()),IF($E692="Services",VLOOKUP($C692,Services!$B:$I,8,FALSE()),IF($E692="Patty Cash",VLOOKUP($C692,'Patty Cash'!$B:$J,8,FALSE()),0)))),0)</f>
        <v>0</v>
      </c>
      <c r="J692" s="252" t="str">
        <f t="shared" si="21"/>
        <v/>
      </c>
      <c r="K692" s="253"/>
      <c r="L692" s="253"/>
      <c r="M692" s="253"/>
      <c r="N692" s="328"/>
    </row>
    <row r="693" spans="1:14" ht="20.100000000000001" customHeight="1">
      <c r="A693" s="327" t="str">
        <f>IF(AND($B693="",$C693=""),"",MAX($A$3:A692)+1)</f>
        <v/>
      </c>
      <c r="B693" s="262"/>
      <c r="C693" s="253"/>
      <c r="D693" s="249" t="str">
        <f>IFERROR(IF($E693="Inventory",VLOOKUP($C693,Inventory!$B:$I,2,FALSE()),IF($E693="Non Inventory",VLOOKUP($C693,'Non Inventory'!$B:$I,2,FALSE()),IF($E693="Services",VLOOKUP($C693,Services!$B:$I,2,FALSE()),IF($E693="Patty Cash",VLOOKUP($C693,'Patty Cash'!$B:$J,2,FALSE()),"")))),"")</f>
        <v/>
      </c>
      <c r="E693" s="254"/>
      <c r="F693" s="263" t="str">
        <f>IFERROR(IF($E693="Inventory",VLOOKUP($C693,Inventory!$B:$I,3,FALSE()),IF($E693="Non Inventory",VLOOKUP($C693,'Non Inventory'!$B:$I,3,FALSE()),IF($E693="Services",VLOOKUP($C693,Services!$B:$I,3,FALSE()),IF($E693="Patty Cash",VLOOKUP($C693,'Patty Cash'!$B:$J,3,FALSE()),"")))),"")</f>
        <v/>
      </c>
      <c r="G693" s="374"/>
      <c r="H693" s="374" t="str">
        <f t="shared" si="20"/>
        <v/>
      </c>
      <c r="I693" s="252">
        <f>IFERROR(IF($E693="Inventory",VLOOKUP($C693,Inventory!$B:$I,8,FALSE()),IF($E693="Non Inventory",VLOOKUP($C693,'Non Inventory'!$B:$I,8,FALSE()),IF($E693="Services",VLOOKUP($C693,Services!$B:$I,8,FALSE()),IF($E693="Patty Cash",VLOOKUP($C693,'Patty Cash'!$B:$J,8,FALSE()),0)))),0)</f>
        <v>0</v>
      </c>
      <c r="J693" s="252" t="str">
        <f t="shared" si="21"/>
        <v/>
      </c>
      <c r="K693" s="253"/>
      <c r="L693" s="253"/>
      <c r="M693" s="253"/>
      <c r="N693" s="328"/>
    </row>
    <row r="694" spans="1:14" ht="20.100000000000001" customHeight="1">
      <c r="A694" s="327" t="str">
        <f>IF(AND($B694="",$C694=""),"",MAX($A$3:A693)+1)</f>
        <v/>
      </c>
      <c r="B694" s="262"/>
      <c r="C694" s="253"/>
      <c r="D694" s="249" t="str">
        <f>IFERROR(IF($E694="Inventory",VLOOKUP($C694,Inventory!$B:$I,2,FALSE()),IF($E694="Non Inventory",VLOOKUP($C694,'Non Inventory'!$B:$I,2,FALSE()),IF($E694="Services",VLOOKUP($C694,Services!$B:$I,2,FALSE()),IF($E694="Patty Cash",VLOOKUP($C694,'Patty Cash'!$B:$J,2,FALSE()),"")))),"")</f>
        <v/>
      </c>
      <c r="E694" s="254"/>
      <c r="F694" s="263" t="str">
        <f>IFERROR(IF($E694="Inventory",VLOOKUP($C694,Inventory!$B:$I,3,FALSE()),IF($E694="Non Inventory",VLOOKUP($C694,'Non Inventory'!$B:$I,3,FALSE()),IF($E694="Services",VLOOKUP($C694,Services!$B:$I,3,FALSE()),IF($E694="Patty Cash",VLOOKUP($C694,'Patty Cash'!$B:$J,3,FALSE()),"")))),"")</f>
        <v/>
      </c>
      <c r="G694" s="374"/>
      <c r="H694" s="374" t="str">
        <f t="shared" si="20"/>
        <v/>
      </c>
      <c r="I694" s="252">
        <f>IFERROR(IF($E694="Inventory",VLOOKUP($C694,Inventory!$B:$I,8,FALSE()),IF($E694="Non Inventory",VLOOKUP($C694,'Non Inventory'!$B:$I,8,FALSE()),IF($E694="Services",VLOOKUP($C694,Services!$B:$I,8,FALSE()),IF($E694="Patty Cash",VLOOKUP($C694,'Patty Cash'!$B:$J,8,FALSE()),0)))),0)</f>
        <v>0</v>
      </c>
      <c r="J694" s="252" t="str">
        <f t="shared" si="21"/>
        <v/>
      </c>
      <c r="K694" s="253"/>
      <c r="L694" s="253"/>
      <c r="M694" s="253"/>
      <c r="N694" s="328"/>
    </row>
    <row r="695" spans="1:14" ht="20.100000000000001" customHeight="1">
      <c r="A695" s="327" t="str">
        <f>IF(AND($B695="",$C695=""),"",MAX($A$3:A694)+1)</f>
        <v/>
      </c>
      <c r="B695" s="262"/>
      <c r="C695" s="253"/>
      <c r="D695" s="249" t="str">
        <f>IFERROR(IF($E695="Inventory",VLOOKUP($C695,Inventory!$B:$I,2,FALSE()),IF($E695="Non Inventory",VLOOKUP($C695,'Non Inventory'!$B:$I,2,FALSE()),IF($E695="Services",VLOOKUP($C695,Services!$B:$I,2,FALSE()),IF($E695="Patty Cash",VLOOKUP($C695,'Patty Cash'!$B:$J,2,FALSE()),"")))),"")</f>
        <v/>
      </c>
      <c r="E695" s="254"/>
      <c r="F695" s="263" t="str">
        <f>IFERROR(IF($E695="Inventory",VLOOKUP($C695,Inventory!$B:$I,3,FALSE()),IF($E695="Non Inventory",VLOOKUP($C695,'Non Inventory'!$B:$I,3,FALSE()),IF($E695="Services",VLOOKUP($C695,Services!$B:$I,3,FALSE()),IF($E695="Patty Cash",VLOOKUP($C695,'Patty Cash'!$B:$J,3,FALSE()),"")))),"")</f>
        <v/>
      </c>
      <c r="G695" s="374"/>
      <c r="H695" s="374" t="str">
        <f t="shared" si="20"/>
        <v/>
      </c>
      <c r="I695" s="252">
        <f>IFERROR(IF($E695="Inventory",VLOOKUP($C695,Inventory!$B:$I,8,FALSE()),IF($E695="Non Inventory",VLOOKUP($C695,'Non Inventory'!$B:$I,8,FALSE()),IF($E695="Services",VLOOKUP($C695,Services!$B:$I,8,FALSE()),IF($E695="Patty Cash",VLOOKUP($C695,'Patty Cash'!$B:$J,8,FALSE()),0)))),0)</f>
        <v>0</v>
      </c>
      <c r="J695" s="252" t="str">
        <f t="shared" si="21"/>
        <v/>
      </c>
      <c r="K695" s="253"/>
      <c r="L695" s="253"/>
      <c r="M695" s="253"/>
      <c r="N695" s="328"/>
    </row>
    <row r="696" spans="1:14" ht="20.100000000000001" customHeight="1">
      <c r="A696" s="327" t="str">
        <f>IF(AND($B696="",$C696=""),"",MAX($A$3:A695)+1)</f>
        <v/>
      </c>
      <c r="B696" s="262"/>
      <c r="C696" s="253"/>
      <c r="D696" s="249" t="str">
        <f>IFERROR(IF($E696="Inventory",VLOOKUP($C696,Inventory!$B:$I,2,FALSE()),IF($E696="Non Inventory",VLOOKUP($C696,'Non Inventory'!$B:$I,2,FALSE()),IF($E696="Services",VLOOKUP($C696,Services!$B:$I,2,FALSE()),IF($E696="Patty Cash",VLOOKUP($C696,'Patty Cash'!$B:$J,2,FALSE()),"")))),"")</f>
        <v/>
      </c>
      <c r="E696" s="254"/>
      <c r="F696" s="263" t="str">
        <f>IFERROR(IF($E696="Inventory",VLOOKUP($C696,Inventory!$B:$I,3,FALSE()),IF($E696="Non Inventory",VLOOKUP($C696,'Non Inventory'!$B:$I,3,FALSE()),IF($E696="Services",VLOOKUP($C696,Services!$B:$I,3,FALSE()),IF($E696="Patty Cash",VLOOKUP($C696,'Patty Cash'!$B:$J,3,FALSE()),"")))),"")</f>
        <v/>
      </c>
      <c r="G696" s="374"/>
      <c r="H696" s="374" t="str">
        <f t="shared" si="20"/>
        <v/>
      </c>
      <c r="I696" s="252">
        <f>IFERROR(IF($E696="Inventory",VLOOKUP($C696,Inventory!$B:$I,8,FALSE()),IF($E696="Non Inventory",VLOOKUP($C696,'Non Inventory'!$B:$I,8,FALSE()),IF($E696="Services",VLOOKUP($C696,Services!$B:$I,8,FALSE()),IF($E696="Patty Cash",VLOOKUP($C696,'Patty Cash'!$B:$J,8,FALSE()),0)))),0)</f>
        <v>0</v>
      </c>
      <c r="J696" s="252" t="str">
        <f t="shared" si="21"/>
        <v/>
      </c>
      <c r="K696" s="253"/>
      <c r="L696" s="253"/>
      <c r="M696" s="253"/>
      <c r="N696" s="328"/>
    </row>
    <row r="697" spans="1:14" ht="20.100000000000001" customHeight="1">
      <c r="A697" s="327" t="str">
        <f>IF(AND($B697="",$C697=""),"",MAX($A$3:A696)+1)</f>
        <v/>
      </c>
      <c r="B697" s="262"/>
      <c r="C697" s="253"/>
      <c r="D697" s="249" t="str">
        <f>IFERROR(IF($E697="Inventory",VLOOKUP($C697,Inventory!$B:$I,2,FALSE()),IF($E697="Non Inventory",VLOOKUP($C697,'Non Inventory'!$B:$I,2,FALSE()),IF($E697="Services",VLOOKUP($C697,Services!$B:$I,2,FALSE()),IF($E697="Patty Cash",VLOOKUP($C697,'Patty Cash'!$B:$J,2,FALSE()),"")))),"")</f>
        <v/>
      </c>
      <c r="E697" s="254"/>
      <c r="F697" s="263" t="str">
        <f>IFERROR(IF($E697="Inventory",VLOOKUP($C697,Inventory!$B:$I,3,FALSE()),IF($E697="Non Inventory",VLOOKUP($C697,'Non Inventory'!$B:$I,3,FALSE()),IF($E697="Services",VLOOKUP($C697,Services!$B:$I,3,FALSE()),IF($E697="Patty Cash",VLOOKUP($C697,'Patty Cash'!$B:$J,3,FALSE()),"")))),"")</f>
        <v/>
      </c>
      <c r="G697" s="374"/>
      <c r="H697" s="374" t="str">
        <f t="shared" si="20"/>
        <v/>
      </c>
      <c r="I697" s="252">
        <f>IFERROR(IF($E697="Inventory",VLOOKUP($C697,Inventory!$B:$I,8,FALSE()),IF($E697="Non Inventory",VLOOKUP($C697,'Non Inventory'!$B:$I,8,FALSE()),IF($E697="Services",VLOOKUP($C697,Services!$B:$I,8,FALSE()),IF($E697="Patty Cash",VLOOKUP($C697,'Patty Cash'!$B:$J,8,FALSE()),0)))),0)</f>
        <v>0</v>
      </c>
      <c r="J697" s="252" t="str">
        <f t="shared" si="21"/>
        <v/>
      </c>
      <c r="K697" s="253"/>
      <c r="L697" s="253"/>
      <c r="M697" s="253"/>
      <c r="N697" s="328"/>
    </row>
    <row r="698" spans="1:14" ht="20.100000000000001" customHeight="1">
      <c r="A698" s="327" t="str">
        <f>IF(AND($B698="",$C698=""),"",MAX($A$3:A697)+1)</f>
        <v/>
      </c>
      <c r="B698" s="262"/>
      <c r="C698" s="253"/>
      <c r="D698" s="249" t="str">
        <f>IFERROR(IF($E698="Inventory",VLOOKUP($C698,Inventory!$B:$I,2,FALSE()),IF($E698="Non Inventory",VLOOKUP($C698,'Non Inventory'!$B:$I,2,FALSE()),IF($E698="Services",VLOOKUP($C698,Services!$B:$I,2,FALSE()),IF($E698="Patty Cash",VLOOKUP($C698,'Patty Cash'!$B:$J,2,FALSE()),"")))),"")</f>
        <v/>
      </c>
      <c r="E698" s="254"/>
      <c r="F698" s="263" t="str">
        <f>IFERROR(IF($E698="Inventory",VLOOKUP($C698,Inventory!$B:$I,3,FALSE()),IF($E698="Non Inventory",VLOOKUP($C698,'Non Inventory'!$B:$I,3,FALSE()),IF($E698="Services",VLOOKUP($C698,Services!$B:$I,3,FALSE()),IF($E698="Patty Cash",VLOOKUP($C698,'Patty Cash'!$B:$J,3,FALSE()),"")))),"")</f>
        <v/>
      </c>
      <c r="G698" s="374"/>
      <c r="H698" s="374" t="str">
        <f t="shared" si="20"/>
        <v/>
      </c>
      <c r="I698" s="252">
        <f>IFERROR(IF($E698="Inventory",VLOOKUP($C698,Inventory!$B:$I,8,FALSE()),IF($E698="Non Inventory",VLOOKUP($C698,'Non Inventory'!$B:$I,8,FALSE()),IF($E698="Services",VLOOKUP($C698,Services!$B:$I,8,FALSE()),IF($E698="Patty Cash",VLOOKUP($C698,'Patty Cash'!$B:$J,8,FALSE()),0)))),0)</f>
        <v>0</v>
      </c>
      <c r="J698" s="252" t="str">
        <f t="shared" si="21"/>
        <v/>
      </c>
      <c r="K698" s="253"/>
      <c r="L698" s="253"/>
      <c r="M698" s="253"/>
      <c r="N698" s="328"/>
    </row>
    <row r="699" spans="1:14" ht="20.100000000000001" customHeight="1">
      <c r="A699" s="327" t="str">
        <f>IF(AND($B699="",$C699=""),"",MAX($A$3:A698)+1)</f>
        <v/>
      </c>
      <c r="B699" s="262"/>
      <c r="C699" s="253"/>
      <c r="D699" s="249" t="str">
        <f>IFERROR(IF($E699="Inventory",VLOOKUP($C699,Inventory!$B:$I,2,FALSE()),IF($E699="Non Inventory",VLOOKUP($C699,'Non Inventory'!$B:$I,2,FALSE()),IF($E699="Services",VLOOKUP($C699,Services!$B:$I,2,FALSE()),IF($E699="Patty Cash",VLOOKUP($C699,'Patty Cash'!$B:$J,2,FALSE()),"")))),"")</f>
        <v/>
      </c>
      <c r="E699" s="254"/>
      <c r="F699" s="263" t="str">
        <f>IFERROR(IF($E699="Inventory",VLOOKUP($C699,Inventory!$B:$I,3,FALSE()),IF($E699="Non Inventory",VLOOKUP($C699,'Non Inventory'!$B:$I,3,FALSE()),IF($E699="Services",VLOOKUP($C699,Services!$B:$I,3,FALSE()),IF($E699="Patty Cash",VLOOKUP($C699,'Patty Cash'!$B:$J,3,FALSE()),"")))),"")</f>
        <v/>
      </c>
      <c r="G699" s="374"/>
      <c r="H699" s="374" t="str">
        <f t="shared" ref="H699:H762" si="22">IF($G699="","",G699)</f>
        <v/>
      </c>
      <c r="I699" s="252">
        <f>IFERROR(IF($E699="Inventory",VLOOKUP($C699,Inventory!$B:$I,8,FALSE()),IF($E699="Non Inventory",VLOOKUP($C699,'Non Inventory'!$B:$I,8,FALSE()),IF($E699="Services",VLOOKUP($C699,Services!$B:$I,8,FALSE()),IF($E699="Patty Cash",VLOOKUP($C699,'Patty Cash'!$B:$J,8,FALSE()),0)))),0)</f>
        <v>0</v>
      </c>
      <c r="J699" s="252" t="str">
        <f t="shared" ref="J699:J762" si="23">IF($H699="","",H699*I699)</f>
        <v/>
      </c>
      <c r="K699" s="253"/>
      <c r="L699" s="253"/>
      <c r="M699" s="253"/>
      <c r="N699" s="328"/>
    </row>
    <row r="700" spans="1:14" ht="20.100000000000001" customHeight="1">
      <c r="A700" s="327" t="str">
        <f>IF(AND($B700="",$C700=""),"",MAX($A$3:A699)+1)</f>
        <v/>
      </c>
      <c r="B700" s="262"/>
      <c r="C700" s="253"/>
      <c r="D700" s="249" t="str">
        <f>IFERROR(IF($E700="Inventory",VLOOKUP($C700,Inventory!$B:$I,2,FALSE()),IF($E700="Non Inventory",VLOOKUP($C700,'Non Inventory'!$B:$I,2,FALSE()),IF($E700="Services",VLOOKUP($C700,Services!$B:$I,2,FALSE()),IF($E700="Patty Cash",VLOOKUP($C700,'Patty Cash'!$B:$J,2,FALSE()),"")))),"")</f>
        <v/>
      </c>
      <c r="E700" s="254"/>
      <c r="F700" s="263" t="str">
        <f>IFERROR(IF($E700="Inventory",VLOOKUP($C700,Inventory!$B:$I,3,FALSE()),IF($E700="Non Inventory",VLOOKUP($C700,'Non Inventory'!$B:$I,3,FALSE()),IF($E700="Services",VLOOKUP($C700,Services!$B:$I,3,FALSE()),IF($E700="Patty Cash",VLOOKUP($C700,'Patty Cash'!$B:$J,3,FALSE()),"")))),"")</f>
        <v/>
      </c>
      <c r="G700" s="374"/>
      <c r="H700" s="374" t="str">
        <f t="shared" si="22"/>
        <v/>
      </c>
      <c r="I700" s="252">
        <f>IFERROR(IF($E700="Inventory",VLOOKUP($C700,Inventory!$B:$I,8,FALSE()),IF($E700="Non Inventory",VLOOKUP($C700,'Non Inventory'!$B:$I,8,FALSE()),IF($E700="Services",VLOOKUP($C700,Services!$B:$I,8,FALSE()),IF($E700="Patty Cash",VLOOKUP($C700,'Patty Cash'!$B:$J,8,FALSE()),0)))),0)</f>
        <v>0</v>
      </c>
      <c r="J700" s="252" t="str">
        <f t="shared" si="23"/>
        <v/>
      </c>
      <c r="K700" s="253"/>
      <c r="L700" s="253"/>
      <c r="M700" s="253"/>
      <c r="N700" s="328"/>
    </row>
    <row r="701" spans="1:14" ht="20.100000000000001" customHeight="1">
      <c r="A701" s="327" t="str">
        <f>IF(AND($B701="",$C701=""),"",MAX($A$3:A700)+1)</f>
        <v/>
      </c>
      <c r="B701" s="262"/>
      <c r="C701" s="253"/>
      <c r="D701" s="249" t="str">
        <f>IFERROR(IF($E701="Inventory",VLOOKUP($C701,Inventory!$B:$I,2,FALSE()),IF($E701="Non Inventory",VLOOKUP($C701,'Non Inventory'!$B:$I,2,FALSE()),IF($E701="Services",VLOOKUP($C701,Services!$B:$I,2,FALSE()),IF($E701="Patty Cash",VLOOKUP($C701,'Patty Cash'!$B:$J,2,FALSE()),"")))),"")</f>
        <v/>
      </c>
      <c r="E701" s="254"/>
      <c r="F701" s="263" t="str">
        <f>IFERROR(IF($E701="Inventory",VLOOKUP($C701,Inventory!$B:$I,3,FALSE()),IF($E701="Non Inventory",VLOOKUP($C701,'Non Inventory'!$B:$I,3,FALSE()),IF($E701="Services",VLOOKUP($C701,Services!$B:$I,3,FALSE()),IF($E701="Patty Cash",VLOOKUP($C701,'Patty Cash'!$B:$J,3,FALSE()),"")))),"")</f>
        <v/>
      </c>
      <c r="G701" s="374"/>
      <c r="H701" s="374" t="str">
        <f t="shared" si="22"/>
        <v/>
      </c>
      <c r="I701" s="252">
        <f>IFERROR(IF($E701="Inventory",VLOOKUP($C701,Inventory!$B:$I,8,FALSE()),IF($E701="Non Inventory",VLOOKUP($C701,'Non Inventory'!$B:$I,8,FALSE()),IF($E701="Services",VLOOKUP($C701,Services!$B:$I,8,FALSE()),IF($E701="Patty Cash",VLOOKUP($C701,'Patty Cash'!$B:$J,8,FALSE()),0)))),0)</f>
        <v>0</v>
      </c>
      <c r="J701" s="252" t="str">
        <f t="shared" si="23"/>
        <v/>
      </c>
      <c r="K701" s="253"/>
      <c r="L701" s="253"/>
      <c r="M701" s="253"/>
      <c r="N701" s="328"/>
    </row>
    <row r="702" spans="1:14" ht="20.100000000000001" customHeight="1">
      <c r="A702" s="327" t="str">
        <f>IF(AND($B702="",$C702=""),"",MAX($A$3:A701)+1)</f>
        <v/>
      </c>
      <c r="B702" s="262"/>
      <c r="C702" s="253"/>
      <c r="D702" s="249" t="str">
        <f>IFERROR(IF($E702="Inventory",VLOOKUP($C702,Inventory!$B:$I,2,FALSE()),IF($E702="Non Inventory",VLOOKUP($C702,'Non Inventory'!$B:$I,2,FALSE()),IF($E702="Services",VLOOKUP($C702,Services!$B:$I,2,FALSE()),IF($E702="Patty Cash",VLOOKUP($C702,'Patty Cash'!$B:$J,2,FALSE()),"")))),"")</f>
        <v/>
      </c>
      <c r="E702" s="254"/>
      <c r="F702" s="263" t="str">
        <f>IFERROR(IF($E702="Inventory",VLOOKUP($C702,Inventory!$B:$I,3,FALSE()),IF($E702="Non Inventory",VLOOKUP($C702,'Non Inventory'!$B:$I,3,FALSE()),IF($E702="Services",VLOOKUP($C702,Services!$B:$I,3,FALSE()),IF($E702="Patty Cash",VLOOKUP($C702,'Patty Cash'!$B:$J,3,FALSE()),"")))),"")</f>
        <v/>
      </c>
      <c r="G702" s="374"/>
      <c r="H702" s="374" t="str">
        <f t="shared" si="22"/>
        <v/>
      </c>
      <c r="I702" s="252">
        <f>IFERROR(IF($E702="Inventory",VLOOKUP($C702,Inventory!$B:$I,8,FALSE()),IF($E702="Non Inventory",VLOOKUP($C702,'Non Inventory'!$B:$I,8,FALSE()),IF($E702="Services",VLOOKUP($C702,Services!$B:$I,8,FALSE()),IF($E702="Patty Cash",VLOOKUP($C702,'Patty Cash'!$B:$J,8,FALSE()),0)))),0)</f>
        <v>0</v>
      </c>
      <c r="J702" s="252" t="str">
        <f t="shared" si="23"/>
        <v/>
      </c>
      <c r="K702" s="253"/>
      <c r="L702" s="253"/>
      <c r="M702" s="253"/>
      <c r="N702" s="328"/>
    </row>
    <row r="703" spans="1:14" ht="20.100000000000001" customHeight="1">
      <c r="A703" s="327" t="str">
        <f>IF(AND($B703="",$C703=""),"",MAX($A$3:A702)+1)</f>
        <v/>
      </c>
      <c r="B703" s="262"/>
      <c r="C703" s="253"/>
      <c r="D703" s="249" t="str">
        <f>IFERROR(IF($E703="Inventory",VLOOKUP($C703,Inventory!$B:$I,2,FALSE()),IF($E703="Non Inventory",VLOOKUP($C703,'Non Inventory'!$B:$I,2,FALSE()),IF($E703="Services",VLOOKUP($C703,Services!$B:$I,2,FALSE()),IF($E703="Patty Cash",VLOOKUP($C703,'Patty Cash'!$B:$J,2,FALSE()),"")))),"")</f>
        <v/>
      </c>
      <c r="E703" s="254"/>
      <c r="F703" s="263" t="str">
        <f>IFERROR(IF($E703="Inventory",VLOOKUP($C703,Inventory!$B:$I,3,FALSE()),IF($E703="Non Inventory",VLOOKUP($C703,'Non Inventory'!$B:$I,3,FALSE()),IF($E703="Services",VLOOKUP($C703,Services!$B:$I,3,FALSE()),IF($E703="Patty Cash",VLOOKUP($C703,'Patty Cash'!$B:$J,3,FALSE()),"")))),"")</f>
        <v/>
      </c>
      <c r="G703" s="374"/>
      <c r="H703" s="374" t="str">
        <f t="shared" si="22"/>
        <v/>
      </c>
      <c r="I703" s="252">
        <f>IFERROR(IF($E703="Inventory",VLOOKUP($C703,Inventory!$B:$I,8,FALSE()),IF($E703="Non Inventory",VLOOKUP($C703,'Non Inventory'!$B:$I,8,FALSE()),IF($E703="Services",VLOOKUP($C703,Services!$B:$I,8,FALSE()),IF($E703="Patty Cash",VLOOKUP($C703,'Patty Cash'!$B:$J,8,FALSE()),0)))),0)</f>
        <v>0</v>
      </c>
      <c r="J703" s="252" t="str">
        <f t="shared" si="23"/>
        <v/>
      </c>
      <c r="K703" s="253"/>
      <c r="L703" s="253"/>
      <c r="M703" s="253"/>
      <c r="N703" s="328"/>
    </row>
    <row r="704" spans="1:14" ht="20.100000000000001" customHeight="1">
      <c r="A704" s="327" t="str">
        <f>IF(AND($B704="",$C704=""),"",MAX($A$3:A703)+1)</f>
        <v/>
      </c>
      <c r="B704" s="262"/>
      <c r="C704" s="253"/>
      <c r="D704" s="249" t="str">
        <f>IFERROR(IF($E704="Inventory",VLOOKUP($C704,Inventory!$B:$I,2,FALSE()),IF($E704="Non Inventory",VLOOKUP($C704,'Non Inventory'!$B:$I,2,FALSE()),IF($E704="Services",VLOOKUP($C704,Services!$B:$I,2,FALSE()),IF($E704="Patty Cash",VLOOKUP($C704,'Patty Cash'!$B:$J,2,FALSE()),"")))),"")</f>
        <v/>
      </c>
      <c r="E704" s="254"/>
      <c r="F704" s="263" t="str">
        <f>IFERROR(IF($E704="Inventory",VLOOKUP($C704,Inventory!$B:$I,3,FALSE()),IF($E704="Non Inventory",VLOOKUP($C704,'Non Inventory'!$B:$I,3,FALSE()),IF($E704="Services",VLOOKUP($C704,Services!$B:$I,3,FALSE()),IF($E704="Patty Cash",VLOOKUP($C704,'Patty Cash'!$B:$J,3,FALSE()),"")))),"")</f>
        <v/>
      </c>
      <c r="G704" s="374"/>
      <c r="H704" s="374" t="str">
        <f t="shared" si="22"/>
        <v/>
      </c>
      <c r="I704" s="252">
        <f>IFERROR(IF($E704="Inventory",VLOOKUP($C704,Inventory!$B:$I,8,FALSE()),IF($E704="Non Inventory",VLOOKUP($C704,'Non Inventory'!$B:$I,8,FALSE()),IF($E704="Services",VLOOKUP($C704,Services!$B:$I,8,FALSE()),IF($E704="Patty Cash",VLOOKUP($C704,'Patty Cash'!$B:$J,8,FALSE()),0)))),0)</f>
        <v>0</v>
      </c>
      <c r="J704" s="252" t="str">
        <f t="shared" si="23"/>
        <v/>
      </c>
      <c r="K704" s="253"/>
      <c r="L704" s="253"/>
      <c r="M704" s="253"/>
      <c r="N704" s="328"/>
    </row>
    <row r="705" spans="1:14" ht="20.100000000000001" customHeight="1">
      <c r="A705" s="327" t="str">
        <f>IF(AND($B705="",$C705=""),"",MAX($A$3:A704)+1)</f>
        <v/>
      </c>
      <c r="B705" s="262"/>
      <c r="C705" s="253"/>
      <c r="D705" s="249" t="str">
        <f>IFERROR(IF($E705="Inventory",VLOOKUP($C705,Inventory!$B:$I,2,FALSE()),IF($E705="Non Inventory",VLOOKUP($C705,'Non Inventory'!$B:$I,2,FALSE()),IF($E705="Services",VLOOKUP($C705,Services!$B:$I,2,FALSE()),IF($E705="Patty Cash",VLOOKUP($C705,'Patty Cash'!$B:$J,2,FALSE()),"")))),"")</f>
        <v/>
      </c>
      <c r="E705" s="254"/>
      <c r="F705" s="263" t="str">
        <f>IFERROR(IF($E705="Inventory",VLOOKUP($C705,Inventory!$B:$I,3,FALSE()),IF($E705="Non Inventory",VLOOKUP($C705,'Non Inventory'!$B:$I,3,FALSE()),IF($E705="Services",VLOOKUP($C705,Services!$B:$I,3,FALSE()),IF($E705="Patty Cash",VLOOKUP($C705,'Patty Cash'!$B:$J,3,FALSE()),"")))),"")</f>
        <v/>
      </c>
      <c r="G705" s="374"/>
      <c r="H705" s="374" t="str">
        <f t="shared" si="22"/>
        <v/>
      </c>
      <c r="I705" s="252">
        <f>IFERROR(IF($E705="Inventory",VLOOKUP($C705,Inventory!$B:$I,8,FALSE()),IF($E705="Non Inventory",VLOOKUP($C705,'Non Inventory'!$B:$I,8,FALSE()),IF($E705="Services",VLOOKUP($C705,Services!$B:$I,8,FALSE()),IF($E705="Patty Cash",VLOOKUP($C705,'Patty Cash'!$B:$J,8,FALSE()),0)))),0)</f>
        <v>0</v>
      </c>
      <c r="J705" s="252" t="str">
        <f t="shared" si="23"/>
        <v/>
      </c>
      <c r="K705" s="253"/>
      <c r="L705" s="253"/>
      <c r="M705" s="253"/>
      <c r="N705" s="328"/>
    </row>
    <row r="706" spans="1:14" ht="20.100000000000001" customHeight="1">
      <c r="A706" s="327" t="str">
        <f>IF(AND($B706="",$C706=""),"",MAX($A$3:A705)+1)</f>
        <v/>
      </c>
      <c r="B706" s="262"/>
      <c r="C706" s="253"/>
      <c r="D706" s="249" t="str">
        <f>IFERROR(IF($E706="Inventory",VLOOKUP($C706,Inventory!$B:$I,2,FALSE()),IF($E706="Non Inventory",VLOOKUP($C706,'Non Inventory'!$B:$I,2,FALSE()),IF($E706="Services",VLOOKUP($C706,Services!$B:$I,2,FALSE()),IF($E706="Patty Cash",VLOOKUP($C706,'Patty Cash'!$B:$J,2,FALSE()),"")))),"")</f>
        <v/>
      </c>
      <c r="E706" s="254"/>
      <c r="F706" s="263" t="str">
        <f>IFERROR(IF($E706="Inventory",VLOOKUP($C706,Inventory!$B:$I,3,FALSE()),IF($E706="Non Inventory",VLOOKUP($C706,'Non Inventory'!$B:$I,3,FALSE()),IF($E706="Services",VLOOKUP($C706,Services!$B:$I,3,FALSE()),IF($E706="Patty Cash",VLOOKUP($C706,'Patty Cash'!$B:$J,3,FALSE()),"")))),"")</f>
        <v/>
      </c>
      <c r="G706" s="374"/>
      <c r="H706" s="374" t="str">
        <f t="shared" si="22"/>
        <v/>
      </c>
      <c r="I706" s="252">
        <f>IFERROR(IF($E706="Inventory",VLOOKUP($C706,Inventory!$B:$I,8,FALSE()),IF($E706="Non Inventory",VLOOKUP($C706,'Non Inventory'!$B:$I,8,FALSE()),IF($E706="Services",VLOOKUP($C706,Services!$B:$I,8,FALSE()),IF($E706="Patty Cash",VLOOKUP($C706,'Patty Cash'!$B:$J,8,FALSE()),0)))),0)</f>
        <v>0</v>
      </c>
      <c r="J706" s="252" t="str">
        <f t="shared" si="23"/>
        <v/>
      </c>
      <c r="K706" s="253"/>
      <c r="L706" s="253"/>
      <c r="M706" s="253"/>
      <c r="N706" s="328"/>
    </row>
    <row r="707" spans="1:14" ht="20.100000000000001" customHeight="1">
      <c r="A707" s="327" t="str">
        <f>IF(AND($B707="",$C707=""),"",MAX($A$3:A706)+1)</f>
        <v/>
      </c>
      <c r="B707" s="262"/>
      <c r="C707" s="253"/>
      <c r="D707" s="249" t="str">
        <f>IFERROR(IF($E707="Inventory",VLOOKUP($C707,Inventory!$B:$I,2,FALSE()),IF($E707="Non Inventory",VLOOKUP($C707,'Non Inventory'!$B:$I,2,FALSE()),IF($E707="Services",VLOOKUP($C707,Services!$B:$I,2,FALSE()),IF($E707="Patty Cash",VLOOKUP($C707,'Patty Cash'!$B:$J,2,FALSE()),"")))),"")</f>
        <v/>
      </c>
      <c r="E707" s="254"/>
      <c r="F707" s="263" t="str">
        <f>IFERROR(IF($E707="Inventory",VLOOKUP($C707,Inventory!$B:$I,3,FALSE()),IF($E707="Non Inventory",VLOOKUP($C707,'Non Inventory'!$B:$I,3,FALSE()),IF($E707="Services",VLOOKUP($C707,Services!$B:$I,3,FALSE()),IF($E707="Patty Cash",VLOOKUP($C707,'Patty Cash'!$B:$J,3,FALSE()),"")))),"")</f>
        <v/>
      </c>
      <c r="G707" s="374"/>
      <c r="H707" s="374" t="str">
        <f t="shared" si="22"/>
        <v/>
      </c>
      <c r="I707" s="252">
        <f>IFERROR(IF($E707="Inventory",VLOOKUP($C707,Inventory!$B:$I,8,FALSE()),IF($E707="Non Inventory",VLOOKUP($C707,'Non Inventory'!$B:$I,8,FALSE()),IF($E707="Services",VLOOKUP($C707,Services!$B:$I,8,FALSE()),IF($E707="Patty Cash",VLOOKUP($C707,'Patty Cash'!$B:$J,8,FALSE()),0)))),0)</f>
        <v>0</v>
      </c>
      <c r="J707" s="252" t="str">
        <f t="shared" si="23"/>
        <v/>
      </c>
      <c r="K707" s="253"/>
      <c r="L707" s="253"/>
      <c r="M707" s="253"/>
      <c r="N707" s="328"/>
    </row>
    <row r="708" spans="1:14" ht="20.100000000000001" customHeight="1">
      <c r="A708" s="327" t="str">
        <f>IF(AND($B708="",$C708=""),"",MAX($A$3:A707)+1)</f>
        <v/>
      </c>
      <c r="B708" s="262"/>
      <c r="C708" s="253"/>
      <c r="D708" s="249" t="str">
        <f>IFERROR(IF($E708="Inventory",VLOOKUP($C708,Inventory!$B:$I,2,FALSE()),IF($E708="Non Inventory",VLOOKUP($C708,'Non Inventory'!$B:$I,2,FALSE()),IF($E708="Services",VLOOKUP($C708,Services!$B:$I,2,FALSE()),IF($E708="Patty Cash",VLOOKUP($C708,'Patty Cash'!$B:$J,2,FALSE()),"")))),"")</f>
        <v/>
      </c>
      <c r="E708" s="254"/>
      <c r="F708" s="263" t="str">
        <f>IFERROR(IF($E708="Inventory",VLOOKUP($C708,Inventory!$B:$I,3,FALSE()),IF($E708="Non Inventory",VLOOKUP($C708,'Non Inventory'!$B:$I,3,FALSE()),IF($E708="Services",VLOOKUP($C708,Services!$B:$I,3,FALSE()),IF($E708="Patty Cash",VLOOKUP($C708,'Patty Cash'!$B:$J,3,FALSE()),"")))),"")</f>
        <v/>
      </c>
      <c r="G708" s="374"/>
      <c r="H708" s="374" t="str">
        <f t="shared" si="22"/>
        <v/>
      </c>
      <c r="I708" s="252">
        <f>IFERROR(IF($E708="Inventory",VLOOKUP($C708,Inventory!$B:$I,8,FALSE()),IF($E708="Non Inventory",VLOOKUP($C708,'Non Inventory'!$B:$I,8,FALSE()),IF($E708="Services",VLOOKUP($C708,Services!$B:$I,8,FALSE()),IF($E708="Patty Cash",VLOOKUP($C708,'Patty Cash'!$B:$J,8,FALSE()),0)))),0)</f>
        <v>0</v>
      </c>
      <c r="J708" s="252" t="str">
        <f t="shared" si="23"/>
        <v/>
      </c>
      <c r="K708" s="253"/>
      <c r="L708" s="253"/>
      <c r="M708" s="253"/>
      <c r="N708" s="328"/>
    </row>
    <row r="709" spans="1:14" ht="20.100000000000001" customHeight="1">
      <c r="A709" s="327" t="str">
        <f>IF(AND($B709="",$C709=""),"",MAX($A$3:A708)+1)</f>
        <v/>
      </c>
      <c r="B709" s="262"/>
      <c r="C709" s="253"/>
      <c r="D709" s="249" t="str">
        <f>IFERROR(IF($E709="Inventory",VLOOKUP($C709,Inventory!$B:$I,2,FALSE()),IF($E709="Non Inventory",VLOOKUP($C709,'Non Inventory'!$B:$I,2,FALSE()),IF($E709="Services",VLOOKUP($C709,Services!$B:$I,2,FALSE()),IF($E709="Patty Cash",VLOOKUP($C709,'Patty Cash'!$B:$J,2,FALSE()),"")))),"")</f>
        <v/>
      </c>
      <c r="E709" s="254"/>
      <c r="F709" s="263" t="str">
        <f>IFERROR(IF($E709="Inventory",VLOOKUP($C709,Inventory!$B:$I,3,FALSE()),IF($E709="Non Inventory",VLOOKUP($C709,'Non Inventory'!$B:$I,3,FALSE()),IF($E709="Services",VLOOKUP($C709,Services!$B:$I,3,FALSE()),IF($E709="Patty Cash",VLOOKUP($C709,'Patty Cash'!$B:$J,3,FALSE()),"")))),"")</f>
        <v/>
      </c>
      <c r="G709" s="374"/>
      <c r="H709" s="374" t="str">
        <f t="shared" si="22"/>
        <v/>
      </c>
      <c r="I709" s="252">
        <f>IFERROR(IF($E709="Inventory",VLOOKUP($C709,Inventory!$B:$I,8,FALSE()),IF($E709="Non Inventory",VLOOKUP($C709,'Non Inventory'!$B:$I,8,FALSE()),IF($E709="Services",VLOOKUP($C709,Services!$B:$I,8,FALSE()),IF($E709="Patty Cash",VLOOKUP($C709,'Patty Cash'!$B:$J,8,FALSE()),0)))),0)</f>
        <v>0</v>
      </c>
      <c r="J709" s="252" t="str">
        <f t="shared" si="23"/>
        <v/>
      </c>
      <c r="K709" s="253"/>
      <c r="L709" s="253"/>
      <c r="M709" s="253"/>
      <c r="N709" s="328"/>
    </row>
    <row r="710" spans="1:14" ht="20.100000000000001" customHeight="1">
      <c r="A710" s="327" t="str">
        <f>IF(AND($B710="",$C710=""),"",MAX($A$3:A709)+1)</f>
        <v/>
      </c>
      <c r="B710" s="262"/>
      <c r="C710" s="253"/>
      <c r="D710" s="249" t="str">
        <f>IFERROR(IF($E710="Inventory",VLOOKUP($C710,Inventory!$B:$I,2,FALSE()),IF($E710="Non Inventory",VLOOKUP($C710,'Non Inventory'!$B:$I,2,FALSE()),IF($E710="Services",VLOOKUP($C710,Services!$B:$I,2,FALSE()),IF($E710="Patty Cash",VLOOKUP($C710,'Patty Cash'!$B:$J,2,FALSE()),"")))),"")</f>
        <v/>
      </c>
      <c r="E710" s="254"/>
      <c r="F710" s="263" t="str">
        <f>IFERROR(IF($E710="Inventory",VLOOKUP($C710,Inventory!$B:$I,3,FALSE()),IF($E710="Non Inventory",VLOOKUP($C710,'Non Inventory'!$B:$I,3,FALSE()),IF($E710="Services",VLOOKUP($C710,Services!$B:$I,3,FALSE()),IF($E710="Patty Cash",VLOOKUP($C710,'Patty Cash'!$B:$J,3,FALSE()),"")))),"")</f>
        <v/>
      </c>
      <c r="G710" s="374"/>
      <c r="H710" s="374" t="str">
        <f t="shared" si="22"/>
        <v/>
      </c>
      <c r="I710" s="252">
        <f>IFERROR(IF($E710="Inventory",VLOOKUP($C710,Inventory!$B:$I,8,FALSE()),IF($E710="Non Inventory",VLOOKUP($C710,'Non Inventory'!$B:$I,8,FALSE()),IF($E710="Services",VLOOKUP($C710,Services!$B:$I,8,FALSE()),IF($E710="Patty Cash",VLOOKUP($C710,'Patty Cash'!$B:$J,8,FALSE()),0)))),0)</f>
        <v>0</v>
      </c>
      <c r="J710" s="252" t="str">
        <f t="shared" si="23"/>
        <v/>
      </c>
      <c r="K710" s="253"/>
      <c r="L710" s="253"/>
      <c r="M710" s="253"/>
      <c r="N710" s="328"/>
    </row>
    <row r="711" spans="1:14" ht="20.100000000000001" customHeight="1">
      <c r="A711" s="327" t="str">
        <f>IF(AND($B711="",$C711=""),"",MAX($A$3:A710)+1)</f>
        <v/>
      </c>
      <c r="B711" s="262"/>
      <c r="C711" s="253"/>
      <c r="D711" s="249" t="str">
        <f>IFERROR(IF($E711="Inventory",VLOOKUP($C711,Inventory!$B:$I,2,FALSE()),IF($E711="Non Inventory",VLOOKUP($C711,'Non Inventory'!$B:$I,2,FALSE()),IF($E711="Services",VLOOKUP($C711,Services!$B:$I,2,FALSE()),IF($E711="Patty Cash",VLOOKUP($C711,'Patty Cash'!$B:$J,2,FALSE()),"")))),"")</f>
        <v/>
      </c>
      <c r="E711" s="254"/>
      <c r="F711" s="263" t="str">
        <f>IFERROR(IF($E711="Inventory",VLOOKUP($C711,Inventory!$B:$I,3,FALSE()),IF($E711="Non Inventory",VLOOKUP($C711,'Non Inventory'!$B:$I,3,FALSE()),IF($E711="Services",VLOOKUP($C711,Services!$B:$I,3,FALSE()),IF($E711="Patty Cash",VLOOKUP($C711,'Patty Cash'!$B:$J,3,FALSE()),"")))),"")</f>
        <v/>
      </c>
      <c r="G711" s="374"/>
      <c r="H711" s="374" t="str">
        <f t="shared" si="22"/>
        <v/>
      </c>
      <c r="I711" s="252">
        <f>IFERROR(IF($E711="Inventory",VLOOKUP($C711,Inventory!$B:$I,8,FALSE()),IF($E711="Non Inventory",VLOOKUP($C711,'Non Inventory'!$B:$I,8,FALSE()),IF($E711="Services",VLOOKUP($C711,Services!$B:$I,8,FALSE()),IF($E711="Patty Cash",VLOOKUP($C711,'Patty Cash'!$B:$J,8,FALSE()),0)))),0)</f>
        <v>0</v>
      </c>
      <c r="J711" s="252" t="str">
        <f t="shared" si="23"/>
        <v/>
      </c>
      <c r="K711" s="253"/>
      <c r="L711" s="253"/>
      <c r="M711" s="253"/>
      <c r="N711" s="328"/>
    </row>
    <row r="712" spans="1:14" ht="20.100000000000001" customHeight="1">
      <c r="A712" s="327" t="str">
        <f>IF(AND($B712="",$C712=""),"",MAX($A$3:A711)+1)</f>
        <v/>
      </c>
      <c r="B712" s="262"/>
      <c r="C712" s="253"/>
      <c r="D712" s="249" t="str">
        <f>IFERROR(IF($E712="Inventory",VLOOKUP($C712,Inventory!$B:$I,2,FALSE()),IF($E712="Non Inventory",VLOOKUP($C712,'Non Inventory'!$B:$I,2,FALSE()),IF($E712="Services",VLOOKUP($C712,Services!$B:$I,2,FALSE()),IF($E712="Patty Cash",VLOOKUP($C712,'Patty Cash'!$B:$J,2,FALSE()),"")))),"")</f>
        <v/>
      </c>
      <c r="E712" s="254"/>
      <c r="F712" s="263" t="str">
        <f>IFERROR(IF($E712="Inventory",VLOOKUP($C712,Inventory!$B:$I,3,FALSE()),IF($E712="Non Inventory",VLOOKUP($C712,'Non Inventory'!$B:$I,3,FALSE()),IF($E712="Services",VLOOKUP($C712,Services!$B:$I,3,FALSE()),IF($E712="Patty Cash",VLOOKUP($C712,'Patty Cash'!$B:$J,3,FALSE()),"")))),"")</f>
        <v/>
      </c>
      <c r="G712" s="374"/>
      <c r="H712" s="374" t="str">
        <f t="shared" si="22"/>
        <v/>
      </c>
      <c r="I712" s="252">
        <f>IFERROR(IF($E712="Inventory",VLOOKUP($C712,Inventory!$B:$I,8,FALSE()),IF($E712="Non Inventory",VLOOKUP($C712,'Non Inventory'!$B:$I,8,FALSE()),IF($E712="Services",VLOOKUP($C712,Services!$B:$I,8,FALSE()),IF($E712="Patty Cash",VLOOKUP($C712,'Patty Cash'!$B:$J,8,FALSE()),0)))),0)</f>
        <v>0</v>
      </c>
      <c r="J712" s="252" t="str">
        <f t="shared" si="23"/>
        <v/>
      </c>
      <c r="K712" s="253"/>
      <c r="L712" s="253"/>
      <c r="M712" s="253"/>
      <c r="N712" s="328"/>
    </row>
    <row r="713" spans="1:14" ht="20.100000000000001" customHeight="1">
      <c r="A713" s="327" t="str">
        <f>IF(AND($B713="",$C713=""),"",MAX($A$3:A712)+1)</f>
        <v/>
      </c>
      <c r="B713" s="262"/>
      <c r="C713" s="253"/>
      <c r="D713" s="249" t="str">
        <f>IFERROR(IF($E713="Inventory",VLOOKUP($C713,Inventory!$B:$I,2,FALSE()),IF($E713="Non Inventory",VLOOKUP($C713,'Non Inventory'!$B:$I,2,FALSE()),IF($E713="Services",VLOOKUP($C713,Services!$B:$I,2,FALSE()),IF($E713="Patty Cash",VLOOKUP($C713,'Patty Cash'!$B:$J,2,FALSE()),"")))),"")</f>
        <v/>
      </c>
      <c r="E713" s="254"/>
      <c r="F713" s="263" t="str">
        <f>IFERROR(IF($E713="Inventory",VLOOKUP($C713,Inventory!$B:$I,3,FALSE()),IF($E713="Non Inventory",VLOOKUP($C713,'Non Inventory'!$B:$I,3,FALSE()),IF($E713="Services",VLOOKUP($C713,Services!$B:$I,3,FALSE()),IF($E713="Patty Cash",VLOOKUP($C713,'Patty Cash'!$B:$J,3,FALSE()),"")))),"")</f>
        <v/>
      </c>
      <c r="G713" s="374"/>
      <c r="H713" s="374" t="str">
        <f t="shared" si="22"/>
        <v/>
      </c>
      <c r="I713" s="252">
        <f>IFERROR(IF($E713="Inventory",VLOOKUP($C713,Inventory!$B:$I,8,FALSE()),IF($E713="Non Inventory",VLOOKUP($C713,'Non Inventory'!$B:$I,8,FALSE()),IF($E713="Services",VLOOKUP($C713,Services!$B:$I,8,FALSE()),IF($E713="Patty Cash",VLOOKUP($C713,'Patty Cash'!$B:$J,8,FALSE()),0)))),0)</f>
        <v>0</v>
      </c>
      <c r="J713" s="252" t="str">
        <f t="shared" si="23"/>
        <v/>
      </c>
      <c r="K713" s="253"/>
      <c r="L713" s="253"/>
      <c r="M713" s="253"/>
      <c r="N713" s="328"/>
    </row>
    <row r="714" spans="1:14" ht="20.100000000000001" customHeight="1">
      <c r="A714" s="327" t="str">
        <f>IF(AND($B714="",$C714=""),"",MAX($A$3:A713)+1)</f>
        <v/>
      </c>
      <c r="B714" s="262"/>
      <c r="C714" s="253"/>
      <c r="D714" s="249" t="str">
        <f>IFERROR(IF($E714="Inventory",VLOOKUP($C714,Inventory!$B:$I,2,FALSE()),IF($E714="Non Inventory",VLOOKUP($C714,'Non Inventory'!$B:$I,2,FALSE()),IF($E714="Services",VLOOKUP($C714,Services!$B:$I,2,FALSE()),IF($E714="Patty Cash",VLOOKUP($C714,'Patty Cash'!$B:$J,2,FALSE()),"")))),"")</f>
        <v/>
      </c>
      <c r="E714" s="254"/>
      <c r="F714" s="263" t="str">
        <f>IFERROR(IF($E714="Inventory",VLOOKUP($C714,Inventory!$B:$I,3,FALSE()),IF($E714="Non Inventory",VLOOKUP($C714,'Non Inventory'!$B:$I,3,FALSE()),IF($E714="Services",VLOOKUP($C714,Services!$B:$I,3,FALSE()),IF($E714="Patty Cash",VLOOKUP($C714,'Patty Cash'!$B:$J,3,FALSE()),"")))),"")</f>
        <v/>
      </c>
      <c r="G714" s="374"/>
      <c r="H714" s="374" t="str">
        <f t="shared" si="22"/>
        <v/>
      </c>
      <c r="I714" s="252">
        <f>IFERROR(IF($E714="Inventory",VLOOKUP($C714,Inventory!$B:$I,8,FALSE()),IF($E714="Non Inventory",VLOOKUP($C714,'Non Inventory'!$B:$I,8,FALSE()),IF($E714="Services",VLOOKUP($C714,Services!$B:$I,8,FALSE()),IF($E714="Patty Cash",VLOOKUP($C714,'Patty Cash'!$B:$J,8,FALSE()),0)))),0)</f>
        <v>0</v>
      </c>
      <c r="J714" s="252" t="str">
        <f t="shared" si="23"/>
        <v/>
      </c>
      <c r="K714" s="253"/>
      <c r="L714" s="253"/>
      <c r="M714" s="253"/>
      <c r="N714" s="328"/>
    </row>
    <row r="715" spans="1:14" ht="20.100000000000001" customHeight="1">
      <c r="A715" s="327" t="str">
        <f>IF(AND($B715="",$C715=""),"",MAX($A$3:A714)+1)</f>
        <v/>
      </c>
      <c r="B715" s="262"/>
      <c r="C715" s="253"/>
      <c r="D715" s="249" t="str">
        <f>IFERROR(IF($E715="Inventory",VLOOKUP($C715,Inventory!$B:$I,2,FALSE()),IF($E715="Non Inventory",VLOOKUP($C715,'Non Inventory'!$B:$I,2,FALSE()),IF($E715="Services",VLOOKUP($C715,Services!$B:$I,2,FALSE()),IF($E715="Patty Cash",VLOOKUP($C715,'Patty Cash'!$B:$J,2,FALSE()),"")))),"")</f>
        <v/>
      </c>
      <c r="E715" s="254"/>
      <c r="F715" s="263" t="str">
        <f>IFERROR(IF($E715="Inventory",VLOOKUP($C715,Inventory!$B:$I,3,FALSE()),IF($E715="Non Inventory",VLOOKUP($C715,'Non Inventory'!$B:$I,3,FALSE()),IF($E715="Services",VLOOKUP($C715,Services!$B:$I,3,FALSE()),IF($E715="Patty Cash",VLOOKUP($C715,'Patty Cash'!$B:$J,3,FALSE()),"")))),"")</f>
        <v/>
      </c>
      <c r="G715" s="374"/>
      <c r="H715" s="374" t="str">
        <f t="shared" si="22"/>
        <v/>
      </c>
      <c r="I715" s="252">
        <f>IFERROR(IF($E715="Inventory",VLOOKUP($C715,Inventory!$B:$I,8,FALSE()),IF($E715="Non Inventory",VLOOKUP($C715,'Non Inventory'!$B:$I,8,FALSE()),IF($E715="Services",VLOOKUP($C715,Services!$B:$I,8,FALSE()),IF($E715="Patty Cash",VLOOKUP($C715,'Patty Cash'!$B:$J,8,FALSE()),0)))),0)</f>
        <v>0</v>
      </c>
      <c r="J715" s="252" t="str">
        <f t="shared" si="23"/>
        <v/>
      </c>
      <c r="K715" s="253"/>
      <c r="L715" s="253"/>
      <c r="M715" s="253"/>
      <c r="N715" s="328"/>
    </row>
    <row r="716" spans="1:14" ht="20.100000000000001" customHeight="1">
      <c r="A716" s="327" t="str">
        <f>IF(AND($B716="",$C716=""),"",MAX($A$3:A715)+1)</f>
        <v/>
      </c>
      <c r="B716" s="262"/>
      <c r="C716" s="253"/>
      <c r="D716" s="249" t="str">
        <f>IFERROR(IF($E716="Inventory",VLOOKUP($C716,Inventory!$B:$I,2,FALSE()),IF($E716="Non Inventory",VLOOKUP($C716,'Non Inventory'!$B:$I,2,FALSE()),IF($E716="Services",VLOOKUP($C716,Services!$B:$I,2,FALSE()),IF($E716="Patty Cash",VLOOKUP($C716,'Patty Cash'!$B:$J,2,FALSE()),"")))),"")</f>
        <v/>
      </c>
      <c r="E716" s="254"/>
      <c r="F716" s="263" t="str">
        <f>IFERROR(IF($E716="Inventory",VLOOKUP($C716,Inventory!$B:$I,3,FALSE()),IF($E716="Non Inventory",VLOOKUP($C716,'Non Inventory'!$B:$I,3,FALSE()),IF($E716="Services",VLOOKUP($C716,Services!$B:$I,3,FALSE()),IF($E716="Patty Cash",VLOOKUP($C716,'Patty Cash'!$B:$J,3,FALSE()),"")))),"")</f>
        <v/>
      </c>
      <c r="G716" s="374"/>
      <c r="H716" s="374" t="str">
        <f t="shared" si="22"/>
        <v/>
      </c>
      <c r="I716" s="252">
        <f>IFERROR(IF($E716="Inventory",VLOOKUP($C716,Inventory!$B:$I,8,FALSE()),IF($E716="Non Inventory",VLOOKUP($C716,'Non Inventory'!$B:$I,8,FALSE()),IF($E716="Services",VLOOKUP($C716,Services!$B:$I,8,FALSE()),IF($E716="Patty Cash",VLOOKUP($C716,'Patty Cash'!$B:$J,8,FALSE()),0)))),0)</f>
        <v>0</v>
      </c>
      <c r="J716" s="252" t="str">
        <f t="shared" si="23"/>
        <v/>
      </c>
      <c r="K716" s="253"/>
      <c r="L716" s="253"/>
      <c r="M716" s="253"/>
      <c r="N716" s="328"/>
    </row>
    <row r="717" spans="1:14" ht="20.100000000000001" customHeight="1">
      <c r="A717" s="327" t="str">
        <f>IF(AND($B717="",$C717=""),"",MAX($A$3:A716)+1)</f>
        <v/>
      </c>
      <c r="B717" s="262"/>
      <c r="C717" s="253"/>
      <c r="D717" s="249" t="str">
        <f>IFERROR(IF($E717="Inventory",VLOOKUP($C717,Inventory!$B:$I,2,FALSE()),IF($E717="Non Inventory",VLOOKUP($C717,'Non Inventory'!$B:$I,2,FALSE()),IF($E717="Services",VLOOKUP($C717,Services!$B:$I,2,FALSE()),IF($E717="Patty Cash",VLOOKUP($C717,'Patty Cash'!$B:$J,2,FALSE()),"")))),"")</f>
        <v/>
      </c>
      <c r="E717" s="254"/>
      <c r="F717" s="263" t="str">
        <f>IFERROR(IF($E717="Inventory",VLOOKUP($C717,Inventory!$B:$I,3,FALSE()),IF($E717="Non Inventory",VLOOKUP($C717,'Non Inventory'!$B:$I,3,FALSE()),IF($E717="Services",VLOOKUP($C717,Services!$B:$I,3,FALSE()),IF($E717="Patty Cash",VLOOKUP($C717,'Patty Cash'!$B:$J,3,FALSE()),"")))),"")</f>
        <v/>
      </c>
      <c r="G717" s="374"/>
      <c r="H717" s="374" t="str">
        <f t="shared" si="22"/>
        <v/>
      </c>
      <c r="I717" s="252">
        <f>IFERROR(IF($E717="Inventory",VLOOKUP($C717,Inventory!$B:$I,8,FALSE()),IF($E717="Non Inventory",VLOOKUP($C717,'Non Inventory'!$B:$I,8,FALSE()),IF($E717="Services",VLOOKUP($C717,Services!$B:$I,8,FALSE()),IF($E717="Patty Cash",VLOOKUP($C717,'Patty Cash'!$B:$J,8,FALSE()),0)))),0)</f>
        <v>0</v>
      </c>
      <c r="J717" s="252" t="str">
        <f t="shared" si="23"/>
        <v/>
      </c>
      <c r="K717" s="253"/>
      <c r="L717" s="253"/>
      <c r="M717" s="253"/>
      <c r="N717" s="328"/>
    </row>
    <row r="718" spans="1:14" ht="20.100000000000001" customHeight="1">
      <c r="A718" s="327" t="str">
        <f>IF(AND($B718="",$C718=""),"",MAX($A$3:A717)+1)</f>
        <v/>
      </c>
      <c r="B718" s="262"/>
      <c r="C718" s="253"/>
      <c r="D718" s="249" t="str">
        <f>IFERROR(IF($E718="Inventory",VLOOKUP($C718,Inventory!$B:$I,2,FALSE()),IF($E718="Non Inventory",VLOOKUP($C718,'Non Inventory'!$B:$I,2,FALSE()),IF($E718="Services",VLOOKUP($C718,Services!$B:$I,2,FALSE()),IF($E718="Patty Cash",VLOOKUP($C718,'Patty Cash'!$B:$J,2,FALSE()),"")))),"")</f>
        <v/>
      </c>
      <c r="E718" s="254"/>
      <c r="F718" s="263" t="str">
        <f>IFERROR(IF($E718="Inventory",VLOOKUP($C718,Inventory!$B:$I,3,FALSE()),IF($E718="Non Inventory",VLOOKUP($C718,'Non Inventory'!$B:$I,3,FALSE()),IF($E718="Services",VLOOKUP($C718,Services!$B:$I,3,FALSE()),IF($E718="Patty Cash",VLOOKUP($C718,'Patty Cash'!$B:$J,3,FALSE()),"")))),"")</f>
        <v/>
      </c>
      <c r="G718" s="374"/>
      <c r="H718" s="374" t="str">
        <f t="shared" si="22"/>
        <v/>
      </c>
      <c r="I718" s="252">
        <f>IFERROR(IF($E718="Inventory",VLOOKUP($C718,Inventory!$B:$I,8,FALSE()),IF($E718="Non Inventory",VLOOKUP($C718,'Non Inventory'!$B:$I,8,FALSE()),IF($E718="Services",VLOOKUP($C718,Services!$B:$I,8,FALSE()),IF($E718="Patty Cash",VLOOKUP($C718,'Patty Cash'!$B:$J,8,FALSE()),0)))),0)</f>
        <v>0</v>
      </c>
      <c r="J718" s="252" t="str">
        <f t="shared" si="23"/>
        <v/>
      </c>
      <c r="K718" s="253"/>
      <c r="L718" s="253"/>
      <c r="M718" s="253"/>
      <c r="N718" s="328"/>
    </row>
    <row r="719" spans="1:14" ht="20.100000000000001" customHeight="1">
      <c r="A719" s="327" t="str">
        <f>IF(AND($B719="",$C719=""),"",MAX($A$3:A718)+1)</f>
        <v/>
      </c>
      <c r="B719" s="262"/>
      <c r="C719" s="253"/>
      <c r="D719" s="249" t="str">
        <f>IFERROR(IF($E719="Inventory",VLOOKUP($C719,Inventory!$B:$I,2,FALSE()),IF($E719="Non Inventory",VLOOKUP($C719,'Non Inventory'!$B:$I,2,FALSE()),IF($E719="Services",VLOOKUP($C719,Services!$B:$I,2,FALSE()),IF($E719="Patty Cash",VLOOKUP($C719,'Patty Cash'!$B:$J,2,FALSE()),"")))),"")</f>
        <v/>
      </c>
      <c r="E719" s="254"/>
      <c r="F719" s="263" t="str">
        <f>IFERROR(IF($E719="Inventory",VLOOKUP($C719,Inventory!$B:$I,3,FALSE()),IF($E719="Non Inventory",VLOOKUP($C719,'Non Inventory'!$B:$I,3,FALSE()),IF($E719="Services",VLOOKUP($C719,Services!$B:$I,3,FALSE()),IF($E719="Patty Cash",VLOOKUP($C719,'Patty Cash'!$B:$J,3,FALSE()),"")))),"")</f>
        <v/>
      </c>
      <c r="G719" s="374"/>
      <c r="H719" s="374" t="str">
        <f t="shared" si="22"/>
        <v/>
      </c>
      <c r="I719" s="252">
        <f>IFERROR(IF($E719="Inventory",VLOOKUP($C719,Inventory!$B:$I,8,FALSE()),IF($E719="Non Inventory",VLOOKUP($C719,'Non Inventory'!$B:$I,8,FALSE()),IF($E719="Services",VLOOKUP($C719,Services!$B:$I,8,FALSE()),IF($E719="Patty Cash",VLOOKUP($C719,'Patty Cash'!$B:$J,8,FALSE()),0)))),0)</f>
        <v>0</v>
      </c>
      <c r="J719" s="252" t="str">
        <f t="shared" si="23"/>
        <v/>
      </c>
      <c r="K719" s="253"/>
      <c r="L719" s="253"/>
      <c r="M719" s="253"/>
      <c r="N719" s="328"/>
    </row>
    <row r="720" spans="1:14" ht="20.100000000000001" customHeight="1">
      <c r="A720" s="327" t="str">
        <f>IF(AND($B720="",$C720=""),"",MAX($A$3:A719)+1)</f>
        <v/>
      </c>
      <c r="B720" s="262"/>
      <c r="C720" s="253"/>
      <c r="D720" s="249" t="str">
        <f>IFERROR(IF($E720="Inventory",VLOOKUP($C720,Inventory!$B:$I,2,FALSE()),IF($E720="Non Inventory",VLOOKUP($C720,'Non Inventory'!$B:$I,2,FALSE()),IF($E720="Services",VLOOKUP($C720,Services!$B:$I,2,FALSE()),IF($E720="Patty Cash",VLOOKUP($C720,'Patty Cash'!$B:$J,2,FALSE()),"")))),"")</f>
        <v/>
      </c>
      <c r="E720" s="254"/>
      <c r="F720" s="263" t="str">
        <f>IFERROR(IF($E720="Inventory",VLOOKUP($C720,Inventory!$B:$I,3,FALSE()),IF($E720="Non Inventory",VLOOKUP($C720,'Non Inventory'!$B:$I,3,FALSE()),IF($E720="Services",VLOOKUP($C720,Services!$B:$I,3,FALSE()),IF($E720="Patty Cash",VLOOKUP($C720,'Patty Cash'!$B:$J,3,FALSE()),"")))),"")</f>
        <v/>
      </c>
      <c r="G720" s="374"/>
      <c r="H720" s="374" t="str">
        <f t="shared" si="22"/>
        <v/>
      </c>
      <c r="I720" s="252">
        <f>IFERROR(IF($E720="Inventory",VLOOKUP($C720,Inventory!$B:$I,8,FALSE()),IF($E720="Non Inventory",VLOOKUP($C720,'Non Inventory'!$B:$I,8,FALSE()),IF($E720="Services",VLOOKUP($C720,Services!$B:$I,8,FALSE()),IF($E720="Patty Cash",VLOOKUP($C720,'Patty Cash'!$B:$J,8,FALSE()),0)))),0)</f>
        <v>0</v>
      </c>
      <c r="J720" s="252" t="str">
        <f t="shared" si="23"/>
        <v/>
      </c>
      <c r="K720" s="253"/>
      <c r="L720" s="253"/>
      <c r="M720" s="253"/>
      <c r="N720" s="328"/>
    </row>
    <row r="721" spans="1:14" ht="20.100000000000001" customHeight="1">
      <c r="A721" s="327" t="str">
        <f>IF(AND($B721="",$C721=""),"",MAX($A$3:A720)+1)</f>
        <v/>
      </c>
      <c r="B721" s="262"/>
      <c r="C721" s="253"/>
      <c r="D721" s="249" t="str">
        <f>IFERROR(IF($E721="Inventory",VLOOKUP($C721,Inventory!$B:$I,2,FALSE()),IF($E721="Non Inventory",VLOOKUP($C721,'Non Inventory'!$B:$I,2,FALSE()),IF($E721="Services",VLOOKUP($C721,Services!$B:$I,2,FALSE()),IF($E721="Patty Cash",VLOOKUP($C721,'Patty Cash'!$B:$J,2,FALSE()),"")))),"")</f>
        <v/>
      </c>
      <c r="E721" s="254"/>
      <c r="F721" s="263" t="str">
        <f>IFERROR(IF($E721="Inventory",VLOOKUP($C721,Inventory!$B:$I,3,FALSE()),IF($E721="Non Inventory",VLOOKUP($C721,'Non Inventory'!$B:$I,3,FALSE()),IF($E721="Services",VLOOKUP($C721,Services!$B:$I,3,FALSE()),IF($E721="Patty Cash",VLOOKUP($C721,'Patty Cash'!$B:$J,3,FALSE()),"")))),"")</f>
        <v/>
      </c>
      <c r="G721" s="374"/>
      <c r="H721" s="374" t="str">
        <f t="shared" si="22"/>
        <v/>
      </c>
      <c r="I721" s="252">
        <f>IFERROR(IF($E721="Inventory",VLOOKUP($C721,Inventory!$B:$I,8,FALSE()),IF($E721="Non Inventory",VLOOKUP($C721,'Non Inventory'!$B:$I,8,FALSE()),IF($E721="Services",VLOOKUP($C721,Services!$B:$I,8,FALSE()),IF($E721="Patty Cash",VLOOKUP($C721,'Patty Cash'!$B:$J,8,FALSE()),0)))),0)</f>
        <v>0</v>
      </c>
      <c r="J721" s="252" t="str">
        <f t="shared" si="23"/>
        <v/>
      </c>
      <c r="K721" s="253"/>
      <c r="L721" s="253"/>
      <c r="M721" s="253"/>
      <c r="N721" s="328"/>
    </row>
    <row r="722" spans="1:14" ht="20.100000000000001" customHeight="1">
      <c r="A722" s="327" t="str">
        <f>IF(AND($B722="",$C722=""),"",MAX($A$3:A721)+1)</f>
        <v/>
      </c>
      <c r="B722" s="262"/>
      <c r="C722" s="253"/>
      <c r="D722" s="249" t="str">
        <f>IFERROR(IF($E722="Inventory",VLOOKUP($C722,Inventory!$B:$I,2,FALSE()),IF($E722="Non Inventory",VLOOKUP($C722,'Non Inventory'!$B:$I,2,FALSE()),IF($E722="Services",VLOOKUP($C722,Services!$B:$I,2,FALSE()),IF($E722="Patty Cash",VLOOKUP($C722,'Patty Cash'!$B:$J,2,FALSE()),"")))),"")</f>
        <v/>
      </c>
      <c r="E722" s="254"/>
      <c r="F722" s="263" t="str">
        <f>IFERROR(IF($E722="Inventory",VLOOKUP($C722,Inventory!$B:$I,3,FALSE()),IF($E722="Non Inventory",VLOOKUP($C722,'Non Inventory'!$B:$I,3,FALSE()),IF($E722="Services",VLOOKUP($C722,Services!$B:$I,3,FALSE()),IF($E722="Patty Cash",VLOOKUP($C722,'Patty Cash'!$B:$J,3,FALSE()),"")))),"")</f>
        <v/>
      </c>
      <c r="G722" s="374"/>
      <c r="H722" s="374" t="str">
        <f t="shared" si="22"/>
        <v/>
      </c>
      <c r="I722" s="252">
        <f>IFERROR(IF($E722="Inventory",VLOOKUP($C722,Inventory!$B:$I,8,FALSE()),IF($E722="Non Inventory",VLOOKUP($C722,'Non Inventory'!$B:$I,8,FALSE()),IF($E722="Services",VLOOKUP($C722,Services!$B:$I,8,FALSE()),IF($E722="Patty Cash",VLOOKUP($C722,'Patty Cash'!$B:$J,8,FALSE()),0)))),0)</f>
        <v>0</v>
      </c>
      <c r="J722" s="252" t="str">
        <f t="shared" si="23"/>
        <v/>
      </c>
      <c r="K722" s="253"/>
      <c r="L722" s="253"/>
      <c r="M722" s="253"/>
      <c r="N722" s="328"/>
    </row>
    <row r="723" spans="1:14" ht="20.100000000000001" customHeight="1">
      <c r="A723" s="327" t="str">
        <f>IF(AND($B723="",$C723=""),"",MAX($A$3:A722)+1)</f>
        <v/>
      </c>
      <c r="B723" s="262"/>
      <c r="C723" s="253"/>
      <c r="D723" s="249" t="str">
        <f>IFERROR(IF($E723="Inventory",VLOOKUP($C723,Inventory!$B:$I,2,FALSE()),IF($E723="Non Inventory",VLOOKUP($C723,'Non Inventory'!$B:$I,2,FALSE()),IF($E723="Services",VLOOKUP($C723,Services!$B:$I,2,FALSE()),IF($E723="Patty Cash",VLOOKUP($C723,'Patty Cash'!$B:$J,2,FALSE()),"")))),"")</f>
        <v/>
      </c>
      <c r="E723" s="254"/>
      <c r="F723" s="263" t="str">
        <f>IFERROR(IF($E723="Inventory",VLOOKUP($C723,Inventory!$B:$I,3,FALSE()),IF($E723="Non Inventory",VLOOKUP($C723,'Non Inventory'!$B:$I,3,FALSE()),IF($E723="Services",VLOOKUP($C723,Services!$B:$I,3,FALSE()),IF($E723="Patty Cash",VLOOKUP($C723,'Patty Cash'!$B:$J,3,FALSE()),"")))),"")</f>
        <v/>
      </c>
      <c r="G723" s="374"/>
      <c r="H723" s="374" t="str">
        <f t="shared" si="22"/>
        <v/>
      </c>
      <c r="I723" s="252">
        <f>IFERROR(IF($E723="Inventory",VLOOKUP($C723,Inventory!$B:$I,8,FALSE()),IF($E723="Non Inventory",VLOOKUP($C723,'Non Inventory'!$B:$I,8,FALSE()),IF($E723="Services",VLOOKUP($C723,Services!$B:$I,8,FALSE()),IF($E723="Patty Cash",VLOOKUP($C723,'Patty Cash'!$B:$J,8,FALSE()),0)))),0)</f>
        <v>0</v>
      </c>
      <c r="J723" s="252" t="str">
        <f t="shared" si="23"/>
        <v/>
      </c>
      <c r="K723" s="253"/>
      <c r="L723" s="253"/>
      <c r="M723" s="253"/>
      <c r="N723" s="328"/>
    </row>
    <row r="724" spans="1:14" ht="20.100000000000001" customHeight="1">
      <c r="A724" s="327" t="str">
        <f>IF(AND($B724="",$C724=""),"",MAX($A$3:A723)+1)</f>
        <v/>
      </c>
      <c r="B724" s="262"/>
      <c r="C724" s="253"/>
      <c r="D724" s="249" t="str">
        <f>IFERROR(IF($E724="Inventory",VLOOKUP($C724,Inventory!$B:$I,2,FALSE()),IF($E724="Non Inventory",VLOOKUP($C724,'Non Inventory'!$B:$I,2,FALSE()),IF($E724="Services",VLOOKUP($C724,Services!$B:$I,2,FALSE()),IF($E724="Patty Cash",VLOOKUP($C724,'Patty Cash'!$B:$J,2,FALSE()),"")))),"")</f>
        <v/>
      </c>
      <c r="E724" s="254"/>
      <c r="F724" s="263" t="str">
        <f>IFERROR(IF($E724="Inventory",VLOOKUP($C724,Inventory!$B:$I,3,FALSE()),IF($E724="Non Inventory",VLOOKUP($C724,'Non Inventory'!$B:$I,3,FALSE()),IF($E724="Services",VLOOKUP($C724,Services!$B:$I,3,FALSE()),IF($E724="Patty Cash",VLOOKUP($C724,'Patty Cash'!$B:$J,3,FALSE()),"")))),"")</f>
        <v/>
      </c>
      <c r="G724" s="374"/>
      <c r="H724" s="374" t="str">
        <f t="shared" si="22"/>
        <v/>
      </c>
      <c r="I724" s="252">
        <f>IFERROR(IF($E724="Inventory",VLOOKUP($C724,Inventory!$B:$I,8,FALSE()),IF($E724="Non Inventory",VLOOKUP($C724,'Non Inventory'!$B:$I,8,FALSE()),IF($E724="Services",VLOOKUP($C724,Services!$B:$I,8,FALSE()),IF($E724="Patty Cash",VLOOKUP($C724,'Patty Cash'!$B:$J,8,FALSE()),0)))),0)</f>
        <v>0</v>
      </c>
      <c r="J724" s="252" t="str">
        <f t="shared" si="23"/>
        <v/>
      </c>
      <c r="K724" s="253"/>
      <c r="L724" s="253"/>
      <c r="M724" s="253"/>
      <c r="N724" s="328"/>
    </row>
    <row r="725" spans="1:14" ht="20.100000000000001" customHeight="1">
      <c r="A725" s="327" t="str">
        <f>IF(AND($B725="",$C725=""),"",MAX($A$3:A724)+1)</f>
        <v/>
      </c>
      <c r="B725" s="262"/>
      <c r="C725" s="253"/>
      <c r="D725" s="249" t="str">
        <f>IFERROR(IF($E725="Inventory",VLOOKUP($C725,Inventory!$B:$I,2,FALSE()),IF($E725="Non Inventory",VLOOKUP($C725,'Non Inventory'!$B:$I,2,FALSE()),IF($E725="Services",VLOOKUP($C725,Services!$B:$I,2,FALSE()),IF($E725="Patty Cash",VLOOKUP($C725,'Patty Cash'!$B:$J,2,FALSE()),"")))),"")</f>
        <v/>
      </c>
      <c r="E725" s="254"/>
      <c r="F725" s="263" t="str">
        <f>IFERROR(IF($E725="Inventory",VLOOKUP($C725,Inventory!$B:$I,3,FALSE()),IF($E725="Non Inventory",VLOOKUP($C725,'Non Inventory'!$B:$I,3,FALSE()),IF($E725="Services",VLOOKUP($C725,Services!$B:$I,3,FALSE()),IF($E725="Patty Cash",VLOOKUP($C725,'Patty Cash'!$B:$J,3,FALSE()),"")))),"")</f>
        <v/>
      </c>
      <c r="G725" s="374"/>
      <c r="H725" s="374" t="str">
        <f t="shared" si="22"/>
        <v/>
      </c>
      <c r="I725" s="252">
        <f>IFERROR(IF($E725="Inventory",VLOOKUP($C725,Inventory!$B:$I,8,FALSE()),IF($E725="Non Inventory",VLOOKUP($C725,'Non Inventory'!$B:$I,8,FALSE()),IF($E725="Services",VLOOKUP($C725,Services!$B:$I,8,FALSE()),IF($E725="Patty Cash",VLOOKUP($C725,'Patty Cash'!$B:$J,8,FALSE()),0)))),0)</f>
        <v>0</v>
      </c>
      <c r="J725" s="252" t="str">
        <f t="shared" si="23"/>
        <v/>
      </c>
      <c r="K725" s="253"/>
      <c r="L725" s="253"/>
      <c r="M725" s="253"/>
      <c r="N725" s="328"/>
    </row>
    <row r="726" spans="1:14" ht="20.100000000000001" customHeight="1">
      <c r="A726" s="327" t="str">
        <f>IF(AND($B726="",$C726=""),"",MAX($A$3:A725)+1)</f>
        <v/>
      </c>
      <c r="B726" s="262"/>
      <c r="C726" s="253"/>
      <c r="D726" s="249" t="str">
        <f>IFERROR(IF($E726="Inventory",VLOOKUP($C726,Inventory!$B:$I,2,FALSE()),IF($E726="Non Inventory",VLOOKUP($C726,'Non Inventory'!$B:$I,2,FALSE()),IF($E726="Services",VLOOKUP($C726,Services!$B:$I,2,FALSE()),IF($E726="Patty Cash",VLOOKUP($C726,'Patty Cash'!$B:$J,2,FALSE()),"")))),"")</f>
        <v/>
      </c>
      <c r="E726" s="254"/>
      <c r="F726" s="263" t="str">
        <f>IFERROR(IF($E726="Inventory",VLOOKUP($C726,Inventory!$B:$I,3,FALSE()),IF($E726="Non Inventory",VLOOKUP($C726,'Non Inventory'!$B:$I,3,FALSE()),IF($E726="Services",VLOOKUP($C726,Services!$B:$I,3,FALSE()),IF($E726="Patty Cash",VLOOKUP($C726,'Patty Cash'!$B:$J,3,FALSE()),"")))),"")</f>
        <v/>
      </c>
      <c r="G726" s="374"/>
      <c r="H726" s="374" t="str">
        <f t="shared" si="22"/>
        <v/>
      </c>
      <c r="I726" s="252">
        <f>IFERROR(IF($E726="Inventory",VLOOKUP($C726,Inventory!$B:$I,8,FALSE()),IF($E726="Non Inventory",VLOOKUP($C726,'Non Inventory'!$B:$I,8,FALSE()),IF($E726="Services",VLOOKUP($C726,Services!$B:$I,8,FALSE()),IF($E726="Patty Cash",VLOOKUP($C726,'Patty Cash'!$B:$J,8,FALSE()),0)))),0)</f>
        <v>0</v>
      </c>
      <c r="J726" s="252" t="str">
        <f t="shared" si="23"/>
        <v/>
      </c>
      <c r="K726" s="253"/>
      <c r="L726" s="253"/>
      <c r="M726" s="253"/>
      <c r="N726" s="328"/>
    </row>
    <row r="727" spans="1:14" ht="20.100000000000001" customHeight="1">
      <c r="A727" s="327" t="str">
        <f>IF(AND($B727="",$C727=""),"",MAX($A$3:A726)+1)</f>
        <v/>
      </c>
      <c r="B727" s="262"/>
      <c r="C727" s="253"/>
      <c r="D727" s="249" t="str">
        <f>IFERROR(IF($E727="Inventory",VLOOKUP($C727,Inventory!$B:$I,2,FALSE()),IF($E727="Non Inventory",VLOOKUP($C727,'Non Inventory'!$B:$I,2,FALSE()),IF($E727="Services",VLOOKUP($C727,Services!$B:$I,2,FALSE()),IF($E727="Patty Cash",VLOOKUP($C727,'Patty Cash'!$B:$J,2,FALSE()),"")))),"")</f>
        <v/>
      </c>
      <c r="E727" s="254"/>
      <c r="F727" s="263" t="str">
        <f>IFERROR(IF($E727="Inventory",VLOOKUP($C727,Inventory!$B:$I,3,FALSE()),IF($E727="Non Inventory",VLOOKUP($C727,'Non Inventory'!$B:$I,3,FALSE()),IF($E727="Services",VLOOKUP($C727,Services!$B:$I,3,FALSE()),IF($E727="Patty Cash",VLOOKUP($C727,'Patty Cash'!$B:$J,3,FALSE()),"")))),"")</f>
        <v/>
      </c>
      <c r="G727" s="374"/>
      <c r="H727" s="374" t="str">
        <f t="shared" si="22"/>
        <v/>
      </c>
      <c r="I727" s="252">
        <f>IFERROR(IF($E727="Inventory",VLOOKUP($C727,Inventory!$B:$I,8,FALSE()),IF($E727="Non Inventory",VLOOKUP($C727,'Non Inventory'!$B:$I,8,FALSE()),IF($E727="Services",VLOOKUP($C727,Services!$B:$I,8,FALSE()),IF($E727="Patty Cash",VLOOKUP($C727,'Patty Cash'!$B:$J,8,FALSE()),0)))),0)</f>
        <v>0</v>
      </c>
      <c r="J727" s="252" t="str">
        <f t="shared" si="23"/>
        <v/>
      </c>
      <c r="K727" s="253"/>
      <c r="L727" s="253"/>
      <c r="M727" s="253"/>
      <c r="N727" s="328"/>
    </row>
    <row r="728" spans="1:14" ht="20.100000000000001" customHeight="1">
      <c r="A728" s="327" t="str">
        <f>IF(AND($B728="",$C728=""),"",MAX($A$3:A727)+1)</f>
        <v/>
      </c>
      <c r="B728" s="262"/>
      <c r="C728" s="253"/>
      <c r="D728" s="249" t="str">
        <f>IFERROR(IF($E728="Inventory",VLOOKUP($C728,Inventory!$B:$I,2,FALSE()),IF($E728="Non Inventory",VLOOKUP($C728,'Non Inventory'!$B:$I,2,FALSE()),IF($E728="Services",VLOOKUP($C728,Services!$B:$I,2,FALSE()),IF($E728="Patty Cash",VLOOKUP($C728,'Patty Cash'!$B:$J,2,FALSE()),"")))),"")</f>
        <v/>
      </c>
      <c r="E728" s="254"/>
      <c r="F728" s="263" t="str">
        <f>IFERROR(IF($E728="Inventory",VLOOKUP($C728,Inventory!$B:$I,3,FALSE()),IF($E728="Non Inventory",VLOOKUP($C728,'Non Inventory'!$B:$I,3,FALSE()),IF($E728="Services",VLOOKUP($C728,Services!$B:$I,3,FALSE()),IF($E728="Patty Cash",VLOOKUP($C728,'Patty Cash'!$B:$J,3,FALSE()),"")))),"")</f>
        <v/>
      </c>
      <c r="G728" s="374"/>
      <c r="H728" s="374" t="str">
        <f t="shared" si="22"/>
        <v/>
      </c>
      <c r="I728" s="252">
        <f>IFERROR(IF($E728="Inventory",VLOOKUP($C728,Inventory!$B:$I,8,FALSE()),IF($E728="Non Inventory",VLOOKUP($C728,'Non Inventory'!$B:$I,8,FALSE()),IF($E728="Services",VLOOKUP($C728,Services!$B:$I,8,FALSE()),IF($E728="Patty Cash",VLOOKUP($C728,'Patty Cash'!$B:$J,8,FALSE()),0)))),0)</f>
        <v>0</v>
      </c>
      <c r="J728" s="252" t="str">
        <f t="shared" si="23"/>
        <v/>
      </c>
      <c r="K728" s="253"/>
      <c r="L728" s="253"/>
      <c r="M728" s="253"/>
      <c r="N728" s="328"/>
    </row>
    <row r="729" spans="1:14" ht="20.100000000000001" customHeight="1">
      <c r="A729" s="327" t="str">
        <f>IF(AND($B729="",$C729=""),"",MAX($A$3:A728)+1)</f>
        <v/>
      </c>
      <c r="B729" s="262"/>
      <c r="C729" s="253"/>
      <c r="D729" s="249" t="str">
        <f>IFERROR(IF($E729="Inventory",VLOOKUP($C729,Inventory!$B:$I,2,FALSE()),IF($E729="Non Inventory",VLOOKUP($C729,'Non Inventory'!$B:$I,2,FALSE()),IF($E729="Services",VLOOKUP($C729,Services!$B:$I,2,FALSE()),IF($E729="Patty Cash",VLOOKUP($C729,'Patty Cash'!$B:$J,2,FALSE()),"")))),"")</f>
        <v/>
      </c>
      <c r="E729" s="254"/>
      <c r="F729" s="263" t="str">
        <f>IFERROR(IF($E729="Inventory",VLOOKUP($C729,Inventory!$B:$I,3,FALSE()),IF($E729="Non Inventory",VLOOKUP($C729,'Non Inventory'!$B:$I,3,FALSE()),IF($E729="Services",VLOOKUP($C729,Services!$B:$I,3,FALSE()),IF($E729="Patty Cash",VLOOKUP($C729,'Patty Cash'!$B:$J,3,FALSE()),"")))),"")</f>
        <v/>
      </c>
      <c r="G729" s="374"/>
      <c r="H729" s="374" t="str">
        <f t="shared" si="22"/>
        <v/>
      </c>
      <c r="I729" s="252">
        <f>IFERROR(IF($E729="Inventory",VLOOKUP($C729,Inventory!$B:$I,8,FALSE()),IF($E729="Non Inventory",VLOOKUP($C729,'Non Inventory'!$B:$I,8,FALSE()),IF($E729="Services",VLOOKUP($C729,Services!$B:$I,8,FALSE()),IF($E729="Patty Cash",VLOOKUP($C729,'Patty Cash'!$B:$J,8,FALSE()),0)))),0)</f>
        <v>0</v>
      </c>
      <c r="J729" s="252" t="str">
        <f t="shared" si="23"/>
        <v/>
      </c>
      <c r="K729" s="253"/>
      <c r="L729" s="253"/>
      <c r="M729" s="253"/>
      <c r="N729" s="328"/>
    </row>
    <row r="730" spans="1:14" ht="20.100000000000001" customHeight="1">
      <c r="A730" s="327" t="str">
        <f>IF(AND($B730="",$C730=""),"",MAX($A$3:A729)+1)</f>
        <v/>
      </c>
      <c r="B730" s="262"/>
      <c r="C730" s="253"/>
      <c r="D730" s="249" t="str">
        <f>IFERROR(IF($E730="Inventory",VLOOKUP($C730,Inventory!$B:$I,2,FALSE()),IF($E730="Non Inventory",VLOOKUP($C730,'Non Inventory'!$B:$I,2,FALSE()),IF($E730="Services",VLOOKUP($C730,Services!$B:$I,2,FALSE()),IF($E730="Patty Cash",VLOOKUP($C730,'Patty Cash'!$B:$J,2,FALSE()),"")))),"")</f>
        <v/>
      </c>
      <c r="E730" s="254"/>
      <c r="F730" s="263" t="str">
        <f>IFERROR(IF($E730="Inventory",VLOOKUP($C730,Inventory!$B:$I,3,FALSE()),IF($E730="Non Inventory",VLOOKUP($C730,'Non Inventory'!$B:$I,3,FALSE()),IF($E730="Services",VLOOKUP($C730,Services!$B:$I,3,FALSE()),IF($E730="Patty Cash",VLOOKUP($C730,'Patty Cash'!$B:$J,3,FALSE()),"")))),"")</f>
        <v/>
      </c>
      <c r="G730" s="374"/>
      <c r="H730" s="374" t="str">
        <f t="shared" si="22"/>
        <v/>
      </c>
      <c r="I730" s="252">
        <f>IFERROR(IF($E730="Inventory",VLOOKUP($C730,Inventory!$B:$I,8,FALSE()),IF($E730="Non Inventory",VLOOKUP($C730,'Non Inventory'!$B:$I,8,FALSE()),IF($E730="Services",VLOOKUP($C730,Services!$B:$I,8,FALSE()),IF($E730="Patty Cash",VLOOKUP($C730,'Patty Cash'!$B:$J,8,FALSE()),0)))),0)</f>
        <v>0</v>
      </c>
      <c r="J730" s="252" t="str">
        <f t="shared" si="23"/>
        <v/>
      </c>
      <c r="K730" s="253"/>
      <c r="L730" s="253"/>
      <c r="M730" s="253"/>
      <c r="N730" s="328"/>
    </row>
    <row r="731" spans="1:14" ht="20.100000000000001" customHeight="1">
      <c r="A731" s="327" t="str">
        <f>IF(AND($B731="",$C731=""),"",MAX($A$3:A730)+1)</f>
        <v/>
      </c>
      <c r="B731" s="262"/>
      <c r="C731" s="253"/>
      <c r="D731" s="249" t="str">
        <f>IFERROR(IF($E731="Inventory",VLOOKUP($C731,Inventory!$B:$I,2,FALSE()),IF($E731="Non Inventory",VLOOKUP($C731,'Non Inventory'!$B:$I,2,FALSE()),IF($E731="Services",VLOOKUP($C731,Services!$B:$I,2,FALSE()),IF($E731="Patty Cash",VLOOKUP($C731,'Patty Cash'!$B:$J,2,FALSE()),"")))),"")</f>
        <v/>
      </c>
      <c r="E731" s="254"/>
      <c r="F731" s="263" t="str">
        <f>IFERROR(IF($E731="Inventory",VLOOKUP($C731,Inventory!$B:$I,3,FALSE()),IF($E731="Non Inventory",VLOOKUP($C731,'Non Inventory'!$B:$I,3,FALSE()),IF($E731="Services",VLOOKUP($C731,Services!$B:$I,3,FALSE()),IF($E731="Patty Cash",VLOOKUP($C731,'Patty Cash'!$B:$J,3,FALSE()),"")))),"")</f>
        <v/>
      </c>
      <c r="G731" s="374"/>
      <c r="H731" s="374" t="str">
        <f t="shared" si="22"/>
        <v/>
      </c>
      <c r="I731" s="252">
        <f>IFERROR(IF($E731="Inventory",VLOOKUP($C731,Inventory!$B:$I,8,FALSE()),IF($E731="Non Inventory",VLOOKUP($C731,'Non Inventory'!$B:$I,8,FALSE()),IF($E731="Services",VLOOKUP($C731,Services!$B:$I,8,FALSE()),IF($E731="Patty Cash",VLOOKUP($C731,'Patty Cash'!$B:$J,8,FALSE()),0)))),0)</f>
        <v>0</v>
      </c>
      <c r="J731" s="252" t="str">
        <f t="shared" si="23"/>
        <v/>
      </c>
      <c r="K731" s="253"/>
      <c r="L731" s="253"/>
      <c r="M731" s="253"/>
      <c r="N731" s="328"/>
    </row>
    <row r="732" spans="1:14" ht="20.100000000000001" customHeight="1">
      <c r="A732" s="327" t="str">
        <f>IF(AND($B732="",$C732=""),"",MAX($A$3:A731)+1)</f>
        <v/>
      </c>
      <c r="B732" s="262"/>
      <c r="C732" s="253"/>
      <c r="D732" s="249" t="str">
        <f>IFERROR(IF($E732="Inventory",VLOOKUP($C732,Inventory!$B:$I,2,FALSE()),IF($E732="Non Inventory",VLOOKUP($C732,'Non Inventory'!$B:$I,2,FALSE()),IF($E732="Services",VLOOKUP($C732,Services!$B:$I,2,FALSE()),IF($E732="Patty Cash",VLOOKUP($C732,'Patty Cash'!$B:$J,2,FALSE()),"")))),"")</f>
        <v/>
      </c>
      <c r="E732" s="254"/>
      <c r="F732" s="263" t="str">
        <f>IFERROR(IF($E732="Inventory",VLOOKUP($C732,Inventory!$B:$I,3,FALSE()),IF($E732="Non Inventory",VLOOKUP($C732,'Non Inventory'!$B:$I,3,FALSE()),IF($E732="Services",VLOOKUP($C732,Services!$B:$I,3,FALSE()),IF($E732="Patty Cash",VLOOKUP($C732,'Patty Cash'!$B:$J,3,FALSE()),"")))),"")</f>
        <v/>
      </c>
      <c r="G732" s="374"/>
      <c r="H732" s="374" t="str">
        <f t="shared" si="22"/>
        <v/>
      </c>
      <c r="I732" s="252">
        <f>IFERROR(IF($E732="Inventory",VLOOKUP($C732,Inventory!$B:$I,8,FALSE()),IF($E732="Non Inventory",VLOOKUP($C732,'Non Inventory'!$B:$I,8,FALSE()),IF($E732="Services",VLOOKUP($C732,Services!$B:$I,8,FALSE()),IF($E732="Patty Cash",VLOOKUP($C732,'Patty Cash'!$B:$J,8,FALSE()),0)))),0)</f>
        <v>0</v>
      </c>
      <c r="J732" s="252" t="str">
        <f t="shared" si="23"/>
        <v/>
      </c>
      <c r="K732" s="253"/>
      <c r="L732" s="253"/>
      <c r="M732" s="253"/>
      <c r="N732" s="328"/>
    </row>
    <row r="733" spans="1:14" ht="20.100000000000001" customHeight="1">
      <c r="A733" s="327" t="str">
        <f>IF(AND($B733="",$C733=""),"",MAX($A$3:A732)+1)</f>
        <v/>
      </c>
      <c r="B733" s="262"/>
      <c r="C733" s="253"/>
      <c r="D733" s="249" t="str">
        <f>IFERROR(IF($E733="Inventory",VLOOKUP($C733,Inventory!$B:$I,2,FALSE()),IF($E733="Non Inventory",VLOOKUP($C733,'Non Inventory'!$B:$I,2,FALSE()),IF($E733="Services",VLOOKUP($C733,Services!$B:$I,2,FALSE()),IF($E733="Patty Cash",VLOOKUP($C733,'Patty Cash'!$B:$J,2,FALSE()),"")))),"")</f>
        <v/>
      </c>
      <c r="E733" s="254"/>
      <c r="F733" s="263" t="str">
        <f>IFERROR(IF($E733="Inventory",VLOOKUP($C733,Inventory!$B:$I,3,FALSE()),IF($E733="Non Inventory",VLOOKUP($C733,'Non Inventory'!$B:$I,3,FALSE()),IF($E733="Services",VLOOKUP($C733,Services!$B:$I,3,FALSE()),IF($E733="Patty Cash",VLOOKUP($C733,'Patty Cash'!$B:$J,3,FALSE()),"")))),"")</f>
        <v/>
      </c>
      <c r="G733" s="374"/>
      <c r="H733" s="374" t="str">
        <f t="shared" si="22"/>
        <v/>
      </c>
      <c r="I733" s="252">
        <f>IFERROR(IF($E733="Inventory",VLOOKUP($C733,Inventory!$B:$I,8,FALSE()),IF($E733="Non Inventory",VLOOKUP($C733,'Non Inventory'!$B:$I,8,FALSE()),IF($E733="Services",VLOOKUP($C733,Services!$B:$I,8,FALSE()),IF($E733="Patty Cash",VLOOKUP($C733,'Patty Cash'!$B:$J,8,FALSE()),0)))),0)</f>
        <v>0</v>
      </c>
      <c r="J733" s="252" t="str">
        <f t="shared" si="23"/>
        <v/>
      </c>
      <c r="K733" s="253"/>
      <c r="L733" s="253"/>
      <c r="M733" s="253"/>
      <c r="N733" s="328"/>
    </row>
    <row r="734" spans="1:14" ht="20.100000000000001" customHeight="1">
      <c r="A734" s="327" t="str">
        <f>IF(AND($B734="",$C734=""),"",MAX($A$3:A733)+1)</f>
        <v/>
      </c>
      <c r="B734" s="262"/>
      <c r="C734" s="253"/>
      <c r="D734" s="249" t="str">
        <f>IFERROR(IF($E734="Inventory",VLOOKUP($C734,Inventory!$B:$I,2,FALSE()),IF($E734="Non Inventory",VLOOKUP($C734,'Non Inventory'!$B:$I,2,FALSE()),IF($E734="Services",VLOOKUP($C734,Services!$B:$I,2,FALSE()),IF($E734="Patty Cash",VLOOKUP($C734,'Patty Cash'!$B:$J,2,FALSE()),"")))),"")</f>
        <v/>
      </c>
      <c r="E734" s="254"/>
      <c r="F734" s="263" t="str">
        <f>IFERROR(IF($E734="Inventory",VLOOKUP($C734,Inventory!$B:$I,3,FALSE()),IF($E734="Non Inventory",VLOOKUP($C734,'Non Inventory'!$B:$I,3,FALSE()),IF($E734="Services",VLOOKUP($C734,Services!$B:$I,3,FALSE()),IF($E734="Patty Cash",VLOOKUP($C734,'Patty Cash'!$B:$J,3,FALSE()),"")))),"")</f>
        <v/>
      </c>
      <c r="G734" s="374"/>
      <c r="H734" s="374" t="str">
        <f t="shared" si="22"/>
        <v/>
      </c>
      <c r="I734" s="252">
        <f>IFERROR(IF($E734="Inventory",VLOOKUP($C734,Inventory!$B:$I,8,FALSE()),IF($E734="Non Inventory",VLOOKUP($C734,'Non Inventory'!$B:$I,8,FALSE()),IF($E734="Services",VLOOKUP($C734,Services!$B:$I,8,FALSE()),IF($E734="Patty Cash",VLOOKUP($C734,'Patty Cash'!$B:$J,8,FALSE()),0)))),0)</f>
        <v>0</v>
      </c>
      <c r="J734" s="252" t="str">
        <f t="shared" si="23"/>
        <v/>
      </c>
      <c r="K734" s="253"/>
      <c r="L734" s="253"/>
      <c r="M734" s="253"/>
      <c r="N734" s="328"/>
    </row>
    <row r="735" spans="1:14" ht="20.100000000000001" customHeight="1">
      <c r="A735" s="327" t="str">
        <f>IF(AND($B735="",$C735=""),"",MAX($A$3:A734)+1)</f>
        <v/>
      </c>
      <c r="B735" s="262"/>
      <c r="C735" s="253"/>
      <c r="D735" s="249" t="str">
        <f>IFERROR(IF($E735="Inventory",VLOOKUP($C735,Inventory!$B:$I,2,FALSE()),IF($E735="Non Inventory",VLOOKUP($C735,'Non Inventory'!$B:$I,2,FALSE()),IF($E735="Services",VLOOKUP($C735,Services!$B:$I,2,FALSE()),IF($E735="Patty Cash",VLOOKUP($C735,'Patty Cash'!$B:$J,2,FALSE()),"")))),"")</f>
        <v/>
      </c>
      <c r="E735" s="254"/>
      <c r="F735" s="263" t="str">
        <f>IFERROR(IF($E735="Inventory",VLOOKUP($C735,Inventory!$B:$I,3,FALSE()),IF($E735="Non Inventory",VLOOKUP($C735,'Non Inventory'!$B:$I,3,FALSE()),IF($E735="Services",VLOOKUP($C735,Services!$B:$I,3,FALSE()),IF($E735="Patty Cash",VLOOKUP($C735,'Patty Cash'!$B:$J,3,FALSE()),"")))),"")</f>
        <v/>
      </c>
      <c r="G735" s="374"/>
      <c r="H735" s="374" t="str">
        <f t="shared" si="22"/>
        <v/>
      </c>
      <c r="I735" s="252">
        <f>IFERROR(IF($E735="Inventory",VLOOKUP($C735,Inventory!$B:$I,8,FALSE()),IF($E735="Non Inventory",VLOOKUP($C735,'Non Inventory'!$B:$I,8,FALSE()),IF($E735="Services",VLOOKUP($C735,Services!$B:$I,8,FALSE()),IF($E735="Patty Cash",VLOOKUP($C735,'Patty Cash'!$B:$J,8,FALSE()),0)))),0)</f>
        <v>0</v>
      </c>
      <c r="J735" s="252" t="str">
        <f t="shared" si="23"/>
        <v/>
      </c>
      <c r="K735" s="253"/>
      <c r="L735" s="253"/>
      <c r="M735" s="253"/>
      <c r="N735" s="328"/>
    </row>
    <row r="736" spans="1:14" ht="20.100000000000001" customHeight="1">
      <c r="A736" s="327" t="str">
        <f>IF(AND($B736="",$C736=""),"",MAX($A$3:A735)+1)</f>
        <v/>
      </c>
      <c r="B736" s="262"/>
      <c r="C736" s="253"/>
      <c r="D736" s="249" t="str">
        <f>IFERROR(IF($E736="Inventory",VLOOKUP($C736,Inventory!$B:$I,2,FALSE()),IF($E736="Non Inventory",VLOOKUP($C736,'Non Inventory'!$B:$I,2,FALSE()),IF($E736="Services",VLOOKUP($C736,Services!$B:$I,2,FALSE()),IF($E736="Patty Cash",VLOOKUP($C736,'Patty Cash'!$B:$J,2,FALSE()),"")))),"")</f>
        <v/>
      </c>
      <c r="E736" s="254"/>
      <c r="F736" s="263" t="str">
        <f>IFERROR(IF($E736="Inventory",VLOOKUP($C736,Inventory!$B:$I,3,FALSE()),IF($E736="Non Inventory",VLOOKUP($C736,'Non Inventory'!$B:$I,3,FALSE()),IF($E736="Services",VLOOKUP($C736,Services!$B:$I,3,FALSE()),IF($E736="Patty Cash",VLOOKUP($C736,'Patty Cash'!$B:$J,3,FALSE()),"")))),"")</f>
        <v/>
      </c>
      <c r="G736" s="374"/>
      <c r="H736" s="374" t="str">
        <f t="shared" si="22"/>
        <v/>
      </c>
      <c r="I736" s="252">
        <f>IFERROR(IF($E736="Inventory",VLOOKUP($C736,Inventory!$B:$I,8,FALSE()),IF($E736="Non Inventory",VLOOKUP($C736,'Non Inventory'!$B:$I,8,FALSE()),IF($E736="Services",VLOOKUP($C736,Services!$B:$I,8,FALSE()),IF($E736="Patty Cash",VLOOKUP($C736,'Patty Cash'!$B:$J,8,FALSE()),0)))),0)</f>
        <v>0</v>
      </c>
      <c r="J736" s="252" t="str">
        <f t="shared" si="23"/>
        <v/>
      </c>
      <c r="K736" s="253"/>
      <c r="L736" s="253"/>
      <c r="M736" s="253"/>
      <c r="N736" s="328"/>
    </row>
    <row r="737" spans="1:14" ht="20.100000000000001" customHeight="1">
      <c r="A737" s="327" t="str">
        <f>IF(AND($B737="",$C737=""),"",MAX($A$3:A736)+1)</f>
        <v/>
      </c>
      <c r="B737" s="262"/>
      <c r="C737" s="253"/>
      <c r="D737" s="249" t="str">
        <f>IFERROR(IF($E737="Inventory",VLOOKUP($C737,Inventory!$B:$I,2,FALSE()),IF($E737="Non Inventory",VLOOKUP($C737,'Non Inventory'!$B:$I,2,FALSE()),IF($E737="Services",VLOOKUP($C737,Services!$B:$I,2,FALSE()),IF($E737="Patty Cash",VLOOKUP($C737,'Patty Cash'!$B:$J,2,FALSE()),"")))),"")</f>
        <v/>
      </c>
      <c r="E737" s="254"/>
      <c r="F737" s="263" t="str">
        <f>IFERROR(IF($E737="Inventory",VLOOKUP($C737,Inventory!$B:$I,3,FALSE()),IF($E737="Non Inventory",VLOOKUP($C737,'Non Inventory'!$B:$I,3,FALSE()),IF($E737="Services",VLOOKUP($C737,Services!$B:$I,3,FALSE()),IF($E737="Patty Cash",VLOOKUP($C737,'Patty Cash'!$B:$J,3,FALSE()),"")))),"")</f>
        <v/>
      </c>
      <c r="G737" s="374"/>
      <c r="H737" s="374" t="str">
        <f t="shared" si="22"/>
        <v/>
      </c>
      <c r="I737" s="252">
        <f>IFERROR(IF($E737="Inventory",VLOOKUP($C737,Inventory!$B:$I,8,FALSE()),IF($E737="Non Inventory",VLOOKUP($C737,'Non Inventory'!$B:$I,8,FALSE()),IF($E737="Services",VLOOKUP($C737,Services!$B:$I,8,FALSE()),IF($E737="Patty Cash",VLOOKUP($C737,'Patty Cash'!$B:$J,8,FALSE()),0)))),0)</f>
        <v>0</v>
      </c>
      <c r="J737" s="252" t="str">
        <f t="shared" si="23"/>
        <v/>
      </c>
      <c r="K737" s="253"/>
      <c r="L737" s="253"/>
      <c r="M737" s="253"/>
      <c r="N737" s="328"/>
    </row>
    <row r="738" spans="1:14" ht="20.100000000000001" customHeight="1">
      <c r="A738" s="327" t="str">
        <f>IF(AND($B738="",$C738=""),"",MAX($A$3:A737)+1)</f>
        <v/>
      </c>
      <c r="B738" s="262"/>
      <c r="C738" s="253"/>
      <c r="D738" s="249" t="str">
        <f>IFERROR(IF($E738="Inventory",VLOOKUP($C738,Inventory!$B:$I,2,FALSE()),IF($E738="Non Inventory",VLOOKUP($C738,'Non Inventory'!$B:$I,2,FALSE()),IF($E738="Services",VLOOKUP($C738,Services!$B:$I,2,FALSE()),IF($E738="Patty Cash",VLOOKUP($C738,'Patty Cash'!$B:$J,2,FALSE()),"")))),"")</f>
        <v/>
      </c>
      <c r="E738" s="254"/>
      <c r="F738" s="263" t="str">
        <f>IFERROR(IF($E738="Inventory",VLOOKUP($C738,Inventory!$B:$I,3,FALSE()),IF($E738="Non Inventory",VLOOKUP($C738,'Non Inventory'!$B:$I,3,FALSE()),IF($E738="Services",VLOOKUP($C738,Services!$B:$I,3,FALSE()),IF($E738="Patty Cash",VLOOKUP($C738,'Patty Cash'!$B:$J,3,FALSE()),"")))),"")</f>
        <v/>
      </c>
      <c r="G738" s="374"/>
      <c r="H738" s="374" t="str">
        <f t="shared" si="22"/>
        <v/>
      </c>
      <c r="I738" s="252">
        <f>IFERROR(IF($E738="Inventory",VLOOKUP($C738,Inventory!$B:$I,8,FALSE()),IF($E738="Non Inventory",VLOOKUP($C738,'Non Inventory'!$B:$I,8,FALSE()),IF($E738="Services",VLOOKUP($C738,Services!$B:$I,8,FALSE()),IF($E738="Patty Cash",VLOOKUP($C738,'Patty Cash'!$B:$J,8,FALSE()),0)))),0)</f>
        <v>0</v>
      </c>
      <c r="J738" s="252" t="str">
        <f t="shared" si="23"/>
        <v/>
      </c>
      <c r="K738" s="253"/>
      <c r="L738" s="253"/>
      <c r="M738" s="253"/>
      <c r="N738" s="328"/>
    </row>
    <row r="739" spans="1:14" ht="20.100000000000001" customHeight="1">
      <c r="A739" s="327" t="str">
        <f>IF(AND($B739="",$C739=""),"",MAX($A$3:A738)+1)</f>
        <v/>
      </c>
      <c r="B739" s="262"/>
      <c r="C739" s="253"/>
      <c r="D739" s="249" t="str">
        <f>IFERROR(IF($E739="Inventory",VLOOKUP($C739,Inventory!$B:$I,2,FALSE()),IF($E739="Non Inventory",VLOOKUP($C739,'Non Inventory'!$B:$I,2,FALSE()),IF($E739="Services",VLOOKUP($C739,Services!$B:$I,2,FALSE()),IF($E739="Patty Cash",VLOOKUP($C739,'Patty Cash'!$B:$J,2,FALSE()),"")))),"")</f>
        <v/>
      </c>
      <c r="E739" s="254"/>
      <c r="F739" s="263" t="str">
        <f>IFERROR(IF($E739="Inventory",VLOOKUP($C739,Inventory!$B:$I,3,FALSE()),IF($E739="Non Inventory",VLOOKUP($C739,'Non Inventory'!$B:$I,3,FALSE()),IF($E739="Services",VLOOKUP($C739,Services!$B:$I,3,FALSE()),IF($E739="Patty Cash",VLOOKUP($C739,'Patty Cash'!$B:$J,3,FALSE()),"")))),"")</f>
        <v/>
      </c>
      <c r="G739" s="374"/>
      <c r="H739" s="374" t="str">
        <f t="shared" si="22"/>
        <v/>
      </c>
      <c r="I739" s="252">
        <f>IFERROR(IF($E739="Inventory",VLOOKUP($C739,Inventory!$B:$I,8,FALSE()),IF($E739="Non Inventory",VLOOKUP($C739,'Non Inventory'!$B:$I,8,FALSE()),IF($E739="Services",VLOOKUP($C739,Services!$B:$I,8,FALSE()),IF($E739="Patty Cash",VLOOKUP($C739,'Patty Cash'!$B:$J,8,FALSE()),0)))),0)</f>
        <v>0</v>
      </c>
      <c r="J739" s="252" t="str">
        <f t="shared" si="23"/>
        <v/>
      </c>
      <c r="K739" s="253"/>
      <c r="L739" s="253"/>
      <c r="M739" s="253"/>
      <c r="N739" s="328"/>
    </row>
    <row r="740" spans="1:14" ht="20.100000000000001" customHeight="1">
      <c r="A740" s="327" t="str">
        <f>IF(AND($B740="",$C740=""),"",MAX($A$3:A739)+1)</f>
        <v/>
      </c>
      <c r="B740" s="262"/>
      <c r="C740" s="253"/>
      <c r="D740" s="249" t="str">
        <f>IFERROR(IF($E740="Inventory",VLOOKUP($C740,Inventory!$B:$I,2,FALSE()),IF($E740="Non Inventory",VLOOKUP($C740,'Non Inventory'!$B:$I,2,FALSE()),IF($E740="Services",VLOOKUP($C740,Services!$B:$I,2,FALSE()),IF($E740="Patty Cash",VLOOKUP($C740,'Patty Cash'!$B:$J,2,FALSE()),"")))),"")</f>
        <v/>
      </c>
      <c r="E740" s="254"/>
      <c r="F740" s="263" t="str">
        <f>IFERROR(IF($E740="Inventory",VLOOKUP($C740,Inventory!$B:$I,3,FALSE()),IF($E740="Non Inventory",VLOOKUP($C740,'Non Inventory'!$B:$I,3,FALSE()),IF($E740="Services",VLOOKUP($C740,Services!$B:$I,3,FALSE()),IF($E740="Patty Cash",VLOOKUP($C740,'Patty Cash'!$B:$J,3,FALSE()),"")))),"")</f>
        <v/>
      </c>
      <c r="G740" s="374"/>
      <c r="H740" s="374" t="str">
        <f t="shared" si="22"/>
        <v/>
      </c>
      <c r="I740" s="252">
        <f>IFERROR(IF($E740="Inventory",VLOOKUP($C740,Inventory!$B:$I,8,FALSE()),IF($E740="Non Inventory",VLOOKUP($C740,'Non Inventory'!$B:$I,8,FALSE()),IF($E740="Services",VLOOKUP($C740,Services!$B:$I,8,FALSE()),IF($E740="Patty Cash",VLOOKUP($C740,'Patty Cash'!$B:$J,8,FALSE()),0)))),0)</f>
        <v>0</v>
      </c>
      <c r="J740" s="252" t="str">
        <f t="shared" si="23"/>
        <v/>
      </c>
      <c r="K740" s="253"/>
      <c r="L740" s="253"/>
      <c r="M740" s="253"/>
      <c r="N740" s="328"/>
    </row>
    <row r="741" spans="1:14" ht="20.100000000000001" customHeight="1">
      <c r="A741" s="327" t="str">
        <f>IF(AND($B741="",$C741=""),"",MAX($A$3:A740)+1)</f>
        <v/>
      </c>
      <c r="B741" s="262"/>
      <c r="C741" s="253"/>
      <c r="D741" s="249" t="str">
        <f>IFERROR(IF($E741="Inventory",VLOOKUP($C741,Inventory!$B:$I,2,FALSE()),IF($E741="Non Inventory",VLOOKUP($C741,'Non Inventory'!$B:$I,2,FALSE()),IF($E741="Services",VLOOKUP($C741,Services!$B:$I,2,FALSE()),IF($E741="Patty Cash",VLOOKUP($C741,'Patty Cash'!$B:$J,2,FALSE()),"")))),"")</f>
        <v/>
      </c>
      <c r="E741" s="254"/>
      <c r="F741" s="263" t="str">
        <f>IFERROR(IF($E741="Inventory",VLOOKUP($C741,Inventory!$B:$I,3,FALSE()),IF($E741="Non Inventory",VLOOKUP($C741,'Non Inventory'!$B:$I,3,FALSE()),IF($E741="Services",VLOOKUP($C741,Services!$B:$I,3,FALSE()),IF($E741="Patty Cash",VLOOKUP($C741,'Patty Cash'!$B:$J,3,FALSE()),"")))),"")</f>
        <v/>
      </c>
      <c r="G741" s="374"/>
      <c r="H741" s="374" t="str">
        <f t="shared" si="22"/>
        <v/>
      </c>
      <c r="I741" s="252">
        <f>IFERROR(IF($E741="Inventory",VLOOKUP($C741,Inventory!$B:$I,8,FALSE()),IF($E741="Non Inventory",VLOOKUP($C741,'Non Inventory'!$B:$I,8,FALSE()),IF($E741="Services",VLOOKUP($C741,Services!$B:$I,8,FALSE()),IF($E741="Patty Cash",VLOOKUP($C741,'Patty Cash'!$B:$J,8,FALSE()),0)))),0)</f>
        <v>0</v>
      </c>
      <c r="J741" s="252" t="str">
        <f t="shared" si="23"/>
        <v/>
      </c>
      <c r="K741" s="253"/>
      <c r="L741" s="253"/>
      <c r="M741" s="253"/>
      <c r="N741" s="328"/>
    </row>
    <row r="742" spans="1:14" ht="20.100000000000001" customHeight="1">
      <c r="A742" s="327" t="str">
        <f>IF(AND($B742="",$C742=""),"",MAX($A$3:A741)+1)</f>
        <v/>
      </c>
      <c r="B742" s="262"/>
      <c r="C742" s="253"/>
      <c r="D742" s="249" t="str">
        <f>IFERROR(IF($E742="Inventory",VLOOKUP($C742,Inventory!$B:$I,2,FALSE()),IF($E742="Non Inventory",VLOOKUP($C742,'Non Inventory'!$B:$I,2,FALSE()),IF($E742="Services",VLOOKUP($C742,Services!$B:$I,2,FALSE()),IF($E742="Patty Cash",VLOOKUP($C742,'Patty Cash'!$B:$J,2,FALSE()),"")))),"")</f>
        <v/>
      </c>
      <c r="E742" s="254"/>
      <c r="F742" s="263" t="str">
        <f>IFERROR(IF($E742="Inventory",VLOOKUP($C742,Inventory!$B:$I,3,FALSE()),IF($E742="Non Inventory",VLOOKUP($C742,'Non Inventory'!$B:$I,3,FALSE()),IF($E742="Services",VLOOKUP($C742,Services!$B:$I,3,FALSE()),IF($E742="Patty Cash",VLOOKUP($C742,'Patty Cash'!$B:$J,3,FALSE()),"")))),"")</f>
        <v/>
      </c>
      <c r="G742" s="374"/>
      <c r="H742" s="374" t="str">
        <f t="shared" si="22"/>
        <v/>
      </c>
      <c r="I742" s="252">
        <f>IFERROR(IF($E742="Inventory",VLOOKUP($C742,Inventory!$B:$I,8,FALSE()),IF($E742="Non Inventory",VLOOKUP($C742,'Non Inventory'!$B:$I,8,FALSE()),IF($E742="Services",VLOOKUP($C742,Services!$B:$I,8,FALSE()),IF($E742="Patty Cash",VLOOKUP($C742,'Patty Cash'!$B:$J,8,FALSE()),0)))),0)</f>
        <v>0</v>
      </c>
      <c r="J742" s="252" t="str">
        <f t="shared" si="23"/>
        <v/>
      </c>
      <c r="K742" s="253"/>
      <c r="L742" s="253"/>
      <c r="M742" s="253"/>
      <c r="N742" s="328"/>
    </row>
    <row r="743" spans="1:14" ht="20.100000000000001" customHeight="1">
      <c r="A743" s="327" t="str">
        <f>IF(AND($B743="",$C743=""),"",MAX($A$3:A742)+1)</f>
        <v/>
      </c>
      <c r="B743" s="262"/>
      <c r="C743" s="253"/>
      <c r="D743" s="249" t="str">
        <f>IFERROR(IF($E743="Inventory",VLOOKUP($C743,Inventory!$B:$I,2,FALSE()),IF($E743="Non Inventory",VLOOKUP($C743,'Non Inventory'!$B:$I,2,FALSE()),IF($E743="Services",VLOOKUP($C743,Services!$B:$I,2,FALSE()),IF($E743="Patty Cash",VLOOKUP($C743,'Patty Cash'!$B:$J,2,FALSE()),"")))),"")</f>
        <v/>
      </c>
      <c r="E743" s="254"/>
      <c r="F743" s="263" t="str">
        <f>IFERROR(IF($E743="Inventory",VLOOKUP($C743,Inventory!$B:$I,3,FALSE()),IF($E743="Non Inventory",VLOOKUP($C743,'Non Inventory'!$B:$I,3,FALSE()),IF($E743="Services",VLOOKUP($C743,Services!$B:$I,3,FALSE()),IF($E743="Patty Cash",VLOOKUP($C743,'Patty Cash'!$B:$J,3,FALSE()),"")))),"")</f>
        <v/>
      </c>
      <c r="G743" s="374"/>
      <c r="H743" s="374" t="str">
        <f t="shared" si="22"/>
        <v/>
      </c>
      <c r="I743" s="252">
        <f>IFERROR(IF($E743="Inventory",VLOOKUP($C743,Inventory!$B:$I,8,FALSE()),IF($E743="Non Inventory",VLOOKUP($C743,'Non Inventory'!$B:$I,8,FALSE()),IF($E743="Services",VLOOKUP($C743,Services!$B:$I,8,FALSE()),IF($E743="Patty Cash",VLOOKUP($C743,'Patty Cash'!$B:$J,8,FALSE()),0)))),0)</f>
        <v>0</v>
      </c>
      <c r="J743" s="252" t="str">
        <f t="shared" si="23"/>
        <v/>
      </c>
      <c r="K743" s="253"/>
      <c r="L743" s="253"/>
      <c r="M743" s="253"/>
      <c r="N743" s="328"/>
    </row>
    <row r="744" spans="1:14" ht="20.100000000000001" customHeight="1">
      <c r="A744" s="327" t="str">
        <f>IF(AND($B744="",$C744=""),"",MAX($A$3:A743)+1)</f>
        <v/>
      </c>
      <c r="B744" s="262"/>
      <c r="C744" s="253"/>
      <c r="D744" s="249" t="str">
        <f>IFERROR(IF($E744="Inventory",VLOOKUP($C744,Inventory!$B:$I,2,FALSE()),IF($E744="Non Inventory",VLOOKUP($C744,'Non Inventory'!$B:$I,2,FALSE()),IF($E744="Services",VLOOKUP($C744,Services!$B:$I,2,FALSE()),IF($E744="Patty Cash",VLOOKUP($C744,'Patty Cash'!$B:$J,2,FALSE()),"")))),"")</f>
        <v/>
      </c>
      <c r="E744" s="254"/>
      <c r="F744" s="263" t="str">
        <f>IFERROR(IF($E744="Inventory",VLOOKUP($C744,Inventory!$B:$I,3,FALSE()),IF($E744="Non Inventory",VLOOKUP($C744,'Non Inventory'!$B:$I,3,FALSE()),IF($E744="Services",VLOOKUP($C744,Services!$B:$I,3,FALSE()),IF($E744="Patty Cash",VLOOKUP($C744,'Patty Cash'!$B:$J,3,FALSE()),"")))),"")</f>
        <v/>
      </c>
      <c r="G744" s="374"/>
      <c r="H744" s="374" t="str">
        <f t="shared" si="22"/>
        <v/>
      </c>
      <c r="I744" s="252">
        <f>IFERROR(IF($E744="Inventory",VLOOKUP($C744,Inventory!$B:$I,8,FALSE()),IF($E744="Non Inventory",VLOOKUP($C744,'Non Inventory'!$B:$I,8,FALSE()),IF($E744="Services",VLOOKUP($C744,Services!$B:$I,8,FALSE()),IF($E744="Patty Cash",VLOOKUP($C744,'Patty Cash'!$B:$J,8,FALSE()),0)))),0)</f>
        <v>0</v>
      </c>
      <c r="J744" s="252" t="str">
        <f t="shared" si="23"/>
        <v/>
      </c>
      <c r="K744" s="253"/>
      <c r="L744" s="253"/>
      <c r="M744" s="253"/>
      <c r="N744" s="328"/>
    </row>
    <row r="745" spans="1:14" ht="20.100000000000001" customHeight="1">
      <c r="A745" s="327" t="str">
        <f>IF(AND($B745="",$C745=""),"",MAX($A$3:A744)+1)</f>
        <v/>
      </c>
      <c r="B745" s="262"/>
      <c r="C745" s="253"/>
      <c r="D745" s="249" t="str">
        <f>IFERROR(IF($E745="Inventory",VLOOKUP($C745,Inventory!$B:$I,2,FALSE()),IF($E745="Non Inventory",VLOOKUP($C745,'Non Inventory'!$B:$I,2,FALSE()),IF($E745="Services",VLOOKUP($C745,Services!$B:$I,2,FALSE()),IF($E745="Patty Cash",VLOOKUP($C745,'Patty Cash'!$B:$J,2,FALSE()),"")))),"")</f>
        <v/>
      </c>
      <c r="E745" s="254"/>
      <c r="F745" s="263" t="str">
        <f>IFERROR(IF($E745="Inventory",VLOOKUP($C745,Inventory!$B:$I,3,FALSE()),IF($E745="Non Inventory",VLOOKUP($C745,'Non Inventory'!$B:$I,3,FALSE()),IF($E745="Services",VLOOKUP($C745,Services!$B:$I,3,FALSE()),IF($E745="Patty Cash",VLOOKUP($C745,'Patty Cash'!$B:$J,3,FALSE()),"")))),"")</f>
        <v/>
      </c>
      <c r="G745" s="374"/>
      <c r="H745" s="374" t="str">
        <f t="shared" si="22"/>
        <v/>
      </c>
      <c r="I745" s="252">
        <f>IFERROR(IF($E745="Inventory",VLOOKUP($C745,Inventory!$B:$I,8,FALSE()),IF($E745="Non Inventory",VLOOKUP($C745,'Non Inventory'!$B:$I,8,FALSE()),IF($E745="Services",VLOOKUP($C745,Services!$B:$I,8,FALSE()),IF($E745="Patty Cash",VLOOKUP($C745,'Patty Cash'!$B:$J,8,FALSE()),0)))),0)</f>
        <v>0</v>
      </c>
      <c r="J745" s="252" t="str">
        <f t="shared" si="23"/>
        <v/>
      </c>
      <c r="K745" s="253"/>
      <c r="L745" s="253"/>
      <c r="M745" s="253"/>
      <c r="N745" s="328"/>
    </row>
    <row r="746" spans="1:14" ht="20.100000000000001" customHeight="1">
      <c r="A746" s="327" t="str">
        <f>IF(AND($B746="",$C746=""),"",MAX($A$3:A745)+1)</f>
        <v/>
      </c>
      <c r="B746" s="262"/>
      <c r="C746" s="253"/>
      <c r="D746" s="249" t="str">
        <f>IFERROR(IF($E746="Inventory",VLOOKUP($C746,Inventory!$B:$I,2,FALSE()),IF($E746="Non Inventory",VLOOKUP($C746,'Non Inventory'!$B:$I,2,FALSE()),IF($E746="Services",VLOOKUP($C746,Services!$B:$I,2,FALSE()),IF($E746="Patty Cash",VLOOKUP($C746,'Patty Cash'!$B:$J,2,FALSE()),"")))),"")</f>
        <v/>
      </c>
      <c r="E746" s="254"/>
      <c r="F746" s="263" t="str">
        <f>IFERROR(IF($E746="Inventory",VLOOKUP($C746,Inventory!$B:$I,3,FALSE()),IF($E746="Non Inventory",VLOOKUP($C746,'Non Inventory'!$B:$I,3,FALSE()),IF($E746="Services",VLOOKUP($C746,Services!$B:$I,3,FALSE()),IF($E746="Patty Cash",VLOOKUP($C746,'Patty Cash'!$B:$J,3,FALSE()),"")))),"")</f>
        <v/>
      </c>
      <c r="G746" s="374"/>
      <c r="H746" s="374" t="str">
        <f t="shared" si="22"/>
        <v/>
      </c>
      <c r="I746" s="252">
        <f>IFERROR(IF($E746="Inventory",VLOOKUP($C746,Inventory!$B:$I,8,FALSE()),IF($E746="Non Inventory",VLOOKUP($C746,'Non Inventory'!$B:$I,8,FALSE()),IF($E746="Services",VLOOKUP($C746,Services!$B:$I,8,FALSE()),IF($E746="Patty Cash",VLOOKUP($C746,'Patty Cash'!$B:$J,8,FALSE()),0)))),0)</f>
        <v>0</v>
      </c>
      <c r="J746" s="252" t="str">
        <f t="shared" si="23"/>
        <v/>
      </c>
      <c r="K746" s="253"/>
      <c r="L746" s="253"/>
      <c r="M746" s="253"/>
      <c r="N746" s="328"/>
    </row>
    <row r="747" spans="1:14" ht="20.100000000000001" customHeight="1">
      <c r="A747" s="327" t="str">
        <f>IF(AND($B747="",$C747=""),"",MAX($A$3:A746)+1)</f>
        <v/>
      </c>
      <c r="B747" s="262"/>
      <c r="C747" s="253"/>
      <c r="D747" s="249" t="str">
        <f>IFERROR(IF($E747="Inventory",VLOOKUP($C747,Inventory!$B:$I,2,FALSE()),IF($E747="Non Inventory",VLOOKUP($C747,'Non Inventory'!$B:$I,2,FALSE()),IF($E747="Services",VLOOKUP($C747,Services!$B:$I,2,FALSE()),IF($E747="Patty Cash",VLOOKUP($C747,'Patty Cash'!$B:$J,2,FALSE()),"")))),"")</f>
        <v/>
      </c>
      <c r="E747" s="254"/>
      <c r="F747" s="263" t="str">
        <f>IFERROR(IF($E747="Inventory",VLOOKUP($C747,Inventory!$B:$I,3,FALSE()),IF($E747="Non Inventory",VLOOKUP($C747,'Non Inventory'!$B:$I,3,FALSE()),IF($E747="Services",VLOOKUP($C747,Services!$B:$I,3,FALSE()),IF($E747="Patty Cash",VLOOKUP($C747,'Patty Cash'!$B:$J,3,FALSE()),"")))),"")</f>
        <v/>
      </c>
      <c r="G747" s="374"/>
      <c r="H747" s="374" t="str">
        <f t="shared" si="22"/>
        <v/>
      </c>
      <c r="I747" s="252">
        <f>IFERROR(IF($E747="Inventory",VLOOKUP($C747,Inventory!$B:$I,8,FALSE()),IF($E747="Non Inventory",VLOOKUP($C747,'Non Inventory'!$B:$I,8,FALSE()),IF($E747="Services",VLOOKUP($C747,Services!$B:$I,8,FALSE()),IF($E747="Patty Cash",VLOOKUP($C747,'Patty Cash'!$B:$J,8,FALSE()),0)))),0)</f>
        <v>0</v>
      </c>
      <c r="J747" s="252" t="str">
        <f t="shared" si="23"/>
        <v/>
      </c>
      <c r="K747" s="253"/>
      <c r="L747" s="253"/>
      <c r="M747" s="253"/>
      <c r="N747" s="328"/>
    </row>
    <row r="748" spans="1:14" ht="20.100000000000001" customHeight="1">
      <c r="A748" s="327" t="str">
        <f>IF(AND($B748="",$C748=""),"",MAX($A$3:A747)+1)</f>
        <v/>
      </c>
      <c r="B748" s="262"/>
      <c r="C748" s="253"/>
      <c r="D748" s="249" t="str">
        <f>IFERROR(IF($E748="Inventory",VLOOKUP($C748,Inventory!$B:$I,2,FALSE()),IF($E748="Non Inventory",VLOOKUP($C748,'Non Inventory'!$B:$I,2,FALSE()),IF($E748="Services",VLOOKUP($C748,Services!$B:$I,2,FALSE()),IF($E748="Patty Cash",VLOOKUP($C748,'Patty Cash'!$B:$J,2,FALSE()),"")))),"")</f>
        <v/>
      </c>
      <c r="E748" s="254"/>
      <c r="F748" s="263" t="str">
        <f>IFERROR(IF($E748="Inventory",VLOOKUP($C748,Inventory!$B:$I,3,FALSE()),IF($E748="Non Inventory",VLOOKUP($C748,'Non Inventory'!$B:$I,3,FALSE()),IF($E748="Services",VLOOKUP($C748,Services!$B:$I,3,FALSE()),IF($E748="Patty Cash",VLOOKUP($C748,'Patty Cash'!$B:$J,3,FALSE()),"")))),"")</f>
        <v/>
      </c>
      <c r="G748" s="374"/>
      <c r="H748" s="374" t="str">
        <f t="shared" si="22"/>
        <v/>
      </c>
      <c r="I748" s="252">
        <f>IFERROR(IF($E748="Inventory",VLOOKUP($C748,Inventory!$B:$I,8,FALSE()),IF($E748="Non Inventory",VLOOKUP($C748,'Non Inventory'!$B:$I,8,FALSE()),IF($E748="Services",VLOOKUP($C748,Services!$B:$I,8,FALSE()),IF($E748="Patty Cash",VLOOKUP($C748,'Patty Cash'!$B:$J,8,FALSE()),0)))),0)</f>
        <v>0</v>
      </c>
      <c r="J748" s="252" t="str">
        <f t="shared" si="23"/>
        <v/>
      </c>
      <c r="K748" s="253"/>
      <c r="L748" s="253"/>
      <c r="M748" s="253"/>
      <c r="N748" s="328"/>
    </row>
    <row r="749" spans="1:14" ht="20.100000000000001" customHeight="1">
      <c r="A749" s="327" t="str">
        <f>IF(AND($B749="",$C749=""),"",MAX($A$3:A748)+1)</f>
        <v/>
      </c>
      <c r="B749" s="262"/>
      <c r="C749" s="253"/>
      <c r="D749" s="249" t="str">
        <f>IFERROR(IF($E749="Inventory",VLOOKUP($C749,Inventory!$B:$I,2,FALSE()),IF($E749="Non Inventory",VLOOKUP($C749,'Non Inventory'!$B:$I,2,FALSE()),IF($E749="Services",VLOOKUP($C749,Services!$B:$I,2,FALSE()),IF($E749="Patty Cash",VLOOKUP($C749,'Patty Cash'!$B:$J,2,FALSE()),"")))),"")</f>
        <v/>
      </c>
      <c r="E749" s="254"/>
      <c r="F749" s="263" t="str">
        <f>IFERROR(IF($E749="Inventory",VLOOKUP($C749,Inventory!$B:$I,3,FALSE()),IF($E749="Non Inventory",VLOOKUP($C749,'Non Inventory'!$B:$I,3,FALSE()),IF($E749="Services",VLOOKUP($C749,Services!$B:$I,3,FALSE()),IF($E749="Patty Cash",VLOOKUP($C749,'Patty Cash'!$B:$J,3,FALSE()),"")))),"")</f>
        <v/>
      </c>
      <c r="G749" s="374"/>
      <c r="H749" s="374" t="str">
        <f t="shared" si="22"/>
        <v/>
      </c>
      <c r="I749" s="252">
        <f>IFERROR(IF($E749="Inventory",VLOOKUP($C749,Inventory!$B:$I,8,FALSE()),IF($E749="Non Inventory",VLOOKUP($C749,'Non Inventory'!$B:$I,8,FALSE()),IF($E749="Services",VLOOKUP($C749,Services!$B:$I,8,FALSE()),IF($E749="Patty Cash",VLOOKUP($C749,'Patty Cash'!$B:$J,8,FALSE()),0)))),0)</f>
        <v>0</v>
      </c>
      <c r="J749" s="252" t="str">
        <f t="shared" si="23"/>
        <v/>
      </c>
      <c r="K749" s="253"/>
      <c r="L749" s="253"/>
      <c r="M749" s="253"/>
      <c r="N749" s="328"/>
    </row>
    <row r="750" spans="1:14" ht="20.100000000000001" customHeight="1">
      <c r="A750" s="327" t="str">
        <f>IF(AND($B750="",$C750=""),"",MAX($A$3:A749)+1)</f>
        <v/>
      </c>
      <c r="B750" s="262"/>
      <c r="C750" s="253"/>
      <c r="D750" s="249" t="str">
        <f>IFERROR(IF($E750="Inventory",VLOOKUP($C750,Inventory!$B:$I,2,FALSE()),IF($E750="Non Inventory",VLOOKUP($C750,'Non Inventory'!$B:$I,2,FALSE()),IF($E750="Services",VLOOKUP($C750,Services!$B:$I,2,FALSE()),IF($E750="Patty Cash",VLOOKUP($C750,'Patty Cash'!$B:$J,2,FALSE()),"")))),"")</f>
        <v/>
      </c>
      <c r="E750" s="254"/>
      <c r="F750" s="263" t="str">
        <f>IFERROR(IF($E750="Inventory",VLOOKUP($C750,Inventory!$B:$I,3,FALSE()),IF($E750="Non Inventory",VLOOKUP($C750,'Non Inventory'!$B:$I,3,FALSE()),IF($E750="Services",VLOOKUP($C750,Services!$B:$I,3,FALSE()),IF($E750="Patty Cash",VLOOKUP($C750,'Patty Cash'!$B:$J,3,FALSE()),"")))),"")</f>
        <v/>
      </c>
      <c r="G750" s="374"/>
      <c r="H750" s="374" t="str">
        <f t="shared" si="22"/>
        <v/>
      </c>
      <c r="I750" s="252">
        <f>IFERROR(IF($E750="Inventory",VLOOKUP($C750,Inventory!$B:$I,8,FALSE()),IF($E750="Non Inventory",VLOOKUP($C750,'Non Inventory'!$B:$I,8,FALSE()),IF($E750="Services",VLOOKUP($C750,Services!$B:$I,8,FALSE()),IF($E750="Patty Cash",VLOOKUP($C750,'Patty Cash'!$B:$J,8,FALSE()),0)))),0)</f>
        <v>0</v>
      </c>
      <c r="J750" s="252" t="str">
        <f t="shared" si="23"/>
        <v/>
      </c>
      <c r="K750" s="253"/>
      <c r="L750" s="253"/>
      <c r="M750" s="253"/>
      <c r="N750" s="328"/>
    </row>
    <row r="751" spans="1:14" ht="20.100000000000001" customHeight="1">
      <c r="A751" s="327" t="str">
        <f>IF(AND($B751="",$C751=""),"",MAX($A$3:A750)+1)</f>
        <v/>
      </c>
      <c r="B751" s="262"/>
      <c r="C751" s="253"/>
      <c r="D751" s="249" t="str">
        <f>IFERROR(IF($E751="Inventory",VLOOKUP($C751,Inventory!$B:$I,2,FALSE()),IF($E751="Non Inventory",VLOOKUP($C751,'Non Inventory'!$B:$I,2,FALSE()),IF($E751="Services",VLOOKUP($C751,Services!$B:$I,2,FALSE()),IF($E751="Patty Cash",VLOOKUP($C751,'Patty Cash'!$B:$J,2,FALSE()),"")))),"")</f>
        <v/>
      </c>
      <c r="E751" s="254"/>
      <c r="F751" s="263" t="str">
        <f>IFERROR(IF($E751="Inventory",VLOOKUP($C751,Inventory!$B:$I,3,FALSE()),IF($E751="Non Inventory",VLOOKUP($C751,'Non Inventory'!$B:$I,3,FALSE()),IF($E751="Services",VLOOKUP($C751,Services!$B:$I,3,FALSE()),IF($E751="Patty Cash",VLOOKUP($C751,'Patty Cash'!$B:$J,3,FALSE()),"")))),"")</f>
        <v/>
      </c>
      <c r="G751" s="374"/>
      <c r="H751" s="374" t="str">
        <f t="shared" si="22"/>
        <v/>
      </c>
      <c r="I751" s="252">
        <f>IFERROR(IF($E751="Inventory",VLOOKUP($C751,Inventory!$B:$I,8,FALSE()),IF($E751="Non Inventory",VLOOKUP($C751,'Non Inventory'!$B:$I,8,FALSE()),IF($E751="Services",VLOOKUP($C751,Services!$B:$I,8,FALSE()),IF($E751="Patty Cash",VLOOKUP($C751,'Patty Cash'!$B:$J,8,FALSE()),0)))),0)</f>
        <v>0</v>
      </c>
      <c r="J751" s="252" t="str">
        <f t="shared" si="23"/>
        <v/>
      </c>
      <c r="K751" s="253"/>
      <c r="L751" s="253"/>
      <c r="M751" s="253"/>
      <c r="N751" s="328"/>
    </row>
    <row r="752" spans="1:14" ht="20.100000000000001" customHeight="1">
      <c r="A752" s="327" t="str">
        <f>IF(AND($B752="",$C752=""),"",MAX($A$3:A751)+1)</f>
        <v/>
      </c>
      <c r="B752" s="262"/>
      <c r="C752" s="253"/>
      <c r="D752" s="249" t="str">
        <f>IFERROR(IF($E752="Inventory",VLOOKUP($C752,Inventory!$B:$I,2,FALSE()),IF($E752="Non Inventory",VLOOKUP($C752,'Non Inventory'!$B:$I,2,FALSE()),IF($E752="Services",VLOOKUP($C752,Services!$B:$I,2,FALSE()),IF($E752="Patty Cash",VLOOKUP($C752,'Patty Cash'!$B:$J,2,FALSE()),"")))),"")</f>
        <v/>
      </c>
      <c r="E752" s="254"/>
      <c r="F752" s="263" t="str">
        <f>IFERROR(IF($E752="Inventory",VLOOKUP($C752,Inventory!$B:$I,3,FALSE()),IF($E752="Non Inventory",VLOOKUP($C752,'Non Inventory'!$B:$I,3,FALSE()),IF($E752="Services",VLOOKUP($C752,Services!$B:$I,3,FALSE()),IF($E752="Patty Cash",VLOOKUP($C752,'Patty Cash'!$B:$J,3,FALSE()),"")))),"")</f>
        <v/>
      </c>
      <c r="G752" s="374"/>
      <c r="H752" s="374" t="str">
        <f t="shared" si="22"/>
        <v/>
      </c>
      <c r="I752" s="252">
        <f>IFERROR(IF($E752="Inventory",VLOOKUP($C752,Inventory!$B:$I,8,FALSE()),IF($E752="Non Inventory",VLOOKUP($C752,'Non Inventory'!$B:$I,8,FALSE()),IF($E752="Services",VLOOKUP($C752,Services!$B:$I,8,FALSE()),IF($E752="Patty Cash",VLOOKUP($C752,'Patty Cash'!$B:$J,8,FALSE()),0)))),0)</f>
        <v>0</v>
      </c>
      <c r="J752" s="252" t="str">
        <f t="shared" si="23"/>
        <v/>
      </c>
      <c r="K752" s="253"/>
      <c r="L752" s="253"/>
      <c r="M752" s="253"/>
      <c r="N752" s="328"/>
    </row>
    <row r="753" spans="1:14" ht="20.100000000000001" customHeight="1">
      <c r="A753" s="327" t="str">
        <f>IF(AND($B753="",$C753=""),"",MAX($A$3:A752)+1)</f>
        <v/>
      </c>
      <c r="B753" s="262"/>
      <c r="C753" s="253"/>
      <c r="D753" s="249" t="str">
        <f>IFERROR(IF($E753="Inventory",VLOOKUP($C753,Inventory!$B:$I,2,FALSE()),IF($E753="Non Inventory",VLOOKUP($C753,'Non Inventory'!$B:$I,2,FALSE()),IF($E753="Services",VLOOKUP($C753,Services!$B:$I,2,FALSE()),IF($E753="Patty Cash",VLOOKUP($C753,'Patty Cash'!$B:$J,2,FALSE()),"")))),"")</f>
        <v/>
      </c>
      <c r="E753" s="254"/>
      <c r="F753" s="263" t="str">
        <f>IFERROR(IF($E753="Inventory",VLOOKUP($C753,Inventory!$B:$I,3,FALSE()),IF($E753="Non Inventory",VLOOKUP($C753,'Non Inventory'!$B:$I,3,FALSE()),IF($E753="Services",VLOOKUP($C753,Services!$B:$I,3,FALSE()),IF($E753="Patty Cash",VLOOKUP($C753,'Patty Cash'!$B:$J,3,FALSE()),"")))),"")</f>
        <v/>
      </c>
      <c r="G753" s="374"/>
      <c r="H753" s="374" t="str">
        <f t="shared" si="22"/>
        <v/>
      </c>
      <c r="I753" s="252">
        <f>IFERROR(IF($E753="Inventory",VLOOKUP($C753,Inventory!$B:$I,8,FALSE()),IF($E753="Non Inventory",VLOOKUP($C753,'Non Inventory'!$B:$I,8,FALSE()),IF($E753="Services",VLOOKUP($C753,Services!$B:$I,8,FALSE()),IF($E753="Patty Cash",VLOOKUP($C753,'Patty Cash'!$B:$J,8,FALSE()),0)))),0)</f>
        <v>0</v>
      </c>
      <c r="J753" s="252" t="str">
        <f t="shared" si="23"/>
        <v/>
      </c>
      <c r="K753" s="253"/>
      <c r="L753" s="253"/>
      <c r="M753" s="253"/>
      <c r="N753" s="328"/>
    </row>
    <row r="754" spans="1:14" ht="20.100000000000001" customHeight="1">
      <c r="A754" s="327" t="str">
        <f>IF(AND($B754="",$C754=""),"",MAX($A$3:A753)+1)</f>
        <v/>
      </c>
      <c r="B754" s="262"/>
      <c r="C754" s="253"/>
      <c r="D754" s="249" t="str">
        <f>IFERROR(IF($E754="Inventory",VLOOKUP($C754,Inventory!$B:$I,2,FALSE()),IF($E754="Non Inventory",VLOOKUP($C754,'Non Inventory'!$B:$I,2,FALSE()),IF($E754="Services",VLOOKUP($C754,Services!$B:$I,2,FALSE()),IF($E754="Patty Cash",VLOOKUP($C754,'Patty Cash'!$B:$J,2,FALSE()),"")))),"")</f>
        <v/>
      </c>
      <c r="E754" s="254"/>
      <c r="F754" s="263" t="str">
        <f>IFERROR(IF($E754="Inventory",VLOOKUP($C754,Inventory!$B:$I,3,FALSE()),IF($E754="Non Inventory",VLOOKUP($C754,'Non Inventory'!$B:$I,3,FALSE()),IF($E754="Services",VLOOKUP($C754,Services!$B:$I,3,FALSE()),IF($E754="Patty Cash",VLOOKUP($C754,'Patty Cash'!$B:$J,3,FALSE()),"")))),"")</f>
        <v/>
      </c>
      <c r="G754" s="374"/>
      <c r="H754" s="374" t="str">
        <f t="shared" si="22"/>
        <v/>
      </c>
      <c r="I754" s="252">
        <f>IFERROR(IF($E754="Inventory",VLOOKUP($C754,Inventory!$B:$I,8,FALSE()),IF($E754="Non Inventory",VLOOKUP($C754,'Non Inventory'!$B:$I,8,FALSE()),IF($E754="Services",VLOOKUP($C754,Services!$B:$I,8,FALSE()),IF($E754="Patty Cash",VLOOKUP($C754,'Patty Cash'!$B:$J,8,FALSE()),0)))),0)</f>
        <v>0</v>
      </c>
      <c r="J754" s="252" t="str">
        <f t="shared" si="23"/>
        <v/>
      </c>
      <c r="K754" s="253"/>
      <c r="L754" s="253"/>
      <c r="M754" s="253"/>
      <c r="N754" s="328"/>
    </row>
    <row r="755" spans="1:14" ht="20.100000000000001" customHeight="1">
      <c r="A755" s="327" t="str">
        <f>IF(AND($B755="",$C755=""),"",MAX($A$3:A754)+1)</f>
        <v/>
      </c>
      <c r="B755" s="262"/>
      <c r="C755" s="253"/>
      <c r="D755" s="249" t="str">
        <f>IFERROR(IF($E755="Inventory",VLOOKUP($C755,Inventory!$B:$I,2,FALSE()),IF($E755="Non Inventory",VLOOKUP($C755,'Non Inventory'!$B:$I,2,FALSE()),IF($E755="Services",VLOOKUP($C755,Services!$B:$I,2,FALSE()),IF($E755="Patty Cash",VLOOKUP($C755,'Patty Cash'!$B:$J,2,FALSE()),"")))),"")</f>
        <v/>
      </c>
      <c r="E755" s="254"/>
      <c r="F755" s="263" t="str">
        <f>IFERROR(IF($E755="Inventory",VLOOKUP($C755,Inventory!$B:$I,3,FALSE()),IF($E755="Non Inventory",VLOOKUP($C755,'Non Inventory'!$B:$I,3,FALSE()),IF($E755="Services",VLOOKUP($C755,Services!$B:$I,3,FALSE()),IF($E755="Patty Cash",VLOOKUP($C755,'Patty Cash'!$B:$J,3,FALSE()),"")))),"")</f>
        <v/>
      </c>
      <c r="G755" s="374"/>
      <c r="H755" s="374" t="str">
        <f t="shared" si="22"/>
        <v/>
      </c>
      <c r="I755" s="252">
        <f>IFERROR(IF($E755="Inventory",VLOOKUP($C755,Inventory!$B:$I,8,FALSE()),IF($E755="Non Inventory",VLOOKUP($C755,'Non Inventory'!$B:$I,8,FALSE()),IF($E755="Services",VLOOKUP($C755,Services!$B:$I,8,FALSE()),IF($E755="Patty Cash",VLOOKUP($C755,'Patty Cash'!$B:$J,8,FALSE()),0)))),0)</f>
        <v>0</v>
      </c>
      <c r="J755" s="252" t="str">
        <f t="shared" si="23"/>
        <v/>
      </c>
      <c r="K755" s="253"/>
      <c r="L755" s="253"/>
      <c r="M755" s="253"/>
      <c r="N755" s="328"/>
    </row>
    <row r="756" spans="1:14" ht="20.100000000000001" customHeight="1">
      <c r="A756" s="327" t="str">
        <f>IF(AND($B756="",$C756=""),"",MAX($A$3:A755)+1)</f>
        <v/>
      </c>
      <c r="B756" s="262"/>
      <c r="C756" s="253"/>
      <c r="D756" s="249" t="str">
        <f>IFERROR(IF($E756="Inventory",VLOOKUP($C756,Inventory!$B:$I,2,FALSE()),IF($E756="Non Inventory",VLOOKUP($C756,'Non Inventory'!$B:$I,2,FALSE()),IF($E756="Services",VLOOKUP($C756,Services!$B:$I,2,FALSE()),IF($E756="Patty Cash",VLOOKUP($C756,'Patty Cash'!$B:$J,2,FALSE()),"")))),"")</f>
        <v/>
      </c>
      <c r="E756" s="254"/>
      <c r="F756" s="263" t="str">
        <f>IFERROR(IF($E756="Inventory",VLOOKUP($C756,Inventory!$B:$I,3,FALSE()),IF($E756="Non Inventory",VLOOKUP($C756,'Non Inventory'!$B:$I,3,FALSE()),IF($E756="Services",VLOOKUP($C756,Services!$B:$I,3,FALSE()),IF($E756="Patty Cash",VLOOKUP($C756,'Patty Cash'!$B:$J,3,FALSE()),"")))),"")</f>
        <v/>
      </c>
      <c r="G756" s="374"/>
      <c r="H756" s="374" t="str">
        <f t="shared" si="22"/>
        <v/>
      </c>
      <c r="I756" s="252">
        <f>IFERROR(IF($E756="Inventory",VLOOKUP($C756,Inventory!$B:$I,8,FALSE()),IF($E756="Non Inventory",VLOOKUP($C756,'Non Inventory'!$B:$I,8,FALSE()),IF($E756="Services",VLOOKUP($C756,Services!$B:$I,8,FALSE()),IF($E756="Patty Cash",VLOOKUP($C756,'Patty Cash'!$B:$J,8,FALSE()),0)))),0)</f>
        <v>0</v>
      </c>
      <c r="J756" s="252" t="str">
        <f t="shared" si="23"/>
        <v/>
      </c>
      <c r="K756" s="253"/>
      <c r="L756" s="253"/>
      <c r="M756" s="253"/>
      <c r="N756" s="328"/>
    </row>
    <row r="757" spans="1:14" ht="20.100000000000001" customHeight="1">
      <c r="A757" s="327" t="str">
        <f>IF(AND($B757="",$C757=""),"",MAX($A$3:A756)+1)</f>
        <v/>
      </c>
      <c r="B757" s="262"/>
      <c r="C757" s="253"/>
      <c r="D757" s="249" t="str">
        <f>IFERROR(IF($E757="Inventory",VLOOKUP($C757,Inventory!$B:$I,2,FALSE()),IF($E757="Non Inventory",VLOOKUP($C757,'Non Inventory'!$B:$I,2,FALSE()),IF($E757="Services",VLOOKUP($C757,Services!$B:$I,2,FALSE()),IF($E757="Patty Cash",VLOOKUP($C757,'Patty Cash'!$B:$J,2,FALSE()),"")))),"")</f>
        <v/>
      </c>
      <c r="E757" s="254"/>
      <c r="F757" s="263" t="str">
        <f>IFERROR(IF($E757="Inventory",VLOOKUP($C757,Inventory!$B:$I,3,FALSE()),IF($E757="Non Inventory",VLOOKUP($C757,'Non Inventory'!$B:$I,3,FALSE()),IF($E757="Services",VLOOKUP($C757,Services!$B:$I,3,FALSE()),IF($E757="Patty Cash",VLOOKUP($C757,'Patty Cash'!$B:$J,3,FALSE()),"")))),"")</f>
        <v/>
      </c>
      <c r="G757" s="374"/>
      <c r="H757" s="374" t="str">
        <f t="shared" si="22"/>
        <v/>
      </c>
      <c r="I757" s="252">
        <f>IFERROR(IF($E757="Inventory",VLOOKUP($C757,Inventory!$B:$I,8,FALSE()),IF($E757="Non Inventory",VLOOKUP($C757,'Non Inventory'!$B:$I,8,FALSE()),IF($E757="Services",VLOOKUP($C757,Services!$B:$I,8,FALSE()),IF($E757="Patty Cash",VLOOKUP($C757,'Patty Cash'!$B:$J,8,FALSE()),0)))),0)</f>
        <v>0</v>
      </c>
      <c r="J757" s="252" t="str">
        <f t="shared" si="23"/>
        <v/>
      </c>
      <c r="K757" s="253"/>
      <c r="L757" s="253"/>
      <c r="M757" s="253"/>
      <c r="N757" s="328"/>
    </row>
    <row r="758" spans="1:14" ht="20.100000000000001" customHeight="1">
      <c r="A758" s="327" t="str">
        <f>IF(AND($B758="",$C758=""),"",MAX($A$3:A757)+1)</f>
        <v/>
      </c>
      <c r="B758" s="262"/>
      <c r="C758" s="253"/>
      <c r="D758" s="249" t="str">
        <f>IFERROR(IF($E758="Inventory",VLOOKUP($C758,Inventory!$B:$I,2,FALSE()),IF($E758="Non Inventory",VLOOKUP($C758,'Non Inventory'!$B:$I,2,FALSE()),IF($E758="Services",VLOOKUP($C758,Services!$B:$I,2,FALSE()),IF($E758="Patty Cash",VLOOKUP($C758,'Patty Cash'!$B:$J,2,FALSE()),"")))),"")</f>
        <v/>
      </c>
      <c r="E758" s="254"/>
      <c r="F758" s="263" t="str">
        <f>IFERROR(IF($E758="Inventory",VLOOKUP($C758,Inventory!$B:$I,3,FALSE()),IF($E758="Non Inventory",VLOOKUP($C758,'Non Inventory'!$B:$I,3,FALSE()),IF($E758="Services",VLOOKUP($C758,Services!$B:$I,3,FALSE()),IF($E758="Patty Cash",VLOOKUP($C758,'Patty Cash'!$B:$J,3,FALSE()),"")))),"")</f>
        <v/>
      </c>
      <c r="G758" s="374"/>
      <c r="H758" s="374" t="str">
        <f t="shared" si="22"/>
        <v/>
      </c>
      <c r="I758" s="252">
        <f>IFERROR(IF($E758="Inventory",VLOOKUP($C758,Inventory!$B:$I,8,FALSE()),IF($E758="Non Inventory",VLOOKUP($C758,'Non Inventory'!$B:$I,8,FALSE()),IF($E758="Services",VLOOKUP($C758,Services!$B:$I,8,FALSE()),IF($E758="Patty Cash",VLOOKUP($C758,'Patty Cash'!$B:$J,8,FALSE()),0)))),0)</f>
        <v>0</v>
      </c>
      <c r="J758" s="252" t="str">
        <f t="shared" si="23"/>
        <v/>
      </c>
      <c r="K758" s="253"/>
      <c r="L758" s="253"/>
      <c r="M758" s="253"/>
      <c r="N758" s="328"/>
    </row>
    <row r="759" spans="1:14" ht="20.100000000000001" customHeight="1">
      <c r="A759" s="327" t="str">
        <f>IF(AND($B759="",$C759=""),"",MAX($A$3:A758)+1)</f>
        <v/>
      </c>
      <c r="B759" s="262"/>
      <c r="C759" s="253"/>
      <c r="D759" s="249" t="str">
        <f>IFERROR(IF($E759="Inventory",VLOOKUP($C759,Inventory!$B:$I,2,FALSE()),IF($E759="Non Inventory",VLOOKUP($C759,'Non Inventory'!$B:$I,2,FALSE()),IF($E759="Services",VLOOKUP($C759,Services!$B:$I,2,FALSE()),IF($E759="Patty Cash",VLOOKUP($C759,'Patty Cash'!$B:$J,2,FALSE()),"")))),"")</f>
        <v/>
      </c>
      <c r="E759" s="254"/>
      <c r="F759" s="263" t="str">
        <f>IFERROR(IF($E759="Inventory",VLOOKUP($C759,Inventory!$B:$I,3,FALSE()),IF($E759="Non Inventory",VLOOKUP($C759,'Non Inventory'!$B:$I,3,FALSE()),IF($E759="Services",VLOOKUP($C759,Services!$B:$I,3,FALSE()),IF($E759="Patty Cash",VLOOKUP($C759,'Patty Cash'!$B:$J,3,FALSE()),"")))),"")</f>
        <v/>
      </c>
      <c r="G759" s="374"/>
      <c r="H759" s="374" t="str">
        <f t="shared" si="22"/>
        <v/>
      </c>
      <c r="I759" s="252">
        <f>IFERROR(IF($E759="Inventory",VLOOKUP($C759,Inventory!$B:$I,8,FALSE()),IF($E759="Non Inventory",VLOOKUP($C759,'Non Inventory'!$B:$I,8,FALSE()),IF($E759="Services",VLOOKUP($C759,Services!$B:$I,8,FALSE()),IF($E759="Patty Cash",VLOOKUP($C759,'Patty Cash'!$B:$J,8,FALSE()),0)))),0)</f>
        <v>0</v>
      </c>
      <c r="J759" s="252" t="str">
        <f t="shared" si="23"/>
        <v/>
      </c>
      <c r="K759" s="253"/>
      <c r="L759" s="253"/>
      <c r="M759" s="253"/>
      <c r="N759" s="328"/>
    </row>
    <row r="760" spans="1:14" ht="20.100000000000001" customHeight="1">
      <c r="A760" s="327" t="str">
        <f>IF(AND($B760="",$C760=""),"",MAX($A$3:A759)+1)</f>
        <v/>
      </c>
      <c r="B760" s="262"/>
      <c r="C760" s="253"/>
      <c r="D760" s="249" t="str">
        <f>IFERROR(IF($E760="Inventory",VLOOKUP($C760,Inventory!$B:$I,2,FALSE()),IF($E760="Non Inventory",VLOOKUP($C760,'Non Inventory'!$B:$I,2,FALSE()),IF($E760="Services",VLOOKUP($C760,Services!$B:$I,2,FALSE()),IF($E760="Patty Cash",VLOOKUP($C760,'Patty Cash'!$B:$J,2,FALSE()),"")))),"")</f>
        <v/>
      </c>
      <c r="E760" s="254"/>
      <c r="F760" s="263" t="str">
        <f>IFERROR(IF($E760="Inventory",VLOOKUP($C760,Inventory!$B:$I,3,FALSE()),IF($E760="Non Inventory",VLOOKUP($C760,'Non Inventory'!$B:$I,3,FALSE()),IF($E760="Services",VLOOKUP($C760,Services!$B:$I,3,FALSE()),IF($E760="Patty Cash",VLOOKUP($C760,'Patty Cash'!$B:$J,3,FALSE()),"")))),"")</f>
        <v/>
      </c>
      <c r="G760" s="374"/>
      <c r="H760" s="374" t="str">
        <f t="shared" si="22"/>
        <v/>
      </c>
      <c r="I760" s="252">
        <f>IFERROR(IF($E760="Inventory",VLOOKUP($C760,Inventory!$B:$I,8,FALSE()),IF($E760="Non Inventory",VLOOKUP($C760,'Non Inventory'!$B:$I,8,FALSE()),IF($E760="Services",VLOOKUP($C760,Services!$B:$I,8,FALSE()),IF($E760="Patty Cash",VLOOKUP($C760,'Patty Cash'!$B:$J,8,FALSE()),0)))),0)</f>
        <v>0</v>
      </c>
      <c r="J760" s="252" t="str">
        <f t="shared" si="23"/>
        <v/>
      </c>
      <c r="K760" s="253"/>
      <c r="L760" s="253"/>
      <c r="M760" s="253"/>
      <c r="N760" s="328"/>
    </row>
    <row r="761" spans="1:14" ht="20.100000000000001" customHeight="1">
      <c r="A761" s="327" t="str">
        <f>IF(AND($B761="",$C761=""),"",MAX($A$3:A760)+1)</f>
        <v/>
      </c>
      <c r="B761" s="262"/>
      <c r="C761" s="253"/>
      <c r="D761" s="249" t="str">
        <f>IFERROR(IF($E761="Inventory",VLOOKUP($C761,Inventory!$B:$I,2,FALSE()),IF($E761="Non Inventory",VLOOKUP($C761,'Non Inventory'!$B:$I,2,FALSE()),IF($E761="Services",VLOOKUP($C761,Services!$B:$I,2,FALSE()),IF($E761="Patty Cash",VLOOKUP($C761,'Patty Cash'!$B:$J,2,FALSE()),"")))),"")</f>
        <v/>
      </c>
      <c r="E761" s="254"/>
      <c r="F761" s="263" t="str">
        <f>IFERROR(IF($E761="Inventory",VLOOKUP($C761,Inventory!$B:$I,3,FALSE()),IF($E761="Non Inventory",VLOOKUP($C761,'Non Inventory'!$B:$I,3,FALSE()),IF($E761="Services",VLOOKUP($C761,Services!$B:$I,3,FALSE()),IF($E761="Patty Cash",VLOOKUP($C761,'Patty Cash'!$B:$J,3,FALSE()),"")))),"")</f>
        <v/>
      </c>
      <c r="G761" s="374"/>
      <c r="H761" s="374" t="str">
        <f t="shared" si="22"/>
        <v/>
      </c>
      <c r="I761" s="252">
        <f>IFERROR(IF($E761="Inventory",VLOOKUP($C761,Inventory!$B:$I,8,FALSE()),IF($E761="Non Inventory",VLOOKUP($C761,'Non Inventory'!$B:$I,8,FALSE()),IF($E761="Services",VLOOKUP($C761,Services!$B:$I,8,FALSE()),IF($E761="Patty Cash",VLOOKUP($C761,'Patty Cash'!$B:$J,8,FALSE()),0)))),0)</f>
        <v>0</v>
      </c>
      <c r="J761" s="252" t="str">
        <f t="shared" si="23"/>
        <v/>
      </c>
      <c r="K761" s="253"/>
      <c r="L761" s="253"/>
      <c r="M761" s="253"/>
      <c r="N761" s="328"/>
    </row>
    <row r="762" spans="1:14" ht="20.100000000000001" customHeight="1">
      <c r="A762" s="327" t="str">
        <f>IF(AND($B762="",$C762=""),"",MAX($A$3:A761)+1)</f>
        <v/>
      </c>
      <c r="B762" s="262"/>
      <c r="C762" s="253"/>
      <c r="D762" s="249" t="str">
        <f>IFERROR(IF($E762="Inventory",VLOOKUP($C762,Inventory!$B:$I,2,FALSE()),IF($E762="Non Inventory",VLOOKUP($C762,'Non Inventory'!$B:$I,2,FALSE()),IF($E762="Services",VLOOKUP($C762,Services!$B:$I,2,FALSE()),IF($E762="Patty Cash",VLOOKUP($C762,'Patty Cash'!$B:$J,2,FALSE()),"")))),"")</f>
        <v/>
      </c>
      <c r="E762" s="254"/>
      <c r="F762" s="263" t="str">
        <f>IFERROR(IF($E762="Inventory",VLOOKUP($C762,Inventory!$B:$I,3,FALSE()),IF($E762="Non Inventory",VLOOKUP($C762,'Non Inventory'!$B:$I,3,FALSE()),IF($E762="Services",VLOOKUP($C762,Services!$B:$I,3,FALSE()),IF($E762="Patty Cash",VLOOKUP($C762,'Patty Cash'!$B:$J,3,FALSE()),"")))),"")</f>
        <v/>
      </c>
      <c r="G762" s="374"/>
      <c r="H762" s="374" t="str">
        <f t="shared" si="22"/>
        <v/>
      </c>
      <c r="I762" s="252">
        <f>IFERROR(IF($E762="Inventory",VLOOKUP($C762,Inventory!$B:$I,8,FALSE()),IF($E762="Non Inventory",VLOOKUP($C762,'Non Inventory'!$B:$I,8,FALSE()),IF($E762="Services",VLOOKUP($C762,Services!$B:$I,8,FALSE()),IF($E762="Patty Cash",VLOOKUP($C762,'Patty Cash'!$B:$J,8,FALSE()),0)))),0)</f>
        <v>0</v>
      </c>
      <c r="J762" s="252" t="str">
        <f t="shared" si="23"/>
        <v/>
      </c>
      <c r="K762" s="253"/>
      <c r="L762" s="253"/>
      <c r="M762" s="253"/>
      <c r="N762" s="328"/>
    </row>
    <row r="763" spans="1:14" ht="20.100000000000001" customHeight="1">
      <c r="A763" s="327" t="str">
        <f>IF(AND($B763="",$C763=""),"",MAX($A$3:A762)+1)</f>
        <v/>
      </c>
      <c r="B763" s="262"/>
      <c r="C763" s="253"/>
      <c r="D763" s="249" t="str">
        <f>IFERROR(IF($E763="Inventory",VLOOKUP($C763,Inventory!$B:$I,2,FALSE()),IF($E763="Non Inventory",VLOOKUP($C763,'Non Inventory'!$B:$I,2,FALSE()),IF($E763="Services",VLOOKUP($C763,Services!$B:$I,2,FALSE()),IF($E763="Patty Cash",VLOOKUP($C763,'Patty Cash'!$B:$J,2,FALSE()),"")))),"")</f>
        <v/>
      </c>
      <c r="E763" s="254"/>
      <c r="F763" s="263" t="str">
        <f>IFERROR(IF($E763="Inventory",VLOOKUP($C763,Inventory!$B:$I,3,FALSE()),IF($E763="Non Inventory",VLOOKUP($C763,'Non Inventory'!$B:$I,3,FALSE()),IF($E763="Services",VLOOKUP($C763,Services!$B:$I,3,FALSE()),IF($E763="Patty Cash",VLOOKUP($C763,'Patty Cash'!$B:$J,3,FALSE()),"")))),"")</f>
        <v/>
      </c>
      <c r="G763" s="374"/>
      <c r="H763" s="374" t="str">
        <f t="shared" ref="H763:H826" si="24">IF($G763="","",G763)</f>
        <v/>
      </c>
      <c r="I763" s="252">
        <f>IFERROR(IF($E763="Inventory",VLOOKUP($C763,Inventory!$B:$I,8,FALSE()),IF($E763="Non Inventory",VLOOKUP($C763,'Non Inventory'!$B:$I,8,FALSE()),IF($E763="Services",VLOOKUP($C763,Services!$B:$I,8,FALSE()),IF($E763="Patty Cash",VLOOKUP($C763,'Patty Cash'!$B:$J,8,FALSE()),0)))),0)</f>
        <v>0</v>
      </c>
      <c r="J763" s="252" t="str">
        <f t="shared" ref="J763:J826" si="25">IF($H763="","",H763*I763)</f>
        <v/>
      </c>
      <c r="K763" s="253"/>
      <c r="L763" s="253"/>
      <c r="M763" s="253"/>
      <c r="N763" s="328"/>
    </row>
    <row r="764" spans="1:14" ht="20.100000000000001" customHeight="1">
      <c r="A764" s="327" t="str">
        <f>IF(AND($B764="",$C764=""),"",MAX($A$3:A763)+1)</f>
        <v/>
      </c>
      <c r="B764" s="262"/>
      <c r="C764" s="253"/>
      <c r="D764" s="249" t="str">
        <f>IFERROR(IF($E764="Inventory",VLOOKUP($C764,Inventory!$B:$I,2,FALSE()),IF($E764="Non Inventory",VLOOKUP($C764,'Non Inventory'!$B:$I,2,FALSE()),IF($E764="Services",VLOOKUP($C764,Services!$B:$I,2,FALSE()),IF($E764="Patty Cash",VLOOKUP($C764,'Patty Cash'!$B:$J,2,FALSE()),"")))),"")</f>
        <v/>
      </c>
      <c r="E764" s="254"/>
      <c r="F764" s="263" t="str">
        <f>IFERROR(IF($E764="Inventory",VLOOKUP($C764,Inventory!$B:$I,3,FALSE()),IF($E764="Non Inventory",VLOOKUP($C764,'Non Inventory'!$B:$I,3,FALSE()),IF($E764="Services",VLOOKUP($C764,Services!$B:$I,3,FALSE()),IF($E764="Patty Cash",VLOOKUP($C764,'Patty Cash'!$B:$J,3,FALSE()),"")))),"")</f>
        <v/>
      </c>
      <c r="G764" s="374"/>
      <c r="H764" s="374" t="str">
        <f t="shared" si="24"/>
        <v/>
      </c>
      <c r="I764" s="252">
        <f>IFERROR(IF($E764="Inventory",VLOOKUP($C764,Inventory!$B:$I,8,FALSE()),IF($E764="Non Inventory",VLOOKUP($C764,'Non Inventory'!$B:$I,8,FALSE()),IF($E764="Services",VLOOKUP($C764,Services!$B:$I,8,FALSE()),IF($E764="Patty Cash",VLOOKUP($C764,'Patty Cash'!$B:$J,8,FALSE()),0)))),0)</f>
        <v>0</v>
      </c>
      <c r="J764" s="252" t="str">
        <f t="shared" si="25"/>
        <v/>
      </c>
      <c r="K764" s="253"/>
      <c r="L764" s="253"/>
      <c r="M764" s="253"/>
      <c r="N764" s="328"/>
    </row>
    <row r="765" spans="1:14" ht="20.100000000000001" customHeight="1">
      <c r="A765" s="327" t="str">
        <f>IF(AND($B765="",$C765=""),"",MAX($A$3:A764)+1)</f>
        <v/>
      </c>
      <c r="B765" s="262"/>
      <c r="C765" s="253"/>
      <c r="D765" s="249" t="str">
        <f>IFERROR(IF($E765="Inventory",VLOOKUP($C765,Inventory!$B:$I,2,FALSE()),IF($E765="Non Inventory",VLOOKUP($C765,'Non Inventory'!$B:$I,2,FALSE()),IF($E765="Services",VLOOKUP($C765,Services!$B:$I,2,FALSE()),IF($E765="Patty Cash",VLOOKUP($C765,'Patty Cash'!$B:$J,2,FALSE()),"")))),"")</f>
        <v/>
      </c>
      <c r="E765" s="254"/>
      <c r="F765" s="263" t="str">
        <f>IFERROR(IF($E765="Inventory",VLOOKUP($C765,Inventory!$B:$I,3,FALSE()),IF($E765="Non Inventory",VLOOKUP($C765,'Non Inventory'!$B:$I,3,FALSE()),IF($E765="Services",VLOOKUP($C765,Services!$B:$I,3,FALSE()),IF($E765="Patty Cash",VLOOKUP($C765,'Patty Cash'!$B:$J,3,FALSE()),"")))),"")</f>
        <v/>
      </c>
      <c r="G765" s="374"/>
      <c r="H765" s="374" t="str">
        <f t="shared" si="24"/>
        <v/>
      </c>
      <c r="I765" s="252">
        <f>IFERROR(IF($E765="Inventory",VLOOKUP($C765,Inventory!$B:$I,8,FALSE()),IF($E765="Non Inventory",VLOOKUP($C765,'Non Inventory'!$B:$I,8,FALSE()),IF($E765="Services",VLOOKUP($C765,Services!$B:$I,8,FALSE()),IF($E765="Patty Cash",VLOOKUP($C765,'Patty Cash'!$B:$J,8,FALSE()),0)))),0)</f>
        <v>0</v>
      </c>
      <c r="J765" s="252" t="str">
        <f t="shared" si="25"/>
        <v/>
      </c>
      <c r="K765" s="253"/>
      <c r="L765" s="253"/>
      <c r="M765" s="253"/>
      <c r="N765" s="328"/>
    </row>
    <row r="766" spans="1:14" ht="20.100000000000001" customHeight="1">
      <c r="A766" s="327" t="str">
        <f>IF(AND($B766="",$C766=""),"",MAX($A$3:A765)+1)</f>
        <v/>
      </c>
      <c r="B766" s="262"/>
      <c r="C766" s="253"/>
      <c r="D766" s="249" t="str">
        <f>IFERROR(IF($E766="Inventory",VLOOKUP($C766,Inventory!$B:$I,2,FALSE()),IF($E766="Non Inventory",VLOOKUP($C766,'Non Inventory'!$B:$I,2,FALSE()),IF($E766="Services",VLOOKUP($C766,Services!$B:$I,2,FALSE()),IF($E766="Patty Cash",VLOOKUP($C766,'Patty Cash'!$B:$J,2,FALSE()),"")))),"")</f>
        <v/>
      </c>
      <c r="E766" s="254"/>
      <c r="F766" s="263" t="str">
        <f>IFERROR(IF($E766="Inventory",VLOOKUP($C766,Inventory!$B:$I,3,FALSE()),IF($E766="Non Inventory",VLOOKUP($C766,'Non Inventory'!$B:$I,3,FALSE()),IF($E766="Services",VLOOKUP($C766,Services!$B:$I,3,FALSE()),IF($E766="Patty Cash",VLOOKUP($C766,'Patty Cash'!$B:$J,3,FALSE()),"")))),"")</f>
        <v/>
      </c>
      <c r="G766" s="374"/>
      <c r="H766" s="374" t="str">
        <f t="shared" si="24"/>
        <v/>
      </c>
      <c r="I766" s="252">
        <f>IFERROR(IF($E766="Inventory",VLOOKUP($C766,Inventory!$B:$I,8,FALSE()),IF($E766="Non Inventory",VLOOKUP($C766,'Non Inventory'!$B:$I,8,FALSE()),IF($E766="Services",VLOOKUP($C766,Services!$B:$I,8,FALSE()),IF($E766="Patty Cash",VLOOKUP($C766,'Patty Cash'!$B:$J,8,FALSE()),0)))),0)</f>
        <v>0</v>
      </c>
      <c r="J766" s="252" t="str">
        <f t="shared" si="25"/>
        <v/>
      </c>
      <c r="K766" s="253"/>
      <c r="L766" s="253"/>
      <c r="M766" s="253"/>
      <c r="N766" s="328"/>
    </row>
    <row r="767" spans="1:14" ht="20.100000000000001" customHeight="1">
      <c r="A767" s="327" t="str">
        <f>IF(AND($B767="",$C767=""),"",MAX($A$3:A766)+1)</f>
        <v/>
      </c>
      <c r="B767" s="262"/>
      <c r="C767" s="253"/>
      <c r="D767" s="249" t="str">
        <f>IFERROR(IF($E767="Inventory",VLOOKUP($C767,Inventory!$B:$I,2,FALSE()),IF($E767="Non Inventory",VLOOKUP($C767,'Non Inventory'!$B:$I,2,FALSE()),IF($E767="Services",VLOOKUP($C767,Services!$B:$I,2,FALSE()),IF($E767="Patty Cash",VLOOKUP($C767,'Patty Cash'!$B:$J,2,FALSE()),"")))),"")</f>
        <v/>
      </c>
      <c r="E767" s="254"/>
      <c r="F767" s="263" t="str">
        <f>IFERROR(IF($E767="Inventory",VLOOKUP($C767,Inventory!$B:$I,3,FALSE()),IF($E767="Non Inventory",VLOOKUP($C767,'Non Inventory'!$B:$I,3,FALSE()),IF($E767="Services",VLOOKUP($C767,Services!$B:$I,3,FALSE()),IF($E767="Patty Cash",VLOOKUP($C767,'Patty Cash'!$B:$J,3,FALSE()),"")))),"")</f>
        <v/>
      </c>
      <c r="G767" s="374"/>
      <c r="H767" s="374" t="str">
        <f t="shared" si="24"/>
        <v/>
      </c>
      <c r="I767" s="252">
        <f>IFERROR(IF($E767="Inventory",VLOOKUP($C767,Inventory!$B:$I,8,FALSE()),IF($E767="Non Inventory",VLOOKUP($C767,'Non Inventory'!$B:$I,8,FALSE()),IF($E767="Services",VLOOKUP($C767,Services!$B:$I,8,FALSE()),IF($E767="Patty Cash",VLOOKUP($C767,'Patty Cash'!$B:$J,8,FALSE()),0)))),0)</f>
        <v>0</v>
      </c>
      <c r="J767" s="252" t="str">
        <f t="shared" si="25"/>
        <v/>
      </c>
      <c r="K767" s="253"/>
      <c r="L767" s="253"/>
      <c r="M767" s="253"/>
      <c r="N767" s="328"/>
    </row>
    <row r="768" spans="1:14" ht="20.100000000000001" customHeight="1">
      <c r="A768" s="327" t="str">
        <f>IF(AND($B768="",$C768=""),"",MAX($A$3:A767)+1)</f>
        <v/>
      </c>
      <c r="B768" s="262"/>
      <c r="C768" s="253"/>
      <c r="D768" s="249" t="str">
        <f>IFERROR(IF($E768="Inventory",VLOOKUP($C768,Inventory!$B:$I,2,FALSE()),IF($E768="Non Inventory",VLOOKUP($C768,'Non Inventory'!$B:$I,2,FALSE()),IF($E768="Services",VLOOKUP($C768,Services!$B:$I,2,FALSE()),IF($E768="Patty Cash",VLOOKUP($C768,'Patty Cash'!$B:$J,2,FALSE()),"")))),"")</f>
        <v/>
      </c>
      <c r="E768" s="254"/>
      <c r="F768" s="263" t="str">
        <f>IFERROR(IF($E768="Inventory",VLOOKUP($C768,Inventory!$B:$I,3,FALSE()),IF($E768="Non Inventory",VLOOKUP($C768,'Non Inventory'!$B:$I,3,FALSE()),IF($E768="Services",VLOOKUP($C768,Services!$B:$I,3,FALSE()),IF($E768="Patty Cash",VLOOKUP($C768,'Patty Cash'!$B:$J,3,FALSE()),"")))),"")</f>
        <v/>
      </c>
      <c r="G768" s="374"/>
      <c r="H768" s="374" t="str">
        <f t="shared" si="24"/>
        <v/>
      </c>
      <c r="I768" s="252">
        <f>IFERROR(IF($E768="Inventory",VLOOKUP($C768,Inventory!$B:$I,8,FALSE()),IF($E768="Non Inventory",VLOOKUP($C768,'Non Inventory'!$B:$I,8,FALSE()),IF($E768="Services",VLOOKUP($C768,Services!$B:$I,8,FALSE()),IF($E768="Patty Cash",VLOOKUP($C768,'Patty Cash'!$B:$J,8,FALSE()),0)))),0)</f>
        <v>0</v>
      </c>
      <c r="J768" s="252" t="str">
        <f t="shared" si="25"/>
        <v/>
      </c>
      <c r="K768" s="253"/>
      <c r="L768" s="253"/>
      <c r="M768" s="253"/>
      <c r="N768" s="328"/>
    </row>
    <row r="769" spans="1:14" ht="20.100000000000001" customHeight="1">
      <c r="A769" s="327" t="str">
        <f>IF(AND($B769="",$C769=""),"",MAX($A$3:A768)+1)</f>
        <v/>
      </c>
      <c r="B769" s="262"/>
      <c r="C769" s="253"/>
      <c r="D769" s="249" t="str">
        <f>IFERROR(IF($E769="Inventory",VLOOKUP($C769,Inventory!$B:$I,2,FALSE()),IF($E769="Non Inventory",VLOOKUP($C769,'Non Inventory'!$B:$I,2,FALSE()),IF($E769="Services",VLOOKUP($C769,Services!$B:$I,2,FALSE()),IF($E769="Patty Cash",VLOOKUP($C769,'Patty Cash'!$B:$J,2,FALSE()),"")))),"")</f>
        <v/>
      </c>
      <c r="E769" s="254"/>
      <c r="F769" s="263" t="str">
        <f>IFERROR(IF($E769="Inventory",VLOOKUP($C769,Inventory!$B:$I,3,FALSE()),IF($E769="Non Inventory",VLOOKUP($C769,'Non Inventory'!$B:$I,3,FALSE()),IF($E769="Services",VLOOKUP($C769,Services!$B:$I,3,FALSE()),IF($E769="Patty Cash",VLOOKUP($C769,'Patty Cash'!$B:$J,3,FALSE()),"")))),"")</f>
        <v/>
      </c>
      <c r="G769" s="374"/>
      <c r="H769" s="374" t="str">
        <f t="shared" si="24"/>
        <v/>
      </c>
      <c r="I769" s="252">
        <f>IFERROR(IF($E769="Inventory",VLOOKUP($C769,Inventory!$B:$I,8,FALSE()),IF($E769="Non Inventory",VLOOKUP($C769,'Non Inventory'!$B:$I,8,FALSE()),IF($E769="Services",VLOOKUP($C769,Services!$B:$I,8,FALSE()),IF($E769="Patty Cash",VLOOKUP($C769,'Patty Cash'!$B:$J,8,FALSE()),0)))),0)</f>
        <v>0</v>
      </c>
      <c r="J769" s="252" t="str">
        <f t="shared" si="25"/>
        <v/>
      </c>
      <c r="K769" s="253"/>
      <c r="L769" s="253"/>
      <c r="M769" s="253"/>
      <c r="N769" s="328"/>
    </row>
    <row r="770" spans="1:14" ht="20.100000000000001" customHeight="1">
      <c r="A770" s="327" t="str">
        <f>IF(AND($B770="",$C770=""),"",MAX($A$3:A769)+1)</f>
        <v/>
      </c>
      <c r="B770" s="262"/>
      <c r="C770" s="253"/>
      <c r="D770" s="249" t="str">
        <f>IFERROR(IF($E770="Inventory",VLOOKUP($C770,Inventory!$B:$I,2,FALSE()),IF($E770="Non Inventory",VLOOKUP($C770,'Non Inventory'!$B:$I,2,FALSE()),IF($E770="Services",VLOOKUP($C770,Services!$B:$I,2,FALSE()),IF($E770="Patty Cash",VLOOKUP($C770,'Patty Cash'!$B:$J,2,FALSE()),"")))),"")</f>
        <v/>
      </c>
      <c r="E770" s="254"/>
      <c r="F770" s="263" t="str">
        <f>IFERROR(IF($E770="Inventory",VLOOKUP($C770,Inventory!$B:$I,3,FALSE()),IF($E770="Non Inventory",VLOOKUP($C770,'Non Inventory'!$B:$I,3,FALSE()),IF($E770="Services",VLOOKUP($C770,Services!$B:$I,3,FALSE()),IF($E770="Patty Cash",VLOOKUP($C770,'Patty Cash'!$B:$J,3,FALSE()),"")))),"")</f>
        <v/>
      </c>
      <c r="G770" s="374"/>
      <c r="H770" s="374" t="str">
        <f t="shared" si="24"/>
        <v/>
      </c>
      <c r="I770" s="252">
        <f>IFERROR(IF($E770="Inventory",VLOOKUP($C770,Inventory!$B:$I,8,FALSE()),IF($E770="Non Inventory",VLOOKUP($C770,'Non Inventory'!$B:$I,8,FALSE()),IF($E770="Services",VLOOKUP($C770,Services!$B:$I,8,FALSE()),IF($E770="Patty Cash",VLOOKUP($C770,'Patty Cash'!$B:$J,8,FALSE()),0)))),0)</f>
        <v>0</v>
      </c>
      <c r="J770" s="252" t="str">
        <f t="shared" si="25"/>
        <v/>
      </c>
      <c r="K770" s="253"/>
      <c r="L770" s="253"/>
      <c r="M770" s="253"/>
      <c r="N770" s="328"/>
    </row>
    <row r="771" spans="1:14" ht="20.100000000000001" customHeight="1">
      <c r="A771" s="327" t="str">
        <f>IF(AND($B771="",$C771=""),"",MAX($A$3:A770)+1)</f>
        <v/>
      </c>
      <c r="B771" s="262"/>
      <c r="C771" s="253"/>
      <c r="D771" s="249" t="str">
        <f>IFERROR(IF($E771="Inventory",VLOOKUP($C771,Inventory!$B:$I,2,FALSE()),IF($E771="Non Inventory",VLOOKUP($C771,'Non Inventory'!$B:$I,2,FALSE()),IF($E771="Services",VLOOKUP($C771,Services!$B:$I,2,FALSE()),IF($E771="Patty Cash",VLOOKUP($C771,'Patty Cash'!$B:$J,2,FALSE()),"")))),"")</f>
        <v/>
      </c>
      <c r="E771" s="254"/>
      <c r="F771" s="263" t="str">
        <f>IFERROR(IF($E771="Inventory",VLOOKUP($C771,Inventory!$B:$I,3,FALSE()),IF($E771="Non Inventory",VLOOKUP($C771,'Non Inventory'!$B:$I,3,FALSE()),IF($E771="Services",VLOOKUP($C771,Services!$B:$I,3,FALSE()),IF($E771="Patty Cash",VLOOKUP($C771,'Patty Cash'!$B:$J,3,FALSE()),"")))),"")</f>
        <v/>
      </c>
      <c r="G771" s="374"/>
      <c r="H771" s="374" t="str">
        <f t="shared" si="24"/>
        <v/>
      </c>
      <c r="I771" s="252">
        <f>IFERROR(IF($E771="Inventory",VLOOKUP($C771,Inventory!$B:$I,8,FALSE()),IF($E771="Non Inventory",VLOOKUP($C771,'Non Inventory'!$B:$I,8,FALSE()),IF($E771="Services",VLOOKUP($C771,Services!$B:$I,8,FALSE()),IF($E771="Patty Cash",VLOOKUP($C771,'Patty Cash'!$B:$J,8,FALSE()),0)))),0)</f>
        <v>0</v>
      </c>
      <c r="J771" s="252" t="str">
        <f t="shared" si="25"/>
        <v/>
      </c>
      <c r="K771" s="253"/>
      <c r="L771" s="253"/>
      <c r="M771" s="253"/>
      <c r="N771" s="328"/>
    </row>
    <row r="772" spans="1:14" ht="20.100000000000001" customHeight="1">
      <c r="A772" s="327" t="str">
        <f>IF(AND($B772="",$C772=""),"",MAX($A$3:A771)+1)</f>
        <v/>
      </c>
      <c r="B772" s="262"/>
      <c r="C772" s="253"/>
      <c r="D772" s="249" t="str">
        <f>IFERROR(IF($E772="Inventory",VLOOKUP($C772,Inventory!$B:$I,2,FALSE()),IF($E772="Non Inventory",VLOOKUP($C772,'Non Inventory'!$B:$I,2,FALSE()),IF($E772="Services",VLOOKUP($C772,Services!$B:$I,2,FALSE()),IF($E772="Patty Cash",VLOOKUP($C772,'Patty Cash'!$B:$J,2,FALSE()),"")))),"")</f>
        <v/>
      </c>
      <c r="E772" s="254"/>
      <c r="F772" s="263" t="str">
        <f>IFERROR(IF($E772="Inventory",VLOOKUP($C772,Inventory!$B:$I,3,FALSE()),IF($E772="Non Inventory",VLOOKUP($C772,'Non Inventory'!$B:$I,3,FALSE()),IF($E772="Services",VLOOKUP($C772,Services!$B:$I,3,FALSE()),IF($E772="Patty Cash",VLOOKUP($C772,'Patty Cash'!$B:$J,3,FALSE()),"")))),"")</f>
        <v/>
      </c>
      <c r="G772" s="374"/>
      <c r="H772" s="374" t="str">
        <f t="shared" si="24"/>
        <v/>
      </c>
      <c r="I772" s="252">
        <f>IFERROR(IF($E772="Inventory",VLOOKUP($C772,Inventory!$B:$I,8,FALSE()),IF($E772="Non Inventory",VLOOKUP($C772,'Non Inventory'!$B:$I,8,FALSE()),IF($E772="Services",VLOOKUP($C772,Services!$B:$I,8,FALSE()),IF($E772="Patty Cash",VLOOKUP($C772,'Patty Cash'!$B:$J,8,FALSE()),0)))),0)</f>
        <v>0</v>
      </c>
      <c r="J772" s="252" t="str">
        <f t="shared" si="25"/>
        <v/>
      </c>
      <c r="K772" s="253"/>
      <c r="L772" s="253"/>
      <c r="M772" s="253"/>
      <c r="N772" s="328"/>
    </row>
    <row r="773" spans="1:14" ht="20.100000000000001" customHeight="1">
      <c r="A773" s="327" t="str">
        <f>IF(AND($B773="",$C773=""),"",MAX($A$3:A772)+1)</f>
        <v/>
      </c>
      <c r="B773" s="262"/>
      <c r="C773" s="253"/>
      <c r="D773" s="249" t="str">
        <f>IFERROR(IF($E773="Inventory",VLOOKUP($C773,Inventory!$B:$I,2,FALSE()),IF($E773="Non Inventory",VLOOKUP($C773,'Non Inventory'!$B:$I,2,FALSE()),IF($E773="Services",VLOOKUP($C773,Services!$B:$I,2,FALSE()),IF($E773="Patty Cash",VLOOKUP($C773,'Patty Cash'!$B:$J,2,FALSE()),"")))),"")</f>
        <v/>
      </c>
      <c r="E773" s="254"/>
      <c r="F773" s="263" t="str">
        <f>IFERROR(IF($E773="Inventory",VLOOKUP($C773,Inventory!$B:$I,3,FALSE()),IF($E773="Non Inventory",VLOOKUP($C773,'Non Inventory'!$B:$I,3,FALSE()),IF($E773="Services",VLOOKUP($C773,Services!$B:$I,3,FALSE()),IF($E773="Patty Cash",VLOOKUP($C773,'Patty Cash'!$B:$J,3,FALSE()),"")))),"")</f>
        <v/>
      </c>
      <c r="G773" s="374"/>
      <c r="H773" s="374" t="str">
        <f t="shared" si="24"/>
        <v/>
      </c>
      <c r="I773" s="252">
        <f>IFERROR(IF($E773="Inventory",VLOOKUP($C773,Inventory!$B:$I,8,FALSE()),IF($E773="Non Inventory",VLOOKUP($C773,'Non Inventory'!$B:$I,8,FALSE()),IF($E773="Services",VLOOKUP($C773,Services!$B:$I,8,FALSE()),IF($E773="Patty Cash",VLOOKUP($C773,'Patty Cash'!$B:$J,8,FALSE()),0)))),0)</f>
        <v>0</v>
      </c>
      <c r="J773" s="252" t="str">
        <f t="shared" si="25"/>
        <v/>
      </c>
      <c r="K773" s="253"/>
      <c r="L773" s="253"/>
      <c r="M773" s="253"/>
      <c r="N773" s="328"/>
    </row>
    <row r="774" spans="1:14" ht="20.100000000000001" customHeight="1">
      <c r="A774" s="327" t="str">
        <f>IF(AND($B774="",$C774=""),"",MAX($A$3:A773)+1)</f>
        <v/>
      </c>
      <c r="B774" s="262"/>
      <c r="C774" s="253"/>
      <c r="D774" s="249" t="str">
        <f>IFERROR(IF($E774="Inventory",VLOOKUP($C774,Inventory!$B:$I,2,FALSE()),IF($E774="Non Inventory",VLOOKUP($C774,'Non Inventory'!$B:$I,2,FALSE()),IF($E774="Services",VLOOKUP($C774,Services!$B:$I,2,FALSE()),IF($E774="Patty Cash",VLOOKUP($C774,'Patty Cash'!$B:$J,2,FALSE()),"")))),"")</f>
        <v/>
      </c>
      <c r="E774" s="254"/>
      <c r="F774" s="263" t="str">
        <f>IFERROR(IF($E774="Inventory",VLOOKUP($C774,Inventory!$B:$I,3,FALSE()),IF($E774="Non Inventory",VLOOKUP($C774,'Non Inventory'!$B:$I,3,FALSE()),IF($E774="Services",VLOOKUP($C774,Services!$B:$I,3,FALSE()),IF($E774="Patty Cash",VLOOKUP($C774,'Patty Cash'!$B:$J,3,FALSE()),"")))),"")</f>
        <v/>
      </c>
      <c r="G774" s="374"/>
      <c r="H774" s="374" t="str">
        <f t="shared" si="24"/>
        <v/>
      </c>
      <c r="I774" s="252">
        <f>IFERROR(IF($E774="Inventory",VLOOKUP($C774,Inventory!$B:$I,8,FALSE()),IF($E774="Non Inventory",VLOOKUP($C774,'Non Inventory'!$B:$I,8,FALSE()),IF($E774="Services",VLOOKUP($C774,Services!$B:$I,8,FALSE()),IF($E774="Patty Cash",VLOOKUP($C774,'Patty Cash'!$B:$J,8,FALSE()),0)))),0)</f>
        <v>0</v>
      </c>
      <c r="J774" s="252" t="str">
        <f t="shared" si="25"/>
        <v/>
      </c>
      <c r="K774" s="253"/>
      <c r="L774" s="253"/>
      <c r="M774" s="253"/>
      <c r="N774" s="328"/>
    </row>
    <row r="775" spans="1:14" ht="20.100000000000001" customHeight="1">
      <c r="A775" s="327" t="str">
        <f>IF(AND($B775="",$C775=""),"",MAX($A$3:A774)+1)</f>
        <v/>
      </c>
      <c r="B775" s="262"/>
      <c r="C775" s="253"/>
      <c r="D775" s="249" t="str">
        <f>IFERROR(IF($E775="Inventory",VLOOKUP($C775,Inventory!$B:$I,2,FALSE()),IF($E775="Non Inventory",VLOOKUP($C775,'Non Inventory'!$B:$I,2,FALSE()),IF($E775="Services",VLOOKUP($C775,Services!$B:$I,2,FALSE()),IF($E775="Patty Cash",VLOOKUP($C775,'Patty Cash'!$B:$J,2,FALSE()),"")))),"")</f>
        <v/>
      </c>
      <c r="E775" s="254"/>
      <c r="F775" s="263" t="str">
        <f>IFERROR(IF($E775="Inventory",VLOOKUP($C775,Inventory!$B:$I,3,FALSE()),IF($E775="Non Inventory",VLOOKUP($C775,'Non Inventory'!$B:$I,3,FALSE()),IF($E775="Services",VLOOKUP($C775,Services!$B:$I,3,FALSE()),IF($E775="Patty Cash",VLOOKUP($C775,'Patty Cash'!$B:$J,3,FALSE()),"")))),"")</f>
        <v/>
      </c>
      <c r="G775" s="374"/>
      <c r="H775" s="374" t="str">
        <f t="shared" si="24"/>
        <v/>
      </c>
      <c r="I775" s="252">
        <f>IFERROR(IF($E775="Inventory",VLOOKUP($C775,Inventory!$B:$I,8,FALSE()),IF($E775="Non Inventory",VLOOKUP($C775,'Non Inventory'!$B:$I,8,FALSE()),IF($E775="Services",VLOOKUP($C775,Services!$B:$I,8,FALSE()),IF($E775="Patty Cash",VLOOKUP($C775,'Patty Cash'!$B:$J,8,FALSE()),0)))),0)</f>
        <v>0</v>
      </c>
      <c r="J775" s="252" t="str">
        <f t="shared" si="25"/>
        <v/>
      </c>
      <c r="K775" s="253"/>
      <c r="L775" s="253"/>
      <c r="M775" s="253"/>
      <c r="N775" s="328"/>
    </row>
    <row r="776" spans="1:14" ht="20.100000000000001" customHeight="1">
      <c r="A776" s="327" t="str">
        <f>IF(AND($B776="",$C776=""),"",MAX($A$3:A775)+1)</f>
        <v/>
      </c>
      <c r="B776" s="262"/>
      <c r="C776" s="253"/>
      <c r="D776" s="249" t="str">
        <f>IFERROR(IF($E776="Inventory",VLOOKUP($C776,Inventory!$B:$I,2,FALSE()),IF($E776="Non Inventory",VLOOKUP($C776,'Non Inventory'!$B:$I,2,FALSE()),IF($E776="Services",VLOOKUP($C776,Services!$B:$I,2,FALSE()),IF($E776="Patty Cash",VLOOKUP($C776,'Patty Cash'!$B:$J,2,FALSE()),"")))),"")</f>
        <v/>
      </c>
      <c r="E776" s="254"/>
      <c r="F776" s="263" t="str">
        <f>IFERROR(IF($E776="Inventory",VLOOKUP($C776,Inventory!$B:$I,3,FALSE()),IF($E776="Non Inventory",VLOOKUP($C776,'Non Inventory'!$B:$I,3,FALSE()),IF($E776="Services",VLOOKUP($C776,Services!$B:$I,3,FALSE()),IF($E776="Patty Cash",VLOOKUP($C776,'Patty Cash'!$B:$J,3,FALSE()),"")))),"")</f>
        <v/>
      </c>
      <c r="G776" s="374"/>
      <c r="H776" s="374" t="str">
        <f t="shared" si="24"/>
        <v/>
      </c>
      <c r="I776" s="252">
        <f>IFERROR(IF($E776="Inventory",VLOOKUP($C776,Inventory!$B:$I,8,FALSE()),IF($E776="Non Inventory",VLOOKUP($C776,'Non Inventory'!$B:$I,8,FALSE()),IF($E776="Services",VLOOKUP($C776,Services!$B:$I,8,FALSE()),IF($E776="Patty Cash",VLOOKUP($C776,'Patty Cash'!$B:$J,8,FALSE()),0)))),0)</f>
        <v>0</v>
      </c>
      <c r="J776" s="252" t="str">
        <f t="shared" si="25"/>
        <v/>
      </c>
      <c r="K776" s="253"/>
      <c r="L776" s="253"/>
      <c r="M776" s="253"/>
      <c r="N776" s="328"/>
    </row>
    <row r="777" spans="1:14" ht="20.100000000000001" customHeight="1">
      <c r="A777" s="327" t="str">
        <f>IF(AND($B777="",$C777=""),"",MAX($A$3:A776)+1)</f>
        <v/>
      </c>
      <c r="B777" s="262"/>
      <c r="C777" s="253"/>
      <c r="D777" s="249" t="str">
        <f>IFERROR(IF($E777="Inventory",VLOOKUP($C777,Inventory!$B:$I,2,FALSE()),IF($E777="Non Inventory",VLOOKUP($C777,'Non Inventory'!$B:$I,2,FALSE()),IF($E777="Services",VLOOKUP($C777,Services!$B:$I,2,FALSE()),IF($E777="Patty Cash",VLOOKUP($C777,'Patty Cash'!$B:$J,2,FALSE()),"")))),"")</f>
        <v/>
      </c>
      <c r="E777" s="254"/>
      <c r="F777" s="263" t="str">
        <f>IFERROR(IF($E777="Inventory",VLOOKUP($C777,Inventory!$B:$I,3,FALSE()),IF($E777="Non Inventory",VLOOKUP($C777,'Non Inventory'!$B:$I,3,FALSE()),IF($E777="Services",VLOOKUP($C777,Services!$B:$I,3,FALSE()),IF($E777="Patty Cash",VLOOKUP($C777,'Patty Cash'!$B:$J,3,FALSE()),"")))),"")</f>
        <v/>
      </c>
      <c r="G777" s="374"/>
      <c r="H777" s="374" t="str">
        <f t="shared" si="24"/>
        <v/>
      </c>
      <c r="I777" s="252">
        <f>IFERROR(IF($E777="Inventory",VLOOKUP($C777,Inventory!$B:$I,8,FALSE()),IF($E777="Non Inventory",VLOOKUP($C777,'Non Inventory'!$B:$I,8,FALSE()),IF($E777="Services",VLOOKUP($C777,Services!$B:$I,8,FALSE()),IF($E777="Patty Cash",VLOOKUP($C777,'Patty Cash'!$B:$J,8,FALSE()),0)))),0)</f>
        <v>0</v>
      </c>
      <c r="J777" s="252" t="str">
        <f t="shared" si="25"/>
        <v/>
      </c>
      <c r="K777" s="253"/>
      <c r="L777" s="253"/>
      <c r="M777" s="253"/>
      <c r="N777" s="328"/>
    </row>
    <row r="778" spans="1:14" ht="20.100000000000001" customHeight="1">
      <c r="A778" s="327" t="str">
        <f>IF(AND($B778="",$C778=""),"",MAX($A$3:A777)+1)</f>
        <v/>
      </c>
      <c r="B778" s="262"/>
      <c r="C778" s="253"/>
      <c r="D778" s="249" t="str">
        <f>IFERROR(IF($E778="Inventory",VLOOKUP($C778,Inventory!$B:$I,2,FALSE()),IF($E778="Non Inventory",VLOOKUP($C778,'Non Inventory'!$B:$I,2,FALSE()),IF($E778="Services",VLOOKUP($C778,Services!$B:$I,2,FALSE()),IF($E778="Patty Cash",VLOOKUP($C778,'Patty Cash'!$B:$J,2,FALSE()),"")))),"")</f>
        <v/>
      </c>
      <c r="E778" s="254"/>
      <c r="F778" s="263" t="str">
        <f>IFERROR(IF($E778="Inventory",VLOOKUP($C778,Inventory!$B:$I,3,FALSE()),IF($E778="Non Inventory",VLOOKUP($C778,'Non Inventory'!$B:$I,3,FALSE()),IF($E778="Services",VLOOKUP($C778,Services!$B:$I,3,FALSE()),IF($E778="Patty Cash",VLOOKUP($C778,'Patty Cash'!$B:$J,3,FALSE()),"")))),"")</f>
        <v/>
      </c>
      <c r="G778" s="374"/>
      <c r="H778" s="374" t="str">
        <f t="shared" si="24"/>
        <v/>
      </c>
      <c r="I778" s="252">
        <f>IFERROR(IF($E778="Inventory",VLOOKUP($C778,Inventory!$B:$I,8,FALSE()),IF($E778="Non Inventory",VLOOKUP($C778,'Non Inventory'!$B:$I,8,FALSE()),IF($E778="Services",VLOOKUP($C778,Services!$B:$I,8,FALSE()),IF($E778="Patty Cash",VLOOKUP($C778,'Patty Cash'!$B:$J,8,FALSE()),0)))),0)</f>
        <v>0</v>
      </c>
      <c r="J778" s="252" t="str">
        <f t="shared" si="25"/>
        <v/>
      </c>
      <c r="K778" s="253"/>
      <c r="L778" s="253"/>
      <c r="M778" s="253"/>
      <c r="N778" s="328"/>
    </row>
    <row r="779" spans="1:14" ht="20.100000000000001" customHeight="1">
      <c r="A779" s="327" t="str">
        <f>IF(AND($B779="",$C779=""),"",MAX($A$3:A778)+1)</f>
        <v/>
      </c>
      <c r="B779" s="262"/>
      <c r="C779" s="253"/>
      <c r="D779" s="249" t="str">
        <f>IFERROR(IF($E779="Inventory",VLOOKUP($C779,Inventory!$B:$I,2,FALSE()),IF($E779="Non Inventory",VLOOKUP($C779,'Non Inventory'!$B:$I,2,FALSE()),IF($E779="Services",VLOOKUP($C779,Services!$B:$I,2,FALSE()),IF($E779="Patty Cash",VLOOKUP($C779,'Patty Cash'!$B:$J,2,FALSE()),"")))),"")</f>
        <v/>
      </c>
      <c r="E779" s="254"/>
      <c r="F779" s="263" t="str">
        <f>IFERROR(IF($E779="Inventory",VLOOKUP($C779,Inventory!$B:$I,3,FALSE()),IF($E779="Non Inventory",VLOOKUP($C779,'Non Inventory'!$B:$I,3,FALSE()),IF($E779="Services",VLOOKUP($C779,Services!$B:$I,3,FALSE()),IF($E779="Patty Cash",VLOOKUP($C779,'Patty Cash'!$B:$J,3,FALSE()),"")))),"")</f>
        <v/>
      </c>
      <c r="G779" s="374"/>
      <c r="H779" s="374" t="str">
        <f t="shared" si="24"/>
        <v/>
      </c>
      <c r="I779" s="252">
        <f>IFERROR(IF($E779="Inventory",VLOOKUP($C779,Inventory!$B:$I,8,FALSE()),IF($E779="Non Inventory",VLOOKUP($C779,'Non Inventory'!$B:$I,8,FALSE()),IF($E779="Services",VLOOKUP($C779,Services!$B:$I,8,FALSE()),IF($E779="Patty Cash",VLOOKUP($C779,'Patty Cash'!$B:$J,8,FALSE()),0)))),0)</f>
        <v>0</v>
      </c>
      <c r="J779" s="252" t="str">
        <f t="shared" si="25"/>
        <v/>
      </c>
      <c r="K779" s="253"/>
      <c r="L779" s="253"/>
      <c r="M779" s="253"/>
      <c r="N779" s="328"/>
    </row>
    <row r="780" spans="1:14" ht="20.100000000000001" customHeight="1">
      <c r="A780" s="327" t="str">
        <f>IF(AND($B780="",$C780=""),"",MAX($A$3:A779)+1)</f>
        <v/>
      </c>
      <c r="B780" s="262"/>
      <c r="C780" s="253"/>
      <c r="D780" s="249" t="str">
        <f>IFERROR(IF($E780="Inventory",VLOOKUP($C780,Inventory!$B:$I,2,FALSE()),IF($E780="Non Inventory",VLOOKUP($C780,'Non Inventory'!$B:$I,2,FALSE()),IF($E780="Services",VLOOKUP($C780,Services!$B:$I,2,FALSE()),IF($E780="Patty Cash",VLOOKUP($C780,'Patty Cash'!$B:$J,2,FALSE()),"")))),"")</f>
        <v/>
      </c>
      <c r="E780" s="254"/>
      <c r="F780" s="263" t="str">
        <f>IFERROR(IF($E780="Inventory",VLOOKUP($C780,Inventory!$B:$I,3,FALSE()),IF($E780="Non Inventory",VLOOKUP($C780,'Non Inventory'!$B:$I,3,FALSE()),IF($E780="Services",VLOOKUP($C780,Services!$B:$I,3,FALSE()),IF($E780="Patty Cash",VLOOKUP($C780,'Patty Cash'!$B:$J,3,FALSE()),"")))),"")</f>
        <v/>
      </c>
      <c r="G780" s="374"/>
      <c r="H780" s="374" t="str">
        <f t="shared" si="24"/>
        <v/>
      </c>
      <c r="I780" s="252">
        <f>IFERROR(IF($E780="Inventory",VLOOKUP($C780,Inventory!$B:$I,8,FALSE()),IF($E780="Non Inventory",VLOOKUP($C780,'Non Inventory'!$B:$I,8,FALSE()),IF($E780="Services",VLOOKUP($C780,Services!$B:$I,8,FALSE()),IF($E780="Patty Cash",VLOOKUP($C780,'Patty Cash'!$B:$J,8,FALSE()),0)))),0)</f>
        <v>0</v>
      </c>
      <c r="J780" s="252" t="str">
        <f t="shared" si="25"/>
        <v/>
      </c>
      <c r="K780" s="253"/>
      <c r="L780" s="253"/>
      <c r="M780" s="253"/>
      <c r="N780" s="328"/>
    </row>
    <row r="781" spans="1:14" ht="20.100000000000001" customHeight="1">
      <c r="A781" s="327" t="str">
        <f>IF(AND($B781="",$C781=""),"",MAX($A$3:A780)+1)</f>
        <v/>
      </c>
      <c r="B781" s="262"/>
      <c r="C781" s="253"/>
      <c r="D781" s="249" t="str">
        <f>IFERROR(IF($E781="Inventory",VLOOKUP($C781,Inventory!$B:$I,2,FALSE()),IF($E781="Non Inventory",VLOOKUP($C781,'Non Inventory'!$B:$I,2,FALSE()),IF($E781="Services",VLOOKUP($C781,Services!$B:$I,2,FALSE()),IF($E781="Patty Cash",VLOOKUP($C781,'Patty Cash'!$B:$J,2,FALSE()),"")))),"")</f>
        <v/>
      </c>
      <c r="E781" s="254"/>
      <c r="F781" s="263" t="str">
        <f>IFERROR(IF($E781="Inventory",VLOOKUP($C781,Inventory!$B:$I,3,FALSE()),IF($E781="Non Inventory",VLOOKUP($C781,'Non Inventory'!$B:$I,3,FALSE()),IF($E781="Services",VLOOKUP($C781,Services!$B:$I,3,FALSE()),IF($E781="Patty Cash",VLOOKUP($C781,'Patty Cash'!$B:$J,3,FALSE()),"")))),"")</f>
        <v/>
      </c>
      <c r="G781" s="374"/>
      <c r="H781" s="374" t="str">
        <f t="shared" si="24"/>
        <v/>
      </c>
      <c r="I781" s="252">
        <f>IFERROR(IF($E781="Inventory",VLOOKUP($C781,Inventory!$B:$I,8,FALSE()),IF($E781="Non Inventory",VLOOKUP($C781,'Non Inventory'!$B:$I,8,FALSE()),IF($E781="Services",VLOOKUP($C781,Services!$B:$I,8,FALSE()),IF($E781="Patty Cash",VLOOKUP($C781,'Patty Cash'!$B:$J,8,FALSE()),0)))),0)</f>
        <v>0</v>
      </c>
      <c r="J781" s="252" t="str">
        <f t="shared" si="25"/>
        <v/>
      </c>
      <c r="K781" s="253"/>
      <c r="L781" s="253"/>
      <c r="M781" s="253"/>
      <c r="N781" s="328"/>
    </row>
    <row r="782" spans="1:14" ht="20.100000000000001" customHeight="1">
      <c r="A782" s="327" t="str">
        <f>IF(AND($B782="",$C782=""),"",MAX($A$3:A781)+1)</f>
        <v/>
      </c>
      <c r="B782" s="262"/>
      <c r="C782" s="253"/>
      <c r="D782" s="249" t="str">
        <f>IFERROR(IF($E782="Inventory",VLOOKUP($C782,Inventory!$B:$I,2,FALSE()),IF($E782="Non Inventory",VLOOKUP($C782,'Non Inventory'!$B:$I,2,FALSE()),IF($E782="Services",VLOOKUP($C782,Services!$B:$I,2,FALSE()),IF($E782="Patty Cash",VLOOKUP($C782,'Patty Cash'!$B:$J,2,FALSE()),"")))),"")</f>
        <v/>
      </c>
      <c r="E782" s="254"/>
      <c r="F782" s="263" t="str">
        <f>IFERROR(IF($E782="Inventory",VLOOKUP($C782,Inventory!$B:$I,3,FALSE()),IF($E782="Non Inventory",VLOOKUP($C782,'Non Inventory'!$B:$I,3,FALSE()),IF($E782="Services",VLOOKUP($C782,Services!$B:$I,3,FALSE()),IF($E782="Patty Cash",VLOOKUP($C782,'Patty Cash'!$B:$J,3,FALSE()),"")))),"")</f>
        <v/>
      </c>
      <c r="G782" s="374"/>
      <c r="H782" s="374" t="str">
        <f t="shared" si="24"/>
        <v/>
      </c>
      <c r="I782" s="252">
        <f>IFERROR(IF($E782="Inventory",VLOOKUP($C782,Inventory!$B:$I,8,FALSE()),IF($E782="Non Inventory",VLOOKUP($C782,'Non Inventory'!$B:$I,8,FALSE()),IF($E782="Services",VLOOKUP($C782,Services!$B:$I,8,FALSE()),IF($E782="Patty Cash",VLOOKUP($C782,'Patty Cash'!$B:$J,8,FALSE()),0)))),0)</f>
        <v>0</v>
      </c>
      <c r="J782" s="252" t="str">
        <f t="shared" si="25"/>
        <v/>
      </c>
      <c r="K782" s="253"/>
      <c r="L782" s="253"/>
      <c r="M782" s="253"/>
      <c r="N782" s="328"/>
    </row>
    <row r="783" spans="1:14" ht="20.100000000000001" customHeight="1">
      <c r="A783" s="327" t="str">
        <f>IF(AND($B783="",$C783=""),"",MAX($A$3:A782)+1)</f>
        <v/>
      </c>
      <c r="B783" s="262"/>
      <c r="C783" s="253"/>
      <c r="D783" s="249" t="str">
        <f>IFERROR(IF($E783="Inventory",VLOOKUP($C783,Inventory!$B:$I,2,FALSE()),IF($E783="Non Inventory",VLOOKUP($C783,'Non Inventory'!$B:$I,2,FALSE()),IF($E783="Services",VLOOKUP($C783,Services!$B:$I,2,FALSE()),IF($E783="Patty Cash",VLOOKUP($C783,'Patty Cash'!$B:$J,2,FALSE()),"")))),"")</f>
        <v/>
      </c>
      <c r="E783" s="254"/>
      <c r="F783" s="263" t="str">
        <f>IFERROR(IF($E783="Inventory",VLOOKUP($C783,Inventory!$B:$I,3,FALSE()),IF($E783="Non Inventory",VLOOKUP($C783,'Non Inventory'!$B:$I,3,FALSE()),IF($E783="Services",VLOOKUP($C783,Services!$B:$I,3,FALSE()),IF($E783="Patty Cash",VLOOKUP($C783,'Patty Cash'!$B:$J,3,FALSE()),"")))),"")</f>
        <v/>
      </c>
      <c r="G783" s="374"/>
      <c r="H783" s="374" t="str">
        <f t="shared" si="24"/>
        <v/>
      </c>
      <c r="I783" s="252">
        <f>IFERROR(IF($E783="Inventory",VLOOKUP($C783,Inventory!$B:$I,8,FALSE()),IF($E783="Non Inventory",VLOOKUP($C783,'Non Inventory'!$B:$I,8,FALSE()),IF($E783="Services",VLOOKUP($C783,Services!$B:$I,8,FALSE()),IF($E783="Patty Cash",VLOOKUP($C783,'Patty Cash'!$B:$J,8,FALSE()),0)))),0)</f>
        <v>0</v>
      </c>
      <c r="J783" s="252" t="str">
        <f t="shared" si="25"/>
        <v/>
      </c>
      <c r="K783" s="253"/>
      <c r="L783" s="253"/>
      <c r="M783" s="253"/>
      <c r="N783" s="328"/>
    </row>
    <row r="784" spans="1:14" ht="20.100000000000001" customHeight="1">
      <c r="A784" s="327" t="str">
        <f>IF(AND($B784="",$C784=""),"",MAX($A$3:A783)+1)</f>
        <v/>
      </c>
      <c r="B784" s="262"/>
      <c r="C784" s="253"/>
      <c r="D784" s="249" t="str">
        <f>IFERROR(IF($E784="Inventory",VLOOKUP($C784,Inventory!$B:$I,2,FALSE()),IF($E784="Non Inventory",VLOOKUP($C784,'Non Inventory'!$B:$I,2,FALSE()),IF($E784="Services",VLOOKUP($C784,Services!$B:$I,2,FALSE()),IF($E784="Patty Cash",VLOOKUP($C784,'Patty Cash'!$B:$J,2,FALSE()),"")))),"")</f>
        <v/>
      </c>
      <c r="E784" s="254"/>
      <c r="F784" s="263" t="str">
        <f>IFERROR(IF($E784="Inventory",VLOOKUP($C784,Inventory!$B:$I,3,FALSE()),IF($E784="Non Inventory",VLOOKUP($C784,'Non Inventory'!$B:$I,3,FALSE()),IF($E784="Services",VLOOKUP($C784,Services!$B:$I,3,FALSE()),IF($E784="Patty Cash",VLOOKUP($C784,'Patty Cash'!$B:$J,3,FALSE()),"")))),"")</f>
        <v/>
      </c>
      <c r="G784" s="374"/>
      <c r="H784" s="374" t="str">
        <f t="shared" si="24"/>
        <v/>
      </c>
      <c r="I784" s="252">
        <f>IFERROR(IF($E784="Inventory",VLOOKUP($C784,Inventory!$B:$I,8,FALSE()),IF($E784="Non Inventory",VLOOKUP($C784,'Non Inventory'!$B:$I,8,FALSE()),IF($E784="Services",VLOOKUP($C784,Services!$B:$I,8,FALSE()),IF($E784="Patty Cash",VLOOKUP($C784,'Patty Cash'!$B:$J,8,FALSE()),0)))),0)</f>
        <v>0</v>
      </c>
      <c r="J784" s="252" t="str">
        <f t="shared" si="25"/>
        <v/>
      </c>
      <c r="K784" s="253"/>
      <c r="L784" s="253"/>
      <c r="M784" s="253"/>
      <c r="N784" s="328"/>
    </row>
    <row r="785" spans="1:14" ht="20.100000000000001" customHeight="1">
      <c r="A785" s="327" t="str">
        <f>IF(AND($B785="",$C785=""),"",MAX($A$3:A784)+1)</f>
        <v/>
      </c>
      <c r="B785" s="262"/>
      <c r="C785" s="253"/>
      <c r="D785" s="249" t="str">
        <f>IFERROR(IF($E785="Inventory",VLOOKUP($C785,Inventory!$B:$I,2,FALSE()),IF($E785="Non Inventory",VLOOKUP($C785,'Non Inventory'!$B:$I,2,FALSE()),IF($E785="Services",VLOOKUP($C785,Services!$B:$I,2,FALSE()),IF($E785="Patty Cash",VLOOKUP($C785,'Patty Cash'!$B:$J,2,FALSE()),"")))),"")</f>
        <v/>
      </c>
      <c r="E785" s="254"/>
      <c r="F785" s="263" t="str">
        <f>IFERROR(IF($E785="Inventory",VLOOKUP($C785,Inventory!$B:$I,3,FALSE()),IF($E785="Non Inventory",VLOOKUP($C785,'Non Inventory'!$B:$I,3,FALSE()),IF($E785="Services",VLOOKUP($C785,Services!$B:$I,3,FALSE()),IF($E785="Patty Cash",VLOOKUP($C785,'Patty Cash'!$B:$J,3,FALSE()),"")))),"")</f>
        <v/>
      </c>
      <c r="G785" s="374"/>
      <c r="H785" s="374" t="str">
        <f t="shared" si="24"/>
        <v/>
      </c>
      <c r="I785" s="252">
        <f>IFERROR(IF($E785="Inventory",VLOOKUP($C785,Inventory!$B:$I,8,FALSE()),IF($E785="Non Inventory",VLOOKUP($C785,'Non Inventory'!$B:$I,8,FALSE()),IF($E785="Services",VLOOKUP($C785,Services!$B:$I,8,FALSE()),IF($E785="Patty Cash",VLOOKUP($C785,'Patty Cash'!$B:$J,8,FALSE()),0)))),0)</f>
        <v>0</v>
      </c>
      <c r="J785" s="252" t="str">
        <f t="shared" si="25"/>
        <v/>
      </c>
      <c r="K785" s="253"/>
      <c r="L785" s="253"/>
      <c r="M785" s="253"/>
      <c r="N785" s="328"/>
    </row>
    <row r="786" spans="1:14" ht="20.100000000000001" customHeight="1">
      <c r="A786" s="327" t="str">
        <f>IF(AND($B786="",$C786=""),"",MAX($A$3:A785)+1)</f>
        <v/>
      </c>
      <c r="B786" s="262"/>
      <c r="C786" s="253"/>
      <c r="D786" s="249" t="str">
        <f>IFERROR(IF($E786="Inventory",VLOOKUP($C786,Inventory!$B:$I,2,FALSE()),IF($E786="Non Inventory",VLOOKUP($C786,'Non Inventory'!$B:$I,2,FALSE()),IF($E786="Services",VLOOKUP($C786,Services!$B:$I,2,FALSE()),IF($E786="Patty Cash",VLOOKUP($C786,'Patty Cash'!$B:$J,2,FALSE()),"")))),"")</f>
        <v/>
      </c>
      <c r="E786" s="254"/>
      <c r="F786" s="263" t="str">
        <f>IFERROR(IF($E786="Inventory",VLOOKUP($C786,Inventory!$B:$I,3,FALSE()),IF($E786="Non Inventory",VLOOKUP($C786,'Non Inventory'!$B:$I,3,FALSE()),IF($E786="Services",VLOOKUP($C786,Services!$B:$I,3,FALSE()),IF($E786="Patty Cash",VLOOKUP($C786,'Patty Cash'!$B:$J,3,FALSE()),"")))),"")</f>
        <v/>
      </c>
      <c r="G786" s="374"/>
      <c r="H786" s="374" t="str">
        <f t="shared" si="24"/>
        <v/>
      </c>
      <c r="I786" s="252">
        <f>IFERROR(IF($E786="Inventory",VLOOKUP($C786,Inventory!$B:$I,8,FALSE()),IF($E786="Non Inventory",VLOOKUP($C786,'Non Inventory'!$B:$I,8,FALSE()),IF($E786="Services",VLOOKUP($C786,Services!$B:$I,8,FALSE()),IF($E786="Patty Cash",VLOOKUP($C786,'Patty Cash'!$B:$J,8,FALSE()),0)))),0)</f>
        <v>0</v>
      </c>
      <c r="J786" s="252" t="str">
        <f t="shared" si="25"/>
        <v/>
      </c>
      <c r="K786" s="253"/>
      <c r="L786" s="253"/>
      <c r="M786" s="253"/>
      <c r="N786" s="328"/>
    </row>
    <row r="787" spans="1:14" ht="20.100000000000001" customHeight="1">
      <c r="A787" s="327" t="str">
        <f>IF(AND($B787="",$C787=""),"",MAX($A$3:A786)+1)</f>
        <v/>
      </c>
      <c r="B787" s="262"/>
      <c r="C787" s="253"/>
      <c r="D787" s="249" t="str">
        <f>IFERROR(IF($E787="Inventory",VLOOKUP($C787,Inventory!$B:$I,2,FALSE()),IF($E787="Non Inventory",VLOOKUP($C787,'Non Inventory'!$B:$I,2,FALSE()),IF($E787="Services",VLOOKUP($C787,Services!$B:$I,2,FALSE()),IF($E787="Patty Cash",VLOOKUP($C787,'Patty Cash'!$B:$J,2,FALSE()),"")))),"")</f>
        <v/>
      </c>
      <c r="E787" s="254"/>
      <c r="F787" s="263" t="str">
        <f>IFERROR(IF($E787="Inventory",VLOOKUP($C787,Inventory!$B:$I,3,FALSE()),IF($E787="Non Inventory",VLOOKUP($C787,'Non Inventory'!$B:$I,3,FALSE()),IF($E787="Services",VLOOKUP($C787,Services!$B:$I,3,FALSE()),IF($E787="Patty Cash",VLOOKUP($C787,'Patty Cash'!$B:$J,3,FALSE()),"")))),"")</f>
        <v/>
      </c>
      <c r="G787" s="374"/>
      <c r="H787" s="374" t="str">
        <f t="shared" si="24"/>
        <v/>
      </c>
      <c r="I787" s="252">
        <f>IFERROR(IF($E787="Inventory",VLOOKUP($C787,Inventory!$B:$I,8,FALSE()),IF($E787="Non Inventory",VLOOKUP($C787,'Non Inventory'!$B:$I,8,FALSE()),IF($E787="Services",VLOOKUP($C787,Services!$B:$I,8,FALSE()),IF($E787="Patty Cash",VLOOKUP($C787,'Patty Cash'!$B:$J,8,FALSE()),0)))),0)</f>
        <v>0</v>
      </c>
      <c r="J787" s="252" t="str">
        <f t="shared" si="25"/>
        <v/>
      </c>
      <c r="K787" s="253"/>
      <c r="L787" s="253"/>
      <c r="M787" s="253"/>
      <c r="N787" s="328"/>
    </row>
    <row r="788" spans="1:14" ht="20.100000000000001" customHeight="1">
      <c r="A788" s="327" t="str">
        <f>IF(AND($B788="",$C788=""),"",MAX($A$3:A787)+1)</f>
        <v/>
      </c>
      <c r="B788" s="262"/>
      <c r="C788" s="253"/>
      <c r="D788" s="249" t="str">
        <f>IFERROR(IF($E788="Inventory",VLOOKUP($C788,Inventory!$B:$I,2,FALSE()),IF($E788="Non Inventory",VLOOKUP($C788,'Non Inventory'!$B:$I,2,FALSE()),IF($E788="Services",VLOOKUP($C788,Services!$B:$I,2,FALSE()),IF($E788="Patty Cash",VLOOKUP($C788,'Patty Cash'!$B:$J,2,FALSE()),"")))),"")</f>
        <v/>
      </c>
      <c r="E788" s="254"/>
      <c r="F788" s="263" t="str">
        <f>IFERROR(IF($E788="Inventory",VLOOKUP($C788,Inventory!$B:$I,3,FALSE()),IF($E788="Non Inventory",VLOOKUP($C788,'Non Inventory'!$B:$I,3,FALSE()),IF($E788="Services",VLOOKUP($C788,Services!$B:$I,3,FALSE()),IF($E788="Patty Cash",VLOOKUP($C788,'Patty Cash'!$B:$J,3,FALSE()),"")))),"")</f>
        <v/>
      </c>
      <c r="G788" s="374"/>
      <c r="H788" s="374" t="str">
        <f t="shared" si="24"/>
        <v/>
      </c>
      <c r="I788" s="252">
        <f>IFERROR(IF($E788="Inventory",VLOOKUP($C788,Inventory!$B:$I,8,FALSE()),IF($E788="Non Inventory",VLOOKUP($C788,'Non Inventory'!$B:$I,8,FALSE()),IF($E788="Services",VLOOKUP($C788,Services!$B:$I,8,FALSE()),IF($E788="Patty Cash",VLOOKUP($C788,'Patty Cash'!$B:$J,8,FALSE()),0)))),0)</f>
        <v>0</v>
      </c>
      <c r="J788" s="252" t="str">
        <f t="shared" si="25"/>
        <v/>
      </c>
      <c r="K788" s="253"/>
      <c r="L788" s="253"/>
      <c r="M788" s="253"/>
      <c r="N788" s="328"/>
    </row>
    <row r="789" spans="1:14" ht="20.100000000000001" customHeight="1">
      <c r="A789" s="327" t="str">
        <f>IF(AND($B789="",$C789=""),"",MAX($A$3:A788)+1)</f>
        <v/>
      </c>
      <c r="B789" s="262"/>
      <c r="C789" s="253"/>
      <c r="D789" s="249" t="str">
        <f>IFERROR(IF($E789="Inventory",VLOOKUP($C789,Inventory!$B:$I,2,FALSE()),IF($E789="Non Inventory",VLOOKUP($C789,'Non Inventory'!$B:$I,2,FALSE()),IF($E789="Services",VLOOKUP($C789,Services!$B:$I,2,FALSE()),IF($E789="Patty Cash",VLOOKUP($C789,'Patty Cash'!$B:$J,2,FALSE()),"")))),"")</f>
        <v/>
      </c>
      <c r="E789" s="254"/>
      <c r="F789" s="263" t="str">
        <f>IFERROR(IF($E789="Inventory",VLOOKUP($C789,Inventory!$B:$I,3,FALSE()),IF($E789="Non Inventory",VLOOKUP($C789,'Non Inventory'!$B:$I,3,FALSE()),IF($E789="Services",VLOOKUP($C789,Services!$B:$I,3,FALSE()),IF($E789="Patty Cash",VLOOKUP($C789,'Patty Cash'!$B:$J,3,FALSE()),"")))),"")</f>
        <v/>
      </c>
      <c r="G789" s="374"/>
      <c r="H789" s="374" t="str">
        <f t="shared" si="24"/>
        <v/>
      </c>
      <c r="I789" s="252">
        <f>IFERROR(IF($E789="Inventory",VLOOKUP($C789,Inventory!$B:$I,8,FALSE()),IF($E789="Non Inventory",VLOOKUP($C789,'Non Inventory'!$B:$I,8,FALSE()),IF($E789="Services",VLOOKUP($C789,Services!$B:$I,8,FALSE()),IF($E789="Patty Cash",VLOOKUP($C789,'Patty Cash'!$B:$J,8,FALSE()),0)))),0)</f>
        <v>0</v>
      </c>
      <c r="J789" s="252" t="str">
        <f t="shared" si="25"/>
        <v/>
      </c>
      <c r="K789" s="253"/>
      <c r="L789" s="253"/>
      <c r="M789" s="253"/>
      <c r="N789" s="328"/>
    </row>
    <row r="790" spans="1:14" ht="20.100000000000001" customHeight="1">
      <c r="A790" s="327" t="str">
        <f>IF(AND($B790="",$C790=""),"",MAX($A$3:A789)+1)</f>
        <v/>
      </c>
      <c r="B790" s="262"/>
      <c r="C790" s="253"/>
      <c r="D790" s="249" t="str">
        <f>IFERROR(IF($E790="Inventory",VLOOKUP($C790,Inventory!$B:$I,2,FALSE()),IF($E790="Non Inventory",VLOOKUP($C790,'Non Inventory'!$B:$I,2,FALSE()),IF($E790="Services",VLOOKUP($C790,Services!$B:$I,2,FALSE()),IF($E790="Patty Cash",VLOOKUP($C790,'Patty Cash'!$B:$J,2,FALSE()),"")))),"")</f>
        <v/>
      </c>
      <c r="E790" s="254"/>
      <c r="F790" s="263" t="str">
        <f>IFERROR(IF($E790="Inventory",VLOOKUP($C790,Inventory!$B:$I,3,FALSE()),IF($E790="Non Inventory",VLOOKUP($C790,'Non Inventory'!$B:$I,3,FALSE()),IF($E790="Services",VLOOKUP($C790,Services!$B:$I,3,FALSE()),IF($E790="Patty Cash",VLOOKUP($C790,'Patty Cash'!$B:$J,3,FALSE()),"")))),"")</f>
        <v/>
      </c>
      <c r="G790" s="374"/>
      <c r="H790" s="374" t="str">
        <f t="shared" si="24"/>
        <v/>
      </c>
      <c r="I790" s="252">
        <f>IFERROR(IF($E790="Inventory",VLOOKUP($C790,Inventory!$B:$I,8,FALSE()),IF($E790="Non Inventory",VLOOKUP($C790,'Non Inventory'!$B:$I,8,FALSE()),IF($E790="Services",VLOOKUP($C790,Services!$B:$I,8,FALSE()),IF($E790="Patty Cash",VLOOKUP($C790,'Patty Cash'!$B:$J,8,FALSE()),0)))),0)</f>
        <v>0</v>
      </c>
      <c r="J790" s="252" t="str">
        <f t="shared" si="25"/>
        <v/>
      </c>
      <c r="K790" s="253"/>
      <c r="L790" s="253"/>
      <c r="M790" s="253"/>
      <c r="N790" s="328"/>
    </row>
    <row r="791" spans="1:14" ht="20.100000000000001" customHeight="1">
      <c r="A791" s="327" t="str">
        <f>IF(AND($B791="",$C791=""),"",MAX($A$3:A790)+1)</f>
        <v/>
      </c>
      <c r="B791" s="262"/>
      <c r="C791" s="253"/>
      <c r="D791" s="249" t="str">
        <f>IFERROR(IF($E791="Inventory",VLOOKUP($C791,Inventory!$B:$I,2,FALSE()),IF($E791="Non Inventory",VLOOKUP($C791,'Non Inventory'!$B:$I,2,FALSE()),IF($E791="Services",VLOOKUP($C791,Services!$B:$I,2,FALSE()),IF($E791="Patty Cash",VLOOKUP($C791,'Patty Cash'!$B:$J,2,FALSE()),"")))),"")</f>
        <v/>
      </c>
      <c r="E791" s="254"/>
      <c r="F791" s="263" t="str">
        <f>IFERROR(IF($E791="Inventory",VLOOKUP($C791,Inventory!$B:$I,3,FALSE()),IF($E791="Non Inventory",VLOOKUP($C791,'Non Inventory'!$B:$I,3,FALSE()),IF($E791="Services",VLOOKUP($C791,Services!$B:$I,3,FALSE()),IF($E791="Patty Cash",VLOOKUP($C791,'Patty Cash'!$B:$J,3,FALSE()),"")))),"")</f>
        <v/>
      </c>
      <c r="G791" s="374"/>
      <c r="H791" s="374" t="str">
        <f t="shared" si="24"/>
        <v/>
      </c>
      <c r="I791" s="252">
        <f>IFERROR(IF($E791="Inventory",VLOOKUP($C791,Inventory!$B:$I,8,FALSE()),IF($E791="Non Inventory",VLOOKUP($C791,'Non Inventory'!$B:$I,8,FALSE()),IF($E791="Services",VLOOKUP($C791,Services!$B:$I,8,FALSE()),IF($E791="Patty Cash",VLOOKUP($C791,'Patty Cash'!$B:$J,8,FALSE()),0)))),0)</f>
        <v>0</v>
      </c>
      <c r="J791" s="252" t="str">
        <f t="shared" si="25"/>
        <v/>
      </c>
      <c r="K791" s="253"/>
      <c r="L791" s="253"/>
      <c r="M791" s="253"/>
      <c r="N791" s="328"/>
    </row>
    <row r="792" spans="1:14" ht="20.100000000000001" customHeight="1">
      <c r="A792" s="327" t="str">
        <f>IF(AND($B792="",$C792=""),"",MAX($A$3:A791)+1)</f>
        <v/>
      </c>
      <c r="B792" s="262"/>
      <c r="C792" s="253"/>
      <c r="D792" s="249" t="str">
        <f>IFERROR(IF($E792="Inventory",VLOOKUP($C792,Inventory!$B:$I,2,FALSE()),IF($E792="Non Inventory",VLOOKUP($C792,'Non Inventory'!$B:$I,2,FALSE()),IF($E792="Services",VLOOKUP($C792,Services!$B:$I,2,FALSE()),IF($E792="Patty Cash",VLOOKUP($C792,'Patty Cash'!$B:$J,2,FALSE()),"")))),"")</f>
        <v/>
      </c>
      <c r="E792" s="254"/>
      <c r="F792" s="263" t="str">
        <f>IFERROR(IF($E792="Inventory",VLOOKUP($C792,Inventory!$B:$I,3,FALSE()),IF($E792="Non Inventory",VLOOKUP($C792,'Non Inventory'!$B:$I,3,FALSE()),IF($E792="Services",VLOOKUP($C792,Services!$B:$I,3,FALSE()),IF($E792="Patty Cash",VLOOKUP($C792,'Patty Cash'!$B:$J,3,FALSE()),"")))),"")</f>
        <v/>
      </c>
      <c r="G792" s="374"/>
      <c r="H792" s="374" t="str">
        <f t="shared" si="24"/>
        <v/>
      </c>
      <c r="I792" s="252">
        <f>IFERROR(IF($E792="Inventory",VLOOKUP($C792,Inventory!$B:$I,8,FALSE()),IF($E792="Non Inventory",VLOOKUP($C792,'Non Inventory'!$B:$I,8,FALSE()),IF($E792="Services",VLOOKUP($C792,Services!$B:$I,8,FALSE()),IF($E792="Patty Cash",VLOOKUP($C792,'Patty Cash'!$B:$J,8,FALSE()),0)))),0)</f>
        <v>0</v>
      </c>
      <c r="J792" s="252" t="str">
        <f t="shared" si="25"/>
        <v/>
      </c>
      <c r="K792" s="253"/>
      <c r="L792" s="253"/>
      <c r="M792" s="253"/>
      <c r="N792" s="328"/>
    </row>
    <row r="793" spans="1:14" ht="20.100000000000001" customHeight="1">
      <c r="A793" s="327" t="str">
        <f>IF(AND($B793="",$C793=""),"",MAX($A$3:A792)+1)</f>
        <v/>
      </c>
      <c r="B793" s="262"/>
      <c r="C793" s="253"/>
      <c r="D793" s="249" t="str">
        <f>IFERROR(IF($E793="Inventory",VLOOKUP($C793,Inventory!$B:$I,2,FALSE()),IF($E793="Non Inventory",VLOOKUP($C793,'Non Inventory'!$B:$I,2,FALSE()),IF($E793="Services",VLOOKUP($C793,Services!$B:$I,2,FALSE()),IF($E793="Patty Cash",VLOOKUP($C793,'Patty Cash'!$B:$J,2,FALSE()),"")))),"")</f>
        <v/>
      </c>
      <c r="E793" s="254"/>
      <c r="F793" s="263" t="str">
        <f>IFERROR(IF($E793="Inventory",VLOOKUP($C793,Inventory!$B:$I,3,FALSE()),IF($E793="Non Inventory",VLOOKUP($C793,'Non Inventory'!$B:$I,3,FALSE()),IF($E793="Services",VLOOKUP($C793,Services!$B:$I,3,FALSE()),IF($E793="Patty Cash",VLOOKUP($C793,'Patty Cash'!$B:$J,3,FALSE()),"")))),"")</f>
        <v/>
      </c>
      <c r="G793" s="374"/>
      <c r="H793" s="374" t="str">
        <f t="shared" si="24"/>
        <v/>
      </c>
      <c r="I793" s="252">
        <f>IFERROR(IF($E793="Inventory",VLOOKUP($C793,Inventory!$B:$I,8,FALSE()),IF($E793="Non Inventory",VLOOKUP($C793,'Non Inventory'!$B:$I,8,FALSE()),IF($E793="Services",VLOOKUP($C793,Services!$B:$I,8,FALSE()),IF($E793="Patty Cash",VLOOKUP($C793,'Patty Cash'!$B:$J,8,FALSE()),0)))),0)</f>
        <v>0</v>
      </c>
      <c r="J793" s="252" t="str">
        <f t="shared" si="25"/>
        <v/>
      </c>
      <c r="K793" s="253"/>
      <c r="L793" s="253"/>
      <c r="M793" s="253"/>
      <c r="N793" s="328"/>
    </row>
    <row r="794" spans="1:14" ht="20.100000000000001" customHeight="1">
      <c r="A794" s="327" t="str">
        <f>IF(AND($B794="",$C794=""),"",MAX($A$3:A793)+1)</f>
        <v/>
      </c>
      <c r="B794" s="262"/>
      <c r="C794" s="253"/>
      <c r="D794" s="249" t="str">
        <f>IFERROR(IF($E794="Inventory",VLOOKUP($C794,Inventory!$B:$I,2,FALSE()),IF($E794="Non Inventory",VLOOKUP($C794,'Non Inventory'!$B:$I,2,FALSE()),IF($E794="Services",VLOOKUP($C794,Services!$B:$I,2,FALSE()),IF($E794="Patty Cash",VLOOKUP($C794,'Patty Cash'!$B:$J,2,FALSE()),"")))),"")</f>
        <v/>
      </c>
      <c r="E794" s="254"/>
      <c r="F794" s="263" t="str">
        <f>IFERROR(IF($E794="Inventory",VLOOKUP($C794,Inventory!$B:$I,3,FALSE()),IF($E794="Non Inventory",VLOOKUP($C794,'Non Inventory'!$B:$I,3,FALSE()),IF($E794="Services",VLOOKUP($C794,Services!$B:$I,3,FALSE()),IF($E794="Patty Cash",VLOOKUP($C794,'Patty Cash'!$B:$J,3,FALSE()),"")))),"")</f>
        <v/>
      </c>
      <c r="G794" s="374"/>
      <c r="H794" s="374" t="str">
        <f t="shared" si="24"/>
        <v/>
      </c>
      <c r="I794" s="252">
        <f>IFERROR(IF($E794="Inventory",VLOOKUP($C794,Inventory!$B:$I,8,FALSE()),IF($E794="Non Inventory",VLOOKUP($C794,'Non Inventory'!$B:$I,8,FALSE()),IF($E794="Services",VLOOKUP($C794,Services!$B:$I,8,FALSE()),IF($E794="Patty Cash",VLOOKUP($C794,'Patty Cash'!$B:$J,8,FALSE()),0)))),0)</f>
        <v>0</v>
      </c>
      <c r="J794" s="252" t="str">
        <f t="shared" si="25"/>
        <v/>
      </c>
      <c r="K794" s="253"/>
      <c r="L794" s="253"/>
      <c r="M794" s="253"/>
      <c r="N794" s="328"/>
    </row>
    <row r="795" spans="1:14" ht="20.100000000000001" customHeight="1">
      <c r="A795" s="327" t="str">
        <f>IF(AND($B795="",$C795=""),"",MAX($A$3:A794)+1)</f>
        <v/>
      </c>
      <c r="B795" s="262"/>
      <c r="C795" s="253"/>
      <c r="D795" s="249" t="str">
        <f>IFERROR(IF($E795="Inventory",VLOOKUP($C795,Inventory!$B:$I,2,FALSE()),IF($E795="Non Inventory",VLOOKUP($C795,'Non Inventory'!$B:$I,2,FALSE()),IF($E795="Services",VLOOKUP($C795,Services!$B:$I,2,FALSE()),IF($E795="Patty Cash",VLOOKUP($C795,'Patty Cash'!$B:$J,2,FALSE()),"")))),"")</f>
        <v/>
      </c>
      <c r="E795" s="254"/>
      <c r="F795" s="263" t="str">
        <f>IFERROR(IF($E795="Inventory",VLOOKUP($C795,Inventory!$B:$I,3,FALSE()),IF($E795="Non Inventory",VLOOKUP($C795,'Non Inventory'!$B:$I,3,FALSE()),IF($E795="Services",VLOOKUP($C795,Services!$B:$I,3,FALSE()),IF($E795="Patty Cash",VLOOKUP($C795,'Patty Cash'!$B:$J,3,FALSE()),"")))),"")</f>
        <v/>
      </c>
      <c r="G795" s="374"/>
      <c r="H795" s="374" t="str">
        <f t="shared" si="24"/>
        <v/>
      </c>
      <c r="I795" s="252">
        <f>IFERROR(IF($E795="Inventory",VLOOKUP($C795,Inventory!$B:$I,8,FALSE()),IF($E795="Non Inventory",VLOOKUP($C795,'Non Inventory'!$B:$I,8,FALSE()),IF($E795="Services",VLOOKUP($C795,Services!$B:$I,8,FALSE()),IF($E795="Patty Cash",VLOOKUP($C795,'Patty Cash'!$B:$J,8,FALSE()),0)))),0)</f>
        <v>0</v>
      </c>
      <c r="J795" s="252" t="str">
        <f t="shared" si="25"/>
        <v/>
      </c>
      <c r="K795" s="253"/>
      <c r="L795" s="253"/>
      <c r="M795" s="253"/>
      <c r="N795" s="328"/>
    </row>
    <row r="796" spans="1:14" ht="20.100000000000001" customHeight="1">
      <c r="A796" s="327" t="str">
        <f>IF(AND($B796="",$C796=""),"",MAX($A$3:A795)+1)</f>
        <v/>
      </c>
      <c r="B796" s="262"/>
      <c r="C796" s="253"/>
      <c r="D796" s="249" t="str">
        <f>IFERROR(IF($E796="Inventory",VLOOKUP($C796,Inventory!$B:$I,2,FALSE()),IF($E796="Non Inventory",VLOOKUP($C796,'Non Inventory'!$B:$I,2,FALSE()),IF($E796="Services",VLOOKUP($C796,Services!$B:$I,2,FALSE()),IF($E796="Patty Cash",VLOOKUP($C796,'Patty Cash'!$B:$J,2,FALSE()),"")))),"")</f>
        <v/>
      </c>
      <c r="E796" s="254"/>
      <c r="F796" s="263" t="str">
        <f>IFERROR(IF($E796="Inventory",VLOOKUP($C796,Inventory!$B:$I,3,FALSE()),IF($E796="Non Inventory",VLOOKUP($C796,'Non Inventory'!$B:$I,3,FALSE()),IF($E796="Services",VLOOKUP($C796,Services!$B:$I,3,FALSE()),IF($E796="Patty Cash",VLOOKUP($C796,'Patty Cash'!$B:$J,3,FALSE()),"")))),"")</f>
        <v/>
      </c>
      <c r="G796" s="374"/>
      <c r="H796" s="374" t="str">
        <f t="shared" si="24"/>
        <v/>
      </c>
      <c r="I796" s="252">
        <f>IFERROR(IF($E796="Inventory",VLOOKUP($C796,Inventory!$B:$I,8,FALSE()),IF($E796="Non Inventory",VLOOKUP($C796,'Non Inventory'!$B:$I,8,FALSE()),IF($E796="Services",VLOOKUP($C796,Services!$B:$I,8,FALSE()),IF($E796="Patty Cash",VLOOKUP($C796,'Patty Cash'!$B:$J,8,FALSE()),0)))),0)</f>
        <v>0</v>
      </c>
      <c r="J796" s="252" t="str">
        <f t="shared" si="25"/>
        <v/>
      </c>
      <c r="K796" s="253"/>
      <c r="L796" s="253"/>
      <c r="M796" s="253"/>
      <c r="N796" s="328"/>
    </row>
    <row r="797" spans="1:14" ht="20.100000000000001" customHeight="1">
      <c r="A797" s="327" t="str">
        <f>IF(AND($B797="",$C797=""),"",MAX($A$3:A796)+1)</f>
        <v/>
      </c>
      <c r="B797" s="262"/>
      <c r="C797" s="253"/>
      <c r="D797" s="249" t="str">
        <f>IFERROR(IF($E797="Inventory",VLOOKUP($C797,Inventory!$B:$I,2,FALSE()),IF($E797="Non Inventory",VLOOKUP($C797,'Non Inventory'!$B:$I,2,FALSE()),IF($E797="Services",VLOOKUP($C797,Services!$B:$I,2,FALSE()),IF($E797="Patty Cash",VLOOKUP($C797,'Patty Cash'!$B:$J,2,FALSE()),"")))),"")</f>
        <v/>
      </c>
      <c r="E797" s="254"/>
      <c r="F797" s="263" t="str">
        <f>IFERROR(IF($E797="Inventory",VLOOKUP($C797,Inventory!$B:$I,3,FALSE()),IF($E797="Non Inventory",VLOOKUP($C797,'Non Inventory'!$B:$I,3,FALSE()),IF($E797="Services",VLOOKUP($C797,Services!$B:$I,3,FALSE()),IF($E797="Patty Cash",VLOOKUP($C797,'Patty Cash'!$B:$J,3,FALSE()),"")))),"")</f>
        <v/>
      </c>
      <c r="G797" s="374"/>
      <c r="H797" s="374" t="str">
        <f t="shared" si="24"/>
        <v/>
      </c>
      <c r="I797" s="252">
        <f>IFERROR(IF($E797="Inventory",VLOOKUP($C797,Inventory!$B:$I,8,FALSE()),IF($E797="Non Inventory",VLOOKUP($C797,'Non Inventory'!$B:$I,8,FALSE()),IF($E797="Services",VLOOKUP($C797,Services!$B:$I,8,FALSE()),IF($E797="Patty Cash",VLOOKUP($C797,'Patty Cash'!$B:$J,8,FALSE()),0)))),0)</f>
        <v>0</v>
      </c>
      <c r="J797" s="252" t="str">
        <f t="shared" si="25"/>
        <v/>
      </c>
      <c r="K797" s="253"/>
      <c r="L797" s="253"/>
      <c r="M797" s="253"/>
      <c r="N797" s="328"/>
    </row>
    <row r="798" spans="1:14" ht="20.100000000000001" customHeight="1">
      <c r="A798" s="327" t="str">
        <f>IF(AND($B798="",$C798=""),"",MAX($A$3:A797)+1)</f>
        <v/>
      </c>
      <c r="B798" s="262"/>
      <c r="C798" s="253"/>
      <c r="D798" s="249" t="str">
        <f>IFERROR(IF($E798="Inventory",VLOOKUP($C798,Inventory!$B:$I,2,FALSE()),IF($E798="Non Inventory",VLOOKUP($C798,'Non Inventory'!$B:$I,2,FALSE()),IF($E798="Services",VLOOKUP($C798,Services!$B:$I,2,FALSE()),IF($E798="Patty Cash",VLOOKUP($C798,'Patty Cash'!$B:$J,2,FALSE()),"")))),"")</f>
        <v/>
      </c>
      <c r="E798" s="254"/>
      <c r="F798" s="263" t="str">
        <f>IFERROR(IF($E798="Inventory",VLOOKUP($C798,Inventory!$B:$I,3,FALSE()),IF($E798="Non Inventory",VLOOKUP($C798,'Non Inventory'!$B:$I,3,FALSE()),IF($E798="Services",VLOOKUP($C798,Services!$B:$I,3,FALSE()),IF($E798="Patty Cash",VLOOKUP($C798,'Patty Cash'!$B:$J,3,FALSE()),"")))),"")</f>
        <v/>
      </c>
      <c r="G798" s="374"/>
      <c r="H798" s="374" t="str">
        <f t="shared" si="24"/>
        <v/>
      </c>
      <c r="I798" s="252">
        <f>IFERROR(IF($E798="Inventory",VLOOKUP($C798,Inventory!$B:$I,8,FALSE()),IF($E798="Non Inventory",VLOOKUP($C798,'Non Inventory'!$B:$I,8,FALSE()),IF($E798="Services",VLOOKUP($C798,Services!$B:$I,8,FALSE()),IF($E798="Patty Cash",VLOOKUP($C798,'Patty Cash'!$B:$J,8,FALSE()),0)))),0)</f>
        <v>0</v>
      </c>
      <c r="J798" s="252" t="str">
        <f t="shared" si="25"/>
        <v/>
      </c>
      <c r="K798" s="253"/>
      <c r="L798" s="253"/>
      <c r="M798" s="253"/>
      <c r="N798" s="328"/>
    </row>
    <row r="799" spans="1:14" ht="20.100000000000001" customHeight="1">
      <c r="A799" s="327" t="str">
        <f>IF(AND($B799="",$C799=""),"",MAX($A$3:A798)+1)</f>
        <v/>
      </c>
      <c r="B799" s="262"/>
      <c r="C799" s="253"/>
      <c r="D799" s="249" t="str">
        <f>IFERROR(IF($E799="Inventory",VLOOKUP($C799,Inventory!$B:$I,2,FALSE()),IF($E799="Non Inventory",VLOOKUP($C799,'Non Inventory'!$B:$I,2,FALSE()),IF($E799="Services",VLOOKUP($C799,Services!$B:$I,2,FALSE()),IF($E799="Patty Cash",VLOOKUP($C799,'Patty Cash'!$B:$J,2,FALSE()),"")))),"")</f>
        <v/>
      </c>
      <c r="E799" s="254"/>
      <c r="F799" s="263" t="str">
        <f>IFERROR(IF($E799="Inventory",VLOOKUP($C799,Inventory!$B:$I,3,FALSE()),IF($E799="Non Inventory",VLOOKUP($C799,'Non Inventory'!$B:$I,3,FALSE()),IF($E799="Services",VLOOKUP($C799,Services!$B:$I,3,FALSE()),IF($E799="Patty Cash",VLOOKUP($C799,'Patty Cash'!$B:$J,3,FALSE()),"")))),"")</f>
        <v/>
      </c>
      <c r="G799" s="374"/>
      <c r="H799" s="374" t="str">
        <f t="shared" si="24"/>
        <v/>
      </c>
      <c r="I799" s="252">
        <f>IFERROR(IF($E799="Inventory",VLOOKUP($C799,Inventory!$B:$I,8,FALSE()),IF($E799="Non Inventory",VLOOKUP($C799,'Non Inventory'!$B:$I,8,FALSE()),IF($E799="Services",VLOOKUP($C799,Services!$B:$I,8,FALSE()),IF($E799="Patty Cash",VLOOKUP($C799,'Patty Cash'!$B:$J,8,FALSE()),0)))),0)</f>
        <v>0</v>
      </c>
      <c r="J799" s="252" t="str">
        <f t="shared" si="25"/>
        <v/>
      </c>
      <c r="K799" s="253"/>
      <c r="L799" s="253"/>
      <c r="M799" s="253"/>
      <c r="N799" s="328"/>
    </row>
    <row r="800" spans="1:14" ht="20.100000000000001" customHeight="1">
      <c r="A800" s="327" t="str">
        <f>IF(AND($B800="",$C800=""),"",MAX($A$3:A799)+1)</f>
        <v/>
      </c>
      <c r="B800" s="262"/>
      <c r="C800" s="253"/>
      <c r="D800" s="249" t="str">
        <f>IFERROR(IF($E800="Inventory",VLOOKUP($C800,Inventory!$B:$I,2,FALSE()),IF($E800="Non Inventory",VLOOKUP($C800,'Non Inventory'!$B:$I,2,FALSE()),IF($E800="Services",VLOOKUP($C800,Services!$B:$I,2,FALSE()),IF($E800="Patty Cash",VLOOKUP($C800,'Patty Cash'!$B:$J,2,FALSE()),"")))),"")</f>
        <v/>
      </c>
      <c r="E800" s="254"/>
      <c r="F800" s="263" t="str">
        <f>IFERROR(IF($E800="Inventory",VLOOKUP($C800,Inventory!$B:$I,3,FALSE()),IF($E800="Non Inventory",VLOOKUP($C800,'Non Inventory'!$B:$I,3,FALSE()),IF($E800="Services",VLOOKUP($C800,Services!$B:$I,3,FALSE()),IF($E800="Patty Cash",VLOOKUP($C800,'Patty Cash'!$B:$J,3,FALSE()),"")))),"")</f>
        <v/>
      </c>
      <c r="G800" s="374"/>
      <c r="H800" s="374" t="str">
        <f t="shared" si="24"/>
        <v/>
      </c>
      <c r="I800" s="252">
        <f>IFERROR(IF($E800="Inventory",VLOOKUP($C800,Inventory!$B:$I,8,FALSE()),IF($E800="Non Inventory",VLOOKUP($C800,'Non Inventory'!$B:$I,8,FALSE()),IF($E800="Services",VLOOKUP($C800,Services!$B:$I,8,FALSE()),IF($E800="Patty Cash",VLOOKUP($C800,'Patty Cash'!$B:$J,8,FALSE()),0)))),0)</f>
        <v>0</v>
      </c>
      <c r="J800" s="252" t="str">
        <f t="shared" si="25"/>
        <v/>
      </c>
      <c r="K800" s="253"/>
      <c r="L800" s="253"/>
      <c r="M800" s="253"/>
      <c r="N800" s="328"/>
    </row>
    <row r="801" spans="1:14" ht="20.100000000000001" customHeight="1">
      <c r="A801" s="327" t="str">
        <f>IF(AND($B801="",$C801=""),"",MAX($A$3:A800)+1)</f>
        <v/>
      </c>
      <c r="B801" s="262"/>
      <c r="C801" s="253"/>
      <c r="D801" s="249" t="str">
        <f>IFERROR(IF($E801="Inventory",VLOOKUP($C801,Inventory!$B:$I,2,FALSE()),IF($E801="Non Inventory",VLOOKUP($C801,'Non Inventory'!$B:$I,2,FALSE()),IF($E801="Services",VLOOKUP($C801,Services!$B:$I,2,FALSE()),IF($E801="Patty Cash",VLOOKUP($C801,'Patty Cash'!$B:$J,2,FALSE()),"")))),"")</f>
        <v/>
      </c>
      <c r="E801" s="254"/>
      <c r="F801" s="263" t="str">
        <f>IFERROR(IF($E801="Inventory",VLOOKUP($C801,Inventory!$B:$I,3,FALSE()),IF($E801="Non Inventory",VLOOKUP($C801,'Non Inventory'!$B:$I,3,FALSE()),IF($E801="Services",VLOOKUP($C801,Services!$B:$I,3,FALSE()),IF($E801="Patty Cash",VLOOKUP($C801,'Patty Cash'!$B:$J,3,FALSE()),"")))),"")</f>
        <v/>
      </c>
      <c r="G801" s="374"/>
      <c r="H801" s="374" t="str">
        <f t="shared" si="24"/>
        <v/>
      </c>
      <c r="I801" s="252">
        <f>IFERROR(IF($E801="Inventory",VLOOKUP($C801,Inventory!$B:$I,8,FALSE()),IF($E801="Non Inventory",VLOOKUP($C801,'Non Inventory'!$B:$I,8,FALSE()),IF($E801="Services",VLOOKUP($C801,Services!$B:$I,8,FALSE()),IF($E801="Patty Cash",VLOOKUP($C801,'Patty Cash'!$B:$J,8,FALSE()),0)))),0)</f>
        <v>0</v>
      </c>
      <c r="J801" s="252" t="str">
        <f t="shared" si="25"/>
        <v/>
      </c>
      <c r="K801" s="253"/>
      <c r="L801" s="253"/>
      <c r="M801" s="253"/>
      <c r="N801" s="328"/>
    </row>
    <row r="802" spans="1:14" ht="20.100000000000001" customHeight="1">
      <c r="A802" s="327" t="str">
        <f>IF(AND($B802="",$C802=""),"",MAX($A$3:A801)+1)</f>
        <v/>
      </c>
      <c r="B802" s="262"/>
      <c r="C802" s="253"/>
      <c r="D802" s="249" t="str">
        <f>IFERROR(IF($E802="Inventory",VLOOKUP($C802,Inventory!$B:$I,2,FALSE()),IF($E802="Non Inventory",VLOOKUP($C802,'Non Inventory'!$B:$I,2,FALSE()),IF($E802="Services",VLOOKUP($C802,Services!$B:$I,2,FALSE()),IF($E802="Patty Cash",VLOOKUP($C802,'Patty Cash'!$B:$J,2,FALSE()),"")))),"")</f>
        <v/>
      </c>
      <c r="E802" s="254"/>
      <c r="F802" s="263" t="str">
        <f>IFERROR(IF($E802="Inventory",VLOOKUP($C802,Inventory!$B:$I,3,FALSE()),IF($E802="Non Inventory",VLOOKUP($C802,'Non Inventory'!$B:$I,3,FALSE()),IF($E802="Services",VLOOKUP($C802,Services!$B:$I,3,FALSE()),IF($E802="Patty Cash",VLOOKUP($C802,'Patty Cash'!$B:$J,3,FALSE()),"")))),"")</f>
        <v/>
      </c>
      <c r="G802" s="374"/>
      <c r="H802" s="374" t="str">
        <f t="shared" si="24"/>
        <v/>
      </c>
      <c r="I802" s="252">
        <f>IFERROR(IF($E802="Inventory",VLOOKUP($C802,Inventory!$B:$I,8,FALSE()),IF($E802="Non Inventory",VLOOKUP($C802,'Non Inventory'!$B:$I,8,FALSE()),IF($E802="Services",VLOOKUP($C802,Services!$B:$I,8,FALSE()),IF($E802="Patty Cash",VLOOKUP($C802,'Patty Cash'!$B:$J,8,FALSE()),0)))),0)</f>
        <v>0</v>
      </c>
      <c r="J802" s="252" t="str">
        <f t="shared" si="25"/>
        <v/>
      </c>
      <c r="K802" s="253"/>
      <c r="L802" s="253"/>
      <c r="M802" s="253"/>
      <c r="N802" s="328"/>
    </row>
    <row r="803" spans="1:14" ht="20.100000000000001" customHeight="1">
      <c r="A803" s="327" t="str">
        <f>IF(AND($B803="",$C803=""),"",MAX($A$3:A802)+1)</f>
        <v/>
      </c>
      <c r="B803" s="262"/>
      <c r="C803" s="253"/>
      <c r="D803" s="249" t="str">
        <f>IFERROR(IF($E803="Inventory",VLOOKUP($C803,Inventory!$B:$I,2,FALSE()),IF($E803="Non Inventory",VLOOKUP($C803,'Non Inventory'!$B:$I,2,FALSE()),IF($E803="Services",VLOOKUP($C803,Services!$B:$I,2,FALSE()),IF($E803="Patty Cash",VLOOKUP($C803,'Patty Cash'!$B:$J,2,FALSE()),"")))),"")</f>
        <v/>
      </c>
      <c r="E803" s="254"/>
      <c r="F803" s="263" t="str">
        <f>IFERROR(IF($E803="Inventory",VLOOKUP($C803,Inventory!$B:$I,3,FALSE()),IF($E803="Non Inventory",VLOOKUP($C803,'Non Inventory'!$B:$I,3,FALSE()),IF($E803="Services",VLOOKUP($C803,Services!$B:$I,3,FALSE()),IF($E803="Patty Cash",VLOOKUP($C803,'Patty Cash'!$B:$J,3,FALSE()),"")))),"")</f>
        <v/>
      </c>
      <c r="G803" s="374"/>
      <c r="H803" s="374" t="str">
        <f t="shared" si="24"/>
        <v/>
      </c>
      <c r="I803" s="252">
        <f>IFERROR(IF($E803="Inventory",VLOOKUP($C803,Inventory!$B:$I,8,FALSE()),IF($E803="Non Inventory",VLOOKUP($C803,'Non Inventory'!$B:$I,8,FALSE()),IF($E803="Services",VLOOKUP($C803,Services!$B:$I,8,FALSE()),IF($E803="Patty Cash",VLOOKUP($C803,'Patty Cash'!$B:$J,8,FALSE()),0)))),0)</f>
        <v>0</v>
      </c>
      <c r="J803" s="252" t="str">
        <f t="shared" si="25"/>
        <v/>
      </c>
      <c r="K803" s="253"/>
      <c r="L803" s="253"/>
      <c r="M803" s="253"/>
      <c r="N803" s="328"/>
    </row>
    <row r="804" spans="1:14" ht="20.100000000000001" customHeight="1">
      <c r="A804" s="327" t="str">
        <f>IF(AND($B804="",$C804=""),"",MAX($A$3:A803)+1)</f>
        <v/>
      </c>
      <c r="B804" s="262"/>
      <c r="C804" s="253"/>
      <c r="D804" s="249" t="str">
        <f>IFERROR(IF($E804="Inventory",VLOOKUP($C804,Inventory!$B:$I,2,FALSE()),IF($E804="Non Inventory",VLOOKUP($C804,'Non Inventory'!$B:$I,2,FALSE()),IF($E804="Services",VLOOKUP($C804,Services!$B:$I,2,FALSE()),IF($E804="Patty Cash",VLOOKUP($C804,'Patty Cash'!$B:$J,2,FALSE()),"")))),"")</f>
        <v/>
      </c>
      <c r="E804" s="254"/>
      <c r="F804" s="263" t="str">
        <f>IFERROR(IF($E804="Inventory",VLOOKUP($C804,Inventory!$B:$I,3,FALSE()),IF($E804="Non Inventory",VLOOKUP($C804,'Non Inventory'!$B:$I,3,FALSE()),IF($E804="Services",VLOOKUP($C804,Services!$B:$I,3,FALSE()),IF($E804="Patty Cash",VLOOKUP($C804,'Patty Cash'!$B:$J,3,FALSE()),"")))),"")</f>
        <v/>
      </c>
      <c r="G804" s="374"/>
      <c r="H804" s="374" t="str">
        <f t="shared" si="24"/>
        <v/>
      </c>
      <c r="I804" s="252">
        <f>IFERROR(IF($E804="Inventory",VLOOKUP($C804,Inventory!$B:$I,8,FALSE()),IF($E804="Non Inventory",VLOOKUP($C804,'Non Inventory'!$B:$I,8,FALSE()),IF($E804="Services",VLOOKUP($C804,Services!$B:$I,8,FALSE()),IF($E804="Patty Cash",VLOOKUP($C804,'Patty Cash'!$B:$J,8,FALSE()),0)))),0)</f>
        <v>0</v>
      </c>
      <c r="J804" s="252" t="str">
        <f t="shared" si="25"/>
        <v/>
      </c>
      <c r="K804" s="253"/>
      <c r="L804" s="253"/>
      <c r="M804" s="253"/>
      <c r="N804" s="328"/>
    </row>
    <row r="805" spans="1:14" ht="20.100000000000001" customHeight="1">
      <c r="A805" s="327" t="str">
        <f>IF(AND($B805="",$C805=""),"",MAX($A$3:A804)+1)</f>
        <v/>
      </c>
      <c r="B805" s="262"/>
      <c r="C805" s="253"/>
      <c r="D805" s="249" t="str">
        <f>IFERROR(IF($E805="Inventory",VLOOKUP($C805,Inventory!$B:$I,2,FALSE()),IF($E805="Non Inventory",VLOOKUP($C805,'Non Inventory'!$B:$I,2,FALSE()),IF($E805="Services",VLOOKUP($C805,Services!$B:$I,2,FALSE()),IF($E805="Patty Cash",VLOOKUP($C805,'Patty Cash'!$B:$J,2,FALSE()),"")))),"")</f>
        <v/>
      </c>
      <c r="E805" s="254"/>
      <c r="F805" s="263" t="str">
        <f>IFERROR(IF($E805="Inventory",VLOOKUP($C805,Inventory!$B:$I,3,FALSE()),IF($E805="Non Inventory",VLOOKUP($C805,'Non Inventory'!$B:$I,3,FALSE()),IF($E805="Services",VLOOKUP($C805,Services!$B:$I,3,FALSE()),IF($E805="Patty Cash",VLOOKUP($C805,'Patty Cash'!$B:$J,3,FALSE()),"")))),"")</f>
        <v/>
      </c>
      <c r="G805" s="374"/>
      <c r="H805" s="374" t="str">
        <f t="shared" si="24"/>
        <v/>
      </c>
      <c r="I805" s="252">
        <f>IFERROR(IF($E805="Inventory",VLOOKUP($C805,Inventory!$B:$I,8,FALSE()),IF($E805="Non Inventory",VLOOKUP($C805,'Non Inventory'!$B:$I,8,FALSE()),IF($E805="Services",VLOOKUP($C805,Services!$B:$I,8,FALSE()),IF($E805="Patty Cash",VLOOKUP($C805,'Patty Cash'!$B:$J,8,FALSE()),0)))),0)</f>
        <v>0</v>
      </c>
      <c r="J805" s="252" t="str">
        <f t="shared" si="25"/>
        <v/>
      </c>
      <c r="K805" s="253"/>
      <c r="L805" s="253"/>
      <c r="M805" s="253"/>
      <c r="N805" s="328"/>
    </row>
    <row r="806" spans="1:14" ht="20.100000000000001" customHeight="1">
      <c r="A806" s="327" t="str">
        <f>IF(AND($B806="",$C806=""),"",MAX($A$3:A805)+1)</f>
        <v/>
      </c>
      <c r="B806" s="262"/>
      <c r="C806" s="253"/>
      <c r="D806" s="249" t="str">
        <f>IFERROR(IF($E806="Inventory",VLOOKUP($C806,Inventory!$B:$I,2,FALSE()),IF($E806="Non Inventory",VLOOKUP($C806,'Non Inventory'!$B:$I,2,FALSE()),IF($E806="Services",VLOOKUP($C806,Services!$B:$I,2,FALSE()),IF($E806="Patty Cash",VLOOKUP($C806,'Patty Cash'!$B:$J,2,FALSE()),"")))),"")</f>
        <v/>
      </c>
      <c r="E806" s="254"/>
      <c r="F806" s="263" t="str">
        <f>IFERROR(IF($E806="Inventory",VLOOKUP($C806,Inventory!$B:$I,3,FALSE()),IF($E806="Non Inventory",VLOOKUP($C806,'Non Inventory'!$B:$I,3,FALSE()),IF($E806="Services",VLOOKUP($C806,Services!$B:$I,3,FALSE()),IF($E806="Patty Cash",VLOOKUP($C806,'Patty Cash'!$B:$J,3,FALSE()),"")))),"")</f>
        <v/>
      </c>
      <c r="G806" s="374"/>
      <c r="H806" s="374" t="str">
        <f t="shared" si="24"/>
        <v/>
      </c>
      <c r="I806" s="252">
        <f>IFERROR(IF($E806="Inventory",VLOOKUP($C806,Inventory!$B:$I,8,FALSE()),IF($E806="Non Inventory",VLOOKUP($C806,'Non Inventory'!$B:$I,8,FALSE()),IF($E806="Services",VLOOKUP($C806,Services!$B:$I,8,FALSE()),IF($E806="Patty Cash",VLOOKUP($C806,'Patty Cash'!$B:$J,8,FALSE()),0)))),0)</f>
        <v>0</v>
      </c>
      <c r="J806" s="252" t="str">
        <f t="shared" si="25"/>
        <v/>
      </c>
      <c r="K806" s="253"/>
      <c r="L806" s="253"/>
      <c r="M806" s="253"/>
      <c r="N806" s="328"/>
    </row>
    <row r="807" spans="1:14" ht="20.100000000000001" customHeight="1">
      <c r="A807" s="327" t="str">
        <f>IF(AND($B807="",$C807=""),"",MAX($A$3:A806)+1)</f>
        <v/>
      </c>
      <c r="B807" s="262"/>
      <c r="C807" s="253"/>
      <c r="D807" s="249" t="str">
        <f>IFERROR(IF($E807="Inventory",VLOOKUP($C807,Inventory!$B:$I,2,FALSE()),IF($E807="Non Inventory",VLOOKUP($C807,'Non Inventory'!$B:$I,2,FALSE()),IF($E807="Services",VLOOKUP($C807,Services!$B:$I,2,FALSE()),IF($E807="Patty Cash",VLOOKUP($C807,'Patty Cash'!$B:$J,2,FALSE()),"")))),"")</f>
        <v/>
      </c>
      <c r="E807" s="254"/>
      <c r="F807" s="263" t="str">
        <f>IFERROR(IF($E807="Inventory",VLOOKUP($C807,Inventory!$B:$I,3,FALSE()),IF($E807="Non Inventory",VLOOKUP($C807,'Non Inventory'!$B:$I,3,FALSE()),IF($E807="Services",VLOOKUP($C807,Services!$B:$I,3,FALSE()),IF($E807="Patty Cash",VLOOKUP($C807,'Patty Cash'!$B:$J,3,FALSE()),"")))),"")</f>
        <v/>
      </c>
      <c r="G807" s="374"/>
      <c r="H807" s="374" t="str">
        <f t="shared" si="24"/>
        <v/>
      </c>
      <c r="I807" s="252">
        <f>IFERROR(IF($E807="Inventory",VLOOKUP($C807,Inventory!$B:$I,8,FALSE()),IF($E807="Non Inventory",VLOOKUP($C807,'Non Inventory'!$B:$I,8,FALSE()),IF($E807="Services",VLOOKUP($C807,Services!$B:$I,8,FALSE()),IF($E807="Patty Cash",VLOOKUP($C807,'Patty Cash'!$B:$J,8,FALSE()),0)))),0)</f>
        <v>0</v>
      </c>
      <c r="J807" s="252" t="str">
        <f t="shared" si="25"/>
        <v/>
      </c>
      <c r="K807" s="253"/>
      <c r="L807" s="253"/>
      <c r="M807" s="253"/>
      <c r="N807" s="328"/>
    </row>
    <row r="808" spans="1:14" ht="20.100000000000001" customHeight="1">
      <c r="A808" s="327" t="str">
        <f>IF(AND($B808="",$C808=""),"",MAX($A$3:A807)+1)</f>
        <v/>
      </c>
      <c r="B808" s="262"/>
      <c r="C808" s="253"/>
      <c r="D808" s="249" t="str">
        <f>IFERROR(IF($E808="Inventory",VLOOKUP($C808,Inventory!$B:$I,2,FALSE()),IF($E808="Non Inventory",VLOOKUP($C808,'Non Inventory'!$B:$I,2,FALSE()),IF($E808="Services",VLOOKUP($C808,Services!$B:$I,2,FALSE()),IF($E808="Patty Cash",VLOOKUP($C808,'Patty Cash'!$B:$J,2,FALSE()),"")))),"")</f>
        <v/>
      </c>
      <c r="E808" s="254"/>
      <c r="F808" s="263" t="str">
        <f>IFERROR(IF($E808="Inventory",VLOOKUP($C808,Inventory!$B:$I,3,FALSE()),IF($E808="Non Inventory",VLOOKUP($C808,'Non Inventory'!$B:$I,3,FALSE()),IF($E808="Services",VLOOKUP($C808,Services!$B:$I,3,FALSE()),IF($E808="Patty Cash",VLOOKUP($C808,'Patty Cash'!$B:$J,3,FALSE()),"")))),"")</f>
        <v/>
      </c>
      <c r="G808" s="374"/>
      <c r="H808" s="374" t="str">
        <f t="shared" si="24"/>
        <v/>
      </c>
      <c r="I808" s="252">
        <f>IFERROR(IF($E808="Inventory",VLOOKUP($C808,Inventory!$B:$I,8,FALSE()),IF($E808="Non Inventory",VLOOKUP($C808,'Non Inventory'!$B:$I,8,FALSE()),IF($E808="Services",VLOOKUP($C808,Services!$B:$I,8,FALSE()),IF($E808="Patty Cash",VLOOKUP($C808,'Patty Cash'!$B:$J,8,FALSE()),0)))),0)</f>
        <v>0</v>
      </c>
      <c r="J808" s="252" t="str">
        <f t="shared" si="25"/>
        <v/>
      </c>
      <c r="K808" s="253"/>
      <c r="L808" s="253"/>
      <c r="M808" s="253"/>
      <c r="N808" s="328"/>
    </row>
    <row r="809" spans="1:14" ht="20.100000000000001" customHeight="1">
      <c r="A809" s="327" t="str">
        <f>IF(AND($B809="",$C809=""),"",MAX($A$3:A808)+1)</f>
        <v/>
      </c>
      <c r="B809" s="262"/>
      <c r="C809" s="253"/>
      <c r="D809" s="249" t="str">
        <f>IFERROR(IF($E809="Inventory",VLOOKUP($C809,Inventory!$B:$I,2,FALSE()),IF($E809="Non Inventory",VLOOKUP($C809,'Non Inventory'!$B:$I,2,FALSE()),IF($E809="Services",VLOOKUP($C809,Services!$B:$I,2,FALSE()),IF($E809="Patty Cash",VLOOKUP($C809,'Patty Cash'!$B:$J,2,FALSE()),"")))),"")</f>
        <v/>
      </c>
      <c r="E809" s="254"/>
      <c r="F809" s="263" t="str">
        <f>IFERROR(IF($E809="Inventory",VLOOKUP($C809,Inventory!$B:$I,3,FALSE()),IF($E809="Non Inventory",VLOOKUP($C809,'Non Inventory'!$B:$I,3,FALSE()),IF($E809="Services",VLOOKUP($C809,Services!$B:$I,3,FALSE()),IF($E809="Patty Cash",VLOOKUP($C809,'Patty Cash'!$B:$J,3,FALSE()),"")))),"")</f>
        <v/>
      </c>
      <c r="G809" s="374"/>
      <c r="H809" s="374" t="str">
        <f t="shared" si="24"/>
        <v/>
      </c>
      <c r="I809" s="252">
        <f>IFERROR(IF($E809="Inventory",VLOOKUP($C809,Inventory!$B:$I,8,FALSE()),IF($E809="Non Inventory",VLOOKUP($C809,'Non Inventory'!$B:$I,8,FALSE()),IF($E809="Services",VLOOKUP($C809,Services!$B:$I,8,FALSE()),IF($E809="Patty Cash",VLOOKUP($C809,'Patty Cash'!$B:$J,8,FALSE()),0)))),0)</f>
        <v>0</v>
      </c>
      <c r="J809" s="252" t="str">
        <f t="shared" si="25"/>
        <v/>
      </c>
      <c r="K809" s="253"/>
      <c r="L809" s="253"/>
      <c r="M809" s="253"/>
      <c r="N809" s="328"/>
    </row>
    <row r="810" spans="1:14" ht="20.100000000000001" customHeight="1">
      <c r="A810" s="327" t="str">
        <f>IF(AND($B810="",$C810=""),"",MAX($A$3:A809)+1)</f>
        <v/>
      </c>
      <c r="B810" s="262"/>
      <c r="C810" s="253"/>
      <c r="D810" s="249" t="str">
        <f>IFERROR(IF($E810="Inventory",VLOOKUP($C810,Inventory!$B:$I,2,FALSE()),IF($E810="Non Inventory",VLOOKUP($C810,'Non Inventory'!$B:$I,2,FALSE()),IF($E810="Services",VLOOKUP($C810,Services!$B:$I,2,FALSE()),IF($E810="Patty Cash",VLOOKUP($C810,'Patty Cash'!$B:$J,2,FALSE()),"")))),"")</f>
        <v/>
      </c>
      <c r="E810" s="254"/>
      <c r="F810" s="263" t="str">
        <f>IFERROR(IF($E810="Inventory",VLOOKUP($C810,Inventory!$B:$I,3,FALSE()),IF($E810="Non Inventory",VLOOKUP($C810,'Non Inventory'!$B:$I,3,FALSE()),IF($E810="Services",VLOOKUP($C810,Services!$B:$I,3,FALSE()),IF($E810="Patty Cash",VLOOKUP($C810,'Patty Cash'!$B:$J,3,FALSE()),"")))),"")</f>
        <v/>
      </c>
      <c r="G810" s="374"/>
      <c r="H810" s="374" t="str">
        <f t="shared" si="24"/>
        <v/>
      </c>
      <c r="I810" s="252">
        <f>IFERROR(IF($E810="Inventory",VLOOKUP($C810,Inventory!$B:$I,8,FALSE()),IF($E810="Non Inventory",VLOOKUP($C810,'Non Inventory'!$B:$I,8,FALSE()),IF($E810="Services",VLOOKUP($C810,Services!$B:$I,8,FALSE()),IF($E810="Patty Cash",VLOOKUP($C810,'Patty Cash'!$B:$J,8,FALSE()),0)))),0)</f>
        <v>0</v>
      </c>
      <c r="J810" s="252" t="str">
        <f t="shared" si="25"/>
        <v/>
      </c>
      <c r="K810" s="253"/>
      <c r="L810" s="253"/>
      <c r="M810" s="253"/>
      <c r="N810" s="328"/>
    </row>
    <row r="811" spans="1:14" ht="20.100000000000001" customHeight="1">
      <c r="A811" s="327" t="str">
        <f>IF(AND($B811="",$C811=""),"",MAX($A$3:A810)+1)</f>
        <v/>
      </c>
      <c r="B811" s="262"/>
      <c r="C811" s="253"/>
      <c r="D811" s="249" t="str">
        <f>IFERROR(IF($E811="Inventory",VLOOKUP($C811,Inventory!$B:$I,2,FALSE()),IF($E811="Non Inventory",VLOOKUP($C811,'Non Inventory'!$B:$I,2,FALSE()),IF($E811="Services",VLOOKUP($C811,Services!$B:$I,2,FALSE()),IF($E811="Patty Cash",VLOOKUP($C811,'Patty Cash'!$B:$J,2,FALSE()),"")))),"")</f>
        <v/>
      </c>
      <c r="E811" s="254"/>
      <c r="F811" s="263" t="str">
        <f>IFERROR(IF($E811="Inventory",VLOOKUP($C811,Inventory!$B:$I,3,FALSE()),IF($E811="Non Inventory",VLOOKUP($C811,'Non Inventory'!$B:$I,3,FALSE()),IF($E811="Services",VLOOKUP($C811,Services!$B:$I,3,FALSE()),IF($E811="Patty Cash",VLOOKUP($C811,'Patty Cash'!$B:$J,3,FALSE()),"")))),"")</f>
        <v/>
      </c>
      <c r="G811" s="374"/>
      <c r="H811" s="374" t="str">
        <f t="shared" si="24"/>
        <v/>
      </c>
      <c r="I811" s="252">
        <f>IFERROR(IF($E811="Inventory",VLOOKUP($C811,Inventory!$B:$I,8,FALSE()),IF($E811="Non Inventory",VLOOKUP($C811,'Non Inventory'!$B:$I,8,FALSE()),IF($E811="Services",VLOOKUP($C811,Services!$B:$I,8,FALSE()),IF($E811="Patty Cash",VLOOKUP($C811,'Patty Cash'!$B:$J,8,FALSE()),0)))),0)</f>
        <v>0</v>
      </c>
      <c r="J811" s="252" t="str">
        <f t="shared" si="25"/>
        <v/>
      </c>
      <c r="K811" s="253"/>
      <c r="L811" s="253"/>
      <c r="M811" s="253"/>
      <c r="N811" s="328"/>
    </row>
    <row r="812" spans="1:14" ht="20.100000000000001" customHeight="1">
      <c r="A812" s="327" t="str">
        <f>IF(AND($B812="",$C812=""),"",MAX($A$3:A811)+1)</f>
        <v/>
      </c>
      <c r="B812" s="262"/>
      <c r="C812" s="253"/>
      <c r="D812" s="249" t="str">
        <f>IFERROR(IF($E812="Inventory",VLOOKUP($C812,Inventory!$B:$I,2,FALSE()),IF($E812="Non Inventory",VLOOKUP($C812,'Non Inventory'!$B:$I,2,FALSE()),IF($E812="Services",VLOOKUP($C812,Services!$B:$I,2,FALSE()),IF($E812="Patty Cash",VLOOKUP($C812,'Patty Cash'!$B:$J,2,FALSE()),"")))),"")</f>
        <v/>
      </c>
      <c r="E812" s="254"/>
      <c r="F812" s="263" t="str">
        <f>IFERROR(IF($E812="Inventory",VLOOKUP($C812,Inventory!$B:$I,3,FALSE()),IF($E812="Non Inventory",VLOOKUP($C812,'Non Inventory'!$B:$I,3,FALSE()),IF($E812="Services",VLOOKUP($C812,Services!$B:$I,3,FALSE()),IF($E812="Patty Cash",VLOOKUP($C812,'Patty Cash'!$B:$J,3,FALSE()),"")))),"")</f>
        <v/>
      </c>
      <c r="G812" s="374"/>
      <c r="H812" s="374" t="str">
        <f t="shared" si="24"/>
        <v/>
      </c>
      <c r="I812" s="252">
        <f>IFERROR(IF($E812="Inventory",VLOOKUP($C812,Inventory!$B:$I,8,FALSE()),IF($E812="Non Inventory",VLOOKUP($C812,'Non Inventory'!$B:$I,8,FALSE()),IF($E812="Services",VLOOKUP($C812,Services!$B:$I,8,FALSE()),IF($E812="Patty Cash",VLOOKUP($C812,'Patty Cash'!$B:$J,8,FALSE()),0)))),0)</f>
        <v>0</v>
      </c>
      <c r="J812" s="252" t="str">
        <f t="shared" si="25"/>
        <v/>
      </c>
      <c r="K812" s="253"/>
      <c r="L812" s="253"/>
      <c r="M812" s="253"/>
      <c r="N812" s="328"/>
    </row>
    <row r="813" spans="1:14" ht="20.100000000000001" customHeight="1">
      <c r="A813" s="327" t="str">
        <f>IF(AND($B813="",$C813=""),"",MAX($A$3:A812)+1)</f>
        <v/>
      </c>
      <c r="B813" s="262"/>
      <c r="C813" s="253"/>
      <c r="D813" s="249" t="str">
        <f>IFERROR(IF($E813="Inventory",VLOOKUP($C813,Inventory!$B:$I,2,FALSE()),IF($E813="Non Inventory",VLOOKUP($C813,'Non Inventory'!$B:$I,2,FALSE()),IF($E813="Services",VLOOKUP($C813,Services!$B:$I,2,FALSE()),IF($E813="Patty Cash",VLOOKUP($C813,'Patty Cash'!$B:$J,2,FALSE()),"")))),"")</f>
        <v/>
      </c>
      <c r="E813" s="254"/>
      <c r="F813" s="263" t="str">
        <f>IFERROR(IF($E813="Inventory",VLOOKUP($C813,Inventory!$B:$I,3,FALSE()),IF($E813="Non Inventory",VLOOKUP($C813,'Non Inventory'!$B:$I,3,FALSE()),IF($E813="Services",VLOOKUP($C813,Services!$B:$I,3,FALSE()),IF($E813="Patty Cash",VLOOKUP($C813,'Patty Cash'!$B:$J,3,FALSE()),"")))),"")</f>
        <v/>
      </c>
      <c r="G813" s="374"/>
      <c r="H813" s="374" t="str">
        <f t="shared" si="24"/>
        <v/>
      </c>
      <c r="I813" s="252">
        <f>IFERROR(IF($E813="Inventory",VLOOKUP($C813,Inventory!$B:$I,8,FALSE()),IF($E813="Non Inventory",VLOOKUP($C813,'Non Inventory'!$B:$I,8,FALSE()),IF($E813="Services",VLOOKUP($C813,Services!$B:$I,8,FALSE()),IF($E813="Patty Cash",VLOOKUP($C813,'Patty Cash'!$B:$J,8,FALSE()),0)))),0)</f>
        <v>0</v>
      </c>
      <c r="J813" s="252" t="str">
        <f t="shared" si="25"/>
        <v/>
      </c>
      <c r="K813" s="253"/>
      <c r="L813" s="253"/>
      <c r="M813" s="253"/>
      <c r="N813" s="328"/>
    </row>
    <row r="814" spans="1:14" ht="20.100000000000001" customHeight="1">
      <c r="A814" s="327" t="str">
        <f>IF(AND($B814="",$C814=""),"",MAX($A$3:A813)+1)</f>
        <v/>
      </c>
      <c r="B814" s="262"/>
      <c r="C814" s="253"/>
      <c r="D814" s="249" t="str">
        <f>IFERROR(IF($E814="Inventory",VLOOKUP($C814,Inventory!$B:$I,2,FALSE()),IF($E814="Non Inventory",VLOOKUP($C814,'Non Inventory'!$B:$I,2,FALSE()),IF($E814="Services",VLOOKUP($C814,Services!$B:$I,2,FALSE()),IF($E814="Patty Cash",VLOOKUP($C814,'Patty Cash'!$B:$J,2,FALSE()),"")))),"")</f>
        <v/>
      </c>
      <c r="E814" s="254"/>
      <c r="F814" s="263" t="str">
        <f>IFERROR(IF($E814="Inventory",VLOOKUP($C814,Inventory!$B:$I,3,FALSE()),IF($E814="Non Inventory",VLOOKUP($C814,'Non Inventory'!$B:$I,3,FALSE()),IF($E814="Services",VLOOKUP($C814,Services!$B:$I,3,FALSE()),IF($E814="Patty Cash",VLOOKUP($C814,'Patty Cash'!$B:$J,3,FALSE()),"")))),"")</f>
        <v/>
      </c>
      <c r="G814" s="374"/>
      <c r="H814" s="374" t="str">
        <f t="shared" si="24"/>
        <v/>
      </c>
      <c r="I814" s="252">
        <f>IFERROR(IF($E814="Inventory",VLOOKUP($C814,Inventory!$B:$I,8,FALSE()),IF($E814="Non Inventory",VLOOKUP($C814,'Non Inventory'!$B:$I,8,FALSE()),IF($E814="Services",VLOOKUP($C814,Services!$B:$I,8,FALSE()),IF($E814="Patty Cash",VLOOKUP($C814,'Patty Cash'!$B:$J,8,FALSE()),0)))),0)</f>
        <v>0</v>
      </c>
      <c r="J814" s="252" t="str">
        <f t="shared" si="25"/>
        <v/>
      </c>
      <c r="K814" s="253"/>
      <c r="L814" s="253"/>
      <c r="M814" s="253"/>
      <c r="N814" s="328"/>
    </row>
    <row r="815" spans="1:14" ht="20.100000000000001" customHeight="1">
      <c r="A815" s="327" t="str">
        <f>IF(AND($B815="",$C815=""),"",MAX($A$3:A814)+1)</f>
        <v/>
      </c>
      <c r="B815" s="262"/>
      <c r="C815" s="253"/>
      <c r="D815" s="249" t="str">
        <f>IFERROR(IF($E815="Inventory",VLOOKUP($C815,Inventory!$B:$I,2,FALSE()),IF($E815="Non Inventory",VLOOKUP($C815,'Non Inventory'!$B:$I,2,FALSE()),IF($E815="Services",VLOOKUP($C815,Services!$B:$I,2,FALSE()),IF($E815="Patty Cash",VLOOKUP($C815,'Patty Cash'!$B:$J,2,FALSE()),"")))),"")</f>
        <v/>
      </c>
      <c r="E815" s="254"/>
      <c r="F815" s="263" t="str">
        <f>IFERROR(IF($E815="Inventory",VLOOKUP($C815,Inventory!$B:$I,3,FALSE()),IF($E815="Non Inventory",VLOOKUP($C815,'Non Inventory'!$B:$I,3,FALSE()),IF($E815="Services",VLOOKUP($C815,Services!$B:$I,3,FALSE()),IF($E815="Patty Cash",VLOOKUP($C815,'Patty Cash'!$B:$J,3,FALSE()),"")))),"")</f>
        <v/>
      </c>
      <c r="G815" s="374"/>
      <c r="H815" s="374" t="str">
        <f t="shared" si="24"/>
        <v/>
      </c>
      <c r="I815" s="252">
        <f>IFERROR(IF($E815="Inventory",VLOOKUP($C815,Inventory!$B:$I,8,FALSE()),IF($E815="Non Inventory",VLOOKUP($C815,'Non Inventory'!$B:$I,8,FALSE()),IF($E815="Services",VLOOKUP($C815,Services!$B:$I,8,FALSE()),IF($E815="Patty Cash",VLOOKUP($C815,'Patty Cash'!$B:$J,8,FALSE()),0)))),0)</f>
        <v>0</v>
      </c>
      <c r="J815" s="252" t="str">
        <f t="shared" si="25"/>
        <v/>
      </c>
      <c r="K815" s="253"/>
      <c r="L815" s="253"/>
      <c r="M815" s="253"/>
      <c r="N815" s="328"/>
    </row>
    <row r="816" spans="1:14" ht="20.100000000000001" customHeight="1">
      <c r="A816" s="327" t="str">
        <f>IF(AND($B816="",$C816=""),"",MAX($A$3:A815)+1)</f>
        <v/>
      </c>
      <c r="B816" s="262"/>
      <c r="C816" s="253"/>
      <c r="D816" s="249" t="str">
        <f>IFERROR(IF($E816="Inventory",VLOOKUP($C816,Inventory!$B:$I,2,FALSE()),IF($E816="Non Inventory",VLOOKUP($C816,'Non Inventory'!$B:$I,2,FALSE()),IF($E816="Services",VLOOKUP($C816,Services!$B:$I,2,FALSE()),IF($E816="Patty Cash",VLOOKUP($C816,'Patty Cash'!$B:$J,2,FALSE()),"")))),"")</f>
        <v/>
      </c>
      <c r="E816" s="254"/>
      <c r="F816" s="263" t="str">
        <f>IFERROR(IF($E816="Inventory",VLOOKUP($C816,Inventory!$B:$I,3,FALSE()),IF($E816="Non Inventory",VLOOKUP($C816,'Non Inventory'!$B:$I,3,FALSE()),IF($E816="Services",VLOOKUP($C816,Services!$B:$I,3,FALSE()),IF($E816="Patty Cash",VLOOKUP($C816,'Patty Cash'!$B:$J,3,FALSE()),"")))),"")</f>
        <v/>
      </c>
      <c r="G816" s="374"/>
      <c r="H816" s="374" t="str">
        <f t="shared" si="24"/>
        <v/>
      </c>
      <c r="I816" s="252">
        <f>IFERROR(IF($E816="Inventory",VLOOKUP($C816,Inventory!$B:$I,8,FALSE()),IF($E816="Non Inventory",VLOOKUP($C816,'Non Inventory'!$B:$I,8,FALSE()),IF($E816="Services",VLOOKUP($C816,Services!$B:$I,8,FALSE()),IF($E816="Patty Cash",VLOOKUP($C816,'Patty Cash'!$B:$J,8,FALSE()),0)))),0)</f>
        <v>0</v>
      </c>
      <c r="J816" s="252" t="str">
        <f t="shared" si="25"/>
        <v/>
      </c>
      <c r="K816" s="253"/>
      <c r="L816" s="253"/>
      <c r="M816" s="253"/>
      <c r="N816" s="328"/>
    </row>
    <row r="817" spans="1:14" ht="20.100000000000001" customHeight="1">
      <c r="A817" s="327" t="str">
        <f>IF(AND($B817="",$C817=""),"",MAX($A$3:A816)+1)</f>
        <v/>
      </c>
      <c r="B817" s="262"/>
      <c r="C817" s="253"/>
      <c r="D817" s="249" t="str">
        <f>IFERROR(IF($E817="Inventory",VLOOKUP($C817,Inventory!$B:$I,2,FALSE()),IF($E817="Non Inventory",VLOOKUP($C817,'Non Inventory'!$B:$I,2,FALSE()),IF($E817="Services",VLOOKUP($C817,Services!$B:$I,2,FALSE()),IF($E817="Patty Cash",VLOOKUP($C817,'Patty Cash'!$B:$J,2,FALSE()),"")))),"")</f>
        <v/>
      </c>
      <c r="E817" s="254"/>
      <c r="F817" s="263" t="str">
        <f>IFERROR(IF($E817="Inventory",VLOOKUP($C817,Inventory!$B:$I,3,FALSE()),IF($E817="Non Inventory",VLOOKUP($C817,'Non Inventory'!$B:$I,3,FALSE()),IF($E817="Services",VLOOKUP($C817,Services!$B:$I,3,FALSE()),IF($E817="Patty Cash",VLOOKUP($C817,'Patty Cash'!$B:$J,3,FALSE()),"")))),"")</f>
        <v/>
      </c>
      <c r="G817" s="374"/>
      <c r="H817" s="374" t="str">
        <f t="shared" si="24"/>
        <v/>
      </c>
      <c r="I817" s="252">
        <f>IFERROR(IF($E817="Inventory",VLOOKUP($C817,Inventory!$B:$I,8,FALSE()),IF($E817="Non Inventory",VLOOKUP($C817,'Non Inventory'!$B:$I,8,FALSE()),IF($E817="Services",VLOOKUP($C817,Services!$B:$I,8,FALSE()),IF($E817="Patty Cash",VLOOKUP($C817,'Patty Cash'!$B:$J,8,FALSE()),0)))),0)</f>
        <v>0</v>
      </c>
      <c r="J817" s="252" t="str">
        <f t="shared" si="25"/>
        <v/>
      </c>
      <c r="K817" s="253"/>
      <c r="L817" s="253"/>
      <c r="M817" s="253"/>
      <c r="N817" s="328"/>
    </row>
    <row r="818" spans="1:14" ht="20.100000000000001" customHeight="1">
      <c r="A818" s="327" t="str">
        <f>IF(AND($B818="",$C818=""),"",MAX($A$3:A817)+1)</f>
        <v/>
      </c>
      <c r="B818" s="262"/>
      <c r="C818" s="253"/>
      <c r="D818" s="249" t="str">
        <f>IFERROR(IF($E818="Inventory",VLOOKUP($C818,Inventory!$B:$I,2,FALSE()),IF($E818="Non Inventory",VLOOKUP($C818,'Non Inventory'!$B:$I,2,FALSE()),IF($E818="Services",VLOOKUP($C818,Services!$B:$I,2,FALSE()),IF($E818="Patty Cash",VLOOKUP($C818,'Patty Cash'!$B:$J,2,FALSE()),"")))),"")</f>
        <v/>
      </c>
      <c r="E818" s="254"/>
      <c r="F818" s="263" t="str">
        <f>IFERROR(IF($E818="Inventory",VLOOKUP($C818,Inventory!$B:$I,3,FALSE()),IF($E818="Non Inventory",VLOOKUP($C818,'Non Inventory'!$B:$I,3,FALSE()),IF($E818="Services",VLOOKUP($C818,Services!$B:$I,3,FALSE()),IF($E818="Patty Cash",VLOOKUP($C818,'Patty Cash'!$B:$J,3,FALSE()),"")))),"")</f>
        <v/>
      </c>
      <c r="G818" s="374"/>
      <c r="H818" s="374" t="str">
        <f t="shared" si="24"/>
        <v/>
      </c>
      <c r="I818" s="252">
        <f>IFERROR(IF($E818="Inventory",VLOOKUP($C818,Inventory!$B:$I,8,FALSE()),IF($E818="Non Inventory",VLOOKUP($C818,'Non Inventory'!$B:$I,8,FALSE()),IF($E818="Services",VLOOKUP($C818,Services!$B:$I,8,FALSE()),IF($E818="Patty Cash",VLOOKUP($C818,'Patty Cash'!$B:$J,8,FALSE()),0)))),0)</f>
        <v>0</v>
      </c>
      <c r="J818" s="252" t="str">
        <f t="shared" si="25"/>
        <v/>
      </c>
      <c r="K818" s="253"/>
      <c r="L818" s="253"/>
      <c r="M818" s="253"/>
      <c r="N818" s="328"/>
    </row>
    <row r="819" spans="1:14" ht="20.100000000000001" customHeight="1">
      <c r="A819" s="327" t="str">
        <f>IF(AND($B819="",$C819=""),"",MAX($A$3:A818)+1)</f>
        <v/>
      </c>
      <c r="B819" s="262"/>
      <c r="C819" s="253"/>
      <c r="D819" s="249" t="str">
        <f>IFERROR(IF($E819="Inventory",VLOOKUP($C819,Inventory!$B:$I,2,FALSE()),IF($E819="Non Inventory",VLOOKUP($C819,'Non Inventory'!$B:$I,2,FALSE()),IF($E819="Services",VLOOKUP($C819,Services!$B:$I,2,FALSE()),IF($E819="Patty Cash",VLOOKUP($C819,'Patty Cash'!$B:$J,2,FALSE()),"")))),"")</f>
        <v/>
      </c>
      <c r="E819" s="254"/>
      <c r="F819" s="263" t="str">
        <f>IFERROR(IF($E819="Inventory",VLOOKUP($C819,Inventory!$B:$I,3,FALSE()),IF($E819="Non Inventory",VLOOKUP($C819,'Non Inventory'!$B:$I,3,FALSE()),IF($E819="Services",VLOOKUP($C819,Services!$B:$I,3,FALSE()),IF($E819="Patty Cash",VLOOKUP($C819,'Patty Cash'!$B:$J,3,FALSE()),"")))),"")</f>
        <v/>
      </c>
      <c r="G819" s="374"/>
      <c r="H819" s="374" t="str">
        <f t="shared" si="24"/>
        <v/>
      </c>
      <c r="I819" s="252">
        <f>IFERROR(IF($E819="Inventory",VLOOKUP($C819,Inventory!$B:$I,8,FALSE()),IF($E819="Non Inventory",VLOOKUP($C819,'Non Inventory'!$B:$I,8,FALSE()),IF($E819="Services",VLOOKUP($C819,Services!$B:$I,8,FALSE()),IF($E819="Patty Cash",VLOOKUP($C819,'Patty Cash'!$B:$J,8,FALSE()),0)))),0)</f>
        <v>0</v>
      </c>
      <c r="J819" s="252" t="str">
        <f t="shared" si="25"/>
        <v/>
      </c>
      <c r="K819" s="253"/>
      <c r="L819" s="253"/>
      <c r="M819" s="253"/>
      <c r="N819" s="328"/>
    </row>
    <row r="820" spans="1:14" ht="20.100000000000001" customHeight="1">
      <c r="A820" s="327" t="str">
        <f>IF(AND($B820="",$C820=""),"",MAX($A$3:A819)+1)</f>
        <v/>
      </c>
      <c r="B820" s="262"/>
      <c r="C820" s="253"/>
      <c r="D820" s="249" t="str">
        <f>IFERROR(IF($E820="Inventory",VLOOKUP($C820,Inventory!$B:$I,2,FALSE()),IF($E820="Non Inventory",VLOOKUP($C820,'Non Inventory'!$B:$I,2,FALSE()),IF($E820="Services",VLOOKUP($C820,Services!$B:$I,2,FALSE()),IF($E820="Patty Cash",VLOOKUP($C820,'Patty Cash'!$B:$J,2,FALSE()),"")))),"")</f>
        <v/>
      </c>
      <c r="E820" s="254"/>
      <c r="F820" s="263" t="str">
        <f>IFERROR(IF($E820="Inventory",VLOOKUP($C820,Inventory!$B:$I,3,FALSE()),IF($E820="Non Inventory",VLOOKUP($C820,'Non Inventory'!$B:$I,3,FALSE()),IF($E820="Services",VLOOKUP($C820,Services!$B:$I,3,FALSE()),IF($E820="Patty Cash",VLOOKUP($C820,'Patty Cash'!$B:$J,3,FALSE()),"")))),"")</f>
        <v/>
      </c>
      <c r="G820" s="374"/>
      <c r="H820" s="374" t="str">
        <f t="shared" si="24"/>
        <v/>
      </c>
      <c r="I820" s="252">
        <f>IFERROR(IF($E820="Inventory",VLOOKUP($C820,Inventory!$B:$I,8,FALSE()),IF($E820="Non Inventory",VLOOKUP($C820,'Non Inventory'!$B:$I,8,FALSE()),IF($E820="Services",VLOOKUP($C820,Services!$B:$I,8,FALSE()),IF($E820="Patty Cash",VLOOKUP($C820,'Patty Cash'!$B:$J,8,FALSE()),0)))),0)</f>
        <v>0</v>
      </c>
      <c r="J820" s="252" t="str">
        <f t="shared" si="25"/>
        <v/>
      </c>
      <c r="K820" s="253"/>
      <c r="L820" s="253"/>
      <c r="M820" s="253"/>
      <c r="N820" s="328"/>
    </row>
    <row r="821" spans="1:14" ht="20.100000000000001" customHeight="1">
      <c r="A821" s="327" t="str">
        <f>IF(AND($B821="",$C821=""),"",MAX($A$3:A820)+1)</f>
        <v/>
      </c>
      <c r="B821" s="262"/>
      <c r="C821" s="253"/>
      <c r="D821" s="249" t="str">
        <f>IFERROR(IF($E821="Inventory",VLOOKUP($C821,Inventory!$B:$I,2,FALSE()),IF($E821="Non Inventory",VLOOKUP($C821,'Non Inventory'!$B:$I,2,FALSE()),IF($E821="Services",VLOOKUP($C821,Services!$B:$I,2,FALSE()),IF($E821="Patty Cash",VLOOKUP($C821,'Patty Cash'!$B:$J,2,FALSE()),"")))),"")</f>
        <v/>
      </c>
      <c r="E821" s="254"/>
      <c r="F821" s="263" t="str">
        <f>IFERROR(IF($E821="Inventory",VLOOKUP($C821,Inventory!$B:$I,3,FALSE()),IF($E821="Non Inventory",VLOOKUP($C821,'Non Inventory'!$B:$I,3,FALSE()),IF($E821="Services",VLOOKUP($C821,Services!$B:$I,3,FALSE()),IF($E821="Patty Cash",VLOOKUP($C821,'Patty Cash'!$B:$J,3,FALSE()),"")))),"")</f>
        <v/>
      </c>
      <c r="G821" s="374"/>
      <c r="H821" s="374" t="str">
        <f t="shared" si="24"/>
        <v/>
      </c>
      <c r="I821" s="252">
        <f>IFERROR(IF($E821="Inventory",VLOOKUP($C821,Inventory!$B:$I,8,FALSE()),IF($E821="Non Inventory",VLOOKUP($C821,'Non Inventory'!$B:$I,8,FALSE()),IF($E821="Services",VLOOKUP($C821,Services!$B:$I,8,FALSE()),IF($E821="Patty Cash",VLOOKUP($C821,'Patty Cash'!$B:$J,8,FALSE()),0)))),0)</f>
        <v>0</v>
      </c>
      <c r="J821" s="252" t="str">
        <f t="shared" si="25"/>
        <v/>
      </c>
      <c r="K821" s="253"/>
      <c r="L821" s="253"/>
      <c r="M821" s="253"/>
      <c r="N821" s="328"/>
    </row>
    <row r="822" spans="1:14" ht="20.100000000000001" customHeight="1">
      <c r="A822" s="327" t="str">
        <f>IF(AND($B822="",$C822=""),"",MAX($A$3:A821)+1)</f>
        <v/>
      </c>
      <c r="B822" s="262"/>
      <c r="C822" s="253"/>
      <c r="D822" s="249" t="str">
        <f>IFERROR(IF($E822="Inventory",VLOOKUP($C822,Inventory!$B:$I,2,FALSE()),IF($E822="Non Inventory",VLOOKUP($C822,'Non Inventory'!$B:$I,2,FALSE()),IF($E822="Services",VLOOKUP($C822,Services!$B:$I,2,FALSE()),IF($E822="Patty Cash",VLOOKUP($C822,'Patty Cash'!$B:$J,2,FALSE()),"")))),"")</f>
        <v/>
      </c>
      <c r="E822" s="254"/>
      <c r="F822" s="263" t="str">
        <f>IFERROR(IF($E822="Inventory",VLOOKUP($C822,Inventory!$B:$I,3,FALSE()),IF($E822="Non Inventory",VLOOKUP($C822,'Non Inventory'!$B:$I,3,FALSE()),IF($E822="Services",VLOOKUP($C822,Services!$B:$I,3,FALSE()),IF($E822="Patty Cash",VLOOKUP($C822,'Patty Cash'!$B:$J,3,FALSE()),"")))),"")</f>
        <v/>
      </c>
      <c r="G822" s="374"/>
      <c r="H822" s="374" t="str">
        <f t="shared" si="24"/>
        <v/>
      </c>
      <c r="I822" s="252">
        <f>IFERROR(IF($E822="Inventory",VLOOKUP($C822,Inventory!$B:$I,8,FALSE()),IF($E822="Non Inventory",VLOOKUP($C822,'Non Inventory'!$B:$I,8,FALSE()),IF($E822="Services",VLOOKUP($C822,Services!$B:$I,8,FALSE()),IF($E822="Patty Cash",VLOOKUP($C822,'Patty Cash'!$B:$J,8,FALSE()),0)))),0)</f>
        <v>0</v>
      </c>
      <c r="J822" s="252" t="str">
        <f t="shared" si="25"/>
        <v/>
      </c>
      <c r="K822" s="253"/>
      <c r="L822" s="253"/>
      <c r="M822" s="253"/>
      <c r="N822" s="328"/>
    </row>
    <row r="823" spans="1:14" ht="20.100000000000001" customHeight="1">
      <c r="A823" s="327" t="str">
        <f>IF(AND($B823="",$C823=""),"",MAX($A$3:A822)+1)</f>
        <v/>
      </c>
      <c r="B823" s="262"/>
      <c r="C823" s="253"/>
      <c r="D823" s="249" t="str">
        <f>IFERROR(IF($E823="Inventory",VLOOKUP($C823,Inventory!$B:$I,2,FALSE()),IF($E823="Non Inventory",VLOOKUP($C823,'Non Inventory'!$B:$I,2,FALSE()),IF($E823="Services",VLOOKUP($C823,Services!$B:$I,2,FALSE()),IF($E823="Patty Cash",VLOOKUP($C823,'Patty Cash'!$B:$J,2,FALSE()),"")))),"")</f>
        <v/>
      </c>
      <c r="E823" s="254"/>
      <c r="F823" s="263" t="str">
        <f>IFERROR(IF($E823="Inventory",VLOOKUP($C823,Inventory!$B:$I,3,FALSE()),IF($E823="Non Inventory",VLOOKUP($C823,'Non Inventory'!$B:$I,3,FALSE()),IF($E823="Services",VLOOKUP($C823,Services!$B:$I,3,FALSE()),IF($E823="Patty Cash",VLOOKUP($C823,'Patty Cash'!$B:$J,3,FALSE()),"")))),"")</f>
        <v/>
      </c>
      <c r="G823" s="374"/>
      <c r="H823" s="374" t="str">
        <f t="shared" si="24"/>
        <v/>
      </c>
      <c r="I823" s="252">
        <f>IFERROR(IF($E823="Inventory",VLOOKUP($C823,Inventory!$B:$I,8,FALSE()),IF($E823="Non Inventory",VLOOKUP($C823,'Non Inventory'!$B:$I,8,FALSE()),IF($E823="Services",VLOOKUP($C823,Services!$B:$I,8,FALSE()),IF($E823="Patty Cash",VLOOKUP($C823,'Patty Cash'!$B:$J,8,FALSE()),0)))),0)</f>
        <v>0</v>
      </c>
      <c r="J823" s="252" t="str">
        <f t="shared" si="25"/>
        <v/>
      </c>
      <c r="K823" s="253"/>
      <c r="L823" s="253"/>
      <c r="M823" s="253"/>
      <c r="N823" s="328"/>
    </row>
    <row r="824" spans="1:14" ht="20.100000000000001" customHeight="1">
      <c r="A824" s="327" t="str">
        <f>IF(AND($B824="",$C824=""),"",MAX($A$3:A823)+1)</f>
        <v/>
      </c>
      <c r="B824" s="262"/>
      <c r="C824" s="253"/>
      <c r="D824" s="249" t="str">
        <f>IFERROR(IF($E824="Inventory",VLOOKUP($C824,Inventory!$B:$I,2,FALSE()),IF($E824="Non Inventory",VLOOKUP($C824,'Non Inventory'!$B:$I,2,FALSE()),IF($E824="Services",VLOOKUP($C824,Services!$B:$I,2,FALSE()),IF($E824="Patty Cash",VLOOKUP($C824,'Patty Cash'!$B:$J,2,FALSE()),"")))),"")</f>
        <v/>
      </c>
      <c r="E824" s="254"/>
      <c r="F824" s="263" t="str">
        <f>IFERROR(IF($E824="Inventory",VLOOKUP($C824,Inventory!$B:$I,3,FALSE()),IF($E824="Non Inventory",VLOOKUP($C824,'Non Inventory'!$B:$I,3,FALSE()),IF($E824="Services",VLOOKUP($C824,Services!$B:$I,3,FALSE()),IF($E824="Patty Cash",VLOOKUP($C824,'Patty Cash'!$B:$J,3,FALSE()),"")))),"")</f>
        <v/>
      </c>
      <c r="G824" s="374"/>
      <c r="H824" s="374" t="str">
        <f t="shared" si="24"/>
        <v/>
      </c>
      <c r="I824" s="252">
        <f>IFERROR(IF($E824="Inventory",VLOOKUP($C824,Inventory!$B:$I,8,FALSE()),IF($E824="Non Inventory",VLOOKUP($C824,'Non Inventory'!$B:$I,8,FALSE()),IF($E824="Services",VLOOKUP($C824,Services!$B:$I,8,FALSE()),IF($E824="Patty Cash",VLOOKUP($C824,'Patty Cash'!$B:$J,8,FALSE()),0)))),0)</f>
        <v>0</v>
      </c>
      <c r="J824" s="252" t="str">
        <f t="shared" si="25"/>
        <v/>
      </c>
      <c r="K824" s="253"/>
      <c r="L824" s="253"/>
      <c r="M824" s="253"/>
      <c r="N824" s="328"/>
    </row>
    <row r="825" spans="1:14" ht="20.100000000000001" customHeight="1">
      <c r="A825" s="327" t="str">
        <f>IF(AND($B825="",$C825=""),"",MAX($A$3:A824)+1)</f>
        <v/>
      </c>
      <c r="B825" s="262"/>
      <c r="C825" s="253"/>
      <c r="D825" s="249" t="str">
        <f>IFERROR(IF($E825="Inventory",VLOOKUP($C825,Inventory!$B:$I,2,FALSE()),IF($E825="Non Inventory",VLOOKUP($C825,'Non Inventory'!$B:$I,2,FALSE()),IF($E825="Services",VLOOKUP($C825,Services!$B:$I,2,FALSE()),IF($E825="Patty Cash",VLOOKUP($C825,'Patty Cash'!$B:$J,2,FALSE()),"")))),"")</f>
        <v/>
      </c>
      <c r="E825" s="254"/>
      <c r="F825" s="263" t="str">
        <f>IFERROR(IF($E825="Inventory",VLOOKUP($C825,Inventory!$B:$I,3,FALSE()),IF($E825="Non Inventory",VLOOKUP($C825,'Non Inventory'!$B:$I,3,FALSE()),IF($E825="Services",VLOOKUP($C825,Services!$B:$I,3,FALSE()),IF($E825="Patty Cash",VLOOKUP($C825,'Patty Cash'!$B:$J,3,FALSE()),"")))),"")</f>
        <v/>
      </c>
      <c r="G825" s="374"/>
      <c r="H825" s="374" t="str">
        <f t="shared" si="24"/>
        <v/>
      </c>
      <c r="I825" s="252">
        <f>IFERROR(IF($E825="Inventory",VLOOKUP($C825,Inventory!$B:$I,8,FALSE()),IF($E825="Non Inventory",VLOOKUP($C825,'Non Inventory'!$B:$I,8,FALSE()),IF($E825="Services",VLOOKUP($C825,Services!$B:$I,8,FALSE()),IF($E825="Patty Cash",VLOOKUP($C825,'Patty Cash'!$B:$J,8,FALSE()),0)))),0)</f>
        <v>0</v>
      </c>
      <c r="J825" s="252" t="str">
        <f t="shared" si="25"/>
        <v/>
      </c>
      <c r="K825" s="253"/>
      <c r="L825" s="253"/>
      <c r="M825" s="253"/>
      <c r="N825" s="328"/>
    </row>
    <row r="826" spans="1:14" ht="20.100000000000001" customHeight="1">
      <c r="A826" s="327" t="str">
        <f>IF(AND($B826="",$C826=""),"",MAX($A$3:A825)+1)</f>
        <v/>
      </c>
      <c r="B826" s="262"/>
      <c r="C826" s="253"/>
      <c r="D826" s="249" t="str">
        <f>IFERROR(IF($E826="Inventory",VLOOKUP($C826,Inventory!$B:$I,2,FALSE()),IF($E826="Non Inventory",VLOOKUP($C826,'Non Inventory'!$B:$I,2,FALSE()),IF($E826="Services",VLOOKUP($C826,Services!$B:$I,2,FALSE()),IF($E826="Patty Cash",VLOOKUP($C826,'Patty Cash'!$B:$J,2,FALSE()),"")))),"")</f>
        <v/>
      </c>
      <c r="E826" s="254"/>
      <c r="F826" s="263" t="str">
        <f>IFERROR(IF($E826="Inventory",VLOOKUP($C826,Inventory!$B:$I,3,FALSE()),IF($E826="Non Inventory",VLOOKUP($C826,'Non Inventory'!$B:$I,3,FALSE()),IF($E826="Services",VLOOKUP($C826,Services!$B:$I,3,FALSE()),IF($E826="Patty Cash",VLOOKUP($C826,'Patty Cash'!$B:$J,3,FALSE()),"")))),"")</f>
        <v/>
      </c>
      <c r="G826" s="374"/>
      <c r="H826" s="374" t="str">
        <f t="shared" si="24"/>
        <v/>
      </c>
      <c r="I826" s="252">
        <f>IFERROR(IF($E826="Inventory",VLOOKUP($C826,Inventory!$B:$I,8,FALSE()),IF($E826="Non Inventory",VLOOKUP($C826,'Non Inventory'!$B:$I,8,FALSE()),IF($E826="Services",VLOOKUP($C826,Services!$B:$I,8,FALSE()),IF($E826="Patty Cash",VLOOKUP($C826,'Patty Cash'!$B:$J,8,FALSE()),0)))),0)</f>
        <v>0</v>
      </c>
      <c r="J826" s="252" t="str">
        <f t="shared" si="25"/>
        <v/>
      </c>
      <c r="K826" s="253"/>
      <c r="L826" s="253"/>
      <c r="M826" s="253"/>
      <c r="N826" s="328"/>
    </row>
    <row r="827" spans="1:14" ht="20.100000000000001" customHeight="1">
      <c r="A827" s="327" t="str">
        <f>IF(AND($B827="",$C827=""),"",MAX($A$3:A826)+1)</f>
        <v/>
      </c>
      <c r="B827" s="262"/>
      <c r="C827" s="253"/>
      <c r="D827" s="249" t="str">
        <f>IFERROR(IF($E827="Inventory",VLOOKUP($C827,Inventory!$B:$I,2,FALSE()),IF($E827="Non Inventory",VLOOKUP($C827,'Non Inventory'!$B:$I,2,FALSE()),IF($E827="Services",VLOOKUP($C827,Services!$B:$I,2,FALSE()),IF($E827="Patty Cash",VLOOKUP($C827,'Patty Cash'!$B:$J,2,FALSE()),"")))),"")</f>
        <v/>
      </c>
      <c r="E827" s="254"/>
      <c r="F827" s="263" t="str">
        <f>IFERROR(IF($E827="Inventory",VLOOKUP($C827,Inventory!$B:$I,3,FALSE()),IF($E827="Non Inventory",VLOOKUP($C827,'Non Inventory'!$B:$I,3,FALSE()),IF($E827="Services",VLOOKUP($C827,Services!$B:$I,3,FALSE()),IF($E827="Patty Cash",VLOOKUP($C827,'Patty Cash'!$B:$J,3,FALSE()),"")))),"")</f>
        <v/>
      </c>
      <c r="G827" s="374"/>
      <c r="H827" s="374" t="str">
        <f t="shared" ref="H827:H890" si="26">IF($G827="","",G827)</f>
        <v/>
      </c>
      <c r="I827" s="252">
        <f>IFERROR(IF($E827="Inventory",VLOOKUP($C827,Inventory!$B:$I,8,FALSE()),IF($E827="Non Inventory",VLOOKUP($C827,'Non Inventory'!$B:$I,8,FALSE()),IF($E827="Services",VLOOKUP($C827,Services!$B:$I,8,FALSE()),IF($E827="Patty Cash",VLOOKUP($C827,'Patty Cash'!$B:$J,8,FALSE()),0)))),0)</f>
        <v>0</v>
      </c>
      <c r="J827" s="252" t="str">
        <f t="shared" ref="J827:J890" si="27">IF($H827="","",H827*I827)</f>
        <v/>
      </c>
      <c r="K827" s="253"/>
      <c r="L827" s="253"/>
      <c r="M827" s="253"/>
      <c r="N827" s="328"/>
    </row>
    <row r="828" spans="1:14" ht="20.100000000000001" customHeight="1">
      <c r="A828" s="327" t="str">
        <f>IF(AND($B828="",$C828=""),"",MAX($A$3:A827)+1)</f>
        <v/>
      </c>
      <c r="B828" s="262"/>
      <c r="C828" s="253"/>
      <c r="D828" s="249" t="str">
        <f>IFERROR(IF($E828="Inventory",VLOOKUP($C828,Inventory!$B:$I,2,FALSE()),IF($E828="Non Inventory",VLOOKUP($C828,'Non Inventory'!$B:$I,2,FALSE()),IF($E828="Services",VLOOKUP($C828,Services!$B:$I,2,FALSE()),IF($E828="Patty Cash",VLOOKUP($C828,'Patty Cash'!$B:$J,2,FALSE()),"")))),"")</f>
        <v/>
      </c>
      <c r="E828" s="254"/>
      <c r="F828" s="263" t="str">
        <f>IFERROR(IF($E828="Inventory",VLOOKUP($C828,Inventory!$B:$I,3,FALSE()),IF($E828="Non Inventory",VLOOKUP($C828,'Non Inventory'!$B:$I,3,FALSE()),IF($E828="Services",VLOOKUP($C828,Services!$B:$I,3,FALSE()),IF($E828="Patty Cash",VLOOKUP($C828,'Patty Cash'!$B:$J,3,FALSE()),"")))),"")</f>
        <v/>
      </c>
      <c r="G828" s="374"/>
      <c r="H828" s="374" t="str">
        <f t="shared" si="26"/>
        <v/>
      </c>
      <c r="I828" s="252">
        <f>IFERROR(IF($E828="Inventory",VLOOKUP($C828,Inventory!$B:$I,8,FALSE()),IF($E828="Non Inventory",VLOOKUP($C828,'Non Inventory'!$B:$I,8,FALSE()),IF($E828="Services",VLOOKUP($C828,Services!$B:$I,8,FALSE()),IF($E828="Patty Cash",VLOOKUP($C828,'Patty Cash'!$B:$J,8,FALSE()),0)))),0)</f>
        <v>0</v>
      </c>
      <c r="J828" s="252" t="str">
        <f t="shared" si="27"/>
        <v/>
      </c>
      <c r="K828" s="253"/>
      <c r="L828" s="253"/>
      <c r="M828" s="253"/>
      <c r="N828" s="328"/>
    </row>
    <row r="829" spans="1:14" ht="20.100000000000001" customHeight="1">
      <c r="A829" s="327" t="str">
        <f>IF(AND($B829="",$C829=""),"",MAX($A$3:A828)+1)</f>
        <v/>
      </c>
      <c r="B829" s="262"/>
      <c r="C829" s="253"/>
      <c r="D829" s="249" t="str">
        <f>IFERROR(IF($E829="Inventory",VLOOKUP($C829,Inventory!$B:$I,2,FALSE()),IF($E829="Non Inventory",VLOOKUP($C829,'Non Inventory'!$B:$I,2,FALSE()),IF($E829="Services",VLOOKUP($C829,Services!$B:$I,2,FALSE()),IF($E829="Patty Cash",VLOOKUP($C829,'Patty Cash'!$B:$J,2,FALSE()),"")))),"")</f>
        <v/>
      </c>
      <c r="E829" s="254"/>
      <c r="F829" s="263" t="str">
        <f>IFERROR(IF($E829="Inventory",VLOOKUP($C829,Inventory!$B:$I,3,FALSE()),IF($E829="Non Inventory",VLOOKUP($C829,'Non Inventory'!$B:$I,3,FALSE()),IF($E829="Services",VLOOKUP($C829,Services!$B:$I,3,FALSE()),IF($E829="Patty Cash",VLOOKUP($C829,'Patty Cash'!$B:$J,3,FALSE()),"")))),"")</f>
        <v/>
      </c>
      <c r="G829" s="374"/>
      <c r="H829" s="374" t="str">
        <f t="shared" si="26"/>
        <v/>
      </c>
      <c r="I829" s="252">
        <f>IFERROR(IF($E829="Inventory",VLOOKUP($C829,Inventory!$B:$I,8,FALSE()),IF($E829="Non Inventory",VLOOKUP($C829,'Non Inventory'!$B:$I,8,FALSE()),IF($E829="Services",VLOOKUP($C829,Services!$B:$I,8,FALSE()),IF($E829="Patty Cash",VLOOKUP($C829,'Patty Cash'!$B:$J,8,FALSE()),0)))),0)</f>
        <v>0</v>
      </c>
      <c r="J829" s="252" t="str">
        <f t="shared" si="27"/>
        <v/>
      </c>
      <c r="K829" s="253"/>
      <c r="L829" s="253"/>
      <c r="M829" s="253"/>
      <c r="N829" s="328"/>
    </row>
    <row r="830" spans="1:14" ht="20.100000000000001" customHeight="1">
      <c r="A830" s="327" t="str">
        <f>IF(AND($B830="",$C830=""),"",MAX($A$3:A829)+1)</f>
        <v/>
      </c>
      <c r="B830" s="262"/>
      <c r="C830" s="253"/>
      <c r="D830" s="249" t="str">
        <f>IFERROR(IF($E830="Inventory",VLOOKUP($C830,Inventory!$B:$I,2,FALSE()),IF($E830="Non Inventory",VLOOKUP($C830,'Non Inventory'!$B:$I,2,FALSE()),IF($E830="Services",VLOOKUP($C830,Services!$B:$I,2,FALSE()),IF($E830="Patty Cash",VLOOKUP($C830,'Patty Cash'!$B:$J,2,FALSE()),"")))),"")</f>
        <v/>
      </c>
      <c r="E830" s="254"/>
      <c r="F830" s="263" t="str">
        <f>IFERROR(IF($E830="Inventory",VLOOKUP($C830,Inventory!$B:$I,3,FALSE()),IF($E830="Non Inventory",VLOOKUP($C830,'Non Inventory'!$B:$I,3,FALSE()),IF($E830="Services",VLOOKUP($C830,Services!$B:$I,3,FALSE()),IF($E830="Patty Cash",VLOOKUP($C830,'Patty Cash'!$B:$J,3,FALSE()),"")))),"")</f>
        <v/>
      </c>
      <c r="G830" s="374"/>
      <c r="H830" s="374" t="str">
        <f t="shared" si="26"/>
        <v/>
      </c>
      <c r="I830" s="252">
        <f>IFERROR(IF($E830="Inventory",VLOOKUP($C830,Inventory!$B:$I,8,FALSE()),IF($E830="Non Inventory",VLOOKUP($C830,'Non Inventory'!$B:$I,8,FALSE()),IF($E830="Services",VLOOKUP($C830,Services!$B:$I,8,FALSE()),IF($E830="Patty Cash",VLOOKUP($C830,'Patty Cash'!$B:$J,8,FALSE()),0)))),0)</f>
        <v>0</v>
      </c>
      <c r="J830" s="252" t="str">
        <f t="shared" si="27"/>
        <v/>
      </c>
      <c r="K830" s="253"/>
      <c r="L830" s="253"/>
      <c r="M830" s="253"/>
      <c r="N830" s="328"/>
    </row>
    <row r="831" spans="1:14" ht="20.100000000000001" customHeight="1">
      <c r="A831" s="327" t="str">
        <f>IF(AND($B831="",$C831=""),"",MAX($A$3:A830)+1)</f>
        <v/>
      </c>
      <c r="B831" s="262"/>
      <c r="C831" s="253"/>
      <c r="D831" s="249" t="str">
        <f>IFERROR(IF($E831="Inventory",VLOOKUP($C831,Inventory!$B:$I,2,FALSE()),IF($E831="Non Inventory",VLOOKUP($C831,'Non Inventory'!$B:$I,2,FALSE()),IF($E831="Services",VLOOKUP($C831,Services!$B:$I,2,FALSE()),IF($E831="Patty Cash",VLOOKUP($C831,'Patty Cash'!$B:$J,2,FALSE()),"")))),"")</f>
        <v/>
      </c>
      <c r="E831" s="254"/>
      <c r="F831" s="263" t="str">
        <f>IFERROR(IF($E831="Inventory",VLOOKUP($C831,Inventory!$B:$I,3,FALSE()),IF($E831="Non Inventory",VLOOKUP($C831,'Non Inventory'!$B:$I,3,FALSE()),IF($E831="Services",VLOOKUP($C831,Services!$B:$I,3,FALSE()),IF($E831="Patty Cash",VLOOKUP($C831,'Patty Cash'!$B:$J,3,FALSE()),"")))),"")</f>
        <v/>
      </c>
      <c r="G831" s="374"/>
      <c r="H831" s="374" t="str">
        <f t="shared" si="26"/>
        <v/>
      </c>
      <c r="I831" s="252">
        <f>IFERROR(IF($E831="Inventory",VLOOKUP($C831,Inventory!$B:$I,8,FALSE()),IF($E831="Non Inventory",VLOOKUP($C831,'Non Inventory'!$B:$I,8,FALSE()),IF($E831="Services",VLOOKUP($C831,Services!$B:$I,8,FALSE()),IF($E831="Patty Cash",VLOOKUP($C831,'Patty Cash'!$B:$J,8,FALSE()),0)))),0)</f>
        <v>0</v>
      </c>
      <c r="J831" s="252" t="str">
        <f t="shared" si="27"/>
        <v/>
      </c>
      <c r="K831" s="253"/>
      <c r="L831" s="253"/>
      <c r="M831" s="253"/>
      <c r="N831" s="328"/>
    </row>
    <row r="832" spans="1:14" ht="20.100000000000001" customHeight="1">
      <c r="A832" s="327" t="str">
        <f>IF(AND($B832="",$C832=""),"",MAX($A$3:A831)+1)</f>
        <v/>
      </c>
      <c r="B832" s="262"/>
      <c r="C832" s="253"/>
      <c r="D832" s="249" t="str">
        <f>IFERROR(IF($E832="Inventory",VLOOKUP($C832,Inventory!$B:$I,2,FALSE()),IF($E832="Non Inventory",VLOOKUP($C832,'Non Inventory'!$B:$I,2,FALSE()),IF($E832="Services",VLOOKUP($C832,Services!$B:$I,2,FALSE()),IF($E832="Patty Cash",VLOOKUP($C832,'Patty Cash'!$B:$J,2,FALSE()),"")))),"")</f>
        <v/>
      </c>
      <c r="E832" s="254"/>
      <c r="F832" s="263" t="str">
        <f>IFERROR(IF($E832="Inventory",VLOOKUP($C832,Inventory!$B:$I,3,FALSE()),IF($E832="Non Inventory",VLOOKUP($C832,'Non Inventory'!$B:$I,3,FALSE()),IF($E832="Services",VLOOKUP($C832,Services!$B:$I,3,FALSE()),IF($E832="Patty Cash",VLOOKUP($C832,'Patty Cash'!$B:$J,3,FALSE()),"")))),"")</f>
        <v/>
      </c>
      <c r="G832" s="374"/>
      <c r="H832" s="374" t="str">
        <f t="shared" si="26"/>
        <v/>
      </c>
      <c r="I832" s="252">
        <f>IFERROR(IF($E832="Inventory",VLOOKUP($C832,Inventory!$B:$I,8,FALSE()),IF($E832="Non Inventory",VLOOKUP($C832,'Non Inventory'!$B:$I,8,FALSE()),IF($E832="Services",VLOOKUP($C832,Services!$B:$I,8,FALSE()),IF($E832="Patty Cash",VLOOKUP($C832,'Patty Cash'!$B:$J,8,FALSE()),0)))),0)</f>
        <v>0</v>
      </c>
      <c r="J832" s="252" t="str">
        <f t="shared" si="27"/>
        <v/>
      </c>
      <c r="K832" s="253"/>
      <c r="L832" s="253"/>
      <c r="M832" s="253"/>
      <c r="N832" s="328"/>
    </row>
    <row r="833" spans="1:14" ht="20.100000000000001" customHeight="1">
      <c r="A833" s="327" t="str">
        <f>IF(AND($B833="",$C833=""),"",MAX($A$3:A832)+1)</f>
        <v/>
      </c>
      <c r="B833" s="262"/>
      <c r="C833" s="253"/>
      <c r="D833" s="249" t="str">
        <f>IFERROR(IF($E833="Inventory",VLOOKUP($C833,Inventory!$B:$I,2,FALSE()),IF($E833="Non Inventory",VLOOKUP($C833,'Non Inventory'!$B:$I,2,FALSE()),IF($E833="Services",VLOOKUP($C833,Services!$B:$I,2,FALSE()),IF($E833="Patty Cash",VLOOKUP($C833,'Patty Cash'!$B:$J,2,FALSE()),"")))),"")</f>
        <v/>
      </c>
      <c r="E833" s="254"/>
      <c r="F833" s="263" t="str">
        <f>IFERROR(IF($E833="Inventory",VLOOKUP($C833,Inventory!$B:$I,3,FALSE()),IF($E833="Non Inventory",VLOOKUP($C833,'Non Inventory'!$B:$I,3,FALSE()),IF($E833="Services",VLOOKUP($C833,Services!$B:$I,3,FALSE()),IF($E833="Patty Cash",VLOOKUP($C833,'Patty Cash'!$B:$J,3,FALSE()),"")))),"")</f>
        <v/>
      </c>
      <c r="G833" s="374"/>
      <c r="H833" s="374" t="str">
        <f t="shared" si="26"/>
        <v/>
      </c>
      <c r="I833" s="252">
        <f>IFERROR(IF($E833="Inventory",VLOOKUP($C833,Inventory!$B:$I,8,FALSE()),IF($E833="Non Inventory",VLOOKUP($C833,'Non Inventory'!$B:$I,8,FALSE()),IF($E833="Services",VLOOKUP($C833,Services!$B:$I,8,FALSE()),IF($E833="Patty Cash",VLOOKUP($C833,'Patty Cash'!$B:$J,8,FALSE()),0)))),0)</f>
        <v>0</v>
      </c>
      <c r="J833" s="252" t="str">
        <f t="shared" si="27"/>
        <v/>
      </c>
      <c r="K833" s="253"/>
      <c r="L833" s="253"/>
      <c r="M833" s="253"/>
      <c r="N833" s="328"/>
    </row>
    <row r="834" spans="1:14" ht="20.100000000000001" customHeight="1">
      <c r="A834" s="327" t="str">
        <f>IF(AND($B834="",$C834=""),"",MAX($A$3:A833)+1)</f>
        <v/>
      </c>
      <c r="B834" s="262"/>
      <c r="C834" s="253"/>
      <c r="D834" s="249" t="str">
        <f>IFERROR(IF($E834="Inventory",VLOOKUP($C834,Inventory!$B:$I,2,FALSE()),IF($E834="Non Inventory",VLOOKUP($C834,'Non Inventory'!$B:$I,2,FALSE()),IF($E834="Services",VLOOKUP($C834,Services!$B:$I,2,FALSE()),IF($E834="Patty Cash",VLOOKUP($C834,'Patty Cash'!$B:$J,2,FALSE()),"")))),"")</f>
        <v/>
      </c>
      <c r="E834" s="254"/>
      <c r="F834" s="263" t="str">
        <f>IFERROR(IF($E834="Inventory",VLOOKUP($C834,Inventory!$B:$I,3,FALSE()),IF($E834="Non Inventory",VLOOKUP($C834,'Non Inventory'!$B:$I,3,FALSE()),IF($E834="Services",VLOOKUP($C834,Services!$B:$I,3,FALSE()),IF($E834="Patty Cash",VLOOKUP($C834,'Patty Cash'!$B:$J,3,FALSE()),"")))),"")</f>
        <v/>
      </c>
      <c r="G834" s="374"/>
      <c r="H834" s="374" t="str">
        <f t="shared" si="26"/>
        <v/>
      </c>
      <c r="I834" s="252">
        <f>IFERROR(IF($E834="Inventory",VLOOKUP($C834,Inventory!$B:$I,8,FALSE()),IF($E834="Non Inventory",VLOOKUP($C834,'Non Inventory'!$B:$I,8,FALSE()),IF($E834="Services",VLOOKUP($C834,Services!$B:$I,8,FALSE()),IF($E834="Patty Cash",VLOOKUP($C834,'Patty Cash'!$B:$J,8,FALSE()),0)))),0)</f>
        <v>0</v>
      </c>
      <c r="J834" s="252" t="str">
        <f t="shared" si="27"/>
        <v/>
      </c>
      <c r="K834" s="253"/>
      <c r="L834" s="253"/>
      <c r="M834" s="253"/>
      <c r="N834" s="328"/>
    </row>
    <row r="835" spans="1:14" ht="20.100000000000001" customHeight="1">
      <c r="A835" s="327" t="str">
        <f>IF(AND($B835="",$C835=""),"",MAX($A$3:A834)+1)</f>
        <v/>
      </c>
      <c r="B835" s="262"/>
      <c r="C835" s="253"/>
      <c r="D835" s="249" t="str">
        <f>IFERROR(IF($E835="Inventory",VLOOKUP($C835,Inventory!$B:$I,2,FALSE()),IF($E835="Non Inventory",VLOOKUP($C835,'Non Inventory'!$B:$I,2,FALSE()),IF($E835="Services",VLOOKUP($C835,Services!$B:$I,2,FALSE()),IF($E835="Patty Cash",VLOOKUP($C835,'Patty Cash'!$B:$J,2,FALSE()),"")))),"")</f>
        <v/>
      </c>
      <c r="E835" s="254"/>
      <c r="F835" s="263" t="str">
        <f>IFERROR(IF($E835="Inventory",VLOOKUP($C835,Inventory!$B:$I,3,FALSE()),IF($E835="Non Inventory",VLOOKUP($C835,'Non Inventory'!$B:$I,3,FALSE()),IF($E835="Services",VLOOKUP($C835,Services!$B:$I,3,FALSE()),IF($E835="Patty Cash",VLOOKUP($C835,'Patty Cash'!$B:$J,3,FALSE()),"")))),"")</f>
        <v/>
      </c>
      <c r="G835" s="374"/>
      <c r="H835" s="374" t="str">
        <f t="shared" si="26"/>
        <v/>
      </c>
      <c r="I835" s="252">
        <f>IFERROR(IF($E835="Inventory",VLOOKUP($C835,Inventory!$B:$I,8,FALSE()),IF($E835="Non Inventory",VLOOKUP($C835,'Non Inventory'!$B:$I,8,FALSE()),IF($E835="Services",VLOOKUP($C835,Services!$B:$I,8,FALSE()),IF($E835="Patty Cash",VLOOKUP($C835,'Patty Cash'!$B:$J,8,FALSE()),0)))),0)</f>
        <v>0</v>
      </c>
      <c r="J835" s="252" t="str">
        <f t="shared" si="27"/>
        <v/>
      </c>
      <c r="K835" s="253"/>
      <c r="L835" s="253"/>
      <c r="M835" s="253"/>
      <c r="N835" s="328"/>
    </row>
    <row r="836" spans="1:14" ht="20.100000000000001" customHeight="1">
      <c r="A836" s="327" t="str">
        <f>IF(AND($B836="",$C836=""),"",MAX($A$3:A835)+1)</f>
        <v/>
      </c>
      <c r="B836" s="262"/>
      <c r="C836" s="253"/>
      <c r="D836" s="249" t="str">
        <f>IFERROR(IF($E836="Inventory",VLOOKUP($C836,Inventory!$B:$I,2,FALSE()),IF($E836="Non Inventory",VLOOKUP($C836,'Non Inventory'!$B:$I,2,FALSE()),IF($E836="Services",VLOOKUP($C836,Services!$B:$I,2,FALSE()),IF($E836="Patty Cash",VLOOKUP($C836,'Patty Cash'!$B:$J,2,FALSE()),"")))),"")</f>
        <v/>
      </c>
      <c r="E836" s="254"/>
      <c r="F836" s="263" t="str">
        <f>IFERROR(IF($E836="Inventory",VLOOKUP($C836,Inventory!$B:$I,3,FALSE()),IF($E836="Non Inventory",VLOOKUP($C836,'Non Inventory'!$B:$I,3,FALSE()),IF($E836="Services",VLOOKUP($C836,Services!$B:$I,3,FALSE()),IF($E836="Patty Cash",VLOOKUP($C836,'Patty Cash'!$B:$J,3,FALSE()),"")))),"")</f>
        <v/>
      </c>
      <c r="G836" s="374"/>
      <c r="H836" s="374" t="str">
        <f t="shared" si="26"/>
        <v/>
      </c>
      <c r="I836" s="252">
        <f>IFERROR(IF($E836="Inventory",VLOOKUP($C836,Inventory!$B:$I,8,FALSE()),IF($E836="Non Inventory",VLOOKUP($C836,'Non Inventory'!$B:$I,8,FALSE()),IF($E836="Services",VLOOKUP($C836,Services!$B:$I,8,FALSE()),IF($E836="Patty Cash",VLOOKUP($C836,'Patty Cash'!$B:$J,8,FALSE()),0)))),0)</f>
        <v>0</v>
      </c>
      <c r="J836" s="252" t="str">
        <f t="shared" si="27"/>
        <v/>
      </c>
      <c r="K836" s="253"/>
      <c r="L836" s="253"/>
      <c r="M836" s="253"/>
      <c r="N836" s="328"/>
    </row>
    <row r="837" spans="1:14" ht="20.100000000000001" customHeight="1">
      <c r="A837" s="327" t="str">
        <f>IF(AND($B837="",$C837=""),"",MAX($A$3:A836)+1)</f>
        <v/>
      </c>
      <c r="B837" s="262"/>
      <c r="C837" s="253"/>
      <c r="D837" s="249" t="str">
        <f>IFERROR(IF($E837="Inventory",VLOOKUP($C837,Inventory!$B:$I,2,FALSE()),IF($E837="Non Inventory",VLOOKUP($C837,'Non Inventory'!$B:$I,2,FALSE()),IF($E837="Services",VLOOKUP($C837,Services!$B:$I,2,FALSE()),IF($E837="Patty Cash",VLOOKUP($C837,'Patty Cash'!$B:$J,2,FALSE()),"")))),"")</f>
        <v/>
      </c>
      <c r="E837" s="254"/>
      <c r="F837" s="263" t="str">
        <f>IFERROR(IF($E837="Inventory",VLOOKUP($C837,Inventory!$B:$I,3,FALSE()),IF($E837="Non Inventory",VLOOKUP($C837,'Non Inventory'!$B:$I,3,FALSE()),IF($E837="Services",VLOOKUP($C837,Services!$B:$I,3,FALSE()),IF($E837="Patty Cash",VLOOKUP($C837,'Patty Cash'!$B:$J,3,FALSE()),"")))),"")</f>
        <v/>
      </c>
      <c r="G837" s="374"/>
      <c r="H837" s="374" t="str">
        <f t="shared" si="26"/>
        <v/>
      </c>
      <c r="I837" s="252">
        <f>IFERROR(IF($E837="Inventory",VLOOKUP($C837,Inventory!$B:$I,8,FALSE()),IF($E837="Non Inventory",VLOOKUP($C837,'Non Inventory'!$B:$I,8,FALSE()),IF($E837="Services",VLOOKUP($C837,Services!$B:$I,8,FALSE()),IF($E837="Patty Cash",VLOOKUP($C837,'Patty Cash'!$B:$J,8,FALSE()),0)))),0)</f>
        <v>0</v>
      </c>
      <c r="J837" s="252" t="str">
        <f t="shared" si="27"/>
        <v/>
      </c>
      <c r="K837" s="253"/>
      <c r="L837" s="253"/>
      <c r="M837" s="253"/>
      <c r="N837" s="328"/>
    </row>
    <row r="838" spans="1:14" ht="20.100000000000001" customHeight="1">
      <c r="A838" s="327" t="str">
        <f>IF(AND($B838="",$C838=""),"",MAX($A$3:A837)+1)</f>
        <v/>
      </c>
      <c r="B838" s="262"/>
      <c r="C838" s="253"/>
      <c r="D838" s="249" t="str">
        <f>IFERROR(IF($E838="Inventory",VLOOKUP($C838,Inventory!$B:$I,2,FALSE()),IF($E838="Non Inventory",VLOOKUP($C838,'Non Inventory'!$B:$I,2,FALSE()),IF($E838="Services",VLOOKUP($C838,Services!$B:$I,2,FALSE()),IF($E838="Patty Cash",VLOOKUP($C838,'Patty Cash'!$B:$J,2,FALSE()),"")))),"")</f>
        <v/>
      </c>
      <c r="E838" s="254"/>
      <c r="F838" s="263" t="str">
        <f>IFERROR(IF($E838="Inventory",VLOOKUP($C838,Inventory!$B:$I,3,FALSE()),IF($E838="Non Inventory",VLOOKUP($C838,'Non Inventory'!$B:$I,3,FALSE()),IF($E838="Services",VLOOKUP($C838,Services!$B:$I,3,FALSE()),IF($E838="Patty Cash",VLOOKUP($C838,'Patty Cash'!$B:$J,3,FALSE()),"")))),"")</f>
        <v/>
      </c>
      <c r="G838" s="374"/>
      <c r="H838" s="374" t="str">
        <f t="shared" si="26"/>
        <v/>
      </c>
      <c r="I838" s="252">
        <f>IFERROR(IF($E838="Inventory",VLOOKUP($C838,Inventory!$B:$I,8,FALSE()),IF($E838="Non Inventory",VLOOKUP($C838,'Non Inventory'!$B:$I,8,FALSE()),IF($E838="Services",VLOOKUP($C838,Services!$B:$I,8,FALSE()),IF($E838="Patty Cash",VLOOKUP($C838,'Patty Cash'!$B:$J,8,FALSE()),0)))),0)</f>
        <v>0</v>
      </c>
      <c r="J838" s="252" t="str">
        <f t="shared" si="27"/>
        <v/>
      </c>
      <c r="K838" s="253"/>
      <c r="L838" s="253"/>
      <c r="M838" s="253"/>
      <c r="N838" s="328"/>
    </row>
    <row r="839" spans="1:14" ht="20.100000000000001" customHeight="1">
      <c r="A839" s="327" t="str">
        <f>IF(AND($B839="",$C839=""),"",MAX($A$3:A838)+1)</f>
        <v/>
      </c>
      <c r="B839" s="262"/>
      <c r="C839" s="253"/>
      <c r="D839" s="249" t="str">
        <f>IFERROR(IF($E839="Inventory",VLOOKUP($C839,Inventory!$B:$I,2,FALSE()),IF($E839="Non Inventory",VLOOKUP($C839,'Non Inventory'!$B:$I,2,FALSE()),IF($E839="Services",VLOOKUP($C839,Services!$B:$I,2,FALSE()),IF($E839="Patty Cash",VLOOKUP($C839,'Patty Cash'!$B:$J,2,FALSE()),"")))),"")</f>
        <v/>
      </c>
      <c r="E839" s="254"/>
      <c r="F839" s="263" t="str">
        <f>IFERROR(IF($E839="Inventory",VLOOKUP($C839,Inventory!$B:$I,3,FALSE()),IF($E839="Non Inventory",VLOOKUP($C839,'Non Inventory'!$B:$I,3,FALSE()),IF($E839="Services",VLOOKUP($C839,Services!$B:$I,3,FALSE()),IF($E839="Patty Cash",VLOOKUP($C839,'Patty Cash'!$B:$J,3,FALSE()),"")))),"")</f>
        <v/>
      </c>
      <c r="G839" s="374"/>
      <c r="H839" s="374" t="str">
        <f t="shared" si="26"/>
        <v/>
      </c>
      <c r="I839" s="252">
        <f>IFERROR(IF($E839="Inventory",VLOOKUP($C839,Inventory!$B:$I,8,FALSE()),IF($E839="Non Inventory",VLOOKUP($C839,'Non Inventory'!$B:$I,8,FALSE()),IF($E839="Services",VLOOKUP($C839,Services!$B:$I,8,FALSE()),IF($E839="Patty Cash",VLOOKUP($C839,'Patty Cash'!$B:$J,8,FALSE()),0)))),0)</f>
        <v>0</v>
      </c>
      <c r="J839" s="252" t="str">
        <f t="shared" si="27"/>
        <v/>
      </c>
      <c r="K839" s="253"/>
      <c r="L839" s="253"/>
      <c r="M839" s="253"/>
      <c r="N839" s="328"/>
    </row>
    <row r="840" spans="1:14" ht="20.100000000000001" customHeight="1">
      <c r="A840" s="327" t="str">
        <f>IF(AND($B840="",$C840=""),"",MAX($A$3:A839)+1)</f>
        <v/>
      </c>
      <c r="B840" s="262"/>
      <c r="C840" s="253"/>
      <c r="D840" s="249" t="str">
        <f>IFERROR(IF($E840="Inventory",VLOOKUP($C840,Inventory!$B:$I,2,FALSE()),IF($E840="Non Inventory",VLOOKUP($C840,'Non Inventory'!$B:$I,2,FALSE()),IF($E840="Services",VLOOKUP($C840,Services!$B:$I,2,FALSE()),IF($E840="Patty Cash",VLOOKUP($C840,'Patty Cash'!$B:$J,2,FALSE()),"")))),"")</f>
        <v/>
      </c>
      <c r="E840" s="254"/>
      <c r="F840" s="263" t="str">
        <f>IFERROR(IF($E840="Inventory",VLOOKUP($C840,Inventory!$B:$I,3,FALSE()),IF($E840="Non Inventory",VLOOKUP($C840,'Non Inventory'!$B:$I,3,FALSE()),IF($E840="Services",VLOOKUP($C840,Services!$B:$I,3,FALSE()),IF($E840="Patty Cash",VLOOKUP($C840,'Patty Cash'!$B:$J,3,FALSE()),"")))),"")</f>
        <v/>
      </c>
      <c r="G840" s="374"/>
      <c r="H840" s="374" t="str">
        <f t="shared" si="26"/>
        <v/>
      </c>
      <c r="I840" s="252">
        <f>IFERROR(IF($E840="Inventory",VLOOKUP($C840,Inventory!$B:$I,8,FALSE()),IF($E840="Non Inventory",VLOOKUP($C840,'Non Inventory'!$B:$I,8,FALSE()),IF($E840="Services",VLOOKUP($C840,Services!$B:$I,8,FALSE()),IF($E840="Patty Cash",VLOOKUP($C840,'Patty Cash'!$B:$J,8,FALSE()),0)))),0)</f>
        <v>0</v>
      </c>
      <c r="J840" s="252" t="str">
        <f t="shared" si="27"/>
        <v/>
      </c>
      <c r="K840" s="253"/>
      <c r="L840" s="253"/>
      <c r="M840" s="253"/>
      <c r="N840" s="328"/>
    </row>
    <row r="841" spans="1:14" ht="20.100000000000001" customHeight="1">
      <c r="A841" s="327" t="str">
        <f>IF(AND($B841="",$C841=""),"",MAX($A$3:A840)+1)</f>
        <v/>
      </c>
      <c r="B841" s="262"/>
      <c r="C841" s="253"/>
      <c r="D841" s="249" t="str">
        <f>IFERROR(IF($E841="Inventory",VLOOKUP($C841,Inventory!$B:$I,2,FALSE()),IF($E841="Non Inventory",VLOOKUP($C841,'Non Inventory'!$B:$I,2,FALSE()),IF($E841="Services",VLOOKUP($C841,Services!$B:$I,2,FALSE()),IF($E841="Patty Cash",VLOOKUP($C841,'Patty Cash'!$B:$J,2,FALSE()),"")))),"")</f>
        <v/>
      </c>
      <c r="E841" s="254"/>
      <c r="F841" s="263" t="str">
        <f>IFERROR(IF($E841="Inventory",VLOOKUP($C841,Inventory!$B:$I,3,FALSE()),IF($E841="Non Inventory",VLOOKUP($C841,'Non Inventory'!$B:$I,3,FALSE()),IF($E841="Services",VLOOKUP($C841,Services!$B:$I,3,FALSE()),IF($E841="Patty Cash",VLOOKUP($C841,'Patty Cash'!$B:$J,3,FALSE()),"")))),"")</f>
        <v/>
      </c>
      <c r="G841" s="374"/>
      <c r="H841" s="374" t="str">
        <f t="shared" si="26"/>
        <v/>
      </c>
      <c r="I841" s="252">
        <f>IFERROR(IF($E841="Inventory",VLOOKUP($C841,Inventory!$B:$I,8,FALSE()),IF($E841="Non Inventory",VLOOKUP($C841,'Non Inventory'!$B:$I,8,FALSE()),IF($E841="Services",VLOOKUP($C841,Services!$B:$I,8,FALSE()),IF($E841="Patty Cash",VLOOKUP($C841,'Patty Cash'!$B:$J,8,FALSE()),0)))),0)</f>
        <v>0</v>
      </c>
      <c r="J841" s="252" t="str">
        <f t="shared" si="27"/>
        <v/>
      </c>
      <c r="K841" s="253"/>
      <c r="L841" s="253"/>
      <c r="M841" s="253"/>
      <c r="N841" s="328"/>
    </row>
    <row r="842" spans="1:14" ht="20.100000000000001" customHeight="1">
      <c r="A842" s="327" t="str">
        <f>IF(AND($B842="",$C842=""),"",MAX($A$3:A841)+1)</f>
        <v/>
      </c>
      <c r="B842" s="262"/>
      <c r="C842" s="253"/>
      <c r="D842" s="249" t="str">
        <f>IFERROR(IF($E842="Inventory",VLOOKUP($C842,Inventory!$B:$I,2,FALSE()),IF($E842="Non Inventory",VLOOKUP($C842,'Non Inventory'!$B:$I,2,FALSE()),IF($E842="Services",VLOOKUP($C842,Services!$B:$I,2,FALSE()),IF($E842="Patty Cash",VLOOKUP($C842,'Patty Cash'!$B:$J,2,FALSE()),"")))),"")</f>
        <v/>
      </c>
      <c r="E842" s="254"/>
      <c r="F842" s="263" t="str">
        <f>IFERROR(IF($E842="Inventory",VLOOKUP($C842,Inventory!$B:$I,3,FALSE()),IF($E842="Non Inventory",VLOOKUP($C842,'Non Inventory'!$B:$I,3,FALSE()),IF($E842="Services",VLOOKUP($C842,Services!$B:$I,3,FALSE()),IF($E842="Patty Cash",VLOOKUP($C842,'Patty Cash'!$B:$J,3,FALSE()),"")))),"")</f>
        <v/>
      </c>
      <c r="G842" s="374"/>
      <c r="H842" s="374" t="str">
        <f t="shared" si="26"/>
        <v/>
      </c>
      <c r="I842" s="252">
        <f>IFERROR(IF($E842="Inventory",VLOOKUP($C842,Inventory!$B:$I,8,FALSE()),IF($E842="Non Inventory",VLOOKUP($C842,'Non Inventory'!$B:$I,8,FALSE()),IF($E842="Services",VLOOKUP($C842,Services!$B:$I,8,FALSE()),IF($E842="Patty Cash",VLOOKUP($C842,'Patty Cash'!$B:$J,8,FALSE()),0)))),0)</f>
        <v>0</v>
      </c>
      <c r="J842" s="252" t="str">
        <f t="shared" si="27"/>
        <v/>
      </c>
      <c r="K842" s="253"/>
      <c r="L842" s="253"/>
      <c r="M842" s="253"/>
      <c r="N842" s="328"/>
    </row>
    <row r="843" spans="1:14" ht="20.100000000000001" customHeight="1">
      <c r="A843" s="327" t="str">
        <f>IF(AND($B843="",$C843=""),"",MAX($A$3:A842)+1)</f>
        <v/>
      </c>
      <c r="B843" s="262"/>
      <c r="C843" s="253"/>
      <c r="D843" s="249" t="str">
        <f>IFERROR(IF($E843="Inventory",VLOOKUP($C843,Inventory!$B:$I,2,FALSE()),IF($E843="Non Inventory",VLOOKUP($C843,'Non Inventory'!$B:$I,2,FALSE()),IF($E843="Services",VLOOKUP($C843,Services!$B:$I,2,FALSE()),IF($E843="Patty Cash",VLOOKUP($C843,'Patty Cash'!$B:$J,2,FALSE()),"")))),"")</f>
        <v/>
      </c>
      <c r="E843" s="254"/>
      <c r="F843" s="263" t="str">
        <f>IFERROR(IF($E843="Inventory",VLOOKUP($C843,Inventory!$B:$I,3,FALSE()),IF($E843="Non Inventory",VLOOKUP($C843,'Non Inventory'!$B:$I,3,FALSE()),IF($E843="Services",VLOOKUP($C843,Services!$B:$I,3,FALSE()),IF($E843="Patty Cash",VLOOKUP($C843,'Patty Cash'!$B:$J,3,FALSE()),"")))),"")</f>
        <v/>
      </c>
      <c r="G843" s="374"/>
      <c r="H843" s="374" t="str">
        <f t="shared" si="26"/>
        <v/>
      </c>
      <c r="I843" s="252">
        <f>IFERROR(IF($E843="Inventory",VLOOKUP($C843,Inventory!$B:$I,8,FALSE()),IF($E843="Non Inventory",VLOOKUP($C843,'Non Inventory'!$B:$I,8,FALSE()),IF($E843="Services",VLOOKUP($C843,Services!$B:$I,8,FALSE()),IF($E843="Patty Cash",VLOOKUP($C843,'Patty Cash'!$B:$J,8,FALSE()),0)))),0)</f>
        <v>0</v>
      </c>
      <c r="J843" s="252" t="str">
        <f t="shared" si="27"/>
        <v/>
      </c>
      <c r="K843" s="253"/>
      <c r="L843" s="253"/>
      <c r="M843" s="253"/>
      <c r="N843" s="328"/>
    </row>
    <row r="844" spans="1:14" ht="20.100000000000001" customHeight="1">
      <c r="A844" s="327" t="str">
        <f>IF(AND($B844="",$C844=""),"",MAX($A$3:A843)+1)</f>
        <v/>
      </c>
      <c r="B844" s="262"/>
      <c r="C844" s="253"/>
      <c r="D844" s="249" t="str">
        <f>IFERROR(IF($E844="Inventory",VLOOKUP($C844,Inventory!$B:$I,2,FALSE()),IF($E844="Non Inventory",VLOOKUP($C844,'Non Inventory'!$B:$I,2,FALSE()),IF($E844="Services",VLOOKUP($C844,Services!$B:$I,2,FALSE()),IF($E844="Patty Cash",VLOOKUP($C844,'Patty Cash'!$B:$J,2,FALSE()),"")))),"")</f>
        <v/>
      </c>
      <c r="E844" s="254"/>
      <c r="F844" s="263" t="str">
        <f>IFERROR(IF($E844="Inventory",VLOOKUP($C844,Inventory!$B:$I,3,FALSE()),IF($E844="Non Inventory",VLOOKUP($C844,'Non Inventory'!$B:$I,3,FALSE()),IF($E844="Services",VLOOKUP($C844,Services!$B:$I,3,FALSE()),IF($E844="Patty Cash",VLOOKUP($C844,'Patty Cash'!$B:$J,3,FALSE()),"")))),"")</f>
        <v/>
      </c>
      <c r="G844" s="374"/>
      <c r="H844" s="374" t="str">
        <f t="shared" si="26"/>
        <v/>
      </c>
      <c r="I844" s="252">
        <f>IFERROR(IF($E844="Inventory",VLOOKUP($C844,Inventory!$B:$I,8,FALSE()),IF($E844="Non Inventory",VLOOKUP($C844,'Non Inventory'!$B:$I,8,FALSE()),IF($E844="Services",VLOOKUP($C844,Services!$B:$I,8,FALSE()),IF($E844="Patty Cash",VLOOKUP($C844,'Patty Cash'!$B:$J,8,FALSE()),0)))),0)</f>
        <v>0</v>
      </c>
      <c r="J844" s="252" t="str">
        <f t="shared" si="27"/>
        <v/>
      </c>
      <c r="K844" s="253"/>
      <c r="L844" s="253"/>
      <c r="M844" s="253"/>
      <c r="N844" s="328"/>
    </row>
    <row r="845" spans="1:14" ht="20.100000000000001" customHeight="1">
      <c r="A845" s="327" t="str">
        <f>IF(AND($B845="",$C845=""),"",MAX($A$3:A844)+1)</f>
        <v/>
      </c>
      <c r="B845" s="262"/>
      <c r="C845" s="253"/>
      <c r="D845" s="249" t="str">
        <f>IFERROR(IF($E845="Inventory",VLOOKUP($C845,Inventory!$B:$I,2,FALSE()),IF($E845="Non Inventory",VLOOKUP($C845,'Non Inventory'!$B:$I,2,FALSE()),IF($E845="Services",VLOOKUP($C845,Services!$B:$I,2,FALSE()),IF($E845="Patty Cash",VLOOKUP($C845,'Patty Cash'!$B:$J,2,FALSE()),"")))),"")</f>
        <v/>
      </c>
      <c r="E845" s="254"/>
      <c r="F845" s="263" t="str">
        <f>IFERROR(IF($E845="Inventory",VLOOKUP($C845,Inventory!$B:$I,3,FALSE()),IF($E845="Non Inventory",VLOOKUP($C845,'Non Inventory'!$B:$I,3,FALSE()),IF($E845="Services",VLOOKUP($C845,Services!$B:$I,3,FALSE()),IF($E845="Patty Cash",VLOOKUP($C845,'Patty Cash'!$B:$J,3,FALSE()),"")))),"")</f>
        <v/>
      </c>
      <c r="G845" s="374"/>
      <c r="H845" s="374" t="str">
        <f t="shared" si="26"/>
        <v/>
      </c>
      <c r="I845" s="252">
        <f>IFERROR(IF($E845="Inventory",VLOOKUP($C845,Inventory!$B:$I,8,FALSE()),IF($E845="Non Inventory",VLOOKUP($C845,'Non Inventory'!$B:$I,8,FALSE()),IF($E845="Services",VLOOKUP($C845,Services!$B:$I,8,FALSE()),IF($E845="Patty Cash",VLOOKUP($C845,'Patty Cash'!$B:$J,8,FALSE()),0)))),0)</f>
        <v>0</v>
      </c>
      <c r="J845" s="252" t="str">
        <f t="shared" si="27"/>
        <v/>
      </c>
      <c r="K845" s="253"/>
      <c r="L845" s="253"/>
      <c r="M845" s="253"/>
      <c r="N845" s="328"/>
    </row>
    <row r="846" spans="1:14" ht="20.100000000000001" customHeight="1">
      <c r="A846" s="327" t="str">
        <f>IF(AND($B846="",$C846=""),"",MAX($A$3:A845)+1)</f>
        <v/>
      </c>
      <c r="B846" s="262"/>
      <c r="C846" s="253"/>
      <c r="D846" s="249" t="str">
        <f>IFERROR(IF($E846="Inventory",VLOOKUP($C846,Inventory!$B:$I,2,FALSE()),IF($E846="Non Inventory",VLOOKUP($C846,'Non Inventory'!$B:$I,2,FALSE()),IF($E846="Services",VLOOKUP($C846,Services!$B:$I,2,FALSE()),IF($E846="Patty Cash",VLOOKUP($C846,'Patty Cash'!$B:$J,2,FALSE()),"")))),"")</f>
        <v/>
      </c>
      <c r="E846" s="254"/>
      <c r="F846" s="263" t="str">
        <f>IFERROR(IF($E846="Inventory",VLOOKUP($C846,Inventory!$B:$I,3,FALSE()),IF($E846="Non Inventory",VLOOKUP($C846,'Non Inventory'!$B:$I,3,FALSE()),IF($E846="Services",VLOOKUP($C846,Services!$B:$I,3,FALSE()),IF($E846="Patty Cash",VLOOKUP($C846,'Patty Cash'!$B:$J,3,FALSE()),"")))),"")</f>
        <v/>
      </c>
      <c r="G846" s="374"/>
      <c r="H846" s="374" t="str">
        <f t="shared" si="26"/>
        <v/>
      </c>
      <c r="I846" s="252">
        <f>IFERROR(IF($E846="Inventory",VLOOKUP($C846,Inventory!$B:$I,8,FALSE()),IF($E846="Non Inventory",VLOOKUP($C846,'Non Inventory'!$B:$I,8,FALSE()),IF($E846="Services",VLOOKUP($C846,Services!$B:$I,8,FALSE()),IF($E846="Patty Cash",VLOOKUP($C846,'Patty Cash'!$B:$J,8,FALSE()),0)))),0)</f>
        <v>0</v>
      </c>
      <c r="J846" s="252" t="str">
        <f t="shared" si="27"/>
        <v/>
      </c>
      <c r="K846" s="253"/>
      <c r="L846" s="253"/>
      <c r="M846" s="253"/>
      <c r="N846" s="328"/>
    </row>
    <row r="847" spans="1:14" ht="20.100000000000001" customHeight="1">
      <c r="A847" s="327" t="str">
        <f>IF(AND($B847="",$C847=""),"",MAX($A$3:A846)+1)</f>
        <v/>
      </c>
      <c r="B847" s="262"/>
      <c r="C847" s="253"/>
      <c r="D847" s="249" t="str">
        <f>IFERROR(IF($E847="Inventory",VLOOKUP($C847,Inventory!$B:$I,2,FALSE()),IF($E847="Non Inventory",VLOOKUP($C847,'Non Inventory'!$B:$I,2,FALSE()),IF($E847="Services",VLOOKUP($C847,Services!$B:$I,2,FALSE()),IF($E847="Patty Cash",VLOOKUP($C847,'Patty Cash'!$B:$J,2,FALSE()),"")))),"")</f>
        <v/>
      </c>
      <c r="E847" s="254"/>
      <c r="F847" s="263" t="str">
        <f>IFERROR(IF($E847="Inventory",VLOOKUP($C847,Inventory!$B:$I,3,FALSE()),IF($E847="Non Inventory",VLOOKUP($C847,'Non Inventory'!$B:$I,3,FALSE()),IF($E847="Services",VLOOKUP($C847,Services!$B:$I,3,FALSE()),IF($E847="Patty Cash",VLOOKUP($C847,'Patty Cash'!$B:$J,3,FALSE()),"")))),"")</f>
        <v/>
      </c>
      <c r="G847" s="374"/>
      <c r="H847" s="374" t="str">
        <f t="shared" si="26"/>
        <v/>
      </c>
      <c r="I847" s="252">
        <f>IFERROR(IF($E847="Inventory",VLOOKUP($C847,Inventory!$B:$I,8,FALSE()),IF($E847="Non Inventory",VLOOKUP($C847,'Non Inventory'!$B:$I,8,FALSE()),IF($E847="Services",VLOOKUP($C847,Services!$B:$I,8,FALSE()),IF($E847="Patty Cash",VLOOKUP($C847,'Patty Cash'!$B:$J,8,FALSE()),0)))),0)</f>
        <v>0</v>
      </c>
      <c r="J847" s="252" t="str">
        <f t="shared" si="27"/>
        <v/>
      </c>
      <c r="K847" s="253"/>
      <c r="L847" s="253"/>
      <c r="M847" s="253"/>
      <c r="N847" s="328"/>
    </row>
    <row r="848" spans="1:14" ht="20.100000000000001" customHeight="1">
      <c r="A848" s="327" t="str">
        <f>IF(AND($B848="",$C848=""),"",MAX($A$3:A847)+1)</f>
        <v/>
      </c>
      <c r="B848" s="262"/>
      <c r="C848" s="253"/>
      <c r="D848" s="249" t="str">
        <f>IFERROR(IF($E848="Inventory",VLOOKUP($C848,Inventory!$B:$I,2,FALSE()),IF($E848="Non Inventory",VLOOKUP($C848,'Non Inventory'!$B:$I,2,FALSE()),IF($E848="Services",VLOOKUP($C848,Services!$B:$I,2,FALSE()),IF($E848="Patty Cash",VLOOKUP($C848,'Patty Cash'!$B:$J,2,FALSE()),"")))),"")</f>
        <v/>
      </c>
      <c r="E848" s="254"/>
      <c r="F848" s="263" t="str">
        <f>IFERROR(IF($E848="Inventory",VLOOKUP($C848,Inventory!$B:$I,3,FALSE()),IF($E848="Non Inventory",VLOOKUP($C848,'Non Inventory'!$B:$I,3,FALSE()),IF($E848="Services",VLOOKUP($C848,Services!$B:$I,3,FALSE()),IF($E848="Patty Cash",VLOOKUP($C848,'Patty Cash'!$B:$J,3,FALSE()),"")))),"")</f>
        <v/>
      </c>
      <c r="G848" s="374"/>
      <c r="H848" s="374" t="str">
        <f t="shared" si="26"/>
        <v/>
      </c>
      <c r="I848" s="252">
        <f>IFERROR(IF($E848="Inventory",VLOOKUP($C848,Inventory!$B:$I,8,FALSE()),IF($E848="Non Inventory",VLOOKUP($C848,'Non Inventory'!$B:$I,8,FALSE()),IF($E848="Services",VLOOKUP($C848,Services!$B:$I,8,FALSE()),IF($E848="Patty Cash",VLOOKUP($C848,'Patty Cash'!$B:$J,8,FALSE()),0)))),0)</f>
        <v>0</v>
      </c>
      <c r="J848" s="252" t="str">
        <f t="shared" si="27"/>
        <v/>
      </c>
      <c r="K848" s="253"/>
      <c r="L848" s="253"/>
      <c r="M848" s="253"/>
      <c r="N848" s="328"/>
    </row>
    <row r="849" spans="1:14" ht="20.100000000000001" customHeight="1">
      <c r="A849" s="327" t="str">
        <f>IF(AND($B849="",$C849=""),"",MAX($A$3:A848)+1)</f>
        <v/>
      </c>
      <c r="B849" s="262"/>
      <c r="C849" s="253"/>
      <c r="D849" s="249" t="str">
        <f>IFERROR(IF($E849="Inventory",VLOOKUP($C849,Inventory!$B:$I,2,FALSE()),IF($E849="Non Inventory",VLOOKUP($C849,'Non Inventory'!$B:$I,2,FALSE()),IF($E849="Services",VLOOKUP($C849,Services!$B:$I,2,FALSE()),IF($E849="Patty Cash",VLOOKUP($C849,'Patty Cash'!$B:$J,2,FALSE()),"")))),"")</f>
        <v/>
      </c>
      <c r="E849" s="254"/>
      <c r="F849" s="263" t="str">
        <f>IFERROR(IF($E849="Inventory",VLOOKUP($C849,Inventory!$B:$I,3,FALSE()),IF($E849="Non Inventory",VLOOKUP($C849,'Non Inventory'!$B:$I,3,FALSE()),IF($E849="Services",VLOOKUP($C849,Services!$B:$I,3,FALSE()),IF($E849="Patty Cash",VLOOKUP($C849,'Patty Cash'!$B:$J,3,FALSE()),"")))),"")</f>
        <v/>
      </c>
      <c r="G849" s="374"/>
      <c r="H849" s="374" t="str">
        <f t="shared" si="26"/>
        <v/>
      </c>
      <c r="I849" s="252">
        <f>IFERROR(IF($E849="Inventory",VLOOKUP($C849,Inventory!$B:$I,8,FALSE()),IF($E849="Non Inventory",VLOOKUP($C849,'Non Inventory'!$B:$I,8,FALSE()),IF($E849="Services",VLOOKUP($C849,Services!$B:$I,8,FALSE()),IF($E849="Patty Cash",VLOOKUP($C849,'Patty Cash'!$B:$J,8,FALSE()),0)))),0)</f>
        <v>0</v>
      </c>
      <c r="J849" s="252" t="str">
        <f t="shared" si="27"/>
        <v/>
      </c>
      <c r="K849" s="253"/>
      <c r="L849" s="253"/>
      <c r="M849" s="253"/>
      <c r="N849" s="328"/>
    </row>
    <row r="850" spans="1:14" ht="20.100000000000001" customHeight="1">
      <c r="A850" s="327" t="str">
        <f>IF(AND($B850="",$C850=""),"",MAX($A$3:A849)+1)</f>
        <v/>
      </c>
      <c r="B850" s="262"/>
      <c r="C850" s="253"/>
      <c r="D850" s="249" t="str">
        <f>IFERROR(IF($E850="Inventory",VLOOKUP($C850,Inventory!$B:$I,2,FALSE()),IF($E850="Non Inventory",VLOOKUP($C850,'Non Inventory'!$B:$I,2,FALSE()),IF($E850="Services",VLOOKUP($C850,Services!$B:$I,2,FALSE()),IF($E850="Patty Cash",VLOOKUP($C850,'Patty Cash'!$B:$J,2,FALSE()),"")))),"")</f>
        <v/>
      </c>
      <c r="E850" s="254"/>
      <c r="F850" s="263" t="str">
        <f>IFERROR(IF($E850="Inventory",VLOOKUP($C850,Inventory!$B:$I,3,FALSE()),IF($E850="Non Inventory",VLOOKUP($C850,'Non Inventory'!$B:$I,3,FALSE()),IF($E850="Services",VLOOKUP($C850,Services!$B:$I,3,FALSE()),IF($E850="Patty Cash",VLOOKUP($C850,'Patty Cash'!$B:$J,3,FALSE()),"")))),"")</f>
        <v/>
      </c>
      <c r="G850" s="374"/>
      <c r="H850" s="374" t="str">
        <f t="shared" si="26"/>
        <v/>
      </c>
      <c r="I850" s="252">
        <f>IFERROR(IF($E850="Inventory",VLOOKUP($C850,Inventory!$B:$I,8,FALSE()),IF($E850="Non Inventory",VLOOKUP($C850,'Non Inventory'!$B:$I,8,FALSE()),IF($E850="Services",VLOOKUP($C850,Services!$B:$I,8,FALSE()),IF($E850="Patty Cash",VLOOKUP($C850,'Patty Cash'!$B:$J,8,FALSE()),0)))),0)</f>
        <v>0</v>
      </c>
      <c r="J850" s="252" t="str">
        <f t="shared" si="27"/>
        <v/>
      </c>
      <c r="K850" s="253"/>
      <c r="L850" s="253"/>
      <c r="M850" s="253"/>
      <c r="N850" s="328"/>
    </row>
    <row r="851" spans="1:14" ht="20.100000000000001" customHeight="1">
      <c r="A851" s="327" t="str">
        <f>IF(AND($B851="",$C851=""),"",MAX($A$3:A850)+1)</f>
        <v/>
      </c>
      <c r="B851" s="262"/>
      <c r="C851" s="253"/>
      <c r="D851" s="249" t="str">
        <f>IFERROR(IF($E851="Inventory",VLOOKUP($C851,Inventory!$B:$I,2,FALSE()),IF($E851="Non Inventory",VLOOKUP($C851,'Non Inventory'!$B:$I,2,FALSE()),IF($E851="Services",VLOOKUP($C851,Services!$B:$I,2,FALSE()),IF($E851="Patty Cash",VLOOKUP($C851,'Patty Cash'!$B:$J,2,FALSE()),"")))),"")</f>
        <v/>
      </c>
      <c r="E851" s="254"/>
      <c r="F851" s="263" t="str">
        <f>IFERROR(IF($E851="Inventory",VLOOKUP($C851,Inventory!$B:$I,3,FALSE()),IF($E851="Non Inventory",VLOOKUP($C851,'Non Inventory'!$B:$I,3,FALSE()),IF($E851="Services",VLOOKUP($C851,Services!$B:$I,3,FALSE()),IF($E851="Patty Cash",VLOOKUP($C851,'Patty Cash'!$B:$J,3,FALSE()),"")))),"")</f>
        <v/>
      </c>
      <c r="G851" s="374"/>
      <c r="H851" s="374" t="str">
        <f t="shared" si="26"/>
        <v/>
      </c>
      <c r="I851" s="252">
        <f>IFERROR(IF($E851="Inventory",VLOOKUP($C851,Inventory!$B:$I,8,FALSE()),IF($E851="Non Inventory",VLOOKUP($C851,'Non Inventory'!$B:$I,8,FALSE()),IF($E851="Services",VLOOKUP($C851,Services!$B:$I,8,FALSE()),IF($E851="Patty Cash",VLOOKUP($C851,'Patty Cash'!$B:$J,8,FALSE()),0)))),0)</f>
        <v>0</v>
      </c>
      <c r="J851" s="252" t="str">
        <f t="shared" si="27"/>
        <v/>
      </c>
      <c r="K851" s="253"/>
      <c r="L851" s="253"/>
      <c r="M851" s="253"/>
      <c r="N851" s="328"/>
    </row>
    <row r="852" spans="1:14" ht="20.100000000000001" customHeight="1">
      <c r="A852" s="327" t="str">
        <f>IF(AND($B852="",$C852=""),"",MAX($A$3:A851)+1)</f>
        <v/>
      </c>
      <c r="B852" s="262"/>
      <c r="C852" s="253"/>
      <c r="D852" s="249" t="str">
        <f>IFERROR(IF($E852="Inventory",VLOOKUP($C852,Inventory!$B:$I,2,FALSE()),IF($E852="Non Inventory",VLOOKUP($C852,'Non Inventory'!$B:$I,2,FALSE()),IF($E852="Services",VLOOKUP($C852,Services!$B:$I,2,FALSE()),IF($E852="Patty Cash",VLOOKUP($C852,'Patty Cash'!$B:$J,2,FALSE()),"")))),"")</f>
        <v/>
      </c>
      <c r="E852" s="254"/>
      <c r="F852" s="263" t="str">
        <f>IFERROR(IF($E852="Inventory",VLOOKUP($C852,Inventory!$B:$I,3,FALSE()),IF($E852="Non Inventory",VLOOKUP($C852,'Non Inventory'!$B:$I,3,FALSE()),IF($E852="Services",VLOOKUP($C852,Services!$B:$I,3,FALSE()),IF($E852="Patty Cash",VLOOKUP($C852,'Patty Cash'!$B:$J,3,FALSE()),"")))),"")</f>
        <v/>
      </c>
      <c r="G852" s="374"/>
      <c r="H852" s="374" t="str">
        <f t="shared" si="26"/>
        <v/>
      </c>
      <c r="I852" s="252">
        <f>IFERROR(IF($E852="Inventory",VLOOKUP($C852,Inventory!$B:$I,8,FALSE()),IF($E852="Non Inventory",VLOOKUP($C852,'Non Inventory'!$B:$I,8,FALSE()),IF($E852="Services",VLOOKUP($C852,Services!$B:$I,8,FALSE()),IF($E852="Patty Cash",VLOOKUP($C852,'Patty Cash'!$B:$J,8,FALSE()),0)))),0)</f>
        <v>0</v>
      </c>
      <c r="J852" s="252" t="str">
        <f t="shared" si="27"/>
        <v/>
      </c>
      <c r="K852" s="253"/>
      <c r="L852" s="253"/>
      <c r="M852" s="253"/>
      <c r="N852" s="328"/>
    </row>
    <row r="853" spans="1:14" ht="20.100000000000001" customHeight="1">
      <c r="A853" s="327" t="str">
        <f>IF(AND($B853="",$C853=""),"",MAX($A$3:A852)+1)</f>
        <v/>
      </c>
      <c r="B853" s="262"/>
      <c r="C853" s="253"/>
      <c r="D853" s="249" t="str">
        <f>IFERROR(IF($E853="Inventory",VLOOKUP($C853,Inventory!$B:$I,2,FALSE()),IF($E853="Non Inventory",VLOOKUP($C853,'Non Inventory'!$B:$I,2,FALSE()),IF($E853="Services",VLOOKUP($C853,Services!$B:$I,2,FALSE()),IF($E853="Patty Cash",VLOOKUP($C853,'Patty Cash'!$B:$J,2,FALSE()),"")))),"")</f>
        <v/>
      </c>
      <c r="E853" s="254"/>
      <c r="F853" s="263" t="str">
        <f>IFERROR(IF($E853="Inventory",VLOOKUP($C853,Inventory!$B:$I,3,FALSE()),IF($E853="Non Inventory",VLOOKUP($C853,'Non Inventory'!$B:$I,3,FALSE()),IF($E853="Services",VLOOKUP($C853,Services!$B:$I,3,FALSE()),IF($E853="Patty Cash",VLOOKUP($C853,'Patty Cash'!$B:$J,3,FALSE()),"")))),"")</f>
        <v/>
      </c>
      <c r="G853" s="374"/>
      <c r="H853" s="374" t="str">
        <f t="shared" si="26"/>
        <v/>
      </c>
      <c r="I853" s="252">
        <f>IFERROR(IF($E853="Inventory",VLOOKUP($C853,Inventory!$B:$I,8,FALSE()),IF($E853="Non Inventory",VLOOKUP($C853,'Non Inventory'!$B:$I,8,FALSE()),IF($E853="Services",VLOOKUP($C853,Services!$B:$I,8,FALSE()),IF($E853="Patty Cash",VLOOKUP($C853,'Patty Cash'!$B:$J,8,FALSE()),0)))),0)</f>
        <v>0</v>
      </c>
      <c r="J853" s="252" t="str">
        <f t="shared" si="27"/>
        <v/>
      </c>
      <c r="K853" s="253"/>
      <c r="L853" s="253"/>
      <c r="M853" s="253"/>
      <c r="N853" s="328"/>
    </row>
    <row r="854" spans="1:14" ht="20.100000000000001" customHeight="1">
      <c r="A854" s="327" t="str">
        <f>IF(AND($B854="",$C854=""),"",MAX($A$3:A853)+1)</f>
        <v/>
      </c>
      <c r="B854" s="262"/>
      <c r="C854" s="253"/>
      <c r="D854" s="249" t="str">
        <f>IFERROR(IF($E854="Inventory",VLOOKUP($C854,Inventory!$B:$I,2,FALSE()),IF($E854="Non Inventory",VLOOKUP($C854,'Non Inventory'!$B:$I,2,FALSE()),IF($E854="Services",VLOOKUP($C854,Services!$B:$I,2,FALSE()),IF($E854="Patty Cash",VLOOKUP($C854,'Patty Cash'!$B:$J,2,FALSE()),"")))),"")</f>
        <v/>
      </c>
      <c r="E854" s="254"/>
      <c r="F854" s="263" t="str">
        <f>IFERROR(IF($E854="Inventory",VLOOKUP($C854,Inventory!$B:$I,3,FALSE()),IF($E854="Non Inventory",VLOOKUP($C854,'Non Inventory'!$B:$I,3,FALSE()),IF($E854="Services",VLOOKUP($C854,Services!$B:$I,3,FALSE()),IF($E854="Patty Cash",VLOOKUP($C854,'Patty Cash'!$B:$J,3,FALSE()),"")))),"")</f>
        <v/>
      </c>
      <c r="G854" s="374"/>
      <c r="H854" s="374" t="str">
        <f t="shared" si="26"/>
        <v/>
      </c>
      <c r="I854" s="252">
        <f>IFERROR(IF($E854="Inventory",VLOOKUP($C854,Inventory!$B:$I,8,FALSE()),IF($E854="Non Inventory",VLOOKUP($C854,'Non Inventory'!$B:$I,8,FALSE()),IF($E854="Services",VLOOKUP($C854,Services!$B:$I,8,FALSE()),IF($E854="Patty Cash",VLOOKUP($C854,'Patty Cash'!$B:$J,8,FALSE()),0)))),0)</f>
        <v>0</v>
      </c>
      <c r="J854" s="252" t="str">
        <f t="shared" si="27"/>
        <v/>
      </c>
      <c r="K854" s="253"/>
      <c r="L854" s="253"/>
      <c r="M854" s="253"/>
      <c r="N854" s="328"/>
    </row>
    <row r="855" spans="1:14" ht="20.100000000000001" customHeight="1">
      <c r="A855" s="327" t="str">
        <f>IF(AND($B855="",$C855=""),"",MAX($A$3:A854)+1)</f>
        <v/>
      </c>
      <c r="B855" s="262"/>
      <c r="C855" s="253"/>
      <c r="D855" s="249" t="str">
        <f>IFERROR(IF($E855="Inventory",VLOOKUP($C855,Inventory!$B:$I,2,FALSE()),IF($E855="Non Inventory",VLOOKUP($C855,'Non Inventory'!$B:$I,2,FALSE()),IF($E855="Services",VLOOKUP($C855,Services!$B:$I,2,FALSE()),IF($E855="Patty Cash",VLOOKUP($C855,'Patty Cash'!$B:$J,2,FALSE()),"")))),"")</f>
        <v/>
      </c>
      <c r="E855" s="254"/>
      <c r="F855" s="263" t="str">
        <f>IFERROR(IF($E855="Inventory",VLOOKUP($C855,Inventory!$B:$I,3,FALSE()),IF($E855="Non Inventory",VLOOKUP($C855,'Non Inventory'!$B:$I,3,FALSE()),IF($E855="Services",VLOOKUP($C855,Services!$B:$I,3,FALSE()),IF($E855="Patty Cash",VLOOKUP($C855,'Patty Cash'!$B:$J,3,FALSE()),"")))),"")</f>
        <v/>
      </c>
      <c r="G855" s="374"/>
      <c r="H855" s="374" t="str">
        <f t="shared" si="26"/>
        <v/>
      </c>
      <c r="I855" s="252">
        <f>IFERROR(IF($E855="Inventory",VLOOKUP($C855,Inventory!$B:$I,8,FALSE()),IF($E855="Non Inventory",VLOOKUP($C855,'Non Inventory'!$B:$I,8,FALSE()),IF($E855="Services",VLOOKUP($C855,Services!$B:$I,8,FALSE()),IF($E855="Patty Cash",VLOOKUP($C855,'Patty Cash'!$B:$J,8,FALSE()),0)))),0)</f>
        <v>0</v>
      </c>
      <c r="J855" s="252" t="str">
        <f t="shared" si="27"/>
        <v/>
      </c>
      <c r="K855" s="253"/>
      <c r="L855" s="253"/>
      <c r="M855" s="253"/>
      <c r="N855" s="328"/>
    </row>
    <row r="856" spans="1:14" ht="20.100000000000001" customHeight="1">
      <c r="A856" s="327" t="str">
        <f>IF(AND($B856="",$C856=""),"",MAX($A$3:A855)+1)</f>
        <v/>
      </c>
      <c r="B856" s="262"/>
      <c r="C856" s="253"/>
      <c r="D856" s="249" t="str">
        <f>IFERROR(IF($E856="Inventory",VLOOKUP($C856,Inventory!$B:$I,2,FALSE()),IF($E856="Non Inventory",VLOOKUP($C856,'Non Inventory'!$B:$I,2,FALSE()),IF($E856="Services",VLOOKUP($C856,Services!$B:$I,2,FALSE()),IF($E856="Patty Cash",VLOOKUP($C856,'Patty Cash'!$B:$J,2,FALSE()),"")))),"")</f>
        <v/>
      </c>
      <c r="E856" s="254"/>
      <c r="F856" s="263" t="str">
        <f>IFERROR(IF($E856="Inventory",VLOOKUP($C856,Inventory!$B:$I,3,FALSE()),IF($E856="Non Inventory",VLOOKUP($C856,'Non Inventory'!$B:$I,3,FALSE()),IF($E856="Services",VLOOKUP($C856,Services!$B:$I,3,FALSE()),IF($E856="Patty Cash",VLOOKUP($C856,'Patty Cash'!$B:$J,3,FALSE()),"")))),"")</f>
        <v/>
      </c>
      <c r="G856" s="374"/>
      <c r="H856" s="374" t="str">
        <f t="shared" si="26"/>
        <v/>
      </c>
      <c r="I856" s="252">
        <f>IFERROR(IF($E856="Inventory",VLOOKUP($C856,Inventory!$B:$I,8,FALSE()),IF($E856="Non Inventory",VLOOKUP($C856,'Non Inventory'!$B:$I,8,FALSE()),IF($E856="Services",VLOOKUP($C856,Services!$B:$I,8,FALSE()),IF($E856="Patty Cash",VLOOKUP($C856,'Patty Cash'!$B:$J,8,FALSE()),0)))),0)</f>
        <v>0</v>
      </c>
      <c r="J856" s="252" t="str">
        <f t="shared" si="27"/>
        <v/>
      </c>
      <c r="K856" s="253"/>
      <c r="L856" s="253"/>
      <c r="M856" s="253"/>
      <c r="N856" s="328"/>
    </row>
    <row r="857" spans="1:14" ht="20.100000000000001" customHeight="1">
      <c r="A857" s="327" t="str">
        <f>IF(AND($B857="",$C857=""),"",MAX($A$3:A856)+1)</f>
        <v/>
      </c>
      <c r="B857" s="262"/>
      <c r="C857" s="253"/>
      <c r="D857" s="249" t="str">
        <f>IFERROR(IF($E857="Inventory",VLOOKUP($C857,Inventory!$B:$I,2,FALSE()),IF($E857="Non Inventory",VLOOKUP($C857,'Non Inventory'!$B:$I,2,FALSE()),IF($E857="Services",VLOOKUP($C857,Services!$B:$I,2,FALSE()),IF($E857="Patty Cash",VLOOKUP($C857,'Patty Cash'!$B:$J,2,FALSE()),"")))),"")</f>
        <v/>
      </c>
      <c r="E857" s="254"/>
      <c r="F857" s="263" t="str">
        <f>IFERROR(IF($E857="Inventory",VLOOKUP($C857,Inventory!$B:$I,3,FALSE()),IF($E857="Non Inventory",VLOOKUP($C857,'Non Inventory'!$B:$I,3,FALSE()),IF($E857="Services",VLOOKUP($C857,Services!$B:$I,3,FALSE()),IF($E857="Patty Cash",VLOOKUP($C857,'Patty Cash'!$B:$J,3,FALSE()),"")))),"")</f>
        <v/>
      </c>
      <c r="G857" s="374"/>
      <c r="H857" s="374" t="str">
        <f t="shared" si="26"/>
        <v/>
      </c>
      <c r="I857" s="252">
        <f>IFERROR(IF($E857="Inventory",VLOOKUP($C857,Inventory!$B:$I,8,FALSE()),IF($E857="Non Inventory",VLOOKUP($C857,'Non Inventory'!$B:$I,8,FALSE()),IF($E857="Services",VLOOKUP($C857,Services!$B:$I,8,FALSE()),IF($E857="Patty Cash",VLOOKUP($C857,'Patty Cash'!$B:$J,8,FALSE()),0)))),0)</f>
        <v>0</v>
      </c>
      <c r="J857" s="252" t="str">
        <f t="shared" si="27"/>
        <v/>
      </c>
      <c r="K857" s="253"/>
      <c r="L857" s="253"/>
      <c r="M857" s="253"/>
      <c r="N857" s="328"/>
    </row>
    <row r="858" spans="1:14" ht="20.100000000000001" customHeight="1">
      <c r="A858" s="327" t="str">
        <f>IF(AND($B858="",$C858=""),"",MAX($A$3:A857)+1)</f>
        <v/>
      </c>
      <c r="B858" s="262"/>
      <c r="C858" s="253"/>
      <c r="D858" s="249" t="str">
        <f>IFERROR(IF($E858="Inventory",VLOOKUP($C858,Inventory!$B:$I,2,FALSE()),IF($E858="Non Inventory",VLOOKUP($C858,'Non Inventory'!$B:$I,2,FALSE()),IF($E858="Services",VLOOKUP($C858,Services!$B:$I,2,FALSE()),IF($E858="Patty Cash",VLOOKUP($C858,'Patty Cash'!$B:$J,2,FALSE()),"")))),"")</f>
        <v/>
      </c>
      <c r="E858" s="254"/>
      <c r="F858" s="263" t="str">
        <f>IFERROR(IF($E858="Inventory",VLOOKUP($C858,Inventory!$B:$I,3,FALSE()),IF($E858="Non Inventory",VLOOKUP($C858,'Non Inventory'!$B:$I,3,FALSE()),IF($E858="Services",VLOOKUP($C858,Services!$B:$I,3,FALSE()),IF($E858="Patty Cash",VLOOKUP($C858,'Patty Cash'!$B:$J,3,FALSE()),"")))),"")</f>
        <v/>
      </c>
      <c r="G858" s="374"/>
      <c r="H858" s="374" t="str">
        <f t="shared" si="26"/>
        <v/>
      </c>
      <c r="I858" s="252">
        <f>IFERROR(IF($E858="Inventory",VLOOKUP($C858,Inventory!$B:$I,8,FALSE()),IF($E858="Non Inventory",VLOOKUP($C858,'Non Inventory'!$B:$I,8,FALSE()),IF($E858="Services",VLOOKUP($C858,Services!$B:$I,8,FALSE()),IF($E858="Patty Cash",VLOOKUP($C858,'Patty Cash'!$B:$J,8,FALSE()),0)))),0)</f>
        <v>0</v>
      </c>
      <c r="J858" s="252" t="str">
        <f t="shared" si="27"/>
        <v/>
      </c>
      <c r="K858" s="253"/>
      <c r="L858" s="253"/>
      <c r="M858" s="253"/>
      <c r="N858" s="328"/>
    </row>
    <row r="859" spans="1:14" ht="20.100000000000001" customHeight="1">
      <c r="A859" s="327" t="str">
        <f>IF(AND($B859="",$C859=""),"",MAX($A$3:A858)+1)</f>
        <v/>
      </c>
      <c r="B859" s="262"/>
      <c r="C859" s="253"/>
      <c r="D859" s="249" t="str">
        <f>IFERROR(IF($E859="Inventory",VLOOKUP($C859,Inventory!$B:$I,2,FALSE()),IF($E859="Non Inventory",VLOOKUP($C859,'Non Inventory'!$B:$I,2,FALSE()),IF($E859="Services",VLOOKUP($C859,Services!$B:$I,2,FALSE()),IF($E859="Patty Cash",VLOOKUP($C859,'Patty Cash'!$B:$J,2,FALSE()),"")))),"")</f>
        <v/>
      </c>
      <c r="E859" s="254"/>
      <c r="F859" s="263" t="str">
        <f>IFERROR(IF($E859="Inventory",VLOOKUP($C859,Inventory!$B:$I,3,FALSE()),IF($E859="Non Inventory",VLOOKUP($C859,'Non Inventory'!$B:$I,3,FALSE()),IF($E859="Services",VLOOKUP($C859,Services!$B:$I,3,FALSE()),IF($E859="Patty Cash",VLOOKUP($C859,'Patty Cash'!$B:$J,3,FALSE()),"")))),"")</f>
        <v/>
      </c>
      <c r="G859" s="374"/>
      <c r="H859" s="374" t="str">
        <f t="shared" si="26"/>
        <v/>
      </c>
      <c r="I859" s="252">
        <f>IFERROR(IF($E859="Inventory",VLOOKUP($C859,Inventory!$B:$I,8,FALSE()),IF($E859="Non Inventory",VLOOKUP($C859,'Non Inventory'!$B:$I,8,FALSE()),IF($E859="Services",VLOOKUP($C859,Services!$B:$I,8,FALSE()),IF($E859="Patty Cash",VLOOKUP($C859,'Patty Cash'!$B:$J,8,FALSE()),0)))),0)</f>
        <v>0</v>
      </c>
      <c r="J859" s="252" t="str">
        <f t="shared" si="27"/>
        <v/>
      </c>
      <c r="K859" s="253"/>
      <c r="L859" s="253"/>
      <c r="M859" s="253"/>
      <c r="N859" s="328"/>
    </row>
    <row r="860" spans="1:14" ht="20.100000000000001" customHeight="1">
      <c r="A860" s="327" t="str">
        <f>IF(AND($B860="",$C860=""),"",MAX($A$3:A859)+1)</f>
        <v/>
      </c>
      <c r="B860" s="262"/>
      <c r="C860" s="253"/>
      <c r="D860" s="249" t="str">
        <f>IFERROR(IF($E860="Inventory",VLOOKUP($C860,Inventory!$B:$I,2,FALSE()),IF($E860="Non Inventory",VLOOKUP($C860,'Non Inventory'!$B:$I,2,FALSE()),IF($E860="Services",VLOOKUP($C860,Services!$B:$I,2,FALSE()),IF($E860="Patty Cash",VLOOKUP($C860,'Patty Cash'!$B:$J,2,FALSE()),"")))),"")</f>
        <v/>
      </c>
      <c r="E860" s="254"/>
      <c r="F860" s="263" t="str">
        <f>IFERROR(IF($E860="Inventory",VLOOKUP($C860,Inventory!$B:$I,3,FALSE()),IF($E860="Non Inventory",VLOOKUP($C860,'Non Inventory'!$B:$I,3,FALSE()),IF($E860="Services",VLOOKUP($C860,Services!$B:$I,3,FALSE()),IF($E860="Patty Cash",VLOOKUP($C860,'Patty Cash'!$B:$J,3,FALSE()),"")))),"")</f>
        <v/>
      </c>
      <c r="G860" s="374"/>
      <c r="H860" s="374" t="str">
        <f t="shared" si="26"/>
        <v/>
      </c>
      <c r="I860" s="252">
        <f>IFERROR(IF($E860="Inventory",VLOOKUP($C860,Inventory!$B:$I,8,FALSE()),IF($E860="Non Inventory",VLOOKUP($C860,'Non Inventory'!$B:$I,8,FALSE()),IF($E860="Services",VLOOKUP($C860,Services!$B:$I,8,FALSE()),IF($E860="Patty Cash",VLOOKUP($C860,'Patty Cash'!$B:$J,8,FALSE()),0)))),0)</f>
        <v>0</v>
      </c>
      <c r="J860" s="252" t="str">
        <f t="shared" si="27"/>
        <v/>
      </c>
      <c r="K860" s="253"/>
      <c r="L860" s="253"/>
      <c r="M860" s="253"/>
      <c r="N860" s="328"/>
    </row>
    <row r="861" spans="1:14" ht="20.100000000000001" customHeight="1">
      <c r="A861" s="327" t="str">
        <f>IF(AND($B861="",$C861=""),"",MAX($A$3:A860)+1)</f>
        <v/>
      </c>
      <c r="B861" s="262"/>
      <c r="C861" s="253"/>
      <c r="D861" s="249" t="str">
        <f>IFERROR(IF($E861="Inventory",VLOOKUP($C861,Inventory!$B:$I,2,FALSE()),IF($E861="Non Inventory",VLOOKUP($C861,'Non Inventory'!$B:$I,2,FALSE()),IF($E861="Services",VLOOKUP($C861,Services!$B:$I,2,FALSE()),IF($E861="Patty Cash",VLOOKUP($C861,'Patty Cash'!$B:$J,2,FALSE()),"")))),"")</f>
        <v/>
      </c>
      <c r="E861" s="254"/>
      <c r="F861" s="263" t="str">
        <f>IFERROR(IF($E861="Inventory",VLOOKUP($C861,Inventory!$B:$I,3,FALSE()),IF($E861="Non Inventory",VLOOKUP($C861,'Non Inventory'!$B:$I,3,FALSE()),IF($E861="Services",VLOOKUP($C861,Services!$B:$I,3,FALSE()),IF($E861="Patty Cash",VLOOKUP($C861,'Patty Cash'!$B:$J,3,FALSE()),"")))),"")</f>
        <v/>
      </c>
      <c r="G861" s="374"/>
      <c r="H861" s="374" t="str">
        <f t="shared" si="26"/>
        <v/>
      </c>
      <c r="I861" s="252">
        <f>IFERROR(IF($E861="Inventory",VLOOKUP($C861,Inventory!$B:$I,8,FALSE()),IF($E861="Non Inventory",VLOOKUP($C861,'Non Inventory'!$B:$I,8,FALSE()),IF($E861="Services",VLOOKUP($C861,Services!$B:$I,8,FALSE()),IF($E861="Patty Cash",VLOOKUP($C861,'Patty Cash'!$B:$J,8,FALSE()),0)))),0)</f>
        <v>0</v>
      </c>
      <c r="J861" s="252" t="str">
        <f t="shared" si="27"/>
        <v/>
      </c>
      <c r="K861" s="253"/>
      <c r="L861" s="253"/>
      <c r="M861" s="253"/>
      <c r="N861" s="328"/>
    </row>
    <row r="862" spans="1:14" ht="20.100000000000001" customHeight="1">
      <c r="A862" s="327" t="str">
        <f>IF(AND($B862="",$C862=""),"",MAX($A$3:A861)+1)</f>
        <v/>
      </c>
      <c r="B862" s="262"/>
      <c r="C862" s="253"/>
      <c r="D862" s="249" t="str">
        <f>IFERROR(IF($E862="Inventory",VLOOKUP($C862,Inventory!$B:$I,2,FALSE()),IF($E862="Non Inventory",VLOOKUP($C862,'Non Inventory'!$B:$I,2,FALSE()),IF($E862="Services",VLOOKUP($C862,Services!$B:$I,2,FALSE()),IF($E862="Patty Cash",VLOOKUP($C862,'Patty Cash'!$B:$J,2,FALSE()),"")))),"")</f>
        <v/>
      </c>
      <c r="E862" s="254"/>
      <c r="F862" s="263" t="str">
        <f>IFERROR(IF($E862="Inventory",VLOOKUP($C862,Inventory!$B:$I,3,FALSE()),IF($E862="Non Inventory",VLOOKUP($C862,'Non Inventory'!$B:$I,3,FALSE()),IF($E862="Services",VLOOKUP($C862,Services!$B:$I,3,FALSE()),IF($E862="Patty Cash",VLOOKUP($C862,'Patty Cash'!$B:$J,3,FALSE()),"")))),"")</f>
        <v/>
      </c>
      <c r="G862" s="374"/>
      <c r="H862" s="374" t="str">
        <f t="shared" si="26"/>
        <v/>
      </c>
      <c r="I862" s="252">
        <f>IFERROR(IF($E862="Inventory",VLOOKUP($C862,Inventory!$B:$I,8,FALSE()),IF($E862="Non Inventory",VLOOKUP($C862,'Non Inventory'!$B:$I,8,FALSE()),IF($E862="Services",VLOOKUP($C862,Services!$B:$I,8,FALSE()),IF($E862="Patty Cash",VLOOKUP($C862,'Patty Cash'!$B:$J,8,FALSE()),0)))),0)</f>
        <v>0</v>
      </c>
      <c r="J862" s="252" t="str">
        <f t="shared" si="27"/>
        <v/>
      </c>
      <c r="K862" s="253"/>
      <c r="L862" s="253"/>
      <c r="M862" s="253"/>
      <c r="N862" s="328"/>
    </row>
    <row r="863" spans="1:14" ht="20.100000000000001" customHeight="1">
      <c r="A863" s="327" t="str">
        <f>IF(AND($B863="",$C863=""),"",MAX($A$3:A862)+1)</f>
        <v/>
      </c>
      <c r="B863" s="262"/>
      <c r="C863" s="253"/>
      <c r="D863" s="249" t="str">
        <f>IFERROR(IF($E863="Inventory",VLOOKUP($C863,Inventory!$B:$I,2,FALSE()),IF($E863="Non Inventory",VLOOKUP($C863,'Non Inventory'!$B:$I,2,FALSE()),IF($E863="Services",VLOOKUP($C863,Services!$B:$I,2,FALSE()),IF($E863="Patty Cash",VLOOKUP($C863,'Patty Cash'!$B:$J,2,FALSE()),"")))),"")</f>
        <v/>
      </c>
      <c r="E863" s="254"/>
      <c r="F863" s="263" t="str">
        <f>IFERROR(IF($E863="Inventory",VLOOKUP($C863,Inventory!$B:$I,3,FALSE()),IF($E863="Non Inventory",VLOOKUP($C863,'Non Inventory'!$B:$I,3,FALSE()),IF($E863="Services",VLOOKUP($C863,Services!$B:$I,3,FALSE()),IF($E863="Patty Cash",VLOOKUP($C863,'Patty Cash'!$B:$J,3,FALSE()),"")))),"")</f>
        <v/>
      </c>
      <c r="G863" s="374"/>
      <c r="H863" s="374" t="str">
        <f t="shared" si="26"/>
        <v/>
      </c>
      <c r="I863" s="252">
        <f>IFERROR(IF($E863="Inventory",VLOOKUP($C863,Inventory!$B:$I,8,FALSE()),IF($E863="Non Inventory",VLOOKUP($C863,'Non Inventory'!$B:$I,8,FALSE()),IF($E863="Services",VLOOKUP($C863,Services!$B:$I,8,FALSE()),IF($E863="Patty Cash",VLOOKUP($C863,'Patty Cash'!$B:$J,8,FALSE()),0)))),0)</f>
        <v>0</v>
      </c>
      <c r="J863" s="252" t="str">
        <f t="shared" si="27"/>
        <v/>
      </c>
      <c r="K863" s="253"/>
      <c r="L863" s="253"/>
      <c r="M863" s="253"/>
      <c r="N863" s="328"/>
    </row>
    <row r="864" spans="1:14" ht="20.100000000000001" customHeight="1">
      <c r="A864" s="327" t="str">
        <f>IF(AND($B864="",$C864=""),"",MAX($A$3:A863)+1)</f>
        <v/>
      </c>
      <c r="B864" s="262"/>
      <c r="C864" s="253"/>
      <c r="D864" s="249" t="str">
        <f>IFERROR(IF($E864="Inventory",VLOOKUP($C864,Inventory!$B:$I,2,FALSE()),IF($E864="Non Inventory",VLOOKUP($C864,'Non Inventory'!$B:$I,2,FALSE()),IF($E864="Services",VLOOKUP($C864,Services!$B:$I,2,FALSE()),IF($E864="Patty Cash",VLOOKUP($C864,'Patty Cash'!$B:$J,2,FALSE()),"")))),"")</f>
        <v/>
      </c>
      <c r="E864" s="254"/>
      <c r="F864" s="263" t="str">
        <f>IFERROR(IF($E864="Inventory",VLOOKUP($C864,Inventory!$B:$I,3,FALSE()),IF($E864="Non Inventory",VLOOKUP($C864,'Non Inventory'!$B:$I,3,FALSE()),IF($E864="Services",VLOOKUP($C864,Services!$B:$I,3,FALSE()),IF($E864="Patty Cash",VLOOKUP($C864,'Patty Cash'!$B:$J,3,FALSE()),"")))),"")</f>
        <v/>
      </c>
      <c r="G864" s="374"/>
      <c r="H864" s="374" t="str">
        <f t="shared" si="26"/>
        <v/>
      </c>
      <c r="I864" s="252">
        <f>IFERROR(IF($E864="Inventory",VLOOKUP($C864,Inventory!$B:$I,8,FALSE()),IF($E864="Non Inventory",VLOOKUP($C864,'Non Inventory'!$B:$I,8,FALSE()),IF($E864="Services",VLOOKUP($C864,Services!$B:$I,8,FALSE()),IF($E864="Patty Cash",VLOOKUP($C864,'Patty Cash'!$B:$J,8,FALSE()),0)))),0)</f>
        <v>0</v>
      </c>
      <c r="J864" s="252" t="str">
        <f t="shared" si="27"/>
        <v/>
      </c>
      <c r="K864" s="253"/>
      <c r="L864" s="253"/>
      <c r="M864" s="253"/>
      <c r="N864" s="328"/>
    </row>
    <row r="865" spans="1:14" ht="20.100000000000001" customHeight="1">
      <c r="A865" s="327" t="str">
        <f>IF(AND($B865="",$C865=""),"",MAX($A$3:A864)+1)</f>
        <v/>
      </c>
      <c r="B865" s="262"/>
      <c r="C865" s="253"/>
      <c r="D865" s="249" t="str">
        <f>IFERROR(IF($E865="Inventory",VLOOKUP($C865,Inventory!$B:$I,2,FALSE()),IF($E865="Non Inventory",VLOOKUP($C865,'Non Inventory'!$B:$I,2,FALSE()),IF($E865="Services",VLOOKUP($C865,Services!$B:$I,2,FALSE()),IF($E865="Patty Cash",VLOOKUP($C865,'Patty Cash'!$B:$J,2,FALSE()),"")))),"")</f>
        <v/>
      </c>
      <c r="E865" s="254"/>
      <c r="F865" s="263" t="str">
        <f>IFERROR(IF($E865="Inventory",VLOOKUP($C865,Inventory!$B:$I,3,FALSE()),IF($E865="Non Inventory",VLOOKUP($C865,'Non Inventory'!$B:$I,3,FALSE()),IF($E865="Services",VLOOKUP($C865,Services!$B:$I,3,FALSE()),IF($E865="Patty Cash",VLOOKUP($C865,'Patty Cash'!$B:$J,3,FALSE()),"")))),"")</f>
        <v/>
      </c>
      <c r="G865" s="374"/>
      <c r="H865" s="374" t="str">
        <f t="shared" si="26"/>
        <v/>
      </c>
      <c r="I865" s="252">
        <f>IFERROR(IF($E865="Inventory",VLOOKUP($C865,Inventory!$B:$I,8,FALSE()),IF($E865="Non Inventory",VLOOKUP($C865,'Non Inventory'!$B:$I,8,FALSE()),IF($E865="Services",VLOOKUP($C865,Services!$B:$I,8,FALSE()),IF($E865="Patty Cash",VLOOKUP($C865,'Patty Cash'!$B:$J,8,FALSE()),0)))),0)</f>
        <v>0</v>
      </c>
      <c r="J865" s="252" t="str">
        <f t="shared" si="27"/>
        <v/>
      </c>
      <c r="K865" s="253"/>
      <c r="L865" s="253"/>
      <c r="M865" s="253"/>
      <c r="N865" s="328"/>
    </row>
    <row r="866" spans="1:14" ht="20.100000000000001" customHeight="1">
      <c r="A866" s="327" t="str">
        <f>IF(AND($B866="",$C866=""),"",MAX($A$3:A865)+1)</f>
        <v/>
      </c>
      <c r="B866" s="262"/>
      <c r="C866" s="253"/>
      <c r="D866" s="249" t="str">
        <f>IFERROR(IF($E866="Inventory",VLOOKUP($C866,Inventory!$B:$I,2,FALSE()),IF($E866="Non Inventory",VLOOKUP($C866,'Non Inventory'!$B:$I,2,FALSE()),IF($E866="Services",VLOOKUP($C866,Services!$B:$I,2,FALSE()),IF($E866="Patty Cash",VLOOKUP($C866,'Patty Cash'!$B:$J,2,FALSE()),"")))),"")</f>
        <v/>
      </c>
      <c r="E866" s="254"/>
      <c r="F866" s="263" t="str">
        <f>IFERROR(IF($E866="Inventory",VLOOKUP($C866,Inventory!$B:$I,3,FALSE()),IF($E866="Non Inventory",VLOOKUP($C866,'Non Inventory'!$B:$I,3,FALSE()),IF($E866="Services",VLOOKUP($C866,Services!$B:$I,3,FALSE()),IF($E866="Patty Cash",VLOOKUP($C866,'Patty Cash'!$B:$J,3,FALSE()),"")))),"")</f>
        <v/>
      </c>
      <c r="G866" s="374"/>
      <c r="H866" s="374" t="str">
        <f t="shared" si="26"/>
        <v/>
      </c>
      <c r="I866" s="252">
        <f>IFERROR(IF($E866="Inventory",VLOOKUP($C866,Inventory!$B:$I,8,FALSE()),IF($E866="Non Inventory",VLOOKUP($C866,'Non Inventory'!$B:$I,8,FALSE()),IF($E866="Services",VLOOKUP($C866,Services!$B:$I,8,FALSE()),IF($E866="Patty Cash",VLOOKUP($C866,'Patty Cash'!$B:$J,8,FALSE()),0)))),0)</f>
        <v>0</v>
      </c>
      <c r="J866" s="252" t="str">
        <f t="shared" si="27"/>
        <v/>
      </c>
      <c r="K866" s="253"/>
      <c r="L866" s="253"/>
      <c r="M866" s="253"/>
      <c r="N866" s="328"/>
    </row>
    <row r="867" spans="1:14" ht="20.100000000000001" customHeight="1">
      <c r="A867" s="327" t="str">
        <f>IF(AND($B867="",$C867=""),"",MAX($A$3:A866)+1)</f>
        <v/>
      </c>
      <c r="B867" s="262"/>
      <c r="C867" s="253"/>
      <c r="D867" s="249" t="str">
        <f>IFERROR(IF($E867="Inventory",VLOOKUP($C867,Inventory!$B:$I,2,FALSE()),IF($E867="Non Inventory",VLOOKUP($C867,'Non Inventory'!$B:$I,2,FALSE()),IF($E867="Services",VLOOKUP($C867,Services!$B:$I,2,FALSE()),IF($E867="Patty Cash",VLOOKUP($C867,'Patty Cash'!$B:$J,2,FALSE()),"")))),"")</f>
        <v/>
      </c>
      <c r="E867" s="254"/>
      <c r="F867" s="263" t="str">
        <f>IFERROR(IF($E867="Inventory",VLOOKUP($C867,Inventory!$B:$I,3,FALSE()),IF($E867="Non Inventory",VLOOKUP($C867,'Non Inventory'!$B:$I,3,FALSE()),IF($E867="Services",VLOOKUP($C867,Services!$B:$I,3,FALSE()),IF($E867="Patty Cash",VLOOKUP($C867,'Patty Cash'!$B:$J,3,FALSE()),"")))),"")</f>
        <v/>
      </c>
      <c r="G867" s="374"/>
      <c r="H867" s="374" t="str">
        <f t="shared" si="26"/>
        <v/>
      </c>
      <c r="I867" s="252">
        <f>IFERROR(IF($E867="Inventory",VLOOKUP($C867,Inventory!$B:$I,8,FALSE()),IF($E867="Non Inventory",VLOOKUP($C867,'Non Inventory'!$B:$I,8,FALSE()),IF($E867="Services",VLOOKUP($C867,Services!$B:$I,8,FALSE()),IF($E867="Patty Cash",VLOOKUP($C867,'Patty Cash'!$B:$J,8,FALSE()),0)))),0)</f>
        <v>0</v>
      </c>
      <c r="J867" s="252" t="str">
        <f t="shared" si="27"/>
        <v/>
      </c>
      <c r="K867" s="253"/>
      <c r="L867" s="253"/>
      <c r="M867" s="253"/>
      <c r="N867" s="328"/>
    </row>
    <row r="868" spans="1:14" ht="20.100000000000001" customHeight="1">
      <c r="A868" s="327" t="str">
        <f>IF(AND($B868="",$C868=""),"",MAX($A$3:A867)+1)</f>
        <v/>
      </c>
      <c r="B868" s="262"/>
      <c r="C868" s="253"/>
      <c r="D868" s="249" t="str">
        <f>IFERROR(IF($E868="Inventory",VLOOKUP($C868,Inventory!$B:$I,2,FALSE()),IF($E868="Non Inventory",VLOOKUP($C868,'Non Inventory'!$B:$I,2,FALSE()),IF($E868="Services",VLOOKUP($C868,Services!$B:$I,2,FALSE()),IF($E868="Patty Cash",VLOOKUP($C868,'Patty Cash'!$B:$J,2,FALSE()),"")))),"")</f>
        <v/>
      </c>
      <c r="E868" s="254"/>
      <c r="F868" s="263" t="str">
        <f>IFERROR(IF($E868="Inventory",VLOOKUP($C868,Inventory!$B:$I,3,FALSE()),IF($E868="Non Inventory",VLOOKUP($C868,'Non Inventory'!$B:$I,3,FALSE()),IF($E868="Services",VLOOKUP($C868,Services!$B:$I,3,FALSE()),IF($E868="Patty Cash",VLOOKUP($C868,'Patty Cash'!$B:$J,3,FALSE()),"")))),"")</f>
        <v/>
      </c>
      <c r="G868" s="374"/>
      <c r="H868" s="374" t="str">
        <f t="shared" si="26"/>
        <v/>
      </c>
      <c r="I868" s="252">
        <f>IFERROR(IF($E868="Inventory",VLOOKUP($C868,Inventory!$B:$I,8,FALSE()),IF($E868="Non Inventory",VLOOKUP($C868,'Non Inventory'!$B:$I,8,FALSE()),IF($E868="Services",VLOOKUP($C868,Services!$B:$I,8,FALSE()),IF($E868="Patty Cash",VLOOKUP($C868,'Patty Cash'!$B:$J,8,FALSE()),0)))),0)</f>
        <v>0</v>
      </c>
      <c r="J868" s="252" t="str">
        <f t="shared" si="27"/>
        <v/>
      </c>
      <c r="K868" s="253"/>
      <c r="L868" s="253"/>
      <c r="M868" s="253"/>
      <c r="N868" s="328"/>
    </row>
    <row r="869" spans="1:14" ht="20.100000000000001" customHeight="1">
      <c r="A869" s="327" t="str">
        <f>IF(AND($B869="",$C869=""),"",MAX($A$3:A868)+1)</f>
        <v/>
      </c>
      <c r="B869" s="262"/>
      <c r="C869" s="253"/>
      <c r="D869" s="249" t="str">
        <f>IFERROR(IF($E869="Inventory",VLOOKUP($C869,Inventory!$B:$I,2,FALSE()),IF($E869="Non Inventory",VLOOKUP($C869,'Non Inventory'!$B:$I,2,FALSE()),IF($E869="Services",VLOOKUP($C869,Services!$B:$I,2,FALSE()),IF($E869="Patty Cash",VLOOKUP($C869,'Patty Cash'!$B:$J,2,FALSE()),"")))),"")</f>
        <v/>
      </c>
      <c r="E869" s="254"/>
      <c r="F869" s="263" t="str">
        <f>IFERROR(IF($E869="Inventory",VLOOKUP($C869,Inventory!$B:$I,3,FALSE()),IF($E869="Non Inventory",VLOOKUP($C869,'Non Inventory'!$B:$I,3,FALSE()),IF($E869="Services",VLOOKUP($C869,Services!$B:$I,3,FALSE()),IF($E869="Patty Cash",VLOOKUP($C869,'Patty Cash'!$B:$J,3,FALSE()),"")))),"")</f>
        <v/>
      </c>
      <c r="G869" s="374"/>
      <c r="H869" s="374" t="str">
        <f t="shared" si="26"/>
        <v/>
      </c>
      <c r="I869" s="252">
        <f>IFERROR(IF($E869="Inventory",VLOOKUP($C869,Inventory!$B:$I,8,FALSE()),IF($E869="Non Inventory",VLOOKUP($C869,'Non Inventory'!$B:$I,8,FALSE()),IF($E869="Services",VLOOKUP($C869,Services!$B:$I,8,FALSE()),IF($E869="Patty Cash",VLOOKUP($C869,'Patty Cash'!$B:$J,8,FALSE()),0)))),0)</f>
        <v>0</v>
      </c>
      <c r="J869" s="252" t="str">
        <f t="shared" si="27"/>
        <v/>
      </c>
      <c r="K869" s="253"/>
      <c r="L869" s="253"/>
      <c r="M869" s="253"/>
      <c r="N869" s="328"/>
    </row>
    <row r="870" spans="1:14" ht="20.100000000000001" customHeight="1">
      <c r="A870" s="327" t="str">
        <f>IF(AND($B870="",$C870=""),"",MAX($A$3:A869)+1)</f>
        <v/>
      </c>
      <c r="B870" s="262"/>
      <c r="C870" s="253"/>
      <c r="D870" s="249" t="str">
        <f>IFERROR(IF($E870="Inventory",VLOOKUP($C870,Inventory!$B:$I,2,FALSE()),IF($E870="Non Inventory",VLOOKUP($C870,'Non Inventory'!$B:$I,2,FALSE()),IF($E870="Services",VLOOKUP($C870,Services!$B:$I,2,FALSE()),IF($E870="Patty Cash",VLOOKUP($C870,'Patty Cash'!$B:$J,2,FALSE()),"")))),"")</f>
        <v/>
      </c>
      <c r="E870" s="254"/>
      <c r="F870" s="263" t="str">
        <f>IFERROR(IF($E870="Inventory",VLOOKUP($C870,Inventory!$B:$I,3,FALSE()),IF($E870="Non Inventory",VLOOKUP($C870,'Non Inventory'!$B:$I,3,FALSE()),IF($E870="Services",VLOOKUP($C870,Services!$B:$I,3,FALSE()),IF($E870="Patty Cash",VLOOKUP($C870,'Patty Cash'!$B:$J,3,FALSE()),"")))),"")</f>
        <v/>
      </c>
      <c r="G870" s="374"/>
      <c r="H870" s="374" t="str">
        <f t="shared" si="26"/>
        <v/>
      </c>
      <c r="I870" s="252">
        <f>IFERROR(IF($E870="Inventory",VLOOKUP($C870,Inventory!$B:$I,8,FALSE()),IF($E870="Non Inventory",VLOOKUP($C870,'Non Inventory'!$B:$I,8,FALSE()),IF($E870="Services",VLOOKUP($C870,Services!$B:$I,8,FALSE()),IF($E870="Patty Cash",VLOOKUP($C870,'Patty Cash'!$B:$J,8,FALSE()),0)))),0)</f>
        <v>0</v>
      </c>
      <c r="J870" s="252" t="str">
        <f t="shared" si="27"/>
        <v/>
      </c>
      <c r="K870" s="253"/>
      <c r="L870" s="253"/>
      <c r="M870" s="253"/>
      <c r="N870" s="328"/>
    </row>
    <row r="871" spans="1:14" ht="20.100000000000001" customHeight="1">
      <c r="A871" s="327" t="str">
        <f>IF(AND($B871="",$C871=""),"",MAX($A$3:A870)+1)</f>
        <v/>
      </c>
      <c r="B871" s="262"/>
      <c r="C871" s="253"/>
      <c r="D871" s="249" t="str">
        <f>IFERROR(IF($E871="Inventory",VLOOKUP($C871,Inventory!$B:$I,2,FALSE()),IF($E871="Non Inventory",VLOOKUP($C871,'Non Inventory'!$B:$I,2,FALSE()),IF($E871="Services",VLOOKUP($C871,Services!$B:$I,2,FALSE()),IF($E871="Patty Cash",VLOOKUP($C871,'Patty Cash'!$B:$J,2,FALSE()),"")))),"")</f>
        <v/>
      </c>
      <c r="E871" s="254"/>
      <c r="F871" s="263" t="str">
        <f>IFERROR(IF($E871="Inventory",VLOOKUP($C871,Inventory!$B:$I,3,FALSE()),IF($E871="Non Inventory",VLOOKUP($C871,'Non Inventory'!$B:$I,3,FALSE()),IF($E871="Services",VLOOKUP($C871,Services!$B:$I,3,FALSE()),IF($E871="Patty Cash",VLOOKUP($C871,'Patty Cash'!$B:$J,3,FALSE()),"")))),"")</f>
        <v/>
      </c>
      <c r="G871" s="374"/>
      <c r="H871" s="374" t="str">
        <f t="shared" si="26"/>
        <v/>
      </c>
      <c r="I871" s="252">
        <f>IFERROR(IF($E871="Inventory",VLOOKUP($C871,Inventory!$B:$I,8,FALSE()),IF($E871="Non Inventory",VLOOKUP($C871,'Non Inventory'!$B:$I,8,FALSE()),IF($E871="Services",VLOOKUP($C871,Services!$B:$I,8,FALSE()),IF($E871="Patty Cash",VLOOKUP($C871,'Patty Cash'!$B:$J,8,FALSE()),0)))),0)</f>
        <v>0</v>
      </c>
      <c r="J871" s="252" t="str">
        <f t="shared" si="27"/>
        <v/>
      </c>
      <c r="K871" s="253"/>
      <c r="L871" s="253"/>
      <c r="M871" s="253"/>
      <c r="N871" s="328"/>
    </row>
    <row r="872" spans="1:14" ht="20.100000000000001" customHeight="1">
      <c r="A872" s="327" t="str">
        <f>IF(AND($B872="",$C872=""),"",MAX($A$3:A871)+1)</f>
        <v/>
      </c>
      <c r="B872" s="262"/>
      <c r="C872" s="253"/>
      <c r="D872" s="249" t="str">
        <f>IFERROR(IF($E872="Inventory",VLOOKUP($C872,Inventory!$B:$I,2,FALSE()),IF($E872="Non Inventory",VLOOKUP($C872,'Non Inventory'!$B:$I,2,FALSE()),IF($E872="Services",VLOOKUP($C872,Services!$B:$I,2,FALSE()),IF($E872="Patty Cash",VLOOKUP($C872,'Patty Cash'!$B:$J,2,FALSE()),"")))),"")</f>
        <v/>
      </c>
      <c r="E872" s="254"/>
      <c r="F872" s="263" t="str">
        <f>IFERROR(IF($E872="Inventory",VLOOKUP($C872,Inventory!$B:$I,3,FALSE()),IF($E872="Non Inventory",VLOOKUP($C872,'Non Inventory'!$B:$I,3,FALSE()),IF($E872="Services",VLOOKUP($C872,Services!$B:$I,3,FALSE()),IF($E872="Patty Cash",VLOOKUP($C872,'Patty Cash'!$B:$J,3,FALSE()),"")))),"")</f>
        <v/>
      </c>
      <c r="G872" s="374"/>
      <c r="H872" s="374" t="str">
        <f t="shared" si="26"/>
        <v/>
      </c>
      <c r="I872" s="252">
        <f>IFERROR(IF($E872="Inventory",VLOOKUP($C872,Inventory!$B:$I,8,FALSE()),IF($E872="Non Inventory",VLOOKUP($C872,'Non Inventory'!$B:$I,8,FALSE()),IF($E872="Services",VLOOKUP($C872,Services!$B:$I,8,FALSE()),IF($E872="Patty Cash",VLOOKUP($C872,'Patty Cash'!$B:$J,8,FALSE()),0)))),0)</f>
        <v>0</v>
      </c>
      <c r="J872" s="252" t="str">
        <f t="shared" si="27"/>
        <v/>
      </c>
      <c r="K872" s="253"/>
      <c r="L872" s="253"/>
      <c r="M872" s="253"/>
      <c r="N872" s="328"/>
    </row>
    <row r="873" spans="1:14" ht="20.100000000000001" customHeight="1">
      <c r="A873" s="327" t="str">
        <f>IF(AND($B873="",$C873=""),"",MAX($A$3:A872)+1)</f>
        <v/>
      </c>
      <c r="B873" s="262"/>
      <c r="C873" s="253"/>
      <c r="D873" s="249" t="str">
        <f>IFERROR(IF($E873="Inventory",VLOOKUP($C873,Inventory!$B:$I,2,FALSE()),IF($E873="Non Inventory",VLOOKUP($C873,'Non Inventory'!$B:$I,2,FALSE()),IF($E873="Services",VLOOKUP($C873,Services!$B:$I,2,FALSE()),IF($E873="Patty Cash",VLOOKUP($C873,'Patty Cash'!$B:$J,2,FALSE()),"")))),"")</f>
        <v/>
      </c>
      <c r="E873" s="254"/>
      <c r="F873" s="263" t="str">
        <f>IFERROR(IF($E873="Inventory",VLOOKUP($C873,Inventory!$B:$I,3,FALSE()),IF($E873="Non Inventory",VLOOKUP($C873,'Non Inventory'!$B:$I,3,FALSE()),IF($E873="Services",VLOOKUP($C873,Services!$B:$I,3,FALSE()),IF($E873="Patty Cash",VLOOKUP($C873,'Patty Cash'!$B:$J,3,FALSE()),"")))),"")</f>
        <v/>
      </c>
      <c r="G873" s="374"/>
      <c r="H873" s="374" t="str">
        <f t="shared" si="26"/>
        <v/>
      </c>
      <c r="I873" s="252">
        <f>IFERROR(IF($E873="Inventory",VLOOKUP($C873,Inventory!$B:$I,8,FALSE()),IF($E873="Non Inventory",VLOOKUP($C873,'Non Inventory'!$B:$I,8,FALSE()),IF($E873="Services",VLOOKUP($C873,Services!$B:$I,8,FALSE()),IF($E873="Patty Cash",VLOOKUP($C873,'Patty Cash'!$B:$J,8,FALSE()),0)))),0)</f>
        <v>0</v>
      </c>
      <c r="J873" s="252" t="str">
        <f t="shared" si="27"/>
        <v/>
      </c>
      <c r="K873" s="253"/>
      <c r="L873" s="253"/>
      <c r="M873" s="253"/>
      <c r="N873" s="328"/>
    </row>
    <row r="874" spans="1:14" ht="20.100000000000001" customHeight="1">
      <c r="A874" s="327" t="str">
        <f>IF(AND($B874="",$C874=""),"",MAX($A$3:A873)+1)</f>
        <v/>
      </c>
      <c r="B874" s="262"/>
      <c r="C874" s="253"/>
      <c r="D874" s="249" t="str">
        <f>IFERROR(IF($E874="Inventory",VLOOKUP($C874,Inventory!$B:$I,2,FALSE()),IF($E874="Non Inventory",VLOOKUP($C874,'Non Inventory'!$B:$I,2,FALSE()),IF($E874="Services",VLOOKUP($C874,Services!$B:$I,2,FALSE()),IF($E874="Patty Cash",VLOOKUP($C874,'Patty Cash'!$B:$J,2,FALSE()),"")))),"")</f>
        <v/>
      </c>
      <c r="E874" s="254"/>
      <c r="F874" s="263" t="str">
        <f>IFERROR(IF($E874="Inventory",VLOOKUP($C874,Inventory!$B:$I,3,FALSE()),IF($E874="Non Inventory",VLOOKUP($C874,'Non Inventory'!$B:$I,3,FALSE()),IF($E874="Services",VLOOKUP($C874,Services!$B:$I,3,FALSE()),IF($E874="Patty Cash",VLOOKUP($C874,'Patty Cash'!$B:$J,3,FALSE()),"")))),"")</f>
        <v/>
      </c>
      <c r="G874" s="374"/>
      <c r="H874" s="374" t="str">
        <f t="shared" si="26"/>
        <v/>
      </c>
      <c r="I874" s="252">
        <f>IFERROR(IF($E874="Inventory",VLOOKUP($C874,Inventory!$B:$I,8,FALSE()),IF($E874="Non Inventory",VLOOKUP($C874,'Non Inventory'!$B:$I,8,FALSE()),IF($E874="Services",VLOOKUP($C874,Services!$B:$I,8,FALSE()),IF($E874="Patty Cash",VLOOKUP($C874,'Patty Cash'!$B:$J,8,FALSE()),0)))),0)</f>
        <v>0</v>
      </c>
      <c r="J874" s="252" t="str">
        <f t="shared" si="27"/>
        <v/>
      </c>
      <c r="K874" s="253"/>
      <c r="L874" s="253"/>
      <c r="M874" s="253"/>
      <c r="N874" s="328"/>
    </row>
    <row r="875" spans="1:14" ht="20.100000000000001" customHeight="1">
      <c r="A875" s="327" t="str">
        <f>IF(AND($B875="",$C875=""),"",MAX($A$3:A874)+1)</f>
        <v/>
      </c>
      <c r="B875" s="262"/>
      <c r="C875" s="253"/>
      <c r="D875" s="249" t="str">
        <f>IFERROR(IF($E875="Inventory",VLOOKUP($C875,Inventory!$B:$I,2,FALSE()),IF($E875="Non Inventory",VLOOKUP($C875,'Non Inventory'!$B:$I,2,FALSE()),IF($E875="Services",VLOOKUP($C875,Services!$B:$I,2,FALSE()),IF($E875="Patty Cash",VLOOKUP($C875,'Patty Cash'!$B:$J,2,FALSE()),"")))),"")</f>
        <v/>
      </c>
      <c r="E875" s="254"/>
      <c r="F875" s="263" t="str">
        <f>IFERROR(IF($E875="Inventory",VLOOKUP($C875,Inventory!$B:$I,3,FALSE()),IF($E875="Non Inventory",VLOOKUP($C875,'Non Inventory'!$B:$I,3,FALSE()),IF($E875="Services",VLOOKUP($C875,Services!$B:$I,3,FALSE()),IF($E875="Patty Cash",VLOOKUP($C875,'Patty Cash'!$B:$J,3,FALSE()),"")))),"")</f>
        <v/>
      </c>
      <c r="G875" s="374"/>
      <c r="H875" s="374" t="str">
        <f t="shared" si="26"/>
        <v/>
      </c>
      <c r="I875" s="252">
        <f>IFERROR(IF($E875="Inventory",VLOOKUP($C875,Inventory!$B:$I,8,FALSE()),IF($E875="Non Inventory",VLOOKUP($C875,'Non Inventory'!$B:$I,8,FALSE()),IF($E875="Services",VLOOKUP($C875,Services!$B:$I,8,FALSE()),IF($E875="Patty Cash",VLOOKUP($C875,'Patty Cash'!$B:$J,8,FALSE()),0)))),0)</f>
        <v>0</v>
      </c>
      <c r="J875" s="252" t="str">
        <f t="shared" si="27"/>
        <v/>
      </c>
      <c r="K875" s="253"/>
      <c r="L875" s="253"/>
      <c r="M875" s="253"/>
      <c r="N875" s="328"/>
    </row>
    <row r="876" spans="1:14" ht="20.100000000000001" customHeight="1">
      <c r="A876" s="327" t="str">
        <f>IF(AND($B876="",$C876=""),"",MAX($A$3:A875)+1)</f>
        <v/>
      </c>
      <c r="B876" s="262"/>
      <c r="C876" s="253"/>
      <c r="D876" s="249" t="str">
        <f>IFERROR(IF($E876="Inventory",VLOOKUP($C876,Inventory!$B:$I,2,FALSE()),IF($E876="Non Inventory",VLOOKUP($C876,'Non Inventory'!$B:$I,2,FALSE()),IF($E876="Services",VLOOKUP($C876,Services!$B:$I,2,FALSE()),IF($E876="Patty Cash",VLOOKUP($C876,'Patty Cash'!$B:$J,2,FALSE()),"")))),"")</f>
        <v/>
      </c>
      <c r="E876" s="254"/>
      <c r="F876" s="263" t="str">
        <f>IFERROR(IF($E876="Inventory",VLOOKUP($C876,Inventory!$B:$I,3,FALSE()),IF($E876="Non Inventory",VLOOKUP($C876,'Non Inventory'!$B:$I,3,FALSE()),IF($E876="Services",VLOOKUP($C876,Services!$B:$I,3,FALSE()),IF($E876="Patty Cash",VLOOKUP($C876,'Patty Cash'!$B:$J,3,FALSE()),"")))),"")</f>
        <v/>
      </c>
      <c r="G876" s="374"/>
      <c r="H876" s="374" t="str">
        <f t="shared" si="26"/>
        <v/>
      </c>
      <c r="I876" s="252">
        <f>IFERROR(IF($E876="Inventory",VLOOKUP($C876,Inventory!$B:$I,8,FALSE()),IF($E876="Non Inventory",VLOOKUP($C876,'Non Inventory'!$B:$I,8,FALSE()),IF($E876="Services",VLOOKUP($C876,Services!$B:$I,8,FALSE()),IF($E876="Patty Cash",VLOOKUP($C876,'Patty Cash'!$B:$J,8,FALSE()),0)))),0)</f>
        <v>0</v>
      </c>
      <c r="J876" s="252" t="str">
        <f t="shared" si="27"/>
        <v/>
      </c>
      <c r="K876" s="253"/>
      <c r="L876" s="253"/>
      <c r="M876" s="253"/>
      <c r="N876" s="328"/>
    </row>
    <row r="877" spans="1:14" ht="20.100000000000001" customHeight="1">
      <c r="A877" s="327" t="str">
        <f>IF(AND($B877="",$C877=""),"",MAX($A$3:A876)+1)</f>
        <v/>
      </c>
      <c r="B877" s="262"/>
      <c r="C877" s="253"/>
      <c r="D877" s="249" t="str">
        <f>IFERROR(IF($E877="Inventory",VLOOKUP($C877,Inventory!$B:$I,2,FALSE()),IF($E877="Non Inventory",VLOOKUP($C877,'Non Inventory'!$B:$I,2,FALSE()),IF($E877="Services",VLOOKUP($C877,Services!$B:$I,2,FALSE()),IF($E877="Patty Cash",VLOOKUP($C877,'Patty Cash'!$B:$J,2,FALSE()),"")))),"")</f>
        <v/>
      </c>
      <c r="E877" s="254"/>
      <c r="F877" s="263" t="str">
        <f>IFERROR(IF($E877="Inventory",VLOOKUP($C877,Inventory!$B:$I,3,FALSE()),IF($E877="Non Inventory",VLOOKUP($C877,'Non Inventory'!$B:$I,3,FALSE()),IF($E877="Services",VLOOKUP($C877,Services!$B:$I,3,FALSE()),IF($E877="Patty Cash",VLOOKUP($C877,'Patty Cash'!$B:$J,3,FALSE()),"")))),"")</f>
        <v/>
      </c>
      <c r="G877" s="374"/>
      <c r="H877" s="374" t="str">
        <f t="shared" si="26"/>
        <v/>
      </c>
      <c r="I877" s="252">
        <f>IFERROR(IF($E877="Inventory",VLOOKUP($C877,Inventory!$B:$I,8,FALSE()),IF($E877="Non Inventory",VLOOKUP($C877,'Non Inventory'!$B:$I,8,FALSE()),IF($E877="Services",VLOOKUP($C877,Services!$B:$I,8,FALSE()),IF($E877="Patty Cash",VLOOKUP($C877,'Patty Cash'!$B:$J,8,FALSE()),0)))),0)</f>
        <v>0</v>
      </c>
      <c r="J877" s="252" t="str">
        <f t="shared" si="27"/>
        <v/>
      </c>
      <c r="K877" s="253"/>
      <c r="L877" s="253"/>
      <c r="M877" s="253"/>
      <c r="N877" s="328"/>
    </row>
    <row r="878" spans="1:14" ht="20.100000000000001" customHeight="1">
      <c r="A878" s="327" t="str">
        <f>IF(AND($B878="",$C878=""),"",MAX($A$3:A877)+1)</f>
        <v/>
      </c>
      <c r="B878" s="262"/>
      <c r="C878" s="253"/>
      <c r="D878" s="249" t="str">
        <f>IFERROR(IF($E878="Inventory",VLOOKUP($C878,Inventory!$B:$I,2,FALSE()),IF($E878="Non Inventory",VLOOKUP($C878,'Non Inventory'!$B:$I,2,FALSE()),IF($E878="Services",VLOOKUP($C878,Services!$B:$I,2,FALSE()),IF($E878="Patty Cash",VLOOKUP($C878,'Patty Cash'!$B:$J,2,FALSE()),"")))),"")</f>
        <v/>
      </c>
      <c r="E878" s="254"/>
      <c r="F878" s="263" t="str">
        <f>IFERROR(IF($E878="Inventory",VLOOKUP($C878,Inventory!$B:$I,3,FALSE()),IF($E878="Non Inventory",VLOOKUP($C878,'Non Inventory'!$B:$I,3,FALSE()),IF($E878="Services",VLOOKUP($C878,Services!$B:$I,3,FALSE()),IF($E878="Patty Cash",VLOOKUP($C878,'Patty Cash'!$B:$J,3,FALSE()),"")))),"")</f>
        <v/>
      </c>
      <c r="G878" s="374"/>
      <c r="H878" s="374" t="str">
        <f t="shared" si="26"/>
        <v/>
      </c>
      <c r="I878" s="252">
        <f>IFERROR(IF($E878="Inventory",VLOOKUP($C878,Inventory!$B:$I,8,FALSE()),IF($E878="Non Inventory",VLOOKUP($C878,'Non Inventory'!$B:$I,8,FALSE()),IF($E878="Services",VLOOKUP($C878,Services!$B:$I,8,FALSE()),IF($E878="Patty Cash",VLOOKUP($C878,'Patty Cash'!$B:$J,8,FALSE()),0)))),0)</f>
        <v>0</v>
      </c>
      <c r="J878" s="252" t="str">
        <f t="shared" si="27"/>
        <v/>
      </c>
      <c r="K878" s="253"/>
      <c r="L878" s="253"/>
      <c r="M878" s="253"/>
      <c r="N878" s="328"/>
    </row>
    <row r="879" spans="1:14" ht="20.100000000000001" customHeight="1">
      <c r="A879" s="327" t="str">
        <f>IF(AND($B879="",$C879=""),"",MAX($A$3:A878)+1)</f>
        <v/>
      </c>
      <c r="B879" s="262"/>
      <c r="C879" s="253"/>
      <c r="D879" s="249" t="str">
        <f>IFERROR(IF($E879="Inventory",VLOOKUP($C879,Inventory!$B:$I,2,FALSE()),IF($E879="Non Inventory",VLOOKUP($C879,'Non Inventory'!$B:$I,2,FALSE()),IF($E879="Services",VLOOKUP($C879,Services!$B:$I,2,FALSE()),IF($E879="Patty Cash",VLOOKUP($C879,'Patty Cash'!$B:$J,2,FALSE()),"")))),"")</f>
        <v/>
      </c>
      <c r="E879" s="254"/>
      <c r="F879" s="263" t="str">
        <f>IFERROR(IF($E879="Inventory",VLOOKUP($C879,Inventory!$B:$I,3,FALSE()),IF($E879="Non Inventory",VLOOKUP($C879,'Non Inventory'!$B:$I,3,FALSE()),IF($E879="Services",VLOOKUP($C879,Services!$B:$I,3,FALSE()),IF($E879="Patty Cash",VLOOKUP($C879,'Patty Cash'!$B:$J,3,FALSE()),"")))),"")</f>
        <v/>
      </c>
      <c r="G879" s="374"/>
      <c r="H879" s="374" t="str">
        <f t="shared" si="26"/>
        <v/>
      </c>
      <c r="I879" s="252">
        <f>IFERROR(IF($E879="Inventory",VLOOKUP($C879,Inventory!$B:$I,8,FALSE()),IF($E879="Non Inventory",VLOOKUP($C879,'Non Inventory'!$B:$I,8,FALSE()),IF($E879="Services",VLOOKUP($C879,Services!$B:$I,8,FALSE()),IF($E879="Patty Cash",VLOOKUP($C879,'Patty Cash'!$B:$J,8,FALSE()),0)))),0)</f>
        <v>0</v>
      </c>
      <c r="J879" s="252" t="str">
        <f t="shared" si="27"/>
        <v/>
      </c>
      <c r="K879" s="253"/>
      <c r="L879" s="253"/>
      <c r="M879" s="253"/>
      <c r="N879" s="328"/>
    </row>
    <row r="880" spans="1:14" ht="20.100000000000001" customHeight="1">
      <c r="A880" s="327" t="str">
        <f>IF(AND($B880="",$C880=""),"",MAX($A$3:A879)+1)</f>
        <v/>
      </c>
      <c r="B880" s="262"/>
      <c r="C880" s="253"/>
      <c r="D880" s="249" t="str">
        <f>IFERROR(IF($E880="Inventory",VLOOKUP($C880,Inventory!$B:$I,2,FALSE()),IF($E880="Non Inventory",VLOOKUP($C880,'Non Inventory'!$B:$I,2,FALSE()),IF($E880="Services",VLOOKUP($C880,Services!$B:$I,2,FALSE()),IF($E880="Patty Cash",VLOOKUP($C880,'Patty Cash'!$B:$J,2,FALSE()),"")))),"")</f>
        <v/>
      </c>
      <c r="E880" s="254"/>
      <c r="F880" s="263" t="str">
        <f>IFERROR(IF($E880="Inventory",VLOOKUP($C880,Inventory!$B:$I,3,FALSE()),IF($E880="Non Inventory",VLOOKUP($C880,'Non Inventory'!$B:$I,3,FALSE()),IF($E880="Services",VLOOKUP($C880,Services!$B:$I,3,FALSE()),IF($E880="Patty Cash",VLOOKUP($C880,'Patty Cash'!$B:$J,3,FALSE()),"")))),"")</f>
        <v/>
      </c>
      <c r="G880" s="374"/>
      <c r="H880" s="374" t="str">
        <f t="shared" si="26"/>
        <v/>
      </c>
      <c r="I880" s="252">
        <f>IFERROR(IF($E880="Inventory",VLOOKUP($C880,Inventory!$B:$I,8,FALSE()),IF($E880="Non Inventory",VLOOKUP($C880,'Non Inventory'!$B:$I,8,FALSE()),IF($E880="Services",VLOOKUP($C880,Services!$B:$I,8,FALSE()),IF($E880="Patty Cash",VLOOKUP($C880,'Patty Cash'!$B:$J,8,FALSE()),0)))),0)</f>
        <v>0</v>
      </c>
      <c r="J880" s="252" t="str">
        <f t="shared" si="27"/>
        <v/>
      </c>
      <c r="K880" s="253"/>
      <c r="L880" s="253"/>
      <c r="M880" s="253"/>
      <c r="N880" s="328"/>
    </row>
    <row r="881" spans="1:14" ht="20.100000000000001" customHeight="1">
      <c r="A881" s="327" t="str">
        <f>IF(AND($B881="",$C881=""),"",MAX($A$3:A880)+1)</f>
        <v/>
      </c>
      <c r="B881" s="262"/>
      <c r="C881" s="253"/>
      <c r="D881" s="249" t="str">
        <f>IFERROR(IF($E881="Inventory",VLOOKUP($C881,Inventory!$B:$I,2,FALSE()),IF($E881="Non Inventory",VLOOKUP($C881,'Non Inventory'!$B:$I,2,FALSE()),IF($E881="Services",VLOOKUP($C881,Services!$B:$I,2,FALSE()),IF($E881="Patty Cash",VLOOKUP($C881,'Patty Cash'!$B:$J,2,FALSE()),"")))),"")</f>
        <v/>
      </c>
      <c r="E881" s="254"/>
      <c r="F881" s="263" t="str">
        <f>IFERROR(IF($E881="Inventory",VLOOKUP($C881,Inventory!$B:$I,3,FALSE()),IF($E881="Non Inventory",VLOOKUP($C881,'Non Inventory'!$B:$I,3,FALSE()),IF($E881="Services",VLOOKUP($C881,Services!$B:$I,3,FALSE()),IF($E881="Patty Cash",VLOOKUP($C881,'Patty Cash'!$B:$J,3,FALSE()),"")))),"")</f>
        <v/>
      </c>
      <c r="G881" s="374"/>
      <c r="H881" s="374" t="str">
        <f t="shared" si="26"/>
        <v/>
      </c>
      <c r="I881" s="252">
        <f>IFERROR(IF($E881="Inventory",VLOOKUP($C881,Inventory!$B:$I,8,FALSE()),IF($E881="Non Inventory",VLOOKUP($C881,'Non Inventory'!$B:$I,8,FALSE()),IF($E881="Services",VLOOKUP($C881,Services!$B:$I,8,FALSE()),IF($E881="Patty Cash",VLOOKUP($C881,'Patty Cash'!$B:$J,8,FALSE()),0)))),0)</f>
        <v>0</v>
      </c>
      <c r="J881" s="252" t="str">
        <f t="shared" si="27"/>
        <v/>
      </c>
      <c r="K881" s="253"/>
      <c r="L881" s="253"/>
      <c r="M881" s="253"/>
      <c r="N881" s="328"/>
    </row>
    <row r="882" spans="1:14" ht="20.100000000000001" customHeight="1">
      <c r="A882" s="327" t="str">
        <f>IF(AND($B882="",$C882=""),"",MAX($A$3:A881)+1)</f>
        <v/>
      </c>
      <c r="B882" s="262"/>
      <c r="C882" s="253"/>
      <c r="D882" s="249" t="str">
        <f>IFERROR(IF($E882="Inventory",VLOOKUP($C882,Inventory!$B:$I,2,FALSE()),IF($E882="Non Inventory",VLOOKUP($C882,'Non Inventory'!$B:$I,2,FALSE()),IF($E882="Services",VLOOKUP($C882,Services!$B:$I,2,FALSE()),IF($E882="Patty Cash",VLOOKUP($C882,'Patty Cash'!$B:$J,2,FALSE()),"")))),"")</f>
        <v/>
      </c>
      <c r="E882" s="254"/>
      <c r="F882" s="263" t="str">
        <f>IFERROR(IF($E882="Inventory",VLOOKUP($C882,Inventory!$B:$I,3,FALSE()),IF($E882="Non Inventory",VLOOKUP($C882,'Non Inventory'!$B:$I,3,FALSE()),IF($E882="Services",VLOOKUP($C882,Services!$B:$I,3,FALSE()),IF($E882="Patty Cash",VLOOKUP($C882,'Patty Cash'!$B:$J,3,FALSE()),"")))),"")</f>
        <v/>
      </c>
      <c r="G882" s="374"/>
      <c r="H882" s="374" t="str">
        <f t="shared" si="26"/>
        <v/>
      </c>
      <c r="I882" s="252">
        <f>IFERROR(IF($E882="Inventory",VLOOKUP($C882,Inventory!$B:$I,8,FALSE()),IF($E882="Non Inventory",VLOOKUP($C882,'Non Inventory'!$B:$I,8,FALSE()),IF($E882="Services",VLOOKUP($C882,Services!$B:$I,8,FALSE()),IF($E882="Patty Cash",VLOOKUP($C882,'Patty Cash'!$B:$J,8,FALSE()),0)))),0)</f>
        <v>0</v>
      </c>
      <c r="J882" s="252" t="str">
        <f t="shared" si="27"/>
        <v/>
      </c>
      <c r="K882" s="253"/>
      <c r="L882" s="253"/>
      <c r="M882" s="253"/>
      <c r="N882" s="328"/>
    </row>
    <row r="883" spans="1:14" ht="20.100000000000001" customHeight="1">
      <c r="A883" s="327" t="str">
        <f>IF(AND($B883="",$C883=""),"",MAX($A$3:A882)+1)</f>
        <v/>
      </c>
      <c r="B883" s="262"/>
      <c r="C883" s="253"/>
      <c r="D883" s="249" t="str">
        <f>IFERROR(IF($E883="Inventory",VLOOKUP($C883,Inventory!$B:$I,2,FALSE()),IF($E883="Non Inventory",VLOOKUP($C883,'Non Inventory'!$B:$I,2,FALSE()),IF($E883="Services",VLOOKUP($C883,Services!$B:$I,2,FALSE()),IF($E883="Patty Cash",VLOOKUP($C883,'Patty Cash'!$B:$J,2,FALSE()),"")))),"")</f>
        <v/>
      </c>
      <c r="E883" s="254"/>
      <c r="F883" s="263" t="str">
        <f>IFERROR(IF($E883="Inventory",VLOOKUP($C883,Inventory!$B:$I,3,FALSE()),IF($E883="Non Inventory",VLOOKUP($C883,'Non Inventory'!$B:$I,3,FALSE()),IF($E883="Services",VLOOKUP($C883,Services!$B:$I,3,FALSE()),IF($E883="Patty Cash",VLOOKUP($C883,'Patty Cash'!$B:$J,3,FALSE()),"")))),"")</f>
        <v/>
      </c>
      <c r="G883" s="374"/>
      <c r="H883" s="374" t="str">
        <f t="shared" si="26"/>
        <v/>
      </c>
      <c r="I883" s="252">
        <f>IFERROR(IF($E883="Inventory",VLOOKUP($C883,Inventory!$B:$I,8,FALSE()),IF($E883="Non Inventory",VLOOKUP($C883,'Non Inventory'!$B:$I,8,FALSE()),IF($E883="Services",VLOOKUP($C883,Services!$B:$I,8,FALSE()),IF($E883="Patty Cash",VLOOKUP($C883,'Patty Cash'!$B:$J,8,FALSE()),0)))),0)</f>
        <v>0</v>
      </c>
      <c r="J883" s="252" t="str">
        <f t="shared" si="27"/>
        <v/>
      </c>
      <c r="K883" s="253"/>
      <c r="L883" s="253"/>
      <c r="M883" s="253"/>
      <c r="N883" s="328"/>
    </row>
    <row r="884" spans="1:14" ht="20.100000000000001" customHeight="1">
      <c r="A884" s="327" t="str">
        <f>IF(AND($B884="",$C884=""),"",MAX($A$3:A883)+1)</f>
        <v/>
      </c>
      <c r="B884" s="262"/>
      <c r="C884" s="253"/>
      <c r="D884" s="249" t="str">
        <f>IFERROR(IF($E884="Inventory",VLOOKUP($C884,Inventory!$B:$I,2,FALSE()),IF($E884="Non Inventory",VLOOKUP($C884,'Non Inventory'!$B:$I,2,FALSE()),IF($E884="Services",VLOOKUP($C884,Services!$B:$I,2,FALSE()),IF($E884="Patty Cash",VLOOKUP($C884,'Patty Cash'!$B:$J,2,FALSE()),"")))),"")</f>
        <v/>
      </c>
      <c r="E884" s="254"/>
      <c r="F884" s="263" t="str">
        <f>IFERROR(IF($E884="Inventory",VLOOKUP($C884,Inventory!$B:$I,3,FALSE()),IF($E884="Non Inventory",VLOOKUP($C884,'Non Inventory'!$B:$I,3,FALSE()),IF($E884="Services",VLOOKUP($C884,Services!$B:$I,3,FALSE()),IF($E884="Patty Cash",VLOOKUP($C884,'Patty Cash'!$B:$J,3,FALSE()),"")))),"")</f>
        <v/>
      </c>
      <c r="G884" s="374"/>
      <c r="H884" s="374" t="str">
        <f t="shared" si="26"/>
        <v/>
      </c>
      <c r="I884" s="252">
        <f>IFERROR(IF($E884="Inventory",VLOOKUP($C884,Inventory!$B:$I,8,FALSE()),IF($E884="Non Inventory",VLOOKUP($C884,'Non Inventory'!$B:$I,8,FALSE()),IF($E884="Services",VLOOKUP($C884,Services!$B:$I,8,FALSE()),IF($E884="Patty Cash",VLOOKUP($C884,'Patty Cash'!$B:$J,8,FALSE()),0)))),0)</f>
        <v>0</v>
      </c>
      <c r="J884" s="252" t="str">
        <f t="shared" si="27"/>
        <v/>
      </c>
      <c r="K884" s="253"/>
      <c r="L884" s="253"/>
      <c r="M884" s="253"/>
      <c r="N884" s="328"/>
    </row>
    <row r="885" spans="1:14" ht="20.100000000000001" customHeight="1">
      <c r="A885" s="327" t="str">
        <f>IF(AND($B885="",$C885=""),"",MAX($A$3:A884)+1)</f>
        <v/>
      </c>
      <c r="B885" s="262"/>
      <c r="C885" s="253"/>
      <c r="D885" s="249" t="str">
        <f>IFERROR(IF($E885="Inventory",VLOOKUP($C885,Inventory!$B:$I,2,FALSE()),IF($E885="Non Inventory",VLOOKUP($C885,'Non Inventory'!$B:$I,2,FALSE()),IF($E885="Services",VLOOKUP($C885,Services!$B:$I,2,FALSE()),IF($E885="Patty Cash",VLOOKUP($C885,'Patty Cash'!$B:$J,2,FALSE()),"")))),"")</f>
        <v/>
      </c>
      <c r="E885" s="254"/>
      <c r="F885" s="263" t="str">
        <f>IFERROR(IF($E885="Inventory",VLOOKUP($C885,Inventory!$B:$I,3,FALSE()),IF($E885="Non Inventory",VLOOKUP($C885,'Non Inventory'!$B:$I,3,FALSE()),IF($E885="Services",VLOOKUP($C885,Services!$B:$I,3,FALSE()),IF($E885="Patty Cash",VLOOKUP($C885,'Patty Cash'!$B:$J,3,FALSE()),"")))),"")</f>
        <v/>
      </c>
      <c r="G885" s="374"/>
      <c r="H885" s="374" t="str">
        <f t="shared" si="26"/>
        <v/>
      </c>
      <c r="I885" s="252">
        <f>IFERROR(IF($E885="Inventory",VLOOKUP($C885,Inventory!$B:$I,8,FALSE()),IF($E885="Non Inventory",VLOOKUP($C885,'Non Inventory'!$B:$I,8,FALSE()),IF($E885="Services",VLOOKUP($C885,Services!$B:$I,8,FALSE()),IF($E885="Patty Cash",VLOOKUP($C885,'Patty Cash'!$B:$J,8,FALSE()),0)))),0)</f>
        <v>0</v>
      </c>
      <c r="J885" s="252" t="str">
        <f t="shared" si="27"/>
        <v/>
      </c>
      <c r="K885" s="253"/>
      <c r="L885" s="253"/>
      <c r="M885" s="253"/>
      <c r="N885" s="328"/>
    </row>
    <row r="886" spans="1:14" ht="20.100000000000001" customHeight="1">
      <c r="A886" s="327" t="str">
        <f>IF(AND($B886="",$C886=""),"",MAX($A$3:A885)+1)</f>
        <v/>
      </c>
      <c r="B886" s="262"/>
      <c r="C886" s="253"/>
      <c r="D886" s="249" t="str">
        <f>IFERROR(IF($E886="Inventory",VLOOKUP($C886,Inventory!$B:$I,2,FALSE()),IF($E886="Non Inventory",VLOOKUP($C886,'Non Inventory'!$B:$I,2,FALSE()),IF($E886="Services",VLOOKUP($C886,Services!$B:$I,2,FALSE()),IF($E886="Patty Cash",VLOOKUP($C886,'Patty Cash'!$B:$J,2,FALSE()),"")))),"")</f>
        <v/>
      </c>
      <c r="E886" s="254"/>
      <c r="F886" s="263" t="str">
        <f>IFERROR(IF($E886="Inventory",VLOOKUP($C886,Inventory!$B:$I,3,FALSE()),IF($E886="Non Inventory",VLOOKUP($C886,'Non Inventory'!$B:$I,3,FALSE()),IF($E886="Services",VLOOKUP($C886,Services!$B:$I,3,FALSE()),IF($E886="Patty Cash",VLOOKUP($C886,'Patty Cash'!$B:$J,3,FALSE()),"")))),"")</f>
        <v/>
      </c>
      <c r="G886" s="374"/>
      <c r="H886" s="374" t="str">
        <f t="shared" si="26"/>
        <v/>
      </c>
      <c r="I886" s="252">
        <f>IFERROR(IF($E886="Inventory",VLOOKUP($C886,Inventory!$B:$I,8,FALSE()),IF($E886="Non Inventory",VLOOKUP($C886,'Non Inventory'!$B:$I,8,FALSE()),IF($E886="Services",VLOOKUP($C886,Services!$B:$I,8,FALSE()),IF($E886="Patty Cash",VLOOKUP($C886,'Patty Cash'!$B:$J,8,FALSE()),0)))),0)</f>
        <v>0</v>
      </c>
      <c r="J886" s="252" t="str">
        <f t="shared" si="27"/>
        <v/>
      </c>
      <c r="K886" s="253"/>
      <c r="L886" s="253"/>
      <c r="M886" s="253"/>
      <c r="N886" s="328"/>
    </row>
    <row r="887" spans="1:14" ht="20.100000000000001" customHeight="1">
      <c r="A887" s="327" t="str">
        <f>IF(AND($B887="",$C887=""),"",MAX($A$3:A886)+1)</f>
        <v/>
      </c>
      <c r="B887" s="262"/>
      <c r="C887" s="253"/>
      <c r="D887" s="249" t="str">
        <f>IFERROR(IF($E887="Inventory",VLOOKUP($C887,Inventory!$B:$I,2,FALSE()),IF($E887="Non Inventory",VLOOKUP($C887,'Non Inventory'!$B:$I,2,FALSE()),IF($E887="Services",VLOOKUP($C887,Services!$B:$I,2,FALSE()),IF($E887="Patty Cash",VLOOKUP($C887,'Patty Cash'!$B:$J,2,FALSE()),"")))),"")</f>
        <v/>
      </c>
      <c r="E887" s="254"/>
      <c r="F887" s="263" t="str">
        <f>IFERROR(IF($E887="Inventory",VLOOKUP($C887,Inventory!$B:$I,3,FALSE()),IF($E887="Non Inventory",VLOOKUP($C887,'Non Inventory'!$B:$I,3,FALSE()),IF($E887="Services",VLOOKUP($C887,Services!$B:$I,3,FALSE()),IF($E887="Patty Cash",VLOOKUP($C887,'Patty Cash'!$B:$J,3,FALSE()),"")))),"")</f>
        <v/>
      </c>
      <c r="G887" s="374"/>
      <c r="H887" s="374" t="str">
        <f t="shared" si="26"/>
        <v/>
      </c>
      <c r="I887" s="252">
        <f>IFERROR(IF($E887="Inventory",VLOOKUP($C887,Inventory!$B:$I,8,FALSE()),IF($E887="Non Inventory",VLOOKUP($C887,'Non Inventory'!$B:$I,8,FALSE()),IF($E887="Services",VLOOKUP($C887,Services!$B:$I,8,FALSE()),IF($E887="Patty Cash",VLOOKUP($C887,'Patty Cash'!$B:$J,8,FALSE()),0)))),0)</f>
        <v>0</v>
      </c>
      <c r="J887" s="252" t="str">
        <f t="shared" si="27"/>
        <v/>
      </c>
      <c r="K887" s="253"/>
      <c r="L887" s="253"/>
      <c r="M887" s="253"/>
      <c r="N887" s="328"/>
    </row>
    <row r="888" spans="1:14" ht="20.100000000000001" customHeight="1">
      <c r="A888" s="327" t="str">
        <f>IF(AND($B888="",$C888=""),"",MAX($A$3:A887)+1)</f>
        <v/>
      </c>
      <c r="B888" s="262"/>
      <c r="C888" s="253"/>
      <c r="D888" s="249" t="str">
        <f>IFERROR(IF($E888="Inventory",VLOOKUP($C888,Inventory!$B:$I,2,FALSE()),IF($E888="Non Inventory",VLOOKUP($C888,'Non Inventory'!$B:$I,2,FALSE()),IF($E888="Services",VLOOKUP($C888,Services!$B:$I,2,FALSE()),IF($E888="Patty Cash",VLOOKUP($C888,'Patty Cash'!$B:$J,2,FALSE()),"")))),"")</f>
        <v/>
      </c>
      <c r="E888" s="254"/>
      <c r="F888" s="263" t="str">
        <f>IFERROR(IF($E888="Inventory",VLOOKUP($C888,Inventory!$B:$I,3,FALSE()),IF($E888="Non Inventory",VLOOKUP($C888,'Non Inventory'!$B:$I,3,FALSE()),IF($E888="Services",VLOOKUP($C888,Services!$B:$I,3,FALSE()),IF($E888="Patty Cash",VLOOKUP($C888,'Patty Cash'!$B:$J,3,FALSE()),"")))),"")</f>
        <v/>
      </c>
      <c r="G888" s="374"/>
      <c r="H888" s="374" t="str">
        <f t="shared" si="26"/>
        <v/>
      </c>
      <c r="I888" s="252">
        <f>IFERROR(IF($E888="Inventory",VLOOKUP($C888,Inventory!$B:$I,8,FALSE()),IF($E888="Non Inventory",VLOOKUP($C888,'Non Inventory'!$B:$I,8,FALSE()),IF($E888="Services",VLOOKUP($C888,Services!$B:$I,8,FALSE()),IF($E888="Patty Cash",VLOOKUP($C888,'Patty Cash'!$B:$J,8,FALSE()),0)))),0)</f>
        <v>0</v>
      </c>
      <c r="J888" s="252" t="str">
        <f t="shared" si="27"/>
        <v/>
      </c>
      <c r="K888" s="253"/>
      <c r="L888" s="253"/>
      <c r="M888" s="253"/>
      <c r="N888" s="328"/>
    </row>
    <row r="889" spans="1:14" ht="20.100000000000001" customHeight="1">
      <c r="A889" s="327" t="str">
        <f>IF(AND($B889="",$C889=""),"",MAX($A$3:A888)+1)</f>
        <v/>
      </c>
      <c r="B889" s="262"/>
      <c r="C889" s="253"/>
      <c r="D889" s="249" t="str">
        <f>IFERROR(IF($E889="Inventory",VLOOKUP($C889,Inventory!$B:$I,2,FALSE()),IF($E889="Non Inventory",VLOOKUP($C889,'Non Inventory'!$B:$I,2,FALSE()),IF($E889="Services",VLOOKUP($C889,Services!$B:$I,2,FALSE()),IF($E889="Patty Cash",VLOOKUP($C889,'Patty Cash'!$B:$J,2,FALSE()),"")))),"")</f>
        <v/>
      </c>
      <c r="E889" s="254"/>
      <c r="F889" s="263" t="str">
        <f>IFERROR(IF($E889="Inventory",VLOOKUP($C889,Inventory!$B:$I,3,FALSE()),IF($E889="Non Inventory",VLOOKUP($C889,'Non Inventory'!$B:$I,3,FALSE()),IF($E889="Services",VLOOKUP($C889,Services!$B:$I,3,FALSE()),IF($E889="Patty Cash",VLOOKUP($C889,'Patty Cash'!$B:$J,3,FALSE()),"")))),"")</f>
        <v/>
      </c>
      <c r="G889" s="374"/>
      <c r="H889" s="374" t="str">
        <f t="shared" si="26"/>
        <v/>
      </c>
      <c r="I889" s="252">
        <f>IFERROR(IF($E889="Inventory",VLOOKUP($C889,Inventory!$B:$I,8,FALSE()),IF($E889="Non Inventory",VLOOKUP($C889,'Non Inventory'!$B:$I,8,FALSE()),IF($E889="Services",VLOOKUP($C889,Services!$B:$I,8,FALSE()),IF($E889="Patty Cash",VLOOKUP($C889,'Patty Cash'!$B:$J,8,FALSE()),0)))),0)</f>
        <v>0</v>
      </c>
      <c r="J889" s="252" t="str">
        <f t="shared" si="27"/>
        <v/>
      </c>
      <c r="K889" s="253"/>
      <c r="L889" s="253"/>
      <c r="M889" s="253"/>
      <c r="N889" s="328"/>
    </row>
    <row r="890" spans="1:14" ht="20.100000000000001" customHeight="1">
      <c r="A890" s="327" t="str">
        <f>IF(AND($B890="",$C890=""),"",MAX($A$3:A889)+1)</f>
        <v/>
      </c>
      <c r="B890" s="262"/>
      <c r="C890" s="253"/>
      <c r="D890" s="249" t="str">
        <f>IFERROR(IF($E890="Inventory",VLOOKUP($C890,Inventory!$B:$I,2,FALSE()),IF($E890="Non Inventory",VLOOKUP($C890,'Non Inventory'!$B:$I,2,FALSE()),IF($E890="Services",VLOOKUP($C890,Services!$B:$I,2,FALSE()),IF($E890="Patty Cash",VLOOKUP($C890,'Patty Cash'!$B:$J,2,FALSE()),"")))),"")</f>
        <v/>
      </c>
      <c r="E890" s="254"/>
      <c r="F890" s="263" t="str">
        <f>IFERROR(IF($E890="Inventory",VLOOKUP($C890,Inventory!$B:$I,3,FALSE()),IF($E890="Non Inventory",VLOOKUP($C890,'Non Inventory'!$B:$I,3,FALSE()),IF($E890="Services",VLOOKUP($C890,Services!$B:$I,3,FALSE()),IF($E890="Patty Cash",VLOOKUP($C890,'Patty Cash'!$B:$J,3,FALSE()),"")))),"")</f>
        <v/>
      </c>
      <c r="G890" s="374"/>
      <c r="H890" s="374" t="str">
        <f t="shared" si="26"/>
        <v/>
      </c>
      <c r="I890" s="252">
        <f>IFERROR(IF($E890="Inventory",VLOOKUP($C890,Inventory!$B:$I,8,FALSE()),IF($E890="Non Inventory",VLOOKUP($C890,'Non Inventory'!$B:$I,8,FALSE()),IF($E890="Services",VLOOKUP($C890,Services!$B:$I,8,FALSE()),IF($E890="Patty Cash",VLOOKUP($C890,'Patty Cash'!$B:$J,8,FALSE()),0)))),0)</f>
        <v>0</v>
      </c>
      <c r="J890" s="252" t="str">
        <f t="shared" si="27"/>
        <v/>
      </c>
      <c r="K890" s="253"/>
      <c r="L890" s="253"/>
      <c r="M890" s="253"/>
      <c r="N890" s="328"/>
    </row>
    <row r="891" spans="1:14" ht="20.100000000000001" customHeight="1">
      <c r="A891" s="327" t="str">
        <f>IF(AND($B891="",$C891=""),"",MAX($A$3:A890)+1)</f>
        <v/>
      </c>
      <c r="B891" s="262"/>
      <c r="C891" s="253"/>
      <c r="D891" s="249" t="str">
        <f>IFERROR(IF($E891="Inventory",VLOOKUP($C891,Inventory!$B:$I,2,FALSE()),IF($E891="Non Inventory",VLOOKUP($C891,'Non Inventory'!$B:$I,2,FALSE()),IF($E891="Services",VLOOKUP($C891,Services!$B:$I,2,FALSE()),IF($E891="Patty Cash",VLOOKUP($C891,'Patty Cash'!$B:$J,2,FALSE()),"")))),"")</f>
        <v/>
      </c>
      <c r="E891" s="254"/>
      <c r="F891" s="263" t="str">
        <f>IFERROR(IF($E891="Inventory",VLOOKUP($C891,Inventory!$B:$I,3,FALSE()),IF($E891="Non Inventory",VLOOKUP($C891,'Non Inventory'!$B:$I,3,FALSE()),IF($E891="Services",VLOOKUP($C891,Services!$B:$I,3,FALSE()),IF($E891="Patty Cash",VLOOKUP($C891,'Patty Cash'!$B:$J,3,FALSE()),"")))),"")</f>
        <v/>
      </c>
      <c r="G891" s="374"/>
      <c r="H891" s="374" t="str">
        <f t="shared" ref="H891:H954" si="28">IF($G891="","",G891)</f>
        <v/>
      </c>
      <c r="I891" s="252">
        <f>IFERROR(IF($E891="Inventory",VLOOKUP($C891,Inventory!$B:$I,8,FALSE()),IF($E891="Non Inventory",VLOOKUP($C891,'Non Inventory'!$B:$I,8,FALSE()),IF($E891="Services",VLOOKUP($C891,Services!$B:$I,8,FALSE()),IF($E891="Patty Cash",VLOOKUP($C891,'Patty Cash'!$B:$J,8,FALSE()),0)))),0)</f>
        <v>0</v>
      </c>
      <c r="J891" s="252" t="str">
        <f t="shared" ref="J891:J954" si="29">IF($H891="","",H891*I891)</f>
        <v/>
      </c>
      <c r="K891" s="253"/>
      <c r="L891" s="253"/>
      <c r="M891" s="253"/>
      <c r="N891" s="328"/>
    </row>
    <row r="892" spans="1:14" ht="20.100000000000001" customHeight="1">
      <c r="A892" s="327" t="str">
        <f>IF(AND($B892="",$C892=""),"",MAX($A$3:A891)+1)</f>
        <v/>
      </c>
      <c r="B892" s="262"/>
      <c r="C892" s="253"/>
      <c r="D892" s="249" t="str">
        <f>IFERROR(IF($E892="Inventory",VLOOKUP($C892,Inventory!$B:$I,2,FALSE()),IF($E892="Non Inventory",VLOOKUP($C892,'Non Inventory'!$B:$I,2,FALSE()),IF($E892="Services",VLOOKUP($C892,Services!$B:$I,2,FALSE()),IF($E892="Patty Cash",VLOOKUP($C892,'Patty Cash'!$B:$J,2,FALSE()),"")))),"")</f>
        <v/>
      </c>
      <c r="E892" s="254"/>
      <c r="F892" s="263" t="str">
        <f>IFERROR(IF($E892="Inventory",VLOOKUP($C892,Inventory!$B:$I,3,FALSE()),IF($E892="Non Inventory",VLOOKUP($C892,'Non Inventory'!$B:$I,3,FALSE()),IF($E892="Services",VLOOKUP($C892,Services!$B:$I,3,FALSE()),IF($E892="Patty Cash",VLOOKUP($C892,'Patty Cash'!$B:$J,3,FALSE()),"")))),"")</f>
        <v/>
      </c>
      <c r="G892" s="374"/>
      <c r="H892" s="374" t="str">
        <f t="shared" si="28"/>
        <v/>
      </c>
      <c r="I892" s="252">
        <f>IFERROR(IF($E892="Inventory",VLOOKUP($C892,Inventory!$B:$I,8,FALSE()),IF($E892="Non Inventory",VLOOKUP($C892,'Non Inventory'!$B:$I,8,FALSE()),IF($E892="Services",VLOOKUP($C892,Services!$B:$I,8,FALSE()),IF($E892="Patty Cash",VLOOKUP($C892,'Patty Cash'!$B:$J,8,FALSE()),0)))),0)</f>
        <v>0</v>
      </c>
      <c r="J892" s="252" t="str">
        <f t="shared" si="29"/>
        <v/>
      </c>
      <c r="K892" s="253"/>
      <c r="L892" s="253"/>
      <c r="M892" s="253"/>
      <c r="N892" s="328"/>
    </row>
    <row r="893" spans="1:14" ht="20.100000000000001" customHeight="1">
      <c r="A893" s="327" t="str">
        <f>IF(AND($B893="",$C893=""),"",MAX($A$3:A892)+1)</f>
        <v/>
      </c>
      <c r="B893" s="262"/>
      <c r="C893" s="253"/>
      <c r="D893" s="249" t="str">
        <f>IFERROR(IF($E893="Inventory",VLOOKUP($C893,Inventory!$B:$I,2,FALSE()),IF($E893="Non Inventory",VLOOKUP($C893,'Non Inventory'!$B:$I,2,FALSE()),IF($E893="Services",VLOOKUP($C893,Services!$B:$I,2,FALSE()),IF($E893="Patty Cash",VLOOKUP($C893,'Patty Cash'!$B:$J,2,FALSE()),"")))),"")</f>
        <v/>
      </c>
      <c r="E893" s="254"/>
      <c r="F893" s="263" t="str">
        <f>IFERROR(IF($E893="Inventory",VLOOKUP($C893,Inventory!$B:$I,3,FALSE()),IF($E893="Non Inventory",VLOOKUP($C893,'Non Inventory'!$B:$I,3,FALSE()),IF($E893="Services",VLOOKUP($C893,Services!$B:$I,3,FALSE()),IF($E893="Patty Cash",VLOOKUP($C893,'Patty Cash'!$B:$J,3,FALSE()),"")))),"")</f>
        <v/>
      </c>
      <c r="G893" s="374"/>
      <c r="H893" s="374" t="str">
        <f t="shared" si="28"/>
        <v/>
      </c>
      <c r="I893" s="252">
        <f>IFERROR(IF($E893="Inventory",VLOOKUP($C893,Inventory!$B:$I,8,FALSE()),IF($E893="Non Inventory",VLOOKUP($C893,'Non Inventory'!$B:$I,8,FALSE()),IF($E893="Services",VLOOKUP($C893,Services!$B:$I,8,FALSE()),IF($E893="Patty Cash",VLOOKUP($C893,'Patty Cash'!$B:$J,8,FALSE()),0)))),0)</f>
        <v>0</v>
      </c>
      <c r="J893" s="252" t="str">
        <f t="shared" si="29"/>
        <v/>
      </c>
      <c r="K893" s="253"/>
      <c r="L893" s="253"/>
      <c r="M893" s="253"/>
      <c r="N893" s="328"/>
    </row>
    <row r="894" spans="1:14" ht="20.100000000000001" customHeight="1">
      <c r="A894" s="327" t="str">
        <f>IF(AND($B894="",$C894=""),"",MAX($A$3:A893)+1)</f>
        <v/>
      </c>
      <c r="B894" s="262"/>
      <c r="C894" s="253"/>
      <c r="D894" s="249" t="str">
        <f>IFERROR(IF($E894="Inventory",VLOOKUP($C894,Inventory!$B:$I,2,FALSE()),IF($E894="Non Inventory",VLOOKUP($C894,'Non Inventory'!$B:$I,2,FALSE()),IF($E894="Services",VLOOKUP($C894,Services!$B:$I,2,FALSE()),IF($E894="Patty Cash",VLOOKUP($C894,'Patty Cash'!$B:$J,2,FALSE()),"")))),"")</f>
        <v/>
      </c>
      <c r="E894" s="254"/>
      <c r="F894" s="263" t="str">
        <f>IFERROR(IF($E894="Inventory",VLOOKUP($C894,Inventory!$B:$I,3,FALSE()),IF($E894="Non Inventory",VLOOKUP($C894,'Non Inventory'!$B:$I,3,FALSE()),IF($E894="Services",VLOOKUP($C894,Services!$B:$I,3,FALSE()),IF($E894="Patty Cash",VLOOKUP($C894,'Patty Cash'!$B:$J,3,FALSE()),"")))),"")</f>
        <v/>
      </c>
      <c r="G894" s="374"/>
      <c r="H894" s="374" t="str">
        <f t="shared" si="28"/>
        <v/>
      </c>
      <c r="I894" s="252">
        <f>IFERROR(IF($E894="Inventory",VLOOKUP($C894,Inventory!$B:$I,8,FALSE()),IF($E894="Non Inventory",VLOOKUP($C894,'Non Inventory'!$B:$I,8,FALSE()),IF($E894="Services",VLOOKUP($C894,Services!$B:$I,8,FALSE()),IF($E894="Patty Cash",VLOOKUP($C894,'Patty Cash'!$B:$J,8,FALSE()),0)))),0)</f>
        <v>0</v>
      </c>
      <c r="J894" s="252" t="str">
        <f t="shared" si="29"/>
        <v/>
      </c>
      <c r="K894" s="253"/>
      <c r="L894" s="253"/>
      <c r="M894" s="253"/>
      <c r="N894" s="328"/>
    </row>
    <row r="895" spans="1:14" ht="20.100000000000001" customHeight="1">
      <c r="A895" s="327" t="str">
        <f>IF(AND($B895="",$C895=""),"",MAX($A$3:A894)+1)</f>
        <v/>
      </c>
      <c r="B895" s="262"/>
      <c r="C895" s="253"/>
      <c r="D895" s="249" t="str">
        <f>IFERROR(IF($E895="Inventory",VLOOKUP($C895,Inventory!$B:$I,2,FALSE()),IF($E895="Non Inventory",VLOOKUP($C895,'Non Inventory'!$B:$I,2,FALSE()),IF($E895="Services",VLOOKUP($C895,Services!$B:$I,2,FALSE()),IF($E895="Patty Cash",VLOOKUP($C895,'Patty Cash'!$B:$J,2,FALSE()),"")))),"")</f>
        <v/>
      </c>
      <c r="E895" s="254"/>
      <c r="F895" s="263" t="str">
        <f>IFERROR(IF($E895="Inventory",VLOOKUP($C895,Inventory!$B:$I,3,FALSE()),IF($E895="Non Inventory",VLOOKUP($C895,'Non Inventory'!$B:$I,3,FALSE()),IF($E895="Services",VLOOKUP($C895,Services!$B:$I,3,FALSE()),IF($E895="Patty Cash",VLOOKUP($C895,'Patty Cash'!$B:$J,3,FALSE()),"")))),"")</f>
        <v/>
      </c>
      <c r="G895" s="374"/>
      <c r="H895" s="374" t="str">
        <f t="shared" si="28"/>
        <v/>
      </c>
      <c r="I895" s="252">
        <f>IFERROR(IF($E895="Inventory",VLOOKUP($C895,Inventory!$B:$I,8,FALSE()),IF($E895="Non Inventory",VLOOKUP($C895,'Non Inventory'!$B:$I,8,FALSE()),IF($E895="Services",VLOOKUP($C895,Services!$B:$I,8,FALSE()),IF($E895="Patty Cash",VLOOKUP($C895,'Patty Cash'!$B:$J,8,FALSE()),0)))),0)</f>
        <v>0</v>
      </c>
      <c r="J895" s="252" t="str">
        <f t="shared" si="29"/>
        <v/>
      </c>
      <c r="K895" s="253"/>
      <c r="L895" s="253"/>
      <c r="M895" s="253"/>
      <c r="N895" s="328"/>
    </row>
    <row r="896" spans="1:14" ht="20.100000000000001" customHeight="1">
      <c r="A896" s="327" t="str">
        <f>IF(AND($B896="",$C896=""),"",MAX($A$3:A895)+1)</f>
        <v/>
      </c>
      <c r="B896" s="262"/>
      <c r="C896" s="253"/>
      <c r="D896" s="249" t="str">
        <f>IFERROR(IF($E896="Inventory",VLOOKUP($C896,Inventory!$B:$I,2,FALSE()),IF($E896="Non Inventory",VLOOKUP($C896,'Non Inventory'!$B:$I,2,FALSE()),IF($E896="Services",VLOOKUP($C896,Services!$B:$I,2,FALSE()),IF($E896="Patty Cash",VLOOKUP($C896,'Patty Cash'!$B:$J,2,FALSE()),"")))),"")</f>
        <v/>
      </c>
      <c r="E896" s="254"/>
      <c r="F896" s="263" t="str">
        <f>IFERROR(IF($E896="Inventory",VLOOKUP($C896,Inventory!$B:$I,3,FALSE()),IF($E896="Non Inventory",VLOOKUP($C896,'Non Inventory'!$B:$I,3,FALSE()),IF($E896="Services",VLOOKUP($C896,Services!$B:$I,3,FALSE()),IF($E896="Patty Cash",VLOOKUP($C896,'Patty Cash'!$B:$J,3,FALSE()),"")))),"")</f>
        <v/>
      </c>
      <c r="G896" s="374"/>
      <c r="H896" s="374" t="str">
        <f t="shared" si="28"/>
        <v/>
      </c>
      <c r="I896" s="252">
        <f>IFERROR(IF($E896="Inventory",VLOOKUP($C896,Inventory!$B:$I,8,FALSE()),IF($E896="Non Inventory",VLOOKUP($C896,'Non Inventory'!$B:$I,8,FALSE()),IF($E896="Services",VLOOKUP($C896,Services!$B:$I,8,FALSE()),IF($E896="Patty Cash",VLOOKUP($C896,'Patty Cash'!$B:$J,8,FALSE()),0)))),0)</f>
        <v>0</v>
      </c>
      <c r="J896" s="252" t="str">
        <f t="shared" si="29"/>
        <v/>
      </c>
      <c r="K896" s="253"/>
      <c r="L896" s="253"/>
      <c r="M896" s="253"/>
      <c r="N896" s="328"/>
    </row>
    <row r="897" spans="1:14" ht="20.100000000000001" customHeight="1">
      <c r="A897" s="327" t="str">
        <f>IF(AND($B897="",$C897=""),"",MAX($A$3:A896)+1)</f>
        <v/>
      </c>
      <c r="B897" s="262"/>
      <c r="C897" s="253"/>
      <c r="D897" s="249" t="str">
        <f>IFERROR(IF($E897="Inventory",VLOOKUP($C897,Inventory!$B:$I,2,FALSE()),IF($E897="Non Inventory",VLOOKUP($C897,'Non Inventory'!$B:$I,2,FALSE()),IF($E897="Services",VLOOKUP($C897,Services!$B:$I,2,FALSE()),IF($E897="Patty Cash",VLOOKUP($C897,'Patty Cash'!$B:$J,2,FALSE()),"")))),"")</f>
        <v/>
      </c>
      <c r="E897" s="254"/>
      <c r="F897" s="263" t="str">
        <f>IFERROR(IF($E897="Inventory",VLOOKUP($C897,Inventory!$B:$I,3,FALSE()),IF($E897="Non Inventory",VLOOKUP($C897,'Non Inventory'!$B:$I,3,FALSE()),IF($E897="Services",VLOOKUP($C897,Services!$B:$I,3,FALSE()),IF($E897="Patty Cash",VLOOKUP($C897,'Patty Cash'!$B:$J,3,FALSE()),"")))),"")</f>
        <v/>
      </c>
      <c r="G897" s="374"/>
      <c r="H897" s="374" t="str">
        <f t="shared" si="28"/>
        <v/>
      </c>
      <c r="I897" s="252">
        <f>IFERROR(IF($E897="Inventory",VLOOKUP($C897,Inventory!$B:$I,8,FALSE()),IF($E897="Non Inventory",VLOOKUP($C897,'Non Inventory'!$B:$I,8,FALSE()),IF($E897="Services",VLOOKUP($C897,Services!$B:$I,8,FALSE()),IF($E897="Patty Cash",VLOOKUP($C897,'Patty Cash'!$B:$J,8,FALSE()),0)))),0)</f>
        <v>0</v>
      </c>
      <c r="J897" s="252" t="str">
        <f t="shared" si="29"/>
        <v/>
      </c>
      <c r="K897" s="253"/>
      <c r="L897" s="253"/>
      <c r="M897" s="253"/>
      <c r="N897" s="328"/>
    </row>
    <row r="898" spans="1:14" ht="20.100000000000001" customHeight="1">
      <c r="A898" s="327" t="str">
        <f>IF(AND($B898="",$C898=""),"",MAX($A$3:A897)+1)</f>
        <v/>
      </c>
      <c r="B898" s="262"/>
      <c r="C898" s="253"/>
      <c r="D898" s="249" t="str">
        <f>IFERROR(IF($E898="Inventory",VLOOKUP($C898,Inventory!$B:$I,2,FALSE()),IF($E898="Non Inventory",VLOOKUP($C898,'Non Inventory'!$B:$I,2,FALSE()),IF($E898="Services",VLOOKUP($C898,Services!$B:$I,2,FALSE()),IF($E898="Patty Cash",VLOOKUP($C898,'Patty Cash'!$B:$J,2,FALSE()),"")))),"")</f>
        <v/>
      </c>
      <c r="E898" s="254"/>
      <c r="F898" s="263" t="str">
        <f>IFERROR(IF($E898="Inventory",VLOOKUP($C898,Inventory!$B:$I,3,FALSE()),IF($E898="Non Inventory",VLOOKUP($C898,'Non Inventory'!$B:$I,3,FALSE()),IF($E898="Services",VLOOKUP($C898,Services!$B:$I,3,FALSE()),IF($E898="Patty Cash",VLOOKUP($C898,'Patty Cash'!$B:$J,3,FALSE()),"")))),"")</f>
        <v/>
      </c>
      <c r="G898" s="374"/>
      <c r="H898" s="374" t="str">
        <f t="shared" si="28"/>
        <v/>
      </c>
      <c r="I898" s="252">
        <f>IFERROR(IF($E898="Inventory",VLOOKUP($C898,Inventory!$B:$I,8,FALSE()),IF($E898="Non Inventory",VLOOKUP($C898,'Non Inventory'!$B:$I,8,FALSE()),IF($E898="Services",VLOOKUP($C898,Services!$B:$I,8,FALSE()),IF($E898="Patty Cash",VLOOKUP($C898,'Patty Cash'!$B:$J,8,FALSE()),0)))),0)</f>
        <v>0</v>
      </c>
      <c r="J898" s="252" t="str">
        <f t="shared" si="29"/>
        <v/>
      </c>
      <c r="K898" s="253"/>
      <c r="L898" s="253"/>
      <c r="M898" s="253"/>
      <c r="N898" s="328"/>
    </row>
    <row r="899" spans="1:14" ht="20.100000000000001" customHeight="1">
      <c r="A899" s="327" t="str">
        <f>IF(AND($B899="",$C899=""),"",MAX($A$3:A898)+1)</f>
        <v/>
      </c>
      <c r="B899" s="262"/>
      <c r="C899" s="253"/>
      <c r="D899" s="249" t="str">
        <f>IFERROR(IF($E899="Inventory",VLOOKUP($C899,Inventory!$B:$I,2,FALSE()),IF($E899="Non Inventory",VLOOKUP($C899,'Non Inventory'!$B:$I,2,FALSE()),IF($E899="Services",VLOOKUP($C899,Services!$B:$I,2,FALSE()),IF($E899="Patty Cash",VLOOKUP($C899,'Patty Cash'!$B:$J,2,FALSE()),"")))),"")</f>
        <v/>
      </c>
      <c r="E899" s="254"/>
      <c r="F899" s="263" t="str">
        <f>IFERROR(IF($E899="Inventory",VLOOKUP($C899,Inventory!$B:$I,3,FALSE()),IF($E899="Non Inventory",VLOOKUP($C899,'Non Inventory'!$B:$I,3,FALSE()),IF($E899="Services",VLOOKUP($C899,Services!$B:$I,3,FALSE()),IF($E899="Patty Cash",VLOOKUP($C899,'Patty Cash'!$B:$J,3,FALSE()),"")))),"")</f>
        <v/>
      </c>
      <c r="G899" s="374"/>
      <c r="H899" s="374" t="str">
        <f t="shared" si="28"/>
        <v/>
      </c>
      <c r="I899" s="252">
        <f>IFERROR(IF($E899="Inventory",VLOOKUP($C899,Inventory!$B:$I,8,FALSE()),IF($E899="Non Inventory",VLOOKUP($C899,'Non Inventory'!$B:$I,8,FALSE()),IF($E899="Services",VLOOKUP($C899,Services!$B:$I,8,FALSE()),IF($E899="Patty Cash",VLOOKUP($C899,'Patty Cash'!$B:$J,8,FALSE()),0)))),0)</f>
        <v>0</v>
      </c>
      <c r="J899" s="252" t="str">
        <f t="shared" si="29"/>
        <v/>
      </c>
      <c r="K899" s="253"/>
      <c r="L899" s="253"/>
      <c r="M899" s="253"/>
      <c r="N899" s="328"/>
    </row>
    <row r="900" spans="1:14" ht="20.100000000000001" customHeight="1">
      <c r="A900" s="327" t="str">
        <f>IF(AND($B900="",$C900=""),"",MAX($A$3:A899)+1)</f>
        <v/>
      </c>
      <c r="B900" s="262"/>
      <c r="C900" s="253"/>
      <c r="D900" s="249" t="str">
        <f>IFERROR(IF($E900="Inventory",VLOOKUP($C900,Inventory!$B:$I,2,FALSE()),IF($E900="Non Inventory",VLOOKUP($C900,'Non Inventory'!$B:$I,2,FALSE()),IF($E900="Services",VLOOKUP($C900,Services!$B:$I,2,FALSE()),IF($E900="Patty Cash",VLOOKUP($C900,'Patty Cash'!$B:$J,2,FALSE()),"")))),"")</f>
        <v/>
      </c>
      <c r="E900" s="254"/>
      <c r="F900" s="263" t="str">
        <f>IFERROR(IF($E900="Inventory",VLOOKUP($C900,Inventory!$B:$I,3,FALSE()),IF($E900="Non Inventory",VLOOKUP($C900,'Non Inventory'!$B:$I,3,FALSE()),IF($E900="Services",VLOOKUP($C900,Services!$B:$I,3,FALSE()),IF($E900="Patty Cash",VLOOKUP($C900,'Patty Cash'!$B:$J,3,FALSE()),"")))),"")</f>
        <v/>
      </c>
      <c r="G900" s="374"/>
      <c r="H900" s="374" t="str">
        <f t="shared" si="28"/>
        <v/>
      </c>
      <c r="I900" s="252">
        <f>IFERROR(IF($E900="Inventory",VLOOKUP($C900,Inventory!$B:$I,8,FALSE()),IF($E900="Non Inventory",VLOOKUP($C900,'Non Inventory'!$B:$I,8,FALSE()),IF($E900="Services",VLOOKUP($C900,Services!$B:$I,8,FALSE()),IF($E900="Patty Cash",VLOOKUP($C900,'Patty Cash'!$B:$J,8,FALSE()),0)))),0)</f>
        <v>0</v>
      </c>
      <c r="J900" s="252" t="str">
        <f t="shared" si="29"/>
        <v/>
      </c>
      <c r="K900" s="253"/>
      <c r="L900" s="253"/>
      <c r="M900" s="253"/>
      <c r="N900" s="328"/>
    </row>
    <row r="901" spans="1:14" ht="20.100000000000001" customHeight="1">
      <c r="A901" s="327" t="str">
        <f>IF(AND($B901="",$C901=""),"",MAX($A$3:A900)+1)</f>
        <v/>
      </c>
      <c r="B901" s="262"/>
      <c r="C901" s="253"/>
      <c r="D901" s="249" t="str">
        <f>IFERROR(IF($E901="Inventory",VLOOKUP($C901,Inventory!$B:$I,2,FALSE()),IF($E901="Non Inventory",VLOOKUP($C901,'Non Inventory'!$B:$I,2,FALSE()),IF($E901="Services",VLOOKUP($C901,Services!$B:$I,2,FALSE()),IF($E901="Patty Cash",VLOOKUP($C901,'Patty Cash'!$B:$J,2,FALSE()),"")))),"")</f>
        <v/>
      </c>
      <c r="E901" s="254"/>
      <c r="F901" s="263" t="str">
        <f>IFERROR(IF($E901="Inventory",VLOOKUP($C901,Inventory!$B:$I,3,FALSE()),IF($E901="Non Inventory",VLOOKUP($C901,'Non Inventory'!$B:$I,3,FALSE()),IF($E901="Services",VLOOKUP($C901,Services!$B:$I,3,FALSE()),IF($E901="Patty Cash",VLOOKUP($C901,'Patty Cash'!$B:$J,3,FALSE()),"")))),"")</f>
        <v/>
      </c>
      <c r="G901" s="374"/>
      <c r="H901" s="374" t="str">
        <f t="shared" si="28"/>
        <v/>
      </c>
      <c r="I901" s="252">
        <f>IFERROR(IF($E901="Inventory",VLOOKUP($C901,Inventory!$B:$I,8,FALSE()),IF($E901="Non Inventory",VLOOKUP($C901,'Non Inventory'!$B:$I,8,FALSE()),IF($E901="Services",VLOOKUP($C901,Services!$B:$I,8,FALSE()),IF($E901="Patty Cash",VLOOKUP($C901,'Patty Cash'!$B:$J,8,FALSE()),0)))),0)</f>
        <v>0</v>
      </c>
      <c r="J901" s="252" t="str">
        <f t="shared" si="29"/>
        <v/>
      </c>
      <c r="K901" s="253"/>
      <c r="L901" s="253"/>
      <c r="M901" s="253"/>
      <c r="N901" s="328"/>
    </row>
    <row r="902" spans="1:14" ht="20.100000000000001" customHeight="1">
      <c r="A902" s="327" t="str">
        <f>IF(AND($B902="",$C902=""),"",MAX($A$3:A901)+1)</f>
        <v/>
      </c>
      <c r="B902" s="262"/>
      <c r="C902" s="253"/>
      <c r="D902" s="249" t="str">
        <f>IFERROR(IF($E902="Inventory",VLOOKUP($C902,Inventory!$B:$I,2,FALSE()),IF($E902="Non Inventory",VLOOKUP($C902,'Non Inventory'!$B:$I,2,FALSE()),IF($E902="Services",VLOOKUP($C902,Services!$B:$I,2,FALSE()),IF($E902="Patty Cash",VLOOKUP($C902,'Patty Cash'!$B:$J,2,FALSE()),"")))),"")</f>
        <v/>
      </c>
      <c r="E902" s="254"/>
      <c r="F902" s="263" t="str">
        <f>IFERROR(IF($E902="Inventory",VLOOKUP($C902,Inventory!$B:$I,3,FALSE()),IF($E902="Non Inventory",VLOOKUP($C902,'Non Inventory'!$B:$I,3,FALSE()),IF($E902="Services",VLOOKUP($C902,Services!$B:$I,3,FALSE()),IF($E902="Patty Cash",VLOOKUP($C902,'Patty Cash'!$B:$J,3,FALSE()),"")))),"")</f>
        <v/>
      </c>
      <c r="G902" s="374"/>
      <c r="H902" s="374" t="str">
        <f t="shared" si="28"/>
        <v/>
      </c>
      <c r="I902" s="252">
        <f>IFERROR(IF($E902="Inventory",VLOOKUP($C902,Inventory!$B:$I,8,FALSE()),IF($E902="Non Inventory",VLOOKUP($C902,'Non Inventory'!$B:$I,8,FALSE()),IF($E902="Services",VLOOKUP($C902,Services!$B:$I,8,FALSE()),IF($E902="Patty Cash",VLOOKUP($C902,'Patty Cash'!$B:$J,8,FALSE()),0)))),0)</f>
        <v>0</v>
      </c>
      <c r="J902" s="252" t="str">
        <f t="shared" si="29"/>
        <v/>
      </c>
      <c r="K902" s="253"/>
      <c r="L902" s="253"/>
      <c r="M902" s="253"/>
      <c r="N902" s="328"/>
    </row>
    <row r="903" spans="1:14" ht="20.100000000000001" customHeight="1">
      <c r="A903" s="327" t="str">
        <f>IF(AND($B903="",$C903=""),"",MAX($A$3:A902)+1)</f>
        <v/>
      </c>
      <c r="B903" s="262"/>
      <c r="C903" s="253"/>
      <c r="D903" s="249" t="str">
        <f>IFERROR(IF($E903="Inventory",VLOOKUP($C903,Inventory!$B:$I,2,FALSE()),IF($E903="Non Inventory",VLOOKUP($C903,'Non Inventory'!$B:$I,2,FALSE()),IF($E903="Services",VLOOKUP($C903,Services!$B:$I,2,FALSE()),IF($E903="Patty Cash",VLOOKUP($C903,'Patty Cash'!$B:$J,2,FALSE()),"")))),"")</f>
        <v/>
      </c>
      <c r="E903" s="254"/>
      <c r="F903" s="263" t="str">
        <f>IFERROR(IF($E903="Inventory",VLOOKUP($C903,Inventory!$B:$I,3,FALSE()),IF($E903="Non Inventory",VLOOKUP($C903,'Non Inventory'!$B:$I,3,FALSE()),IF($E903="Services",VLOOKUP($C903,Services!$B:$I,3,FALSE()),IF($E903="Patty Cash",VLOOKUP($C903,'Patty Cash'!$B:$J,3,FALSE()),"")))),"")</f>
        <v/>
      </c>
      <c r="G903" s="374"/>
      <c r="H903" s="374" t="str">
        <f t="shared" si="28"/>
        <v/>
      </c>
      <c r="I903" s="252">
        <f>IFERROR(IF($E903="Inventory",VLOOKUP($C903,Inventory!$B:$I,8,FALSE()),IF($E903="Non Inventory",VLOOKUP($C903,'Non Inventory'!$B:$I,8,FALSE()),IF($E903="Services",VLOOKUP($C903,Services!$B:$I,8,FALSE()),IF($E903="Patty Cash",VLOOKUP($C903,'Patty Cash'!$B:$J,8,FALSE()),0)))),0)</f>
        <v>0</v>
      </c>
      <c r="J903" s="252" t="str">
        <f t="shared" si="29"/>
        <v/>
      </c>
      <c r="K903" s="253"/>
      <c r="L903" s="253"/>
      <c r="M903" s="253"/>
      <c r="N903" s="328"/>
    </row>
    <row r="904" spans="1:14" ht="20.100000000000001" customHeight="1">
      <c r="A904" s="327" t="str">
        <f>IF(AND($B904="",$C904=""),"",MAX($A$3:A903)+1)</f>
        <v/>
      </c>
      <c r="B904" s="262"/>
      <c r="C904" s="253"/>
      <c r="D904" s="249" t="str">
        <f>IFERROR(IF($E904="Inventory",VLOOKUP($C904,Inventory!$B:$I,2,FALSE()),IF($E904="Non Inventory",VLOOKUP($C904,'Non Inventory'!$B:$I,2,FALSE()),IF($E904="Services",VLOOKUP($C904,Services!$B:$I,2,FALSE()),IF($E904="Patty Cash",VLOOKUP($C904,'Patty Cash'!$B:$J,2,FALSE()),"")))),"")</f>
        <v/>
      </c>
      <c r="E904" s="254"/>
      <c r="F904" s="263" t="str">
        <f>IFERROR(IF($E904="Inventory",VLOOKUP($C904,Inventory!$B:$I,3,FALSE()),IF($E904="Non Inventory",VLOOKUP($C904,'Non Inventory'!$B:$I,3,FALSE()),IF($E904="Services",VLOOKUP($C904,Services!$B:$I,3,FALSE()),IF($E904="Patty Cash",VLOOKUP($C904,'Patty Cash'!$B:$J,3,FALSE()),"")))),"")</f>
        <v/>
      </c>
      <c r="G904" s="374"/>
      <c r="H904" s="374" t="str">
        <f t="shared" si="28"/>
        <v/>
      </c>
      <c r="I904" s="252">
        <f>IFERROR(IF($E904="Inventory",VLOOKUP($C904,Inventory!$B:$I,8,FALSE()),IF($E904="Non Inventory",VLOOKUP($C904,'Non Inventory'!$B:$I,8,FALSE()),IF($E904="Services",VLOOKUP($C904,Services!$B:$I,8,FALSE()),IF($E904="Patty Cash",VLOOKUP($C904,'Patty Cash'!$B:$J,8,FALSE()),0)))),0)</f>
        <v>0</v>
      </c>
      <c r="J904" s="252" t="str">
        <f t="shared" si="29"/>
        <v/>
      </c>
      <c r="K904" s="253"/>
      <c r="L904" s="253"/>
      <c r="M904" s="253"/>
      <c r="N904" s="328"/>
    </row>
    <row r="905" spans="1:14" ht="20.100000000000001" customHeight="1">
      <c r="A905" s="327" t="str">
        <f>IF(AND($B905="",$C905=""),"",MAX($A$3:A904)+1)</f>
        <v/>
      </c>
      <c r="B905" s="262"/>
      <c r="C905" s="253"/>
      <c r="D905" s="249" t="str">
        <f>IFERROR(IF($E905="Inventory",VLOOKUP($C905,Inventory!$B:$I,2,FALSE()),IF($E905="Non Inventory",VLOOKUP($C905,'Non Inventory'!$B:$I,2,FALSE()),IF($E905="Services",VLOOKUP($C905,Services!$B:$I,2,FALSE()),IF($E905="Patty Cash",VLOOKUP($C905,'Patty Cash'!$B:$J,2,FALSE()),"")))),"")</f>
        <v/>
      </c>
      <c r="E905" s="254"/>
      <c r="F905" s="263" t="str">
        <f>IFERROR(IF($E905="Inventory",VLOOKUP($C905,Inventory!$B:$I,3,FALSE()),IF($E905="Non Inventory",VLOOKUP($C905,'Non Inventory'!$B:$I,3,FALSE()),IF($E905="Services",VLOOKUP($C905,Services!$B:$I,3,FALSE()),IF($E905="Patty Cash",VLOOKUP($C905,'Patty Cash'!$B:$J,3,FALSE()),"")))),"")</f>
        <v/>
      </c>
      <c r="G905" s="374"/>
      <c r="H905" s="374" t="str">
        <f t="shared" si="28"/>
        <v/>
      </c>
      <c r="I905" s="252">
        <f>IFERROR(IF($E905="Inventory",VLOOKUP($C905,Inventory!$B:$I,8,FALSE()),IF($E905="Non Inventory",VLOOKUP($C905,'Non Inventory'!$B:$I,8,FALSE()),IF($E905="Services",VLOOKUP($C905,Services!$B:$I,8,FALSE()),IF($E905="Patty Cash",VLOOKUP($C905,'Patty Cash'!$B:$J,8,FALSE()),0)))),0)</f>
        <v>0</v>
      </c>
      <c r="J905" s="252" t="str">
        <f t="shared" si="29"/>
        <v/>
      </c>
      <c r="K905" s="253"/>
      <c r="L905" s="253"/>
      <c r="M905" s="253"/>
      <c r="N905" s="328"/>
    </row>
    <row r="906" spans="1:14" ht="20.100000000000001" customHeight="1">
      <c r="A906" s="327" t="str">
        <f>IF(AND($B906="",$C906=""),"",MAX($A$3:A905)+1)</f>
        <v/>
      </c>
      <c r="B906" s="262"/>
      <c r="C906" s="253"/>
      <c r="D906" s="249" t="str">
        <f>IFERROR(IF($E906="Inventory",VLOOKUP($C906,Inventory!$B:$I,2,FALSE()),IF($E906="Non Inventory",VLOOKUP($C906,'Non Inventory'!$B:$I,2,FALSE()),IF($E906="Services",VLOOKUP($C906,Services!$B:$I,2,FALSE()),IF($E906="Patty Cash",VLOOKUP($C906,'Patty Cash'!$B:$J,2,FALSE()),"")))),"")</f>
        <v/>
      </c>
      <c r="E906" s="254"/>
      <c r="F906" s="263" t="str">
        <f>IFERROR(IF($E906="Inventory",VLOOKUP($C906,Inventory!$B:$I,3,FALSE()),IF($E906="Non Inventory",VLOOKUP($C906,'Non Inventory'!$B:$I,3,FALSE()),IF($E906="Services",VLOOKUP($C906,Services!$B:$I,3,FALSE()),IF($E906="Patty Cash",VLOOKUP($C906,'Patty Cash'!$B:$J,3,FALSE()),"")))),"")</f>
        <v/>
      </c>
      <c r="G906" s="374"/>
      <c r="H906" s="374" t="str">
        <f t="shared" si="28"/>
        <v/>
      </c>
      <c r="I906" s="252">
        <f>IFERROR(IF($E906="Inventory",VLOOKUP($C906,Inventory!$B:$I,8,FALSE()),IF($E906="Non Inventory",VLOOKUP($C906,'Non Inventory'!$B:$I,8,FALSE()),IF($E906="Services",VLOOKUP($C906,Services!$B:$I,8,FALSE()),IF($E906="Patty Cash",VLOOKUP($C906,'Patty Cash'!$B:$J,8,FALSE()),0)))),0)</f>
        <v>0</v>
      </c>
      <c r="J906" s="252" t="str">
        <f t="shared" si="29"/>
        <v/>
      </c>
      <c r="K906" s="253"/>
      <c r="L906" s="253"/>
      <c r="M906" s="253"/>
      <c r="N906" s="328"/>
    </row>
    <row r="907" spans="1:14" ht="20.100000000000001" customHeight="1">
      <c r="A907" s="327" t="str">
        <f>IF(AND($B907="",$C907=""),"",MAX($A$3:A906)+1)</f>
        <v/>
      </c>
      <c r="B907" s="262"/>
      <c r="C907" s="253"/>
      <c r="D907" s="249" t="str">
        <f>IFERROR(IF($E907="Inventory",VLOOKUP($C907,Inventory!$B:$I,2,FALSE()),IF($E907="Non Inventory",VLOOKUP($C907,'Non Inventory'!$B:$I,2,FALSE()),IF($E907="Services",VLOOKUP($C907,Services!$B:$I,2,FALSE()),IF($E907="Patty Cash",VLOOKUP($C907,'Patty Cash'!$B:$J,2,FALSE()),"")))),"")</f>
        <v/>
      </c>
      <c r="E907" s="254"/>
      <c r="F907" s="263" t="str">
        <f>IFERROR(IF($E907="Inventory",VLOOKUP($C907,Inventory!$B:$I,3,FALSE()),IF($E907="Non Inventory",VLOOKUP($C907,'Non Inventory'!$B:$I,3,FALSE()),IF($E907="Services",VLOOKUP($C907,Services!$B:$I,3,FALSE()),IF($E907="Patty Cash",VLOOKUP($C907,'Patty Cash'!$B:$J,3,FALSE()),"")))),"")</f>
        <v/>
      </c>
      <c r="G907" s="374"/>
      <c r="H907" s="374" t="str">
        <f t="shared" si="28"/>
        <v/>
      </c>
      <c r="I907" s="252">
        <f>IFERROR(IF($E907="Inventory",VLOOKUP($C907,Inventory!$B:$I,8,FALSE()),IF($E907="Non Inventory",VLOOKUP($C907,'Non Inventory'!$B:$I,8,FALSE()),IF($E907="Services",VLOOKUP($C907,Services!$B:$I,8,FALSE()),IF($E907="Patty Cash",VLOOKUP($C907,'Patty Cash'!$B:$J,8,FALSE()),0)))),0)</f>
        <v>0</v>
      </c>
      <c r="J907" s="252" t="str">
        <f t="shared" si="29"/>
        <v/>
      </c>
      <c r="K907" s="253"/>
      <c r="L907" s="253"/>
      <c r="M907" s="253"/>
      <c r="N907" s="328"/>
    </row>
    <row r="908" spans="1:14" ht="20.100000000000001" customHeight="1">
      <c r="A908" s="327" t="str">
        <f>IF(AND($B908="",$C908=""),"",MAX($A$3:A907)+1)</f>
        <v/>
      </c>
      <c r="B908" s="262"/>
      <c r="C908" s="253"/>
      <c r="D908" s="249" t="str">
        <f>IFERROR(IF($E908="Inventory",VLOOKUP($C908,Inventory!$B:$I,2,FALSE()),IF($E908="Non Inventory",VLOOKUP($C908,'Non Inventory'!$B:$I,2,FALSE()),IF($E908="Services",VLOOKUP($C908,Services!$B:$I,2,FALSE()),IF($E908="Patty Cash",VLOOKUP($C908,'Patty Cash'!$B:$J,2,FALSE()),"")))),"")</f>
        <v/>
      </c>
      <c r="E908" s="254"/>
      <c r="F908" s="263" t="str">
        <f>IFERROR(IF($E908="Inventory",VLOOKUP($C908,Inventory!$B:$I,3,FALSE()),IF($E908="Non Inventory",VLOOKUP($C908,'Non Inventory'!$B:$I,3,FALSE()),IF($E908="Services",VLOOKUP($C908,Services!$B:$I,3,FALSE()),IF($E908="Patty Cash",VLOOKUP($C908,'Patty Cash'!$B:$J,3,FALSE()),"")))),"")</f>
        <v/>
      </c>
      <c r="G908" s="374"/>
      <c r="H908" s="374" t="str">
        <f t="shared" si="28"/>
        <v/>
      </c>
      <c r="I908" s="252">
        <f>IFERROR(IF($E908="Inventory",VLOOKUP($C908,Inventory!$B:$I,8,FALSE()),IF($E908="Non Inventory",VLOOKUP($C908,'Non Inventory'!$B:$I,8,FALSE()),IF($E908="Services",VLOOKUP($C908,Services!$B:$I,8,FALSE()),IF($E908="Patty Cash",VLOOKUP($C908,'Patty Cash'!$B:$J,8,FALSE()),0)))),0)</f>
        <v>0</v>
      </c>
      <c r="J908" s="252" t="str">
        <f t="shared" si="29"/>
        <v/>
      </c>
      <c r="K908" s="253"/>
      <c r="L908" s="253"/>
      <c r="M908" s="253"/>
      <c r="N908" s="328"/>
    </row>
    <row r="909" spans="1:14" ht="20.100000000000001" customHeight="1">
      <c r="A909" s="327" t="str">
        <f>IF(AND($B909="",$C909=""),"",MAX($A$3:A908)+1)</f>
        <v/>
      </c>
      <c r="B909" s="262"/>
      <c r="C909" s="253"/>
      <c r="D909" s="249" t="str">
        <f>IFERROR(IF($E909="Inventory",VLOOKUP($C909,Inventory!$B:$I,2,FALSE()),IF($E909="Non Inventory",VLOOKUP($C909,'Non Inventory'!$B:$I,2,FALSE()),IF($E909="Services",VLOOKUP($C909,Services!$B:$I,2,FALSE()),IF($E909="Patty Cash",VLOOKUP($C909,'Patty Cash'!$B:$J,2,FALSE()),"")))),"")</f>
        <v/>
      </c>
      <c r="E909" s="254"/>
      <c r="F909" s="263" t="str">
        <f>IFERROR(IF($E909="Inventory",VLOOKUP($C909,Inventory!$B:$I,3,FALSE()),IF($E909="Non Inventory",VLOOKUP($C909,'Non Inventory'!$B:$I,3,FALSE()),IF($E909="Services",VLOOKUP($C909,Services!$B:$I,3,FALSE()),IF($E909="Patty Cash",VLOOKUP($C909,'Patty Cash'!$B:$J,3,FALSE()),"")))),"")</f>
        <v/>
      </c>
      <c r="G909" s="374"/>
      <c r="H909" s="374" t="str">
        <f t="shared" si="28"/>
        <v/>
      </c>
      <c r="I909" s="252">
        <f>IFERROR(IF($E909="Inventory",VLOOKUP($C909,Inventory!$B:$I,8,FALSE()),IF($E909="Non Inventory",VLOOKUP($C909,'Non Inventory'!$B:$I,8,FALSE()),IF($E909="Services",VLOOKUP($C909,Services!$B:$I,8,FALSE()),IF($E909="Patty Cash",VLOOKUP($C909,'Patty Cash'!$B:$J,8,FALSE()),0)))),0)</f>
        <v>0</v>
      </c>
      <c r="J909" s="252" t="str">
        <f t="shared" si="29"/>
        <v/>
      </c>
      <c r="K909" s="253"/>
      <c r="L909" s="253"/>
      <c r="M909" s="253"/>
      <c r="N909" s="328"/>
    </row>
    <row r="910" spans="1:14" ht="20.100000000000001" customHeight="1">
      <c r="A910" s="327" t="str">
        <f>IF(AND($B910="",$C910=""),"",MAX($A$3:A909)+1)</f>
        <v/>
      </c>
      <c r="B910" s="262"/>
      <c r="C910" s="253"/>
      <c r="D910" s="249" t="str">
        <f>IFERROR(IF($E910="Inventory",VLOOKUP($C910,Inventory!$B:$I,2,FALSE()),IF($E910="Non Inventory",VLOOKUP($C910,'Non Inventory'!$B:$I,2,FALSE()),IF($E910="Services",VLOOKUP($C910,Services!$B:$I,2,FALSE()),IF($E910="Patty Cash",VLOOKUP($C910,'Patty Cash'!$B:$J,2,FALSE()),"")))),"")</f>
        <v/>
      </c>
      <c r="E910" s="254"/>
      <c r="F910" s="263" t="str">
        <f>IFERROR(IF($E910="Inventory",VLOOKUP($C910,Inventory!$B:$I,3,FALSE()),IF($E910="Non Inventory",VLOOKUP($C910,'Non Inventory'!$B:$I,3,FALSE()),IF($E910="Services",VLOOKUP($C910,Services!$B:$I,3,FALSE()),IF($E910="Patty Cash",VLOOKUP($C910,'Patty Cash'!$B:$J,3,FALSE()),"")))),"")</f>
        <v/>
      </c>
      <c r="G910" s="374"/>
      <c r="H910" s="374" t="str">
        <f t="shared" si="28"/>
        <v/>
      </c>
      <c r="I910" s="252">
        <f>IFERROR(IF($E910="Inventory",VLOOKUP($C910,Inventory!$B:$I,8,FALSE()),IF($E910="Non Inventory",VLOOKUP($C910,'Non Inventory'!$B:$I,8,FALSE()),IF($E910="Services",VLOOKUP($C910,Services!$B:$I,8,FALSE()),IF($E910="Patty Cash",VLOOKUP($C910,'Patty Cash'!$B:$J,8,FALSE()),0)))),0)</f>
        <v>0</v>
      </c>
      <c r="J910" s="252" t="str">
        <f t="shared" si="29"/>
        <v/>
      </c>
      <c r="K910" s="253"/>
      <c r="L910" s="253"/>
      <c r="M910" s="253"/>
      <c r="N910" s="328"/>
    </row>
    <row r="911" spans="1:14" ht="20.100000000000001" customHeight="1">
      <c r="A911" s="327" t="str">
        <f>IF(AND($B911="",$C911=""),"",MAX($A$3:A910)+1)</f>
        <v/>
      </c>
      <c r="B911" s="262"/>
      <c r="C911" s="253"/>
      <c r="D911" s="249" t="str">
        <f>IFERROR(IF($E911="Inventory",VLOOKUP($C911,Inventory!$B:$I,2,FALSE()),IF($E911="Non Inventory",VLOOKUP($C911,'Non Inventory'!$B:$I,2,FALSE()),IF($E911="Services",VLOOKUP($C911,Services!$B:$I,2,FALSE()),IF($E911="Patty Cash",VLOOKUP($C911,'Patty Cash'!$B:$J,2,FALSE()),"")))),"")</f>
        <v/>
      </c>
      <c r="E911" s="254"/>
      <c r="F911" s="263" t="str">
        <f>IFERROR(IF($E911="Inventory",VLOOKUP($C911,Inventory!$B:$I,3,FALSE()),IF($E911="Non Inventory",VLOOKUP($C911,'Non Inventory'!$B:$I,3,FALSE()),IF($E911="Services",VLOOKUP($C911,Services!$B:$I,3,FALSE()),IF($E911="Patty Cash",VLOOKUP($C911,'Patty Cash'!$B:$J,3,FALSE()),"")))),"")</f>
        <v/>
      </c>
      <c r="G911" s="374"/>
      <c r="H911" s="374" t="str">
        <f t="shared" si="28"/>
        <v/>
      </c>
      <c r="I911" s="252">
        <f>IFERROR(IF($E911="Inventory",VLOOKUP($C911,Inventory!$B:$I,8,FALSE()),IF($E911="Non Inventory",VLOOKUP($C911,'Non Inventory'!$B:$I,8,FALSE()),IF($E911="Services",VLOOKUP($C911,Services!$B:$I,8,FALSE()),IF($E911="Patty Cash",VLOOKUP($C911,'Patty Cash'!$B:$J,8,FALSE()),0)))),0)</f>
        <v>0</v>
      </c>
      <c r="J911" s="252" t="str">
        <f t="shared" si="29"/>
        <v/>
      </c>
      <c r="K911" s="253"/>
      <c r="L911" s="253"/>
      <c r="M911" s="253"/>
      <c r="N911" s="328"/>
    </row>
    <row r="912" spans="1:14" ht="20.100000000000001" customHeight="1">
      <c r="A912" s="327" t="str">
        <f>IF(AND($B912="",$C912=""),"",MAX($A$3:A911)+1)</f>
        <v/>
      </c>
      <c r="B912" s="262"/>
      <c r="C912" s="253"/>
      <c r="D912" s="249" t="str">
        <f>IFERROR(IF($E912="Inventory",VLOOKUP($C912,Inventory!$B:$I,2,FALSE()),IF($E912="Non Inventory",VLOOKUP($C912,'Non Inventory'!$B:$I,2,FALSE()),IF($E912="Services",VLOOKUP($C912,Services!$B:$I,2,FALSE()),IF($E912="Patty Cash",VLOOKUP($C912,'Patty Cash'!$B:$J,2,FALSE()),"")))),"")</f>
        <v/>
      </c>
      <c r="E912" s="254"/>
      <c r="F912" s="263" t="str">
        <f>IFERROR(IF($E912="Inventory",VLOOKUP($C912,Inventory!$B:$I,3,FALSE()),IF($E912="Non Inventory",VLOOKUP($C912,'Non Inventory'!$B:$I,3,FALSE()),IF($E912="Services",VLOOKUP($C912,Services!$B:$I,3,FALSE()),IF($E912="Patty Cash",VLOOKUP($C912,'Patty Cash'!$B:$J,3,FALSE()),"")))),"")</f>
        <v/>
      </c>
      <c r="G912" s="374"/>
      <c r="H912" s="374" t="str">
        <f t="shared" si="28"/>
        <v/>
      </c>
      <c r="I912" s="252">
        <f>IFERROR(IF($E912="Inventory",VLOOKUP($C912,Inventory!$B:$I,8,FALSE()),IF($E912="Non Inventory",VLOOKUP($C912,'Non Inventory'!$B:$I,8,FALSE()),IF($E912="Services",VLOOKUP($C912,Services!$B:$I,8,FALSE()),IF($E912="Patty Cash",VLOOKUP($C912,'Patty Cash'!$B:$J,8,FALSE()),0)))),0)</f>
        <v>0</v>
      </c>
      <c r="J912" s="252" t="str">
        <f t="shared" si="29"/>
        <v/>
      </c>
      <c r="K912" s="253"/>
      <c r="L912" s="253"/>
      <c r="M912" s="253"/>
      <c r="N912" s="328"/>
    </row>
    <row r="913" spans="1:14" ht="20.100000000000001" customHeight="1">
      <c r="A913" s="327" t="str">
        <f>IF(AND($B913="",$C913=""),"",MAX($A$3:A912)+1)</f>
        <v/>
      </c>
      <c r="B913" s="262"/>
      <c r="C913" s="253"/>
      <c r="D913" s="249" t="str">
        <f>IFERROR(IF($E913="Inventory",VLOOKUP($C913,Inventory!$B:$I,2,FALSE()),IF($E913="Non Inventory",VLOOKUP($C913,'Non Inventory'!$B:$I,2,FALSE()),IF($E913="Services",VLOOKUP($C913,Services!$B:$I,2,FALSE()),IF($E913="Patty Cash",VLOOKUP($C913,'Patty Cash'!$B:$J,2,FALSE()),"")))),"")</f>
        <v/>
      </c>
      <c r="E913" s="254"/>
      <c r="F913" s="263" t="str">
        <f>IFERROR(IF($E913="Inventory",VLOOKUP($C913,Inventory!$B:$I,3,FALSE()),IF($E913="Non Inventory",VLOOKUP($C913,'Non Inventory'!$B:$I,3,FALSE()),IF($E913="Services",VLOOKUP($C913,Services!$B:$I,3,FALSE()),IF($E913="Patty Cash",VLOOKUP($C913,'Patty Cash'!$B:$J,3,FALSE()),"")))),"")</f>
        <v/>
      </c>
      <c r="G913" s="374"/>
      <c r="H913" s="374" t="str">
        <f t="shared" si="28"/>
        <v/>
      </c>
      <c r="I913" s="252">
        <f>IFERROR(IF($E913="Inventory",VLOOKUP($C913,Inventory!$B:$I,8,FALSE()),IF($E913="Non Inventory",VLOOKUP($C913,'Non Inventory'!$B:$I,8,FALSE()),IF($E913="Services",VLOOKUP($C913,Services!$B:$I,8,FALSE()),IF($E913="Patty Cash",VLOOKUP($C913,'Patty Cash'!$B:$J,8,FALSE()),0)))),0)</f>
        <v>0</v>
      </c>
      <c r="J913" s="252" t="str">
        <f t="shared" si="29"/>
        <v/>
      </c>
      <c r="K913" s="253"/>
      <c r="L913" s="253"/>
      <c r="M913" s="253"/>
      <c r="N913" s="328"/>
    </row>
    <row r="914" spans="1:14" ht="20.100000000000001" customHeight="1">
      <c r="A914" s="327" t="str">
        <f>IF(AND($B914="",$C914=""),"",MAX($A$3:A913)+1)</f>
        <v/>
      </c>
      <c r="B914" s="262"/>
      <c r="C914" s="253"/>
      <c r="D914" s="249" t="str">
        <f>IFERROR(IF($E914="Inventory",VLOOKUP($C914,Inventory!$B:$I,2,FALSE()),IF($E914="Non Inventory",VLOOKUP($C914,'Non Inventory'!$B:$I,2,FALSE()),IF($E914="Services",VLOOKUP($C914,Services!$B:$I,2,FALSE()),IF($E914="Patty Cash",VLOOKUP($C914,'Patty Cash'!$B:$J,2,FALSE()),"")))),"")</f>
        <v/>
      </c>
      <c r="E914" s="254"/>
      <c r="F914" s="263" t="str">
        <f>IFERROR(IF($E914="Inventory",VLOOKUP($C914,Inventory!$B:$I,3,FALSE()),IF($E914="Non Inventory",VLOOKUP($C914,'Non Inventory'!$B:$I,3,FALSE()),IF($E914="Services",VLOOKUP($C914,Services!$B:$I,3,FALSE()),IF($E914="Patty Cash",VLOOKUP($C914,'Patty Cash'!$B:$J,3,FALSE()),"")))),"")</f>
        <v/>
      </c>
      <c r="G914" s="374"/>
      <c r="H914" s="374" t="str">
        <f t="shared" si="28"/>
        <v/>
      </c>
      <c r="I914" s="252">
        <f>IFERROR(IF($E914="Inventory",VLOOKUP($C914,Inventory!$B:$I,8,FALSE()),IF($E914="Non Inventory",VLOOKUP($C914,'Non Inventory'!$B:$I,8,FALSE()),IF($E914="Services",VLOOKUP($C914,Services!$B:$I,8,FALSE()),IF($E914="Patty Cash",VLOOKUP($C914,'Patty Cash'!$B:$J,8,FALSE()),0)))),0)</f>
        <v>0</v>
      </c>
      <c r="J914" s="252" t="str">
        <f t="shared" si="29"/>
        <v/>
      </c>
      <c r="K914" s="253"/>
      <c r="L914" s="253"/>
      <c r="M914" s="253"/>
      <c r="N914" s="328"/>
    </row>
    <row r="915" spans="1:14" ht="20.100000000000001" customHeight="1">
      <c r="A915" s="327" t="str">
        <f>IF(AND($B915="",$C915=""),"",MAX($A$3:A914)+1)</f>
        <v/>
      </c>
      <c r="B915" s="262"/>
      <c r="C915" s="253"/>
      <c r="D915" s="249" t="str">
        <f>IFERROR(IF($E915="Inventory",VLOOKUP($C915,Inventory!$B:$I,2,FALSE()),IF($E915="Non Inventory",VLOOKUP($C915,'Non Inventory'!$B:$I,2,FALSE()),IF($E915="Services",VLOOKUP($C915,Services!$B:$I,2,FALSE()),IF($E915="Patty Cash",VLOOKUP($C915,'Patty Cash'!$B:$J,2,FALSE()),"")))),"")</f>
        <v/>
      </c>
      <c r="E915" s="254"/>
      <c r="F915" s="263" t="str">
        <f>IFERROR(IF($E915="Inventory",VLOOKUP($C915,Inventory!$B:$I,3,FALSE()),IF($E915="Non Inventory",VLOOKUP($C915,'Non Inventory'!$B:$I,3,FALSE()),IF($E915="Services",VLOOKUP($C915,Services!$B:$I,3,FALSE()),IF($E915="Patty Cash",VLOOKUP($C915,'Patty Cash'!$B:$J,3,FALSE()),"")))),"")</f>
        <v/>
      </c>
      <c r="G915" s="374"/>
      <c r="H915" s="374" t="str">
        <f t="shared" si="28"/>
        <v/>
      </c>
      <c r="I915" s="252">
        <f>IFERROR(IF($E915="Inventory",VLOOKUP($C915,Inventory!$B:$I,8,FALSE()),IF($E915="Non Inventory",VLOOKUP($C915,'Non Inventory'!$B:$I,8,FALSE()),IF($E915="Services",VLOOKUP($C915,Services!$B:$I,8,FALSE()),IF($E915="Patty Cash",VLOOKUP($C915,'Patty Cash'!$B:$J,8,FALSE()),0)))),0)</f>
        <v>0</v>
      </c>
      <c r="J915" s="252" t="str">
        <f t="shared" si="29"/>
        <v/>
      </c>
      <c r="K915" s="253"/>
      <c r="L915" s="253"/>
      <c r="M915" s="253"/>
      <c r="N915" s="328"/>
    </row>
    <row r="916" spans="1:14" ht="20.100000000000001" customHeight="1">
      <c r="A916" s="327" t="str">
        <f>IF(AND($B916="",$C916=""),"",MAX($A$3:A915)+1)</f>
        <v/>
      </c>
      <c r="B916" s="262"/>
      <c r="C916" s="253"/>
      <c r="D916" s="249" t="str">
        <f>IFERROR(IF($E916="Inventory",VLOOKUP($C916,Inventory!$B:$I,2,FALSE()),IF($E916="Non Inventory",VLOOKUP($C916,'Non Inventory'!$B:$I,2,FALSE()),IF($E916="Services",VLOOKUP($C916,Services!$B:$I,2,FALSE()),IF($E916="Patty Cash",VLOOKUP($C916,'Patty Cash'!$B:$J,2,FALSE()),"")))),"")</f>
        <v/>
      </c>
      <c r="E916" s="254"/>
      <c r="F916" s="263" t="str">
        <f>IFERROR(IF($E916="Inventory",VLOOKUP($C916,Inventory!$B:$I,3,FALSE()),IF($E916="Non Inventory",VLOOKUP($C916,'Non Inventory'!$B:$I,3,FALSE()),IF($E916="Services",VLOOKUP($C916,Services!$B:$I,3,FALSE()),IF($E916="Patty Cash",VLOOKUP($C916,'Patty Cash'!$B:$J,3,FALSE()),"")))),"")</f>
        <v/>
      </c>
      <c r="G916" s="374"/>
      <c r="H916" s="374" t="str">
        <f t="shared" si="28"/>
        <v/>
      </c>
      <c r="I916" s="252">
        <f>IFERROR(IF($E916="Inventory",VLOOKUP($C916,Inventory!$B:$I,8,FALSE()),IF($E916="Non Inventory",VLOOKUP($C916,'Non Inventory'!$B:$I,8,FALSE()),IF($E916="Services",VLOOKUP($C916,Services!$B:$I,8,FALSE()),IF($E916="Patty Cash",VLOOKUP($C916,'Patty Cash'!$B:$J,8,FALSE()),0)))),0)</f>
        <v>0</v>
      </c>
      <c r="J916" s="252" t="str">
        <f t="shared" si="29"/>
        <v/>
      </c>
      <c r="K916" s="253"/>
      <c r="L916" s="253"/>
      <c r="M916" s="253"/>
      <c r="N916" s="328"/>
    </row>
    <row r="917" spans="1:14" ht="20.100000000000001" customHeight="1">
      <c r="A917" s="327" t="str">
        <f>IF(AND($B917="",$C917=""),"",MAX($A$3:A916)+1)</f>
        <v/>
      </c>
      <c r="B917" s="262"/>
      <c r="C917" s="253"/>
      <c r="D917" s="249" t="str">
        <f>IFERROR(IF($E917="Inventory",VLOOKUP($C917,Inventory!$B:$I,2,FALSE()),IF($E917="Non Inventory",VLOOKUP($C917,'Non Inventory'!$B:$I,2,FALSE()),IF($E917="Services",VLOOKUP($C917,Services!$B:$I,2,FALSE()),IF($E917="Patty Cash",VLOOKUP($C917,'Patty Cash'!$B:$J,2,FALSE()),"")))),"")</f>
        <v/>
      </c>
      <c r="E917" s="254"/>
      <c r="F917" s="263" t="str">
        <f>IFERROR(IF($E917="Inventory",VLOOKUP($C917,Inventory!$B:$I,3,FALSE()),IF($E917="Non Inventory",VLOOKUP($C917,'Non Inventory'!$B:$I,3,FALSE()),IF($E917="Services",VLOOKUP($C917,Services!$B:$I,3,FALSE()),IF($E917="Patty Cash",VLOOKUP($C917,'Patty Cash'!$B:$J,3,FALSE()),"")))),"")</f>
        <v/>
      </c>
      <c r="G917" s="374"/>
      <c r="H917" s="374" t="str">
        <f t="shared" si="28"/>
        <v/>
      </c>
      <c r="I917" s="252">
        <f>IFERROR(IF($E917="Inventory",VLOOKUP($C917,Inventory!$B:$I,8,FALSE()),IF($E917="Non Inventory",VLOOKUP($C917,'Non Inventory'!$B:$I,8,FALSE()),IF($E917="Services",VLOOKUP($C917,Services!$B:$I,8,FALSE()),IF($E917="Patty Cash",VLOOKUP($C917,'Patty Cash'!$B:$J,8,FALSE()),0)))),0)</f>
        <v>0</v>
      </c>
      <c r="J917" s="252" t="str">
        <f t="shared" si="29"/>
        <v/>
      </c>
      <c r="K917" s="253"/>
      <c r="L917" s="253"/>
      <c r="M917" s="253"/>
      <c r="N917" s="328"/>
    </row>
    <row r="918" spans="1:14" ht="20.100000000000001" customHeight="1">
      <c r="A918" s="327" t="str">
        <f>IF(AND($B918="",$C918=""),"",MAX($A$3:A917)+1)</f>
        <v/>
      </c>
      <c r="B918" s="262"/>
      <c r="C918" s="253"/>
      <c r="D918" s="249" t="str">
        <f>IFERROR(IF($E918="Inventory",VLOOKUP($C918,Inventory!$B:$I,2,FALSE()),IF($E918="Non Inventory",VLOOKUP($C918,'Non Inventory'!$B:$I,2,FALSE()),IF($E918="Services",VLOOKUP($C918,Services!$B:$I,2,FALSE()),IF($E918="Patty Cash",VLOOKUP($C918,'Patty Cash'!$B:$J,2,FALSE()),"")))),"")</f>
        <v/>
      </c>
      <c r="E918" s="254"/>
      <c r="F918" s="263" t="str">
        <f>IFERROR(IF($E918="Inventory",VLOOKUP($C918,Inventory!$B:$I,3,FALSE()),IF($E918="Non Inventory",VLOOKUP($C918,'Non Inventory'!$B:$I,3,FALSE()),IF($E918="Services",VLOOKUP($C918,Services!$B:$I,3,FALSE()),IF($E918="Patty Cash",VLOOKUP($C918,'Patty Cash'!$B:$J,3,FALSE()),"")))),"")</f>
        <v/>
      </c>
      <c r="G918" s="374"/>
      <c r="H918" s="374" t="str">
        <f t="shared" si="28"/>
        <v/>
      </c>
      <c r="I918" s="252">
        <f>IFERROR(IF($E918="Inventory",VLOOKUP($C918,Inventory!$B:$I,8,FALSE()),IF($E918="Non Inventory",VLOOKUP($C918,'Non Inventory'!$B:$I,8,FALSE()),IF($E918="Services",VLOOKUP($C918,Services!$B:$I,8,FALSE()),IF($E918="Patty Cash",VLOOKUP($C918,'Patty Cash'!$B:$J,8,FALSE()),0)))),0)</f>
        <v>0</v>
      </c>
      <c r="J918" s="252" t="str">
        <f t="shared" si="29"/>
        <v/>
      </c>
      <c r="K918" s="253"/>
      <c r="L918" s="253"/>
      <c r="M918" s="253"/>
      <c r="N918" s="328"/>
    </row>
    <row r="919" spans="1:14" ht="20.100000000000001" customHeight="1">
      <c r="A919" s="327" t="str">
        <f>IF(AND($B919="",$C919=""),"",MAX($A$3:A918)+1)</f>
        <v/>
      </c>
      <c r="B919" s="262"/>
      <c r="C919" s="253"/>
      <c r="D919" s="249" t="str">
        <f>IFERROR(IF($E919="Inventory",VLOOKUP($C919,Inventory!$B:$I,2,FALSE()),IF($E919="Non Inventory",VLOOKUP($C919,'Non Inventory'!$B:$I,2,FALSE()),IF($E919="Services",VLOOKUP($C919,Services!$B:$I,2,FALSE()),IF($E919="Patty Cash",VLOOKUP($C919,'Patty Cash'!$B:$J,2,FALSE()),"")))),"")</f>
        <v/>
      </c>
      <c r="E919" s="254"/>
      <c r="F919" s="263" t="str">
        <f>IFERROR(IF($E919="Inventory",VLOOKUP($C919,Inventory!$B:$I,3,FALSE()),IF($E919="Non Inventory",VLOOKUP($C919,'Non Inventory'!$B:$I,3,FALSE()),IF($E919="Services",VLOOKUP($C919,Services!$B:$I,3,FALSE()),IF($E919="Patty Cash",VLOOKUP($C919,'Patty Cash'!$B:$J,3,FALSE()),"")))),"")</f>
        <v/>
      </c>
      <c r="G919" s="374"/>
      <c r="H919" s="374" t="str">
        <f t="shared" si="28"/>
        <v/>
      </c>
      <c r="I919" s="252">
        <f>IFERROR(IF($E919="Inventory",VLOOKUP($C919,Inventory!$B:$I,8,FALSE()),IF($E919="Non Inventory",VLOOKUP($C919,'Non Inventory'!$B:$I,8,FALSE()),IF($E919="Services",VLOOKUP($C919,Services!$B:$I,8,FALSE()),IF($E919="Patty Cash",VLOOKUP($C919,'Patty Cash'!$B:$J,8,FALSE()),0)))),0)</f>
        <v>0</v>
      </c>
      <c r="J919" s="252" t="str">
        <f t="shared" si="29"/>
        <v/>
      </c>
      <c r="K919" s="253"/>
      <c r="L919" s="253"/>
      <c r="M919" s="253"/>
      <c r="N919" s="328"/>
    </row>
    <row r="920" spans="1:14" ht="20.100000000000001" customHeight="1">
      <c r="A920" s="327" t="str">
        <f>IF(AND($B920="",$C920=""),"",MAX($A$3:A919)+1)</f>
        <v/>
      </c>
      <c r="B920" s="262"/>
      <c r="C920" s="253"/>
      <c r="D920" s="249" t="str">
        <f>IFERROR(IF($E920="Inventory",VLOOKUP($C920,Inventory!$B:$I,2,FALSE()),IF($E920="Non Inventory",VLOOKUP($C920,'Non Inventory'!$B:$I,2,FALSE()),IF($E920="Services",VLOOKUP($C920,Services!$B:$I,2,FALSE()),IF($E920="Patty Cash",VLOOKUP($C920,'Patty Cash'!$B:$J,2,FALSE()),"")))),"")</f>
        <v/>
      </c>
      <c r="E920" s="254"/>
      <c r="F920" s="263" t="str">
        <f>IFERROR(IF($E920="Inventory",VLOOKUP($C920,Inventory!$B:$I,3,FALSE()),IF($E920="Non Inventory",VLOOKUP($C920,'Non Inventory'!$B:$I,3,FALSE()),IF($E920="Services",VLOOKUP($C920,Services!$B:$I,3,FALSE()),IF($E920="Patty Cash",VLOOKUP($C920,'Patty Cash'!$B:$J,3,FALSE()),"")))),"")</f>
        <v/>
      </c>
      <c r="G920" s="374"/>
      <c r="H920" s="374" t="str">
        <f t="shared" si="28"/>
        <v/>
      </c>
      <c r="I920" s="252">
        <f>IFERROR(IF($E920="Inventory",VLOOKUP($C920,Inventory!$B:$I,8,FALSE()),IF($E920="Non Inventory",VLOOKUP($C920,'Non Inventory'!$B:$I,8,FALSE()),IF($E920="Services",VLOOKUP($C920,Services!$B:$I,8,FALSE()),IF($E920="Patty Cash",VLOOKUP($C920,'Patty Cash'!$B:$J,8,FALSE()),0)))),0)</f>
        <v>0</v>
      </c>
      <c r="J920" s="252" t="str">
        <f t="shared" si="29"/>
        <v/>
      </c>
      <c r="K920" s="253"/>
      <c r="L920" s="253"/>
      <c r="M920" s="253"/>
      <c r="N920" s="328"/>
    </row>
    <row r="921" spans="1:14" ht="20.100000000000001" customHeight="1">
      <c r="A921" s="327" t="str">
        <f>IF(AND($B921="",$C921=""),"",MAX($A$3:A920)+1)</f>
        <v/>
      </c>
      <c r="B921" s="262"/>
      <c r="C921" s="253"/>
      <c r="D921" s="249" t="str">
        <f>IFERROR(IF($E921="Inventory",VLOOKUP($C921,Inventory!$B:$I,2,FALSE()),IF($E921="Non Inventory",VLOOKUP($C921,'Non Inventory'!$B:$I,2,FALSE()),IF($E921="Services",VLOOKUP($C921,Services!$B:$I,2,FALSE()),IF($E921="Patty Cash",VLOOKUP($C921,'Patty Cash'!$B:$J,2,FALSE()),"")))),"")</f>
        <v/>
      </c>
      <c r="E921" s="254"/>
      <c r="F921" s="263" t="str">
        <f>IFERROR(IF($E921="Inventory",VLOOKUP($C921,Inventory!$B:$I,3,FALSE()),IF($E921="Non Inventory",VLOOKUP($C921,'Non Inventory'!$B:$I,3,FALSE()),IF($E921="Services",VLOOKUP($C921,Services!$B:$I,3,FALSE()),IF($E921="Patty Cash",VLOOKUP($C921,'Patty Cash'!$B:$J,3,FALSE()),"")))),"")</f>
        <v/>
      </c>
      <c r="G921" s="374"/>
      <c r="H921" s="374" t="str">
        <f t="shared" si="28"/>
        <v/>
      </c>
      <c r="I921" s="252">
        <f>IFERROR(IF($E921="Inventory",VLOOKUP($C921,Inventory!$B:$I,8,FALSE()),IF($E921="Non Inventory",VLOOKUP($C921,'Non Inventory'!$B:$I,8,FALSE()),IF($E921="Services",VLOOKUP($C921,Services!$B:$I,8,FALSE()),IF($E921="Patty Cash",VLOOKUP($C921,'Patty Cash'!$B:$J,8,FALSE()),0)))),0)</f>
        <v>0</v>
      </c>
      <c r="J921" s="252" t="str">
        <f t="shared" si="29"/>
        <v/>
      </c>
      <c r="K921" s="253"/>
      <c r="L921" s="253"/>
      <c r="M921" s="253"/>
      <c r="N921" s="328"/>
    </row>
    <row r="922" spans="1:14" ht="20.100000000000001" customHeight="1">
      <c r="A922" s="327" t="str">
        <f>IF(AND($B922="",$C922=""),"",MAX($A$3:A921)+1)</f>
        <v/>
      </c>
      <c r="B922" s="262"/>
      <c r="C922" s="253"/>
      <c r="D922" s="249" t="str">
        <f>IFERROR(IF($E922="Inventory",VLOOKUP($C922,Inventory!$B:$I,2,FALSE()),IF($E922="Non Inventory",VLOOKUP($C922,'Non Inventory'!$B:$I,2,FALSE()),IF($E922="Services",VLOOKUP($C922,Services!$B:$I,2,FALSE()),IF($E922="Patty Cash",VLOOKUP($C922,'Patty Cash'!$B:$J,2,FALSE()),"")))),"")</f>
        <v/>
      </c>
      <c r="E922" s="254"/>
      <c r="F922" s="263" t="str">
        <f>IFERROR(IF($E922="Inventory",VLOOKUP($C922,Inventory!$B:$I,3,FALSE()),IF($E922="Non Inventory",VLOOKUP($C922,'Non Inventory'!$B:$I,3,FALSE()),IF($E922="Services",VLOOKUP($C922,Services!$B:$I,3,FALSE()),IF($E922="Patty Cash",VLOOKUP($C922,'Patty Cash'!$B:$J,3,FALSE()),"")))),"")</f>
        <v/>
      </c>
      <c r="G922" s="374"/>
      <c r="H922" s="374" t="str">
        <f t="shared" si="28"/>
        <v/>
      </c>
      <c r="I922" s="252">
        <f>IFERROR(IF($E922="Inventory",VLOOKUP($C922,Inventory!$B:$I,8,FALSE()),IF($E922="Non Inventory",VLOOKUP($C922,'Non Inventory'!$B:$I,8,FALSE()),IF($E922="Services",VLOOKUP($C922,Services!$B:$I,8,FALSE()),IF($E922="Patty Cash",VLOOKUP($C922,'Patty Cash'!$B:$J,8,FALSE()),0)))),0)</f>
        <v>0</v>
      </c>
      <c r="J922" s="252" t="str">
        <f t="shared" si="29"/>
        <v/>
      </c>
      <c r="K922" s="253"/>
      <c r="L922" s="253"/>
      <c r="M922" s="253"/>
      <c r="N922" s="328"/>
    </row>
    <row r="923" spans="1:14" ht="20.100000000000001" customHeight="1">
      <c r="A923" s="327" t="str">
        <f>IF(AND($B923="",$C923=""),"",MAX($A$3:A922)+1)</f>
        <v/>
      </c>
      <c r="B923" s="262"/>
      <c r="C923" s="253"/>
      <c r="D923" s="249" t="str">
        <f>IFERROR(IF($E923="Inventory",VLOOKUP($C923,Inventory!$B:$I,2,FALSE()),IF($E923="Non Inventory",VLOOKUP($C923,'Non Inventory'!$B:$I,2,FALSE()),IF($E923="Services",VLOOKUP($C923,Services!$B:$I,2,FALSE()),IF($E923="Patty Cash",VLOOKUP($C923,'Patty Cash'!$B:$J,2,FALSE()),"")))),"")</f>
        <v/>
      </c>
      <c r="E923" s="254"/>
      <c r="F923" s="263" t="str">
        <f>IFERROR(IF($E923="Inventory",VLOOKUP($C923,Inventory!$B:$I,3,FALSE()),IF($E923="Non Inventory",VLOOKUP($C923,'Non Inventory'!$B:$I,3,FALSE()),IF($E923="Services",VLOOKUP($C923,Services!$B:$I,3,FALSE()),IF($E923="Patty Cash",VLOOKUP($C923,'Patty Cash'!$B:$J,3,FALSE()),"")))),"")</f>
        <v/>
      </c>
      <c r="G923" s="374"/>
      <c r="H923" s="374" t="str">
        <f t="shared" si="28"/>
        <v/>
      </c>
      <c r="I923" s="252">
        <f>IFERROR(IF($E923="Inventory",VLOOKUP($C923,Inventory!$B:$I,8,FALSE()),IF($E923="Non Inventory",VLOOKUP($C923,'Non Inventory'!$B:$I,8,FALSE()),IF($E923="Services",VLOOKUP($C923,Services!$B:$I,8,FALSE()),IF($E923="Patty Cash",VLOOKUP($C923,'Patty Cash'!$B:$J,8,FALSE()),0)))),0)</f>
        <v>0</v>
      </c>
      <c r="J923" s="252" t="str">
        <f t="shared" si="29"/>
        <v/>
      </c>
      <c r="K923" s="253"/>
      <c r="L923" s="253"/>
      <c r="M923" s="253"/>
      <c r="N923" s="328"/>
    </row>
    <row r="924" spans="1:14" ht="20.100000000000001" customHeight="1">
      <c r="A924" s="327" t="str">
        <f>IF(AND($B924="",$C924=""),"",MAX($A$3:A923)+1)</f>
        <v/>
      </c>
      <c r="B924" s="262"/>
      <c r="C924" s="253"/>
      <c r="D924" s="249" t="str">
        <f>IFERROR(IF($E924="Inventory",VLOOKUP($C924,Inventory!$B:$I,2,FALSE()),IF($E924="Non Inventory",VLOOKUP($C924,'Non Inventory'!$B:$I,2,FALSE()),IF($E924="Services",VLOOKUP($C924,Services!$B:$I,2,FALSE()),IF($E924="Patty Cash",VLOOKUP($C924,'Patty Cash'!$B:$J,2,FALSE()),"")))),"")</f>
        <v/>
      </c>
      <c r="E924" s="254"/>
      <c r="F924" s="263" t="str">
        <f>IFERROR(IF($E924="Inventory",VLOOKUP($C924,Inventory!$B:$I,3,FALSE()),IF($E924="Non Inventory",VLOOKUP($C924,'Non Inventory'!$B:$I,3,FALSE()),IF($E924="Services",VLOOKUP($C924,Services!$B:$I,3,FALSE()),IF($E924="Patty Cash",VLOOKUP($C924,'Patty Cash'!$B:$J,3,FALSE()),"")))),"")</f>
        <v/>
      </c>
      <c r="G924" s="374"/>
      <c r="H924" s="374" t="str">
        <f t="shared" si="28"/>
        <v/>
      </c>
      <c r="I924" s="252">
        <f>IFERROR(IF($E924="Inventory",VLOOKUP($C924,Inventory!$B:$I,8,FALSE()),IF($E924="Non Inventory",VLOOKUP($C924,'Non Inventory'!$B:$I,8,FALSE()),IF($E924="Services",VLOOKUP($C924,Services!$B:$I,8,FALSE()),IF($E924="Patty Cash",VLOOKUP($C924,'Patty Cash'!$B:$J,8,FALSE()),0)))),0)</f>
        <v>0</v>
      </c>
      <c r="J924" s="252" t="str">
        <f t="shared" si="29"/>
        <v/>
      </c>
      <c r="K924" s="253"/>
      <c r="L924" s="253"/>
      <c r="M924" s="253"/>
      <c r="N924" s="328"/>
    </row>
    <row r="925" spans="1:14" ht="20.100000000000001" customHeight="1">
      <c r="A925" s="327" t="str">
        <f>IF(AND($B925="",$C925=""),"",MAX($A$3:A924)+1)</f>
        <v/>
      </c>
      <c r="B925" s="262"/>
      <c r="C925" s="253"/>
      <c r="D925" s="249" t="str">
        <f>IFERROR(IF($E925="Inventory",VLOOKUP($C925,Inventory!$B:$I,2,FALSE()),IF($E925="Non Inventory",VLOOKUP($C925,'Non Inventory'!$B:$I,2,FALSE()),IF($E925="Services",VLOOKUP($C925,Services!$B:$I,2,FALSE()),IF($E925="Patty Cash",VLOOKUP($C925,'Patty Cash'!$B:$J,2,FALSE()),"")))),"")</f>
        <v/>
      </c>
      <c r="E925" s="254"/>
      <c r="F925" s="263" t="str">
        <f>IFERROR(IF($E925="Inventory",VLOOKUP($C925,Inventory!$B:$I,3,FALSE()),IF($E925="Non Inventory",VLOOKUP($C925,'Non Inventory'!$B:$I,3,FALSE()),IF($E925="Services",VLOOKUP($C925,Services!$B:$I,3,FALSE()),IF($E925="Patty Cash",VLOOKUP($C925,'Patty Cash'!$B:$J,3,FALSE()),"")))),"")</f>
        <v/>
      </c>
      <c r="G925" s="374"/>
      <c r="H925" s="374" t="str">
        <f t="shared" si="28"/>
        <v/>
      </c>
      <c r="I925" s="252">
        <f>IFERROR(IF($E925="Inventory",VLOOKUP($C925,Inventory!$B:$I,8,FALSE()),IF($E925="Non Inventory",VLOOKUP($C925,'Non Inventory'!$B:$I,8,FALSE()),IF($E925="Services",VLOOKUP($C925,Services!$B:$I,8,FALSE()),IF($E925="Patty Cash",VLOOKUP($C925,'Patty Cash'!$B:$J,8,FALSE()),0)))),0)</f>
        <v>0</v>
      </c>
      <c r="J925" s="252" t="str">
        <f t="shared" si="29"/>
        <v/>
      </c>
      <c r="K925" s="253"/>
      <c r="L925" s="253"/>
      <c r="M925" s="253"/>
      <c r="N925" s="328"/>
    </row>
    <row r="926" spans="1:14" ht="20.100000000000001" customHeight="1">
      <c r="A926" s="327" t="str">
        <f>IF(AND($B926="",$C926=""),"",MAX($A$3:A925)+1)</f>
        <v/>
      </c>
      <c r="B926" s="262"/>
      <c r="C926" s="253"/>
      <c r="D926" s="249" t="str">
        <f>IFERROR(IF($E926="Inventory",VLOOKUP($C926,Inventory!$B:$I,2,FALSE()),IF($E926="Non Inventory",VLOOKUP($C926,'Non Inventory'!$B:$I,2,FALSE()),IF($E926="Services",VLOOKUP($C926,Services!$B:$I,2,FALSE()),IF($E926="Patty Cash",VLOOKUP($C926,'Patty Cash'!$B:$J,2,FALSE()),"")))),"")</f>
        <v/>
      </c>
      <c r="E926" s="254"/>
      <c r="F926" s="263" t="str">
        <f>IFERROR(IF($E926="Inventory",VLOOKUP($C926,Inventory!$B:$I,3,FALSE()),IF($E926="Non Inventory",VLOOKUP($C926,'Non Inventory'!$B:$I,3,FALSE()),IF($E926="Services",VLOOKUP($C926,Services!$B:$I,3,FALSE()),IF($E926="Patty Cash",VLOOKUP($C926,'Patty Cash'!$B:$J,3,FALSE()),"")))),"")</f>
        <v/>
      </c>
      <c r="G926" s="374"/>
      <c r="H926" s="374" t="str">
        <f t="shared" si="28"/>
        <v/>
      </c>
      <c r="I926" s="252">
        <f>IFERROR(IF($E926="Inventory",VLOOKUP($C926,Inventory!$B:$I,8,FALSE()),IF($E926="Non Inventory",VLOOKUP($C926,'Non Inventory'!$B:$I,8,FALSE()),IF($E926="Services",VLOOKUP($C926,Services!$B:$I,8,FALSE()),IF($E926="Patty Cash",VLOOKUP($C926,'Patty Cash'!$B:$J,8,FALSE()),0)))),0)</f>
        <v>0</v>
      </c>
      <c r="J926" s="252" t="str">
        <f t="shared" si="29"/>
        <v/>
      </c>
      <c r="K926" s="253"/>
      <c r="L926" s="253"/>
      <c r="M926" s="253"/>
      <c r="N926" s="328"/>
    </row>
    <row r="927" spans="1:14" ht="20.100000000000001" customHeight="1">
      <c r="A927" s="327" t="str">
        <f>IF(AND($B927="",$C927=""),"",MAX($A$3:A926)+1)</f>
        <v/>
      </c>
      <c r="B927" s="262"/>
      <c r="C927" s="253"/>
      <c r="D927" s="249" t="str">
        <f>IFERROR(IF($E927="Inventory",VLOOKUP($C927,Inventory!$B:$I,2,FALSE()),IF($E927="Non Inventory",VLOOKUP($C927,'Non Inventory'!$B:$I,2,FALSE()),IF($E927="Services",VLOOKUP($C927,Services!$B:$I,2,FALSE()),IF($E927="Patty Cash",VLOOKUP($C927,'Patty Cash'!$B:$J,2,FALSE()),"")))),"")</f>
        <v/>
      </c>
      <c r="E927" s="254"/>
      <c r="F927" s="263" t="str">
        <f>IFERROR(IF($E927="Inventory",VLOOKUP($C927,Inventory!$B:$I,3,FALSE()),IF($E927="Non Inventory",VLOOKUP($C927,'Non Inventory'!$B:$I,3,FALSE()),IF($E927="Services",VLOOKUP($C927,Services!$B:$I,3,FALSE()),IF($E927="Patty Cash",VLOOKUP($C927,'Patty Cash'!$B:$J,3,FALSE()),"")))),"")</f>
        <v/>
      </c>
      <c r="G927" s="374"/>
      <c r="H927" s="374" t="str">
        <f t="shared" si="28"/>
        <v/>
      </c>
      <c r="I927" s="252">
        <f>IFERROR(IF($E927="Inventory",VLOOKUP($C927,Inventory!$B:$I,8,FALSE()),IF($E927="Non Inventory",VLOOKUP($C927,'Non Inventory'!$B:$I,8,FALSE()),IF($E927="Services",VLOOKUP($C927,Services!$B:$I,8,FALSE()),IF($E927="Patty Cash",VLOOKUP($C927,'Patty Cash'!$B:$J,8,FALSE()),0)))),0)</f>
        <v>0</v>
      </c>
      <c r="J927" s="252" t="str">
        <f t="shared" si="29"/>
        <v/>
      </c>
      <c r="K927" s="253"/>
      <c r="L927" s="253"/>
      <c r="M927" s="253"/>
      <c r="N927" s="328"/>
    </row>
    <row r="928" spans="1:14" ht="20.100000000000001" customHeight="1">
      <c r="A928" s="327" t="str">
        <f>IF(AND($B928="",$C928=""),"",MAX($A$3:A927)+1)</f>
        <v/>
      </c>
      <c r="B928" s="262"/>
      <c r="C928" s="253"/>
      <c r="D928" s="249" t="str">
        <f>IFERROR(IF($E928="Inventory",VLOOKUP($C928,Inventory!$B:$I,2,FALSE()),IF($E928="Non Inventory",VLOOKUP($C928,'Non Inventory'!$B:$I,2,FALSE()),IF($E928="Services",VLOOKUP($C928,Services!$B:$I,2,FALSE()),IF($E928="Patty Cash",VLOOKUP($C928,'Patty Cash'!$B:$J,2,FALSE()),"")))),"")</f>
        <v/>
      </c>
      <c r="E928" s="254"/>
      <c r="F928" s="263" t="str">
        <f>IFERROR(IF($E928="Inventory",VLOOKUP($C928,Inventory!$B:$I,3,FALSE()),IF($E928="Non Inventory",VLOOKUP($C928,'Non Inventory'!$B:$I,3,FALSE()),IF($E928="Services",VLOOKUP($C928,Services!$B:$I,3,FALSE()),IF($E928="Patty Cash",VLOOKUP($C928,'Patty Cash'!$B:$J,3,FALSE()),"")))),"")</f>
        <v/>
      </c>
      <c r="G928" s="374"/>
      <c r="H928" s="374" t="str">
        <f t="shared" si="28"/>
        <v/>
      </c>
      <c r="I928" s="252">
        <f>IFERROR(IF($E928="Inventory",VLOOKUP($C928,Inventory!$B:$I,8,FALSE()),IF($E928="Non Inventory",VLOOKUP($C928,'Non Inventory'!$B:$I,8,FALSE()),IF($E928="Services",VLOOKUP($C928,Services!$B:$I,8,FALSE()),IF($E928="Patty Cash",VLOOKUP($C928,'Patty Cash'!$B:$J,8,FALSE()),0)))),0)</f>
        <v>0</v>
      </c>
      <c r="J928" s="252" t="str">
        <f t="shared" si="29"/>
        <v/>
      </c>
      <c r="K928" s="253"/>
      <c r="L928" s="253"/>
      <c r="M928" s="253"/>
      <c r="N928" s="328"/>
    </row>
    <row r="929" spans="1:14" ht="20.100000000000001" customHeight="1">
      <c r="A929" s="327" t="str">
        <f>IF(AND($B929="",$C929=""),"",MAX($A$3:A928)+1)</f>
        <v/>
      </c>
      <c r="B929" s="262"/>
      <c r="C929" s="253"/>
      <c r="D929" s="249" t="str">
        <f>IFERROR(IF($E929="Inventory",VLOOKUP($C929,Inventory!$B:$I,2,FALSE()),IF($E929="Non Inventory",VLOOKUP($C929,'Non Inventory'!$B:$I,2,FALSE()),IF($E929="Services",VLOOKUP($C929,Services!$B:$I,2,FALSE()),IF($E929="Patty Cash",VLOOKUP($C929,'Patty Cash'!$B:$J,2,FALSE()),"")))),"")</f>
        <v/>
      </c>
      <c r="E929" s="254"/>
      <c r="F929" s="263" t="str">
        <f>IFERROR(IF($E929="Inventory",VLOOKUP($C929,Inventory!$B:$I,3,FALSE()),IF($E929="Non Inventory",VLOOKUP($C929,'Non Inventory'!$B:$I,3,FALSE()),IF($E929="Services",VLOOKUP($C929,Services!$B:$I,3,FALSE()),IF($E929="Patty Cash",VLOOKUP($C929,'Patty Cash'!$B:$J,3,FALSE()),"")))),"")</f>
        <v/>
      </c>
      <c r="G929" s="374"/>
      <c r="H929" s="374" t="str">
        <f t="shared" si="28"/>
        <v/>
      </c>
      <c r="I929" s="252">
        <f>IFERROR(IF($E929="Inventory",VLOOKUP($C929,Inventory!$B:$I,8,FALSE()),IF($E929="Non Inventory",VLOOKUP($C929,'Non Inventory'!$B:$I,8,FALSE()),IF($E929="Services",VLOOKUP($C929,Services!$B:$I,8,FALSE()),IF($E929="Patty Cash",VLOOKUP($C929,'Patty Cash'!$B:$J,8,FALSE()),0)))),0)</f>
        <v>0</v>
      </c>
      <c r="J929" s="252" t="str">
        <f t="shared" si="29"/>
        <v/>
      </c>
      <c r="K929" s="253"/>
      <c r="L929" s="253"/>
      <c r="M929" s="253"/>
      <c r="N929" s="328"/>
    </row>
    <row r="930" spans="1:14" ht="20.100000000000001" customHeight="1">
      <c r="A930" s="327" t="str">
        <f>IF(AND($B930="",$C930=""),"",MAX($A$3:A929)+1)</f>
        <v/>
      </c>
      <c r="B930" s="262"/>
      <c r="C930" s="253"/>
      <c r="D930" s="249" t="str">
        <f>IFERROR(IF($E930="Inventory",VLOOKUP($C930,Inventory!$B:$I,2,FALSE()),IF($E930="Non Inventory",VLOOKUP($C930,'Non Inventory'!$B:$I,2,FALSE()),IF($E930="Services",VLOOKUP($C930,Services!$B:$I,2,FALSE()),IF($E930="Patty Cash",VLOOKUP($C930,'Patty Cash'!$B:$J,2,FALSE()),"")))),"")</f>
        <v/>
      </c>
      <c r="E930" s="254"/>
      <c r="F930" s="263" t="str">
        <f>IFERROR(IF($E930="Inventory",VLOOKUP($C930,Inventory!$B:$I,3,FALSE()),IF($E930="Non Inventory",VLOOKUP($C930,'Non Inventory'!$B:$I,3,FALSE()),IF($E930="Services",VLOOKUP($C930,Services!$B:$I,3,FALSE()),IF($E930="Patty Cash",VLOOKUP($C930,'Patty Cash'!$B:$J,3,FALSE()),"")))),"")</f>
        <v/>
      </c>
      <c r="G930" s="374"/>
      <c r="H930" s="374" t="str">
        <f t="shared" si="28"/>
        <v/>
      </c>
      <c r="I930" s="252">
        <f>IFERROR(IF($E930="Inventory",VLOOKUP($C930,Inventory!$B:$I,8,FALSE()),IF($E930="Non Inventory",VLOOKUP($C930,'Non Inventory'!$B:$I,8,FALSE()),IF($E930="Services",VLOOKUP($C930,Services!$B:$I,8,FALSE()),IF($E930="Patty Cash",VLOOKUP($C930,'Patty Cash'!$B:$J,8,FALSE()),0)))),0)</f>
        <v>0</v>
      </c>
      <c r="J930" s="252" t="str">
        <f t="shared" si="29"/>
        <v/>
      </c>
      <c r="K930" s="253"/>
      <c r="L930" s="253"/>
      <c r="M930" s="253"/>
      <c r="N930" s="328"/>
    </row>
    <row r="931" spans="1:14" ht="20.100000000000001" customHeight="1">
      <c r="A931" s="327" t="str">
        <f>IF(AND($B931="",$C931=""),"",MAX($A$3:A930)+1)</f>
        <v/>
      </c>
      <c r="B931" s="262"/>
      <c r="C931" s="253"/>
      <c r="D931" s="249" t="str">
        <f>IFERROR(IF($E931="Inventory",VLOOKUP($C931,Inventory!$B:$I,2,FALSE()),IF($E931="Non Inventory",VLOOKUP($C931,'Non Inventory'!$B:$I,2,FALSE()),IF($E931="Services",VLOOKUP($C931,Services!$B:$I,2,FALSE()),IF($E931="Patty Cash",VLOOKUP($C931,'Patty Cash'!$B:$J,2,FALSE()),"")))),"")</f>
        <v/>
      </c>
      <c r="E931" s="254"/>
      <c r="F931" s="263" t="str">
        <f>IFERROR(IF($E931="Inventory",VLOOKUP($C931,Inventory!$B:$I,3,FALSE()),IF($E931="Non Inventory",VLOOKUP($C931,'Non Inventory'!$B:$I,3,FALSE()),IF($E931="Services",VLOOKUP($C931,Services!$B:$I,3,FALSE()),IF($E931="Patty Cash",VLOOKUP($C931,'Patty Cash'!$B:$J,3,FALSE()),"")))),"")</f>
        <v/>
      </c>
      <c r="G931" s="374"/>
      <c r="H931" s="374" t="str">
        <f t="shared" si="28"/>
        <v/>
      </c>
      <c r="I931" s="252">
        <f>IFERROR(IF($E931="Inventory",VLOOKUP($C931,Inventory!$B:$I,8,FALSE()),IF($E931="Non Inventory",VLOOKUP($C931,'Non Inventory'!$B:$I,8,FALSE()),IF($E931="Services",VLOOKUP($C931,Services!$B:$I,8,FALSE()),IF($E931="Patty Cash",VLOOKUP($C931,'Patty Cash'!$B:$J,8,FALSE()),0)))),0)</f>
        <v>0</v>
      </c>
      <c r="J931" s="252" t="str">
        <f t="shared" si="29"/>
        <v/>
      </c>
      <c r="K931" s="253"/>
      <c r="L931" s="253"/>
      <c r="M931" s="253"/>
      <c r="N931" s="328"/>
    </row>
    <row r="932" spans="1:14" ht="20.100000000000001" customHeight="1">
      <c r="A932" s="327" t="str">
        <f>IF(AND($B932="",$C932=""),"",MAX($A$3:A931)+1)</f>
        <v/>
      </c>
      <c r="B932" s="262"/>
      <c r="C932" s="253"/>
      <c r="D932" s="249" t="str">
        <f>IFERROR(IF($E932="Inventory",VLOOKUP($C932,Inventory!$B:$I,2,FALSE()),IF($E932="Non Inventory",VLOOKUP($C932,'Non Inventory'!$B:$I,2,FALSE()),IF($E932="Services",VLOOKUP($C932,Services!$B:$I,2,FALSE()),IF($E932="Patty Cash",VLOOKUP($C932,'Patty Cash'!$B:$J,2,FALSE()),"")))),"")</f>
        <v/>
      </c>
      <c r="E932" s="254"/>
      <c r="F932" s="263" t="str">
        <f>IFERROR(IF($E932="Inventory",VLOOKUP($C932,Inventory!$B:$I,3,FALSE()),IF($E932="Non Inventory",VLOOKUP($C932,'Non Inventory'!$B:$I,3,FALSE()),IF($E932="Services",VLOOKUP($C932,Services!$B:$I,3,FALSE()),IF($E932="Patty Cash",VLOOKUP($C932,'Patty Cash'!$B:$J,3,FALSE()),"")))),"")</f>
        <v/>
      </c>
      <c r="G932" s="374"/>
      <c r="H932" s="374" t="str">
        <f t="shared" si="28"/>
        <v/>
      </c>
      <c r="I932" s="252">
        <f>IFERROR(IF($E932="Inventory",VLOOKUP($C932,Inventory!$B:$I,8,FALSE()),IF($E932="Non Inventory",VLOOKUP($C932,'Non Inventory'!$B:$I,8,FALSE()),IF($E932="Services",VLOOKUP($C932,Services!$B:$I,8,FALSE()),IF($E932="Patty Cash",VLOOKUP($C932,'Patty Cash'!$B:$J,8,FALSE()),0)))),0)</f>
        <v>0</v>
      </c>
      <c r="J932" s="252" t="str">
        <f t="shared" si="29"/>
        <v/>
      </c>
      <c r="K932" s="253"/>
      <c r="L932" s="253"/>
      <c r="M932" s="253"/>
      <c r="N932" s="328"/>
    </row>
    <row r="933" spans="1:14" ht="20.100000000000001" customHeight="1">
      <c r="A933" s="327" t="str">
        <f>IF(AND($B933="",$C933=""),"",MAX($A$3:A932)+1)</f>
        <v/>
      </c>
      <c r="B933" s="262"/>
      <c r="C933" s="253"/>
      <c r="D933" s="249" t="str">
        <f>IFERROR(IF($E933="Inventory",VLOOKUP($C933,Inventory!$B:$I,2,FALSE()),IF($E933="Non Inventory",VLOOKUP($C933,'Non Inventory'!$B:$I,2,FALSE()),IF($E933="Services",VLOOKUP($C933,Services!$B:$I,2,FALSE()),IF($E933="Patty Cash",VLOOKUP($C933,'Patty Cash'!$B:$J,2,FALSE()),"")))),"")</f>
        <v/>
      </c>
      <c r="E933" s="254"/>
      <c r="F933" s="263" t="str">
        <f>IFERROR(IF($E933="Inventory",VLOOKUP($C933,Inventory!$B:$I,3,FALSE()),IF($E933="Non Inventory",VLOOKUP($C933,'Non Inventory'!$B:$I,3,FALSE()),IF($E933="Services",VLOOKUP($C933,Services!$B:$I,3,FALSE()),IF($E933="Patty Cash",VLOOKUP($C933,'Patty Cash'!$B:$J,3,FALSE()),"")))),"")</f>
        <v/>
      </c>
      <c r="G933" s="374"/>
      <c r="H933" s="374" t="str">
        <f t="shared" si="28"/>
        <v/>
      </c>
      <c r="I933" s="252">
        <f>IFERROR(IF($E933="Inventory",VLOOKUP($C933,Inventory!$B:$I,8,FALSE()),IF($E933="Non Inventory",VLOOKUP($C933,'Non Inventory'!$B:$I,8,FALSE()),IF($E933="Services",VLOOKUP($C933,Services!$B:$I,8,FALSE()),IF($E933="Patty Cash",VLOOKUP($C933,'Patty Cash'!$B:$J,8,FALSE()),0)))),0)</f>
        <v>0</v>
      </c>
      <c r="J933" s="252" t="str">
        <f t="shared" si="29"/>
        <v/>
      </c>
      <c r="K933" s="253"/>
      <c r="L933" s="253"/>
      <c r="M933" s="253"/>
      <c r="N933" s="328"/>
    </row>
    <row r="934" spans="1:14" ht="20.100000000000001" customHeight="1">
      <c r="A934" s="327" t="str">
        <f>IF(AND($B934="",$C934=""),"",MAX($A$3:A933)+1)</f>
        <v/>
      </c>
      <c r="B934" s="262"/>
      <c r="C934" s="253"/>
      <c r="D934" s="249" t="str">
        <f>IFERROR(IF($E934="Inventory",VLOOKUP($C934,Inventory!$B:$I,2,FALSE()),IF($E934="Non Inventory",VLOOKUP($C934,'Non Inventory'!$B:$I,2,FALSE()),IF($E934="Services",VLOOKUP($C934,Services!$B:$I,2,FALSE()),IF($E934="Patty Cash",VLOOKUP($C934,'Patty Cash'!$B:$J,2,FALSE()),"")))),"")</f>
        <v/>
      </c>
      <c r="E934" s="254"/>
      <c r="F934" s="263" t="str">
        <f>IFERROR(IF($E934="Inventory",VLOOKUP($C934,Inventory!$B:$I,3,FALSE()),IF($E934="Non Inventory",VLOOKUP($C934,'Non Inventory'!$B:$I,3,FALSE()),IF($E934="Services",VLOOKUP($C934,Services!$B:$I,3,FALSE()),IF($E934="Patty Cash",VLOOKUP($C934,'Patty Cash'!$B:$J,3,FALSE()),"")))),"")</f>
        <v/>
      </c>
      <c r="G934" s="374"/>
      <c r="H934" s="374" t="str">
        <f t="shared" si="28"/>
        <v/>
      </c>
      <c r="I934" s="252">
        <f>IFERROR(IF($E934="Inventory",VLOOKUP($C934,Inventory!$B:$I,8,FALSE()),IF($E934="Non Inventory",VLOOKUP($C934,'Non Inventory'!$B:$I,8,FALSE()),IF($E934="Services",VLOOKUP($C934,Services!$B:$I,8,FALSE()),IF($E934="Patty Cash",VLOOKUP($C934,'Patty Cash'!$B:$J,8,FALSE()),0)))),0)</f>
        <v>0</v>
      </c>
      <c r="J934" s="252" t="str">
        <f t="shared" si="29"/>
        <v/>
      </c>
      <c r="K934" s="253"/>
      <c r="L934" s="253"/>
      <c r="M934" s="253"/>
      <c r="N934" s="328"/>
    </row>
    <row r="935" spans="1:14" ht="20.100000000000001" customHeight="1">
      <c r="A935" s="327" t="str">
        <f>IF(AND($B935="",$C935=""),"",MAX($A$3:A934)+1)</f>
        <v/>
      </c>
      <c r="B935" s="262"/>
      <c r="C935" s="253"/>
      <c r="D935" s="249" t="str">
        <f>IFERROR(IF($E935="Inventory",VLOOKUP($C935,Inventory!$B:$I,2,FALSE()),IF($E935="Non Inventory",VLOOKUP($C935,'Non Inventory'!$B:$I,2,FALSE()),IF($E935="Services",VLOOKUP($C935,Services!$B:$I,2,FALSE()),IF($E935="Patty Cash",VLOOKUP($C935,'Patty Cash'!$B:$J,2,FALSE()),"")))),"")</f>
        <v/>
      </c>
      <c r="E935" s="254"/>
      <c r="F935" s="263" t="str">
        <f>IFERROR(IF($E935="Inventory",VLOOKUP($C935,Inventory!$B:$I,3,FALSE()),IF($E935="Non Inventory",VLOOKUP($C935,'Non Inventory'!$B:$I,3,FALSE()),IF($E935="Services",VLOOKUP($C935,Services!$B:$I,3,FALSE()),IF($E935="Patty Cash",VLOOKUP($C935,'Patty Cash'!$B:$J,3,FALSE()),"")))),"")</f>
        <v/>
      </c>
      <c r="G935" s="374"/>
      <c r="H935" s="374" t="str">
        <f t="shared" si="28"/>
        <v/>
      </c>
      <c r="I935" s="252">
        <f>IFERROR(IF($E935="Inventory",VLOOKUP($C935,Inventory!$B:$I,8,FALSE()),IF($E935="Non Inventory",VLOOKUP($C935,'Non Inventory'!$B:$I,8,FALSE()),IF($E935="Services",VLOOKUP($C935,Services!$B:$I,8,FALSE()),IF($E935="Patty Cash",VLOOKUP($C935,'Patty Cash'!$B:$J,8,FALSE()),0)))),0)</f>
        <v>0</v>
      </c>
      <c r="J935" s="252" t="str">
        <f t="shared" si="29"/>
        <v/>
      </c>
      <c r="K935" s="253"/>
      <c r="L935" s="253"/>
      <c r="M935" s="253"/>
      <c r="N935" s="328"/>
    </row>
    <row r="936" spans="1:14" ht="20.100000000000001" customHeight="1">
      <c r="A936" s="327" t="str">
        <f>IF(AND($B936="",$C936=""),"",MAX($A$3:A935)+1)</f>
        <v/>
      </c>
      <c r="B936" s="262"/>
      <c r="C936" s="253"/>
      <c r="D936" s="249" t="str">
        <f>IFERROR(IF($E936="Inventory",VLOOKUP($C936,Inventory!$B:$I,2,FALSE()),IF($E936="Non Inventory",VLOOKUP($C936,'Non Inventory'!$B:$I,2,FALSE()),IF($E936="Services",VLOOKUP($C936,Services!$B:$I,2,FALSE()),IF($E936="Patty Cash",VLOOKUP($C936,'Patty Cash'!$B:$J,2,FALSE()),"")))),"")</f>
        <v/>
      </c>
      <c r="E936" s="254"/>
      <c r="F936" s="263" t="str">
        <f>IFERROR(IF($E936="Inventory",VLOOKUP($C936,Inventory!$B:$I,3,FALSE()),IF($E936="Non Inventory",VLOOKUP($C936,'Non Inventory'!$B:$I,3,FALSE()),IF($E936="Services",VLOOKUP($C936,Services!$B:$I,3,FALSE()),IF($E936="Patty Cash",VLOOKUP($C936,'Patty Cash'!$B:$J,3,FALSE()),"")))),"")</f>
        <v/>
      </c>
      <c r="G936" s="374"/>
      <c r="H936" s="374" t="str">
        <f t="shared" si="28"/>
        <v/>
      </c>
      <c r="I936" s="252">
        <f>IFERROR(IF($E936="Inventory",VLOOKUP($C936,Inventory!$B:$I,8,FALSE()),IF($E936="Non Inventory",VLOOKUP($C936,'Non Inventory'!$B:$I,8,FALSE()),IF($E936="Services",VLOOKUP($C936,Services!$B:$I,8,FALSE()),IF($E936="Patty Cash",VLOOKUP($C936,'Patty Cash'!$B:$J,8,FALSE()),0)))),0)</f>
        <v>0</v>
      </c>
      <c r="J936" s="252" t="str">
        <f t="shared" si="29"/>
        <v/>
      </c>
      <c r="K936" s="253"/>
      <c r="L936" s="253"/>
      <c r="M936" s="253"/>
      <c r="N936" s="328"/>
    </row>
    <row r="937" spans="1:14" ht="20.100000000000001" customHeight="1">
      <c r="A937" s="327" t="str">
        <f>IF(AND($B937="",$C937=""),"",MAX($A$3:A936)+1)</f>
        <v/>
      </c>
      <c r="B937" s="262"/>
      <c r="C937" s="253"/>
      <c r="D937" s="249" t="str">
        <f>IFERROR(IF($E937="Inventory",VLOOKUP($C937,Inventory!$B:$I,2,FALSE()),IF($E937="Non Inventory",VLOOKUP($C937,'Non Inventory'!$B:$I,2,FALSE()),IF($E937="Services",VLOOKUP($C937,Services!$B:$I,2,FALSE()),IF($E937="Patty Cash",VLOOKUP($C937,'Patty Cash'!$B:$J,2,FALSE()),"")))),"")</f>
        <v/>
      </c>
      <c r="E937" s="254"/>
      <c r="F937" s="263" t="str">
        <f>IFERROR(IF($E937="Inventory",VLOOKUP($C937,Inventory!$B:$I,3,FALSE()),IF($E937="Non Inventory",VLOOKUP($C937,'Non Inventory'!$B:$I,3,FALSE()),IF($E937="Services",VLOOKUP($C937,Services!$B:$I,3,FALSE()),IF($E937="Patty Cash",VLOOKUP($C937,'Patty Cash'!$B:$J,3,FALSE()),"")))),"")</f>
        <v/>
      </c>
      <c r="G937" s="374"/>
      <c r="H937" s="374" t="str">
        <f t="shared" si="28"/>
        <v/>
      </c>
      <c r="I937" s="252">
        <f>IFERROR(IF($E937="Inventory",VLOOKUP($C937,Inventory!$B:$I,8,FALSE()),IF($E937="Non Inventory",VLOOKUP($C937,'Non Inventory'!$B:$I,8,FALSE()),IF($E937="Services",VLOOKUP($C937,Services!$B:$I,8,FALSE()),IF($E937="Patty Cash",VLOOKUP($C937,'Patty Cash'!$B:$J,8,FALSE()),0)))),0)</f>
        <v>0</v>
      </c>
      <c r="J937" s="252" t="str">
        <f t="shared" si="29"/>
        <v/>
      </c>
      <c r="K937" s="253"/>
      <c r="L937" s="253"/>
      <c r="M937" s="253"/>
      <c r="N937" s="328"/>
    </row>
    <row r="938" spans="1:14" ht="20.100000000000001" customHeight="1">
      <c r="A938" s="327" t="str">
        <f>IF(AND($B938="",$C938=""),"",MAX($A$3:A937)+1)</f>
        <v/>
      </c>
      <c r="B938" s="262"/>
      <c r="C938" s="253"/>
      <c r="D938" s="249" t="str">
        <f>IFERROR(IF($E938="Inventory",VLOOKUP($C938,Inventory!$B:$I,2,FALSE()),IF($E938="Non Inventory",VLOOKUP($C938,'Non Inventory'!$B:$I,2,FALSE()),IF($E938="Services",VLOOKUP($C938,Services!$B:$I,2,FALSE()),IF($E938="Patty Cash",VLOOKUP($C938,'Patty Cash'!$B:$J,2,FALSE()),"")))),"")</f>
        <v/>
      </c>
      <c r="E938" s="254"/>
      <c r="F938" s="263" t="str">
        <f>IFERROR(IF($E938="Inventory",VLOOKUP($C938,Inventory!$B:$I,3,FALSE()),IF($E938="Non Inventory",VLOOKUP($C938,'Non Inventory'!$B:$I,3,FALSE()),IF($E938="Services",VLOOKUP($C938,Services!$B:$I,3,FALSE()),IF($E938="Patty Cash",VLOOKUP($C938,'Patty Cash'!$B:$J,3,FALSE()),"")))),"")</f>
        <v/>
      </c>
      <c r="G938" s="374"/>
      <c r="H938" s="374" t="str">
        <f t="shared" si="28"/>
        <v/>
      </c>
      <c r="I938" s="252">
        <f>IFERROR(IF($E938="Inventory",VLOOKUP($C938,Inventory!$B:$I,8,FALSE()),IF($E938="Non Inventory",VLOOKUP($C938,'Non Inventory'!$B:$I,8,FALSE()),IF($E938="Services",VLOOKUP($C938,Services!$B:$I,8,FALSE()),IF($E938="Patty Cash",VLOOKUP($C938,'Patty Cash'!$B:$J,8,FALSE()),0)))),0)</f>
        <v>0</v>
      </c>
      <c r="J938" s="252" t="str">
        <f t="shared" si="29"/>
        <v/>
      </c>
      <c r="K938" s="253"/>
      <c r="L938" s="253"/>
      <c r="M938" s="253"/>
      <c r="N938" s="328"/>
    </row>
    <row r="939" spans="1:14" ht="20.100000000000001" customHeight="1">
      <c r="A939" s="327" t="str">
        <f>IF(AND($B939="",$C939=""),"",MAX($A$3:A938)+1)</f>
        <v/>
      </c>
      <c r="B939" s="262"/>
      <c r="C939" s="253"/>
      <c r="D939" s="249" t="str">
        <f>IFERROR(IF($E939="Inventory",VLOOKUP($C939,Inventory!$B:$I,2,FALSE()),IF($E939="Non Inventory",VLOOKUP($C939,'Non Inventory'!$B:$I,2,FALSE()),IF($E939="Services",VLOOKUP($C939,Services!$B:$I,2,FALSE()),IF($E939="Patty Cash",VLOOKUP($C939,'Patty Cash'!$B:$J,2,FALSE()),"")))),"")</f>
        <v/>
      </c>
      <c r="E939" s="254"/>
      <c r="F939" s="263" t="str">
        <f>IFERROR(IF($E939="Inventory",VLOOKUP($C939,Inventory!$B:$I,3,FALSE()),IF($E939="Non Inventory",VLOOKUP($C939,'Non Inventory'!$B:$I,3,FALSE()),IF($E939="Services",VLOOKUP($C939,Services!$B:$I,3,FALSE()),IF($E939="Patty Cash",VLOOKUP($C939,'Patty Cash'!$B:$J,3,FALSE()),"")))),"")</f>
        <v/>
      </c>
      <c r="G939" s="374"/>
      <c r="H939" s="374" t="str">
        <f t="shared" si="28"/>
        <v/>
      </c>
      <c r="I939" s="252">
        <f>IFERROR(IF($E939="Inventory",VLOOKUP($C939,Inventory!$B:$I,8,FALSE()),IF($E939="Non Inventory",VLOOKUP($C939,'Non Inventory'!$B:$I,8,FALSE()),IF($E939="Services",VLOOKUP($C939,Services!$B:$I,8,FALSE()),IF($E939="Patty Cash",VLOOKUP($C939,'Patty Cash'!$B:$J,8,FALSE()),0)))),0)</f>
        <v>0</v>
      </c>
      <c r="J939" s="252" t="str">
        <f t="shared" si="29"/>
        <v/>
      </c>
      <c r="K939" s="253"/>
      <c r="L939" s="253"/>
      <c r="M939" s="253"/>
      <c r="N939" s="328"/>
    </row>
    <row r="940" spans="1:14" ht="20.100000000000001" customHeight="1">
      <c r="A940" s="327" t="str">
        <f>IF(AND($B940="",$C940=""),"",MAX($A$3:A939)+1)</f>
        <v/>
      </c>
      <c r="B940" s="262"/>
      <c r="C940" s="253"/>
      <c r="D940" s="249" t="str">
        <f>IFERROR(IF($E940="Inventory",VLOOKUP($C940,Inventory!$B:$I,2,FALSE()),IF($E940="Non Inventory",VLOOKUP($C940,'Non Inventory'!$B:$I,2,FALSE()),IF($E940="Services",VLOOKUP($C940,Services!$B:$I,2,FALSE()),IF($E940="Patty Cash",VLOOKUP($C940,'Patty Cash'!$B:$J,2,FALSE()),"")))),"")</f>
        <v/>
      </c>
      <c r="E940" s="254"/>
      <c r="F940" s="263" t="str">
        <f>IFERROR(IF($E940="Inventory",VLOOKUP($C940,Inventory!$B:$I,3,FALSE()),IF($E940="Non Inventory",VLOOKUP($C940,'Non Inventory'!$B:$I,3,FALSE()),IF($E940="Services",VLOOKUP($C940,Services!$B:$I,3,FALSE()),IF($E940="Patty Cash",VLOOKUP($C940,'Patty Cash'!$B:$J,3,FALSE()),"")))),"")</f>
        <v/>
      </c>
      <c r="G940" s="374"/>
      <c r="H940" s="374" t="str">
        <f t="shared" si="28"/>
        <v/>
      </c>
      <c r="I940" s="252">
        <f>IFERROR(IF($E940="Inventory",VLOOKUP($C940,Inventory!$B:$I,8,FALSE()),IF($E940="Non Inventory",VLOOKUP($C940,'Non Inventory'!$B:$I,8,FALSE()),IF($E940="Services",VLOOKUP($C940,Services!$B:$I,8,FALSE()),IF($E940="Patty Cash",VLOOKUP($C940,'Patty Cash'!$B:$J,8,FALSE()),0)))),0)</f>
        <v>0</v>
      </c>
      <c r="J940" s="252" t="str">
        <f t="shared" si="29"/>
        <v/>
      </c>
      <c r="K940" s="253"/>
      <c r="L940" s="253"/>
      <c r="M940" s="253"/>
      <c r="N940" s="328"/>
    </row>
    <row r="941" spans="1:14" ht="20.100000000000001" customHeight="1">
      <c r="A941" s="327" t="str">
        <f>IF(AND($B941="",$C941=""),"",MAX($A$3:A940)+1)</f>
        <v/>
      </c>
      <c r="B941" s="262"/>
      <c r="C941" s="253"/>
      <c r="D941" s="249" t="str">
        <f>IFERROR(IF($E941="Inventory",VLOOKUP($C941,Inventory!$B:$I,2,FALSE()),IF($E941="Non Inventory",VLOOKUP($C941,'Non Inventory'!$B:$I,2,FALSE()),IF($E941="Services",VLOOKUP($C941,Services!$B:$I,2,FALSE()),IF($E941="Patty Cash",VLOOKUP($C941,'Patty Cash'!$B:$J,2,FALSE()),"")))),"")</f>
        <v/>
      </c>
      <c r="E941" s="254"/>
      <c r="F941" s="263" t="str">
        <f>IFERROR(IF($E941="Inventory",VLOOKUP($C941,Inventory!$B:$I,3,FALSE()),IF($E941="Non Inventory",VLOOKUP($C941,'Non Inventory'!$B:$I,3,FALSE()),IF($E941="Services",VLOOKUP($C941,Services!$B:$I,3,FALSE()),IF($E941="Patty Cash",VLOOKUP($C941,'Patty Cash'!$B:$J,3,FALSE()),"")))),"")</f>
        <v/>
      </c>
      <c r="G941" s="374"/>
      <c r="H941" s="374" t="str">
        <f t="shared" si="28"/>
        <v/>
      </c>
      <c r="I941" s="252">
        <f>IFERROR(IF($E941="Inventory",VLOOKUP($C941,Inventory!$B:$I,8,FALSE()),IF($E941="Non Inventory",VLOOKUP($C941,'Non Inventory'!$B:$I,8,FALSE()),IF($E941="Services",VLOOKUP($C941,Services!$B:$I,8,FALSE()),IF($E941="Patty Cash",VLOOKUP($C941,'Patty Cash'!$B:$J,8,FALSE()),0)))),0)</f>
        <v>0</v>
      </c>
      <c r="J941" s="252" t="str">
        <f t="shared" si="29"/>
        <v/>
      </c>
      <c r="K941" s="253"/>
      <c r="L941" s="253"/>
      <c r="M941" s="253"/>
      <c r="N941" s="328"/>
    </row>
    <row r="942" spans="1:14" ht="20.100000000000001" customHeight="1">
      <c r="A942" s="327" t="str">
        <f>IF(AND($B942="",$C942=""),"",MAX($A$3:A941)+1)</f>
        <v/>
      </c>
      <c r="B942" s="262"/>
      <c r="C942" s="253"/>
      <c r="D942" s="249" t="str">
        <f>IFERROR(IF($E942="Inventory",VLOOKUP($C942,Inventory!$B:$I,2,FALSE()),IF($E942="Non Inventory",VLOOKUP($C942,'Non Inventory'!$B:$I,2,FALSE()),IF($E942="Services",VLOOKUP($C942,Services!$B:$I,2,FALSE()),IF($E942="Patty Cash",VLOOKUP($C942,'Patty Cash'!$B:$J,2,FALSE()),"")))),"")</f>
        <v/>
      </c>
      <c r="E942" s="254"/>
      <c r="F942" s="263" t="str">
        <f>IFERROR(IF($E942="Inventory",VLOOKUP($C942,Inventory!$B:$I,3,FALSE()),IF($E942="Non Inventory",VLOOKUP($C942,'Non Inventory'!$B:$I,3,FALSE()),IF($E942="Services",VLOOKUP($C942,Services!$B:$I,3,FALSE()),IF($E942="Patty Cash",VLOOKUP($C942,'Patty Cash'!$B:$J,3,FALSE()),"")))),"")</f>
        <v/>
      </c>
      <c r="G942" s="374"/>
      <c r="H942" s="374" t="str">
        <f t="shared" si="28"/>
        <v/>
      </c>
      <c r="I942" s="252">
        <f>IFERROR(IF($E942="Inventory",VLOOKUP($C942,Inventory!$B:$I,8,FALSE()),IF($E942="Non Inventory",VLOOKUP($C942,'Non Inventory'!$B:$I,8,FALSE()),IF($E942="Services",VLOOKUP($C942,Services!$B:$I,8,FALSE()),IF($E942="Patty Cash",VLOOKUP($C942,'Patty Cash'!$B:$J,8,FALSE()),0)))),0)</f>
        <v>0</v>
      </c>
      <c r="J942" s="252" t="str">
        <f t="shared" si="29"/>
        <v/>
      </c>
      <c r="K942" s="253"/>
      <c r="L942" s="253"/>
      <c r="M942" s="253"/>
      <c r="N942" s="328"/>
    </row>
    <row r="943" spans="1:14" ht="20.100000000000001" customHeight="1">
      <c r="A943" s="327" t="str">
        <f>IF(AND($B943="",$C943=""),"",MAX($A$3:A942)+1)</f>
        <v/>
      </c>
      <c r="B943" s="262"/>
      <c r="C943" s="253"/>
      <c r="D943" s="249" t="str">
        <f>IFERROR(IF($E943="Inventory",VLOOKUP($C943,Inventory!$B:$I,2,FALSE()),IF($E943="Non Inventory",VLOOKUP($C943,'Non Inventory'!$B:$I,2,FALSE()),IF($E943="Services",VLOOKUP($C943,Services!$B:$I,2,FALSE()),IF($E943="Patty Cash",VLOOKUP($C943,'Patty Cash'!$B:$J,2,FALSE()),"")))),"")</f>
        <v/>
      </c>
      <c r="E943" s="254"/>
      <c r="F943" s="263" t="str">
        <f>IFERROR(IF($E943="Inventory",VLOOKUP($C943,Inventory!$B:$I,3,FALSE()),IF($E943="Non Inventory",VLOOKUP($C943,'Non Inventory'!$B:$I,3,FALSE()),IF($E943="Services",VLOOKUP($C943,Services!$B:$I,3,FALSE()),IF($E943="Patty Cash",VLOOKUP($C943,'Patty Cash'!$B:$J,3,FALSE()),"")))),"")</f>
        <v/>
      </c>
      <c r="G943" s="374"/>
      <c r="H943" s="374" t="str">
        <f t="shared" si="28"/>
        <v/>
      </c>
      <c r="I943" s="252">
        <f>IFERROR(IF($E943="Inventory",VLOOKUP($C943,Inventory!$B:$I,8,FALSE()),IF($E943="Non Inventory",VLOOKUP($C943,'Non Inventory'!$B:$I,8,FALSE()),IF($E943="Services",VLOOKUP($C943,Services!$B:$I,8,FALSE()),IF($E943="Patty Cash",VLOOKUP($C943,'Patty Cash'!$B:$J,8,FALSE()),0)))),0)</f>
        <v>0</v>
      </c>
      <c r="J943" s="252" t="str">
        <f t="shared" si="29"/>
        <v/>
      </c>
      <c r="K943" s="253"/>
      <c r="L943" s="253"/>
      <c r="M943" s="253"/>
      <c r="N943" s="328"/>
    </row>
    <row r="944" spans="1:14" ht="20.100000000000001" customHeight="1">
      <c r="A944" s="327" t="str">
        <f>IF(AND($B944="",$C944=""),"",MAX($A$3:A943)+1)</f>
        <v/>
      </c>
      <c r="B944" s="262"/>
      <c r="C944" s="253"/>
      <c r="D944" s="249" t="str">
        <f>IFERROR(IF($E944="Inventory",VLOOKUP($C944,Inventory!$B:$I,2,FALSE()),IF($E944="Non Inventory",VLOOKUP($C944,'Non Inventory'!$B:$I,2,FALSE()),IF($E944="Services",VLOOKUP($C944,Services!$B:$I,2,FALSE()),IF($E944="Patty Cash",VLOOKUP($C944,'Patty Cash'!$B:$J,2,FALSE()),"")))),"")</f>
        <v/>
      </c>
      <c r="E944" s="254"/>
      <c r="F944" s="263" t="str">
        <f>IFERROR(IF($E944="Inventory",VLOOKUP($C944,Inventory!$B:$I,3,FALSE()),IF($E944="Non Inventory",VLOOKUP($C944,'Non Inventory'!$B:$I,3,FALSE()),IF($E944="Services",VLOOKUP($C944,Services!$B:$I,3,FALSE()),IF($E944="Patty Cash",VLOOKUP($C944,'Patty Cash'!$B:$J,3,FALSE()),"")))),"")</f>
        <v/>
      </c>
      <c r="G944" s="374"/>
      <c r="H944" s="374" t="str">
        <f t="shared" si="28"/>
        <v/>
      </c>
      <c r="I944" s="252">
        <f>IFERROR(IF($E944="Inventory",VLOOKUP($C944,Inventory!$B:$I,8,FALSE()),IF($E944="Non Inventory",VLOOKUP($C944,'Non Inventory'!$B:$I,8,FALSE()),IF($E944="Services",VLOOKUP($C944,Services!$B:$I,8,FALSE()),IF($E944="Patty Cash",VLOOKUP($C944,'Patty Cash'!$B:$J,8,FALSE()),0)))),0)</f>
        <v>0</v>
      </c>
      <c r="J944" s="252" t="str">
        <f t="shared" si="29"/>
        <v/>
      </c>
      <c r="K944" s="253"/>
      <c r="L944" s="253"/>
      <c r="M944" s="253"/>
      <c r="N944" s="328"/>
    </row>
    <row r="945" spans="1:14" ht="20.100000000000001" customHeight="1">
      <c r="A945" s="327" t="str">
        <f>IF(AND($B945="",$C945=""),"",MAX($A$3:A944)+1)</f>
        <v/>
      </c>
      <c r="B945" s="262"/>
      <c r="C945" s="253"/>
      <c r="D945" s="249" t="str">
        <f>IFERROR(IF($E945="Inventory",VLOOKUP($C945,Inventory!$B:$I,2,FALSE()),IF($E945="Non Inventory",VLOOKUP($C945,'Non Inventory'!$B:$I,2,FALSE()),IF($E945="Services",VLOOKUP($C945,Services!$B:$I,2,FALSE()),IF($E945="Patty Cash",VLOOKUP($C945,'Patty Cash'!$B:$J,2,FALSE()),"")))),"")</f>
        <v/>
      </c>
      <c r="E945" s="254"/>
      <c r="F945" s="263" t="str">
        <f>IFERROR(IF($E945="Inventory",VLOOKUP($C945,Inventory!$B:$I,3,FALSE()),IF($E945="Non Inventory",VLOOKUP($C945,'Non Inventory'!$B:$I,3,FALSE()),IF($E945="Services",VLOOKUP($C945,Services!$B:$I,3,FALSE()),IF($E945="Patty Cash",VLOOKUP($C945,'Patty Cash'!$B:$J,3,FALSE()),"")))),"")</f>
        <v/>
      </c>
      <c r="G945" s="374"/>
      <c r="H945" s="374" t="str">
        <f t="shared" si="28"/>
        <v/>
      </c>
      <c r="I945" s="252">
        <f>IFERROR(IF($E945="Inventory",VLOOKUP($C945,Inventory!$B:$I,8,FALSE()),IF($E945="Non Inventory",VLOOKUP($C945,'Non Inventory'!$B:$I,8,FALSE()),IF($E945="Services",VLOOKUP($C945,Services!$B:$I,8,FALSE()),IF($E945="Patty Cash",VLOOKUP($C945,'Patty Cash'!$B:$J,8,FALSE()),0)))),0)</f>
        <v>0</v>
      </c>
      <c r="J945" s="252" t="str">
        <f t="shared" si="29"/>
        <v/>
      </c>
      <c r="K945" s="253"/>
      <c r="L945" s="253"/>
      <c r="M945" s="253"/>
      <c r="N945" s="328"/>
    </row>
    <row r="946" spans="1:14" ht="20.100000000000001" customHeight="1">
      <c r="A946" s="327" t="str">
        <f>IF(AND($B946="",$C946=""),"",MAX($A$3:A945)+1)</f>
        <v/>
      </c>
      <c r="B946" s="262"/>
      <c r="C946" s="253"/>
      <c r="D946" s="249" t="str">
        <f>IFERROR(IF($E946="Inventory",VLOOKUP($C946,Inventory!$B:$I,2,FALSE()),IF($E946="Non Inventory",VLOOKUP($C946,'Non Inventory'!$B:$I,2,FALSE()),IF($E946="Services",VLOOKUP($C946,Services!$B:$I,2,FALSE()),IF($E946="Patty Cash",VLOOKUP($C946,'Patty Cash'!$B:$J,2,FALSE()),"")))),"")</f>
        <v/>
      </c>
      <c r="E946" s="254"/>
      <c r="F946" s="263" t="str">
        <f>IFERROR(IF($E946="Inventory",VLOOKUP($C946,Inventory!$B:$I,3,FALSE()),IF($E946="Non Inventory",VLOOKUP($C946,'Non Inventory'!$B:$I,3,FALSE()),IF($E946="Services",VLOOKUP($C946,Services!$B:$I,3,FALSE()),IF($E946="Patty Cash",VLOOKUP($C946,'Patty Cash'!$B:$J,3,FALSE()),"")))),"")</f>
        <v/>
      </c>
      <c r="G946" s="374"/>
      <c r="H946" s="374" t="str">
        <f t="shared" si="28"/>
        <v/>
      </c>
      <c r="I946" s="252">
        <f>IFERROR(IF($E946="Inventory",VLOOKUP($C946,Inventory!$B:$I,8,FALSE()),IF($E946="Non Inventory",VLOOKUP($C946,'Non Inventory'!$B:$I,8,FALSE()),IF($E946="Services",VLOOKUP($C946,Services!$B:$I,8,FALSE()),IF($E946="Patty Cash",VLOOKUP($C946,'Patty Cash'!$B:$J,8,FALSE()),0)))),0)</f>
        <v>0</v>
      </c>
      <c r="J946" s="252" t="str">
        <f t="shared" si="29"/>
        <v/>
      </c>
      <c r="K946" s="253"/>
      <c r="L946" s="253"/>
      <c r="M946" s="253"/>
      <c r="N946" s="328"/>
    </row>
    <row r="947" spans="1:14" ht="20.100000000000001" customHeight="1">
      <c r="A947" s="327" t="str">
        <f>IF(AND($B947="",$C947=""),"",MAX($A$3:A946)+1)</f>
        <v/>
      </c>
      <c r="B947" s="262"/>
      <c r="C947" s="253"/>
      <c r="D947" s="249" t="str">
        <f>IFERROR(IF($E947="Inventory",VLOOKUP($C947,Inventory!$B:$I,2,FALSE()),IF($E947="Non Inventory",VLOOKUP($C947,'Non Inventory'!$B:$I,2,FALSE()),IF($E947="Services",VLOOKUP($C947,Services!$B:$I,2,FALSE()),IF($E947="Patty Cash",VLOOKUP($C947,'Patty Cash'!$B:$J,2,FALSE()),"")))),"")</f>
        <v/>
      </c>
      <c r="E947" s="254"/>
      <c r="F947" s="263" t="str">
        <f>IFERROR(IF($E947="Inventory",VLOOKUP($C947,Inventory!$B:$I,3,FALSE()),IF($E947="Non Inventory",VLOOKUP($C947,'Non Inventory'!$B:$I,3,FALSE()),IF($E947="Services",VLOOKUP($C947,Services!$B:$I,3,FALSE()),IF($E947="Patty Cash",VLOOKUP($C947,'Patty Cash'!$B:$J,3,FALSE()),"")))),"")</f>
        <v/>
      </c>
      <c r="G947" s="374"/>
      <c r="H947" s="374" t="str">
        <f t="shared" si="28"/>
        <v/>
      </c>
      <c r="I947" s="252">
        <f>IFERROR(IF($E947="Inventory",VLOOKUP($C947,Inventory!$B:$I,8,FALSE()),IF($E947="Non Inventory",VLOOKUP($C947,'Non Inventory'!$B:$I,8,FALSE()),IF($E947="Services",VLOOKUP($C947,Services!$B:$I,8,FALSE()),IF($E947="Patty Cash",VLOOKUP($C947,'Patty Cash'!$B:$J,8,FALSE()),0)))),0)</f>
        <v>0</v>
      </c>
      <c r="J947" s="252" t="str">
        <f t="shared" si="29"/>
        <v/>
      </c>
      <c r="K947" s="253"/>
      <c r="L947" s="253"/>
      <c r="M947" s="253"/>
      <c r="N947" s="328"/>
    </row>
    <row r="948" spans="1:14" ht="20.100000000000001" customHeight="1">
      <c r="A948" s="327" t="str">
        <f>IF(AND($B948="",$C948=""),"",MAX($A$3:A947)+1)</f>
        <v/>
      </c>
      <c r="B948" s="262"/>
      <c r="C948" s="253"/>
      <c r="D948" s="249" t="str">
        <f>IFERROR(IF($E948="Inventory",VLOOKUP($C948,Inventory!$B:$I,2,FALSE()),IF($E948="Non Inventory",VLOOKUP($C948,'Non Inventory'!$B:$I,2,FALSE()),IF($E948="Services",VLOOKUP($C948,Services!$B:$I,2,FALSE()),IF($E948="Patty Cash",VLOOKUP($C948,'Patty Cash'!$B:$J,2,FALSE()),"")))),"")</f>
        <v/>
      </c>
      <c r="E948" s="254"/>
      <c r="F948" s="263" t="str">
        <f>IFERROR(IF($E948="Inventory",VLOOKUP($C948,Inventory!$B:$I,3,FALSE()),IF($E948="Non Inventory",VLOOKUP($C948,'Non Inventory'!$B:$I,3,FALSE()),IF($E948="Services",VLOOKUP($C948,Services!$B:$I,3,FALSE()),IF($E948="Patty Cash",VLOOKUP($C948,'Patty Cash'!$B:$J,3,FALSE()),"")))),"")</f>
        <v/>
      </c>
      <c r="G948" s="374"/>
      <c r="H948" s="374" t="str">
        <f t="shared" si="28"/>
        <v/>
      </c>
      <c r="I948" s="252">
        <f>IFERROR(IF($E948="Inventory",VLOOKUP($C948,Inventory!$B:$I,8,FALSE()),IF($E948="Non Inventory",VLOOKUP($C948,'Non Inventory'!$B:$I,8,FALSE()),IF($E948="Services",VLOOKUP($C948,Services!$B:$I,8,FALSE()),IF($E948="Patty Cash",VLOOKUP($C948,'Patty Cash'!$B:$J,8,FALSE()),0)))),0)</f>
        <v>0</v>
      </c>
      <c r="J948" s="252" t="str">
        <f t="shared" si="29"/>
        <v/>
      </c>
      <c r="K948" s="253"/>
      <c r="L948" s="253"/>
      <c r="M948" s="253"/>
      <c r="N948" s="328"/>
    </row>
    <row r="949" spans="1:14" ht="20.100000000000001" customHeight="1">
      <c r="A949" s="327" t="str">
        <f>IF(AND($B949="",$C949=""),"",MAX($A$3:A948)+1)</f>
        <v/>
      </c>
      <c r="B949" s="262"/>
      <c r="C949" s="253"/>
      <c r="D949" s="249" t="str">
        <f>IFERROR(IF($E949="Inventory",VLOOKUP($C949,Inventory!$B:$I,2,FALSE()),IF($E949="Non Inventory",VLOOKUP($C949,'Non Inventory'!$B:$I,2,FALSE()),IF($E949="Services",VLOOKUP($C949,Services!$B:$I,2,FALSE()),IF($E949="Patty Cash",VLOOKUP($C949,'Patty Cash'!$B:$J,2,FALSE()),"")))),"")</f>
        <v/>
      </c>
      <c r="E949" s="254"/>
      <c r="F949" s="263" t="str">
        <f>IFERROR(IF($E949="Inventory",VLOOKUP($C949,Inventory!$B:$I,3,FALSE()),IF($E949="Non Inventory",VLOOKUP($C949,'Non Inventory'!$B:$I,3,FALSE()),IF($E949="Services",VLOOKUP($C949,Services!$B:$I,3,FALSE()),IF($E949="Patty Cash",VLOOKUP($C949,'Patty Cash'!$B:$J,3,FALSE()),"")))),"")</f>
        <v/>
      </c>
      <c r="G949" s="374"/>
      <c r="H949" s="374" t="str">
        <f t="shared" si="28"/>
        <v/>
      </c>
      <c r="I949" s="252">
        <f>IFERROR(IF($E949="Inventory",VLOOKUP($C949,Inventory!$B:$I,8,FALSE()),IF($E949="Non Inventory",VLOOKUP($C949,'Non Inventory'!$B:$I,8,FALSE()),IF($E949="Services",VLOOKUP($C949,Services!$B:$I,8,FALSE()),IF($E949="Patty Cash",VLOOKUP($C949,'Patty Cash'!$B:$J,8,FALSE()),0)))),0)</f>
        <v>0</v>
      </c>
      <c r="J949" s="252" t="str">
        <f t="shared" si="29"/>
        <v/>
      </c>
      <c r="K949" s="253"/>
      <c r="L949" s="253"/>
      <c r="M949" s="253"/>
      <c r="N949" s="328"/>
    </row>
    <row r="950" spans="1:14" ht="20.100000000000001" customHeight="1">
      <c r="A950" s="327" t="str">
        <f>IF(AND($B950="",$C950=""),"",MAX($A$3:A949)+1)</f>
        <v/>
      </c>
      <c r="B950" s="262"/>
      <c r="C950" s="253"/>
      <c r="D950" s="249" t="str">
        <f>IFERROR(IF($E950="Inventory",VLOOKUP($C950,Inventory!$B:$I,2,FALSE()),IF($E950="Non Inventory",VLOOKUP($C950,'Non Inventory'!$B:$I,2,FALSE()),IF($E950="Services",VLOOKUP($C950,Services!$B:$I,2,FALSE()),IF($E950="Patty Cash",VLOOKUP($C950,'Patty Cash'!$B:$J,2,FALSE()),"")))),"")</f>
        <v/>
      </c>
      <c r="E950" s="254"/>
      <c r="F950" s="263" t="str">
        <f>IFERROR(IF($E950="Inventory",VLOOKUP($C950,Inventory!$B:$I,3,FALSE()),IF($E950="Non Inventory",VLOOKUP($C950,'Non Inventory'!$B:$I,3,FALSE()),IF($E950="Services",VLOOKUP($C950,Services!$B:$I,3,FALSE()),IF($E950="Patty Cash",VLOOKUP($C950,'Patty Cash'!$B:$J,3,FALSE()),"")))),"")</f>
        <v/>
      </c>
      <c r="G950" s="374"/>
      <c r="H950" s="374" t="str">
        <f t="shared" si="28"/>
        <v/>
      </c>
      <c r="I950" s="252">
        <f>IFERROR(IF($E950="Inventory",VLOOKUP($C950,Inventory!$B:$I,8,FALSE()),IF($E950="Non Inventory",VLOOKUP($C950,'Non Inventory'!$B:$I,8,FALSE()),IF($E950="Services",VLOOKUP($C950,Services!$B:$I,8,FALSE()),IF($E950="Patty Cash",VLOOKUP($C950,'Patty Cash'!$B:$J,8,FALSE()),0)))),0)</f>
        <v>0</v>
      </c>
      <c r="J950" s="252" t="str">
        <f t="shared" si="29"/>
        <v/>
      </c>
      <c r="K950" s="253"/>
      <c r="L950" s="253"/>
      <c r="M950" s="253"/>
      <c r="N950" s="328"/>
    </row>
    <row r="951" spans="1:14" ht="20.100000000000001" customHeight="1">
      <c r="A951" s="327" t="str">
        <f>IF(AND($B951="",$C951=""),"",MAX($A$3:A950)+1)</f>
        <v/>
      </c>
      <c r="B951" s="262"/>
      <c r="C951" s="253"/>
      <c r="D951" s="249" t="str">
        <f>IFERROR(IF($E951="Inventory",VLOOKUP($C951,Inventory!$B:$I,2,FALSE()),IF($E951="Non Inventory",VLOOKUP($C951,'Non Inventory'!$B:$I,2,FALSE()),IF($E951="Services",VLOOKUP($C951,Services!$B:$I,2,FALSE()),IF($E951="Patty Cash",VLOOKUP($C951,'Patty Cash'!$B:$J,2,FALSE()),"")))),"")</f>
        <v/>
      </c>
      <c r="E951" s="254"/>
      <c r="F951" s="263" t="str">
        <f>IFERROR(IF($E951="Inventory",VLOOKUP($C951,Inventory!$B:$I,3,FALSE()),IF($E951="Non Inventory",VLOOKUP($C951,'Non Inventory'!$B:$I,3,FALSE()),IF($E951="Services",VLOOKUP($C951,Services!$B:$I,3,FALSE()),IF($E951="Patty Cash",VLOOKUP($C951,'Patty Cash'!$B:$J,3,FALSE()),"")))),"")</f>
        <v/>
      </c>
      <c r="G951" s="374"/>
      <c r="H951" s="374" t="str">
        <f t="shared" si="28"/>
        <v/>
      </c>
      <c r="I951" s="252">
        <f>IFERROR(IF($E951="Inventory",VLOOKUP($C951,Inventory!$B:$I,8,FALSE()),IF($E951="Non Inventory",VLOOKUP($C951,'Non Inventory'!$B:$I,8,FALSE()),IF($E951="Services",VLOOKUP($C951,Services!$B:$I,8,FALSE()),IF($E951="Patty Cash",VLOOKUP($C951,'Patty Cash'!$B:$J,8,FALSE()),0)))),0)</f>
        <v>0</v>
      </c>
      <c r="J951" s="252" t="str">
        <f t="shared" si="29"/>
        <v/>
      </c>
      <c r="K951" s="253"/>
      <c r="L951" s="253"/>
      <c r="M951" s="253"/>
      <c r="N951" s="328"/>
    </row>
    <row r="952" spans="1:14" ht="20.100000000000001" customHeight="1">
      <c r="A952" s="327" t="str">
        <f>IF(AND($B952="",$C952=""),"",MAX($A$3:A951)+1)</f>
        <v/>
      </c>
      <c r="B952" s="262"/>
      <c r="C952" s="253"/>
      <c r="D952" s="249" t="str">
        <f>IFERROR(IF($E952="Inventory",VLOOKUP($C952,Inventory!$B:$I,2,FALSE()),IF($E952="Non Inventory",VLOOKUP($C952,'Non Inventory'!$B:$I,2,FALSE()),IF($E952="Services",VLOOKUP($C952,Services!$B:$I,2,FALSE()),IF($E952="Patty Cash",VLOOKUP($C952,'Patty Cash'!$B:$J,2,FALSE()),"")))),"")</f>
        <v/>
      </c>
      <c r="E952" s="254"/>
      <c r="F952" s="263" t="str">
        <f>IFERROR(IF($E952="Inventory",VLOOKUP($C952,Inventory!$B:$I,3,FALSE()),IF($E952="Non Inventory",VLOOKUP($C952,'Non Inventory'!$B:$I,3,FALSE()),IF($E952="Services",VLOOKUP($C952,Services!$B:$I,3,FALSE()),IF($E952="Patty Cash",VLOOKUP($C952,'Patty Cash'!$B:$J,3,FALSE()),"")))),"")</f>
        <v/>
      </c>
      <c r="G952" s="374"/>
      <c r="H952" s="374" t="str">
        <f t="shared" si="28"/>
        <v/>
      </c>
      <c r="I952" s="252">
        <f>IFERROR(IF($E952="Inventory",VLOOKUP($C952,Inventory!$B:$I,8,FALSE()),IF($E952="Non Inventory",VLOOKUP($C952,'Non Inventory'!$B:$I,8,FALSE()),IF($E952="Services",VLOOKUP($C952,Services!$B:$I,8,FALSE()),IF($E952="Patty Cash",VLOOKUP($C952,'Patty Cash'!$B:$J,8,FALSE()),0)))),0)</f>
        <v>0</v>
      </c>
      <c r="J952" s="252" t="str">
        <f t="shared" si="29"/>
        <v/>
      </c>
      <c r="K952" s="253"/>
      <c r="L952" s="253"/>
      <c r="M952" s="253"/>
      <c r="N952" s="328"/>
    </row>
    <row r="953" spans="1:14" ht="20.100000000000001" customHeight="1">
      <c r="A953" s="327" t="str">
        <f>IF(AND($B953="",$C953=""),"",MAX($A$3:A952)+1)</f>
        <v/>
      </c>
      <c r="B953" s="262"/>
      <c r="C953" s="253"/>
      <c r="D953" s="249" t="str">
        <f>IFERROR(IF($E953="Inventory",VLOOKUP($C953,Inventory!$B:$I,2,FALSE()),IF($E953="Non Inventory",VLOOKUP($C953,'Non Inventory'!$B:$I,2,FALSE()),IF($E953="Services",VLOOKUP($C953,Services!$B:$I,2,FALSE()),IF($E953="Patty Cash",VLOOKUP($C953,'Patty Cash'!$B:$J,2,FALSE()),"")))),"")</f>
        <v/>
      </c>
      <c r="E953" s="254"/>
      <c r="F953" s="263" t="str">
        <f>IFERROR(IF($E953="Inventory",VLOOKUP($C953,Inventory!$B:$I,3,FALSE()),IF($E953="Non Inventory",VLOOKUP($C953,'Non Inventory'!$B:$I,3,FALSE()),IF($E953="Services",VLOOKUP($C953,Services!$B:$I,3,FALSE()),IF($E953="Patty Cash",VLOOKUP($C953,'Patty Cash'!$B:$J,3,FALSE()),"")))),"")</f>
        <v/>
      </c>
      <c r="G953" s="374"/>
      <c r="H953" s="374" t="str">
        <f t="shared" si="28"/>
        <v/>
      </c>
      <c r="I953" s="252">
        <f>IFERROR(IF($E953="Inventory",VLOOKUP($C953,Inventory!$B:$I,8,FALSE()),IF($E953="Non Inventory",VLOOKUP($C953,'Non Inventory'!$B:$I,8,FALSE()),IF($E953="Services",VLOOKUP($C953,Services!$B:$I,8,FALSE()),IF($E953="Patty Cash",VLOOKUP($C953,'Patty Cash'!$B:$J,8,FALSE()),0)))),0)</f>
        <v>0</v>
      </c>
      <c r="J953" s="252" t="str">
        <f t="shared" si="29"/>
        <v/>
      </c>
      <c r="K953" s="253"/>
      <c r="L953" s="253"/>
      <c r="M953" s="253"/>
      <c r="N953" s="328"/>
    </row>
    <row r="954" spans="1:14" ht="20.100000000000001" customHeight="1">
      <c r="A954" s="327" t="str">
        <f>IF(AND($B954="",$C954=""),"",MAX($A$3:A953)+1)</f>
        <v/>
      </c>
      <c r="B954" s="262"/>
      <c r="C954" s="253"/>
      <c r="D954" s="249" t="str">
        <f>IFERROR(IF($E954="Inventory",VLOOKUP($C954,Inventory!$B:$I,2,FALSE()),IF($E954="Non Inventory",VLOOKUP($C954,'Non Inventory'!$B:$I,2,FALSE()),IF($E954="Services",VLOOKUP($C954,Services!$B:$I,2,FALSE()),IF($E954="Patty Cash",VLOOKUP($C954,'Patty Cash'!$B:$J,2,FALSE()),"")))),"")</f>
        <v/>
      </c>
      <c r="E954" s="254"/>
      <c r="F954" s="263" t="str">
        <f>IFERROR(IF($E954="Inventory",VLOOKUP($C954,Inventory!$B:$I,3,FALSE()),IF($E954="Non Inventory",VLOOKUP($C954,'Non Inventory'!$B:$I,3,FALSE()),IF($E954="Services",VLOOKUP($C954,Services!$B:$I,3,FALSE()),IF($E954="Patty Cash",VLOOKUP($C954,'Patty Cash'!$B:$J,3,FALSE()),"")))),"")</f>
        <v/>
      </c>
      <c r="G954" s="374"/>
      <c r="H954" s="374" t="str">
        <f t="shared" si="28"/>
        <v/>
      </c>
      <c r="I954" s="252">
        <f>IFERROR(IF($E954="Inventory",VLOOKUP($C954,Inventory!$B:$I,8,FALSE()),IF($E954="Non Inventory",VLOOKUP($C954,'Non Inventory'!$B:$I,8,FALSE()),IF($E954="Services",VLOOKUP($C954,Services!$B:$I,8,FALSE()),IF($E954="Patty Cash",VLOOKUP($C954,'Patty Cash'!$B:$J,8,FALSE()),0)))),0)</f>
        <v>0</v>
      </c>
      <c r="J954" s="252" t="str">
        <f t="shared" si="29"/>
        <v/>
      </c>
      <c r="K954" s="253"/>
      <c r="L954" s="253"/>
      <c r="M954" s="253"/>
      <c r="N954" s="328"/>
    </row>
    <row r="955" spans="1:14" ht="20.100000000000001" customHeight="1">
      <c r="A955" s="327" t="str">
        <f>IF(AND($B955="",$C955=""),"",MAX($A$3:A954)+1)</f>
        <v/>
      </c>
      <c r="B955" s="262"/>
      <c r="C955" s="253"/>
      <c r="D955" s="249" t="str">
        <f>IFERROR(IF($E955="Inventory",VLOOKUP($C955,Inventory!$B:$I,2,FALSE()),IF($E955="Non Inventory",VLOOKUP($C955,'Non Inventory'!$B:$I,2,FALSE()),IF($E955="Services",VLOOKUP($C955,Services!$B:$I,2,FALSE()),IF($E955="Patty Cash",VLOOKUP($C955,'Patty Cash'!$B:$J,2,FALSE()),"")))),"")</f>
        <v/>
      </c>
      <c r="E955" s="254"/>
      <c r="F955" s="263" t="str">
        <f>IFERROR(IF($E955="Inventory",VLOOKUP($C955,Inventory!$B:$I,3,FALSE()),IF($E955="Non Inventory",VLOOKUP($C955,'Non Inventory'!$B:$I,3,FALSE()),IF($E955="Services",VLOOKUP($C955,Services!$B:$I,3,FALSE()),IF($E955="Patty Cash",VLOOKUP($C955,'Patty Cash'!$B:$J,3,FALSE()),"")))),"")</f>
        <v/>
      </c>
      <c r="G955" s="374"/>
      <c r="H955" s="374" t="str">
        <f t="shared" ref="H955:H994" si="30">IF($G955="","",G955)</f>
        <v/>
      </c>
      <c r="I955" s="252">
        <f>IFERROR(IF($E955="Inventory",VLOOKUP($C955,Inventory!$B:$I,8,FALSE()),IF($E955="Non Inventory",VLOOKUP($C955,'Non Inventory'!$B:$I,8,FALSE()),IF($E955="Services",VLOOKUP($C955,Services!$B:$I,8,FALSE()),IF($E955="Patty Cash",VLOOKUP($C955,'Patty Cash'!$B:$J,8,FALSE()),0)))),0)</f>
        <v>0</v>
      </c>
      <c r="J955" s="252" t="str">
        <f t="shared" ref="J955:J994" si="31">IF($H955="","",H955*I955)</f>
        <v/>
      </c>
      <c r="K955" s="253"/>
      <c r="L955" s="253"/>
      <c r="M955" s="253"/>
      <c r="N955" s="328"/>
    </row>
    <row r="956" spans="1:14" ht="20.100000000000001" customHeight="1">
      <c r="A956" s="327" t="str">
        <f>IF(AND($B956="",$C956=""),"",MAX($A$3:A955)+1)</f>
        <v/>
      </c>
      <c r="B956" s="262"/>
      <c r="C956" s="253"/>
      <c r="D956" s="249" t="str">
        <f>IFERROR(IF($E956="Inventory",VLOOKUP($C956,Inventory!$B:$I,2,FALSE()),IF($E956="Non Inventory",VLOOKUP($C956,'Non Inventory'!$B:$I,2,FALSE()),IF($E956="Services",VLOOKUP($C956,Services!$B:$I,2,FALSE()),IF($E956="Patty Cash",VLOOKUP($C956,'Patty Cash'!$B:$J,2,FALSE()),"")))),"")</f>
        <v/>
      </c>
      <c r="E956" s="254"/>
      <c r="F956" s="263" t="str">
        <f>IFERROR(IF($E956="Inventory",VLOOKUP($C956,Inventory!$B:$I,3,FALSE()),IF($E956="Non Inventory",VLOOKUP($C956,'Non Inventory'!$B:$I,3,FALSE()),IF($E956="Services",VLOOKUP($C956,Services!$B:$I,3,FALSE()),IF($E956="Patty Cash",VLOOKUP($C956,'Patty Cash'!$B:$J,3,FALSE()),"")))),"")</f>
        <v/>
      </c>
      <c r="G956" s="374"/>
      <c r="H956" s="374" t="str">
        <f t="shared" si="30"/>
        <v/>
      </c>
      <c r="I956" s="252">
        <f>IFERROR(IF($E956="Inventory",VLOOKUP($C956,Inventory!$B:$I,8,FALSE()),IF($E956="Non Inventory",VLOOKUP($C956,'Non Inventory'!$B:$I,8,FALSE()),IF($E956="Services",VLOOKUP($C956,Services!$B:$I,8,FALSE()),IF($E956="Patty Cash",VLOOKUP($C956,'Patty Cash'!$B:$J,8,FALSE()),0)))),0)</f>
        <v>0</v>
      </c>
      <c r="J956" s="252" t="str">
        <f t="shared" si="31"/>
        <v/>
      </c>
      <c r="K956" s="253"/>
      <c r="L956" s="253"/>
      <c r="M956" s="253"/>
      <c r="N956" s="328"/>
    </row>
    <row r="957" spans="1:14" ht="20.100000000000001" customHeight="1">
      <c r="A957" s="327" t="str">
        <f>IF(AND($B957="",$C957=""),"",MAX($A$3:A956)+1)</f>
        <v/>
      </c>
      <c r="B957" s="262"/>
      <c r="C957" s="253"/>
      <c r="D957" s="249" t="str">
        <f>IFERROR(IF($E957="Inventory",VLOOKUP($C957,Inventory!$B:$I,2,FALSE()),IF($E957="Non Inventory",VLOOKUP($C957,'Non Inventory'!$B:$I,2,FALSE()),IF($E957="Services",VLOOKUP($C957,Services!$B:$I,2,FALSE()),IF($E957="Patty Cash",VLOOKUP($C957,'Patty Cash'!$B:$J,2,FALSE()),"")))),"")</f>
        <v/>
      </c>
      <c r="E957" s="254"/>
      <c r="F957" s="263" t="str">
        <f>IFERROR(IF($E957="Inventory",VLOOKUP($C957,Inventory!$B:$I,3,FALSE()),IF($E957="Non Inventory",VLOOKUP($C957,'Non Inventory'!$B:$I,3,FALSE()),IF($E957="Services",VLOOKUP($C957,Services!$B:$I,3,FALSE()),IF($E957="Patty Cash",VLOOKUP($C957,'Patty Cash'!$B:$J,3,FALSE()),"")))),"")</f>
        <v/>
      </c>
      <c r="G957" s="374"/>
      <c r="H957" s="374" t="str">
        <f t="shared" si="30"/>
        <v/>
      </c>
      <c r="I957" s="252">
        <f>IFERROR(IF($E957="Inventory",VLOOKUP($C957,Inventory!$B:$I,8,FALSE()),IF($E957="Non Inventory",VLOOKUP($C957,'Non Inventory'!$B:$I,8,FALSE()),IF($E957="Services",VLOOKUP($C957,Services!$B:$I,8,FALSE()),IF($E957="Patty Cash",VLOOKUP($C957,'Patty Cash'!$B:$J,8,FALSE()),0)))),0)</f>
        <v>0</v>
      </c>
      <c r="J957" s="252" t="str">
        <f t="shared" si="31"/>
        <v/>
      </c>
      <c r="K957" s="253"/>
      <c r="L957" s="253"/>
      <c r="M957" s="253"/>
      <c r="N957" s="328"/>
    </row>
    <row r="958" spans="1:14" ht="20.100000000000001" customHeight="1">
      <c r="A958" s="327" t="str">
        <f>IF(AND($B958="",$C958=""),"",MAX($A$3:A957)+1)</f>
        <v/>
      </c>
      <c r="B958" s="262"/>
      <c r="C958" s="253"/>
      <c r="D958" s="249" t="str">
        <f>IFERROR(IF($E958="Inventory",VLOOKUP($C958,Inventory!$B:$I,2,FALSE()),IF($E958="Non Inventory",VLOOKUP($C958,'Non Inventory'!$B:$I,2,FALSE()),IF($E958="Services",VLOOKUP($C958,Services!$B:$I,2,FALSE()),IF($E958="Patty Cash",VLOOKUP($C958,'Patty Cash'!$B:$J,2,FALSE()),"")))),"")</f>
        <v/>
      </c>
      <c r="E958" s="254"/>
      <c r="F958" s="263" t="str">
        <f>IFERROR(IF($E958="Inventory",VLOOKUP($C958,Inventory!$B:$I,3,FALSE()),IF($E958="Non Inventory",VLOOKUP($C958,'Non Inventory'!$B:$I,3,FALSE()),IF($E958="Services",VLOOKUP($C958,Services!$B:$I,3,FALSE()),IF($E958="Patty Cash",VLOOKUP($C958,'Patty Cash'!$B:$J,3,FALSE()),"")))),"")</f>
        <v/>
      </c>
      <c r="G958" s="374"/>
      <c r="H958" s="374" t="str">
        <f t="shared" si="30"/>
        <v/>
      </c>
      <c r="I958" s="252">
        <f>IFERROR(IF($E958="Inventory",VLOOKUP($C958,Inventory!$B:$I,8,FALSE()),IF($E958="Non Inventory",VLOOKUP($C958,'Non Inventory'!$B:$I,8,FALSE()),IF($E958="Services",VLOOKUP($C958,Services!$B:$I,8,FALSE()),IF($E958="Patty Cash",VLOOKUP($C958,'Patty Cash'!$B:$J,8,FALSE()),0)))),0)</f>
        <v>0</v>
      </c>
      <c r="J958" s="252" t="str">
        <f t="shared" si="31"/>
        <v/>
      </c>
      <c r="K958" s="253"/>
      <c r="L958" s="253"/>
      <c r="M958" s="253"/>
      <c r="N958" s="328"/>
    </row>
    <row r="959" spans="1:14" ht="20.100000000000001" customHeight="1">
      <c r="A959" s="327" t="str">
        <f>IF(AND($B959="",$C959=""),"",MAX($A$3:A958)+1)</f>
        <v/>
      </c>
      <c r="B959" s="262"/>
      <c r="C959" s="253"/>
      <c r="D959" s="249" t="str">
        <f>IFERROR(IF($E959="Inventory",VLOOKUP($C959,Inventory!$B:$I,2,FALSE()),IF($E959="Non Inventory",VLOOKUP($C959,'Non Inventory'!$B:$I,2,FALSE()),IF($E959="Services",VLOOKUP($C959,Services!$B:$I,2,FALSE()),IF($E959="Patty Cash",VLOOKUP($C959,'Patty Cash'!$B:$J,2,FALSE()),"")))),"")</f>
        <v/>
      </c>
      <c r="E959" s="254"/>
      <c r="F959" s="263" t="str">
        <f>IFERROR(IF($E959="Inventory",VLOOKUP($C959,Inventory!$B:$I,3,FALSE()),IF($E959="Non Inventory",VLOOKUP($C959,'Non Inventory'!$B:$I,3,FALSE()),IF($E959="Services",VLOOKUP($C959,Services!$B:$I,3,FALSE()),IF($E959="Patty Cash",VLOOKUP($C959,'Patty Cash'!$B:$J,3,FALSE()),"")))),"")</f>
        <v/>
      </c>
      <c r="G959" s="374"/>
      <c r="H959" s="374" t="str">
        <f t="shared" si="30"/>
        <v/>
      </c>
      <c r="I959" s="252">
        <f>IFERROR(IF($E959="Inventory",VLOOKUP($C959,Inventory!$B:$I,8,FALSE()),IF($E959="Non Inventory",VLOOKUP($C959,'Non Inventory'!$B:$I,8,FALSE()),IF($E959="Services",VLOOKUP($C959,Services!$B:$I,8,FALSE()),IF($E959="Patty Cash",VLOOKUP($C959,'Patty Cash'!$B:$J,8,FALSE()),0)))),0)</f>
        <v>0</v>
      </c>
      <c r="J959" s="252" t="str">
        <f t="shared" si="31"/>
        <v/>
      </c>
      <c r="K959" s="253"/>
      <c r="L959" s="253"/>
      <c r="M959" s="253"/>
      <c r="N959" s="328"/>
    </row>
    <row r="960" spans="1:14" ht="20.100000000000001" customHeight="1">
      <c r="A960" s="327" t="str">
        <f>IF(AND($B960="",$C960=""),"",MAX($A$3:A959)+1)</f>
        <v/>
      </c>
      <c r="B960" s="262"/>
      <c r="C960" s="253"/>
      <c r="D960" s="249" t="str">
        <f>IFERROR(IF($E960="Inventory",VLOOKUP($C960,Inventory!$B:$I,2,FALSE()),IF($E960="Non Inventory",VLOOKUP($C960,'Non Inventory'!$B:$I,2,FALSE()),IF($E960="Services",VLOOKUP($C960,Services!$B:$I,2,FALSE()),IF($E960="Patty Cash",VLOOKUP($C960,'Patty Cash'!$B:$J,2,FALSE()),"")))),"")</f>
        <v/>
      </c>
      <c r="E960" s="254"/>
      <c r="F960" s="263" t="str">
        <f>IFERROR(IF($E960="Inventory",VLOOKUP($C960,Inventory!$B:$I,3,FALSE()),IF($E960="Non Inventory",VLOOKUP($C960,'Non Inventory'!$B:$I,3,FALSE()),IF($E960="Services",VLOOKUP($C960,Services!$B:$I,3,FALSE()),IF($E960="Patty Cash",VLOOKUP($C960,'Patty Cash'!$B:$J,3,FALSE()),"")))),"")</f>
        <v/>
      </c>
      <c r="G960" s="374"/>
      <c r="H960" s="374" t="str">
        <f t="shared" si="30"/>
        <v/>
      </c>
      <c r="I960" s="252">
        <f>IFERROR(IF($E960="Inventory",VLOOKUP($C960,Inventory!$B:$I,8,FALSE()),IF($E960="Non Inventory",VLOOKUP($C960,'Non Inventory'!$B:$I,8,FALSE()),IF($E960="Services",VLOOKUP($C960,Services!$B:$I,8,FALSE()),IF($E960="Patty Cash",VLOOKUP($C960,'Patty Cash'!$B:$J,8,FALSE()),0)))),0)</f>
        <v>0</v>
      </c>
      <c r="J960" s="252" t="str">
        <f t="shared" si="31"/>
        <v/>
      </c>
      <c r="K960" s="253"/>
      <c r="L960" s="253"/>
      <c r="M960" s="253"/>
      <c r="N960" s="328"/>
    </row>
    <row r="961" spans="1:14" ht="20.100000000000001" customHeight="1">
      <c r="A961" s="327" t="str">
        <f>IF(AND($B961="",$C961=""),"",MAX($A$3:A960)+1)</f>
        <v/>
      </c>
      <c r="B961" s="262"/>
      <c r="C961" s="253"/>
      <c r="D961" s="249" t="str">
        <f>IFERROR(IF($E961="Inventory",VLOOKUP($C961,Inventory!$B:$I,2,FALSE()),IF($E961="Non Inventory",VLOOKUP($C961,'Non Inventory'!$B:$I,2,FALSE()),IF($E961="Services",VLOOKUP($C961,Services!$B:$I,2,FALSE()),IF($E961="Patty Cash",VLOOKUP($C961,'Patty Cash'!$B:$J,2,FALSE()),"")))),"")</f>
        <v/>
      </c>
      <c r="E961" s="254"/>
      <c r="F961" s="263" t="str">
        <f>IFERROR(IF($E961="Inventory",VLOOKUP($C961,Inventory!$B:$I,3,FALSE()),IF($E961="Non Inventory",VLOOKUP($C961,'Non Inventory'!$B:$I,3,FALSE()),IF($E961="Services",VLOOKUP($C961,Services!$B:$I,3,FALSE()),IF($E961="Patty Cash",VLOOKUP($C961,'Patty Cash'!$B:$J,3,FALSE()),"")))),"")</f>
        <v/>
      </c>
      <c r="G961" s="374"/>
      <c r="H961" s="374" t="str">
        <f t="shared" si="30"/>
        <v/>
      </c>
      <c r="I961" s="252">
        <f>IFERROR(IF($E961="Inventory",VLOOKUP($C961,Inventory!$B:$I,8,FALSE()),IF($E961="Non Inventory",VLOOKUP($C961,'Non Inventory'!$B:$I,8,FALSE()),IF($E961="Services",VLOOKUP($C961,Services!$B:$I,8,FALSE()),IF($E961="Patty Cash",VLOOKUP($C961,'Patty Cash'!$B:$J,8,FALSE()),0)))),0)</f>
        <v>0</v>
      </c>
      <c r="J961" s="252" t="str">
        <f t="shared" si="31"/>
        <v/>
      </c>
      <c r="K961" s="253"/>
      <c r="L961" s="253"/>
      <c r="M961" s="253"/>
      <c r="N961" s="328"/>
    </row>
    <row r="962" spans="1:14" ht="20.100000000000001" customHeight="1">
      <c r="A962" s="327" t="str">
        <f>IF(AND($B962="",$C962=""),"",MAX($A$3:A961)+1)</f>
        <v/>
      </c>
      <c r="B962" s="262"/>
      <c r="C962" s="253"/>
      <c r="D962" s="249" t="str">
        <f>IFERROR(IF($E962="Inventory",VLOOKUP($C962,Inventory!$B:$I,2,FALSE()),IF($E962="Non Inventory",VLOOKUP($C962,'Non Inventory'!$B:$I,2,FALSE()),IF($E962="Services",VLOOKUP($C962,Services!$B:$I,2,FALSE()),IF($E962="Patty Cash",VLOOKUP($C962,'Patty Cash'!$B:$J,2,FALSE()),"")))),"")</f>
        <v/>
      </c>
      <c r="E962" s="254"/>
      <c r="F962" s="263" t="str">
        <f>IFERROR(IF($E962="Inventory",VLOOKUP($C962,Inventory!$B:$I,3,FALSE()),IF($E962="Non Inventory",VLOOKUP($C962,'Non Inventory'!$B:$I,3,FALSE()),IF($E962="Services",VLOOKUP($C962,Services!$B:$I,3,FALSE()),IF($E962="Patty Cash",VLOOKUP($C962,'Patty Cash'!$B:$J,3,FALSE()),"")))),"")</f>
        <v/>
      </c>
      <c r="G962" s="374"/>
      <c r="H962" s="374" t="str">
        <f t="shared" si="30"/>
        <v/>
      </c>
      <c r="I962" s="252">
        <f>IFERROR(IF($E962="Inventory",VLOOKUP($C962,Inventory!$B:$I,8,FALSE()),IF($E962="Non Inventory",VLOOKUP($C962,'Non Inventory'!$B:$I,8,FALSE()),IF($E962="Services",VLOOKUP($C962,Services!$B:$I,8,FALSE()),IF($E962="Patty Cash",VLOOKUP($C962,'Patty Cash'!$B:$J,8,FALSE()),0)))),0)</f>
        <v>0</v>
      </c>
      <c r="J962" s="252" t="str">
        <f t="shared" si="31"/>
        <v/>
      </c>
      <c r="K962" s="253"/>
      <c r="L962" s="253"/>
      <c r="M962" s="253"/>
      <c r="N962" s="328"/>
    </row>
    <row r="963" spans="1:14" ht="20.100000000000001" customHeight="1">
      <c r="A963" s="327" t="str">
        <f>IF(AND($B963="",$C963=""),"",MAX($A$3:A962)+1)</f>
        <v/>
      </c>
      <c r="B963" s="262"/>
      <c r="C963" s="253"/>
      <c r="D963" s="249" t="str">
        <f>IFERROR(IF($E963="Inventory",VLOOKUP($C963,Inventory!$B:$I,2,FALSE()),IF($E963="Non Inventory",VLOOKUP($C963,'Non Inventory'!$B:$I,2,FALSE()),IF($E963="Services",VLOOKUP($C963,Services!$B:$I,2,FALSE()),IF($E963="Patty Cash",VLOOKUP($C963,'Patty Cash'!$B:$J,2,FALSE()),"")))),"")</f>
        <v/>
      </c>
      <c r="E963" s="254"/>
      <c r="F963" s="263" t="str">
        <f>IFERROR(IF($E963="Inventory",VLOOKUP($C963,Inventory!$B:$I,3,FALSE()),IF($E963="Non Inventory",VLOOKUP($C963,'Non Inventory'!$B:$I,3,FALSE()),IF($E963="Services",VLOOKUP($C963,Services!$B:$I,3,FALSE()),IF($E963="Patty Cash",VLOOKUP($C963,'Patty Cash'!$B:$J,3,FALSE()),"")))),"")</f>
        <v/>
      </c>
      <c r="G963" s="374"/>
      <c r="H963" s="374" t="str">
        <f t="shared" si="30"/>
        <v/>
      </c>
      <c r="I963" s="252">
        <f>IFERROR(IF($E963="Inventory",VLOOKUP($C963,Inventory!$B:$I,8,FALSE()),IF($E963="Non Inventory",VLOOKUP($C963,'Non Inventory'!$B:$I,8,FALSE()),IF($E963="Services",VLOOKUP($C963,Services!$B:$I,8,FALSE()),IF($E963="Patty Cash",VLOOKUP($C963,'Patty Cash'!$B:$J,8,FALSE()),0)))),0)</f>
        <v>0</v>
      </c>
      <c r="J963" s="252" t="str">
        <f t="shared" si="31"/>
        <v/>
      </c>
      <c r="K963" s="253"/>
      <c r="L963" s="253"/>
      <c r="M963" s="253"/>
      <c r="N963" s="328"/>
    </row>
    <row r="964" spans="1:14" ht="20.100000000000001" customHeight="1">
      <c r="A964" s="327" t="str">
        <f>IF(AND($B964="",$C964=""),"",MAX($A$3:A963)+1)</f>
        <v/>
      </c>
      <c r="B964" s="262"/>
      <c r="C964" s="253"/>
      <c r="D964" s="249" t="str">
        <f>IFERROR(IF($E964="Inventory",VLOOKUP($C964,Inventory!$B:$I,2,FALSE()),IF($E964="Non Inventory",VLOOKUP($C964,'Non Inventory'!$B:$I,2,FALSE()),IF($E964="Services",VLOOKUP($C964,Services!$B:$I,2,FALSE()),IF($E964="Patty Cash",VLOOKUP($C964,'Patty Cash'!$B:$J,2,FALSE()),"")))),"")</f>
        <v/>
      </c>
      <c r="E964" s="254"/>
      <c r="F964" s="263" t="str">
        <f>IFERROR(IF($E964="Inventory",VLOOKUP($C964,Inventory!$B:$I,3,FALSE()),IF($E964="Non Inventory",VLOOKUP($C964,'Non Inventory'!$B:$I,3,FALSE()),IF($E964="Services",VLOOKUP($C964,Services!$B:$I,3,FALSE()),IF($E964="Patty Cash",VLOOKUP($C964,'Patty Cash'!$B:$J,3,FALSE()),"")))),"")</f>
        <v/>
      </c>
      <c r="G964" s="374"/>
      <c r="H964" s="374" t="str">
        <f t="shared" si="30"/>
        <v/>
      </c>
      <c r="I964" s="252">
        <f>IFERROR(IF($E964="Inventory",VLOOKUP($C964,Inventory!$B:$I,8,FALSE()),IF($E964="Non Inventory",VLOOKUP($C964,'Non Inventory'!$B:$I,8,FALSE()),IF($E964="Services",VLOOKUP($C964,Services!$B:$I,8,FALSE()),IF($E964="Patty Cash",VLOOKUP($C964,'Patty Cash'!$B:$J,8,FALSE()),0)))),0)</f>
        <v>0</v>
      </c>
      <c r="J964" s="252" t="str">
        <f t="shared" si="31"/>
        <v/>
      </c>
      <c r="K964" s="253"/>
      <c r="L964" s="253"/>
      <c r="M964" s="253"/>
      <c r="N964" s="328"/>
    </row>
    <row r="965" spans="1:14" ht="20.100000000000001" customHeight="1">
      <c r="A965" s="327" t="str">
        <f>IF(AND($B965="",$C965=""),"",MAX($A$3:A964)+1)</f>
        <v/>
      </c>
      <c r="B965" s="262"/>
      <c r="C965" s="253"/>
      <c r="D965" s="249" t="str">
        <f>IFERROR(IF($E965="Inventory",VLOOKUP($C965,Inventory!$B:$I,2,FALSE()),IF($E965="Non Inventory",VLOOKUP($C965,'Non Inventory'!$B:$I,2,FALSE()),IF($E965="Services",VLOOKUP($C965,Services!$B:$I,2,FALSE()),IF($E965="Patty Cash",VLOOKUP($C965,'Patty Cash'!$B:$J,2,FALSE()),"")))),"")</f>
        <v/>
      </c>
      <c r="E965" s="254"/>
      <c r="F965" s="263" t="str">
        <f>IFERROR(IF($E965="Inventory",VLOOKUP($C965,Inventory!$B:$I,3,FALSE()),IF($E965="Non Inventory",VLOOKUP($C965,'Non Inventory'!$B:$I,3,FALSE()),IF($E965="Services",VLOOKUP($C965,Services!$B:$I,3,FALSE()),IF($E965="Patty Cash",VLOOKUP($C965,'Patty Cash'!$B:$J,3,FALSE()),"")))),"")</f>
        <v/>
      </c>
      <c r="G965" s="374"/>
      <c r="H965" s="374" t="str">
        <f t="shared" si="30"/>
        <v/>
      </c>
      <c r="I965" s="252">
        <f>IFERROR(IF($E965="Inventory",VLOOKUP($C965,Inventory!$B:$I,8,FALSE()),IF($E965="Non Inventory",VLOOKUP($C965,'Non Inventory'!$B:$I,8,FALSE()),IF($E965="Services",VLOOKUP($C965,Services!$B:$I,8,FALSE()),IF($E965="Patty Cash",VLOOKUP($C965,'Patty Cash'!$B:$J,8,FALSE()),0)))),0)</f>
        <v>0</v>
      </c>
      <c r="J965" s="252" t="str">
        <f t="shared" si="31"/>
        <v/>
      </c>
      <c r="K965" s="253"/>
      <c r="L965" s="253"/>
      <c r="M965" s="253"/>
      <c r="N965" s="328"/>
    </row>
    <row r="966" spans="1:14" ht="20.100000000000001" customHeight="1">
      <c r="A966" s="327" t="str">
        <f>IF(AND($B966="",$C966=""),"",MAX($A$3:A965)+1)</f>
        <v/>
      </c>
      <c r="B966" s="262"/>
      <c r="C966" s="253"/>
      <c r="D966" s="249" t="str">
        <f>IFERROR(IF($E966="Inventory",VLOOKUP($C966,Inventory!$B:$I,2,FALSE()),IF($E966="Non Inventory",VLOOKUP($C966,'Non Inventory'!$B:$I,2,FALSE()),IF($E966="Services",VLOOKUP($C966,Services!$B:$I,2,FALSE()),IF($E966="Patty Cash",VLOOKUP($C966,'Patty Cash'!$B:$J,2,FALSE()),"")))),"")</f>
        <v/>
      </c>
      <c r="E966" s="254"/>
      <c r="F966" s="263" t="str">
        <f>IFERROR(IF($E966="Inventory",VLOOKUP($C966,Inventory!$B:$I,3,FALSE()),IF($E966="Non Inventory",VLOOKUP($C966,'Non Inventory'!$B:$I,3,FALSE()),IF($E966="Services",VLOOKUP($C966,Services!$B:$I,3,FALSE()),IF($E966="Patty Cash",VLOOKUP($C966,'Patty Cash'!$B:$J,3,FALSE()),"")))),"")</f>
        <v/>
      </c>
      <c r="G966" s="374"/>
      <c r="H966" s="374" t="str">
        <f t="shared" si="30"/>
        <v/>
      </c>
      <c r="I966" s="252">
        <f>IFERROR(IF($E966="Inventory",VLOOKUP($C966,Inventory!$B:$I,8,FALSE()),IF($E966="Non Inventory",VLOOKUP($C966,'Non Inventory'!$B:$I,8,FALSE()),IF($E966="Services",VLOOKUP($C966,Services!$B:$I,8,FALSE()),IF($E966="Patty Cash",VLOOKUP($C966,'Patty Cash'!$B:$J,8,FALSE()),0)))),0)</f>
        <v>0</v>
      </c>
      <c r="J966" s="252" t="str">
        <f t="shared" si="31"/>
        <v/>
      </c>
      <c r="K966" s="253"/>
      <c r="L966" s="253"/>
      <c r="M966" s="253"/>
      <c r="N966" s="328"/>
    </row>
    <row r="967" spans="1:14" ht="20.100000000000001" customHeight="1">
      <c r="A967" s="327" t="str">
        <f>IF(AND($B967="",$C967=""),"",MAX($A$3:A966)+1)</f>
        <v/>
      </c>
      <c r="B967" s="262"/>
      <c r="C967" s="253"/>
      <c r="D967" s="249" t="str">
        <f>IFERROR(IF($E967="Inventory",VLOOKUP($C967,Inventory!$B:$I,2,FALSE()),IF($E967="Non Inventory",VLOOKUP($C967,'Non Inventory'!$B:$I,2,FALSE()),IF($E967="Services",VLOOKUP($C967,Services!$B:$I,2,FALSE()),IF($E967="Patty Cash",VLOOKUP($C967,'Patty Cash'!$B:$J,2,FALSE()),"")))),"")</f>
        <v/>
      </c>
      <c r="E967" s="254"/>
      <c r="F967" s="263" t="str">
        <f>IFERROR(IF($E967="Inventory",VLOOKUP($C967,Inventory!$B:$I,3,FALSE()),IF($E967="Non Inventory",VLOOKUP($C967,'Non Inventory'!$B:$I,3,FALSE()),IF($E967="Services",VLOOKUP($C967,Services!$B:$I,3,FALSE()),IF($E967="Patty Cash",VLOOKUP($C967,'Patty Cash'!$B:$J,3,FALSE()),"")))),"")</f>
        <v/>
      </c>
      <c r="G967" s="374"/>
      <c r="H967" s="374" t="str">
        <f t="shared" si="30"/>
        <v/>
      </c>
      <c r="I967" s="252">
        <f>IFERROR(IF($E967="Inventory",VLOOKUP($C967,Inventory!$B:$I,8,FALSE()),IF($E967="Non Inventory",VLOOKUP($C967,'Non Inventory'!$B:$I,8,FALSE()),IF($E967="Services",VLOOKUP($C967,Services!$B:$I,8,FALSE()),IF($E967="Patty Cash",VLOOKUP($C967,'Patty Cash'!$B:$J,8,FALSE()),0)))),0)</f>
        <v>0</v>
      </c>
      <c r="J967" s="252" t="str">
        <f t="shared" si="31"/>
        <v/>
      </c>
      <c r="K967" s="253"/>
      <c r="L967" s="253"/>
      <c r="M967" s="253"/>
      <c r="N967" s="328"/>
    </row>
    <row r="968" spans="1:14" ht="20.100000000000001" customHeight="1">
      <c r="A968" s="327" t="str">
        <f>IF(AND($B968="",$C968=""),"",MAX($A$3:A967)+1)</f>
        <v/>
      </c>
      <c r="B968" s="262"/>
      <c r="C968" s="253"/>
      <c r="D968" s="249" t="str">
        <f>IFERROR(IF($E968="Inventory",VLOOKUP($C968,Inventory!$B:$I,2,FALSE()),IF($E968="Non Inventory",VLOOKUP($C968,'Non Inventory'!$B:$I,2,FALSE()),IF($E968="Services",VLOOKUP($C968,Services!$B:$I,2,FALSE()),IF($E968="Patty Cash",VLOOKUP($C968,'Patty Cash'!$B:$J,2,FALSE()),"")))),"")</f>
        <v/>
      </c>
      <c r="E968" s="254"/>
      <c r="F968" s="263" t="str">
        <f>IFERROR(IF($E968="Inventory",VLOOKUP($C968,Inventory!$B:$I,3,FALSE()),IF($E968="Non Inventory",VLOOKUP($C968,'Non Inventory'!$B:$I,3,FALSE()),IF($E968="Services",VLOOKUP($C968,Services!$B:$I,3,FALSE()),IF($E968="Patty Cash",VLOOKUP($C968,'Patty Cash'!$B:$J,3,FALSE()),"")))),"")</f>
        <v/>
      </c>
      <c r="G968" s="374"/>
      <c r="H968" s="374" t="str">
        <f t="shared" si="30"/>
        <v/>
      </c>
      <c r="I968" s="252">
        <f>IFERROR(IF($E968="Inventory",VLOOKUP($C968,Inventory!$B:$I,8,FALSE()),IF($E968="Non Inventory",VLOOKUP($C968,'Non Inventory'!$B:$I,8,FALSE()),IF($E968="Services",VLOOKUP($C968,Services!$B:$I,8,FALSE()),IF($E968="Patty Cash",VLOOKUP($C968,'Patty Cash'!$B:$J,8,FALSE()),0)))),0)</f>
        <v>0</v>
      </c>
      <c r="J968" s="252" t="str">
        <f t="shared" si="31"/>
        <v/>
      </c>
      <c r="K968" s="253"/>
      <c r="L968" s="253"/>
      <c r="M968" s="253"/>
      <c r="N968" s="328"/>
    </row>
    <row r="969" spans="1:14" ht="20.100000000000001" customHeight="1">
      <c r="A969" s="327" t="str">
        <f>IF(AND($B969="",$C969=""),"",MAX($A$3:A968)+1)</f>
        <v/>
      </c>
      <c r="B969" s="262"/>
      <c r="C969" s="253"/>
      <c r="D969" s="249" t="str">
        <f>IFERROR(IF($E969="Inventory",VLOOKUP($C969,Inventory!$B:$I,2,FALSE()),IF($E969="Non Inventory",VLOOKUP($C969,'Non Inventory'!$B:$I,2,FALSE()),IF($E969="Services",VLOOKUP($C969,Services!$B:$I,2,FALSE()),IF($E969="Patty Cash",VLOOKUP($C969,'Patty Cash'!$B:$J,2,FALSE()),"")))),"")</f>
        <v/>
      </c>
      <c r="E969" s="254"/>
      <c r="F969" s="263" t="str">
        <f>IFERROR(IF($E969="Inventory",VLOOKUP($C969,Inventory!$B:$I,3,FALSE()),IF($E969="Non Inventory",VLOOKUP($C969,'Non Inventory'!$B:$I,3,FALSE()),IF($E969="Services",VLOOKUP($C969,Services!$B:$I,3,FALSE()),IF($E969="Patty Cash",VLOOKUP($C969,'Patty Cash'!$B:$J,3,FALSE()),"")))),"")</f>
        <v/>
      </c>
      <c r="G969" s="374"/>
      <c r="H969" s="374" t="str">
        <f t="shared" si="30"/>
        <v/>
      </c>
      <c r="I969" s="252">
        <f>IFERROR(IF($E969="Inventory",VLOOKUP($C969,Inventory!$B:$I,8,FALSE()),IF($E969="Non Inventory",VLOOKUP($C969,'Non Inventory'!$B:$I,8,FALSE()),IF($E969="Services",VLOOKUP($C969,Services!$B:$I,8,FALSE()),IF($E969="Patty Cash",VLOOKUP($C969,'Patty Cash'!$B:$J,8,FALSE()),0)))),0)</f>
        <v>0</v>
      </c>
      <c r="J969" s="252" t="str">
        <f t="shared" si="31"/>
        <v/>
      </c>
      <c r="K969" s="253"/>
      <c r="L969" s="253"/>
      <c r="M969" s="253"/>
      <c r="N969" s="328"/>
    </row>
    <row r="970" spans="1:14" ht="20.100000000000001" customHeight="1">
      <c r="A970" s="327" t="str">
        <f>IF(AND($B970="",$C970=""),"",MAX($A$3:A969)+1)</f>
        <v/>
      </c>
      <c r="B970" s="262"/>
      <c r="C970" s="253"/>
      <c r="D970" s="249" t="str">
        <f>IFERROR(IF($E970="Inventory",VLOOKUP($C970,Inventory!$B:$I,2,FALSE()),IF($E970="Non Inventory",VLOOKUP($C970,'Non Inventory'!$B:$I,2,FALSE()),IF($E970="Services",VLOOKUP($C970,Services!$B:$I,2,FALSE()),IF($E970="Patty Cash",VLOOKUP($C970,'Patty Cash'!$B:$J,2,FALSE()),"")))),"")</f>
        <v/>
      </c>
      <c r="E970" s="254"/>
      <c r="F970" s="263" t="str">
        <f>IFERROR(IF($E970="Inventory",VLOOKUP($C970,Inventory!$B:$I,3,FALSE()),IF($E970="Non Inventory",VLOOKUP($C970,'Non Inventory'!$B:$I,3,FALSE()),IF($E970="Services",VLOOKUP($C970,Services!$B:$I,3,FALSE()),IF($E970="Patty Cash",VLOOKUP($C970,'Patty Cash'!$B:$J,3,FALSE()),"")))),"")</f>
        <v/>
      </c>
      <c r="G970" s="374"/>
      <c r="H970" s="374" t="str">
        <f t="shared" si="30"/>
        <v/>
      </c>
      <c r="I970" s="252">
        <f>IFERROR(IF($E970="Inventory",VLOOKUP($C970,Inventory!$B:$I,8,FALSE()),IF($E970="Non Inventory",VLOOKUP($C970,'Non Inventory'!$B:$I,8,FALSE()),IF($E970="Services",VLOOKUP($C970,Services!$B:$I,8,FALSE()),IF($E970="Patty Cash",VLOOKUP($C970,'Patty Cash'!$B:$J,8,FALSE()),0)))),0)</f>
        <v>0</v>
      </c>
      <c r="J970" s="252" t="str">
        <f t="shared" si="31"/>
        <v/>
      </c>
      <c r="K970" s="253"/>
      <c r="L970" s="253"/>
      <c r="M970" s="253"/>
      <c r="N970" s="328"/>
    </row>
    <row r="971" spans="1:14" ht="20.100000000000001" customHeight="1">
      <c r="A971" s="327" t="str">
        <f>IF(AND($B971="",$C971=""),"",MAX($A$3:A970)+1)</f>
        <v/>
      </c>
      <c r="B971" s="262"/>
      <c r="C971" s="253"/>
      <c r="D971" s="249" t="str">
        <f>IFERROR(IF($E971="Inventory",VLOOKUP($C971,Inventory!$B:$I,2,FALSE()),IF($E971="Non Inventory",VLOOKUP($C971,'Non Inventory'!$B:$I,2,FALSE()),IF($E971="Services",VLOOKUP($C971,Services!$B:$I,2,FALSE()),IF($E971="Patty Cash",VLOOKUP($C971,'Patty Cash'!$B:$J,2,FALSE()),"")))),"")</f>
        <v/>
      </c>
      <c r="E971" s="254"/>
      <c r="F971" s="263" t="str">
        <f>IFERROR(IF($E971="Inventory",VLOOKUP($C971,Inventory!$B:$I,3,FALSE()),IF($E971="Non Inventory",VLOOKUP($C971,'Non Inventory'!$B:$I,3,FALSE()),IF($E971="Services",VLOOKUP($C971,Services!$B:$I,3,FALSE()),IF($E971="Patty Cash",VLOOKUP($C971,'Patty Cash'!$B:$J,3,FALSE()),"")))),"")</f>
        <v/>
      </c>
      <c r="G971" s="374"/>
      <c r="H971" s="374" t="str">
        <f t="shared" si="30"/>
        <v/>
      </c>
      <c r="I971" s="252">
        <f>IFERROR(IF($E971="Inventory",VLOOKUP($C971,Inventory!$B:$I,8,FALSE()),IF($E971="Non Inventory",VLOOKUP($C971,'Non Inventory'!$B:$I,8,FALSE()),IF($E971="Services",VLOOKUP($C971,Services!$B:$I,8,FALSE()),IF($E971="Patty Cash",VLOOKUP($C971,'Patty Cash'!$B:$J,8,FALSE()),0)))),0)</f>
        <v>0</v>
      </c>
      <c r="J971" s="252" t="str">
        <f t="shared" si="31"/>
        <v/>
      </c>
      <c r="K971" s="253"/>
      <c r="L971" s="253"/>
      <c r="M971" s="253"/>
      <c r="N971" s="328"/>
    </row>
    <row r="972" spans="1:14" ht="20.100000000000001" customHeight="1">
      <c r="A972" s="327" t="str">
        <f>IF(AND($B972="",$C972=""),"",MAX($A$3:A971)+1)</f>
        <v/>
      </c>
      <c r="B972" s="262"/>
      <c r="C972" s="253"/>
      <c r="D972" s="249" t="str">
        <f>IFERROR(IF($E972="Inventory",VLOOKUP($C972,Inventory!$B:$I,2,FALSE()),IF($E972="Non Inventory",VLOOKUP($C972,'Non Inventory'!$B:$I,2,FALSE()),IF($E972="Services",VLOOKUP($C972,Services!$B:$I,2,FALSE()),IF($E972="Patty Cash",VLOOKUP($C972,'Patty Cash'!$B:$J,2,FALSE()),"")))),"")</f>
        <v/>
      </c>
      <c r="E972" s="254"/>
      <c r="F972" s="263" t="str">
        <f>IFERROR(IF($E972="Inventory",VLOOKUP($C972,Inventory!$B:$I,3,FALSE()),IF($E972="Non Inventory",VLOOKUP($C972,'Non Inventory'!$B:$I,3,FALSE()),IF($E972="Services",VLOOKUP($C972,Services!$B:$I,3,FALSE()),IF($E972="Patty Cash",VLOOKUP($C972,'Patty Cash'!$B:$J,3,FALSE()),"")))),"")</f>
        <v/>
      </c>
      <c r="G972" s="374"/>
      <c r="H972" s="374" t="str">
        <f t="shared" si="30"/>
        <v/>
      </c>
      <c r="I972" s="252">
        <f>IFERROR(IF($E972="Inventory",VLOOKUP($C972,Inventory!$B:$I,8,FALSE()),IF($E972="Non Inventory",VLOOKUP($C972,'Non Inventory'!$B:$I,8,FALSE()),IF($E972="Services",VLOOKUP($C972,Services!$B:$I,8,FALSE()),IF($E972="Patty Cash",VLOOKUP($C972,'Patty Cash'!$B:$J,8,FALSE()),0)))),0)</f>
        <v>0</v>
      </c>
      <c r="J972" s="252" t="str">
        <f t="shared" si="31"/>
        <v/>
      </c>
      <c r="K972" s="253"/>
      <c r="L972" s="253"/>
      <c r="M972" s="253"/>
      <c r="N972" s="328"/>
    </row>
    <row r="973" spans="1:14" ht="20.100000000000001" customHeight="1">
      <c r="A973" s="327" t="str">
        <f>IF(AND($B973="",$C973=""),"",MAX($A$3:A972)+1)</f>
        <v/>
      </c>
      <c r="B973" s="262"/>
      <c r="C973" s="253"/>
      <c r="D973" s="249" t="str">
        <f>IFERROR(IF($E973="Inventory",VLOOKUP($C973,Inventory!$B:$I,2,FALSE()),IF($E973="Non Inventory",VLOOKUP($C973,'Non Inventory'!$B:$I,2,FALSE()),IF($E973="Services",VLOOKUP($C973,Services!$B:$I,2,FALSE()),IF($E973="Patty Cash",VLOOKUP($C973,'Patty Cash'!$B:$J,2,FALSE()),"")))),"")</f>
        <v/>
      </c>
      <c r="E973" s="254"/>
      <c r="F973" s="263" t="str">
        <f>IFERROR(IF($E973="Inventory",VLOOKUP($C973,Inventory!$B:$I,3,FALSE()),IF($E973="Non Inventory",VLOOKUP($C973,'Non Inventory'!$B:$I,3,FALSE()),IF($E973="Services",VLOOKUP($C973,Services!$B:$I,3,FALSE()),IF($E973="Patty Cash",VLOOKUP($C973,'Patty Cash'!$B:$J,3,FALSE()),"")))),"")</f>
        <v/>
      </c>
      <c r="G973" s="374"/>
      <c r="H973" s="374" t="str">
        <f t="shared" si="30"/>
        <v/>
      </c>
      <c r="I973" s="252">
        <f>IFERROR(IF($E973="Inventory",VLOOKUP($C973,Inventory!$B:$I,8,FALSE()),IF($E973="Non Inventory",VLOOKUP($C973,'Non Inventory'!$B:$I,8,FALSE()),IF($E973="Services",VLOOKUP($C973,Services!$B:$I,8,FALSE()),IF($E973="Patty Cash",VLOOKUP($C973,'Patty Cash'!$B:$J,8,FALSE()),0)))),0)</f>
        <v>0</v>
      </c>
      <c r="J973" s="252" t="str">
        <f t="shared" si="31"/>
        <v/>
      </c>
      <c r="K973" s="253"/>
      <c r="L973" s="253"/>
      <c r="M973" s="253"/>
      <c r="N973" s="328"/>
    </row>
    <row r="974" spans="1:14" ht="20.100000000000001" customHeight="1">
      <c r="A974" s="327" t="str">
        <f>IF(AND($B974="",$C974=""),"",MAX($A$3:A973)+1)</f>
        <v/>
      </c>
      <c r="B974" s="262"/>
      <c r="C974" s="253"/>
      <c r="D974" s="249" t="str">
        <f>IFERROR(IF($E974="Inventory",VLOOKUP($C974,Inventory!$B:$I,2,FALSE()),IF($E974="Non Inventory",VLOOKUP($C974,'Non Inventory'!$B:$I,2,FALSE()),IF($E974="Services",VLOOKUP($C974,Services!$B:$I,2,FALSE()),IF($E974="Patty Cash",VLOOKUP($C974,'Patty Cash'!$B:$J,2,FALSE()),"")))),"")</f>
        <v/>
      </c>
      <c r="E974" s="254"/>
      <c r="F974" s="263" t="str">
        <f>IFERROR(IF($E974="Inventory",VLOOKUP($C974,Inventory!$B:$I,3,FALSE()),IF($E974="Non Inventory",VLOOKUP($C974,'Non Inventory'!$B:$I,3,FALSE()),IF($E974="Services",VLOOKUP($C974,Services!$B:$I,3,FALSE()),IF($E974="Patty Cash",VLOOKUP($C974,'Patty Cash'!$B:$J,3,FALSE()),"")))),"")</f>
        <v/>
      </c>
      <c r="G974" s="374"/>
      <c r="H974" s="374" t="str">
        <f t="shared" si="30"/>
        <v/>
      </c>
      <c r="I974" s="252">
        <f>IFERROR(IF($E974="Inventory",VLOOKUP($C974,Inventory!$B:$I,8,FALSE()),IF($E974="Non Inventory",VLOOKUP($C974,'Non Inventory'!$B:$I,8,FALSE()),IF($E974="Services",VLOOKUP($C974,Services!$B:$I,8,FALSE()),IF($E974="Patty Cash",VLOOKUP($C974,'Patty Cash'!$B:$J,8,FALSE()),0)))),0)</f>
        <v>0</v>
      </c>
      <c r="J974" s="252" t="str">
        <f t="shared" si="31"/>
        <v/>
      </c>
      <c r="K974" s="253"/>
      <c r="L974" s="253"/>
      <c r="M974" s="253"/>
      <c r="N974" s="328"/>
    </row>
    <row r="975" spans="1:14" ht="20.100000000000001" customHeight="1">
      <c r="A975" s="327" t="str">
        <f>IF(AND($B975="",$C975=""),"",MAX($A$3:A974)+1)</f>
        <v/>
      </c>
      <c r="B975" s="262"/>
      <c r="C975" s="253"/>
      <c r="D975" s="249" t="str">
        <f>IFERROR(IF($E975="Inventory",VLOOKUP($C975,Inventory!$B:$I,2,FALSE()),IF($E975="Non Inventory",VLOOKUP($C975,'Non Inventory'!$B:$I,2,FALSE()),IF($E975="Services",VLOOKUP($C975,Services!$B:$I,2,FALSE()),IF($E975="Patty Cash",VLOOKUP($C975,'Patty Cash'!$B:$J,2,FALSE()),"")))),"")</f>
        <v/>
      </c>
      <c r="E975" s="254"/>
      <c r="F975" s="263" t="str">
        <f>IFERROR(IF($E975="Inventory",VLOOKUP($C975,Inventory!$B:$I,3,FALSE()),IF($E975="Non Inventory",VLOOKUP($C975,'Non Inventory'!$B:$I,3,FALSE()),IF($E975="Services",VLOOKUP($C975,Services!$B:$I,3,FALSE()),IF($E975="Patty Cash",VLOOKUP($C975,'Patty Cash'!$B:$J,3,FALSE()),"")))),"")</f>
        <v/>
      </c>
      <c r="G975" s="374"/>
      <c r="H975" s="374" t="str">
        <f t="shared" si="30"/>
        <v/>
      </c>
      <c r="I975" s="252">
        <f>IFERROR(IF($E975="Inventory",VLOOKUP($C975,Inventory!$B:$I,8,FALSE()),IF($E975="Non Inventory",VLOOKUP($C975,'Non Inventory'!$B:$I,8,FALSE()),IF($E975="Services",VLOOKUP($C975,Services!$B:$I,8,FALSE()),IF($E975="Patty Cash",VLOOKUP($C975,'Patty Cash'!$B:$J,8,FALSE()),0)))),0)</f>
        <v>0</v>
      </c>
      <c r="J975" s="252" t="str">
        <f t="shared" si="31"/>
        <v/>
      </c>
      <c r="K975" s="253"/>
      <c r="L975" s="253"/>
      <c r="M975" s="253"/>
      <c r="N975" s="328"/>
    </row>
    <row r="976" spans="1:14" ht="20.100000000000001" customHeight="1">
      <c r="A976" s="327" t="str">
        <f>IF(AND($B976="",$C976=""),"",MAX($A$3:A975)+1)</f>
        <v/>
      </c>
      <c r="B976" s="262"/>
      <c r="C976" s="253"/>
      <c r="D976" s="249" t="str">
        <f>IFERROR(IF($E976="Inventory",VLOOKUP($C976,Inventory!$B:$I,2,FALSE()),IF($E976="Non Inventory",VLOOKUP($C976,'Non Inventory'!$B:$I,2,FALSE()),IF($E976="Services",VLOOKUP($C976,Services!$B:$I,2,FALSE()),IF($E976="Patty Cash",VLOOKUP($C976,'Patty Cash'!$B:$J,2,FALSE()),"")))),"")</f>
        <v/>
      </c>
      <c r="E976" s="254"/>
      <c r="F976" s="263" t="str">
        <f>IFERROR(IF($E976="Inventory",VLOOKUP($C976,Inventory!$B:$I,3,FALSE()),IF($E976="Non Inventory",VLOOKUP($C976,'Non Inventory'!$B:$I,3,FALSE()),IF($E976="Services",VLOOKUP($C976,Services!$B:$I,3,FALSE()),IF($E976="Patty Cash",VLOOKUP($C976,'Patty Cash'!$B:$J,3,FALSE()),"")))),"")</f>
        <v/>
      </c>
      <c r="G976" s="374"/>
      <c r="H976" s="374" t="str">
        <f t="shared" si="30"/>
        <v/>
      </c>
      <c r="I976" s="252">
        <f>IFERROR(IF($E976="Inventory",VLOOKUP($C976,Inventory!$B:$I,8,FALSE()),IF($E976="Non Inventory",VLOOKUP($C976,'Non Inventory'!$B:$I,8,FALSE()),IF($E976="Services",VLOOKUP($C976,Services!$B:$I,8,FALSE()),IF($E976="Patty Cash",VLOOKUP($C976,'Patty Cash'!$B:$J,8,FALSE()),0)))),0)</f>
        <v>0</v>
      </c>
      <c r="J976" s="252" t="str">
        <f t="shared" si="31"/>
        <v/>
      </c>
      <c r="K976" s="253"/>
      <c r="L976" s="253"/>
      <c r="M976" s="253"/>
      <c r="N976" s="328"/>
    </row>
    <row r="977" spans="1:14" ht="20.100000000000001" customHeight="1">
      <c r="A977" s="327" t="str">
        <f>IF(AND($B977="",$C977=""),"",MAX($A$3:A976)+1)</f>
        <v/>
      </c>
      <c r="B977" s="262"/>
      <c r="C977" s="253"/>
      <c r="D977" s="249" t="str">
        <f>IFERROR(IF($E977="Inventory",VLOOKUP($C977,Inventory!$B:$I,2,FALSE()),IF($E977="Non Inventory",VLOOKUP($C977,'Non Inventory'!$B:$I,2,FALSE()),IF($E977="Services",VLOOKUP($C977,Services!$B:$I,2,FALSE()),IF($E977="Patty Cash",VLOOKUP($C977,'Patty Cash'!$B:$J,2,FALSE()),"")))),"")</f>
        <v/>
      </c>
      <c r="E977" s="254"/>
      <c r="F977" s="263" t="str">
        <f>IFERROR(IF($E977="Inventory",VLOOKUP($C977,Inventory!$B:$I,3,FALSE()),IF($E977="Non Inventory",VLOOKUP($C977,'Non Inventory'!$B:$I,3,FALSE()),IF($E977="Services",VLOOKUP($C977,Services!$B:$I,3,FALSE()),IF($E977="Patty Cash",VLOOKUP($C977,'Patty Cash'!$B:$J,3,FALSE()),"")))),"")</f>
        <v/>
      </c>
      <c r="G977" s="374"/>
      <c r="H977" s="374" t="str">
        <f t="shared" si="30"/>
        <v/>
      </c>
      <c r="I977" s="252">
        <f>IFERROR(IF($E977="Inventory",VLOOKUP($C977,Inventory!$B:$I,8,FALSE()),IF($E977="Non Inventory",VLOOKUP($C977,'Non Inventory'!$B:$I,8,FALSE()),IF($E977="Services",VLOOKUP($C977,Services!$B:$I,8,FALSE()),IF($E977="Patty Cash",VLOOKUP($C977,'Patty Cash'!$B:$J,8,FALSE()),0)))),0)</f>
        <v>0</v>
      </c>
      <c r="J977" s="252" t="str">
        <f t="shared" si="31"/>
        <v/>
      </c>
      <c r="K977" s="253"/>
      <c r="L977" s="253"/>
      <c r="M977" s="253"/>
      <c r="N977" s="328"/>
    </row>
    <row r="978" spans="1:14" ht="20.100000000000001" customHeight="1">
      <c r="A978" s="327" t="str">
        <f>IF(AND($B978="",$C978=""),"",MAX($A$3:A977)+1)</f>
        <v/>
      </c>
      <c r="B978" s="262"/>
      <c r="C978" s="253"/>
      <c r="D978" s="249" t="str">
        <f>IFERROR(IF($E978="Inventory",VLOOKUP($C978,Inventory!$B:$I,2,FALSE()),IF($E978="Non Inventory",VLOOKUP($C978,'Non Inventory'!$B:$I,2,FALSE()),IF($E978="Services",VLOOKUP($C978,Services!$B:$I,2,FALSE()),IF($E978="Patty Cash",VLOOKUP($C978,'Patty Cash'!$B:$J,2,FALSE()),"")))),"")</f>
        <v/>
      </c>
      <c r="E978" s="254"/>
      <c r="F978" s="263" t="str">
        <f>IFERROR(IF($E978="Inventory",VLOOKUP($C978,Inventory!$B:$I,3,FALSE()),IF($E978="Non Inventory",VLOOKUP($C978,'Non Inventory'!$B:$I,3,FALSE()),IF($E978="Services",VLOOKUP($C978,Services!$B:$I,3,FALSE()),IF($E978="Patty Cash",VLOOKUP($C978,'Patty Cash'!$B:$J,3,FALSE()),"")))),"")</f>
        <v/>
      </c>
      <c r="G978" s="374"/>
      <c r="H978" s="374" t="str">
        <f t="shared" si="30"/>
        <v/>
      </c>
      <c r="I978" s="252">
        <f>IFERROR(IF($E978="Inventory",VLOOKUP($C978,Inventory!$B:$I,8,FALSE()),IF($E978="Non Inventory",VLOOKUP($C978,'Non Inventory'!$B:$I,8,FALSE()),IF($E978="Services",VLOOKUP($C978,Services!$B:$I,8,FALSE()),IF($E978="Patty Cash",VLOOKUP($C978,'Patty Cash'!$B:$J,8,FALSE()),0)))),0)</f>
        <v>0</v>
      </c>
      <c r="J978" s="252" t="str">
        <f t="shared" si="31"/>
        <v/>
      </c>
      <c r="K978" s="253"/>
      <c r="L978" s="253"/>
      <c r="M978" s="253"/>
      <c r="N978" s="328"/>
    </row>
    <row r="979" spans="1:14" ht="20.100000000000001" customHeight="1">
      <c r="A979" s="327" t="str">
        <f>IF(AND($B979="",$C979=""),"",MAX($A$3:A978)+1)</f>
        <v/>
      </c>
      <c r="B979" s="262"/>
      <c r="C979" s="253"/>
      <c r="D979" s="249" t="str">
        <f>IFERROR(IF($E979="Inventory",VLOOKUP($C979,Inventory!$B:$I,2,FALSE()),IF($E979="Non Inventory",VLOOKUP($C979,'Non Inventory'!$B:$I,2,FALSE()),IF($E979="Services",VLOOKUP($C979,Services!$B:$I,2,FALSE()),IF($E979="Patty Cash",VLOOKUP($C979,'Patty Cash'!$B:$J,2,FALSE()),"")))),"")</f>
        <v/>
      </c>
      <c r="E979" s="254"/>
      <c r="F979" s="263" t="str">
        <f>IFERROR(IF($E979="Inventory",VLOOKUP($C979,Inventory!$B:$I,3,FALSE()),IF($E979="Non Inventory",VLOOKUP($C979,'Non Inventory'!$B:$I,3,FALSE()),IF($E979="Services",VLOOKUP($C979,Services!$B:$I,3,FALSE()),IF($E979="Patty Cash",VLOOKUP($C979,'Patty Cash'!$B:$J,3,FALSE()),"")))),"")</f>
        <v/>
      </c>
      <c r="G979" s="374"/>
      <c r="H979" s="374" t="str">
        <f t="shared" si="30"/>
        <v/>
      </c>
      <c r="I979" s="252">
        <f>IFERROR(IF($E979="Inventory",VLOOKUP($C979,Inventory!$B:$I,8,FALSE()),IF($E979="Non Inventory",VLOOKUP($C979,'Non Inventory'!$B:$I,8,FALSE()),IF($E979="Services",VLOOKUP($C979,Services!$B:$I,8,FALSE()),IF($E979="Patty Cash",VLOOKUP($C979,'Patty Cash'!$B:$J,8,FALSE()),0)))),0)</f>
        <v>0</v>
      </c>
      <c r="J979" s="252" t="str">
        <f t="shared" si="31"/>
        <v/>
      </c>
      <c r="K979" s="253"/>
      <c r="L979" s="253"/>
      <c r="M979" s="253"/>
      <c r="N979" s="328"/>
    </row>
    <row r="980" spans="1:14" ht="20.100000000000001" customHeight="1">
      <c r="A980" s="327" t="str">
        <f>IF(AND($B980="",$C980=""),"",MAX($A$3:A979)+1)</f>
        <v/>
      </c>
      <c r="B980" s="262"/>
      <c r="C980" s="253"/>
      <c r="D980" s="249" t="str">
        <f>IFERROR(IF($E980="Inventory",VLOOKUP($C980,Inventory!$B:$I,2,FALSE()),IF($E980="Non Inventory",VLOOKUP($C980,'Non Inventory'!$B:$I,2,FALSE()),IF($E980="Services",VLOOKUP($C980,Services!$B:$I,2,FALSE()),IF($E980="Patty Cash",VLOOKUP($C980,'Patty Cash'!$B:$J,2,FALSE()),"")))),"")</f>
        <v/>
      </c>
      <c r="E980" s="254"/>
      <c r="F980" s="263" t="str">
        <f>IFERROR(IF($E980="Inventory",VLOOKUP($C980,Inventory!$B:$I,3,FALSE()),IF($E980="Non Inventory",VLOOKUP($C980,'Non Inventory'!$B:$I,3,FALSE()),IF($E980="Services",VLOOKUP($C980,Services!$B:$I,3,FALSE()),IF($E980="Patty Cash",VLOOKUP($C980,'Patty Cash'!$B:$J,3,FALSE()),"")))),"")</f>
        <v/>
      </c>
      <c r="G980" s="374"/>
      <c r="H980" s="374" t="str">
        <f t="shared" si="30"/>
        <v/>
      </c>
      <c r="I980" s="252">
        <f>IFERROR(IF($E980="Inventory",VLOOKUP($C980,Inventory!$B:$I,8,FALSE()),IF($E980="Non Inventory",VLOOKUP($C980,'Non Inventory'!$B:$I,8,FALSE()),IF($E980="Services",VLOOKUP($C980,Services!$B:$I,8,FALSE()),IF($E980="Patty Cash",VLOOKUP($C980,'Patty Cash'!$B:$J,8,FALSE()),0)))),0)</f>
        <v>0</v>
      </c>
      <c r="J980" s="252" t="str">
        <f t="shared" si="31"/>
        <v/>
      </c>
      <c r="K980" s="253"/>
      <c r="L980" s="253"/>
      <c r="M980" s="253"/>
      <c r="N980" s="328"/>
    </row>
    <row r="981" spans="1:14" ht="20.100000000000001" customHeight="1">
      <c r="A981" s="327" t="str">
        <f>IF(AND($B981="",$C981=""),"",MAX($A$3:A980)+1)</f>
        <v/>
      </c>
      <c r="B981" s="262"/>
      <c r="C981" s="253"/>
      <c r="D981" s="249" t="str">
        <f>IFERROR(IF($E981="Inventory",VLOOKUP($C981,Inventory!$B:$I,2,FALSE()),IF($E981="Non Inventory",VLOOKUP($C981,'Non Inventory'!$B:$I,2,FALSE()),IF($E981="Services",VLOOKUP($C981,Services!$B:$I,2,FALSE()),IF($E981="Patty Cash",VLOOKUP($C981,'Patty Cash'!$B:$J,2,FALSE()),"")))),"")</f>
        <v/>
      </c>
      <c r="E981" s="254"/>
      <c r="F981" s="263" t="str">
        <f>IFERROR(IF($E981="Inventory",VLOOKUP($C981,Inventory!$B:$I,3,FALSE()),IF($E981="Non Inventory",VLOOKUP($C981,'Non Inventory'!$B:$I,3,FALSE()),IF($E981="Services",VLOOKUP($C981,Services!$B:$I,3,FALSE()),IF($E981="Patty Cash",VLOOKUP($C981,'Patty Cash'!$B:$J,3,FALSE()),"")))),"")</f>
        <v/>
      </c>
      <c r="G981" s="374"/>
      <c r="H981" s="374" t="str">
        <f t="shared" si="30"/>
        <v/>
      </c>
      <c r="I981" s="252">
        <f>IFERROR(IF($E981="Inventory",VLOOKUP($C981,Inventory!$B:$I,8,FALSE()),IF($E981="Non Inventory",VLOOKUP($C981,'Non Inventory'!$B:$I,8,FALSE()),IF($E981="Services",VLOOKUP($C981,Services!$B:$I,8,FALSE()),IF($E981="Patty Cash",VLOOKUP($C981,'Patty Cash'!$B:$J,8,FALSE()),0)))),0)</f>
        <v>0</v>
      </c>
      <c r="J981" s="252" t="str">
        <f t="shared" si="31"/>
        <v/>
      </c>
      <c r="K981" s="253"/>
      <c r="L981" s="253"/>
      <c r="M981" s="253"/>
      <c r="N981" s="328"/>
    </row>
    <row r="982" spans="1:14" ht="20.100000000000001" customHeight="1">
      <c r="A982" s="327" t="str">
        <f>IF(AND($B982="",$C982=""),"",MAX($A$3:A981)+1)</f>
        <v/>
      </c>
      <c r="B982" s="262"/>
      <c r="C982" s="253"/>
      <c r="D982" s="249" t="str">
        <f>IFERROR(IF($E982="Inventory",VLOOKUP($C982,Inventory!$B:$I,2,FALSE()),IF($E982="Non Inventory",VLOOKUP($C982,'Non Inventory'!$B:$I,2,FALSE()),IF($E982="Services",VLOOKUP($C982,Services!$B:$I,2,FALSE()),IF($E982="Patty Cash",VLOOKUP($C982,'Patty Cash'!$B:$J,2,FALSE()),"")))),"")</f>
        <v/>
      </c>
      <c r="E982" s="254"/>
      <c r="F982" s="263" t="str">
        <f>IFERROR(IF($E982="Inventory",VLOOKUP($C982,Inventory!$B:$I,3,FALSE()),IF($E982="Non Inventory",VLOOKUP($C982,'Non Inventory'!$B:$I,3,FALSE()),IF($E982="Services",VLOOKUP($C982,Services!$B:$I,3,FALSE()),IF($E982="Patty Cash",VLOOKUP($C982,'Patty Cash'!$B:$J,3,FALSE()),"")))),"")</f>
        <v/>
      </c>
      <c r="G982" s="374"/>
      <c r="H982" s="374" t="str">
        <f t="shared" si="30"/>
        <v/>
      </c>
      <c r="I982" s="252">
        <f>IFERROR(IF($E982="Inventory",VLOOKUP($C982,Inventory!$B:$I,8,FALSE()),IF($E982="Non Inventory",VLOOKUP($C982,'Non Inventory'!$B:$I,8,FALSE()),IF($E982="Services",VLOOKUP($C982,Services!$B:$I,8,FALSE()),IF($E982="Patty Cash",VLOOKUP($C982,'Patty Cash'!$B:$J,8,FALSE()),0)))),0)</f>
        <v>0</v>
      </c>
      <c r="J982" s="252" t="str">
        <f t="shared" si="31"/>
        <v/>
      </c>
      <c r="K982" s="253"/>
      <c r="L982" s="253"/>
      <c r="M982" s="253"/>
      <c r="N982" s="328"/>
    </row>
    <row r="983" spans="1:14" ht="20.100000000000001" customHeight="1">
      <c r="A983" s="327" t="str">
        <f>IF(AND($B983="",$C983=""),"",MAX($A$3:A982)+1)</f>
        <v/>
      </c>
      <c r="B983" s="262"/>
      <c r="C983" s="253"/>
      <c r="D983" s="249" t="str">
        <f>IFERROR(IF($E983="Inventory",VLOOKUP($C983,Inventory!$B:$I,2,FALSE()),IF($E983="Non Inventory",VLOOKUP($C983,'Non Inventory'!$B:$I,2,FALSE()),IF($E983="Services",VLOOKUP($C983,Services!$B:$I,2,FALSE()),IF($E983="Patty Cash",VLOOKUP($C983,'Patty Cash'!$B:$J,2,FALSE()),"")))),"")</f>
        <v/>
      </c>
      <c r="E983" s="254"/>
      <c r="F983" s="263" t="str">
        <f>IFERROR(IF($E983="Inventory",VLOOKUP($C983,Inventory!$B:$I,3,FALSE()),IF($E983="Non Inventory",VLOOKUP($C983,'Non Inventory'!$B:$I,3,FALSE()),IF($E983="Services",VLOOKUP($C983,Services!$B:$I,3,FALSE()),IF($E983="Patty Cash",VLOOKUP($C983,'Patty Cash'!$B:$J,3,FALSE()),"")))),"")</f>
        <v/>
      </c>
      <c r="G983" s="374"/>
      <c r="H983" s="374" t="str">
        <f t="shared" si="30"/>
        <v/>
      </c>
      <c r="I983" s="252">
        <f>IFERROR(IF($E983="Inventory",VLOOKUP($C983,Inventory!$B:$I,8,FALSE()),IF($E983="Non Inventory",VLOOKUP($C983,'Non Inventory'!$B:$I,8,FALSE()),IF($E983="Services",VLOOKUP($C983,Services!$B:$I,8,FALSE()),IF($E983="Patty Cash",VLOOKUP($C983,'Patty Cash'!$B:$J,8,FALSE()),0)))),0)</f>
        <v>0</v>
      </c>
      <c r="J983" s="252" t="str">
        <f t="shared" si="31"/>
        <v/>
      </c>
      <c r="K983" s="253"/>
      <c r="L983" s="253"/>
      <c r="M983" s="253"/>
      <c r="N983" s="328"/>
    </row>
    <row r="984" spans="1:14" ht="20.100000000000001" customHeight="1">
      <c r="A984" s="327" t="str">
        <f>IF(AND($B984="",$C984=""),"",MAX($A$3:A983)+1)</f>
        <v/>
      </c>
      <c r="B984" s="262"/>
      <c r="C984" s="253"/>
      <c r="D984" s="249" t="str">
        <f>IFERROR(IF($E984="Inventory",VLOOKUP($C984,Inventory!$B:$I,2,FALSE()),IF($E984="Non Inventory",VLOOKUP($C984,'Non Inventory'!$B:$I,2,FALSE()),IF($E984="Services",VLOOKUP($C984,Services!$B:$I,2,FALSE()),IF($E984="Patty Cash",VLOOKUP($C984,'Patty Cash'!$B:$J,2,FALSE()),"")))),"")</f>
        <v/>
      </c>
      <c r="E984" s="254"/>
      <c r="F984" s="263" t="str">
        <f>IFERROR(IF($E984="Inventory",VLOOKUP($C984,Inventory!$B:$I,3,FALSE()),IF($E984="Non Inventory",VLOOKUP($C984,'Non Inventory'!$B:$I,3,FALSE()),IF($E984="Services",VLOOKUP($C984,Services!$B:$I,3,FALSE()),IF($E984="Patty Cash",VLOOKUP($C984,'Patty Cash'!$B:$J,3,FALSE()),"")))),"")</f>
        <v/>
      </c>
      <c r="G984" s="374"/>
      <c r="H984" s="374" t="str">
        <f t="shared" si="30"/>
        <v/>
      </c>
      <c r="I984" s="252">
        <f>IFERROR(IF($E984="Inventory",VLOOKUP($C984,Inventory!$B:$I,8,FALSE()),IF($E984="Non Inventory",VLOOKUP($C984,'Non Inventory'!$B:$I,8,FALSE()),IF($E984="Services",VLOOKUP($C984,Services!$B:$I,8,FALSE()),IF($E984="Patty Cash",VLOOKUP($C984,'Patty Cash'!$B:$J,8,FALSE()),0)))),0)</f>
        <v>0</v>
      </c>
      <c r="J984" s="252" t="str">
        <f t="shared" si="31"/>
        <v/>
      </c>
      <c r="K984" s="253"/>
      <c r="L984" s="253"/>
      <c r="M984" s="253"/>
      <c r="N984" s="328"/>
    </row>
    <row r="985" spans="1:14" ht="20.100000000000001" customHeight="1">
      <c r="A985" s="327" t="str">
        <f>IF(AND($B985="",$C985=""),"",MAX($A$3:A984)+1)</f>
        <v/>
      </c>
      <c r="B985" s="262"/>
      <c r="C985" s="253"/>
      <c r="D985" s="249" t="str">
        <f>IFERROR(IF($E985="Inventory",VLOOKUP($C985,Inventory!$B:$I,2,FALSE()),IF($E985="Non Inventory",VLOOKUP($C985,'Non Inventory'!$B:$I,2,FALSE()),IF($E985="Services",VLOOKUP($C985,Services!$B:$I,2,FALSE()),IF($E985="Patty Cash",VLOOKUP($C985,'Patty Cash'!$B:$J,2,FALSE()),"")))),"")</f>
        <v/>
      </c>
      <c r="E985" s="254"/>
      <c r="F985" s="263" t="str">
        <f>IFERROR(IF($E985="Inventory",VLOOKUP($C985,Inventory!$B:$I,3,FALSE()),IF($E985="Non Inventory",VLOOKUP($C985,'Non Inventory'!$B:$I,3,FALSE()),IF($E985="Services",VLOOKUP($C985,Services!$B:$I,3,FALSE()),IF($E985="Patty Cash",VLOOKUP($C985,'Patty Cash'!$B:$J,3,FALSE()),"")))),"")</f>
        <v/>
      </c>
      <c r="G985" s="374"/>
      <c r="H985" s="374" t="str">
        <f t="shared" si="30"/>
        <v/>
      </c>
      <c r="I985" s="252">
        <f>IFERROR(IF($E985="Inventory",VLOOKUP($C985,Inventory!$B:$I,8,FALSE()),IF($E985="Non Inventory",VLOOKUP($C985,'Non Inventory'!$B:$I,8,FALSE()),IF($E985="Services",VLOOKUP($C985,Services!$B:$I,8,FALSE()),IF($E985="Patty Cash",VLOOKUP($C985,'Patty Cash'!$B:$J,8,FALSE()),0)))),0)</f>
        <v>0</v>
      </c>
      <c r="J985" s="252" t="str">
        <f t="shared" si="31"/>
        <v/>
      </c>
      <c r="K985" s="253"/>
      <c r="L985" s="253"/>
      <c r="M985" s="253"/>
      <c r="N985" s="328"/>
    </row>
    <row r="986" spans="1:14" ht="20.100000000000001" customHeight="1">
      <c r="A986" s="327" t="str">
        <f>IF(AND($B986="",$C986=""),"",MAX($A$3:A985)+1)</f>
        <v/>
      </c>
      <c r="B986" s="262"/>
      <c r="C986" s="253"/>
      <c r="D986" s="249" t="str">
        <f>IFERROR(IF($E986="Inventory",VLOOKUP($C986,Inventory!$B:$I,2,FALSE()),IF($E986="Non Inventory",VLOOKUP($C986,'Non Inventory'!$B:$I,2,FALSE()),IF($E986="Services",VLOOKUP($C986,Services!$B:$I,2,FALSE()),IF($E986="Patty Cash",VLOOKUP($C986,'Patty Cash'!$B:$J,2,FALSE()),"")))),"")</f>
        <v/>
      </c>
      <c r="E986" s="254"/>
      <c r="F986" s="263" t="str">
        <f>IFERROR(IF($E986="Inventory",VLOOKUP($C986,Inventory!$B:$I,3,FALSE()),IF($E986="Non Inventory",VLOOKUP($C986,'Non Inventory'!$B:$I,3,FALSE()),IF($E986="Services",VLOOKUP($C986,Services!$B:$I,3,FALSE()),IF($E986="Patty Cash",VLOOKUP($C986,'Patty Cash'!$B:$J,3,FALSE()),"")))),"")</f>
        <v/>
      </c>
      <c r="G986" s="374"/>
      <c r="H986" s="374" t="str">
        <f t="shared" si="30"/>
        <v/>
      </c>
      <c r="I986" s="252">
        <f>IFERROR(IF($E986="Inventory",VLOOKUP($C986,Inventory!$B:$I,8,FALSE()),IF($E986="Non Inventory",VLOOKUP($C986,'Non Inventory'!$B:$I,8,FALSE()),IF($E986="Services",VLOOKUP($C986,Services!$B:$I,8,FALSE()),IF($E986="Patty Cash",VLOOKUP($C986,'Patty Cash'!$B:$J,8,FALSE()),0)))),0)</f>
        <v>0</v>
      </c>
      <c r="J986" s="252" t="str">
        <f t="shared" si="31"/>
        <v/>
      </c>
      <c r="K986" s="253"/>
      <c r="L986" s="253"/>
      <c r="M986" s="253"/>
      <c r="N986" s="328"/>
    </row>
    <row r="987" spans="1:14" ht="20.100000000000001" customHeight="1">
      <c r="A987" s="327" t="str">
        <f>IF(AND($B987="",$C987=""),"",MAX($A$3:A986)+1)</f>
        <v/>
      </c>
      <c r="B987" s="262"/>
      <c r="C987" s="253"/>
      <c r="D987" s="249" t="str">
        <f>IFERROR(IF($E987="Inventory",VLOOKUP($C987,Inventory!$B:$I,2,FALSE()),IF($E987="Non Inventory",VLOOKUP($C987,'Non Inventory'!$B:$I,2,FALSE()),IF($E987="Services",VLOOKUP($C987,Services!$B:$I,2,FALSE()),IF($E987="Patty Cash",VLOOKUP($C987,'Patty Cash'!$B:$J,2,FALSE()),"")))),"")</f>
        <v/>
      </c>
      <c r="E987" s="254"/>
      <c r="F987" s="263" t="str">
        <f>IFERROR(IF($E987="Inventory",VLOOKUP($C987,Inventory!$B:$I,3,FALSE()),IF($E987="Non Inventory",VLOOKUP($C987,'Non Inventory'!$B:$I,3,FALSE()),IF($E987="Services",VLOOKUP($C987,Services!$B:$I,3,FALSE()),IF($E987="Patty Cash",VLOOKUP($C987,'Patty Cash'!$B:$J,3,FALSE()),"")))),"")</f>
        <v/>
      </c>
      <c r="G987" s="374"/>
      <c r="H987" s="374" t="str">
        <f t="shared" si="30"/>
        <v/>
      </c>
      <c r="I987" s="252">
        <f>IFERROR(IF($E987="Inventory",VLOOKUP($C987,Inventory!$B:$I,8,FALSE()),IF($E987="Non Inventory",VLOOKUP($C987,'Non Inventory'!$B:$I,8,FALSE()),IF($E987="Services",VLOOKUP($C987,Services!$B:$I,8,FALSE()),IF($E987="Patty Cash",VLOOKUP($C987,'Patty Cash'!$B:$J,8,FALSE()),0)))),0)</f>
        <v>0</v>
      </c>
      <c r="J987" s="252" t="str">
        <f t="shared" si="31"/>
        <v/>
      </c>
      <c r="K987" s="253"/>
      <c r="L987" s="253"/>
      <c r="M987" s="253"/>
      <c r="N987" s="328"/>
    </row>
    <row r="988" spans="1:14" ht="20.100000000000001" customHeight="1">
      <c r="A988" s="327" t="str">
        <f>IF(AND($B988="",$C988=""),"",MAX($A$3:A987)+1)</f>
        <v/>
      </c>
      <c r="B988" s="262"/>
      <c r="C988" s="253"/>
      <c r="D988" s="249" t="str">
        <f>IFERROR(IF($E988="Inventory",VLOOKUP($C988,Inventory!$B:$I,2,FALSE()),IF($E988="Non Inventory",VLOOKUP($C988,'Non Inventory'!$B:$I,2,FALSE()),IF($E988="Services",VLOOKUP($C988,Services!$B:$I,2,FALSE()),IF($E988="Patty Cash",VLOOKUP($C988,'Patty Cash'!$B:$J,2,FALSE()),"")))),"")</f>
        <v/>
      </c>
      <c r="E988" s="254"/>
      <c r="F988" s="263" t="str">
        <f>IFERROR(IF($E988="Inventory",VLOOKUP($C988,Inventory!$B:$I,3,FALSE()),IF($E988="Non Inventory",VLOOKUP($C988,'Non Inventory'!$B:$I,3,FALSE()),IF($E988="Services",VLOOKUP($C988,Services!$B:$I,3,FALSE()),IF($E988="Patty Cash",VLOOKUP($C988,'Patty Cash'!$B:$J,3,FALSE()),"")))),"")</f>
        <v/>
      </c>
      <c r="G988" s="374"/>
      <c r="H988" s="374" t="str">
        <f t="shared" si="30"/>
        <v/>
      </c>
      <c r="I988" s="252">
        <f>IFERROR(IF($E988="Inventory",VLOOKUP($C988,Inventory!$B:$I,8,FALSE()),IF($E988="Non Inventory",VLOOKUP($C988,'Non Inventory'!$B:$I,8,FALSE()),IF($E988="Services",VLOOKUP($C988,Services!$B:$I,8,FALSE()),IF($E988="Patty Cash",VLOOKUP($C988,'Patty Cash'!$B:$J,8,FALSE()),0)))),0)</f>
        <v>0</v>
      </c>
      <c r="J988" s="252" t="str">
        <f t="shared" si="31"/>
        <v/>
      </c>
      <c r="K988" s="253"/>
      <c r="L988" s="253"/>
      <c r="M988" s="253"/>
      <c r="N988" s="328"/>
    </row>
    <row r="989" spans="1:14" ht="20.100000000000001" customHeight="1">
      <c r="A989" s="327" t="str">
        <f>IF(AND($B989="",$C989=""),"",MAX($A$3:A988)+1)</f>
        <v/>
      </c>
      <c r="B989" s="262"/>
      <c r="C989" s="253"/>
      <c r="D989" s="249" t="str">
        <f>IFERROR(IF($E989="Inventory",VLOOKUP($C989,Inventory!$B:$I,2,FALSE()),IF($E989="Non Inventory",VLOOKUP($C989,'Non Inventory'!$B:$I,2,FALSE()),IF($E989="Services",VLOOKUP($C989,Services!$B:$I,2,FALSE()),IF($E989="Patty Cash",VLOOKUP($C989,'Patty Cash'!$B:$J,2,FALSE()),"")))),"")</f>
        <v/>
      </c>
      <c r="E989" s="254"/>
      <c r="F989" s="263" t="str">
        <f>IFERROR(IF($E989="Inventory",VLOOKUP($C989,Inventory!$B:$I,3,FALSE()),IF($E989="Non Inventory",VLOOKUP($C989,'Non Inventory'!$B:$I,3,FALSE()),IF($E989="Services",VLOOKUP($C989,Services!$B:$I,3,FALSE()),IF($E989="Patty Cash",VLOOKUP($C989,'Patty Cash'!$B:$J,3,FALSE()),"")))),"")</f>
        <v/>
      </c>
      <c r="G989" s="374"/>
      <c r="H989" s="374" t="str">
        <f t="shared" si="30"/>
        <v/>
      </c>
      <c r="I989" s="252">
        <f>IFERROR(IF($E989="Inventory",VLOOKUP($C989,Inventory!$B:$I,8,FALSE()),IF($E989="Non Inventory",VLOOKUP($C989,'Non Inventory'!$B:$I,8,FALSE()),IF($E989="Services",VLOOKUP($C989,Services!$B:$I,8,FALSE()),IF($E989="Patty Cash",VLOOKUP($C989,'Patty Cash'!$B:$J,8,FALSE()),0)))),0)</f>
        <v>0</v>
      </c>
      <c r="J989" s="252" t="str">
        <f t="shared" si="31"/>
        <v/>
      </c>
      <c r="K989" s="253"/>
      <c r="L989" s="253"/>
      <c r="M989" s="253"/>
      <c r="N989" s="328"/>
    </row>
    <row r="990" spans="1:14" ht="20.100000000000001" customHeight="1">
      <c r="A990" s="327" t="str">
        <f>IF(AND($B990="",$C990=""),"",MAX($A$3:A989)+1)</f>
        <v/>
      </c>
      <c r="B990" s="262"/>
      <c r="C990" s="253"/>
      <c r="D990" s="249" t="str">
        <f>IFERROR(IF($E990="Inventory",VLOOKUP($C990,Inventory!$B:$I,2,FALSE()),IF($E990="Non Inventory",VLOOKUP($C990,'Non Inventory'!$B:$I,2,FALSE()),IF($E990="Services",VLOOKUP($C990,Services!$B:$I,2,FALSE()),IF($E990="Patty Cash",VLOOKUP($C990,'Patty Cash'!$B:$J,2,FALSE()),"")))),"")</f>
        <v/>
      </c>
      <c r="E990" s="254"/>
      <c r="F990" s="263" t="str">
        <f>IFERROR(IF($E990="Inventory",VLOOKUP($C990,Inventory!$B:$I,3,FALSE()),IF($E990="Non Inventory",VLOOKUP($C990,'Non Inventory'!$B:$I,3,FALSE()),IF($E990="Services",VLOOKUP($C990,Services!$B:$I,3,FALSE()),IF($E990="Patty Cash",VLOOKUP($C990,'Patty Cash'!$B:$J,3,FALSE()),"")))),"")</f>
        <v/>
      </c>
      <c r="G990" s="374"/>
      <c r="H990" s="374" t="str">
        <f t="shared" si="30"/>
        <v/>
      </c>
      <c r="I990" s="252">
        <f>IFERROR(IF($E990="Inventory",VLOOKUP($C990,Inventory!$B:$I,8,FALSE()),IF($E990="Non Inventory",VLOOKUP($C990,'Non Inventory'!$B:$I,8,FALSE()),IF($E990="Services",VLOOKUP($C990,Services!$B:$I,8,FALSE()),IF($E990="Patty Cash",VLOOKUP($C990,'Patty Cash'!$B:$J,8,FALSE()),0)))),0)</f>
        <v>0</v>
      </c>
      <c r="J990" s="252" t="str">
        <f t="shared" si="31"/>
        <v/>
      </c>
      <c r="K990" s="253"/>
      <c r="L990" s="253"/>
      <c r="M990" s="253"/>
      <c r="N990" s="328"/>
    </row>
    <row r="991" spans="1:14" ht="20.100000000000001" customHeight="1">
      <c r="A991" s="327" t="str">
        <f>IF(AND($B991="",$C991=""),"",MAX($A$3:A990)+1)</f>
        <v/>
      </c>
      <c r="B991" s="262"/>
      <c r="C991" s="253"/>
      <c r="D991" s="249" t="str">
        <f>IFERROR(IF($E991="Inventory",VLOOKUP($C991,Inventory!$B:$I,2,FALSE()),IF($E991="Non Inventory",VLOOKUP($C991,'Non Inventory'!$B:$I,2,FALSE()),IF($E991="Services",VLOOKUP($C991,Services!$B:$I,2,FALSE()),IF($E991="Patty Cash",VLOOKUP($C991,'Patty Cash'!$B:$J,2,FALSE()),"")))),"")</f>
        <v/>
      </c>
      <c r="E991" s="254"/>
      <c r="F991" s="263" t="str">
        <f>IFERROR(IF($E991="Inventory",VLOOKUP($C991,Inventory!$B:$I,3,FALSE()),IF($E991="Non Inventory",VLOOKUP($C991,'Non Inventory'!$B:$I,3,FALSE()),IF($E991="Services",VLOOKUP($C991,Services!$B:$I,3,FALSE()),IF($E991="Patty Cash",VLOOKUP($C991,'Patty Cash'!$B:$J,3,FALSE()),"")))),"")</f>
        <v/>
      </c>
      <c r="G991" s="374"/>
      <c r="H991" s="374" t="str">
        <f t="shared" si="30"/>
        <v/>
      </c>
      <c r="I991" s="252">
        <f>IFERROR(IF($E991="Inventory",VLOOKUP($C991,Inventory!$B:$I,8,FALSE()),IF($E991="Non Inventory",VLOOKUP($C991,'Non Inventory'!$B:$I,8,FALSE()),IF($E991="Services",VLOOKUP($C991,Services!$B:$I,8,FALSE()),IF($E991="Patty Cash",VLOOKUP($C991,'Patty Cash'!$B:$J,8,FALSE()),0)))),0)</f>
        <v>0</v>
      </c>
      <c r="J991" s="252" t="str">
        <f t="shared" si="31"/>
        <v/>
      </c>
      <c r="K991" s="253"/>
      <c r="L991" s="253"/>
      <c r="M991" s="253"/>
      <c r="N991" s="328"/>
    </row>
    <row r="992" spans="1:14" ht="20.100000000000001" customHeight="1">
      <c r="A992" s="327" t="str">
        <f>IF(AND($B992="",$C992=""),"",MAX($A$3:A991)+1)</f>
        <v/>
      </c>
      <c r="B992" s="262"/>
      <c r="C992" s="253"/>
      <c r="D992" s="249" t="str">
        <f>IFERROR(IF($E992="Inventory",VLOOKUP($C992,Inventory!$B:$I,2,FALSE()),IF($E992="Non Inventory",VLOOKUP($C992,'Non Inventory'!$B:$I,2,FALSE()),IF($E992="Services",VLOOKUP($C992,Services!$B:$I,2,FALSE()),IF($E992="Patty Cash",VLOOKUP($C992,'Patty Cash'!$B:$J,2,FALSE()),"")))),"")</f>
        <v/>
      </c>
      <c r="E992" s="254"/>
      <c r="F992" s="263" t="str">
        <f>IFERROR(IF($E992="Inventory",VLOOKUP($C992,Inventory!$B:$I,3,FALSE()),IF($E992="Non Inventory",VLOOKUP($C992,'Non Inventory'!$B:$I,3,FALSE()),IF($E992="Services",VLOOKUP($C992,Services!$B:$I,3,FALSE()),IF($E992="Patty Cash",VLOOKUP($C992,'Patty Cash'!$B:$J,3,FALSE()),"")))),"")</f>
        <v/>
      </c>
      <c r="G992" s="374"/>
      <c r="H992" s="374" t="str">
        <f t="shared" si="30"/>
        <v/>
      </c>
      <c r="I992" s="252">
        <f>IFERROR(IF($E992="Inventory",VLOOKUP($C992,Inventory!$B:$I,8,FALSE()),IF($E992="Non Inventory",VLOOKUP($C992,'Non Inventory'!$B:$I,8,FALSE()),IF($E992="Services",VLOOKUP($C992,Services!$B:$I,8,FALSE()),IF($E992="Patty Cash",VLOOKUP($C992,'Patty Cash'!$B:$J,8,FALSE()),0)))),0)</f>
        <v>0</v>
      </c>
      <c r="J992" s="252" t="str">
        <f t="shared" si="31"/>
        <v/>
      </c>
      <c r="K992" s="253"/>
      <c r="L992" s="253"/>
      <c r="M992" s="253"/>
      <c r="N992" s="328"/>
    </row>
    <row r="993" spans="1:14" ht="20.100000000000001" customHeight="1">
      <c r="A993" s="327" t="str">
        <f>IF(AND($B993="",$C993=""),"",MAX($A$3:A992)+1)</f>
        <v/>
      </c>
      <c r="B993" s="262"/>
      <c r="C993" s="253"/>
      <c r="D993" s="249" t="str">
        <f>IFERROR(IF($E993="Inventory",VLOOKUP($C993,Inventory!$B:$I,2,FALSE()),IF($E993="Non Inventory",VLOOKUP($C993,'Non Inventory'!$B:$I,2,FALSE()),IF($E993="Services",VLOOKUP($C993,Services!$B:$I,2,FALSE()),IF($E993="Patty Cash",VLOOKUP($C993,'Patty Cash'!$B:$J,2,FALSE()),"")))),"")</f>
        <v/>
      </c>
      <c r="E993" s="254"/>
      <c r="F993" s="263" t="str">
        <f>IFERROR(IF($E993="Inventory",VLOOKUP($C993,Inventory!$B:$I,3,FALSE()),IF($E993="Non Inventory",VLOOKUP($C993,'Non Inventory'!$B:$I,3,FALSE()),IF($E993="Services",VLOOKUP($C993,Services!$B:$I,3,FALSE()),IF($E993="Patty Cash",VLOOKUP($C993,'Patty Cash'!$B:$J,3,FALSE()),"")))),"")</f>
        <v/>
      </c>
      <c r="G993" s="374"/>
      <c r="H993" s="374" t="str">
        <f t="shared" si="30"/>
        <v/>
      </c>
      <c r="I993" s="252">
        <f>IFERROR(IF($E993="Inventory",VLOOKUP($C993,Inventory!$B:$I,8,FALSE()),IF($E993="Non Inventory",VLOOKUP($C993,'Non Inventory'!$B:$I,8,FALSE()),IF($E993="Services",VLOOKUP($C993,Services!$B:$I,8,FALSE()),IF($E993="Patty Cash",VLOOKUP($C993,'Patty Cash'!$B:$J,8,FALSE()),0)))),0)</f>
        <v>0</v>
      </c>
      <c r="J993" s="252" t="str">
        <f t="shared" si="31"/>
        <v/>
      </c>
      <c r="K993" s="253"/>
      <c r="L993" s="253"/>
      <c r="M993" s="253"/>
      <c r="N993" s="328"/>
    </row>
    <row r="994" spans="1:14" ht="20.100000000000001" customHeight="1">
      <c r="A994" s="327" t="str">
        <f>IF(AND($B994="",$C994=""),"",MAX($A$3:A993)+1)</f>
        <v/>
      </c>
      <c r="B994" s="262"/>
      <c r="C994" s="256"/>
      <c r="D994" s="249" t="str">
        <f>IFERROR(IF($E994="Inventory",VLOOKUP($C994,Inventory!$B:$I,2,FALSE()),IF($E994="Non Inventory",VLOOKUP($C994,'Non Inventory'!$B:$I,2,FALSE()),IF($E994="Services",VLOOKUP($C994,Services!$B:$I,2,FALSE()),IF($E994="Patty Cash",VLOOKUP($C994,'Patty Cash'!$B:$J,2,FALSE()),"")))),"")</f>
        <v/>
      </c>
      <c r="E994" s="254"/>
      <c r="F994" s="263" t="str">
        <f>IFERROR(IF($E994="Inventory",VLOOKUP($C994,Inventory!$B:$I,3,FALSE()),IF($E994="Non Inventory",VLOOKUP($C994,'Non Inventory'!$B:$I,3,FALSE()),IF($E994="Services",VLOOKUP($C994,Services!$B:$I,3,FALSE()),IF($E994="Patty Cash",VLOOKUP($C994,'Patty Cash'!$B:$J,3,FALSE()),"")))),"")</f>
        <v/>
      </c>
      <c r="G994" s="374"/>
      <c r="H994" s="374" t="str">
        <f t="shared" si="30"/>
        <v/>
      </c>
      <c r="I994" s="252">
        <f>IFERROR(IF($E994="Inventory",VLOOKUP($C994,Inventory!$B:$I,8,FALSE()),IF($E994="Non Inventory",VLOOKUP($C994,'Non Inventory'!$B:$I,8,FALSE()),IF($E994="Services",VLOOKUP($C994,Services!$B:$I,8,FALSE()),IF($E994="Patty Cash",VLOOKUP($C994,'Patty Cash'!$B:$J,8,FALSE()),0)))),0)</f>
        <v>0</v>
      </c>
      <c r="J994" s="252" t="str">
        <f t="shared" si="31"/>
        <v/>
      </c>
      <c r="K994" s="256"/>
      <c r="L994" s="256"/>
      <c r="M994" s="256"/>
      <c r="N994" s="330"/>
    </row>
    <row r="995" spans="1:14" ht="20.100000000000001" customHeight="1">
      <c r="A995" s="327"/>
      <c r="B995" s="262"/>
      <c r="C995" s="253"/>
      <c r="D995" s="257"/>
      <c r="E995" s="258"/>
      <c r="F995" s="263"/>
      <c r="G995" s="375"/>
      <c r="H995" s="375"/>
      <c r="I995" s="259"/>
      <c r="J995" s="259"/>
      <c r="K995" s="260"/>
      <c r="L995" s="260"/>
      <c r="M995" s="260"/>
      <c r="N995" s="331"/>
    </row>
  </sheetData>
  <mergeCells count="2">
    <mergeCell ref="A1:N1"/>
    <mergeCell ref="A2:N2"/>
  </mergeCells>
  <phoneticPr fontId="49" type="noConversion"/>
  <conditionalFormatting sqref="N1:N1048576">
    <cfRule type="expression" dxfId="37" priority="8">
      <formula>ISNUMBER(SEARCH("Approval Done",$N1))</formula>
    </cfRule>
  </conditionalFormatting>
  <conditionalFormatting sqref="N1:N1048576">
    <cfRule type="expression" dxfId="36" priority="9">
      <formula>ISNUMBER(SEARCH("GRN Done",$N1))</formula>
    </cfRule>
  </conditionalFormatting>
  <conditionalFormatting sqref="N1:N1048576">
    <cfRule type="expression" dxfId="35" priority="10">
      <formula>ISNUMBER(SEARCH("Pending",$N1))</formula>
    </cfRule>
  </conditionalFormatting>
  <conditionalFormatting sqref="E1:E1048576">
    <cfRule type="expression" dxfId="34" priority="11">
      <formula>$E1="Inventory"</formula>
    </cfRule>
  </conditionalFormatting>
  <conditionalFormatting sqref="E1:E1048576">
    <cfRule type="expression" dxfId="33" priority="12">
      <formula>$E1="Non Inventory"</formula>
    </cfRule>
  </conditionalFormatting>
  <conditionalFormatting sqref="E1:E1048576">
    <cfRule type="expression" dxfId="32" priority="13">
      <formula>$E1="General"</formula>
    </cfRule>
  </conditionalFormatting>
  <conditionalFormatting sqref="E1:E1048576">
    <cfRule type="expression" dxfId="31" priority="14">
      <formula>$E1="Services"</formula>
    </cfRule>
  </conditionalFormatting>
  <conditionalFormatting sqref="E1:E1048576">
    <cfRule type="expression" dxfId="30" priority="15">
      <formula>$E1="Patty Cash"</formula>
    </cfRule>
  </conditionalFormatting>
  <pageMargins left="0.7" right="0.7" top="0.75" bottom="0.75" header="0.511811023622047" footer="0.511811023622047"/>
  <pageSetup paperSize="9" orientation="portrait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List!$F$5:$F$8</xm:f>
          </x14:formula1>
          <xm:sqref>L33:L994</xm:sqref>
        </x14:dataValidation>
        <x14:dataValidation type="list" allowBlank="1" showInputMessage="1" showErrorMessage="1" xr:uid="{00000000-0002-0000-0700-000001000000}">
          <x14:formula1>
            <xm:f>List!$C$5:$C$9</xm:f>
          </x14:formula1>
          <xm:sqref>E31:E994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tabColor rgb="FF1F4E78"/>
  </sheetPr>
  <dimension ref="A1:G59"/>
  <sheetViews>
    <sheetView showGridLines="0" topLeftCell="A5" zoomScaleNormal="100" workbookViewId="0">
      <selection activeCell="B59" sqref="B59"/>
    </sheetView>
  </sheetViews>
  <sheetFormatPr defaultColWidth="8.7109375" defaultRowHeight="20.100000000000001" customHeight="1"/>
  <cols>
    <col min="1" max="1" width="3.85546875" customWidth="1"/>
    <col min="2" max="2" width="27.140625" style="10" bestFit="1" customWidth="1"/>
    <col min="3" max="3" width="13.85546875" style="10" bestFit="1" customWidth="1"/>
    <col min="4" max="4" width="9.7109375" style="2" bestFit="1" customWidth="1"/>
    <col min="5" max="5" width="10.28515625" style="2" bestFit="1" customWidth="1"/>
    <col min="6" max="6" width="16.28515625" style="2" bestFit="1" customWidth="1"/>
    <col min="7" max="7" width="14" style="3" bestFit="1" customWidth="1"/>
  </cols>
  <sheetData>
    <row r="1" spans="1:7" ht="16.5" customHeight="1" thickTop="1">
      <c r="A1" s="264"/>
      <c r="B1" s="495" t="s">
        <v>1277</v>
      </c>
      <c r="C1" s="496"/>
      <c r="D1" s="496"/>
      <c r="E1" s="496"/>
      <c r="F1" s="496"/>
      <c r="G1" s="497"/>
    </row>
    <row r="2" spans="1:7" ht="15">
      <c r="A2" s="264"/>
      <c r="B2" s="498"/>
      <c r="C2" s="499"/>
      <c r="D2" s="499"/>
      <c r="E2" s="499"/>
      <c r="F2" s="499"/>
      <c r="G2" s="500"/>
    </row>
    <row r="3" spans="1:7" ht="18.75">
      <c r="A3" s="264"/>
      <c r="B3" s="492" t="s">
        <v>1</v>
      </c>
      <c r="C3" s="493"/>
      <c r="D3" s="493"/>
      <c r="E3" s="493"/>
      <c r="F3" s="493"/>
      <c r="G3" s="494"/>
    </row>
    <row r="4" spans="1:7" ht="24" customHeight="1">
      <c r="A4" s="264"/>
      <c r="B4" s="287" t="s">
        <v>1188</v>
      </c>
      <c r="C4" s="265" t="s">
        <v>5</v>
      </c>
      <c r="D4" s="265" t="s">
        <v>1191</v>
      </c>
      <c r="E4" s="265" t="s">
        <v>1278</v>
      </c>
      <c r="F4" s="265" t="s">
        <v>1262</v>
      </c>
      <c r="G4" s="288" t="s">
        <v>1190</v>
      </c>
    </row>
    <row r="5" spans="1:7" ht="23.1" customHeight="1">
      <c r="A5" s="264"/>
      <c r="B5" s="289" t="s">
        <v>40</v>
      </c>
      <c r="C5" s="274" t="s">
        <v>6</v>
      </c>
      <c r="D5" s="267" t="s">
        <v>1195</v>
      </c>
      <c r="E5" s="268" t="s">
        <v>112</v>
      </c>
      <c r="F5" s="276" t="s">
        <v>1207</v>
      </c>
      <c r="G5" s="290" t="s">
        <v>1194</v>
      </c>
    </row>
    <row r="6" spans="1:7" ht="23.1" customHeight="1">
      <c r="A6" s="264"/>
      <c r="B6" s="291" t="s">
        <v>41</v>
      </c>
      <c r="C6" s="275" t="s">
        <v>7</v>
      </c>
      <c r="D6" s="271" t="s">
        <v>1204</v>
      </c>
      <c r="E6" s="272" t="s">
        <v>102</v>
      </c>
      <c r="F6" s="277" t="s">
        <v>1196</v>
      </c>
      <c r="G6" s="292" t="s">
        <v>1199</v>
      </c>
    </row>
    <row r="7" spans="1:7" ht="23.1" customHeight="1">
      <c r="A7" s="264"/>
      <c r="B7" s="289" t="s">
        <v>42</v>
      </c>
      <c r="C7" s="274" t="s">
        <v>1279</v>
      </c>
      <c r="D7" s="267"/>
      <c r="E7" s="268" t="s">
        <v>1046</v>
      </c>
      <c r="F7" s="276" t="s">
        <v>1320</v>
      </c>
      <c r="G7" s="290" t="s">
        <v>1232</v>
      </c>
    </row>
    <row r="8" spans="1:7" ht="23.1" customHeight="1">
      <c r="A8" s="264"/>
      <c r="B8" s="291" t="s">
        <v>43</v>
      </c>
      <c r="C8" s="275" t="s">
        <v>1280</v>
      </c>
      <c r="D8" s="271"/>
      <c r="E8" s="272" t="s">
        <v>604</v>
      </c>
      <c r="F8" s="277" t="s">
        <v>1380</v>
      </c>
      <c r="G8" s="292" t="s">
        <v>1220</v>
      </c>
    </row>
    <row r="9" spans="1:7" ht="23.1" customHeight="1">
      <c r="A9" s="264"/>
      <c r="B9" s="289" t="s">
        <v>44</v>
      </c>
      <c r="C9" s="274" t="s">
        <v>1327</v>
      </c>
      <c r="D9" s="267"/>
      <c r="E9" s="268" t="s">
        <v>672</v>
      </c>
      <c r="F9" s="269"/>
      <c r="G9" s="290" t="s">
        <v>1217</v>
      </c>
    </row>
    <row r="10" spans="1:7" ht="23.1" customHeight="1">
      <c r="A10" s="264"/>
      <c r="B10" s="291" t="s">
        <v>45</v>
      </c>
      <c r="C10" s="275"/>
      <c r="D10" s="271"/>
      <c r="E10" s="272" t="s">
        <v>1311</v>
      </c>
      <c r="F10" s="273"/>
      <c r="G10" s="292" t="s">
        <v>1209</v>
      </c>
    </row>
    <row r="11" spans="1:7" ht="23.1" customHeight="1">
      <c r="A11" s="264"/>
      <c r="B11" s="289" t="s">
        <v>46</v>
      </c>
      <c r="C11" s="266"/>
      <c r="D11" s="267"/>
      <c r="E11" s="268" t="s">
        <v>1310</v>
      </c>
      <c r="F11" s="269"/>
      <c r="G11" s="290" t="s">
        <v>1206</v>
      </c>
    </row>
    <row r="12" spans="1:7" ht="23.1" customHeight="1">
      <c r="A12" s="264"/>
      <c r="B12" s="291" t="s">
        <v>47</v>
      </c>
      <c r="C12" s="270"/>
      <c r="D12" s="271"/>
      <c r="E12" s="272" t="s">
        <v>1282</v>
      </c>
      <c r="F12" s="273"/>
      <c r="G12" s="292" t="s">
        <v>1249</v>
      </c>
    </row>
    <row r="13" spans="1:7" ht="23.1" customHeight="1">
      <c r="A13" s="264"/>
      <c r="B13" s="289" t="s">
        <v>48</v>
      </c>
      <c r="C13" s="266"/>
      <c r="D13" s="267"/>
      <c r="E13" s="268" t="s">
        <v>1283</v>
      </c>
      <c r="F13" s="269"/>
      <c r="G13" s="290" t="s">
        <v>1284</v>
      </c>
    </row>
    <row r="14" spans="1:7" ht="23.1" customHeight="1">
      <c r="A14" s="264"/>
      <c r="B14" s="291" t="s">
        <v>49</v>
      </c>
      <c r="C14" s="270"/>
      <c r="D14" s="271"/>
      <c r="E14" s="272" t="s">
        <v>1285</v>
      </c>
      <c r="F14" s="273"/>
      <c r="G14" s="292" t="s">
        <v>1223</v>
      </c>
    </row>
    <row r="15" spans="1:7" ht="23.1" customHeight="1">
      <c r="A15" s="264"/>
      <c r="B15" s="289" t="s">
        <v>50</v>
      </c>
      <c r="C15" s="266"/>
      <c r="D15" s="267"/>
      <c r="E15" s="268" t="s">
        <v>1286</v>
      </c>
      <c r="F15" s="269"/>
      <c r="G15" s="290" t="s">
        <v>1203</v>
      </c>
    </row>
    <row r="16" spans="1:7" ht="23.1" customHeight="1">
      <c r="A16" s="264"/>
      <c r="B16" s="291" t="s">
        <v>51</v>
      </c>
      <c r="C16" s="270"/>
      <c r="D16" s="271"/>
      <c r="E16" s="272" t="s">
        <v>1287</v>
      </c>
      <c r="F16" s="273"/>
      <c r="G16" s="292" t="s">
        <v>1214</v>
      </c>
    </row>
    <row r="17" spans="1:7" ht="23.1" customHeight="1">
      <c r="A17" s="264"/>
      <c r="B17" s="289" t="s">
        <v>52</v>
      </c>
      <c r="C17" s="266"/>
      <c r="D17" s="267"/>
      <c r="E17" s="268" t="s">
        <v>1288</v>
      </c>
      <c r="F17" s="269"/>
      <c r="G17" s="290" t="s">
        <v>1210</v>
      </c>
    </row>
    <row r="18" spans="1:7" ht="23.1" customHeight="1">
      <c r="A18" s="264"/>
      <c r="B18" s="291" t="s">
        <v>53</v>
      </c>
      <c r="C18" s="270"/>
      <c r="D18" s="271"/>
      <c r="E18" s="272" t="s">
        <v>1289</v>
      </c>
      <c r="F18" s="273"/>
      <c r="G18" s="292" t="s">
        <v>1211</v>
      </c>
    </row>
    <row r="19" spans="1:7" ht="23.1" customHeight="1">
      <c r="A19" s="264"/>
      <c r="B19" s="289" t="s">
        <v>1254</v>
      </c>
      <c r="C19" s="266"/>
      <c r="D19" s="267"/>
      <c r="E19" s="268" t="s">
        <v>908</v>
      </c>
      <c r="F19" s="269"/>
      <c r="G19" s="290" t="s">
        <v>1238</v>
      </c>
    </row>
    <row r="20" spans="1:7" ht="23.1" customHeight="1">
      <c r="A20" s="264"/>
      <c r="B20" s="291" t="s">
        <v>54</v>
      </c>
      <c r="C20" s="270"/>
      <c r="D20" s="271"/>
      <c r="E20" s="272" t="s">
        <v>1290</v>
      </c>
      <c r="F20" s="273"/>
      <c r="G20" s="292" t="s">
        <v>1197</v>
      </c>
    </row>
    <row r="21" spans="1:7" ht="23.1" customHeight="1">
      <c r="A21" s="264"/>
      <c r="B21" s="289" t="s">
        <v>55</v>
      </c>
      <c r="C21" s="266"/>
      <c r="D21" s="267"/>
      <c r="E21" s="268" t="s">
        <v>1385</v>
      </c>
      <c r="F21" s="269"/>
      <c r="G21" s="290" t="s">
        <v>1342</v>
      </c>
    </row>
    <row r="22" spans="1:7" ht="23.1" customHeight="1">
      <c r="A22" s="264"/>
      <c r="B22" s="291" t="s">
        <v>56</v>
      </c>
      <c r="C22" s="270"/>
      <c r="D22" s="271"/>
      <c r="E22" s="272"/>
      <c r="F22" s="273"/>
      <c r="G22" s="292" t="s">
        <v>1266</v>
      </c>
    </row>
    <row r="23" spans="1:7" ht="23.1" customHeight="1">
      <c r="A23" s="264"/>
      <c r="B23" s="289" t="s">
        <v>57</v>
      </c>
      <c r="C23" s="266"/>
      <c r="D23" s="267"/>
      <c r="E23" s="268"/>
      <c r="F23" s="269"/>
      <c r="G23" s="290" t="s">
        <v>1284</v>
      </c>
    </row>
    <row r="24" spans="1:7" ht="23.1" customHeight="1">
      <c r="A24" s="264"/>
      <c r="B24" s="291" t="s">
        <v>58</v>
      </c>
      <c r="C24" s="270"/>
      <c r="D24" s="271"/>
      <c r="E24" s="272"/>
      <c r="F24" s="273"/>
      <c r="G24" s="292" t="s">
        <v>1323</v>
      </c>
    </row>
    <row r="25" spans="1:7" ht="23.1" customHeight="1">
      <c r="A25" s="264"/>
      <c r="B25" s="289" t="s">
        <v>59</v>
      </c>
      <c r="C25" s="266"/>
      <c r="D25" s="267"/>
      <c r="E25" s="268"/>
      <c r="F25" s="269"/>
      <c r="G25" s="290" t="s">
        <v>1382</v>
      </c>
    </row>
    <row r="26" spans="1:7" ht="23.1" customHeight="1">
      <c r="A26" s="264"/>
      <c r="B26" s="291" t="s">
        <v>60</v>
      </c>
      <c r="C26" s="270"/>
      <c r="D26" s="271"/>
      <c r="E26" s="272"/>
      <c r="F26" s="273"/>
      <c r="G26" s="292" t="s">
        <v>1386</v>
      </c>
    </row>
    <row r="27" spans="1:7" s="3" customFormat="1" ht="23.1" customHeight="1">
      <c r="A27" s="264"/>
      <c r="B27" s="289" t="s">
        <v>1300</v>
      </c>
      <c r="C27" s="266"/>
      <c r="D27" s="267"/>
      <c r="E27" s="268"/>
      <c r="F27" s="269"/>
      <c r="G27" s="290" t="s">
        <v>1415</v>
      </c>
    </row>
    <row r="28" spans="1:7" ht="23.1" customHeight="1">
      <c r="A28" s="264"/>
      <c r="B28" s="291" t="s">
        <v>61</v>
      </c>
      <c r="C28" s="270"/>
      <c r="D28" s="271"/>
      <c r="E28" s="272"/>
      <c r="F28" s="273"/>
      <c r="G28" s="292" t="s">
        <v>1416</v>
      </c>
    </row>
    <row r="29" spans="1:7" ht="23.1" customHeight="1">
      <c r="A29" s="264"/>
      <c r="B29" s="289" t="s">
        <v>62</v>
      </c>
      <c r="C29" s="266"/>
      <c r="D29" s="267"/>
      <c r="E29" s="268"/>
      <c r="F29" s="269"/>
      <c r="G29" s="290" t="s">
        <v>1417</v>
      </c>
    </row>
    <row r="30" spans="1:7" ht="23.1" customHeight="1">
      <c r="A30" s="264"/>
      <c r="B30" s="291" t="s">
        <v>63</v>
      </c>
      <c r="C30" s="270"/>
      <c r="D30" s="271"/>
      <c r="E30" s="272"/>
      <c r="F30" s="273"/>
      <c r="G30" s="292" t="s">
        <v>1544</v>
      </c>
    </row>
    <row r="31" spans="1:7" ht="23.1" customHeight="1">
      <c r="A31" s="264"/>
      <c r="B31" s="289" t="s">
        <v>64</v>
      </c>
      <c r="C31" s="266"/>
      <c r="D31" s="267"/>
      <c r="E31" s="268"/>
      <c r="F31" s="269"/>
      <c r="G31" s="290" t="s">
        <v>1556</v>
      </c>
    </row>
    <row r="32" spans="1:7" ht="23.1" customHeight="1">
      <c r="A32" s="264"/>
      <c r="B32" s="291" t="s">
        <v>1306</v>
      </c>
      <c r="C32" s="270"/>
      <c r="D32" s="271"/>
      <c r="E32" s="272"/>
      <c r="F32" s="273"/>
      <c r="G32" s="292" t="s">
        <v>1659</v>
      </c>
    </row>
    <row r="33" spans="1:7" ht="23.1" customHeight="1">
      <c r="A33" s="264"/>
      <c r="B33" s="289" t="s">
        <v>1307</v>
      </c>
      <c r="C33" s="266"/>
      <c r="D33" s="267"/>
      <c r="E33" s="268"/>
      <c r="F33" s="269"/>
      <c r="G33" s="290"/>
    </row>
    <row r="34" spans="1:7" ht="23.1" customHeight="1">
      <c r="A34" s="264"/>
      <c r="B34" s="291" t="s">
        <v>1291</v>
      </c>
      <c r="C34" s="270"/>
      <c r="D34" s="271"/>
      <c r="E34" s="272"/>
      <c r="F34" s="273"/>
      <c r="G34" s="292"/>
    </row>
    <row r="35" spans="1:7" ht="23.1" customHeight="1">
      <c r="A35" s="264"/>
      <c r="B35" s="289" t="s">
        <v>1305</v>
      </c>
      <c r="C35" s="266"/>
      <c r="D35" s="267"/>
      <c r="E35" s="268"/>
      <c r="F35" s="269"/>
      <c r="G35" s="290"/>
    </row>
    <row r="36" spans="1:7" s="3" customFormat="1" ht="23.1" customHeight="1">
      <c r="A36" s="264"/>
      <c r="B36" s="291" t="s">
        <v>1395</v>
      </c>
      <c r="C36" s="270"/>
      <c r="D36" s="271"/>
      <c r="E36" s="272"/>
      <c r="F36" s="273"/>
      <c r="G36" s="292"/>
    </row>
    <row r="37" spans="1:7" s="3" customFormat="1" ht="23.1" customHeight="1">
      <c r="A37" s="264"/>
      <c r="B37" s="289" t="s">
        <v>1320</v>
      </c>
      <c r="C37" s="266"/>
      <c r="D37" s="267"/>
      <c r="E37" s="268"/>
      <c r="F37" s="269"/>
      <c r="G37" s="290"/>
    </row>
    <row r="38" spans="1:7" s="3" customFormat="1" ht="23.1" customHeight="1">
      <c r="A38" s="264"/>
      <c r="B38" s="291" t="s">
        <v>1309</v>
      </c>
      <c r="C38" s="270"/>
      <c r="D38" s="271"/>
      <c r="E38" s="272"/>
      <c r="F38" s="273"/>
      <c r="G38" s="292"/>
    </row>
    <row r="39" spans="1:7" ht="23.1" customHeight="1">
      <c r="A39" s="264"/>
      <c r="B39" s="289" t="s">
        <v>1222</v>
      </c>
      <c r="C39" s="266"/>
      <c r="D39" s="267"/>
      <c r="E39" s="268"/>
      <c r="F39" s="269"/>
      <c r="G39" s="290"/>
    </row>
    <row r="40" spans="1:7" ht="23.1" customHeight="1">
      <c r="A40" s="264"/>
      <c r="B40" s="291" t="s">
        <v>68</v>
      </c>
      <c r="C40" s="270"/>
      <c r="D40" s="271"/>
      <c r="E40" s="272"/>
      <c r="F40" s="273"/>
      <c r="G40" s="292"/>
    </row>
    <row r="41" spans="1:7" ht="23.1" customHeight="1">
      <c r="A41" s="264"/>
      <c r="B41" s="289" t="s">
        <v>69</v>
      </c>
      <c r="C41" s="266"/>
      <c r="D41" s="267"/>
      <c r="E41" s="268"/>
      <c r="F41" s="269"/>
      <c r="G41" s="290"/>
    </row>
    <row r="42" spans="1:7" ht="23.1" customHeight="1">
      <c r="A42" s="264"/>
      <c r="B42" s="291" t="s">
        <v>70</v>
      </c>
      <c r="C42" s="270"/>
      <c r="D42" s="271"/>
      <c r="E42" s="272"/>
      <c r="F42" s="273"/>
      <c r="G42" s="292"/>
    </row>
    <row r="43" spans="1:7" ht="23.1" customHeight="1">
      <c r="A43" s="264"/>
      <c r="B43" s="289" t="s">
        <v>71</v>
      </c>
      <c r="C43" s="266"/>
      <c r="D43" s="267"/>
      <c r="E43" s="268"/>
      <c r="F43" s="269"/>
      <c r="G43" s="290"/>
    </row>
    <row r="44" spans="1:7" ht="23.1" customHeight="1">
      <c r="A44" s="264"/>
      <c r="B44" s="291" t="s">
        <v>72</v>
      </c>
      <c r="C44" s="270"/>
      <c r="D44" s="271"/>
      <c r="E44" s="272"/>
      <c r="F44" s="273"/>
      <c r="G44" s="292"/>
    </row>
    <row r="45" spans="1:7" ht="23.1" customHeight="1">
      <c r="A45" s="264"/>
      <c r="B45" s="289" t="s">
        <v>73</v>
      </c>
      <c r="C45" s="266"/>
      <c r="D45" s="267"/>
      <c r="E45" s="268"/>
      <c r="F45" s="269"/>
      <c r="G45" s="290"/>
    </row>
    <row r="46" spans="1:7" ht="23.1" customHeight="1">
      <c r="A46" s="264"/>
      <c r="B46" s="291" t="s">
        <v>74</v>
      </c>
      <c r="C46" s="270"/>
      <c r="D46" s="271"/>
      <c r="E46" s="272"/>
      <c r="F46" s="273"/>
      <c r="G46" s="292"/>
    </row>
    <row r="47" spans="1:7" ht="23.1" customHeight="1">
      <c r="A47" s="264"/>
      <c r="B47" s="289" t="s">
        <v>75</v>
      </c>
      <c r="C47" s="266"/>
      <c r="D47" s="267"/>
      <c r="E47" s="268"/>
      <c r="F47" s="269"/>
      <c r="G47" s="290"/>
    </row>
    <row r="48" spans="1:7" ht="23.1" customHeight="1">
      <c r="A48" s="264"/>
      <c r="B48" s="291" t="s">
        <v>76</v>
      </c>
      <c r="C48" s="270"/>
      <c r="D48" s="271"/>
      <c r="E48" s="272"/>
      <c r="F48" s="273"/>
      <c r="G48" s="292"/>
    </row>
    <row r="49" spans="1:7" ht="23.1" customHeight="1">
      <c r="A49" s="264"/>
      <c r="B49" s="289" t="s">
        <v>77</v>
      </c>
      <c r="C49" s="266"/>
      <c r="D49" s="267"/>
      <c r="E49" s="268"/>
      <c r="F49" s="269"/>
      <c r="G49" s="290"/>
    </row>
    <row r="50" spans="1:7" ht="23.1" customHeight="1">
      <c r="A50" s="264"/>
      <c r="B50" s="291" t="s">
        <v>78</v>
      </c>
      <c r="C50" s="270"/>
      <c r="D50" s="271"/>
      <c r="E50" s="272"/>
      <c r="F50" s="273"/>
      <c r="G50" s="292"/>
    </row>
    <row r="51" spans="1:7" ht="23.1" customHeight="1">
      <c r="A51" s="264"/>
      <c r="B51" s="289" t="s">
        <v>79</v>
      </c>
      <c r="C51" s="266"/>
      <c r="D51" s="267"/>
      <c r="E51" s="268"/>
      <c r="F51" s="269"/>
      <c r="G51" s="290"/>
    </row>
    <row r="52" spans="1:7" ht="23.1" customHeight="1">
      <c r="A52" s="264"/>
      <c r="B52" s="291" t="s">
        <v>80</v>
      </c>
      <c r="C52" s="270"/>
      <c r="D52" s="271"/>
      <c r="E52" s="272"/>
      <c r="F52" s="273"/>
      <c r="G52" s="292"/>
    </row>
    <row r="53" spans="1:7" ht="23.1" customHeight="1">
      <c r="A53" s="264"/>
      <c r="B53" s="289" t="s">
        <v>81</v>
      </c>
      <c r="C53" s="266"/>
      <c r="D53" s="267"/>
      <c r="E53" s="268"/>
      <c r="F53" s="269"/>
      <c r="G53" s="290"/>
    </row>
    <row r="54" spans="1:7" ht="23.1" customHeight="1">
      <c r="A54" s="264"/>
      <c r="B54" s="291" t="s">
        <v>82</v>
      </c>
      <c r="C54" s="270"/>
      <c r="D54" s="271"/>
      <c r="E54" s="272"/>
      <c r="F54" s="273"/>
      <c r="G54" s="292"/>
    </row>
    <row r="55" spans="1:7" ht="23.1" customHeight="1">
      <c r="A55" s="264"/>
      <c r="B55" s="289" t="s">
        <v>83</v>
      </c>
      <c r="C55" s="266"/>
      <c r="D55" s="267"/>
      <c r="E55" s="268"/>
      <c r="F55" s="269"/>
      <c r="G55" s="290"/>
    </row>
    <row r="56" spans="1:7" ht="23.1" customHeight="1">
      <c r="A56" s="264"/>
      <c r="B56" s="291" t="s">
        <v>84</v>
      </c>
      <c r="C56" s="270"/>
      <c r="D56" s="271"/>
      <c r="E56" s="272"/>
      <c r="F56" s="273"/>
      <c r="G56" s="292"/>
    </row>
    <row r="57" spans="1:7" ht="23.1" customHeight="1">
      <c r="A57" s="264"/>
      <c r="B57" s="289" t="s">
        <v>85</v>
      </c>
      <c r="C57" s="266"/>
      <c r="D57" s="267"/>
      <c r="E57" s="268"/>
      <c r="F57" s="269"/>
      <c r="G57" s="290"/>
    </row>
    <row r="58" spans="1:7" ht="23.1" customHeight="1" thickBot="1">
      <c r="A58" s="264"/>
      <c r="B58" s="293" t="s">
        <v>1671</v>
      </c>
      <c r="C58" s="294"/>
      <c r="D58" s="294"/>
      <c r="E58" s="294"/>
      <c r="F58" s="294"/>
      <c r="G58" s="295"/>
    </row>
    <row r="59" spans="1:7" ht="20.100000000000001" customHeight="1" thickTop="1">
      <c r="B59" s="377" t="s">
        <v>1757</v>
      </c>
      <c r="C59" s="378"/>
      <c r="D59" s="378"/>
      <c r="E59" s="378"/>
      <c r="F59" s="378"/>
      <c r="G59" s="379"/>
    </row>
  </sheetData>
  <mergeCells count="2">
    <mergeCell ref="B3:G3"/>
    <mergeCell ref="B1:G2"/>
  </mergeCells>
  <pageMargins left="0.7" right="0.7" top="0.75" bottom="0.75" header="0.511811023622047" footer="0.511811023622047"/>
  <pageSetup orientation="portrait" horizontalDpi="300" verticalDpi="30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E48"/>
  <sheetViews>
    <sheetView zoomScaleNormal="100" workbookViewId="0"/>
  </sheetViews>
  <sheetFormatPr defaultColWidth="8.7109375" defaultRowHeight="15" customHeight="1"/>
  <cols>
    <col min="1" max="5" width="24.7109375" style="3" customWidth="1"/>
  </cols>
  <sheetData>
    <row r="1" spans="1:5" ht="15" customHeight="1">
      <c r="A1" s="4" t="s">
        <v>1188</v>
      </c>
      <c r="B1" s="4" t="s">
        <v>5</v>
      </c>
      <c r="C1" s="4" t="s">
        <v>1191</v>
      </c>
      <c r="D1" s="4" t="s">
        <v>93</v>
      </c>
      <c r="E1" s="4" t="s">
        <v>1262</v>
      </c>
    </row>
    <row r="2" spans="1:5" ht="15" customHeight="1">
      <c r="A2" s="5" t="s">
        <v>40</v>
      </c>
      <c r="B2" s="5" t="s">
        <v>6</v>
      </c>
      <c r="C2" s="5" t="s">
        <v>1195</v>
      </c>
      <c r="D2" s="5" t="s">
        <v>112</v>
      </c>
      <c r="E2" s="5" t="s">
        <v>1292</v>
      </c>
    </row>
    <row r="3" spans="1:5" ht="15" customHeight="1">
      <c r="A3" s="5" t="s">
        <v>41</v>
      </c>
      <c r="B3" s="5" t="s">
        <v>7</v>
      </c>
      <c r="C3" s="5" t="s">
        <v>1204</v>
      </c>
      <c r="D3" s="5" t="s">
        <v>102</v>
      </c>
      <c r="E3" s="5" t="s">
        <v>1293</v>
      </c>
    </row>
    <row r="4" spans="1:5" ht="15" customHeight="1">
      <c r="A4" s="5" t="s">
        <v>42</v>
      </c>
      <c r="B4" s="5" t="s">
        <v>1294</v>
      </c>
      <c r="D4" s="5" t="s">
        <v>1046</v>
      </c>
      <c r="E4" s="5" t="s">
        <v>1295</v>
      </c>
    </row>
    <row r="5" spans="1:5" ht="15" customHeight="1">
      <c r="A5" s="5" t="s">
        <v>43</v>
      </c>
      <c r="D5" s="5" t="s">
        <v>604</v>
      </c>
      <c r="E5" s="5" t="s">
        <v>1296</v>
      </c>
    </row>
    <row r="6" spans="1:5" ht="15" customHeight="1">
      <c r="A6" s="5" t="s">
        <v>44</v>
      </c>
      <c r="D6" s="5" t="s">
        <v>672</v>
      </c>
      <c r="E6" s="5" t="s">
        <v>1297</v>
      </c>
    </row>
    <row r="7" spans="1:5" ht="15" customHeight="1">
      <c r="A7" s="5" t="s">
        <v>45</v>
      </c>
      <c r="D7" s="5" t="s">
        <v>338</v>
      </c>
      <c r="E7" s="5" t="s">
        <v>1298</v>
      </c>
    </row>
    <row r="8" spans="1:5" ht="15" customHeight="1">
      <c r="A8" s="5" t="s">
        <v>46</v>
      </c>
      <c r="D8" s="5" t="s">
        <v>1281</v>
      </c>
    </row>
    <row r="9" spans="1:5" ht="15" customHeight="1">
      <c r="A9" s="5" t="s">
        <v>47</v>
      </c>
      <c r="D9" s="5" t="s">
        <v>1282</v>
      </c>
    </row>
    <row r="10" spans="1:5" ht="15" customHeight="1">
      <c r="A10" s="5" t="s">
        <v>48</v>
      </c>
      <c r="D10" s="5" t="s">
        <v>1283</v>
      </c>
    </row>
    <row r="11" spans="1:5" ht="15" customHeight="1">
      <c r="A11" s="5" t="s">
        <v>49</v>
      </c>
      <c r="D11" s="5" t="s">
        <v>1285</v>
      </c>
    </row>
    <row r="12" spans="1:5" ht="15" customHeight="1">
      <c r="A12" s="5" t="s">
        <v>50</v>
      </c>
      <c r="D12" s="5" t="s">
        <v>1286</v>
      </c>
    </row>
    <row r="13" spans="1:5" ht="15" customHeight="1">
      <c r="A13" s="5" t="s">
        <v>51</v>
      </c>
      <c r="D13" s="5" t="s">
        <v>1287</v>
      </c>
    </row>
    <row r="14" spans="1:5" ht="15" customHeight="1">
      <c r="A14" s="5" t="s">
        <v>52</v>
      </c>
      <c r="D14" s="5" t="s">
        <v>1288</v>
      </c>
    </row>
    <row r="15" spans="1:5" ht="15" customHeight="1">
      <c r="A15" s="5" t="s">
        <v>53</v>
      </c>
      <c r="D15" s="5" t="s">
        <v>1289</v>
      </c>
    </row>
    <row r="16" spans="1:5" ht="15" customHeight="1">
      <c r="A16" s="5" t="s">
        <v>1299</v>
      </c>
      <c r="D16" s="5" t="s">
        <v>908</v>
      </c>
    </row>
    <row r="17" spans="1:4" ht="15" customHeight="1">
      <c r="A17" s="5" t="s">
        <v>54</v>
      </c>
      <c r="D17" s="5" t="s">
        <v>1290</v>
      </c>
    </row>
    <row r="18" spans="1:4" ht="15" customHeight="1">
      <c r="A18" s="5" t="s">
        <v>55</v>
      </c>
    </row>
    <row r="19" spans="1:4" ht="15" customHeight="1">
      <c r="A19" s="5" t="s">
        <v>56</v>
      </c>
    </row>
    <row r="20" spans="1:4" ht="15" customHeight="1">
      <c r="A20" s="5" t="s">
        <v>57</v>
      </c>
    </row>
    <row r="21" spans="1:4" ht="15" customHeight="1">
      <c r="A21" s="5" t="s">
        <v>58</v>
      </c>
    </row>
    <row r="22" spans="1:4" ht="15" customHeight="1">
      <c r="A22" s="5" t="s">
        <v>59</v>
      </c>
    </row>
    <row r="23" spans="1:4" ht="15" customHeight="1">
      <c r="A23" s="5" t="s">
        <v>60</v>
      </c>
    </row>
    <row r="24" spans="1:4">
      <c r="A24" s="5" t="s">
        <v>1300</v>
      </c>
    </row>
    <row r="25" spans="1:4">
      <c r="A25" s="5" t="s">
        <v>61</v>
      </c>
    </row>
    <row r="26" spans="1:4">
      <c r="A26" s="5" t="s">
        <v>1301</v>
      </c>
    </row>
    <row r="27" spans="1:4">
      <c r="A27" s="5" t="s">
        <v>1302</v>
      </c>
    </row>
    <row r="28" spans="1:4">
      <c r="A28" s="5" t="s">
        <v>65</v>
      </c>
    </row>
    <row r="29" spans="1:4">
      <c r="A29" s="5" t="s">
        <v>66</v>
      </c>
    </row>
    <row r="30" spans="1:4">
      <c r="A30" s="5" t="s">
        <v>1303</v>
      </c>
    </row>
    <row r="31" spans="1:4">
      <c r="A31" s="5" t="s">
        <v>68</v>
      </c>
    </row>
    <row r="32" spans="1:4">
      <c r="A32" s="5" t="s">
        <v>69</v>
      </c>
    </row>
    <row r="33" spans="1:1">
      <c r="A33" s="5" t="s">
        <v>1304</v>
      </c>
    </row>
    <row r="34" spans="1:1">
      <c r="A34" s="5" t="s">
        <v>71</v>
      </c>
    </row>
    <row r="35" spans="1:1">
      <c r="A35" s="5" t="s">
        <v>72</v>
      </c>
    </row>
    <row r="36" spans="1:1">
      <c r="A36" s="5" t="s">
        <v>73</v>
      </c>
    </row>
    <row r="37" spans="1:1">
      <c r="A37" s="5" t="s">
        <v>74</v>
      </c>
    </row>
    <row r="38" spans="1:1">
      <c r="A38" s="5" t="s">
        <v>75</v>
      </c>
    </row>
    <row r="39" spans="1:1">
      <c r="A39" s="5" t="s">
        <v>76</v>
      </c>
    </row>
    <row r="40" spans="1:1">
      <c r="A40" s="5" t="s">
        <v>77</v>
      </c>
    </row>
    <row r="41" spans="1:1">
      <c r="A41" s="5" t="s">
        <v>78</v>
      </c>
    </row>
    <row r="42" spans="1:1">
      <c r="A42" s="5" t="s">
        <v>79</v>
      </c>
    </row>
    <row r="43" spans="1:1">
      <c r="A43" s="5" t="s">
        <v>80</v>
      </c>
    </row>
    <row r="44" spans="1:1">
      <c r="A44" s="5" t="s">
        <v>81</v>
      </c>
    </row>
    <row r="45" spans="1:1">
      <c r="A45" s="5" t="s">
        <v>82</v>
      </c>
    </row>
    <row r="46" spans="1:1">
      <c r="A46" s="5" t="s">
        <v>83</v>
      </c>
    </row>
    <row r="47" spans="1:1">
      <c r="A47" s="5" t="s">
        <v>84</v>
      </c>
    </row>
    <row r="48" spans="1:1">
      <c r="A48" s="5" t="s">
        <v>85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Master Dashboard</vt:lpstr>
      <vt:lpstr>Machine Issuance Dashboard</vt:lpstr>
      <vt:lpstr>Inventory</vt:lpstr>
      <vt:lpstr>Non Inventory</vt:lpstr>
      <vt:lpstr>Services</vt:lpstr>
      <vt:lpstr>Patty Cash</vt:lpstr>
      <vt:lpstr>Daily Issuance</vt:lpstr>
      <vt:lpstr>Daily Inward</vt:lpstr>
      <vt:lpstr>List</vt:lpstr>
      <vt:lpstr>Lists</vt:lpstr>
      <vt:lpstr>Category_List</vt:lpstr>
      <vt:lpstr>Department_List</vt:lpstr>
      <vt:lpstr>Equipment_List</vt:lpstr>
      <vt:lpstr>'Machine Issuance Dashboard'!Shift_List</vt:lpstr>
      <vt:lpstr>Shift_List</vt:lpstr>
      <vt:lpstr>UOM_List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Rahman</dc:creator>
  <cp:lastModifiedBy>Zeeshan-Eng-U7</cp:lastModifiedBy>
  <cp:lastPrinted>2026-06-17T20:39:41Z</cp:lastPrinted>
  <dcterms:created xsi:type="dcterms:W3CDTF">2026-05-15T13:01:17Z</dcterms:created>
  <dcterms:modified xsi:type="dcterms:W3CDTF">2026-06-18T02:29:25Z</dcterms:modified>
</cp:coreProperties>
</file>